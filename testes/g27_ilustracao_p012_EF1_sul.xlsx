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ior.dias\PycharmProjects\ilustracoes\testes\"/>
    </mc:Choice>
  </mc:AlternateContent>
  <xr:revisionPtr revIDLastSave="0" documentId="13_ncr:1_{0D8EAC83-16EF-4CC4-87E1-3752623F5601}" xr6:coauthVersionLast="47" xr6:coauthVersionMax="47" xr10:uidLastSave="{00000000-0000-0000-0000-000000000000}"/>
  <bookViews>
    <workbookView xWindow="-108" yWindow="-108" windowWidth="23256" windowHeight="12456"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AA48" i="1" s="1"/>
  <c r="Y49" i="1"/>
  <c r="AA49" i="1" s="1"/>
  <c r="Y50" i="1"/>
  <c r="AA50" i="1" s="1"/>
  <c r="Y51" i="1"/>
  <c r="AA51" i="1" s="1"/>
  <c r="Y52" i="1"/>
  <c r="AA52" i="1" s="1"/>
  <c r="Y53" i="1"/>
  <c r="AA53" i="1" s="1"/>
  <c r="Y54" i="1"/>
  <c r="AA54" i="1" s="1"/>
  <c r="Y2" i="1"/>
  <c r="AA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4C8D388B-BCCB-4193-BFF6-D44711A80941}">
      <text>
        <r>
          <rPr>
            <sz val="9"/>
            <color indexed="81"/>
            <rFont val="Segoe UI"/>
            <family val="2"/>
          </rPr>
          <t xml:space="preserve">Sequência numérica acompanhada do código que identifica a obra.
</t>
        </r>
      </text>
    </comment>
    <comment ref="B1" authorId="0" shapeId="0" xr:uid="{94A6BA55-B9C8-475F-8610-CAAE64E553FC}">
      <text>
        <r>
          <rPr>
            <sz val="9"/>
            <color indexed="81"/>
            <rFont val="Segoe UI"/>
            <family val="2"/>
          </rPr>
          <t>Selecione na lista suspensa em cada célula o status da ilustração.</t>
        </r>
      </text>
    </comment>
    <comment ref="C1" authorId="0" shapeId="0" xr:uid="{A7BAD512-3780-4E07-8BAC-91FD33D26F7A}">
      <text>
        <r>
          <rPr>
            <sz val="9"/>
            <color indexed="81"/>
            <rFont val="Segoe UI"/>
            <family val="2"/>
          </rPr>
          <t xml:space="preserve">Selecione na lista suspensa, a categoria da ilustração.
</t>
        </r>
      </text>
    </comment>
    <comment ref="D1" authorId="0" shapeId="0" xr:uid="{DDA577C2-431C-413F-A92B-09F840E51117}">
      <text>
        <r>
          <rPr>
            <sz val="9"/>
            <color indexed="81"/>
            <rFont val="Segoe UI"/>
            <family val="2"/>
          </rPr>
          <t xml:space="preserve">Selecione na lista suspensa em que parte do livro se encontra a imagem.
</t>
        </r>
      </text>
    </comment>
    <comment ref="E1" authorId="0" shapeId="0" xr:uid="{7C0E96F6-4582-49B4-A147-3A42DA86BD1B}">
      <text>
        <r>
          <rPr>
            <sz val="9"/>
            <color indexed="81"/>
            <rFont val="Segoe UI"/>
            <family val="2"/>
          </rPr>
          <t>Preencher estes campos com números 
de páginas.</t>
        </r>
      </text>
    </comment>
    <comment ref="F1" authorId="0" shapeId="0" xr:uid="{780A176B-FC6B-4384-B5B8-D0D6E784CBAB}">
      <text>
        <r>
          <rPr>
            <sz val="9"/>
            <color indexed="81"/>
            <rFont val="Segoe UI"/>
            <family val="2"/>
          </rPr>
          <t>Prencher com o número do volume da obra.</t>
        </r>
      </text>
    </comment>
    <comment ref="G1" authorId="0" shapeId="0" xr:uid="{90213B6A-384E-41F2-B912-E29283D8A0BF}">
      <text>
        <r>
          <rPr>
            <sz val="9"/>
            <color indexed="81"/>
            <rFont val="Segoe UI"/>
            <family val="2"/>
          </rPr>
          <t>Preencher este campo com o número do capítulo ou nome da seção.</t>
        </r>
      </text>
    </comment>
    <comment ref="H1" authorId="0" shapeId="0" xr:uid="{609293B4-B211-4C6E-87E3-CD0A749B11B9}">
      <text>
        <r>
          <rPr>
            <sz val="9"/>
            <color indexed="81"/>
            <rFont val="Segoe UI"/>
            <family val="2"/>
          </rPr>
          <t xml:space="preserve">Preencher estes campos com números do capítulos ou os nomes padronizados das seções.
</t>
        </r>
      </text>
    </comment>
    <comment ref="I1" authorId="0" shapeId="0" xr:uid="{1C30DFBE-0373-48AA-A67B-02FD7EB10C87}">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2E7426EB-5325-4FE9-BC01-93E14AEF5D05}">
      <text>
        <r>
          <rPr>
            <sz val="9"/>
            <color indexed="81"/>
            <rFont val="Segoe UI"/>
            <family val="2"/>
          </rPr>
          <t xml:space="preserve">Descrição da imagem detalhada de acordo com a edição.
</t>
        </r>
      </text>
    </comment>
    <comment ref="Q1" authorId="0" shapeId="0" xr:uid="{D63C06C4-252C-4FCC-BB9F-958C9B6C324B}">
      <text>
        <r>
          <rPr>
            <sz val="9"/>
            <color indexed="81"/>
            <rFont val="Segoe UI"/>
            <family val="2"/>
          </rPr>
          <t>Anotações gerais/adicionais da equipe/núcleo sobre a produção da imagem.</t>
        </r>
      </text>
    </comment>
    <comment ref="R1" authorId="0" shapeId="0" xr:uid="{A04D7BFD-F5EF-40B1-A6A9-BD44DF75EB42}">
      <text>
        <r>
          <rPr>
            <sz val="9"/>
            <color indexed="81"/>
            <rFont val="Segoe UI"/>
            <family val="2"/>
          </rPr>
          <t xml:space="preserve">Número do lote de acordo com a data de liberação para arte.
</t>
        </r>
      </text>
    </comment>
    <comment ref="S1" authorId="0" shapeId="0" xr:uid="{15A46209-11D2-4623-A70A-FD07F36BCEB4}">
      <text>
        <r>
          <rPr>
            <sz val="9"/>
            <color indexed="81"/>
            <rFont val="Segoe UI"/>
            <family val="2"/>
          </rPr>
          <t xml:space="preserve">Data que o lote foi liberado para edição de arte.
</t>
        </r>
      </text>
    </comment>
    <comment ref="T1" authorId="0" shapeId="0" xr:uid="{A459D10E-D567-41DC-9D62-93E1574BEC04}">
      <text>
        <r>
          <rPr>
            <sz val="9"/>
            <color indexed="81"/>
            <rFont val="Segoe UI"/>
            <family val="2"/>
          </rPr>
          <t>Data de envio da edição de arte para o ilustrador.</t>
        </r>
      </text>
    </comment>
    <comment ref="U1" authorId="0" shapeId="0" xr:uid="{B0D4B9D6-353A-4ABE-9345-D3CC8B0198AD}">
      <text>
        <r>
          <rPr>
            <sz val="9"/>
            <color indexed="81"/>
            <rFont val="Segoe UI"/>
            <family val="2"/>
          </rPr>
          <t xml:space="preserve">Data de recebimento 
do rafe do ilustrador.
</t>
        </r>
      </text>
    </comment>
    <comment ref="V1" authorId="0" shapeId="0" xr:uid="{C67D1749-64CE-4E96-AE15-6EEEF54F23C8}">
      <text>
        <r>
          <rPr>
            <sz val="9"/>
            <color indexed="81"/>
            <rFont val="Segoe UI"/>
            <family val="2"/>
          </rPr>
          <t xml:space="preserve">Data de envio para finalizar a ilustração.
</t>
        </r>
      </text>
    </comment>
    <comment ref="W1" authorId="0" shapeId="0" xr:uid="{00B7D7D1-9ADF-4C7E-92C9-AF809FA01841}">
      <text>
        <r>
          <rPr>
            <sz val="9"/>
            <color indexed="81"/>
            <rFont val="Segoe UI"/>
            <family val="2"/>
          </rPr>
          <t>Data de retorno da ilustração finalizada pelo ilustrador.</t>
        </r>
      </text>
    </comment>
    <comment ref="X1" authorId="0" shapeId="0" xr:uid="{0E6A3170-21E7-4172-9D0A-757A825360ED}">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3D914E81-2BE7-4CB1-9CCE-5AC1A80D0148}">
      <text>
        <r>
          <rPr>
            <sz val="9"/>
            <color indexed="81"/>
            <rFont val="Segoe UI"/>
            <family val="2"/>
          </rPr>
          <t>Nome do ilustrador que produziu ou produzirá a ilustração ou o nome do criador da ilustração do padrão.
Coluna bloqueada para edição manual.</t>
        </r>
      </text>
    </comment>
    <comment ref="Z1" authorId="0" shapeId="0" xr:uid="{1DE5BBA9-2DCE-4487-BFBD-058AD4365126}">
      <text>
        <r>
          <rPr>
            <sz val="9"/>
            <color indexed="81"/>
            <rFont val="Segoe UI"/>
            <family val="2"/>
          </rPr>
          <t>Nome de quem ajustou ou coloriu a ilustração.</t>
        </r>
      </text>
    </comment>
    <comment ref="AA1" authorId="0" shapeId="0" xr:uid="{DA93A19C-04C4-4F51-8A09-734FA6162907}">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3A0B9FE-D1C4-4FE8-AF9D-51C582BDDEBB}">
      <text>
        <r>
          <rPr>
            <sz val="9"/>
            <color indexed="81"/>
            <rFont val="Segoe UI"/>
            <family val="2"/>
          </rPr>
          <t xml:space="preserve">Selecione na lista suspensa em cada célula a classificação da ilustração.
</t>
        </r>
      </text>
    </comment>
    <comment ref="AC1" authorId="0" shapeId="0" xr:uid="{AF295DB5-BBA2-42C7-B75F-A719859D6AE8}">
      <text>
        <r>
          <rPr>
            <sz val="9"/>
            <color indexed="81"/>
            <rFont val="Segoe UI"/>
            <family val="2"/>
          </rPr>
          <t>Anotações gerais/adicionais do designer sobre a produção da imagem.</t>
        </r>
      </text>
    </comment>
    <comment ref="AD1" authorId="0" shapeId="0" xr:uid="{6315B1F7-6E46-4CD7-8002-A7524599125F}">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tc={77DCBD07-8B72-41F9-A8BD-EF244BA016D6}</author>
  </authors>
  <commentList>
    <comment ref="B5" authorId="0" shapeId="0" xr:uid="{77DCBD07-8B72-41F9-A8BD-EF244BA016D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<sst xmlns="http://schemas.openxmlformats.org/spreadsheetml/2006/main" count="1576" uniqueCount="1181">
  <si>
    <t>NOME DA OBRA
 PARA RESGATE</t>
  </si>
  <si>
    <t>PÁGINA PARA RESGATE</t>
  </si>
  <si>
    <t>VOLUME PARA RESGATE</t>
  </si>
  <si>
    <t>VERSÃO PARA RESGATE</t>
  </si>
  <si>
    <t>PROPRIEDADE</t>
  </si>
  <si>
    <t>SIGLA</t>
  </si>
  <si>
    <t xml:space="preserve">i0508_3p012s_g27_e002 </t>
  </si>
  <si>
    <t>APLICADA</t>
  </si>
  <si>
    <t>ILUSTRAÇÃO</t>
  </si>
  <si>
    <t>MIOLO</t>
  </si>
  <si>
    <t>NOVA</t>
  </si>
  <si>
    <t>Ilustração representando Sepé Tiaraju. OBS: não colocar o cordão com crucifixo no personagem. Ref.: H121.00053</t>
  </si>
  <si>
    <t>ha</t>
  </si>
  <si>
    <t>R:12/05 F:19/05</t>
  </si>
  <si>
    <t>PAGO</t>
  </si>
  <si>
    <t xml:space="preserve">m0511_3p012s_g27_e002 </t>
  </si>
  <si>
    <t>MAPA</t>
  </si>
  <si>
    <t xml:space="preserve">
Mapa com os caminhos dos tropeiros, contendo o nome das cidades envolvidas.
Ref.: https://passofundotche.wordpress.com/wp-content/uploads/2011/07/mapa-caminho-das-tropas31.jpg
Utilizar a referência mas fazer no padrão da obra, técnico com todos os elementos como meridiano e paralelos com o grau indicado, siglas, divisões territoriais, cores do padrão etc.
a legenda deve ser: 
Vermelho: Caminho de Viamão
Verde: Caminho da Vacaria dos Pinhais
Azul: Caminho das Missões
</t>
  </si>
  <si>
    <t>vc</t>
  </si>
  <si>
    <t>Arte</t>
  </si>
  <si>
    <t>FINALIZADO</t>
  </si>
  <si>
    <t xml:space="preserve">m0517_3p012s_g27_e002 </t>
  </si>
  <si>
    <t>AJUSTE</t>
  </si>
  <si>
    <t xml:space="preserve">Resgatar mapa Povos Imigrantes na Região Sul (1820-1950). Resgatar de 5CQG g16 (A Conquista Geografia) p.114. código antigo m182ed_5CQG_g16_FTD
Ajuste1: nomear países vizinhos
Ajuste 2: Ajustar todo o mapa para o padrão incluindo cores traçados as siglas dos estados
Ajuste 3: Separar o mapa a legenda e o mapa de localização em A B C
</t>
  </si>
  <si>
    <t>ed</t>
  </si>
  <si>
    <t>Vinícius Costa</t>
  </si>
  <si>
    <t>Resgate com ajuste</t>
  </si>
  <si>
    <t>i0522_3p012s_g27_e002</t>
  </si>
  <si>
    <t>Ilustrar menina japonesa uniformizada, segurando um caderno e fazendo uma apresentação de resultados da entrevista.</t>
  </si>
  <si>
    <t>m0527_3p012s_g27_e002</t>
  </si>
  <si>
    <t xml:space="preserve">Mapa da migração da região Sul para outros estados do País e para o Paraguai. 
Resgatar 7 ano GEV (Geografia Espaço e vivência) 2017 p137 código antigo i534ed_7gev_g17_sal
Ajuste1: nomear países vizinhos
Ajuste 2: Ajustar todo o mapa para o padrão incluindo cores traçados as siglas dos estados
Ajuste 3: Separar o mapa a legenda e o mapa de localização em A B C
</t>
  </si>
  <si>
    <t>m0529_3p012s_g27_e002</t>
  </si>
  <si>
    <t xml:space="preserve">
Mapa da densidade demográfica da Região Sul. Usar fonte IBGE mais recente para compor o mapa, se ajudar, pode utilizar o mapa antigo 5 ano p. 110 BAG como base (código antigo m1003ed_5bag_g23_ftd_aj), mas recortar apenas a Região Sul. 
Nesse mapa novo Localizar além das capitais as maiores cidades Que estão indicadas nesse link, marcar todos esses pontos: https://www.google.com/maps/d/u/0/edit?mid=1bHYGa4tQaoI-T8p4YcD1VIQZo8n_cw4&amp;usp=sharing
Colocar manchas mais claras (de 2 a 10) mas usando as cores do padrão de mapa, no sul do Rio Grande do Sul
além disso tentar atualizar o mapa todo de acordo com essa referencia a seguir que é o mapa do ibge mais atual, mas não fazer essas manchas tão especificas, elas devem ficar mais grosseiras como era o mapa antigo da referencia acima, no próximo print há uma referencia de como ficaria mais ou menos o mapa atualizado do RS, com manchas mais densas
</t>
  </si>
  <si>
    <t>i0534_3p012s_g27_e002</t>
  </si>
  <si>
    <t xml:space="preserve">
Ilustrar grupo de três ou quatro crianças, uniformizadas, sentadas ao redor de uma mesa na sala de aula. Ilustrar professora acompanhando a cena. Variar etnias e tipos físicos dos personagens e incluir uma criança em cadeira de rodas. 
Ref.: https://st4.depositphotos.com/4311295/20874/v/1600/depositphotos_208744092-stock-illustration-boy-wheelchair-sitting-table-canteen.jpg
</t>
  </si>
  <si>
    <t>g0523_3p012s_g27_e002</t>
  </si>
  <si>
    <t>GRÁFICO</t>
  </si>
  <si>
    <t xml:space="preserve">Gráfico de colunas mostrando a evolução do crescimento da população brasileira e da Região Sul (entre 1940 até a data mais atual), com legenda em baixo. Deixar segmentos larguinhos, para as barras ficarem mais visíveis e com números menores. Sobre cada barra inserir número da taxa.
Eixo y: Porcentagem
Eixo x: Período
	1940-1950	1950- 1960	1960-1970	1970-1980	1980-1991	1991-2000	2000-2010	2010-2022
Região Sul	11,6%	5,2%	3,9%	1,5%	1,5%	1,5%	0,9%	0,8%
Brasil	2,6%	3,5%	3,3%	2,8%	2,1%	1,7%	1,2%	0,5%
</t>
  </si>
  <si>
    <t>m0514_3p012s_g27_e002</t>
  </si>
  <si>
    <t xml:space="preserve">Mapa da quantidade de comunidades quilombolas. Resgatar de 4 ano BAG, p. 98. Código antigo: m0839ed_4bag_g23_ftd.
Tira o zero do DF, Acre e Roraima, deixar sem nada.
Atualizar números:
AL	78    BA	865   CE	63    ES	45    GO	70     MA	899
MG	501    MT	79    PA	273    PB	47    PE	204   PI	107
PR	40    RJ	45    RN	40    RS	146    SC	19    SE	44   TO	49
separar o mapa a legenda e o mapa de localização
verificar se todas as cores e elementos estão no padrão da obra
</t>
  </si>
  <si>
    <t>m0101_3p012sul_g27_e002</t>
  </si>
  <si>
    <t xml:space="preserve">Resgatar mapa apresentando a regionalização brasileira de acordo com o IBGE, ajustar conforme o padrão da obra. Código antigo: m1014ed_7m3tsg_m23_ftd_aj.ai.
inserir na legenda o limite internacional
Separar o mapa a legenda e o mapa de localização em A B C
</t>
  </si>
  <si>
    <t>Gabriella Imai</t>
  </si>
  <si>
    <t>m0103_3p012sul_g27_e002</t>
  </si>
  <si>
    <t xml:space="preserve">Mapa político da Região Sul do Brasil com o nome dos estados por extenso. 
Ajuste 1: No recorte da região mostrar países vizinhos (mesmo que parcialmente, em cinza, mas os nomes devem aparecer por extenso
Ajuste 2: ajustar mapa conforme o padrão da obra. Código antigo: m0214ed_5m4tsg_m20_ftd_aj.ai
Ajuste 3: inserir na legenda o limite internacional
Ajuste 4: Separar o mapa a legenda e o mapa de localização em A B C
</t>
  </si>
  <si>
    <t>Keithy Mostachi</t>
  </si>
  <si>
    <t>m0104_3p012sul_g27_e002</t>
  </si>
  <si>
    <t xml:space="preserve">Mapa político da Região Nordeste do Brasil com o nome dos estados por extenso, 
Ajuste 1 ajustar conforme o padrão da obra. Código antigo: m0209ed_5m4tsg_m20_ftd_aj.ai
Ajuste 2 Separar o mapa a legenda e o mapa de localização em A B C
</t>
  </si>
  <si>
    <t>m0105_3p012sul_g27_e002</t>
  </si>
  <si>
    <t xml:space="preserve">Planisfério com a divisão dos continentes e seus respectivos países. Deixar os continentes em cores diferentes. No continente americano, deixar o Brasil com destaque (mesma cor em tom mais escuro). Inserir as cores e nomes dos continentes em uma legenda. Inserir nome do Brasil por extenso (os demais países não precisam ser nomeados).
Referência:
Separar o mapa e a legenda em A e B 
</t>
  </si>
  <si>
    <t>km</t>
  </si>
  <si>
    <t>m0106_3p012sul_g27_e002</t>
  </si>
  <si>
    <t xml:space="preserve">Mapa mostrando território brasileiro com divisão dos estados com siglas e com destaque na Região Sul (APENAS A REGIÃO SUL com cor diferenciada). Código antigo: m1014ed_7m3tsg_m23_ftd_aj.ai.
Separar o mapa a legenda e o mapa de localização em A B C
</t>
  </si>
  <si>
    <t>m0107_3p012sul_g27_e002</t>
  </si>
  <si>
    <t xml:space="preserve">Mapa da Região Sul com nome extenso e siglas dos estados próximos e nome em suas respectivas capitais, ajustar conforme o padrão da obra. Código antigo: m0214ed_5m4tsg_m20_ftd_aj.ai.
Separar o mapa a legenda e o mapa de localização em A B C
inserir na legenda o limite internacional
</t>
  </si>
  <si>
    <t>m0108_3p012sul_g27_e002</t>
  </si>
  <si>
    <t xml:space="preserve">Mapa evidenciando estado do Paraná e indicação da capital, deixar Paraná por extenso e siglas nos demais estados. fazer legenda simples com capital, limite estadual e limite internacional
REFERÊNCIA
Separar o mapa a legenda e o mapa de localização em A B C
</t>
  </si>
  <si>
    <t>m0109_3p012sul_g27_e002</t>
  </si>
  <si>
    <t xml:space="preserve">Mapa evidenciando estado do Santa Catarina e capital, deixar Santa Catarina por extenso e siglas nos demais estados. fazer legenda simples com capital, limite estadual e limite internacional
REFERÊNCIA
Separar o mapa a legenda e o mapa de localização em A B C
</t>
  </si>
  <si>
    <t>m0110_3p012sul_g27_e002</t>
  </si>
  <si>
    <t xml:space="preserve">Mapa evidenciando estado do Rio Grande do Sul e capital, deixar Rio Grande do Sul por extenso e siglas nos demais estados. fazer legenda simples com capital, limite estadual e limite internacional
REFERÊNCIA
Separar o mapa a legenda e o mapa de localização em A B C
</t>
  </si>
  <si>
    <t>m0111_3p012sul_g27_e002</t>
  </si>
  <si>
    <t>RESGATE</t>
  </si>
  <si>
    <t>Mapa evidenciando estados da Região Sul e países vizinhos. Resgatar mapa da página 13 dessa unidade (m0103_3p012sul_g27_e002).</t>
  </si>
  <si>
    <t>i6101_3p012sul_g27_e002</t>
  </si>
  <si>
    <t>EDICAO_ARTE</t>
  </si>
  <si>
    <t>CAPA</t>
  </si>
  <si>
    <t>ilustração da capa</t>
  </si>
  <si>
    <t>je</t>
  </si>
  <si>
    <t>F:8/8</t>
  </si>
  <si>
    <t>m0703_3p012sul_g27_e002</t>
  </si>
  <si>
    <t xml:space="preserve">Mapa Brasil: Terras Indígenas (2022).
Fazer conforme a seguinte referência:
https://atlassocioeconomico.rs.gov.br/areas-indigenas
separar o mapa a legenda e o mapa de localização em A B C
</t>
  </si>
  <si>
    <t>m0705_3p012sul_g27_e002</t>
  </si>
  <si>
    <t>Mapa dos quilombos urbanos de Porto Alegre, RS.
Ver no pdf enviado como referencia m0705_3p012sul_g27_e002_ref
Nomes dos bairros, para aplicar no mapa:
Sarandi  Boa Vista  Três Figueiras  Cidade Baixa  Azenha
Menino Deus  Santa Tereza  Teresópolis  Glória  Cascata
Lomba do Pinheiro
Legenda
(título legenda) Quilombos 
e todos os quilombos listados
ver localização dos quilombos no word</t>
  </si>
  <si>
    <t xml:space="preserve">i0722_3p012sul_g27_e002 </t>
  </si>
  <si>
    <t xml:space="preserve">Ilustrar placa de rua.
Rua
Professora Zilah Totta
CEP 91240-500
</t>
  </si>
  <si>
    <t xml:space="preserve">i0723_3p012sul_g27_e002 </t>
  </si>
  <si>
    <t xml:space="preserve">Ilustrar placa de rua.
Rua
Professora Antonieta de Barros
CEP 88070-700
</t>
  </si>
  <si>
    <t>i0724_3p012sul_g27_e002</t>
  </si>
  <si>
    <t xml:space="preserve">Ilustrar placa de rua.
Rua
Professora Olga Balster
CEP 82900-070
</t>
  </si>
  <si>
    <t>i0728_3p012sul_g27_e002</t>
  </si>
  <si>
    <t xml:space="preserve">Ilustrar história em quadrinhos contendo dois personagens: uma menina negra (Mari) e um menino ruivo (Joca), ambos com cerca de 10 anos de idade. Eles aparecerão conversando.
Fazer cinco quadrinhos.
</t>
  </si>
  <si>
    <t>lz</t>
  </si>
  <si>
    <t>R:21/07 F:29/07</t>
  </si>
  <si>
    <t>i0729_3p012sul_g27_e002</t>
  </si>
  <si>
    <t xml:space="preserve">Ilustrar os mesmos personagens da HQ da página anterior: a personagem Mari segurando a Constituição de 1988 e o personagem Joca segurando o Estatuto da Criança e do Adolescente.
Ref. para a capa da Constituição de 1988:
https://upload.wikimedia.org/wikipedia/commons/8/80/CF88_Livro_EC91_2016.png
Ref. para a capa do Estatuto da Criança e do Adolescente:
https://livraria.senado.leg.br/eca-em-miudos
</t>
  </si>
  <si>
    <t>m0334_3p012sul_g27_e002</t>
  </si>
  <si>
    <t xml:space="preserve">Mapa da Região Sul com os climas que atuam (subtropical e tropical típico). 
Resgatar de: m1452ed_7m4tsg_m23_ftd_aj.ai
Ajuste: mudar as cores para ficar diferente do mapa resgatado pois é do trilhas não podemos usar, deixar no padrão da obra
separar o mapa a legenda e o mapa de localização em A B C
</t>
  </si>
  <si>
    <t>m0337_3p012sul_g27_e002</t>
  </si>
  <si>
    <t xml:space="preserve">Recorte de mapa das unidades do relevo brasileiro, de acordo com a classificação de Jurandyr Ross, mostrando a Região Sul e a distribuição de planaltos, planícies e depressões com cores diferentes e legenda. Resgatar mapa: m0301Aed_5p012g_g27_e002. 
Recortar Região Sul, compor legenda e mapa de localização
separar o mapa a legenda e o mapa de localização em A B C
</t>
  </si>
  <si>
    <t>m0330_3p012sul_g27_e002</t>
  </si>
  <si>
    <t xml:space="preserve">Mapa evidenciando hidrografia da Região Sul e principais rios identificados. 
Ajuste: usar o recorte indicado abaixo e colocar no padrão da FTD. Inserir o nome do Rio Paraná em dois locais ao longo do rio, inserir nome do rio Uruguai em dois locais ao longo do rio (um no território do Brasil e outro no território da Argentina), inserir hidrografia completa, limites e nomes dos países vizinhos. Página do Atlas do IBGE na pasta.
Resgatar de: m0204ed_5m3tsg_m20_ftd_aj.ai
separar o mapa a legenda e o mapa de localização em A B C
</t>
  </si>
  <si>
    <t>m0332_3p012sul_g27_e002</t>
  </si>
  <si>
    <t xml:space="preserve">Novo mapa evidenciando recorte de mapa dos tipos de vegetação do Brasil representando apenas a Região Sul. Classificação que identifique Floresta Tropical, Mata de Araucárias e Campos. 
Ajuste: mudar as cores não podemos usar as mesmas cores pois é do trilhas, atualizar para o nosso padrão e separar o mapa a legenda e o mapa de localização em A B C
Resgatar: m1453ed_7m4tsg_m23_ftd_aj.ai
</t>
  </si>
  <si>
    <t>m0333_3p012sul_g27_e002</t>
  </si>
  <si>
    <t xml:space="preserve">Mapa evidenciando recorte de mapa dos tipos de vegetação do Brasil e também área alterada/antropizada, representando apenas a Região Sul. Classificação que identifique Floresta Tropical, Mata de Araucárias e Campos.
Ajuste: recortar apenas a região Sul, aplicar padrão FTD, deixar das mesmas cores do mapa m0332_3p012sul_g27_e002
Resgatar de: m0765Aed_ 4p011g_g27_e001
separar o mapa a legenda e o mapa de localização em A B C
</t>
  </si>
  <si>
    <t>ifa0112_3p012sul_g27_e002</t>
  </si>
  <si>
    <t>ABERTURA</t>
  </si>
  <si>
    <t xml:space="preserve">Ilustração na linguagem realista definida para esta obra, de uma mesa com mapa histórico em destaque, aplicar mapa histórico abaixo. A mão de uma criança aparece apontando para a Região Sul do Brasil ou as duas mãos abrindo o mapa sobre a mesa.
Link: 39149.jpg (1024×751)
https://storage.googleapis.com/raremaps/img/large/39149.jpg
</t>
  </si>
  <si>
    <t>R:30/07 F:01/08</t>
  </si>
  <si>
    <t>m0113_3p012sul_g27_e002</t>
  </si>
  <si>
    <t xml:space="preserve">Mapa evidenciando município de Londrina, mostrando área do município e em destaque a área com divisão das regiões (Norte, Sul, Leste, Oeste e Centro).
Não aplicar hidrografia e rodovia. Não inserir divisão interna das regiões e bairros. Colorir cada região com cores diferentes. Mapa lateral de localização do mun. de Londrina e mapa do Paraná. Inserir na legenda (retângulo) Regiões, (retângulo) Município de Londrina, (retângulo) Demais municípios, (linha) Limite de municípios. Inserir o Trópico de Capricórnio conforme a referência da direita. Referência para a Arte puxar na pasta.
</t>
  </si>
  <si>
    <t>m0114_3p012sul_g27_e002</t>
  </si>
  <si>
    <t xml:space="preserve">Mapa da Região Sul mostrando a área das seguintes regiões turísticas:
Serra Gaúcha (RS)(vermelho); Vale Europeu (SC)(amarelo); Norte Pioneiro (PR)(verde), deixar fundo com cor neutra para destacar as regiões, colocar siglas nos estados, produzir mapinha de localização. Legenda: regiões, limite estadual e limite internacional. PDF do mapa para a Arte puxar na pasta.
</t>
  </si>
  <si>
    <t>m0120_3p012sul_g27_e002</t>
  </si>
  <si>
    <t xml:space="preserve">Mapa Distribuição das terras no sul da América do Sul, de acordo com o Tratado de Tordesilhas (1494)
Ref.: Ver na p. 55 da tese de doutorado. Fazer com os mesmos elementos da referência (nome dos estados da região Sul, nome dos países vizinhos, cor para Espanha, cor para Portugal, linha do Tratado de Tordesilhas). Indicar oceano, mapinha de localização, rosa dos ventos, escala. Indicar que são limites territoriais atuais (usar traço pontilhado para limites atuais e contínuo para limites já existentes na época do mapa). O estado do Paraná deve aparecer por inteiro, assim como áreas de países vizinhos.
Legenda:
(linha) Linha do Tratado de Tordesilhas
(retângulo) Territórios sob domínio da Espanha
(retângulo) Territórios sob domínio de Portugal
</t>
  </si>
  <si>
    <t>m0121_3p012sul_g27_e002</t>
  </si>
  <si>
    <t xml:space="preserve">Mapa Tratados de limites (séculos 18 e 19)
Fazer mapa com foco no atual território da Região Sul, mostrando os limites atuais e também os limites estabelecidos pelos tratados, além da mancha da área disputada por Portugal e Espanha. OBS: Não incluir “Áreas de litígio com países vizinhos”.
Legenda:
Limites atuais
Tratado de Utrecht (1715)
Tratado de Madri (1750)
Tratado de Santo Ildefonso (1777)
Tratado de Badajoz (1801)
Área disputada por Portugal e Espanha
</t>
  </si>
  <si>
    <t>m0123_3p012sul_g27_e002</t>
  </si>
  <si>
    <t xml:space="preserve">Mapa Guerra do Contestado (1912-1916)
Fazer mapa conforme a referência.
Legenda:
Região disputada entre Paraná e Santa Catarina
Região da Guerra do Contestado
Estrada de Ferro São Paulo – Rio Grande
</t>
  </si>
  <si>
    <t>i0129_3p012sul_g27_e002</t>
  </si>
  <si>
    <t>Ilustração focada de mão (de uma pessoa) segurando um prato de chipa e uma outra mão (de outra pessoa)  segurando uma cuia de chimarrão, como se um estivesse oferecendo para o outro.</t>
  </si>
  <si>
    <t>zk</t>
  </si>
  <si>
    <t>i0130_3p012sul_g27_e002</t>
  </si>
  <si>
    <t>Ilustração de três balões de fala, da esquerda para a direita: primeiro balão: CHORIZO AL PAN; segundo balão: PÃO COM LINGUIÇA; terceiro balão : CHORIPAN</t>
  </si>
  <si>
    <t>i0131_3p012sul_g27_e002</t>
  </si>
  <si>
    <t>Ilustração acordeão e violão, instrumentos musicais típicos das músicas e danças sulistas</t>
  </si>
  <si>
    <t>g0951_3p012sul_g27_e002</t>
  </si>
  <si>
    <t>LINHA TEMPO</t>
  </si>
  <si>
    <t xml:space="preserve">Compor linha do tempo sobre a história de Porto Alegre. Seguem os marcos temporais da linha:
1752 – Estabelecimento da colônia de açorianos.
1772 – Criação da Freguesia de São Francisco do Porto dos Casais.
1773 – Torna-se capital da Província, com o nome Madre de Deus de Porto Alegre.
1821 – É elevada por Dom Pedro II à categoria de cidade.
</t>
  </si>
  <si>
    <t>m0973_3p012sul_g27_e002</t>
  </si>
  <si>
    <t>Mapa do estado do Paraná, mostrando mapinha de localização da R Sul, e destacando as cidades com os respectivos números: 1 - Corbélia, 2 - Cascavel e 3 - Curitiba 
Pontos: https://www.google.com/maps/d/edit?mid=1k-wBONEfeUSRxjnqbpLTZ35ZrLUODtg&amp;usp=sharing</t>
  </si>
  <si>
    <t>m0969_3p012sul_g27_e002</t>
  </si>
  <si>
    <t xml:space="preserve">Mapa com localização de áreas agrícolas, recorte da Região Sul.
Resgatar mapa da p.180 do Jovem Sapiens 7 ano, inserir pecuária leiteira e pecuária melhorada conforme a referência (mapa junto na pasta) código antigo m1031ed_7sag_g24_e003_aj
Aplicar no padrão da FTD.
</t>
  </si>
  <si>
    <t>i0970_3p012sul_g27_e002</t>
  </si>
  <si>
    <t>Cena das duas mulheres conversando dentro da cozinha e uma porta larga em um dos lados da imagem mostra dois alunos (menina morena e menino loiro, com uniforme e mochila nas costas, passando pelo lado de fora da porta, no pátio, com os olhinhos voltados para dentro da cozinha, como que observando curiosos a conversa das mulheres). Dentro da cozinha, em uma mesa, alface, tomate, cenoura, banana, maçã e abacaxi bem bonitos e coloridos.
ARTE, LEMBRAR QUE OS BALÕES SÃO FEITOS NA DIAG
Diretora da escola (mulher negra)
Cozinheira (mulher clara, cabelos lisos e presos, usando touca higiênica)
Mesma cena, pode alterar apenas posição corporal das mulheres, ou usar um recorte mais focado nas duas
Cena focada nos dois estudantes da cena anterior, um olhando de frente para o outro com ar de alegria, com um mesmo balão de fala para os dois, que estão dizendo juntos (em uníssono), como que festejando (letras devem ser CXAA)</t>
  </si>
  <si>
    <t>iv</t>
  </si>
  <si>
    <t>m1128_3p012sul_g27_e002</t>
  </si>
  <si>
    <t xml:space="preserve">Mapa com recorte da R Sul mostrando problemas ambientais nos estados do PR/SC e RS, ocasionados por diferentes atividades. 
Utilizar como base o mapa do atlas FTD 2016 p 80. Inserir sigla dos estados, não precisa localizar cidades, não precisa nomear países vizinhos, não traçar hidrografia cor não significativa para os demais estados. ATENÇÃO, ajustar legenda para Processos de arenização (não usar desertificação). 
Página do atlas junto na pasta.
</t>
  </si>
  <si>
    <t>m1129_3p012sul_g27_e002</t>
  </si>
  <si>
    <t xml:space="preserve">Mapa evidenciando recorte da Região Sul em mapa dos tipos de vegetação. Mapa simplificado.
Resgatar: m0332Aed_3p012sul_g27_e002 (depois do ajuste)
</t>
  </si>
  <si>
    <t>m1130_3p012sul_g27_e002</t>
  </si>
  <si>
    <t>Mapa evidenciando recorte da Região Sul em mapa das áreas de proteção ambiental (Unidades de Conservação) no Brasil. Mapa simplificado. Siglas nos estados. Cores não significativas nos demais estado. (Página do atlas na pasta)</t>
  </si>
  <si>
    <t>m1131_3p012sul_g27_e002</t>
  </si>
  <si>
    <t>m1131a_3p012sul_g27_e002
Produzir legenda para a imagem de satélite (f1125_3p012sul_g27_e002)
Legenda: retângulo amarelo (mesma tonalidade e espessura da imagem), descrição: Área do Parque Estadual Delta do Jacuí
m1131b_3p012sul_g27_e002
Resgatar mapinha de localização do RS (m0705Cvc_3p012sul_g27_e002)</t>
  </si>
  <si>
    <t>VC</t>
  </si>
  <si>
    <t>m0132_3p012sul_g27_e002</t>
  </si>
  <si>
    <t>Mapa da região sul e parte dos demais países. Precisa destacar mais os países vizinhos, com cores significativas, pode ser amarelo claro. Abrir um pouco mais para aparecer uma área maior dos países vizinhos (não precisa ser o país inteiro)</t>
  </si>
  <si>
    <t>i0977_3p012sul_g27_e002</t>
  </si>
  <si>
    <t>AVALIANDO</t>
  </si>
  <si>
    <t>Produzir ilustração realista colorida de Maria Nicolas (evidenciar que é uma mulher negra)</t>
  </si>
  <si>
    <t>R: 19/09  F: 22/09</t>
  </si>
  <si>
    <t>m0978_3p012sul_g27_e002</t>
  </si>
  <si>
    <t>Produzir legenda com linha amarela contínua (conforme a imagem de satélite) escrito Limite de municípios</t>
  </si>
  <si>
    <t>gx</t>
  </si>
  <si>
    <t>arte</t>
  </si>
  <si>
    <t>m0979_3p012sul_g27_e002</t>
  </si>
  <si>
    <t>Resgatar legenda m0978_3p012sul_g27_e002</t>
  </si>
  <si>
    <t xml:space="preserve">CRÉDITOS GERAIS DA FTD PARA REFERÊNCIA - EF1
 </t>
  </si>
  <si>
    <t>Nome do ilustrador</t>
  </si>
  <si>
    <t>Sigla Arte</t>
  </si>
  <si>
    <t>Crédito</t>
  </si>
  <si>
    <t>Acervo da editora</t>
  </si>
  <si>
    <t>xx</t>
  </si>
  <si>
    <t>ARQUIVO DA EDITORA</t>
  </si>
  <si>
    <t>Sigla ZZ (ver documento de ils. técnicas)</t>
  </si>
  <si>
    <t>zz</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</si>
  <si>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</si>
  <si>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</si>
  <si>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</si>
  <si>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</si>
  <si>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</si>
  <si>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</si>
  <si>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</si>
  <si>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</si>
  <si>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</si>
  <si>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</si>
  <si>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</si>
  <si>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</si>
  <si>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</si>
  <si>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</si>
  <si>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</si>
  <si>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</si>
  <si>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ARTE</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</si>
  <si>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</si>
  <si>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</si>
  <si>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</si>
  <si>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</si>
  <si>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</si>
  <si>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</si>
  <si>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</si>
  <si>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</si>
  <si>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</si>
  <si>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</si>
  <si>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</si>
  <si>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</si>
  <si>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</si>
  <si>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</si>
  <si>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</si>
  <si>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</si>
  <si>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</si>
  <si>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</si>
  <si>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</si>
  <si>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</si>
  <si>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</si>
  <si>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</si>
  <si>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</si>
  <si>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</si>
  <si>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</si>
  <si>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</si>
  <si>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</si>
  <si>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</si>
  <si>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</si>
  <si>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</si>
  <si>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</si>
  <si>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</si>
  <si>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</si>
  <si>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</si>
  <si>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</si>
  <si>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</si>
  <si>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</si>
  <si>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</si>
  <si>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</si>
  <si>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</si>
  <si>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</si>
  <si>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</si>
  <si>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</si>
  <si>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</si>
  <si>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</si>
  <si>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</si>
  <si>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</si>
  <si>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</si>
  <si>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</si>
  <si>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</si>
  <si>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</si>
  <si>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</si>
  <si>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</si>
  <si>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</si>
  <si>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</si>
  <si>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</si>
  <si>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</si>
  <si>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</si>
  <si>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</si>
  <si>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</si>
  <si>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</si>
  <si>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</si>
  <si>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</si>
  <si>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</si>
  <si>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</si>
  <si>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</si>
  <si>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</si>
  <si>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</si>
  <si>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</si>
  <si>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</si>
  <si>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</si>
  <si>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</si>
  <si>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</si>
  <si>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</si>
  <si>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</si>
  <si>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</si>
  <si>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</si>
  <si>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</si>
  <si>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</si>
  <si>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</si>
  <si>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</si>
  <si>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</si>
  <si>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</si>
  <si>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</si>
  <si>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</si>
  <si>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</si>
  <si>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</si>
  <si>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</si>
  <si>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</si>
  <si>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</si>
  <si>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</si>
  <si>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</si>
  <si>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</si>
  <si>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</si>
  <si>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</si>
  <si>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</si>
  <si>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</si>
  <si>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</si>
  <si>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</si>
  <si>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</si>
  <si>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</si>
  <si>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</si>
  <si>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</si>
  <si>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</si>
  <si>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Bruna Campos</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</si>
  <si>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</si>
  <si>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</si>
  <si>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</si>
  <si>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</si>
  <si>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</si>
  <si>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</si>
  <si>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</si>
  <si>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</si>
  <si>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</si>
  <si>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</si>
  <si>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</si>
  <si>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</si>
  <si>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</si>
  <si>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</si>
  <si>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</si>
  <si>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</si>
  <si>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</si>
  <si>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</si>
  <si>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</si>
  <si>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</si>
  <si>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</si>
  <si>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</si>
  <si>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</si>
  <si>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ct</t>
  </si>
  <si>
    <t>CAIO TANAKA/ARQUIVO DA EDITORA</t>
  </si>
  <si>
    <t>Cajila Barbosa</t>
  </si>
  <si>
    <t>kj</t>
  </si>
  <si>
    <t>CAJILA BARBOSA/ARQUIVO DA EDITORA</t>
  </si>
  <si>
    <t>Camila Ferreira Carmona</t>
  </si>
  <si>
    <t>ca</t>
  </si>
  <si>
    <t>CAMILA CARMONA/ARQUIVO DA EDITORA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</si>
  <si>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</si>
  <si>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</si>
  <si>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</si>
  <si>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</si>
  <si>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</si>
  <si>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</si>
  <si>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</si>
  <si>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</si>
  <si>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</si>
  <si>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</si>
  <si>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</si>
  <si>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</si>
  <si>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</si>
  <si>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</si>
  <si>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</si>
  <si>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</si>
  <si>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</si>
  <si>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</si>
  <si>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</si>
  <si>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</si>
  <si>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</si>
  <si>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</si>
  <si>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cd</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</si>
  <si>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</si>
  <si>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</si>
  <si>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</si>
  <si>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</si>
  <si>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</si>
  <si>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</si>
  <si>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</si>
  <si>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</si>
  <si>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</si>
  <si>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</si>
  <si>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</si>
  <si>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</si>
  <si>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</si>
  <si>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</si>
  <si>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</si>
  <si>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</si>
  <si>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</si>
  <si>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</si>
  <si>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</si>
  <si>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</si>
  <si>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</si>
  <si>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</si>
  <si>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</si>
  <si>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</si>
  <si>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</si>
  <si>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</si>
  <si>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</si>
  <si>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</si>
  <si>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</si>
  <si>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</si>
  <si>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</si>
  <si>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</si>
  <si>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</si>
  <si>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</si>
  <si>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</si>
  <si>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</si>
  <si>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</si>
  <si>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</si>
  <si>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</si>
  <si>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</si>
  <si>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</si>
  <si>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</si>
  <si>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</si>
  <si>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</si>
  <si>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</si>
  <si>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</si>
  <si>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</si>
  <si>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</si>
  <si>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</si>
  <si>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</si>
  <si>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</si>
  <si>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</si>
  <si>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</si>
  <si>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</si>
  <si>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</si>
  <si>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</si>
  <si>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</si>
  <si>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</si>
  <si>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</si>
  <si>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</si>
  <si>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</si>
  <si>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</si>
  <si>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</si>
  <si>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</si>
  <si>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</si>
  <si>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</si>
  <si>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</si>
  <si>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</si>
  <si>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</si>
  <si>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</si>
  <si>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</si>
  <si>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</si>
  <si>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</si>
  <si>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</si>
  <si>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</si>
  <si>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</si>
  <si>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</si>
  <si>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</si>
  <si>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</si>
  <si>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</si>
  <si>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</si>
  <si>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</si>
  <si>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</si>
  <si>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</si>
  <si>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</si>
  <si>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</si>
  <si>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</si>
  <si>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</si>
  <si>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</si>
  <si>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</si>
  <si>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</si>
  <si>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</si>
  <si>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</si>
  <si>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</si>
  <si>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</si>
  <si>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</si>
  <si>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</si>
  <si>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</si>
  <si>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</si>
  <si>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</si>
  <si>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</si>
  <si>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</si>
  <si>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</si>
  <si>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</si>
  <si>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</si>
  <si>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</si>
  <si>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</si>
  <si>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</si>
  <si>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</si>
  <si>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</si>
  <si>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</si>
  <si>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</si>
  <si>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</si>
  <si>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</si>
  <si>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</si>
  <si>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</si>
  <si>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</si>
  <si>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</si>
  <si>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</si>
  <si>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</si>
  <si>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</si>
  <si>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</si>
  <si>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</si>
  <si>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</si>
  <si>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</si>
  <si>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</si>
  <si>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</si>
  <si>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</si>
  <si>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</si>
  <si>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</si>
  <si>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</si>
  <si>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</si>
  <si>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</si>
  <si>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</si>
  <si>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</si>
  <si>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</si>
  <si>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</si>
  <si>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</si>
  <si>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</si>
  <si>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</si>
  <si>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</si>
  <si>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</si>
  <si>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</si>
  <si>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</si>
  <si>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</si>
  <si>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</si>
  <si>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</si>
  <si>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</si>
  <si>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</si>
  <si>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</si>
  <si>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</si>
  <si>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</si>
  <si>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</si>
  <si>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</si>
  <si>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</si>
  <si>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</si>
  <si>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</si>
  <si>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</si>
  <si>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</si>
  <si>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</si>
  <si>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</si>
  <si>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</si>
  <si>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</si>
  <si>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</si>
  <si>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</si>
  <si>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</si>
  <si>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</si>
  <si>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</si>
  <si>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Felipe Grigoli</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</si>
  <si>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</si>
  <si>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</si>
  <si>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</si>
  <si>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</si>
  <si>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</si>
  <si>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</si>
  <si>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</si>
  <si>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</si>
  <si>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</si>
  <si>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</si>
  <si>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</si>
  <si>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</si>
  <si>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</si>
  <si>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</si>
  <si>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</si>
  <si>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</si>
  <si>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</si>
  <si>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</si>
  <si>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</si>
  <si>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</si>
  <si>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</si>
  <si>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</si>
  <si>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</si>
  <si>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</si>
  <si>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</si>
  <si>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</si>
  <si>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</si>
  <si>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</si>
  <si>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</si>
  <si>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</si>
  <si>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</si>
  <si>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</si>
  <si>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</si>
  <si>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</si>
  <si>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</si>
  <si>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</si>
  <si>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</si>
  <si>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</si>
  <si>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</si>
  <si>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</si>
  <si>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</si>
  <si>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</si>
  <si>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</si>
  <si>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</si>
  <si>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</si>
  <si>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</si>
  <si>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</si>
  <si>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</si>
  <si>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</si>
  <si>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</si>
  <si>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</si>
  <si>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</si>
  <si>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</si>
  <si>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</si>
  <si>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</si>
  <si>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</si>
  <si>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</si>
  <si>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</si>
  <si>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</si>
  <si>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</si>
  <si>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</si>
  <si>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</si>
  <si>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</si>
  <si>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</si>
  <si>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</si>
  <si>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</si>
  <si>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</si>
  <si>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</si>
  <si>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</si>
  <si>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</si>
  <si>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</si>
  <si>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</si>
  <si>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</si>
  <si>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</si>
  <si>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</si>
  <si>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</si>
  <si>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</si>
  <si>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</si>
  <si>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</si>
  <si>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</si>
  <si>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</si>
  <si>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</si>
  <si>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</si>
  <si>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</si>
  <si>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</si>
  <si>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</si>
  <si>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</si>
  <si>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</si>
  <si>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</si>
  <si>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</si>
  <si>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</si>
  <si>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</si>
  <si>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</si>
  <si>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</si>
  <si>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</si>
  <si>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</si>
  <si>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</si>
  <si>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</si>
  <si>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</si>
  <si>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</si>
  <si>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</si>
  <si>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Ingridhi Borges</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</si>
  <si>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</si>
  <si>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</si>
  <si>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</si>
  <si>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</si>
  <si>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</si>
  <si>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</si>
  <si>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</si>
  <si>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</si>
  <si>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</si>
  <si>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</si>
  <si>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</si>
  <si>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</si>
  <si>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</si>
  <si>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</si>
  <si>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</si>
  <si>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</si>
  <si>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</si>
  <si>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</si>
  <si>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</si>
  <si>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</si>
  <si>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</si>
  <si>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</si>
  <si>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</si>
  <si>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</si>
  <si>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</si>
  <si>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</si>
  <si>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</si>
  <si>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</si>
  <si>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</si>
  <si>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</si>
  <si>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</si>
  <si>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</si>
  <si>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</si>
  <si>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</si>
  <si>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</si>
  <si>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</si>
  <si>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</si>
  <si>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</si>
  <si>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</si>
  <si>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</si>
  <si>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</si>
  <si>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</si>
  <si>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</si>
  <si>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</si>
  <si>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</si>
  <si>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</si>
  <si>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</si>
  <si>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</si>
  <si>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</si>
  <si>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</si>
  <si>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</si>
  <si>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</si>
  <si>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</si>
  <si>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</si>
  <si>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</si>
  <si>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</si>
  <si>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</si>
  <si>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</si>
  <si>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</si>
  <si>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</si>
  <si>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</si>
  <si>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</si>
  <si>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</si>
  <si>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</si>
  <si>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</si>
  <si>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</si>
  <si>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</si>
  <si>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</si>
  <si>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</si>
  <si>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</si>
  <si>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</si>
  <si>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</si>
  <si>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</si>
  <si>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</si>
  <si>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</si>
  <si>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</si>
  <si>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</si>
  <si>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</si>
  <si>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</si>
  <si>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</si>
  <si>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</si>
  <si>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</si>
  <si>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</si>
  <si>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</si>
  <si>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</si>
  <si>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</si>
  <si>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</si>
  <si>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</si>
  <si>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</si>
  <si>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</si>
  <si>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</si>
  <si>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</si>
  <si>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</si>
  <si>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</si>
  <si>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</si>
  <si>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</si>
  <si>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</si>
  <si>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</si>
  <si>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</si>
  <si>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</si>
  <si>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</si>
  <si>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</si>
  <si>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</si>
  <si>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</si>
  <si>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</si>
  <si>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</si>
  <si>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</si>
  <si>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</si>
  <si>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</si>
  <si>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</si>
  <si>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</si>
  <si>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</si>
  <si>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</si>
  <si>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</si>
  <si>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</si>
  <si>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</si>
  <si>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</si>
  <si>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</si>
  <si>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</si>
  <si>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</si>
  <si>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</si>
  <si>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</si>
  <si>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</si>
  <si>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</si>
  <si>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</si>
  <si>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</si>
  <si>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</si>
  <si>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</si>
  <si>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</si>
  <si>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</si>
  <si>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</si>
  <si>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</si>
  <si>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</si>
  <si>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</si>
  <si>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</si>
  <si>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</si>
  <si>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</si>
  <si>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</si>
  <si>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</si>
  <si>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</si>
  <si>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</si>
  <si>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</si>
  <si>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</si>
  <si>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</si>
  <si>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</si>
  <si>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</si>
  <si>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</si>
  <si>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</si>
  <si>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</si>
  <si>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</si>
  <si>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</si>
  <si>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</si>
  <si>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</si>
  <si>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</si>
  <si>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</si>
  <si>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</si>
  <si>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</si>
  <si>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</si>
  <si>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</si>
  <si>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</si>
  <si>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</si>
  <si>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</si>
  <si>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</si>
  <si>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</si>
  <si>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</si>
  <si>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</si>
  <si>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</si>
  <si>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</si>
  <si>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</si>
  <si>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</si>
  <si>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</si>
  <si>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</si>
  <si>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</si>
  <si>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</si>
  <si>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</si>
  <si>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</si>
  <si>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</si>
  <si>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</si>
  <si>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</si>
  <si>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</si>
  <si>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</si>
  <si>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</si>
  <si>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</si>
  <si>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</si>
  <si>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</si>
  <si>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</si>
  <si>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</si>
  <si>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</si>
  <si>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</si>
  <si>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</si>
  <si>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</si>
  <si>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</si>
  <si>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</si>
  <si>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</si>
  <si>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</si>
  <si>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</si>
  <si>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</si>
  <si>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</si>
  <si>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</si>
  <si>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</si>
  <si>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</si>
  <si>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</si>
  <si>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</si>
  <si>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</si>
  <si>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</si>
  <si>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</si>
  <si>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</si>
  <si>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</si>
  <si>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</si>
  <si>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</si>
  <si>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</si>
  <si>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</si>
  <si>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</si>
  <si>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</si>
  <si>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</si>
  <si>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</si>
  <si>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</si>
  <si>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</si>
  <si>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</si>
  <si>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</si>
  <si>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</si>
  <si>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</si>
  <si>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</si>
  <si>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</si>
  <si>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</si>
  <si>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</si>
  <si>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</si>
  <si>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</si>
  <si>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</si>
  <si>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</si>
  <si>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</si>
  <si>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</si>
  <si>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</si>
  <si>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</si>
  <si>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</si>
  <si>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</si>
  <si>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</si>
  <si>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</si>
  <si>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</si>
  <si>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</si>
  <si>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</si>
  <si>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</si>
  <si>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</si>
  <si>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</si>
  <si>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</si>
  <si>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</si>
  <si>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</si>
  <si>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</si>
  <si>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</si>
  <si>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</si>
  <si>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</si>
  <si>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nc</t>
  </si>
  <si>
    <t>NELSON COSENTINO/ARQUIVO DA EDITORA</t>
  </si>
  <si>
    <t>Nicolas Furtado</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</si>
  <si>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</si>
  <si>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</si>
  <si>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</si>
  <si>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</si>
  <si>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</si>
  <si>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</si>
  <si>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</si>
  <si>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</si>
  <si>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</si>
  <si>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</si>
  <si>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</si>
  <si>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</si>
  <si>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</si>
  <si>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</si>
  <si>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</si>
  <si>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</si>
  <si>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</si>
  <si>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</si>
  <si>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</si>
  <si>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</si>
  <si>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</si>
  <si>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</si>
  <si>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</si>
  <si>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</si>
  <si>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</si>
  <si>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</si>
  <si>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</si>
  <si>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</si>
  <si>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</si>
  <si>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</si>
  <si>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</si>
  <si>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</si>
  <si>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</si>
  <si>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</si>
  <si>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</si>
  <si>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</si>
  <si>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</si>
  <si>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</si>
  <si>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</si>
  <si>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</si>
  <si>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</si>
  <si>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</si>
  <si>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</si>
  <si>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</si>
  <si>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</si>
  <si>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</si>
  <si>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</si>
  <si>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</si>
  <si>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</si>
  <si>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</si>
  <si>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</si>
  <si>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</si>
  <si>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</si>
  <si>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</si>
  <si>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</si>
  <si>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</si>
  <si>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</si>
  <si>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</si>
  <si>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</si>
  <si>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</si>
  <si>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</si>
  <si>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</si>
  <si>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</si>
  <si>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</si>
  <si>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</si>
  <si>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</si>
  <si>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RAFAEL LUZIO/ARQUIVO DA EDITORA</t>
  </si>
  <si>
    <t>Rafael Martins - Somma</t>
  </si>
  <si>
    <t>rm</t>
  </si>
  <si>
    <t>Rafaela Harger</t>
  </si>
  <si>
    <t xml:space="preserve">rx </t>
  </si>
  <si>
    <t>RAFAELA HARGER/ARQUIVO DA EDITORA</t>
  </si>
  <si>
    <t>Rafaela Hidalgo Pereira</t>
  </si>
  <si>
    <t>rp</t>
  </si>
  <si>
    <t>RAFAELA H. PEREIRA/ARQUIVO DA EDITORA</t>
  </si>
  <si>
    <t xml:space="preserve">Rafaela Panissa </t>
  </si>
  <si>
    <t>pn</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</si>
  <si>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</si>
  <si>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</si>
  <si>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</si>
  <si>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</si>
  <si>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</si>
  <si>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</si>
  <si>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</si>
  <si>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</si>
  <si>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</si>
  <si>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</si>
  <si>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</si>
  <si>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</si>
  <si>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</si>
  <si>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</si>
  <si>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</si>
  <si>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</si>
  <si>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</si>
  <si>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</si>
  <si>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</si>
  <si>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</si>
  <si>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</si>
  <si>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</si>
  <si>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</si>
  <si>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</si>
  <si>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</si>
  <si>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</si>
  <si>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</si>
  <si>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</si>
  <si>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</si>
  <si>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</si>
  <si>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</si>
  <si>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</si>
  <si>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</si>
  <si>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</si>
  <si>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</si>
  <si>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</si>
  <si>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</si>
  <si>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</si>
  <si>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</si>
  <si>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</si>
  <si>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</si>
  <si>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</si>
  <si>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</si>
  <si>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</si>
  <si>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</si>
  <si>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</si>
  <si>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</si>
  <si>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</si>
  <si>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</si>
  <si>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</si>
  <si>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</si>
  <si>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</si>
  <si>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</si>
  <si>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</si>
  <si>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</si>
  <si>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</si>
  <si>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</si>
  <si>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</si>
  <si>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</si>
  <si>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</si>
  <si>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</si>
  <si>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</si>
  <si>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</si>
  <si>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</si>
  <si>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</si>
  <si>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</si>
  <si>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</si>
  <si>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</si>
  <si>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</si>
  <si>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</si>
  <si>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</si>
  <si>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</si>
  <si>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</si>
  <si>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</si>
  <si>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</si>
  <si>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</si>
  <si>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</si>
  <si>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</si>
  <si>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</si>
  <si>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</si>
  <si>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</si>
  <si>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</si>
  <si>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</si>
  <si>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</si>
  <si>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</si>
  <si>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sl</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</si>
  <si>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</si>
  <si>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</si>
  <si>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</si>
  <si>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</si>
  <si>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</si>
  <si>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</si>
  <si>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</si>
  <si>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</si>
  <si>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</si>
  <si>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</si>
  <si>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</si>
  <si>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</si>
  <si>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</si>
  <si>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</si>
  <si>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</si>
  <si>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</si>
  <si>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</si>
  <si>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</si>
  <si>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</si>
  <si>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</si>
  <si>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</si>
  <si>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</si>
  <si>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</si>
  <si>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</si>
  <si>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</si>
  <si>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</si>
  <si>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</si>
  <si>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</si>
  <si>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</si>
  <si>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</si>
  <si>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</si>
  <si>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</si>
  <si>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</si>
  <si>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</si>
  <si>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</si>
  <si>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</si>
  <si>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</si>
  <si>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</si>
  <si>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</si>
  <si>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</si>
  <si>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</si>
  <si>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</si>
  <si>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</si>
  <si>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</si>
  <si>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</si>
  <si>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</si>
  <si>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</si>
  <si>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</si>
  <si>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</si>
  <si>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t>
  </si>
  <si>
    <t>ti</t>
  </si>
  <si>
    <t>TATIANE GALHEIRO/ARQUIVO DA EDITORA</t>
  </si>
  <si>
    <t>Thais Castro</t>
  </si>
  <si>
    <t>tc</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</si>
  <si>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</si>
  <si>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</si>
  <si>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</si>
  <si>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</si>
  <si>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</si>
  <si>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</si>
  <si>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</si>
  <si>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</si>
  <si>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</si>
  <si>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</si>
  <si>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</si>
  <si>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</si>
  <si>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</si>
  <si>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</si>
  <si>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</si>
  <si>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</si>
  <si>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</si>
  <si>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</si>
  <si>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</si>
  <si>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</si>
  <si>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</si>
  <si>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</si>
  <si>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</si>
  <si>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</si>
  <si>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</si>
  <si>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</si>
  <si>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</si>
  <si>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</si>
  <si>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vf</t>
  </si>
  <si>
    <t>VICTOR LEMOS/ARQUIVO DA EDITORA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</si>
  <si>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</si>
  <si>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</si>
  <si>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</si>
  <si>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</si>
  <si>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</si>
  <si>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</si>
  <si>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</si>
  <si>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</si>
  <si>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</si>
  <si>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</si>
  <si>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</si>
  <si>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</si>
  <si>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</si>
  <si>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</si>
  <si>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</si>
  <si>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</si>
  <si>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</si>
  <si>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</si>
  <si>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</si>
  <si>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</si>
  <si>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</si>
  <si>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</si>
  <si>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</si>
  <si>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IL TEC ARTE</t>
  </si>
  <si>
    <t>APRESENT.</t>
  </si>
  <si>
    <t>FTD</t>
  </si>
  <si>
    <t>IL + FOTO</t>
  </si>
  <si>
    <t>SUMÁRIO</t>
  </si>
  <si>
    <t>MDN</t>
  </si>
  <si>
    <t>FINALIZADO RAFE</t>
  </si>
  <si>
    <t>ILUSTRANDO</t>
  </si>
  <si>
    <t>SABER</t>
  </si>
  <si>
    <t>SM</t>
  </si>
  <si>
    <t>PAGO RAFE</t>
  </si>
  <si>
    <t>AJUSTANDO</t>
  </si>
  <si>
    <t>PAG.ESPECIAL</t>
  </si>
  <si>
    <t>SCP</t>
  </si>
  <si>
    <t>FINALIZANDO</t>
  </si>
  <si>
    <t>INFOGRÁFICO</t>
  </si>
  <si>
    <t>MP-G</t>
  </si>
  <si>
    <t>ÚNICO</t>
  </si>
  <si>
    <t>ABR</t>
  </si>
  <si>
    <t>PRONTA</t>
  </si>
  <si>
    <t>MP-E</t>
  </si>
  <si>
    <t>BASE</t>
  </si>
  <si>
    <t>IBEP</t>
  </si>
  <si>
    <t>LEYA</t>
  </si>
  <si>
    <t>SARAIVA</t>
  </si>
  <si>
    <t>SANTILLANA</t>
  </si>
  <si>
    <t>QUINTETO</t>
  </si>
  <si>
    <t>EXCLUÍDA</t>
  </si>
  <si>
    <t>retranca</t>
  </si>
  <si>
    <t>status</t>
  </si>
  <si>
    <t>categoria</t>
  </si>
  <si>
    <t>localizacao</t>
  </si>
  <si>
    <t>pagina</t>
  </si>
  <si>
    <t>volume</t>
  </si>
  <si>
    <t>unidade</t>
  </si>
  <si>
    <t>capitulo_secao</t>
  </si>
  <si>
    <t>tipo</t>
  </si>
  <si>
    <t>descricao</t>
  </si>
  <si>
    <t>ilustrador_resgate</t>
  </si>
  <si>
    <t>observacao_edit_nuc</t>
  </si>
  <si>
    <t>lote</t>
  </si>
  <si>
    <t>data_liberacao_para_arte</t>
  </si>
  <si>
    <t>data_envio_pedido</t>
  </si>
  <si>
    <t>data_recebimento_rafe</t>
  </si>
  <si>
    <t>data_retorno_rafe</t>
  </si>
  <si>
    <t>data_recebimento_finalizada</t>
  </si>
  <si>
    <t>ilustrador</t>
  </si>
  <si>
    <t>ilustrador_ajuste</t>
  </si>
  <si>
    <t>credito</t>
  </si>
  <si>
    <t>classificacao</t>
  </si>
  <si>
    <t>observacao_arte</t>
  </si>
  <si>
    <t>pagamento</t>
  </si>
  <si>
    <t>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</si>
</sst>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name val="Arial Narrow"/>
    </font>
    <font>
      <sz val="11"/>
      <color rgb="FF242424"/>
      <name val="Aptos Narrow"/>
      <charset val="1"/>
    </font>
    <font>
      <sz val="11"/>
      <color rgb="FF000000"/>
      <name val="Aptos Narrow"/>
      <family val="2"/>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4">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0" fillId="0" borderId="0" xfId="0" applyAlignment="1" applyProtection="1">
      <alignment horizontal="center" vertical="center" wrapText="1"/>
      <protection locked="0"/>
    </xf>
    <xf numFmtId="0" fontId="8" fillId="9" borderId="5" xfId="0" applyFont="1" applyFill="1" applyBorder="1" applyAlignment="1">
      <alignment horizontal="left"/>
    </xf>
    <xf numFmtId="0" fontId="9" fillId="0" borderId="0" xfId="0" applyFont="1"/>
    <xf numFmtId="0" fontId="10" fillId="0" borderId="10" xfId="0" applyFont="1" applyBorder="1" applyAlignment="1">
      <alignment vertical="center"/>
    </xf>
    <xf numFmtId="0" fontId="6" fillId="11" borderId="0" xfId="0" applyFont="1" applyFill="1" applyAlignment="1">
      <alignment horizontal="center" wrapText="1"/>
    </xf>
  </cellXfs>
  <cellStyles count="1">
    <cellStyle name="Normal" xfId="0" builtinId="0"/>
  </cellStyles>
  <dxfs count="41">
    <dxf>
      <font>
        <color rgb="FF9C0006"/>
      </font>
      <fill>
        <patternFill>
          <bgColor rgb="FFFFC7CE"/>
        </patternFill>
      </fill>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55A55550-F2E0-4EB9-8136-C029B983B35F}"/>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87F6BE3C-C4A3-4F88-90F1-DADD7CE6C73B}"/>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5" name="CaixaDeTexto 4">
          <a:extLst>
            <a:ext uri="{FF2B5EF4-FFF2-40B4-BE49-F238E27FC236}">
              <a16:creationId xmlns:a16="http://schemas.microsoft.com/office/drawing/2014/main" id="{446824CC-685A-4C3D-A5FC-E2E0E2B8B3B6}"/>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6" name="CaixaDeTexto 5">
          <a:extLst>
            <a:ext uri="{FF2B5EF4-FFF2-40B4-BE49-F238E27FC236}">
              <a16:creationId xmlns:a16="http://schemas.microsoft.com/office/drawing/2014/main" id="{952329B2-A754-4514-A885-4E070364F050}"/>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7" name="CaixaDeTexto 6">
          <a:extLst>
            <a:ext uri="{FF2B5EF4-FFF2-40B4-BE49-F238E27FC236}">
              <a16:creationId xmlns:a16="http://schemas.microsoft.com/office/drawing/2014/main" id="{A9E088FC-AD1C-424C-9141-550DA5DDCD87}"/>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0DA595E2-F854-4A4B-90EC-9E85C0B4A470}"/>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9" name="CaixaDeTexto 8">
          <a:extLst>
            <a:ext uri="{FF2B5EF4-FFF2-40B4-BE49-F238E27FC236}">
              <a16:creationId xmlns:a16="http://schemas.microsoft.com/office/drawing/2014/main" id="{7FF82C94-6A58-463D-AA4A-99FB5F2F25F9}"/>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0" name="CaixaDeTexto 9">
          <a:extLst>
            <a:ext uri="{FF2B5EF4-FFF2-40B4-BE49-F238E27FC236}">
              <a16:creationId xmlns:a16="http://schemas.microsoft.com/office/drawing/2014/main" id="{94E9DBE0-C26F-41D3-B1EE-E64270193FFB}"/>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1" name="CaixaDeTexto 10">
          <a:extLst>
            <a:ext uri="{FF2B5EF4-FFF2-40B4-BE49-F238E27FC236}">
              <a16:creationId xmlns:a16="http://schemas.microsoft.com/office/drawing/2014/main" id="{54201905-CF41-4B5C-89E7-CC237A012929}"/>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D88A7C0C-F559-4159-A6F3-540704239EDB}"/>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3" name="CaixaDeTexto 12">
          <a:extLst>
            <a:ext uri="{FF2B5EF4-FFF2-40B4-BE49-F238E27FC236}">
              <a16:creationId xmlns:a16="http://schemas.microsoft.com/office/drawing/2014/main" id="{65709813-992E-4C71-A3A2-AF8F8DDBED72}"/>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8BF8CD99-BAEB-4168-91A7-CA09C113BEC8}"/>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F5D91B4B-672C-4A4B-87D5-BB90C42FFAE0}"/>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65EA40A5-3AA9-409A-8514-E8DFE0DC5875}"/>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7" name="CaixaDeTexto 16">
          <a:extLst>
            <a:ext uri="{FF2B5EF4-FFF2-40B4-BE49-F238E27FC236}">
              <a16:creationId xmlns:a16="http://schemas.microsoft.com/office/drawing/2014/main" id="{4374C1D2-A4C8-41EA-9F3B-94CC39E92FC7}"/>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8" name="CaixaDeTexto 17">
          <a:extLst>
            <a:ext uri="{FF2B5EF4-FFF2-40B4-BE49-F238E27FC236}">
              <a16:creationId xmlns:a16="http://schemas.microsoft.com/office/drawing/2014/main" id="{5427793F-8ADF-4AB4-814A-C1FFB0BA038A}"/>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19" name="CaixaDeTexto 18">
          <a:extLst>
            <a:ext uri="{FF2B5EF4-FFF2-40B4-BE49-F238E27FC236}">
              <a16:creationId xmlns:a16="http://schemas.microsoft.com/office/drawing/2014/main" id="{C11BF7B7-0A6E-4899-8DD3-8B2C67C3AFF1}"/>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54" totalsRowShown="0" headerRowDxfId="40" dataDxfId="39">
  <autoFilter ref="A1:AE54" xr:uid="{26F14978-443C-43BF-BBAB-3AC6D5A7AEE7}"/>
  <tableColumns count="31">
    <tableColumn id="1" xr3:uid="{47B2C718-3485-46B9-AADB-7CD6614C956B}" name="retranca" dataDxfId="38"/>
    <tableColumn id="2" xr3:uid="{6F20D1A7-51B1-4A53-83CF-50614FC1E87E}" name="status" dataDxfId="37"/>
    <tableColumn id="3" xr3:uid="{E8572E99-0AB2-49AE-9897-F535E78DC59B}" name="categoria" dataDxfId="36"/>
    <tableColumn id="4" xr3:uid="{3BAA2E23-8D96-41DB-870E-717EF9F01497}" name="localizacao" dataDxfId="35"/>
    <tableColumn id="5" xr3:uid="{1B97AF7C-996A-498F-8E4F-F5114662DCAE}" name="pagina" dataDxfId="34"/>
    <tableColumn id="6" xr3:uid="{701EC8BF-5D46-4F01-9E72-37F5C84C6204}" name="volume" dataDxfId="33"/>
    <tableColumn id="7" xr3:uid="{42115F63-2A60-4768-BBD4-D907E57CB424}" name="unidade" dataDxfId="32"/>
    <tableColumn id="8" xr3:uid="{8E407FD3-50F6-4CC1-A2B4-EDA18ADCE3EB}" name="capitulo_secao" dataDxfId="31"/>
    <tableColumn id="9" xr3:uid="{F6258D69-7676-4635-B739-B385D000AE2F}" name="tipo" dataDxfId="30"/>
    <tableColumn id="10" xr3:uid="{4DD8887C-979F-4883-A85F-C815DE05EFC4}" name="NOME DA OBRA_x000a_ PARA RESGATE" dataDxfId="29"/>
    <tableColumn id="11" xr3:uid="{6AE351D3-5B1B-4747-80E2-2C6E7096156C}" name="PÁGINA PARA RESGATE" dataDxfId="28"/>
    <tableColumn id="12" xr3:uid="{952EC93C-92B5-4133-9AEA-04AF281045BE}" name="VOLUME PARA RESGATE" dataDxfId="27"/>
    <tableColumn id="13" xr3:uid="{57087D3E-8F9F-4743-8F04-3C6E29F5FEF7}" name="VERSÃO PARA RESGATE" dataDxfId="26"/>
    <tableColumn id="14" xr3:uid="{C9E5A9B8-DDE9-4844-B5BF-DF220C1DD168}" name="PROPRIEDADE" dataDxfId="25"/>
    <tableColumn id="15" xr3:uid="{562820C1-46A0-42B2-950F-AED0FB5E62E7}" name="descricao" dataDxfId="24"/>
    <tableColumn id="16" xr3:uid="{C1FEADE5-978E-42A0-A72B-4B75CDF0847D}" name="ilustrador_resgate" dataDxfId="23"/>
    <tableColumn id="17" xr3:uid="{9EC1C14E-FE8F-416B-8F0B-F1829EFD032D}" name="observacao_edit_nuc" dataDxfId="22"/>
    <tableColumn id="18" xr3:uid="{1445C9B1-3AFA-4B92-985F-63C0113E7064}" name="lote" dataDxfId="21"/>
    <tableColumn id="19" xr3:uid="{DC238784-0E4D-4DC4-B1E6-1E19ACD2AA8D}" name="data_liberacao_para_arte" dataDxfId="20"/>
    <tableColumn id="20" xr3:uid="{0C20AC60-0820-4D59-B1C1-6D84A4B9FA66}" name="data_envio_pedido" dataDxfId="19"/>
    <tableColumn id="21" xr3:uid="{DDDDF8E2-4440-46FA-8A2E-11BFA188E1C2}" name="data_recebimento_rafe" dataDxfId="18"/>
    <tableColumn id="22" xr3:uid="{FE78F000-3E98-407F-A684-34560ED2CEE0}" name="data_retorno_rafe" dataDxfId="17"/>
    <tableColumn id="23" xr3:uid="{2847C90F-EB07-4DB4-B575-0FC03C222849}" name="data_recebimento_finalizada" dataDxfId="16"/>
    <tableColumn id="24" xr3:uid="{14797CE0-E66E-45A5-8181-5A2482F775E9}" name="SIGLA" dataDxfId="15"/>
    <tableColumn id="25" xr3:uid="{A1C665BD-8ED6-4CD6-88D0-C67BAF49562F}" name="ilustrador" dataDxfId="14">
      <calculatedColumnFormula>IF(Tabela2[[#This Row],[SIGLA]]="","",VLOOKUP(Tabela2[[#This Row],[SIGLA]],Tabela1[[#All],[Sigla Arte]:[Crédito]],2,0))</calculatedColumnFormula>
    </tableColumn>
    <tableColumn id="26" xr3:uid="{12E00CAD-6FD2-4BBD-B590-5DBCF5457DD0}" name="ilustrador_ajuste" dataDxfId="13"/>
    <tableColumn id="27" xr3:uid="{DB4DAD23-FDE3-4C38-AFEF-6E9484181939}" name="credito" dataDxfId="12">
      <calculatedColumnFormula>Tabela2[[#This Row],[ilustrador]]</calculatedColumnFormula>
    </tableColumn>
    <tableColumn id="28" xr3:uid="{A2773F6F-7648-4C4E-A050-6FF08F4C6FD3}" name="classificacao" dataDxfId="11"/>
    <tableColumn id="29" xr3:uid="{5A4B66D0-8557-4F1B-921F-35C87DD256F5}" name="observacao_arte" dataDxfId="10"/>
    <tableColumn id="30" xr3:uid="{EB5C8D02-71DF-417B-98C8-2041FFF8D781}" name="pagamento" dataDxfId="9"/>
    <tableColumn id="31" xr3:uid="{81BC28F8-346B-49BF-9B96-5CACD15820DD}" name="projeto" dataDxfId="8">
      <calculatedColumnFormula>"EF1 E002 R.Sul"</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6A6B0-833F-4F62-8BF5-A7C9E0B6C863}" name="Tabela1" displayName="Tabela1" ref="A2:C338" totalsRowShown="0" headerRowDxfId="7" headerRowBorderDxfId="6" tableBorderDxfId="5" totalsRowBorderDxfId="4">
  <autoFilter ref="A2:C338" xr:uid="{6B66A6B0-833F-4F62-8BF5-A7C9E0B6C863}"/>
  <tableColumns count="3">
    <tableColumn id="1" xr3:uid="{ECD5BD79-A678-439A-9AD9-DD741A216B96}" name="Nome do ilustrador" dataDxfId="3"/>
    <tableColumn id="2" xr3:uid="{47313B4D-8F9D-411F-B32B-EDB7ABC53F61}" name="Sigla Arte" dataDxfId="2"/>
    <tableColumn id="3" xr3:uid="{981F1CC1-DF44-48D2-86C0-18F43A727C7F}" name="Crédito" dataDxfId="1"/>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77DCBD07-8B72-41F9-A8BD-EF244BA016D6}">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54"/>
  <sheetViews>
    <sheetView tabSelected="1" workbookViewId="0">
      <pane xSplit="1" ySplit="1" topLeftCell="Y26" activePane="bottomRight" state="frozen"/>
      <selection pane="topRight" activeCell="B1" sqref="B1"/>
      <selection pane="bottomLeft" activeCell="A2" sqref="A2"/>
      <selection pane="bottomRight" activeCell="AA51" sqref="AA51"/>
    </sheetView>
  </sheetViews>
  <sheetFormatPr defaultRowHeight="14.4" x14ac:dyDescent="0.3"/>
  <cols>
    <col min="1" max="1" width="26.33203125" style="4" customWidth="1"/>
    <col min="2" max="2" width="15" style="20" bestFit="1" customWidth="1"/>
    <col min="3" max="3" width="16.109375" style="20" bestFit="1" customWidth="1"/>
    <col min="4" max="4" width="15.33203125" style="20" customWidth="1"/>
    <col min="5" max="5" width="12.44140625" style="3" bestFit="1" customWidth="1"/>
    <col min="6" max="6" width="10.5546875" style="3" customWidth="1"/>
    <col min="7" max="7" width="11.109375" style="3" customWidth="1"/>
    <col min="8" max="8" width="13.5546875" style="3" customWidth="1"/>
    <col min="9" max="9" width="9.6640625" style="4" bestFit="1" customWidth="1"/>
    <col min="10" max="10" width="21.33203125" style="4" hidden="1" customWidth="1"/>
    <col min="11" max="11" width="12.88671875" style="3" hidden="1" customWidth="1"/>
    <col min="12" max="12" width="14" style="3" hidden="1" customWidth="1"/>
    <col min="13" max="13" width="15.33203125" style="4" hidden="1" customWidth="1"/>
    <col min="14" max="14" width="16.5546875" style="4" hidden="1" customWidth="1"/>
    <col min="15" max="16" width="54.44140625" style="20" customWidth="1"/>
    <col min="17" max="17" width="36.44140625" style="20" customWidth="1"/>
    <col min="18" max="18" width="20.5546875" style="3" customWidth="1"/>
    <col min="19" max="23" width="18.6640625" style="24" customWidth="1"/>
    <col min="24" max="24" width="8.88671875" style="3" customWidth="1"/>
    <col min="25" max="25" width="63.44140625" style="4" customWidth="1"/>
    <col min="26" max="26" width="32.5546875" style="4" customWidth="1"/>
    <col min="27" max="27" width="65.33203125" style="4" customWidth="1"/>
    <col min="28" max="28" width="16.5546875" style="3" customWidth="1"/>
    <col min="29" max="29" width="35.5546875" style="20" customWidth="1"/>
    <col min="30" max="30" width="19.44140625" style="19" customWidth="1"/>
    <col min="31" max="31" width="13.6640625" style="4" bestFit="1" customWidth="1"/>
  </cols>
  <sheetData>
    <row r="1" spans="1:31" s="10" customFormat="1" ht="28.8" x14ac:dyDescent="0.3">
      <c r="A1" s="7" t="s">
        <v>1156</v>
      </c>
      <c r="B1" s="8" t="s">
        <v>1157</v>
      </c>
      <c r="C1" s="8" t="s">
        <v>1158</v>
      </c>
      <c r="D1" s="8" t="s">
        <v>1159</v>
      </c>
      <c r="E1" s="8" t="s">
        <v>1160</v>
      </c>
      <c r="F1" s="8" t="s">
        <v>1161</v>
      </c>
      <c r="G1" s="8" t="s">
        <v>1162</v>
      </c>
      <c r="H1" s="8" t="s">
        <v>1163</v>
      </c>
      <c r="I1" s="8" t="s">
        <v>1164</v>
      </c>
      <c r="J1" s="8" t="s">
        <v>0</v>
      </c>
      <c r="K1" s="8" t="s">
        <v>1</v>
      </c>
      <c r="L1" s="8" t="s">
        <v>2</v>
      </c>
      <c r="M1" s="8" t="s">
        <v>3</v>
      </c>
      <c r="N1" s="8" t="s">
        <v>4</v>
      </c>
      <c r="O1" s="8" t="s">
        <v>1165</v>
      </c>
      <c r="P1" s="17" t="s">
        <v>1166</v>
      </c>
      <c r="Q1" s="8" t="s">
        <v>1167</v>
      </c>
      <c r="R1" s="8" t="s">
        <v>1168</v>
      </c>
      <c r="S1" s="16" t="s">
        <v>1169</v>
      </c>
      <c r="T1" s="13" t="s">
        <v>1170</v>
      </c>
      <c r="U1" s="13" t="s">
        <v>1171</v>
      </c>
      <c r="V1" s="13" t="s">
        <v>1172</v>
      </c>
      <c r="W1" s="14" t="s">
        <v>1173</v>
      </c>
      <c r="X1" s="9" t="s">
        <v>5</v>
      </c>
      <c r="Y1" s="11" t="s">
        <v>1174</v>
      </c>
      <c r="Z1" s="9" t="s">
        <v>1175</v>
      </c>
      <c r="AA1" s="11" t="s">
        <v>1176</v>
      </c>
      <c r="AB1" s="9" t="s">
        <v>1177</v>
      </c>
      <c r="AC1" s="9" t="s">
        <v>1178</v>
      </c>
      <c r="AD1" s="18" t="s">
        <v>1179</v>
      </c>
      <c r="AE1" s="15" t="s">
        <v>1180</v>
      </c>
    </row>
    <row r="2" spans="1:31" s="12" customFormat="1" ht="28.8" x14ac:dyDescent="0.3">
      <c r="A2" s="22" t="s">
        <v>6</v>
      </c>
      <c r="B2" s="19" t="s">
        <v>7</v>
      </c>
      <c r="C2" s="19" t="s">
        <v>8</v>
      </c>
      <c r="D2" s="19" t="s">
        <v>9</v>
      </c>
      <c r="E2" s="21">
        <v>55</v>
      </c>
      <c r="F2" s="21">
        <v>3</v>
      </c>
      <c r="G2" s="21">
        <v>3</v>
      </c>
      <c r="H2" s="21"/>
      <c r="I2" s="22" t="s">
        <v>10</v>
      </c>
      <c r="J2" s="22"/>
      <c r="K2" s="21"/>
      <c r="L2" s="21"/>
      <c r="M2" s="22"/>
      <c r="N2" s="22"/>
      <c r="O2" s="25" t="s">
        <v>11</v>
      </c>
      <c r="P2" s="25"/>
      <c r="Q2" s="25"/>
      <c r="R2" s="21">
        <v>1</v>
      </c>
      <c r="S2" s="23">
        <v>45784</v>
      </c>
      <c r="T2" s="23">
        <v>45786</v>
      </c>
      <c r="U2" s="23">
        <v>45790</v>
      </c>
      <c r="V2" s="23">
        <v>45793</v>
      </c>
      <c r="W2" s="23">
        <v>45798</v>
      </c>
      <c r="X2" s="21" t="s">
        <v>12</v>
      </c>
      <c r="Y2" s="4" t="str">
        <f>IF(Tabela2[[#This Row],[SIGLA]]="","",VLOOKUP(Tabela2[[#This Row],[SIGLA]],Tabela1[[#All],[Sigla Arte]:[Crédito]],2,0))</f>
        <v>HUGO ARAÚJO/ARQUIVO DA EDITORA</v>
      </c>
      <c r="Z2" s="22"/>
      <c r="AA2" s="22" t="str">
        <f>Tabela2[[#This Row],[ilustrador]]</f>
        <v>HUGO ARAÚJO/ARQUIVO DA EDITORA</v>
      </c>
      <c r="AB2" s="21">
        <v>6</v>
      </c>
      <c r="AC2" s="19" t="s">
        <v>13</v>
      </c>
      <c r="AD2" s="19" t="s">
        <v>14</v>
      </c>
      <c r="AE2" s="4" t="str">
        <f t="shared" ref="AE2:AE54" si="0">"EF1 E002 R.Sul"</f>
        <v>EF1 E002 R.Sul</v>
      </c>
    </row>
    <row r="3" spans="1:31" s="12" customFormat="1" ht="187.2" x14ac:dyDescent="0.3">
      <c r="A3" s="22" t="s">
        <v>15</v>
      </c>
      <c r="B3" s="19" t="s">
        <v>7</v>
      </c>
      <c r="C3" s="19" t="s">
        <v>16</v>
      </c>
      <c r="D3" s="19" t="s">
        <v>9</v>
      </c>
      <c r="E3" s="21">
        <v>58</v>
      </c>
      <c r="F3" s="21">
        <v>3</v>
      </c>
      <c r="G3" s="21">
        <v>3</v>
      </c>
      <c r="H3" s="21"/>
      <c r="I3" s="22" t="s">
        <v>10</v>
      </c>
      <c r="J3" s="22"/>
      <c r="K3" s="21"/>
      <c r="L3" s="21"/>
      <c r="M3" s="22"/>
      <c r="N3" s="22"/>
      <c r="O3" s="25" t="s">
        <v>17</v>
      </c>
      <c r="P3" s="25"/>
      <c r="Q3" s="25"/>
      <c r="R3" s="21">
        <v>1</v>
      </c>
      <c r="S3" s="23">
        <v>45784</v>
      </c>
      <c r="T3" s="23">
        <v>45789</v>
      </c>
      <c r="U3" s="23"/>
      <c r="V3" s="23"/>
      <c r="W3" s="23">
        <v>45789</v>
      </c>
      <c r="X3" s="21" t="s">
        <v>18</v>
      </c>
      <c r="Y3" s="4" t="str">
        <f>IF(Tabela2[[#This Row],[SIGLA]]="","",VLOOKUP(Tabela2[[#This Row],[SIGLA]],Tabela1[[#All],[Sigla Arte]:[Crédito]],2,0))</f>
        <v>VINÍCIUS COSTA/ARQUIVO DA EDITORA</v>
      </c>
      <c r="Z3" s="22"/>
      <c r="AA3" s="22" t="str">
        <f>Tabela2[[#This Row],[ilustrador]]</f>
        <v>VINÍCIUS COSTA/ARQUIVO DA EDITORA</v>
      </c>
      <c r="AB3" s="21">
        <v>9</v>
      </c>
      <c r="AC3" s="19" t="s">
        <v>19</v>
      </c>
      <c r="AD3" s="19" t="s">
        <v>20</v>
      </c>
      <c r="AE3" s="4" t="str">
        <f t="shared" si="0"/>
        <v>EF1 E002 R.Sul</v>
      </c>
    </row>
    <row r="4" spans="1:31" s="12" customFormat="1" ht="144" x14ac:dyDescent="0.3">
      <c r="A4" s="22" t="s">
        <v>21</v>
      </c>
      <c r="B4" s="19" t="s">
        <v>7</v>
      </c>
      <c r="C4" s="19" t="s">
        <v>16</v>
      </c>
      <c r="D4" s="19" t="s">
        <v>9</v>
      </c>
      <c r="E4" s="21">
        <v>64</v>
      </c>
      <c r="F4" s="21">
        <v>3</v>
      </c>
      <c r="G4" s="21">
        <v>3</v>
      </c>
      <c r="H4" s="39"/>
      <c r="I4" s="22" t="s">
        <v>22</v>
      </c>
      <c r="J4" s="22"/>
      <c r="K4" s="21"/>
      <c r="L4" s="21"/>
      <c r="M4" s="22"/>
      <c r="N4" s="22"/>
      <c r="O4" s="25" t="s">
        <v>23</v>
      </c>
      <c r="P4" s="25"/>
      <c r="Q4" s="25"/>
      <c r="R4" s="21">
        <v>1</v>
      </c>
      <c r="S4" s="23">
        <v>45784</v>
      </c>
      <c r="T4" s="23">
        <v>45789</v>
      </c>
      <c r="U4" s="23"/>
      <c r="V4" s="23"/>
      <c r="W4" s="23">
        <v>45789</v>
      </c>
      <c r="X4" s="21" t="s">
        <v>24</v>
      </c>
      <c r="Y4" s="4" t="str">
        <f>IF(Tabela2[[#This Row],[SIGLA]]="","",VLOOKUP(Tabela2[[#This Row],[SIGLA]],Tabela1[[#All],[Sigla Arte]:[Crédito]],2,0))</f>
        <v>EDSON BELLUSCI/ARQUIVO DA EDITORA</v>
      </c>
      <c r="Z4" s="22" t="s">
        <v>25</v>
      </c>
      <c r="AA4" s="22" t="str">
        <f>Tabela2[[#This Row],[ilustrador]]</f>
        <v>EDSON BELLUSCI/ARQUIVO DA EDITORA</v>
      </c>
      <c r="AB4" s="21">
        <v>13</v>
      </c>
      <c r="AC4" s="19" t="s">
        <v>26</v>
      </c>
      <c r="AD4" s="19" t="s">
        <v>20</v>
      </c>
      <c r="AE4" s="4" t="str">
        <f t="shared" si="0"/>
        <v>EF1 E002 R.Sul</v>
      </c>
    </row>
    <row r="5" spans="1:31" s="12" customFormat="1" ht="28.8" x14ac:dyDescent="0.3">
      <c r="A5" s="22" t="s">
        <v>27</v>
      </c>
      <c r="B5" s="19" t="s">
        <v>7</v>
      </c>
      <c r="C5" s="19" t="s">
        <v>8</v>
      </c>
      <c r="D5" s="19" t="s">
        <v>9</v>
      </c>
      <c r="E5" s="21">
        <v>67</v>
      </c>
      <c r="F5" s="21">
        <v>3</v>
      </c>
      <c r="G5" s="21">
        <v>3</v>
      </c>
      <c r="H5" s="21"/>
      <c r="I5" s="22" t="s">
        <v>10</v>
      </c>
      <c r="J5" s="22"/>
      <c r="K5" s="21"/>
      <c r="L5" s="21"/>
      <c r="M5" s="22"/>
      <c r="N5" s="22"/>
      <c r="O5" s="25" t="s">
        <v>28</v>
      </c>
      <c r="P5" s="25"/>
      <c r="Q5" s="25"/>
      <c r="R5" s="21">
        <v>1</v>
      </c>
      <c r="S5" s="23">
        <v>45784</v>
      </c>
      <c r="T5" s="23">
        <v>45786</v>
      </c>
      <c r="U5" s="23">
        <v>45790</v>
      </c>
      <c r="V5" s="23">
        <v>45793</v>
      </c>
      <c r="W5" s="23">
        <v>45798</v>
      </c>
      <c r="X5" s="21" t="s">
        <v>12</v>
      </c>
      <c r="Y5" s="4" t="str">
        <f>IF(Tabela2[[#This Row],[SIGLA]]="","",VLOOKUP(Tabela2[[#This Row],[SIGLA]],Tabela1[[#All],[Sigla Arte]:[Crédito]],2,0))</f>
        <v>HUGO ARAÚJO/ARQUIVO DA EDITORA</v>
      </c>
      <c r="Z5" s="22"/>
      <c r="AA5" s="22" t="str">
        <f>Tabela2[[#This Row],[ilustrador]]</f>
        <v>HUGO ARAÚJO/ARQUIVO DA EDITORA</v>
      </c>
      <c r="AB5" s="21">
        <v>6</v>
      </c>
      <c r="AC5" s="19" t="s">
        <v>13</v>
      </c>
      <c r="AD5" s="19" t="s">
        <v>14</v>
      </c>
      <c r="AE5" s="4" t="str">
        <f t="shared" si="0"/>
        <v>EF1 E002 R.Sul</v>
      </c>
    </row>
    <row r="6" spans="1:31" s="12" customFormat="1" ht="158.4" x14ac:dyDescent="0.3">
      <c r="A6" s="22" t="s">
        <v>29</v>
      </c>
      <c r="B6" s="19" t="s">
        <v>7</v>
      </c>
      <c r="C6" s="19" t="s">
        <v>16</v>
      </c>
      <c r="D6" s="19" t="s">
        <v>9</v>
      </c>
      <c r="E6" s="21">
        <v>71</v>
      </c>
      <c r="F6" s="21">
        <v>3</v>
      </c>
      <c r="G6" s="21">
        <v>3</v>
      </c>
      <c r="H6" s="21"/>
      <c r="I6" s="22" t="s">
        <v>22</v>
      </c>
      <c r="J6" s="22"/>
      <c r="K6" s="21"/>
      <c r="L6" s="21"/>
      <c r="M6" s="22"/>
      <c r="N6" s="22"/>
      <c r="O6" s="25" t="s">
        <v>30</v>
      </c>
      <c r="P6" s="25"/>
      <c r="Q6" s="25"/>
      <c r="R6" s="21">
        <v>1</v>
      </c>
      <c r="S6" s="23">
        <v>45784</v>
      </c>
      <c r="T6" s="23">
        <v>45789</v>
      </c>
      <c r="U6" s="23"/>
      <c r="V6" s="23"/>
      <c r="W6" s="23">
        <v>45789</v>
      </c>
      <c r="X6" s="21" t="s">
        <v>24</v>
      </c>
      <c r="Y6" s="4" t="str">
        <f>IF(Tabela2[[#This Row],[SIGLA]]="","",VLOOKUP(Tabela2[[#This Row],[SIGLA]],Tabela1[[#All],[Sigla Arte]:[Crédito]],2,0))</f>
        <v>EDSON BELLUSCI/ARQUIVO DA EDITORA</v>
      </c>
      <c r="Z6" s="22" t="s">
        <v>25</v>
      </c>
      <c r="AA6" s="22" t="str">
        <f>Tabela2[[#This Row],[ilustrador]]</f>
        <v>EDSON BELLUSCI/ARQUIVO DA EDITORA</v>
      </c>
      <c r="AB6" s="21">
        <v>13</v>
      </c>
      <c r="AC6" s="19" t="s">
        <v>26</v>
      </c>
      <c r="AD6" s="19" t="s">
        <v>20</v>
      </c>
      <c r="AE6" s="4" t="str">
        <f t="shared" si="0"/>
        <v>EF1 E002 R.Sul</v>
      </c>
    </row>
    <row r="7" spans="1:31" s="12" customFormat="1" ht="259.2" x14ac:dyDescent="0.3">
      <c r="A7" s="22" t="s">
        <v>31</v>
      </c>
      <c r="B7" s="19" t="s">
        <v>7</v>
      </c>
      <c r="C7" s="19" t="s">
        <v>16</v>
      </c>
      <c r="D7" s="19" t="s">
        <v>9</v>
      </c>
      <c r="E7" s="21">
        <v>72</v>
      </c>
      <c r="F7" s="21">
        <v>3</v>
      </c>
      <c r="G7" s="21">
        <v>3</v>
      </c>
      <c r="H7" s="21"/>
      <c r="I7" s="22" t="s">
        <v>10</v>
      </c>
      <c r="J7" s="22"/>
      <c r="K7" s="21"/>
      <c r="L7" s="21"/>
      <c r="M7" s="22"/>
      <c r="N7" s="22"/>
      <c r="O7" s="25" t="s">
        <v>32</v>
      </c>
      <c r="P7" s="25"/>
      <c r="Q7" s="25"/>
      <c r="R7" s="21">
        <v>1</v>
      </c>
      <c r="S7" s="23">
        <v>45784</v>
      </c>
      <c r="T7" s="23">
        <v>45789</v>
      </c>
      <c r="U7" s="23"/>
      <c r="V7" s="23"/>
      <c r="W7" s="23">
        <v>45789</v>
      </c>
      <c r="X7" s="21" t="s">
        <v>24</v>
      </c>
      <c r="Y7" s="4" t="str">
        <f>IF(Tabela2[[#This Row],[SIGLA]]="","",VLOOKUP(Tabela2[[#This Row],[SIGLA]],Tabela1[[#All],[Sigla Arte]:[Crédito]],2,0))</f>
        <v>EDSON BELLUSCI/ARQUIVO DA EDITORA</v>
      </c>
      <c r="Z7" s="22" t="s">
        <v>25</v>
      </c>
      <c r="AA7" s="22" t="str">
        <f>Tabela2[[#This Row],[ilustrador]]</f>
        <v>EDSON BELLUSCI/ARQUIVO DA EDITORA</v>
      </c>
      <c r="AB7" s="21">
        <v>13</v>
      </c>
      <c r="AC7" s="19" t="s">
        <v>26</v>
      </c>
      <c r="AD7" s="19" t="s">
        <v>20</v>
      </c>
      <c r="AE7" s="4" t="str">
        <f t="shared" si="0"/>
        <v>EF1 E002 R.Sul</v>
      </c>
    </row>
    <row r="8" spans="1:31" s="12" customFormat="1" ht="144" x14ac:dyDescent="0.3">
      <c r="A8" s="22" t="s">
        <v>33</v>
      </c>
      <c r="B8" s="19" t="s">
        <v>1155</v>
      </c>
      <c r="C8" s="19" t="s">
        <v>8</v>
      </c>
      <c r="D8" s="19" t="s">
        <v>9</v>
      </c>
      <c r="E8" s="21">
        <v>75</v>
      </c>
      <c r="F8" s="21">
        <v>3</v>
      </c>
      <c r="G8" s="21">
        <v>3</v>
      </c>
      <c r="H8" s="21"/>
      <c r="I8" s="22" t="s">
        <v>10</v>
      </c>
      <c r="J8" s="22"/>
      <c r="K8" s="21"/>
      <c r="L8" s="21"/>
      <c r="M8" s="22"/>
      <c r="N8" s="22"/>
      <c r="O8" s="25" t="s">
        <v>34</v>
      </c>
      <c r="P8" s="25"/>
      <c r="Q8" s="25"/>
      <c r="R8" s="21">
        <v>1</v>
      </c>
      <c r="S8" s="23">
        <v>45784</v>
      </c>
      <c r="T8" s="23">
        <v>45786</v>
      </c>
      <c r="U8" s="23">
        <v>45790</v>
      </c>
      <c r="V8" s="23">
        <v>45793</v>
      </c>
      <c r="W8" s="23">
        <v>45798</v>
      </c>
      <c r="X8" s="21" t="s">
        <v>12</v>
      </c>
      <c r="Y8" s="4" t="str">
        <f>IF(Tabela2[[#This Row],[SIGLA]]="","",VLOOKUP(Tabela2[[#This Row],[SIGLA]],Tabela1[[#All],[Sigla Arte]:[Crédito]],2,0))</f>
        <v>HUGO ARAÚJO/ARQUIVO DA EDITORA</v>
      </c>
      <c r="Z8" s="22"/>
      <c r="AA8" s="22" t="str">
        <f>Tabela2[[#This Row],[ilustrador]]</f>
        <v>HUGO ARAÚJO/ARQUIVO DA EDITORA</v>
      </c>
      <c r="AB8" s="21">
        <v>3</v>
      </c>
      <c r="AC8" s="19" t="s">
        <v>13</v>
      </c>
      <c r="AD8" s="19" t="s">
        <v>14</v>
      </c>
      <c r="AE8" s="4" t="str">
        <f t="shared" si="0"/>
        <v>EF1 E002 R.Sul</v>
      </c>
    </row>
    <row r="9" spans="1:31" s="12" customFormat="1" ht="172.8" x14ac:dyDescent="0.3">
      <c r="A9" s="22" t="s">
        <v>35</v>
      </c>
      <c r="B9" s="19" t="s">
        <v>7</v>
      </c>
      <c r="C9" s="19" t="s">
        <v>36</v>
      </c>
      <c r="D9" s="19" t="s">
        <v>9</v>
      </c>
      <c r="E9" s="21">
        <v>68</v>
      </c>
      <c r="F9" s="21">
        <v>3</v>
      </c>
      <c r="G9" s="21">
        <v>3</v>
      </c>
      <c r="H9" s="21"/>
      <c r="I9" s="22" t="s">
        <v>10</v>
      </c>
      <c r="J9" s="22"/>
      <c r="K9" s="21"/>
      <c r="L9" s="21"/>
      <c r="M9" s="22"/>
      <c r="N9" s="22"/>
      <c r="O9" s="25" t="s">
        <v>37</v>
      </c>
      <c r="P9" s="25"/>
      <c r="Q9" s="25"/>
      <c r="R9" s="21">
        <v>1</v>
      </c>
      <c r="S9" s="23">
        <v>45784</v>
      </c>
      <c r="T9" s="23">
        <v>45789</v>
      </c>
      <c r="U9" s="23"/>
      <c r="V9" s="23"/>
      <c r="W9" s="23">
        <v>45789</v>
      </c>
      <c r="X9" s="21" t="s">
        <v>18</v>
      </c>
      <c r="Y9" s="4" t="str">
        <f>IF(Tabela2[[#This Row],[SIGLA]]="","",VLOOKUP(Tabela2[[#This Row],[SIGLA]],Tabela1[[#All],[Sigla Arte]:[Crédito]],2,0))</f>
        <v>VINÍCIUS COSTA/ARQUIVO DA EDITORA</v>
      </c>
      <c r="Z9" s="22"/>
      <c r="AA9" s="22" t="str">
        <f>Tabela2[[#This Row],[ilustrador]]</f>
        <v>VINÍCIUS COSTA/ARQUIVO DA EDITORA</v>
      </c>
      <c r="AB9" s="21">
        <v>12</v>
      </c>
      <c r="AC9" s="19" t="s">
        <v>19</v>
      </c>
      <c r="AD9" s="19" t="s">
        <v>20</v>
      </c>
      <c r="AE9" s="4" t="str">
        <f t="shared" si="0"/>
        <v>EF1 E002 R.Sul</v>
      </c>
    </row>
    <row r="10" spans="1:31" s="12" customFormat="1" ht="144" x14ac:dyDescent="0.3">
      <c r="A10" s="22" t="s">
        <v>38</v>
      </c>
      <c r="B10" s="19" t="s">
        <v>7</v>
      </c>
      <c r="C10" s="19" t="s">
        <v>16</v>
      </c>
      <c r="D10" s="19" t="s">
        <v>9</v>
      </c>
      <c r="E10" s="21">
        <v>61</v>
      </c>
      <c r="F10" s="21">
        <v>3</v>
      </c>
      <c r="G10" s="21">
        <v>3</v>
      </c>
      <c r="H10" s="21"/>
      <c r="I10" s="22" t="s">
        <v>22</v>
      </c>
      <c r="J10" s="22"/>
      <c r="K10" s="21"/>
      <c r="L10" s="21"/>
      <c r="M10" s="22"/>
      <c r="N10" s="22"/>
      <c r="O10" s="25" t="s">
        <v>39</v>
      </c>
      <c r="P10" s="25"/>
      <c r="Q10" s="25"/>
      <c r="R10" s="21">
        <v>1</v>
      </c>
      <c r="S10" s="23">
        <v>45784</v>
      </c>
      <c r="T10" s="23">
        <v>45789</v>
      </c>
      <c r="U10" s="23"/>
      <c r="V10" s="23"/>
      <c r="W10" s="23">
        <v>45789</v>
      </c>
      <c r="X10" s="21" t="s">
        <v>24</v>
      </c>
      <c r="Y10" s="4" t="str">
        <f>IF(Tabela2[[#This Row],[SIGLA]]="","",VLOOKUP(Tabela2[[#This Row],[SIGLA]],Tabela1[[#All],[Sigla Arte]:[Crédito]],2,0))</f>
        <v>EDSON BELLUSCI/ARQUIVO DA EDITORA</v>
      </c>
      <c r="Z10" s="22" t="s">
        <v>25</v>
      </c>
      <c r="AA10" s="22" t="str">
        <f>Tabela2[[#This Row],[ilustrador]]</f>
        <v>EDSON BELLUSCI/ARQUIVO DA EDITORA</v>
      </c>
      <c r="AB10" s="21">
        <v>13</v>
      </c>
      <c r="AC10" s="19" t="s">
        <v>26</v>
      </c>
      <c r="AD10" s="19" t="s">
        <v>20</v>
      </c>
      <c r="AE10" s="4" t="str">
        <f t="shared" si="0"/>
        <v>EF1 E002 R.Sul</v>
      </c>
    </row>
    <row r="11" spans="1:31" s="12" customFormat="1" ht="86.4" x14ac:dyDescent="0.3">
      <c r="A11" s="22" t="s">
        <v>40</v>
      </c>
      <c r="B11" s="19" t="s">
        <v>7</v>
      </c>
      <c r="C11" s="19" t="s">
        <v>16</v>
      </c>
      <c r="D11" s="19" t="s">
        <v>9</v>
      </c>
      <c r="E11" s="21">
        <v>10</v>
      </c>
      <c r="F11" s="21">
        <v>3</v>
      </c>
      <c r="G11" s="21">
        <v>1</v>
      </c>
      <c r="H11" s="21"/>
      <c r="I11" s="22" t="s">
        <v>22</v>
      </c>
      <c r="J11" s="22"/>
      <c r="K11" s="21"/>
      <c r="L11" s="21"/>
      <c r="M11" s="22"/>
      <c r="N11" s="22"/>
      <c r="O11" s="25" t="s">
        <v>41</v>
      </c>
      <c r="P11" s="25"/>
      <c r="Q11" s="25"/>
      <c r="R11" s="21">
        <v>2</v>
      </c>
      <c r="S11" s="23">
        <v>45852</v>
      </c>
      <c r="T11" s="23">
        <v>45878</v>
      </c>
      <c r="U11" s="23"/>
      <c r="V11" s="23"/>
      <c r="W11" s="23">
        <v>45880</v>
      </c>
      <c r="X11" s="21" t="s">
        <v>24</v>
      </c>
      <c r="Y11" s="4" t="str">
        <f>IF(Tabela2[[#This Row],[SIGLA]]="","",VLOOKUP(Tabela2[[#This Row],[SIGLA]],Tabela1[[#All],[Sigla Arte]:[Crédito]],2,0))</f>
        <v>EDSON BELLUSCI/ARQUIVO DA EDITORA</v>
      </c>
      <c r="Z11" s="22" t="s">
        <v>42</v>
      </c>
      <c r="AA11" s="22" t="str">
        <f>Tabela2[[#This Row],[ilustrador]]</f>
        <v>EDSON BELLUSCI/ARQUIVO DA EDITORA</v>
      </c>
      <c r="AB11" s="21">
        <v>13</v>
      </c>
      <c r="AC11" s="19" t="s">
        <v>26</v>
      </c>
      <c r="AD11" s="19" t="s">
        <v>20</v>
      </c>
      <c r="AE11" s="4" t="str">
        <f t="shared" si="0"/>
        <v>EF1 E002 R.Sul</v>
      </c>
    </row>
    <row r="12" spans="1:31" s="12" customFormat="1" ht="158.4" x14ac:dyDescent="0.3">
      <c r="A12" s="22" t="s">
        <v>43</v>
      </c>
      <c r="B12" s="19" t="s">
        <v>7</v>
      </c>
      <c r="C12" s="19" t="s">
        <v>16</v>
      </c>
      <c r="D12" s="19" t="s">
        <v>9</v>
      </c>
      <c r="E12" s="21">
        <v>13</v>
      </c>
      <c r="F12" s="21">
        <v>3</v>
      </c>
      <c r="G12" s="21">
        <v>1</v>
      </c>
      <c r="H12" s="21"/>
      <c r="I12" s="22" t="s">
        <v>22</v>
      </c>
      <c r="J12" s="22"/>
      <c r="K12" s="21"/>
      <c r="L12" s="21"/>
      <c r="M12" s="22"/>
      <c r="N12" s="22"/>
      <c r="O12" s="25" t="s">
        <v>44</v>
      </c>
      <c r="P12" s="25"/>
      <c r="Q12" s="25"/>
      <c r="R12" s="21">
        <v>2</v>
      </c>
      <c r="S12" s="23">
        <v>45852</v>
      </c>
      <c r="T12" s="23">
        <v>45853</v>
      </c>
      <c r="U12" s="23"/>
      <c r="V12" s="23"/>
      <c r="W12" s="23">
        <v>45853</v>
      </c>
      <c r="X12" s="21" t="s">
        <v>24</v>
      </c>
      <c r="Y12" s="4" t="str">
        <f>IF(Tabela2[[#This Row],[SIGLA]]="","",VLOOKUP(Tabela2[[#This Row],[SIGLA]],Tabela1[[#All],[Sigla Arte]:[Crédito]],2,0))</f>
        <v>EDSON BELLUSCI/ARQUIVO DA EDITORA</v>
      </c>
      <c r="Z12" s="22" t="s">
        <v>45</v>
      </c>
      <c r="AA12" s="22" t="str">
        <f>Tabela2[[#This Row],[ilustrador]]</f>
        <v>EDSON BELLUSCI/ARQUIVO DA EDITORA</v>
      </c>
      <c r="AB12" s="21">
        <v>13</v>
      </c>
      <c r="AC12" s="19" t="s">
        <v>26</v>
      </c>
      <c r="AD12" s="19" t="s">
        <v>20</v>
      </c>
      <c r="AE12" s="4" t="str">
        <f t="shared" si="0"/>
        <v>EF1 E002 R.Sul</v>
      </c>
    </row>
    <row r="13" spans="1:31" s="12" customFormat="1" ht="100.8" x14ac:dyDescent="0.3">
      <c r="A13" s="22" t="s">
        <v>46</v>
      </c>
      <c r="B13" s="19" t="s">
        <v>7</v>
      </c>
      <c r="C13" s="19" t="s">
        <v>16</v>
      </c>
      <c r="D13" s="19" t="s">
        <v>9</v>
      </c>
      <c r="E13" s="21">
        <v>13</v>
      </c>
      <c r="F13" s="21">
        <v>3</v>
      </c>
      <c r="G13" s="21">
        <v>1</v>
      </c>
      <c r="H13" s="21"/>
      <c r="I13" s="22" t="s">
        <v>22</v>
      </c>
      <c r="J13" s="22"/>
      <c r="K13" s="21"/>
      <c r="L13" s="21"/>
      <c r="M13" s="22"/>
      <c r="N13" s="22"/>
      <c r="O13" s="25" t="s">
        <v>47</v>
      </c>
      <c r="P13" s="25"/>
      <c r="Q13" s="25"/>
      <c r="R13" s="21">
        <v>2</v>
      </c>
      <c r="S13" s="23">
        <v>45852</v>
      </c>
      <c r="T13" s="23">
        <v>45853</v>
      </c>
      <c r="U13" s="23"/>
      <c r="V13" s="23"/>
      <c r="W13" s="23">
        <v>45853</v>
      </c>
      <c r="X13" s="21" t="s">
        <v>24</v>
      </c>
      <c r="Y13" s="4" t="str">
        <f>IF(Tabela2[[#This Row],[SIGLA]]="","",VLOOKUP(Tabela2[[#This Row],[SIGLA]],Tabela1[[#All],[Sigla Arte]:[Crédito]],2,0))</f>
        <v>EDSON BELLUSCI/ARQUIVO DA EDITORA</v>
      </c>
      <c r="Z13" s="22" t="s">
        <v>45</v>
      </c>
      <c r="AA13" s="22" t="str">
        <f>Tabela2[[#This Row],[ilustrador]]</f>
        <v>EDSON BELLUSCI/ARQUIVO DA EDITORA</v>
      </c>
      <c r="AB13" s="21">
        <v>13</v>
      </c>
      <c r="AC13" s="19" t="s">
        <v>26</v>
      </c>
      <c r="AD13" s="19" t="s">
        <v>20</v>
      </c>
      <c r="AE13" s="4" t="str">
        <f t="shared" si="0"/>
        <v>EF1 E002 R.Sul</v>
      </c>
    </row>
    <row r="14" spans="1:31" s="12" customFormat="1" ht="129.6" x14ac:dyDescent="0.3">
      <c r="A14" s="22" t="s">
        <v>48</v>
      </c>
      <c r="B14" s="19" t="s">
        <v>7</v>
      </c>
      <c r="C14" s="19" t="s">
        <v>16</v>
      </c>
      <c r="D14" s="19" t="s">
        <v>9</v>
      </c>
      <c r="E14" s="21">
        <v>14</v>
      </c>
      <c r="F14" s="21">
        <v>3</v>
      </c>
      <c r="G14" s="21">
        <v>1</v>
      </c>
      <c r="H14" s="21"/>
      <c r="I14" s="22" t="s">
        <v>10</v>
      </c>
      <c r="J14" s="22"/>
      <c r="K14" s="21"/>
      <c r="L14" s="21"/>
      <c r="M14" s="22"/>
      <c r="N14" s="22"/>
      <c r="O14" s="25" t="s">
        <v>49</v>
      </c>
      <c r="P14" s="25"/>
      <c r="Q14" s="25"/>
      <c r="R14" s="21">
        <v>2</v>
      </c>
      <c r="S14" s="23">
        <v>45852</v>
      </c>
      <c r="T14" s="23">
        <v>45853</v>
      </c>
      <c r="U14" s="23"/>
      <c r="V14" s="23"/>
      <c r="W14" s="23">
        <v>45853</v>
      </c>
      <c r="X14" s="21" t="s">
        <v>50</v>
      </c>
      <c r="Y14" s="4" t="str">
        <f>IF(Tabela2[[#This Row],[SIGLA]]="","",VLOOKUP(Tabela2[[#This Row],[SIGLA]],Tabela1[[#All],[Sigla Arte]:[Crédito]],2,0))</f>
        <v>KEITHY MOSTACHI/ARQUIVO DA EDITORA</v>
      </c>
      <c r="Z14" s="22"/>
      <c r="AA14" s="22" t="str">
        <f>Tabela2[[#This Row],[ilustrador]]</f>
        <v>KEITHY MOSTACHI/ARQUIVO DA EDITORA</v>
      </c>
      <c r="AB14" s="21">
        <v>10</v>
      </c>
      <c r="AC14" s="19" t="s">
        <v>19</v>
      </c>
      <c r="AD14" s="19" t="s">
        <v>20</v>
      </c>
      <c r="AE14" s="4" t="str">
        <f t="shared" si="0"/>
        <v>EF1 E002 R.Sul</v>
      </c>
    </row>
    <row r="15" spans="1:31" s="12" customFormat="1" ht="86.4" x14ac:dyDescent="0.3">
      <c r="A15" s="22" t="s">
        <v>51</v>
      </c>
      <c r="B15" s="19" t="s">
        <v>7</v>
      </c>
      <c r="C15" s="19" t="s">
        <v>16</v>
      </c>
      <c r="D15" s="19" t="s">
        <v>9</v>
      </c>
      <c r="E15" s="21">
        <v>14</v>
      </c>
      <c r="F15" s="21">
        <v>3</v>
      </c>
      <c r="G15" s="21">
        <v>1</v>
      </c>
      <c r="H15" s="21"/>
      <c r="I15" s="22" t="s">
        <v>22</v>
      </c>
      <c r="J15" s="22"/>
      <c r="K15" s="21"/>
      <c r="L15" s="21"/>
      <c r="M15" s="22"/>
      <c r="N15" s="22"/>
      <c r="O15" s="25" t="s">
        <v>52</v>
      </c>
      <c r="P15" s="25"/>
      <c r="Q15" s="25"/>
      <c r="R15" s="21">
        <v>2</v>
      </c>
      <c r="S15" s="23">
        <v>45852</v>
      </c>
      <c r="T15" s="23">
        <v>45853</v>
      </c>
      <c r="U15" s="23"/>
      <c r="V15" s="23"/>
      <c r="W15" s="23">
        <v>45853</v>
      </c>
      <c r="X15" s="21" t="s">
        <v>24</v>
      </c>
      <c r="Y15" s="4" t="str">
        <f>IF(Tabela2[[#This Row],[SIGLA]]="","",VLOOKUP(Tabela2[[#This Row],[SIGLA]],Tabela1[[#All],[Sigla Arte]:[Crédito]],2,0))</f>
        <v>EDSON BELLUSCI/ARQUIVO DA EDITORA</v>
      </c>
      <c r="Z15" s="22" t="s">
        <v>45</v>
      </c>
      <c r="AA15" s="22" t="str">
        <f>Tabela2[[#This Row],[ilustrador]]</f>
        <v>EDSON BELLUSCI/ARQUIVO DA EDITORA</v>
      </c>
      <c r="AB15" s="21">
        <v>13</v>
      </c>
      <c r="AC15" s="19" t="s">
        <v>26</v>
      </c>
      <c r="AD15" s="19" t="s">
        <v>20</v>
      </c>
      <c r="AE15" s="4" t="str">
        <f t="shared" si="0"/>
        <v>EF1 E002 R.Sul</v>
      </c>
    </row>
    <row r="16" spans="1:31" s="12" customFormat="1" ht="86.4" x14ac:dyDescent="0.3">
      <c r="A16" s="22" t="s">
        <v>53</v>
      </c>
      <c r="B16" s="19" t="s">
        <v>7</v>
      </c>
      <c r="C16" s="19" t="s">
        <v>16</v>
      </c>
      <c r="D16" s="19" t="s">
        <v>9</v>
      </c>
      <c r="E16" s="21">
        <v>15</v>
      </c>
      <c r="F16" s="21">
        <v>3</v>
      </c>
      <c r="G16" s="21">
        <v>1</v>
      </c>
      <c r="H16" s="21"/>
      <c r="I16" s="22" t="s">
        <v>22</v>
      </c>
      <c r="J16" s="22"/>
      <c r="K16" s="21"/>
      <c r="L16" s="21"/>
      <c r="M16" s="22"/>
      <c r="N16" s="22"/>
      <c r="O16" s="25" t="s">
        <v>54</v>
      </c>
      <c r="P16" s="25"/>
      <c r="Q16" s="25"/>
      <c r="R16" s="21">
        <v>2</v>
      </c>
      <c r="S16" s="23">
        <v>45852</v>
      </c>
      <c r="T16" s="23">
        <v>45853</v>
      </c>
      <c r="U16" s="23"/>
      <c r="V16" s="23"/>
      <c r="W16" s="23">
        <v>45853</v>
      </c>
      <c r="X16" s="21" t="s">
        <v>24</v>
      </c>
      <c r="Y16" s="4" t="str">
        <f>IF(Tabela2[[#This Row],[SIGLA]]="","",VLOOKUP(Tabela2[[#This Row],[SIGLA]],Tabela1[[#All],[Sigla Arte]:[Crédito]],2,0))</f>
        <v>EDSON BELLUSCI/ARQUIVO DA EDITORA</v>
      </c>
      <c r="Z16" s="22" t="s">
        <v>45</v>
      </c>
      <c r="AA16" s="22" t="str">
        <f>Tabela2[[#This Row],[ilustrador]]</f>
        <v>EDSON BELLUSCI/ARQUIVO DA EDITORA</v>
      </c>
      <c r="AB16" s="21">
        <v>13</v>
      </c>
      <c r="AC16" s="19" t="s">
        <v>26</v>
      </c>
      <c r="AD16" s="19" t="s">
        <v>20</v>
      </c>
      <c r="AE16" s="4" t="str">
        <f t="shared" si="0"/>
        <v>EF1 E002 R.Sul</v>
      </c>
    </row>
    <row r="17" spans="1:31" s="12" customFormat="1" ht="86.4" x14ac:dyDescent="0.3">
      <c r="A17" s="22" t="s">
        <v>55</v>
      </c>
      <c r="B17" s="19" t="s">
        <v>7</v>
      </c>
      <c r="C17" s="19" t="s">
        <v>16</v>
      </c>
      <c r="D17" s="19" t="s">
        <v>9</v>
      </c>
      <c r="E17" s="21">
        <v>16</v>
      </c>
      <c r="F17" s="21">
        <v>3</v>
      </c>
      <c r="G17" s="21">
        <v>1</v>
      </c>
      <c r="H17" s="21"/>
      <c r="I17" s="22" t="s">
        <v>10</v>
      </c>
      <c r="J17" s="22"/>
      <c r="K17" s="21"/>
      <c r="L17" s="21"/>
      <c r="M17" s="22"/>
      <c r="N17" s="22"/>
      <c r="O17" s="25" t="s">
        <v>56</v>
      </c>
      <c r="P17" s="25"/>
      <c r="Q17" s="25"/>
      <c r="R17" s="21">
        <v>2</v>
      </c>
      <c r="S17" s="23">
        <v>45852</v>
      </c>
      <c r="T17" s="23">
        <v>45853</v>
      </c>
      <c r="U17" s="23"/>
      <c r="V17" s="23"/>
      <c r="W17" s="23">
        <v>45853</v>
      </c>
      <c r="X17" s="21" t="s">
        <v>50</v>
      </c>
      <c r="Y17" s="4" t="str">
        <f>IF(Tabela2[[#This Row],[SIGLA]]="","",VLOOKUP(Tabela2[[#This Row],[SIGLA]],Tabela1[[#All],[Sigla Arte]:[Crédito]],2,0))</f>
        <v>KEITHY MOSTACHI/ARQUIVO DA EDITORA</v>
      </c>
      <c r="Z17" s="22"/>
      <c r="AA17" s="22" t="str">
        <f>Tabela2[[#This Row],[ilustrador]]</f>
        <v>KEITHY MOSTACHI/ARQUIVO DA EDITORA</v>
      </c>
      <c r="AB17" s="21">
        <v>10</v>
      </c>
      <c r="AC17" s="19" t="s">
        <v>19</v>
      </c>
      <c r="AD17" s="19" t="s">
        <v>20</v>
      </c>
      <c r="AE17" s="4" t="str">
        <f t="shared" si="0"/>
        <v>EF1 E002 R.Sul</v>
      </c>
    </row>
    <row r="18" spans="1:31" s="12" customFormat="1" ht="86.4" x14ac:dyDescent="0.3">
      <c r="A18" s="22" t="s">
        <v>57</v>
      </c>
      <c r="B18" s="19" t="s">
        <v>7</v>
      </c>
      <c r="C18" s="19" t="s">
        <v>16</v>
      </c>
      <c r="D18" s="19" t="s">
        <v>9</v>
      </c>
      <c r="E18" s="21">
        <v>16</v>
      </c>
      <c r="F18" s="21">
        <v>3</v>
      </c>
      <c r="G18" s="21">
        <v>1</v>
      </c>
      <c r="H18" s="21"/>
      <c r="I18" s="22" t="s">
        <v>10</v>
      </c>
      <c r="J18" s="22"/>
      <c r="K18" s="21"/>
      <c r="L18" s="21"/>
      <c r="M18" s="22"/>
      <c r="N18" s="22"/>
      <c r="O18" s="25" t="s">
        <v>58</v>
      </c>
      <c r="P18" s="25"/>
      <c r="Q18" s="25"/>
      <c r="R18" s="21">
        <v>2</v>
      </c>
      <c r="S18" s="23">
        <v>45852</v>
      </c>
      <c r="T18" s="23">
        <v>45853</v>
      </c>
      <c r="U18" s="23"/>
      <c r="V18" s="23"/>
      <c r="W18" s="23">
        <v>45853</v>
      </c>
      <c r="X18" s="21" t="s">
        <v>50</v>
      </c>
      <c r="Y18" s="4" t="str">
        <f>IF(Tabela2[[#This Row],[SIGLA]]="","",VLOOKUP(Tabela2[[#This Row],[SIGLA]],Tabela1[[#All],[Sigla Arte]:[Crédito]],2,0))</f>
        <v>KEITHY MOSTACHI/ARQUIVO DA EDITORA</v>
      </c>
      <c r="Z18" s="22"/>
      <c r="AA18" s="22" t="str">
        <f>Tabela2[[#This Row],[ilustrador]]</f>
        <v>KEITHY MOSTACHI/ARQUIVO DA EDITORA</v>
      </c>
      <c r="AB18" s="21">
        <v>10</v>
      </c>
      <c r="AC18" s="19" t="s">
        <v>19</v>
      </c>
      <c r="AD18" s="19" t="s">
        <v>20</v>
      </c>
      <c r="AE18" s="4" t="str">
        <f t="shared" si="0"/>
        <v>EF1 E002 R.Sul</v>
      </c>
    </row>
    <row r="19" spans="1:31" s="12" customFormat="1" ht="86.4" x14ac:dyDescent="0.3">
      <c r="A19" s="22" t="s">
        <v>59</v>
      </c>
      <c r="B19" s="19" t="s">
        <v>7</v>
      </c>
      <c r="C19" s="19" t="s">
        <v>16</v>
      </c>
      <c r="D19" s="19" t="s">
        <v>9</v>
      </c>
      <c r="E19" s="21">
        <v>16</v>
      </c>
      <c r="F19" s="21">
        <v>3</v>
      </c>
      <c r="G19" s="21">
        <v>1</v>
      </c>
      <c r="H19" s="21"/>
      <c r="I19" s="22" t="s">
        <v>10</v>
      </c>
      <c r="J19" s="22"/>
      <c r="K19" s="21"/>
      <c r="L19" s="21"/>
      <c r="M19" s="22"/>
      <c r="N19" s="22"/>
      <c r="O19" s="25" t="s">
        <v>60</v>
      </c>
      <c r="P19" s="25"/>
      <c r="Q19" s="25"/>
      <c r="R19" s="21">
        <v>2</v>
      </c>
      <c r="S19" s="23">
        <v>45852</v>
      </c>
      <c r="T19" s="23">
        <v>45853</v>
      </c>
      <c r="U19" s="23"/>
      <c r="V19" s="23"/>
      <c r="W19" s="23">
        <v>45853</v>
      </c>
      <c r="X19" s="21" t="s">
        <v>50</v>
      </c>
      <c r="Y19" s="4" t="str">
        <f>IF(Tabela2[[#This Row],[SIGLA]]="","",VLOOKUP(Tabela2[[#This Row],[SIGLA]],Tabela1[[#All],[Sigla Arte]:[Crédito]],2,0))</f>
        <v>KEITHY MOSTACHI/ARQUIVO DA EDITORA</v>
      </c>
      <c r="Z19" s="22"/>
      <c r="AA19" s="22" t="str">
        <f>Tabela2[[#This Row],[ilustrador]]</f>
        <v>KEITHY MOSTACHI/ARQUIVO DA EDITORA</v>
      </c>
      <c r="AB19" s="21">
        <v>10</v>
      </c>
      <c r="AC19" s="19" t="s">
        <v>19</v>
      </c>
      <c r="AD19" s="19" t="s">
        <v>20</v>
      </c>
      <c r="AE19" s="4" t="str">
        <f t="shared" si="0"/>
        <v>EF1 E002 R.Sul</v>
      </c>
    </row>
    <row r="20" spans="1:31" s="12" customFormat="1" ht="43.2" x14ac:dyDescent="0.3">
      <c r="A20" s="22" t="s">
        <v>61</v>
      </c>
      <c r="B20" s="19" t="s">
        <v>1155</v>
      </c>
      <c r="C20" s="19" t="s">
        <v>16</v>
      </c>
      <c r="D20" s="19" t="s">
        <v>9</v>
      </c>
      <c r="E20" s="21">
        <v>24</v>
      </c>
      <c r="F20" s="21">
        <v>3</v>
      </c>
      <c r="G20" s="21">
        <v>1</v>
      </c>
      <c r="H20" s="21"/>
      <c r="I20" s="22" t="s">
        <v>62</v>
      </c>
      <c r="J20" s="22"/>
      <c r="K20" s="21"/>
      <c r="L20" s="21"/>
      <c r="M20" s="22"/>
      <c r="N20" s="22"/>
      <c r="O20" s="25" t="s">
        <v>63</v>
      </c>
      <c r="P20" s="25"/>
      <c r="Q20" s="25"/>
      <c r="R20" s="21"/>
      <c r="S20" s="23"/>
      <c r="T20" s="23"/>
      <c r="U20" s="23"/>
      <c r="V20" s="23"/>
      <c r="W20" s="23"/>
      <c r="X20" s="21" t="s">
        <v>24</v>
      </c>
      <c r="Y20" s="4" t="str">
        <f>IF(Tabela2[[#This Row],[SIGLA]]="","",VLOOKUP(Tabela2[[#This Row],[SIGLA]],Tabela1[[#All],[Sigla Arte]:[Crédito]],2,0))</f>
        <v>EDSON BELLUSCI/ARQUIVO DA EDITORA</v>
      </c>
      <c r="Z20" s="22"/>
      <c r="AA20" s="22" t="str">
        <f>Tabela2[[#This Row],[ilustrador]]</f>
        <v>EDSON BELLUSCI/ARQUIVO DA EDITORA</v>
      </c>
      <c r="AB20" s="21"/>
      <c r="AC20" s="19"/>
      <c r="AD20" s="19"/>
      <c r="AE20" s="4" t="str">
        <f t="shared" si="0"/>
        <v>EF1 E002 R.Sul</v>
      </c>
    </row>
    <row r="21" spans="1:31" s="12" customFormat="1" x14ac:dyDescent="0.3">
      <c r="A21" s="22" t="s">
        <v>64</v>
      </c>
      <c r="B21" s="19" t="s">
        <v>65</v>
      </c>
      <c r="C21" s="19" t="s">
        <v>8</v>
      </c>
      <c r="D21" s="19" t="s">
        <v>66</v>
      </c>
      <c r="E21" s="21">
        <v>1</v>
      </c>
      <c r="F21" s="21">
        <v>3</v>
      </c>
      <c r="G21" s="21">
        <v>1</v>
      </c>
      <c r="H21" s="21"/>
      <c r="I21" s="22" t="s">
        <v>10</v>
      </c>
      <c r="J21" s="22"/>
      <c r="K21" s="21"/>
      <c r="L21" s="21"/>
      <c r="M21" s="22"/>
      <c r="N21" s="22"/>
      <c r="O21" s="25" t="s">
        <v>67</v>
      </c>
      <c r="P21" s="25"/>
      <c r="Q21" s="25"/>
      <c r="R21" s="21"/>
      <c r="S21" s="23"/>
      <c r="T21" s="23">
        <v>45894</v>
      </c>
      <c r="U21" s="23">
        <v>45867</v>
      </c>
      <c r="V21" s="23">
        <v>45870</v>
      </c>
      <c r="W21" s="23">
        <v>45878</v>
      </c>
      <c r="X21" s="21" t="s">
        <v>68</v>
      </c>
      <c r="Y21" s="4" t="str">
        <f>IF(Tabela2[[#This Row],[SIGLA]]="","",VLOOKUP(Tabela2[[#This Row],[SIGLA]],Tabela1[[#All],[Sigla Arte]:[Crédito]],2,0))</f>
        <v>JÉSSYKA GOMES/ARQUIVO DA EDITORA</v>
      </c>
      <c r="Z21" s="22"/>
      <c r="AA21" s="22" t="str">
        <f>Tabela2[[#This Row],[ilustrador]]</f>
        <v>JÉSSYKA GOMES/ARQUIVO DA EDITORA</v>
      </c>
      <c r="AB21" s="21">
        <v>30</v>
      </c>
      <c r="AC21" s="19" t="s">
        <v>69</v>
      </c>
      <c r="AD21" s="19" t="s">
        <v>14</v>
      </c>
      <c r="AE21" s="4" t="str">
        <f t="shared" si="0"/>
        <v>EF1 E002 R.Sul</v>
      </c>
    </row>
    <row r="22" spans="1:31" s="12" customFormat="1" ht="72" x14ac:dyDescent="0.3">
      <c r="A22" s="22" t="s">
        <v>70</v>
      </c>
      <c r="B22" s="19" t="s">
        <v>7</v>
      </c>
      <c r="C22" s="19" t="s">
        <v>16</v>
      </c>
      <c r="D22" s="19" t="s">
        <v>9</v>
      </c>
      <c r="E22" s="21">
        <v>79</v>
      </c>
      <c r="F22" s="21">
        <v>3</v>
      </c>
      <c r="G22" s="21">
        <v>4</v>
      </c>
      <c r="H22" s="21"/>
      <c r="I22" s="22" t="s">
        <v>10</v>
      </c>
      <c r="J22" s="22"/>
      <c r="K22" s="21"/>
      <c r="L22" s="21"/>
      <c r="M22" s="22"/>
      <c r="N22" s="22"/>
      <c r="O22" s="25" t="s">
        <v>71</v>
      </c>
      <c r="P22" s="25"/>
      <c r="Q22" s="25"/>
      <c r="R22" s="21">
        <v>3</v>
      </c>
      <c r="S22" s="23">
        <v>45854</v>
      </c>
      <c r="T22" s="23">
        <v>45854</v>
      </c>
      <c r="U22" s="23"/>
      <c r="V22" s="23"/>
      <c r="W22" s="23">
        <v>45856</v>
      </c>
      <c r="X22" s="21" t="s">
        <v>18</v>
      </c>
      <c r="Y22" s="4" t="str">
        <f>IF(Tabela2[[#This Row],[SIGLA]]="","",VLOOKUP(Tabela2[[#This Row],[SIGLA]],Tabela1[[#All],[Sigla Arte]:[Crédito]],2,0))</f>
        <v>VINÍCIUS COSTA/ARQUIVO DA EDITORA</v>
      </c>
      <c r="Z22" s="22"/>
      <c r="AA22" s="22" t="str">
        <f>Tabela2[[#This Row],[ilustrador]]</f>
        <v>VINÍCIUS COSTA/ARQUIVO DA EDITORA</v>
      </c>
      <c r="AB22" s="21">
        <v>10</v>
      </c>
      <c r="AC22" s="19" t="s">
        <v>19</v>
      </c>
      <c r="AD22" s="19" t="s">
        <v>20</v>
      </c>
      <c r="AE22" s="4" t="str">
        <f t="shared" si="0"/>
        <v>EF1 E002 R.Sul</v>
      </c>
    </row>
    <row r="23" spans="1:31" s="12" customFormat="1" ht="158.4" x14ac:dyDescent="0.3">
      <c r="A23" s="22" t="s">
        <v>72</v>
      </c>
      <c r="B23" s="19" t="s">
        <v>7</v>
      </c>
      <c r="C23" s="19" t="s">
        <v>16</v>
      </c>
      <c r="D23" s="19" t="s">
        <v>9</v>
      </c>
      <c r="E23" s="21">
        <v>81</v>
      </c>
      <c r="F23" s="21">
        <v>3</v>
      </c>
      <c r="G23" s="21">
        <v>4</v>
      </c>
      <c r="H23" s="21"/>
      <c r="I23" s="22" t="s">
        <v>10</v>
      </c>
      <c r="J23" s="22"/>
      <c r="K23" s="21"/>
      <c r="L23" s="21"/>
      <c r="M23" s="22"/>
      <c r="N23" s="22"/>
      <c r="O23" s="25" t="s">
        <v>73</v>
      </c>
      <c r="P23" s="25"/>
      <c r="Q23" s="25"/>
      <c r="R23" s="21">
        <v>3</v>
      </c>
      <c r="S23" s="23">
        <v>45854</v>
      </c>
      <c r="T23" s="23">
        <v>45854</v>
      </c>
      <c r="U23" s="23"/>
      <c r="V23" s="23"/>
      <c r="W23" s="23">
        <v>45856</v>
      </c>
      <c r="X23" s="21" t="s">
        <v>18</v>
      </c>
      <c r="Y23" s="4" t="str">
        <f>IF(Tabela2[[#This Row],[SIGLA]]="","",VLOOKUP(Tabela2[[#This Row],[SIGLA]],Tabela1[[#All],[Sigla Arte]:[Crédito]],2,0))</f>
        <v>VINÍCIUS COSTA/ARQUIVO DA EDITORA</v>
      </c>
      <c r="Z23" s="22"/>
      <c r="AA23" s="22" t="str">
        <f>Tabela2[[#This Row],[ilustrador]]</f>
        <v>VINÍCIUS COSTA/ARQUIVO DA EDITORA</v>
      </c>
      <c r="AB23" s="21">
        <v>10</v>
      </c>
      <c r="AC23" s="19" t="s">
        <v>19</v>
      </c>
      <c r="AD23" s="19" t="s">
        <v>20</v>
      </c>
      <c r="AE23" s="4" t="str">
        <f t="shared" si="0"/>
        <v>EF1 E002 R.Sul</v>
      </c>
    </row>
    <row r="24" spans="1:31" s="12" customFormat="1" ht="72" x14ac:dyDescent="0.3">
      <c r="A24" s="22" t="s">
        <v>74</v>
      </c>
      <c r="B24" s="19" t="s">
        <v>7</v>
      </c>
      <c r="C24" s="19" t="s">
        <v>8</v>
      </c>
      <c r="D24" s="19" t="s">
        <v>9</v>
      </c>
      <c r="E24" s="21">
        <v>91</v>
      </c>
      <c r="F24" s="21">
        <v>3</v>
      </c>
      <c r="G24" s="21">
        <v>4</v>
      </c>
      <c r="H24" s="21"/>
      <c r="I24" s="22" t="s">
        <v>10</v>
      </c>
      <c r="J24" s="22"/>
      <c r="K24" s="21"/>
      <c r="L24" s="21"/>
      <c r="M24" s="22"/>
      <c r="N24" s="22"/>
      <c r="O24" s="25" t="s">
        <v>75</v>
      </c>
      <c r="P24" s="25"/>
      <c r="Q24" s="25"/>
      <c r="R24" s="21">
        <v>3</v>
      </c>
      <c r="S24" s="23">
        <v>45854</v>
      </c>
      <c r="T24" s="23">
        <v>45854</v>
      </c>
      <c r="U24" s="23"/>
      <c r="V24" s="23"/>
      <c r="W24" s="23">
        <v>45856</v>
      </c>
      <c r="X24" s="21" t="s">
        <v>18</v>
      </c>
      <c r="Y24" s="4" t="str">
        <f>IF(Tabela2[[#This Row],[SIGLA]]="","",VLOOKUP(Tabela2[[#This Row],[SIGLA]],Tabela1[[#All],[Sigla Arte]:[Crédito]],2,0))</f>
        <v>VINÍCIUS COSTA/ARQUIVO DA EDITORA</v>
      </c>
      <c r="Z24" s="22"/>
      <c r="AA24" s="22" t="str">
        <f>Tabela2[[#This Row],[ilustrador]]</f>
        <v>VINÍCIUS COSTA/ARQUIVO DA EDITORA</v>
      </c>
      <c r="AB24" s="21">
        <v>8</v>
      </c>
      <c r="AC24" s="19" t="s">
        <v>19</v>
      </c>
      <c r="AD24" s="19" t="s">
        <v>20</v>
      </c>
      <c r="AE24" s="4" t="str">
        <f t="shared" si="0"/>
        <v>EF1 E002 R.Sul</v>
      </c>
    </row>
    <row r="25" spans="1:31" s="12" customFormat="1" ht="72" x14ac:dyDescent="0.3">
      <c r="A25" s="22" t="s">
        <v>76</v>
      </c>
      <c r="B25" s="19" t="s">
        <v>7</v>
      </c>
      <c r="C25" s="19" t="s">
        <v>8</v>
      </c>
      <c r="D25" s="19" t="s">
        <v>9</v>
      </c>
      <c r="E25" s="21">
        <v>91</v>
      </c>
      <c r="F25" s="21">
        <v>3</v>
      </c>
      <c r="G25" s="21">
        <v>4</v>
      </c>
      <c r="H25" s="21"/>
      <c r="I25" s="22" t="s">
        <v>10</v>
      </c>
      <c r="J25" s="22"/>
      <c r="K25" s="21"/>
      <c r="L25" s="21"/>
      <c r="M25" s="22"/>
      <c r="N25" s="22"/>
      <c r="O25" s="25" t="s">
        <v>77</v>
      </c>
      <c r="P25" s="25"/>
      <c r="Q25" s="25"/>
      <c r="R25" s="21">
        <v>3</v>
      </c>
      <c r="S25" s="23">
        <v>45854</v>
      </c>
      <c r="T25" s="23">
        <v>45854</v>
      </c>
      <c r="U25" s="23"/>
      <c r="V25" s="23"/>
      <c r="W25" s="23">
        <v>45856</v>
      </c>
      <c r="X25" s="21" t="s">
        <v>18</v>
      </c>
      <c r="Y25" s="4" t="str">
        <f>IF(Tabela2[[#This Row],[SIGLA]]="","",VLOOKUP(Tabela2[[#This Row],[SIGLA]],Tabela1[[#All],[Sigla Arte]:[Crédito]],2,0))</f>
        <v>VINÍCIUS COSTA/ARQUIVO DA EDITORA</v>
      </c>
      <c r="Z25" s="22"/>
      <c r="AA25" s="22" t="str">
        <f>Tabela2[[#This Row],[ilustrador]]</f>
        <v>VINÍCIUS COSTA/ARQUIVO DA EDITORA</v>
      </c>
      <c r="AB25" s="21">
        <v>8</v>
      </c>
      <c r="AC25" s="19" t="s">
        <v>19</v>
      </c>
      <c r="AD25" s="19" t="s">
        <v>20</v>
      </c>
      <c r="AE25" s="4" t="str">
        <f t="shared" si="0"/>
        <v>EF1 E002 R.Sul</v>
      </c>
    </row>
    <row r="26" spans="1:31" s="12" customFormat="1" ht="72" x14ac:dyDescent="0.3">
      <c r="A26" s="22" t="s">
        <v>78</v>
      </c>
      <c r="B26" s="19" t="s">
        <v>7</v>
      </c>
      <c r="C26" s="19" t="s">
        <v>8</v>
      </c>
      <c r="D26" s="19" t="s">
        <v>9</v>
      </c>
      <c r="E26" s="21">
        <v>91</v>
      </c>
      <c r="F26" s="21">
        <v>3</v>
      </c>
      <c r="G26" s="21">
        <v>4</v>
      </c>
      <c r="H26" s="21"/>
      <c r="I26" s="22" t="s">
        <v>10</v>
      </c>
      <c r="J26" s="22"/>
      <c r="K26" s="21"/>
      <c r="L26" s="21"/>
      <c r="M26" s="22"/>
      <c r="N26" s="22"/>
      <c r="O26" s="25" t="s">
        <v>79</v>
      </c>
      <c r="P26" s="25"/>
      <c r="Q26" s="25"/>
      <c r="R26" s="21">
        <v>3</v>
      </c>
      <c r="S26" s="23">
        <v>45854</v>
      </c>
      <c r="T26" s="23">
        <v>45854</v>
      </c>
      <c r="U26" s="23"/>
      <c r="V26" s="23"/>
      <c r="W26" s="23">
        <v>45856</v>
      </c>
      <c r="X26" s="21" t="s">
        <v>18</v>
      </c>
      <c r="Y26" s="4" t="str">
        <f>IF(Tabela2[[#This Row],[SIGLA]]="","",VLOOKUP(Tabela2[[#This Row],[SIGLA]],Tabela1[[#All],[Sigla Arte]:[Crédito]],2,0))</f>
        <v>VINÍCIUS COSTA/ARQUIVO DA EDITORA</v>
      </c>
      <c r="Z26" s="22"/>
      <c r="AA26" s="22" t="str">
        <f>Tabela2[[#This Row],[ilustrador]]</f>
        <v>VINÍCIUS COSTA/ARQUIVO DA EDITORA</v>
      </c>
      <c r="AB26" s="21">
        <v>8</v>
      </c>
      <c r="AC26" s="19" t="s">
        <v>19</v>
      </c>
      <c r="AD26" s="19" t="s">
        <v>20</v>
      </c>
      <c r="AE26" s="4" t="str">
        <f t="shared" si="0"/>
        <v>EF1 E002 R.Sul</v>
      </c>
    </row>
    <row r="27" spans="1:31" s="12" customFormat="1" ht="72" x14ac:dyDescent="0.3">
      <c r="A27" s="22" t="s">
        <v>80</v>
      </c>
      <c r="B27" s="19" t="s">
        <v>7</v>
      </c>
      <c r="C27" s="19" t="s">
        <v>8</v>
      </c>
      <c r="D27" s="19" t="s">
        <v>9</v>
      </c>
      <c r="E27" s="21">
        <v>94</v>
      </c>
      <c r="F27" s="21">
        <v>3</v>
      </c>
      <c r="G27" s="21">
        <v>4</v>
      </c>
      <c r="H27" s="21"/>
      <c r="I27" s="22" t="s">
        <v>10</v>
      </c>
      <c r="J27" s="22"/>
      <c r="K27" s="21"/>
      <c r="L27" s="21"/>
      <c r="M27" s="22"/>
      <c r="N27" s="22"/>
      <c r="O27" s="25" t="s">
        <v>81</v>
      </c>
      <c r="P27" s="25"/>
      <c r="Q27" s="25"/>
      <c r="R27" s="21">
        <v>3</v>
      </c>
      <c r="S27" s="23">
        <v>45854</v>
      </c>
      <c r="T27" s="23">
        <v>45855</v>
      </c>
      <c r="U27" s="23">
        <v>45860</v>
      </c>
      <c r="V27" s="23">
        <v>45863</v>
      </c>
      <c r="W27" s="23">
        <v>45867</v>
      </c>
      <c r="X27" s="21" t="s">
        <v>82</v>
      </c>
      <c r="Y27" s="4" t="str">
        <f>IF(Tabela2[[#This Row],[SIGLA]]="","",VLOOKUP(Tabela2[[#This Row],[SIGLA]],Tabela1[[#All],[Sigla Arte]:[Crédito]],2,0))</f>
        <v>RAFAEL LUZIO/ARQUIVO DA EDITORA</v>
      </c>
      <c r="Z27" s="22"/>
      <c r="AA27" s="22" t="str">
        <f>Tabela2[[#This Row],[ilustrador]]</f>
        <v>RAFAEL LUZIO/ARQUIVO DA EDITORA</v>
      </c>
      <c r="AB27" s="21">
        <v>3</v>
      </c>
      <c r="AC27" s="19" t="s">
        <v>83</v>
      </c>
      <c r="AD27" s="19" t="s">
        <v>14</v>
      </c>
      <c r="AE27" s="4" t="str">
        <f t="shared" si="0"/>
        <v>EF1 E002 R.Sul</v>
      </c>
    </row>
    <row r="28" spans="1:31" s="12" customFormat="1" ht="158.4" x14ac:dyDescent="0.3">
      <c r="A28" s="22" t="s">
        <v>84</v>
      </c>
      <c r="B28" s="19" t="s">
        <v>7</v>
      </c>
      <c r="C28" s="19" t="s">
        <v>8</v>
      </c>
      <c r="D28" s="19" t="s">
        <v>9</v>
      </c>
      <c r="E28" s="21">
        <v>95</v>
      </c>
      <c r="F28" s="21">
        <v>3</v>
      </c>
      <c r="G28" s="21">
        <v>4</v>
      </c>
      <c r="H28" s="21"/>
      <c r="I28" s="22" t="s">
        <v>10</v>
      </c>
      <c r="J28" s="22"/>
      <c r="K28" s="21"/>
      <c r="L28" s="21"/>
      <c r="M28" s="22"/>
      <c r="N28" s="22"/>
      <c r="O28" s="25" t="s">
        <v>85</v>
      </c>
      <c r="P28" s="25"/>
      <c r="Q28" s="25"/>
      <c r="R28" s="21">
        <v>3</v>
      </c>
      <c r="S28" s="23">
        <v>45854</v>
      </c>
      <c r="T28" s="23">
        <v>45855</v>
      </c>
      <c r="U28" s="23">
        <v>45860</v>
      </c>
      <c r="V28" s="23">
        <v>45863</v>
      </c>
      <c r="W28" s="23">
        <v>45867</v>
      </c>
      <c r="X28" s="21" t="s">
        <v>82</v>
      </c>
      <c r="Y28" s="4" t="str">
        <f>IF(Tabela2[[#This Row],[SIGLA]]="","",VLOOKUP(Tabela2[[#This Row],[SIGLA]],Tabela1[[#All],[Sigla Arte]:[Crédito]],2,0))</f>
        <v>RAFAEL LUZIO/ARQUIVO DA EDITORA</v>
      </c>
      <c r="Z28" s="22"/>
      <c r="AA28" s="22" t="str">
        <f>Tabela2[[#This Row],[ilustrador]]</f>
        <v>RAFAEL LUZIO/ARQUIVO DA EDITORA</v>
      </c>
      <c r="AB28" s="21">
        <v>5</v>
      </c>
      <c r="AC28" s="19" t="s">
        <v>83</v>
      </c>
      <c r="AD28" s="19" t="s">
        <v>14</v>
      </c>
      <c r="AE28" s="4" t="str">
        <f t="shared" si="0"/>
        <v>EF1 E002 R.Sul</v>
      </c>
    </row>
    <row r="29" spans="1:31" s="12" customFormat="1" ht="100.8" x14ac:dyDescent="0.3">
      <c r="A29" s="22" t="s">
        <v>86</v>
      </c>
      <c r="B29" s="19" t="s">
        <v>7</v>
      </c>
      <c r="C29" s="19" t="s">
        <v>16</v>
      </c>
      <c r="D29" s="19" t="s">
        <v>9</v>
      </c>
      <c r="E29" s="21">
        <v>30</v>
      </c>
      <c r="F29" s="21">
        <v>3</v>
      </c>
      <c r="G29" s="21">
        <v>2</v>
      </c>
      <c r="H29" s="21"/>
      <c r="I29" s="22" t="s">
        <v>22</v>
      </c>
      <c r="J29" s="22"/>
      <c r="K29" s="21"/>
      <c r="L29" s="21"/>
      <c r="M29" s="22"/>
      <c r="N29" s="22"/>
      <c r="O29" s="25" t="s">
        <v>87</v>
      </c>
      <c r="P29" s="25"/>
      <c r="Q29" s="25"/>
      <c r="R29" s="21">
        <v>4</v>
      </c>
      <c r="S29" s="23">
        <v>45857</v>
      </c>
      <c r="T29" s="23">
        <v>45887</v>
      </c>
      <c r="U29" s="23"/>
      <c r="V29" s="23"/>
      <c r="W29" s="23">
        <v>45887</v>
      </c>
      <c r="X29" s="21" t="s">
        <v>24</v>
      </c>
      <c r="Y29" s="4" t="str">
        <f>IF(Tabela2[[#This Row],[SIGLA]]="","",VLOOKUP(Tabela2[[#This Row],[SIGLA]],Tabela1[[#All],[Sigla Arte]:[Crédito]],2,0))</f>
        <v>EDSON BELLUSCI/ARQUIVO DA EDITORA</v>
      </c>
      <c r="Z29" s="22" t="s">
        <v>42</v>
      </c>
      <c r="AA29" s="22" t="str">
        <f>Tabela2[[#This Row],[ilustrador]]</f>
        <v>EDSON BELLUSCI/ARQUIVO DA EDITORA</v>
      </c>
      <c r="AB29" s="21">
        <v>13</v>
      </c>
      <c r="AC29" s="19" t="s">
        <v>26</v>
      </c>
      <c r="AD29" s="19" t="s">
        <v>20</v>
      </c>
      <c r="AE29" s="4" t="str">
        <f t="shared" si="0"/>
        <v>EF1 E002 R.Sul</v>
      </c>
    </row>
    <row r="30" spans="1:31" s="12" customFormat="1" ht="115.2" x14ac:dyDescent="0.3">
      <c r="A30" s="22" t="s">
        <v>88</v>
      </c>
      <c r="B30" s="19" t="s">
        <v>7</v>
      </c>
      <c r="C30" s="19" t="s">
        <v>16</v>
      </c>
      <c r="D30" s="19" t="s">
        <v>9</v>
      </c>
      <c r="E30" s="21">
        <v>32</v>
      </c>
      <c r="F30" s="21">
        <v>3</v>
      </c>
      <c r="G30" s="21">
        <v>2</v>
      </c>
      <c r="H30" s="21"/>
      <c r="I30" s="22" t="s">
        <v>10</v>
      </c>
      <c r="J30" s="22"/>
      <c r="K30" s="21"/>
      <c r="L30" s="21"/>
      <c r="M30" s="22"/>
      <c r="N30" s="22"/>
      <c r="O30" s="25" t="s">
        <v>89</v>
      </c>
      <c r="P30" s="25"/>
      <c r="Q30" s="25"/>
      <c r="R30" s="21">
        <v>4</v>
      </c>
      <c r="S30" s="23">
        <v>45857</v>
      </c>
      <c r="T30" s="23">
        <v>45887</v>
      </c>
      <c r="U30" s="23"/>
      <c r="V30" s="23"/>
      <c r="W30" s="23">
        <v>45887</v>
      </c>
      <c r="X30" s="21" t="s">
        <v>18</v>
      </c>
      <c r="Y30" s="4" t="str">
        <f>IF(Tabela2[[#This Row],[SIGLA]]="","",VLOOKUP(Tabela2[[#This Row],[SIGLA]],Tabela1[[#All],[Sigla Arte]:[Crédito]],2,0))</f>
        <v>VINÍCIUS COSTA/ARQUIVO DA EDITORA</v>
      </c>
      <c r="Z30" s="22" t="s">
        <v>42</v>
      </c>
      <c r="AA30" s="22" t="str">
        <f>Tabela2[[#This Row],[ilustrador]]</f>
        <v>VINÍCIUS COSTA/ARQUIVO DA EDITORA</v>
      </c>
      <c r="AB30" s="21">
        <v>10</v>
      </c>
      <c r="AC30" s="19" t="s">
        <v>19</v>
      </c>
      <c r="AD30" s="19" t="s">
        <v>20</v>
      </c>
      <c r="AE30" s="4" t="str">
        <f t="shared" si="0"/>
        <v>EF1 E002 R.Sul</v>
      </c>
    </row>
    <row r="31" spans="1:31" s="12" customFormat="1" ht="158.4" x14ac:dyDescent="0.3">
      <c r="A31" s="22" t="s">
        <v>90</v>
      </c>
      <c r="B31" s="19" t="s">
        <v>7</v>
      </c>
      <c r="C31" s="19" t="s">
        <v>16</v>
      </c>
      <c r="D31" s="19" t="s">
        <v>9</v>
      </c>
      <c r="E31" s="21">
        <v>35</v>
      </c>
      <c r="F31" s="21">
        <v>3</v>
      </c>
      <c r="G31" s="21">
        <v>2</v>
      </c>
      <c r="H31" s="21"/>
      <c r="I31" s="22" t="s">
        <v>22</v>
      </c>
      <c r="J31" s="22"/>
      <c r="K31" s="21"/>
      <c r="L31" s="21"/>
      <c r="M31" s="22"/>
      <c r="N31" s="22"/>
      <c r="O31" s="25" t="s">
        <v>91</v>
      </c>
      <c r="P31" s="25"/>
      <c r="Q31" s="25"/>
      <c r="R31" s="21">
        <v>4</v>
      </c>
      <c r="S31" s="23">
        <v>45857</v>
      </c>
      <c r="T31" s="23">
        <v>45887</v>
      </c>
      <c r="U31" s="23"/>
      <c r="V31" s="23"/>
      <c r="W31" s="23">
        <v>45887</v>
      </c>
      <c r="X31" s="21" t="s">
        <v>24</v>
      </c>
      <c r="Y31" s="4" t="str">
        <f>IF(Tabela2[[#This Row],[SIGLA]]="","",VLOOKUP(Tabela2[[#This Row],[SIGLA]],Tabela1[[#All],[Sigla Arte]:[Crédito]],2,0))</f>
        <v>EDSON BELLUSCI/ARQUIVO DA EDITORA</v>
      </c>
      <c r="Z31" s="22" t="s">
        <v>42</v>
      </c>
      <c r="AA31" s="22" t="str">
        <f>Tabela2[[#This Row],[ilustrador]]</f>
        <v>EDSON BELLUSCI/ARQUIVO DA EDITORA</v>
      </c>
      <c r="AB31" s="21">
        <v>13</v>
      </c>
      <c r="AC31" s="19" t="s">
        <v>26</v>
      </c>
      <c r="AD31" s="19" t="s">
        <v>20</v>
      </c>
      <c r="AE31" s="4" t="str">
        <f t="shared" si="0"/>
        <v>EF1 E002 R.Sul</v>
      </c>
    </row>
    <row r="32" spans="1:31" s="12" customFormat="1" ht="115.2" x14ac:dyDescent="0.3">
      <c r="A32" s="22" t="s">
        <v>92</v>
      </c>
      <c r="B32" s="19" t="s">
        <v>7</v>
      </c>
      <c r="C32" s="19" t="s">
        <v>16</v>
      </c>
      <c r="D32" s="19" t="s">
        <v>9</v>
      </c>
      <c r="E32" s="21">
        <v>39</v>
      </c>
      <c r="F32" s="21">
        <v>3</v>
      </c>
      <c r="G32" s="21">
        <v>2</v>
      </c>
      <c r="H32" s="21"/>
      <c r="I32" s="22" t="s">
        <v>22</v>
      </c>
      <c r="J32" s="22"/>
      <c r="K32" s="21"/>
      <c r="L32" s="21"/>
      <c r="M32" s="22"/>
      <c r="N32" s="22"/>
      <c r="O32" s="25" t="s">
        <v>93</v>
      </c>
      <c r="P32" s="25"/>
      <c r="Q32" s="25"/>
      <c r="R32" s="21">
        <v>4</v>
      </c>
      <c r="S32" s="23">
        <v>45857</v>
      </c>
      <c r="T32" s="23">
        <v>45887</v>
      </c>
      <c r="U32" s="23"/>
      <c r="V32" s="23"/>
      <c r="W32" s="23">
        <v>45887</v>
      </c>
      <c r="X32" s="21" t="s">
        <v>24</v>
      </c>
      <c r="Y32" s="4" t="str">
        <f>IF(Tabela2[[#This Row],[SIGLA]]="","",VLOOKUP(Tabela2[[#This Row],[SIGLA]],Tabela1[[#All],[Sigla Arte]:[Crédito]],2,0))</f>
        <v>EDSON BELLUSCI/ARQUIVO DA EDITORA</v>
      </c>
      <c r="Z32" s="22" t="s">
        <v>42</v>
      </c>
      <c r="AA32" s="22" t="str">
        <f>Tabela2[[#This Row],[ilustrador]]</f>
        <v>EDSON BELLUSCI/ARQUIVO DA EDITORA</v>
      </c>
      <c r="AB32" s="21">
        <v>13</v>
      </c>
      <c r="AC32" s="19" t="s">
        <v>26</v>
      </c>
      <c r="AD32" s="19" t="s">
        <v>20</v>
      </c>
      <c r="AE32" s="4" t="str">
        <f t="shared" si="0"/>
        <v>EF1 E002 R.Sul</v>
      </c>
    </row>
    <row r="33" spans="1:31" s="12" customFormat="1" ht="129.6" x14ac:dyDescent="0.3">
      <c r="A33" s="22" t="s">
        <v>94</v>
      </c>
      <c r="B33" s="19" t="s">
        <v>7</v>
      </c>
      <c r="C33" s="19" t="s">
        <v>16</v>
      </c>
      <c r="D33" s="19" t="s">
        <v>9</v>
      </c>
      <c r="E33" s="21">
        <v>42</v>
      </c>
      <c r="F33" s="21">
        <v>3</v>
      </c>
      <c r="G33" s="21">
        <v>2</v>
      </c>
      <c r="H33" s="21"/>
      <c r="I33" s="22" t="s">
        <v>22</v>
      </c>
      <c r="J33" s="22"/>
      <c r="K33" s="21"/>
      <c r="L33" s="21"/>
      <c r="M33" s="22"/>
      <c r="N33" s="22"/>
      <c r="O33" s="25" t="s">
        <v>95</v>
      </c>
      <c r="P33" s="25"/>
      <c r="Q33" s="25"/>
      <c r="R33" s="21">
        <v>4</v>
      </c>
      <c r="S33" s="23">
        <v>45857</v>
      </c>
      <c r="T33" s="23">
        <v>45887</v>
      </c>
      <c r="U33" s="23"/>
      <c r="V33" s="23"/>
      <c r="W33" s="23">
        <v>45887</v>
      </c>
      <c r="X33" s="21" t="s">
        <v>24</v>
      </c>
      <c r="Y33" s="4" t="str">
        <f>IF(Tabela2[[#This Row],[SIGLA]]="","",VLOOKUP(Tabela2[[#This Row],[SIGLA]],Tabela1[[#All],[Sigla Arte]:[Crédito]],2,0))</f>
        <v>EDSON BELLUSCI/ARQUIVO DA EDITORA</v>
      </c>
      <c r="Z33" s="22" t="s">
        <v>42</v>
      </c>
      <c r="AA33" s="22" t="str">
        <f>Tabela2[[#This Row],[ilustrador]]</f>
        <v>EDSON BELLUSCI/ARQUIVO DA EDITORA</v>
      </c>
      <c r="AB33" s="21">
        <v>13</v>
      </c>
      <c r="AC33" s="19" t="s">
        <v>26</v>
      </c>
      <c r="AD33" s="19" t="s">
        <v>20</v>
      </c>
      <c r="AE33" s="4" t="str">
        <f t="shared" si="0"/>
        <v>EF1 E002 R.Sul</v>
      </c>
    </row>
    <row r="34" spans="1:31" s="12" customFormat="1" ht="115.2" x14ac:dyDescent="0.3">
      <c r="A34" s="22" t="s">
        <v>96</v>
      </c>
      <c r="B34" s="19" t="s">
        <v>7</v>
      </c>
      <c r="C34" s="19" t="s">
        <v>8</v>
      </c>
      <c r="D34" s="19" t="s">
        <v>97</v>
      </c>
      <c r="E34" s="21">
        <v>9</v>
      </c>
      <c r="F34" s="21">
        <v>3</v>
      </c>
      <c r="G34" s="21">
        <v>1</v>
      </c>
      <c r="H34" s="21"/>
      <c r="I34" s="22" t="s">
        <v>10</v>
      </c>
      <c r="J34" s="22"/>
      <c r="K34" s="21"/>
      <c r="L34" s="21"/>
      <c r="M34" s="22"/>
      <c r="N34" s="22"/>
      <c r="O34" s="25" t="s">
        <v>98</v>
      </c>
      <c r="P34" s="25"/>
      <c r="Q34" s="25"/>
      <c r="R34" s="21">
        <v>5</v>
      </c>
      <c r="S34" s="23">
        <v>45864</v>
      </c>
      <c r="T34" s="23">
        <v>45866</v>
      </c>
      <c r="U34" s="23">
        <v>45867</v>
      </c>
      <c r="V34" s="23">
        <v>45870</v>
      </c>
      <c r="W34" s="23">
        <v>45873</v>
      </c>
      <c r="X34" s="21" t="s">
        <v>12</v>
      </c>
      <c r="Y34" s="4" t="str">
        <f>IF(Tabela2[[#This Row],[SIGLA]]="","",VLOOKUP(Tabela2[[#This Row],[SIGLA]],Tabela1[[#All],[Sigla Arte]:[Crédito]],2,0))</f>
        <v>HUGO ARAÚJO/ARQUIVO DA EDITORA</v>
      </c>
      <c r="Z34" s="22"/>
      <c r="AA34" s="22" t="str">
        <f>Tabela2[[#This Row],[ilustrador]]</f>
        <v>HUGO ARAÚJO/ARQUIVO DA EDITORA</v>
      </c>
      <c r="AB34" s="21">
        <v>7</v>
      </c>
      <c r="AC34" s="19" t="s">
        <v>99</v>
      </c>
      <c r="AD34" s="19" t="s">
        <v>14</v>
      </c>
      <c r="AE34" s="4" t="str">
        <f t="shared" si="0"/>
        <v>EF1 E002 R.Sul</v>
      </c>
    </row>
    <row r="35" spans="1:31" s="12" customFormat="1" ht="158.4" x14ac:dyDescent="0.3">
      <c r="A35" s="22" t="s">
        <v>100</v>
      </c>
      <c r="B35" s="19" t="s">
        <v>7</v>
      </c>
      <c r="C35" s="19" t="s">
        <v>16</v>
      </c>
      <c r="D35" s="19" t="s">
        <v>9</v>
      </c>
      <c r="E35" s="21">
        <v>11</v>
      </c>
      <c r="F35" s="21">
        <v>3</v>
      </c>
      <c r="G35" s="21">
        <v>1</v>
      </c>
      <c r="H35" s="21"/>
      <c r="I35" s="22" t="s">
        <v>10</v>
      </c>
      <c r="J35" s="22"/>
      <c r="K35" s="21"/>
      <c r="L35" s="21"/>
      <c r="M35" s="22"/>
      <c r="N35" s="22"/>
      <c r="O35" s="25" t="s">
        <v>101</v>
      </c>
      <c r="P35" s="25"/>
      <c r="Q35" s="25"/>
      <c r="R35" s="21">
        <v>5</v>
      </c>
      <c r="S35" s="23">
        <v>45864</v>
      </c>
      <c r="T35" s="23">
        <v>45866</v>
      </c>
      <c r="U35" s="23"/>
      <c r="V35" s="23"/>
      <c r="W35" s="23">
        <v>45868</v>
      </c>
      <c r="X35" s="21" t="s">
        <v>18</v>
      </c>
      <c r="Y35" s="4" t="str">
        <f>IF(Tabela2[[#This Row],[SIGLA]]="","",VLOOKUP(Tabela2[[#This Row],[SIGLA]],Tabela1[[#All],[Sigla Arte]:[Crédito]],2,0))</f>
        <v>VINÍCIUS COSTA/ARQUIVO DA EDITORA</v>
      </c>
      <c r="Z35" s="22"/>
      <c r="AA35" s="22" t="str">
        <f>Tabela2[[#This Row],[ilustrador]]</f>
        <v>VINÍCIUS COSTA/ARQUIVO DA EDITORA</v>
      </c>
      <c r="AB35" s="21">
        <v>10</v>
      </c>
      <c r="AC35" s="19" t="s">
        <v>19</v>
      </c>
      <c r="AD35" s="19" t="s">
        <v>20</v>
      </c>
      <c r="AE35" s="4" t="str">
        <f t="shared" si="0"/>
        <v>EF1 E002 R.Sul</v>
      </c>
    </row>
    <row r="36" spans="1:31" s="12" customFormat="1" ht="115.2" x14ac:dyDescent="0.3">
      <c r="A36" s="22" t="s">
        <v>102</v>
      </c>
      <c r="B36" s="19" t="s">
        <v>7</v>
      </c>
      <c r="C36" s="19" t="s">
        <v>16</v>
      </c>
      <c r="D36" s="19" t="s">
        <v>9</v>
      </c>
      <c r="E36" s="21">
        <v>12</v>
      </c>
      <c r="F36" s="21">
        <v>3</v>
      </c>
      <c r="G36" s="21">
        <v>1</v>
      </c>
      <c r="H36" s="21"/>
      <c r="I36" s="22" t="s">
        <v>10</v>
      </c>
      <c r="J36" s="22"/>
      <c r="K36" s="21"/>
      <c r="L36" s="21"/>
      <c r="M36" s="22"/>
      <c r="N36" s="22"/>
      <c r="O36" s="25" t="s">
        <v>103</v>
      </c>
      <c r="P36" s="25"/>
      <c r="Q36" s="25"/>
      <c r="R36" s="21">
        <v>5</v>
      </c>
      <c r="S36" s="23">
        <v>45864</v>
      </c>
      <c r="T36" s="23">
        <v>45866</v>
      </c>
      <c r="U36" s="23"/>
      <c r="V36" s="23"/>
      <c r="W36" s="23">
        <v>45868</v>
      </c>
      <c r="X36" s="21" t="s">
        <v>18</v>
      </c>
      <c r="Y36" s="4" t="str">
        <f>IF(Tabela2[[#This Row],[SIGLA]]="","",VLOOKUP(Tabela2[[#This Row],[SIGLA]],Tabela1[[#All],[Sigla Arte]:[Crédito]],2,0))</f>
        <v>VINÍCIUS COSTA/ARQUIVO DA EDITORA</v>
      </c>
      <c r="Z36" s="22"/>
      <c r="AA36" s="22" t="str">
        <f>Tabela2[[#This Row],[ilustrador]]</f>
        <v>VINÍCIUS COSTA/ARQUIVO DA EDITORA</v>
      </c>
      <c r="AB36" s="21">
        <v>10</v>
      </c>
      <c r="AC36" s="19" t="s">
        <v>19</v>
      </c>
      <c r="AD36" s="19" t="s">
        <v>20</v>
      </c>
      <c r="AE36" s="4" t="str">
        <f t="shared" si="0"/>
        <v>EF1 E002 R.Sul</v>
      </c>
    </row>
    <row r="37" spans="1:31" s="12" customFormat="1" ht="216" x14ac:dyDescent="0.3">
      <c r="A37" s="22" t="s">
        <v>104</v>
      </c>
      <c r="B37" s="19" t="s">
        <v>7</v>
      </c>
      <c r="C37" s="19" t="s">
        <v>16</v>
      </c>
      <c r="D37" s="19" t="s">
        <v>9</v>
      </c>
      <c r="E37" s="21">
        <v>19</v>
      </c>
      <c r="F37" s="21">
        <v>3</v>
      </c>
      <c r="G37" s="21">
        <v>1</v>
      </c>
      <c r="H37" s="21"/>
      <c r="I37" s="22" t="s">
        <v>10</v>
      </c>
      <c r="J37" s="22"/>
      <c r="K37" s="21"/>
      <c r="L37" s="21"/>
      <c r="M37" s="22"/>
      <c r="N37" s="22"/>
      <c r="O37" s="25" t="s">
        <v>105</v>
      </c>
      <c r="P37" s="25"/>
      <c r="Q37" s="25"/>
      <c r="R37" s="21">
        <v>5</v>
      </c>
      <c r="S37" s="23">
        <v>45864</v>
      </c>
      <c r="T37" s="23">
        <v>45866</v>
      </c>
      <c r="U37" s="23"/>
      <c r="V37" s="23"/>
      <c r="W37" s="23">
        <v>45868</v>
      </c>
      <c r="X37" s="21" t="s">
        <v>18</v>
      </c>
      <c r="Y37" s="4" t="str">
        <f>IF(Tabela2[[#This Row],[SIGLA]]="","",VLOOKUP(Tabela2[[#This Row],[SIGLA]],Tabela1[[#All],[Sigla Arte]:[Crédito]],2,0))</f>
        <v>VINÍCIUS COSTA/ARQUIVO DA EDITORA</v>
      </c>
      <c r="Z37" s="22"/>
      <c r="AA37" s="22" t="str">
        <f>Tabela2[[#This Row],[ilustrador]]</f>
        <v>VINÍCIUS COSTA/ARQUIVO DA EDITORA</v>
      </c>
      <c r="AB37" s="21">
        <v>10</v>
      </c>
      <c r="AC37" s="19" t="s">
        <v>19</v>
      </c>
      <c r="AD37" s="19" t="s">
        <v>20</v>
      </c>
      <c r="AE37" s="4" t="str">
        <f t="shared" si="0"/>
        <v>EF1 E002 R.Sul</v>
      </c>
    </row>
    <row r="38" spans="1:31" s="12" customFormat="1" ht="187.2" x14ac:dyDescent="0.3">
      <c r="A38" s="22" t="s">
        <v>106</v>
      </c>
      <c r="B38" s="19" t="s">
        <v>7</v>
      </c>
      <c r="C38" s="19" t="s">
        <v>16</v>
      </c>
      <c r="D38" s="19" t="s">
        <v>9</v>
      </c>
      <c r="E38" s="21">
        <v>20</v>
      </c>
      <c r="F38" s="21">
        <v>3</v>
      </c>
      <c r="G38" s="21">
        <v>1</v>
      </c>
      <c r="H38" s="21"/>
      <c r="I38" s="22" t="s">
        <v>10</v>
      </c>
      <c r="J38" s="22"/>
      <c r="K38" s="21"/>
      <c r="L38" s="21"/>
      <c r="M38" s="22"/>
      <c r="N38" s="22"/>
      <c r="O38" s="25" t="s">
        <v>107</v>
      </c>
      <c r="P38" s="25"/>
      <c r="Q38" s="25"/>
      <c r="R38" s="21">
        <v>5</v>
      </c>
      <c r="S38" s="23">
        <v>45864</v>
      </c>
      <c r="T38" s="23">
        <v>45878</v>
      </c>
      <c r="U38" s="23"/>
      <c r="V38" s="23"/>
      <c r="W38" s="23">
        <v>45880</v>
      </c>
      <c r="X38" s="21" t="s">
        <v>18</v>
      </c>
      <c r="Y38" s="4" t="str">
        <f>IF(Tabela2[[#This Row],[SIGLA]]="","",VLOOKUP(Tabela2[[#This Row],[SIGLA]],Tabela1[[#All],[Sigla Arte]:[Crédito]],2,0))</f>
        <v>VINÍCIUS COSTA/ARQUIVO DA EDITORA</v>
      </c>
      <c r="Z38" s="22" t="s">
        <v>42</v>
      </c>
      <c r="AA38" s="22" t="str">
        <f>Tabela2[[#This Row],[ilustrador]]</f>
        <v>VINÍCIUS COSTA/ARQUIVO DA EDITORA</v>
      </c>
      <c r="AB38" s="21">
        <v>13</v>
      </c>
      <c r="AC38" s="19" t="s">
        <v>26</v>
      </c>
      <c r="AD38" s="19" t="s">
        <v>20</v>
      </c>
      <c r="AE38" s="4" t="str">
        <f t="shared" si="0"/>
        <v>EF1 E002 R.Sul</v>
      </c>
    </row>
    <row r="39" spans="1:31" s="12" customFormat="1" ht="100.8" x14ac:dyDescent="0.3">
      <c r="A39" s="22" t="s">
        <v>108</v>
      </c>
      <c r="B39" s="19" t="s">
        <v>7</v>
      </c>
      <c r="C39" s="19" t="s">
        <v>16</v>
      </c>
      <c r="D39" s="19" t="s">
        <v>9</v>
      </c>
      <c r="E39" s="21">
        <v>22</v>
      </c>
      <c r="F39" s="21">
        <v>3</v>
      </c>
      <c r="G39" s="21">
        <v>1</v>
      </c>
      <c r="H39" s="21"/>
      <c r="I39" s="22" t="s">
        <v>10</v>
      </c>
      <c r="J39" s="22"/>
      <c r="K39" s="21"/>
      <c r="L39" s="21"/>
      <c r="M39" s="22"/>
      <c r="N39" s="22"/>
      <c r="O39" s="25" t="s">
        <v>109</v>
      </c>
      <c r="P39" s="25"/>
      <c r="Q39" s="25"/>
      <c r="R39" s="21">
        <v>5</v>
      </c>
      <c r="S39" s="23">
        <v>45864</v>
      </c>
      <c r="T39" s="23">
        <v>45878</v>
      </c>
      <c r="U39" s="23"/>
      <c r="V39" s="23"/>
      <c r="W39" s="23">
        <v>45880</v>
      </c>
      <c r="X39" s="21" t="s">
        <v>18</v>
      </c>
      <c r="Y39" s="4" t="str">
        <f>IF(Tabela2[[#This Row],[SIGLA]]="","",VLOOKUP(Tabela2[[#This Row],[SIGLA]],Tabela1[[#All],[Sigla Arte]:[Crédito]],2,0))</f>
        <v>VINÍCIUS COSTA/ARQUIVO DA EDITORA</v>
      </c>
      <c r="Z39" s="22" t="s">
        <v>42</v>
      </c>
      <c r="AA39" s="22" t="str">
        <f>Tabela2[[#This Row],[ilustrador]]</f>
        <v>VINÍCIUS COSTA/ARQUIVO DA EDITORA</v>
      </c>
      <c r="AB39" s="21"/>
      <c r="AC39" s="19"/>
      <c r="AD39" s="19" t="s">
        <v>20</v>
      </c>
      <c r="AE39" s="4" t="str">
        <f t="shared" si="0"/>
        <v>EF1 E002 R.Sul</v>
      </c>
    </row>
    <row r="40" spans="1:31" s="12" customFormat="1" ht="43.2" x14ac:dyDescent="0.3">
      <c r="A40" s="22" t="s">
        <v>110</v>
      </c>
      <c r="B40" s="19" t="s">
        <v>7</v>
      </c>
      <c r="C40" s="19" t="s">
        <v>8</v>
      </c>
      <c r="D40" s="19" t="s">
        <v>9</v>
      </c>
      <c r="E40" s="21">
        <v>26</v>
      </c>
      <c r="F40" s="21">
        <v>3</v>
      </c>
      <c r="G40" s="21">
        <v>1</v>
      </c>
      <c r="H40" s="21"/>
      <c r="I40" s="22" t="s">
        <v>10</v>
      </c>
      <c r="J40" s="22"/>
      <c r="K40" s="21"/>
      <c r="L40" s="21"/>
      <c r="M40" s="22"/>
      <c r="N40" s="22"/>
      <c r="O40" s="25" t="s">
        <v>111</v>
      </c>
      <c r="P40" s="25"/>
      <c r="Q40" s="25"/>
      <c r="R40" s="21">
        <v>5</v>
      </c>
      <c r="S40" s="23">
        <v>45864</v>
      </c>
      <c r="T40" s="23">
        <v>45866</v>
      </c>
      <c r="U40" s="23">
        <v>45867</v>
      </c>
      <c r="V40" s="23">
        <v>45869</v>
      </c>
      <c r="W40" s="23">
        <v>45870</v>
      </c>
      <c r="X40" s="21" t="s">
        <v>112</v>
      </c>
      <c r="Y40" s="4" t="str">
        <f>IF(Tabela2[[#This Row],[SIGLA]]="","",VLOOKUP(Tabela2[[#This Row],[SIGLA]],Tabela1[[#All],[Sigla Arte]:[Crédito]],2,0))</f>
        <v>ANA KOZUKI/ARQUIVO DA EDITORA</v>
      </c>
      <c r="Z40" s="22"/>
      <c r="AA40" s="22" t="str">
        <f>Tabela2[[#This Row],[ilustrador]]</f>
        <v>ANA KOZUKI/ARQUIVO DA EDITORA</v>
      </c>
      <c r="AB40" s="21">
        <v>7</v>
      </c>
      <c r="AC40" s="19" t="s">
        <v>99</v>
      </c>
      <c r="AD40" s="19" t="s">
        <v>14</v>
      </c>
      <c r="AE40" s="4" t="str">
        <f t="shared" si="0"/>
        <v>EF1 E002 R.Sul</v>
      </c>
    </row>
    <row r="41" spans="1:31" s="12" customFormat="1" ht="43.2" x14ac:dyDescent="0.3">
      <c r="A41" s="22" t="s">
        <v>113</v>
      </c>
      <c r="B41" s="19" t="s">
        <v>7</v>
      </c>
      <c r="C41" s="19" t="s">
        <v>8</v>
      </c>
      <c r="D41" s="19" t="s">
        <v>9</v>
      </c>
      <c r="E41" s="21">
        <v>26</v>
      </c>
      <c r="F41" s="21">
        <v>3</v>
      </c>
      <c r="G41" s="21">
        <v>1</v>
      </c>
      <c r="H41" s="21"/>
      <c r="I41" s="22" t="s">
        <v>10</v>
      </c>
      <c r="J41" s="22"/>
      <c r="K41" s="21"/>
      <c r="L41" s="21"/>
      <c r="M41" s="22"/>
      <c r="N41" s="22"/>
      <c r="O41" s="25" t="s">
        <v>114</v>
      </c>
      <c r="P41" s="25"/>
      <c r="Q41" s="25"/>
      <c r="R41" s="21">
        <v>5</v>
      </c>
      <c r="S41" s="23">
        <v>45864</v>
      </c>
      <c r="T41" s="23">
        <v>45866</v>
      </c>
      <c r="U41" s="23">
        <v>45867</v>
      </c>
      <c r="V41" s="23">
        <v>45870</v>
      </c>
      <c r="W41" s="23">
        <v>45871</v>
      </c>
      <c r="X41" s="21" t="s">
        <v>112</v>
      </c>
      <c r="Y41" s="4" t="str">
        <f>IF(Tabela2[[#This Row],[SIGLA]]="","",VLOOKUP(Tabela2[[#This Row],[SIGLA]],Tabela1[[#All],[Sigla Arte]:[Crédito]],2,0))</f>
        <v>ANA KOZUKI/ARQUIVO DA EDITORA</v>
      </c>
      <c r="Z41" s="22"/>
      <c r="AA41" s="22" t="str">
        <f>Tabela2[[#This Row],[ilustrador]]</f>
        <v>ANA KOZUKI/ARQUIVO DA EDITORA</v>
      </c>
      <c r="AB41" s="21">
        <v>7</v>
      </c>
      <c r="AC41" s="19" t="s">
        <v>99</v>
      </c>
      <c r="AD41" s="19" t="s">
        <v>14</v>
      </c>
      <c r="AE41" s="4" t="str">
        <f t="shared" si="0"/>
        <v>EF1 E002 R.Sul</v>
      </c>
    </row>
    <row r="42" spans="1:31" s="12" customFormat="1" ht="28.8" x14ac:dyDescent="0.3">
      <c r="A42" s="22" t="s">
        <v>115</v>
      </c>
      <c r="B42" s="19" t="s">
        <v>7</v>
      </c>
      <c r="C42" s="19" t="s">
        <v>8</v>
      </c>
      <c r="D42" s="19" t="s">
        <v>9</v>
      </c>
      <c r="E42" s="21">
        <v>26</v>
      </c>
      <c r="F42" s="21">
        <v>3</v>
      </c>
      <c r="G42" s="21">
        <v>1</v>
      </c>
      <c r="H42" s="21"/>
      <c r="I42" s="22" t="s">
        <v>10</v>
      </c>
      <c r="J42" s="22"/>
      <c r="K42" s="21"/>
      <c r="L42" s="21"/>
      <c r="M42" s="22"/>
      <c r="N42" s="22"/>
      <c r="O42" s="25" t="s">
        <v>116</v>
      </c>
      <c r="P42" s="25"/>
      <c r="Q42" s="25"/>
      <c r="R42" s="21">
        <v>5</v>
      </c>
      <c r="S42" s="23">
        <v>45864</v>
      </c>
      <c r="T42" s="23">
        <v>45866</v>
      </c>
      <c r="U42" s="23">
        <v>45867</v>
      </c>
      <c r="V42" s="23">
        <v>45871</v>
      </c>
      <c r="W42" s="23">
        <v>45872</v>
      </c>
      <c r="X42" s="21" t="s">
        <v>112</v>
      </c>
      <c r="Y42" s="4" t="str">
        <f>IF(Tabela2[[#This Row],[SIGLA]]="","",VLOOKUP(Tabela2[[#This Row],[SIGLA]],Tabela1[[#All],[Sigla Arte]:[Crédito]],2,0))</f>
        <v>ANA KOZUKI/ARQUIVO DA EDITORA</v>
      </c>
      <c r="Z42" s="22"/>
      <c r="AA42" s="22" t="str">
        <f>Tabela2[[#This Row],[ilustrador]]</f>
        <v>ANA KOZUKI/ARQUIVO DA EDITORA</v>
      </c>
      <c r="AB42" s="21">
        <v>7</v>
      </c>
      <c r="AC42" s="19" t="s">
        <v>99</v>
      </c>
      <c r="AD42" s="19" t="s">
        <v>14</v>
      </c>
      <c r="AE42" s="4" t="str">
        <f t="shared" si="0"/>
        <v>EF1 E002 R.Sul</v>
      </c>
    </row>
    <row r="43" spans="1:31" s="12" customFormat="1" ht="144" x14ac:dyDescent="0.3">
      <c r="A43" s="22" t="s">
        <v>117</v>
      </c>
      <c r="B43" s="19" t="s">
        <v>7</v>
      </c>
      <c r="C43" s="19" t="s">
        <v>118</v>
      </c>
      <c r="D43" s="19" t="s">
        <v>9</v>
      </c>
      <c r="E43" s="21">
        <v>101</v>
      </c>
      <c r="F43" s="21">
        <v>3</v>
      </c>
      <c r="G43" s="21">
        <v>5</v>
      </c>
      <c r="H43" s="21"/>
      <c r="I43" s="22" t="s">
        <v>10</v>
      </c>
      <c r="J43" s="22"/>
      <c r="K43" s="21"/>
      <c r="L43" s="21"/>
      <c r="M43" s="22"/>
      <c r="N43" s="22"/>
      <c r="O43" s="25" t="s">
        <v>119</v>
      </c>
      <c r="P43" s="25"/>
      <c r="Q43" s="25"/>
      <c r="R43" s="21">
        <v>6</v>
      </c>
      <c r="S43" s="23">
        <v>45880</v>
      </c>
      <c r="T43" s="23">
        <v>45880</v>
      </c>
      <c r="U43" s="23"/>
      <c r="V43" s="23"/>
      <c r="W43" s="23">
        <v>45881</v>
      </c>
      <c r="X43" s="21" t="s">
        <v>18</v>
      </c>
      <c r="Y43" s="4" t="str">
        <f>IF(Tabela2[[#This Row],[SIGLA]]="","",VLOOKUP(Tabela2[[#This Row],[SIGLA]],Tabela1[[#All],[Sigla Arte]:[Crédito]],2,0))</f>
        <v>VINÍCIUS COSTA/ARQUIVO DA EDITORA</v>
      </c>
      <c r="Z43" s="22"/>
      <c r="AA43" s="22" t="str">
        <f>Tabela2[[#This Row],[ilustrador]]</f>
        <v>VINÍCIUS COSTA/ARQUIVO DA EDITORA</v>
      </c>
      <c r="AB43" s="21">
        <v>12</v>
      </c>
      <c r="AC43" s="19" t="s">
        <v>19</v>
      </c>
      <c r="AD43" s="19" t="s">
        <v>20</v>
      </c>
      <c r="AE43" s="4" t="str">
        <f t="shared" si="0"/>
        <v>EF1 E002 R.Sul</v>
      </c>
    </row>
    <row r="44" spans="1:31" s="12" customFormat="1" ht="72" x14ac:dyDescent="0.3">
      <c r="A44" s="22" t="s">
        <v>120</v>
      </c>
      <c r="B44" s="19" t="s">
        <v>7</v>
      </c>
      <c r="C44" s="19" t="s">
        <v>16</v>
      </c>
      <c r="D44" s="19" t="s">
        <v>9</v>
      </c>
      <c r="E44" s="21">
        <v>111</v>
      </c>
      <c r="F44" s="21">
        <v>3</v>
      </c>
      <c r="G44" s="21">
        <v>5</v>
      </c>
      <c r="H44" s="21"/>
      <c r="I44" s="22" t="s">
        <v>10</v>
      </c>
      <c r="J44" s="22"/>
      <c r="K44" s="21"/>
      <c r="L44" s="21"/>
      <c r="M44" s="22"/>
      <c r="N44" s="22"/>
      <c r="O44" s="25" t="s">
        <v>121</v>
      </c>
      <c r="P44" s="25"/>
      <c r="Q44" s="25"/>
      <c r="R44" s="21">
        <v>6</v>
      </c>
      <c r="S44" s="23">
        <v>45880</v>
      </c>
      <c r="T44" s="23">
        <v>45880</v>
      </c>
      <c r="U44" s="23"/>
      <c r="V44" s="23"/>
      <c r="W44" s="23">
        <v>45881</v>
      </c>
      <c r="X44" s="21" t="s">
        <v>18</v>
      </c>
      <c r="Y44" s="4" t="str">
        <f>IF(Tabela2[[#This Row],[SIGLA]]="","",VLOOKUP(Tabela2[[#This Row],[SIGLA]],Tabela1[[#All],[Sigla Arte]:[Crédito]],2,0))</f>
        <v>VINÍCIUS COSTA/ARQUIVO DA EDITORA</v>
      </c>
      <c r="Z44" s="22"/>
      <c r="AA44" s="22" t="str">
        <f>Tabela2[[#This Row],[ilustrador]]</f>
        <v>VINÍCIUS COSTA/ARQUIVO DA EDITORA</v>
      </c>
      <c r="AB44" s="21">
        <v>10</v>
      </c>
      <c r="AC44" s="19" t="s">
        <v>19</v>
      </c>
      <c r="AD44" s="19" t="s">
        <v>20</v>
      </c>
      <c r="AE44" s="4" t="str">
        <f t="shared" si="0"/>
        <v>EF1 E002 R.Sul</v>
      </c>
    </row>
    <row r="45" spans="1:31" s="12" customFormat="1" ht="86.4" x14ac:dyDescent="0.3">
      <c r="A45" s="22" t="s">
        <v>122</v>
      </c>
      <c r="B45" s="19" t="s">
        <v>7</v>
      </c>
      <c r="C45" s="19" t="s">
        <v>16</v>
      </c>
      <c r="D45" s="19" t="s">
        <v>9</v>
      </c>
      <c r="E45" s="21">
        <v>119</v>
      </c>
      <c r="F45" s="21">
        <v>3</v>
      </c>
      <c r="G45" s="21">
        <v>5</v>
      </c>
      <c r="H45" s="21"/>
      <c r="I45" s="22" t="s">
        <v>10</v>
      </c>
      <c r="J45" s="22"/>
      <c r="K45" s="21"/>
      <c r="L45" s="21"/>
      <c r="M45" s="22"/>
      <c r="N45" s="22"/>
      <c r="O45" s="25" t="s">
        <v>123</v>
      </c>
      <c r="P45" s="25"/>
      <c r="Q45" s="25"/>
      <c r="R45" s="21">
        <v>6</v>
      </c>
      <c r="S45" s="23">
        <v>45880</v>
      </c>
      <c r="T45" s="23">
        <v>45880</v>
      </c>
      <c r="U45" s="23"/>
      <c r="V45" s="23"/>
      <c r="W45" s="23">
        <v>45881</v>
      </c>
      <c r="X45" s="21" t="s">
        <v>24</v>
      </c>
      <c r="Y45" s="4" t="str">
        <f>IF(Tabela2[[#This Row],[SIGLA]]="","",VLOOKUP(Tabela2[[#This Row],[SIGLA]],Tabela1[[#All],[Sigla Arte]:[Crédito]],2,0))</f>
        <v>EDSON BELLUSCI/ARQUIVO DA EDITORA</v>
      </c>
      <c r="Z45" s="22" t="s">
        <v>25</v>
      </c>
      <c r="AA45" s="22" t="str">
        <f>Tabela2[[#This Row],[ilustrador]]</f>
        <v>EDSON BELLUSCI/ARQUIVO DA EDITORA</v>
      </c>
      <c r="AB45" s="21">
        <v>13</v>
      </c>
      <c r="AC45" s="19" t="s">
        <v>26</v>
      </c>
      <c r="AD45" s="19" t="s">
        <v>20</v>
      </c>
      <c r="AE45" s="4" t="str">
        <f t="shared" si="0"/>
        <v>EF1 E002 R.Sul</v>
      </c>
    </row>
    <row r="46" spans="1:31" s="12" customFormat="1" ht="259.2" x14ac:dyDescent="0.3">
      <c r="A46" s="22" t="s">
        <v>124</v>
      </c>
      <c r="B46" s="19" t="s">
        <v>7</v>
      </c>
      <c r="C46" s="19" t="s">
        <v>8</v>
      </c>
      <c r="D46" s="19" t="s">
        <v>9</v>
      </c>
      <c r="E46" s="21">
        <v>120</v>
      </c>
      <c r="F46" s="21">
        <v>3</v>
      </c>
      <c r="G46" s="21">
        <v>5</v>
      </c>
      <c r="H46" s="21"/>
      <c r="I46" s="22" t="s">
        <v>10</v>
      </c>
      <c r="J46" s="22"/>
      <c r="K46" s="21"/>
      <c r="L46" s="21"/>
      <c r="M46" s="22"/>
      <c r="N46" s="22"/>
      <c r="O46" s="25" t="s">
        <v>125</v>
      </c>
      <c r="P46" s="25"/>
      <c r="Q46" s="25"/>
      <c r="R46" s="21">
        <v>6</v>
      </c>
      <c r="S46" s="23">
        <v>45880</v>
      </c>
      <c r="T46" s="23">
        <v>45880</v>
      </c>
      <c r="U46" s="23"/>
      <c r="V46" s="23"/>
      <c r="W46" s="23">
        <v>45881</v>
      </c>
      <c r="X46" s="21" t="s">
        <v>126</v>
      </c>
      <c r="Y46" s="4" t="str">
        <f>IF(Tabela2[[#This Row],[SIGLA]]="","",VLOOKUP(Tabela2[[#This Row],[SIGLA]],Tabela1[[#All],[Sigla Arte]:[Crédito]],2,0))</f>
        <v>IVY NUNES/ARQUIVO DA EDITORA</v>
      </c>
      <c r="Z46" s="22" t="s">
        <v>25</v>
      </c>
      <c r="AA46" s="22" t="str">
        <f>Tabela2[[#This Row],[ilustrador]]</f>
        <v>IVY NUNES/ARQUIVO DA EDITORA</v>
      </c>
      <c r="AB46" s="21">
        <v>13</v>
      </c>
      <c r="AC46" s="19" t="s">
        <v>26</v>
      </c>
      <c r="AD46" s="19" t="s">
        <v>20</v>
      </c>
      <c r="AE46" s="4" t="str">
        <f t="shared" si="0"/>
        <v>EF1 E002 R.Sul</v>
      </c>
    </row>
    <row r="47" spans="1:31" s="12" customFormat="1" ht="129.6" x14ac:dyDescent="0.3">
      <c r="A47" s="22" t="s">
        <v>127</v>
      </c>
      <c r="B47" s="19" t="s">
        <v>7</v>
      </c>
      <c r="C47" s="19" t="s">
        <v>16</v>
      </c>
      <c r="D47" s="19" t="s">
        <v>9</v>
      </c>
      <c r="E47" s="21">
        <v>124</v>
      </c>
      <c r="F47" s="21">
        <v>3</v>
      </c>
      <c r="G47" s="21">
        <v>6</v>
      </c>
      <c r="H47" s="21"/>
      <c r="I47" s="22" t="s">
        <v>10</v>
      </c>
      <c r="J47" s="22"/>
      <c r="K47" s="21"/>
      <c r="L47" s="21"/>
      <c r="M47" s="22"/>
      <c r="N47" s="22"/>
      <c r="O47" s="25" t="s">
        <v>128</v>
      </c>
      <c r="P47" s="25"/>
      <c r="Q47" s="25"/>
      <c r="R47" s="21">
        <v>7</v>
      </c>
      <c r="S47" s="23">
        <v>45882</v>
      </c>
      <c r="T47" s="23">
        <v>45882</v>
      </c>
      <c r="U47" s="23"/>
      <c r="V47" s="23"/>
      <c r="W47" s="23">
        <v>45883</v>
      </c>
      <c r="X47" s="21" t="s">
        <v>18</v>
      </c>
      <c r="Y47" s="4" t="str">
        <f>IF(Tabela2[[#This Row],[SIGLA]]="","",VLOOKUP(Tabela2[[#This Row],[SIGLA]],Tabela1[[#All],[Sigla Arte]:[Crédito]],2,0))</f>
        <v>VINÍCIUS COSTA/ARQUIVO DA EDITORA</v>
      </c>
      <c r="Z47" s="22"/>
      <c r="AA47" s="22" t="str">
        <f>Tabela2[[#This Row],[ilustrador]]</f>
        <v>VINÍCIUS COSTA/ARQUIVO DA EDITORA</v>
      </c>
      <c r="AB47" s="21">
        <v>10</v>
      </c>
      <c r="AC47" s="19" t="s">
        <v>19</v>
      </c>
      <c r="AD47" s="19" t="s">
        <v>20</v>
      </c>
      <c r="AE47" s="4" t="str">
        <f t="shared" si="0"/>
        <v>EF1 E002 R.Sul</v>
      </c>
    </row>
    <row r="48" spans="1:31" s="12" customFormat="1" ht="57.6" x14ac:dyDescent="0.3">
      <c r="A48" s="22" t="s">
        <v>129</v>
      </c>
      <c r="B48" s="19" t="s">
        <v>7</v>
      </c>
      <c r="C48" s="19" t="s">
        <v>16</v>
      </c>
      <c r="D48" s="19" t="s">
        <v>9</v>
      </c>
      <c r="E48" s="21">
        <v>139</v>
      </c>
      <c r="F48" s="21">
        <v>3</v>
      </c>
      <c r="G48" s="21">
        <v>6</v>
      </c>
      <c r="H48" s="21"/>
      <c r="I48" s="22" t="s">
        <v>62</v>
      </c>
      <c r="J48" s="22"/>
      <c r="K48" s="21"/>
      <c r="L48" s="21"/>
      <c r="M48" s="22"/>
      <c r="N48" s="22"/>
      <c r="O48" s="25" t="s">
        <v>130</v>
      </c>
      <c r="P48" s="25"/>
      <c r="Q48" s="25"/>
      <c r="R48" s="21"/>
      <c r="S48" s="23"/>
      <c r="T48" s="23"/>
      <c r="U48" s="23"/>
      <c r="V48" s="23"/>
      <c r="W48" s="23"/>
      <c r="X48" s="21" t="s">
        <v>24</v>
      </c>
      <c r="Y48" s="4" t="str">
        <f>IF(Tabela2[[#This Row],[SIGLA]]="","",VLOOKUP(Tabela2[[#This Row],[SIGLA]],Tabela1[[#All],[Sigla Arte]:[Crédito]],2,0))</f>
        <v>EDSON BELLUSCI/ARQUIVO DA EDITORA</v>
      </c>
      <c r="Z48" s="22"/>
      <c r="AA48" s="22" t="str">
        <f>Tabela2[[#This Row],[ilustrador]]</f>
        <v>EDSON BELLUSCI/ARQUIVO DA EDITORA</v>
      </c>
      <c r="AB48" s="21"/>
      <c r="AC48" s="19"/>
      <c r="AD48" s="19"/>
      <c r="AE48" s="4" t="str">
        <f t="shared" si="0"/>
        <v>EF1 E002 R.Sul</v>
      </c>
    </row>
    <row r="49" spans="1:31" s="12" customFormat="1" ht="57.6" x14ac:dyDescent="0.3">
      <c r="A49" s="22" t="s">
        <v>131</v>
      </c>
      <c r="B49" s="19" t="s">
        <v>7</v>
      </c>
      <c r="C49" s="19" t="s">
        <v>16</v>
      </c>
      <c r="D49" s="19" t="s">
        <v>9</v>
      </c>
      <c r="E49" s="21">
        <v>139</v>
      </c>
      <c r="F49" s="21">
        <v>3</v>
      </c>
      <c r="G49" s="21">
        <v>6</v>
      </c>
      <c r="H49" s="21"/>
      <c r="I49" s="22" t="s">
        <v>10</v>
      </c>
      <c r="J49" s="22"/>
      <c r="K49" s="21"/>
      <c r="L49" s="21"/>
      <c r="M49" s="22"/>
      <c r="N49" s="22"/>
      <c r="O49" s="25" t="s">
        <v>132</v>
      </c>
      <c r="P49" s="25"/>
      <c r="Q49" s="25"/>
      <c r="R49" s="21">
        <v>7</v>
      </c>
      <c r="S49" s="23">
        <v>45882</v>
      </c>
      <c r="T49" s="23">
        <v>45882</v>
      </c>
      <c r="U49" s="23"/>
      <c r="V49" s="23"/>
      <c r="W49" s="23">
        <v>45883</v>
      </c>
      <c r="X49" s="21" t="s">
        <v>18</v>
      </c>
      <c r="Y49" s="4" t="str">
        <f>IF(Tabela2[[#This Row],[SIGLA]]="","",VLOOKUP(Tabela2[[#This Row],[SIGLA]],Tabela1[[#All],[Sigla Arte]:[Crédito]],2,0))</f>
        <v>VINÍCIUS COSTA/ARQUIVO DA EDITORA</v>
      </c>
      <c r="Z49" s="22"/>
      <c r="AA49" s="22" t="str">
        <f>Tabela2[[#This Row],[ilustrador]]</f>
        <v>VINÍCIUS COSTA/ARQUIVO DA EDITORA</v>
      </c>
      <c r="AB49" s="21">
        <v>10</v>
      </c>
      <c r="AC49" s="19" t="s">
        <v>19</v>
      </c>
      <c r="AD49" s="19" t="s">
        <v>20</v>
      </c>
      <c r="AE49" s="4" t="str">
        <f t="shared" si="0"/>
        <v>EF1 E002 R.Sul</v>
      </c>
    </row>
    <row r="50" spans="1:31" s="12" customFormat="1" ht="115.2" x14ac:dyDescent="0.3">
      <c r="A50" s="22" t="s">
        <v>133</v>
      </c>
      <c r="B50" s="19" t="s">
        <v>7</v>
      </c>
      <c r="C50" s="19" t="s">
        <v>16</v>
      </c>
      <c r="D50" s="19" t="s">
        <v>9</v>
      </c>
      <c r="E50" s="21">
        <v>135</v>
      </c>
      <c r="F50" s="21">
        <v>3</v>
      </c>
      <c r="G50" s="21">
        <v>6</v>
      </c>
      <c r="H50" s="21"/>
      <c r="I50" s="22" t="s">
        <v>10</v>
      </c>
      <c r="J50" s="22"/>
      <c r="K50" s="21"/>
      <c r="L50" s="21"/>
      <c r="M50" s="22"/>
      <c r="N50" s="22"/>
      <c r="O50" s="25" t="s">
        <v>134</v>
      </c>
      <c r="P50" s="25"/>
      <c r="Q50" s="25"/>
      <c r="R50" s="21">
        <v>8</v>
      </c>
      <c r="S50" s="23">
        <v>45896</v>
      </c>
      <c r="T50" s="23">
        <v>45896</v>
      </c>
      <c r="U50" s="23"/>
      <c r="V50" s="23"/>
      <c r="W50" s="23">
        <v>45896</v>
      </c>
      <c r="X50" s="21" t="s">
        <v>135</v>
      </c>
      <c r="Y50" s="4" t="str">
        <f>IF(Tabela2[[#This Row],[SIGLA]]="","",VLOOKUP(Tabela2[[#This Row],[SIGLA]],Tabela1[[#All],[Sigla Arte]:[Crédito]],2,0))</f>
        <v>VINÍCIUS COSTA/ARQUIVO DA EDITORA</v>
      </c>
      <c r="Z50" s="22"/>
      <c r="AA50" s="22" t="str">
        <f>Tabela2[[#This Row],[ilustrador]]</f>
        <v>VINÍCIUS COSTA/ARQUIVO DA EDITORA</v>
      </c>
      <c r="AB50" s="21">
        <v>10</v>
      </c>
      <c r="AC50" s="19" t="s">
        <v>19</v>
      </c>
      <c r="AD50" s="19" t="s">
        <v>20</v>
      </c>
      <c r="AE50" s="4" t="str">
        <f t="shared" si="0"/>
        <v>EF1 E002 R.Sul</v>
      </c>
    </row>
    <row r="51" spans="1:31" s="12" customFormat="1" ht="57.6" x14ac:dyDescent="0.3">
      <c r="A51" s="22" t="s">
        <v>136</v>
      </c>
      <c r="B51" s="19" t="s">
        <v>7</v>
      </c>
      <c r="C51" s="19" t="s">
        <v>16</v>
      </c>
      <c r="D51" s="19" t="s">
        <v>9</v>
      </c>
      <c r="E51" s="21">
        <v>24</v>
      </c>
      <c r="F51" s="21">
        <v>3</v>
      </c>
      <c r="G51" s="21">
        <v>1</v>
      </c>
      <c r="H51" s="21"/>
      <c r="I51" s="22" t="s">
        <v>10</v>
      </c>
      <c r="J51" s="22"/>
      <c r="K51" s="21"/>
      <c r="L51" s="21"/>
      <c r="M51" s="22"/>
      <c r="N51" s="22"/>
      <c r="O51" s="25" t="s">
        <v>137</v>
      </c>
      <c r="P51" s="25"/>
      <c r="Q51" s="25"/>
      <c r="R51" s="21">
        <v>9</v>
      </c>
      <c r="S51" s="23">
        <v>45905</v>
      </c>
      <c r="T51" s="23">
        <v>45905</v>
      </c>
      <c r="U51" s="23"/>
      <c r="V51" s="23"/>
      <c r="W51" s="23">
        <v>45908</v>
      </c>
      <c r="X51" s="21" t="s">
        <v>18</v>
      </c>
      <c r="Y51" s="4" t="str">
        <f>IF(Tabela2[[#This Row],[SIGLA]]="","",VLOOKUP(Tabela2[[#This Row],[SIGLA]],Tabela1[[#All],[Sigla Arte]:[Crédito]],2,0))</f>
        <v>VINÍCIUS COSTA/ARQUIVO DA EDITORA</v>
      </c>
      <c r="Z51" s="22"/>
      <c r="AA51" s="22" t="str">
        <f>Tabela2[[#This Row],[ilustrador]]</f>
        <v>VINÍCIUS COSTA/ARQUIVO DA EDITORA</v>
      </c>
      <c r="AB51" s="21">
        <v>10</v>
      </c>
      <c r="AC51" s="19" t="s">
        <v>19</v>
      </c>
      <c r="AD51" s="19" t="s">
        <v>20</v>
      </c>
      <c r="AE51" s="4" t="str">
        <f t="shared" si="0"/>
        <v>EF1 E002 R.Sul</v>
      </c>
    </row>
    <row r="52" spans="1:31" s="12" customFormat="1" ht="28.8" x14ac:dyDescent="0.3">
      <c r="A52" s="22" t="s">
        <v>138</v>
      </c>
      <c r="B52" s="19" t="s">
        <v>139</v>
      </c>
      <c r="C52" s="19" t="s">
        <v>8</v>
      </c>
      <c r="D52" s="19" t="s">
        <v>9</v>
      </c>
      <c r="E52" s="21">
        <v>103</v>
      </c>
      <c r="F52" s="21">
        <v>3</v>
      </c>
      <c r="G52" s="21">
        <v>5</v>
      </c>
      <c r="H52" s="21"/>
      <c r="I52" s="22" t="s">
        <v>10</v>
      </c>
      <c r="J52" s="22"/>
      <c r="K52" s="21"/>
      <c r="L52" s="21"/>
      <c r="M52" s="22"/>
      <c r="N52" s="22"/>
      <c r="O52" s="25" t="s">
        <v>140</v>
      </c>
      <c r="P52" s="25"/>
      <c r="Q52" s="25"/>
      <c r="R52" s="21">
        <v>10</v>
      </c>
      <c r="S52" s="23">
        <v>45918</v>
      </c>
      <c r="T52" s="23">
        <v>45918</v>
      </c>
      <c r="U52" s="23">
        <v>45919</v>
      </c>
      <c r="V52" s="23">
        <v>45919</v>
      </c>
      <c r="W52" s="23">
        <v>45922</v>
      </c>
      <c r="X52" s="21" t="s">
        <v>12</v>
      </c>
      <c r="Y52" s="4" t="str">
        <f>IF(Tabela2[[#This Row],[SIGLA]]="","",VLOOKUP(Tabela2[[#This Row],[SIGLA]],Tabela1[[#All],[Sigla Arte]:[Crédito]],2,0))</f>
        <v>HUGO ARAÚJO/ARQUIVO DA EDITORA</v>
      </c>
      <c r="Z52" s="22"/>
      <c r="AA52" s="22" t="str">
        <f>Tabela2[[#This Row],[ilustrador]]</f>
        <v>HUGO ARAÚJO/ARQUIVO DA EDITORA</v>
      </c>
      <c r="AB52" s="21">
        <v>6</v>
      </c>
      <c r="AC52" s="19" t="s">
        <v>141</v>
      </c>
      <c r="AD52" s="19" t="s">
        <v>14</v>
      </c>
      <c r="AE52" s="4" t="str">
        <f t="shared" si="0"/>
        <v>EF1 E002 R.Sul</v>
      </c>
    </row>
    <row r="53" spans="1:31" s="12" customFormat="1" ht="28.8" x14ac:dyDescent="0.3">
      <c r="A53" s="22" t="s">
        <v>142</v>
      </c>
      <c r="B53" s="19" t="s">
        <v>139</v>
      </c>
      <c r="C53" s="19" t="s">
        <v>16</v>
      </c>
      <c r="D53" s="19" t="s">
        <v>9</v>
      </c>
      <c r="E53" s="21">
        <v>106</v>
      </c>
      <c r="F53" s="21">
        <v>3</v>
      </c>
      <c r="G53" s="21">
        <v>5</v>
      </c>
      <c r="H53" s="21"/>
      <c r="I53" s="22" t="s">
        <v>10</v>
      </c>
      <c r="J53" s="22"/>
      <c r="K53" s="21"/>
      <c r="L53" s="21"/>
      <c r="M53" s="22"/>
      <c r="N53" s="22"/>
      <c r="O53" s="25" t="s">
        <v>143</v>
      </c>
      <c r="P53" s="25"/>
      <c r="Q53" s="25"/>
      <c r="R53" s="21">
        <v>11</v>
      </c>
      <c r="S53" s="23">
        <v>45919</v>
      </c>
      <c r="T53" s="23">
        <v>45919</v>
      </c>
      <c r="U53" s="23"/>
      <c r="V53" s="23"/>
      <c r="W53" s="23">
        <v>45919</v>
      </c>
      <c r="X53" s="21" t="s">
        <v>144</v>
      </c>
      <c r="Y53" s="4" t="str">
        <f>IF(Tabela2[[#This Row],[SIGLA]]="","",VLOOKUP(Tabela2[[#This Row],[SIGLA]],Tabela1[[#All],[Sigla Arte]:[Crédito]],2,0))</f>
        <v>GABRIELLA IMAI/ARQUIVO DA EDITORA</v>
      </c>
      <c r="Z53" s="22"/>
      <c r="AA53" s="22" t="str">
        <f>Tabela2[[#This Row],[ilustrador]]</f>
        <v>GABRIELLA IMAI/ARQUIVO DA EDITORA</v>
      </c>
      <c r="AB53" s="21">
        <v>13</v>
      </c>
      <c r="AC53" s="19" t="s">
        <v>145</v>
      </c>
      <c r="AD53" s="19" t="s">
        <v>20</v>
      </c>
      <c r="AE53" s="4" t="str">
        <f t="shared" si="0"/>
        <v>EF1 E002 R.Sul</v>
      </c>
    </row>
    <row r="54" spans="1:31" s="12" customFormat="1" x14ac:dyDescent="0.3">
      <c r="A54" s="22" t="s">
        <v>146</v>
      </c>
      <c r="B54" s="19" t="s">
        <v>65</v>
      </c>
      <c r="C54" s="19" t="s">
        <v>16</v>
      </c>
      <c r="D54" s="19" t="s">
        <v>9</v>
      </c>
      <c r="E54" s="21">
        <v>107</v>
      </c>
      <c r="F54" s="21">
        <v>3</v>
      </c>
      <c r="G54" s="21">
        <v>5</v>
      </c>
      <c r="H54" s="21"/>
      <c r="I54" s="22" t="s">
        <v>62</v>
      </c>
      <c r="J54" s="22"/>
      <c r="K54" s="21"/>
      <c r="L54" s="21"/>
      <c r="M54" s="22"/>
      <c r="N54" s="22"/>
      <c r="O54" s="25" t="s">
        <v>147</v>
      </c>
      <c r="P54" s="25"/>
      <c r="Q54" s="25"/>
      <c r="R54" s="21"/>
      <c r="S54" s="23"/>
      <c r="T54" s="23"/>
      <c r="U54" s="23"/>
      <c r="V54" s="23"/>
      <c r="W54" s="23"/>
      <c r="X54" s="21"/>
      <c r="Y54" s="4" t="str">
        <f>IF(Tabela2[[#This Row],[SIGLA]]="","",VLOOKUP(Tabela2[[#This Row],[SIGLA]],Tabela1[[#All],[Sigla Arte]:[Crédito]],2,0))</f>
        <v/>
      </c>
      <c r="Z54" s="22"/>
      <c r="AA54" s="22" t="str">
        <f>Tabela2[[#This Row],[ilustrador]]</f>
        <v/>
      </c>
      <c r="AB54" s="21"/>
      <c r="AC54" s="19"/>
      <c r="AD54" s="19"/>
      <c r="AE54" s="4" t="str">
        <f t="shared" si="0"/>
        <v>EF1 E002 R.Sul</v>
      </c>
    </row>
  </sheetData>
  <sheetProtection formatCells="0" formatColumns="0" formatRows="0" sort="0" autoFilter="0" pivotTables="0"/>
  <conditionalFormatting sqref="A1">
    <cfRule type="duplicateValues" dxfId="0" priority="1"/>
  </conditionalFormatting>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4">
        <x14:dataValidation type="list" allowBlank="1" showInputMessage="1" showErrorMessage="1" xr:uid="{B4ADD33D-8B17-41A6-94BC-BC2885E9FB91}">
          <x14:formula1>
            <xm:f>metadados!$G$1:$G$14</xm:f>
          </x14:formula1>
          <xm:sqref>AB55:AB1048576 AB27:AB28 AB2:AB20</xm:sqref>
        </x14:dataValidation>
        <x14:dataValidation type="list" allowBlank="1" showInputMessage="1" showErrorMessage="1" xr:uid="{06BC7D6A-D6EB-41B5-B621-DE4A72652772}">
          <x14:formula1>
            <xm:f>créditos_base!$C$3:$C$224</xm:f>
          </x14:formula1>
          <xm:sqref>Z55:Z1048576</xm:sqref>
        </x14:dataValidation>
        <x14:dataValidation type="list" allowBlank="1" showInputMessage="1" showErrorMessage="1" xr:uid="{5705C48B-E793-4249-A1A5-E9D0055F43D8}">
          <x14:formula1>
            <xm:f>créditos_base!$B$3:$B$315</xm:f>
          </x14:formula1>
          <xm:sqref>X55:X1048576</xm:sqref>
        </x14:dataValidation>
        <x14:dataValidation type="list" allowBlank="1" showInputMessage="1" showErrorMessage="1" xr:uid="{7DFBC3C5-A142-4058-BC1A-2164869C8DF0}">
          <x14:formula1>
            <xm:f>créditos_base!$B$3:$B$334</xm:f>
          </x14:formula1>
          <xm:sqref>X2:X54</xm:sqref>
        </x14:dataValidation>
        <x14:dataValidation type="list" allowBlank="1" showInputMessage="1" showErrorMessage="1" xr:uid="{031A030C-CCEB-47E7-A29B-7C3C239FCCB8}">
          <x14:formula1>
            <xm:f>créditos_base!$A$3:$A$334</xm:f>
          </x14:formula1>
          <xm:sqref>Z2:Z54</xm:sqref>
        </x14:dataValidation>
        <x14:dataValidation type="list" allowBlank="1" showInputMessage="1" showErrorMessage="1" xr:uid="{67C7979C-B1D3-496A-A20C-C5A1B40D2A1D}">
          <x14:formula1>
            <xm:f>metadados!$G$1:$G$20</xm:f>
          </x14:formula1>
          <xm:sqref>AB29:AB54</xm:sqref>
        </x14:dataValidation>
        <x14:dataValidation type="list" allowBlank="1" showInputMessage="1" showErrorMessage="1" xr:uid="{AA96017F-FAFC-4F72-B7A6-69F6BF444227}">
          <x14:formula1>
            <xm:f>metadados!$G$1:$G$17</xm:f>
          </x14:formula1>
          <xm:sqref>AB21:AB26</xm:sqref>
        </x14:dataValidation>
        <x14:dataValidation type="list" allowBlank="1" showInputMessage="1" showErrorMessage="1" xr:uid="{1E0E5C3B-B338-4A82-ABB7-55FA01F1FD25}">
          <x14:formula1>
            <xm:f>metadados!$C$1:$C$8</xm:f>
          </x14:formula1>
          <xm:sqref>D2:D1048576</xm:sqref>
        </x14:dataValidation>
        <x14:dataValidation type="list" allowBlank="1" showInputMessage="1" showErrorMessage="1" xr:uid="{C70449A7-09E1-454B-83EB-81DB8E145BED}">
          <x14:formula1>
            <xm:f>metadados!$D$1:$D$7</xm:f>
          </x14:formula1>
          <xm:sqref>L1:L1048576 F2:F1048576</xm:sqref>
        </x14:dataValidation>
        <x14:dataValidation type="list" allowBlank="1" showInputMessage="1" showErrorMessage="1" xr:uid="{832AC6A1-37A3-4247-8D3B-0B1514A698E5}">
          <x14:formula1>
            <xm:f>metadados!$E$1:$E$3</xm:f>
          </x14:formula1>
          <xm:sqref>I2:I1048576</xm:sqref>
        </x14:dataValidation>
        <x14:dataValidation type="list" allowBlank="1" showInputMessage="1" showErrorMessage="1" xr:uid="{ABD634A1-19D3-465A-AE87-A59444E4CB70}">
          <x14:formula1>
            <xm:f>metadados!$F$1:$F$13</xm:f>
          </x14:formula1>
          <xm:sqref>N1:N1048576</xm:sqref>
        </x14:dataValidation>
        <x14:dataValidation type="list" allowBlank="1" showInputMessage="1" showErrorMessage="1" xr:uid="{61E550D5-36D2-44FC-A08D-4E51EFE8F470}">
          <x14:formula1>
            <xm:f>metadados!$H$1:$H$5</xm:f>
          </x14:formula1>
          <xm:sqref>AD2:AD1048576</xm:sqref>
        </x14:dataValidation>
        <x14:dataValidation type="list" allowBlank="1" showErrorMessage="1" xr:uid="{8C59E314-3DFF-498C-8F2E-89E73DBE2751}">
          <x14:formula1>
            <xm:f>metadados!$A$1:$A$10</xm:f>
          </x14:formula1>
          <xm:sqref>B2:B1048576</xm:sqref>
        </x14:dataValidation>
        <x14:dataValidation type="list" allowBlank="1" showInputMessage="1" showErrorMessage="1" xr:uid="{C969C20B-651A-4D17-86CC-88E223060629}">
          <x14:formula1>
            <xm:f>metadados!$B$1:$B$7</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workbookViewId="0">
      <selection activeCell="A78" sqref="A78:C78"/>
    </sheetView>
  </sheetViews>
  <sheetFormatPr defaultColWidth="12.5546875" defaultRowHeight="14.4" x14ac:dyDescent="0.3"/>
  <cols>
    <col min="1" max="1" width="58.109375" style="26" customWidth="1"/>
    <col min="2" max="2" width="13.109375" customWidth="1"/>
    <col min="3" max="3" width="68.6640625" customWidth="1"/>
    <col min="4" max="4" width="12.33203125" customWidth="1"/>
  </cols>
  <sheetData>
    <row r="1" spans="1:3" ht="51.75" customHeight="1" x14ac:dyDescent="0.4">
      <c r="A1" s="43" t="s">
        <v>148</v>
      </c>
      <c r="B1" s="43"/>
      <c r="C1" s="43"/>
    </row>
    <row r="2" spans="1:3" x14ac:dyDescent="0.3">
      <c r="A2" s="27" t="s">
        <v>149</v>
      </c>
      <c r="B2" s="28" t="s">
        <v>150</v>
      </c>
      <c r="C2" s="29" t="s">
        <v>151</v>
      </c>
    </row>
    <row r="3" spans="1:3" x14ac:dyDescent="0.3">
      <c r="A3" s="30" t="s">
        <v>152</v>
      </c>
      <c r="B3" s="31" t="s">
        <v>153</v>
      </c>
      <c r="C3" s="32" t="s">
        <v>154</v>
      </c>
    </row>
    <row r="4" spans="1:3" x14ac:dyDescent="0.3">
      <c r="A4" s="30" t="s">
        <v>155</v>
      </c>
      <c r="B4" s="31" t="s">
        <v>156</v>
      </c>
      <c r="C4" s="33" t="s">
        <v>157</v>
      </c>
    </row>
    <row r="5" spans="1:3" ht="27.6" x14ac:dyDescent="0.3">
      <c r="A5" s="34" t="s">
        <v>158</v>
      </c>
      <c r="B5" s="31" t="s">
        <v>159</v>
      </c>
      <c r="C5" s="32" t="s">
        <v>160</v>
      </c>
    </row>
    <row r="6" spans="1:3" x14ac:dyDescent="0.3">
      <c r="A6" s="30" t="s">
        <v>161</v>
      </c>
      <c r="B6" s="31" t="s">
        <v>162</v>
      </c>
      <c r="C6" s="32" t="s">
        <v>163</v>
      </c>
    </row>
    <row r="7" spans="1:3" ht="27.6" x14ac:dyDescent="0.3">
      <c r="A7" s="30" t="s">
        <v>164</v>
      </c>
      <c r="B7" s="31" t="s">
        <v>165</v>
      </c>
      <c r="C7" s="32" t="s">
        <v>166</v>
      </c>
    </row>
    <row r="8" spans="1:3" ht="27.6" x14ac:dyDescent="0.3">
      <c r="A8" s="30" t="s">
        <v>167</v>
      </c>
      <c r="B8" s="31" t="s">
        <v>168</v>
      </c>
      <c r="C8" s="32" t="s">
        <v>169</v>
      </c>
    </row>
    <row r="9" spans="1:3" x14ac:dyDescent="0.3">
      <c r="A9" s="30" t="s">
        <v>170</v>
      </c>
      <c r="B9" s="31" t="s">
        <v>171</v>
      </c>
      <c r="C9" s="32" t="s">
        <v>154</v>
      </c>
    </row>
    <row r="10" spans="1:3" x14ac:dyDescent="0.3">
      <c r="A10" s="30" t="s">
        <v>19</v>
      </c>
      <c r="B10" s="31" t="s">
        <v>172</v>
      </c>
      <c r="C10" s="33" t="s">
        <v>173</v>
      </c>
    </row>
    <row r="11" spans="1:3" x14ac:dyDescent="0.3">
      <c r="A11" s="30" t="s">
        <v>174</v>
      </c>
      <c r="B11" s="31" t="s">
        <v>175</v>
      </c>
      <c r="C11" s="33" t="s">
        <v>176</v>
      </c>
    </row>
    <row r="12" spans="1:3" x14ac:dyDescent="0.3">
      <c r="A12" s="30" t="s">
        <v>177</v>
      </c>
      <c r="B12" s="31" t="s">
        <v>178</v>
      </c>
      <c r="C12" s="33" t="s">
        <v>179</v>
      </c>
    </row>
    <row r="13" spans="1:3" x14ac:dyDescent="0.3">
      <c r="A13" s="30" t="s">
        <v>180</v>
      </c>
      <c r="B13" s="31" t="s">
        <v>181</v>
      </c>
      <c r="C13" s="33" t="s">
        <v>182</v>
      </c>
    </row>
    <row r="14" spans="1:3" x14ac:dyDescent="0.3">
      <c r="A14" s="30" t="s">
        <v>183</v>
      </c>
      <c r="B14" s="31" t="s">
        <v>184</v>
      </c>
      <c r="C14" s="32" t="s">
        <v>185</v>
      </c>
    </row>
    <row r="15" spans="1:3" x14ac:dyDescent="0.3">
      <c r="A15" s="30" t="s">
        <v>186</v>
      </c>
      <c r="B15" s="31" t="s">
        <v>187</v>
      </c>
      <c r="C15" s="33" t="s">
        <v>188</v>
      </c>
    </row>
    <row r="16" spans="1:3" x14ac:dyDescent="0.3">
      <c r="A16" s="30" t="s">
        <v>189</v>
      </c>
      <c r="B16" s="31" t="s">
        <v>190</v>
      </c>
      <c r="C16" s="33" t="s">
        <v>191</v>
      </c>
    </row>
    <row r="17" spans="1:3" x14ac:dyDescent="0.3">
      <c r="A17" s="30" t="s">
        <v>192</v>
      </c>
      <c r="B17" s="31" t="s">
        <v>193</v>
      </c>
      <c r="C17" s="32" t="s">
        <v>194</v>
      </c>
    </row>
    <row r="18" spans="1:3" x14ac:dyDescent="0.3">
      <c r="A18" s="30" t="s">
        <v>195</v>
      </c>
      <c r="B18" s="31" t="s">
        <v>196</v>
      </c>
      <c r="C18" s="32" t="s">
        <v>197</v>
      </c>
    </row>
    <row r="19" spans="1:3" x14ac:dyDescent="0.3">
      <c r="A19" s="30" t="s">
        <v>198</v>
      </c>
      <c r="B19" s="31" t="s">
        <v>199</v>
      </c>
      <c r="C19" s="32" t="s">
        <v>200</v>
      </c>
    </row>
    <row r="20" spans="1:3" x14ac:dyDescent="0.3">
      <c r="A20" s="30" t="s">
        <v>201</v>
      </c>
      <c r="B20" s="31" t="s">
        <v>202</v>
      </c>
      <c r="C20" s="33" t="s">
        <v>203</v>
      </c>
    </row>
    <row r="21" spans="1:3" x14ac:dyDescent="0.3">
      <c r="A21" s="30" t="s">
        <v>204</v>
      </c>
      <c r="B21" s="31" t="s">
        <v>205</v>
      </c>
      <c r="C21" s="32" t="s">
        <v>206</v>
      </c>
    </row>
    <row r="22" spans="1:3" x14ac:dyDescent="0.3">
      <c r="A22" s="30" t="s">
        <v>207</v>
      </c>
      <c r="B22" s="31" t="s">
        <v>208</v>
      </c>
      <c r="C22" s="32" t="s">
        <v>209</v>
      </c>
    </row>
    <row r="23" spans="1:3" x14ac:dyDescent="0.3">
      <c r="A23" s="30" t="s">
        <v>210</v>
      </c>
      <c r="B23" s="31" t="s">
        <v>211</v>
      </c>
      <c r="C23" s="32" t="s">
        <v>212</v>
      </c>
    </row>
    <row r="24" spans="1:3" x14ac:dyDescent="0.3">
      <c r="A24" s="30" t="s">
        <v>213</v>
      </c>
      <c r="B24" s="31" t="s">
        <v>214</v>
      </c>
      <c r="C24" s="32" t="s">
        <v>215</v>
      </c>
    </row>
    <row r="25" spans="1:3" x14ac:dyDescent="0.3">
      <c r="A25" s="30" t="s">
        <v>216</v>
      </c>
      <c r="B25" s="31" t="s">
        <v>217</v>
      </c>
      <c r="C25" s="33" t="s">
        <v>218</v>
      </c>
    </row>
    <row r="26" spans="1:3" x14ac:dyDescent="0.3">
      <c r="A26" s="30" t="s">
        <v>219</v>
      </c>
      <c r="B26" s="31" t="s">
        <v>112</v>
      </c>
      <c r="C26" s="33" t="s">
        <v>220</v>
      </c>
    </row>
    <row r="27" spans="1:3" x14ac:dyDescent="0.3">
      <c r="A27" s="30" t="s">
        <v>221</v>
      </c>
      <c r="B27" s="31" t="s">
        <v>222</v>
      </c>
      <c r="C27" s="32" t="s">
        <v>223</v>
      </c>
    </row>
    <row r="28" spans="1:3" x14ac:dyDescent="0.3">
      <c r="A28" s="30" t="s">
        <v>224</v>
      </c>
      <c r="B28" s="31" t="s">
        <v>225</v>
      </c>
      <c r="C28" s="33" t="s">
        <v>226</v>
      </c>
    </row>
    <row r="29" spans="1:3" x14ac:dyDescent="0.3">
      <c r="A29" s="30" t="s">
        <v>227</v>
      </c>
      <c r="B29" s="31" t="s">
        <v>228</v>
      </c>
      <c r="C29" s="32" t="s">
        <v>229</v>
      </c>
    </row>
    <row r="30" spans="1:3" x14ac:dyDescent="0.3">
      <c r="A30" s="30" t="s">
        <v>230</v>
      </c>
      <c r="B30" s="31" t="s">
        <v>231</v>
      </c>
      <c r="C30" s="32" t="s">
        <v>232</v>
      </c>
    </row>
    <row r="31" spans="1:3" x14ac:dyDescent="0.3">
      <c r="A31" s="30" t="s">
        <v>233</v>
      </c>
      <c r="B31" s="31" t="s">
        <v>234</v>
      </c>
      <c r="C31" s="33" t="s">
        <v>235</v>
      </c>
    </row>
    <row r="32" spans="1:3" x14ac:dyDescent="0.3">
      <c r="A32" s="30" t="s">
        <v>236</v>
      </c>
      <c r="B32" s="31" t="s">
        <v>237</v>
      </c>
      <c r="C32" s="32" t="s">
        <v>238</v>
      </c>
    </row>
    <row r="33" spans="1:3" x14ac:dyDescent="0.3">
      <c r="A33" s="30" t="s">
        <v>239</v>
      </c>
      <c r="B33" s="31" t="s">
        <v>240</v>
      </c>
      <c r="C33" s="32" t="s">
        <v>241</v>
      </c>
    </row>
    <row r="34" spans="1:3" x14ac:dyDescent="0.3">
      <c r="A34" s="30" t="s">
        <v>242</v>
      </c>
      <c r="B34" s="31" t="s">
        <v>243</v>
      </c>
      <c r="C34" s="33" t="s">
        <v>244</v>
      </c>
    </row>
    <row r="35" spans="1:3" x14ac:dyDescent="0.3">
      <c r="A35" s="30" t="s">
        <v>245</v>
      </c>
      <c r="B35" s="31" t="s">
        <v>246</v>
      </c>
      <c r="C35" s="32" t="s">
        <v>247</v>
      </c>
    </row>
    <row r="36" spans="1:3" x14ac:dyDescent="0.3">
      <c r="A36" s="30" t="s">
        <v>248</v>
      </c>
      <c r="B36" s="31" t="s">
        <v>249</v>
      </c>
      <c r="C36" s="32" t="s">
        <v>250</v>
      </c>
    </row>
    <row r="37" spans="1:3" x14ac:dyDescent="0.3">
      <c r="A37" s="30" t="s">
        <v>251</v>
      </c>
      <c r="B37" s="31" t="s">
        <v>252</v>
      </c>
      <c r="C37" s="32" t="s">
        <v>253</v>
      </c>
    </row>
    <row r="38" spans="1:3" x14ac:dyDescent="0.3">
      <c r="A38" s="30" t="s">
        <v>254</v>
      </c>
      <c r="B38" s="31" t="s">
        <v>255</v>
      </c>
      <c r="C38" s="32" t="s">
        <v>256</v>
      </c>
    </row>
    <row r="39" spans="1:3" x14ac:dyDescent="0.3">
      <c r="A39" s="30" t="s">
        <v>257</v>
      </c>
      <c r="B39" s="31" t="s">
        <v>258</v>
      </c>
      <c r="C39" s="32" t="s">
        <v>259</v>
      </c>
    </row>
    <row r="40" spans="1:3" x14ac:dyDescent="0.3">
      <c r="A40" s="30" t="s">
        <v>260</v>
      </c>
      <c r="B40" s="31" t="s">
        <v>261</v>
      </c>
      <c r="C40" s="33" t="s">
        <v>262</v>
      </c>
    </row>
    <row r="41" spans="1:3" x14ac:dyDescent="0.3">
      <c r="A41" s="30" t="s">
        <v>263</v>
      </c>
      <c r="B41" s="31" t="s">
        <v>264</v>
      </c>
      <c r="C41" s="32" t="s">
        <v>265</v>
      </c>
    </row>
    <row r="42" spans="1:3" x14ac:dyDescent="0.3">
      <c r="A42" s="30" t="s">
        <v>266</v>
      </c>
      <c r="B42" s="31" t="s">
        <v>267</v>
      </c>
      <c r="C42" s="32" t="s">
        <v>268</v>
      </c>
    </row>
    <row r="43" spans="1:3" x14ac:dyDescent="0.3">
      <c r="A43" s="30" t="s">
        <v>269</v>
      </c>
      <c r="B43" s="31" t="s">
        <v>270</v>
      </c>
      <c r="C43" s="32" t="s">
        <v>271</v>
      </c>
    </row>
    <row r="44" spans="1:3" x14ac:dyDescent="0.3">
      <c r="A44" s="30" t="s">
        <v>272</v>
      </c>
      <c r="B44" s="31" t="s">
        <v>273</v>
      </c>
      <c r="C44" s="33" t="s">
        <v>274</v>
      </c>
    </row>
    <row r="45" spans="1:3" x14ac:dyDescent="0.3">
      <c r="A45" s="30" t="s">
        <v>275</v>
      </c>
      <c r="B45" s="31" t="s">
        <v>276</v>
      </c>
      <c r="C45" s="32" t="s">
        <v>277</v>
      </c>
    </row>
    <row r="46" spans="1:3" x14ac:dyDescent="0.3">
      <c r="A46" s="30" t="s">
        <v>278</v>
      </c>
      <c r="B46" s="31" t="s">
        <v>279</v>
      </c>
      <c r="C46" s="32" t="s">
        <v>280</v>
      </c>
    </row>
    <row r="47" spans="1:3" x14ac:dyDescent="0.3">
      <c r="A47" s="30" t="s">
        <v>281</v>
      </c>
      <c r="B47" s="31" t="s">
        <v>282</v>
      </c>
      <c r="C47" s="32" t="s">
        <v>283</v>
      </c>
    </row>
    <row r="48" spans="1:3" x14ac:dyDescent="0.3">
      <c r="A48" s="30" t="s">
        <v>284</v>
      </c>
      <c r="B48" s="31" t="s">
        <v>285</v>
      </c>
      <c r="C48" s="40" t="s">
        <v>286</v>
      </c>
    </row>
    <row r="49" spans="1:3" x14ac:dyDescent="0.3">
      <c r="A49" s="30" t="s">
        <v>287</v>
      </c>
      <c r="B49" s="31" t="s">
        <v>288</v>
      </c>
      <c r="C49" s="32" t="s">
        <v>289</v>
      </c>
    </row>
    <row r="50" spans="1:3" x14ac:dyDescent="0.3">
      <c r="A50" s="30" t="s">
        <v>290</v>
      </c>
      <c r="B50" s="31" t="s">
        <v>291</v>
      </c>
      <c r="C50" s="32" t="s">
        <v>292</v>
      </c>
    </row>
    <row r="51" spans="1:3" x14ac:dyDescent="0.3">
      <c r="A51" s="30" t="s">
        <v>293</v>
      </c>
      <c r="B51" s="31" t="s">
        <v>294</v>
      </c>
      <c r="C51" s="32" t="s">
        <v>295</v>
      </c>
    </row>
    <row r="52" spans="1:3" x14ac:dyDescent="0.3">
      <c r="A52" s="30" t="s">
        <v>296</v>
      </c>
      <c r="B52" s="31" t="s">
        <v>297</v>
      </c>
      <c r="C52" s="33" t="s">
        <v>298</v>
      </c>
    </row>
    <row r="53" spans="1:3" x14ac:dyDescent="0.3">
      <c r="A53" s="30" t="s">
        <v>299</v>
      </c>
      <c r="B53" s="31" t="s">
        <v>300</v>
      </c>
      <c r="C53" s="33"/>
    </row>
    <row r="54" spans="1:3" x14ac:dyDescent="0.3">
      <c r="A54" s="30" t="s">
        <v>301</v>
      </c>
      <c r="B54" s="31" t="s">
        <v>302</v>
      </c>
      <c r="C54" s="33" t="s">
        <v>303</v>
      </c>
    </row>
    <row r="55" spans="1:3" x14ac:dyDescent="0.3">
      <c r="A55" s="30" t="s">
        <v>304</v>
      </c>
      <c r="B55" s="31" t="s">
        <v>305</v>
      </c>
      <c r="C55" s="33" t="s">
        <v>306</v>
      </c>
    </row>
    <row r="56" spans="1:3" x14ac:dyDescent="0.3">
      <c r="A56" s="30" t="s">
        <v>307</v>
      </c>
      <c r="B56" s="31" t="s">
        <v>308</v>
      </c>
      <c r="C56" s="33" t="s">
        <v>309</v>
      </c>
    </row>
    <row r="57" spans="1:3" x14ac:dyDescent="0.3">
      <c r="A57" s="30" t="s">
        <v>310</v>
      </c>
      <c r="B57" s="31" t="s">
        <v>311</v>
      </c>
      <c r="C57" s="33" t="s">
        <v>312</v>
      </c>
    </row>
    <row r="58" spans="1:3" x14ac:dyDescent="0.3">
      <c r="A58" s="30" t="s">
        <v>313</v>
      </c>
      <c r="B58" s="31" t="s">
        <v>314</v>
      </c>
      <c r="C58" s="33" t="s">
        <v>315</v>
      </c>
    </row>
    <row r="59" spans="1:3" x14ac:dyDescent="0.3">
      <c r="A59" s="30" t="s">
        <v>316</v>
      </c>
      <c r="B59" s="31" t="s">
        <v>317</v>
      </c>
      <c r="C59" s="33" t="s">
        <v>318</v>
      </c>
    </row>
    <row r="60" spans="1:3" x14ac:dyDescent="0.3">
      <c r="A60" s="30" t="s">
        <v>319</v>
      </c>
      <c r="B60" s="31" t="s">
        <v>320</v>
      </c>
      <c r="C60" s="40" t="s">
        <v>321</v>
      </c>
    </row>
    <row r="61" spans="1:3" x14ac:dyDescent="0.3">
      <c r="A61" s="30" t="s">
        <v>322</v>
      </c>
      <c r="B61" s="31" t="s">
        <v>323</v>
      </c>
      <c r="C61" s="33" t="s">
        <v>324</v>
      </c>
    </row>
    <row r="62" spans="1:3" x14ac:dyDescent="0.3">
      <c r="A62" s="30" t="s">
        <v>325</v>
      </c>
      <c r="B62" s="31" t="s">
        <v>326</v>
      </c>
      <c r="C62" s="33" t="s">
        <v>327</v>
      </c>
    </row>
    <row r="63" spans="1:3" x14ac:dyDescent="0.3">
      <c r="A63" s="30" t="s">
        <v>328</v>
      </c>
      <c r="B63" s="31" t="s">
        <v>329</v>
      </c>
      <c r="C63" s="33" t="s">
        <v>330</v>
      </c>
    </row>
    <row r="64" spans="1:3" x14ac:dyDescent="0.3">
      <c r="A64" s="30" t="s">
        <v>331</v>
      </c>
      <c r="B64" s="31" t="s">
        <v>332</v>
      </c>
      <c r="C64" s="33" t="s">
        <v>333</v>
      </c>
    </row>
    <row r="65" spans="1:3" x14ac:dyDescent="0.3">
      <c r="A65" s="30" t="s">
        <v>334</v>
      </c>
      <c r="B65" s="31" t="s">
        <v>335</v>
      </c>
      <c r="C65" s="33" t="s">
        <v>336</v>
      </c>
    </row>
    <row r="66" spans="1:3" x14ac:dyDescent="0.3">
      <c r="A66" s="30" t="s">
        <v>337</v>
      </c>
      <c r="B66" s="31" t="s">
        <v>338</v>
      </c>
      <c r="C66" s="33" t="s">
        <v>265</v>
      </c>
    </row>
    <row r="67" spans="1:3" x14ac:dyDescent="0.3">
      <c r="A67" s="30" t="s">
        <v>339</v>
      </c>
      <c r="B67" s="31" t="s">
        <v>340</v>
      </c>
      <c r="C67" s="32" t="s">
        <v>341</v>
      </c>
    </row>
    <row r="68" spans="1:3" x14ac:dyDescent="0.3">
      <c r="A68" s="30" t="s">
        <v>342</v>
      </c>
      <c r="B68" s="31" t="s">
        <v>343</v>
      </c>
      <c r="C68" s="33" t="s">
        <v>344</v>
      </c>
    </row>
    <row r="69" spans="1:3" x14ac:dyDescent="0.3">
      <c r="A69" s="30" t="s">
        <v>345</v>
      </c>
      <c r="B69" s="31" t="s">
        <v>346</v>
      </c>
      <c r="C69" s="33" t="s">
        <v>347</v>
      </c>
    </row>
    <row r="70" spans="1:3" x14ac:dyDescent="0.3">
      <c r="A70" s="30" t="s">
        <v>348</v>
      </c>
      <c r="B70" s="31" t="s">
        <v>349</v>
      </c>
      <c r="C70" s="33" t="s">
        <v>350</v>
      </c>
    </row>
    <row r="71" spans="1:3" x14ac:dyDescent="0.3">
      <c r="A71" s="30" t="s">
        <v>351</v>
      </c>
      <c r="B71" s="31" t="s">
        <v>352</v>
      </c>
      <c r="C71" s="33" t="s">
        <v>353</v>
      </c>
    </row>
    <row r="72" spans="1:3" x14ac:dyDescent="0.3">
      <c r="A72" s="30" t="s">
        <v>354</v>
      </c>
      <c r="B72" s="31" t="s">
        <v>355</v>
      </c>
      <c r="C72" s="40" t="s">
        <v>265</v>
      </c>
    </row>
    <row r="73" spans="1:3" x14ac:dyDescent="0.3">
      <c r="A73" s="30" t="s">
        <v>356</v>
      </c>
      <c r="B73" s="31" t="s">
        <v>357</v>
      </c>
      <c r="C73" s="32" t="s">
        <v>358</v>
      </c>
    </row>
    <row r="74" spans="1:3" x14ac:dyDescent="0.3">
      <c r="A74" s="30" t="s">
        <v>359</v>
      </c>
      <c r="B74" s="31" t="s">
        <v>360</v>
      </c>
      <c r="C74" s="33" t="s">
        <v>361</v>
      </c>
    </row>
    <row r="75" spans="1:3" x14ac:dyDescent="0.3">
      <c r="A75" s="30" t="s">
        <v>362</v>
      </c>
      <c r="B75" s="31" t="s">
        <v>363</v>
      </c>
      <c r="C75" s="33" t="s">
        <v>364</v>
      </c>
    </row>
    <row r="76" spans="1:3" x14ac:dyDescent="0.3">
      <c r="A76" s="30" t="s">
        <v>365</v>
      </c>
      <c r="B76" s="31" t="s">
        <v>366</v>
      </c>
      <c r="C76" s="33" t="s">
        <v>367</v>
      </c>
    </row>
    <row r="77" spans="1:3" x14ac:dyDescent="0.3">
      <c r="A77" s="30" t="s">
        <v>368</v>
      </c>
      <c r="B77" s="31" t="s">
        <v>369</v>
      </c>
      <c r="C77" s="33" t="s">
        <v>370</v>
      </c>
    </row>
    <row r="78" spans="1:3" x14ac:dyDescent="0.3">
      <c r="A78" s="30" t="s">
        <v>371</v>
      </c>
      <c r="B78" s="31" t="s">
        <v>372</v>
      </c>
      <c r="C78" s="33" t="s">
        <v>265</v>
      </c>
    </row>
    <row r="79" spans="1:3" x14ac:dyDescent="0.3">
      <c r="A79" s="30" t="s">
        <v>373</v>
      </c>
      <c r="B79" s="31" t="s">
        <v>374</v>
      </c>
      <c r="C79" s="33" t="s">
        <v>265</v>
      </c>
    </row>
    <row r="80" spans="1:3" x14ac:dyDescent="0.3">
      <c r="A80" s="30" t="s">
        <v>375</v>
      </c>
      <c r="B80" s="31" t="s">
        <v>376</v>
      </c>
      <c r="C80" s="33" t="s">
        <v>377</v>
      </c>
    </row>
    <row r="81" spans="1:3" x14ac:dyDescent="0.3">
      <c r="A81" s="30" t="s">
        <v>378</v>
      </c>
      <c r="B81" s="31" t="s">
        <v>379</v>
      </c>
      <c r="C81" s="33" t="s">
        <v>380</v>
      </c>
    </row>
    <row r="82" spans="1:3" x14ac:dyDescent="0.3">
      <c r="A82" s="30" t="s">
        <v>381</v>
      </c>
      <c r="B82" s="31" t="s">
        <v>382</v>
      </c>
      <c r="C82" s="33" t="s">
        <v>383</v>
      </c>
    </row>
    <row r="83" spans="1:3" x14ac:dyDescent="0.3">
      <c r="A83" s="30" t="s">
        <v>384</v>
      </c>
      <c r="B83" s="31" t="s">
        <v>385</v>
      </c>
      <c r="C83" s="33" t="s">
        <v>386</v>
      </c>
    </row>
    <row r="84" spans="1:3" x14ac:dyDescent="0.3">
      <c r="A84" s="30" t="s">
        <v>387</v>
      </c>
      <c r="B84" s="31" t="s">
        <v>388</v>
      </c>
      <c r="C84" s="33" t="s">
        <v>389</v>
      </c>
    </row>
    <row r="85" spans="1:3" x14ac:dyDescent="0.3">
      <c r="A85" s="30" t="s">
        <v>390</v>
      </c>
      <c r="B85" s="31" t="s">
        <v>391</v>
      </c>
      <c r="C85" s="33" t="s">
        <v>392</v>
      </c>
    </row>
    <row r="86" spans="1:3" x14ac:dyDescent="0.3">
      <c r="A86" s="30" t="s">
        <v>393</v>
      </c>
      <c r="B86" s="31" t="s">
        <v>394</v>
      </c>
      <c r="C86" s="42" t="s">
        <v>395</v>
      </c>
    </row>
    <row r="87" spans="1:3" x14ac:dyDescent="0.3">
      <c r="A87" s="30" t="s">
        <v>396</v>
      </c>
      <c r="B87" s="31" t="s">
        <v>397</v>
      </c>
      <c r="C87" s="33" t="s">
        <v>398</v>
      </c>
    </row>
    <row r="88" spans="1:3" x14ac:dyDescent="0.3">
      <c r="A88" s="30" t="s">
        <v>399</v>
      </c>
      <c r="B88" s="31" t="s">
        <v>400</v>
      </c>
      <c r="C88" s="33" t="s">
        <v>401</v>
      </c>
    </row>
    <row r="89" spans="1:3" x14ac:dyDescent="0.3">
      <c r="A89" s="30" t="s">
        <v>402</v>
      </c>
      <c r="B89" s="31" t="s">
        <v>403</v>
      </c>
      <c r="C89" s="33" t="s">
        <v>404</v>
      </c>
    </row>
    <row r="90" spans="1:3" x14ac:dyDescent="0.3">
      <c r="A90" s="30" t="s">
        <v>405</v>
      </c>
      <c r="B90" s="31" t="s">
        <v>406</v>
      </c>
      <c r="C90" s="33" t="s">
        <v>407</v>
      </c>
    </row>
    <row r="91" spans="1:3" x14ac:dyDescent="0.3">
      <c r="A91" s="30" t="s">
        <v>408</v>
      </c>
      <c r="B91" s="31" t="s">
        <v>409</v>
      </c>
      <c r="C91" s="33" t="s">
        <v>410</v>
      </c>
    </row>
    <row r="92" spans="1:3" x14ac:dyDescent="0.3">
      <c r="A92" s="30" t="s">
        <v>411</v>
      </c>
      <c r="B92" s="31" t="s">
        <v>412</v>
      </c>
      <c r="C92" s="33" t="s">
        <v>413</v>
      </c>
    </row>
    <row r="93" spans="1:3" x14ac:dyDescent="0.3">
      <c r="A93" s="30" t="s">
        <v>414</v>
      </c>
      <c r="B93" s="31" t="s">
        <v>415</v>
      </c>
      <c r="C93" s="33" t="s">
        <v>416</v>
      </c>
    </row>
    <row r="94" spans="1:3" x14ac:dyDescent="0.3">
      <c r="A94" s="30" t="s">
        <v>417</v>
      </c>
      <c r="B94" s="31" t="s">
        <v>418</v>
      </c>
      <c r="C94" s="33" t="s">
        <v>419</v>
      </c>
    </row>
    <row r="95" spans="1:3" x14ac:dyDescent="0.3">
      <c r="A95" s="30" t="s">
        <v>420</v>
      </c>
      <c r="B95" s="31" t="s">
        <v>421</v>
      </c>
      <c r="C95" s="33" t="s">
        <v>422</v>
      </c>
    </row>
    <row r="96" spans="1:3" x14ac:dyDescent="0.3">
      <c r="A96" s="30" t="s">
        <v>423</v>
      </c>
      <c r="B96" s="31" t="s">
        <v>424</v>
      </c>
      <c r="C96" s="33" t="s">
        <v>425</v>
      </c>
    </row>
    <row r="97" spans="1:3" x14ac:dyDescent="0.3">
      <c r="A97" s="30" t="s">
        <v>426</v>
      </c>
      <c r="B97" s="31" t="s">
        <v>427</v>
      </c>
      <c r="C97" s="33" t="s">
        <v>428</v>
      </c>
    </row>
    <row r="98" spans="1:3" x14ac:dyDescent="0.3">
      <c r="A98" s="30" t="s">
        <v>429</v>
      </c>
      <c r="B98" s="31" t="s">
        <v>430</v>
      </c>
      <c r="C98" s="33" t="s">
        <v>431</v>
      </c>
    </row>
    <row r="99" spans="1:3" x14ac:dyDescent="0.3">
      <c r="A99" s="30" t="s">
        <v>432</v>
      </c>
      <c r="B99" s="31" t="s">
        <v>433</v>
      </c>
      <c r="C99" s="33" t="s">
        <v>434</v>
      </c>
    </row>
    <row r="100" spans="1:3" x14ac:dyDescent="0.3">
      <c r="A100" s="30" t="s">
        <v>435</v>
      </c>
      <c r="B100" s="31" t="s">
        <v>436</v>
      </c>
      <c r="C100" s="33" t="s">
        <v>437</v>
      </c>
    </row>
    <row r="101" spans="1:3" x14ac:dyDescent="0.3">
      <c r="A101" s="30" t="s">
        <v>438</v>
      </c>
      <c r="B101" s="31" t="s">
        <v>24</v>
      </c>
      <c r="C101" s="33" t="s">
        <v>439</v>
      </c>
    </row>
    <row r="102" spans="1:3" x14ac:dyDescent="0.3">
      <c r="A102" s="30" t="s">
        <v>440</v>
      </c>
      <c r="B102" s="31" t="s">
        <v>441</v>
      </c>
      <c r="C102" s="33" t="s">
        <v>442</v>
      </c>
    </row>
    <row r="103" spans="1:3" x14ac:dyDescent="0.3">
      <c r="A103" s="30" t="s">
        <v>443</v>
      </c>
      <c r="B103" s="31" t="s">
        <v>444</v>
      </c>
      <c r="C103" s="40" t="s">
        <v>445</v>
      </c>
    </row>
    <row r="104" spans="1:3" x14ac:dyDescent="0.3">
      <c r="A104" s="30" t="s">
        <v>446</v>
      </c>
      <c r="B104" s="31" t="s">
        <v>447</v>
      </c>
      <c r="C104" s="33" t="s">
        <v>448</v>
      </c>
    </row>
    <row r="105" spans="1:3" x14ac:dyDescent="0.3">
      <c r="A105" s="30" t="s">
        <v>449</v>
      </c>
      <c r="B105" s="31" t="s">
        <v>450</v>
      </c>
      <c r="C105" s="33" t="s">
        <v>451</v>
      </c>
    </row>
    <row r="106" spans="1:3" x14ac:dyDescent="0.3">
      <c r="A106" s="30" t="s">
        <v>452</v>
      </c>
      <c r="B106" s="31" t="s">
        <v>453</v>
      </c>
      <c r="C106" s="33" t="s">
        <v>454</v>
      </c>
    </row>
    <row r="107" spans="1:3" x14ac:dyDescent="0.3">
      <c r="A107" s="30" t="s">
        <v>455</v>
      </c>
      <c r="B107" s="31" t="s">
        <v>456</v>
      </c>
      <c r="C107" s="33" t="s">
        <v>457</v>
      </c>
    </row>
    <row r="108" spans="1:3" x14ac:dyDescent="0.3">
      <c r="A108" s="30" t="s">
        <v>458</v>
      </c>
      <c r="B108" s="31" t="s">
        <v>459</v>
      </c>
      <c r="C108" s="33" t="s">
        <v>460</v>
      </c>
    </row>
    <row r="109" spans="1:3" x14ac:dyDescent="0.3">
      <c r="A109" s="30" t="s">
        <v>461</v>
      </c>
      <c r="B109" s="31" t="s">
        <v>462</v>
      </c>
      <c r="C109" s="32" t="s">
        <v>463</v>
      </c>
    </row>
    <row r="110" spans="1:3" x14ac:dyDescent="0.3">
      <c r="A110" s="30" t="s">
        <v>464</v>
      </c>
      <c r="B110" s="31" t="s">
        <v>465</v>
      </c>
      <c r="C110" s="32" t="s">
        <v>265</v>
      </c>
    </row>
    <row r="111" spans="1:3" x14ac:dyDescent="0.3">
      <c r="A111" s="30" t="s">
        <v>466</v>
      </c>
      <c r="B111" s="31" t="s">
        <v>467</v>
      </c>
      <c r="C111" s="33" t="s">
        <v>265</v>
      </c>
    </row>
    <row r="112" spans="1:3" x14ac:dyDescent="0.3">
      <c r="A112" s="30" t="s">
        <v>468</v>
      </c>
      <c r="B112" s="31" t="s">
        <v>469</v>
      </c>
      <c r="C112" s="40" t="s">
        <v>470</v>
      </c>
    </row>
    <row r="113" spans="1:3" x14ac:dyDescent="0.3">
      <c r="A113" s="30" t="s">
        <v>471</v>
      </c>
      <c r="B113" s="31" t="s">
        <v>472</v>
      </c>
      <c r="C113" s="33" t="s">
        <v>473</v>
      </c>
    </row>
    <row r="114" spans="1:3" x14ac:dyDescent="0.3">
      <c r="A114" s="30" t="s">
        <v>474</v>
      </c>
      <c r="B114" s="31" t="s">
        <v>475</v>
      </c>
      <c r="C114" s="33" t="s">
        <v>476</v>
      </c>
    </row>
    <row r="115" spans="1:3" x14ac:dyDescent="0.3">
      <c r="A115" s="30" t="s">
        <v>477</v>
      </c>
      <c r="B115" s="31" t="s">
        <v>478</v>
      </c>
      <c r="C115" s="33" t="s">
        <v>479</v>
      </c>
    </row>
    <row r="116" spans="1:3" x14ac:dyDescent="0.3">
      <c r="A116" s="30" t="s">
        <v>480</v>
      </c>
      <c r="B116" s="31" t="s">
        <v>481</v>
      </c>
      <c r="C116" s="33" t="s">
        <v>265</v>
      </c>
    </row>
    <row r="117" spans="1:3" x14ac:dyDescent="0.3">
      <c r="A117" s="30" t="s">
        <v>482</v>
      </c>
      <c r="B117" s="31" t="s">
        <v>483</v>
      </c>
      <c r="C117" s="33" t="s">
        <v>265</v>
      </c>
    </row>
    <row r="118" spans="1:3" x14ac:dyDescent="0.3">
      <c r="A118" s="35" t="s">
        <v>484</v>
      </c>
      <c r="B118" s="31" t="s">
        <v>485</v>
      </c>
      <c r="C118" s="33" t="s">
        <v>486</v>
      </c>
    </row>
    <row r="119" spans="1:3" x14ac:dyDescent="0.3">
      <c r="A119" s="30" t="s">
        <v>487</v>
      </c>
      <c r="B119" s="31" t="s">
        <v>488</v>
      </c>
      <c r="C119" s="33" t="s">
        <v>265</v>
      </c>
    </row>
    <row r="120" spans="1:3" x14ac:dyDescent="0.3">
      <c r="A120" s="30" t="s">
        <v>489</v>
      </c>
      <c r="B120" s="31" t="s">
        <v>490</v>
      </c>
      <c r="C120" s="33" t="s">
        <v>491</v>
      </c>
    </row>
    <row r="121" spans="1:3" x14ac:dyDescent="0.3">
      <c r="A121" s="30" t="s">
        <v>492</v>
      </c>
      <c r="B121" s="31" t="s">
        <v>493</v>
      </c>
      <c r="C121" s="33" t="s">
        <v>494</v>
      </c>
    </row>
    <row r="122" spans="1:3" x14ac:dyDescent="0.3">
      <c r="A122" s="30" t="s">
        <v>495</v>
      </c>
      <c r="B122" s="31" t="s">
        <v>496</v>
      </c>
      <c r="C122" s="33" t="s">
        <v>497</v>
      </c>
    </row>
    <row r="123" spans="1:3" x14ac:dyDescent="0.3">
      <c r="A123" s="30" t="s">
        <v>498</v>
      </c>
      <c r="B123" s="31" t="s">
        <v>499</v>
      </c>
      <c r="C123" s="33" t="s">
        <v>500</v>
      </c>
    </row>
    <row r="124" spans="1:3" x14ac:dyDescent="0.3">
      <c r="A124" s="30" t="s">
        <v>501</v>
      </c>
      <c r="B124" s="31" t="s">
        <v>502</v>
      </c>
      <c r="C124" s="33" t="s">
        <v>503</v>
      </c>
    </row>
    <row r="125" spans="1:3" x14ac:dyDescent="0.3">
      <c r="A125" s="30" t="s">
        <v>504</v>
      </c>
      <c r="B125" s="31" t="s">
        <v>505</v>
      </c>
      <c r="C125" s="33" t="s">
        <v>506</v>
      </c>
    </row>
    <row r="126" spans="1:3" x14ac:dyDescent="0.3">
      <c r="A126" s="30" t="s">
        <v>507</v>
      </c>
      <c r="B126" s="31" t="s">
        <v>508</v>
      </c>
      <c r="C126" s="33" t="s">
        <v>509</v>
      </c>
    </row>
    <row r="127" spans="1:3" x14ac:dyDescent="0.3">
      <c r="A127" s="30" t="s">
        <v>510</v>
      </c>
      <c r="B127" s="31" t="s">
        <v>511</v>
      </c>
      <c r="C127" s="33" t="s">
        <v>512</v>
      </c>
    </row>
    <row r="128" spans="1:3" x14ac:dyDescent="0.3">
      <c r="A128" s="30" t="s">
        <v>513</v>
      </c>
      <c r="B128" s="31" t="s">
        <v>514</v>
      </c>
      <c r="C128" s="33" t="s">
        <v>515</v>
      </c>
    </row>
    <row r="129" spans="1:3" x14ac:dyDescent="0.3">
      <c r="A129" s="30" t="s">
        <v>516</v>
      </c>
      <c r="B129" s="31" t="s">
        <v>517</v>
      </c>
      <c r="C129" s="33" t="s">
        <v>518</v>
      </c>
    </row>
    <row r="130" spans="1:3" x14ac:dyDescent="0.3">
      <c r="A130" s="30" t="s">
        <v>519</v>
      </c>
      <c r="B130" s="31" t="s">
        <v>520</v>
      </c>
      <c r="C130" s="32" t="s">
        <v>521</v>
      </c>
    </row>
    <row r="131" spans="1:3" x14ac:dyDescent="0.3">
      <c r="A131" s="30" t="s">
        <v>522</v>
      </c>
      <c r="B131" s="31" t="s">
        <v>523</v>
      </c>
      <c r="C131" s="32" t="s">
        <v>524</v>
      </c>
    </row>
    <row r="132" spans="1:3" x14ac:dyDescent="0.3">
      <c r="A132" s="30" t="s">
        <v>525</v>
      </c>
      <c r="B132" s="31" t="s">
        <v>526</v>
      </c>
      <c r="C132" s="33" t="s">
        <v>527</v>
      </c>
    </row>
    <row r="133" spans="1:3" x14ac:dyDescent="0.3">
      <c r="A133" s="30" t="s">
        <v>528</v>
      </c>
      <c r="B133" s="31" t="s">
        <v>529</v>
      </c>
      <c r="C133" s="33" t="s">
        <v>530</v>
      </c>
    </row>
    <row r="134" spans="1:3" x14ac:dyDescent="0.3">
      <c r="A134" s="30" t="s">
        <v>531</v>
      </c>
      <c r="B134" s="31" t="s">
        <v>532</v>
      </c>
      <c r="C134" s="33" t="s">
        <v>533</v>
      </c>
    </row>
    <row r="135" spans="1:3" x14ac:dyDescent="0.3">
      <c r="A135" s="30" t="s">
        <v>42</v>
      </c>
      <c r="B135" s="31" t="s">
        <v>144</v>
      </c>
      <c r="C135" s="33" t="s">
        <v>534</v>
      </c>
    </row>
    <row r="136" spans="1:3" x14ac:dyDescent="0.3">
      <c r="A136" s="30" t="s">
        <v>535</v>
      </c>
      <c r="B136" s="31" t="s">
        <v>536</v>
      </c>
      <c r="C136" s="33" t="s">
        <v>537</v>
      </c>
    </row>
    <row r="137" spans="1:3" x14ac:dyDescent="0.3">
      <c r="A137" s="30" t="s">
        <v>538</v>
      </c>
      <c r="B137" s="31" t="s">
        <v>539</v>
      </c>
      <c r="C137" s="33" t="s">
        <v>540</v>
      </c>
    </row>
    <row r="138" spans="1:3" x14ac:dyDescent="0.3">
      <c r="A138" s="30" t="s">
        <v>541</v>
      </c>
      <c r="B138" s="31" t="s">
        <v>542</v>
      </c>
      <c r="C138" s="33" t="s">
        <v>543</v>
      </c>
    </row>
    <row r="139" spans="1:3" x14ac:dyDescent="0.3">
      <c r="A139" s="30" t="s">
        <v>544</v>
      </c>
      <c r="B139" s="31" t="s">
        <v>545</v>
      </c>
      <c r="C139" s="33" t="s">
        <v>546</v>
      </c>
    </row>
    <row r="140" spans="1:3" x14ac:dyDescent="0.3">
      <c r="A140" s="30" t="s">
        <v>547</v>
      </c>
      <c r="B140" s="31" t="s">
        <v>548</v>
      </c>
      <c r="C140" s="32" t="s">
        <v>265</v>
      </c>
    </row>
    <row r="141" spans="1:3" x14ac:dyDescent="0.3">
      <c r="A141" s="30" t="s">
        <v>549</v>
      </c>
      <c r="B141" s="31" t="s">
        <v>550</v>
      </c>
      <c r="C141" s="33" t="s">
        <v>265</v>
      </c>
    </row>
    <row r="142" spans="1:3" x14ac:dyDescent="0.3">
      <c r="A142" s="30" t="s">
        <v>551</v>
      </c>
      <c r="B142" s="31" t="s">
        <v>552</v>
      </c>
      <c r="C142" s="32" t="s">
        <v>553</v>
      </c>
    </row>
    <row r="143" spans="1:3" x14ac:dyDescent="0.3">
      <c r="A143" s="30" t="s">
        <v>554</v>
      </c>
      <c r="B143" s="31" t="s">
        <v>555</v>
      </c>
      <c r="C143" s="32" t="s">
        <v>556</v>
      </c>
    </row>
    <row r="144" spans="1:3" x14ac:dyDescent="0.3">
      <c r="A144" s="30" t="s">
        <v>557</v>
      </c>
      <c r="B144" s="31" t="s">
        <v>558</v>
      </c>
      <c r="C144" s="32" t="s">
        <v>559</v>
      </c>
    </row>
    <row r="145" spans="1:3" x14ac:dyDescent="0.3">
      <c r="A145" s="30" t="s">
        <v>560</v>
      </c>
      <c r="B145" s="31" t="s">
        <v>561</v>
      </c>
      <c r="C145" s="32" t="s">
        <v>562</v>
      </c>
    </row>
    <row r="146" spans="1:3" x14ac:dyDescent="0.3">
      <c r="A146" s="30" t="s">
        <v>563</v>
      </c>
      <c r="B146" s="31" t="s">
        <v>564</v>
      </c>
      <c r="C146" s="33" t="s">
        <v>565</v>
      </c>
    </row>
    <row r="147" spans="1:3" x14ac:dyDescent="0.3">
      <c r="A147" s="30" t="s">
        <v>566</v>
      </c>
      <c r="B147" s="31" t="s">
        <v>567</v>
      </c>
      <c r="C147" s="32" t="s">
        <v>568</v>
      </c>
    </row>
    <row r="148" spans="1:3" x14ac:dyDescent="0.3">
      <c r="A148" s="30" t="s">
        <v>569</v>
      </c>
      <c r="B148" s="31" t="s">
        <v>570</v>
      </c>
      <c r="C148" s="33" t="s">
        <v>571</v>
      </c>
    </row>
    <row r="149" spans="1:3" x14ac:dyDescent="0.3">
      <c r="A149" s="30" t="s">
        <v>572</v>
      </c>
      <c r="B149" s="31" t="s">
        <v>573</v>
      </c>
      <c r="C149" s="32" t="s">
        <v>574</v>
      </c>
    </row>
    <row r="150" spans="1:3" x14ac:dyDescent="0.3">
      <c r="A150" s="30" t="s">
        <v>575</v>
      </c>
      <c r="B150" s="31" t="s">
        <v>576</v>
      </c>
      <c r="C150" s="33" t="s">
        <v>577</v>
      </c>
    </row>
    <row r="151" spans="1:3" x14ac:dyDescent="0.3">
      <c r="A151" s="30" t="s">
        <v>578</v>
      </c>
      <c r="B151" s="31" t="s">
        <v>579</v>
      </c>
      <c r="C151" s="33" t="s">
        <v>580</v>
      </c>
    </row>
    <row r="152" spans="1:3" x14ac:dyDescent="0.3">
      <c r="A152" s="30" t="s">
        <v>581</v>
      </c>
      <c r="B152" s="31" t="s">
        <v>582</v>
      </c>
      <c r="C152" s="33" t="s">
        <v>583</v>
      </c>
    </row>
    <row r="153" spans="1:3" x14ac:dyDescent="0.3">
      <c r="A153" s="30" t="s">
        <v>584</v>
      </c>
      <c r="B153" s="31" t="s">
        <v>585</v>
      </c>
      <c r="C153" s="40" t="s">
        <v>586</v>
      </c>
    </row>
    <row r="154" spans="1:3" x14ac:dyDescent="0.3">
      <c r="A154" s="30" t="s">
        <v>587</v>
      </c>
      <c r="B154" s="31" t="s">
        <v>12</v>
      </c>
      <c r="C154" s="33" t="s">
        <v>588</v>
      </c>
    </row>
    <row r="155" spans="1:3" x14ac:dyDescent="0.3">
      <c r="A155" s="30" t="s">
        <v>589</v>
      </c>
      <c r="B155" s="31" t="s">
        <v>590</v>
      </c>
      <c r="C155" s="32" t="s">
        <v>591</v>
      </c>
    </row>
    <row r="156" spans="1:3" x14ac:dyDescent="0.3">
      <c r="A156" s="30" t="s">
        <v>592</v>
      </c>
      <c r="B156" s="31" t="s">
        <v>593</v>
      </c>
      <c r="C156" s="32" t="s">
        <v>594</v>
      </c>
    </row>
    <row r="157" spans="1:3" x14ac:dyDescent="0.3">
      <c r="A157" s="30" t="s">
        <v>595</v>
      </c>
      <c r="B157" s="31" t="s">
        <v>596</v>
      </c>
      <c r="C157" s="33" t="s">
        <v>265</v>
      </c>
    </row>
    <row r="158" spans="1:3" x14ac:dyDescent="0.3">
      <c r="A158" s="30" t="s">
        <v>597</v>
      </c>
      <c r="B158" s="31" t="s">
        <v>598</v>
      </c>
      <c r="C158" s="33" t="s">
        <v>599</v>
      </c>
    </row>
    <row r="159" spans="1:3" x14ac:dyDescent="0.3">
      <c r="A159" s="30" t="s">
        <v>600</v>
      </c>
      <c r="B159" s="31" t="s">
        <v>601</v>
      </c>
      <c r="C159" s="33" t="s">
        <v>602</v>
      </c>
    </row>
    <row r="160" spans="1:3" x14ac:dyDescent="0.3">
      <c r="A160" s="30" t="s">
        <v>603</v>
      </c>
      <c r="B160" s="31" t="s">
        <v>604</v>
      </c>
      <c r="C160" s="33" t="s">
        <v>605</v>
      </c>
    </row>
    <row r="161" spans="1:3" x14ac:dyDescent="0.3">
      <c r="A161" s="30" t="s">
        <v>606</v>
      </c>
      <c r="B161" s="31" t="s">
        <v>607</v>
      </c>
      <c r="C161" s="33" t="s">
        <v>265</v>
      </c>
    </row>
    <row r="162" spans="1:3" x14ac:dyDescent="0.3">
      <c r="A162" s="35" t="s">
        <v>608</v>
      </c>
      <c r="B162" s="31" t="s">
        <v>609</v>
      </c>
      <c r="C162" s="33" t="s">
        <v>610</v>
      </c>
    </row>
    <row r="163" spans="1:3" x14ac:dyDescent="0.3">
      <c r="A163" s="35" t="s">
        <v>611</v>
      </c>
      <c r="B163" s="31" t="s">
        <v>612</v>
      </c>
      <c r="C163" s="33" t="s">
        <v>613</v>
      </c>
    </row>
    <row r="164" spans="1:3" x14ac:dyDescent="0.3">
      <c r="A164" s="30" t="s">
        <v>614</v>
      </c>
      <c r="B164" s="31" t="s">
        <v>615</v>
      </c>
      <c r="C164" s="33" t="s">
        <v>616</v>
      </c>
    </row>
    <row r="165" spans="1:3" x14ac:dyDescent="0.3">
      <c r="A165" s="30" t="s">
        <v>617</v>
      </c>
      <c r="B165" s="31" t="s">
        <v>618</v>
      </c>
      <c r="C165" s="40" t="s">
        <v>619</v>
      </c>
    </row>
    <row r="166" spans="1:3" x14ac:dyDescent="0.3">
      <c r="A166" s="30" t="s">
        <v>620</v>
      </c>
      <c r="B166" s="31" t="s">
        <v>621</v>
      </c>
      <c r="C166" s="33" t="s">
        <v>622</v>
      </c>
    </row>
    <row r="167" spans="1:3" x14ac:dyDescent="0.3">
      <c r="A167" s="30" t="s">
        <v>623</v>
      </c>
      <c r="B167" s="31" t="s">
        <v>126</v>
      </c>
      <c r="C167" s="33" t="s">
        <v>624</v>
      </c>
    </row>
    <row r="168" spans="1:3" x14ac:dyDescent="0.3">
      <c r="A168" s="30" t="s">
        <v>625</v>
      </c>
      <c r="B168" s="31" t="s">
        <v>626</v>
      </c>
      <c r="C168" s="33" t="s">
        <v>627</v>
      </c>
    </row>
    <row r="169" spans="1:3" x14ac:dyDescent="0.3">
      <c r="A169" s="30" t="s">
        <v>628</v>
      </c>
      <c r="B169" s="31" t="s">
        <v>629</v>
      </c>
      <c r="C169" s="33" t="s">
        <v>630</v>
      </c>
    </row>
    <row r="170" spans="1:3" x14ac:dyDescent="0.3">
      <c r="A170" s="30" t="s">
        <v>631</v>
      </c>
      <c r="B170" s="31" t="s">
        <v>632</v>
      </c>
      <c r="C170" s="33" t="s">
        <v>633</v>
      </c>
    </row>
    <row r="171" spans="1:3" x14ac:dyDescent="0.3">
      <c r="A171" s="30" t="s">
        <v>634</v>
      </c>
      <c r="B171" s="31" t="s">
        <v>635</v>
      </c>
      <c r="C171" s="33" t="s">
        <v>636</v>
      </c>
    </row>
    <row r="172" spans="1:3" x14ac:dyDescent="0.3">
      <c r="A172" s="30" t="s">
        <v>637</v>
      </c>
      <c r="B172" s="31" t="s">
        <v>638</v>
      </c>
      <c r="C172" s="40" t="s">
        <v>639</v>
      </c>
    </row>
    <row r="173" spans="1:3" x14ac:dyDescent="0.3">
      <c r="A173" s="30" t="s">
        <v>640</v>
      </c>
      <c r="B173" s="31" t="s">
        <v>641</v>
      </c>
      <c r="C173" s="33" t="s">
        <v>642</v>
      </c>
    </row>
    <row r="174" spans="1:3" x14ac:dyDescent="0.3">
      <c r="A174" s="30" t="s">
        <v>643</v>
      </c>
      <c r="B174" s="31" t="s">
        <v>68</v>
      </c>
      <c r="C174" s="33" t="s">
        <v>644</v>
      </c>
    </row>
    <row r="175" spans="1:3" x14ac:dyDescent="0.3">
      <c r="A175" s="30" t="s">
        <v>645</v>
      </c>
      <c r="B175" s="31" t="s">
        <v>646</v>
      </c>
      <c r="C175" s="33" t="s">
        <v>647</v>
      </c>
    </row>
    <row r="176" spans="1:3" x14ac:dyDescent="0.3">
      <c r="A176" s="30" t="s">
        <v>648</v>
      </c>
      <c r="B176" s="31" t="s">
        <v>649</v>
      </c>
      <c r="C176" s="33" t="s">
        <v>650</v>
      </c>
    </row>
    <row r="177" spans="1:3" x14ac:dyDescent="0.3">
      <c r="A177" s="30" t="s">
        <v>651</v>
      </c>
      <c r="B177" s="31" t="s">
        <v>652</v>
      </c>
      <c r="C177" s="33" t="s">
        <v>653</v>
      </c>
    </row>
    <row r="178" spans="1:3" x14ac:dyDescent="0.3">
      <c r="A178" s="30" t="s">
        <v>654</v>
      </c>
      <c r="B178" s="31" t="s">
        <v>655</v>
      </c>
      <c r="C178" s="33" t="s">
        <v>656</v>
      </c>
    </row>
    <row r="179" spans="1:3" x14ac:dyDescent="0.3">
      <c r="A179" s="30" t="s">
        <v>657</v>
      </c>
      <c r="B179" s="31" t="s">
        <v>658</v>
      </c>
      <c r="C179" s="40" t="s">
        <v>659</v>
      </c>
    </row>
    <row r="180" spans="1:3" x14ac:dyDescent="0.3">
      <c r="A180" s="30" t="s">
        <v>660</v>
      </c>
      <c r="B180" s="31" t="s">
        <v>661</v>
      </c>
      <c r="C180" s="33" t="s">
        <v>662</v>
      </c>
    </row>
    <row r="181" spans="1:3" x14ac:dyDescent="0.3">
      <c r="A181" s="30" t="s">
        <v>663</v>
      </c>
      <c r="B181" s="31" t="s">
        <v>664</v>
      </c>
      <c r="C181" s="33" t="s">
        <v>265</v>
      </c>
    </row>
    <row r="182" spans="1:3" x14ac:dyDescent="0.3">
      <c r="A182" s="30" t="s">
        <v>665</v>
      </c>
      <c r="B182" s="31" t="s">
        <v>666</v>
      </c>
      <c r="C182" s="33" t="s">
        <v>667</v>
      </c>
    </row>
    <row r="183" spans="1:3" x14ac:dyDescent="0.3">
      <c r="A183" s="30" t="s">
        <v>668</v>
      </c>
      <c r="B183" s="31" t="s">
        <v>669</v>
      </c>
      <c r="C183" s="33" t="s">
        <v>670</v>
      </c>
    </row>
    <row r="184" spans="1:3" x14ac:dyDescent="0.3">
      <c r="A184" s="30" t="s">
        <v>671</v>
      </c>
      <c r="B184" s="31" t="s">
        <v>672</v>
      </c>
      <c r="C184" s="33" t="s">
        <v>673</v>
      </c>
    </row>
    <row r="185" spans="1:3" x14ac:dyDescent="0.3">
      <c r="A185" s="30" t="s">
        <v>674</v>
      </c>
      <c r="B185" s="31" t="s">
        <v>675</v>
      </c>
      <c r="C185" s="33" t="s">
        <v>676</v>
      </c>
    </row>
    <row r="186" spans="1:3" x14ac:dyDescent="0.3">
      <c r="A186" s="30" t="s">
        <v>677</v>
      </c>
      <c r="B186" s="31" t="s">
        <v>678</v>
      </c>
      <c r="C186" s="33" t="s">
        <v>679</v>
      </c>
    </row>
    <row r="187" spans="1:3" x14ac:dyDescent="0.3">
      <c r="A187" s="30" t="s">
        <v>680</v>
      </c>
      <c r="B187" s="31" t="s">
        <v>681</v>
      </c>
      <c r="C187" s="33" t="s">
        <v>682</v>
      </c>
    </row>
    <row r="188" spans="1:3" x14ac:dyDescent="0.3">
      <c r="A188" s="30" t="s">
        <v>683</v>
      </c>
      <c r="B188" s="31" t="s">
        <v>684</v>
      </c>
      <c r="C188" s="33" t="s">
        <v>685</v>
      </c>
    </row>
    <row r="189" spans="1:3" x14ac:dyDescent="0.3">
      <c r="A189" s="30" t="s">
        <v>686</v>
      </c>
      <c r="B189" s="31" t="s">
        <v>687</v>
      </c>
      <c r="C189" s="33" t="s">
        <v>265</v>
      </c>
    </row>
    <row r="190" spans="1:3" x14ac:dyDescent="0.3">
      <c r="A190" s="30" t="s">
        <v>688</v>
      </c>
      <c r="B190" s="31" t="s">
        <v>689</v>
      </c>
      <c r="C190" s="33" t="s">
        <v>690</v>
      </c>
    </row>
    <row r="191" spans="1:3" x14ac:dyDescent="0.3">
      <c r="A191" s="30" t="s">
        <v>45</v>
      </c>
      <c r="B191" s="31" t="s">
        <v>50</v>
      </c>
      <c r="C191" s="33" t="s">
        <v>691</v>
      </c>
    </row>
    <row r="192" spans="1:3" x14ac:dyDescent="0.3">
      <c r="A192" s="30" t="s">
        <v>692</v>
      </c>
      <c r="B192" s="31" t="s">
        <v>693</v>
      </c>
      <c r="C192" s="33" t="s">
        <v>694</v>
      </c>
    </row>
    <row r="193" spans="1:3" x14ac:dyDescent="0.3">
      <c r="A193" s="30" t="s">
        <v>695</v>
      </c>
      <c r="B193" s="31" t="s">
        <v>696</v>
      </c>
      <c r="C193" s="33" t="s">
        <v>697</v>
      </c>
    </row>
    <row r="194" spans="1:3" x14ac:dyDescent="0.3">
      <c r="A194" s="30" t="s">
        <v>698</v>
      </c>
      <c r="B194" s="31" t="s">
        <v>699</v>
      </c>
      <c r="C194" s="32" t="s">
        <v>700</v>
      </c>
    </row>
    <row r="195" spans="1:3" x14ac:dyDescent="0.3">
      <c r="A195" s="30" t="s">
        <v>701</v>
      </c>
      <c r="B195" s="31" t="s">
        <v>702</v>
      </c>
      <c r="C195" s="32" t="s">
        <v>703</v>
      </c>
    </row>
    <row r="196" spans="1:3" x14ac:dyDescent="0.3">
      <c r="A196" s="30" t="s">
        <v>704</v>
      </c>
      <c r="B196" s="31" t="s">
        <v>705</v>
      </c>
      <c r="C196" s="32" t="s">
        <v>706</v>
      </c>
    </row>
    <row r="197" spans="1:3" x14ac:dyDescent="0.3">
      <c r="A197" s="30" t="s">
        <v>707</v>
      </c>
      <c r="B197" s="31" t="s">
        <v>708</v>
      </c>
      <c r="C197" s="40" t="s">
        <v>709</v>
      </c>
    </row>
    <row r="198" spans="1:3" x14ac:dyDescent="0.3">
      <c r="A198" s="30" t="s">
        <v>710</v>
      </c>
      <c r="B198" s="31" t="s">
        <v>711</v>
      </c>
      <c r="C198" s="33" t="s">
        <v>712</v>
      </c>
    </row>
    <row r="199" spans="1:3" x14ac:dyDescent="0.3">
      <c r="A199" s="30" t="s">
        <v>713</v>
      </c>
      <c r="B199" s="31" t="s">
        <v>714</v>
      </c>
      <c r="C199" s="40" t="s">
        <v>715</v>
      </c>
    </row>
    <row r="200" spans="1:3" x14ac:dyDescent="0.3">
      <c r="A200" s="30" t="s">
        <v>716</v>
      </c>
      <c r="B200" s="31" t="s">
        <v>717</v>
      </c>
      <c r="C200" s="33" t="s">
        <v>718</v>
      </c>
    </row>
    <row r="201" spans="1:3" x14ac:dyDescent="0.3">
      <c r="A201" s="30" t="s">
        <v>719</v>
      </c>
      <c r="B201" s="31" t="s">
        <v>720</v>
      </c>
      <c r="C201" s="33" t="s">
        <v>721</v>
      </c>
    </row>
    <row r="202" spans="1:3" x14ac:dyDescent="0.3">
      <c r="A202" s="30" t="s">
        <v>722</v>
      </c>
      <c r="B202" s="31" t="s">
        <v>723</v>
      </c>
      <c r="C202" s="32" t="s">
        <v>724</v>
      </c>
    </row>
    <row r="203" spans="1:3" x14ac:dyDescent="0.3">
      <c r="A203" s="30" t="s">
        <v>725</v>
      </c>
      <c r="B203" s="31" t="s">
        <v>726</v>
      </c>
      <c r="C203" s="40" t="s">
        <v>727</v>
      </c>
    </row>
    <row r="204" spans="1:3" x14ac:dyDescent="0.3">
      <c r="A204" s="30" t="s">
        <v>728</v>
      </c>
      <c r="B204" s="31" t="s">
        <v>729</v>
      </c>
      <c r="C204" s="32" t="s">
        <v>730</v>
      </c>
    </row>
    <row r="205" spans="1:3" x14ac:dyDescent="0.3">
      <c r="A205" s="30" t="s">
        <v>731</v>
      </c>
      <c r="B205" s="31" t="s">
        <v>732</v>
      </c>
      <c r="C205" s="33" t="s">
        <v>733</v>
      </c>
    </row>
    <row r="206" spans="1:3" x14ac:dyDescent="0.3">
      <c r="A206" s="30" t="s">
        <v>734</v>
      </c>
      <c r="B206" s="31" t="s">
        <v>735</v>
      </c>
      <c r="C206" s="33" t="s">
        <v>736</v>
      </c>
    </row>
    <row r="207" spans="1:3" x14ac:dyDescent="0.3">
      <c r="A207" s="30" t="s">
        <v>737</v>
      </c>
      <c r="B207" s="31" t="s">
        <v>738</v>
      </c>
      <c r="C207" s="33" t="s">
        <v>739</v>
      </c>
    </row>
    <row r="208" spans="1:3" x14ac:dyDescent="0.3">
      <c r="A208" s="30" t="s">
        <v>740</v>
      </c>
      <c r="B208" s="31" t="s">
        <v>741</v>
      </c>
      <c r="C208" s="33" t="s">
        <v>265</v>
      </c>
    </row>
    <row r="209" spans="1:3" x14ac:dyDescent="0.3">
      <c r="A209" s="30" t="s">
        <v>742</v>
      </c>
      <c r="B209" s="31" t="s">
        <v>743</v>
      </c>
      <c r="C209" s="33" t="s">
        <v>744</v>
      </c>
    </row>
    <row r="210" spans="1:3" x14ac:dyDescent="0.3">
      <c r="A210" s="30" t="s">
        <v>745</v>
      </c>
      <c r="B210" s="31" t="s">
        <v>746</v>
      </c>
      <c r="C210" s="33" t="s">
        <v>747</v>
      </c>
    </row>
    <row r="211" spans="1:3" x14ac:dyDescent="0.3">
      <c r="A211" s="30" t="s">
        <v>748</v>
      </c>
      <c r="B211" s="31" t="s">
        <v>749</v>
      </c>
      <c r="C211" s="33" t="s">
        <v>750</v>
      </c>
    </row>
    <row r="212" spans="1:3" x14ac:dyDescent="0.3">
      <c r="A212" s="30" t="s">
        <v>751</v>
      </c>
      <c r="B212" s="31" t="s">
        <v>752</v>
      </c>
      <c r="C212" s="33" t="s">
        <v>753</v>
      </c>
    </row>
    <row r="213" spans="1:3" x14ac:dyDescent="0.3">
      <c r="A213" s="30" t="s">
        <v>754</v>
      </c>
      <c r="B213" s="31" t="s">
        <v>755</v>
      </c>
      <c r="C213" s="33" t="s">
        <v>756</v>
      </c>
    </row>
    <row r="214" spans="1:3" x14ac:dyDescent="0.3">
      <c r="A214" s="30" t="s">
        <v>757</v>
      </c>
      <c r="B214" s="31" t="s">
        <v>758</v>
      </c>
      <c r="C214" s="33" t="s">
        <v>759</v>
      </c>
    </row>
    <row r="215" spans="1:3" x14ac:dyDescent="0.3">
      <c r="A215" s="30" t="s">
        <v>760</v>
      </c>
      <c r="B215" s="31" t="s">
        <v>761</v>
      </c>
      <c r="C215" s="33" t="s">
        <v>762</v>
      </c>
    </row>
    <row r="216" spans="1:3" x14ac:dyDescent="0.3">
      <c r="A216" s="30" t="s">
        <v>763</v>
      </c>
      <c r="B216" s="31" t="s">
        <v>764</v>
      </c>
      <c r="C216" s="33" t="s">
        <v>765</v>
      </c>
    </row>
    <row r="217" spans="1:3" x14ac:dyDescent="0.3">
      <c r="A217" s="30" t="s">
        <v>766</v>
      </c>
      <c r="B217" s="31" t="s">
        <v>767</v>
      </c>
      <c r="C217" s="33" t="s">
        <v>768</v>
      </c>
    </row>
    <row r="218" spans="1:3" x14ac:dyDescent="0.3">
      <c r="A218" s="30" t="s">
        <v>769</v>
      </c>
      <c r="B218" s="31" t="s">
        <v>770</v>
      </c>
      <c r="C218" s="33" t="s">
        <v>771</v>
      </c>
    </row>
    <row r="219" spans="1:3" x14ac:dyDescent="0.3">
      <c r="A219" s="30" t="s">
        <v>772</v>
      </c>
      <c r="B219" s="31" t="s">
        <v>773</v>
      </c>
      <c r="C219" s="33" t="s">
        <v>774</v>
      </c>
    </row>
    <row r="220" spans="1:3" x14ac:dyDescent="0.3">
      <c r="A220" s="30" t="s">
        <v>775</v>
      </c>
      <c r="B220" s="31" t="s">
        <v>776</v>
      </c>
      <c r="C220" s="33" t="s">
        <v>777</v>
      </c>
    </row>
    <row r="221" spans="1:3" x14ac:dyDescent="0.3">
      <c r="A221" s="30" t="s">
        <v>778</v>
      </c>
      <c r="B221" s="31" t="s">
        <v>779</v>
      </c>
      <c r="C221" s="33" t="s">
        <v>780</v>
      </c>
    </row>
    <row r="222" spans="1:3" x14ac:dyDescent="0.3">
      <c r="A222" s="30" t="s">
        <v>781</v>
      </c>
      <c r="B222" s="31" t="s">
        <v>782</v>
      </c>
      <c r="C222" s="33" t="s">
        <v>783</v>
      </c>
    </row>
    <row r="223" spans="1:3" x14ac:dyDescent="0.3">
      <c r="A223" s="30" t="s">
        <v>784</v>
      </c>
      <c r="B223" s="31" t="s">
        <v>785</v>
      </c>
      <c r="C223" s="33" t="s">
        <v>786</v>
      </c>
    </row>
    <row r="224" spans="1:3" x14ac:dyDescent="0.3">
      <c r="A224" s="30" t="s">
        <v>787</v>
      </c>
      <c r="B224" s="31" t="s">
        <v>788</v>
      </c>
      <c r="C224" s="33" t="s">
        <v>789</v>
      </c>
    </row>
    <row r="225" spans="1:3" x14ac:dyDescent="0.3">
      <c r="A225" s="30" t="s">
        <v>790</v>
      </c>
      <c r="B225" s="31" t="s">
        <v>791</v>
      </c>
      <c r="C225" s="33" t="s">
        <v>792</v>
      </c>
    </row>
    <row r="226" spans="1:3" x14ac:dyDescent="0.3">
      <c r="A226" s="30" t="s">
        <v>793</v>
      </c>
      <c r="B226" s="31" t="s">
        <v>794</v>
      </c>
      <c r="C226" s="33" t="s">
        <v>795</v>
      </c>
    </row>
    <row r="227" spans="1:3" x14ac:dyDescent="0.3">
      <c r="A227" s="30" t="s">
        <v>796</v>
      </c>
      <c r="B227" s="31" t="s">
        <v>797</v>
      </c>
      <c r="C227" s="33" t="s">
        <v>798</v>
      </c>
    </row>
    <row r="228" spans="1:3" x14ac:dyDescent="0.3">
      <c r="A228" s="30" t="s">
        <v>799</v>
      </c>
      <c r="B228" s="31" t="s">
        <v>800</v>
      </c>
      <c r="C228" s="33" t="s">
        <v>801</v>
      </c>
    </row>
    <row r="229" spans="1:3" x14ac:dyDescent="0.3">
      <c r="A229" s="30" t="s">
        <v>802</v>
      </c>
      <c r="B229" s="31" t="s">
        <v>803</v>
      </c>
      <c r="C229" s="33" t="s">
        <v>804</v>
      </c>
    </row>
    <row r="230" spans="1:3" x14ac:dyDescent="0.3">
      <c r="A230" s="30" t="s">
        <v>805</v>
      </c>
      <c r="B230" s="31" t="s">
        <v>806</v>
      </c>
      <c r="C230" s="33" t="s">
        <v>807</v>
      </c>
    </row>
    <row r="231" spans="1:3" x14ac:dyDescent="0.3">
      <c r="A231" s="30" t="s">
        <v>808</v>
      </c>
      <c r="B231" s="31" t="s">
        <v>809</v>
      </c>
      <c r="C231" s="33" t="s">
        <v>810</v>
      </c>
    </row>
    <row r="232" spans="1:3" x14ac:dyDescent="0.3">
      <c r="A232" s="30" t="s">
        <v>811</v>
      </c>
      <c r="B232" s="31" t="s">
        <v>812</v>
      </c>
      <c r="C232" s="33" t="s">
        <v>813</v>
      </c>
    </row>
    <row r="233" spans="1:3" x14ac:dyDescent="0.3">
      <c r="A233" s="30" t="s">
        <v>814</v>
      </c>
      <c r="B233" s="31" t="s">
        <v>815</v>
      </c>
      <c r="C233" s="33" t="s">
        <v>816</v>
      </c>
    </row>
    <row r="234" spans="1:3" x14ac:dyDescent="0.3">
      <c r="A234" s="30" t="s">
        <v>817</v>
      </c>
      <c r="B234" s="31" t="s">
        <v>818</v>
      </c>
      <c r="C234" s="33" t="s">
        <v>819</v>
      </c>
    </row>
    <row r="235" spans="1:3" x14ac:dyDescent="0.3">
      <c r="A235" s="30" t="s">
        <v>820</v>
      </c>
      <c r="B235" s="31" t="s">
        <v>821</v>
      </c>
      <c r="C235" s="33" t="s">
        <v>822</v>
      </c>
    </row>
    <row r="236" spans="1:3" x14ac:dyDescent="0.3">
      <c r="A236" s="30" t="s">
        <v>823</v>
      </c>
      <c r="B236" s="31" t="s">
        <v>824</v>
      </c>
      <c r="C236" s="33" t="s">
        <v>825</v>
      </c>
    </row>
    <row r="237" spans="1:3" x14ac:dyDescent="0.3">
      <c r="A237" s="30" t="s">
        <v>826</v>
      </c>
      <c r="B237" s="31" t="s">
        <v>827</v>
      </c>
      <c r="C237" s="33" t="s">
        <v>828</v>
      </c>
    </row>
    <row r="238" spans="1:3" x14ac:dyDescent="0.3">
      <c r="A238" s="30" t="s">
        <v>829</v>
      </c>
      <c r="B238" s="31" t="s">
        <v>818</v>
      </c>
      <c r="C238" s="33" t="s">
        <v>830</v>
      </c>
    </row>
    <row r="239" spans="1:3" x14ac:dyDescent="0.3">
      <c r="A239" s="30" t="s">
        <v>831</v>
      </c>
      <c r="B239" s="31" t="s">
        <v>832</v>
      </c>
      <c r="C239" s="33" t="s">
        <v>833</v>
      </c>
    </row>
    <row r="240" spans="1:3" x14ac:dyDescent="0.3">
      <c r="A240" s="30" t="s">
        <v>834</v>
      </c>
      <c r="B240" s="31" t="s">
        <v>835</v>
      </c>
      <c r="C240" s="41" t="s">
        <v>836</v>
      </c>
    </row>
    <row r="241" spans="1:3" x14ac:dyDescent="0.3">
      <c r="A241" s="30" t="s">
        <v>837</v>
      </c>
      <c r="B241" s="31" t="s">
        <v>838</v>
      </c>
      <c r="C241" s="33" t="s">
        <v>839</v>
      </c>
    </row>
    <row r="242" spans="1:3" x14ac:dyDescent="0.3">
      <c r="A242" s="30" t="s">
        <v>840</v>
      </c>
      <c r="B242" s="31" t="s">
        <v>841</v>
      </c>
      <c r="C242" s="33" t="s">
        <v>842</v>
      </c>
    </row>
    <row r="243" spans="1:3" x14ac:dyDescent="0.3">
      <c r="A243" s="30" t="s">
        <v>843</v>
      </c>
      <c r="B243" s="31" t="s">
        <v>844</v>
      </c>
      <c r="C243" s="33" t="s">
        <v>845</v>
      </c>
    </row>
    <row r="244" spans="1:3" x14ac:dyDescent="0.3">
      <c r="A244" s="30" t="s">
        <v>846</v>
      </c>
      <c r="B244" s="31" t="s">
        <v>847</v>
      </c>
      <c r="C244" s="33" t="s">
        <v>479</v>
      </c>
    </row>
    <row r="245" spans="1:3" x14ac:dyDescent="0.3">
      <c r="A245" s="30" t="s">
        <v>848</v>
      </c>
      <c r="B245" s="31" t="s">
        <v>849</v>
      </c>
      <c r="C245" s="33" t="s">
        <v>850</v>
      </c>
    </row>
    <row r="246" spans="1:3" x14ac:dyDescent="0.3">
      <c r="A246" s="30" t="s">
        <v>851</v>
      </c>
      <c r="B246" s="31" t="s">
        <v>852</v>
      </c>
      <c r="C246" s="33" t="s">
        <v>853</v>
      </c>
    </row>
    <row r="247" spans="1:3" x14ac:dyDescent="0.3">
      <c r="A247" s="30" t="s">
        <v>854</v>
      </c>
      <c r="B247" s="31" t="s">
        <v>855</v>
      </c>
      <c r="C247" s="33" t="s">
        <v>856</v>
      </c>
    </row>
    <row r="248" spans="1:3" x14ac:dyDescent="0.3">
      <c r="A248" s="30" t="s">
        <v>857</v>
      </c>
      <c r="B248" s="31" t="s">
        <v>858</v>
      </c>
      <c r="C248" s="33" t="s">
        <v>859</v>
      </c>
    </row>
    <row r="249" spans="1:3" x14ac:dyDescent="0.3">
      <c r="A249" s="30" t="s">
        <v>860</v>
      </c>
      <c r="B249" s="31" t="s">
        <v>861</v>
      </c>
      <c r="C249" s="33" t="s">
        <v>862</v>
      </c>
    </row>
    <row r="250" spans="1:3" x14ac:dyDescent="0.3">
      <c r="A250" s="30" t="s">
        <v>863</v>
      </c>
      <c r="B250" s="31" t="s">
        <v>864</v>
      </c>
      <c r="C250" s="33" t="s">
        <v>865</v>
      </c>
    </row>
    <row r="251" spans="1:3" x14ac:dyDescent="0.3">
      <c r="A251" s="30" t="s">
        <v>866</v>
      </c>
      <c r="B251" s="31" t="s">
        <v>867</v>
      </c>
      <c r="C251" s="33" t="s">
        <v>868</v>
      </c>
    </row>
    <row r="252" spans="1:3" x14ac:dyDescent="0.3">
      <c r="A252" s="30" t="s">
        <v>869</v>
      </c>
      <c r="B252" s="31" t="s">
        <v>870</v>
      </c>
      <c r="C252" s="33" t="s">
        <v>871</v>
      </c>
    </row>
    <row r="253" spans="1:3" x14ac:dyDescent="0.3">
      <c r="A253" s="30" t="s">
        <v>872</v>
      </c>
      <c r="B253" s="31" t="s">
        <v>873</v>
      </c>
      <c r="C253" s="33" t="s">
        <v>874</v>
      </c>
    </row>
    <row r="254" spans="1:3" x14ac:dyDescent="0.3">
      <c r="A254" s="30" t="s">
        <v>875</v>
      </c>
      <c r="B254" s="31" t="s">
        <v>876</v>
      </c>
      <c r="C254" s="33" t="s">
        <v>877</v>
      </c>
    </row>
    <row r="255" spans="1:3" x14ac:dyDescent="0.3">
      <c r="A255" s="30" t="s">
        <v>878</v>
      </c>
      <c r="B255" s="31" t="s">
        <v>879</v>
      </c>
      <c r="C255" s="33" t="s">
        <v>880</v>
      </c>
    </row>
    <row r="256" spans="1:3" x14ac:dyDescent="0.3">
      <c r="A256" s="30" t="s">
        <v>881</v>
      </c>
      <c r="B256" s="31" t="s">
        <v>882</v>
      </c>
      <c r="C256" s="33" t="s">
        <v>883</v>
      </c>
    </row>
    <row r="257" spans="1:3" x14ac:dyDescent="0.3">
      <c r="A257" s="30" t="s">
        <v>884</v>
      </c>
      <c r="B257" s="31" t="s">
        <v>885</v>
      </c>
      <c r="C257" s="33" t="s">
        <v>886</v>
      </c>
    </row>
    <row r="258" spans="1:3" x14ac:dyDescent="0.3">
      <c r="A258" s="30" t="s">
        <v>887</v>
      </c>
      <c r="B258" s="31" t="s">
        <v>888</v>
      </c>
      <c r="C258" s="33" t="s">
        <v>889</v>
      </c>
    </row>
    <row r="259" spans="1:3" x14ac:dyDescent="0.3">
      <c r="A259" s="30" t="s">
        <v>890</v>
      </c>
      <c r="B259" s="31" t="s">
        <v>891</v>
      </c>
      <c r="C259" s="33" t="s">
        <v>892</v>
      </c>
    </row>
    <row r="260" spans="1:3" x14ac:dyDescent="0.3">
      <c r="A260" s="30" t="s">
        <v>893</v>
      </c>
      <c r="B260" s="31" t="s">
        <v>894</v>
      </c>
      <c r="C260" s="33" t="s">
        <v>895</v>
      </c>
    </row>
    <row r="261" spans="1:3" x14ac:dyDescent="0.3">
      <c r="A261" s="30" t="s">
        <v>896</v>
      </c>
      <c r="B261" s="31" t="s">
        <v>897</v>
      </c>
      <c r="C261" s="33" t="s">
        <v>898</v>
      </c>
    </row>
    <row r="262" spans="1:3" x14ac:dyDescent="0.3">
      <c r="A262" s="30" t="s">
        <v>899</v>
      </c>
      <c r="B262" s="31" t="s">
        <v>900</v>
      </c>
      <c r="C262" s="33" t="s">
        <v>901</v>
      </c>
    </row>
    <row r="263" spans="1:3" x14ac:dyDescent="0.3">
      <c r="A263" s="30" t="s">
        <v>902</v>
      </c>
      <c r="B263" s="31" t="s">
        <v>903</v>
      </c>
      <c r="C263" s="33" t="s">
        <v>904</v>
      </c>
    </row>
    <row r="264" spans="1:3" x14ac:dyDescent="0.3">
      <c r="A264" s="30" t="s">
        <v>905</v>
      </c>
      <c r="B264" s="31" t="s">
        <v>906</v>
      </c>
      <c r="C264" s="33" t="s">
        <v>907</v>
      </c>
    </row>
    <row r="265" spans="1:3" x14ac:dyDescent="0.3">
      <c r="A265" s="30" t="s">
        <v>908</v>
      </c>
      <c r="B265" s="31" t="s">
        <v>909</v>
      </c>
      <c r="C265" s="33" t="s">
        <v>910</v>
      </c>
    </row>
    <row r="266" spans="1:3" x14ac:dyDescent="0.3">
      <c r="A266" s="30" t="s">
        <v>911</v>
      </c>
      <c r="B266" s="31" t="s">
        <v>912</v>
      </c>
      <c r="C266" s="33" t="s">
        <v>913</v>
      </c>
    </row>
    <row r="267" spans="1:3" x14ac:dyDescent="0.3">
      <c r="A267" s="30" t="s">
        <v>914</v>
      </c>
      <c r="B267" s="31" t="s">
        <v>915</v>
      </c>
      <c r="C267" s="33" t="s">
        <v>916</v>
      </c>
    </row>
    <row r="268" spans="1:3" x14ac:dyDescent="0.3">
      <c r="A268" s="30" t="s">
        <v>917</v>
      </c>
      <c r="B268" s="31" t="s">
        <v>918</v>
      </c>
      <c r="C268" s="33" t="s">
        <v>919</v>
      </c>
    </row>
    <row r="269" spans="1:3" x14ac:dyDescent="0.3">
      <c r="A269" s="30" t="s">
        <v>920</v>
      </c>
      <c r="B269" s="31" t="s">
        <v>921</v>
      </c>
      <c r="C269" s="33" t="s">
        <v>922</v>
      </c>
    </row>
    <row r="270" spans="1:3" x14ac:dyDescent="0.3">
      <c r="A270" s="30" t="s">
        <v>923</v>
      </c>
      <c r="B270" s="31" t="s">
        <v>82</v>
      </c>
      <c r="C270" s="33" t="s">
        <v>924</v>
      </c>
    </row>
    <row r="271" spans="1:3" x14ac:dyDescent="0.3">
      <c r="A271" s="30" t="s">
        <v>925</v>
      </c>
      <c r="B271" s="31" t="s">
        <v>926</v>
      </c>
      <c r="C271" s="33" t="s">
        <v>577</v>
      </c>
    </row>
    <row r="272" spans="1:3" x14ac:dyDescent="0.3">
      <c r="A272" s="30" t="s">
        <v>927</v>
      </c>
      <c r="B272" s="31" t="s">
        <v>928</v>
      </c>
      <c r="C272" s="33" t="s">
        <v>929</v>
      </c>
    </row>
    <row r="273" spans="1:3" x14ac:dyDescent="0.3">
      <c r="A273" s="30" t="s">
        <v>930</v>
      </c>
      <c r="B273" s="31" t="s">
        <v>931</v>
      </c>
      <c r="C273" s="33" t="s">
        <v>932</v>
      </c>
    </row>
    <row r="274" spans="1:3" x14ac:dyDescent="0.3">
      <c r="A274" s="30" t="s">
        <v>933</v>
      </c>
      <c r="B274" s="31" t="s">
        <v>934</v>
      </c>
      <c r="C274" s="33" t="s">
        <v>935</v>
      </c>
    </row>
    <row r="275" spans="1:3" x14ac:dyDescent="0.3">
      <c r="A275" s="30" t="s">
        <v>936</v>
      </c>
      <c r="B275" s="31" t="s">
        <v>937</v>
      </c>
      <c r="C275" s="33" t="s">
        <v>938</v>
      </c>
    </row>
    <row r="276" spans="1:3" x14ac:dyDescent="0.3">
      <c r="A276" s="30" t="s">
        <v>939</v>
      </c>
      <c r="B276" s="31" t="s">
        <v>940</v>
      </c>
      <c r="C276" s="32" t="s">
        <v>941</v>
      </c>
    </row>
    <row r="277" spans="1:3" x14ac:dyDescent="0.3">
      <c r="A277" s="30" t="s">
        <v>942</v>
      </c>
      <c r="B277" s="31" t="s">
        <v>943</v>
      </c>
      <c r="C277" s="33" t="s">
        <v>944</v>
      </c>
    </row>
    <row r="278" spans="1:3" x14ac:dyDescent="0.3">
      <c r="A278" s="30" t="s">
        <v>945</v>
      </c>
      <c r="B278" s="31" t="s">
        <v>946</v>
      </c>
      <c r="C278" s="33" t="s">
        <v>947</v>
      </c>
    </row>
    <row r="279" spans="1:3" x14ac:dyDescent="0.3">
      <c r="A279" s="30" t="s">
        <v>948</v>
      </c>
      <c r="B279" s="31" t="s">
        <v>949</v>
      </c>
      <c r="C279" s="33" t="s">
        <v>950</v>
      </c>
    </row>
    <row r="280" spans="1:3" x14ac:dyDescent="0.3">
      <c r="A280" s="30" t="s">
        <v>951</v>
      </c>
      <c r="B280" s="31" t="s">
        <v>952</v>
      </c>
      <c r="C280" s="33" t="s">
        <v>953</v>
      </c>
    </row>
    <row r="281" spans="1:3" x14ac:dyDescent="0.3">
      <c r="A281" s="30" t="s">
        <v>954</v>
      </c>
      <c r="B281" s="31" t="s">
        <v>955</v>
      </c>
      <c r="C281" s="33" t="s">
        <v>594</v>
      </c>
    </row>
    <row r="282" spans="1:3" x14ac:dyDescent="0.3">
      <c r="A282" s="30" t="s">
        <v>956</v>
      </c>
      <c r="B282" s="31" t="s">
        <v>957</v>
      </c>
      <c r="C282" s="33" t="s">
        <v>958</v>
      </c>
    </row>
    <row r="283" spans="1:3" x14ac:dyDescent="0.3">
      <c r="A283" s="30" t="s">
        <v>959</v>
      </c>
      <c r="B283" s="31" t="s">
        <v>960</v>
      </c>
      <c r="C283" s="33" t="s">
        <v>961</v>
      </c>
    </row>
    <row r="284" spans="1:3" x14ac:dyDescent="0.3">
      <c r="A284" s="30" t="s">
        <v>962</v>
      </c>
      <c r="B284" s="31" t="s">
        <v>963</v>
      </c>
      <c r="C284" s="33" t="s">
        <v>964</v>
      </c>
    </row>
    <row r="285" spans="1:3" x14ac:dyDescent="0.3">
      <c r="A285" s="30" t="s">
        <v>965</v>
      </c>
      <c r="B285" s="31" t="s">
        <v>966</v>
      </c>
      <c r="C285" s="33" t="s">
        <v>967</v>
      </c>
    </row>
    <row r="286" spans="1:3" x14ac:dyDescent="0.3">
      <c r="A286" s="30" t="s">
        <v>968</v>
      </c>
      <c r="B286" s="31" t="s">
        <v>969</v>
      </c>
      <c r="C286" s="33" t="s">
        <v>970</v>
      </c>
    </row>
    <row r="287" spans="1:3" x14ac:dyDescent="0.3">
      <c r="A287" s="30" t="s">
        <v>971</v>
      </c>
      <c r="B287" s="31" t="s">
        <v>972</v>
      </c>
      <c r="C287" s="33" t="s">
        <v>973</v>
      </c>
    </row>
    <row r="288" spans="1:3" x14ac:dyDescent="0.3">
      <c r="A288" s="30" t="s">
        <v>974</v>
      </c>
      <c r="B288" s="31" t="s">
        <v>975</v>
      </c>
      <c r="C288" s="33" t="s">
        <v>976</v>
      </c>
    </row>
    <row r="289" spans="1:3" x14ac:dyDescent="0.3">
      <c r="A289" s="30" t="s">
        <v>977</v>
      </c>
      <c r="B289" s="31" t="s">
        <v>978</v>
      </c>
      <c r="C289" s="33" t="s">
        <v>979</v>
      </c>
    </row>
    <row r="290" spans="1:3" x14ac:dyDescent="0.3">
      <c r="A290" s="30" t="s">
        <v>980</v>
      </c>
      <c r="B290" s="31" t="s">
        <v>981</v>
      </c>
      <c r="C290" s="33" t="s">
        <v>982</v>
      </c>
    </row>
    <row r="291" spans="1:3" x14ac:dyDescent="0.3">
      <c r="A291" s="30" t="s">
        <v>983</v>
      </c>
      <c r="B291" s="31" t="s">
        <v>984</v>
      </c>
      <c r="C291" s="33" t="s">
        <v>985</v>
      </c>
    </row>
    <row r="292" spans="1:3" x14ac:dyDescent="0.3">
      <c r="A292" s="30" t="s">
        <v>986</v>
      </c>
      <c r="B292" s="31" t="s">
        <v>987</v>
      </c>
      <c r="C292" s="33" t="s">
        <v>988</v>
      </c>
    </row>
    <row r="293" spans="1:3" x14ac:dyDescent="0.3">
      <c r="A293" s="30" t="s">
        <v>989</v>
      </c>
      <c r="B293" s="31" t="s">
        <v>990</v>
      </c>
      <c r="C293" s="33" t="s">
        <v>991</v>
      </c>
    </row>
    <row r="294" spans="1:3" x14ac:dyDescent="0.3">
      <c r="A294" s="30" t="s">
        <v>992</v>
      </c>
      <c r="B294" s="31" t="s">
        <v>993</v>
      </c>
      <c r="C294" s="33" t="s">
        <v>994</v>
      </c>
    </row>
    <row r="295" spans="1:3" x14ac:dyDescent="0.3">
      <c r="A295" s="30" t="s">
        <v>995</v>
      </c>
      <c r="B295" s="31" t="s">
        <v>996</v>
      </c>
      <c r="C295" s="33" t="s">
        <v>997</v>
      </c>
    </row>
    <row r="296" spans="1:3" x14ac:dyDescent="0.3">
      <c r="A296" s="30" t="s">
        <v>998</v>
      </c>
      <c r="B296" s="31" t="s">
        <v>999</v>
      </c>
      <c r="C296" s="33" t="s">
        <v>1000</v>
      </c>
    </row>
    <row r="297" spans="1:3" x14ac:dyDescent="0.3">
      <c r="A297" s="30" t="s">
        <v>1001</v>
      </c>
      <c r="B297" s="31" t="s">
        <v>1002</v>
      </c>
      <c r="C297" s="33" t="s">
        <v>1003</v>
      </c>
    </row>
    <row r="298" spans="1:3" x14ac:dyDescent="0.3">
      <c r="A298" s="30" t="s">
        <v>1004</v>
      </c>
      <c r="B298" s="31" t="s">
        <v>1005</v>
      </c>
      <c r="C298" s="33" t="s">
        <v>1006</v>
      </c>
    </row>
    <row r="299" spans="1:3" x14ac:dyDescent="0.3">
      <c r="A299" s="30" t="s">
        <v>1007</v>
      </c>
      <c r="B299" s="31" t="s">
        <v>1008</v>
      </c>
      <c r="C299" s="32" t="s">
        <v>1009</v>
      </c>
    </row>
    <row r="300" spans="1:3" x14ac:dyDescent="0.3">
      <c r="A300" s="30" t="s">
        <v>1010</v>
      </c>
      <c r="B300" s="31" t="s">
        <v>1011</v>
      </c>
      <c r="C300" s="33" t="s">
        <v>1012</v>
      </c>
    </row>
    <row r="301" spans="1:3" x14ac:dyDescent="0.3">
      <c r="A301" s="30" t="s">
        <v>1013</v>
      </c>
      <c r="B301" s="31" t="s">
        <v>1014</v>
      </c>
      <c r="C301" s="33" t="s">
        <v>1015</v>
      </c>
    </row>
    <row r="302" spans="1:3" x14ac:dyDescent="0.3">
      <c r="A302" s="30" t="s">
        <v>1016</v>
      </c>
      <c r="B302" s="31" t="s">
        <v>1017</v>
      </c>
      <c r="C302" s="33" t="s">
        <v>1018</v>
      </c>
    </row>
    <row r="303" spans="1:3" x14ac:dyDescent="0.3">
      <c r="A303" s="30" t="s">
        <v>1019</v>
      </c>
      <c r="B303" s="31" t="s">
        <v>1020</v>
      </c>
      <c r="C303" s="33" t="s">
        <v>1021</v>
      </c>
    </row>
    <row r="304" spans="1:3" x14ac:dyDescent="0.3">
      <c r="A304" s="30" t="s">
        <v>1022</v>
      </c>
      <c r="B304" s="31" t="s">
        <v>1023</v>
      </c>
      <c r="C304" s="33" t="s">
        <v>1024</v>
      </c>
    </row>
    <row r="305" spans="1:3" x14ac:dyDescent="0.3">
      <c r="A305" s="30" t="s">
        <v>1025</v>
      </c>
      <c r="B305" s="31" t="s">
        <v>1026</v>
      </c>
      <c r="C305" s="32" t="s">
        <v>1027</v>
      </c>
    </row>
    <row r="306" spans="1:3" x14ac:dyDescent="0.3">
      <c r="A306" s="30" t="s">
        <v>1028</v>
      </c>
      <c r="B306" s="31" t="s">
        <v>1029</v>
      </c>
      <c r="C306" s="33" t="s">
        <v>1030</v>
      </c>
    </row>
    <row r="307" spans="1:3" x14ac:dyDescent="0.3">
      <c r="A307" s="30" t="s">
        <v>1031</v>
      </c>
      <c r="B307" s="31" t="s">
        <v>1032</v>
      </c>
      <c r="C307" s="32" t="s">
        <v>1033</v>
      </c>
    </row>
    <row r="308" spans="1:3" x14ac:dyDescent="0.3">
      <c r="A308" s="30" t="s">
        <v>1034</v>
      </c>
      <c r="B308" s="31" t="s">
        <v>1035</v>
      </c>
      <c r="C308" s="32" t="s">
        <v>1036</v>
      </c>
    </row>
    <row r="309" spans="1:3" x14ac:dyDescent="0.3">
      <c r="A309" s="30" t="s">
        <v>1037</v>
      </c>
      <c r="B309" s="31" t="s">
        <v>1038</v>
      </c>
      <c r="C309" s="32" t="s">
        <v>1039</v>
      </c>
    </row>
    <row r="310" spans="1:3" x14ac:dyDescent="0.3">
      <c r="A310" s="30" t="s">
        <v>1040</v>
      </c>
      <c r="B310" s="31" t="s">
        <v>1041</v>
      </c>
      <c r="C310" s="33" t="s">
        <v>1042</v>
      </c>
    </row>
    <row r="311" spans="1:3" x14ac:dyDescent="0.3">
      <c r="A311" s="30" t="s">
        <v>1043</v>
      </c>
      <c r="B311" s="31" t="s">
        <v>1044</v>
      </c>
      <c r="C311" s="32" t="s">
        <v>1045</v>
      </c>
    </row>
    <row r="312" spans="1:3" x14ac:dyDescent="0.3">
      <c r="A312" s="30" t="s">
        <v>1046</v>
      </c>
      <c r="B312" s="31" t="s">
        <v>1047</v>
      </c>
      <c r="C312" s="32" t="s">
        <v>1048</v>
      </c>
    </row>
    <row r="313" spans="1:3" x14ac:dyDescent="0.3">
      <c r="A313" s="30" t="s">
        <v>1049</v>
      </c>
      <c r="B313" s="31" t="s">
        <v>1050</v>
      </c>
      <c r="C313" s="32" t="s">
        <v>1051</v>
      </c>
    </row>
    <row r="314" spans="1:3" x14ac:dyDescent="0.3">
      <c r="A314" s="30" t="s">
        <v>1052</v>
      </c>
      <c r="B314" s="31" t="s">
        <v>1053</v>
      </c>
      <c r="C314" s="32" t="s">
        <v>1054</v>
      </c>
    </row>
    <row r="315" spans="1:3" x14ac:dyDescent="0.3">
      <c r="A315" s="30" t="s">
        <v>1055</v>
      </c>
      <c r="B315" s="31" t="s">
        <v>1056</v>
      </c>
      <c r="C315" s="32" t="s">
        <v>1057</v>
      </c>
    </row>
    <row r="316" spans="1:3" x14ac:dyDescent="0.3">
      <c r="A316" s="30" t="s">
        <v>1058</v>
      </c>
      <c r="B316" s="31" t="s">
        <v>1059</v>
      </c>
      <c r="C316" s="33" t="s">
        <v>1060</v>
      </c>
    </row>
    <row r="317" spans="1:3" x14ac:dyDescent="0.3">
      <c r="A317" s="30" t="s">
        <v>1061</v>
      </c>
      <c r="B317" s="31" t="s">
        <v>1062</v>
      </c>
      <c r="C317" s="33" t="s">
        <v>1063</v>
      </c>
    </row>
    <row r="318" spans="1:3" x14ac:dyDescent="0.3">
      <c r="A318" s="30" t="s">
        <v>1064</v>
      </c>
      <c r="B318" s="31" t="s">
        <v>1065</v>
      </c>
      <c r="C318" s="33" t="s">
        <v>1066</v>
      </c>
    </row>
    <row r="319" spans="1:3" x14ac:dyDescent="0.3">
      <c r="A319" s="30" t="s">
        <v>1067</v>
      </c>
      <c r="B319" s="31" t="s">
        <v>1068</v>
      </c>
      <c r="C319" s="33" t="s">
        <v>1069</v>
      </c>
    </row>
    <row r="320" spans="1:3" x14ac:dyDescent="0.3">
      <c r="A320" s="30" t="s">
        <v>1070</v>
      </c>
      <c r="B320" s="31" t="s">
        <v>1071</v>
      </c>
      <c r="C320" s="33" t="s">
        <v>1072</v>
      </c>
    </row>
    <row r="321" spans="1:3" x14ac:dyDescent="0.3">
      <c r="A321" s="30" t="s">
        <v>1073</v>
      </c>
      <c r="B321" s="31" t="s">
        <v>1074</v>
      </c>
      <c r="C321" s="33" t="s">
        <v>1075</v>
      </c>
    </row>
    <row r="322" spans="1:3" x14ac:dyDescent="0.3">
      <c r="A322" s="30" t="s">
        <v>1076</v>
      </c>
      <c r="B322" s="31" t="s">
        <v>1077</v>
      </c>
      <c r="C322" s="33" t="s">
        <v>1078</v>
      </c>
    </row>
    <row r="323" spans="1:3" x14ac:dyDescent="0.3">
      <c r="A323" s="36" t="s">
        <v>1079</v>
      </c>
      <c r="B323" s="37" t="s">
        <v>1080</v>
      </c>
      <c r="C323" s="38" t="s">
        <v>1081</v>
      </c>
    </row>
    <row r="324" spans="1:3" x14ac:dyDescent="0.3">
      <c r="A324" s="30" t="s">
        <v>1082</v>
      </c>
      <c r="B324" s="31" t="s">
        <v>1083</v>
      </c>
      <c r="C324" s="33" t="s">
        <v>1084</v>
      </c>
    </row>
    <row r="325" spans="1:3" x14ac:dyDescent="0.3">
      <c r="A325" s="36" t="s">
        <v>1085</v>
      </c>
      <c r="B325" s="37" t="s">
        <v>1086</v>
      </c>
      <c r="C325" s="38" t="s">
        <v>1087</v>
      </c>
    </row>
    <row r="326" spans="1:3" x14ac:dyDescent="0.3">
      <c r="A326" s="30" t="s">
        <v>1088</v>
      </c>
      <c r="B326" s="31" t="s">
        <v>1089</v>
      </c>
      <c r="C326" s="33" t="s">
        <v>1090</v>
      </c>
    </row>
    <row r="327" spans="1:3" x14ac:dyDescent="0.3">
      <c r="A327" s="30" t="s">
        <v>1091</v>
      </c>
      <c r="B327" s="31" t="s">
        <v>1092</v>
      </c>
      <c r="C327" s="33" t="s">
        <v>1093</v>
      </c>
    </row>
    <row r="328" spans="1:3" x14ac:dyDescent="0.3">
      <c r="A328" s="30" t="s">
        <v>1094</v>
      </c>
      <c r="B328" s="31" t="s">
        <v>1095</v>
      </c>
      <c r="C328" s="33" t="s">
        <v>798</v>
      </c>
    </row>
    <row r="329" spans="1:3" x14ac:dyDescent="0.3">
      <c r="A329" s="30" t="s">
        <v>1096</v>
      </c>
      <c r="B329" s="31" t="s">
        <v>1097</v>
      </c>
      <c r="C329" s="33" t="s">
        <v>1098</v>
      </c>
    </row>
    <row r="330" spans="1:3" x14ac:dyDescent="0.3">
      <c r="A330" s="30" t="s">
        <v>1099</v>
      </c>
      <c r="B330" s="31" t="s">
        <v>1100</v>
      </c>
      <c r="C330" s="33" t="s">
        <v>1101</v>
      </c>
    </row>
    <row r="331" spans="1:3" x14ac:dyDescent="0.3">
      <c r="A331" s="30" t="s">
        <v>1102</v>
      </c>
      <c r="B331" s="31" t="s">
        <v>1103</v>
      </c>
      <c r="C331" s="33" t="s">
        <v>1104</v>
      </c>
    </row>
    <row r="332" spans="1:3" x14ac:dyDescent="0.3">
      <c r="A332" s="30" t="s">
        <v>25</v>
      </c>
      <c r="B332" s="31" t="s">
        <v>18</v>
      </c>
      <c r="C332" s="33" t="s">
        <v>1105</v>
      </c>
    </row>
    <row r="333" spans="1:3" x14ac:dyDescent="0.3">
      <c r="A333" s="30" t="s">
        <v>1106</v>
      </c>
      <c r="B333" s="31" t="s">
        <v>1107</v>
      </c>
      <c r="C333" s="33" t="s">
        <v>1108</v>
      </c>
    </row>
    <row r="334" spans="1:3" x14ac:dyDescent="0.3">
      <c r="A334" s="30" t="s">
        <v>1109</v>
      </c>
      <c r="B334" s="31" t="s">
        <v>1110</v>
      </c>
      <c r="C334" s="33" t="s">
        <v>1111</v>
      </c>
    </row>
    <row r="335" spans="1:3" x14ac:dyDescent="0.3">
      <c r="A335" s="30" t="s">
        <v>1112</v>
      </c>
      <c r="B335" s="31" t="s">
        <v>1113</v>
      </c>
      <c r="C335" s="33" t="s">
        <v>1114</v>
      </c>
    </row>
    <row r="336" spans="1:3" x14ac:dyDescent="0.3">
      <c r="A336" s="30" t="s">
        <v>1115</v>
      </c>
      <c r="B336" s="31" t="s">
        <v>1116</v>
      </c>
      <c r="C336" s="33" t="s">
        <v>1117</v>
      </c>
    </row>
    <row r="337" spans="1:3" x14ac:dyDescent="0.3">
      <c r="A337" s="30" t="s">
        <v>1118</v>
      </c>
      <c r="B337" s="31" t="s">
        <v>1119</v>
      </c>
      <c r="C337" s="33" t="s">
        <v>1120</v>
      </c>
    </row>
    <row r="338" spans="1:3" x14ac:dyDescent="0.3">
      <c r="A338" s="36" t="s">
        <v>1121</v>
      </c>
      <c r="B338" s="37" t="s">
        <v>1122</v>
      </c>
      <c r="C338" s="38" t="s">
        <v>1123</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A11" sqref="A11"/>
    </sheetView>
  </sheetViews>
  <sheetFormatPr defaultRowHeight="14.4" x14ac:dyDescent="0.3"/>
  <cols>
    <col min="1" max="1" width="21.109375" customWidth="1"/>
    <col min="2" max="2" width="18.6640625" customWidth="1"/>
    <col min="3" max="3" width="20.88671875" customWidth="1"/>
    <col min="4" max="4" width="6.6640625" bestFit="1" customWidth="1"/>
    <col min="5" max="5" width="8.5546875" bestFit="1" customWidth="1"/>
    <col min="6" max="6" width="16.44140625" customWidth="1"/>
    <col min="7" max="7" width="3" bestFit="1" customWidth="1"/>
    <col min="8" max="8" width="16.33203125" bestFit="1" customWidth="1"/>
  </cols>
  <sheetData>
    <row r="1" spans="1:8" x14ac:dyDescent="0.3">
      <c r="A1" t="s">
        <v>1124</v>
      </c>
      <c r="B1" s="1" t="s">
        <v>8</v>
      </c>
      <c r="C1" s="2" t="s">
        <v>66</v>
      </c>
      <c r="D1" s="3">
        <v>1</v>
      </c>
      <c r="E1" s="4" t="s">
        <v>22</v>
      </c>
      <c r="F1" s="5" t="s">
        <v>1125</v>
      </c>
      <c r="G1" s="4">
        <v>1</v>
      </c>
      <c r="H1" s="4" t="s">
        <v>1126</v>
      </c>
    </row>
    <row r="2" spans="1:8" x14ac:dyDescent="0.3">
      <c r="A2" s="2" t="s">
        <v>1127</v>
      </c>
      <c r="B2" s="1" t="s">
        <v>1128</v>
      </c>
      <c r="C2" s="2" t="s">
        <v>1129</v>
      </c>
      <c r="D2" s="3">
        <v>2</v>
      </c>
      <c r="E2" s="4" t="s">
        <v>10</v>
      </c>
      <c r="F2" s="5" t="s">
        <v>1130</v>
      </c>
      <c r="G2" s="4">
        <v>2</v>
      </c>
      <c r="H2" s="4" t="s">
        <v>20</v>
      </c>
    </row>
    <row r="3" spans="1:8" x14ac:dyDescent="0.3">
      <c r="A3" s="2" t="s">
        <v>65</v>
      </c>
      <c r="B3" s="2" t="s">
        <v>1131</v>
      </c>
      <c r="C3" s="2" t="s">
        <v>1132</v>
      </c>
      <c r="D3" s="3">
        <v>3</v>
      </c>
      <c r="E3" s="4" t="s">
        <v>62</v>
      </c>
      <c r="F3" s="5" t="s">
        <v>1133</v>
      </c>
      <c r="G3" s="4">
        <v>3</v>
      </c>
      <c r="H3" s="4" t="s">
        <v>1134</v>
      </c>
    </row>
    <row r="4" spans="1:8" x14ac:dyDescent="0.3">
      <c r="A4" s="2" t="s">
        <v>1135</v>
      </c>
      <c r="B4" s="2" t="s">
        <v>16</v>
      </c>
      <c r="C4" s="2" t="s">
        <v>97</v>
      </c>
      <c r="D4" s="3">
        <v>4</v>
      </c>
      <c r="E4" s="4"/>
      <c r="F4" s="5" t="s">
        <v>1136</v>
      </c>
      <c r="G4" s="4">
        <v>4</v>
      </c>
      <c r="H4" s="4" t="s">
        <v>14</v>
      </c>
    </row>
    <row r="5" spans="1:8" x14ac:dyDescent="0.3">
      <c r="A5" s="2" t="s">
        <v>139</v>
      </c>
      <c r="B5" s="2" t="s">
        <v>36</v>
      </c>
      <c r="C5" s="2" t="s">
        <v>9</v>
      </c>
      <c r="D5" s="3">
        <v>5</v>
      </c>
      <c r="E5" s="4"/>
      <c r="F5" s="5" t="s">
        <v>1137</v>
      </c>
      <c r="G5" s="4">
        <v>5</v>
      </c>
      <c r="H5" s="4" t="s">
        <v>1138</v>
      </c>
    </row>
    <row r="6" spans="1:8" x14ac:dyDescent="0.3">
      <c r="A6" s="2" t="s">
        <v>1139</v>
      </c>
      <c r="B6" s="1" t="s">
        <v>118</v>
      </c>
      <c r="C6" s="2" t="s">
        <v>1140</v>
      </c>
      <c r="D6" s="3">
        <v>6</v>
      </c>
      <c r="E6" s="4"/>
      <c r="F6" s="5" t="s">
        <v>1141</v>
      </c>
      <c r="G6" s="4">
        <v>6</v>
      </c>
      <c r="H6" s="4"/>
    </row>
    <row r="7" spans="1:8" x14ac:dyDescent="0.3">
      <c r="A7" s="2" t="s">
        <v>1142</v>
      </c>
      <c r="B7" s="1" t="s">
        <v>1143</v>
      </c>
      <c r="C7" s="2" t="s">
        <v>1144</v>
      </c>
      <c r="D7" s="6" t="s">
        <v>1145</v>
      </c>
      <c r="E7" s="4"/>
      <c r="F7" s="5" t="s">
        <v>1146</v>
      </c>
      <c r="G7" s="4">
        <v>7</v>
      </c>
      <c r="H7" s="4"/>
    </row>
    <row r="8" spans="1:8" x14ac:dyDescent="0.3">
      <c r="A8" s="2" t="s">
        <v>1147</v>
      </c>
      <c r="B8" s="1"/>
      <c r="C8" s="2" t="s">
        <v>1148</v>
      </c>
      <c r="D8" s="4"/>
      <c r="E8" s="4"/>
      <c r="F8" s="5" t="s">
        <v>1149</v>
      </c>
      <c r="G8" s="4">
        <v>8</v>
      </c>
      <c r="H8" s="4"/>
    </row>
    <row r="9" spans="1:8" x14ac:dyDescent="0.3">
      <c r="A9" s="2" t="s">
        <v>7</v>
      </c>
      <c r="C9" s="2"/>
      <c r="D9" s="4"/>
      <c r="E9" s="4"/>
      <c r="F9" s="5" t="s">
        <v>1150</v>
      </c>
      <c r="G9" s="4">
        <v>9</v>
      </c>
      <c r="H9" s="4"/>
    </row>
    <row r="10" spans="1:8" x14ac:dyDescent="0.3">
      <c r="A10" s="2" t="s">
        <v>1155</v>
      </c>
      <c r="C10" s="2"/>
      <c r="D10" s="4"/>
      <c r="E10" s="4"/>
      <c r="F10" s="5" t="s">
        <v>1151</v>
      </c>
      <c r="G10" s="4">
        <v>10</v>
      </c>
      <c r="H10" s="4"/>
    </row>
    <row r="11" spans="1:8" x14ac:dyDescent="0.3">
      <c r="A11" s="2"/>
      <c r="B11" s="4"/>
      <c r="C11" s="4"/>
      <c r="D11" s="4"/>
      <c r="E11" s="4"/>
      <c r="F11" s="5" t="s">
        <v>1152</v>
      </c>
      <c r="G11" s="4">
        <v>11</v>
      </c>
      <c r="H11" s="4"/>
    </row>
    <row r="12" spans="1:8" x14ac:dyDescent="0.3">
      <c r="A12" s="2"/>
      <c r="B12" s="4"/>
      <c r="C12" s="4"/>
      <c r="D12" s="4"/>
      <c r="E12" s="4"/>
      <c r="F12" s="5" t="s">
        <v>1153</v>
      </c>
      <c r="G12" s="4">
        <v>12</v>
      </c>
      <c r="H12" s="4"/>
    </row>
    <row r="13" spans="1:8" x14ac:dyDescent="0.3">
      <c r="A13" s="4"/>
      <c r="B13" s="4"/>
      <c r="C13" s="4"/>
      <c r="D13" s="4"/>
      <c r="E13" s="4"/>
      <c r="F13" s="5" t="s">
        <v>1154</v>
      </c>
      <c r="G13" s="4">
        <v>13</v>
      </c>
      <c r="H13" s="4"/>
    </row>
    <row r="14" spans="1:8" x14ac:dyDescent="0.3">
      <c r="A14" s="4"/>
      <c r="B14" s="4"/>
      <c r="C14" s="4"/>
      <c r="D14" s="4"/>
      <c r="E14" s="4"/>
      <c r="F14" s="4"/>
      <c r="G14" s="4">
        <v>14</v>
      </c>
      <c r="H14" s="4"/>
    </row>
    <row r="15" spans="1:8" x14ac:dyDescent="0.3">
      <c r="G15" s="4">
        <v>30</v>
      </c>
    </row>
    <row r="16" spans="1:8" x14ac:dyDescent="0.3">
      <c r="G16" s="4">
        <v>31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2.xml><?xml version="1.0" encoding="utf-8"?>
<ds:datastoreItem xmlns:ds="http://schemas.openxmlformats.org/officeDocument/2006/customXml" ds:itemID="{CF5A8A88-114F-4414-B78B-59A1E08F48D9}">
  <ds:schemaRefs>
    <ds:schemaRef ds:uri="http://purl.org/dc/dcmitype/"/>
    <ds:schemaRef ds:uri="http://schemas.microsoft.com/office/2006/documentManagement/types"/>
    <ds:schemaRef ds:uri="http://schemas.microsoft.com/office/2006/metadata/properties"/>
    <ds:schemaRef ds:uri="http://www.w3.org/XML/1998/namespace"/>
    <ds:schemaRef ds:uri="http://purl.org/dc/elements/1.1/"/>
    <ds:schemaRef ds:uri="bc93fe7e-d035-43bb-a03c-6b57525c971b"/>
    <ds:schemaRef ds:uri="http://purl.org/dc/terms/"/>
    <ds:schemaRef ds:uri="http://schemas.microsoft.com/office/infopath/2007/PartnerControls"/>
    <ds:schemaRef ds:uri="http://schemas.openxmlformats.org/package/2006/metadata/core-properties"/>
    <ds:schemaRef ds:uri="036464c2-fd20-4b66-91a9-287fded1e9c2"/>
  </ds:schemaRefs>
</ds:datastoreItem>
</file>

<file path=customXml/itemProps3.xml><?xml version="1.0" encoding="utf-8"?>
<ds:datastoreItem xmlns:ds="http://schemas.openxmlformats.org/officeDocument/2006/customXml" ds:itemID="{7DBE7E3D-6290-4E36-8888-0F422AA70A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2024-11-11T13:23:41Z</dcterms:created>
  <dcterms:modified xsi:type="dcterms:W3CDTF">2025-11-09T19:29:16Z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