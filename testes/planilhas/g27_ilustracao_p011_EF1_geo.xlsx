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ensinolivre.sharepoint.com/sites/G27_E001_EF1/Documentos Compartilhados/G27_E001_EF1/zCONTROLES/ilustracao/"/>
    </mc:Choice>
  </mc:AlternateContent>
  <xr:revisionPtr revIDLastSave="3159" documentId="8_{6C781771-09EC-41FE-9700-6F3383023A07}" xr6:coauthVersionLast="47" xr6:coauthVersionMax="47" xr10:uidLastSave="{0A52F7E3-A444-491E-816F-798C042BF051}"/>
  <bookViews>
    <workbookView xWindow="-120" yWindow="-120" windowWidth="29040" windowHeight="15840" xr2:uid="{6B0CC131-DCB1-4859-96F0-F61121EDAE88}"/>
  </bookViews>
  <sheets>
    <sheet name="ilustração" sheetId="1" r:id="rId1"/>
    <sheet name="créditos_base" sheetId="3" r:id="rId2"/>
    <sheet name="metadado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1" l="1"/>
  <c r="AA2" i="1" s="1"/>
  <c r="Y3" i="1"/>
  <c r="AA3" i="1" s="1"/>
  <c r="Y4" i="1"/>
  <c r="AA4" i="1" s="1"/>
  <c r="Y5" i="1"/>
  <c r="AA5" i="1" s="1"/>
  <c r="Y6" i="1"/>
  <c r="AA6" i="1" s="1"/>
  <c r="Y7" i="1"/>
  <c r="AA7" i="1" s="1"/>
  <c r="Y8" i="1"/>
  <c r="AA8" i="1" s="1"/>
  <c r="Y9" i="1"/>
  <c r="AA9" i="1" s="1"/>
  <c r="Y10" i="1"/>
  <c r="AA10" i="1" s="1"/>
  <c r="Y11" i="1"/>
  <c r="AA11" i="1" s="1"/>
  <c r="Y12" i="1"/>
  <c r="AA12" i="1" s="1"/>
  <c r="Y13" i="1"/>
  <c r="AA13" i="1" s="1"/>
  <c r="Y14" i="1"/>
  <c r="AA14" i="1" s="1"/>
  <c r="Y15" i="1"/>
  <c r="AA15" i="1" s="1"/>
  <c r="Y16" i="1"/>
  <c r="AA16" i="1" s="1"/>
  <c r="Y17" i="1"/>
  <c r="AA17" i="1" s="1"/>
  <c r="Y18" i="1"/>
  <c r="AA18" i="1" s="1"/>
  <c r="Y19" i="1"/>
  <c r="AA19" i="1" s="1"/>
  <c r="Y20" i="1"/>
  <c r="AA20" i="1" s="1"/>
  <c r="Y21" i="1"/>
  <c r="AA21" i="1" s="1"/>
  <c r="Y22" i="1"/>
  <c r="AA22" i="1" s="1"/>
  <c r="Y23" i="1"/>
  <c r="AA23" i="1" s="1"/>
  <c r="Y24" i="1"/>
  <c r="AA24" i="1" s="1"/>
  <c r="Y25" i="1"/>
  <c r="AA25" i="1" s="1"/>
  <c r="Y26" i="1"/>
  <c r="AA26" i="1" s="1"/>
  <c r="Y27" i="1"/>
  <c r="AA27" i="1" s="1"/>
  <c r="Y28" i="1"/>
  <c r="AA28" i="1" s="1"/>
  <c r="Y29" i="1"/>
  <c r="AA29" i="1" s="1"/>
  <c r="Y30" i="1"/>
  <c r="AA30" i="1" s="1"/>
  <c r="Y31" i="1"/>
  <c r="AA31" i="1" s="1"/>
  <c r="Y32" i="1"/>
  <c r="AA32" i="1" s="1"/>
  <c r="Y33" i="1"/>
  <c r="AA33" i="1" s="1"/>
  <c r="Y34" i="1"/>
  <c r="AA34" i="1" s="1"/>
  <c r="Y35" i="1"/>
  <c r="AA35" i="1" s="1"/>
  <c r="Y36" i="1"/>
  <c r="AA36" i="1" s="1"/>
  <c r="Y37" i="1"/>
  <c r="AA37" i="1" s="1"/>
  <c r="Y38" i="1"/>
  <c r="AA38" i="1" s="1"/>
  <c r="Y39" i="1"/>
  <c r="AA39" i="1" s="1"/>
  <c r="Y40" i="1"/>
  <c r="AA40" i="1" s="1"/>
  <c r="Y41" i="1"/>
  <c r="AA41" i="1" s="1"/>
  <c r="Y42" i="1"/>
  <c r="AA42" i="1" s="1"/>
  <c r="Y43" i="1"/>
  <c r="AA43" i="1" s="1"/>
  <c r="Y44" i="1"/>
  <c r="AA44" i="1" s="1"/>
  <c r="Y45" i="1"/>
  <c r="AA45" i="1" s="1"/>
  <c r="Y46" i="1"/>
  <c r="AA46" i="1" s="1"/>
  <c r="Y47" i="1"/>
  <c r="AA47" i="1" s="1"/>
  <c r="Y48" i="1"/>
  <c r="AA48" i="1" s="1"/>
  <c r="Y49" i="1"/>
  <c r="AA49" i="1" s="1"/>
  <c r="Y50" i="1"/>
  <c r="AA50" i="1" s="1"/>
  <c r="Y51" i="1"/>
  <c r="AA51" i="1" s="1"/>
  <c r="Y52" i="1"/>
  <c r="AA52" i="1" s="1"/>
  <c r="Y53" i="1"/>
  <c r="AA53" i="1" s="1"/>
  <c r="Y54" i="1"/>
  <c r="AA54" i="1" s="1"/>
  <c r="Y55" i="1"/>
  <c r="AA55" i="1" s="1"/>
  <c r="Y56" i="1"/>
  <c r="AA56" i="1" s="1"/>
  <c r="Y57" i="1"/>
  <c r="AA57" i="1" s="1"/>
  <c r="Y58" i="1"/>
  <c r="AA58" i="1" s="1"/>
  <c r="Y59" i="1"/>
  <c r="AA59" i="1" s="1"/>
  <c r="Y60" i="1"/>
  <c r="AA60" i="1" s="1"/>
  <c r="Y61" i="1"/>
  <c r="AA61" i="1" s="1"/>
  <c r="Y62" i="1"/>
  <c r="AA62" i="1" s="1"/>
  <c r="Y63" i="1"/>
  <c r="AA63" i="1" s="1"/>
  <c r="Y64" i="1"/>
  <c r="AA64" i="1" s="1"/>
  <c r="Y65" i="1"/>
  <c r="AA65" i="1" s="1"/>
  <c r="Y66" i="1"/>
  <c r="AA66" i="1" s="1"/>
  <c r="Y67" i="1"/>
  <c r="AA67" i="1" s="1"/>
  <c r="Y68" i="1"/>
  <c r="AA68" i="1" s="1"/>
  <c r="Y69" i="1"/>
  <c r="AA69" i="1" s="1"/>
  <c r="Y70" i="1"/>
  <c r="AA70" i="1" s="1"/>
  <c r="Y71" i="1"/>
  <c r="AA71" i="1" s="1"/>
  <c r="Y72" i="1"/>
  <c r="AA72" i="1" s="1"/>
  <c r="Y73" i="1"/>
  <c r="AA73" i="1" s="1"/>
  <c r="Y74" i="1"/>
  <c r="AA74" i="1" s="1"/>
  <c r="Y75" i="1"/>
  <c r="AA75" i="1" s="1"/>
  <c r="Y76" i="1"/>
  <c r="AA76" i="1" s="1"/>
  <c r="Y77" i="1"/>
  <c r="AA77" i="1" s="1"/>
  <c r="Y78" i="1"/>
  <c r="AA78" i="1" s="1"/>
  <c r="Y79" i="1"/>
  <c r="AA79" i="1" s="1"/>
  <c r="Y80" i="1"/>
  <c r="AA80" i="1" s="1"/>
  <c r="Y81" i="1"/>
  <c r="AA81" i="1" s="1"/>
  <c r="Y82" i="1"/>
  <c r="AA82" i="1" s="1"/>
  <c r="Y83" i="1"/>
  <c r="AA83" i="1" s="1"/>
  <c r="Y84" i="1"/>
  <c r="AA84" i="1" s="1"/>
  <c r="Y85" i="1"/>
  <c r="AA85" i="1" s="1"/>
  <c r="Y86" i="1"/>
  <c r="AA86" i="1" s="1"/>
  <c r="Y87" i="1"/>
  <c r="AA87" i="1" s="1"/>
  <c r="Y88" i="1"/>
  <c r="AA88" i="1" s="1"/>
  <c r="Y89" i="1"/>
  <c r="AA89" i="1" s="1"/>
  <c r="Y90" i="1"/>
  <c r="AA90" i="1" s="1"/>
  <c r="Y91" i="1"/>
  <c r="AA91" i="1" s="1"/>
  <c r="Y92" i="1"/>
  <c r="AA92" i="1" s="1"/>
  <c r="Y93" i="1"/>
  <c r="AA93" i="1" s="1"/>
  <c r="Y94" i="1"/>
  <c r="AA94" i="1" s="1"/>
  <c r="Y95" i="1"/>
  <c r="AA95" i="1" s="1"/>
  <c r="Y96" i="1"/>
  <c r="AA96" i="1" s="1"/>
  <c r="Y97" i="1"/>
  <c r="AA97" i="1" s="1"/>
  <c r="Y98" i="1"/>
  <c r="AA98" i="1" s="1"/>
  <c r="Y99" i="1"/>
  <c r="AA99" i="1" s="1"/>
  <c r="Y100" i="1"/>
  <c r="AA100" i="1" s="1"/>
  <c r="Y101" i="1"/>
  <c r="AA101" i="1" s="1"/>
  <c r="Y102" i="1"/>
  <c r="AA102" i="1" s="1"/>
  <c r="Y103" i="1"/>
  <c r="AA103" i="1" s="1"/>
  <c r="Y104" i="1"/>
  <c r="AA104" i="1" s="1"/>
  <c r="Y105" i="1"/>
  <c r="AA105" i="1" s="1"/>
  <c r="Y106" i="1"/>
  <c r="AA106" i="1" s="1"/>
  <c r="Y107" i="1"/>
  <c r="AA107" i="1" s="1"/>
  <c r="Y108" i="1"/>
  <c r="AA108" i="1" s="1"/>
  <c r="Y109" i="1"/>
  <c r="AA109" i="1" s="1"/>
  <c r="Y110" i="1"/>
  <c r="AA110" i="1" s="1"/>
  <c r="Y111" i="1"/>
  <c r="AA111" i="1" s="1"/>
  <c r="Y112" i="1"/>
  <c r="AA112" i="1" s="1"/>
  <c r="Y113" i="1"/>
  <c r="AA113" i="1" s="1"/>
  <c r="Y114" i="1"/>
  <c r="AA114" i="1" s="1"/>
  <c r="Y115" i="1"/>
  <c r="AA115" i="1" s="1"/>
  <c r="Y116" i="1"/>
  <c r="AA116" i="1" s="1"/>
  <c r="Y117" i="1"/>
  <c r="AA117" i="1" s="1"/>
  <c r="Y118" i="1"/>
  <c r="AA118" i="1" s="1"/>
  <c r="Y119" i="1"/>
  <c r="AA119" i="1" s="1"/>
  <c r="Y120" i="1"/>
  <c r="AA120" i="1" s="1"/>
  <c r="Y121" i="1"/>
  <c r="AA121" i="1" s="1"/>
  <c r="Y122" i="1"/>
  <c r="AA122" i="1" s="1"/>
  <c r="Y123" i="1"/>
  <c r="AA123" i="1" s="1"/>
  <c r="Y124" i="1"/>
  <c r="AA124" i="1" s="1"/>
  <c r="Y125" i="1"/>
  <c r="AA125" i="1" s="1"/>
  <c r="Y126" i="1"/>
  <c r="AA126" i="1" s="1"/>
  <c r="Y127" i="1"/>
  <c r="AA127" i="1" s="1"/>
  <c r="Y128" i="1"/>
  <c r="AA128" i="1" s="1"/>
  <c r="Y129" i="1"/>
  <c r="AA129" i="1" s="1"/>
  <c r="Y130" i="1"/>
  <c r="AA130" i="1" s="1"/>
  <c r="Y131" i="1"/>
  <c r="AA131" i="1" s="1"/>
  <c r="Y132" i="1"/>
  <c r="AA132" i="1" s="1"/>
  <c r="Y133" i="1"/>
  <c r="AA133" i="1" s="1"/>
  <c r="Y134" i="1"/>
  <c r="AA134" i="1" s="1"/>
  <c r="Y135" i="1"/>
  <c r="AA135" i="1" s="1"/>
  <c r="Y136" i="1"/>
  <c r="AA136" i="1" s="1"/>
  <c r="Y137" i="1"/>
  <c r="AA137" i="1" s="1"/>
  <c r="Y138" i="1"/>
  <c r="AA138" i="1" s="1"/>
  <c r="Y139" i="1"/>
  <c r="AA139" i="1" s="1"/>
  <c r="Y140" i="1"/>
  <c r="AA140" i="1" s="1"/>
  <c r="Y141" i="1"/>
  <c r="AA141" i="1" s="1"/>
  <c r="Y142" i="1"/>
  <c r="AA142" i="1" s="1"/>
  <c r="Y143" i="1"/>
  <c r="AA143" i="1" s="1"/>
  <c r="Y144" i="1"/>
  <c r="AA144" i="1" s="1"/>
  <c r="Y145" i="1"/>
  <c r="AA145" i="1" s="1"/>
  <c r="Y146" i="1"/>
  <c r="AA146" i="1" s="1"/>
  <c r="Y147" i="1"/>
  <c r="AA147" i="1" s="1"/>
  <c r="Y148" i="1"/>
  <c r="AA148" i="1" s="1"/>
  <c r="Y149" i="1"/>
  <c r="AA149" i="1" s="1"/>
  <c r="Y150" i="1"/>
  <c r="AA150" i="1" s="1"/>
  <c r="Y151" i="1"/>
  <c r="AA151" i="1" s="1"/>
  <c r="Y152" i="1"/>
  <c r="AA152" i="1" s="1"/>
  <c r="Y153" i="1"/>
  <c r="AA153" i="1" s="1"/>
  <c r="Y154" i="1"/>
  <c r="AA154" i="1" s="1"/>
  <c r="Y155" i="1"/>
  <c r="AA155" i="1" s="1"/>
  <c r="Y156" i="1"/>
  <c r="AA156" i="1" s="1"/>
  <c r="Y157" i="1"/>
  <c r="AA157" i="1" s="1"/>
  <c r="Y158" i="1"/>
  <c r="AA158" i="1" s="1"/>
  <c r="Y159" i="1"/>
  <c r="AA159" i="1" s="1"/>
  <c r="Y160" i="1"/>
  <c r="AA160" i="1" s="1"/>
  <c r="Y161" i="1"/>
  <c r="AA161" i="1" s="1"/>
  <c r="Y162" i="1"/>
  <c r="AA162" i="1" s="1"/>
  <c r="Y163" i="1"/>
  <c r="AA163" i="1" s="1"/>
  <c r="Y164" i="1"/>
  <c r="AA164" i="1" s="1"/>
  <c r="Y165" i="1"/>
  <c r="AA165" i="1" s="1"/>
  <c r="Y166" i="1"/>
  <c r="AA166" i="1" s="1"/>
  <c r="Y167" i="1"/>
  <c r="AA167" i="1" s="1"/>
  <c r="Y168" i="1"/>
  <c r="AA168" i="1" s="1"/>
  <c r="Y169" i="1"/>
  <c r="AA169" i="1" s="1"/>
  <c r="Y170" i="1"/>
  <c r="AA170" i="1" s="1"/>
  <c r="Y171" i="1"/>
  <c r="AA171" i="1" s="1"/>
  <c r="Y172" i="1"/>
  <c r="AA172" i="1" s="1"/>
  <c r="Y173" i="1"/>
  <c r="AA173" i="1" s="1"/>
  <c r="Y174" i="1"/>
  <c r="AA174" i="1" s="1"/>
  <c r="Y175" i="1"/>
  <c r="AA175" i="1" s="1"/>
  <c r="Y176" i="1"/>
  <c r="AA176" i="1" s="1"/>
  <c r="Y177" i="1"/>
  <c r="AA177" i="1" s="1"/>
  <c r="Y178" i="1"/>
  <c r="AA178" i="1" s="1"/>
  <c r="Y179" i="1"/>
  <c r="AA179" i="1" s="1"/>
  <c r="Y180" i="1"/>
  <c r="AA180" i="1" s="1"/>
  <c r="Y181" i="1"/>
  <c r="AA181" i="1" s="1"/>
  <c r="Y182" i="1"/>
  <c r="AA182" i="1" s="1"/>
  <c r="Y183" i="1"/>
  <c r="AA183" i="1" s="1"/>
  <c r="Y184" i="1"/>
  <c r="AA184" i="1" s="1"/>
  <c r="Y185" i="1"/>
  <c r="AA185" i="1" s="1"/>
  <c r="Y186" i="1"/>
  <c r="AA186" i="1" s="1"/>
  <c r="Y187" i="1"/>
  <c r="AA187" i="1" s="1"/>
  <c r="Y188" i="1"/>
  <c r="AA188" i="1" s="1"/>
  <c r="Y189" i="1"/>
  <c r="AA189" i="1" s="1"/>
  <c r="Y190" i="1"/>
  <c r="AA190" i="1" s="1"/>
  <c r="Y191" i="1"/>
  <c r="AA191" i="1" s="1"/>
  <c r="Y192" i="1"/>
  <c r="AA192" i="1" s="1"/>
  <c r="Y193" i="1"/>
  <c r="AA193" i="1" s="1"/>
  <c r="Y194" i="1"/>
  <c r="AA194" i="1" s="1"/>
  <c r="Y195" i="1"/>
  <c r="AA195" i="1" s="1"/>
  <c r="Y196" i="1"/>
  <c r="AA196" i="1" s="1"/>
  <c r="Y197" i="1"/>
  <c r="AA197" i="1" s="1"/>
  <c r="Y198" i="1"/>
  <c r="AA198" i="1" s="1"/>
  <c r="Y199" i="1"/>
  <c r="AA199" i="1" s="1"/>
  <c r="Y200" i="1"/>
  <c r="AA200" i="1" s="1"/>
  <c r="Y201" i="1"/>
  <c r="AA201" i="1" s="1"/>
  <c r="Y202" i="1"/>
  <c r="AA202" i="1" s="1"/>
  <c r="Y203" i="1"/>
  <c r="AA203" i="1" s="1"/>
  <c r="Y204" i="1"/>
  <c r="AA204" i="1" s="1"/>
  <c r="Y205" i="1"/>
  <c r="AA205" i="1" s="1"/>
  <c r="Y206" i="1"/>
  <c r="AA206" i="1" s="1"/>
  <c r="Y207" i="1"/>
  <c r="AA207" i="1" s="1"/>
  <c r="Y208" i="1"/>
  <c r="AA208" i="1" s="1"/>
  <c r="Y209" i="1"/>
  <c r="AA209" i="1" s="1"/>
  <c r="Y210" i="1"/>
  <c r="AA210" i="1" s="1"/>
  <c r="Y211" i="1"/>
  <c r="AA211" i="1" s="1"/>
  <c r="Y212" i="1"/>
  <c r="AA212" i="1" s="1"/>
  <c r="Y213" i="1"/>
  <c r="AA213" i="1" s="1"/>
  <c r="Y214" i="1"/>
  <c r="AA214" i="1" s="1"/>
  <c r="Y215" i="1"/>
  <c r="AA215" i="1" s="1"/>
  <c r="Y216" i="1"/>
  <c r="AA216" i="1" s="1"/>
  <c r="Y217" i="1"/>
  <c r="AA217" i="1" s="1"/>
  <c r="Y218" i="1"/>
  <c r="AA218" i="1" s="1"/>
  <c r="Y219" i="1"/>
  <c r="AA219" i="1" s="1"/>
  <c r="Y220" i="1"/>
  <c r="AA220" i="1" s="1"/>
  <c r="Y221" i="1"/>
  <c r="AA221" i="1" s="1"/>
  <c r="Y222" i="1"/>
  <c r="AA222" i="1" s="1"/>
  <c r="Y223" i="1"/>
  <c r="AA223" i="1" s="1"/>
  <c r="Y224" i="1"/>
  <c r="AA224" i="1" s="1"/>
  <c r="Y225" i="1"/>
  <c r="AA225" i="1" s="1"/>
  <c r="Y226" i="1"/>
  <c r="AA226" i="1" s="1"/>
  <c r="Y227" i="1"/>
  <c r="AA227" i="1" s="1"/>
  <c r="Y228" i="1"/>
  <c r="AA228" i="1" s="1"/>
  <c r="Y229" i="1"/>
  <c r="AA229" i="1" s="1"/>
  <c r="Y230" i="1"/>
  <c r="AA230" i="1" s="1"/>
  <c r="Y231" i="1"/>
  <c r="AA231" i="1" s="1"/>
  <c r="Y232" i="1"/>
  <c r="AA232" i="1" s="1"/>
  <c r="Y233" i="1"/>
  <c r="AA233" i="1" s="1"/>
  <c r="Y234" i="1"/>
  <c r="AA234" i="1" s="1"/>
  <c r="Y235" i="1"/>
  <c r="AA235" i="1" s="1"/>
  <c r="Y236" i="1"/>
  <c r="AA236" i="1" s="1"/>
  <c r="Y237" i="1"/>
  <c r="AA237" i="1" s="1"/>
  <c r="Y238" i="1"/>
  <c r="AA238" i="1" s="1"/>
  <c r="Y239" i="1"/>
  <c r="AA239" i="1" s="1"/>
  <c r="Y240" i="1"/>
  <c r="AA240" i="1" s="1"/>
  <c r="Y241" i="1"/>
  <c r="AA241" i="1" s="1"/>
  <c r="Y242" i="1"/>
  <c r="AA242" i="1" s="1"/>
  <c r="Y243" i="1"/>
  <c r="AA243" i="1" s="1"/>
  <c r="Y244" i="1"/>
  <c r="AA244" i="1" s="1"/>
  <c r="Y245" i="1"/>
  <c r="AA245" i="1" s="1"/>
  <c r="Y246" i="1"/>
  <c r="AA246" i="1" s="1"/>
  <c r="Y247" i="1"/>
  <c r="AA247" i="1" s="1"/>
  <c r="Y248" i="1"/>
  <c r="AA248" i="1" s="1"/>
  <c r="Y249" i="1"/>
  <c r="AA249" i="1" s="1"/>
  <c r="Y250" i="1"/>
  <c r="AA250" i="1" s="1"/>
  <c r="Y251" i="1"/>
  <c r="AA251" i="1" s="1"/>
  <c r="Y252" i="1"/>
  <c r="AA252" i="1" s="1"/>
  <c r="Y253" i="1"/>
  <c r="AA253" i="1" s="1"/>
  <c r="Y254" i="1"/>
  <c r="AA254" i="1" s="1"/>
  <c r="Y255" i="1"/>
  <c r="AA255" i="1" s="1"/>
  <c r="Y256" i="1"/>
  <c r="AA256" i="1" s="1"/>
  <c r="Y257" i="1"/>
  <c r="AA257" i="1" s="1"/>
  <c r="Y258" i="1"/>
  <c r="AA258" i="1" s="1"/>
  <c r="Y259" i="1"/>
  <c r="AA259" i="1" s="1"/>
  <c r="Y260" i="1"/>
  <c r="AA260" i="1" s="1"/>
  <c r="Y261" i="1"/>
  <c r="AA261" i="1" s="1"/>
  <c r="Y262" i="1"/>
  <c r="AA262" i="1" s="1"/>
  <c r="Y263" i="1"/>
  <c r="AA263" i="1" s="1"/>
  <c r="Y264" i="1"/>
  <c r="AA264" i="1" s="1"/>
  <c r="Y265" i="1"/>
  <c r="AA265" i="1" s="1"/>
  <c r="Y266" i="1"/>
  <c r="AA266" i="1" s="1"/>
  <c r="Y267" i="1"/>
  <c r="AA267" i="1" s="1"/>
  <c r="Y268" i="1"/>
  <c r="AA268" i="1" s="1"/>
  <c r="Y269" i="1"/>
  <c r="AA269" i="1" s="1"/>
  <c r="Y270" i="1"/>
  <c r="AA270" i="1" s="1"/>
  <c r="Y271" i="1"/>
  <c r="AA271" i="1" s="1"/>
  <c r="Y272" i="1"/>
  <c r="AA272" i="1" s="1"/>
  <c r="Y273" i="1"/>
  <c r="AA273" i="1" s="1"/>
  <c r="Y274" i="1"/>
  <c r="AA274" i="1" s="1"/>
  <c r="Y275" i="1"/>
  <c r="AA275" i="1" s="1"/>
  <c r="Y276" i="1"/>
  <c r="AA276" i="1" s="1"/>
  <c r="Y277" i="1"/>
  <c r="AA277" i="1" s="1"/>
  <c r="Y278" i="1"/>
  <c r="AA278" i="1" s="1"/>
  <c r="Y279" i="1"/>
  <c r="AA279" i="1" s="1"/>
  <c r="Y280" i="1"/>
  <c r="AA280" i="1" s="1"/>
  <c r="Y281" i="1"/>
  <c r="AA281" i="1" s="1"/>
  <c r="Y282" i="1"/>
  <c r="AA282" i="1" s="1"/>
  <c r="Y283" i="1"/>
  <c r="AA283" i="1" s="1"/>
  <c r="Y284" i="1"/>
  <c r="AA284" i="1" s="1"/>
  <c r="Y285" i="1"/>
  <c r="AA285" i="1" s="1"/>
  <c r="Y286" i="1"/>
  <c r="AA286" i="1" s="1"/>
  <c r="Y287" i="1"/>
  <c r="AA287" i="1" s="1"/>
  <c r="Y288" i="1"/>
  <c r="AA288" i="1" s="1"/>
  <c r="Y289" i="1"/>
  <c r="AA289" i="1" s="1"/>
  <c r="Y290" i="1"/>
  <c r="AA290" i="1" s="1"/>
  <c r="Y291" i="1"/>
  <c r="AA291" i="1" s="1"/>
  <c r="Y292" i="1"/>
  <c r="AA292" i="1" s="1"/>
  <c r="Y293" i="1"/>
  <c r="AA293" i="1" s="1"/>
  <c r="Y294" i="1"/>
  <c r="AA294" i="1" s="1"/>
  <c r="Y295" i="1"/>
  <c r="AA295" i="1" s="1"/>
  <c r="Y296" i="1"/>
  <c r="AA296" i="1" s="1"/>
  <c r="Y297" i="1"/>
  <c r="AA297" i="1" s="1"/>
  <c r="Y298" i="1"/>
  <c r="AA298" i="1" s="1"/>
  <c r="Y299" i="1"/>
  <c r="AA299" i="1" s="1"/>
  <c r="Y300" i="1"/>
  <c r="AA300" i="1" s="1"/>
  <c r="Y301" i="1"/>
  <c r="AA301" i="1" s="1"/>
  <c r="Y302" i="1"/>
  <c r="AA302" i="1" s="1"/>
  <c r="Y303" i="1"/>
  <c r="AA303" i="1" s="1"/>
  <c r="Y304" i="1"/>
  <c r="AA304" i="1" s="1"/>
  <c r="Y305" i="1"/>
  <c r="AA305" i="1" s="1"/>
  <c r="Y306" i="1"/>
  <c r="AA306" i="1" s="1"/>
  <c r="Y307" i="1"/>
  <c r="AA307" i="1" s="1"/>
  <c r="Y308" i="1"/>
  <c r="AA308" i="1" s="1"/>
  <c r="Y309" i="1"/>
  <c r="AA309" i="1" s="1"/>
  <c r="Y310" i="1"/>
  <c r="AA310" i="1" s="1"/>
  <c r="Y311" i="1"/>
  <c r="AA311" i="1" s="1"/>
  <c r="Y312" i="1"/>
  <c r="AA312" i="1" s="1"/>
  <c r="Y313" i="1"/>
  <c r="AA313" i="1" s="1"/>
  <c r="Y314" i="1"/>
  <c r="AA314" i="1" s="1"/>
  <c r="Y315" i="1"/>
  <c r="AA315" i="1" s="1"/>
  <c r="Y316" i="1"/>
  <c r="AA316" i="1" s="1"/>
  <c r="Y317" i="1"/>
  <c r="AA317" i="1" s="1"/>
  <c r="Y318" i="1"/>
  <c r="AA318" i="1" s="1"/>
  <c r="Y319" i="1"/>
  <c r="AA319" i="1" s="1"/>
  <c r="Y320" i="1"/>
  <c r="AA320" i="1" s="1"/>
  <c r="Y321" i="1"/>
  <c r="AA321" i="1" s="1"/>
  <c r="Y322" i="1"/>
  <c r="AA322" i="1" s="1"/>
  <c r="Y323" i="1"/>
  <c r="AA323" i="1" s="1"/>
  <c r="Y324" i="1"/>
  <c r="AA324" i="1" s="1"/>
  <c r="Y325" i="1"/>
  <c r="AA325" i="1" s="1"/>
  <c r="Y326" i="1"/>
  <c r="AA326" i="1" s="1"/>
  <c r="Y327" i="1"/>
  <c r="AA327" i="1" s="1"/>
  <c r="Y328" i="1"/>
  <c r="AA328" i="1" s="1"/>
  <c r="Y329" i="1"/>
  <c r="AA329" i="1" s="1"/>
  <c r="Y330" i="1"/>
  <c r="AA330" i="1" s="1"/>
  <c r="Y331" i="1"/>
  <c r="AA331" i="1" s="1"/>
  <c r="Y332" i="1"/>
  <c r="AA332" i="1" s="1"/>
  <c r="Y333" i="1"/>
  <c r="AA333" i="1" s="1"/>
  <c r="Y334" i="1"/>
  <c r="AA334" i="1" s="1"/>
  <c r="Y335" i="1"/>
  <c r="AA335" i="1" s="1"/>
  <c r="Y336" i="1"/>
  <c r="AA336" i="1" s="1"/>
  <c r="Y337" i="1"/>
  <c r="AA337" i="1" s="1"/>
  <c r="Y338" i="1"/>
  <c r="AA338" i="1" s="1"/>
  <c r="Y339" i="1"/>
  <c r="AA339" i="1" s="1"/>
  <c r="Y340" i="1"/>
  <c r="AA340" i="1" s="1"/>
  <c r="Y341" i="1"/>
  <c r="AA341" i="1" s="1"/>
  <c r="Y342" i="1"/>
  <c r="AA342" i="1" s="1"/>
  <c r="Y343" i="1"/>
  <c r="AA343" i="1" s="1"/>
  <c r="Y344" i="1"/>
  <c r="AA344" i="1" s="1"/>
  <c r="Y345" i="1"/>
  <c r="AA345" i="1" s="1"/>
  <c r="Y346" i="1"/>
  <c r="AA346" i="1" s="1"/>
  <c r="Y347" i="1"/>
  <c r="AA347" i="1" s="1"/>
  <c r="Y348" i="1"/>
  <c r="AA348" i="1" s="1"/>
  <c r="Y349" i="1"/>
  <c r="AA349" i="1" s="1"/>
  <c r="Y350" i="1"/>
  <c r="AA350" i="1" s="1"/>
  <c r="Y351" i="1"/>
  <c r="AA351" i="1" s="1"/>
  <c r="Y352" i="1"/>
  <c r="AA352" i="1" s="1"/>
  <c r="Y353" i="1"/>
  <c r="AA353" i="1" s="1"/>
  <c r="Y354" i="1"/>
  <c r="AA354" i="1" s="1"/>
  <c r="Y355" i="1"/>
  <c r="AA355" i="1" s="1"/>
  <c r="Y356" i="1"/>
  <c r="AA356" i="1" s="1"/>
  <c r="Y357" i="1"/>
  <c r="AA357" i="1" s="1"/>
  <c r="Y358" i="1"/>
  <c r="AA358" i="1" s="1"/>
  <c r="Y359" i="1"/>
  <c r="AA359" i="1" s="1"/>
  <c r="Y360" i="1"/>
  <c r="AA360" i="1" s="1"/>
  <c r="Y361" i="1"/>
  <c r="AA361" i="1" s="1"/>
  <c r="Y362" i="1"/>
  <c r="AA362" i="1" s="1"/>
  <c r="Y363" i="1"/>
  <c r="AA363" i="1" s="1"/>
  <c r="Y364" i="1"/>
  <c r="AA364" i="1" s="1"/>
  <c r="Y365" i="1"/>
  <c r="AA365" i="1" s="1"/>
  <c r="Y366" i="1"/>
  <c r="AA366" i="1" s="1"/>
  <c r="Y367" i="1"/>
  <c r="AA367" i="1" s="1"/>
  <c r="Y368" i="1"/>
  <c r="AA368" i="1" s="1"/>
  <c r="Y369" i="1"/>
  <c r="AA369" i="1" s="1"/>
  <c r="Y370" i="1"/>
  <c r="AA370" i="1" s="1"/>
  <c r="Y371" i="1"/>
  <c r="AA371" i="1" s="1"/>
  <c r="Y372" i="1"/>
  <c r="AA372" i="1" s="1"/>
  <c r="Y373" i="1"/>
  <c r="AA373" i="1" s="1"/>
  <c r="Y374" i="1"/>
  <c r="AA374" i="1" s="1"/>
  <c r="Y375" i="1"/>
  <c r="AA375" i="1" s="1"/>
  <c r="Y376" i="1"/>
  <c r="AA376" i="1" s="1"/>
  <c r="Y377" i="1"/>
  <c r="AA377" i="1" s="1"/>
  <c r="Y378" i="1"/>
  <c r="AA378" i="1" s="1"/>
  <c r="Y379" i="1"/>
  <c r="AA379" i="1" s="1"/>
  <c r="Y380" i="1"/>
  <c r="AA380" i="1" s="1"/>
  <c r="Y381" i="1"/>
  <c r="AA381" i="1" s="1"/>
  <c r="Y382" i="1"/>
  <c r="AA382" i="1" s="1"/>
  <c r="Y383" i="1"/>
  <c r="AA383" i="1" s="1"/>
  <c r="Y384" i="1"/>
  <c r="AA384" i="1" s="1"/>
  <c r="Y385" i="1"/>
  <c r="AA385" i="1" s="1"/>
  <c r="Y386" i="1"/>
  <c r="AA386" i="1" s="1"/>
  <c r="Y387" i="1"/>
  <c r="AA387" i="1" s="1"/>
  <c r="Y388" i="1"/>
  <c r="AA388" i="1" s="1"/>
  <c r="Y389" i="1"/>
  <c r="AA389" i="1" s="1"/>
  <c r="Y390" i="1"/>
  <c r="AA390" i="1" s="1"/>
  <c r="Y391" i="1"/>
  <c r="AA391" i="1" s="1"/>
  <c r="Y392" i="1"/>
  <c r="AA392" i="1" s="1"/>
  <c r="Y393" i="1"/>
  <c r="AA393" i="1" s="1"/>
  <c r="Y394" i="1"/>
  <c r="AA394" i="1" s="1"/>
  <c r="Y395" i="1"/>
  <c r="AA395" i="1" s="1"/>
  <c r="Y396" i="1"/>
  <c r="AA396" i="1" s="1"/>
  <c r="Y397" i="1"/>
  <c r="AA397" i="1" s="1"/>
  <c r="Y398" i="1"/>
  <c r="AA398" i="1" s="1"/>
  <c r="Y399" i="1"/>
  <c r="AA399" i="1" s="1"/>
  <c r="Y400" i="1"/>
  <c r="AA400" i="1" s="1"/>
  <c r="Y401" i="1"/>
  <c r="AA401" i="1" s="1"/>
  <c r="Y402" i="1"/>
  <c r="AA402" i="1" s="1"/>
  <c r="Y403" i="1"/>
  <c r="AA403" i="1" s="1"/>
  <c r="Y404" i="1"/>
  <c r="AA404" i="1" s="1"/>
  <c r="Y405" i="1"/>
  <c r="AA405" i="1" s="1"/>
  <c r="Y406" i="1"/>
  <c r="AA406" i="1" s="1"/>
  <c r="Y407" i="1"/>
  <c r="AA407" i="1" s="1"/>
  <c r="Y408" i="1"/>
  <c r="AA408" i="1" s="1"/>
  <c r="Y409" i="1"/>
  <c r="AA409" i="1" s="1"/>
  <c r="Y410" i="1"/>
  <c r="AA410" i="1" s="1"/>
  <c r="Y411" i="1"/>
  <c r="AA411" i="1" s="1"/>
  <c r="Y412" i="1"/>
  <c r="AA412" i="1" s="1"/>
  <c r="Y413" i="1"/>
  <c r="AA413" i="1" s="1"/>
  <c r="Y414" i="1"/>
  <c r="AA414" i="1" s="1"/>
  <c r="Y415" i="1"/>
  <c r="AA415" i="1" s="1"/>
  <c r="Y416" i="1"/>
  <c r="AA416" i="1" s="1"/>
  <c r="Y417" i="1"/>
  <c r="AA417" i="1" s="1"/>
  <c r="Y418" i="1"/>
  <c r="AA418" i="1" s="1"/>
  <c r="Y419" i="1"/>
  <c r="AA419" i="1" s="1"/>
  <c r="Y420" i="1"/>
  <c r="AA420" i="1" s="1"/>
  <c r="Y421" i="1"/>
  <c r="AA421" i="1" s="1"/>
  <c r="Y422" i="1"/>
  <c r="AA422" i="1" s="1"/>
  <c r="Y423" i="1"/>
  <c r="AA423" i="1" s="1"/>
  <c r="Y424" i="1"/>
  <c r="AA424" i="1" s="1"/>
  <c r="Y425" i="1"/>
  <c r="AA425" i="1" s="1"/>
  <c r="Y426" i="1"/>
  <c r="AA426" i="1" s="1"/>
  <c r="Y427" i="1"/>
  <c r="AA427" i="1" s="1"/>
  <c r="Y428" i="1"/>
  <c r="AA428" i="1" s="1"/>
  <c r="Y429" i="1"/>
  <c r="AA429" i="1" s="1"/>
  <c r="Y430" i="1"/>
  <c r="AA430" i="1" s="1"/>
  <c r="Y431" i="1"/>
  <c r="AA431" i="1" s="1"/>
  <c r="Y432" i="1"/>
  <c r="AA432" i="1" s="1"/>
  <c r="Y433" i="1"/>
  <c r="AA433" i="1" s="1"/>
  <c r="Y434" i="1"/>
  <c r="AA434" i="1" s="1"/>
  <c r="Y435" i="1"/>
  <c r="AA435" i="1" s="1"/>
  <c r="Y436" i="1"/>
  <c r="AA436" i="1" s="1"/>
  <c r="Y437" i="1"/>
  <c r="AA437" i="1" s="1"/>
  <c r="Y438" i="1"/>
  <c r="AA438" i="1" s="1"/>
  <c r="Y439" i="1"/>
  <c r="AA439" i="1" s="1"/>
  <c r="Y440" i="1"/>
  <c r="AA440" i="1" s="1"/>
  <c r="Y441" i="1"/>
  <c r="AA441" i="1" s="1"/>
  <c r="Y442" i="1"/>
  <c r="AA442" i="1" s="1"/>
  <c r="Y443" i="1"/>
  <c r="AA443" i="1" s="1"/>
  <c r="Y444" i="1"/>
  <c r="AA444" i="1" s="1"/>
  <c r="Y445" i="1"/>
  <c r="AA445" i="1" s="1"/>
  <c r="Y446" i="1"/>
  <c r="AA446" i="1" s="1"/>
  <c r="Y447" i="1"/>
  <c r="AA447" i="1" s="1"/>
  <c r="Y448" i="1"/>
  <c r="AA448" i="1" s="1"/>
  <c r="Y449" i="1"/>
  <c r="AA449" i="1" s="1"/>
  <c r="Y450" i="1"/>
  <c r="AA450" i="1" s="1"/>
  <c r="Y451" i="1"/>
  <c r="AA451" i="1" s="1"/>
  <c r="Y452" i="1"/>
  <c r="AA452" i="1" s="1"/>
  <c r="Y453" i="1"/>
  <c r="AA453" i="1" s="1"/>
  <c r="Y454" i="1"/>
  <c r="AA454" i="1" s="1"/>
  <c r="Y455" i="1"/>
  <c r="AA455" i="1" s="1"/>
  <c r="Y456" i="1"/>
  <c r="AA456" i="1" s="1"/>
  <c r="Y457" i="1"/>
  <c r="AA457" i="1" s="1"/>
  <c r="Y458" i="1"/>
  <c r="AA458" i="1" s="1"/>
  <c r="Y459" i="1"/>
  <c r="AA459" i="1" s="1"/>
  <c r="Y460" i="1"/>
  <c r="AA460" i="1" s="1"/>
  <c r="Y461" i="1"/>
  <c r="AA461" i="1" s="1"/>
  <c r="Y462" i="1"/>
  <c r="AA462" i="1" s="1"/>
  <c r="Y463" i="1"/>
  <c r="AA463" i="1" s="1"/>
  <c r="Y464" i="1"/>
  <c r="AA464" i="1" s="1"/>
  <c r="Y465" i="1"/>
  <c r="AA465" i="1" s="1"/>
  <c r="Y466" i="1"/>
  <c r="AA466" i="1" s="1"/>
  <c r="Y467" i="1"/>
  <c r="AA467" i="1" s="1"/>
  <c r="Y468" i="1"/>
  <c r="AA468" i="1" s="1"/>
  <c r="Y469" i="1"/>
  <c r="AA469" i="1" s="1"/>
  <c r="Y470" i="1"/>
  <c r="AA470" i="1" s="1"/>
  <c r="Y471" i="1"/>
  <c r="AA471" i="1" s="1"/>
  <c r="Y472" i="1"/>
  <c r="AA472" i="1" s="1"/>
  <c r="Y473" i="1"/>
  <c r="AA473" i="1" s="1"/>
  <c r="Y474" i="1"/>
  <c r="AA474" i="1" s="1"/>
  <c r="Y475" i="1"/>
  <c r="AA475" i="1" s="1"/>
  <c r="Y476" i="1"/>
  <c r="AA476" i="1" s="1"/>
  <c r="Y477" i="1"/>
  <c r="AA477" i="1" s="1"/>
  <c r="Y478" i="1"/>
  <c r="AA478" i="1" s="1"/>
  <c r="Y479" i="1"/>
  <c r="AA479" i="1" s="1"/>
  <c r="Y480" i="1"/>
  <c r="AA480" i="1" s="1"/>
  <c r="Y481" i="1"/>
  <c r="AA481" i="1" s="1"/>
  <c r="Y482" i="1"/>
  <c r="AA482" i="1" s="1"/>
  <c r="Y483" i="1"/>
  <c r="AA483" i="1" s="1"/>
  <c r="Y484" i="1"/>
  <c r="AA484" i="1" s="1"/>
  <c r="Y485" i="1"/>
  <c r="AA485" i="1" s="1"/>
  <c r="Y486" i="1"/>
  <c r="AA486" i="1" s="1"/>
  <c r="Y487" i="1"/>
  <c r="AA487" i="1" s="1"/>
  <c r="Y488" i="1"/>
  <c r="AA488" i="1" s="1"/>
  <c r="Y489" i="1"/>
  <c r="AA489" i="1" s="1"/>
  <c r="Y490" i="1"/>
  <c r="AA490" i="1" s="1"/>
  <c r="Y491" i="1"/>
  <c r="AA491" i="1" s="1"/>
  <c r="Y492" i="1"/>
  <c r="AA492" i="1" s="1"/>
  <c r="Y493" i="1"/>
  <c r="AA493" i="1" s="1"/>
  <c r="Y494" i="1"/>
  <c r="AA494" i="1" s="1"/>
  <c r="Y495" i="1"/>
  <c r="AA495" i="1" s="1"/>
  <c r="Y496" i="1"/>
  <c r="AA496" i="1" s="1"/>
  <c r="Y497" i="1"/>
  <c r="AA497" i="1" s="1"/>
  <c r="Y498" i="1"/>
  <c r="AA498" i="1" s="1"/>
  <c r="Y499" i="1"/>
  <c r="AA499" i="1" s="1"/>
  <c r="Y500" i="1"/>
  <c r="AA500" i="1" s="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3D0CC899-D669-4233-8DBC-73F5177E8AFF}">
      <text>
        <r>
          <rPr>
            <sz val="9"/>
            <color indexed="81"/>
            <rFont val="Segoe UI"/>
            <family val="2"/>
          </rPr>
          <t xml:space="preserve">Sequência numérica acompanhada do código que identifica a obra.
</t>
        </r>
      </text>
    </comment>
    <comment ref="B1" authorId="0" shapeId="0" xr:uid="{B6335FCB-8332-4C3F-8526-73CA4B27A1C1}">
      <text>
        <r>
          <rPr>
            <sz val="9"/>
            <color indexed="81"/>
            <rFont val="Segoe UI"/>
            <family val="2"/>
          </rPr>
          <t>Selecione na lista suspensa em cada célula o status da ilustração.</t>
        </r>
      </text>
    </comment>
    <comment ref="C1" authorId="0" shapeId="0" xr:uid="{FAD14918-A50B-4457-82F3-CB9459ECF06F}">
      <text>
        <r>
          <rPr>
            <sz val="9"/>
            <color indexed="81"/>
            <rFont val="Segoe UI"/>
            <family val="2"/>
          </rPr>
          <t xml:space="preserve">Selecione na lista suspensa, a categoria da ilustração.
</t>
        </r>
      </text>
    </comment>
    <comment ref="D1" authorId="0" shapeId="0" xr:uid="{BA521218-ED46-4B88-88BC-4DAE435C6EEF}">
      <text>
        <r>
          <rPr>
            <sz val="9"/>
            <color indexed="81"/>
            <rFont val="Segoe UI"/>
            <family val="2"/>
          </rPr>
          <t xml:space="preserve">Selecione na lista suspensa em que parte do livro se encontra a imagem.
</t>
        </r>
      </text>
    </comment>
    <comment ref="E1" authorId="0" shapeId="0" xr:uid="{C3A8D5CC-14E2-4242-832A-55EE9A62D513}">
      <text>
        <r>
          <rPr>
            <sz val="9"/>
            <color indexed="81"/>
            <rFont val="Segoe UI"/>
            <family val="2"/>
          </rPr>
          <t>Preencher estes campos com números 
de páginas.</t>
        </r>
      </text>
    </comment>
    <comment ref="F1" authorId="0" shapeId="0" xr:uid="{77322721-7593-42F0-A138-176211D22CCC}">
      <text>
        <r>
          <rPr>
            <sz val="9"/>
            <color indexed="81"/>
            <rFont val="Segoe UI"/>
            <family val="2"/>
          </rPr>
          <t>Prencher com o número do volume da obra.</t>
        </r>
      </text>
    </comment>
    <comment ref="G1" authorId="0" shapeId="0" xr:uid="{C9C571BF-9693-4193-B70D-A743F5A0A3BC}">
      <text>
        <r>
          <rPr>
            <sz val="9"/>
            <color indexed="81"/>
            <rFont val="Segoe UI"/>
            <family val="2"/>
          </rPr>
          <t>Preencher este campo com o número do capítulo ou nome da seção.</t>
        </r>
      </text>
    </comment>
    <comment ref="H1" authorId="0" shapeId="0" xr:uid="{2AD45050-60B0-4A0D-998B-D528686848F8}">
      <text>
        <r>
          <rPr>
            <sz val="9"/>
            <color indexed="81"/>
            <rFont val="Segoe UI"/>
            <family val="2"/>
          </rPr>
          <t xml:space="preserve">Preencher estes campos com números do capítulos ou os nomes padronizados das seções.
</t>
        </r>
      </text>
    </comment>
    <comment ref="I1" authorId="0" shapeId="0" xr:uid="{E5C58997-9047-40FB-9E41-6042EA80051C}">
      <text>
        <r>
          <rPr>
            <sz val="9"/>
            <color indexed="81"/>
            <rFont val="Segoe UI"/>
            <family val="2"/>
          </rPr>
          <t>Selecione na lista suspensa em cada célula o tipo da ilustração.</t>
        </r>
      </text>
    </comment>
    <comment ref="J1" authorId="0" shapeId="0" xr:uid="{65B19E86-3441-46E9-8ED5-04BD67048482}">
      <text>
        <r>
          <rPr>
            <sz val="9"/>
            <color indexed="81"/>
            <rFont val="Segoe UI"/>
            <family val="2"/>
          </rPr>
          <t xml:space="preserve">Se o tipo de imagem escolhida for RESGATE ou AJUSTE, coloque aqui o nome da obra de origem.
</t>
        </r>
      </text>
    </comment>
    <comment ref="K1" authorId="0" shapeId="0" xr:uid="{C4B31C13-AB94-4B46-8D4F-2C22A8C152F3}">
      <text>
        <r>
          <rPr>
            <sz val="9"/>
            <color indexed="81"/>
            <rFont val="Segoe UI"/>
            <family val="2"/>
          </rPr>
          <t xml:space="preserve">Se o tipo de imagem escolhida for RESGATE ou AJUSTE, coloque aqui apenas o número da página da obra de origem.
</t>
        </r>
      </text>
    </comment>
    <comment ref="L1" authorId="0" shapeId="0" xr:uid="{13F95DE5-820E-4AFB-B19B-F67435299211}">
      <text>
        <r>
          <rPr>
            <sz val="9"/>
            <color indexed="81"/>
            <rFont val="Segoe UI"/>
            <family val="2"/>
          </rPr>
          <t>Se o tipo de imagem escolhida for RESGATE ou AJUSTE, coloque aqui apenas o número do volume da obra de origem.</t>
        </r>
      </text>
    </comment>
    <comment ref="M1" authorId="0" shapeId="0" xr:uid="{222EBAFF-E995-4F89-8D0C-64B3297D567A}">
      <text>
        <r>
          <rPr>
            <sz val="9"/>
            <color indexed="81"/>
            <rFont val="Segoe UI"/>
            <family val="2"/>
          </rPr>
          <t xml:space="preserve">
Se o tipo de imagem escolhida for RESGATE ou AJUSTE, coloque aqui apenas o número do volume da obra de origem.</t>
        </r>
      </text>
    </comment>
    <comment ref="N1" authorId="0" shapeId="0" xr:uid="{8CDAFBE6-4A6B-427F-AB80-AEC501642817}">
      <text>
        <r>
          <rPr>
            <sz val="9"/>
            <color indexed="81"/>
            <rFont val="Segoe UI"/>
            <family val="2"/>
          </rPr>
          <t>Qual editora possui o direito de uso da ilustração.</t>
        </r>
      </text>
    </comment>
    <comment ref="O1" authorId="0" shapeId="0" xr:uid="{17E5CCB4-FC1A-4EBA-8DA2-17775F93A903}">
      <text>
        <r>
          <rPr>
            <sz val="9"/>
            <color indexed="81"/>
            <rFont val="Segoe UI"/>
            <family val="2"/>
          </rPr>
          <t xml:space="preserve">Descrição da imagem detalhada de acordo com a edição.
</t>
        </r>
      </text>
    </comment>
    <comment ref="Q1" authorId="0" shapeId="0" xr:uid="{E94920A2-613D-4D8E-845D-9EA24DC69025}">
      <text>
        <r>
          <rPr>
            <sz val="9"/>
            <color indexed="81"/>
            <rFont val="Segoe UI"/>
            <family val="2"/>
          </rPr>
          <t>Anotações gerais/adicionais da equipe/núcleo sobre a produção da imagem.</t>
        </r>
      </text>
    </comment>
    <comment ref="R1" authorId="0" shapeId="0" xr:uid="{6989CC06-6230-488E-AF1D-D020B76B671B}">
      <text>
        <r>
          <rPr>
            <sz val="9"/>
            <color indexed="81"/>
            <rFont val="Segoe UI"/>
            <family val="2"/>
          </rPr>
          <t xml:space="preserve">Número do lote de acordo com a data de liberação para arte.
</t>
        </r>
      </text>
    </comment>
    <comment ref="S1" authorId="0" shapeId="0" xr:uid="{3C8056B6-6D56-4ABC-8D5E-133F73C05996}">
      <text>
        <r>
          <rPr>
            <sz val="9"/>
            <color indexed="81"/>
            <rFont val="Segoe UI"/>
            <family val="2"/>
          </rPr>
          <t xml:space="preserve">Data que o lote foi liberado para edição de arte.
</t>
        </r>
      </text>
    </comment>
    <comment ref="T1" authorId="0" shapeId="0" xr:uid="{3C167E04-A371-47C4-8717-D873AD4E9FC7}">
      <text>
        <r>
          <rPr>
            <sz val="9"/>
            <color indexed="81"/>
            <rFont val="Segoe UI"/>
            <family val="2"/>
          </rPr>
          <t>Data de envio da edição de arte para o ilustrador.</t>
        </r>
      </text>
    </comment>
    <comment ref="U1" authorId="0" shapeId="0" xr:uid="{69C14C76-27F2-41AF-852D-CB92E57EA4BB}">
      <text>
        <r>
          <rPr>
            <sz val="9"/>
            <color indexed="81"/>
            <rFont val="Segoe UI"/>
            <family val="2"/>
          </rPr>
          <t xml:space="preserve">Data de recebimento 
do rafe do ilustrador.
</t>
        </r>
      </text>
    </comment>
    <comment ref="V1" authorId="0" shapeId="0" xr:uid="{04B50519-2510-4909-864C-EB1E440194CF}">
      <text>
        <r>
          <rPr>
            <sz val="9"/>
            <color indexed="81"/>
            <rFont val="Segoe UI"/>
            <family val="2"/>
          </rPr>
          <t xml:space="preserve">Data de envio para finalizar a ilustração.
</t>
        </r>
      </text>
    </comment>
    <comment ref="W1" authorId="0" shapeId="0" xr:uid="{CEA43B39-7373-4A67-A7FA-E74EABB032A8}">
      <text>
        <r>
          <rPr>
            <sz val="9"/>
            <color indexed="81"/>
            <rFont val="Segoe UI"/>
            <family val="2"/>
          </rPr>
          <t>Data de retorno da ilustração finalizada pelo ilustrador.</t>
        </r>
      </text>
    </comment>
    <comment ref="X1" authorId="0" shapeId="0" xr:uid="{8894FE2D-830E-400E-8328-8CAE80D2CA61}">
      <text>
        <r>
          <rPr>
            <sz val="9"/>
            <color indexed="81"/>
            <rFont val="Segoe UI"/>
            <family val="2"/>
          </rPr>
          <t>Selecione na lista suspensa a sigla do nome do ilustrador que produziu ou produzirá a ilustração ou o nome do criador da ilustração do padrão.</t>
        </r>
        <r>
          <rPr>
            <b/>
            <sz val="9"/>
            <color indexed="81"/>
            <rFont val="Segoe UI"/>
            <family val="2"/>
          </rPr>
          <t xml:space="preserve">
</t>
        </r>
      </text>
    </comment>
    <comment ref="Y1" authorId="0" shapeId="0" xr:uid="{DCD8860F-16F3-4D41-BA80-F679A5727127}">
      <text>
        <r>
          <rPr>
            <sz val="9"/>
            <color indexed="81"/>
            <rFont val="Segoe UI"/>
            <family val="2"/>
          </rPr>
          <t>Nome do ilustrador que produziu ou produzirá a ilustração ou o nome do criador da ilustração do padrão.
Coluna bloqueada para edição manual.</t>
        </r>
      </text>
    </comment>
    <comment ref="Z1" authorId="0" shapeId="0" xr:uid="{58AED824-409A-41E8-BF67-1959D1B97CC0}">
      <text>
        <r>
          <rPr>
            <sz val="9"/>
            <color indexed="81"/>
            <rFont val="Segoe UI"/>
            <family val="2"/>
          </rPr>
          <t>Nome de quem ajustou ou coloriu a ilustração.</t>
        </r>
      </text>
    </comment>
    <comment ref="AA1" authorId="0" shapeId="0" xr:uid="{6ECC2883-E2DB-4A0F-A8E0-5F9C7F3E9932}">
      <text>
        <r>
          <rPr>
            <sz val="9"/>
            <color indexed="81"/>
            <rFont val="Segoe UI"/>
            <family val="2"/>
          </rPr>
          <t>O crédito deve ser de quem criou a ilustração e produziu-a pela primeira vez. Em casos de mais de um ilustrador, separar por /. Ex: Sergio Lima/Rogério Casagrande</t>
        </r>
      </text>
    </comment>
    <comment ref="AB1" authorId="0" shapeId="0" xr:uid="{A75A1E6C-CE82-4039-B5E4-8415AFD6F938}">
      <text>
        <r>
          <rPr>
            <sz val="9"/>
            <color indexed="81"/>
            <rFont val="Segoe UI"/>
            <family val="2"/>
          </rPr>
          <t xml:space="preserve">Selecione na lista suspensa em cada célula a classificação da ilustração.
</t>
        </r>
      </text>
    </comment>
    <comment ref="AC1" authorId="0" shapeId="0" xr:uid="{B96AFB6E-62C6-4112-AC4A-77C048F5CEC2}">
      <text>
        <r>
          <rPr>
            <sz val="9"/>
            <color indexed="81"/>
            <rFont val="Segoe UI"/>
            <family val="2"/>
          </rPr>
          <t>Anotações gerais/adicionais do designer sobre a produção da imagem.</t>
        </r>
      </text>
    </comment>
    <comment ref="AD1" authorId="0" shapeId="0" xr:uid="{71499792-448C-4233-8683-C2F2FA803FED}">
      <text>
        <r>
          <rPr>
            <sz val="9"/>
            <color indexed="81"/>
            <rFont val="Segoe UI"/>
            <family val="2"/>
          </rPr>
          <t>Anotações para fechamento dos pagamentos mensais das ilustrações.</t>
        </r>
      </text>
    </comment>
  </commentList>
</comments>
</file>

<file path=xl/sharedStrings.xml><?xml version="1.0" encoding="utf-8"?>
<sst xmlns="http://schemas.openxmlformats.org/spreadsheetml/2006/main" count="3457" uniqueCount="1627">
  <si>
    <t>RETRANCA</t>
  </si>
  <si>
    <t>STATUS</t>
  </si>
  <si>
    <t>CATEGORIA</t>
  </si>
  <si>
    <t>LOCALIZAÇÃO</t>
  </si>
  <si>
    <t>PÁGINA</t>
  </si>
  <si>
    <t>VOLUME</t>
  </si>
  <si>
    <t>UNIDADE</t>
  </si>
  <si>
    <t>CAPÍTULO 
 ou
 SEÇÃO</t>
  </si>
  <si>
    <t>TIPO</t>
  </si>
  <si>
    <t>NOME DA OBRA
 PARA RESGATE</t>
  </si>
  <si>
    <t>PÁGINA PARA RESGATE</t>
  </si>
  <si>
    <t>VOLUME PARA RESGATE</t>
  </si>
  <si>
    <t>VERSÃO PARA RESGATE</t>
  </si>
  <si>
    <t>PROPRIEDADE</t>
  </si>
  <si>
    <t>DESCRIÇÃO DA IMAGEM</t>
  </si>
  <si>
    <t>ILUSTRADOR RESGATE</t>
  </si>
  <si>
    <t>OBSERVAÇÃO DO EDITORIAL/NÚCLEO</t>
  </si>
  <si>
    <t>LOTE</t>
  </si>
  <si>
    <t xml:space="preserve">DATA DE LIBERAÇÃO DO LOTE PARA ARTE </t>
  </si>
  <si>
    <t>DATA DE ENVIO 
DO PEDIDO</t>
  </si>
  <si>
    <t>DATA DO RECEBIMENTO 
DO RAFE</t>
  </si>
  <si>
    <t>DATA DE RETORNO DO RAFE PARA ILUSTRADOR</t>
  </si>
  <si>
    <t>DATA DE RECEBIMENTO
 DA FINALIZADA</t>
  </si>
  <si>
    <t>SIGLA</t>
  </si>
  <si>
    <t>ILUSTRADOR CRIAÇÃO</t>
  </si>
  <si>
    <t>ILUSTRADOR AJUSTES</t>
  </si>
  <si>
    <t>CRÉDITOS  (A e B)</t>
  </si>
  <si>
    <t>CLASSIFICAÇÃO</t>
  </si>
  <si>
    <t>OBSERVAÇÃO DA ARTE</t>
  </si>
  <si>
    <t>OBSERVAÇÃO DE PAGAMENTO</t>
  </si>
  <si>
    <t>PROJETO</t>
  </si>
  <si>
    <t>m0141_4p011g_g27_e001</t>
  </si>
  <si>
    <t>APLICADA</t>
  </si>
  <si>
    <t>MAPA</t>
  </si>
  <si>
    <t>MIOLO</t>
  </si>
  <si>
    <t>AJUSTE</t>
  </si>
  <si>
    <t>Resgatar mapa do Ceará com as principais cidades do 4º NPG (GOV), p. 25, código antigo m0229ed_4pmg_g19_mdn_aj.
AJUSTES:
- Separar o mapa, a legenda e o mapa de localização em A, B e C.
- Realizar verificação de cor pela equipe da arte.</t>
  </si>
  <si>
    <t>ed</t>
  </si>
  <si>
    <t>Ellen Jacob</t>
  </si>
  <si>
    <t>Resgate com ajuste</t>
  </si>
  <si>
    <t>FINALIZADO</t>
  </si>
  <si>
    <t>m0142_4p011g_g27_e001</t>
  </si>
  <si>
    <t>Resgatar mapa do estado de Mato Grosso do Sul do 4º NPG (GOV) p. 37, código antigo m1058ed_4npg_g23_mdn_aj
AJUSTES:
- Separar o mapa, a legenda e mapa de localização em A, B e C.
- Realizar verificação de cor pela equipe da arte.</t>
  </si>
  <si>
    <t>m0527_4p011g_g27_e001</t>
  </si>
  <si>
    <t>Resgatar planisfério com os continentes e oceanos da Terra do 4º NPG (GOV) p. 78, código antigo m1062ed_4npg_g23_mdn_aj.
AJUSTES:
- Separar o mapa e a legenda em A e B.
- Realizar verificação de cor pela equipe da arte.</t>
  </si>
  <si>
    <t>m0528_4p011g_g27_e001</t>
  </si>
  <si>
    <t>Resgatar mapa do continente americano do 4º NPG (GOV) p. 79, código antigo m1003pn_4npg_g23_mdn.
AJUSTES:
- Separar o mapa e a legenda em A e B.
- Inserir mapa de localização com com o código m0528C_4p011g_g27_e001
- Realizar verificação de cor pela equipe da arte.</t>
  </si>
  <si>
    <t>pn</t>
  </si>
  <si>
    <t>m0529_4p011g_g27_e001</t>
  </si>
  <si>
    <t>Resgatar mapa da América do Sul do 4º NPG (GOV) p. 80, código antigo m0266ed_5pmg_g19_mdn_aj.
AJUSTES:
- Separar o mapa e o mapa de localização em A e C.
- Ajustar a cor do Brasil com a mesma cor dos demais países. 
- Inserir a legenda: Limite internacional; e codificar como m0529B_4p011g_g27_e001.
- Realizar verificação de cor pela equipe da arte.</t>
  </si>
  <si>
    <t>m0530_4p011g_g27_e001</t>
  </si>
  <si>
    <t>Resgatar mapa da divisão política do Brasil do 4º NPG (GOV) p. 81, código antigo m1064pr_4npg_g23_mdn_aj
AJUSTES:
- Separar o mapa, a legenda e o mapa de localização em A, B e C.
- Realizar verificação de cor pela equipe da arte.</t>
  </si>
  <si>
    <t>pr</t>
  </si>
  <si>
    <t>m0531_4p011g_g27_e001</t>
  </si>
  <si>
    <t>Resgatar mapa do Brasil Colônia (século 16) do 4º NPG (GOV) p. 82, código antigo m0602pr_4pmg_g19_mdn.
AJUSTES:
- Separar o mapa, a legenda e mapa de localização em A, B e C.
- Realizar verificação de cor pela equipe da arte.</t>
  </si>
  <si>
    <t>m0532_4p011g_g27_e001</t>
  </si>
  <si>
    <t>Resgatar mapa do Brasil Império (século 19) do 4º NPG (GOV) p. 82, código antigo m0603pr_4pmg_g19_mdn.
AJUSTES:
- Separar o mapa, a legenda e o mapa de localização em A, B e C.
- Realizar verificação de cor pela equipe da arte.</t>
  </si>
  <si>
    <t>m0533_4p011g_g27_e001</t>
  </si>
  <si>
    <t>Resgatar mapa das Regiões do Brasil-IBGE do 4º NPG (GOV) p. 83, código antigo m0606ed_4pmg_g19_mdn.
AJUSTES:
- Separar o mapa, a legenda das regiões, a legenda das capitais e o mapa de localização em A, B, C e D.
- Realizar verificação de cor pela equipe da arte.</t>
  </si>
  <si>
    <t>m0534_4p011g_g27_e001</t>
  </si>
  <si>
    <t>Resgatar mapa da divisão política e regional do Brasil do 4º NPG (GOV) p. 84, código antigo m1009pn_4npg_g23_mdn.
AJUSTES:
- Separar o mapa, a legenda das regiões, a legenda das capitais e o mapa de localização em A, B, C e D.
- Realizar verificação de cor pela equipe da arte.</t>
  </si>
  <si>
    <t>m0535_4p011g_g27_e001</t>
  </si>
  <si>
    <t>Resgatar mapa da divisão política do Brasil do 4º NPG (GOV) p. 85, código antigo m0620pr_4pmg_g19_mdn.
AJUSTES:
- Separar o mapa e o mapa de localização em A e C.
- Inserir a legenda: Limite estadual; e codificar como m0535B_4p011g_g27_e001
- Realizar verificação de cor pela equipe da arte.</t>
  </si>
  <si>
    <t>m0536_4p011g_g27_e001</t>
  </si>
  <si>
    <t>AVALIANDO</t>
  </si>
  <si>
    <t>Resgatar mapa da divisão municipal do Amapá do 4º NPG (GOV) p. 85, código antigo m0621pr_4pmg_g19_mdn.
AJUSTES:
- Separar o mapa, a legenda e mapa de localização em A, B e C.
- Realizar verificação de cor pela equipe da arte.</t>
  </si>
  <si>
    <t>Gabriella Imai</t>
  </si>
  <si>
    <t>m0537_4p011g_g27_e001</t>
  </si>
  <si>
    <t>Resgatar mapa da ocupação por grupos indígenas no Brasil (1500) do 4º NPG (GOV) p. 96, código antigo m0608ed_4pmg_g19_mdn.
AJUSTES:
- Separar o mapa, a legenda e o mapa de localização em A, B e C.
- Realizar verificação de cor pela equipe da arte.</t>
  </si>
  <si>
    <t>m0538_4p011g_g27_e001</t>
  </si>
  <si>
    <t>Resgatar mapa das regiões do Brasil - IBGE do 4º NPG (GOV) p. 108, código antigo m1024pn_4npg_g23_mdn.
AJUSTES:
- Separar o mapa e o mapa de localização em A e C.
- Inserir a legenda: Limite estadual; e codificar como m0538B_4p011g_g27_e001
- Realizar verificação de cor pela equipe da arte.</t>
  </si>
  <si>
    <t>m0701_4p011g_g27_e001</t>
  </si>
  <si>
    <t>Resgatar mapa de climas do Brasil do 4º NPG (GOV) p. 114, código antigo m1061ed_4npg_g23_mdn_aj.
AJUSTES:
- Separar o mapa, a legenda e mapa de localização em A, B e C.
- Realizar verificação de cor pela equipe da arte.</t>
  </si>
  <si>
    <t>m0702_4p011g_g27_e001</t>
  </si>
  <si>
    <t>EXCLUIDA</t>
  </si>
  <si>
    <t>Resgatar mapa da vegetação natural do Brasil do 4º NPG (GOV) p. 121, código antigo m0803ed_4pmg_g19_mdn_aj.
AJUSTES:
- Separar o mapa, a legenda e mapa de localização em A, B e C.
- Realizar verificação de cor pela equipe da arte.</t>
  </si>
  <si>
    <t>m0703_4p011g_g27_e001</t>
  </si>
  <si>
    <t>Resgatar mapa de unidades do relevo brasileiro (Classificação de Jurandyr L. S. Ross) do 4º NPG (GOV) p. 129, código antigo m0815ed_4pmg_g19_mdn.
AJUSTES:
- Separar o mapa, a legenda e mapa de localização em A, B e C.
- Realizar verificação de cor pela equipe da arte.</t>
  </si>
  <si>
    <t>m0704_4p011g_g27_e001</t>
  </si>
  <si>
    <t>Resgatar mapa das regiões hidrográficas do Brasil do 4º NPG (GOV) p. 136, código antigo m1461ed_4npg_g23_mdn_aj.
AJUSTES:
- Separar o mapa, a legenda e mapa de localização em A, B e C.
- Realizar verificação de cor pela equipe da arte.</t>
  </si>
  <si>
    <t>m0705_4p011g_g27_e001</t>
  </si>
  <si>
    <t>Resgatar mapa da região hidrográfica do rio São Francisco (2018) do 4º NPG (GOV) p. 138, código antigo m0828ed_4pmg_g19_mdn_aj.
AJUSTES:
- Separar o mapa, a legenda e mapa de localização em A, B e C.
- Realizar verificação de cor pela equipe da arte.</t>
  </si>
  <si>
    <t>m0147_5p011g_g27_e001</t>
  </si>
  <si>
    <t>Resgatar mapa dos países mais populosos do mundo do 5º NPG (GOV) p. 10, código antigo m0420_5pmg_g19_mdn_aj.
AJUSTES:
- Inserir legenda com a seguinte informação: Limite internacional.
- Separar o mapa e a legenda  em A e B.
- Realizar verificação de cor pela equipe da arte.</t>
  </si>
  <si>
    <t>Tatiane Galheiro</t>
  </si>
  <si>
    <t>m0148_5p011g_g27_e001</t>
  </si>
  <si>
    <t>Resgatar mapa de alguns países do mundo do 5º NPG (GOV) p. 11, código antigo m0244ed_5pmg_g19_mdn_aj.
AJUSTES:
- Inserir legenda com a seguinte informação: Limite internacional.
- Separar o mapa e a legenda  em A e B.
- Realizar verificação de cor pela equipe da arte.</t>
  </si>
  <si>
    <t>m0149_5p011g_g27_e001</t>
  </si>
  <si>
    <t>PRONTA</t>
  </si>
  <si>
    <t>Resgatar mapa das regiões brasileiras do 5º NPG (GOV) p. 27, código antigo m0235km_5npg_g23_mdn_aj.
AJUSTES:
-Inserir mapinha de localização de planisfério, localizando o Brasil e codificar como m0149C_5p011g_g27_e001
- Separar o mapa e a legenda  em A e B.
- Realizar verificação de cor pela equipe da arte.</t>
  </si>
  <si>
    <t>km</t>
  </si>
  <si>
    <t>m0150_5p011g_g27_e001</t>
  </si>
  <si>
    <t>Resgatar mapa do Brasil: fluxos migratórios no século 20, 5º NPG (GOV) p. 42, código antigo m0432ed_5pmg_g19_mdn_aj.
AJUSTES:
- Separar o mapa, a legenda e o mapa de localização em A, B e C.
- Realizar verificação de cor pela equipe da arte.</t>
  </si>
  <si>
    <t>m0151_5p011g_g27_e001</t>
  </si>
  <si>
    <t>Resgatar mapa do Brasil: fluxos migratórios no século 21, 5º NPG (GOV) p. 45, código antigo m0286km_5npg_g23_mdn.
AJUSTES:
- Separar o mapa, a legenda e o mapa de localização em A, B e C.
- Realizar verificação de cor pela equipe da arte.</t>
  </si>
  <si>
    <t>m0152_5p011g_g27_e001</t>
  </si>
  <si>
    <t>Resgatar mapa de Migrantes no  total da população (2009), 5º NPG (GOV) p. 46, código antigo m0270ct_5npg_g23_mdn.
AJUSTES:
-Inserir mapinha de localização e codificar como m0152C_5p011g_g27_e001
- Separar o mapa e a legenda  em A e B.
- Realizar verificação de cor pela equipe da arte.</t>
  </si>
  <si>
    <t>ct</t>
  </si>
  <si>
    <t>m0524_5p011g_g27_e001</t>
  </si>
  <si>
    <t>Resgatar mapa da Região Norte (2018), 5º NPG (GOV) p. 92, código antigo m1002ed_5npg_g23_mdn_aj.
AJUSTES:
- Separar o mapa, a legenda e o mapa de localização em A, B e C.
- Realizar verificação de cor pela equipe da arte.</t>
  </si>
  <si>
    <t>verificar qual unidade está</t>
  </si>
  <si>
    <t>m0525_5p011g_g27_e001</t>
  </si>
  <si>
    <t>Resgatar mapa da Região Nordeste (2018), 5º NPG (GOV) p. 98, código antigo m1013ed_5npg_g23_mdn_aj.
AJUSTES:
- Separar o mapa, a legenda e o mapa de localização em A, B e C.
- Realizar verificação de cor pela equipe da arte.</t>
  </si>
  <si>
    <t>m0526_5p011g_g27_e001</t>
  </si>
  <si>
    <t>Resgatar mapa da Região Centro-Oeste (2018), 5º NPG (GOV) p. 102, código antigo m1019ed_5npg_g23_mdn_aj.
AJUSTES:
- Separar o mapa, a legenda e o mapa de localização em A, B e C.
- Realizar verificação de cor pela equipe da arte.</t>
  </si>
  <si>
    <t>m0527_5p011g_g27_e001</t>
  </si>
  <si>
    <t>Resgatar mapa da Região Sudeste (2018), 5º NPG (GOV) p. 108, código antigo m1032ed_5npg_g23_mdn_aj.
 AJUSTES:
- Separar o mapa, a legenda e o mapa de localização em A, B e C.
- Realizar verificação de cor pela equipe da arte.</t>
  </si>
  <si>
    <t>m0528_5p011g_g27_e001</t>
  </si>
  <si>
    <t>Resgatar mapa da Região Sul (2018), 5º NPG (GOV) p. 112, código antigo m1072ed_5npg_g23_mdn_aj.
 AJUSTES:
- Separar o mapa, a legenda e o mapa de localização em A, B e C.
- Realizar verificação de cor pela equipe da arte.</t>
  </si>
  <si>
    <t>i0101_3p011g_g27_e001</t>
  </si>
  <si>
    <t>ILUSTRAÇÃO</t>
  </si>
  <si>
    <t>RESGATE</t>
  </si>
  <si>
    <t xml:space="preserve">Resgatar ilustração de uma menina de óculos em expressão de apresentação, com uma das mãos levantadas saudando o leitor.
Código antigo: i0213dd_3pmg_g19_mdn
</t>
  </si>
  <si>
    <t>dd</t>
  </si>
  <si>
    <t>i0102_3p011g_g27_e001</t>
  </si>
  <si>
    <t xml:space="preserve">Resgatar ilustração de uma menina estudando, com livro aberto sobre a mesa de estudos e com a avó ao lado auxiliando nos estudos. 
Código antigo i0214dd_3pmg_g19_mdn
</t>
  </si>
  <si>
    <t>i0103_3p011g_g27_e001</t>
  </si>
  <si>
    <t xml:space="preserve">Resgatar ilustração de avó acompanhando neta indo até a feira. 
Código antigo: i0215dd_3pmg_g19_mdn
</t>
  </si>
  <si>
    <t>i0104_3p011g_g27_e001</t>
  </si>
  <si>
    <t xml:space="preserve">Resgatar ilustração de menina indo para escola de onibus g23_mdn_lt_3npg_p018 
Código antigo: i0216dd_3pmg_g19_mdn
</t>
  </si>
  <si>
    <t>i0105_3p011g_g27_e001</t>
  </si>
  <si>
    <t xml:space="preserve">Resgatar ilustração de menina com seus pais lendo histórias g23_mdn_lt_3npg_p018
Código antigo: i0217dd_3pmg_g19_mdn
</t>
  </si>
  <si>
    <t>i0106_3p011g_g27_e001</t>
  </si>
  <si>
    <t xml:space="preserve">Resgatar ilustração de menino falando g23_mdn_lt_3npg_p019 
Código antigo: i0218dd_3pmg_g19_mdn
</t>
  </si>
  <si>
    <t>i0107_3p011g_g27_e001</t>
  </si>
  <si>
    <t xml:space="preserve">Resgatar de menino ajudando seu pai a cuidar dos animais do sítio g23_mdn_lt_3npg_p019
Código antigo: i0219dd_3pmg_g19_mdn
</t>
  </si>
  <si>
    <t>i0108_3p011g_g27_e001</t>
  </si>
  <si>
    <t xml:space="preserve">Resgatar e ajustar ilustração de menino indo para escola caminhando. Inserir na cena uma mulher para representar a mãe do menino. Ilustrar a mulher ao lado ou atrás do menino, para evidenciar que ela o acompanhou até à chegada na escola. Semblante feliz, uma cena em que todos estão sorridentes. Obs: a antiga ilustração de código: i0222dd_3pmg_g19_mdn, exibia uma mulher loira que representava a mãe desse garoto na cena daquela imagem. Pode ilustrar essa mesma personagem aqui na nova cena. g23_mdn_lt_3npg_p019
Código antigo: i0220dd_3pmg_g19_mdn
</t>
  </si>
  <si>
    <t>Keithy Mostachi</t>
  </si>
  <si>
    <t>i0109_3p011g_g27_e001</t>
  </si>
  <si>
    <t xml:space="preserve">Resgatar ilustração de menino brincando de pião com seus irmãos g23_mdn_lt_3npg_p019
Código antigo: i0221dd_3pmg_g19_mdn
</t>
  </si>
  <si>
    <t>i0110_3p011g_g27_e001</t>
  </si>
  <si>
    <t xml:space="preserve">Resgatar ilustração de menino reunido com sua família em volta de uma fogueira g23_mdn_lt_3npg_p019 
Código antigo: i0222dd_3pmg_g19_mdn
</t>
  </si>
  <si>
    <t>i0111_3p011g_g27_e001</t>
  </si>
  <si>
    <t xml:space="preserve">Resgatar ilustração de casa tapiri veio do g23_mdn_lt_3npg_p027 
Código antigo: i0241kb_3pmg_g19_mdn
</t>
  </si>
  <si>
    <t>kb</t>
  </si>
  <si>
    <t>i0112_3p011g_g27_e001</t>
  </si>
  <si>
    <t xml:space="preserve">Resgatar ilustração de menina perto de alguns animais veio do g23_mdn_lt_3npg_p027
Código antigo: i0243kb_3pmg_g19_mdn
</t>
  </si>
  <si>
    <t>i0113_3p011g_g27_e001</t>
  </si>
  <si>
    <t xml:space="preserve">Resgatar ilustração da menina em uma arvore veio do g23_mdn_lt_3npg_p027
Código antigo: i0245kb_3pmg_g19_mdn
</t>
  </si>
  <si>
    <t>i0301_3p011g_g27_e001</t>
  </si>
  <si>
    <t xml:space="preserve">Resgatar ilustração de montanha veio de: g23_mdn_lt_3npg_p051 
Código antigo: i0461gr_3pmg_g19_mdn
</t>
  </si>
  <si>
    <t>gr</t>
  </si>
  <si>
    <t>i0302_3p011g_g27_e001</t>
  </si>
  <si>
    <t xml:space="preserve">Resgatar ilustração de parte de um bairro visto de cima  veio de: g23_mdn_lt_3npg_p056
Código antigo: i0412dd_3pmg_g19_mdn
</t>
  </si>
  <si>
    <t>i0303_3p011g_g27_e001</t>
  </si>
  <si>
    <t xml:space="preserve">Resgatar Ilustração de parte de um bairro, mas visto de cima para baixo veio de: g23_mdn_lt_3npg_p057.
Código antigo: i0413dd_3pmg_g19_mdn_ef
</t>
  </si>
  <si>
    <t>i0304_3p011g_g27_e001</t>
  </si>
  <si>
    <t xml:space="preserve">Resgatar Ilustração da escola vista de cima do bairro anterior veio de: g23_mdn_lt_3npg_p057
Código antigo: i0458dd_3pmg_g19_mdn
</t>
  </si>
  <si>
    <t>i0305_3p011g_g27_e001</t>
  </si>
  <si>
    <t xml:space="preserve">Resgatar Ilustração faixa pedestre. veio de: g23_mdn_lt_3npg_p057 
Código antigo: i0457dd_3pmg_g19_mdn
</t>
  </si>
  <si>
    <t>i0306_3p011g_g27_e001</t>
  </si>
  <si>
    <t xml:space="preserve">Resgatar Ilustração de uma cidade veio de: g23_mdn_lt_3npg_p064
Código antigo: i0456dd_3pmg_g19_mdn
</t>
  </si>
  <si>
    <t>i0501_3p011g_g27_e001</t>
  </si>
  <si>
    <t xml:space="preserve">Resgatar Ilustração que representa várias situações com a criança. veio de: g23_mdn_lt_3npg_p085 
Código antigo: i0628gr_3pmg_g19_mdn
</t>
  </si>
  <si>
    <t>i0502_3p011g_g27_e001</t>
  </si>
  <si>
    <t xml:space="preserve">Resgatar Ilustração de óleo. veio de: g23_mdn_lt_3npg_p103 
Código antigo: i0714Edd_3pmg_g19_mdn
</t>
  </si>
  <si>
    <t>i0503_3p011g_g27_e001</t>
  </si>
  <si>
    <t xml:space="preserve">Resgatar Ilustração de ovos. veio de: g23_mdn_lt_3npg_p103 
Código antigo i0714Add_3pmg_g19_mdn
</t>
  </si>
  <si>
    <t>i0504_3p011g_g27_e001</t>
  </si>
  <si>
    <t xml:space="preserve">Resgatar ilustração de leite. veio de: g23_mdn_lt_3npg_p103
Código antigo i0714Ddd_3pmg_g19_mdn
</t>
  </si>
  <si>
    <t>i0505_3p011g_g27_e001</t>
  </si>
  <si>
    <t xml:space="preserve">Resgatar Ilustração de sal. veio de: g23_mdn_lt_3npg_p103
Código antigo: i0714Fdd_3pmg_g19_mdn
</t>
  </si>
  <si>
    <t>i0506_3p011g_g27_e001</t>
  </si>
  <si>
    <t xml:space="preserve">Resgatar Ilustração de polvilho. veio de: g23_mdn_lt_3npg_p103
Código antigo i0714Cdd_3pmg_g19_mdn
</t>
  </si>
  <si>
    <t>i0507_3p011g_g27_e001</t>
  </si>
  <si>
    <t xml:space="preserve">Resgatar Ilustração de manteiga. veio de: g23_mdn_lt_3npg_p103
Código antigo: i0714Gdd_3pmg_g19_mdn
</t>
  </si>
  <si>
    <t>i0508_3p011g_g27_e001</t>
  </si>
  <si>
    <t xml:space="preserve">Resgatar ilustrações de queijo. veio de: g23_mdn_lt_3npg_p103
Código antigo i0714Bdd_3pmg_g19_mdn
</t>
  </si>
  <si>
    <t>i0701_3p011g_g27_e001</t>
  </si>
  <si>
    <t xml:space="preserve">Resgatar Ilustração espelho de vila indígena. g23_mdn_lt_3npg_p. 128-129 codigo antigo i0848gr_3pmg_g19_mdn
AJUSTE: Separar em duas imagens e fechar no grid. 
</t>
  </si>
  <si>
    <t>Excluída pela equipe.</t>
  </si>
  <si>
    <t>Vinícius Costa</t>
  </si>
  <si>
    <t>i0702_3p011g_g27_e001</t>
  </si>
  <si>
    <t>ajustar ilustração de lixeira amarela. veio do g23_mdn_lt_3npg_p141 Código antigo: i0838ll_3pmg_g19_mdn
Ajustar a escrita da lixeira para melhorar a leitura. Sugestão ajustar para branco.</t>
  </si>
  <si>
    <t>ll</t>
  </si>
  <si>
    <t>Ingridhi Borges</t>
  </si>
  <si>
    <t>RESGATE COM AJUSTE</t>
  </si>
  <si>
    <t>i0703_3p011g_g27_e001</t>
  </si>
  <si>
    <t>ajustar ilustração de lixeira vermelha. veio do g23_mdn_lt_3npg_p141 Código antigo: i0839ll_3pmg_g19_mdn
Ajustar a escrita da lixeira para melhorar a leitura.
Sugestão ajustar para branco.</t>
  </si>
  <si>
    <t>i0704_3p011g_g27_e001</t>
  </si>
  <si>
    <t>ajustar ilustração de lixeira orgânica veio do g23_mdn_lt_3npg_p141 Código antigo i0841ll_3pmg_g19_mdn
Ajustar a escrita da lixeira para melhorar a leitura.
Sugestão ajustar para branco.</t>
  </si>
  <si>
    <t>i0705_3p011g_g27_e001</t>
  </si>
  <si>
    <t>ajustar ilustração de lixeira verde. veio do g23_mdn_lt_3npg_p141 Código antigo i0842ll_3pmg_g19_mdn
Ajustar a escrita da lixeira para melhorar a leitura.
Sugestão ajustar para branco.</t>
  </si>
  <si>
    <t>i0706_3p011g_g27_e001</t>
  </si>
  <si>
    <t>ajustar ilustração lixeira azul veio do g23_mdn_lt_3npg_p141 Código antigo: i0840ll_3pmg_g19_mdn
Ajustar a escrita da lixeira para melhorar a leitura.
Sugestão ajustar para branco.</t>
  </si>
  <si>
    <t>i0707_3p011g_g27_e001</t>
  </si>
  <si>
    <t xml:space="preserve">Resgatar ilustração de pessoa escrevendo PAPEL em uma cartolina. veio do g23_mdn_lt_3npg_p142
Código antigo: i0843lb_3pmg_g19_mdn
</t>
  </si>
  <si>
    <t>lb</t>
  </si>
  <si>
    <t>i0708_3p011g_g27_e001</t>
  </si>
  <si>
    <t xml:space="preserve">Resgatar ilustração de pessoa colando a cartolina em um balde. veio do g23_mdn_lt_3npg_p142
Código antigo: i0844lb_3pmg_g19_mdn
</t>
  </si>
  <si>
    <t>i0709_3p011g_g27_e001</t>
  </si>
  <si>
    <t xml:space="preserve">Resgatar Ilustrações de baldes com as cartolinas coladas, representando as lixeiras recicláveis. veio do g23_mdn_lt_3npg_p143
Código antigo: i0845lb_3pmg_g19_mdn
</t>
  </si>
  <si>
    <t>i0710_3p011g_g27_e001</t>
  </si>
  <si>
    <t xml:space="preserve">Resgatar ilustração de pessoa escrevendo em um papel. veio do g23_mdn_lt_3npg_p143
Código antigo: i0846lb_3pmg_g19_mdn
</t>
  </si>
  <si>
    <t>i0711_3p011g_g27_e001</t>
  </si>
  <si>
    <t xml:space="preserve">Resgatar ilustração lixeira vermelha veio do g23_mdn_lt_3npg_p147
Código antigo i1406rm_3npg_g23_mdn
</t>
  </si>
  <si>
    <t>rm</t>
  </si>
  <si>
    <t>i0712_3p011g_g27_e001</t>
  </si>
  <si>
    <t xml:space="preserve">Resgatar ilustração lixeira azul veio do g23_mdn_lt_3npg_p147
Código antigo i1405rm_3npg_g23_mdn
</t>
  </si>
  <si>
    <t>i0713_3p011g_g27_e001</t>
  </si>
  <si>
    <t xml:space="preserve">Resgatar ilustração lixeira amarela veio do g23_mdn_lt_3npg_p147
Código antigo i1404rm_3npg_g23_mdn
</t>
  </si>
  <si>
    <t>i0714_3p011g_g27_e001</t>
  </si>
  <si>
    <t xml:space="preserve">Resgatar ilustração lixeira verde veio do g23_mdn_lt_3npg_p147
Código antigo i1403rm_3npg_g23_mdn
</t>
  </si>
  <si>
    <t>i0143_4p011g_g27_e001</t>
  </si>
  <si>
    <t xml:space="preserve">Resgatar e ajustar ilustração de crianças uniformizadas no parquinho da escola da página 16 do g23_mdn_lt_4npg. 
Código antigo i1056ll_4npg_g23_mdn_aj
Fazer os seguintes ajustes: 
Ilustrar as rodas da frente na cadeira de rodas do menino (estão faltando as rodas menores). Ajustar a expressão facial de todos os personagens da imagem (deixá-los mais felizes). </t>
  </si>
  <si>
    <t>i0144_4p011g_g27_e001</t>
  </si>
  <si>
    <t>Resgatar e ajustar ilustração de crianças uniformizadas no parquinho da escola com os pontos cardeais da página 17 do g23_mdn_lt_4npg. Código antigo i1057ll_4npg_g23_mdn_aj
Fazer os seguintes ajustes: 
Ilustrar as rodas da frente na cadeira de rodas do menino (estão faltando as rodas menores). Ajustar a expressão facial de todos os personagens da imagem (deixá-los mais felizes)</t>
  </si>
  <si>
    <t>i0145_4p011g_g27_e001</t>
  </si>
  <si>
    <t>Resgatar ilustração da rosa dos ventos da página 18 do g23_mdn_lt_4npg. Código antigo i0215re_4pmg_g19_mdn</t>
  </si>
  <si>
    <t>i0146_4p011g_g27_e001</t>
  </si>
  <si>
    <t>Resgatar ilustração da rosa dos ventos da página 19 do g23_mdn_lt_4npg. Código antigo i0211rm_4npg_g23_mdn</t>
  </si>
  <si>
    <t>re</t>
  </si>
  <si>
    <t>i0147_4p011g_g27_e001</t>
  </si>
  <si>
    <t>Resgatar ilustração de bússola da página 19 do g23_mdn_lt_4npg. Código antigo i0212rm_4npg_g23_mdn</t>
  </si>
  <si>
    <t>i0148_4p011g_g27_e001</t>
  </si>
  <si>
    <t>Resgatar ilustração de cena em que aparece o Sol pela manhã na direção Leste da página 20 do g23_mdn_lt_4npg. Código antigo i0227lb_4pmg_g19_mdn</t>
  </si>
  <si>
    <t>i0149_4p011g_g27_e001</t>
  </si>
  <si>
    <t>Resgatar ilustração de uma fazenda. Veio de: g23_mdn_lt_4npg_p031 Código antigo i0241lb_4pmg_g19_mdn_ef</t>
  </si>
  <si>
    <t>i0389_4p011g_g27_e001</t>
  </si>
  <si>
    <t>Resgatar ilustração de um milho. Veio de: g23_mdn_lt_4npg_p056 código antigo: i0402Arm_4pmg_g19_mdn</t>
  </si>
  <si>
    <t>i0390_4p011g_g27_e001</t>
  </si>
  <si>
    <t>Resgatar ilustração de trigo. Veio de: g23_mdn_lt_4npg_p056 código antigo: i0402Brm_4pmg_g19_mdn</t>
  </si>
  <si>
    <t>i0391_4p011g_g27_e001</t>
  </si>
  <si>
    <t>Resgatar ilustração de troncos de madeira. Veio de: g23_mdn_lt_4npg_p056 código antigo: i0402Crm_4pmg_g19_mdn</t>
  </si>
  <si>
    <t>i0392_4p011g_g27_e001</t>
  </si>
  <si>
    <t>Resgatar ilustração de rama  de café. Veio de: g23_mdn_lt_4npg_p056 código antigo: i0402Frm_4pmg_g19_mdn</t>
  </si>
  <si>
    <t>i0393_4p011g_g27_e001</t>
  </si>
  <si>
    <t>Resgatar ilustração de ramo de algodão. Veio de: g23_mdn_lt_4npg_p056 código antigo: i0402Drm_4pmg_g19_mdn</t>
  </si>
  <si>
    <t>i0394_4p011g_g27_e001</t>
  </si>
  <si>
    <t>Resgatar ilustração de couro. Veio de: g23_mdn_lt_4npg_p056 código antigo: i0402Grm_4pmg_g19_mdn</t>
  </si>
  <si>
    <t>i0395_4p011g_g27_e001</t>
  </si>
  <si>
    <t>Resgatar ilustração de soja. Veio de: g23_mdn_lt_4npg_p056 código antigo: i0402Erm_4pmg_g19_mdn</t>
  </si>
  <si>
    <t>i0396_4p011g_g27_e001</t>
  </si>
  <si>
    <t>Resgatar ilustração de frutas. Veio de: g23_mdn_lt_4npg_p056 código antigo: i0403Arm_4pmg_g19_mdn</t>
  </si>
  <si>
    <t>i0397_4p011g_g27_e001</t>
  </si>
  <si>
    <t>Resgatar ilustração de vagem. Veio de: g23_mdn_lt_4npg_p056 código antigo: i0403Brm_4pmg_g19_mdn</t>
  </si>
  <si>
    <t>i0398_4p011g_g27_e001</t>
  </si>
  <si>
    <t>Resgatar ilustração de ovos. Veio de: g23_mdn_lt_4npg_p056 código antigo: i0403Crm_4pmg_g19_mdn</t>
  </si>
  <si>
    <t>i0399_4p011g_g27_e001</t>
  </si>
  <si>
    <t>Resgatar ilustração de pedaço de carne. Veio de: g23_mdn_lt_4npg_p056 código antigo: i0403Drm_4pmg_g19_mdn</t>
  </si>
  <si>
    <t>i0400_4p011g_g27_e001</t>
  </si>
  <si>
    <t>Resgatar ilustração de hortaliças. Veio de: g23_mdn_lt_4npg_p056 código antigo: i0403Erm_4pmg_g19_mdn</t>
  </si>
  <si>
    <t>i0401_4p011g_g27_e001</t>
  </si>
  <si>
    <t>Resgatar ilustração de chapéu. Veio de: g23_mdn_lt_4npg_p057 código antigo: i0404Arm_4pmg_g19_mdn</t>
  </si>
  <si>
    <t>i0402_4p011g_g27_e001</t>
  </si>
  <si>
    <t>Resgatar ilustração de garrafa de óleo. Veio de: g23_mdn_lt_4npg_p057 código antigo: i0404Erm_4pmg_g19_mdn</t>
  </si>
  <si>
    <t>i0403_4p011g_g27_e001</t>
  </si>
  <si>
    <t>Resgatar ilustração de bota. Veio de: g23_mdn_lt_4npg_p057 código antigo: i0404Brm_4pmg_g19_mdn</t>
  </si>
  <si>
    <t>i0404_4p011g_g27_e001</t>
  </si>
  <si>
    <t>Resgatar ilustração de camisa e bermuda.  Veio de: g23_mdn_lt_4npg_p057 código antigo: i0404Frm_4pmg_g19_mdn</t>
  </si>
  <si>
    <t>i0405_4p011g_g27_e001</t>
  </si>
  <si>
    <t>Resgatar ilustração de trator. Veio de: g23_mdn_lt_4npg_p057 código antigo: i0404Crm_4pmg_g19_mdn</t>
  </si>
  <si>
    <t>i0406_4p011g_g27_e001</t>
  </si>
  <si>
    <t>Resgatar ilustração de caixa de remédio. Veio de: g23_mdn_lt_4npg_p057 código antigo: i0404Grm_4pmg_g19_mdn</t>
  </si>
  <si>
    <t>i0407_4p011g_g27_e001</t>
  </si>
  <si>
    <t>Resgatar ilustração de enxada. Veio de: g23_mdn_lt_4npg_p057 código antigo: i0404Drm_4pmg_g19_mdn</t>
  </si>
  <si>
    <t>i0408_4p011g_g27_e001</t>
  </si>
  <si>
    <t>Resgatar ilustração de bolo de notas de dinheiro. Veio de: g23_mdn_lt_4npg_p057 código antigo: i0405Arm_4pmg_g19_mdn_ef</t>
  </si>
  <si>
    <t>i0409_4p011g_g27_e001</t>
  </si>
  <si>
    <t>Resgatar ilustração de telefone fixo. Veio de: g23_mdn_lt_4npg_p057 código antigo: i0405Brm_4pmg_g19_mdn_ef</t>
  </si>
  <si>
    <t>i0410_4p011g_g27_e001</t>
  </si>
  <si>
    <t>Resgatar ilustração de estetoscópio. Veio de: g23_mdn_lt_4npg_p057 código antigo: i0405Crm_4pmg_g19_mdn</t>
  </si>
  <si>
    <t>i0411_4p011g_g27_e001</t>
  </si>
  <si>
    <t>Resgatar ilustração de envelope. Veio de: g23_mdn_lt_4npg_p057 código antigo: i0405Drm_4pmg_g19_mdn</t>
  </si>
  <si>
    <t>i0412_4p011g_g27_e001</t>
  </si>
  <si>
    <t>Resgatar ilustração de uma vaca e uma seringa. Veio de: g23_mdn_lt_4npg_p057 código antigo: i0405Erm_4pmg_g19_mdn</t>
  </si>
  <si>
    <t>i0413_4p011g_g27_e001</t>
  </si>
  <si>
    <t>Resgatar ilustração de cena de um menino pensando e ao seu lado um videogame e um outro videogame mais moderno na propaganda da TV em promoção da página 64 do g23_mdn_lt_4npg. Código antigo i0420gr_4pmg_g19_mdn</t>
  </si>
  <si>
    <t>i0414_4p011g_g27_e001</t>
  </si>
  <si>
    <t>Resgatar ilustração de menino com balão de pensamento com duas bermudas dentro e uma bermuda na mão do menino da página 66 do g23_mdn_lt_4npg. Código antigo i0419Add_4pmg_g19_mdn</t>
  </si>
  <si>
    <t>i0415_4p011g_g27_e001</t>
  </si>
  <si>
    <t>Resgatar ilustração de pai e filho como se fossem comparar preços nas lojas 1 e 2 da página 66 do g23_mdn_lt_4npg. Código antigo i0419Bdd_4pmg_g19_mdn</t>
  </si>
  <si>
    <t>i0416_4p011g_g27_e001</t>
  </si>
  <si>
    <t>Resgatar e ajustar ilustração de iogurte de dois tamanhos, sendo o menor R$ 2,00 e o maior R$ 3,00 da página 66 do g23_mdn_lt_4npg. Código antigo i0419Cdd_4pmg_g19_mdn
AJUSTAR ILUSTRAÇÃO: TRANSFORMAR A EMBALAGEM EM UM IOGURTE NATURAL. É IMPORTANTE MOSTRAR QUE SE TRATA DE UM IOGURTE NATURAL</t>
  </si>
  <si>
    <t>i0417_4p011g_g27_e001</t>
  </si>
  <si>
    <t>NOVA</t>
  </si>
  <si>
    <t>ILUSTRAR UMA CAIXINHA DE LEITE INTEGRAL COM O ZOOM NA DATA DE VALIDADE.</t>
  </si>
  <si>
    <t>vc</t>
  </si>
  <si>
    <t>i0418_4p011g_g27_e001</t>
  </si>
  <si>
    <t>Resgatar ilustração de menino olhando o rótulo de um produto da página 67 do g23_mdn_lt_4npg. Código antigo i0419Edd_4pmg_g19_mdn
AJUSTAR ILUSTRAÇÃO: ILUSTRAR O MENINO OBSERVANDO A PARTE DE TRÁS DE UMA EMBALAGEM DE PÃO INTEGRAL, COMO SE ESTIVESSE LENDO OS INGREDIENTES. É IMPORTANTE APARECER NA EMBALAGEM QUE É PÃO INTEGRAL</t>
  </si>
  <si>
    <t>i0419_4p011g_g27_e001</t>
  </si>
  <si>
    <t>Resgatar ilustração de menina confeccionando um jornal da página 72 do g23_mdn_lt_4npg. Código antigo i0691id_4npg_g23_mdn</t>
  </si>
  <si>
    <t>id</t>
  </si>
  <si>
    <t>i0420_4p011g_g27_e001</t>
  </si>
  <si>
    <t>Resgatar ilustração fazendo relação entre o campo e a cidade da página 74 do g23_mdn_lt_4npg. Código antigo i0695id_4npg_g23_mdn</t>
  </si>
  <si>
    <t>i0539_4p011g_g27_e001</t>
  </si>
  <si>
    <t>resgatar ilustração de prefeito falando para plateia. veio de: g23_mdn_lt_4npg_p086 código antigo: i0631dd_4pmg_g19_mdn_ly_a</t>
  </si>
  <si>
    <t>i0540_4p011g_g27_e001</t>
  </si>
  <si>
    <t>resgatar ilustração de políticos reunidos. veio de: g23_mdn_lt_4npg_p086 código antigo: i0631dd_4pmg_g19_mdn_ly_b</t>
  </si>
  <si>
    <t>i0541_4p011g_g27_e001</t>
  </si>
  <si>
    <t>resgatar ilustração de paciente recebendo cuidados médicos. veio de: g23_mdn_lt_4npg_p086 código antigo: i0631dd_4pmg_g19_mdn_ly_c</t>
  </si>
  <si>
    <t>i0542_4p011g_g27_e001</t>
  </si>
  <si>
    <t>resgatar ilustração de nota fiscal de supermercado. veio de g23_mdn_lt_4npg_p094 código antigo: i1055zz_4npg_g23_mdn_aj
AJUSTAR A DATA DA NOTA FISCAL: DEIXAR COM A DATA DE 31/01/2027</t>
  </si>
  <si>
    <t>gm</t>
  </si>
  <si>
    <t>i0543_4p011g_g27_e001</t>
  </si>
  <si>
    <t>resgatar ilustração de homem cochilando na rede. veio de g23_mdn_lt_4npg_p099 código antigo: i1017vf_4npg_g23_mdn
AJUSTE: ajustar cor e contraste</t>
  </si>
  <si>
    <t>vf</t>
  </si>
  <si>
    <t>i0544_4p011g_g27_e001</t>
  </si>
  <si>
    <t>resgatar ilustração de mulher fazendo bolo. veio de g23_mdn_lt_4npg_p099 código antigo: i1020vf_4npg_g23_mdn
AJUSTE: ajustar cor e contraste</t>
  </si>
  <si>
    <t>i0545_4p011g_g27_e001</t>
  </si>
  <si>
    <t>resgatar ilustração de livro com a letra A. veio de g23_mdn_lt_4npg_p099 código antigo: i1018vf_4npg_g23_mdn
AJUSTE: ajustar cor e contraste</t>
  </si>
  <si>
    <t>i0546_4p011g_g27_e001</t>
  </si>
  <si>
    <t>resgatar ilustração de saco de farinha de mandioca. veio de g23_mdn_lt_4npg_p099 código antigo: i1021vf_4npg_g23_mdn
AJUSTE: ajustar cor e contraste</t>
  </si>
  <si>
    <t>i0547_4p011g_g27_e001</t>
  </si>
  <si>
    <t>resgatar ilustração de mulher fazendo cesta artesanal. veio de g23_mdn_lt_4npg_p099 código antigo: i1019vf_4npg_g23_mdn
AJUSTE: ajustar cor e contraste</t>
  </si>
  <si>
    <t>i0548_4p011g_g27_e001</t>
  </si>
  <si>
    <t>resgatar ilustração de tigela com canjica. veio de g23_mdn_lt_4npg_p099 código antigo: i1022vf_4npg_g23_mdn
AJUSTE: ajustar cor e contraste</t>
  </si>
  <si>
    <t>i0549_4p011g_g27_e001</t>
  </si>
  <si>
    <t>Resgatar ilustração de cena de uma menina olhando pela janela ilustrando o texto acima da página 105 do g23_mdn_lt_4npg. Código antigo i1054dd_4npg_g23_mdn_aj
Não sangrar imagem, fechar no grid</t>
  </si>
  <si>
    <t>i0550_4p011g_g27_e001</t>
  </si>
  <si>
    <t>Resgatar ilustração de fogueira da página 109 do g23_mdn_lt_4npg. Código antigo i1025rm_4npg_g23_mdn</t>
  </si>
  <si>
    <t>i0551_4p011g_g27_e001</t>
  </si>
  <si>
    <t>Resgatar ilustração de pedaço de pizza da página 109 do g23_mdn_lt_4npg. Código antigo i1026rm_4npg_g23_mdn</t>
  </si>
  <si>
    <t>i0552_4p011g_g27_e001</t>
  </si>
  <si>
    <t>Resgatar ilustração de rede de descanso da página 109 do g23_mdn_lt_4npg. Código antigo i1027rm_4npg_g23_mdn</t>
  </si>
  <si>
    <t>i0553_4p011g_g27_e001</t>
  </si>
  <si>
    <t>Resgatar ilustração recipiente com feijoada da página 109 do g23_mdn_lt_4npg. Código antigo i1028rm_4npg_g23_mdn</t>
  </si>
  <si>
    <t>i0757_4p011g_g27_e001</t>
  </si>
  <si>
    <t>Resgatar e ajustar ilustração de relevo da página 126 do g23_mdn_lt_4npg. Código antigo i0814ha_4pmg_g19_mdn
Enviar para a Arte ajustar: pedir para fechar a ilustração no grid, com cantos inferiores arredondados.
Ajustar conforme sugestão da Arte. Ver a seguir 
Diminuir mais a ilustração de forma que apareça mais dela. Desta forma ficaríamos com muito buraco acima, colocar um fundo cor que simule o céu. Ajustar a ilustração para tirar o branco que sobrava no rodapé (passar pra arte)</t>
  </si>
  <si>
    <t>ha</t>
  </si>
  <si>
    <t>i0758_4p011g_g27_e001</t>
  </si>
  <si>
    <t xml:space="preserve">Resgatar e ajustar ilustração que representa as partes de um rio e suas características das páginas 134 e 135 do g23_mdn_lt_4npg. Código antigo i0817ha_4pmg_g19_mdn
Enviar para a Arte ajustar: Diminuir a ilustração, aplicar em uma única página, fazer recortes das partes do rio e utilizar remissivos. Se possível, completar a ilus na parte de cima com fundo azul formando o céu. Não sangrar, fechar no grid com cantos arredondados. </t>
  </si>
  <si>
    <t>i0759_4p011g_g27_e001</t>
  </si>
  <si>
    <t>Resgatar e ajustar ilustração de que representa a distribuição de energia elétrica das páginas 140 e 141 do g23_mdn_lt_4npg. Código antigo 
i0831vf_4pmg_g19_mdn
Enviar para arte ajustar, separar a ilustração com vários recortes dos principais pontos da imagem (os que estão com cotas), fechar no grid com cantos arredondados, retirar os fios e usar os remissivos.</t>
  </si>
  <si>
    <t>i0171_5p011g_g27_e001</t>
  </si>
  <si>
    <t>Resgatar ilustração de pessoa lavando as mãos. Vem da página 15 do g23_mdn_lt_5npg. Código antigo i0210rm_5npg_g23_mdn</t>
  </si>
  <si>
    <t>i0172_5p011g_g27_e001</t>
  </si>
  <si>
    <t>Resgatar ilustração de pessoa higienizando as mãos com álcool gel. Vem da página 15 do g23_mdn_lt_5npg. Código antigo i0211rm_5npg_g23_mdn</t>
  </si>
  <si>
    <t>i0173_5p011g_g27_e001</t>
  </si>
  <si>
    <t>Resgatar ilustração de janela fechada, com tarja vermelha. 
Vem da página 
15 do g23_mdn_lt_5npg. Código antigo i0212rm_5npg_g23_mdn</t>
  </si>
  <si>
    <t>i0174_5p011g_g27_e001</t>
  </si>
  <si>
    <t>Resgatar ilustração de rosto com mão nos olhos e nariz, com tarja vermelha. Vem da página 15 do g23_mdn_lt_5npg. Código antigo i0213rm_5npg_g23_mdn</t>
  </si>
  <si>
    <t>i0153_5p011g_g27_e001</t>
  </si>
  <si>
    <t>Resgatar ilustração de lousa com a escrita "Precisa melhorar!" e um menino próximo a ela. Vem da página 17 do g23_mdn_lt_5npg. Código antigo i0215id_5npg_g23_mdn</t>
  </si>
  <si>
    <t>i0154_5p011g_g27_e001</t>
  </si>
  <si>
    <t>Resgatar ilustração de moedas representando a desigualdade de salários entre homens e mulheres. Vem da página 19 do g23_mdn_lt_5npg. Código antigo i0219ct_5npg_g23_mdn</t>
  </si>
  <si>
    <t>i0155_5p011g_g27_e001</t>
  </si>
  <si>
    <t>Resgatar ilustração de cena de estudantes conversando. Vem da página 23 do g23_mdn_lt_5npg. Código antigo i0285dd_npg_g23_mdn_aj</t>
  </si>
  <si>
    <t>i0156_5p011g_g27_e001</t>
  </si>
  <si>
    <t>Resgatar ilustração de pessoa na rede. Vem da página 25 do g23_mdn_lt_5npg. Código antigo i0227Arm_5npg_g23_mdn</t>
  </si>
  <si>
    <t>i0157_5p011g_g27_e001</t>
  </si>
  <si>
    <t>Resgatar ilustração de mandioca e milho, Vem da página 25 do g23_mdn_lt_5npg. Código antigo i0227Brm_5npg_g23_mdn</t>
  </si>
  <si>
    <t>i0158_5p011g_g27_e001</t>
  </si>
  <si>
    <t>Resgatar ilustração de pessoa com balão de fala. Vem da página 25 do g23_mdn_lt_5npg. Código antigo i0227Crm_5npg_g23_mdn</t>
  </si>
  <si>
    <t>i0159_5p011g_g27_e001</t>
  </si>
  <si>
    <t>Resgatar ilustração de fogueira. Vem da página 25 do g23_mdn_lt_5npg. Código antigo i0227Drm_5npg_g23_mdn</t>
  </si>
  <si>
    <t>i0160_5p011g_g27_e001</t>
  </si>
  <si>
    <t>Resgatar ilustração de sombrinha e pandeiro. Vem da página 25 do g23_mdn_lt_5npg. Código antigo i0227Erm_5npg_g23_mdn</t>
  </si>
  <si>
    <t>i0161_5p011g_g27_e001</t>
  </si>
  <si>
    <t>Resgatar ilustração de recipiente com feijoada. Vem da página 25 do g23_mdn_lt_5npg. Código antigo i0227Frm_5npg_g23_mdn</t>
  </si>
  <si>
    <t>i0162_5p011g_g27_e001</t>
  </si>
  <si>
    <t>Resgatar ilustração de pedaço de pizza. Vem da página 25 do g23_mdn_lt_5npg. Código antigo i0227Grm_5npg_g23_mdn</t>
  </si>
  <si>
    <t>i0163_5p011g_g27_e001</t>
  </si>
  <si>
    <t>Resgatar ilustração de xícara com chá. Vem da página 25 do g23_mdn_lt_5npg. Código antigo i0227Hrm_5npg_g23_mdn</t>
  </si>
  <si>
    <t>i0164_5p011g_g27_e001</t>
  </si>
  <si>
    <t>Resgatar ilustração de sushis. Vem da página 25 do g23_mdn_lt_5npg. Código antigo i0227Irm_5npg_g23_mdn</t>
  </si>
  <si>
    <t>i0165_5p011g_g27_e001</t>
  </si>
  <si>
    <t>Resgatar ilustração do mapa do Brasil formado por rostos retratando a diversidade da população brasileira. Vem da página 26 do g23_mdn_lt_5npg. Código antigo i0228ds_5npg_g23_mdn</t>
  </si>
  <si>
    <t>ds</t>
  </si>
  <si>
    <t>i0166_5p011g_g27_e001</t>
  </si>
  <si>
    <t>Resgatar ilustração de gráfico de setores com personagens que representa a população brasileira por sexo. Vem da página 30 do g23_mdn_lt_5npg. Código antigo i0453vf_5pmg_g19_mdn
Ajustar os dados do gráfico e a proporção:
Mulheres: 51,5%
Homens: 48,5%</t>
  </si>
  <si>
    <t>Rafaela Panissa</t>
  </si>
  <si>
    <t>g0167_5p011g_g27_e001</t>
  </si>
  <si>
    <t>Resgatar ilustração de gráfico de setores que representa a composição da população brasileira por faixa etária. Vem da página 30 do g23_mdn_lt_5npg. Código antigo g0242re_5npg_g23_mdn_aj
Dados seguem iguais da versão anterior</t>
  </si>
  <si>
    <t>Nicolas Furtado</t>
  </si>
  <si>
    <t>resgate ajuste</t>
  </si>
  <si>
    <t>i0168_5p011g_g27_e001</t>
  </si>
  <si>
    <t>Resgatar ilustração da cabeça de um rei. Veio de: g23_mdn_lt_5npg_p036. Código antigo i0253rm_5npg_g23_mdn</t>
  </si>
  <si>
    <t>i0169_5p011g_g27_e001</t>
  </si>
  <si>
    <t>Resgatar ilustração de uma peteca. Veio de: g23_mdn_lt_5npg_p036. Código antigo i0254rm_5npg_g23_mdn</t>
  </si>
  <si>
    <t>i0170_5p011g_g27_e001</t>
  </si>
  <si>
    <t>Resgatar ilustração de um pato. Veio de: g23_mdn_lt_5npg_p036. Código antigo i0255rm_5npg_g23_mdn</t>
  </si>
  <si>
    <t>i0175_5p011g_g27_e001</t>
  </si>
  <si>
    <t>O que você estudou?</t>
  </si>
  <si>
    <t>Resgatar ilustração da representação de mãe com 6 filhos. Vem do g23_mdn_lt_5npg_p048 Código antigo: i0276Arm_5npg_g23_mdn</t>
  </si>
  <si>
    <t>i0176_5p011g_g27_e001</t>
  </si>
  <si>
    <t>Resgatar ilustração da representação de uma mãe com 4 filhos. Vem do g23_mdn_lt_5npg_p048 Código antigo: i0276Crm_5npg_g23_mdn</t>
  </si>
  <si>
    <t>i0177_5p011g_g27_e001</t>
  </si>
  <si>
    <t>Resgatar ilustração da representação de mãe com 2 filhos. Vem do g23_mdn_lt_5npg_p048 Código antigo: i0276Brm_5npg_g23_mdn</t>
  </si>
  <si>
    <t>i0178_5p011g_g27_e001</t>
  </si>
  <si>
    <t>Resgatar ilustração de representação de mãe com 1 filho. Vem do g23_mdn_lt_5npg_p048 Código antigo: i0276Drm_5npg_g23_mdn</t>
  </si>
  <si>
    <t>i0353_5p011g_g27_e001</t>
  </si>
  <si>
    <t>Resgatar ilustração de cena de uma criança com bloco de anotações na mão como se estivesse entrevistando dois adultos. Vem da página 59 do g23_mdn_lt_5npg. Código antigo i0609id_5npg_g23_mdn</t>
  </si>
  <si>
    <t>i0354_5p011g_g27_e001</t>
  </si>
  <si>
    <t>O mundo que queremos</t>
  </si>
  <si>
    <t>Resgatar ilustração de um homem tirando saco de lixo da cesta. Vem de: g23_mdn_lt_5npg_p082 Código antigo: i0652ds_5npg_g23_mdn</t>
  </si>
  <si>
    <t>i0356_5p011g_g27_e001</t>
  </si>
  <si>
    <t>Resgatar ilustração de um megafone. Vem de: g23_mdn_lt_5npg_p082 Código antigo: i0658Bds_5npg_g23_mdn</t>
  </si>
  <si>
    <t>i0355_5p011g_g27_e001</t>
  </si>
  <si>
    <t>Resgatar ilustração de um aperto de mãos. Vem de: g23_mdn_lt_5npg_p082 Código antigo: i0658Ads_5npg_g23_mdn</t>
  </si>
  <si>
    <t>i0357_5p011g_g27_e001</t>
  </si>
  <si>
    <t>Resgatar ilustração da representação de 3 pessoas. Vem de: g23_mdn_lt_5npg_p082 Código antigo: i0658Cds_5npg_g23_mdn</t>
  </si>
  <si>
    <t>i0358_5p011g_g27_e001</t>
  </si>
  <si>
    <t>Resgatar ilustração de uma reunião para melhorias do bairro. Vem de: g23_mdn_lt_5npg_p083 Código antigo: i0653ds_5npg_g23_mdn. AJUSTAR FRASE ESCRITA NA LOUSA E DEIXÁ-LA COM LETRA CURSIVA</t>
  </si>
  <si>
    <t>Felipe Grigoli</t>
  </si>
  <si>
    <t>RESGATE AJUSTE</t>
  </si>
  <si>
    <t>i0556_5p011g_g27_e001</t>
  </si>
  <si>
    <t>Resgatar ilustração que retrata o cordel. Vem da página 101 do g23_mdn_lt_5npg. Código antigo i0684gi_5pmg_g19_mdn
AJUSTE: Enviar para arte adequar formato, cores e contraste.</t>
  </si>
  <si>
    <t>gi</t>
  </si>
  <si>
    <t>i0557_5p011g_g27_e001</t>
  </si>
  <si>
    <t>Resgatar ilustração de duas crianças lendo. Vem de: g23_mdn_lt_5npg_p124. Código antigo: i0682gr_5pmg_g19_mdn_copy.</t>
  </si>
  <si>
    <t>i0766_5p011g_g27_e001</t>
  </si>
  <si>
    <t>Resgatar ilustração de esquema que representa a distribuição de dinheiro no Brasil. Vem de: g23_mdn_lt_5npg_p131 
Código antigo: i1473rm_5npg_g23_mdn_aj.
AJUSTE: Na primeira coluna de dinheiro incluir mais uma fileira de 10 homenzinhos, para ficar com 80 no total. Ajustar também a proporção da altura das colunas: a primeira corresponde à 2 salários e a segunda à 15 salários</t>
  </si>
  <si>
    <t>verificar qual unidade está ou se foi excluida</t>
  </si>
  <si>
    <t>i0767_5p011g_g27_e001</t>
  </si>
  <si>
    <t>Resgatar ilustração de porcentagem de emprego ente homens e mulheres. Vem de: g23_mdn_lt_5npg_p134 Código antigo: g1474ba_5npg_g23_mdn_aj
AJUSTAR a escrita e a proporção : 
Homens 55% e Mulheres 45%</t>
  </si>
  <si>
    <t>ba</t>
  </si>
  <si>
    <t>i0768_5p011g_g27_e001</t>
  </si>
  <si>
    <t>Resgatar ilustração que representa diferença salarial entre homens e mulheres. Vem de: g23_mdn_lt_5npg_p134 Código antigo: g1475ba_5npg_g23_mdn_aj
AJUSTAR a escrita e a proporção:
Moedas verdes: 3 791,58
Moedas laranjas: 3 241,18</t>
  </si>
  <si>
    <t>i0769_5p011g_g27_e001</t>
  </si>
  <si>
    <t>Resgatar ilustração que representa a porcentagem entre homens e mulheres que ingressaram no ensino superior. Vem de: g23_mdn_lt_5npg_p134 Código antigo: g1476ba_5npg_g23_mdn_aj
AJUSTAR DADOS E TEXTOS. Deixar da seguinte maneira:
16,8% dos homens
21,3% das mulheres</t>
  </si>
  <si>
    <t>i0770_5p011g_g27_e001</t>
  </si>
  <si>
    <t>Resgatar ilus de de boneco de mulher subindo escada e boneco de homem no ponto mais alto da escada. Ajustar ilus conforme sugestão da arte
vem de: g23_mdn_lt_5npg_p134e135. Códigos antigos: teste-1 e teste-2</t>
  </si>
  <si>
    <t>g0771_5p011g_g27_e001</t>
  </si>
  <si>
    <t>Resgatar ilustração de gráfico de mulheres na câmara dos deputados. Vem de: g23_mdn_lt_5npg_p135 Código antigo: g1487km_5npg_g23_mdn
AJUSTAR: 
Inserir nova barra com 18% em 2023</t>
  </si>
  <si>
    <t>g0772_5p011g_g27_e001</t>
  </si>
  <si>
    <t>Resgatar gráfico de homens e mulheres na política. Vem de: g23_mdn_lt_5npg_p135 Código antigo: g1413km_5npg_g23_mdn
AJUSTAR os textos e a proporção do gráfico:
Mulheres 18%
Homens 82%</t>
  </si>
  <si>
    <t>i0773_5p011g_g27_e001</t>
  </si>
  <si>
    <t>Resgatar ilustração de menino verificando validade de produto. Veio de: g23_mdn_lt_5npg_p141 Código antigo i1421vf_5npg_g23_mdn_aj
AJUSTE: No zoom da validade ajustar para 10/2027</t>
  </si>
  <si>
    <t>i0774_5p011g_g27_e001</t>
  </si>
  <si>
    <t>Resgatar ilustração de menina colocando comida no prato. Veio de: g23_mdn_lt_5npg_p141 Código antigo i0848Bvf_5pmg_g19_mdn_ef</t>
  </si>
  <si>
    <t>i0775_5p011g_g27_e001</t>
  </si>
  <si>
    <t>AJUSTANDO</t>
  </si>
  <si>
    <t>Resgatar ilustração de menina olhando para um prato de comida. Veio de: g23_mdn_lt_5npg_p141 Código antigo i0848Dvf_5pmg_g19_mdn_ef</t>
  </si>
  <si>
    <t>Resgate ajuste</t>
  </si>
  <si>
    <t>i0776_5p011g_g27_e001</t>
  </si>
  <si>
    <t>Resgatar ilustração de um homem entregando uma cesta básica à uma família. Veio de: g23_mdn_lt_5npg_p141 Código antigo i0848Cvf_5pmg_g19_mdn_ef</t>
  </si>
  <si>
    <t>i0778_5p011g_g27_e001</t>
  </si>
  <si>
    <t>Resgatar ilustração de mulher mexendo no notebook. Veio de: g23_mdn_lt_5npg_p150. Código antigo: i1441Aid_5npg_g23_mdn_ly</t>
  </si>
  <si>
    <t>i0779_5p011g_g27_e001</t>
  </si>
  <si>
    <t>Resgatar ilustração de homem trabalhando no computador. Veio de: g23_mdn_lt_5npg_p150. Código antigo: i1441Bid_5npg_g23_mdn_ly</t>
  </si>
  <si>
    <t>i0780_5p011g_g27_e001</t>
  </si>
  <si>
    <t>Resgatar ilustração de pessoas trabalhando embalando e separando encomendas. Veio de: g23_mdn_lt_5npg_p150. Código antigo: i1441Cid_5npg_g23_mdn_ly</t>
  </si>
  <si>
    <t>i0781_5p011g_g27_e001</t>
  </si>
  <si>
    <t>Resgatar ilustração de caminhão entregando pacotes de compras virtuais. Veio de: g23_mdn_lt_5npg_p150. Código antigo: i1441Eid_5npg_g23_mdn_ly</t>
  </si>
  <si>
    <t>i0782_5p011g_g27_e001</t>
  </si>
  <si>
    <t>Resgatar ilustração de entregador entregando encomenda a uma mulher. Veio de: g23_mdn_lt_5npg_p150. Código antigo: i1441Did_5npg_g23_mdn_ly.png</t>
  </si>
  <si>
    <t>i0783_5p011g_g27_e001</t>
  </si>
  <si>
    <t>Resgatar ilustração de processo de combustível com origem do petróleo. Vem de: g23_mdn_lt_5npg_p153 Código antigo: i0859rm_5pmg_g19_mdn.png
Ajuste: Separar a il em A a D</t>
  </si>
  <si>
    <t>i0784_5p011g_g27_e001</t>
  </si>
  <si>
    <t>Resgatar ilustração de processo do etanol. Vem de: g23_mdn_lt_5npg_p153 Código antigo: i0860rm_5pmg_g19_mdn
Ajuste: Separar a il em A a D</t>
  </si>
  <si>
    <t>i0785_5p011g_g27_e001</t>
  </si>
  <si>
    <t>Resgatar ilustração de transmissão de energia. Veio de: g23_mdn_lt_5npg_p156 Código antigo: i0865rm_5pmg_g19_mdn</t>
  </si>
  <si>
    <t>i0786_5p011g_g27_e001</t>
  </si>
  <si>
    <t>Resgatar ilustração de aerogerador de usina éolica. Vem da página 169 do g23_mdn_lt_5npg. Código antigo i1481rm_5npg_g23_mdn</t>
  </si>
  <si>
    <t>i0787_5p011g_g27_e001</t>
  </si>
  <si>
    <t>Resgatar ilustração de placa solar. Vem da página 169 do g23_mdn_lt_5npg. Código antigo i1485rm_5npg_g23_mdn</t>
  </si>
  <si>
    <t>i0788_5p011g_g27_e001</t>
  </si>
  <si>
    <t>Resgatar ilustração de carvão mineral. Vem da página 169 do g23_mdn_lt_5npg. Código antigo i1484rm_5npg_g23_mdn</t>
  </si>
  <si>
    <t>i0789_5p011g_g27_e001</t>
  </si>
  <si>
    <t>Resgatar ilustração de recepiente de petróleo. Vem da página 169 do g23_mdn_lt_5npg. Código antigo i1482rm_5npg_g23_mdn</t>
  </si>
  <si>
    <t>i0790_5p011g_g27_e001</t>
  </si>
  <si>
    <t>Resgatar ilustração de chama de fogo em gás natural. Vem da página 169 do g23_mdn_lt_5npg. Código antigo i1486rm_5npg_g23_mdn</t>
  </si>
  <si>
    <t>i0791_5p011g_g27_e001</t>
  </si>
  <si>
    <t>Resgatar ilustração de água em vertedouro de barragem. Vem da página 169 do g23_mdn_lt_5npg. Código antigo i1483rm_5npg_g23_mdn</t>
  </si>
  <si>
    <t>i0170_3p011g_g27_e001</t>
  </si>
  <si>
    <t>Fazer ilustração de uma criança negra, de cabelos cacheados, em posição de estar fotografando uma maquete de uma casa de madeira, com características de uma casa de comunidade caiçara (ver referência), no ponto de vista frontal. A criança estará com o celular nas mãos fotografando a maquete da casa, e essa maquete estará sobre uma mesa. 
Ver abaixo a referência da posição que o personagem deve aparecer nessa ilustração</t>
  </si>
  <si>
    <t>wh</t>
  </si>
  <si>
    <t>R: 26/03 F:28/03</t>
  </si>
  <si>
    <t>PAGO</t>
  </si>
  <si>
    <t>i0171_3p011g_g27_e001</t>
  </si>
  <si>
    <t>Fazer ilustração da mesma criança da ilustração anterior, dessa vez fotografando a mesma maquete da casa em posição oblíqua (ponto de vista do alto e de lado).
Ver abaixo a referência da posição que o personagem deve aparecer nessa ilustração</t>
  </si>
  <si>
    <t>i0172_3p011g_g27_e001</t>
  </si>
  <si>
    <t>Fazer ilustração da mesma criança das ilustrações anteriores, dessa vez fotografando a maquete da casa vista de cima (ponto de vista de cima para baixo).
Ver abaixo a referência da posição que o personagem deve aparecer nessa ilustração</t>
  </si>
  <si>
    <t>i0173_3p011g_g27_e001</t>
  </si>
  <si>
    <t>Fazer ilustração da maquete de uma casa de madeira, a mesma maquete da sequência anterior. Dessa vez a imgem terá só a maquete na posição frontal (vista de frente). A imagem tem que ser parecida com a imagem onde a criança estava fotografando, porém, agora a criança não estará na cena.
Ve referência abaixo, do ponto de vista da ilus.</t>
  </si>
  <si>
    <t>i0174_3p011g_g27_e001</t>
  </si>
  <si>
    <t>Fazer ilustração da maquete de uma casa de madeira, a mesma maquete da sequência anterior. Dessa vez a imgem terá só a maquete na posição oblíquao (vista do alto e de lado). A imagem tem que ser parecida com a imagem onde a criança estava fotografando, porém, agora a criança não estará na cena.
Ve referência abaixo, do ponto de vista da ilus.</t>
  </si>
  <si>
    <t>i0175_3p011g_g27_e001</t>
  </si>
  <si>
    <t>Fazer ilustração da maquete de uma casa de madeira, a mesma maquete da sequência anterior. Dessa vez a imgem terá só a maquete na posição vertical (vista do alto e de cima para baixo). A imagem tem que ser parecida com a imagem onde a criança estava fotografando, porém, agora a criança não estará na cena.
Ve referência abaixo, do ponto de vista da ilus.</t>
  </si>
  <si>
    <t>i0364_3p011g_g27_e001</t>
  </si>
  <si>
    <t xml:space="preserve">Ilustrar uma paisagem em modelo de croqui, semelhante à paisagem da foto f0325_3p011g_g27_e001 utilizada nessa mesma página. Produzir Ilustração do croqui em forma DE DESENHO FEITO A MÃO
Ver referência a seguir para compreender como deve ser a ilus (apenas referência para indicar o modelo de desenho infantil feito a mão).
</t>
  </si>
  <si>
    <t>F:25/04</t>
  </si>
  <si>
    <t>i0365_3p011g_g27_e001</t>
  </si>
  <si>
    <t>Ilustração nova evidenciando mão desenhando contornos com um lápis preto sobre o papel vegetal. Ilustrar a mão desenhando a paisagem de uma praia, com os 3 planos na imagem (areia, pequenos barcos atracados entre o mar e a areia, e mais ao fundo, uma serra com vegetação), NÃO PODE SER A MESMA ILUSTRAÇÃO DA REFÊNCIA A SEGUIR, POIS ESSA É UMA ILUS DE OBRA CONCORENTE. A IMAGEM A SEGUIR É SÓ PRA TER IDEIA DE COMO DEVE SER PRODUZIDA A MÃO DESENHANDO EM PAPEL TRANSPARENTE.</t>
  </si>
  <si>
    <t>i0366_3p011g_g27_e001</t>
  </si>
  <si>
    <t>Ilustração nova baseada na mesma ilustração anterior, dessa vez evidenciando a fotografia sobre superfície plana (carteira) e papel vegetal fixado sobre ela, com clipe ou fita adesiva. Imagem a seguir é apenas referência</t>
  </si>
  <si>
    <t>i0367_3p011g_g27_e001</t>
  </si>
  <si>
    <t>Ilustração baseada na mesma ilustração anterior, evidenciando mão colorindo croqui com lápis de cor. Imagem a seguir é apenas referência.</t>
  </si>
  <si>
    <t>i0383_3p011g_g27_e001</t>
  </si>
  <si>
    <t xml:space="preserve">Resgatar Ilustração que representa um rio e ajustar em duas ilus, para fecharem essa e a próxima página.(Ver anexo a seguir com a sugestão que a Arte já fez para separação das imagens). Fechá-la no grid deixando arredondados os cantos das partes inferiores. Resgatar do 3npg_lt_g23 p.58 código antigo i1078gr_3npg_g23_mdn_aj
SEPARAR EM A E B
</t>
  </si>
  <si>
    <t>i0370_3p011g_g27_e001</t>
  </si>
  <si>
    <t xml:space="preserve">Ilustrar a representação de uma maquete como se fosse produzida por crianças. Apresentar a paisagem de uma cidade, com ruas, prédios, casas, escola, árvores, chafariz, tudo produzido com materiais recicláveis, caixinhas, papéis, palitos, tampinhas etc. Nessa ilustração a maquete estará sobre uma mesa na posição oblíqua (vista de cima para baixo e de lado)
VER REFERÊNCIA ABAIXO:
</t>
  </si>
  <si>
    <t>i0371_3p011g_g27_e001</t>
  </si>
  <si>
    <t xml:space="preserve">Ilustrar a representação da mesma maquete anterior, só que agora a maquete estará sobre uma mesa na posição VERTICAL (vista de cima para baixo).
VER REFERÊNCIA DE ÂNGULO DA ILUS
</t>
  </si>
  <si>
    <t>EXCLUÍDA - PAGAR 30% RAFE</t>
  </si>
  <si>
    <t>PAGO RAFE</t>
  </si>
  <si>
    <t>i0372_3p011g_g27_e001</t>
  </si>
  <si>
    <t xml:space="preserve">Ilustrar a mesma maquete das ilustrações anteriores, só que agora ela estará representada em forma de desenho feito a mão, por uma criança e esse desenho estará na posição vertical. Ilustrar com detalhes como se fosse um desenho feito por criança. Em resumo, será a mesma maquete na posição vertical (com todos os mesmos elementos presentes na ilus. da maquete) só que dessa vez em forma de desenho.
VER REFERÊNCIA DE ÂNGULO DA ILUS
</t>
  </si>
  <si>
    <t>i0373_3p011g_g27_e001</t>
  </si>
  <si>
    <t>Fazer recorte de um prédio da ilustração do desenho da maquete (na ilus anterior)</t>
  </si>
  <si>
    <t>recorte</t>
  </si>
  <si>
    <t>i0374_3p011g_g27_e001</t>
  </si>
  <si>
    <t>Fazer recorte de uma árvore da ilustração do desenho da maquete (na ilus anterior)</t>
  </si>
  <si>
    <t>i0619_3p011g_g27_e001</t>
  </si>
  <si>
    <t>resgatar Ilustração de homem colhendo em cima de uma arvore. veio de: g23_mdn_lt_3npg_p096 código antigo: i0605id_3pmg_g19_mdn</t>
  </si>
  <si>
    <t>i0620_3p011g_g27_e001</t>
  </si>
  <si>
    <t>resgatar Ilustração de homem minerando a beira do rio. veio de: g23_mdn_lt_3npg_p096 código antigo i0606id_3pmg_g19_mdn</t>
  </si>
  <si>
    <t>i0621_3p011g_g27_e001</t>
  </si>
  <si>
    <t>resgatar Ilustração de mulher coletando siris veio de: g23_mdn_lt_3npg_p096 código antigo i0607id_3pmg_g19_mdn</t>
  </si>
  <si>
    <t xml:space="preserve">i0622_3p011g_g27_e001 </t>
  </si>
  <si>
    <t>Resgatar Ilustração de ovelhas veio de: g23_mdn_lt_3npg_p091 código antigo: i0601id_3pmg_g19_mdn</t>
  </si>
  <si>
    <t>i0623_3p011g_g27_e001</t>
  </si>
  <si>
    <t>Resgatar Ilustração de bodes. veio de: g23_mdn_lt_3npg_p091 código antigo: i0602id_3pmg_g19_mdn</t>
  </si>
  <si>
    <t>i0624_3p011g_g27_e001</t>
  </si>
  <si>
    <t>Resgatar Ilustração de cavalos. veio de: g23_mdn_lt_3npg_p091 código antigo i0603id_3pmg_g19_mdn</t>
  </si>
  <si>
    <t>i0625_3p011g_g27_e001</t>
  </si>
  <si>
    <t>Resgatar ilustração de vacas. veio de: g23_mdn_lt_3npg_p091 código antigo: i0604id_3pmg_g19_mdn</t>
  </si>
  <si>
    <t xml:space="preserve">i0626_3p011g_g27_e001 </t>
  </si>
  <si>
    <t>Resgatar ilustração de milho. código antigo:
i0608Arm_3pmg_g19_mdn veio de: g23_mdn_lt_3npg_p099</t>
  </si>
  <si>
    <t xml:space="preserve">i0627_3p011g_g27_e001 </t>
  </si>
  <si>
    <t>Resgatar ilustração de fubá, broa e lata de milho
código antigo: i0608Brm_3pmg_g19_mdn veio de: g23_mdn_lt_3npg_p099</t>
  </si>
  <si>
    <t xml:space="preserve">i0628_3p011g_g27_e001 </t>
  </si>
  <si>
    <t>Resgatar ilustração de leite. código antigo:
i0609Arm_3pmg_g19_mdn veio de: g23_mdn_lt_3npg_p099</t>
  </si>
  <si>
    <t xml:space="preserve">i0629_3p011g_g27_e001 </t>
  </si>
  <si>
    <t>Resgatar ilustração de queijo, iogurte e leite
Código antigo: i0609Brm_3pmg_g19_mdn
veio de: g23_mdn_lt_3npg_p099</t>
  </si>
  <si>
    <t xml:space="preserve">i0630_3p011g_g27_e001 </t>
  </si>
  <si>
    <t>Resgatar ilustração de carvão
código antigo: i0610Arm_3pmg_g19_mdn
veio de: g23_mdn_lt_3npg_p099</t>
  </si>
  <si>
    <t xml:space="preserve">i0631_3p011g_g27_e001 </t>
  </si>
  <si>
    <t>Resgatar ilustração de panela e janela
Código antigo: i0610Brm_3pmg_g19_mdn
veio de: g23_mdn_lt_3npg_p099</t>
  </si>
  <si>
    <t>i0633_3p011g_g27_e001</t>
  </si>
  <si>
    <t>Produzir nova ilustração de ícones que representem elementos da imagem shutters dessa página. Podem ser dois: ilus ícone de pizza (representar a pizzaria), ícone de um banquinho de madeira, como o da praça, sem encosto (representar a praça). Compor um quadro legenda com as ilus dos ícones e os respectivos nomes dos lugares representados. A ideia é ensinar os estudantes que essas imagens são símbolos e servem de legenda. ATENÇÃO QUE SERÃO APENAS 2. As demais os estudantes irão desenhar com a atividade que finaliza a página
Ver referência de como a ilus deve ser produzida:</t>
  </si>
  <si>
    <t xml:space="preserve">F: 25/04 </t>
  </si>
  <si>
    <t>i0810_3p011g_g27_e001</t>
  </si>
  <si>
    <t>Resgatar Ilustração de paisagem de duas propriedades rurais, uma que realiza atividades que conservam os recursos explorados e outra com práticas que causam problemas ambientais - veio do g23_mdn_lt_3npg_p121. Código antigo: i0829ha_3pmg_g19_mdn</t>
  </si>
  <si>
    <t>m0153_4p011g_g27_e001</t>
  </si>
  <si>
    <t xml:space="preserve">Resgatar mapa de manchas, mostrando a área urbana e a área rural de Fortaleza e ajustar. Veio de: g23_mdn_lt_4npg_p024 Código antigo: m0241ed_4npg_g23_mdn_aj
AJUSTES: - Ajustar mapa excluindo as linhas vermelhas das rodovias. Deixar somente as manchas urbana e rural.
Separar o mapa, legenda e mapa de localização em 3 arquivos
</t>
  </si>
  <si>
    <t>g0176_4p011g_g27_e001</t>
  </si>
  <si>
    <t>GRÁFICO</t>
  </si>
  <si>
    <t xml:space="preserve">Resgatar gráfico de população. Veio de: g23_mdn_lt_4npg_p023 Código antigo: g0240vc_4npg_g23_mdn
Ajustar conforme os novos dados da tabela acima com os dados de 2022
</t>
  </si>
  <si>
    <t>g0177_4p011g_g27_e001</t>
  </si>
  <si>
    <t xml:space="preserve">Resgatar gráfico de população rural e urbana de Manaquiri. Veio de: g23_mdn_lt_4npg_p022 Código antigo: g1059re_4npg_g23_mdn_aj
AJUSTAR DADOS: 
Coluna rosa: 10 504
Coluna azul: 6 603
</t>
  </si>
  <si>
    <t>g0178_4p011g_g27_e001</t>
  </si>
  <si>
    <t xml:space="preserve">Resgatar gráfico de população rural e urbana de Itatiaia. Veio de: g23_mdn_lt_4npg_p022 Código antigo: g1060re_4npg_g23_mdn_aj
AJUSTAR DADOS:
Coluna azul: 30 409
Coluna rosa: 499
</t>
  </si>
  <si>
    <t>i0184_4p011g_g27_e001</t>
  </si>
  <si>
    <t xml:space="preserve">Produzir ilustração de cédula eleitoral para representante da turma com base na referência a seguir: </t>
  </si>
  <si>
    <t>ti</t>
  </si>
  <si>
    <t>Arte</t>
  </si>
  <si>
    <t>g0554_4p011g_g27_e001</t>
  </si>
  <si>
    <t>Resgatar gráfico de distribuição das terras por continente. Veio de: g23_mdn_lt_4npg_p078 código antigo: g1063km_4npg_g23_mdn_aj
ajustar o zoom</t>
  </si>
  <si>
    <t>Ajuste (ARTE)</t>
  </si>
  <si>
    <t>m0555_4p011g_g27_e001</t>
  </si>
  <si>
    <t xml:space="preserve">Ilustrar um novo mapa do Distrito federal com todas suas regiões administrativas. Somente a divisão político-administrativa com a delimitação de todas as regiões. Para não ficar muito apertado todos os nomes, inserir alguns dos nomes das regiões administrativas em legenda abaixo do mapa e, no mapa, inserir números/cotas 
REFERENCIA
https://www.ide.df.gov.br/geoportal/
AO ACESSAR O LINK DA REFERÊNCIA SEGUIR OS SEGUINTES PASSOS:
*CLICAR EM LISTA DE CAMADAS NO CANTO SUPERIOR DIREITO.
*SELECIONAR LIMITES&gt; Regiões administrativas
Devem aparecer em legenda ou como cota as 35 regiões
Separar o mapa, a legenda e o mapa de localização em A B C
</t>
  </si>
  <si>
    <t>ib</t>
  </si>
  <si>
    <t>ARTE</t>
  </si>
  <si>
    <t>i0571_4p011g_g27_e001</t>
  </si>
  <si>
    <t>i0572_4p011g_g27_e001</t>
  </si>
  <si>
    <t>i0580_4p011g_g27_e001</t>
  </si>
  <si>
    <t xml:space="preserve">Produzir ilustração de mão de criança manipulando um livro com aspecto artesanal, com capa amarrada na lateral com barbante e o título na capa escrito na transversal: Livro da nossa cultura. Pode ser sobre uma mesa de aparência escolar. </t>
  </si>
  <si>
    <t>R: 23/05
F: 29/05</t>
  </si>
  <si>
    <t>m0576_4p011g_g27_e001</t>
  </si>
  <si>
    <t xml:space="preserve">resgatar mapa de comunidades quilombolas no Brasil. veio de g23_mdn_lt_4npg_p102 código antigo: m1051ed_4npg_g23_mdn
AJUSTAR OS DADOS DE CADA ESTADO:
AC, DF e RR = não tem comunidades, pode deixar sem informação no mapa
AL: 78 AM: 8 AP: 44 BA: 865 CE: 63 ES: 45
GO: 70 MA: 899 MG: 501 MS: 22 MT: 79 PA: 273
PB: 47 PE: 204 PI: 107 PR: 40 RJ: 45 RN: 40
RO: 8 RS: 146 SC: 19 SE: 44 SP: 56 TO: 49
</t>
  </si>
  <si>
    <t>m0763_4p011g_g27_e001</t>
  </si>
  <si>
    <t xml:space="preserve">Ilustrar um novo mapa mostrando a previsão do tempo para todo o Brasil em um determinado dia de 2025. Inserir manchas de cores que representam as condições do tempo
EM ANEXO O MAPA REFERÊNCIA PARA A ILUS
FAZER OS SEGUINTES AJUSTES NO MAPA REFERÊNCIA:
Nas faixas verdes mais escuras, deixar os ícones somente de chuvas (pode inserir ícone de chuva no verde mais escuro que está no Rio Grande do Sul.
Nas faixas verdes claras deixar ícone de sol com nuvens de chuva
Nas faixas amarelas deixar ícone de sol com nuvens sem chuva
Nas faixas mais claras deixar ícone de sol.
AS LEGENDAS SERÃO AS SEGUINTES:
VERDE ESCURO + ÍCONE DE CHUVA = Chuvas
VERDE CLARO + ÍCONE DE SOL COM NÚVENS DE CHUVA = Possibilidade de chuvas
AMARELO + ÍCONE DE SOL COM NÚVENS SEM CHUVA = Muitas nuvens
FAIXA CLARA +ÍCONE DE SOL = Céu claro
</t>
  </si>
  <si>
    <t>m0764_4p011g_g27_e001</t>
  </si>
  <si>
    <t xml:space="preserve">Resgatar ilustração de mapa das Formações vegetais nativas do Brasil– em g24_7sag_pagina 35 (print abaixo) Código antigo m0343ed_7sag_g24_e003_aj
Ajustar com o projeto cartográfico da obra atual da Moderna. 
OBS: Deixar as cores das vegetações semelhantes ao mapa m0765
</t>
  </si>
  <si>
    <t>m0765_4p011g_g27_e001</t>
  </si>
  <si>
    <t xml:space="preserve">Resgatar ilustração de mapa da vegetação natural e áreas alteradas no Brasil 2019 – em g24_7sag_pagina43 (print abaixo) código antigo m0345ti_7sag_g24_e003
Ajustar com o projeto cartográfico da obra atual da Moderna. 
Nesse mapa usar a cor cinza para representar as áreas alteradas como estava na versão do livro g23. O cinza dá mais a ideia de vazio (vegetação retirada/devastada) 
OBS: Deixar as cores das vegetações semelhantes ao mapa m0764
</t>
  </si>
  <si>
    <t>if0781_4p011g_g27_e001</t>
  </si>
  <si>
    <t>IL + FOTO</t>
  </si>
  <si>
    <t xml:space="preserve">foto de alunos na faixa de 8 a 10 anos, exibindo um cartaz com dica de cuidados com a água
escolhida GETTY 868494464
ARTE: Escrever no cartaz em letra cursiva as seguintes frases:
Na parte de cima do cartaz:
Água é vida
inserir também alguns desenhos para ficar mais colorido. Pode ser desenho representando um pingo de água e/ou uma mão fechando uma torneira).
Na parte de baixo do cartaz:
Economize água
</t>
  </si>
  <si>
    <t>Excluída pois a foto precisava de local e data</t>
  </si>
  <si>
    <t>i0585_4p011g_g27_e001</t>
  </si>
  <si>
    <t>i0586_4p011g_g27_e001</t>
  </si>
  <si>
    <t>i0587_4p011g_g27_e001</t>
  </si>
  <si>
    <t>g0181_5p011g_g27_e001</t>
  </si>
  <si>
    <t>Resgatar gráfico referente a população de alguns países da página 11 do g23_mdn_lt_5npg. Código antigo
g0202km_5npg_g23_mdn_aj
Fazer os seguintes ajustes nos dados:
Brasil: 203
Alemanha: 83
Argentina: 45
Austrália: 26
Ruanda: 13
Mongólia: 3</t>
  </si>
  <si>
    <t>g0186_5p011g_g27_e001</t>
  </si>
  <si>
    <t>Resgatar gráfico da taxa de fecundidade no Brasil da página 20 do g23_mdn_lt_5npg. Código antigo g0221km_5npg_g23_mdn_aj
Fazer o seguinte ajuste:
Trocar na barra do gráfico o ano de 2019 por 2023 e ajustar o dado para 1,57</t>
  </si>
  <si>
    <t>g0188_5p011g_g27_e001</t>
  </si>
  <si>
    <t>Resgatar gráfico de população brasileira por faixa etária. Veio de: g23_mdn_lt_5npg_p032. Código antigo g0246sl_5npg_g23_mdn
Fazer os seguintes ajustes nos dados: Na legenda trocar o ano 2019 por 2022 Ajustar coluna roxa das crianças e jovens para 45% Ajustar a coluna roxa dos adultos para 48%.
Obs: é para atualizar os dados de 1991 mesmo, pois a versão passada estava divergente
Fonte</t>
  </si>
  <si>
    <t>sl</t>
  </si>
  <si>
    <t>g0192_5p011g_g27_e001</t>
  </si>
  <si>
    <t>Resgatar ilustração de gráfico em formato de pirâmide com a renda da população brasileira da página 167 do g23_mdn_lt_5npg. Código antigo g1477km_5npg_g23_mdn AJUSTAR DADOS: VERMELHO: 60% AMARELO: 20% VERDE: 10% AZUL: 10% (De 5 ou mais salários) EXCLUIR a antiga informação de 1% - mais de 10 salários
Fonte</t>
  </si>
  <si>
    <t>Resgatar ilustração de lousa com a escrita
"Precisa melhorar!" e um menino próximo a ela.
Vem da página 17 do g23_mdn_lt_5npg.
Código antigo i0215id_5npg_g23_mdn
AJUSTE: ajustar a frase do qudro para letra
cursiva</t>
  </si>
  <si>
    <t>g0183_5p011g_g27_e001</t>
  </si>
  <si>
    <t>Resgatar ilustração de linha do tempo das páginas 12 e 13 do g23_mdn_lt_5npg. Código antigo
g0204ja_5npg_g23_mdn_aj
Fazer o seguinte ajuste: trocar o ano de 2019 por 2022 e colocar o dado de 203 milhões, e ajustar a il para que
encaixe em uma página, na versão anterior era em espelho</t>
  </si>
  <si>
    <t>ja</t>
  </si>
  <si>
    <t>m0179_5p011g_g27_e001</t>
  </si>
  <si>
    <t>Inserir mapa mostrando serviços rede de esgoto tratada por estado mapa modelo abaixo
Mapa do percentual da população atendida pela rede de esgoto;
- Utilizar dados por estado ( Anexo A);
- Inserir mapa de localização;
- Dividir em: Mapa, Legenda e mapa de localização em A, B e C;
- Aplicar padrão da obra.
Colocar sigla nos estados
trabalhar legenda com apenas quatro cores (juntar as duas com taxas mais baixas em uma única cor)</t>
  </si>
  <si>
    <t>m0180_5p011g_g27_e001</t>
  </si>
  <si>
    <t>Inserir mapa mostrando população com acesso a água tratada no Brasil
Mapa do percentual da população atendida pelo abastecimento de água tratada; Utilizar dados por estado ( Anexo B);- Inserir mapa de localização; Dividir e Mapa, Legenda e mapa de localização em A, B e C Aplicar padrão da obra.</t>
  </si>
  <si>
    <t>i0365_5p011g_g27_e001</t>
  </si>
  <si>
    <t>50 e 51</t>
  </si>
  <si>
    <t xml:space="preserve">i0365A_5p011g_g27_e001
NOVA
Ilustrar dois círculos de papelão cortados com a indicação da medida de 10 cm de diâmetro. Ver modelo como referencia
i0365B_5p011g_g27_e001
NOVA
Ilustrar os círculos sendo colados um sobre o outro com o palito de sorvete entre eles. A mão que estiver “fixando” a cola deve ser de criança e de pele negra. Ver modelo abaixo
i0365C_5p011g_g27_e001
NOVA
ilustrar duas tampinhas furadas no meio. ver ideia a seguir
i0365D_5p011g_g27_e001
NOVA
Ilustrar duas tampinhas com o barbante no buraco. Modelo abaixo
i0365E_5p011g_g27_e001
NOVA
Ilustrar duas tampinhas presas ???nas laterais do kabulete
i0365F_5p011g_g27_e001
NOVA
Ilustrar o kabulete finalizado, bem colorido. 
</t>
  </si>
  <si>
    <t>rv</t>
  </si>
  <si>
    <t>F:25/07</t>
  </si>
  <si>
    <t xml:space="preserve">i0165_5p011g_g27_e001 </t>
  </si>
  <si>
    <t>g0371_5p011g_g27_e001</t>
  </si>
  <si>
    <t>Resgatar ilustração de gráfico de setores da página 26 do g23_mdn_lt_5npg. Código antigo g0229re_5npg_g23_mdn_aj
Fazer os seguintes ajustes nos dados:
Preta: 10,2%
Branca: 43,5%
Parda: 45,3%</t>
  </si>
  <si>
    <t>g0372_5p011g_g27_e001</t>
  </si>
  <si>
    <t xml:space="preserve">Resgatar ilustração de gráfico de setores com dados da Região Norte da página 27 do g23_mdn_lt_5npg. Código antigo g0230km_5npg_g23_mdn_aj
Fazer os seguintes ajustes nos dados da Região Norte:
Parda: 67%
Branca: 21%
Preta: 9%
Outras (indígenas e amarela): 3%
</t>
  </si>
  <si>
    <t>g0373_5p011g_g27_e001</t>
  </si>
  <si>
    <t xml:space="preserve">Resgatar ilustração de gráfico de setores com dados da Região Sudeste da página 27 do g23_mdn_lt_5npg. Código antigo g0231km_5npg_g23_mdn_aj
Dados da Região Sudeste seguem iguais da versão anterior
</t>
  </si>
  <si>
    <t>g0374_5p011g_g27_e001</t>
  </si>
  <si>
    <t xml:space="preserve">Resgatar ilustração de gráfico de setores com dados da Região Centro-Oeste da página 27 do g23_mdn_lt_5npg. Código antigo g0232km_5npg_g23_mdn_aj
Fazer os seguintes ajustes nos dados da Região Centro-Oeste:
Parda: 52%
Branca: 37%
Preta: 9%
Outras (indígenas e amarela): 2%
</t>
  </si>
  <si>
    <t>g0375_5p011g_g27_e001</t>
  </si>
  <si>
    <t xml:space="preserve">Resgatar ilustração de gráfico de setores com dados da Região Sul da página 27 do g23_mdn_lt_5npg. Código antigo g0233km_5npg_g23_mdn_aj
Fazer os seguintes ajustes nos dados da Região Sul:
Parda: 22%
Branca: 72%
Preta e Outras (indígenas e amarela): os dados seguem iguais a versão anterior
</t>
  </si>
  <si>
    <t>g0376_5p011g_g27_e001</t>
  </si>
  <si>
    <t xml:space="preserve">Resgatar ilustração de gráfico de setores com dados da Região Nordeste da página 27 do g23_mdn_lt_5npg. Código antigo g0234km_5npg_g23_mdn_aj
Fazer os seguintes ajustes nos dados da Região Nordeste:
Parda: 59%
Branca: 27%
Preta: 13%
Outras (indígenas e amarela): segue igual a versão anterior
Ajuste: separar o gráfico e a legenda em duas imagens.
</t>
  </si>
  <si>
    <t>m0377_5p011g_g27_e001</t>
  </si>
  <si>
    <t xml:space="preserve">Resgatar ilustração de mapa de distribuição da população brasileira. Veio de: g23_mdn_lt_5npg_p038 Código antigo: m0431ed_5pmg_g19_mdn_aj
Ajustar conforme novo projeto cartográfico da obra. 
Separar legenda e mapinha do globo
Deslocar as siglas e nomes de capitais que estão sobre as regiões em marrom escuro para melhorar a leitura, se necessário usar fios/links  
</t>
  </si>
  <si>
    <t>m0378_5p011g_g27_e001</t>
  </si>
  <si>
    <t xml:space="preserve">Elaborar o mapa das atividades econômicas do Brasil no século 18 com base no mapa da obra Geografia Espaço e Vivência, em: G14_GEV_7ano_p.21
Ajustar o mapa conforme o projeto cartográfico da atual obra da Moderna
Tirar as setas vermelhas do mapa.
atualizar a legenda com a retirada das setas
</t>
  </si>
  <si>
    <t xml:space="preserve">i0353_5p011g_g27_e001 </t>
  </si>
  <si>
    <t>Havia código repetido</t>
  </si>
  <si>
    <t>g0558_5p011g_g27_e001</t>
  </si>
  <si>
    <t xml:space="preserve">Resgatar ilustração de gráfico de linhas que representa a população rural e urbana do Brasil da página 55 do g23_mdn_lt_5npg. Código antigo g0606re_5npg_g23_mdn_aj
Fazer o seguinte ajuste: trocar o ano de 2019 por 2022
</t>
  </si>
  <si>
    <t>i0565_5p011g_g27_e001</t>
  </si>
  <si>
    <t xml:space="preserve">Resgatar ilustração de cena que representa o êxodo rural, nas páginas 56 e 57 do g23_mdn_lt_5npg. Código antigo i0438dd_5pmg_g19_mdn, i0491dd_5pmg_g19_mdn_ef
Ajustar os objetos que estão na caçamba do caminhão. Deixar os objetos organizados, ajeitados corretamente, pois a maneira que estão jogados os objetos gera um estereótipo de que moradores do campo são ‘desorganizados’, conforme apontou a leitura transversal.
além disso utilizar a ideia da leitura plástica e ajustar para que fique em uma pagina somente
</t>
  </si>
  <si>
    <t>g0571_5p011g_g27_e001</t>
  </si>
  <si>
    <t xml:space="preserve">Resgatar gráfico de população rural e urbana no Brasil.Veio de: g23_mdn_lt_5npg_p085 Código antigo: g0654ct_5npg_g23_mdn
AJUSTE: Trocar o ano de 2019 por 2022.
</t>
  </si>
  <si>
    <t>i0194_5p011g_g27_e001</t>
  </si>
  <si>
    <t>o que ja sabe</t>
  </si>
  <si>
    <t>Resgatar ilustração de vista superior de uma cidade com pontos cardeais indicados da página 6 do g23_mdn_lt_5npg. Código antigo i0279rm_5npg_g23_mdn</t>
  </si>
  <si>
    <t xml:space="preserve">Rafaela Panissa </t>
  </si>
  <si>
    <t>i0195_5p011g_g27_e001</t>
  </si>
  <si>
    <t>Resgatar ilustração de vista de uma fazenda (espaço rural) da página 7 do g23_mdn_lt_5npg. Código antigo i0280id_5npg_g23_mdn</t>
  </si>
  <si>
    <t>i0196_5p011g_g27_e001</t>
  </si>
  <si>
    <t>Resgatar ilustração de vista de uma cidade (espaço urbano) da página 7 do g23_mdn_lt_5npg. Código antigo i0281id_5npg_g23_mdn</t>
  </si>
  <si>
    <t>m0193_5p011g_g27_e001</t>
  </si>
  <si>
    <t xml:space="preserve">Produzir um novo mapa do Brasil, de tonalidade de cores com a incidência de internações hospitalares por estados, decorrentes de doenças relacionadas ao saneamento básico. As cores vão representar a porcentagem por estado. Apresentar informações por meio de 4 tonalidades de cores, das mais claras para mais escuras.
Os dados das cores serão os seguintes
Menos de 0,11%
De 0,11% a 0,20%
De 0,21% a 0,30%
Acima de 0,31%
ESTADOS COM MENOS DE 0,11%
RN, PB, AL, SE, RJ, SP, PE
ESTADOS DE 0,11% a 0,20%
AC, AM, RR, TO, CE, BA, ES, SC, RS, MS, MT
ESTADOS DE 0,21% a 0,30%
RO, PA, AP, PI, MG, PR, GO
ESTADOS ACIMA DE 0,31%
DF, MA
Inserir na legenda o seguinte texto:
Quantidade de internações em % da população total
</t>
  </si>
  <si>
    <t xml:space="preserve">m0381_5p011g_g27_e001 </t>
  </si>
  <si>
    <t xml:space="preserve">Produzir um mapa novo, do território brasileiro com dados da quantidade de migrantes no total da população de cada estado. Os dados serão representados por 4 diferentes cores, com tonalidades partindo das mais claras para as mais escuras conforme a maior proporção dos dados.
Os dados em porcentagem para definir as cores serão os seguintes
Até 10,0%
 De 10,1% a 20,0%
 De 20,1% a 35,0%
 Mais de 35,0%
ESTADOS QUE ESTARÃO NA COR CORRESPONDENTE ATÉ 10,0%
RS, AC, AM, MA, PI, CE, RN, PB, PE, AL, BA, MG
ESTADOS QUE ESTARÃO NA COR CORRESPONDENTE De 10,1% a 20,0%
PA, SE, ES, RJ, SP, PR
ESTADOS QUE ESTARÃO NA COR CORRESPONDENTE De 20,1% a 35,0%
RR, AP, TO, SC, MT, MS, GO
ESTADOS QUE ESTARÃO NA COR CORRESPONDENTE Mais de 35,0%
RO, DF
Inserir na legenda o seguinte texto:
Porcentagem de migrantes em relação a população total 
Até 10,0%
 De 10,1% a 20,0%
 De 20,1% a 35,0%
 Mais de 35,0%
</t>
  </si>
  <si>
    <t xml:space="preserve">m0379_5p011g_g27_e001 </t>
  </si>
  <si>
    <t xml:space="preserve">Produzir um mapa novo da densidade demográfica do estado da Bahia. Mapa de manchas demográficas
- Utilizar para produção somente a área indicada no mapa de referência;
- Deixar os estados que fazem divisa com a Bahia (Piauí, Pernambuco, Alagoas, Sergipe, Minas Gerais, Goiás, Tocatins) em cor não significativa, conforme projeto gráfico; 
Utilizar a mesma legenda da fonte de pesquisa
</t>
  </si>
  <si>
    <t>if0713_5p011g_g27_e001</t>
  </si>
  <si>
    <t xml:space="preserve">Resgatar if de um prato de comida. Veio de: g23_mdn_lt_5npg_p140 Código antigo if1056km_5npg_g23_mdn_aj
AJUSTAR a proporção que corresponde cada fatia do gráfico, de acordo com os novos dados a seguir:
Uma fatia com 36%
Uma fatia com 31%
Uma fatia com 19%
Uma fatia com 14%
Como a imagem é apenas ilustrativa as porcentagens podem ser em qualquer uma das partes do prato com alimento. 
</t>
  </si>
  <si>
    <t>m0794_5p011g_g27_e001</t>
  </si>
  <si>
    <t>Produzir um novo mapa da distribuição de empresas industriais no Brasil. Mapa de manchas para identificar a quantidade de empresas no território brasileiro. Usar o print a seguir como referência.</t>
  </si>
  <si>
    <t>arte</t>
  </si>
  <si>
    <t>g0799_5p011g_g27_e001</t>
  </si>
  <si>
    <t xml:space="preserve">Gráfico de setores/pizza da distribuição da riqueza produzida por cada setor econômico no Brasil, em relação ao PIB, data recente. Ver dados abaixo.
Terciário 68%
Secundário 23%
Primário 9%
</t>
  </si>
  <si>
    <t>g0800_5p011g_g27_e001</t>
  </si>
  <si>
    <t xml:space="preserve">Produzir um gráfico de setores/pizza com a porcentagem da população empregada por setores da economia no Brasil
Primário 11%
Secundário 18%
Terciário 71%
</t>
  </si>
  <si>
    <t>m0801_5p011g_g27_e001</t>
  </si>
  <si>
    <t xml:space="preserve">resgatar mapa que mostra as rodovias e ferrovias no brasil Veio de: g23_mdn_lt_5npg_p116 Código antigo: m0677ed_5pmg_g19_mdn_aj
AJUSTAR: Completar a rodovia próxima a Manaus – completar com a cor vermelha onde não há linha atualmente. Na parte abaixo, trocar cor vermelha por cor roxa, até pouco antes de chegar na outra linha roxa (ver indicação no mapa print)
Tirar as cores das regiões e deixar o mapa todo na cor verde – ajustar a legenda, excluir as cores das regiões
Ajuste: separar o mapa da legenda e do mapa de localização
</t>
  </si>
  <si>
    <t>m0802_5p011g_g27_e001</t>
  </si>
  <si>
    <t xml:space="preserve">resgatar mapa dos principais aeroportos portos e rios navegaveis no brasil Veio de: g23_mdn_lt_5npg_p117 Código antigo: m1047ed_5npg_g23_mdn_aj
Ajuste: separar o mapa da legenda e do mapa de localização
</t>
  </si>
  <si>
    <t>g0804_5p011g_g27_e001</t>
  </si>
  <si>
    <t xml:space="preserve">Resgatar gráfico de transporte de cargas no Brasil. Veio de: g23_mdn_lt_5npg_p121 Código antigo: g1053km_5npg_g23_mdn_aj
AJUSTAR OS SEGUINTES DADOS: 
Aéreo: 0,3%
Hidroviário: 15,7%
Rodoviário: 65%
Ferroviário: 15%
Outros: 4%
</t>
  </si>
  <si>
    <t>g0805_5p011g_g27_e001</t>
  </si>
  <si>
    <t xml:space="preserve">Resgatar gráfico de consumo de energia elétrica no Brasil Veio de: g23_mdn_lt_5npg_p157 Código antigo: g1456km_5npg_g23_mdn
Ajuste: separar o gráfico da legenda
AJUSTAR OS SGUINTES DADOS:
Amarelo: 63%
Laranja: 10%
Roxo: 12%
Vermelho: 5%
Verde: 8%
Azul: 6%
</t>
  </si>
  <si>
    <t>i0808_5p011g_g27_e001</t>
  </si>
  <si>
    <t>i0809_5p011g_g27_e001</t>
  </si>
  <si>
    <t>i0810_5p011g_g27_e001</t>
  </si>
  <si>
    <t>i0811_5p011g_g27_e001</t>
  </si>
  <si>
    <t xml:space="preserve">Resgatar ilustração de pessoa escrevendo em um papel. veio do g23_mdn_lt_3npg_p143
Código antigo: i0846lb_3pmg_g19_mdn
AJUSTE: trocas as letras para cursiva
</t>
  </si>
  <si>
    <t xml:space="preserve">m0191_5p011g_g27_e001 </t>
  </si>
  <si>
    <t xml:space="preserve">Resgatar mapa de distribuição da pobreza no Brasil. Veio de: g23_mdn_lt_5npg_p132 Código antigo: m1407km_5npg_g23_mdn
Ajuste: separar o mapa da legenda e do mapa de localização
AJUSTAR DA SEGUINTE MANEIRA:
Os novos dados serão:
Menos de 10%
De 10% a 20%
De 21% a 30%
De 31% a 40%
Mais de 40%
ESTADO COM MENOS DE 10%
SC
ESTADOS DE 10% A 20%
RS, MT, PR, SP, DF, GO, MG, MS, RJ, ES
ESTADOS DE 21% A 30%
RO, TO
ESTADOS DE 31% A 40%
RN, BA, AP, SE, PI, RR, PB, PA, AM
ESTADOS COM MAIS DE 40%
PE, AL, CE, MA, AC
AJUSTAR A LEGENDA DA SEGUINTE MANEIRA:
% de pobreza no total da população
Menos de 10%
De 10% a 20%
De 21% a 30%
De 31% a 40%
Mais de 40%
</t>
  </si>
  <si>
    <t>if0790_3p011g_g27_e001</t>
  </si>
  <si>
    <t>EDICAO_ARTE</t>
  </si>
  <si>
    <t>Traçar na imagem o fio que indica a delimitação dos planos da paisagem conforme referência a seguir (linha vermelha):</t>
  </si>
  <si>
    <t xml:space="preserve">m0383_5p011g_g27_e001 </t>
  </si>
  <si>
    <t>Mapa dos principais fluxos migratórios no séc. 21</t>
  </si>
  <si>
    <t>31/0725</t>
  </si>
  <si>
    <t>g0819_5p011g_g27_e001</t>
  </si>
  <si>
    <t>Inserir as fatias com a porcentagem e acompanhanda por cota.</t>
  </si>
  <si>
    <t>m0820_5p011g_g27_e001</t>
  </si>
  <si>
    <t>Transformar o mapa de rodovias e ferrovias em dois mapas. O atual m0801_5p011g_g27_e001
pode deixar somente com as rodovias (pavimentadas e não pavimentadas).
Excluir o nome das capitais e inserir apenas as siglas de todos os estados. Se possível, trocar o cor do fundo verde por outra cor que possa melhorar a visualização das linhas (rodovias). Ajustar legenda com a exclusão das capitais de estado.
__________________________
O novo mapa (m0820_5p011g_g27_e001) ficará apenas com as ferrovias. Excluir também as capitais e inserir apenas as siglas dos estados.
Deixar o mapa com a mesma cor do mapa das rodovias.
Ajustar legenda com a exclusão das capitais de estado.
*O título será:
Principais ferrovias do Brasil (2021)
*A fonte de pesquisa será a mesma</t>
  </si>
  <si>
    <t>g0197_5p011g_g27_e001</t>
  </si>
  <si>
    <t>Gráfico de setores com os mesmos dados da g0192km_5p011g_g27_e001</t>
  </si>
  <si>
    <t>CRÉDITOS GERAIS DA MODERNA PARA REFERÊNCIA - NÃO É A LISTA DO PROJETO G27 - EF1
 (LISTA DO PROJETO A CONFIRMAR COM A EDITORA)</t>
  </si>
  <si>
    <t>Nome do ilustrador</t>
  </si>
  <si>
    <t>Sigla Arte</t>
  </si>
  <si>
    <t>Crédito</t>
  </si>
  <si>
    <t>Acervo da editora</t>
  </si>
  <si>
    <t>xx</t>
  </si>
  <si>
    <t>ARQUIVO DA EDITORA</t>
  </si>
  <si>
    <t>Sigla ZZ (ver documento de ils. técnicas)</t>
  </si>
  <si>
    <t>zz</t>
  </si>
  <si>
    <t>VER DOCUMENTO DE ILS. TÉCNICAS</t>
  </si>
  <si>
    <t>ILUSTRAÇOES DE PROVAS OFICIAIS (somente se não houver crédito)</t>
  </si>
  <si>
    <t>yv</t>
  </si>
  <si>
    <t>NOME DA UNIVERSIDADE/ANO - UNICAMP 2024
NOME DO ILUSTRADOR (AJUSTE)/ARQUIVO DA EDITORA/UNIVERSIDADE ANO</t>
  </si>
  <si>
    <t>ILUSTRAÇÕES DE PLACAS DE TRÂNSITO</t>
  </si>
  <si>
    <t>yy</t>
  </si>
  <si>
    <t>NOME DO ILUSTRADOR/ARQUIVO DA EDITORA</t>
  </si>
  <si>
    <t>ILUSTRAÇÕES DE BANDEIRAS DE PAÍS</t>
  </si>
  <si>
    <t>yp</t>
  </si>
  <si>
    <t>ILUSTRAÇÕES DE BANDEIRAS DE ESTADO</t>
  </si>
  <si>
    <t>ye</t>
  </si>
  <si>
    <t>ILUSTRAÇÕES GERADAS POR PROGRAMAS C/ IA</t>
  </si>
  <si>
    <t>ia</t>
  </si>
  <si>
    <t>a</t>
  </si>
  <si>
    <t>3 Pixel Studio</t>
  </si>
  <si>
    <t>px</t>
  </si>
  <si>
    <t>ROBSON OLIVIERIA/ARQUIVO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</si>
  <si>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</si>
  <si>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</si>
  <si>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</si>
  <si>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</si>
  <si>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</si>
  <si>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</si>
  <si>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</si>
  <si>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</si>
  <si>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</si>
  <si>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</si>
  <si>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</si>
  <si>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</si>
  <si>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</si>
  <si>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</si>
  <si>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</si>
  <si>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</si>
  <si>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</si>
  <si>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</si>
  <si>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</si>
  <si>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</si>
  <si>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</si>
  <si>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</si>
  <si>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</si>
  <si>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</si>
  <si>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</si>
  <si>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</si>
  <si>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</si>
  <si>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</si>
  <si>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xe</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</si>
  <si>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</si>
  <si>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</si>
  <si>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</si>
  <si>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</si>
  <si>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</si>
  <si>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</si>
  <si>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</si>
  <si>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</si>
  <si>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</si>
  <si>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</si>
  <si>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</si>
  <si>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</si>
  <si>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</si>
  <si>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</si>
  <si>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zk</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</si>
  <si>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</si>
  <si>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</si>
  <si>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</si>
  <si>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</si>
  <si>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</si>
  <si>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</si>
  <si>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</si>
  <si>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</si>
  <si>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</si>
  <si>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</si>
  <si>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</si>
  <si>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</si>
  <si>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</si>
  <si>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</si>
  <si>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</si>
  <si>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</si>
  <si>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</si>
  <si>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</si>
  <si>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</si>
  <si>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</si>
  <si>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</si>
  <si>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</si>
  <si>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</si>
  <si>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aj</t>
  </si>
  <si>
    <t>ARIEL FAJTLOWICZ/ARQUIVO DA EDITORA</t>
  </si>
  <si>
    <t>Art Capri - Gustavo Machado</t>
  </si>
  <si>
    <t>GUSTAVO MACHADO/ARQUIVO DA EDITORA</t>
  </si>
  <si>
    <t>Arthur Moreno Milan Parreira</t>
  </si>
  <si>
    <t>at</t>
  </si>
  <si>
    <t>ARTHUR M. M. PARREIRA/ARQUIVO DA EDITORA</t>
  </si>
  <si>
    <t>Arthur Rosseto</t>
  </si>
  <si>
    <t>ar</t>
  </si>
  <si>
    <t>ARTHUR ROSSETO/ARQUIVO DA EDITORA</t>
  </si>
  <si>
    <t>Bárbara Lô Sarzi</t>
  </si>
  <si>
    <t>BÁRBARA SARZI/ARQUIVO DA EDITORA</t>
  </si>
  <si>
    <t>Beatriz Carvalho</t>
  </si>
  <si>
    <t>bt</t>
  </si>
  <si>
    <t>BEATRIZ CARVALHO/ARQUIVO DA EDITORA</t>
  </si>
  <si>
    <t>Beatriz Mayumi</t>
  </si>
  <si>
    <t>bm</t>
  </si>
  <si>
    <t>BEATRIZ MAYUMI/ARQUIVO DA EDITORA</t>
  </si>
  <si>
    <t>Belli Studio Design</t>
  </si>
  <si>
    <t>bl</t>
  </si>
  <si>
    <t/>
  </si>
  <si>
    <t>Bernardo França</t>
  </si>
  <si>
    <t>be</t>
  </si>
  <si>
    <t>BERNARDO FRANÇA/ARQUIVO DA EDITORA</t>
  </si>
  <si>
    <t>Bianca Nazari</t>
  </si>
  <si>
    <t>bi</t>
  </si>
  <si>
    <t>BIANCA NAZARI/ARQUIVO DA EDITORA</t>
  </si>
  <si>
    <t>Brenda Bossato</t>
  </si>
  <si>
    <t>bd</t>
  </si>
  <si>
    <t>BRENDA BOSSATO/ARQUIVO DA EDITORA</t>
  </si>
  <si>
    <t>Brenda Goes</t>
  </si>
  <si>
    <t>bg</t>
  </si>
  <si>
    <t>BRENDA GOES/ARQUIVO DA EDITORA</t>
  </si>
  <si>
    <t>Bruna Campos</t>
  </si>
  <si>
    <t>bp</t>
  </si>
  <si>
    <t>BRUNA CAMPOS/ARQUIVO DA EDITORA</t>
  </si>
  <si>
    <t>Brunna Mancuso</t>
  </si>
  <si>
    <t>bs</t>
  </si>
  <si>
    <t>BRUNNA MANCUSO/ARQUIVO DA EDITORA</t>
  </si>
  <si>
    <t>Bruna Menezes</t>
  </si>
  <si>
    <t>bz</t>
  </si>
  <si>
    <t>BRUNA MENEZES/ARQUIVO DA EDITORA</t>
  </si>
  <si>
    <t>Bruno Badain</t>
  </si>
  <si>
    <t>bb</t>
  </si>
  <si>
    <t>BRUNO BADAIN/ARQUIVO DA EDITORA</t>
  </si>
  <si>
    <t>Bruno H. S. Cerkuenik</t>
  </si>
  <si>
    <t>bc</t>
  </si>
  <si>
    <t>BRUNO CERKUENIK/ARQUIVO DA EDITORA</t>
  </si>
  <si>
    <t>Bruno Nunes Coelho</t>
  </si>
  <si>
    <t>bn</t>
  </si>
  <si>
    <t>BRUNO NUNES/ARQUIVO DA EDITORA</t>
  </si>
  <si>
    <t>Bruno Oliveira Sampaio</t>
  </si>
  <si>
    <t>br</t>
  </si>
  <si>
    <t>BRUNO SAMPAIO/ARQUIVO DA EDITORA</t>
  </si>
  <si>
    <t>Bruno Rosal de Vasconcelos</t>
  </si>
  <si>
    <t>bu</t>
  </si>
  <si>
    <t>Caio Hideki Takaso Tanaka</t>
  </si>
  <si>
    <t>CAIO TANAKA/ARQUIVO DA EDITORA</t>
  </si>
  <si>
    <t>Camila Cristiane Pereira dos Santos</t>
  </si>
  <si>
    <t>cd</t>
  </si>
  <si>
    <t>Camila Ferreira Carmona</t>
  </si>
  <si>
    <t>ca</t>
  </si>
  <si>
    <t>CAMILA CARMONA/ARQUIVO DA EDITORA</t>
  </si>
  <si>
    <t>Carlitos Pinheiro</t>
  </si>
  <si>
    <t>cq</t>
  </si>
  <si>
    <t>CARLITOS PINHEIRO/ARQUIVO DA EDITORA</t>
  </si>
  <si>
    <t>Carlos Alberto Borin Junior</t>
  </si>
  <si>
    <t>cj</t>
  </si>
  <si>
    <t>CARLOS BORIN/ARQUIVO DA EDITORA</t>
  </si>
  <si>
    <t>Carlos Eduardo Nascimento</t>
  </si>
  <si>
    <t>cn</t>
  </si>
  <si>
    <t>CARLOS EDUARDO NASCIMENTO/ARQUIVO DA EDITORA</t>
  </si>
  <si>
    <t>Carmen Ferreira Martinez</t>
  </si>
  <si>
    <t>cc</t>
  </si>
  <si>
    <t>CARMEN MARTINEZ/ARQUIVO DA EDITORA</t>
  </si>
  <si>
    <t>Carol Rempto</t>
  </si>
  <si>
    <t>cw</t>
  </si>
  <si>
    <t>CAROL REMPTO/ARQUIVO DA EDITORA</t>
  </si>
  <si>
    <t>Carol Sartori</t>
  </si>
  <si>
    <t>cx</t>
  </si>
  <si>
    <t>CAROL SARTORI/ARQUIVO DA EDITORA</t>
  </si>
  <si>
    <t>Carolina Coroa</t>
  </si>
  <si>
    <t>kk</t>
  </si>
  <si>
    <t>CAROLINA COROA/ARQUIVO DA EDITORA</t>
  </si>
  <si>
    <t>Caroline Romão Bezerra</t>
  </si>
  <si>
    <t>co</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</si>
  <si>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</si>
  <si>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</si>
  <si>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</si>
  <si>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</si>
  <si>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</si>
  <si>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</si>
  <si>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</si>
  <si>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</si>
  <si>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</si>
  <si>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</si>
  <si>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cm</t>
  </si>
  <si>
    <t>CÁTIA GERMANI/ARQUIVO DA EDITORA</t>
  </si>
  <si>
    <t>Cauê Zunchini</t>
  </si>
  <si>
    <t>ci</t>
  </si>
  <si>
    <t>CAUÊ ZUNCHINI/ARQUIVO DA EDITORA</t>
  </si>
  <si>
    <t>Cecilia Andrade</t>
  </si>
  <si>
    <t>cl</t>
  </si>
  <si>
    <t>CECILIA ANDRADE/ARQUIVO DA EDITORA</t>
  </si>
  <si>
    <t xml:space="preserve">Chanceler </t>
  </si>
  <si>
    <t>ch</t>
  </si>
  <si>
    <t>Chris Borges</t>
  </si>
  <si>
    <t>cg</t>
  </si>
  <si>
    <t>CHRIS BORGES/ARQUIVO DA EDITORA</t>
  </si>
  <si>
    <t>Clarissa França</t>
  </si>
  <si>
    <t>cf</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</si>
  <si>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</si>
  <si>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</si>
  <si>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</si>
  <si>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</si>
  <si>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</si>
  <si>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</si>
  <si>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</si>
  <si>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</si>
  <si>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</si>
  <si>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</si>
  <si>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</si>
  <si>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</si>
  <si>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</si>
  <si>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</si>
  <si>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</si>
  <si>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ck</t>
  </si>
  <si>
    <t>CYNTHIA SEKIGUCHI/ARQUIVO DA EDITORA</t>
  </si>
  <si>
    <t>Dani Mota</t>
  </si>
  <si>
    <t>dm</t>
  </si>
  <si>
    <t>DANI MOTA/ARQUIVO DA EDITORA</t>
  </si>
  <si>
    <t>Daniel Araujo</t>
  </si>
  <si>
    <t>da</t>
  </si>
  <si>
    <t>DANIEL ARAUJO/ARQUIVO DA EDITORA</t>
  </si>
  <si>
    <t>Daniel Carvalho</t>
  </si>
  <si>
    <t>dc</t>
  </si>
  <si>
    <t>DANIEL CARVALHO/ARQUIVO DA EDITORA</t>
  </si>
  <si>
    <t>Daniel Wu</t>
  </si>
  <si>
    <t>dw</t>
  </si>
  <si>
    <t>DANIEL WU/ARQUIVO DA EDITORA</t>
  </si>
  <si>
    <t>Daniel Zeppo</t>
  </si>
  <si>
    <t>dz</t>
  </si>
  <si>
    <t>DANIEL GUSTAVO SILVA GONÇALVES/ARQUIVO DA EDITORA</t>
  </si>
  <si>
    <t>Danielle Pioli</t>
  </si>
  <si>
    <t>dp</t>
  </si>
  <si>
    <t>DANIELLE PIOLI/ARQUIVO DA EDITORA</t>
  </si>
  <si>
    <t>Danillo Souza</t>
  </si>
  <si>
    <t>dl</t>
  </si>
  <si>
    <t>DANILLO SOUZA/ARQUIVO DA EDITORA</t>
  </si>
  <si>
    <t>Danilo Santos - Red Dragon</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</si>
  <si>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</si>
  <si>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</si>
  <si>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</si>
  <si>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</si>
  <si>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</si>
  <si>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</si>
  <si>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</si>
  <si>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</si>
  <si>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</si>
  <si>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</si>
  <si>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</si>
  <si>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</si>
  <si>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</si>
  <si>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</si>
  <si>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</si>
  <si>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</si>
  <si>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</si>
  <si>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</si>
  <si>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</si>
  <si>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</si>
  <si>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DEIVY LIMA COSTA/ARQUIVO DA EDITORA</t>
  </si>
  <si>
    <t>Dogzilla Studio - Walkir Fernandes</t>
  </si>
  <si>
    <t>dg</t>
  </si>
  <si>
    <t>WALKIR FERNANDES/ARQUIVO DA EDITORA</t>
  </si>
  <si>
    <t>Dois de nós (Kime Rodrigues)</t>
  </si>
  <si>
    <t>dn</t>
  </si>
  <si>
    <t>GUILHERME RODRIGUES/ARQUIVO DA EDITORA</t>
  </si>
  <si>
    <t>Eber Evangelista</t>
  </si>
  <si>
    <t>ee</t>
  </si>
  <si>
    <t>EBER EVANGELISTA/ARQUIVO DA EDITORA</t>
  </si>
  <si>
    <t>Edde Wagner Aguiar</t>
  </si>
  <si>
    <t>ew</t>
  </si>
  <si>
    <t>EDDE AGUIAR/ARQUIVO DA EDITORA</t>
  </si>
  <si>
    <t>Edson Bellusci Cavalcante</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</si>
  <si>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</si>
  <si>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</si>
  <si>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</si>
  <si>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</si>
  <si>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</si>
  <si>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</si>
  <si>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</si>
  <si>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</si>
  <si>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</si>
  <si>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</si>
  <si>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</si>
  <si>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</si>
  <si>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</si>
  <si>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ej</t>
  </si>
  <si>
    <t>ELLEN JACOB/ARQUIVO DA EDITORA</t>
  </si>
  <si>
    <t>Enágio Coelho</t>
  </si>
  <si>
    <t>en</t>
  </si>
  <si>
    <t>ENÁGIO COELHO/ARQUIVO DA EDITORA</t>
  </si>
  <si>
    <t>Erica Maria Rocha Santos (Erica Maradona)</t>
  </si>
  <si>
    <t>er</t>
  </si>
  <si>
    <t>ERICA MARADONA/ARQUIVO DA EDITORA</t>
  </si>
  <si>
    <t>Erika Lourenço</t>
  </si>
  <si>
    <t>ek</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</si>
  <si>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</si>
  <si>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</si>
  <si>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</si>
  <si>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</si>
  <si>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</si>
  <si>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</si>
  <si>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</si>
  <si>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</si>
  <si>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</si>
  <si>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</si>
  <si>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</si>
  <si>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</si>
  <si>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ERIK MALAGRINO/ARQUIVO DA EDITORA</t>
  </si>
  <si>
    <t>Estúdio Meraki</t>
  </si>
  <si>
    <t>mk</t>
  </si>
  <si>
    <t>NATANAELE BILMAIA/ARQUIVO DA EDITORA</t>
  </si>
  <si>
    <t>Estúdio Mil</t>
  </si>
  <si>
    <t>em</t>
  </si>
  <si>
    <t>Estúdio Orangotango</t>
  </si>
  <si>
    <t>eo</t>
  </si>
  <si>
    <t>Estúdio Ornitorrinco</t>
  </si>
  <si>
    <t>ec</t>
  </si>
  <si>
    <t>MÁRCIO GUERRA/ARQUIVO DA EDITORA</t>
  </si>
  <si>
    <t>Estúdio Um mais Dois</t>
  </si>
  <si>
    <t>ud</t>
  </si>
  <si>
    <t>Ezequiel Silva (Monge Lua)</t>
  </si>
  <si>
    <t>ez</t>
  </si>
  <si>
    <t>EZEQUIEL SILVA/ARQUIVO DA EDITORA</t>
  </si>
  <si>
    <t>Ewerton Xavier</t>
  </si>
  <si>
    <t>ex</t>
  </si>
  <si>
    <t>EWERTON XAVIER/ARQUIVO DA EDITORA</t>
  </si>
  <si>
    <t>Fabio Eugenio</t>
  </si>
  <si>
    <t>fe</t>
  </si>
  <si>
    <t>FABIO EUGENIO/ARQUIVO DA EDITORA</t>
  </si>
  <si>
    <t>Fabíola Petri</t>
  </si>
  <si>
    <t>fp</t>
  </si>
  <si>
    <t>FABÍOLA PETRI/ARQUIVO DA EDITORA</t>
  </si>
  <si>
    <t>fg</t>
  </si>
  <si>
    <t>FELIPE GRIGOLI/ARQUIVO DA EDITORA</t>
  </si>
  <si>
    <t>Fernanda Monteiro</t>
  </si>
  <si>
    <t>fm</t>
  </si>
  <si>
    <t>FERNANDA MONTEIRO/ARQUIVO DA EDITORA</t>
  </si>
  <si>
    <t>Fernanda Pardini Biagio</t>
  </si>
  <si>
    <t>fb</t>
  </si>
  <si>
    <t>FERNANDA PARDINI BIAGIO/ARQUIVO DA EDITORA</t>
  </si>
  <si>
    <t>Flávia Nunes</t>
  </si>
  <si>
    <t>fn</t>
  </si>
  <si>
    <t>FLÁVIA NUNES/ARQUIVO DA EDITORA</t>
  </si>
  <si>
    <t>Flavio Roberto Pereira</t>
  </si>
  <si>
    <t>fl</t>
  </si>
  <si>
    <t>FLAVIO PEREIRA/ARQUIVO DA EDITORA</t>
  </si>
  <si>
    <t>Francine Matsumoto</t>
  </si>
  <si>
    <t>fr</t>
  </si>
  <si>
    <t>FRAN MATSUMOTO/ARQUIVO DA EDITORA</t>
  </si>
  <si>
    <t>Gabi Vasko</t>
  </si>
  <si>
    <t>gv</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</si>
  <si>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</si>
  <si>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</si>
  <si>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</si>
  <si>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</si>
  <si>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</si>
  <si>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</si>
  <si>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</si>
  <si>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</si>
  <si>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</si>
  <si>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</si>
  <si>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</si>
  <si>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gt</t>
  </si>
  <si>
    <t>GABRIELA TOZATI/ARQUIVO DA EDITORA</t>
  </si>
  <si>
    <t>gx</t>
  </si>
  <si>
    <t>GABRIELLA IMAI/ARQUIVO DA EDITORA</t>
  </si>
  <si>
    <t xml:space="preserve">Gilberto Audibert Alicio </t>
  </si>
  <si>
    <t>ga</t>
  </si>
  <si>
    <t>GILBERTO ALICIO/ARQUIVO DA EDITORA</t>
  </si>
  <si>
    <t>Giovana Medeiros</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</si>
  <si>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</si>
  <si>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</si>
  <si>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</si>
  <si>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</si>
  <si>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</si>
  <si>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</si>
  <si>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</si>
  <si>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</si>
  <si>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</si>
  <si>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</si>
  <si>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</si>
  <si>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</si>
  <si>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</si>
  <si>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</si>
  <si>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</si>
  <si>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</si>
  <si>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</si>
  <si>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</si>
  <si>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</si>
  <si>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</si>
  <si>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</si>
  <si>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</si>
  <si>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</si>
  <si>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Conti</t>
  </si>
  <si>
    <t>gu</t>
  </si>
  <si>
    <t>GUSTAVO CONTI/ARQUIVO DA EDITORA</t>
  </si>
  <si>
    <t>Gustavo Pedrosa</t>
  </si>
  <si>
    <t>gp</t>
  </si>
  <si>
    <t>GUSTAVO PEDROSA/ARQUIVO DA EDITORA</t>
  </si>
  <si>
    <t>Gustavo Ramos</t>
  </si>
  <si>
    <t>GUSTAVO RAMOS/ARQUIVO DA EDITORA</t>
  </si>
  <si>
    <t xml:space="preserve">Heloísa Pintarelli </t>
  </si>
  <si>
    <t>he</t>
  </si>
  <si>
    <t>HELOÍSA PINTARELLI/ARQUIVO DA EDITORA</t>
  </si>
  <si>
    <t>Henrique Dan Fuzitani</t>
  </si>
  <si>
    <t>hf</t>
  </si>
  <si>
    <t>HENRIQUE DAN FUZITANI/ARQUIVO DA EDITORA</t>
  </si>
  <si>
    <t>Henrique Jorge</t>
  </si>
  <si>
    <t>hj</t>
  </si>
  <si>
    <t>HENRIQUE JORGE G. M. SILVA/ARQUIVO DA EDITORA</t>
  </si>
  <si>
    <t>Hiro Kawahara</t>
  </si>
  <si>
    <t>hk</t>
  </si>
  <si>
    <t>HIRO KAWAHARA/ARQUIVO DA EDITORA</t>
  </si>
  <si>
    <t>Hugo Araújo</t>
  </si>
  <si>
    <t>HUGO ARAÚJO/ARQUIVO DA EDITORA</t>
  </si>
  <si>
    <t>Iberá Júnior</t>
  </si>
  <si>
    <t>ij</t>
  </si>
  <si>
    <t>IBERÁ JÚNIOR/ARQUIVO DA EDITORA</t>
  </si>
  <si>
    <t xml:space="preserve">Ideário Lab </t>
  </si>
  <si>
    <t>REINALDO ROSA/ARQUIVO DA EDITORA</t>
  </si>
  <si>
    <t>Ilustra Cartoon</t>
  </si>
  <si>
    <t>ic</t>
  </si>
  <si>
    <t>Imaginario Studio - Fabio Eiji</t>
  </si>
  <si>
    <t>ig</t>
  </si>
  <si>
    <t>FABIO EIJI SIRASUMA/ARQUIVO DA EDITORA</t>
  </si>
  <si>
    <t>Ingrid Skare</t>
  </si>
  <si>
    <t>ik</t>
  </si>
  <si>
    <t>INGRID SKARE/ARQUIVO DA EDITORA</t>
  </si>
  <si>
    <t>INGRIDHI BORGES/ARQUIVO DA EDITORA</t>
  </si>
  <si>
    <t>Inkdrop Estudio</t>
  </si>
  <si>
    <t>ie</t>
  </si>
  <si>
    <t>Irena Freitas</t>
  </si>
  <si>
    <t>if</t>
  </si>
  <si>
    <t>IRENA FREITAS/ARQUIVO DA EDITORA</t>
  </si>
  <si>
    <t>Isabela Santos Ferreira do Vale</t>
  </si>
  <si>
    <t>ss</t>
  </si>
  <si>
    <t>ISABELA SANTOS/ARQUIVO DA EDITORA</t>
  </si>
  <si>
    <t>Isabella Medeiros</t>
  </si>
  <si>
    <t>im</t>
  </si>
  <si>
    <t>ISABELLA MEDEIROS/ARQUIVO DA EDITORA</t>
  </si>
  <si>
    <t>Isadora Zeferino</t>
  </si>
  <si>
    <t>is</t>
  </si>
  <si>
    <t>ISADORA ZEFERINO/ARQUIVO DA EDITORA</t>
  </si>
  <si>
    <t>Ísis Duarte</t>
  </si>
  <si>
    <t>iu</t>
  </si>
  <si>
    <t>ÍSIS DUARTE/ARQUIVO DA EDITORA</t>
  </si>
  <si>
    <t>Ivy Nunes</t>
  </si>
  <si>
    <t>iv</t>
  </si>
  <si>
    <t>IVY NUNES/ARQUIVO DA EDITORA</t>
  </si>
  <si>
    <t>Izaac Brito</t>
  </si>
  <si>
    <t>zb</t>
  </si>
  <si>
    <t>IZAAC BRITO/ARQUIVO DA EDITORA</t>
  </si>
  <si>
    <t>Jacqueline Amadio</t>
  </si>
  <si>
    <t>jc</t>
  </si>
  <si>
    <t>JACQUELINE AMADIO/ARQUIVO DA EDITORA</t>
  </si>
  <si>
    <t>Jacqueline Lima</t>
  </si>
  <si>
    <t>jl</t>
  </si>
  <si>
    <t>JACQUELINE LIMA/ARQUIVO DA EDITORA</t>
  </si>
  <si>
    <t>Janaina de Oliveira Castro</t>
  </si>
  <si>
    <t>JANAINA OLIVEIRA/ARQUIVO DA EDITORA</t>
  </si>
  <si>
    <t>Jessica Machado</t>
  </si>
  <si>
    <t>jg</t>
  </si>
  <si>
    <t>JESSICA MACHADO/ARQUIVO DA EDITORA</t>
  </si>
  <si>
    <t>Jéssica Sinnema</t>
  </si>
  <si>
    <t>jt</t>
  </si>
  <si>
    <t>JÉSSICA SINNEMA/ARQUIVO DA EDITORA</t>
  </si>
  <si>
    <t>Jéssyca Gomes</t>
  </si>
  <si>
    <t>je</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</si>
  <si>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</si>
  <si>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</si>
  <si>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</si>
  <si>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</si>
  <si>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</si>
  <si>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</si>
  <si>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</si>
  <si>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</si>
  <si>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</si>
  <si>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</si>
  <si>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</si>
  <si>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</si>
  <si>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</si>
  <si>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</si>
  <si>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za</t>
  </si>
  <si>
    <t>JORGE ZAIBA/ARQUIVO DA EDITORA</t>
  </si>
  <si>
    <t>José Vitor Elorza Costa</t>
  </si>
  <si>
    <t>zv</t>
  </si>
  <si>
    <t>JOSÉ VITOR ELORZA/ARQUIVO DA EDITORA</t>
  </si>
  <si>
    <t>Jotabe Ilustração Infantil</t>
  </si>
  <si>
    <t>jb</t>
  </si>
  <si>
    <t>Julia Mello</t>
  </si>
  <si>
    <t>jm</t>
  </si>
  <si>
    <t>JULIA MELLO/ARQUIVO DA EDITORA</t>
  </si>
  <si>
    <t>Julia Ponnick</t>
  </si>
  <si>
    <t>jn</t>
  </si>
  <si>
    <t>JULIA PONNICK/ARQUIVO DA EDITORA</t>
  </si>
  <si>
    <t>Juliana Dacosta</t>
  </si>
  <si>
    <t>jx</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</si>
  <si>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</si>
  <si>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</si>
  <si>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</si>
  <si>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</si>
  <si>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</si>
  <si>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</si>
  <si>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</si>
  <si>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</si>
  <si>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</si>
  <si>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</si>
  <si>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</si>
  <si>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</si>
  <si>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</si>
  <si>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</si>
  <si>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</si>
  <si>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</si>
  <si>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kf</t>
  </si>
  <si>
    <t>KATHARINE FROTA/ARQUIVO DA EDITORA</t>
  </si>
  <si>
    <t>KEITHY MOSTACHI/ARQUIVO DA EDITORA</t>
  </si>
  <si>
    <t>Kendra Rubio da Silva</t>
  </si>
  <si>
    <t>ks</t>
  </si>
  <si>
    <t>KENDRA RUBIO/ARQUIVO DA EDITORA</t>
  </si>
  <si>
    <t>Kézia Trentini</t>
  </si>
  <si>
    <t>kt</t>
  </si>
  <si>
    <t>KÉZIA TRENTINI/ARQUIVO DA EDITORA</t>
  </si>
  <si>
    <t>Kirlley Velôso</t>
  </si>
  <si>
    <t>kv</t>
  </si>
  <si>
    <t>KIRLLEY VELÔSO/ARQUIVO DA EDITORA</t>
  </si>
  <si>
    <t>Klayton Luz</t>
  </si>
  <si>
    <t>kl</t>
  </si>
  <si>
    <t>KLAYTON LUZ/ARQUIVO DA EDITORA</t>
  </si>
  <si>
    <t>Kleber Maurício Coelho - GIZ DE CERA</t>
  </si>
  <si>
    <t>KLEBER MAURÍCIO COELHO/ARQUIVO DA EDITORA</t>
  </si>
  <si>
    <t>Laís Bicudo</t>
  </si>
  <si>
    <t>lc</t>
  </si>
  <si>
    <t>LAÍS BICUDO/ARQUIVO DA EDITORA</t>
  </si>
  <si>
    <t xml:space="preserve">Laís Cristina Caldonazzo Garbelini </t>
  </si>
  <si>
    <t>lg</t>
  </si>
  <si>
    <t>LAÍS GARBELINI/ARQUIVO DA EDITORA</t>
  </si>
  <si>
    <t>Leandro Júnior Pimenta</t>
  </si>
  <si>
    <t>lt</t>
  </si>
  <si>
    <t>LEANDRO PIMENTA/ARQUIVO DA EDITORA</t>
  </si>
  <si>
    <t>Leandro Lassmar</t>
  </si>
  <si>
    <t xml:space="preserve">ls </t>
  </si>
  <si>
    <t>LEANDRO LASSMAR /ARQUIVO DA EDITORA</t>
  </si>
  <si>
    <t>Leo Gibran</t>
  </si>
  <si>
    <t>le</t>
  </si>
  <si>
    <t>LEO GIBRAN/ARQUIVO DA EDITORA</t>
  </si>
  <si>
    <t>Leo Natsume</t>
  </si>
  <si>
    <t>ln</t>
  </si>
  <si>
    <t>LEO NATSUME/ARQUIVO DA EDITORA</t>
  </si>
  <si>
    <t>Leonardo de Moura Amaral - GIZ DE CERA</t>
  </si>
  <si>
    <t>la</t>
  </si>
  <si>
    <t>LEONARDO DE MOURA AMARAL/ARQUIVO DA EDITORA</t>
  </si>
  <si>
    <t>Leonardo Mari</t>
  </si>
  <si>
    <t>lm</t>
  </si>
  <si>
    <t>LEONARDO MARI/ARQUIVO DA EDITORA</t>
  </si>
  <si>
    <t>Letícia Ribeiro</t>
  </si>
  <si>
    <t>lr</t>
  </si>
  <si>
    <t>LETÍCIA RIBEIRO/ARQUIVO DA EDITORA</t>
  </si>
  <si>
    <t>Liberi</t>
  </si>
  <si>
    <t>l</t>
  </si>
  <si>
    <t>LIBERI/ARQUIVO DA EDITORA</t>
  </si>
  <si>
    <t>Lislley Velani</t>
  </si>
  <si>
    <t>ly</t>
  </si>
  <si>
    <t>LISLLEY GOMES FEIGE/ARQUIVO DA EDITORA</t>
  </si>
  <si>
    <t>Loquaz Design</t>
  </si>
  <si>
    <t>lq</t>
  </si>
  <si>
    <t>Lucas Kenzo Hamazaki</t>
  </si>
  <si>
    <t>kz</t>
  </si>
  <si>
    <t>KENZO HAMAZAKI/ARQUIVO DA EDITORA</t>
  </si>
  <si>
    <t>Lucas Palma</t>
  </si>
  <si>
    <t>lp</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</si>
  <si>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</si>
  <si>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</si>
  <si>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</si>
  <si>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</si>
  <si>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</si>
  <si>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</si>
  <si>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</si>
  <si>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</si>
  <si>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</si>
  <si>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</si>
  <si>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</si>
  <si>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LUIZ PEREZ LENTINI/ARQUIVO DA EDITORA</t>
  </si>
  <si>
    <t>Luiz Roberto Lúcio Correa</t>
  </si>
  <si>
    <t>bo</t>
  </si>
  <si>
    <t>LUIZ ROBERTO/ARQUIVO DA EDITORA</t>
  </si>
  <si>
    <t>Malu Menezes</t>
  </si>
  <si>
    <t>mx</t>
  </si>
  <si>
    <t>MALU MENEZES/ARQUIVO DA EDITORA</t>
  </si>
  <si>
    <t>Marcela Pialarissi</t>
  </si>
  <si>
    <t>ma</t>
  </si>
  <si>
    <t>MARCELA PIALARISSI/ARQUIVO DA EDITORA</t>
  </si>
  <si>
    <t>Marcello Araújo</t>
  </si>
  <si>
    <t>mj</t>
  </si>
  <si>
    <t>MARCELLO ARAUJO/ARQUIVO DA EDITORA</t>
  </si>
  <si>
    <t>Marcelo Castro</t>
  </si>
  <si>
    <t>mc</t>
  </si>
  <si>
    <t>MARCELO CASTRO/ARQUIVO DA EDITORA</t>
  </si>
  <si>
    <t>Marciano Palácio</t>
  </si>
  <si>
    <t>mz</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</si>
  <si>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</si>
  <si>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</si>
  <si>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</si>
  <si>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</si>
  <si>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</si>
  <si>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</si>
  <si>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</si>
  <si>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</si>
  <si>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</si>
  <si>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</si>
  <si>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</si>
  <si>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md</t>
  </si>
  <si>
    <t>MARIA GABRIELA GAMA/ARQUIVO DA EDITORA</t>
  </si>
  <si>
    <t>Minna Miná</t>
  </si>
  <si>
    <t>mq</t>
  </si>
  <si>
    <t>MINNA MINÁ/ARQUIVO DA EDITORA</t>
  </si>
  <si>
    <t>Mariana Valente</t>
  </si>
  <si>
    <t>mn</t>
  </si>
  <si>
    <t>MARIANA VALENTE/ARQUIVO DA EDITORA</t>
  </si>
  <si>
    <t>Marília Bruno</t>
  </si>
  <si>
    <t>mb</t>
  </si>
  <si>
    <t>MARÍLIA BRUNO/ARQUIVO DA EDITORA</t>
  </si>
  <si>
    <t>Marilia Pirilo</t>
  </si>
  <si>
    <t>mp</t>
  </si>
  <si>
    <t>MARILIA PIRILO/ARQUIVO DA EDITORA</t>
  </si>
  <si>
    <t>Mario Henrique Boaventura Nakano</t>
  </si>
  <si>
    <t>mh</t>
  </si>
  <si>
    <t>MARIO HENRIQUE/ARQUIVO DA EDITORA</t>
  </si>
  <si>
    <t>Marlowa</t>
  </si>
  <si>
    <t>mw</t>
  </si>
  <si>
    <t>MARLOWA/ARQUIVO DA EDITORA</t>
  </si>
  <si>
    <t>Maryane Vioto Silva</t>
  </si>
  <si>
    <t>mv</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</si>
  <si>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</si>
  <si>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</si>
  <si>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</si>
  <si>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</si>
  <si>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</si>
  <si>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</si>
  <si>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</si>
  <si>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</si>
  <si>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</si>
  <si>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</si>
  <si>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</si>
  <si>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</si>
  <si>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</si>
  <si>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</si>
  <si>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mg</t>
  </si>
  <si>
    <t>MELISSA GARABELI/ARQUIVO DA EDITORA</t>
  </si>
  <si>
    <t>Michael Altomani</t>
  </si>
  <si>
    <t>MICHEL ALTOMANI/ARQUIVO DA EDITORA</t>
  </si>
  <si>
    <t>Michel Ramalho</t>
  </si>
  <si>
    <t>mi</t>
  </si>
  <si>
    <t>MICHEL RAMALHO/ARQUIVO DA EDITORA</t>
  </si>
  <si>
    <t>Milena Godoy</t>
  </si>
  <si>
    <t xml:space="preserve">oy </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</si>
  <si>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</si>
  <si>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</si>
  <si>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</si>
  <si>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</si>
  <si>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</si>
  <si>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</si>
  <si>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</si>
  <si>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</si>
  <si>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</si>
  <si>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</si>
  <si>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Lima Bilmaia </t>
  </si>
  <si>
    <t>nb</t>
  </si>
  <si>
    <t>Nathalia Ichioka</t>
  </si>
  <si>
    <t>ni</t>
  </si>
  <si>
    <t>NATHALIA ICHIOKA/ARQUIVO DA EDITORA</t>
  </si>
  <si>
    <t xml:space="preserve">Nelson Akira Ishikawa </t>
  </si>
  <si>
    <t>ne</t>
  </si>
  <si>
    <t>NELSON ISHIKAWA /ARQUIVO DA EDITORA</t>
  </si>
  <si>
    <t>Nelson Cosentino</t>
  </si>
  <si>
    <t>nc</t>
  </si>
  <si>
    <t>NELSON COSENTINO/ARQUIVO DA EDITORA</t>
  </si>
  <si>
    <t>nf</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</si>
  <si>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</si>
  <si>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</si>
  <si>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</si>
  <si>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</si>
  <si>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</si>
  <si>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</si>
  <si>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</si>
  <si>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</si>
  <si>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</si>
  <si>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</si>
  <si>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</si>
  <si>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</si>
  <si>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</si>
  <si>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</si>
  <si>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</si>
  <si>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</si>
  <si>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</si>
  <si>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</si>
  <si>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</si>
  <si>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</si>
  <si>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</si>
  <si>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</si>
  <si>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</si>
  <si>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</si>
  <si>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</si>
  <si>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</si>
  <si>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</si>
  <si>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</si>
  <si>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</si>
  <si>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</si>
  <si>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</si>
  <si>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</si>
  <si>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</si>
  <si>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</si>
  <si>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</si>
  <si>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</si>
  <si>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</si>
  <si>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</si>
  <si>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</si>
  <si>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</si>
  <si>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</si>
  <si>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</si>
  <si>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</si>
  <si>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</si>
  <si>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DIANTE)/ARQUIVO DA EDITORA</t>
  </si>
  <si>
    <t>Quanta Studio (até 2013)</t>
  </si>
  <si>
    <t>qt</t>
  </si>
  <si>
    <t>QUANTA STUDIO (ATÉ 2013)/ARQUIVO DA EDITORA</t>
  </si>
  <si>
    <t xml:space="preserve">Rafael da Silva </t>
  </si>
  <si>
    <t>rd</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</si>
  <si>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</si>
  <si>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</si>
  <si>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</si>
  <si>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</si>
  <si>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</si>
  <si>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</si>
  <si>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</si>
  <si>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</si>
  <si>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</si>
  <si>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</si>
  <si>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</si>
  <si>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rn</t>
  </si>
  <si>
    <t>RAFAEL L. GAION/ARQUIVO DA EDITORA</t>
  </si>
  <si>
    <t>Rafael Luzio Rodrigues</t>
  </si>
  <si>
    <t>lz</t>
  </si>
  <si>
    <t>RAFAEL LUZIO/ARQUIVO DA EDITORA</t>
  </si>
  <si>
    <t>Rafael Martins - Somma</t>
  </si>
  <si>
    <t>Rafaela Harger</t>
  </si>
  <si>
    <t xml:space="preserve">rx </t>
  </si>
  <si>
    <t>RAFAELA HARGER/ARQUIVO DA EDITORA</t>
  </si>
  <si>
    <t>Rafaela Hidalgo Pereira</t>
  </si>
  <si>
    <t>rp</t>
  </si>
  <si>
    <t>RAFAELA H. PEREIRA/ARQUIVO DA EDITORA</t>
  </si>
  <si>
    <t>RAFAELA PANISSA/ARQUIVO DA EDITORA</t>
  </si>
  <si>
    <t>Raíssa Bulhões</t>
  </si>
  <si>
    <t>rs</t>
  </si>
  <si>
    <t>RAÍSSA BULHÕES/ARQUIVO DA EDITORA</t>
  </si>
  <si>
    <t>Raitan Ohi</t>
  </si>
  <si>
    <t>rt</t>
  </si>
  <si>
    <t>RAITAN OHI/ARQUIVO DA EDITORA</t>
  </si>
  <si>
    <t>Raquel Silva</t>
  </si>
  <si>
    <t>rq</t>
  </si>
  <si>
    <t>RAQUEL SILVA/ARQUIVO DA EDITORA</t>
  </si>
  <si>
    <t>Raul Aguiar</t>
  </si>
  <si>
    <t>ra</t>
  </si>
  <si>
    <t>RAUL AGUIAR/ARQUIVO DA EDITORA</t>
  </si>
  <si>
    <t>Rayanne Cardoso</t>
  </si>
  <si>
    <t>ay</t>
  </si>
  <si>
    <t>RAYANNE CARDOSO/ARQUIVO DA EDITORA</t>
  </si>
  <si>
    <t>Rebecca Baniski</t>
  </si>
  <si>
    <t>bk</t>
  </si>
  <si>
    <t>REBECCA BANISKI/ARQUIVO DA EDITORA</t>
  </si>
  <si>
    <t>Reinaldo Rosa - Ideario Lab</t>
  </si>
  <si>
    <t>il</t>
  </si>
  <si>
    <t>Renan de Oliveira Fonseca</t>
  </si>
  <si>
    <t>RENAN FONSECA/ARQUIVO DA EDITORA</t>
  </si>
  <si>
    <t>Renan Nuche</t>
  </si>
  <si>
    <t>rz</t>
  </si>
  <si>
    <t>RENAN NUCHE/ARQUIVO DA EDITORA</t>
  </si>
  <si>
    <t>Renato Rodrigues</t>
  </si>
  <si>
    <t>xr</t>
  </si>
  <si>
    <t>RENATO RODRIGUES/ARQUIVO DA EDITORA</t>
  </si>
  <si>
    <t>Rivaldo Ferreira Barboza Filho</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</si>
  <si>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</si>
  <si>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</si>
  <si>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</si>
  <si>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</si>
  <si>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</si>
  <si>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</si>
  <si>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</si>
  <si>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</si>
  <si>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</si>
  <si>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</si>
  <si>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</si>
  <si>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</si>
  <si>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</si>
  <si>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</si>
  <si>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rk</t>
  </si>
  <si>
    <t>RODRIGO CORDEIRO/ARQUIVO DA EDITORA</t>
  </si>
  <si>
    <t>Rodrigo Gafa</t>
  </si>
  <si>
    <t>ro</t>
  </si>
  <si>
    <t>RODRIGO GAFA/ARQUIVO DA EDITORA</t>
  </si>
  <si>
    <t>Roger Cartoon</t>
  </si>
  <si>
    <t>rg</t>
  </si>
  <si>
    <t>ROGER CARTOON/ARQUIVO DA EDITORA</t>
  </si>
  <si>
    <t xml:space="preserve">Rogério Casagrande </t>
  </si>
  <si>
    <t>rr</t>
  </si>
  <si>
    <t>ROGÉRIO CASAGRANDE/ARQUIVO DA EDITORA</t>
  </si>
  <si>
    <t>Rogério Coelho</t>
  </si>
  <si>
    <t>rc</t>
  </si>
  <si>
    <t>ROGÉRIO COELHO /ARQUIVO DA EDITORA</t>
  </si>
  <si>
    <t>Ronaldo Inácio De Lucena</t>
  </si>
  <si>
    <t>ri</t>
  </si>
  <si>
    <t>RONALDO LUCENA/ARQUIVO DA EDITORA</t>
  </si>
  <si>
    <t>Rosana Urbes</t>
  </si>
  <si>
    <t>ru</t>
  </si>
  <si>
    <t>ROSANA URBES/ARQUIVO DA EDITORA</t>
  </si>
  <si>
    <t>RS2 Comunicação</t>
  </si>
  <si>
    <t>sm</t>
  </si>
  <si>
    <t>RS2 COMUNICAÇÃO/ARQUIVO DA EDITORA</t>
  </si>
  <si>
    <t>Sabrina Eras</t>
  </si>
  <si>
    <t>se</t>
  </si>
  <si>
    <t>SABRINA ERAS/ARQUIVO DA EDITORA</t>
  </si>
  <si>
    <t>Samanta Flôor</t>
  </si>
  <si>
    <t>sf</t>
  </si>
  <si>
    <t>SAMANDA FLÔOR/ARQUIVO DA EDITORA</t>
  </si>
  <si>
    <t xml:space="preserve">Samuel Silva Nascimento </t>
  </si>
  <si>
    <t>sa</t>
  </si>
  <si>
    <t>SAMUEL SILVA/ARQUIVO DA EDITORA</t>
  </si>
  <si>
    <t>Saulo Nunes Marques</t>
  </si>
  <si>
    <t>sq</t>
  </si>
  <si>
    <t>SAULO NUNES/ARQUIVO DA EDITORA</t>
  </si>
  <si>
    <t>Sergio Luiz de Lima Filho</t>
  </si>
  <si>
    <t>SERGIO LIMA/ARQUIVO DA EDITORA</t>
  </si>
  <si>
    <t>Sidney Siqueira Meireles</t>
  </si>
  <si>
    <t>sd</t>
  </si>
  <si>
    <t>SIDNEY SIQUEIRA MEIRELES/ARQUIVO DA EDITORA</t>
  </si>
  <si>
    <t>Silvia Otofuji</t>
  </si>
  <si>
    <t>so</t>
  </si>
  <si>
    <t>SILVIA OTOFUJI/ARQUIVO DA EDITORA</t>
  </si>
  <si>
    <t>Simone Bellusci Cavalcante</t>
  </si>
  <si>
    <t>si</t>
  </si>
  <si>
    <t>SIMONE/ARQUIVO DA EDITORA</t>
  </si>
  <si>
    <t>Sonia Horn</t>
  </si>
  <si>
    <t>sh</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</si>
  <si>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</si>
  <si>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</si>
  <si>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</si>
  <si>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</si>
  <si>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</si>
  <si>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</si>
  <si>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</si>
  <si>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</si>
  <si>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</si>
  <si>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</si>
  <si>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</si>
  <si>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</si>
  <si>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</si>
  <si>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</si>
  <si>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</si>
  <si>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</si>
  <si>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</si>
  <si>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</si>
  <si>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</si>
  <si>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</si>
  <si>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</si>
  <si>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</si>
  <si>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</si>
  <si>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</si>
  <si>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</si>
  <si>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</si>
  <si>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</si>
  <si>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</si>
  <si>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Tamires Azevedo</t>
  </si>
  <si>
    <t>tr</t>
  </si>
  <si>
    <t>TAMIRES AZEVEDO/ARQUIVO DA EDITORA</t>
  </si>
  <si>
    <t>Tânia Machado</t>
  </si>
  <si>
    <t>tm</t>
  </si>
  <si>
    <t>TÂNIA MACHADO/ARQUIVO DA EDITORA</t>
  </si>
  <si>
    <t xml:space="preserve">Tatiana Paiva </t>
  </si>
  <si>
    <t>tp</t>
  </si>
  <si>
    <t>TATIANA PAIVA/ARQUIVO DA EDITORA</t>
  </si>
  <si>
    <t>TATIANE GALHEIRO/ARQUIVO DA EDITORA</t>
  </si>
  <si>
    <t>Thais Castro</t>
  </si>
  <si>
    <t>tc</t>
  </si>
  <si>
    <t>THAIS CASTRO/ARQUIVO DA EDITORA</t>
  </si>
  <si>
    <t>Thamires Paredes - Universo Paralelo</t>
  </si>
  <si>
    <t>th</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</si>
  <si>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</si>
  <si>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</si>
  <si>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</si>
  <si>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</si>
  <si>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</si>
  <si>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</si>
  <si>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</si>
  <si>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</si>
  <si>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</si>
  <si>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</si>
  <si>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</si>
  <si>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</si>
  <si>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</si>
  <si>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</si>
  <si>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</si>
  <si>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</si>
  <si>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</si>
  <si>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</si>
  <si>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</si>
  <si>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vo</t>
  </si>
  <si>
    <t>VERIDIANA PEGORARO CAMELO/ARQUIVO DA EDITORA</t>
  </si>
  <si>
    <t xml:space="preserve">Veridiana Scarpelli - IMAGERIA ESTUDIO </t>
  </si>
  <si>
    <t>vs</t>
  </si>
  <si>
    <t>VERIDIANA SCARPELLI/ARQUIVO DA EDITORA</t>
  </si>
  <si>
    <t>Victor Ferreira Lemos</t>
  </si>
  <si>
    <t>VICTOR LEMOS/ARQUIVO DA EDITORA</t>
  </si>
  <si>
    <t>VINÍCIUS COSTA/ARQUIVO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</si>
  <si>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</si>
  <si>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</si>
  <si>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</si>
  <si>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</si>
  <si>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</si>
  <si>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</si>
  <si>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</si>
  <si>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</si>
  <si>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</si>
  <si>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</si>
  <si>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</si>
  <si>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</si>
  <si>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</si>
  <si>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</si>
  <si>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</si>
  <si>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</si>
  <si>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WERLLEN HOLANDA/ARQUIVO DA EDITORA</t>
  </si>
  <si>
    <t>PRÉ-EDIÇÃO</t>
  </si>
  <si>
    <t>CAPA</t>
  </si>
  <si>
    <t>SCRIBA</t>
  </si>
  <si>
    <t>PREVISAO</t>
  </si>
  <si>
    <t>EDICAO_EQUIPE</t>
  </si>
  <si>
    <t>IL TEC ARTE</t>
  </si>
  <si>
    <t>APRESENT.</t>
  </si>
  <si>
    <t>FTD</t>
  </si>
  <si>
    <t>SUMÁRIO</t>
  </si>
  <si>
    <t>MDN</t>
  </si>
  <si>
    <t>FINALIZADO RAFE</t>
  </si>
  <si>
    <t>ILUSTRANDO</t>
  </si>
  <si>
    <t>ABERTURA</t>
  </si>
  <si>
    <t>SABER</t>
  </si>
  <si>
    <t>SM</t>
  </si>
  <si>
    <t>LINHA TEMPO</t>
  </si>
  <si>
    <t>PAG.ESPECIAL</t>
  </si>
  <si>
    <t>SCP</t>
  </si>
  <si>
    <t>FINALIZANDO</t>
  </si>
  <si>
    <t>INFOGRÁFICO</t>
  </si>
  <si>
    <t>MP-G</t>
  </si>
  <si>
    <t>ÚNICO</t>
  </si>
  <si>
    <t>ABR</t>
  </si>
  <si>
    <t>MP-E</t>
  </si>
  <si>
    <t>BASE</t>
  </si>
  <si>
    <t>IBEP</t>
  </si>
  <si>
    <t>LEYA</t>
  </si>
  <si>
    <t>SARAIVA</t>
  </si>
  <si>
    <t>SANTILLANA</t>
  </si>
  <si>
    <t>QUINTETO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</si>
</sst>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0"/>
      <name val="Aptos Narrow"/>
      <family val="2"/>
      <scheme val="minor"/>
    </font>
    <font>
      <sz val="9"/>
      <color indexed="81"/>
      <name val="Segoe UI"/>
      <family val="2"/>
    </font>
    <font>
      <b/>
      <sz val="9"/>
      <color indexed="81"/>
      <name val="Segoe UI"/>
      <family val="2"/>
    </font>
    <font>
      <sz val="10"/>
      <color theme="1"/>
      <name val="Arial"/>
      <family val="2"/>
    </font>
    <font>
      <sz val="11"/>
      <color rgb="FF000000"/>
      <name val="Aptos Narrow"/>
      <family val="2"/>
    </font>
    <font>
      <sz val="11"/>
      <color rgb="FF000000"/>
      <name val="Aptos Narrow"/>
      <family val="2"/>
      <scheme val="minor"/>
    </font>
    <font>
      <sz val="16"/>
      <color theme="0"/>
      <name val="Aptos Narrow"/>
      <family val="2"/>
      <scheme val="minor"/>
    </font>
    <font>
      <b/>
      <sz val="16"/>
      <color theme="0"/>
      <name val="Aptos Narrow"/>
      <family val="2"/>
      <scheme val="minor"/>
    </font>
    <font>
      <sz val="11"/>
      <name val="Arial Narrow"/>
      <family val="2"/>
    </font>
    <font>
      <sz val="11"/>
      <color rgb="FF000000"/>
      <name val="Aptos Narrow"/>
      <charset val="1"/>
    </font>
    <font>
      <sz val="11"/>
      <color rgb="FF242424"/>
      <name val="Aptos Narrow"/>
      <charset val="1"/>
    </font>
    <font>
      <sz val="11"/>
      <color rgb="FF000000"/>
      <name val="Aptos Narrow"/>
    </font>
  </fonts>
  <fills count="11">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rgb="FFC00000"/>
        <bgColor indexed="64"/>
      </patternFill>
    </fill>
    <fill>
      <patternFill patternType="solid">
        <fgColor theme="0"/>
        <bgColor indexed="64"/>
      </patternFill>
    </fill>
  </fills>
  <borders count="7">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theme="9"/>
      </right>
      <top style="thin">
        <color theme="9"/>
      </top>
      <bottom/>
      <diagonal/>
    </border>
  </borders>
  <cellStyleXfs count="1">
    <xf numFmtId="0" fontId="0" fillId="0" borderId="0"/>
  </cellStyleXfs>
  <cellXfs count="39">
    <xf numFmtId="0" fontId="0" fillId="0" borderId="0" xfId="0"/>
    <xf numFmtId="0" fontId="4" fillId="7" borderId="0" xfId="0" applyFont="1" applyFill="1" applyAlignment="1">
      <alignment vertical="center"/>
    </xf>
    <xf numFmtId="0" fontId="4"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4" fillId="8" borderId="0" xfId="0" applyFont="1" applyFill="1" applyAlignment="1">
      <alignment vertical="center"/>
    </xf>
    <xf numFmtId="0" fontId="4" fillId="7" borderId="0" xfId="0" applyFont="1" applyFill="1" applyAlignment="1">
      <alignment horizontal="center" vertical="center" wrapText="1"/>
    </xf>
    <xf numFmtId="0" fontId="5" fillId="0" borderId="0" xfId="0" applyFont="1" applyAlignment="1">
      <alignment vertical="center"/>
    </xf>
    <xf numFmtId="0" fontId="6" fillId="0" borderId="0" xfId="0" applyFont="1"/>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0" fillId="0" borderId="0" xfId="0" applyProtection="1">
      <protection locked="0"/>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vertical="center"/>
    </xf>
    <xf numFmtId="0" fontId="0" fillId="0" borderId="0" xfId="0" applyAlignment="1" applyProtection="1">
      <alignment horizontal="left" vertical="center" wrapText="1"/>
      <protection locked="0"/>
    </xf>
    <xf numFmtId="0" fontId="9" fillId="10" borderId="5" xfId="0" applyFont="1" applyFill="1" applyBorder="1" applyAlignment="1">
      <alignment horizontal="left"/>
    </xf>
    <xf numFmtId="0" fontId="9" fillId="10" borderId="5" xfId="0" applyFont="1" applyFill="1" applyBorder="1" applyAlignment="1">
      <alignment horizontal="left" vertical="center"/>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10" fillId="0" borderId="0" xfId="0" applyFont="1" applyProtection="1">
      <protection locked="0"/>
    </xf>
    <xf numFmtId="0" fontId="10" fillId="0" borderId="0" xfId="0" applyFont="1" applyAlignment="1" applyProtection="1">
      <alignment horizontal="center" vertical="center"/>
      <protection locked="0"/>
    </xf>
    <xf numFmtId="0" fontId="0" fillId="0" borderId="0" xfId="0" applyAlignment="1">
      <alignment horizontal="left" vertical="center" wrapText="1"/>
    </xf>
    <xf numFmtId="0" fontId="11" fillId="0" borderId="0" xfId="0" applyFont="1"/>
    <xf numFmtId="0" fontId="12" fillId="0" borderId="6" xfId="0" applyFont="1" applyBorder="1" applyAlignment="1">
      <alignment vertical="center"/>
    </xf>
    <xf numFmtId="0" fontId="8" fillId="9" borderId="0" xfId="0" applyFont="1" applyFill="1" applyAlignment="1">
      <alignment horizontal="center" wrapText="1"/>
    </xf>
    <xf numFmtId="0" fontId="7" fillId="9" borderId="0" xfId="0" applyFont="1" applyFill="1" applyAlignment="1">
      <alignment horizontal="center" wrapText="1"/>
    </xf>
  </cellXfs>
  <cellStyles count="1">
    <cellStyle name="Normal" xfId="0" builtinId="0"/>
  </cellStyles>
  <dxfs count="34">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dxf>
    <dxf>
      <numFmt numFmtId="0" formatCode="General"/>
      <alignment horizontal="general" vertical="center" textRotation="0" indent="0" justifyLastLine="0" shrinkToFit="0" readingOrder="0"/>
      <protection locked="1"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center" vertical="center" textRotation="0" indent="0" justifyLastLine="0" shrinkToFit="0" readingOrder="0"/>
      <protection locked="0" hidden="0"/>
    </dxf>
    <dxf>
      <numFmt numFmtId="0" formatCode="General"/>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numFmt numFmtId="0" formatCode="General"/>
      <alignment horizontal="general" vertical="center" textRotation="0" indent="0" justifyLastLine="0" shrinkToFit="0" readingOrder="0"/>
      <protection locked="1" hidden="0"/>
    </dxf>
    <dxf>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vertical="center"/>
      <protection locked="0" hidden="0"/>
    </dxf>
    <dxf>
      <protection locked="0" hidden="0"/>
    </dxf>
    <dxf>
      <alignment horizontal="center" vertical="center" textRotation="0" wrapText="1" indent="0" justifyLastLine="0" shrinkToFit="0" readingOrder="0"/>
    </dxf>
  </dxfs>
  <tableStyles count="0" defaultTableStyle="TableStyleMedium2" defaultPivotStyle="PivotStyleLight16"/>
  <colors>
    <mruColors>
      <color rgb="FFCC9900"/>
      <color rgb="FF8D8A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E500" totalsRowShown="0" headerRowDxfId="33" dataDxfId="32">
  <autoFilter ref="A1:AE500" xr:uid="{26F14978-443C-43BF-BBAB-3AC6D5A7AEE7}"/>
  <tableColumns count="31">
    <tableColumn id="1" xr3:uid="{47B2C718-3485-46B9-AADB-7CD6614C956B}" name="RETRANCA" dataDxfId="31"/>
    <tableColumn id="2" xr3:uid="{6F20D1A7-51B1-4A53-83CF-50614FC1E87E}" name="STATUS" dataDxfId="30"/>
    <tableColumn id="3" xr3:uid="{E8572E99-0AB2-49AE-9897-F535E78DC59B}" name="CATEGORIA" dataDxfId="29"/>
    <tableColumn id="4" xr3:uid="{3BAA2E23-8D96-41DB-870E-717EF9F01497}" name="LOCALIZAÇÃO" dataDxfId="28"/>
    <tableColumn id="5" xr3:uid="{1B97AF7C-996A-498F-8E4F-F5114662DCAE}" name="PÁGINA" dataDxfId="27"/>
    <tableColumn id="6" xr3:uid="{701EC8BF-5D46-4F01-9E72-37F5C84C6204}" name="VOLUME" dataDxfId="26"/>
    <tableColumn id="7" xr3:uid="{42115F63-2A60-4768-BBD4-D907E57CB424}" name="UNIDADE" dataDxfId="25"/>
    <tableColumn id="8" xr3:uid="{8E407FD3-50F6-4CC1-A2B4-EDA18ADCE3EB}" name="CAPÍTULO _x000a_ ou_x000a_ SEÇÃO" dataDxfId="24"/>
    <tableColumn id="9" xr3:uid="{F6258D69-7676-4635-B739-B385D000AE2F}" name="TIPO" dataDxfId="23"/>
    <tableColumn id="10" xr3:uid="{4DD8887C-979F-4883-A85F-C815DE05EFC4}" name="NOME DA OBRA_x000a_ PARA RESGATE" dataDxfId="22"/>
    <tableColumn id="11" xr3:uid="{6AE351D3-5B1B-4747-80E2-2C6E7096156C}" name="PÁGINA PARA RESGATE" dataDxfId="21"/>
    <tableColumn id="12" xr3:uid="{952EC93C-92B5-4133-9AEA-04AF281045BE}" name="VOLUME PARA RESGATE" dataDxfId="20"/>
    <tableColumn id="13" xr3:uid="{57087D3E-8F9F-4743-8F04-3C6E29F5FEF7}" name="VERSÃO PARA RESGATE" dataDxfId="19"/>
    <tableColumn id="14" xr3:uid="{C9E5A9B8-DDE9-4844-B5BF-DF220C1DD168}" name="PROPRIEDADE" dataDxfId="18"/>
    <tableColumn id="15" xr3:uid="{562820C1-46A0-42B2-950F-AED0FB5E62E7}" name="DESCRIÇÃO DA IMAGEM" dataDxfId="17"/>
    <tableColumn id="16" xr3:uid="{74B35159-51E4-4B24-95E5-61AED7353975}" name="ILUSTRADOR RESGATE" dataDxfId="16"/>
    <tableColumn id="17" xr3:uid="{9EC1C14E-FE8F-416B-8F0B-F1829EFD032D}" name="OBSERVAÇÃO DO EDITORIAL/NÚCLEO" dataDxfId="15"/>
    <tableColumn id="18" xr3:uid="{1445C9B1-3AFA-4B92-985F-63C0113E7064}" name="LOTE" dataDxfId="14"/>
    <tableColumn id="19" xr3:uid="{DC238784-0E4D-4DC4-B1E6-1E19ACD2AA8D}" name="DATA DE LIBERAÇÃO DO LOTE PARA ARTE " dataDxfId="13"/>
    <tableColumn id="20" xr3:uid="{0C20AC60-0820-4D59-B1C1-6D84A4B9FA66}" name="DATA DE ENVIO _x000a_DO PEDIDO" dataDxfId="12"/>
    <tableColumn id="21" xr3:uid="{DDDDF8E2-4440-46FA-8A2E-11BFA188E1C2}" name="DATA DO RECEBIMENTO _x000a_DO RAFE" dataDxfId="11"/>
    <tableColumn id="22" xr3:uid="{FE78F000-3E98-407F-A684-34560ED2CEE0}" name="DATA DE RETORNO DO RAFE PARA ILUSTRADOR" dataDxfId="10"/>
    <tableColumn id="23" xr3:uid="{2847C90F-EB07-4DB4-B575-0FC03C222849}" name="DATA DE RECEBIMENTO_x000a_ DA FINALIZADA" dataDxfId="9"/>
    <tableColumn id="24" xr3:uid="{14797CE0-E66E-45A5-8181-5A2482F775E9}" name="SIGLA" dataDxfId="8"/>
    <tableColumn id="25" xr3:uid="{A1C665BD-8ED6-4CD6-88D0-C67BAF49562F}" name="ILUSTRADOR CRIAÇÃO" dataDxfId="7">
      <calculatedColumnFormula>IF(Tabela2[[#This Row],[SIGLA]]="","",VLOOKUP(Tabela2[[#This Row],[SIGLA]],Tabela14[[#All],[Sigla Arte]:[Crédito]],2,0))</calculatedColumnFormula>
    </tableColumn>
    <tableColumn id="26" xr3:uid="{12E00CAD-6FD2-4BBD-B590-5DBCF5457DD0}" name="ILUSTRADOR AJUSTES" dataDxfId="6"/>
    <tableColumn id="27" xr3:uid="{DB4DAD23-FDE3-4C38-AFEF-6E9484181939}" name="CRÉDITOS  (A e B)" dataDxfId="5">
      <calculatedColumnFormula>Tabela2[[#This Row],[ILUSTRADOR CRIAÇÃO]]</calculatedColumnFormula>
    </tableColumn>
    <tableColumn id="28" xr3:uid="{A2773F6F-7648-4C4E-A050-6FF08F4C6FD3}" name="CLASSIFICAÇÃO" dataDxfId="4"/>
    <tableColumn id="29" xr3:uid="{5A4B66D0-8557-4F1B-921F-35C87DD256F5}" name="OBSERVAÇÃO DA ARTE" dataDxfId="3"/>
    <tableColumn id="30" xr3:uid="{EB5C8D02-71DF-417B-98C8-2041FFF8D781}" name="OBSERVAÇÃO DE PAGAMENTO" dataDxfId="2"/>
    <tableColumn id="31" xr3:uid="{81BC28F8-346B-49BF-9B96-5CACD15820DD}" name="PROJETO" dataDxfId="1">
      <calculatedColumnFormula>"EF1 E001 Geo"</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E0B177-5657-4945-AE88-AF95677B4235}" name="Tabela14" displayName="Tabela14" ref="A2:C334" totalsRowShown="0">
  <autoFilter ref="A2:C334" xr:uid="{27E0B177-5657-4945-AE88-AF95677B4235}"/>
  <tableColumns count="3">
    <tableColumn id="1" xr3:uid="{F26AFD61-8037-4008-BEFA-9935596011CB}" name="Nome do ilustrador"/>
    <tableColumn id="2" xr3:uid="{6E3E6F3B-EC94-4D5B-8BEA-987BBA7A5916}" name="Sigla Arte"/>
    <tableColumn id="3" xr3:uid="{52312DA4-A4AA-4886-B20E-B6D109FBF12D}" name="Crédito" dataDxfId="0"/>
  </tableColumns>
  <tableStyleInfo name="TableStyleLight1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E500"/>
  <sheetViews>
    <sheetView tabSelected="1" zoomScaleNormal="100" workbookViewId="0">
      <pane xSplit="1" ySplit="1" topLeftCell="T16" activePane="bottomRight" state="frozen"/>
      <selection pane="topRight"/>
      <selection pane="bottomLeft" activeCell="A2" sqref="A2"/>
      <selection pane="bottomRight" activeCell="Y16" sqref="Y16"/>
    </sheetView>
  </sheetViews>
  <sheetFormatPr defaultRowHeight="15" x14ac:dyDescent="0.25"/>
  <cols>
    <col min="1" max="1" width="26.28515625" style="4" customWidth="1"/>
    <col min="2" max="2" width="15.28515625" style="22" bestFit="1" customWidth="1"/>
    <col min="3" max="3" width="16.140625" style="22" bestFit="1" customWidth="1"/>
    <col min="4" max="4" width="15.28515625" style="22" customWidth="1"/>
    <col min="5" max="5" width="12.42578125" style="3" bestFit="1" customWidth="1"/>
    <col min="6" max="6" width="10.5703125" style="3" customWidth="1"/>
    <col min="7" max="7" width="11.140625" style="3" customWidth="1"/>
    <col min="8" max="8" width="13.5703125" style="3" customWidth="1"/>
    <col min="9" max="9" width="9.7109375" style="4" bestFit="1" customWidth="1"/>
    <col min="10" max="10" width="21.28515625" style="4" hidden="1" customWidth="1"/>
    <col min="11" max="11" width="12.85546875" style="3" hidden="1" customWidth="1"/>
    <col min="12" max="12" width="14" style="3" hidden="1" customWidth="1"/>
    <col min="13" max="13" width="15.28515625" style="4" hidden="1" customWidth="1"/>
    <col min="14" max="14" width="16.5703125" style="4" customWidth="1"/>
    <col min="15" max="15" width="54.42578125" style="34" customWidth="1"/>
    <col min="16" max="16" width="1.42578125" style="22" hidden="1" customWidth="1"/>
    <col min="17" max="17" width="12.42578125" style="22" customWidth="1"/>
    <col min="18" max="18" width="14" style="3" customWidth="1"/>
    <col min="19" max="19" width="15.5703125" style="26" customWidth="1"/>
    <col min="20" max="23" width="18.7109375" style="26" customWidth="1"/>
    <col min="24" max="24" width="8.85546875" style="3" customWidth="1"/>
    <col min="25" max="25" width="62.7109375" style="4" customWidth="1"/>
    <col min="26" max="26" width="24.7109375" style="4" customWidth="1"/>
    <col min="27" max="27" width="72.7109375" style="4" customWidth="1"/>
    <col min="28" max="28" width="16.5703125" style="3" customWidth="1"/>
    <col min="29" max="29" width="35.5703125" style="22" customWidth="1"/>
    <col min="30" max="30" width="19.42578125" style="21" customWidth="1"/>
    <col min="31" max="31" width="13.7109375" style="4" bestFit="1" customWidth="1"/>
  </cols>
  <sheetData>
    <row r="1" spans="1:31" s="12" customFormat="1" ht="60" x14ac:dyDescent="0.25">
      <c r="A1" s="9"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9" t="s">
        <v>15</v>
      </c>
      <c r="Q1" s="10" t="s">
        <v>16</v>
      </c>
      <c r="R1" s="10" t="s">
        <v>17</v>
      </c>
      <c r="S1" s="18" t="s">
        <v>18</v>
      </c>
      <c r="T1" s="15" t="s">
        <v>19</v>
      </c>
      <c r="U1" s="15" t="s">
        <v>20</v>
      </c>
      <c r="V1" s="15" t="s">
        <v>21</v>
      </c>
      <c r="W1" s="16" t="s">
        <v>22</v>
      </c>
      <c r="X1" s="11" t="s">
        <v>23</v>
      </c>
      <c r="Y1" s="13" t="s">
        <v>24</v>
      </c>
      <c r="Z1" s="11" t="s">
        <v>25</v>
      </c>
      <c r="AA1" s="13" t="s">
        <v>26</v>
      </c>
      <c r="AB1" s="11" t="s">
        <v>27</v>
      </c>
      <c r="AC1" s="11" t="s">
        <v>28</v>
      </c>
      <c r="AD1" s="20" t="s">
        <v>29</v>
      </c>
      <c r="AE1" s="17" t="s">
        <v>30</v>
      </c>
    </row>
    <row r="2" spans="1:31" s="14" customFormat="1" ht="105" x14ac:dyDescent="0.25">
      <c r="A2" s="21" t="s">
        <v>31</v>
      </c>
      <c r="B2" s="21" t="s">
        <v>32</v>
      </c>
      <c r="C2" s="21" t="s">
        <v>33</v>
      </c>
      <c r="D2" s="21" t="s">
        <v>34</v>
      </c>
      <c r="E2" s="23">
        <v>25</v>
      </c>
      <c r="F2" s="23">
        <v>4</v>
      </c>
      <c r="G2" s="23">
        <v>1</v>
      </c>
      <c r="H2" s="23"/>
      <c r="I2" s="24" t="s">
        <v>35</v>
      </c>
      <c r="J2" s="24"/>
      <c r="K2" s="23"/>
      <c r="L2" s="23"/>
      <c r="M2" s="24"/>
      <c r="N2" s="24"/>
      <c r="O2" s="27" t="s">
        <v>36</v>
      </c>
      <c r="P2" s="27"/>
      <c r="Q2" s="27"/>
      <c r="R2" s="23">
        <v>1</v>
      </c>
      <c r="S2" s="25">
        <v>45707</v>
      </c>
      <c r="T2" s="25">
        <v>45707</v>
      </c>
      <c r="U2" s="25"/>
      <c r="V2" s="25"/>
      <c r="W2" s="25">
        <v>45713</v>
      </c>
      <c r="X2" s="23" t="s">
        <v>37</v>
      </c>
      <c r="Y2" s="4" t="str">
        <f>IF(Tabela2[[#This Row],[SIGLA]]="","",VLOOKUP(Tabela2[[#This Row],[SIGLA]],Tabela14[[#All],[Sigla Arte]:[Crédito]],2,0))</f>
        <v>EDSON BELLUSCI/ARQUIVO DA EDITORA</v>
      </c>
      <c r="Z2" s="24" t="s">
        <v>38</v>
      </c>
      <c r="AA2" s="24" t="str">
        <f>Tabela2[[#This Row],[ILUSTRADOR CRIAÇÃO]]</f>
        <v>EDSON BELLUSCI/ARQUIVO DA EDITORA</v>
      </c>
      <c r="AB2" s="23">
        <v>14</v>
      </c>
      <c r="AC2" s="21" t="s">
        <v>39</v>
      </c>
      <c r="AD2" s="21" t="s">
        <v>40</v>
      </c>
      <c r="AE2" s="4" t="str">
        <f t="shared" ref="AE2:AE65" si="0">"EF1 E001 Geo"</f>
        <v>EF1 E001 Geo</v>
      </c>
    </row>
    <row r="3" spans="1:31" s="14" customFormat="1" ht="90" x14ac:dyDescent="0.25">
      <c r="A3" s="24" t="s">
        <v>41</v>
      </c>
      <c r="B3" s="21" t="s">
        <v>32</v>
      </c>
      <c r="C3" s="21" t="s">
        <v>33</v>
      </c>
      <c r="D3" s="21" t="s">
        <v>34</v>
      </c>
      <c r="E3" s="23">
        <v>37</v>
      </c>
      <c r="F3" s="23">
        <v>4</v>
      </c>
      <c r="G3" s="23">
        <v>1</v>
      </c>
      <c r="H3" s="23"/>
      <c r="I3" s="24" t="s">
        <v>35</v>
      </c>
      <c r="J3" s="24"/>
      <c r="K3" s="23"/>
      <c r="L3" s="23"/>
      <c r="M3" s="24"/>
      <c r="N3" s="24"/>
      <c r="O3" s="27" t="s">
        <v>42</v>
      </c>
      <c r="P3" s="27"/>
      <c r="Q3" s="27"/>
      <c r="R3" s="23">
        <v>1</v>
      </c>
      <c r="S3" s="25">
        <v>45707</v>
      </c>
      <c r="T3" s="25">
        <v>45707</v>
      </c>
      <c r="U3" s="25"/>
      <c r="V3" s="25"/>
      <c r="W3" s="25">
        <v>45713</v>
      </c>
      <c r="X3" s="23" t="s">
        <v>37</v>
      </c>
      <c r="Y3" s="4" t="str">
        <f>IF(Tabela2[[#This Row],[SIGLA]]="","",VLOOKUP(Tabela2[[#This Row],[SIGLA]],Tabela14[[#All],[Sigla Arte]:[Crédito]],2,0))</f>
        <v>EDSON BELLUSCI/ARQUIVO DA EDITORA</v>
      </c>
      <c r="Z3" s="24" t="s">
        <v>38</v>
      </c>
      <c r="AA3" s="24" t="str">
        <f>Tabela2[[#This Row],[ILUSTRADOR CRIAÇÃO]]</f>
        <v>EDSON BELLUSCI/ARQUIVO DA EDITORA</v>
      </c>
      <c r="AB3" s="23">
        <v>14</v>
      </c>
      <c r="AC3" s="21" t="s">
        <v>39</v>
      </c>
      <c r="AD3" s="21" t="s">
        <v>40</v>
      </c>
      <c r="AE3" s="4" t="str">
        <f t="shared" si="0"/>
        <v>EF1 E001 Geo</v>
      </c>
    </row>
    <row r="4" spans="1:31" s="14" customFormat="1" ht="90" x14ac:dyDescent="0.25">
      <c r="A4" s="24" t="s">
        <v>43</v>
      </c>
      <c r="B4" s="21" t="s">
        <v>32</v>
      </c>
      <c r="C4" s="21" t="s">
        <v>33</v>
      </c>
      <c r="D4" s="21" t="s">
        <v>34</v>
      </c>
      <c r="E4" s="23">
        <v>78</v>
      </c>
      <c r="F4" s="23">
        <v>4</v>
      </c>
      <c r="G4" s="23">
        <v>3</v>
      </c>
      <c r="H4" s="23"/>
      <c r="I4" s="24" t="s">
        <v>35</v>
      </c>
      <c r="J4" s="24"/>
      <c r="K4" s="23"/>
      <c r="L4" s="23"/>
      <c r="M4" s="24"/>
      <c r="N4" s="24"/>
      <c r="O4" s="27" t="s">
        <v>44</v>
      </c>
      <c r="P4" s="27"/>
      <c r="Q4" s="27"/>
      <c r="R4" s="23">
        <v>1</v>
      </c>
      <c r="S4" s="25">
        <v>45707</v>
      </c>
      <c r="T4" s="25">
        <v>45707</v>
      </c>
      <c r="U4" s="25"/>
      <c r="V4" s="25"/>
      <c r="W4" s="25">
        <v>45713</v>
      </c>
      <c r="X4" s="23" t="s">
        <v>37</v>
      </c>
      <c r="Y4" s="4" t="str">
        <f>IF(Tabela2[[#This Row],[SIGLA]]="","",VLOOKUP(Tabela2[[#This Row],[SIGLA]],Tabela14[[#All],[Sigla Arte]:[Crédito]],2,0))</f>
        <v>EDSON BELLUSCI/ARQUIVO DA EDITORA</v>
      </c>
      <c r="Z4" s="24" t="s">
        <v>38</v>
      </c>
      <c r="AA4" s="24" t="str">
        <f>Tabela2[[#This Row],[ILUSTRADOR CRIAÇÃO]]</f>
        <v>EDSON BELLUSCI/ARQUIVO DA EDITORA</v>
      </c>
      <c r="AB4" s="23">
        <v>14</v>
      </c>
      <c r="AC4" s="21" t="s">
        <v>39</v>
      </c>
      <c r="AD4" s="21" t="s">
        <v>40</v>
      </c>
      <c r="AE4" s="4" t="str">
        <f t="shared" si="0"/>
        <v>EF1 E001 Geo</v>
      </c>
    </row>
    <row r="5" spans="1:31" s="14" customFormat="1" ht="105" x14ac:dyDescent="0.25">
      <c r="A5" s="24" t="s">
        <v>45</v>
      </c>
      <c r="B5" s="21" t="s">
        <v>32</v>
      </c>
      <c r="C5" s="21" t="s">
        <v>33</v>
      </c>
      <c r="D5" s="21" t="s">
        <v>34</v>
      </c>
      <c r="E5" s="23">
        <v>79</v>
      </c>
      <c r="F5" s="23">
        <v>4</v>
      </c>
      <c r="G5" s="23">
        <v>3</v>
      </c>
      <c r="H5" s="23"/>
      <c r="I5" s="24" t="s">
        <v>35</v>
      </c>
      <c r="J5" s="24"/>
      <c r="K5" s="23"/>
      <c r="L5" s="23"/>
      <c r="M5" s="24"/>
      <c r="N5" s="24"/>
      <c r="O5" s="27" t="s">
        <v>46</v>
      </c>
      <c r="P5" s="27"/>
      <c r="Q5" s="27"/>
      <c r="R5" s="23">
        <v>1</v>
      </c>
      <c r="S5" s="25">
        <v>45707</v>
      </c>
      <c r="T5" s="25">
        <v>45707</v>
      </c>
      <c r="U5" s="25"/>
      <c r="V5" s="25"/>
      <c r="W5" s="25">
        <v>45713</v>
      </c>
      <c r="X5" s="23" t="s">
        <v>47</v>
      </c>
      <c r="Y5" s="4" t="str">
        <f>IF(Tabela2[[#This Row],[SIGLA]]="","",VLOOKUP(Tabela2[[#This Row],[SIGLA]],Tabela14[[#All],[Sigla Arte]:[Crédito]],2,0))</f>
        <v>RAFAELA PANISSA/ARQUIVO DA EDITORA</v>
      </c>
      <c r="Z5" s="24" t="s">
        <v>38</v>
      </c>
      <c r="AA5" s="24" t="str">
        <f>Tabela2[[#This Row],[ILUSTRADOR CRIAÇÃO]]</f>
        <v>RAFAELA PANISSA/ARQUIVO DA EDITORA</v>
      </c>
      <c r="AB5" s="23">
        <v>14</v>
      </c>
      <c r="AC5" s="21" t="s">
        <v>39</v>
      </c>
      <c r="AD5" s="21" t="s">
        <v>40</v>
      </c>
      <c r="AE5" s="4" t="str">
        <f t="shared" si="0"/>
        <v>EF1 E001 Geo</v>
      </c>
    </row>
    <row r="6" spans="1:31" s="14" customFormat="1" ht="135" x14ac:dyDescent="0.25">
      <c r="A6" s="24" t="s">
        <v>48</v>
      </c>
      <c r="B6" s="21" t="s">
        <v>32</v>
      </c>
      <c r="C6" s="21" t="s">
        <v>33</v>
      </c>
      <c r="D6" s="21" t="s">
        <v>34</v>
      </c>
      <c r="E6" s="23">
        <v>80</v>
      </c>
      <c r="F6" s="23">
        <v>4</v>
      </c>
      <c r="G6" s="23">
        <v>3</v>
      </c>
      <c r="H6" s="23"/>
      <c r="I6" s="24" t="s">
        <v>35</v>
      </c>
      <c r="J6" s="24"/>
      <c r="K6" s="23"/>
      <c r="L6" s="23"/>
      <c r="M6" s="24"/>
      <c r="N6" s="24"/>
      <c r="O6" s="27" t="s">
        <v>49</v>
      </c>
      <c r="P6" s="27"/>
      <c r="Q6" s="27"/>
      <c r="R6" s="23">
        <v>1</v>
      </c>
      <c r="S6" s="25">
        <v>45707</v>
      </c>
      <c r="T6" s="25">
        <v>45707</v>
      </c>
      <c r="U6" s="25"/>
      <c r="V6" s="25"/>
      <c r="W6" s="25">
        <v>45713</v>
      </c>
      <c r="X6" s="23" t="s">
        <v>37</v>
      </c>
      <c r="Y6" s="4" t="str">
        <f>IF(Tabela2[[#This Row],[SIGLA]]="","",VLOOKUP(Tabela2[[#This Row],[SIGLA]],Tabela14[[#All],[Sigla Arte]:[Crédito]],2,0))</f>
        <v>EDSON BELLUSCI/ARQUIVO DA EDITORA</v>
      </c>
      <c r="Z6" s="24" t="s">
        <v>38</v>
      </c>
      <c r="AA6" s="24" t="str">
        <f>Tabela2[[#This Row],[ILUSTRADOR CRIAÇÃO]]</f>
        <v>EDSON BELLUSCI/ARQUIVO DA EDITORA</v>
      </c>
      <c r="AB6" s="23">
        <v>14</v>
      </c>
      <c r="AC6" s="21" t="s">
        <v>39</v>
      </c>
      <c r="AD6" s="21" t="s">
        <v>40</v>
      </c>
      <c r="AE6" s="4" t="str">
        <f t="shared" si="0"/>
        <v>EF1 E001 Geo</v>
      </c>
    </row>
    <row r="7" spans="1:31" s="14" customFormat="1" ht="90" x14ac:dyDescent="0.25">
      <c r="A7" s="24" t="s">
        <v>50</v>
      </c>
      <c r="B7" s="21" t="s">
        <v>32</v>
      </c>
      <c r="C7" s="21" t="s">
        <v>33</v>
      </c>
      <c r="D7" s="21" t="s">
        <v>34</v>
      </c>
      <c r="E7" s="23">
        <v>81</v>
      </c>
      <c r="F7" s="23">
        <v>4</v>
      </c>
      <c r="G7" s="23">
        <v>3</v>
      </c>
      <c r="H7" s="23"/>
      <c r="I7" s="24" t="s">
        <v>35</v>
      </c>
      <c r="J7" s="24"/>
      <c r="K7" s="23"/>
      <c r="L7" s="23"/>
      <c r="M7" s="24"/>
      <c r="N7" s="24"/>
      <c r="O7" s="27" t="s">
        <v>51</v>
      </c>
      <c r="P7" s="27"/>
      <c r="Q7" s="27"/>
      <c r="R7" s="23">
        <v>1</v>
      </c>
      <c r="S7" s="25">
        <v>45707</v>
      </c>
      <c r="T7" s="25">
        <v>45707</v>
      </c>
      <c r="U7" s="25"/>
      <c r="V7" s="25"/>
      <c r="W7" s="25">
        <v>45713</v>
      </c>
      <c r="X7" s="23" t="s">
        <v>52</v>
      </c>
      <c r="Y7" s="4" t="str">
        <f>IF(Tabela2[[#This Row],[SIGLA]]="","",VLOOKUP(Tabela2[[#This Row],[SIGLA]],Tabela14[[#All],[Sigla Arte]:[Crédito]],2,0))</f>
        <v>PAULA RADI/ARQUIVO DA EDITORA</v>
      </c>
      <c r="Z7" s="24" t="s">
        <v>38</v>
      </c>
      <c r="AA7" s="24" t="str">
        <f>Tabela2[[#This Row],[ILUSTRADOR CRIAÇÃO]]</f>
        <v>PAULA RADI/ARQUIVO DA EDITORA</v>
      </c>
      <c r="AB7" s="23">
        <v>14</v>
      </c>
      <c r="AC7" s="21" t="s">
        <v>39</v>
      </c>
      <c r="AD7" s="21" t="s">
        <v>40</v>
      </c>
      <c r="AE7" s="4" t="str">
        <f t="shared" si="0"/>
        <v>EF1 E001 Geo</v>
      </c>
    </row>
    <row r="8" spans="1:31" s="14" customFormat="1" ht="90" x14ac:dyDescent="0.25">
      <c r="A8" s="24" t="s">
        <v>53</v>
      </c>
      <c r="B8" s="21" t="s">
        <v>32</v>
      </c>
      <c r="C8" s="21" t="s">
        <v>33</v>
      </c>
      <c r="D8" s="21" t="s">
        <v>34</v>
      </c>
      <c r="E8" s="23">
        <v>82</v>
      </c>
      <c r="F8" s="23">
        <v>4</v>
      </c>
      <c r="G8" s="23">
        <v>3</v>
      </c>
      <c r="H8" s="23"/>
      <c r="I8" s="24" t="s">
        <v>35</v>
      </c>
      <c r="J8" s="24"/>
      <c r="K8" s="23"/>
      <c r="L8" s="23"/>
      <c r="M8" s="24"/>
      <c r="N8" s="24"/>
      <c r="O8" s="27" t="s">
        <v>54</v>
      </c>
      <c r="P8" s="27"/>
      <c r="Q8" s="27"/>
      <c r="R8" s="23">
        <v>1</v>
      </c>
      <c r="S8" s="25">
        <v>45707</v>
      </c>
      <c r="T8" s="25">
        <v>45707</v>
      </c>
      <c r="U8" s="25"/>
      <c r="V8" s="25"/>
      <c r="W8" s="25">
        <v>45713</v>
      </c>
      <c r="X8" s="23" t="s">
        <v>52</v>
      </c>
      <c r="Y8" s="4" t="str">
        <f>IF(Tabela2[[#This Row],[SIGLA]]="","",VLOOKUP(Tabela2[[#This Row],[SIGLA]],Tabela14[[#All],[Sigla Arte]:[Crédito]],2,0))</f>
        <v>PAULA RADI/ARQUIVO DA EDITORA</v>
      </c>
      <c r="Z8" s="24" t="s">
        <v>38</v>
      </c>
      <c r="AA8" s="24" t="str">
        <f>Tabela2[[#This Row],[ILUSTRADOR CRIAÇÃO]]</f>
        <v>PAULA RADI/ARQUIVO DA EDITORA</v>
      </c>
      <c r="AB8" s="23">
        <v>14</v>
      </c>
      <c r="AC8" s="21" t="s">
        <v>39</v>
      </c>
      <c r="AD8" s="21" t="s">
        <v>40</v>
      </c>
      <c r="AE8" s="4" t="str">
        <f t="shared" si="0"/>
        <v>EF1 E001 Geo</v>
      </c>
    </row>
    <row r="9" spans="1:31" s="14" customFormat="1" ht="90" x14ac:dyDescent="0.25">
      <c r="A9" s="24" t="s">
        <v>55</v>
      </c>
      <c r="B9" s="21" t="s">
        <v>32</v>
      </c>
      <c r="C9" s="21" t="s">
        <v>33</v>
      </c>
      <c r="D9" s="21" t="s">
        <v>34</v>
      </c>
      <c r="E9" s="23">
        <v>82</v>
      </c>
      <c r="F9" s="23">
        <v>4</v>
      </c>
      <c r="G9" s="23">
        <v>3</v>
      </c>
      <c r="H9" s="23"/>
      <c r="I9" s="24" t="s">
        <v>35</v>
      </c>
      <c r="J9" s="24"/>
      <c r="K9" s="23"/>
      <c r="L9" s="23"/>
      <c r="M9" s="24"/>
      <c r="N9" s="24"/>
      <c r="O9" s="27" t="s">
        <v>56</v>
      </c>
      <c r="P9" s="27"/>
      <c r="Q9" s="27"/>
      <c r="R9" s="23">
        <v>1</v>
      </c>
      <c r="S9" s="25">
        <v>45707</v>
      </c>
      <c r="T9" s="25">
        <v>45707</v>
      </c>
      <c r="U9" s="25"/>
      <c r="V9" s="25"/>
      <c r="W9" s="25">
        <v>45713</v>
      </c>
      <c r="X9" s="23" t="s">
        <v>52</v>
      </c>
      <c r="Y9" s="4" t="str">
        <f>IF(Tabela2[[#This Row],[SIGLA]]="","",VLOOKUP(Tabela2[[#This Row],[SIGLA]],Tabela14[[#All],[Sigla Arte]:[Crédito]],2,0))</f>
        <v>PAULA RADI/ARQUIVO DA EDITORA</v>
      </c>
      <c r="Z9" s="24" t="s">
        <v>38</v>
      </c>
      <c r="AA9" s="24" t="str">
        <f>Tabela2[[#This Row],[ILUSTRADOR CRIAÇÃO]]</f>
        <v>PAULA RADI/ARQUIVO DA EDITORA</v>
      </c>
      <c r="AB9" s="23">
        <v>14</v>
      </c>
      <c r="AC9" s="21" t="s">
        <v>39</v>
      </c>
      <c r="AD9" s="21" t="s">
        <v>40</v>
      </c>
      <c r="AE9" s="4" t="str">
        <f t="shared" si="0"/>
        <v>EF1 E001 Geo</v>
      </c>
    </row>
    <row r="10" spans="1:31" s="14" customFormat="1" ht="90" x14ac:dyDescent="0.25">
      <c r="A10" s="24" t="s">
        <v>57</v>
      </c>
      <c r="B10" s="21" t="s">
        <v>32</v>
      </c>
      <c r="C10" s="21" t="s">
        <v>33</v>
      </c>
      <c r="D10" s="21" t="s">
        <v>34</v>
      </c>
      <c r="E10" s="23">
        <v>83</v>
      </c>
      <c r="F10" s="23">
        <v>4</v>
      </c>
      <c r="G10" s="23">
        <v>3</v>
      </c>
      <c r="H10" s="23"/>
      <c r="I10" s="24" t="s">
        <v>35</v>
      </c>
      <c r="J10" s="24"/>
      <c r="K10" s="23"/>
      <c r="L10" s="23"/>
      <c r="M10" s="24"/>
      <c r="N10" s="24"/>
      <c r="O10" s="27" t="s">
        <v>58</v>
      </c>
      <c r="P10" s="27"/>
      <c r="Q10" s="27"/>
      <c r="R10" s="23">
        <v>1</v>
      </c>
      <c r="S10" s="25">
        <v>45707</v>
      </c>
      <c r="T10" s="25">
        <v>45707</v>
      </c>
      <c r="U10" s="25"/>
      <c r="V10" s="25"/>
      <c r="W10" s="25">
        <v>45713</v>
      </c>
      <c r="X10" s="23" t="s">
        <v>37</v>
      </c>
      <c r="Y10" s="4" t="str">
        <f>IF(Tabela2[[#This Row],[SIGLA]]="","",VLOOKUP(Tabela2[[#This Row],[SIGLA]],Tabela14[[#All],[Sigla Arte]:[Crédito]],2,0))</f>
        <v>EDSON BELLUSCI/ARQUIVO DA EDITORA</v>
      </c>
      <c r="Z10" s="24" t="s">
        <v>38</v>
      </c>
      <c r="AA10" s="24" t="str">
        <f>Tabela2[[#This Row],[ILUSTRADOR CRIAÇÃO]]</f>
        <v>EDSON BELLUSCI/ARQUIVO DA EDITORA</v>
      </c>
      <c r="AB10" s="23">
        <v>14</v>
      </c>
      <c r="AC10" s="21" t="s">
        <v>39</v>
      </c>
      <c r="AD10" s="21" t="s">
        <v>40</v>
      </c>
      <c r="AE10" s="4" t="str">
        <f t="shared" si="0"/>
        <v>EF1 E001 Geo</v>
      </c>
    </row>
    <row r="11" spans="1:31" s="14" customFormat="1" ht="105" x14ac:dyDescent="0.25">
      <c r="A11" s="24" t="s">
        <v>59</v>
      </c>
      <c r="B11" s="21" t="s">
        <v>32</v>
      </c>
      <c r="C11" s="21" t="s">
        <v>33</v>
      </c>
      <c r="D11" s="21" t="s">
        <v>34</v>
      </c>
      <c r="E11" s="23">
        <v>84</v>
      </c>
      <c r="F11" s="23">
        <v>4</v>
      </c>
      <c r="G11" s="23">
        <v>3</v>
      </c>
      <c r="H11" s="23"/>
      <c r="I11" s="24" t="s">
        <v>35</v>
      </c>
      <c r="J11" s="24"/>
      <c r="K11" s="23"/>
      <c r="L11" s="23"/>
      <c r="M11" s="24"/>
      <c r="N11" s="24"/>
      <c r="O11" s="27" t="s">
        <v>60</v>
      </c>
      <c r="P11" s="27"/>
      <c r="Q11" s="27"/>
      <c r="R11" s="23">
        <v>1</v>
      </c>
      <c r="S11" s="25">
        <v>45707</v>
      </c>
      <c r="T11" s="25">
        <v>45707</v>
      </c>
      <c r="U11" s="25"/>
      <c r="V11" s="25"/>
      <c r="W11" s="25">
        <v>45713</v>
      </c>
      <c r="X11" s="23" t="s">
        <v>47</v>
      </c>
      <c r="Y11" s="4" t="str">
        <f>IF(Tabela2[[#This Row],[SIGLA]]="","",VLOOKUP(Tabela2[[#This Row],[SIGLA]],Tabela14[[#All],[Sigla Arte]:[Crédito]],2,0))</f>
        <v>RAFAELA PANISSA/ARQUIVO DA EDITORA</v>
      </c>
      <c r="Z11" s="24" t="s">
        <v>38</v>
      </c>
      <c r="AA11" s="24" t="str">
        <f>Tabela2[[#This Row],[ILUSTRADOR CRIAÇÃO]]</f>
        <v>RAFAELA PANISSA/ARQUIVO DA EDITORA</v>
      </c>
      <c r="AB11" s="23">
        <v>14</v>
      </c>
      <c r="AC11" s="21" t="s">
        <v>39</v>
      </c>
      <c r="AD11" s="21" t="s">
        <v>40</v>
      </c>
      <c r="AE11" s="4" t="str">
        <f t="shared" si="0"/>
        <v>EF1 E001 Geo</v>
      </c>
    </row>
    <row r="12" spans="1:31" s="14" customFormat="1" ht="105" x14ac:dyDescent="0.25">
      <c r="A12" s="24" t="s">
        <v>61</v>
      </c>
      <c r="B12" s="21" t="s">
        <v>32</v>
      </c>
      <c r="C12" s="21" t="s">
        <v>33</v>
      </c>
      <c r="D12" s="21" t="s">
        <v>34</v>
      </c>
      <c r="E12" s="23">
        <v>85</v>
      </c>
      <c r="F12" s="23">
        <v>4</v>
      </c>
      <c r="G12" s="23">
        <v>3</v>
      </c>
      <c r="H12" s="23"/>
      <c r="I12" s="24" t="s">
        <v>35</v>
      </c>
      <c r="J12" s="24"/>
      <c r="K12" s="23"/>
      <c r="L12" s="23"/>
      <c r="M12" s="24"/>
      <c r="N12" s="24"/>
      <c r="O12" s="27" t="s">
        <v>62</v>
      </c>
      <c r="P12" s="27"/>
      <c r="Q12" s="27"/>
      <c r="R12" s="23">
        <v>1</v>
      </c>
      <c r="S12" s="25">
        <v>45707</v>
      </c>
      <c r="T12" s="25">
        <v>45707</v>
      </c>
      <c r="U12" s="25"/>
      <c r="V12" s="25"/>
      <c r="W12" s="25">
        <v>45713</v>
      </c>
      <c r="X12" s="23" t="s">
        <v>52</v>
      </c>
      <c r="Y12" s="4" t="str">
        <f>IF(Tabela2[[#This Row],[SIGLA]]="","",VLOOKUP(Tabela2[[#This Row],[SIGLA]],Tabela14[[#All],[Sigla Arte]:[Crédito]],2,0))</f>
        <v>PAULA RADI/ARQUIVO DA EDITORA</v>
      </c>
      <c r="Z12" s="24" t="s">
        <v>38</v>
      </c>
      <c r="AA12" s="24" t="str">
        <f>Tabela2[[#This Row],[ILUSTRADOR CRIAÇÃO]]</f>
        <v>PAULA RADI/ARQUIVO DA EDITORA</v>
      </c>
      <c r="AB12" s="23">
        <v>14</v>
      </c>
      <c r="AC12" s="21" t="s">
        <v>39</v>
      </c>
      <c r="AD12" s="21" t="s">
        <v>40</v>
      </c>
      <c r="AE12" s="4" t="str">
        <f t="shared" si="0"/>
        <v>EF1 E001 Geo</v>
      </c>
    </row>
    <row r="13" spans="1:31" s="14" customFormat="1" ht="90" x14ac:dyDescent="0.25">
      <c r="A13" s="24" t="s">
        <v>63</v>
      </c>
      <c r="B13" s="21" t="s">
        <v>64</v>
      </c>
      <c r="C13" s="21" t="s">
        <v>33</v>
      </c>
      <c r="D13" s="21" t="s">
        <v>34</v>
      </c>
      <c r="E13" s="23">
        <v>85</v>
      </c>
      <c r="F13" s="23">
        <v>4</v>
      </c>
      <c r="G13" s="23">
        <v>3</v>
      </c>
      <c r="H13" s="23"/>
      <c r="I13" s="24" t="s">
        <v>35</v>
      </c>
      <c r="J13" s="24"/>
      <c r="K13" s="23"/>
      <c r="L13" s="23"/>
      <c r="M13" s="24"/>
      <c r="N13" s="24"/>
      <c r="O13" s="27" t="s">
        <v>65</v>
      </c>
      <c r="P13" s="27"/>
      <c r="Q13" s="27"/>
      <c r="R13" s="23">
        <v>1</v>
      </c>
      <c r="S13" s="25">
        <v>45707</v>
      </c>
      <c r="T13" s="25">
        <v>45880</v>
      </c>
      <c r="U13" s="25"/>
      <c r="V13" s="25"/>
      <c r="W13" s="25">
        <v>45699</v>
      </c>
      <c r="X13" s="23" t="s">
        <v>52</v>
      </c>
      <c r="Y13" s="4" t="str">
        <f>IF(Tabela2[[#This Row],[SIGLA]]="","",VLOOKUP(Tabela2[[#This Row],[SIGLA]],Tabela14[[#All],[Sigla Arte]:[Crédito]],2,0))</f>
        <v>PAULA RADI/ARQUIVO DA EDITORA</v>
      </c>
      <c r="Z13" s="24" t="s">
        <v>66</v>
      </c>
      <c r="AA13" s="24" t="str">
        <f>Tabela2[[#This Row],[ILUSTRADOR CRIAÇÃO]]</f>
        <v>PAULA RADI/ARQUIVO DA EDITORA</v>
      </c>
      <c r="AB13" s="23">
        <v>14</v>
      </c>
      <c r="AC13" s="21" t="s">
        <v>39</v>
      </c>
      <c r="AD13" s="21" t="s">
        <v>40</v>
      </c>
      <c r="AE13" s="4" t="str">
        <f t="shared" si="0"/>
        <v>EF1 E001 Geo</v>
      </c>
    </row>
    <row r="14" spans="1:31" s="14" customFormat="1" ht="105" x14ac:dyDescent="0.25">
      <c r="A14" s="24" t="s">
        <v>67</v>
      </c>
      <c r="B14" s="21" t="s">
        <v>32</v>
      </c>
      <c r="C14" s="21" t="s">
        <v>33</v>
      </c>
      <c r="D14" s="21" t="s">
        <v>34</v>
      </c>
      <c r="E14" s="23">
        <v>96</v>
      </c>
      <c r="F14" s="23">
        <v>4</v>
      </c>
      <c r="G14" s="23">
        <v>3</v>
      </c>
      <c r="H14" s="23"/>
      <c r="I14" s="24" t="s">
        <v>35</v>
      </c>
      <c r="J14" s="24"/>
      <c r="K14" s="23"/>
      <c r="L14" s="23"/>
      <c r="M14" s="24"/>
      <c r="N14" s="24"/>
      <c r="O14" s="27" t="s">
        <v>68</v>
      </c>
      <c r="P14" s="27"/>
      <c r="Q14" s="27"/>
      <c r="R14" s="23">
        <v>1</v>
      </c>
      <c r="S14" s="25">
        <v>45707</v>
      </c>
      <c r="T14" s="25">
        <v>45707</v>
      </c>
      <c r="U14" s="25"/>
      <c r="V14" s="25"/>
      <c r="W14" s="25">
        <v>45713</v>
      </c>
      <c r="X14" s="23" t="s">
        <v>37</v>
      </c>
      <c r="Y14" s="4" t="str">
        <f>IF(Tabela2[[#This Row],[SIGLA]]="","",VLOOKUP(Tabela2[[#This Row],[SIGLA]],Tabela14[[#All],[Sigla Arte]:[Crédito]],2,0))</f>
        <v>EDSON BELLUSCI/ARQUIVO DA EDITORA</v>
      </c>
      <c r="Z14" s="24" t="s">
        <v>38</v>
      </c>
      <c r="AA14" s="24" t="str">
        <f>Tabela2[[#This Row],[ILUSTRADOR CRIAÇÃO]]</f>
        <v>EDSON BELLUSCI/ARQUIVO DA EDITORA</v>
      </c>
      <c r="AB14" s="23">
        <v>14</v>
      </c>
      <c r="AC14" s="21" t="s">
        <v>39</v>
      </c>
      <c r="AD14" s="21" t="s">
        <v>40</v>
      </c>
      <c r="AE14" s="4" t="str">
        <f t="shared" si="0"/>
        <v>EF1 E001 Geo</v>
      </c>
    </row>
    <row r="15" spans="1:31" s="14" customFormat="1" ht="105" x14ac:dyDescent="0.25">
      <c r="A15" s="24" t="s">
        <v>69</v>
      </c>
      <c r="B15" s="21" t="s">
        <v>32</v>
      </c>
      <c r="C15" s="21" t="s">
        <v>33</v>
      </c>
      <c r="D15" s="21" t="s">
        <v>34</v>
      </c>
      <c r="E15" s="23">
        <v>108</v>
      </c>
      <c r="F15" s="23">
        <v>4</v>
      </c>
      <c r="G15" s="23">
        <v>3</v>
      </c>
      <c r="H15" s="23"/>
      <c r="I15" s="24" t="s">
        <v>35</v>
      </c>
      <c r="J15" s="24"/>
      <c r="K15" s="23"/>
      <c r="L15" s="23"/>
      <c r="M15" s="24"/>
      <c r="N15" s="24"/>
      <c r="O15" s="27" t="s">
        <v>70</v>
      </c>
      <c r="P15" s="27"/>
      <c r="Q15" s="27"/>
      <c r="R15" s="23">
        <v>1</v>
      </c>
      <c r="S15" s="25">
        <v>45707</v>
      </c>
      <c r="T15" s="25">
        <v>45707</v>
      </c>
      <c r="U15" s="25"/>
      <c r="V15" s="25"/>
      <c r="W15" s="25">
        <v>45713</v>
      </c>
      <c r="X15" s="23" t="s">
        <v>47</v>
      </c>
      <c r="Y15" s="4" t="str">
        <f>IF(Tabela2[[#This Row],[SIGLA]]="","",VLOOKUP(Tabela2[[#This Row],[SIGLA]],Tabela14[[#All],[Sigla Arte]:[Crédito]],2,0))</f>
        <v>RAFAELA PANISSA/ARQUIVO DA EDITORA</v>
      </c>
      <c r="Z15" s="24" t="s">
        <v>38</v>
      </c>
      <c r="AA15" s="24" t="str">
        <f>Tabela2[[#This Row],[ILUSTRADOR CRIAÇÃO]]</f>
        <v>RAFAELA PANISSA/ARQUIVO DA EDITORA</v>
      </c>
      <c r="AB15" s="23">
        <v>14</v>
      </c>
      <c r="AC15" s="21" t="s">
        <v>39</v>
      </c>
      <c r="AD15" s="21" t="s">
        <v>40</v>
      </c>
      <c r="AE15" s="4" t="str">
        <f t="shared" si="0"/>
        <v>EF1 E001 Geo</v>
      </c>
    </row>
    <row r="16" spans="1:31" s="14" customFormat="1" ht="90" x14ac:dyDescent="0.25">
      <c r="A16" s="24" t="s">
        <v>71</v>
      </c>
      <c r="B16" s="21" t="s">
        <v>64</v>
      </c>
      <c r="C16" s="21" t="s">
        <v>33</v>
      </c>
      <c r="D16" s="21" t="s">
        <v>34</v>
      </c>
      <c r="E16" s="23">
        <v>114</v>
      </c>
      <c r="F16" s="23">
        <v>4</v>
      </c>
      <c r="G16" s="23">
        <v>4</v>
      </c>
      <c r="H16" s="23"/>
      <c r="I16" s="24" t="s">
        <v>35</v>
      </c>
      <c r="J16" s="24"/>
      <c r="K16" s="23"/>
      <c r="L16" s="23"/>
      <c r="M16" s="24"/>
      <c r="N16" s="24"/>
      <c r="O16" s="27" t="s">
        <v>72</v>
      </c>
      <c r="P16" s="27"/>
      <c r="Q16" s="27"/>
      <c r="R16" s="23">
        <v>1</v>
      </c>
      <c r="S16" s="25">
        <v>45707</v>
      </c>
      <c r="T16" s="25">
        <v>45880</v>
      </c>
      <c r="U16" s="25"/>
      <c r="V16" s="25"/>
      <c r="W16" s="25">
        <v>45880</v>
      </c>
      <c r="X16" s="23" t="s">
        <v>37</v>
      </c>
      <c r="Y16" s="4" t="str">
        <f>IF(Tabela2[[#This Row],[SIGLA]]="","",VLOOKUP(Tabela2[[#This Row],[SIGLA]],Tabela14[[#All],[Sigla Arte]:[Crédito]],2,0))</f>
        <v>EDSON BELLUSCI/ARQUIVO DA EDITORA</v>
      </c>
      <c r="Z16" s="24" t="s">
        <v>66</v>
      </c>
      <c r="AA16" s="24" t="str">
        <f>Tabela2[[#This Row],[ILUSTRADOR CRIAÇÃO]]</f>
        <v>EDSON BELLUSCI/ARQUIVO DA EDITORA</v>
      </c>
      <c r="AB16" s="23">
        <v>14</v>
      </c>
      <c r="AC16" s="21" t="s">
        <v>39</v>
      </c>
      <c r="AD16" s="21" t="s">
        <v>40</v>
      </c>
      <c r="AE16" s="4" t="str">
        <f t="shared" si="0"/>
        <v>EF1 E001 Geo</v>
      </c>
    </row>
    <row r="17" spans="1:31" s="14" customFormat="1" ht="90" x14ac:dyDescent="0.25">
      <c r="A17" s="24" t="s">
        <v>73</v>
      </c>
      <c r="B17" s="21" t="s">
        <v>74</v>
      </c>
      <c r="C17" s="21" t="s">
        <v>33</v>
      </c>
      <c r="D17" s="21" t="s">
        <v>34</v>
      </c>
      <c r="E17" s="23">
        <v>121</v>
      </c>
      <c r="F17" s="23">
        <v>4</v>
      </c>
      <c r="G17" s="23">
        <v>4</v>
      </c>
      <c r="H17" s="23"/>
      <c r="I17" s="24" t="s">
        <v>35</v>
      </c>
      <c r="J17" s="24"/>
      <c r="K17" s="23"/>
      <c r="L17" s="23"/>
      <c r="M17" s="24"/>
      <c r="N17" s="24"/>
      <c r="O17" s="27" t="s">
        <v>75</v>
      </c>
      <c r="P17" s="27"/>
      <c r="Q17" s="27"/>
      <c r="R17" s="23">
        <v>1</v>
      </c>
      <c r="S17" s="25">
        <v>45707</v>
      </c>
      <c r="T17" s="25">
        <v>45707</v>
      </c>
      <c r="U17" s="25"/>
      <c r="V17" s="25"/>
      <c r="W17" s="25">
        <v>45713</v>
      </c>
      <c r="X17" s="23" t="s">
        <v>37</v>
      </c>
      <c r="Y17" s="4" t="str">
        <f>IF(Tabela2[[#This Row],[SIGLA]]="","",VLOOKUP(Tabela2[[#This Row],[SIGLA]],Tabela14[[#All],[Sigla Arte]:[Crédito]],2,0))</f>
        <v>EDSON BELLUSCI/ARQUIVO DA EDITORA</v>
      </c>
      <c r="Z17" s="24" t="s">
        <v>38</v>
      </c>
      <c r="AA17" s="24" t="str">
        <f>Tabela2[[#This Row],[ILUSTRADOR CRIAÇÃO]]</f>
        <v>EDSON BELLUSCI/ARQUIVO DA EDITORA</v>
      </c>
      <c r="AB17" s="23">
        <v>14</v>
      </c>
      <c r="AC17" s="21" t="s">
        <v>39</v>
      </c>
      <c r="AD17" s="21" t="s">
        <v>40</v>
      </c>
      <c r="AE17" s="4" t="str">
        <f t="shared" si="0"/>
        <v>EF1 E001 Geo</v>
      </c>
    </row>
    <row r="18" spans="1:31" s="14" customFormat="1" ht="105" x14ac:dyDescent="0.25">
      <c r="A18" s="24" t="s">
        <v>76</v>
      </c>
      <c r="B18" s="21" t="s">
        <v>32</v>
      </c>
      <c r="C18" s="21" t="s">
        <v>33</v>
      </c>
      <c r="D18" s="21" t="s">
        <v>34</v>
      </c>
      <c r="E18" s="23">
        <v>129</v>
      </c>
      <c r="F18" s="23">
        <v>4</v>
      </c>
      <c r="G18" s="23">
        <v>4</v>
      </c>
      <c r="H18" s="23"/>
      <c r="I18" s="24" t="s">
        <v>35</v>
      </c>
      <c r="J18" s="24"/>
      <c r="K18" s="23"/>
      <c r="L18" s="23"/>
      <c r="M18" s="24"/>
      <c r="N18" s="24"/>
      <c r="O18" s="27" t="s">
        <v>77</v>
      </c>
      <c r="P18" s="27"/>
      <c r="Q18" s="27"/>
      <c r="R18" s="23">
        <v>1</v>
      </c>
      <c r="S18" s="25">
        <v>45707</v>
      </c>
      <c r="T18" s="25">
        <v>45707</v>
      </c>
      <c r="U18" s="25"/>
      <c r="V18" s="25"/>
      <c r="W18" s="25">
        <v>45713</v>
      </c>
      <c r="X18" s="23" t="s">
        <v>37</v>
      </c>
      <c r="Y18" s="4" t="str">
        <f>IF(Tabela2[[#This Row],[SIGLA]]="","",VLOOKUP(Tabela2[[#This Row],[SIGLA]],Tabela14[[#All],[Sigla Arte]:[Crédito]],2,0))</f>
        <v>EDSON BELLUSCI/ARQUIVO DA EDITORA</v>
      </c>
      <c r="Z18" s="24" t="s">
        <v>38</v>
      </c>
      <c r="AA18" s="24" t="str">
        <f>Tabela2[[#This Row],[ILUSTRADOR CRIAÇÃO]]</f>
        <v>EDSON BELLUSCI/ARQUIVO DA EDITORA</v>
      </c>
      <c r="AB18" s="23">
        <v>14</v>
      </c>
      <c r="AC18" s="21" t="s">
        <v>39</v>
      </c>
      <c r="AD18" s="21" t="s">
        <v>40</v>
      </c>
      <c r="AE18" s="4" t="str">
        <f t="shared" si="0"/>
        <v>EF1 E001 Geo</v>
      </c>
    </row>
    <row r="19" spans="1:31" s="14" customFormat="1" ht="105" x14ac:dyDescent="0.25">
      <c r="A19" s="24" t="s">
        <v>78</v>
      </c>
      <c r="B19" s="21" t="s">
        <v>32</v>
      </c>
      <c r="C19" s="21" t="s">
        <v>33</v>
      </c>
      <c r="D19" s="21" t="s">
        <v>34</v>
      </c>
      <c r="E19" s="23">
        <v>136</v>
      </c>
      <c r="F19" s="23">
        <v>4</v>
      </c>
      <c r="G19" s="23">
        <v>4</v>
      </c>
      <c r="H19" s="23"/>
      <c r="I19" s="24" t="s">
        <v>35</v>
      </c>
      <c r="J19" s="24"/>
      <c r="K19" s="23"/>
      <c r="L19" s="23"/>
      <c r="M19" s="24"/>
      <c r="N19" s="24"/>
      <c r="O19" s="27" t="s">
        <v>79</v>
      </c>
      <c r="P19" s="27"/>
      <c r="Q19" s="27"/>
      <c r="R19" s="23">
        <v>1</v>
      </c>
      <c r="S19" s="25">
        <v>45707</v>
      </c>
      <c r="T19" s="25">
        <v>45707</v>
      </c>
      <c r="U19" s="25"/>
      <c r="V19" s="25"/>
      <c r="W19" s="25">
        <v>45713</v>
      </c>
      <c r="X19" s="23" t="s">
        <v>37</v>
      </c>
      <c r="Y19" s="4" t="str">
        <f>IF(Tabela2[[#This Row],[SIGLA]]="","",VLOOKUP(Tabela2[[#This Row],[SIGLA]],Tabela14[[#All],[Sigla Arte]:[Crédito]],2,0))</f>
        <v>EDSON BELLUSCI/ARQUIVO DA EDITORA</v>
      </c>
      <c r="Z19" s="24" t="s">
        <v>38</v>
      </c>
      <c r="AA19" s="24" t="str">
        <f>Tabela2[[#This Row],[ILUSTRADOR CRIAÇÃO]]</f>
        <v>EDSON BELLUSCI/ARQUIVO DA EDITORA</v>
      </c>
      <c r="AB19" s="23">
        <v>14</v>
      </c>
      <c r="AC19" s="21" t="s">
        <v>39</v>
      </c>
      <c r="AD19" s="21" t="s">
        <v>40</v>
      </c>
      <c r="AE19" s="4" t="str">
        <f t="shared" si="0"/>
        <v>EF1 E001 Geo</v>
      </c>
    </row>
    <row r="20" spans="1:31" s="14" customFormat="1" ht="105" x14ac:dyDescent="0.25">
      <c r="A20" s="24" t="s">
        <v>80</v>
      </c>
      <c r="B20" s="21" t="s">
        <v>32</v>
      </c>
      <c r="C20" s="21" t="s">
        <v>33</v>
      </c>
      <c r="D20" s="21" t="s">
        <v>34</v>
      </c>
      <c r="E20" s="23">
        <v>138</v>
      </c>
      <c r="F20" s="23">
        <v>4</v>
      </c>
      <c r="G20" s="23">
        <v>4</v>
      </c>
      <c r="H20" s="23"/>
      <c r="I20" s="24" t="s">
        <v>35</v>
      </c>
      <c r="J20" s="24"/>
      <c r="K20" s="23"/>
      <c r="L20" s="23"/>
      <c r="M20" s="24"/>
      <c r="N20" s="24"/>
      <c r="O20" s="27" t="s">
        <v>81</v>
      </c>
      <c r="P20" s="27"/>
      <c r="Q20" s="27"/>
      <c r="R20" s="23">
        <v>1</v>
      </c>
      <c r="S20" s="25">
        <v>45707</v>
      </c>
      <c r="T20" s="25">
        <v>45707</v>
      </c>
      <c r="U20" s="25"/>
      <c r="V20" s="25"/>
      <c r="W20" s="25">
        <v>45713</v>
      </c>
      <c r="X20" s="23" t="s">
        <v>37</v>
      </c>
      <c r="Y20" s="4" t="str">
        <f>IF(Tabela2[[#This Row],[SIGLA]]="","",VLOOKUP(Tabela2[[#This Row],[SIGLA]],Tabela14[[#All],[Sigla Arte]:[Crédito]],2,0))</f>
        <v>EDSON BELLUSCI/ARQUIVO DA EDITORA</v>
      </c>
      <c r="Z20" s="24" t="s">
        <v>38</v>
      </c>
      <c r="AA20" s="24" t="str">
        <f>Tabela2[[#This Row],[ILUSTRADOR CRIAÇÃO]]</f>
        <v>EDSON BELLUSCI/ARQUIVO DA EDITORA</v>
      </c>
      <c r="AB20" s="23">
        <v>14</v>
      </c>
      <c r="AC20" s="21" t="s">
        <v>39</v>
      </c>
      <c r="AD20" s="21" t="s">
        <v>40</v>
      </c>
      <c r="AE20" s="4" t="str">
        <f t="shared" si="0"/>
        <v>EF1 E001 Geo</v>
      </c>
    </row>
    <row r="21" spans="1:31" s="14" customFormat="1" ht="120" x14ac:dyDescent="0.25">
      <c r="A21" s="24" t="s">
        <v>82</v>
      </c>
      <c r="B21" s="21" t="s">
        <v>32</v>
      </c>
      <c r="C21" s="21" t="s">
        <v>33</v>
      </c>
      <c r="D21" s="21" t="s">
        <v>34</v>
      </c>
      <c r="E21" s="23">
        <v>10</v>
      </c>
      <c r="F21" s="23">
        <v>5</v>
      </c>
      <c r="G21" s="23">
        <v>1</v>
      </c>
      <c r="H21" s="23"/>
      <c r="I21" s="24" t="s">
        <v>35</v>
      </c>
      <c r="J21" s="24"/>
      <c r="K21" s="23"/>
      <c r="L21" s="23"/>
      <c r="M21" s="24"/>
      <c r="N21" s="24"/>
      <c r="O21" s="27" t="s">
        <v>83</v>
      </c>
      <c r="P21" s="27"/>
      <c r="Q21" s="27"/>
      <c r="R21" s="23">
        <v>2</v>
      </c>
      <c r="S21" s="25">
        <v>45707</v>
      </c>
      <c r="T21" s="25">
        <v>45707</v>
      </c>
      <c r="U21" s="25"/>
      <c r="V21" s="25"/>
      <c r="W21" s="25">
        <v>45726</v>
      </c>
      <c r="X21" s="23" t="s">
        <v>37</v>
      </c>
      <c r="Y21" s="4" t="str">
        <f>IF(Tabela2[[#This Row],[SIGLA]]="","",VLOOKUP(Tabela2[[#This Row],[SIGLA]],Tabela14[[#All],[Sigla Arte]:[Crédito]],2,0))</f>
        <v>EDSON BELLUSCI/ARQUIVO DA EDITORA</v>
      </c>
      <c r="Z21" s="24" t="s">
        <v>84</v>
      </c>
      <c r="AA21" s="24" t="str">
        <f>Tabela2[[#This Row],[ILUSTRADOR CRIAÇÃO]]</f>
        <v>EDSON BELLUSCI/ARQUIVO DA EDITORA</v>
      </c>
      <c r="AB21" s="23">
        <v>14</v>
      </c>
      <c r="AC21" s="21" t="s">
        <v>39</v>
      </c>
      <c r="AD21" s="21" t="s">
        <v>40</v>
      </c>
      <c r="AE21" s="4" t="str">
        <f t="shared" si="0"/>
        <v>EF1 E001 Geo</v>
      </c>
    </row>
    <row r="22" spans="1:31" s="14" customFormat="1" ht="105" x14ac:dyDescent="0.25">
      <c r="A22" s="24" t="s">
        <v>85</v>
      </c>
      <c r="B22" s="21" t="s">
        <v>32</v>
      </c>
      <c r="C22" s="21" t="s">
        <v>33</v>
      </c>
      <c r="D22" s="21" t="s">
        <v>34</v>
      </c>
      <c r="E22" s="23">
        <v>11</v>
      </c>
      <c r="F22" s="23">
        <v>5</v>
      </c>
      <c r="G22" s="23">
        <v>1</v>
      </c>
      <c r="H22" s="23"/>
      <c r="I22" s="24" t="s">
        <v>35</v>
      </c>
      <c r="J22" s="24"/>
      <c r="K22" s="23"/>
      <c r="L22" s="23"/>
      <c r="M22" s="24"/>
      <c r="N22" s="24"/>
      <c r="O22" s="27" t="s">
        <v>86</v>
      </c>
      <c r="P22" s="27"/>
      <c r="Q22" s="27"/>
      <c r="R22" s="23">
        <v>2</v>
      </c>
      <c r="S22" s="25">
        <v>45707</v>
      </c>
      <c r="T22" s="25">
        <v>45707</v>
      </c>
      <c r="U22" s="25"/>
      <c r="V22" s="25"/>
      <c r="W22" s="25">
        <v>45726</v>
      </c>
      <c r="X22" s="23" t="s">
        <v>37</v>
      </c>
      <c r="Y22" s="4" t="str">
        <f>IF(Tabela2[[#This Row],[SIGLA]]="","",VLOOKUP(Tabela2[[#This Row],[SIGLA]],Tabela14[[#All],[Sigla Arte]:[Crédito]],2,0))</f>
        <v>EDSON BELLUSCI/ARQUIVO DA EDITORA</v>
      </c>
      <c r="Z22" s="24" t="s">
        <v>84</v>
      </c>
      <c r="AA22" s="24" t="str">
        <f>Tabela2[[#This Row],[ILUSTRADOR CRIAÇÃO]]</f>
        <v>EDSON BELLUSCI/ARQUIVO DA EDITORA</v>
      </c>
      <c r="AB22" s="23">
        <v>14</v>
      </c>
      <c r="AC22" s="21" t="s">
        <v>39</v>
      </c>
      <c r="AD22" s="21" t="s">
        <v>40</v>
      </c>
      <c r="AE22" s="4" t="str">
        <f t="shared" si="0"/>
        <v>EF1 E001 Geo</v>
      </c>
    </row>
    <row r="23" spans="1:31" s="14" customFormat="1" ht="120" x14ac:dyDescent="0.25">
      <c r="A23" s="24" t="s">
        <v>87</v>
      </c>
      <c r="B23" s="21" t="s">
        <v>88</v>
      </c>
      <c r="C23" s="21" t="s">
        <v>33</v>
      </c>
      <c r="D23" s="21" t="s">
        <v>34</v>
      </c>
      <c r="E23" s="23">
        <v>53</v>
      </c>
      <c r="F23" s="23">
        <v>5</v>
      </c>
      <c r="G23" s="23">
        <v>2</v>
      </c>
      <c r="H23" s="23"/>
      <c r="I23" s="24" t="s">
        <v>35</v>
      </c>
      <c r="J23" s="24"/>
      <c r="K23" s="23"/>
      <c r="L23" s="23"/>
      <c r="M23" s="24"/>
      <c r="N23" s="24"/>
      <c r="O23" s="27" t="s">
        <v>89</v>
      </c>
      <c r="P23" s="27"/>
      <c r="Q23" s="27"/>
      <c r="R23" s="23">
        <v>2</v>
      </c>
      <c r="S23" s="25">
        <v>45707</v>
      </c>
      <c r="T23" s="25">
        <v>45707</v>
      </c>
      <c r="U23" s="25"/>
      <c r="V23" s="25"/>
      <c r="W23" s="25">
        <v>45726</v>
      </c>
      <c r="X23" s="23" t="s">
        <v>90</v>
      </c>
      <c r="Y23" s="4" t="str">
        <f>IF(Tabela2[[#This Row],[SIGLA]]="","",VLOOKUP(Tabela2[[#This Row],[SIGLA]],Tabela14[[#All],[Sigla Arte]:[Crédito]],2,0))</f>
        <v>KEITHY MOSTACHI/ARQUIVO DA EDITORA</v>
      </c>
      <c r="Z23" s="24" t="s">
        <v>84</v>
      </c>
      <c r="AA23" s="24" t="str">
        <f>Tabela2[[#This Row],[ILUSTRADOR CRIAÇÃO]]</f>
        <v>KEITHY MOSTACHI/ARQUIVO DA EDITORA</v>
      </c>
      <c r="AB23" s="23">
        <v>14</v>
      </c>
      <c r="AC23" s="21" t="s">
        <v>39</v>
      </c>
      <c r="AD23" s="21" t="s">
        <v>40</v>
      </c>
      <c r="AE23" s="4" t="str">
        <f t="shared" si="0"/>
        <v>EF1 E001 Geo</v>
      </c>
    </row>
    <row r="24" spans="1:31" s="14" customFormat="1" ht="105" x14ac:dyDescent="0.25">
      <c r="A24" s="24" t="s">
        <v>91</v>
      </c>
      <c r="B24" s="21" t="s">
        <v>88</v>
      </c>
      <c r="C24" s="21" t="s">
        <v>33</v>
      </c>
      <c r="D24" s="21" t="s">
        <v>34</v>
      </c>
      <c r="E24" s="23">
        <v>60</v>
      </c>
      <c r="F24" s="23">
        <v>5</v>
      </c>
      <c r="G24" s="23">
        <v>2</v>
      </c>
      <c r="H24" s="23"/>
      <c r="I24" s="24" t="s">
        <v>35</v>
      </c>
      <c r="J24" s="24"/>
      <c r="K24" s="23"/>
      <c r="L24" s="23"/>
      <c r="M24" s="24"/>
      <c r="N24" s="24"/>
      <c r="O24" s="27" t="s">
        <v>92</v>
      </c>
      <c r="P24" s="27"/>
      <c r="Q24" s="27"/>
      <c r="R24" s="23">
        <v>2</v>
      </c>
      <c r="S24" s="25">
        <v>45707</v>
      </c>
      <c r="T24" s="25">
        <v>45707</v>
      </c>
      <c r="U24" s="25"/>
      <c r="V24" s="25"/>
      <c r="W24" s="25">
        <v>45726</v>
      </c>
      <c r="X24" s="23" t="s">
        <v>37</v>
      </c>
      <c r="Y24" s="4" t="str">
        <f>IF(Tabela2[[#This Row],[SIGLA]]="","",VLOOKUP(Tabela2[[#This Row],[SIGLA]],Tabela14[[#All],[Sigla Arte]:[Crédito]],2,0))</f>
        <v>EDSON BELLUSCI/ARQUIVO DA EDITORA</v>
      </c>
      <c r="Z24" s="24" t="s">
        <v>84</v>
      </c>
      <c r="AA24" s="24" t="str">
        <f>Tabela2[[#This Row],[ILUSTRADOR CRIAÇÃO]]</f>
        <v>EDSON BELLUSCI/ARQUIVO DA EDITORA</v>
      </c>
      <c r="AB24" s="23">
        <v>14</v>
      </c>
      <c r="AC24" s="21" t="s">
        <v>39</v>
      </c>
      <c r="AD24" s="21" t="s">
        <v>40</v>
      </c>
      <c r="AE24" s="4" t="str">
        <f t="shared" si="0"/>
        <v>EF1 E001 Geo</v>
      </c>
    </row>
    <row r="25" spans="1:31" s="14" customFormat="1" ht="105" x14ac:dyDescent="0.25">
      <c r="A25" s="24" t="s">
        <v>93</v>
      </c>
      <c r="B25" s="21" t="s">
        <v>74</v>
      </c>
      <c r="C25" s="21" t="s">
        <v>33</v>
      </c>
      <c r="D25" s="21" t="s">
        <v>34</v>
      </c>
      <c r="E25" s="23">
        <v>45</v>
      </c>
      <c r="F25" s="23">
        <v>5</v>
      </c>
      <c r="G25" s="23">
        <v>2</v>
      </c>
      <c r="H25" s="23"/>
      <c r="I25" s="24" t="s">
        <v>35</v>
      </c>
      <c r="J25" s="24"/>
      <c r="K25" s="23"/>
      <c r="L25" s="23"/>
      <c r="M25" s="24"/>
      <c r="N25" s="24"/>
      <c r="O25" s="27" t="s">
        <v>94</v>
      </c>
      <c r="P25" s="27"/>
      <c r="Q25" s="27"/>
      <c r="R25" s="23">
        <v>2</v>
      </c>
      <c r="S25" s="25">
        <v>45707</v>
      </c>
      <c r="T25" s="25">
        <v>45707</v>
      </c>
      <c r="U25" s="25"/>
      <c r="V25" s="25"/>
      <c r="W25" s="25">
        <v>45726</v>
      </c>
      <c r="X25" s="23" t="s">
        <v>90</v>
      </c>
      <c r="Y25" s="4" t="str">
        <f>IF(Tabela2[[#This Row],[SIGLA]]="","",VLOOKUP(Tabela2[[#This Row],[SIGLA]],Tabela14[[#All],[Sigla Arte]:[Crédito]],2,0))</f>
        <v>KEITHY MOSTACHI/ARQUIVO DA EDITORA</v>
      </c>
      <c r="Z25" s="24" t="s">
        <v>84</v>
      </c>
      <c r="AA25" s="24" t="str">
        <f>Tabela2[[#This Row],[ILUSTRADOR CRIAÇÃO]]</f>
        <v>KEITHY MOSTACHI/ARQUIVO DA EDITORA</v>
      </c>
      <c r="AB25" s="23">
        <v>14</v>
      </c>
      <c r="AC25" s="21" t="s">
        <v>39</v>
      </c>
      <c r="AD25" s="21" t="s">
        <v>40</v>
      </c>
      <c r="AE25" s="4" t="str">
        <f t="shared" si="0"/>
        <v>EF1 E001 Geo</v>
      </c>
    </row>
    <row r="26" spans="1:31" s="14" customFormat="1" ht="105" x14ac:dyDescent="0.25">
      <c r="A26" s="24" t="s">
        <v>95</v>
      </c>
      <c r="B26" s="21" t="s">
        <v>74</v>
      </c>
      <c r="C26" s="21" t="s">
        <v>33</v>
      </c>
      <c r="D26" s="21" t="s">
        <v>34</v>
      </c>
      <c r="E26" s="23">
        <v>46</v>
      </c>
      <c r="F26" s="23">
        <v>5</v>
      </c>
      <c r="G26" s="23">
        <v>2</v>
      </c>
      <c r="H26" s="23"/>
      <c r="I26" s="24" t="s">
        <v>35</v>
      </c>
      <c r="J26" s="24"/>
      <c r="K26" s="23"/>
      <c r="L26" s="23"/>
      <c r="M26" s="24"/>
      <c r="N26" s="24"/>
      <c r="O26" s="27" t="s">
        <v>96</v>
      </c>
      <c r="P26" s="27"/>
      <c r="Q26" s="27"/>
      <c r="R26" s="23">
        <v>2</v>
      </c>
      <c r="S26" s="25">
        <v>45707</v>
      </c>
      <c r="T26" s="25">
        <v>45707</v>
      </c>
      <c r="U26" s="25"/>
      <c r="V26" s="25"/>
      <c r="W26" s="25">
        <v>45726</v>
      </c>
      <c r="X26" s="23" t="s">
        <v>97</v>
      </c>
      <c r="Y26" s="4" t="str">
        <f>IF(Tabela2[[#This Row],[SIGLA]]="","",VLOOKUP(Tabela2[[#This Row],[SIGLA]],Tabela14[[#All],[Sigla Arte]:[Crédito]],2,0))</f>
        <v>CAIO TANAKA/ARQUIVO DA EDITORA</v>
      </c>
      <c r="Z26" s="24" t="s">
        <v>84</v>
      </c>
      <c r="AA26" s="24" t="str">
        <f>Tabela2[[#This Row],[ILUSTRADOR CRIAÇÃO]]</f>
        <v>CAIO TANAKA/ARQUIVO DA EDITORA</v>
      </c>
      <c r="AB26" s="23">
        <v>14</v>
      </c>
      <c r="AC26" s="21" t="s">
        <v>39</v>
      </c>
      <c r="AD26" s="21" t="s">
        <v>40</v>
      </c>
      <c r="AE26" s="4" t="str">
        <f t="shared" si="0"/>
        <v>EF1 E001 Geo</v>
      </c>
    </row>
    <row r="27" spans="1:31" s="14" customFormat="1" ht="90" x14ac:dyDescent="0.25">
      <c r="A27" s="24" t="s">
        <v>98</v>
      </c>
      <c r="B27" s="21" t="s">
        <v>88</v>
      </c>
      <c r="C27" s="21" t="s">
        <v>33</v>
      </c>
      <c r="D27" s="21" t="s">
        <v>34</v>
      </c>
      <c r="E27" s="23">
        <v>92</v>
      </c>
      <c r="F27" s="23">
        <v>5</v>
      </c>
      <c r="G27" s="23"/>
      <c r="H27" s="23"/>
      <c r="I27" s="24" t="s">
        <v>35</v>
      </c>
      <c r="J27" s="24"/>
      <c r="K27" s="23"/>
      <c r="L27" s="23"/>
      <c r="M27" s="24"/>
      <c r="N27" s="24"/>
      <c r="O27" s="27" t="s">
        <v>99</v>
      </c>
      <c r="P27" s="27"/>
      <c r="Q27" s="27" t="s">
        <v>100</v>
      </c>
      <c r="R27" s="23">
        <v>2</v>
      </c>
      <c r="S27" s="25">
        <v>45707</v>
      </c>
      <c r="T27" s="25">
        <v>45707</v>
      </c>
      <c r="U27" s="25"/>
      <c r="V27" s="25"/>
      <c r="W27" s="25">
        <v>45726</v>
      </c>
      <c r="X27" s="23" t="s">
        <v>37</v>
      </c>
      <c r="Y27" s="4" t="str">
        <f>IF(Tabela2[[#This Row],[SIGLA]]="","",VLOOKUP(Tabela2[[#This Row],[SIGLA]],Tabela14[[#All],[Sigla Arte]:[Crédito]],2,0))</f>
        <v>EDSON BELLUSCI/ARQUIVO DA EDITORA</v>
      </c>
      <c r="Z27" s="24" t="s">
        <v>84</v>
      </c>
      <c r="AA27" s="24" t="str">
        <f>Tabela2[[#This Row],[ILUSTRADOR CRIAÇÃO]]</f>
        <v>EDSON BELLUSCI/ARQUIVO DA EDITORA</v>
      </c>
      <c r="AB27" s="23">
        <v>14</v>
      </c>
      <c r="AC27" s="21" t="s">
        <v>39</v>
      </c>
      <c r="AD27" s="21" t="s">
        <v>40</v>
      </c>
      <c r="AE27" s="4" t="str">
        <f t="shared" si="0"/>
        <v>EF1 E001 Geo</v>
      </c>
    </row>
    <row r="28" spans="1:31" s="14" customFormat="1" ht="90" x14ac:dyDescent="0.25">
      <c r="A28" s="24" t="s">
        <v>101</v>
      </c>
      <c r="B28" s="21" t="s">
        <v>88</v>
      </c>
      <c r="C28" s="21" t="s">
        <v>33</v>
      </c>
      <c r="D28" s="21" t="s">
        <v>34</v>
      </c>
      <c r="E28" s="23">
        <v>98</v>
      </c>
      <c r="F28" s="23">
        <v>5</v>
      </c>
      <c r="G28" s="23"/>
      <c r="H28" s="23"/>
      <c r="I28" s="24" t="s">
        <v>35</v>
      </c>
      <c r="J28" s="24"/>
      <c r="K28" s="23"/>
      <c r="L28" s="23"/>
      <c r="M28" s="24"/>
      <c r="N28" s="24"/>
      <c r="O28" s="27" t="s">
        <v>102</v>
      </c>
      <c r="P28" s="27"/>
      <c r="Q28" s="27" t="s">
        <v>100</v>
      </c>
      <c r="R28" s="23">
        <v>2</v>
      </c>
      <c r="S28" s="25">
        <v>45707</v>
      </c>
      <c r="T28" s="25">
        <v>45707</v>
      </c>
      <c r="U28" s="25"/>
      <c r="V28" s="25"/>
      <c r="W28" s="25">
        <v>45726</v>
      </c>
      <c r="X28" s="23" t="s">
        <v>37</v>
      </c>
      <c r="Y28" s="4" t="str">
        <f>IF(Tabela2[[#This Row],[SIGLA]]="","",VLOOKUP(Tabela2[[#This Row],[SIGLA]],Tabela14[[#All],[Sigla Arte]:[Crédito]],2,0))</f>
        <v>EDSON BELLUSCI/ARQUIVO DA EDITORA</v>
      </c>
      <c r="Z28" s="24" t="s">
        <v>84</v>
      </c>
      <c r="AA28" s="24" t="str">
        <f>Tabela2[[#This Row],[ILUSTRADOR CRIAÇÃO]]</f>
        <v>EDSON BELLUSCI/ARQUIVO DA EDITORA</v>
      </c>
      <c r="AB28" s="23">
        <v>14</v>
      </c>
      <c r="AC28" s="21" t="s">
        <v>39</v>
      </c>
      <c r="AD28" s="21" t="s">
        <v>40</v>
      </c>
      <c r="AE28" s="4" t="str">
        <f t="shared" si="0"/>
        <v>EF1 E001 Geo</v>
      </c>
    </row>
    <row r="29" spans="1:31" s="14" customFormat="1" ht="90" x14ac:dyDescent="0.25">
      <c r="A29" s="24" t="s">
        <v>103</v>
      </c>
      <c r="B29" s="21" t="s">
        <v>88</v>
      </c>
      <c r="C29" s="21" t="s">
        <v>33</v>
      </c>
      <c r="D29" s="21" t="s">
        <v>34</v>
      </c>
      <c r="E29" s="23">
        <v>102</v>
      </c>
      <c r="F29" s="23">
        <v>5</v>
      </c>
      <c r="G29" s="23"/>
      <c r="H29" s="23"/>
      <c r="I29" s="24" t="s">
        <v>35</v>
      </c>
      <c r="J29" s="24"/>
      <c r="K29" s="23"/>
      <c r="L29" s="23"/>
      <c r="M29" s="24"/>
      <c r="N29" s="24"/>
      <c r="O29" s="27" t="s">
        <v>104</v>
      </c>
      <c r="P29" s="27"/>
      <c r="Q29" s="27" t="s">
        <v>100</v>
      </c>
      <c r="R29" s="23">
        <v>2</v>
      </c>
      <c r="S29" s="25">
        <v>45707</v>
      </c>
      <c r="T29" s="25">
        <v>45707</v>
      </c>
      <c r="U29" s="25"/>
      <c r="V29" s="25"/>
      <c r="W29" s="25">
        <v>45726</v>
      </c>
      <c r="X29" s="23" t="s">
        <v>37</v>
      </c>
      <c r="Y29" s="4" t="str">
        <f>IF(Tabela2[[#This Row],[SIGLA]]="","",VLOOKUP(Tabela2[[#This Row],[SIGLA]],Tabela14[[#All],[Sigla Arte]:[Crédito]],2,0))</f>
        <v>EDSON BELLUSCI/ARQUIVO DA EDITORA</v>
      </c>
      <c r="Z29" s="24" t="s">
        <v>84</v>
      </c>
      <c r="AA29" s="24" t="str">
        <f>Tabela2[[#This Row],[ILUSTRADOR CRIAÇÃO]]</f>
        <v>EDSON BELLUSCI/ARQUIVO DA EDITORA</v>
      </c>
      <c r="AB29" s="23">
        <v>14</v>
      </c>
      <c r="AC29" s="21" t="s">
        <v>39</v>
      </c>
      <c r="AD29" s="21" t="s">
        <v>40</v>
      </c>
      <c r="AE29" s="4" t="str">
        <f t="shared" si="0"/>
        <v>EF1 E001 Geo</v>
      </c>
    </row>
    <row r="30" spans="1:31" s="14" customFormat="1" ht="90" x14ac:dyDescent="0.25">
      <c r="A30" s="24" t="s">
        <v>105</v>
      </c>
      <c r="B30" s="21" t="s">
        <v>88</v>
      </c>
      <c r="C30" s="21" t="s">
        <v>33</v>
      </c>
      <c r="D30" s="21" t="s">
        <v>34</v>
      </c>
      <c r="E30" s="23">
        <v>108</v>
      </c>
      <c r="F30" s="23">
        <v>5</v>
      </c>
      <c r="G30" s="23"/>
      <c r="H30" s="23"/>
      <c r="I30" s="24" t="s">
        <v>35</v>
      </c>
      <c r="J30" s="24"/>
      <c r="K30" s="23"/>
      <c r="L30" s="23"/>
      <c r="M30" s="24"/>
      <c r="N30" s="24"/>
      <c r="O30" s="27" t="s">
        <v>106</v>
      </c>
      <c r="P30" s="27"/>
      <c r="Q30" s="27" t="s">
        <v>100</v>
      </c>
      <c r="R30" s="23">
        <v>2</v>
      </c>
      <c r="S30" s="25">
        <v>45707</v>
      </c>
      <c r="T30" s="25">
        <v>45707</v>
      </c>
      <c r="U30" s="25"/>
      <c r="V30" s="25"/>
      <c r="W30" s="25">
        <v>45726</v>
      </c>
      <c r="X30" s="23" t="s">
        <v>37</v>
      </c>
      <c r="Y30" s="4" t="str">
        <f>IF(Tabela2[[#This Row],[SIGLA]]="","",VLOOKUP(Tabela2[[#This Row],[SIGLA]],Tabela14[[#All],[Sigla Arte]:[Crédito]],2,0))</f>
        <v>EDSON BELLUSCI/ARQUIVO DA EDITORA</v>
      </c>
      <c r="Z30" s="24" t="s">
        <v>84</v>
      </c>
      <c r="AA30" s="24" t="str">
        <f>Tabela2[[#This Row],[ILUSTRADOR CRIAÇÃO]]</f>
        <v>EDSON BELLUSCI/ARQUIVO DA EDITORA</v>
      </c>
      <c r="AB30" s="23">
        <v>14</v>
      </c>
      <c r="AC30" s="21" t="s">
        <v>39</v>
      </c>
      <c r="AD30" s="21" t="s">
        <v>40</v>
      </c>
      <c r="AE30" s="4" t="str">
        <f t="shared" si="0"/>
        <v>EF1 E001 Geo</v>
      </c>
    </row>
    <row r="31" spans="1:31" s="14" customFormat="1" ht="90" x14ac:dyDescent="0.25">
      <c r="A31" s="24" t="s">
        <v>107</v>
      </c>
      <c r="B31" s="21" t="s">
        <v>88</v>
      </c>
      <c r="C31" s="21" t="s">
        <v>33</v>
      </c>
      <c r="D31" s="21" t="s">
        <v>34</v>
      </c>
      <c r="E31" s="23">
        <v>112</v>
      </c>
      <c r="F31" s="23">
        <v>5</v>
      </c>
      <c r="G31" s="23"/>
      <c r="H31" s="23"/>
      <c r="I31" s="24" t="s">
        <v>35</v>
      </c>
      <c r="J31" s="24"/>
      <c r="K31" s="23"/>
      <c r="L31" s="23"/>
      <c r="M31" s="24"/>
      <c r="N31" s="24"/>
      <c r="O31" s="27" t="s">
        <v>108</v>
      </c>
      <c r="P31" s="27"/>
      <c r="Q31" s="27" t="s">
        <v>100</v>
      </c>
      <c r="R31" s="23">
        <v>2</v>
      </c>
      <c r="S31" s="25">
        <v>45707</v>
      </c>
      <c r="T31" s="25">
        <v>45707</v>
      </c>
      <c r="U31" s="25"/>
      <c r="V31" s="25"/>
      <c r="W31" s="25">
        <v>45726</v>
      </c>
      <c r="X31" s="23" t="s">
        <v>37</v>
      </c>
      <c r="Y31" s="4" t="str">
        <f>IF(Tabela2[[#This Row],[SIGLA]]="","",VLOOKUP(Tabela2[[#This Row],[SIGLA]],Tabela14[[#All],[Sigla Arte]:[Crédito]],2,0))</f>
        <v>EDSON BELLUSCI/ARQUIVO DA EDITORA</v>
      </c>
      <c r="Z31" s="24" t="s">
        <v>84</v>
      </c>
      <c r="AA31" s="24" t="str">
        <f>Tabela2[[#This Row],[ILUSTRADOR CRIAÇÃO]]</f>
        <v>EDSON BELLUSCI/ARQUIVO DA EDITORA</v>
      </c>
      <c r="AB31" s="23">
        <v>14</v>
      </c>
      <c r="AC31" s="21" t="s">
        <v>39</v>
      </c>
      <c r="AD31" s="21" t="s">
        <v>40</v>
      </c>
      <c r="AE31" s="4" t="str">
        <f t="shared" si="0"/>
        <v>EF1 E001 Geo</v>
      </c>
    </row>
    <row r="32" spans="1:31" s="14" customFormat="1" ht="75" x14ac:dyDescent="0.25">
      <c r="A32" s="24" t="s">
        <v>109</v>
      </c>
      <c r="B32" s="21" t="s">
        <v>88</v>
      </c>
      <c r="C32" s="21" t="s">
        <v>110</v>
      </c>
      <c r="D32" s="21" t="s">
        <v>34</v>
      </c>
      <c r="E32" s="23">
        <v>18</v>
      </c>
      <c r="F32" s="23">
        <v>3</v>
      </c>
      <c r="G32" s="23">
        <v>1</v>
      </c>
      <c r="H32" s="23"/>
      <c r="I32" s="24" t="s">
        <v>111</v>
      </c>
      <c r="J32" s="24"/>
      <c r="K32" s="23"/>
      <c r="L32" s="23"/>
      <c r="M32" s="24"/>
      <c r="N32" s="24"/>
      <c r="O32" s="27" t="s">
        <v>112</v>
      </c>
      <c r="P32" s="27"/>
      <c r="Q32" s="27"/>
      <c r="R32" s="23"/>
      <c r="S32" s="25"/>
      <c r="T32" s="25"/>
      <c r="U32" s="25"/>
      <c r="V32" s="25"/>
      <c r="W32" s="25"/>
      <c r="X32" s="23" t="s">
        <v>113</v>
      </c>
      <c r="Y32" s="4" t="str">
        <f>IF(Tabela2[[#This Row],[SIGLA]]="","",VLOOKUP(Tabela2[[#This Row],[SIGLA]],Tabela14[[#All],[Sigla Arte]:[Crédito]],2,0))</f>
        <v>DANILO SANTOS/ARQUIVO DA EDITORA</v>
      </c>
      <c r="Z32" s="24"/>
      <c r="AA32" s="24" t="str">
        <f>Tabela2[[#This Row],[ILUSTRADOR CRIAÇÃO]]</f>
        <v>DANILO SANTOS/ARQUIVO DA EDITORA</v>
      </c>
      <c r="AB32" s="23"/>
      <c r="AC32" s="21"/>
      <c r="AD32" s="21"/>
      <c r="AE32" s="4" t="str">
        <f t="shared" si="0"/>
        <v>EF1 E001 Geo</v>
      </c>
    </row>
    <row r="33" spans="1:31" s="14" customFormat="1" ht="75" x14ac:dyDescent="0.25">
      <c r="A33" s="24" t="s">
        <v>114</v>
      </c>
      <c r="B33" s="21" t="s">
        <v>74</v>
      </c>
      <c r="C33" s="21" t="s">
        <v>110</v>
      </c>
      <c r="D33" s="21" t="s">
        <v>34</v>
      </c>
      <c r="E33" s="23">
        <v>18</v>
      </c>
      <c r="F33" s="23">
        <v>3</v>
      </c>
      <c r="G33" s="23">
        <v>1</v>
      </c>
      <c r="H33" s="23"/>
      <c r="I33" s="24" t="s">
        <v>111</v>
      </c>
      <c r="J33" s="24"/>
      <c r="K33" s="23"/>
      <c r="L33" s="23"/>
      <c r="M33" s="24"/>
      <c r="N33" s="24"/>
      <c r="O33" s="27" t="s">
        <v>115</v>
      </c>
      <c r="P33" s="27"/>
      <c r="Q33" s="27"/>
      <c r="R33" s="23"/>
      <c r="S33" s="25"/>
      <c r="T33" s="25"/>
      <c r="U33" s="25"/>
      <c r="V33" s="25"/>
      <c r="W33" s="25"/>
      <c r="X33" s="23" t="s">
        <v>113</v>
      </c>
      <c r="Y33" s="4" t="str">
        <f>IF(Tabela2[[#This Row],[SIGLA]]="","",VLOOKUP(Tabela2[[#This Row],[SIGLA]],Tabela14[[#All],[Sigla Arte]:[Crédito]],2,0))</f>
        <v>DANILO SANTOS/ARQUIVO DA EDITORA</v>
      </c>
      <c r="Z33" s="24"/>
      <c r="AA33" s="24" t="str">
        <f>Tabela2[[#This Row],[ILUSTRADOR CRIAÇÃO]]</f>
        <v>DANILO SANTOS/ARQUIVO DA EDITORA</v>
      </c>
      <c r="AB33" s="23"/>
      <c r="AC33" s="21"/>
      <c r="AD33" s="21"/>
      <c r="AE33" s="4" t="str">
        <f t="shared" si="0"/>
        <v>EF1 E001 Geo</v>
      </c>
    </row>
    <row r="34" spans="1:31" s="14" customFormat="1" ht="60" x14ac:dyDescent="0.25">
      <c r="A34" s="24" t="s">
        <v>116</v>
      </c>
      <c r="B34" s="21" t="s">
        <v>88</v>
      </c>
      <c r="C34" s="21" t="s">
        <v>110</v>
      </c>
      <c r="D34" s="21" t="s">
        <v>34</v>
      </c>
      <c r="E34" s="23">
        <v>18</v>
      </c>
      <c r="F34" s="23">
        <v>3</v>
      </c>
      <c r="G34" s="23">
        <v>1</v>
      </c>
      <c r="H34" s="23"/>
      <c r="I34" s="24" t="s">
        <v>111</v>
      </c>
      <c r="J34" s="24"/>
      <c r="K34" s="23"/>
      <c r="L34" s="23"/>
      <c r="M34" s="24"/>
      <c r="N34" s="24"/>
      <c r="O34" s="27" t="s">
        <v>117</v>
      </c>
      <c r="P34" s="27"/>
      <c r="Q34" s="27"/>
      <c r="R34" s="23"/>
      <c r="S34" s="25"/>
      <c r="T34" s="25"/>
      <c r="U34" s="25"/>
      <c r="V34" s="25"/>
      <c r="W34" s="25"/>
      <c r="X34" s="23" t="s">
        <v>113</v>
      </c>
      <c r="Y34" s="4" t="str">
        <f>IF(Tabela2[[#This Row],[SIGLA]]="","",VLOOKUP(Tabela2[[#This Row],[SIGLA]],Tabela14[[#All],[Sigla Arte]:[Crédito]],2,0))</f>
        <v>DANILO SANTOS/ARQUIVO DA EDITORA</v>
      </c>
      <c r="Z34" s="24"/>
      <c r="AA34" s="24" t="str">
        <f>Tabela2[[#This Row],[ILUSTRADOR CRIAÇÃO]]</f>
        <v>DANILO SANTOS/ARQUIVO DA EDITORA</v>
      </c>
      <c r="AB34" s="23"/>
      <c r="AC34" s="21"/>
      <c r="AD34" s="21"/>
      <c r="AE34" s="4" t="str">
        <f t="shared" si="0"/>
        <v>EF1 E001 Geo</v>
      </c>
    </row>
    <row r="35" spans="1:31" s="14" customFormat="1" ht="60" x14ac:dyDescent="0.25">
      <c r="A35" s="24" t="s">
        <v>118</v>
      </c>
      <c r="B35" s="21" t="s">
        <v>88</v>
      </c>
      <c r="C35" s="21" t="s">
        <v>110</v>
      </c>
      <c r="D35" s="21" t="s">
        <v>34</v>
      </c>
      <c r="E35" s="23">
        <v>18</v>
      </c>
      <c r="F35" s="23">
        <v>3</v>
      </c>
      <c r="G35" s="23">
        <v>1</v>
      </c>
      <c r="H35" s="23"/>
      <c r="I35" s="24" t="s">
        <v>111</v>
      </c>
      <c r="J35" s="24"/>
      <c r="K35" s="23"/>
      <c r="L35" s="23"/>
      <c r="M35" s="24"/>
      <c r="N35" s="24"/>
      <c r="O35" s="27" t="s">
        <v>119</v>
      </c>
      <c r="P35" s="27"/>
      <c r="Q35" s="27"/>
      <c r="R35" s="23"/>
      <c r="S35" s="25"/>
      <c r="T35" s="25"/>
      <c r="U35" s="25"/>
      <c r="V35" s="25"/>
      <c r="W35" s="25"/>
      <c r="X35" s="23" t="s">
        <v>113</v>
      </c>
      <c r="Y35" s="4" t="str">
        <f>IF(Tabela2[[#This Row],[SIGLA]]="","",VLOOKUP(Tabela2[[#This Row],[SIGLA]],Tabela14[[#All],[Sigla Arte]:[Crédito]],2,0))</f>
        <v>DANILO SANTOS/ARQUIVO DA EDITORA</v>
      </c>
      <c r="Z35" s="24"/>
      <c r="AA35" s="24" t="str">
        <f>Tabela2[[#This Row],[ILUSTRADOR CRIAÇÃO]]</f>
        <v>DANILO SANTOS/ARQUIVO DA EDITORA</v>
      </c>
      <c r="AB35" s="23"/>
      <c r="AC35" s="21"/>
      <c r="AD35" s="21"/>
      <c r="AE35" s="4" t="str">
        <f t="shared" si="0"/>
        <v>EF1 E001 Geo</v>
      </c>
    </row>
    <row r="36" spans="1:31" s="14" customFormat="1" ht="60" x14ac:dyDescent="0.25">
      <c r="A36" s="24" t="s">
        <v>120</v>
      </c>
      <c r="B36" s="21" t="s">
        <v>88</v>
      </c>
      <c r="C36" s="21" t="s">
        <v>110</v>
      </c>
      <c r="D36" s="21" t="s">
        <v>34</v>
      </c>
      <c r="E36" s="23">
        <v>18</v>
      </c>
      <c r="F36" s="23">
        <v>3</v>
      </c>
      <c r="G36" s="23">
        <v>1</v>
      </c>
      <c r="H36" s="23"/>
      <c r="I36" s="24" t="s">
        <v>111</v>
      </c>
      <c r="J36" s="24"/>
      <c r="K36" s="23"/>
      <c r="L36" s="23"/>
      <c r="M36" s="24"/>
      <c r="N36" s="24"/>
      <c r="O36" s="27" t="s">
        <v>121</v>
      </c>
      <c r="P36" s="27"/>
      <c r="Q36" s="27"/>
      <c r="R36" s="23"/>
      <c r="S36" s="25"/>
      <c r="T36" s="25"/>
      <c r="U36" s="25"/>
      <c r="V36" s="25"/>
      <c r="W36" s="25"/>
      <c r="X36" s="23" t="s">
        <v>113</v>
      </c>
      <c r="Y36" s="4" t="str">
        <f>IF(Tabela2[[#This Row],[SIGLA]]="","",VLOOKUP(Tabela2[[#This Row],[SIGLA]],Tabela14[[#All],[Sigla Arte]:[Crédito]],2,0))</f>
        <v>DANILO SANTOS/ARQUIVO DA EDITORA</v>
      </c>
      <c r="Z36" s="24"/>
      <c r="AA36" s="24" t="str">
        <f>Tabela2[[#This Row],[ILUSTRADOR CRIAÇÃO]]</f>
        <v>DANILO SANTOS/ARQUIVO DA EDITORA</v>
      </c>
      <c r="AB36" s="23"/>
      <c r="AC36" s="21"/>
      <c r="AD36" s="21"/>
      <c r="AE36" s="4" t="str">
        <f t="shared" si="0"/>
        <v>EF1 E001 Geo</v>
      </c>
    </row>
    <row r="37" spans="1:31" s="14" customFormat="1" ht="60" x14ac:dyDescent="0.25">
      <c r="A37" s="24" t="s">
        <v>122</v>
      </c>
      <c r="B37" s="21" t="s">
        <v>88</v>
      </c>
      <c r="C37" s="21" t="s">
        <v>110</v>
      </c>
      <c r="D37" s="21" t="s">
        <v>34</v>
      </c>
      <c r="E37" s="23">
        <v>19</v>
      </c>
      <c r="F37" s="23">
        <v>3</v>
      </c>
      <c r="G37" s="23">
        <v>1</v>
      </c>
      <c r="H37" s="23"/>
      <c r="I37" s="24" t="s">
        <v>111</v>
      </c>
      <c r="J37" s="24"/>
      <c r="K37" s="23"/>
      <c r="L37" s="23"/>
      <c r="M37" s="24"/>
      <c r="N37" s="24"/>
      <c r="O37" s="27" t="s">
        <v>123</v>
      </c>
      <c r="P37" s="27"/>
      <c r="Q37" s="27"/>
      <c r="R37" s="23"/>
      <c r="S37" s="25"/>
      <c r="T37" s="25"/>
      <c r="U37" s="25"/>
      <c r="V37" s="25"/>
      <c r="W37" s="25"/>
      <c r="X37" s="23" t="s">
        <v>113</v>
      </c>
      <c r="Y37" s="4" t="str">
        <f>IF(Tabela2[[#This Row],[SIGLA]]="","",VLOOKUP(Tabela2[[#This Row],[SIGLA]],Tabela14[[#All],[Sigla Arte]:[Crédito]],2,0))</f>
        <v>DANILO SANTOS/ARQUIVO DA EDITORA</v>
      </c>
      <c r="Z37" s="24"/>
      <c r="AA37" s="24" t="str">
        <f>Tabela2[[#This Row],[ILUSTRADOR CRIAÇÃO]]</f>
        <v>DANILO SANTOS/ARQUIVO DA EDITORA</v>
      </c>
      <c r="AB37" s="23"/>
      <c r="AC37" s="21"/>
      <c r="AD37" s="21"/>
      <c r="AE37" s="4" t="str">
        <f t="shared" si="0"/>
        <v>EF1 E001 Geo</v>
      </c>
    </row>
    <row r="38" spans="1:31" s="14" customFormat="1" ht="60" x14ac:dyDescent="0.25">
      <c r="A38" s="24" t="s">
        <v>124</v>
      </c>
      <c r="B38" s="21" t="s">
        <v>88</v>
      </c>
      <c r="C38" s="21" t="s">
        <v>110</v>
      </c>
      <c r="D38" s="21" t="s">
        <v>34</v>
      </c>
      <c r="E38" s="23">
        <v>19</v>
      </c>
      <c r="F38" s="23">
        <v>3</v>
      </c>
      <c r="G38" s="23">
        <v>1</v>
      </c>
      <c r="H38" s="23"/>
      <c r="I38" s="24" t="s">
        <v>111</v>
      </c>
      <c r="J38" s="24"/>
      <c r="K38" s="23"/>
      <c r="L38" s="23"/>
      <c r="M38" s="24"/>
      <c r="N38" s="24"/>
      <c r="O38" s="27" t="s">
        <v>125</v>
      </c>
      <c r="P38" s="27"/>
      <c r="Q38" s="27"/>
      <c r="R38" s="23"/>
      <c r="S38" s="25"/>
      <c r="T38" s="25"/>
      <c r="U38" s="25"/>
      <c r="V38" s="25"/>
      <c r="W38" s="25"/>
      <c r="X38" s="23" t="s">
        <v>113</v>
      </c>
      <c r="Y38" s="4" t="str">
        <f>IF(Tabela2[[#This Row],[SIGLA]]="","",VLOOKUP(Tabela2[[#This Row],[SIGLA]],Tabela14[[#All],[Sigla Arte]:[Crédito]],2,0))</f>
        <v>DANILO SANTOS/ARQUIVO DA EDITORA</v>
      </c>
      <c r="Z38" s="24"/>
      <c r="AA38" s="24" t="str">
        <f>Tabela2[[#This Row],[ILUSTRADOR CRIAÇÃO]]</f>
        <v>DANILO SANTOS/ARQUIVO DA EDITORA</v>
      </c>
      <c r="AB38" s="23"/>
      <c r="AC38" s="21"/>
      <c r="AD38" s="21"/>
      <c r="AE38" s="4" t="str">
        <f t="shared" si="0"/>
        <v>EF1 E001 Geo</v>
      </c>
    </row>
    <row r="39" spans="1:31" s="14" customFormat="1" ht="180" x14ac:dyDescent="0.25">
      <c r="A39" s="24" t="s">
        <v>126</v>
      </c>
      <c r="B39" s="21" t="s">
        <v>88</v>
      </c>
      <c r="C39" s="21" t="s">
        <v>110</v>
      </c>
      <c r="D39" s="21" t="s">
        <v>34</v>
      </c>
      <c r="E39" s="23">
        <v>19</v>
      </c>
      <c r="F39" s="23">
        <v>3</v>
      </c>
      <c r="G39" s="23">
        <v>1</v>
      </c>
      <c r="H39" s="23"/>
      <c r="I39" s="24" t="s">
        <v>35</v>
      </c>
      <c r="J39" s="24"/>
      <c r="K39" s="23"/>
      <c r="L39" s="23"/>
      <c r="M39" s="24"/>
      <c r="N39" s="24"/>
      <c r="O39" s="27" t="s">
        <v>127</v>
      </c>
      <c r="P39" s="27"/>
      <c r="Q39" s="27"/>
      <c r="R39" s="23">
        <v>6</v>
      </c>
      <c r="S39" s="25">
        <v>45737</v>
      </c>
      <c r="T39" s="25">
        <v>45740</v>
      </c>
      <c r="U39" s="25"/>
      <c r="V39" s="25"/>
      <c r="W39" s="25">
        <v>45740</v>
      </c>
      <c r="X39" s="23" t="s">
        <v>113</v>
      </c>
      <c r="Y39" s="4" t="str">
        <f>IF(Tabela2[[#This Row],[SIGLA]]="","",VLOOKUP(Tabela2[[#This Row],[SIGLA]],Tabela14[[#All],[Sigla Arte]:[Crédito]],2,0))</f>
        <v>DANILO SANTOS/ARQUIVO DA EDITORA</v>
      </c>
      <c r="Z39" s="24" t="s">
        <v>128</v>
      </c>
      <c r="AA39" s="24" t="str">
        <f>Tabela2[[#This Row],[ILUSTRADOR CRIAÇÃO]]</f>
        <v>DANILO SANTOS/ARQUIVO DA EDITORA</v>
      </c>
      <c r="AB39" s="23">
        <v>13</v>
      </c>
      <c r="AC39" s="21"/>
      <c r="AD39" s="21" t="s">
        <v>40</v>
      </c>
      <c r="AE39" s="4" t="str">
        <f t="shared" si="0"/>
        <v>EF1 E001 Geo</v>
      </c>
    </row>
    <row r="40" spans="1:31" s="14" customFormat="1" ht="60" x14ac:dyDescent="0.25">
      <c r="A40" s="24" t="s">
        <v>129</v>
      </c>
      <c r="B40" s="21" t="s">
        <v>88</v>
      </c>
      <c r="C40" s="21" t="s">
        <v>110</v>
      </c>
      <c r="D40" s="21" t="s">
        <v>34</v>
      </c>
      <c r="E40" s="23">
        <v>19</v>
      </c>
      <c r="F40" s="23">
        <v>3</v>
      </c>
      <c r="G40" s="23">
        <v>1</v>
      </c>
      <c r="H40" s="23"/>
      <c r="I40" s="24" t="s">
        <v>111</v>
      </c>
      <c r="J40" s="24"/>
      <c r="K40" s="23"/>
      <c r="L40" s="23"/>
      <c r="M40" s="24"/>
      <c r="N40" s="24"/>
      <c r="O40" s="27" t="s">
        <v>130</v>
      </c>
      <c r="P40" s="27"/>
      <c r="Q40" s="27"/>
      <c r="R40" s="23"/>
      <c r="S40" s="25"/>
      <c r="T40" s="25"/>
      <c r="U40" s="25"/>
      <c r="V40" s="25"/>
      <c r="W40" s="25"/>
      <c r="X40" s="23" t="s">
        <v>113</v>
      </c>
      <c r="Y40" s="4" t="str">
        <f>IF(Tabela2[[#This Row],[SIGLA]]="","",VLOOKUP(Tabela2[[#This Row],[SIGLA]],Tabela14[[#All],[Sigla Arte]:[Crédito]],2,0))</f>
        <v>DANILO SANTOS/ARQUIVO DA EDITORA</v>
      </c>
      <c r="Z40" s="24"/>
      <c r="AA40" s="24" t="str">
        <f>Tabela2[[#This Row],[ILUSTRADOR CRIAÇÃO]]</f>
        <v>DANILO SANTOS/ARQUIVO DA EDITORA</v>
      </c>
      <c r="AB40" s="23"/>
      <c r="AC40" s="21"/>
      <c r="AD40" s="21"/>
      <c r="AE40" s="4" t="str">
        <f t="shared" si="0"/>
        <v>EF1 E001 Geo</v>
      </c>
    </row>
    <row r="41" spans="1:31" s="14" customFormat="1" ht="60" x14ac:dyDescent="0.25">
      <c r="A41" s="24" t="s">
        <v>131</v>
      </c>
      <c r="B41" s="21" t="s">
        <v>74</v>
      </c>
      <c r="C41" s="21" t="s">
        <v>110</v>
      </c>
      <c r="D41" s="21" t="s">
        <v>34</v>
      </c>
      <c r="E41" s="23">
        <v>19</v>
      </c>
      <c r="F41" s="23">
        <v>3</v>
      </c>
      <c r="G41" s="23">
        <v>1</v>
      </c>
      <c r="H41" s="23"/>
      <c r="I41" s="24" t="s">
        <v>111</v>
      </c>
      <c r="J41" s="24"/>
      <c r="K41" s="23"/>
      <c r="L41" s="23"/>
      <c r="M41" s="24"/>
      <c r="N41" s="24"/>
      <c r="O41" s="27" t="s">
        <v>132</v>
      </c>
      <c r="P41" s="27"/>
      <c r="Q41" s="27"/>
      <c r="R41" s="23"/>
      <c r="S41" s="25"/>
      <c r="T41" s="25"/>
      <c r="U41" s="25"/>
      <c r="V41" s="25"/>
      <c r="W41" s="25"/>
      <c r="X41" s="23" t="s">
        <v>113</v>
      </c>
      <c r="Y41" s="4" t="str">
        <f>IF(Tabela2[[#This Row],[SIGLA]]="","",VLOOKUP(Tabela2[[#This Row],[SIGLA]],Tabela14[[#All],[Sigla Arte]:[Crédito]],2,0))</f>
        <v>DANILO SANTOS/ARQUIVO DA EDITORA</v>
      </c>
      <c r="Z41" s="24"/>
      <c r="AA41" s="24" t="str">
        <f>Tabela2[[#This Row],[ILUSTRADOR CRIAÇÃO]]</f>
        <v>DANILO SANTOS/ARQUIVO DA EDITORA</v>
      </c>
      <c r="AB41" s="23"/>
      <c r="AC41" s="21"/>
      <c r="AD41" s="21"/>
      <c r="AE41" s="4" t="str">
        <f t="shared" si="0"/>
        <v>EF1 E001 Geo</v>
      </c>
    </row>
    <row r="42" spans="1:31" s="14" customFormat="1" ht="60" x14ac:dyDescent="0.25">
      <c r="A42" s="24" t="s">
        <v>133</v>
      </c>
      <c r="B42" s="21" t="s">
        <v>74</v>
      </c>
      <c r="C42" s="21" t="s">
        <v>110</v>
      </c>
      <c r="D42" s="21" t="s">
        <v>34</v>
      </c>
      <c r="E42" s="23">
        <v>27</v>
      </c>
      <c r="F42" s="23">
        <v>3</v>
      </c>
      <c r="G42" s="23">
        <v>1</v>
      </c>
      <c r="H42" s="23"/>
      <c r="I42" s="24" t="s">
        <v>111</v>
      </c>
      <c r="J42" s="24"/>
      <c r="K42" s="23"/>
      <c r="L42" s="23"/>
      <c r="M42" s="24"/>
      <c r="N42" s="24"/>
      <c r="O42" s="27" t="s">
        <v>134</v>
      </c>
      <c r="P42" s="27"/>
      <c r="Q42" s="27"/>
      <c r="R42" s="23"/>
      <c r="S42" s="25"/>
      <c r="T42" s="25"/>
      <c r="U42" s="25"/>
      <c r="V42" s="25"/>
      <c r="W42" s="25"/>
      <c r="X42" s="23" t="s">
        <v>135</v>
      </c>
      <c r="Y42" s="4" t="str">
        <f>IF(Tabela2[[#This Row],[SIGLA]]="","",VLOOKUP(Tabela2[[#This Row],[SIGLA]],Tabela14[[#All],[Sigla Arte]:[Crédito]],2,0))</f>
        <v>KLEBER MAURÍCIO COELHO/ARQUIVO DA EDITORA</v>
      </c>
      <c r="Z42" s="24"/>
      <c r="AA42" s="24" t="str">
        <f>Tabela2[[#This Row],[ILUSTRADOR CRIAÇÃO]]</f>
        <v>KLEBER MAURÍCIO COELHO/ARQUIVO DA EDITORA</v>
      </c>
      <c r="AB42" s="23"/>
      <c r="AC42" s="21"/>
      <c r="AD42" s="21"/>
      <c r="AE42" s="4" t="str">
        <f t="shared" si="0"/>
        <v>EF1 E001 Geo</v>
      </c>
    </row>
    <row r="43" spans="1:31" s="14" customFormat="1" ht="60" x14ac:dyDescent="0.25">
      <c r="A43" s="24" t="s">
        <v>136</v>
      </c>
      <c r="B43" s="21" t="s">
        <v>74</v>
      </c>
      <c r="C43" s="21" t="s">
        <v>110</v>
      </c>
      <c r="D43" s="21" t="s">
        <v>34</v>
      </c>
      <c r="E43" s="23">
        <v>27</v>
      </c>
      <c r="F43" s="23">
        <v>3</v>
      </c>
      <c r="G43" s="23">
        <v>1</v>
      </c>
      <c r="H43" s="23"/>
      <c r="I43" s="24" t="s">
        <v>111</v>
      </c>
      <c r="J43" s="24"/>
      <c r="K43" s="23"/>
      <c r="L43" s="23"/>
      <c r="M43" s="24"/>
      <c r="N43" s="24"/>
      <c r="O43" s="27" t="s">
        <v>137</v>
      </c>
      <c r="P43" s="27"/>
      <c r="Q43" s="27"/>
      <c r="R43" s="23"/>
      <c r="S43" s="25"/>
      <c r="T43" s="25"/>
      <c r="U43" s="25"/>
      <c r="V43" s="25"/>
      <c r="W43" s="25"/>
      <c r="X43" s="23" t="s">
        <v>135</v>
      </c>
      <c r="Y43" s="4" t="str">
        <f>IF(Tabela2[[#This Row],[SIGLA]]="","",VLOOKUP(Tabela2[[#This Row],[SIGLA]],Tabela14[[#All],[Sigla Arte]:[Crédito]],2,0))</f>
        <v>KLEBER MAURÍCIO COELHO/ARQUIVO DA EDITORA</v>
      </c>
      <c r="Z43" s="24"/>
      <c r="AA43" s="24" t="str">
        <f>Tabela2[[#This Row],[ILUSTRADOR CRIAÇÃO]]</f>
        <v>KLEBER MAURÍCIO COELHO/ARQUIVO DA EDITORA</v>
      </c>
      <c r="AB43" s="23"/>
      <c r="AC43" s="21"/>
      <c r="AD43" s="21"/>
      <c r="AE43" s="4" t="str">
        <f t="shared" si="0"/>
        <v>EF1 E001 Geo</v>
      </c>
    </row>
    <row r="44" spans="1:31" s="14" customFormat="1" ht="60" x14ac:dyDescent="0.25">
      <c r="A44" s="24" t="s">
        <v>138</v>
      </c>
      <c r="B44" s="21" t="s">
        <v>74</v>
      </c>
      <c r="C44" s="21" t="s">
        <v>110</v>
      </c>
      <c r="D44" s="21" t="s">
        <v>34</v>
      </c>
      <c r="E44" s="23">
        <v>27</v>
      </c>
      <c r="F44" s="23">
        <v>3</v>
      </c>
      <c r="G44" s="23">
        <v>1</v>
      </c>
      <c r="H44" s="23"/>
      <c r="I44" s="24" t="s">
        <v>111</v>
      </c>
      <c r="J44" s="24"/>
      <c r="K44" s="23"/>
      <c r="L44" s="23"/>
      <c r="M44" s="24"/>
      <c r="N44" s="24"/>
      <c r="O44" s="27" t="s">
        <v>139</v>
      </c>
      <c r="P44" s="27"/>
      <c r="Q44" s="27"/>
      <c r="R44" s="23"/>
      <c r="S44" s="25"/>
      <c r="T44" s="25"/>
      <c r="U44" s="25"/>
      <c r="V44" s="25"/>
      <c r="W44" s="25"/>
      <c r="X44" s="23" t="s">
        <v>135</v>
      </c>
      <c r="Y44" s="4" t="str">
        <f>IF(Tabela2[[#This Row],[SIGLA]]="","",VLOOKUP(Tabela2[[#This Row],[SIGLA]],Tabela14[[#All],[Sigla Arte]:[Crédito]],2,0))</f>
        <v>KLEBER MAURÍCIO COELHO/ARQUIVO DA EDITORA</v>
      </c>
      <c r="Z44" s="24"/>
      <c r="AA44" s="24" t="str">
        <f>Tabela2[[#This Row],[ILUSTRADOR CRIAÇÃO]]</f>
        <v>KLEBER MAURÍCIO COELHO/ARQUIVO DA EDITORA</v>
      </c>
      <c r="AB44" s="23"/>
      <c r="AC44" s="21"/>
      <c r="AD44" s="21"/>
      <c r="AE44" s="4" t="str">
        <f t="shared" si="0"/>
        <v>EF1 E001 Geo</v>
      </c>
    </row>
    <row r="45" spans="1:31" s="14" customFormat="1" ht="60" x14ac:dyDescent="0.25">
      <c r="A45" s="24" t="s">
        <v>140</v>
      </c>
      <c r="B45" s="21" t="s">
        <v>32</v>
      </c>
      <c r="C45" s="21" t="s">
        <v>110</v>
      </c>
      <c r="D45" s="21" t="s">
        <v>34</v>
      </c>
      <c r="E45" s="23">
        <v>51</v>
      </c>
      <c r="F45" s="23">
        <v>3</v>
      </c>
      <c r="G45" s="23">
        <v>2</v>
      </c>
      <c r="H45" s="23"/>
      <c r="I45" s="24" t="s">
        <v>111</v>
      </c>
      <c r="J45" s="24"/>
      <c r="K45" s="23"/>
      <c r="L45" s="23"/>
      <c r="M45" s="24"/>
      <c r="N45" s="24"/>
      <c r="O45" s="27" t="s">
        <v>141</v>
      </c>
      <c r="P45" s="27"/>
      <c r="Q45" s="27"/>
      <c r="R45" s="23"/>
      <c r="S45" s="25"/>
      <c r="T45" s="25"/>
      <c r="U45" s="25"/>
      <c r="V45" s="25"/>
      <c r="W45" s="25"/>
      <c r="X45" s="23" t="s">
        <v>142</v>
      </c>
      <c r="Y45" s="4" t="str">
        <f>IF(Tabela2[[#This Row],[SIGLA]]="","",VLOOKUP(Tabela2[[#This Row],[SIGLA]],Tabela14[[#All],[Sigla Arte]:[Crédito]],2,0))</f>
        <v>GUSTAVO RAMOS/ARQUIVO DA EDITORA</v>
      </c>
      <c r="Z45" s="24"/>
      <c r="AA45" s="24" t="str">
        <f>Tabela2[[#This Row],[ILUSTRADOR CRIAÇÃO]]</f>
        <v>GUSTAVO RAMOS/ARQUIVO DA EDITORA</v>
      </c>
      <c r="AB45" s="23"/>
      <c r="AC45" s="21"/>
      <c r="AD45" s="21"/>
      <c r="AE45" s="4" t="str">
        <f t="shared" si="0"/>
        <v>EF1 E001 Geo</v>
      </c>
    </row>
    <row r="46" spans="1:31" s="14" customFormat="1" ht="60" x14ac:dyDescent="0.25">
      <c r="A46" s="24" t="s">
        <v>143</v>
      </c>
      <c r="B46" s="21" t="s">
        <v>74</v>
      </c>
      <c r="C46" s="21" t="s">
        <v>110</v>
      </c>
      <c r="D46" s="21" t="s">
        <v>34</v>
      </c>
      <c r="E46" s="23">
        <v>56</v>
      </c>
      <c r="F46" s="23">
        <v>3</v>
      </c>
      <c r="G46" s="23">
        <v>2</v>
      </c>
      <c r="H46" s="23"/>
      <c r="I46" s="24" t="s">
        <v>111</v>
      </c>
      <c r="J46" s="24"/>
      <c r="K46" s="23"/>
      <c r="L46" s="23"/>
      <c r="M46" s="24"/>
      <c r="N46" s="24"/>
      <c r="O46" s="27" t="s">
        <v>144</v>
      </c>
      <c r="P46" s="27"/>
      <c r="Q46" s="27"/>
      <c r="R46" s="23"/>
      <c r="S46" s="25"/>
      <c r="T46" s="25"/>
      <c r="U46" s="25"/>
      <c r="V46" s="25"/>
      <c r="W46" s="25"/>
      <c r="X46" s="23" t="s">
        <v>113</v>
      </c>
      <c r="Y46" s="4" t="str">
        <f>IF(Tabela2[[#This Row],[SIGLA]]="","",VLOOKUP(Tabela2[[#This Row],[SIGLA]],Tabela14[[#All],[Sigla Arte]:[Crédito]],2,0))</f>
        <v>DANILO SANTOS/ARQUIVO DA EDITORA</v>
      </c>
      <c r="Z46" s="24"/>
      <c r="AA46" s="24" t="str">
        <f>Tabela2[[#This Row],[ILUSTRADOR CRIAÇÃO]]</f>
        <v>DANILO SANTOS/ARQUIVO DA EDITORA</v>
      </c>
      <c r="AB46" s="23"/>
      <c r="AC46" s="21"/>
      <c r="AD46" s="21"/>
      <c r="AE46" s="4" t="str">
        <f t="shared" si="0"/>
        <v>EF1 E001 Geo</v>
      </c>
    </row>
    <row r="47" spans="1:31" s="14" customFormat="1" ht="60" x14ac:dyDescent="0.25">
      <c r="A47" s="24" t="s">
        <v>145</v>
      </c>
      <c r="B47" s="21" t="s">
        <v>74</v>
      </c>
      <c r="C47" s="21" t="s">
        <v>110</v>
      </c>
      <c r="D47" s="21" t="s">
        <v>34</v>
      </c>
      <c r="E47" s="23">
        <v>57</v>
      </c>
      <c r="F47" s="23">
        <v>3</v>
      </c>
      <c r="G47" s="23">
        <v>2</v>
      </c>
      <c r="H47" s="23"/>
      <c r="I47" s="24" t="s">
        <v>111</v>
      </c>
      <c r="J47" s="24"/>
      <c r="K47" s="23"/>
      <c r="L47" s="23"/>
      <c r="M47" s="24"/>
      <c r="N47" s="24"/>
      <c r="O47" s="27" t="s">
        <v>146</v>
      </c>
      <c r="P47" s="27"/>
      <c r="Q47" s="27"/>
      <c r="R47" s="23"/>
      <c r="S47" s="25"/>
      <c r="T47" s="25"/>
      <c r="U47" s="25"/>
      <c r="V47" s="25"/>
      <c r="W47" s="25"/>
      <c r="X47" s="23" t="s">
        <v>113</v>
      </c>
      <c r="Y47" s="4" t="str">
        <f>IF(Tabela2[[#This Row],[SIGLA]]="","",VLOOKUP(Tabela2[[#This Row],[SIGLA]],Tabela14[[#All],[Sigla Arte]:[Crédito]],2,0))</f>
        <v>DANILO SANTOS/ARQUIVO DA EDITORA</v>
      </c>
      <c r="Z47" s="24"/>
      <c r="AA47" s="24" t="str">
        <f>Tabela2[[#This Row],[ILUSTRADOR CRIAÇÃO]]</f>
        <v>DANILO SANTOS/ARQUIVO DA EDITORA</v>
      </c>
      <c r="AB47" s="23"/>
      <c r="AC47" s="21"/>
      <c r="AD47" s="21"/>
      <c r="AE47" s="4" t="str">
        <f t="shared" si="0"/>
        <v>EF1 E001 Geo</v>
      </c>
    </row>
    <row r="48" spans="1:31" s="14" customFormat="1" ht="60" x14ac:dyDescent="0.25">
      <c r="A48" s="24" t="s">
        <v>147</v>
      </c>
      <c r="B48" s="21" t="s">
        <v>74</v>
      </c>
      <c r="C48" s="21" t="s">
        <v>110</v>
      </c>
      <c r="D48" s="21" t="s">
        <v>34</v>
      </c>
      <c r="E48" s="23">
        <v>57</v>
      </c>
      <c r="F48" s="23">
        <v>3</v>
      </c>
      <c r="G48" s="23">
        <v>2</v>
      </c>
      <c r="H48" s="23"/>
      <c r="I48" s="24" t="s">
        <v>111</v>
      </c>
      <c r="J48" s="24"/>
      <c r="K48" s="23"/>
      <c r="L48" s="23"/>
      <c r="M48" s="24"/>
      <c r="N48" s="24"/>
      <c r="O48" s="27" t="s">
        <v>148</v>
      </c>
      <c r="P48" s="27"/>
      <c r="Q48" s="27"/>
      <c r="R48" s="23"/>
      <c r="S48" s="25"/>
      <c r="T48" s="25"/>
      <c r="U48" s="25"/>
      <c r="V48" s="25"/>
      <c r="W48" s="25"/>
      <c r="X48" s="23" t="s">
        <v>113</v>
      </c>
      <c r="Y48" s="4" t="str">
        <f>IF(Tabela2[[#This Row],[SIGLA]]="","",VLOOKUP(Tabela2[[#This Row],[SIGLA]],Tabela14[[#All],[Sigla Arte]:[Crédito]],2,0))</f>
        <v>DANILO SANTOS/ARQUIVO DA EDITORA</v>
      </c>
      <c r="Z48" s="24"/>
      <c r="AA48" s="24" t="str">
        <f>Tabela2[[#This Row],[ILUSTRADOR CRIAÇÃO]]</f>
        <v>DANILO SANTOS/ARQUIVO DA EDITORA</v>
      </c>
      <c r="AB48" s="23"/>
      <c r="AC48" s="21"/>
      <c r="AD48" s="21"/>
      <c r="AE48" s="4" t="str">
        <f t="shared" si="0"/>
        <v>EF1 E001 Geo</v>
      </c>
    </row>
    <row r="49" spans="1:31" s="14" customFormat="1" ht="60" x14ac:dyDescent="0.25">
      <c r="A49" s="24" t="s">
        <v>149</v>
      </c>
      <c r="B49" s="21" t="s">
        <v>74</v>
      </c>
      <c r="C49" s="21" t="s">
        <v>110</v>
      </c>
      <c r="D49" s="21" t="s">
        <v>34</v>
      </c>
      <c r="E49" s="23">
        <v>57</v>
      </c>
      <c r="F49" s="23">
        <v>3</v>
      </c>
      <c r="G49" s="23">
        <v>2</v>
      </c>
      <c r="H49" s="23"/>
      <c r="I49" s="24" t="s">
        <v>111</v>
      </c>
      <c r="J49" s="24"/>
      <c r="K49" s="23"/>
      <c r="L49" s="23"/>
      <c r="M49" s="24"/>
      <c r="N49" s="24"/>
      <c r="O49" s="27" t="s">
        <v>150</v>
      </c>
      <c r="P49" s="27"/>
      <c r="Q49" s="27"/>
      <c r="R49" s="23"/>
      <c r="S49" s="25"/>
      <c r="T49" s="25"/>
      <c r="U49" s="25"/>
      <c r="V49" s="25"/>
      <c r="W49" s="25"/>
      <c r="X49" s="23" t="s">
        <v>113</v>
      </c>
      <c r="Y49" s="4" t="str">
        <f>IF(Tabela2[[#This Row],[SIGLA]]="","",VLOOKUP(Tabela2[[#This Row],[SIGLA]],Tabela14[[#All],[Sigla Arte]:[Crédito]],2,0))</f>
        <v>DANILO SANTOS/ARQUIVO DA EDITORA</v>
      </c>
      <c r="Z49" s="24"/>
      <c r="AA49" s="24" t="str">
        <f>Tabela2[[#This Row],[ILUSTRADOR CRIAÇÃO]]</f>
        <v>DANILO SANTOS/ARQUIVO DA EDITORA</v>
      </c>
      <c r="AB49" s="23"/>
      <c r="AC49" s="21"/>
      <c r="AD49" s="21"/>
      <c r="AE49" s="4" t="str">
        <f t="shared" si="0"/>
        <v>EF1 E001 Geo</v>
      </c>
    </row>
    <row r="50" spans="1:31" s="14" customFormat="1" ht="60" x14ac:dyDescent="0.25">
      <c r="A50" s="24" t="s">
        <v>151</v>
      </c>
      <c r="B50" s="21" t="s">
        <v>32</v>
      </c>
      <c r="C50" s="21" t="s">
        <v>110</v>
      </c>
      <c r="D50" s="21" t="s">
        <v>34</v>
      </c>
      <c r="E50" s="23">
        <v>64</v>
      </c>
      <c r="F50" s="23">
        <v>3</v>
      </c>
      <c r="G50" s="23">
        <v>2</v>
      </c>
      <c r="H50" s="23"/>
      <c r="I50" s="24" t="s">
        <v>111</v>
      </c>
      <c r="J50" s="24"/>
      <c r="K50" s="23"/>
      <c r="L50" s="23"/>
      <c r="M50" s="24"/>
      <c r="N50" s="24"/>
      <c r="O50" s="27" t="s">
        <v>152</v>
      </c>
      <c r="P50" s="27"/>
      <c r="Q50" s="27"/>
      <c r="R50" s="23"/>
      <c r="S50" s="25"/>
      <c r="T50" s="25"/>
      <c r="U50" s="25"/>
      <c r="V50" s="25"/>
      <c r="W50" s="25"/>
      <c r="X50" s="23" t="s">
        <v>113</v>
      </c>
      <c r="Y50" s="4" t="str">
        <f>IF(Tabela2[[#This Row],[SIGLA]]="","",VLOOKUP(Tabela2[[#This Row],[SIGLA]],Tabela14[[#All],[Sigla Arte]:[Crédito]],2,0))</f>
        <v>DANILO SANTOS/ARQUIVO DA EDITORA</v>
      </c>
      <c r="Z50" s="24"/>
      <c r="AA50" s="24" t="str">
        <f>Tabela2[[#This Row],[ILUSTRADOR CRIAÇÃO]]</f>
        <v>DANILO SANTOS/ARQUIVO DA EDITORA</v>
      </c>
      <c r="AB50" s="23"/>
      <c r="AC50" s="21"/>
      <c r="AD50" s="21"/>
      <c r="AE50" s="4" t="str">
        <f t="shared" si="0"/>
        <v>EF1 E001 Geo</v>
      </c>
    </row>
    <row r="51" spans="1:31" s="14" customFormat="1" ht="60" x14ac:dyDescent="0.25">
      <c r="A51" s="24" t="s">
        <v>153</v>
      </c>
      <c r="B51" s="21" t="s">
        <v>32</v>
      </c>
      <c r="C51" s="21" t="s">
        <v>110</v>
      </c>
      <c r="D51" s="21" t="s">
        <v>34</v>
      </c>
      <c r="E51" s="23">
        <v>85</v>
      </c>
      <c r="F51" s="23">
        <v>3</v>
      </c>
      <c r="G51" s="23">
        <v>3</v>
      </c>
      <c r="H51" s="23"/>
      <c r="I51" s="24" t="s">
        <v>111</v>
      </c>
      <c r="J51" s="24"/>
      <c r="K51" s="23"/>
      <c r="L51" s="23"/>
      <c r="M51" s="24"/>
      <c r="N51" s="24"/>
      <c r="O51" s="27" t="s">
        <v>154</v>
      </c>
      <c r="P51" s="27"/>
      <c r="Q51" s="27"/>
      <c r="R51" s="23"/>
      <c r="S51" s="25"/>
      <c r="T51" s="25"/>
      <c r="U51" s="25"/>
      <c r="V51" s="25"/>
      <c r="W51" s="25"/>
      <c r="X51" s="23" t="s">
        <v>142</v>
      </c>
      <c r="Y51" s="4" t="str">
        <f>IF(Tabela2[[#This Row],[SIGLA]]="","",VLOOKUP(Tabela2[[#This Row],[SIGLA]],Tabela14[[#All],[Sigla Arte]:[Crédito]],2,0))</f>
        <v>GUSTAVO RAMOS/ARQUIVO DA EDITORA</v>
      </c>
      <c r="Z51" s="24"/>
      <c r="AA51" s="24" t="str">
        <f>Tabela2[[#This Row],[ILUSTRADOR CRIAÇÃO]]</f>
        <v>GUSTAVO RAMOS/ARQUIVO DA EDITORA</v>
      </c>
      <c r="AB51" s="23"/>
      <c r="AC51" s="21"/>
      <c r="AD51" s="21"/>
      <c r="AE51" s="4" t="str">
        <f t="shared" si="0"/>
        <v>EF1 E001 Geo</v>
      </c>
    </row>
    <row r="52" spans="1:31" s="14" customFormat="1" ht="60" x14ac:dyDescent="0.25">
      <c r="A52" s="24" t="s">
        <v>155</v>
      </c>
      <c r="B52" s="21" t="s">
        <v>32</v>
      </c>
      <c r="C52" s="21" t="s">
        <v>110</v>
      </c>
      <c r="D52" s="21" t="s">
        <v>34</v>
      </c>
      <c r="E52" s="23">
        <v>103</v>
      </c>
      <c r="F52" s="23">
        <v>3</v>
      </c>
      <c r="G52" s="23">
        <v>3</v>
      </c>
      <c r="H52" s="23"/>
      <c r="I52" s="24" t="s">
        <v>111</v>
      </c>
      <c r="J52" s="24"/>
      <c r="K52" s="23"/>
      <c r="L52" s="23"/>
      <c r="M52" s="24"/>
      <c r="N52" s="24"/>
      <c r="O52" s="27" t="s">
        <v>156</v>
      </c>
      <c r="P52" s="27"/>
      <c r="Q52" s="27"/>
      <c r="R52" s="23"/>
      <c r="S52" s="25"/>
      <c r="T52" s="25"/>
      <c r="U52" s="25"/>
      <c r="V52" s="25"/>
      <c r="W52" s="25"/>
      <c r="X52" s="23" t="s">
        <v>113</v>
      </c>
      <c r="Y52" s="4" t="str">
        <f>IF(Tabela2[[#This Row],[SIGLA]]="","",VLOOKUP(Tabela2[[#This Row],[SIGLA]],Tabela14[[#All],[Sigla Arte]:[Crédito]],2,0))</f>
        <v>DANILO SANTOS/ARQUIVO DA EDITORA</v>
      </c>
      <c r="Z52" s="24"/>
      <c r="AA52" s="24" t="str">
        <f>Tabela2[[#This Row],[ILUSTRADOR CRIAÇÃO]]</f>
        <v>DANILO SANTOS/ARQUIVO DA EDITORA</v>
      </c>
      <c r="AB52" s="23"/>
      <c r="AC52" s="21"/>
      <c r="AD52" s="21"/>
      <c r="AE52" s="4" t="str">
        <f t="shared" si="0"/>
        <v>EF1 E001 Geo</v>
      </c>
    </row>
    <row r="53" spans="1:31" s="14" customFormat="1" ht="60" x14ac:dyDescent="0.25">
      <c r="A53" s="24" t="s">
        <v>157</v>
      </c>
      <c r="B53" s="21" t="s">
        <v>32</v>
      </c>
      <c r="C53" s="21" t="s">
        <v>110</v>
      </c>
      <c r="D53" s="21" t="s">
        <v>34</v>
      </c>
      <c r="E53" s="23">
        <v>103</v>
      </c>
      <c r="F53" s="23">
        <v>3</v>
      </c>
      <c r="G53" s="23">
        <v>3</v>
      </c>
      <c r="H53" s="23"/>
      <c r="I53" s="24" t="s">
        <v>111</v>
      </c>
      <c r="J53" s="24"/>
      <c r="K53" s="23"/>
      <c r="L53" s="23"/>
      <c r="M53" s="24"/>
      <c r="N53" s="24"/>
      <c r="O53" s="27" t="s">
        <v>158</v>
      </c>
      <c r="P53" s="27"/>
      <c r="Q53" s="27"/>
      <c r="R53" s="23"/>
      <c r="S53" s="25"/>
      <c r="T53" s="25"/>
      <c r="U53" s="25"/>
      <c r="V53" s="25"/>
      <c r="W53" s="25"/>
      <c r="X53" s="23" t="s">
        <v>113</v>
      </c>
      <c r="Y53" s="4" t="str">
        <f>IF(Tabela2[[#This Row],[SIGLA]]="","",VLOOKUP(Tabela2[[#This Row],[SIGLA]],Tabela14[[#All],[Sigla Arte]:[Crédito]],2,0))</f>
        <v>DANILO SANTOS/ARQUIVO DA EDITORA</v>
      </c>
      <c r="Z53" s="24"/>
      <c r="AA53" s="24" t="str">
        <f>Tabela2[[#This Row],[ILUSTRADOR CRIAÇÃO]]</f>
        <v>DANILO SANTOS/ARQUIVO DA EDITORA</v>
      </c>
      <c r="AB53" s="23"/>
      <c r="AC53" s="21"/>
      <c r="AD53" s="21"/>
      <c r="AE53" s="4" t="str">
        <f t="shared" si="0"/>
        <v>EF1 E001 Geo</v>
      </c>
    </row>
    <row r="54" spans="1:31" s="14" customFormat="1" ht="45" x14ac:dyDescent="0.25">
      <c r="A54" s="24" t="s">
        <v>159</v>
      </c>
      <c r="B54" s="21" t="s">
        <v>32</v>
      </c>
      <c r="C54" s="21" t="s">
        <v>110</v>
      </c>
      <c r="D54" s="21" t="s">
        <v>34</v>
      </c>
      <c r="E54" s="23">
        <v>103</v>
      </c>
      <c r="F54" s="23">
        <v>3</v>
      </c>
      <c r="G54" s="23">
        <v>3</v>
      </c>
      <c r="H54" s="23"/>
      <c r="I54" s="24" t="s">
        <v>111</v>
      </c>
      <c r="J54" s="24"/>
      <c r="K54" s="23"/>
      <c r="L54" s="23"/>
      <c r="M54" s="24"/>
      <c r="N54" s="24"/>
      <c r="O54" s="27" t="s">
        <v>160</v>
      </c>
      <c r="P54" s="27"/>
      <c r="Q54" s="27"/>
      <c r="R54" s="23"/>
      <c r="S54" s="25"/>
      <c r="T54" s="25"/>
      <c r="U54" s="25"/>
      <c r="V54" s="25"/>
      <c r="W54" s="25"/>
      <c r="X54" s="23" t="s">
        <v>113</v>
      </c>
      <c r="Y54" s="4" t="str">
        <f>IF(Tabela2[[#This Row],[SIGLA]]="","",VLOOKUP(Tabela2[[#This Row],[SIGLA]],Tabela14[[#All],[Sigla Arte]:[Crédito]],2,0))</f>
        <v>DANILO SANTOS/ARQUIVO DA EDITORA</v>
      </c>
      <c r="Z54" s="24"/>
      <c r="AA54" s="24" t="str">
        <f>Tabela2[[#This Row],[ILUSTRADOR CRIAÇÃO]]</f>
        <v>DANILO SANTOS/ARQUIVO DA EDITORA</v>
      </c>
      <c r="AB54" s="23"/>
      <c r="AC54" s="21"/>
      <c r="AD54" s="21"/>
      <c r="AE54" s="4" t="str">
        <f t="shared" si="0"/>
        <v>EF1 E001 Geo</v>
      </c>
    </row>
    <row r="55" spans="1:31" s="14" customFormat="1" ht="45" x14ac:dyDescent="0.25">
      <c r="A55" s="24" t="s">
        <v>161</v>
      </c>
      <c r="B55" s="21" t="s">
        <v>32</v>
      </c>
      <c r="C55" s="21" t="s">
        <v>110</v>
      </c>
      <c r="D55" s="21" t="s">
        <v>34</v>
      </c>
      <c r="E55" s="23">
        <v>103</v>
      </c>
      <c r="F55" s="23">
        <v>3</v>
      </c>
      <c r="G55" s="23">
        <v>3</v>
      </c>
      <c r="H55" s="23"/>
      <c r="I55" s="24" t="s">
        <v>111</v>
      </c>
      <c r="J55" s="24"/>
      <c r="K55" s="23"/>
      <c r="L55" s="23"/>
      <c r="M55" s="24"/>
      <c r="N55" s="24"/>
      <c r="O55" s="27" t="s">
        <v>162</v>
      </c>
      <c r="P55" s="27"/>
      <c r="Q55" s="27"/>
      <c r="R55" s="23"/>
      <c r="S55" s="25"/>
      <c r="T55" s="25"/>
      <c r="U55" s="25"/>
      <c r="V55" s="25"/>
      <c r="W55" s="25"/>
      <c r="X55" s="23" t="s">
        <v>113</v>
      </c>
      <c r="Y55" s="4" t="str">
        <f>IF(Tabela2[[#This Row],[SIGLA]]="","",VLOOKUP(Tabela2[[#This Row],[SIGLA]],Tabela14[[#All],[Sigla Arte]:[Crédito]],2,0))</f>
        <v>DANILO SANTOS/ARQUIVO DA EDITORA</v>
      </c>
      <c r="Z55" s="24"/>
      <c r="AA55" s="24" t="str">
        <f>Tabela2[[#This Row],[ILUSTRADOR CRIAÇÃO]]</f>
        <v>DANILO SANTOS/ARQUIVO DA EDITORA</v>
      </c>
      <c r="AB55" s="23"/>
      <c r="AC55" s="21"/>
      <c r="AD55" s="21"/>
      <c r="AE55" s="4" t="str">
        <f t="shared" si="0"/>
        <v>EF1 E001 Geo</v>
      </c>
    </row>
    <row r="56" spans="1:31" s="14" customFormat="1" ht="60" x14ac:dyDescent="0.25">
      <c r="A56" s="24" t="s">
        <v>163</v>
      </c>
      <c r="B56" s="21" t="s">
        <v>32</v>
      </c>
      <c r="C56" s="21" t="s">
        <v>110</v>
      </c>
      <c r="D56" s="21" t="s">
        <v>34</v>
      </c>
      <c r="E56" s="23">
        <v>103</v>
      </c>
      <c r="F56" s="23">
        <v>3</v>
      </c>
      <c r="G56" s="23">
        <v>3</v>
      </c>
      <c r="H56" s="23"/>
      <c r="I56" s="24" t="s">
        <v>111</v>
      </c>
      <c r="J56" s="24"/>
      <c r="K56" s="23"/>
      <c r="L56" s="23"/>
      <c r="M56" s="24"/>
      <c r="N56" s="24"/>
      <c r="O56" s="27" t="s">
        <v>164</v>
      </c>
      <c r="P56" s="27"/>
      <c r="Q56" s="27"/>
      <c r="R56" s="23"/>
      <c r="S56" s="25"/>
      <c r="T56" s="25"/>
      <c r="U56" s="25"/>
      <c r="V56" s="25"/>
      <c r="W56" s="25"/>
      <c r="X56" s="23" t="s">
        <v>113</v>
      </c>
      <c r="Y56" s="4" t="str">
        <f>IF(Tabela2[[#This Row],[SIGLA]]="","",VLOOKUP(Tabela2[[#This Row],[SIGLA]],Tabela14[[#All],[Sigla Arte]:[Crédito]],2,0))</f>
        <v>DANILO SANTOS/ARQUIVO DA EDITORA</v>
      </c>
      <c r="Z56" s="24"/>
      <c r="AA56" s="24" t="str">
        <f>Tabela2[[#This Row],[ILUSTRADOR CRIAÇÃO]]</f>
        <v>DANILO SANTOS/ARQUIVO DA EDITORA</v>
      </c>
      <c r="AB56" s="23"/>
      <c r="AC56" s="21"/>
      <c r="AD56" s="21"/>
      <c r="AE56" s="4" t="str">
        <f t="shared" si="0"/>
        <v>EF1 E001 Geo</v>
      </c>
    </row>
    <row r="57" spans="1:31" s="14" customFormat="1" ht="60" x14ac:dyDescent="0.25">
      <c r="A57" s="24" t="s">
        <v>165</v>
      </c>
      <c r="B57" s="21" t="s">
        <v>32</v>
      </c>
      <c r="C57" s="21" t="s">
        <v>110</v>
      </c>
      <c r="D57" s="21" t="s">
        <v>34</v>
      </c>
      <c r="E57" s="23">
        <v>103</v>
      </c>
      <c r="F57" s="23">
        <v>3</v>
      </c>
      <c r="G57" s="23">
        <v>3</v>
      </c>
      <c r="H57" s="23"/>
      <c r="I57" s="24" t="s">
        <v>111</v>
      </c>
      <c r="J57" s="24"/>
      <c r="K57" s="23"/>
      <c r="L57" s="23"/>
      <c r="M57" s="24"/>
      <c r="N57" s="24"/>
      <c r="O57" s="27" t="s">
        <v>166</v>
      </c>
      <c r="P57" s="27"/>
      <c r="Q57" s="27"/>
      <c r="R57" s="23"/>
      <c r="S57" s="25"/>
      <c r="T57" s="25"/>
      <c r="U57" s="25"/>
      <c r="V57" s="25"/>
      <c r="W57" s="25"/>
      <c r="X57" s="23" t="s">
        <v>113</v>
      </c>
      <c r="Y57" s="4" t="str">
        <f>IF(Tabela2[[#This Row],[SIGLA]]="","",VLOOKUP(Tabela2[[#This Row],[SIGLA]],Tabela14[[#All],[Sigla Arte]:[Crédito]],2,0))</f>
        <v>DANILO SANTOS/ARQUIVO DA EDITORA</v>
      </c>
      <c r="Z57" s="24"/>
      <c r="AA57" s="24" t="str">
        <f>Tabela2[[#This Row],[ILUSTRADOR CRIAÇÃO]]</f>
        <v>DANILO SANTOS/ARQUIVO DA EDITORA</v>
      </c>
      <c r="AB57" s="23"/>
      <c r="AC57" s="21"/>
      <c r="AD57" s="21"/>
      <c r="AE57" s="4" t="str">
        <f t="shared" si="0"/>
        <v>EF1 E001 Geo</v>
      </c>
    </row>
    <row r="58" spans="1:31" s="14" customFormat="1" ht="60" x14ac:dyDescent="0.25">
      <c r="A58" s="24" t="s">
        <v>167</v>
      </c>
      <c r="B58" s="21" t="s">
        <v>32</v>
      </c>
      <c r="C58" s="21" t="s">
        <v>110</v>
      </c>
      <c r="D58" s="21" t="s">
        <v>34</v>
      </c>
      <c r="E58" s="23">
        <v>103</v>
      </c>
      <c r="F58" s="23">
        <v>3</v>
      </c>
      <c r="G58" s="23">
        <v>3</v>
      </c>
      <c r="H58" s="23"/>
      <c r="I58" s="24" t="s">
        <v>111</v>
      </c>
      <c r="J58" s="24"/>
      <c r="K58" s="23"/>
      <c r="L58" s="23"/>
      <c r="M58" s="24"/>
      <c r="N58" s="24"/>
      <c r="O58" s="27" t="s">
        <v>168</v>
      </c>
      <c r="P58" s="27"/>
      <c r="Q58" s="27"/>
      <c r="R58" s="23"/>
      <c r="S58" s="25"/>
      <c r="T58" s="25"/>
      <c r="U58" s="25"/>
      <c r="V58" s="25"/>
      <c r="W58" s="25"/>
      <c r="X58" s="23" t="s">
        <v>113</v>
      </c>
      <c r="Y58" s="4" t="str">
        <f>IF(Tabela2[[#This Row],[SIGLA]]="","",VLOOKUP(Tabela2[[#This Row],[SIGLA]],Tabela14[[#All],[Sigla Arte]:[Crédito]],2,0))</f>
        <v>DANILO SANTOS/ARQUIVO DA EDITORA</v>
      </c>
      <c r="Z58" s="24"/>
      <c r="AA58" s="24" t="str">
        <f>Tabela2[[#This Row],[ILUSTRADOR CRIAÇÃO]]</f>
        <v>DANILO SANTOS/ARQUIVO DA EDITORA</v>
      </c>
      <c r="AB58" s="23"/>
      <c r="AC58" s="21"/>
      <c r="AD58" s="21"/>
      <c r="AE58" s="4" t="str">
        <f t="shared" si="0"/>
        <v>EF1 E001 Geo</v>
      </c>
    </row>
    <row r="59" spans="1:31" s="14" customFormat="1" ht="75" x14ac:dyDescent="0.25">
      <c r="A59" s="24" t="s">
        <v>169</v>
      </c>
      <c r="B59" s="21" t="s">
        <v>74</v>
      </c>
      <c r="C59" s="21" t="s">
        <v>110</v>
      </c>
      <c r="D59" s="21" t="s">
        <v>34</v>
      </c>
      <c r="E59" s="23">
        <v>128</v>
      </c>
      <c r="F59" s="23">
        <v>3</v>
      </c>
      <c r="G59" s="23">
        <v>4</v>
      </c>
      <c r="H59" s="23"/>
      <c r="I59" s="24" t="s">
        <v>35</v>
      </c>
      <c r="J59" s="24"/>
      <c r="K59" s="23"/>
      <c r="L59" s="23"/>
      <c r="M59" s="24"/>
      <c r="N59" s="24"/>
      <c r="O59" s="27" t="s">
        <v>170</v>
      </c>
      <c r="P59" s="27"/>
      <c r="Q59" s="27" t="s">
        <v>171</v>
      </c>
      <c r="R59" s="23">
        <v>3</v>
      </c>
      <c r="S59" s="25">
        <v>45716</v>
      </c>
      <c r="T59" s="25">
        <v>45716</v>
      </c>
      <c r="U59" s="25"/>
      <c r="V59" s="25"/>
      <c r="W59" s="25">
        <v>45723</v>
      </c>
      <c r="X59" s="23" t="s">
        <v>142</v>
      </c>
      <c r="Y59" s="4" t="str">
        <f>IF(Tabela2[[#This Row],[SIGLA]]="","",VLOOKUP(Tabela2[[#This Row],[SIGLA]],Tabela14[[#All],[Sigla Arte]:[Crédito]],2,0))</f>
        <v>GUSTAVO RAMOS/ARQUIVO DA EDITORA</v>
      </c>
      <c r="Z59" s="24" t="s">
        <v>172</v>
      </c>
      <c r="AA59" s="24" t="str">
        <f>Tabela2[[#This Row],[ILUSTRADOR CRIAÇÃO]]</f>
        <v>GUSTAVO RAMOS/ARQUIVO DA EDITORA</v>
      </c>
      <c r="AB59" s="23">
        <v>14</v>
      </c>
      <c r="AC59" s="21" t="s">
        <v>39</v>
      </c>
      <c r="AD59" s="21" t="s">
        <v>40</v>
      </c>
      <c r="AE59" s="4" t="str">
        <f t="shared" si="0"/>
        <v>EF1 E001 Geo</v>
      </c>
    </row>
    <row r="60" spans="1:31" s="14" customFormat="1" ht="75" x14ac:dyDescent="0.25">
      <c r="A60" s="24" t="s">
        <v>173</v>
      </c>
      <c r="B60" s="21" t="s">
        <v>32</v>
      </c>
      <c r="C60" s="21" t="s">
        <v>110</v>
      </c>
      <c r="D60" s="21" t="s">
        <v>34</v>
      </c>
      <c r="E60" s="23">
        <v>141</v>
      </c>
      <c r="F60" s="23">
        <v>3</v>
      </c>
      <c r="G60" s="23">
        <v>4</v>
      </c>
      <c r="H60" s="23"/>
      <c r="I60" s="24" t="s">
        <v>35</v>
      </c>
      <c r="J60" s="24"/>
      <c r="K60" s="23"/>
      <c r="L60" s="23"/>
      <c r="M60" s="24"/>
      <c r="N60" s="24"/>
      <c r="O60" s="27" t="s">
        <v>174</v>
      </c>
      <c r="P60" s="27"/>
      <c r="Q60" s="27"/>
      <c r="R60" s="23">
        <v>12</v>
      </c>
      <c r="S60" s="25">
        <v>45804</v>
      </c>
      <c r="T60" s="25">
        <v>45716</v>
      </c>
      <c r="U60" s="25"/>
      <c r="V60" s="25"/>
      <c r="W60" s="25">
        <v>45716</v>
      </c>
      <c r="X60" s="23" t="s">
        <v>175</v>
      </c>
      <c r="Y60" s="4" t="str">
        <f>IF(Tabela2[[#This Row],[SIGLA]]="","",VLOOKUP(Tabela2[[#This Row],[SIGLA]],Tabela14[[#All],[Sigla Arte]:[Crédito]],2,0))</f>
        <v>LUIZ PEREZ LENTINI/ARQUIVO DA EDITORA</v>
      </c>
      <c r="Z60" s="24" t="s">
        <v>176</v>
      </c>
      <c r="AA60" s="24" t="str">
        <f>Tabela2[[#This Row],[ILUSTRADOR CRIAÇÃO]]</f>
        <v>LUIZ PEREZ LENTINI/ARQUIVO DA EDITORA</v>
      </c>
      <c r="AB60" s="23">
        <v>13</v>
      </c>
      <c r="AC60" s="21" t="s">
        <v>177</v>
      </c>
      <c r="AD60" s="21"/>
      <c r="AE60" s="4" t="str">
        <f t="shared" si="0"/>
        <v>EF1 E001 Geo</v>
      </c>
    </row>
    <row r="61" spans="1:31" s="14" customFormat="1" ht="75" x14ac:dyDescent="0.25">
      <c r="A61" s="24" t="s">
        <v>178</v>
      </c>
      <c r="B61" s="21" t="s">
        <v>32</v>
      </c>
      <c r="C61" s="21" t="s">
        <v>110</v>
      </c>
      <c r="D61" s="21" t="s">
        <v>34</v>
      </c>
      <c r="E61" s="23">
        <v>141</v>
      </c>
      <c r="F61" s="23">
        <v>3</v>
      </c>
      <c r="G61" s="23">
        <v>4</v>
      </c>
      <c r="H61" s="23"/>
      <c r="I61" s="24" t="s">
        <v>35</v>
      </c>
      <c r="J61" s="24"/>
      <c r="K61" s="23"/>
      <c r="L61" s="23"/>
      <c r="M61" s="24"/>
      <c r="N61" s="24"/>
      <c r="O61" s="27" t="s">
        <v>179</v>
      </c>
      <c r="P61" s="27"/>
      <c r="Q61" s="27"/>
      <c r="R61" s="23">
        <v>12</v>
      </c>
      <c r="S61" s="25">
        <v>45804</v>
      </c>
      <c r="T61" s="25">
        <v>45716</v>
      </c>
      <c r="U61" s="25"/>
      <c r="V61" s="25"/>
      <c r="W61" s="25">
        <v>45716</v>
      </c>
      <c r="X61" s="23" t="s">
        <v>175</v>
      </c>
      <c r="Y61" s="4" t="str">
        <f>IF(Tabela2[[#This Row],[SIGLA]]="","",VLOOKUP(Tabela2[[#This Row],[SIGLA]],Tabela14[[#All],[Sigla Arte]:[Crédito]],2,0))</f>
        <v>LUIZ PEREZ LENTINI/ARQUIVO DA EDITORA</v>
      </c>
      <c r="Z61" s="24" t="s">
        <v>176</v>
      </c>
      <c r="AA61" s="24" t="str">
        <f>Tabela2[[#This Row],[ILUSTRADOR CRIAÇÃO]]</f>
        <v>LUIZ PEREZ LENTINI/ARQUIVO DA EDITORA</v>
      </c>
      <c r="AB61" s="23">
        <v>13</v>
      </c>
      <c r="AC61" s="21" t="s">
        <v>177</v>
      </c>
      <c r="AD61" s="21"/>
      <c r="AE61" s="4" t="str">
        <f t="shared" si="0"/>
        <v>EF1 E001 Geo</v>
      </c>
    </row>
    <row r="62" spans="1:31" s="14" customFormat="1" ht="65.25" customHeight="1" x14ac:dyDescent="0.25">
      <c r="A62" s="24" t="s">
        <v>180</v>
      </c>
      <c r="B62" s="21" t="s">
        <v>32</v>
      </c>
      <c r="C62" s="21" t="s">
        <v>110</v>
      </c>
      <c r="D62" s="21" t="s">
        <v>34</v>
      </c>
      <c r="E62" s="23">
        <v>141</v>
      </c>
      <c r="F62" s="23">
        <v>3</v>
      </c>
      <c r="G62" s="23">
        <v>4</v>
      </c>
      <c r="H62" s="23"/>
      <c r="I62" s="24" t="s">
        <v>35</v>
      </c>
      <c r="J62" s="24"/>
      <c r="K62" s="23"/>
      <c r="L62" s="23"/>
      <c r="M62" s="24"/>
      <c r="N62" s="24"/>
      <c r="O62" s="27" t="s">
        <v>181</v>
      </c>
      <c r="P62" s="27"/>
      <c r="Q62" s="27"/>
      <c r="R62" s="23">
        <v>12</v>
      </c>
      <c r="S62" s="25">
        <v>45804</v>
      </c>
      <c r="T62" s="25">
        <v>45716</v>
      </c>
      <c r="U62" s="25"/>
      <c r="V62" s="25"/>
      <c r="W62" s="25">
        <v>45716</v>
      </c>
      <c r="X62" s="23" t="s">
        <v>175</v>
      </c>
      <c r="Y62" s="4" t="str">
        <f>IF(Tabela2[[#This Row],[SIGLA]]="","",VLOOKUP(Tabela2[[#This Row],[SIGLA]],Tabela14[[#All],[Sigla Arte]:[Crédito]],2,0))</f>
        <v>LUIZ PEREZ LENTINI/ARQUIVO DA EDITORA</v>
      </c>
      <c r="Z62" s="24" t="s">
        <v>176</v>
      </c>
      <c r="AA62" s="24" t="str">
        <f>Tabela2[[#This Row],[ILUSTRADOR CRIAÇÃO]]</f>
        <v>LUIZ PEREZ LENTINI/ARQUIVO DA EDITORA</v>
      </c>
      <c r="AB62" s="23">
        <v>13</v>
      </c>
      <c r="AC62" s="21" t="s">
        <v>177</v>
      </c>
      <c r="AD62" s="21"/>
      <c r="AE62" s="4" t="str">
        <f t="shared" si="0"/>
        <v>EF1 E001 Geo</v>
      </c>
    </row>
    <row r="63" spans="1:31" s="14" customFormat="1" ht="75" x14ac:dyDescent="0.25">
      <c r="A63" s="24" t="s">
        <v>182</v>
      </c>
      <c r="B63" s="21" t="s">
        <v>74</v>
      </c>
      <c r="C63" s="21" t="s">
        <v>110</v>
      </c>
      <c r="D63" s="21" t="s">
        <v>34</v>
      </c>
      <c r="E63" s="23">
        <v>141</v>
      </c>
      <c r="F63" s="23">
        <v>3</v>
      </c>
      <c r="G63" s="23">
        <v>4</v>
      </c>
      <c r="H63" s="23"/>
      <c r="I63" s="24" t="s">
        <v>35</v>
      </c>
      <c r="J63" s="24"/>
      <c r="K63" s="23"/>
      <c r="L63" s="23"/>
      <c r="M63" s="24"/>
      <c r="N63" s="24"/>
      <c r="O63" s="27" t="s">
        <v>183</v>
      </c>
      <c r="P63" s="27"/>
      <c r="Q63" s="27"/>
      <c r="R63" s="23">
        <v>12</v>
      </c>
      <c r="S63" s="25">
        <v>45804</v>
      </c>
      <c r="T63" s="25">
        <v>45716</v>
      </c>
      <c r="U63" s="25"/>
      <c r="V63" s="25"/>
      <c r="W63" s="25">
        <v>45716</v>
      </c>
      <c r="X63" s="23" t="s">
        <v>175</v>
      </c>
      <c r="Y63" s="4" t="str">
        <f>IF(Tabela2[[#This Row],[SIGLA]]="","",VLOOKUP(Tabela2[[#This Row],[SIGLA]],Tabela14[[#All],[Sigla Arte]:[Crédito]],2,0))</f>
        <v>LUIZ PEREZ LENTINI/ARQUIVO DA EDITORA</v>
      </c>
      <c r="Z63" s="24" t="s">
        <v>176</v>
      </c>
      <c r="AA63" s="24" t="str">
        <f>Tabela2[[#This Row],[ILUSTRADOR CRIAÇÃO]]</f>
        <v>LUIZ PEREZ LENTINI/ARQUIVO DA EDITORA</v>
      </c>
      <c r="AB63" s="23">
        <v>13</v>
      </c>
      <c r="AC63" s="21" t="s">
        <v>177</v>
      </c>
      <c r="AD63" s="21"/>
      <c r="AE63" s="4" t="str">
        <f t="shared" si="0"/>
        <v>EF1 E001 Geo</v>
      </c>
    </row>
    <row r="64" spans="1:31" s="14" customFormat="1" ht="75" x14ac:dyDescent="0.25">
      <c r="A64" s="24" t="s">
        <v>184</v>
      </c>
      <c r="B64" s="21" t="s">
        <v>32</v>
      </c>
      <c r="C64" s="21" t="s">
        <v>110</v>
      </c>
      <c r="D64" s="21" t="s">
        <v>34</v>
      </c>
      <c r="E64" s="23">
        <v>141</v>
      </c>
      <c r="F64" s="23">
        <v>3</v>
      </c>
      <c r="G64" s="23">
        <v>4</v>
      </c>
      <c r="H64" s="23"/>
      <c r="I64" s="24" t="s">
        <v>35</v>
      </c>
      <c r="J64" s="24"/>
      <c r="K64" s="23"/>
      <c r="L64" s="23"/>
      <c r="M64" s="24"/>
      <c r="N64" s="24"/>
      <c r="O64" s="27" t="s">
        <v>185</v>
      </c>
      <c r="P64" s="27"/>
      <c r="Q64" s="27"/>
      <c r="R64" s="23">
        <v>12</v>
      </c>
      <c r="S64" s="25">
        <v>45804</v>
      </c>
      <c r="T64" s="25">
        <v>45716</v>
      </c>
      <c r="U64" s="25"/>
      <c r="V64" s="25"/>
      <c r="W64" s="25">
        <v>45716</v>
      </c>
      <c r="X64" s="23" t="s">
        <v>175</v>
      </c>
      <c r="Y64" s="4" t="str">
        <f>IF(Tabela2[[#This Row],[SIGLA]]="","",VLOOKUP(Tabela2[[#This Row],[SIGLA]],Tabela14[[#All],[Sigla Arte]:[Crédito]],2,0))</f>
        <v>LUIZ PEREZ LENTINI/ARQUIVO DA EDITORA</v>
      </c>
      <c r="Z64" s="24" t="s">
        <v>176</v>
      </c>
      <c r="AA64" s="24" t="str">
        <f>Tabela2[[#This Row],[ILUSTRADOR CRIAÇÃO]]</f>
        <v>LUIZ PEREZ LENTINI/ARQUIVO DA EDITORA</v>
      </c>
      <c r="AB64" s="23">
        <v>13</v>
      </c>
      <c r="AC64" s="21" t="s">
        <v>177</v>
      </c>
      <c r="AD64" s="21"/>
      <c r="AE64" s="4" t="str">
        <f t="shared" si="0"/>
        <v>EF1 E001 Geo</v>
      </c>
    </row>
    <row r="65" spans="1:31" s="14" customFormat="1" ht="60" x14ac:dyDescent="0.25">
      <c r="A65" s="24" t="s">
        <v>186</v>
      </c>
      <c r="B65" s="21" t="s">
        <v>74</v>
      </c>
      <c r="C65" s="21" t="s">
        <v>110</v>
      </c>
      <c r="D65" s="21" t="s">
        <v>34</v>
      </c>
      <c r="E65" s="23">
        <v>142</v>
      </c>
      <c r="F65" s="23">
        <v>3</v>
      </c>
      <c r="G65" s="23">
        <v>4</v>
      </c>
      <c r="H65" s="23"/>
      <c r="I65" s="24" t="s">
        <v>111</v>
      </c>
      <c r="J65" s="24"/>
      <c r="K65" s="23"/>
      <c r="L65" s="23"/>
      <c r="M65" s="24"/>
      <c r="N65" s="24"/>
      <c r="O65" s="27" t="s">
        <v>187</v>
      </c>
      <c r="P65" s="27"/>
      <c r="Q65" s="27"/>
      <c r="R65" s="23"/>
      <c r="S65" s="25"/>
      <c r="T65" s="25"/>
      <c r="U65" s="25"/>
      <c r="V65" s="25"/>
      <c r="W65" s="25"/>
      <c r="X65" s="23" t="s">
        <v>188</v>
      </c>
      <c r="Y65" s="4" t="str">
        <f>IF(Tabela2[[#This Row],[SIGLA]]="","",VLOOKUP(Tabela2[[#This Row],[SIGLA]],Tabela14[[#All],[Sigla Arte]:[Crédito]],2,0))</f>
        <v>ERIK MALAGRINO/ARQUIVO DA EDITORA</v>
      </c>
      <c r="Z65" s="24"/>
      <c r="AA65" s="24" t="str">
        <f>Tabela2[[#This Row],[ILUSTRADOR CRIAÇÃO]]</f>
        <v>ERIK MALAGRINO/ARQUIVO DA EDITORA</v>
      </c>
      <c r="AB65" s="23"/>
      <c r="AC65" s="21"/>
      <c r="AD65" s="21"/>
      <c r="AE65" s="4" t="str">
        <f t="shared" si="0"/>
        <v>EF1 E001 Geo</v>
      </c>
    </row>
    <row r="66" spans="1:31" s="14" customFormat="1" ht="60" x14ac:dyDescent="0.25">
      <c r="A66" s="24" t="s">
        <v>189</v>
      </c>
      <c r="B66" s="21" t="s">
        <v>74</v>
      </c>
      <c r="C66" s="21" t="s">
        <v>110</v>
      </c>
      <c r="D66" s="21" t="s">
        <v>34</v>
      </c>
      <c r="E66" s="23">
        <v>142</v>
      </c>
      <c r="F66" s="23">
        <v>3</v>
      </c>
      <c r="G66" s="23">
        <v>4</v>
      </c>
      <c r="H66" s="23"/>
      <c r="I66" s="24" t="s">
        <v>111</v>
      </c>
      <c r="J66" s="24"/>
      <c r="K66" s="23"/>
      <c r="L66" s="23"/>
      <c r="M66" s="24"/>
      <c r="N66" s="24"/>
      <c r="O66" s="27" t="s">
        <v>190</v>
      </c>
      <c r="P66" s="27"/>
      <c r="Q66" s="27"/>
      <c r="R66" s="23"/>
      <c r="S66" s="25"/>
      <c r="T66" s="25"/>
      <c r="U66" s="25"/>
      <c r="V66" s="25"/>
      <c r="W66" s="25"/>
      <c r="X66" s="23" t="s">
        <v>188</v>
      </c>
      <c r="Y66" s="4" t="str">
        <f>IF(Tabela2[[#This Row],[SIGLA]]="","",VLOOKUP(Tabela2[[#This Row],[SIGLA]],Tabela14[[#All],[Sigla Arte]:[Crédito]],2,0))</f>
        <v>ERIK MALAGRINO/ARQUIVO DA EDITORA</v>
      </c>
      <c r="Z66" s="24"/>
      <c r="AA66" s="24" t="str">
        <f>Tabela2[[#This Row],[ILUSTRADOR CRIAÇÃO]]</f>
        <v>ERIK MALAGRINO/ARQUIVO DA EDITORA</v>
      </c>
      <c r="AB66" s="23"/>
      <c r="AC66" s="21"/>
      <c r="AD66" s="21"/>
      <c r="AE66" s="4" t="str">
        <f t="shared" ref="AE66:AE129" si="1">"EF1 E001 Geo"</f>
        <v>EF1 E001 Geo</v>
      </c>
    </row>
    <row r="67" spans="1:31" s="14" customFormat="1" ht="75" x14ac:dyDescent="0.25">
      <c r="A67" s="24" t="s">
        <v>191</v>
      </c>
      <c r="B67" s="21" t="s">
        <v>74</v>
      </c>
      <c r="C67" s="21" t="s">
        <v>110</v>
      </c>
      <c r="D67" s="21" t="s">
        <v>34</v>
      </c>
      <c r="E67" s="23">
        <v>143</v>
      </c>
      <c r="F67" s="23">
        <v>3</v>
      </c>
      <c r="G67" s="23">
        <v>4</v>
      </c>
      <c r="H67" s="23"/>
      <c r="I67" s="24" t="s">
        <v>111</v>
      </c>
      <c r="J67" s="24"/>
      <c r="K67" s="23"/>
      <c r="L67" s="23"/>
      <c r="M67" s="24"/>
      <c r="N67" s="24"/>
      <c r="O67" s="27" t="s">
        <v>192</v>
      </c>
      <c r="P67" s="27"/>
      <c r="Q67" s="27"/>
      <c r="R67" s="23"/>
      <c r="S67" s="25"/>
      <c r="T67" s="25"/>
      <c r="U67" s="25"/>
      <c r="V67" s="25"/>
      <c r="W67" s="25"/>
      <c r="X67" s="23" t="s">
        <v>188</v>
      </c>
      <c r="Y67" s="4" t="str">
        <f>IF(Tabela2[[#This Row],[SIGLA]]="","",VLOOKUP(Tabela2[[#This Row],[SIGLA]],Tabela14[[#All],[Sigla Arte]:[Crédito]],2,0))</f>
        <v>ERIK MALAGRINO/ARQUIVO DA EDITORA</v>
      </c>
      <c r="Z67" s="24"/>
      <c r="AA67" s="24" t="str">
        <f>Tabela2[[#This Row],[ILUSTRADOR CRIAÇÃO]]</f>
        <v>ERIK MALAGRINO/ARQUIVO DA EDITORA</v>
      </c>
      <c r="AB67" s="23"/>
      <c r="AC67" s="21"/>
      <c r="AD67" s="21"/>
      <c r="AE67" s="4" t="str">
        <f t="shared" si="1"/>
        <v>EF1 E001 Geo</v>
      </c>
    </row>
    <row r="68" spans="1:31" s="14" customFormat="1" ht="60" x14ac:dyDescent="0.25">
      <c r="A68" s="24" t="s">
        <v>193</v>
      </c>
      <c r="B68" s="21" t="s">
        <v>74</v>
      </c>
      <c r="C68" s="21" t="s">
        <v>110</v>
      </c>
      <c r="D68" s="21" t="s">
        <v>34</v>
      </c>
      <c r="E68" s="23">
        <v>143</v>
      </c>
      <c r="F68" s="23">
        <v>3</v>
      </c>
      <c r="G68" s="23">
        <v>4</v>
      </c>
      <c r="H68" s="23"/>
      <c r="I68" s="24" t="s">
        <v>111</v>
      </c>
      <c r="J68" s="24"/>
      <c r="K68" s="23"/>
      <c r="L68" s="23"/>
      <c r="M68" s="24"/>
      <c r="N68" s="24"/>
      <c r="O68" s="27" t="s">
        <v>194</v>
      </c>
      <c r="P68" s="27"/>
      <c r="Q68" s="27"/>
      <c r="R68" s="23"/>
      <c r="S68" s="25"/>
      <c r="T68" s="25"/>
      <c r="U68" s="25"/>
      <c r="V68" s="25"/>
      <c r="W68" s="25"/>
      <c r="X68" s="23" t="s">
        <v>188</v>
      </c>
      <c r="Y68" s="4" t="str">
        <f>IF(Tabela2[[#This Row],[SIGLA]]="","",VLOOKUP(Tabela2[[#This Row],[SIGLA]],Tabela14[[#All],[Sigla Arte]:[Crédito]],2,0))</f>
        <v>ERIK MALAGRINO/ARQUIVO DA EDITORA</v>
      </c>
      <c r="Z68" s="24"/>
      <c r="AA68" s="24" t="str">
        <f>Tabela2[[#This Row],[ILUSTRADOR CRIAÇÃO]]</f>
        <v>ERIK MALAGRINO/ARQUIVO DA EDITORA</v>
      </c>
      <c r="AB68" s="23"/>
      <c r="AC68" s="21"/>
      <c r="AD68" s="21"/>
      <c r="AE68" s="4" t="str">
        <f t="shared" si="1"/>
        <v>EF1 E001 Geo</v>
      </c>
    </row>
    <row r="69" spans="1:31" s="14" customFormat="1" ht="60" x14ac:dyDescent="0.25">
      <c r="A69" s="24" t="s">
        <v>195</v>
      </c>
      <c r="B69" s="21" t="s">
        <v>74</v>
      </c>
      <c r="C69" s="21" t="s">
        <v>110</v>
      </c>
      <c r="D69" s="21" t="s">
        <v>34</v>
      </c>
      <c r="E69" s="23">
        <v>147</v>
      </c>
      <c r="F69" s="23">
        <v>3</v>
      </c>
      <c r="G69" s="23">
        <v>4</v>
      </c>
      <c r="H69" s="23"/>
      <c r="I69" s="24" t="s">
        <v>111</v>
      </c>
      <c r="J69" s="24"/>
      <c r="K69" s="23"/>
      <c r="L69" s="23"/>
      <c r="M69" s="24"/>
      <c r="N69" s="24"/>
      <c r="O69" s="27" t="s">
        <v>196</v>
      </c>
      <c r="P69" s="27"/>
      <c r="Q69" s="27"/>
      <c r="R69" s="23"/>
      <c r="S69" s="25"/>
      <c r="T69" s="25"/>
      <c r="U69" s="25"/>
      <c r="V69" s="25"/>
      <c r="W69" s="25"/>
      <c r="X69" s="23" t="s">
        <v>197</v>
      </c>
      <c r="Y69" s="4" t="str">
        <f>IF(Tabela2[[#This Row],[SIGLA]]="","",VLOOKUP(Tabela2[[#This Row],[SIGLA]],Tabela14[[#All],[Sigla Arte]:[Crédito]],2,0))</f>
        <v>HELOÍSA PINTARELLI/ARQUIVO DA EDITORA</v>
      </c>
      <c r="Z69" s="24"/>
      <c r="AA69" s="24" t="str">
        <f>Tabela2[[#This Row],[ILUSTRADOR CRIAÇÃO]]</f>
        <v>HELOÍSA PINTARELLI/ARQUIVO DA EDITORA</v>
      </c>
      <c r="AB69" s="23"/>
      <c r="AC69" s="21"/>
      <c r="AD69" s="21"/>
      <c r="AE69" s="4" t="str">
        <f t="shared" si="1"/>
        <v>EF1 E001 Geo</v>
      </c>
    </row>
    <row r="70" spans="1:31" s="14" customFormat="1" ht="60" x14ac:dyDescent="0.25">
      <c r="A70" s="24" t="s">
        <v>198</v>
      </c>
      <c r="B70" s="21" t="s">
        <v>74</v>
      </c>
      <c r="C70" s="21" t="s">
        <v>110</v>
      </c>
      <c r="D70" s="21" t="s">
        <v>34</v>
      </c>
      <c r="E70" s="23">
        <v>147</v>
      </c>
      <c r="F70" s="23">
        <v>3</v>
      </c>
      <c r="G70" s="23">
        <v>4</v>
      </c>
      <c r="H70" s="23"/>
      <c r="I70" s="24" t="s">
        <v>111</v>
      </c>
      <c r="J70" s="24"/>
      <c r="K70" s="23"/>
      <c r="L70" s="23"/>
      <c r="M70" s="24"/>
      <c r="N70" s="24"/>
      <c r="O70" s="27" t="s">
        <v>199</v>
      </c>
      <c r="P70" s="27"/>
      <c r="Q70" s="27"/>
      <c r="R70" s="23"/>
      <c r="S70" s="25"/>
      <c r="T70" s="25"/>
      <c r="U70" s="25"/>
      <c r="V70" s="25"/>
      <c r="W70" s="25"/>
      <c r="X70" s="23" t="s">
        <v>197</v>
      </c>
      <c r="Y70" s="4" t="str">
        <f>IF(Tabela2[[#This Row],[SIGLA]]="","",VLOOKUP(Tabela2[[#This Row],[SIGLA]],Tabela14[[#All],[Sigla Arte]:[Crédito]],2,0))</f>
        <v>HELOÍSA PINTARELLI/ARQUIVO DA EDITORA</v>
      </c>
      <c r="Z70" s="24"/>
      <c r="AA70" s="24" t="str">
        <f>Tabela2[[#This Row],[ILUSTRADOR CRIAÇÃO]]</f>
        <v>HELOÍSA PINTARELLI/ARQUIVO DA EDITORA</v>
      </c>
      <c r="AB70" s="23"/>
      <c r="AC70" s="21"/>
      <c r="AD70" s="21"/>
      <c r="AE70" s="4" t="str">
        <f t="shared" si="1"/>
        <v>EF1 E001 Geo</v>
      </c>
    </row>
    <row r="71" spans="1:31" s="14" customFormat="1" ht="60" x14ac:dyDescent="0.25">
      <c r="A71" s="24" t="s">
        <v>200</v>
      </c>
      <c r="B71" s="21" t="s">
        <v>74</v>
      </c>
      <c r="C71" s="21" t="s">
        <v>110</v>
      </c>
      <c r="D71" s="21" t="s">
        <v>34</v>
      </c>
      <c r="E71" s="23">
        <v>147</v>
      </c>
      <c r="F71" s="23">
        <v>3</v>
      </c>
      <c r="G71" s="23">
        <v>4</v>
      </c>
      <c r="H71" s="23"/>
      <c r="I71" s="24" t="s">
        <v>111</v>
      </c>
      <c r="J71" s="24"/>
      <c r="K71" s="23"/>
      <c r="L71" s="23"/>
      <c r="M71" s="24"/>
      <c r="N71" s="24"/>
      <c r="O71" s="27" t="s">
        <v>201</v>
      </c>
      <c r="P71" s="27"/>
      <c r="Q71" s="27"/>
      <c r="R71" s="23"/>
      <c r="S71" s="25"/>
      <c r="T71" s="25"/>
      <c r="U71" s="25"/>
      <c r="V71" s="25"/>
      <c r="W71" s="25"/>
      <c r="X71" s="23" t="s">
        <v>197</v>
      </c>
      <c r="Y71" s="4" t="str">
        <f>IF(Tabela2[[#This Row],[SIGLA]]="","",VLOOKUP(Tabela2[[#This Row],[SIGLA]],Tabela14[[#All],[Sigla Arte]:[Crédito]],2,0))</f>
        <v>HELOÍSA PINTARELLI/ARQUIVO DA EDITORA</v>
      </c>
      <c r="Z71" s="24"/>
      <c r="AA71" s="24" t="str">
        <f>Tabela2[[#This Row],[ILUSTRADOR CRIAÇÃO]]</f>
        <v>HELOÍSA PINTARELLI/ARQUIVO DA EDITORA</v>
      </c>
      <c r="AB71" s="23"/>
      <c r="AC71" s="21"/>
      <c r="AD71" s="21"/>
      <c r="AE71" s="4" t="str">
        <f t="shared" si="1"/>
        <v>EF1 E001 Geo</v>
      </c>
    </row>
    <row r="72" spans="1:31" s="14" customFormat="1" ht="60" x14ac:dyDescent="0.25">
      <c r="A72" s="24" t="s">
        <v>202</v>
      </c>
      <c r="B72" s="21" t="s">
        <v>74</v>
      </c>
      <c r="C72" s="21" t="s">
        <v>110</v>
      </c>
      <c r="D72" s="21" t="s">
        <v>34</v>
      </c>
      <c r="E72" s="23">
        <v>147</v>
      </c>
      <c r="F72" s="23">
        <v>3</v>
      </c>
      <c r="G72" s="23">
        <v>4</v>
      </c>
      <c r="H72" s="23"/>
      <c r="I72" s="24" t="s">
        <v>111</v>
      </c>
      <c r="J72" s="24"/>
      <c r="K72" s="23"/>
      <c r="L72" s="23"/>
      <c r="M72" s="24"/>
      <c r="N72" s="24"/>
      <c r="O72" s="27" t="s">
        <v>203</v>
      </c>
      <c r="P72" s="27"/>
      <c r="Q72" s="27"/>
      <c r="R72" s="23"/>
      <c r="S72" s="25"/>
      <c r="T72" s="25"/>
      <c r="U72" s="25"/>
      <c r="V72" s="25"/>
      <c r="W72" s="25"/>
      <c r="X72" s="23" t="s">
        <v>197</v>
      </c>
      <c r="Y72" s="4" t="str">
        <f>IF(Tabela2[[#This Row],[SIGLA]]="","",VLOOKUP(Tabela2[[#This Row],[SIGLA]],Tabela14[[#All],[Sigla Arte]:[Crédito]],2,0))</f>
        <v>HELOÍSA PINTARELLI/ARQUIVO DA EDITORA</v>
      </c>
      <c r="Z72" s="24"/>
      <c r="AA72" s="24" t="str">
        <f>Tabela2[[#This Row],[ILUSTRADOR CRIAÇÃO]]</f>
        <v>HELOÍSA PINTARELLI/ARQUIVO DA EDITORA</v>
      </c>
      <c r="AB72" s="23"/>
      <c r="AC72" s="21"/>
      <c r="AD72" s="21"/>
      <c r="AE72" s="4" t="str">
        <f t="shared" si="1"/>
        <v>EF1 E001 Geo</v>
      </c>
    </row>
    <row r="73" spans="1:31" s="14" customFormat="1" ht="135" x14ac:dyDescent="0.25">
      <c r="A73" s="24" t="s">
        <v>204</v>
      </c>
      <c r="B73" s="21" t="s">
        <v>74</v>
      </c>
      <c r="C73" s="21" t="s">
        <v>110</v>
      </c>
      <c r="D73" s="21" t="s">
        <v>34</v>
      </c>
      <c r="E73" s="23">
        <v>16</v>
      </c>
      <c r="F73" s="23">
        <v>4</v>
      </c>
      <c r="G73" s="23">
        <v>1</v>
      </c>
      <c r="H73" s="23"/>
      <c r="I73" s="24" t="s">
        <v>35</v>
      </c>
      <c r="J73" s="24"/>
      <c r="K73" s="23"/>
      <c r="L73" s="23"/>
      <c r="M73" s="24"/>
      <c r="N73" s="24"/>
      <c r="O73" s="27" t="s">
        <v>205</v>
      </c>
      <c r="P73" s="27"/>
      <c r="Q73" s="27"/>
      <c r="R73" s="23">
        <v>4</v>
      </c>
      <c r="S73" s="25">
        <v>45707</v>
      </c>
      <c r="T73" s="25">
        <v>45716</v>
      </c>
      <c r="U73" s="25"/>
      <c r="V73" s="25"/>
      <c r="W73" s="25">
        <v>45728</v>
      </c>
      <c r="X73" s="23" t="s">
        <v>175</v>
      </c>
      <c r="Y73" s="4" t="str">
        <f>IF(Tabela2[[#This Row],[SIGLA]]="","",VLOOKUP(Tabela2[[#This Row],[SIGLA]],Tabela14[[#All],[Sigla Arte]:[Crédito]],2,0))</f>
        <v>LUIZ PEREZ LENTINI/ARQUIVO DA EDITORA</v>
      </c>
      <c r="Z73" s="24" t="s">
        <v>172</v>
      </c>
      <c r="AA73" s="24" t="str">
        <f>Tabela2[[#This Row],[ILUSTRADOR CRIAÇÃO]]</f>
        <v>LUIZ PEREZ LENTINI/ARQUIVO DA EDITORA</v>
      </c>
      <c r="AB73" s="23">
        <v>13</v>
      </c>
      <c r="AC73" s="21" t="s">
        <v>39</v>
      </c>
      <c r="AD73" s="21" t="s">
        <v>40</v>
      </c>
      <c r="AE73" s="4" t="str">
        <f t="shared" si="1"/>
        <v>EF1 E001 Geo</v>
      </c>
    </row>
    <row r="74" spans="1:31" s="14" customFormat="1" ht="150" x14ac:dyDescent="0.25">
      <c r="A74" s="24" t="s">
        <v>206</v>
      </c>
      <c r="B74" s="21" t="s">
        <v>32</v>
      </c>
      <c r="C74" s="21" t="s">
        <v>110</v>
      </c>
      <c r="D74" s="21" t="s">
        <v>34</v>
      </c>
      <c r="E74" s="23">
        <v>17</v>
      </c>
      <c r="F74" s="23">
        <v>4</v>
      </c>
      <c r="G74" s="23">
        <v>1</v>
      </c>
      <c r="H74" s="23"/>
      <c r="I74" s="24" t="s">
        <v>35</v>
      </c>
      <c r="J74" s="24"/>
      <c r="K74" s="23"/>
      <c r="L74" s="23"/>
      <c r="M74" s="24"/>
      <c r="N74" s="24"/>
      <c r="O74" s="27" t="s">
        <v>207</v>
      </c>
      <c r="P74" s="27"/>
      <c r="Q74" s="27"/>
      <c r="R74" s="23">
        <v>4</v>
      </c>
      <c r="S74" s="25">
        <v>45707</v>
      </c>
      <c r="T74" s="25">
        <v>45716</v>
      </c>
      <c r="U74" s="25"/>
      <c r="V74" s="25"/>
      <c r="W74" s="25">
        <v>45728</v>
      </c>
      <c r="X74" s="23" t="s">
        <v>175</v>
      </c>
      <c r="Y74" s="4" t="str">
        <f>IF(Tabela2[[#This Row],[SIGLA]]="","",VLOOKUP(Tabela2[[#This Row],[SIGLA]],Tabela14[[#All],[Sigla Arte]:[Crédito]],2,0))</f>
        <v>LUIZ PEREZ LENTINI/ARQUIVO DA EDITORA</v>
      </c>
      <c r="Z74" s="24" t="s">
        <v>172</v>
      </c>
      <c r="AA74" s="24" t="str">
        <f>Tabela2[[#This Row],[ILUSTRADOR CRIAÇÃO]]</f>
        <v>LUIZ PEREZ LENTINI/ARQUIVO DA EDITORA</v>
      </c>
      <c r="AB74" s="23">
        <v>13</v>
      </c>
      <c r="AC74" s="21" t="s">
        <v>39</v>
      </c>
      <c r="AD74" s="21" t="s">
        <v>40</v>
      </c>
      <c r="AE74" s="4" t="str">
        <f t="shared" si="1"/>
        <v>EF1 E001 Geo</v>
      </c>
    </row>
    <row r="75" spans="1:31" s="14" customFormat="1" ht="30" x14ac:dyDescent="0.25">
      <c r="A75" s="24" t="s">
        <v>208</v>
      </c>
      <c r="B75" s="21" t="s">
        <v>32</v>
      </c>
      <c r="C75" s="21" t="s">
        <v>110</v>
      </c>
      <c r="D75" s="21" t="s">
        <v>34</v>
      </c>
      <c r="E75" s="23">
        <v>18</v>
      </c>
      <c r="F75" s="23">
        <v>4</v>
      </c>
      <c r="G75" s="23">
        <v>1</v>
      </c>
      <c r="H75" s="23"/>
      <c r="I75" s="24" t="s">
        <v>111</v>
      </c>
      <c r="J75" s="24"/>
      <c r="K75" s="23"/>
      <c r="L75" s="23"/>
      <c r="M75" s="24"/>
      <c r="N75" s="24"/>
      <c r="O75" s="27" t="s">
        <v>209</v>
      </c>
      <c r="P75" s="27"/>
      <c r="Q75" s="27"/>
      <c r="R75" s="23"/>
      <c r="S75" s="25"/>
      <c r="T75" s="25"/>
      <c r="U75" s="25"/>
      <c r="V75" s="25"/>
      <c r="W75" s="25"/>
      <c r="X75" s="23" t="s">
        <v>175</v>
      </c>
      <c r="Y75" s="4" t="str">
        <f>IF(Tabela2[[#This Row],[SIGLA]]="","",VLOOKUP(Tabela2[[#This Row],[SIGLA]],Tabela14[[#All],[Sigla Arte]:[Crédito]],2,0))</f>
        <v>LUIZ PEREZ LENTINI/ARQUIVO DA EDITORA</v>
      </c>
      <c r="Z75" s="24"/>
      <c r="AA75" s="24" t="str">
        <f>Tabela2[[#This Row],[ILUSTRADOR CRIAÇÃO]]</f>
        <v>LUIZ PEREZ LENTINI/ARQUIVO DA EDITORA</v>
      </c>
      <c r="AB75" s="23"/>
      <c r="AC75" s="21"/>
      <c r="AD75" s="21"/>
      <c r="AE75" s="4" t="str">
        <f t="shared" si="1"/>
        <v>EF1 E001 Geo</v>
      </c>
    </row>
    <row r="76" spans="1:31" s="14" customFormat="1" ht="30" x14ac:dyDescent="0.25">
      <c r="A76" s="24" t="s">
        <v>210</v>
      </c>
      <c r="B76" s="21" t="s">
        <v>32</v>
      </c>
      <c r="C76" s="21" t="s">
        <v>110</v>
      </c>
      <c r="D76" s="21" t="s">
        <v>34</v>
      </c>
      <c r="E76" s="23">
        <v>19</v>
      </c>
      <c r="F76" s="23">
        <v>4</v>
      </c>
      <c r="G76" s="23">
        <v>1</v>
      </c>
      <c r="H76" s="23"/>
      <c r="I76" s="24" t="s">
        <v>111</v>
      </c>
      <c r="J76" s="24"/>
      <c r="K76" s="23"/>
      <c r="L76" s="23"/>
      <c r="M76" s="24"/>
      <c r="N76" s="24"/>
      <c r="O76" s="27" t="s">
        <v>211</v>
      </c>
      <c r="P76" s="27"/>
      <c r="Q76" s="27"/>
      <c r="R76" s="23"/>
      <c r="S76" s="25"/>
      <c r="T76" s="25"/>
      <c r="U76" s="25"/>
      <c r="V76" s="25"/>
      <c r="W76" s="25"/>
      <c r="X76" s="23" t="s">
        <v>212</v>
      </c>
      <c r="Y76" s="4" t="str">
        <f>IF(Tabela2[[#This Row],[SIGLA]]="","",VLOOKUP(Tabela2[[#This Row],[SIGLA]],Tabela14[[#All],[Sigla Arte]:[Crédito]],2,0))</f>
        <v>RENAN FONSECA/ARQUIVO DA EDITORA</v>
      </c>
      <c r="Z76" s="24"/>
      <c r="AA76" s="24" t="str">
        <f>Tabela2[[#This Row],[ILUSTRADOR CRIAÇÃO]]</f>
        <v>RENAN FONSECA/ARQUIVO DA EDITORA</v>
      </c>
      <c r="AB76" s="23"/>
      <c r="AC76" s="21"/>
      <c r="AD76" s="21"/>
      <c r="AE76" s="4" t="str">
        <f t="shared" si="1"/>
        <v>EF1 E001 Geo</v>
      </c>
    </row>
    <row r="77" spans="1:31" s="14" customFormat="1" ht="30" x14ac:dyDescent="0.25">
      <c r="A77" s="24" t="s">
        <v>213</v>
      </c>
      <c r="B77" s="21" t="s">
        <v>74</v>
      </c>
      <c r="C77" s="21" t="s">
        <v>110</v>
      </c>
      <c r="D77" s="21" t="s">
        <v>34</v>
      </c>
      <c r="E77" s="23">
        <v>19</v>
      </c>
      <c r="F77" s="23">
        <v>4</v>
      </c>
      <c r="G77" s="23">
        <v>1</v>
      </c>
      <c r="H77" s="23"/>
      <c r="I77" s="24" t="s">
        <v>111</v>
      </c>
      <c r="J77" s="24"/>
      <c r="K77" s="23"/>
      <c r="L77" s="23"/>
      <c r="M77" s="24"/>
      <c r="N77" s="24"/>
      <c r="O77" s="27" t="s">
        <v>214</v>
      </c>
      <c r="P77" s="27"/>
      <c r="Q77" s="27"/>
      <c r="R77" s="23"/>
      <c r="S77" s="25"/>
      <c r="T77" s="25"/>
      <c r="U77" s="25"/>
      <c r="V77" s="25"/>
      <c r="W77" s="25"/>
      <c r="X77" s="23" t="s">
        <v>197</v>
      </c>
      <c r="Y77" s="4" t="str">
        <f>IF(Tabela2[[#This Row],[SIGLA]]="","",VLOOKUP(Tabela2[[#This Row],[SIGLA]],Tabela14[[#All],[Sigla Arte]:[Crédito]],2,0))</f>
        <v>HELOÍSA PINTARELLI/ARQUIVO DA EDITORA</v>
      </c>
      <c r="Z77" s="24"/>
      <c r="AA77" s="24" t="str">
        <f>Tabela2[[#This Row],[ILUSTRADOR CRIAÇÃO]]</f>
        <v>HELOÍSA PINTARELLI/ARQUIVO DA EDITORA</v>
      </c>
      <c r="AB77" s="23"/>
      <c r="AC77" s="21"/>
      <c r="AD77" s="21"/>
      <c r="AE77" s="4" t="str">
        <f t="shared" si="1"/>
        <v>EF1 E001 Geo</v>
      </c>
    </row>
    <row r="78" spans="1:31" s="14" customFormat="1" ht="45" x14ac:dyDescent="0.25">
      <c r="A78" s="24" t="s">
        <v>215</v>
      </c>
      <c r="B78" s="21" t="s">
        <v>32</v>
      </c>
      <c r="C78" s="21" t="s">
        <v>110</v>
      </c>
      <c r="D78" s="21" t="s">
        <v>34</v>
      </c>
      <c r="E78" s="23">
        <v>20</v>
      </c>
      <c r="F78" s="23">
        <v>4</v>
      </c>
      <c r="G78" s="23">
        <v>1</v>
      </c>
      <c r="H78" s="23"/>
      <c r="I78" s="24" t="s">
        <v>111</v>
      </c>
      <c r="J78" s="24"/>
      <c r="K78" s="23"/>
      <c r="L78" s="23"/>
      <c r="M78" s="24"/>
      <c r="N78" s="24"/>
      <c r="O78" s="27" t="s">
        <v>216</v>
      </c>
      <c r="P78" s="27"/>
      <c r="Q78" s="27"/>
      <c r="R78" s="23"/>
      <c r="S78" s="25"/>
      <c r="T78" s="25"/>
      <c r="U78" s="25"/>
      <c r="V78" s="25"/>
      <c r="W78" s="25"/>
      <c r="X78" s="23" t="s">
        <v>188</v>
      </c>
      <c r="Y78" s="4" t="str">
        <f>IF(Tabela2[[#This Row],[SIGLA]]="","",VLOOKUP(Tabela2[[#This Row],[SIGLA]],Tabela14[[#All],[Sigla Arte]:[Crédito]],2,0))</f>
        <v>ERIK MALAGRINO/ARQUIVO DA EDITORA</v>
      </c>
      <c r="Z78" s="24"/>
      <c r="AA78" s="24" t="str">
        <f>Tabela2[[#This Row],[ILUSTRADOR CRIAÇÃO]]</f>
        <v>ERIK MALAGRINO/ARQUIVO DA EDITORA</v>
      </c>
      <c r="AB78" s="23"/>
      <c r="AC78" s="21"/>
      <c r="AD78" s="21"/>
      <c r="AE78" s="4" t="str">
        <f t="shared" si="1"/>
        <v>EF1 E001 Geo</v>
      </c>
    </row>
    <row r="79" spans="1:31" s="14" customFormat="1" ht="45" x14ac:dyDescent="0.25">
      <c r="A79" s="24" t="s">
        <v>217</v>
      </c>
      <c r="B79" s="21" t="s">
        <v>32</v>
      </c>
      <c r="C79" s="21" t="s">
        <v>110</v>
      </c>
      <c r="D79" s="21" t="s">
        <v>34</v>
      </c>
      <c r="E79" s="23">
        <v>31</v>
      </c>
      <c r="F79" s="23">
        <v>4</v>
      </c>
      <c r="G79" s="23">
        <v>1</v>
      </c>
      <c r="H79" s="23"/>
      <c r="I79" s="24" t="s">
        <v>111</v>
      </c>
      <c r="J79" s="24"/>
      <c r="K79" s="23"/>
      <c r="L79" s="23"/>
      <c r="M79" s="24"/>
      <c r="N79" s="24"/>
      <c r="O79" s="27" t="s">
        <v>218</v>
      </c>
      <c r="P79" s="27"/>
      <c r="Q79" s="27"/>
      <c r="R79" s="23"/>
      <c r="S79" s="25"/>
      <c r="T79" s="25"/>
      <c r="U79" s="25"/>
      <c r="V79" s="25"/>
      <c r="W79" s="25"/>
      <c r="X79" s="23" t="s">
        <v>188</v>
      </c>
      <c r="Y79" s="4" t="str">
        <f>IF(Tabela2[[#This Row],[SIGLA]]="","",VLOOKUP(Tabela2[[#This Row],[SIGLA]],Tabela14[[#All],[Sigla Arte]:[Crédito]],2,0))</f>
        <v>ERIK MALAGRINO/ARQUIVO DA EDITORA</v>
      </c>
      <c r="Z79" s="24"/>
      <c r="AA79" s="24" t="str">
        <f>Tabela2[[#This Row],[ILUSTRADOR CRIAÇÃO]]</f>
        <v>ERIK MALAGRINO/ARQUIVO DA EDITORA</v>
      </c>
      <c r="AB79" s="23"/>
      <c r="AC79" s="21"/>
      <c r="AD79" s="21"/>
      <c r="AE79" s="4" t="str">
        <f t="shared" si="1"/>
        <v>EF1 E001 Geo</v>
      </c>
    </row>
    <row r="80" spans="1:31" s="14" customFormat="1" ht="45" x14ac:dyDescent="0.25">
      <c r="A80" s="24" t="s">
        <v>219</v>
      </c>
      <c r="B80" s="21" t="s">
        <v>88</v>
      </c>
      <c r="C80" s="21" t="s">
        <v>110</v>
      </c>
      <c r="D80" s="21" t="s">
        <v>34</v>
      </c>
      <c r="E80" s="23">
        <v>56</v>
      </c>
      <c r="F80" s="23">
        <v>4</v>
      </c>
      <c r="G80" s="23">
        <v>2</v>
      </c>
      <c r="H80" s="23"/>
      <c r="I80" s="24" t="s">
        <v>111</v>
      </c>
      <c r="J80" s="24"/>
      <c r="K80" s="23"/>
      <c r="L80" s="23"/>
      <c r="M80" s="24"/>
      <c r="N80" s="24"/>
      <c r="O80" s="27" t="s">
        <v>220</v>
      </c>
      <c r="P80" s="27"/>
      <c r="Q80" s="27"/>
      <c r="R80" s="23"/>
      <c r="S80" s="25"/>
      <c r="T80" s="25"/>
      <c r="U80" s="25"/>
      <c r="V80" s="25"/>
      <c r="W80" s="25"/>
      <c r="X80" s="23" t="s">
        <v>197</v>
      </c>
      <c r="Y80" s="4" t="str">
        <f>IF(Tabela2[[#This Row],[SIGLA]]="","",VLOOKUP(Tabela2[[#This Row],[SIGLA]],Tabela14[[#All],[Sigla Arte]:[Crédito]],2,0))</f>
        <v>HELOÍSA PINTARELLI/ARQUIVO DA EDITORA</v>
      </c>
      <c r="Z80" s="24"/>
      <c r="AA80" s="24" t="str">
        <f>Tabela2[[#This Row],[ILUSTRADOR CRIAÇÃO]]</f>
        <v>HELOÍSA PINTARELLI/ARQUIVO DA EDITORA</v>
      </c>
      <c r="AB80" s="23"/>
      <c r="AC80" s="21"/>
      <c r="AD80" s="21"/>
      <c r="AE80" s="4" t="str">
        <f t="shared" si="1"/>
        <v>EF1 E001 Geo</v>
      </c>
    </row>
    <row r="81" spans="1:31" s="14" customFormat="1" ht="45" x14ac:dyDescent="0.25">
      <c r="A81" s="24" t="s">
        <v>221</v>
      </c>
      <c r="B81" s="21" t="s">
        <v>88</v>
      </c>
      <c r="C81" s="21" t="s">
        <v>110</v>
      </c>
      <c r="D81" s="21" t="s">
        <v>34</v>
      </c>
      <c r="E81" s="23">
        <v>56</v>
      </c>
      <c r="F81" s="23">
        <v>4</v>
      </c>
      <c r="G81" s="23">
        <v>2</v>
      </c>
      <c r="H81" s="23"/>
      <c r="I81" s="24" t="s">
        <v>111</v>
      </c>
      <c r="J81" s="24"/>
      <c r="K81" s="23"/>
      <c r="L81" s="23"/>
      <c r="M81" s="24"/>
      <c r="N81" s="24"/>
      <c r="O81" s="27" t="s">
        <v>222</v>
      </c>
      <c r="P81" s="27"/>
      <c r="Q81" s="27"/>
      <c r="R81" s="23"/>
      <c r="S81" s="25"/>
      <c r="T81" s="25"/>
      <c r="U81" s="25"/>
      <c r="V81" s="25"/>
      <c r="W81" s="25"/>
      <c r="X81" s="23" t="s">
        <v>197</v>
      </c>
      <c r="Y81" s="4" t="str">
        <f>IF(Tabela2[[#This Row],[SIGLA]]="","",VLOOKUP(Tabela2[[#This Row],[SIGLA]],Tabela14[[#All],[Sigla Arte]:[Crédito]],2,0))</f>
        <v>HELOÍSA PINTARELLI/ARQUIVO DA EDITORA</v>
      </c>
      <c r="Z81" s="24"/>
      <c r="AA81" s="24" t="str">
        <f>Tabela2[[#This Row],[ILUSTRADOR CRIAÇÃO]]</f>
        <v>HELOÍSA PINTARELLI/ARQUIVO DA EDITORA</v>
      </c>
      <c r="AB81" s="23"/>
      <c r="AC81" s="21"/>
      <c r="AD81" s="21"/>
      <c r="AE81" s="4" t="str">
        <f t="shared" si="1"/>
        <v>EF1 E001 Geo</v>
      </c>
    </row>
    <row r="82" spans="1:31" s="14" customFormat="1" ht="45" x14ac:dyDescent="0.25">
      <c r="A82" s="24" t="s">
        <v>223</v>
      </c>
      <c r="B82" s="21" t="s">
        <v>88</v>
      </c>
      <c r="C82" s="21" t="s">
        <v>110</v>
      </c>
      <c r="D82" s="21" t="s">
        <v>34</v>
      </c>
      <c r="E82" s="23">
        <v>56</v>
      </c>
      <c r="F82" s="23">
        <v>4</v>
      </c>
      <c r="G82" s="23">
        <v>2</v>
      </c>
      <c r="H82" s="23"/>
      <c r="I82" s="24" t="s">
        <v>111</v>
      </c>
      <c r="J82" s="24"/>
      <c r="K82" s="23"/>
      <c r="L82" s="23"/>
      <c r="M82" s="24"/>
      <c r="N82" s="24"/>
      <c r="O82" s="27" t="s">
        <v>224</v>
      </c>
      <c r="P82" s="27"/>
      <c r="Q82" s="27"/>
      <c r="R82" s="23"/>
      <c r="S82" s="25"/>
      <c r="T82" s="25"/>
      <c r="U82" s="25"/>
      <c r="V82" s="25"/>
      <c r="W82" s="25"/>
      <c r="X82" s="23" t="s">
        <v>197</v>
      </c>
      <c r="Y82" s="4" t="str">
        <f>IF(Tabela2[[#This Row],[SIGLA]]="","",VLOOKUP(Tabela2[[#This Row],[SIGLA]],Tabela14[[#All],[Sigla Arte]:[Crédito]],2,0))</f>
        <v>HELOÍSA PINTARELLI/ARQUIVO DA EDITORA</v>
      </c>
      <c r="Z82" s="24"/>
      <c r="AA82" s="24" t="str">
        <f>Tabela2[[#This Row],[ILUSTRADOR CRIAÇÃO]]</f>
        <v>HELOÍSA PINTARELLI/ARQUIVO DA EDITORA</v>
      </c>
      <c r="AB82" s="23"/>
      <c r="AC82" s="21"/>
      <c r="AD82" s="21"/>
      <c r="AE82" s="4" t="str">
        <f t="shared" si="1"/>
        <v>EF1 E001 Geo</v>
      </c>
    </row>
    <row r="83" spans="1:31" s="14" customFormat="1" ht="45" x14ac:dyDescent="0.25">
      <c r="A83" s="24" t="s">
        <v>225</v>
      </c>
      <c r="B83" s="21" t="s">
        <v>88</v>
      </c>
      <c r="C83" s="21" t="s">
        <v>110</v>
      </c>
      <c r="D83" s="21" t="s">
        <v>34</v>
      </c>
      <c r="E83" s="23">
        <v>56</v>
      </c>
      <c r="F83" s="23">
        <v>4</v>
      </c>
      <c r="G83" s="23">
        <v>2</v>
      </c>
      <c r="H83" s="23"/>
      <c r="I83" s="24" t="s">
        <v>111</v>
      </c>
      <c r="J83" s="24"/>
      <c r="K83" s="23"/>
      <c r="L83" s="23"/>
      <c r="M83" s="24"/>
      <c r="N83" s="24"/>
      <c r="O83" s="27" t="s">
        <v>226</v>
      </c>
      <c r="P83" s="27"/>
      <c r="Q83" s="27"/>
      <c r="R83" s="23"/>
      <c r="S83" s="25"/>
      <c r="T83" s="25"/>
      <c r="U83" s="25"/>
      <c r="V83" s="25"/>
      <c r="W83" s="25"/>
      <c r="X83" s="23" t="s">
        <v>197</v>
      </c>
      <c r="Y83" s="4" t="str">
        <f>IF(Tabela2[[#This Row],[SIGLA]]="","",VLOOKUP(Tabela2[[#This Row],[SIGLA]],Tabela14[[#All],[Sigla Arte]:[Crédito]],2,0))</f>
        <v>HELOÍSA PINTARELLI/ARQUIVO DA EDITORA</v>
      </c>
      <c r="Z83" s="24"/>
      <c r="AA83" s="24" t="str">
        <f>Tabela2[[#This Row],[ILUSTRADOR CRIAÇÃO]]</f>
        <v>HELOÍSA PINTARELLI/ARQUIVO DA EDITORA</v>
      </c>
      <c r="AB83" s="23"/>
      <c r="AC83" s="21"/>
      <c r="AD83" s="21"/>
      <c r="AE83" s="4" t="str">
        <f t="shared" si="1"/>
        <v>EF1 E001 Geo</v>
      </c>
    </row>
    <row r="84" spans="1:31" s="14" customFormat="1" ht="45" x14ac:dyDescent="0.25">
      <c r="A84" s="24" t="s">
        <v>227</v>
      </c>
      <c r="B84" s="21" t="s">
        <v>88</v>
      </c>
      <c r="C84" s="21" t="s">
        <v>110</v>
      </c>
      <c r="D84" s="21" t="s">
        <v>34</v>
      </c>
      <c r="E84" s="23">
        <v>56</v>
      </c>
      <c r="F84" s="23">
        <v>4</v>
      </c>
      <c r="G84" s="23">
        <v>2</v>
      </c>
      <c r="H84" s="23"/>
      <c r="I84" s="24" t="s">
        <v>111</v>
      </c>
      <c r="J84" s="24"/>
      <c r="K84" s="23"/>
      <c r="L84" s="23"/>
      <c r="M84" s="24"/>
      <c r="N84" s="24"/>
      <c r="O84" s="27" t="s">
        <v>228</v>
      </c>
      <c r="P84" s="27"/>
      <c r="Q84" s="27"/>
      <c r="R84" s="23"/>
      <c r="S84" s="25"/>
      <c r="T84" s="25"/>
      <c r="U84" s="25"/>
      <c r="V84" s="25"/>
      <c r="W84" s="25"/>
      <c r="X84" s="23" t="s">
        <v>197</v>
      </c>
      <c r="Y84" s="4" t="str">
        <f>IF(Tabela2[[#This Row],[SIGLA]]="","",VLOOKUP(Tabela2[[#This Row],[SIGLA]],Tabela14[[#All],[Sigla Arte]:[Crédito]],2,0))</f>
        <v>HELOÍSA PINTARELLI/ARQUIVO DA EDITORA</v>
      </c>
      <c r="Z84" s="24"/>
      <c r="AA84" s="24" t="str">
        <f>Tabela2[[#This Row],[ILUSTRADOR CRIAÇÃO]]</f>
        <v>HELOÍSA PINTARELLI/ARQUIVO DA EDITORA</v>
      </c>
      <c r="AB84" s="23"/>
      <c r="AC84" s="21"/>
      <c r="AD84" s="21"/>
      <c r="AE84" s="4" t="str">
        <f t="shared" si="1"/>
        <v>EF1 E001 Geo</v>
      </c>
    </row>
    <row r="85" spans="1:31" s="14" customFormat="1" ht="45" x14ac:dyDescent="0.25">
      <c r="A85" s="24" t="s">
        <v>229</v>
      </c>
      <c r="B85" s="21" t="s">
        <v>88</v>
      </c>
      <c r="C85" s="21" t="s">
        <v>110</v>
      </c>
      <c r="D85" s="21" t="s">
        <v>34</v>
      </c>
      <c r="E85" s="23">
        <v>56</v>
      </c>
      <c r="F85" s="23">
        <v>4</v>
      </c>
      <c r="G85" s="23">
        <v>2</v>
      </c>
      <c r="H85" s="23"/>
      <c r="I85" s="24" t="s">
        <v>111</v>
      </c>
      <c r="J85" s="24"/>
      <c r="K85" s="23"/>
      <c r="L85" s="23"/>
      <c r="M85" s="24"/>
      <c r="N85" s="24"/>
      <c r="O85" s="27" t="s">
        <v>230</v>
      </c>
      <c r="P85" s="27"/>
      <c r="Q85" s="27"/>
      <c r="R85" s="23"/>
      <c r="S85" s="25"/>
      <c r="T85" s="25"/>
      <c r="U85" s="25"/>
      <c r="V85" s="25"/>
      <c r="W85" s="25"/>
      <c r="X85" s="23" t="s">
        <v>197</v>
      </c>
      <c r="Y85" s="4" t="str">
        <f>IF(Tabela2[[#This Row],[SIGLA]]="","",VLOOKUP(Tabela2[[#This Row],[SIGLA]],Tabela14[[#All],[Sigla Arte]:[Crédito]],2,0))</f>
        <v>HELOÍSA PINTARELLI/ARQUIVO DA EDITORA</v>
      </c>
      <c r="Z85" s="24"/>
      <c r="AA85" s="24" t="str">
        <f>Tabela2[[#This Row],[ILUSTRADOR CRIAÇÃO]]</f>
        <v>HELOÍSA PINTARELLI/ARQUIVO DA EDITORA</v>
      </c>
      <c r="AB85" s="23"/>
      <c r="AC85" s="21"/>
      <c r="AD85" s="21"/>
      <c r="AE85" s="4" t="str">
        <f t="shared" si="1"/>
        <v>EF1 E001 Geo</v>
      </c>
    </row>
    <row r="86" spans="1:31" s="14" customFormat="1" ht="45" x14ac:dyDescent="0.25">
      <c r="A86" s="24" t="s">
        <v>231</v>
      </c>
      <c r="B86" s="21" t="s">
        <v>88</v>
      </c>
      <c r="C86" s="21" t="s">
        <v>110</v>
      </c>
      <c r="D86" s="21" t="s">
        <v>34</v>
      </c>
      <c r="E86" s="23">
        <v>56</v>
      </c>
      <c r="F86" s="23">
        <v>4</v>
      </c>
      <c r="G86" s="23">
        <v>2</v>
      </c>
      <c r="H86" s="23"/>
      <c r="I86" s="24" t="s">
        <v>111</v>
      </c>
      <c r="J86" s="24"/>
      <c r="K86" s="23"/>
      <c r="L86" s="23"/>
      <c r="M86" s="24"/>
      <c r="N86" s="24"/>
      <c r="O86" s="27" t="s">
        <v>232</v>
      </c>
      <c r="P86" s="27"/>
      <c r="Q86" s="27"/>
      <c r="R86" s="23"/>
      <c r="S86" s="25"/>
      <c r="T86" s="25"/>
      <c r="U86" s="25"/>
      <c r="V86" s="25"/>
      <c r="W86" s="25"/>
      <c r="X86" s="23" t="s">
        <v>197</v>
      </c>
      <c r="Y86" s="4" t="str">
        <f>IF(Tabela2[[#This Row],[SIGLA]]="","",VLOOKUP(Tabela2[[#This Row],[SIGLA]],Tabela14[[#All],[Sigla Arte]:[Crédito]],2,0))</f>
        <v>HELOÍSA PINTARELLI/ARQUIVO DA EDITORA</v>
      </c>
      <c r="Z86" s="24"/>
      <c r="AA86" s="24" t="str">
        <f>Tabela2[[#This Row],[ILUSTRADOR CRIAÇÃO]]</f>
        <v>HELOÍSA PINTARELLI/ARQUIVO DA EDITORA</v>
      </c>
      <c r="AB86" s="23"/>
      <c r="AC86" s="21"/>
      <c r="AD86" s="21"/>
      <c r="AE86" s="4" t="str">
        <f t="shared" si="1"/>
        <v>EF1 E001 Geo</v>
      </c>
    </row>
    <row r="87" spans="1:31" s="14" customFormat="1" ht="45" x14ac:dyDescent="0.25">
      <c r="A87" s="24" t="s">
        <v>233</v>
      </c>
      <c r="B87" s="21" t="s">
        <v>88</v>
      </c>
      <c r="C87" s="21" t="s">
        <v>110</v>
      </c>
      <c r="D87" s="21" t="s">
        <v>34</v>
      </c>
      <c r="E87" s="23">
        <v>56</v>
      </c>
      <c r="F87" s="23">
        <v>4</v>
      </c>
      <c r="G87" s="23">
        <v>2</v>
      </c>
      <c r="H87" s="23"/>
      <c r="I87" s="24" t="s">
        <v>111</v>
      </c>
      <c r="J87" s="24"/>
      <c r="K87" s="23"/>
      <c r="L87" s="23"/>
      <c r="M87" s="24"/>
      <c r="N87" s="24"/>
      <c r="O87" s="27" t="s">
        <v>234</v>
      </c>
      <c r="P87" s="27"/>
      <c r="Q87" s="27"/>
      <c r="R87" s="23"/>
      <c r="S87" s="25"/>
      <c r="T87" s="25"/>
      <c r="U87" s="25"/>
      <c r="V87" s="25"/>
      <c r="W87" s="25"/>
      <c r="X87" s="23" t="s">
        <v>197</v>
      </c>
      <c r="Y87" s="4" t="str">
        <f>IF(Tabela2[[#This Row],[SIGLA]]="","",VLOOKUP(Tabela2[[#This Row],[SIGLA]],Tabela14[[#All],[Sigla Arte]:[Crédito]],2,0))</f>
        <v>HELOÍSA PINTARELLI/ARQUIVO DA EDITORA</v>
      </c>
      <c r="Z87" s="24"/>
      <c r="AA87" s="24" t="str">
        <f>Tabela2[[#This Row],[ILUSTRADOR CRIAÇÃO]]</f>
        <v>HELOÍSA PINTARELLI/ARQUIVO DA EDITORA</v>
      </c>
      <c r="AB87" s="23"/>
      <c r="AC87" s="21"/>
      <c r="AD87" s="21"/>
      <c r="AE87" s="4" t="str">
        <f t="shared" si="1"/>
        <v>EF1 E001 Geo</v>
      </c>
    </row>
    <row r="88" spans="1:31" s="14" customFormat="1" ht="45" x14ac:dyDescent="0.25">
      <c r="A88" s="24" t="s">
        <v>235</v>
      </c>
      <c r="B88" s="21" t="s">
        <v>88</v>
      </c>
      <c r="C88" s="21" t="s">
        <v>110</v>
      </c>
      <c r="D88" s="21" t="s">
        <v>34</v>
      </c>
      <c r="E88" s="23">
        <v>56</v>
      </c>
      <c r="F88" s="23">
        <v>4</v>
      </c>
      <c r="G88" s="23">
        <v>2</v>
      </c>
      <c r="H88" s="23"/>
      <c r="I88" s="24" t="s">
        <v>111</v>
      </c>
      <c r="J88" s="24"/>
      <c r="K88" s="23"/>
      <c r="L88" s="23"/>
      <c r="M88" s="24"/>
      <c r="N88" s="24"/>
      <c r="O88" s="27" t="s">
        <v>236</v>
      </c>
      <c r="P88" s="27"/>
      <c r="Q88" s="27"/>
      <c r="R88" s="23"/>
      <c r="S88" s="25"/>
      <c r="T88" s="25"/>
      <c r="U88" s="25"/>
      <c r="V88" s="25"/>
      <c r="W88" s="25"/>
      <c r="X88" s="23" t="s">
        <v>197</v>
      </c>
      <c r="Y88" s="4" t="str">
        <f>IF(Tabela2[[#This Row],[SIGLA]]="","",VLOOKUP(Tabela2[[#This Row],[SIGLA]],Tabela14[[#All],[Sigla Arte]:[Crédito]],2,0))</f>
        <v>HELOÍSA PINTARELLI/ARQUIVO DA EDITORA</v>
      </c>
      <c r="Z88" s="24"/>
      <c r="AA88" s="24" t="str">
        <f>Tabela2[[#This Row],[ILUSTRADOR CRIAÇÃO]]</f>
        <v>HELOÍSA PINTARELLI/ARQUIVO DA EDITORA</v>
      </c>
      <c r="AB88" s="23"/>
      <c r="AC88" s="21"/>
      <c r="AD88" s="21"/>
      <c r="AE88" s="4" t="str">
        <f t="shared" si="1"/>
        <v>EF1 E001 Geo</v>
      </c>
    </row>
    <row r="89" spans="1:31" s="14" customFormat="1" ht="45" x14ac:dyDescent="0.25">
      <c r="A89" s="24" t="s">
        <v>237</v>
      </c>
      <c r="B89" s="21" t="s">
        <v>88</v>
      </c>
      <c r="C89" s="21" t="s">
        <v>110</v>
      </c>
      <c r="D89" s="21" t="s">
        <v>34</v>
      </c>
      <c r="E89" s="23">
        <v>56</v>
      </c>
      <c r="F89" s="23">
        <v>4</v>
      </c>
      <c r="G89" s="23">
        <v>2</v>
      </c>
      <c r="H89" s="23"/>
      <c r="I89" s="24" t="s">
        <v>111</v>
      </c>
      <c r="J89" s="24"/>
      <c r="K89" s="23"/>
      <c r="L89" s="23"/>
      <c r="M89" s="24"/>
      <c r="N89" s="24"/>
      <c r="O89" s="27" t="s">
        <v>238</v>
      </c>
      <c r="P89" s="27"/>
      <c r="Q89" s="27"/>
      <c r="R89" s="23"/>
      <c r="S89" s="25"/>
      <c r="T89" s="25"/>
      <c r="U89" s="25"/>
      <c r="V89" s="25"/>
      <c r="W89" s="25"/>
      <c r="X89" s="23" t="s">
        <v>197</v>
      </c>
      <c r="Y89" s="4" t="str">
        <f>IF(Tabela2[[#This Row],[SIGLA]]="","",VLOOKUP(Tabela2[[#This Row],[SIGLA]],Tabela14[[#All],[Sigla Arte]:[Crédito]],2,0))</f>
        <v>HELOÍSA PINTARELLI/ARQUIVO DA EDITORA</v>
      </c>
      <c r="Z89" s="24"/>
      <c r="AA89" s="24" t="str">
        <f>Tabela2[[#This Row],[ILUSTRADOR CRIAÇÃO]]</f>
        <v>HELOÍSA PINTARELLI/ARQUIVO DA EDITORA</v>
      </c>
      <c r="AB89" s="23"/>
      <c r="AC89" s="21"/>
      <c r="AD89" s="21"/>
      <c r="AE89" s="4" t="str">
        <f t="shared" si="1"/>
        <v>EF1 E001 Geo</v>
      </c>
    </row>
    <row r="90" spans="1:31" s="14" customFormat="1" ht="45" x14ac:dyDescent="0.25">
      <c r="A90" s="24" t="s">
        <v>239</v>
      </c>
      <c r="B90" s="21" t="s">
        <v>88</v>
      </c>
      <c r="C90" s="21" t="s">
        <v>110</v>
      </c>
      <c r="D90" s="21" t="s">
        <v>34</v>
      </c>
      <c r="E90" s="23">
        <v>56</v>
      </c>
      <c r="F90" s="23">
        <v>4</v>
      </c>
      <c r="G90" s="23">
        <v>2</v>
      </c>
      <c r="H90" s="23"/>
      <c r="I90" s="24" t="s">
        <v>111</v>
      </c>
      <c r="J90" s="24"/>
      <c r="K90" s="23"/>
      <c r="L90" s="23"/>
      <c r="M90" s="24"/>
      <c r="N90" s="24"/>
      <c r="O90" s="27" t="s">
        <v>240</v>
      </c>
      <c r="P90" s="27"/>
      <c r="Q90" s="27"/>
      <c r="R90" s="23"/>
      <c r="S90" s="25"/>
      <c r="T90" s="25"/>
      <c r="U90" s="25"/>
      <c r="V90" s="25"/>
      <c r="W90" s="25"/>
      <c r="X90" s="23" t="s">
        <v>197</v>
      </c>
      <c r="Y90" s="4" t="str">
        <f>IF(Tabela2[[#This Row],[SIGLA]]="","",VLOOKUP(Tabela2[[#This Row],[SIGLA]],Tabela14[[#All],[Sigla Arte]:[Crédito]],2,0))</f>
        <v>HELOÍSA PINTARELLI/ARQUIVO DA EDITORA</v>
      </c>
      <c r="Z90" s="24"/>
      <c r="AA90" s="24" t="str">
        <f>Tabela2[[#This Row],[ILUSTRADOR CRIAÇÃO]]</f>
        <v>HELOÍSA PINTARELLI/ARQUIVO DA EDITORA</v>
      </c>
      <c r="AB90" s="23"/>
      <c r="AC90" s="21"/>
      <c r="AD90" s="21"/>
      <c r="AE90" s="4" t="str">
        <f t="shared" si="1"/>
        <v>EF1 E001 Geo</v>
      </c>
    </row>
    <row r="91" spans="1:31" s="14" customFormat="1" ht="45" x14ac:dyDescent="0.25">
      <c r="A91" s="24" t="s">
        <v>241</v>
      </c>
      <c r="B91" s="21" t="s">
        <v>88</v>
      </c>
      <c r="C91" s="21" t="s">
        <v>110</v>
      </c>
      <c r="D91" s="21" t="s">
        <v>34</v>
      </c>
      <c r="E91" s="23">
        <v>56</v>
      </c>
      <c r="F91" s="23">
        <v>4</v>
      </c>
      <c r="G91" s="23">
        <v>2</v>
      </c>
      <c r="H91" s="23"/>
      <c r="I91" s="24" t="s">
        <v>111</v>
      </c>
      <c r="J91" s="24"/>
      <c r="K91" s="23"/>
      <c r="L91" s="23"/>
      <c r="M91" s="24"/>
      <c r="N91" s="24"/>
      <c r="O91" s="27" t="s">
        <v>242</v>
      </c>
      <c r="P91" s="27"/>
      <c r="Q91" s="27"/>
      <c r="R91" s="23"/>
      <c r="S91" s="25"/>
      <c r="T91" s="25"/>
      <c r="U91" s="25"/>
      <c r="V91" s="25"/>
      <c r="W91" s="25"/>
      <c r="X91" s="23" t="s">
        <v>197</v>
      </c>
      <c r="Y91" s="4" t="str">
        <f>IF(Tabela2[[#This Row],[SIGLA]]="","",VLOOKUP(Tabela2[[#This Row],[SIGLA]],Tabela14[[#All],[Sigla Arte]:[Crédito]],2,0))</f>
        <v>HELOÍSA PINTARELLI/ARQUIVO DA EDITORA</v>
      </c>
      <c r="Z91" s="24"/>
      <c r="AA91" s="24" t="str">
        <f>Tabela2[[#This Row],[ILUSTRADOR CRIAÇÃO]]</f>
        <v>HELOÍSA PINTARELLI/ARQUIVO DA EDITORA</v>
      </c>
      <c r="AB91" s="23"/>
      <c r="AC91" s="21"/>
      <c r="AD91" s="21"/>
      <c r="AE91" s="4" t="str">
        <f t="shared" si="1"/>
        <v>EF1 E001 Geo</v>
      </c>
    </row>
    <row r="92" spans="1:31" s="14" customFormat="1" ht="45" x14ac:dyDescent="0.25">
      <c r="A92" s="24" t="s">
        <v>243</v>
      </c>
      <c r="B92" s="21" t="s">
        <v>88</v>
      </c>
      <c r="C92" s="21" t="s">
        <v>110</v>
      </c>
      <c r="D92" s="21" t="s">
        <v>34</v>
      </c>
      <c r="E92" s="23">
        <v>57</v>
      </c>
      <c r="F92" s="23">
        <v>4</v>
      </c>
      <c r="G92" s="23">
        <v>2</v>
      </c>
      <c r="H92" s="23"/>
      <c r="I92" s="24" t="s">
        <v>111</v>
      </c>
      <c r="J92" s="24"/>
      <c r="K92" s="23"/>
      <c r="L92" s="23"/>
      <c r="M92" s="24"/>
      <c r="N92" s="24"/>
      <c r="O92" s="27" t="s">
        <v>244</v>
      </c>
      <c r="P92" s="27"/>
      <c r="Q92" s="27"/>
      <c r="R92" s="23"/>
      <c r="S92" s="25"/>
      <c r="T92" s="25"/>
      <c r="U92" s="25"/>
      <c r="V92" s="25"/>
      <c r="W92" s="25"/>
      <c r="X92" s="23" t="s">
        <v>197</v>
      </c>
      <c r="Y92" s="4" t="str">
        <f>IF(Tabela2[[#This Row],[SIGLA]]="","",VLOOKUP(Tabela2[[#This Row],[SIGLA]],Tabela14[[#All],[Sigla Arte]:[Crédito]],2,0))</f>
        <v>HELOÍSA PINTARELLI/ARQUIVO DA EDITORA</v>
      </c>
      <c r="Z92" s="24"/>
      <c r="AA92" s="24" t="str">
        <f>Tabela2[[#This Row],[ILUSTRADOR CRIAÇÃO]]</f>
        <v>HELOÍSA PINTARELLI/ARQUIVO DA EDITORA</v>
      </c>
      <c r="AB92" s="23"/>
      <c r="AC92" s="21"/>
      <c r="AD92" s="21"/>
      <c r="AE92" s="4" t="str">
        <f t="shared" si="1"/>
        <v>EF1 E001 Geo</v>
      </c>
    </row>
    <row r="93" spans="1:31" s="14" customFormat="1" ht="45" x14ac:dyDescent="0.25">
      <c r="A93" s="24" t="s">
        <v>245</v>
      </c>
      <c r="B93" s="21" t="s">
        <v>88</v>
      </c>
      <c r="C93" s="21" t="s">
        <v>110</v>
      </c>
      <c r="D93" s="21" t="s">
        <v>34</v>
      </c>
      <c r="E93" s="23">
        <v>57</v>
      </c>
      <c r="F93" s="23">
        <v>4</v>
      </c>
      <c r="G93" s="23">
        <v>2</v>
      </c>
      <c r="H93" s="23"/>
      <c r="I93" s="24" t="s">
        <v>111</v>
      </c>
      <c r="J93" s="24"/>
      <c r="K93" s="23"/>
      <c r="L93" s="23"/>
      <c r="M93" s="24"/>
      <c r="N93" s="24"/>
      <c r="O93" s="27" t="s">
        <v>246</v>
      </c>
      <c r="P93" s="27"/>
      <c r="Q93" s="27"/>
      <c r="R93" s="23"/>
      <c r="S93" s="25"/>
      <c r="T93" s="25"/>
      <c r="U93" s="25"/>
      <c r="V93" s="25"/>
      <c r="W93" s="25"/>
      <c r="X93" s="23" t="s">
        <v>197</v>
      </c>
      <c r="Y93" s="4" t="str">
        <f>IF(Tabela2[[#This Row],[SIGLA]]="","",VLOOKUP(Tabela2[[#This Row],[SIGLA]],Tabela14[[#All],[Sigla Arte]:[Crédito]],2,0))</f>
        <v>HELOÍSA PINTARELLI/ARQUIVO DA EDITORA</v>
      </c>
      <c r="Z93" s="24"/>
      <c r="AA93" s="24" t="str">
        <f>Tabela2[[#This Row],[ILUSTRADOR CRIAÇÃO]]</f>
        <v>HELOÍSA PINTARELLI/ARQUIVO DA EDITORA</v>
      </c>
      <c r="AB93" s="23"/>
      <c r="AC93" s="21"/>
      <c r="AD93" s="21"/>
      <c r="AE93" s="4" t="str">
        <f t="shared" si="1"/>
        <v>EF1 E001 Geo</v>
      </c>
    </row>
    <row r="94" spans="1:31" s="14" customFormat="1" ht="45" x14ac:dyDescent="0.25">
      <c r="A94" s="24" t="s">
        <v>247</v>
      </c>
      <c r="B94" s="21" t="s">
        <v>88</v>
      </c>
      <c r="C94" s="21" t="s">
        <v>110</v>
      </c>
      <c r="D94" s="21" t="s">
        <v>34</v>
      </c>
      <c r="E94" s="23">
        <v>57</v>
      </c>
      <c r="F94" s="23">
        <v>4</v>
      </c>
      <c r="G94" s="23">
        <v>2</v>
      </c>
      <c r="H94" s="23"/>
      <c r="I94" s="24" t="s">
        <v>111</v>
      </c>
      <c r="J94" s="24"/>
      <c r="K94" s="23"/>
      <c r="L94" s="23"/>
      <c r="M94" s="24"/>
      <c r="N94" s="24"/>
      <c r="O94" s="27" t="s">
        <v>248</v>
      </c>
      <c r="P94" s="27"/>
      <c r="Q94" s="27"/>
      <c r="R94" s="23"/>
      <c r="S94" s="25"/>
      <c r="T94" s="25"/>
      <c r="U94" s="25"/>
      <c r="V94" s="25"/>
      <c r="W94" s="25"/>
      <c r="X94" s="23" t="s">
        <v>197</v>
      </c>
      <c r="Y94" s="4" t="str">
        <f>IF(Tabela2[[#This Row],[SIGLA]]="","",VLOOKUP(Tabela2[[#This Row],[SIGLA]],Tabela14[[#All],[Sigla Arte]:[Crédito]],2,0))</f>
        <v>HELOÍSA PINTARELLI/ARQUIVO DA EDITORA</v>
      </c>
      <c r="Z94" s="24"/>
      <c r="AA94" s="24" t="str">
        <f>Tabela2[[#This Row],[ILUSTRADOR CRIAÇÃO]]</f>
        <v>HELOÍSA PINTARELLI/ARQUIVO DA EDITORA</v>
      </c>
      <c r="AB94" s="23"/>
      <c r="AC94" s="21"/>
      <c r="AD94" s="21"/>
      <c r="AE94" s="4" t="str">
        <f t="shared" si="1"/>
        <v>EF1 E001 Geo</v>
      </c>
    </row>
    <row r="95" spans="1:31" s="14" customFormat="1" ht="45" x14ac:dyDescent="0.25">
      <c r="A95" s="24" t="s">
        <v>249</v>
      </c>
      <c r="B95" s="21" t="s">
        <v>88</v>
      </c>
      <c r="C95" s="21" t="s">
        <v>110</v>
      </c>
      <c r="D95" s="21" t="s">
        <v>34</v>
      </c>
      <c r="E95" s="23">
        <v>57</v>
      </c>
      <c r="F95" s="23">
        <v>4</v>
      </c>
      <c r="G95" s="23">
        <v>2</v>
      </c>
      <c r="H95" s="23"/>
      <c r="I95" s="24" t="s">
        <v>111</v>
      </c>
      <c r="J95" s="24"/>
      <c r="K95" s="23"/>
      <c r="L95" s="23"/>
      <c r="M95" s="24"/>
      <c r="N95" s="24"/>
      <c r="O95" s="27" t="s">
        <v>250</v>
      </c>
      <c r="P95" s="27"/>
      <c r="Q95" s="27"/>
      <c r="R95" s="23"/>
      <c r="S95" s="25"/>
      <c r="T95" s="25"/>
      <c r="U95" s="25"/>
      <c r="V95" s="25"/>
      <c r="W95" s="25"/>
      <c r="X95" s="23" t="s">
        <v>197</v>
      </c>
      <c r="Y95" s="4" t="str">
        <f>IF(Tabela2[[#This Row],[SIGLA]]="","",VLOOKUP(Tabela2[[#This Row],[SIGLA]],Tabela14[[#All],[Sigla Arte]:[Crédito]],2,0))</f>
        <v>HELOÍSA PINTARELLI/ARQUIVO DA EDITORA</v>
      </c>
      <c r="Z95" s="24"/>
      <c r="AA95" s="24" t="str">
        <f>Tabela2[[#This Row],[ILUSTRADOR CRIAÇÃO]]</f>
        <v>HELOÍSA PINTARELLI/ARQUIVO DA EDITORA</v>
      </c>
      <c r="AB95" s="23"/>
      <c r="AC95" s="21"/>
      <c r="AD95" s="21"/>
      <c r="AE95" s="4" t="str">
        <f t="shared" si="1"/>
        <v>EF1 E001 Geo</v>
      </c>
    </row>
    <row r="96" spans="1:31" s="14" customFormat="1" ht="45" x14ac:dyDescent="0.25">
      <c r="A96" s="24" t="s">
        <v>251</v>
      </c>
      <c r="B96" s="21" t="s">
        <v>88</v>
      </c>
      <c r="C96" s="21" t="s">
        <v>110</v>
      </c>
      <c r="D96" s="21" t="s">
        <v>34</v>
      </c>
      <c r="E96" s="23">
        <v>57</v>
      </c>
      <c r="F96" s="23">
        <v>4</v>
      </c>
      <c r="G96" s="23">
        <v>2</v>
      </c>
      <c r="H96" s="23"/>
      <c r="I96" s="24" t="s">
        <v>111</v>
      </c>
      <c r="J96" s="24"/>
      <c r="K96" s="23"/>
      <c r="L96" s="23"/>
      <c r="M96" s="24"/>
      <c r="N96" s="24"/>
      <c r="O96" s="27" t="s">
        <v>252</v>
      </c>
      <c r="P96" s="27"/>
      <c r="Q96" s="27"/>
      <c r="R96" s="23"/>
      <c r="S96" s="25"/>
      <c r="T96" s="25"/>
      <c r="U96" s="25"/>
      <c r="V96" s="25"/>
      <c r="W96" s="25"/>
      <c r="X96" s="23" t="s">
        <v>197</v>
      </c>
      <c r="Y96" s="4" t="str">
        <f>IF(Tabela2[[#This Row],[SIGLA]]="","",VLOOKUP(Tabela2[[#This Row],[SIGLA]],Tabela14[[#All],[Sigla Arte]:[Crédito]],2,0))</f>
        <v>HELOÍSA PINTARELLI/ARQUIVO DA EDITORA</v>
      </c>
      <c r="Z96" s="24"/>
      <c r="AA96" s="24" t="str">
        <f>Tabela2[[#This Row],[ILUSTRADOR CRIAÇÃO]]</f>
        <v>HELOÍSA PINTARELLI/ARQUIVO DA EDITORA</v>
      </c>
      <c r="AB96" s="23"/>
      <c r="AC96" s="21"/>
      <c r="AD96" s="21"/>
      <c r="AE96" s="4" t="str">
        <f t="shared" si="1"/>
        <v>EF1 E001 Geo</v>
      </c>
    </row>
    <row r="97" spans="1:31" s="14" customFormat="1" ht="45" x14ac:dyDescent="0.25">
      <c r="A97" s="24" t="s">
        <v>253</v>
      </c>
      <c r="B97" s="21" t="s">
        <v>88</v>
      </c>
      <c r="C97" s="21" t="s">
        <v>110</v>
      </c>
      <c r="D97" s="21" t="s">
        <v>34</v>
      </c>
      <c r="E97" s="23">
        <v>57</v>
      </c>
      <c r="F97" s="23">
        <v>4</v>
      </c>
      <c r="G97" s="23">
        <v>2</v>
      </c>
      <c r="H97" s="23"/>
      <c r="I97" s="24" t="s">
        <v>111</v>
      </c>
      <c r="J97" s="24"/>
      <c r="K97" s="23"/>
      <c r="L97" s="23"/>
      <c r="M97" s="24"/>
      <c r="N97" s="24"/>
      <c r="O97" s="27" t="s">
        <v>254</v>
      </c>
      <c r="P97" s="27"/>
      <c r="Q97" s="27"/>
      <c r="R97" s="23"/>
      <c r="S97" s="25"/>
      <c r="T97" s="25"/>
      <c r="U97" s="25"/>
      <c r="V97" s="25"/>
      <c r="W97" s="25"/>
      <c r="X97" s="23" t="s">
        <v>197</v>
      </c>
      <c r="Y97" s="4" t="str">
        <f>IF(Tabela2[[#This Row],[SIGLA]]="","",VLOOKUP(Tabela2[[#This Row],[SIGLA]],Tabela14[[#All],[Sigla Arte]:[Crédito]],2,0))</f>
        <v>HELOÍSA PINTARELLI/ARQUIVO DA EDITORA</v>
      </c>
      <c r="Z97" s="24"/>
      <c r="AA97" s="24" t="str">
        <f>Tabela2[[#This Row],[ILUSTRADOR CRIAÇÃO]]</f>
        <v>HELOÍSA PINTARELLI/ARQUIVO DA EDITORA</v>
      </c>
      <c r="AB97" s="23"/>
      <c r="AC97" s="21"/>
      <c r="AD97" s="21"/>
      <c r="AE97" s="4" t="str">
        <f t="shared" si="1"/>
        <v>EF1 E001 Geo</v>
      </c>
    </row>
    <row r="98" spans="1:31" s="14" customFormat="1" ht="45" x14ac:dyDescent="0.25">
      <c r="A98" s="24" t="s">
        <v>255</v>
      </c>
      <c r="B98" s="21" t="s">
        <v>88</v>
      </c>
      <c r="C98" s="21" t="s">
        <v>110</v>
      </c>
      <c r="D98" s="21" t="s">
        <v>34</v>
      </c>
      <c r="E98" s="23">
        <v>57</v>
      </c>
      <c r="F98" s="23">
        <v>4</v>
      </c>
      <c r="G98" s="23">
        <v>2</v>
      </c>
      <c r="H98" s="23"/>
      <c r="I98" s="24" t="s">
        <v>111</v>
      </c>
      <c r="J98" s="24"/>
      <c r="K98" s="23"/>
      <c r="L98" s="23"/>
      <c r="M98" s="24"/>
      <c r="N98" s="24"/>
      <c r="O98" s="27" t="s">
        <v>256</v>
      </c>
      <c r="P98" s="27"/>
      <c r="Q98" s="27"/>
      <c r="R98" s="23"/>
      <c r="S98" s="25"/>
      <c r="T98" s="25"/>
      <c r="U98" s="25"/>
      <c r="V98" s="25"/>
      <c r="W98" s="25"/>
      <c r="X98" s="23" t="s">
        <v>197</v>
      </c>
      <c r="Y98" s="4" t="str">
        <f>IF(Tabela2[[#This Row],[SIGLA]]="","",VLOOKUP(Tabela2[[#This Row],[SIGLA]],Tabela14[[#All],[Sigla Arte]:[Crédito]],2,0))</f>
        <v>HELOÍSA PINTARELLI/ARQUIVO DA EDITORA</v>
      </c>
      <c r="Z98" s="24"/>
      <c r="AA98" s="24" t="str">
        <f>Tabela2[[#This Row],[ILUSTRADOR CRIAÇÃO]]</f>
        <v>HELOÍSA PINTARELLI/ARQUIVO DA EDITORA</v>
      </c>
      <c r="AB98" s="23"/>
      <c r="AC98" s="21"/>
      <c r="AD98" s="21"/>
      <c r="AE98" s="4" t="str">
        <f t="shared" si="1"/>
        <v>EF1 E001 Geo</v>
      </c>
    </row>
    <row r="99" spans="1:31" s="14" customFormat="1" ht="45" x14ac:dyDescent="0.25">
      <c r="A99" s="24" t="s">
        <v>257</v>
      </c>
      <c r="B99" s="21" t="s">
        <v>88</v>
      </c>
      <c r="C99" s="21" t="s">
        <v>110</v>
      </c>
      <c r="D99" s="21" t="s">
        <v>34</v>
      </c>
      <c r="E99" s="23">
        <v>57</v>
      </c>
      <c r="F99" s="23">
        <v>4</v>
      </c>
      <c r="G99" s="23">
        <v>2</v>
      </c>
      <c r="H99" s="23"/>
      <c r="I99" s="24" t="s">
        <v>111</v>
      </c>
      <c r="J99" s="24"/>
      <c r="K99" s="23"/>
      <c r="L99" s="23"/>
      <c r="M99" s="24"/>
      <c r="N99" s="24"/>
      <c r="O99" s="27" t="s">
        <v>258</v>
      </c>
      <c r="P99" s="27"/>
      <c r="Q99" s="27"/>
      <c r="R99" s="23"/>
      <c r="S99" s="25"/>
      <c r="T99" s="25"/>
      <c r="U99" s="25"/>
      <c r="V99" s="25"/>
      <c r="W99" s="25"/>
      <c r="X99" s="23" t="s">
        <v>197</v>
      </c>
      <c r="Y99" s="4" t="str">
        <f>IF(Tabela2[[#This Row],[SIGLA]]="","",VLOOKUP(Tabela2[[#This Row],[SIGLA]],Tabela14[[#All],[Sigla Arte]:[Crédito]],2,0))</f>
        <v>HELOÍSA PINTARELLI/ARQUIVO DA EDITORA</v>
      </c>
      <c r="Z99" s="24"/>
      <c r="AA99" s="24" t="str">
        <f>Tabela2[[#This Row],[ILUSTRADOR CRIAÇÃO]]</f>
        <v>HELOÍSA PINTARELLI/ARQUIVO DA EDITORA</v>
      </c>
      <c r="AB99" s="23"/>
      <c r="AC99" s="21"/>
      <c r="AD99" s="21"/>
      <c r="AE99" s="4" t="str">
        <f t="shared" si="1"/>
        <v>EF1 E001 Geo</v>
      </c>
    </row>
    <row r="100" spans="1:31" s="14" customFormat="1" ht="45" x14ac:dyDescent="0.25">
      <c r="A100" s="24" t="s">
        <v>259</v>
      </c>
      <c r="B100" s="21" t="s">
        <v>88</v>
      </c>
      <c r="C100" s="21" t="s">
        <v>110</v>
      </c>
      <c r="D100" s="21" t="s">
        <v>34</v>
      </c>
      <c r="E100" s="23">
        <v>57</v>
      </c>
      <c r="F100" s="23">
        <v>4</v>
      </c>
      <c r="G100" s="23">
        <v>2</v>
      </c>
      <c r="H100" s="23"/>
      <c r="I100" s="24" t="s">
        <v>111</v>
      </c>
      <c r="J100" s="24"/>
      <c r="K100" s="23"/>
      <c r="L100" s="23"/>
      <c r="M100" s="24"/>
      <c r="N100" s="24"/>
      <c r="O100" s="27" t="s">
        <v>260</v>
      </c>
      <c r="P100" s="27"/>
      <c r="Q100" s="27"/>
      <c r="R100" s="23"/>
      <c r="S100" s="25"/>
      <c r="T100" s="25"/>
      <c r="U100" s="25"/>
      <c r="V100" s="25"/>
      <c r="W100" s="25"/>
      <c r="X100" s="23" t="s">
        <v>197</v>
      </c>
      <c r="Y100" s="4" t="str">
        <f>IF(Tabela2[[#This Row],[SIGLA]]="","",VLOOKUP(Tabela2[[#This Row],[SIGLA]],Tabela14[[#All],[Sigla Arte]:[Crédito]],2,0))</f>
        <v>HELOÍSA PINTARELLI/ARQUIVO DA EDITORA</v>
      </c>
      <c r="Z100" s="24"/>
      <c r="AA100" s="24" t="str">
        <f>Tabela2[[#This Row],[ILUSTRADOR CRIAÇÃO]]</f>
        <v>HELOÍSA PINTARELLI/ARQUIVO DA EDITORA</v>
      </c>
      <c r="AB100" s="23"/>
      <c r="AC100" s="21"/>
      <c r="AD100" s="21"/>
      <c r="AE100" s="4" t="str">
        <f t="shared" si="1"/>
        <v>EF1 E001 Geo</v>
      </c>
    </row>
    <row r="101" spans="1:31" s="14" customFormat="1" ht="45" x14ac:dyDescent="0.25">
      <c r="A101" s="24" t="s">
        <v>261</v>
      </c>
      <c r="B101" s="21" t="s">
        <v>88</v>
      </c>
      <c r="C101" s="21" t="s">
        <v>110</v>
      </c>
      <c r="D101" s="21" t="s">
        <v>34</v>
      </c>
      <c r="E101" s="23">
        <v>57</v>
      </c>
      <c r="F101" s="23">
        <v>4</v>
      </c>
      <c r="G101" s="23">
        <v>2</v>
      </c>
      <c r="H101" s="23"/>
      <c r="I101" s="24" t="s">
        <v>111</v>
      </c>
      <c r="J101" s="24"/>
      <c r="K101" s="23"/>
      <c r="L101" s="23"/>
      <c r="M101" s="24"/>
      <c r="N101" s="24"/>
      <c r="O101" s="27" t="s">
        <v>262</v>
      </c>
      <c r="P101" s="27"/>
      <c r="Q101" s="27"/>
      <c r="R101" s="23"/>
      <c r="S101" s="25"/>
      <c r="T101" s="25"/>
      <c r="U101" s="25"/>
      <c r="V101" s="25"/>
      <c r="W101" s="25"/>
      <c r="X101" s="23" t="s">
        <v>197</v>
      </c>
      <c r="Y101" s="4" t="str">
        <f>IF(Tabela2[[#This Row],[SIGLA]]="","",VLOOKUP(Tabela2[[#This Row],[SIGLA]],Tabela14[[#All],[Sigla Arte]:[Crédito]],2,0))</f>
        <v>HELOÍSA PINTARELLI/ARQUIVO DA EDITORA</v>
      </c>
      <c r="Z101" s="24"/>
      <c r="AA101" s="24" t="str">
        <f>Tabela2[[#This Row],[ILUSTRADOR CRIAÇÃO]]</f>
        <v>HELOÍSA PINTARELLI/ARQUIVO DA EDITORA</v>
      </c>
      <c r="AB101" s="23"/>
      <c r="AC101" s="21"/>
      <c r="AD101" s="21"/>
      <c r="AE101" s="4" t="str">
        <f t="shared" si="1"/>
        <v>EF1 E001 Geo</v>
      </c>
    </row>
    <row r="102" spans="1:31" s="14" customFormat="1" ht="45" x14ac:dyDescent="0.25">
      <c r="A102" s="24" t="s">
        <v>263</v>
      </c>
      <c r="B102" s="21" t="s">
        <v>88</v>
      </c>
      <c r="C102" s="21" t="s">
        <v>110</v>
      </c>
      <c r="D102" s="21" t="s">
        <v>34</v>
      </c>
      <c r="E102" s="23">
        <v>57</v>
      </c>
      <c r="F102" s="23">
        <v>4</v>
      </c>
      <c r="G102" s="23">
        <v>2</v>
      </c>
      <c r="H102" s="23"/>
      <c r="I102" s="24" t="s">
        <v>111</v>
      </c>
      <c r="J102" s="24"/>
      <c r="K102" s="23"/>
      <c r="L102" s="23"/>
      <c r="M102" s="24"/>
      <c r="N102" s="24"/>
      <c r="O102" s="27" t="s">
        <v>264</v>
      </c>
      <c r="P102" s="27"/>
      <c r="Q102" s="27"/>
      <c r="R102" s="23"/>
      <c r="S102" s="25"/>
      <c r="T102" s="25"/>
      <c r="U102" s="25"/>
      <c r="V102" s="25"/>
      <c r="W102" s="25"/>
      <c r="X102" s="23" t="s">
        <v>197</v>
      </c>
      <c r="Y102" s="4" t="str">
        <f>IF(Tabela2[[#This Row],[SIGLA]]="","",VLOOKUP(Tabela2[[#This Row],[SIGLA]],Tabela14[[#All],[Sigla Arte]:[Crédito]],2,0))</f>
        <v>HELOÍSA PINTARELLI/ARQUIVO DA EDITORA</v>
      </c>
      <c r="Z102" s="24"/>
      <c r="AA102" s="24" t="str">
        <f>Tabela2[[#This Row],[ILUSTRADOR CRIAÇÃO]]</f>
        <v>HELOÍSA PINTARELLI/ARQUIVO DA EDITORA</v>
      </c>
      <c r="AB102" s="23"/>
      <c r="AC102" s="21"/>
      <c r="AD102" s="21"/>
      <c r="AE102" s="4" t="str">
        <f t="shared" si="1"/>
        <v>EF1 E001 Geo</v>
      </c>
    </row>
    <row r="103" spans="1:31" s="14" customFormat="1" ht="45" x14ac:dyDescent="0.25">
      <c r="A103" s="24" t="s">
        <v>265</v>
      </c>
      <c r="B103" s="21" t="s">
        <v>88</v>
      </c>
      <c r="C103" s="21" t="s">
        <v>110</v>
      </c>
      <c r="D103" s="21" t="s">
        <v>34</v>
      </c>
      <c r="E103" s="23">
        <v>57</v>
      </c>
      <c r="F103" s="23">
        <v>4</v>
      </c>
      <c r="G103" s="23">
        <v>2</v>
      </c>
      <c r="H103" s="23"/>
      <c r="I103" s="24" t="s">
        <v>111</v>
      </c>
      <c r="J103" s="24"/>
      <c r="K103" s="23"/>
      <c r="L103" s="23"/>
      <c r="M103" s="24"/>
      <c r="N103" s="24"/>
      <c r="O103" s="27" t="s">
        <v>266</v>
      </c>
      <c r="P103" s="27"/>
      <c r="Q103" s="27"/>
      <c r="R103" s="23"/>
      <c r="S103" s="25"/>
      <c r="T103" s="25"/>
      <c r="U103" s="25"/>
      <c r="V103" s="25"/>
      <c r="W103" s="25"/>
      <c r="X103" s="23" t="s">
        <v>197</v>
      </c>
      <c r="Y103" s="4" t="str">
        <f>IF(Tabela2[[#This Row],[SIGLA]]="","",VLOOKUP(Tabela2[[#This Row],[SIGLA]],Tabela14[[#All],[Sigla Arte]:[Crédito]],2,0))</f>
        <v>HELOÍSA PINTARELLI/ARQUIVO DA EDITORA</v>
      </c>
      <c r="Z103" s="24"/>
      <c r="AA103" s="24" t="str">
        <f>Tabela2[[#This Row],[ILUSTRADOR CRIAÇÃO]]</f>
        <v>HELOÍSA PINTARELLI/ARQUIVO DA EDITORA</v>
      </c>
      <c r="AB103" s="23"/>
      <c r="AC103" s="21"/>
      <c r="AD103" s="21"/>
      <c r="AE103" s="4" t="str">
        <f t="shared" si="1"/>
        <v>EF1 E001 Geo</v>
      </c>
    </row>
    <row r="104" spans="1:31" s="14" customFormat="1" ht="60" x14ac:dyDescent="0.25">
      <c r="A104" s="24" t="s">
        <v>267</v>
      </c>
      <c r="B104" s="21" t="s">
        <v>88</v>
      </c>
      <c r="C104" s="21" t="s">
        <v>110</v>
      </c>
      <c r="D104" s="21" t="s">
        <v>34</v>
      </c>
      <c r="E104" s="23">
        <v>64</v>
      </c>
      <c r="F104" s="23">
        <v>4</v>
      </c>
      <c r="G104" s="23">
        <v>2</v>
      </c>
      <c r="H104" s="23"/>
      <c r="I104" s="24" t="s">
        <v>111</v>
      </c>
      <c r="J104" s="24"/>
      <c r="K104" s="23"/>
      <c r="L104" s="23"/>
      <c r="M104" s="24"/>
      <c r="N104" s="24"/>
      <c r="O104" s="27" t="s">
        <v>268</v>
      </c>
      <c r="P104" s="27"/>
      <c r="Q104" s="27"/>
      <c r="R104" s="23"/>
      <c r="S104" s="25"/>
      <c r="T104" s="25"/>
      <c r="U104" s="25"/>
      <c r="V104" s="25"/>
      <c r="W104" s="25"/>
      <c r="X104" s="23" t="s">
        <v>142</v>
      </c>
      <c r="Y104" s="4" t="str">
        <f>IF(Tabela2[[#This Row],[SIGLA]]="","",VLOOKUP(Tabela2[[#This Row],[SIGLA]],Tabela14[[#All],[Sigla Arte]:[Crédito]],2,0))</f>
        <v>GUSTAVO RAMOS/ARQUIVO DA EDITORA</v>
      </c>
      <c r="Z104" s="24"/>
      <c r="AA104" s="24" t="str">
        <f>Tabela2[[#This Row],[ILUSTRADOR CRIAÇÃO]]</f>
        <v>GUSTAVO RAMOS/ARQUIVO DA EDITORA</v>
      </c>
      <c r="AB104" s="23"/>
      <c r="AC104" s="21"/>
      <c r="AD104" s="21"/>
      <c r="AE104" s="4" t="str">
        <f t="shared" si="1"/>
        <v>EF1 E001 Geo</v>
      </c>
    </row>
    <row r="105" spans="1:31" s="14" customFormat="1" ht="60" x14ac:dyDescent="0.25">
      <c r="A105" s="24" t="s">
        <v>269</v>
      </c>
      <c r="B105" s="21" t="s">
        <v>88</v>
      </c>
      <c r="C105" s="21" t="s">
        <v>110</v>
      </c>
      <c r="D105" s="21" t="s">
        <v>34</v>
      </c>
      <c r="E105" s="23">
        <v>66</v>
      </c>
      <c r="F105" s="23">
        <v>4</v>
      </c>
      <c r="G105" s="23">
        <v>2</v>
      </c>
      <c r="H105" s="23"/>
      <c r="I105" s="24" t="s">
        <v>111</v>
      </c>
      <c r="J105" s="24"/>
      <c r="K105" s="23"/>
      <c r="L105" s="23"/>
      <c r="M105" s="24"/>
      <c r="N105" s="24"/>
      <c r="O105" s="27" t="s">
        <v>270</v>
      </c>
      <c r="P105" s="27"/>
      <c r="Q105" s="27"/>
      <c r="R105" s="23"/>
      <c r="S105" s="25"/>
      <c r="T105" s="25"/>
      <c r="U105" s="25"/>
      <c r="V105" s="25"/>
      <c r="W105" s="25"/>
      <c r="X105" s="23" t="s">
        <v>113</v>
      </c>
      <c r="Y105" s="4" t="str">
        <f>IF(Tabela2[[#This Row],[SIGLA]]="","",VLOOKUP(Tabela2[[#This Row],[SIGLA]],Tabela14[[#All],[Sigla Arte]:[Crédito]],2,0))</f>
        <v>DANILO SANTOS/ARQUIVO DA EDITORA</v>
      </c>
      <c r="Z105" s="24"/>
      <c r="AA105" s="24" t="str">
        <f>Tabela2[[#This Row],[ILUSTRADOR CRIAÇÃO]]</f>
        <v>DANILO SANTOS/ARQUIVO DA EDITORA</v>
      </c>
      <c r="AB105" s="23"/>
      <c r="AC105" s="21"/>
      <c r="AD105" s="21"/>
      <c r="AE105" s="4" t="str">
        <f t="shared" si="1"/>
        <v>EF1 E001 Geo</v>
      </c>
    </row>
    <row r="106" spans="1:31" s="14" customFormat="1" ht="45" x14ac:dyDescent="0.25">
      <c r="A106" s="24" t="s">
        <v>271</v>
      </c>
      <c r="B106" s="21" t="s">
        <v>88</v>
      </c>
      <c r="C106" s="21" t="s">
        <v>110</v>
      </c>
      <c r="D106" s="21" t="s">
        <v>34</v>
      </c>
      <c r="E106" s="23">
        <v>66</v>
      </c>
      <c r="F106" s="23">
        <v>4</v>
      </c>
      <c r="G106" s="23">
        <v>2</v>
      </c>
      <c r="H106" s="23"/>
      <c r="I106" s="24" t="s">
        <v>111</v>
      </c>
      <c r="J106" s="24"/>
      <c r="K106" s="23"/>
      <c r="L106" s="23"/>
      <c r="M106" s="24"/>
      <c r="N106" s="24"/>
      <c r="O106" s="27" t="s">
        <v>272</v>
      </c>
      <c r="P106" s="27"/>
      <c r="Q106" s="27"/>
      <c r="R106" s="23"/>
      <c r="S106" s="25"/>
      <c r="T106" s="25"/>
      <c r="U106" s="25"/>
      <c r="V106" s="25"/>
      <c r="W106" s="25"/>
      <c r="X106" s="23" t="s">
        <v>113</v>
      </c>
      <c r="Y106" s="4" t="str">
        <f>IF(Tabela2[[#This Row],[SIGLA]]="","",VLOOKUP(Tabela2[[#This Row],[SIGLA]],Tabela14[[#All],[Sigla Arte]:[Crédito]],2,0))</f>
        <v>DANILO SANTOS/ARQUIVO DA EDITORA</v>
      </c>
      <c r="Z106" s="24"/>
      <c r="AA106" s="24" t="str">
        <f>Tabela2[[#This Row],[ILUSTRADOR CRIAÇÃO]]</f>
        <v>DANILO SANTOS/ARQUIVO DA EDITORA</v>
      </c>
      <c r="AB106" s="23"/>
      <c r="AC106" s="21"/>
      <c r="AD106" s="21"/>
      <c r="AE106" s="4" t="str">
        <f t="shared" si="1"/>
        <v>EF1 E001 Geo</v>
      </c>
    </row>
    <row r="107" spans="1:31" s="14" customFormat="1" ht="105" x14ac:dyDescent="0.25">
      <c r="A107" s="24" t="s">
        <v>273</v>
      </c>
      <c r="B107" s="21" t="s">
        <v>74</v>
      </c>
      <c r="C107" s="21" t="s">
        <v>110</v>
      </c>
      <c r="D107" s="21" t="s">
        <v>34</v>
      </c>
      <c r="E107" s="23">
        <v>66</v>
      </c>
      <c r="F107" s="23">
        <v>4</v>
      </c>
      <c r="G107" s="23">
        <v>2</v>
      </c>
      <c r="H107" s="23"/>
      <c r="I107" s="24" t="s">
        <v>35</v>
      </c>
      <c r="J107" s="24"/>
      <c r="K107" s="23"/>
      <c r="L107" s="23"/>
      <c r="M107" s="24"/>
      <c r="N107" s="24"/>
      <c r="O107" s="27" t="s">
        <v>274</v>
      </c>
      <c r="P107" s="27"/>
      <c r="Q107" s="27"/>
      <c r="R107" s="23">
        <v>4</v>
      </c>
      <c r="S107" s="25">
        <v>45707</v>
      </c>
      <c r="T107" s="25">
        <v>45716</v>
      </c>
      <c r="U107" s="25"/>
      <c r="V107" s="25"/>
      <c r="W107" s="25">
        <v>45728</v>
      </c>
      <c r="X107" s="23" t="s">
        <v>113</v>
      </c>
      <c r="Y107" s="4" t="str">
        <f>IF(Tabela2[[#This Row],[SIGLA]]="","",VLOOKUP(Tabela2[[#This Row],[SIGLA]],Tabela14[[#All],[Sigla Arte]:[Crédito]],2,0))</f>
        <v>DANILO SANTOS/ARQUIVO DA EDITORA</v>
      </c>
      <c r="Z107" s="24" t="s">
        <v>172</v>
      </c>
      <c r="AA107" s="24" t="str">
        <f>Tabela2[[#This Row],[ILUSTRADOR CRIAÇÃO]]</f>
        <v>DANILO SANTOS/ARQUIVO DA EDITORA</v>
      </c>
      <c r="AB107" s="23">
        <v>13</v>
      </c>
      <c r="AC107" s="21" t="s">
        <v>39</v>
      </c>
      <c r="AD107" s="21" t="s">
        <v>40</v>
      </c>
      <c r="AE107" s="4" t="str">
        <f t="shared" si="1"/>
        <v>EF1 E001 Geo</v>
      </c>
    </row>
    <row r="108" spans="1:31" s="14" customFormat="1" ht="30" x14ac:dyDescent="0.25">
      <c r="A108" s="24" t="s">
        <v>275</v>
      </c>
      <c r="B108" s="21" t="s">
        <v>88</v>
      </c>
      <c r="C108" s="21" t="s">
        <v>110</v>
      </c>
      <c r="D108" s="21" t="s">
        <v>34</v>
      </c>
      <c r="E108" s="23">
        <v>67</v>
      </c>
      <c r="F108" s="23">
        <v>4</v>
      </c>
      <c r="G108" s="23">
        <v>2</v>
      </c>
      <c r="H108" s="23"/>
      <c r="I108" s="24" t="s">
        <v>276</v>
      </c>
      <c r="J108" s="24"/>
      <c r="K108" s="23"/>
      <c r="L108" s="23"/>
      <c r="M108" s="24"/>
      <c r="N108" s="24"/>
      <c r="O108" s="27" t="s">
        <v>277</v>
      </c>
      <c r="P108" s="27"/>
      <c r="Q108" s="27"/>
      <c r="R108" s="23">
        <v>4</v>
      </c>
      <c r="S108" s="25">
        <v>45707</v>
      </c>
      <c r="T108" s="25">
        <v>45716</v>
      </c>
      <c r="U108" s="25"/>
      <c r="V108" s="25"/>
      <c r="W108" s="25">
        <v>45728</v>
      </c>
      <c r="X108" s="23" t="s">
        <v>278</v>
      </c>
      <c r="Y108" s="4" t="str">
        <f>IF(Tabela2[[#This Row],[SIGLA]]="","",VLOOKUP(Tabela2[[#This Row],[SIGLA]],Tabela14[[#All],[Sigla Arte]:[Crédito]],2,0))</f>
        <v>VINÍCIUS COSTA/ARQUIVO DA EDITORA</v>
      </c>
      <c r="Z108" s="24"/>
      <c r="AA108" s="24" t="str">
        <f>Tabela2[[#This Row],[ILUSTRADOR CRIAÇÃO]]</f>
        <v>VINÍCIUS COSTA/ARQUIVO DA EDITORA</v>
      </c>
      <c r="AB108" s="23">
        <v>8</v>
      </c>
      <c r="AC108" s="21"/>
      <c r="AD108" s="21" t="s">
        <v>40</v>
      </c>
      <c r="AE108" s="4" t="str">
        <f t="shared" si="1"/>
        <v>EF1 E001 Geo</v>
      </c>
    </row>
    <row r="109" spans="1:31" s="14" customFormat="1" ht="135" x14ac:dyDescent="0.25">
      <c r="A109" s="24" t="s">
        <v>279</v>
      </c>
      <c r="B109" s="21" t="s">
        <v>88</v>
      </c>
      <c r="C109" s="21" t="s">
        <v>110</v>
      </c>
      <c r="D109" s="21" t="s">
        <v>34</v>
      </c>
      <c r="E109" s="23">
        <v>67</v>
      </c>
      <c r="F109" s="23">
        <v>4</v>
      </c>
      <c r="G109" s="23">
        <v>2</v>
      </c>
      <c r="H109" s="23"/>
      <c r="I109" s="24" t="s">
        <v>35</v>
      </c>
      <c r="J109" s="24"/>
      <c r="K109" s="23"/>
      <c r="L109" s="23"/>
      <c r="M109" s="24"/>
      <c r="N109" s="24"/>
      <c r="O109" s="27" t="s">
        <v>280</v>
      </c>
      <c r="P109" s="27"/>
      <c r="Q109" s="27"/>
      <c r="R109" s="23">
        <v>4</v>
      </c>
      <c r="S109" s="25">
        <v>45707</v>
      </c>
      <c r="T109" s="25">
        <v>45716</v>
      </c>
      <c r="U109" s="25"/>
      <c r="V109" s="25"/>
      <c r="W109" s="25">
        <v>45728</v>
      </c>
      <c r="X109" s="23" t="s">
        <v>113</v>
      </c>
      <c r="Y109" s="4" t="str">
        <f>IF(Tabela2[[#This Row],[SIGLA]]="","",VLOOKUP(Tabela2[[#This Row],[SIGLA]],Tabela14[[#All],[Sigla Arte]:[Crédito]],2,0))</f>
        <v>DANILO SANTOS/ARQUIVO DA EDITORA</v>
      </c>
      <c r="Z109" s="24" t="s">
        <v>172</v>
      </c>
      <c r="AA109" s="24" t="str">
        <f>Tabela2[[#This Row],[ILUSTRADOR CRIAÇÃO]]</f>
        <v>DANILO SANTOS/ARQUIVO DA EDITORA</v>
      </c>
      <c r="AB109" s="23">
        <v>13</v>
      </c>
      <c r="AC109" s="21" t="s">
        <v>39</v>
      </c>
      <c r="AD109" s="21" t="s">
        <v>40</v>
      </c>
      <c r="AE109" s="4" t="str">
        <f t="shared" si="1"/>
        <v>EF1 E001 Geo</v>
      </c>
    </row>
    <row r="110" spans="1:31" s="14" customFormat="1" ht="45" x14ac:dyDescent="0.25">
      <c r="A110" s="24" t="s">
        <v>281</v>
      </c>
      <c r="B110" s="21" t="s">
        <v>88</v>
      </c>
      <c r="C110" s="21" t="s">
        <v>110</v>
      </c>
      <c r="D110" s="21" t="s">
        <v>34</v>
      </c>
      <c r="E110" s="23">
        <v>72</v>
      </c>
      <c r="F110" s="23">
        <v>4</v>
      </c>
      <c r="G110" s="23">
        <v>2</v>
      </c>
      <c r="H110" s="23"/>
      <c r="I110" s="24" t="s">
        <v>111</v>
      </c>
      <c r="J110" s="24"/>
      <c r="K110" s="23"/>
      <c r="L110" s="23"/>
      <c r="M110" s="24"/>
      <c r="N110" s="24"/>
      <c r="O110" s="27" t="s">
        <v>282</v>
      </c>
      <c r="P110" s="27"/>
      <c r="Q110" s="27"/>
      <c r="R110" s="23"/>
      <c r="S110" s="25"/>
      <c r="T110" s="25"/>
      <c r="U110" s="25"/>
      <c r="V110" s="25"/>
      <c r="W110" s="25"/>
      <c r="X110" s="23" t="s">
        <v>283</v>
      </c>
      <c r="Y110" s="4" t="str">
        <f>IF(Tabela2[[#This Row],[SIGLA]]="","",VLOOKUP(Tabela2[[#This Row],[SIGLA]],Tabela14[[#All],[Sigla Arte]:[Crédito]],2,0))</f>
        <v>REINALDO ROSA/ARQUIVO DA EDITORA</v>
      </c>
      <c r="Z110" s="24"/>
      <c r="AA110" s="24" t="str">
        <f>Tabela2[[#This Row],[ILUSTRADOR CRIAÇÃO]]</f>
        <v>REINALDO ROSA/ARQUIVO DA EDITORA</v>
      </c>
      <c r="AB110" s="23"/>
      <c r="AC110" s="21"/>
      <c r="AD110" s="21"/>
      <c r="AE110" s="4" t="str">
        <f t="shared" si="1"/>
        <v>EF1 E001 Geo</v>
      </c>
    </row>
    <row r="111" spans="1:31" s="14" customFormat="1" ht="45" x14ac:dyDescent="0.25">
      <c r="A111" s="24" t="s">
        <v>284</v>
      </c>
      <c r="B111" s="21" t="s">
        <v>88</v>
      </c>
      <c r="C111" s="21" t="s">
        <v>110</v>
      </c>
      <c r="D111" s="21" t="s">
        <v>34</v>
      </c>
      <c r="E111" s="23">
        <v>74</v>
      </c>
      <c r="F111" s="23">
        <v>4</v>
      </c>
      <c r="G111" s="23">
        <v>2</v>
      </c>
      <c r="H111" s="23"/>
      <c r="I111" s="24" t="s">
        <v>111</v>
      </c>
      <c r="J111" s="24"/>
      <c r="K111" s="23"/>
      <c r="L111" s="23"/>
      <c r="M111" s="24"/>
      <c r="N111" s="24"/>
      <c r="O111" s="27" t="s">
        <v>285</v>
      </c>
      <c r="P111" s="27"/>
      <c r="Q111" s="27"/>
      <c r="R111" s="23"/>
      <c r="S111" s="25"/>
      <c r="T111" s="25"/>
      <c r="U111" s="25"/>
      <c r="V111" s="25"/>
      <c r="W111" s="25"/>
      <c r="X111" s="23" t="s">
        <v>283</v>
      </c>
      <c r="Y111" s="4" t="str">
        <f>IF(Tabela2[[#This Row],[SIGLA]]="","",VLOOKUP(Tabela2[[#This Row],[SIGLA]],Tabela14[[#All],[Sigla Arte]:[Crédito]],2,0))</f>
        <v>REINALDO ROSA/ARQUIVO DA EDITORA</v>
      </c>
      <c r="Z111" s="24"/>
      <c r="AA111" s="24" t="str">
        <f>Tabela2[[#This Row],[ILUSTRADOR CRIAÇÃO]]</f>
        <v>REINALDO ROSA/ARQUIVO DA EDITORA</v>
      </c>
      <c r="AB111" s="23"/>
      <c r="AC111" s="21"/>
      <c r="AD111" s="21"/>
      <c r="AE111" s="4" t="str">
        <f t="shared" si="1"/>
        <v>EF1 E001 Geo</v>
      </c>
    </row>
    <row r="112" spans="1:31" s="14" customFormat="1" ht="45" x14ac:dyDescent="0.25">
      <c r="A112" s="24" t="s">
        <v>286</v>
      </c>
      <c r="B112" s="21" t="s">
        <v>32</v>
      </c>
      <c r="C112" s="21" t="s">
        <v>110</v>
      </c>
      <c r="D112" s="21" t="s">
        <v>34</v>
      </c>
      <c r="E112" s="23">
        <v>86</v>
      </c>
      <c r="F112" s="23">
        <v>4</v>
      </c>
      <c r="G112" s="23">
        <v>1</v>
      </c>
      <c r="H112" s="23"/>
      <c r="I112" s="24" t="s">
        <v>111</v>
      </c>
      <c r="J112" s="24"/>
      <c r="K112" s="23"/>
      <c r="L112" s="23"/>
      <c r="M112" s="24"/>
      <c r="N112" s="24"/>
      <c r="O112" s="27" t="s">
        <v>287</v>
      </c>
      <c r="P112" s="27"/>
      <c r="Q112" s="27"/>
      <c r="R112" s="23"/>
      <c r="S112" s="25"/>
      <c r="T112" s="25"/>
      <c r="U112" s="25"/>
      <c r="V112" s="25"/>
      <c r="W112" s="25"/>
      <c r="X112" s="23" t="s">
        <v>113</v>
      </c>
      <c r="Y112" s="4" t="str">
        <f>IF(Tabela2[[#This Row],[SIGLA]]="","",VLOOKUP(Tabela2[[#This Row],[SIGLA]],Tabela14[[#All],[Sigla Arte]:[Crédito]],2,0))</f>
        <v>DANILO SANTOS/ARQUIVO DA EDITORA</v>
      </c>
      <c r="Z112" s="24"/>
      <c r="AA112" s="24" t="str">
        <f>Tabela2[[#This Row],[ILUSTRADOR CRIAÇÃO]]</f>
        <v>DANILO SANTOS/ARQUIVO DA EDITORA</v>
      </c>
      <c r="AB112" s="23"/>
      <c r="AC112" s="21"/>
      <c r="AD112" s="21"/>
      <c r="AE112" s="4" t="str">
        <f t="shared" si="1"/>
        <v>EF1 E001 Geo</v>
      </c>
    </row>
    <row r="113" spans="1:31" s="14" customFormat="1" ht="45" x14ac:dyDescent="0.25">
      <c r="A113" s="24" t="s">
        <v>288</v>
      </c>
      <c r="B113" s="21" t="s">
        <v>32</v>
      </c>
      <c r="C113" s="21" t="s">
        <v>110</v>
      </c>
      <c r="D113" s="21" t="s">
        <v>34</v>
      </c>
      <c r="E113" s="23">
        <v>86</v>
      </c>
      <c r="F113" s="23">
        <v>4</v>
      </c>
      <c r="G113" s="23">
        <v>1</v>
      </c>
      <c r="H113" s="23"/>
      <c r="I113" s="24" t="s">
        <v>111</v>
      </c>
      <c r="J113" s="24"/>
      <c r="K113" s="23"/>
      <c r="L113" s="23"/>
      <c r="M113" s="24"/>
      <c r="N113" s="24"/>
      <c r="O113" s="27" t="s">
        <v>289</v>
      </c>
      <c r="P113" s="27"/>
      <c r="Q113" s="27"/>
      <c r="R113" s="23"/>
      <c r="S113" s="25"/>
      <c r="T113" s="25"/>
      <c r="U113" s="25"/>
      <c r="V113" s="25"/>
      <c r="W113" s="25"/>
      <c r="X113" s="23" t="s">
        <v>113</v>
      </c>
      <c r="Y113" s="4" t="str">
        <f>IF(Tabela2[[#This Row],[SIGLA]]="","",VLOOKUP(Tabela2[[#This Row],[SIGLA]],Tabela14[[#All],[Sigla Arte]:[Crédito]],2,0))</f>
        <v>DANILO SANTOS/ARQUIVO DA EDITORA</v>
      </c>
      <c r="Z113" s="24"/>
      <c r="AA113" s="24" t="str">
        <f>Tabela2[[#This Row],[ILUSTRADOR CRIAÇÃO]]</f>
        <v>DANILO SANTOS/ARQUIVO DA EDITORA</v>
      </c>
      <c r="AB113" s="23"/>
      <c r="AC113" s="21"/>
      <c r="AD113" s="21"/>
      <c r="AE113" s="4" t="str">
        <f t="shared" si="1"/>
        <v>EF1 E001 Geo</v>
      </c>
    </row>
    <row r="114" spans="1:31" s="14" customFormat="1" ht="45" x14ac:dyDescent="0.25">
      <c r="A114" s="24" t="s">
        <v>290</v>
      </c>
      <c r="B114" s="21" t="s">
        <v>32</v>
      </c>
      <c r="C114" s="21" t="s">
        <v>110</v>
      </c>
      <c r="D114" s="21" t="s">
        <v>34</v>
      </c>
      <c r="E114" s="23">
        <v>86</v>
      </c>
      <c r="F114" s="23">
        <v>4</v>
      </c>
      <c r="G114" s="23">
        <v>1</v>
      </c>
      <c r="H114" s="23"/>
      <c r="I114" s="24" t="s">
        <v>111</v>
      </c>
      <c r="J114" s="24"/>
      <c r="K114" s="23"/>
      <c r="L114" s="23"/>
      <c r="M114" s="24"/>
      <c r="N114" s="24"/>
      <c r="O114" s="27" t="s">
        <v>291</v>
      </c>
      <c r="P114" s="27"/>
      <c r="Q114" s="27"/>
      <c r="R114" s="23"/>
      <c r="S114" s="25"/>
      <c r="T114" s="25"/>
      <c r="U114" s="25"/>
      <c r="V114" s="25"/>
      <c r="W114" s="25"/>
      <c r="X114" s="23" t="s">
        <v>113</v>
      </c>
      <c r="Y114" s="4" t="str">
        <f>IF(Tabela2[[#This Row],[SIGLA]]="","",VLOOKUP(Tabela2[[#This Row],[SIGLA]],Tabela14[[#All],[Sigla Arte]:[Crédito]],2,0))</f>
        <v>DANILO SANTOS/ARQUIVO DA EDITORA</v>
      </c>
      <c r="Z114" s="24"/>
      <c r="AA114" s="24" t="str">
        <f>Tabela2[[#This Row],[ILUSTRADOR CRIAÇÃO]]</f>
        <v>DANILO SANTOS/ARQUIVO DA EDITORA</v>
      </c>
      <c r="AB114" s="23"/>
      <c r="AC114" s="21"/>
      <c r="AD114" s="21"/>
      <c r="AE114" s="4" t="str">
        <f t="shared" si="1"/>
        <v>EF1 E001 Geo</v>
      </c>
    </row>
    <row r="115" spans="1:31" s="14" customFormat="1" ht="90" x14ac:dyDescent="0.25">
      <c r="A115" s="24" t="s">
        <v>292</v>
      </c>
      <c r="B115" s="21" t="s">
        <v>74</v>
      </c>
      <c r="C115" s="21" t="s">
        <v>110</v>
      </c>
      <c r="D115" s="21" t="s">
        <v>34</v>
      </c>
      <c r="E115" s="23">
        <v>94</v>
      </c>
      <c r="F115" s="23">
        <v>4</v>
      </c>
      <c r="G115" s="23">
        <v>3</v>
      </c>
      <c r="H115" s="23"/>
      <c r="I115" s="24" t="s">
        <v>35</v>
      </c>
      <c r="J115" s="24"/>
      <c r="K115" s="23"/>
      <c r="L115" s="23"/>
      <c r="M115" s="24"/>
      <c r="N115" s="24"/>
      <c r="O115" s="27" t="s">
        <v>293</v>
      </c>
      <c r="P115" s="27"/>
      <c r="Q115" s="27"/>
      <c r="R115" s="23">
        <v>4</v>
      </c>
      <c r="S115" s="25">
        <v>45707</v>
      </c>
      <c r="T115" s="25">
        <v>45716</v>
      </c>
      <c r="U115" s="25"/>
      <c r="V115" s="25"/>
      <c r="W115" s="25">
        <v>45728</v>
      </c>
      <c r="X115" s="23" t="s">
        <v>294</v>
      </c>
      <c r="Y115" s="4" t="str">
        <f>IF(Tabela2[[#This Row],[SIGLA]]="","",VLOOKUP(Tabela2[[#This Row],[SIGLA]],Tabela14[[#All],[Sigla Arte]:[Crédito]],2,0))</f>
        <v>GUSTAVO MACHADO/ARQUIVO DA EDITORA</v>
      </c>
      <c r="Z115" s="24" t="s">
        <v>172</v>
      </c>
      <c r="AA115" s="24" t="str">
        <f>Tabela2[[#This Row],[ILUSTRADOR CRIAÇÃO]]</f>
        <v>GUSTAVO MACHADO/ARQUIVO DA EDITORA</v>
      </c>
      <c r="AB115" s="23">
        <v>13</v>
      </c>
      <c r="AC115" s="21" t="s">
        <v>39</v>
      </c>
      <c r="AD115" s="21" t="s">
        <v>40</v>
      </c>
      <c r="AE115" s="4" t="str">
        <f t="shared" si="1"/>
        <v>EF1 E001 Geo</v>
      </c>
    </row>
    <row r="116" spans="1:31" s="14" customFormat="1" ht="60" x14ac:dyDescent="0.25">
      <c r="A116" s="24" t="s">
        <v>295</v>
      </c>
      <c r="B116" s="21" t="s">
        <v>74</v>
      </c>
      <c r="C116" s="21" t="s">
        <v>110</v>
      </c>
      <c r="D116" s="21" t="s">
        <v>34</v>
      </c>
      <c r="E116" s="23">
        <v>99</v>
      </c>
      <c r="F116" s="23">
        <v>4</v>
      </c>
      <c r="G116" s="23">
        <v>3</v>
      </c>
      <c r="H116" s="23"/>
      <c r="I116" s="24" t="s">
        <v>35</v>
      </c>
      <c r="J116" s="24"/>
      <c r="K116" s="23"/>
      <c r="L116" s="23"/>
      <c r="M116" s="24"/>
      <c r="N116" s="24"/>
      <c r="O116" s="27" t="s">
        <v>296</v>
      </c>
      <c r="P116" s="27"/>
      <c r="Q116" s="27"/>
      <c r="R116" s="23">
        <v>4</v>
      </c>
      <c r="S116" s="25">
        <v>45707</v>
      </c>
      <c r="T116" s="25">
        <v>45716</v>
      </c>
      <c r="U116" s="25"/>
      <c r="V116" s="25"/>
      <c r="W116" s="25">
        <v>45728</v>
      </c>
      <c r="X116" s="23" t="s">
        <v>297</v>
      </c>
      <c r="Y116" s="4" t="str">
        <f>IF(Tabela2[[#This Row],[SIGLA]]="","",VLOOKUP(Tabela2[[#This Row],[SIGLA]],Tabela14[[#All],[Sigla Arte]:[Crédito]],2,0))</f>
        <v>VICTOR LEMOS/ARQUIVO DA EDITORA</v>
      </c>
      <c r="Z116" s="24" t="s">
        <v>172</v>
      </c>
      <c r="AA116" s="24" t="str">
        <f>Tabela2[[#This Row],[ILUSTRADOR CRIAÇÃO]]</f>
        <v>VICTOR LEMOS/ARQUIVO DA EDITORA</v>
      </c>
      <c r="AB116" s="23">
        <v>13</v>
      </c>
      <c r="AC116" s="21" t="s">
        <v>39</v>
      </c>
      <c r="AD116" s="21" t="s">
        <v>40</v>
      </c>
      <c r="AE116" s="4" t="str">
        <f t="shared" si="1"/>
        <v>EF1 E001 Geo</v>
      </c>
    </row>
    <row r="117" spans="1:31" s="14" customFormat="1" ht="60" x14ac:dyDescent="0.25">
      <c r="A117" s="24" t="s">
        <v>298</v>
      </c>
      <c r="B117" s="21" t="s">
        <v>74</v>
      </c>
      <c r="C117" s="21" t="s">
        <v>110</v>
      </c>
      <c r="D117" s="21" t="s">
        <v>34</v>
      </c>
      <c r="E117" s="23">
        <v>99</v>
      </c>
      <c r="F117" s="23">
        <v>4</v>
      </c>
      <c r="G117" s="23">
        <v>3</v>
      </c>
      <c r="H117" s="23"/>
      <c r="I117" s="24" t="s">
        <v>35</v>
      </c>
      <c r="J117" s="24"/>
      <c r="K117" s="23"/>
      <c r="L117" s="23"/>
      <c r="M117" s="24"/>
      <c r="N117" s="24"/>
      <c r="O117" s="27" t="s">
        <v>299</v>
      </c>
      <c r="P117" s="27"/>
      <c r="Q117" s="27"/>
      <c r="R117" s="23">
        <v>4</v>
      </c>
      <c r="S117" s="25">
        <v>45707</v>
      </c>
      <c r="T117" s="25">
        <v>45716</v>
      </c>
      <c r="U117" s="25"/>
      <c r="V117" s="25"/>
      <c r="W117" s="25">
        <v>45728</v>
      </c>
      <c r="X117" s="23" t="s">
        <v>297</v>
      </c>
      <c r="Y117" s="4" t="str">
        <f>IF(Tabela2[[#This Row],[SIGLA]]="","",VLOOKUP(Tabela2[[#This Row],[SIGLA]],Tabela14[[#All],[Sigla Arte]:[Crédito]],2,0))</f>
        <v>VICTOR LEMOS/ARQUIVO DA EDITORA</v>
      </c>
      <c r="Z117" s="24" t="s">
        <v>172</v>
      </c>
      <c r="AA117" s="24" t="str">
        <f>Tabela2[[#This Row],[ILUSTRADOR CRIAÇÃO]]</f>
        <v>VICTOR LEMOS/ARQUIVO DA EDITORA</v>
      </c>
      <c r="AB117" s="23">
        <v>13</v>
      </c>
      <c r="AC117" s="21" t="s">
        <v>39</v>
      </c>
      <c r="AD117" s="21" t="s">
        <v>40</v>
      </c>
      <c r="AE117" s="4" t="str">
        <f t="shared" si="1"/>
        <v>EF1 E001 Geo</v>
      </c>
    </row>
    <row r="118" spans="1:31" s="14" customFormat="1" ht="60" x14ac:dyDescent="0.25">
      <c r="A118" s="24" t="s">
        <v>300</v>
      </c>
      <c r="B118" s="21" t="s">
        <v>74</v>
      </c>
      <c r="C118" s="21" t="s">
        <v>110</v>
      </c>
      <c r="D118" s="21" t="s">
        <v>34</v>
      </c>
      <c r="E118" s="23">
        <v>99</v>
      </c>
      <c r="F118" s="23">
        <v>4</v>
      </c>
      <c r="G118" s="23">
        <v>3</v>
      </c>
      <c r="H118" s="23"/>
      <c r="I118" s="24" t="s">
        <v>35</v>
      </c>
      <c r="J118" s="24"/>
      <c r="K118" s="23"/>
      <c r="L118" s="23"/>
      <c r="M118" s="24"/>
      <c r="N118" s="24"/>
      <c r="O118" s="27" t="s">
        <v>301</v>
      </c>
      <c r="P118" s="27"/>
      <c r="Q118" s="27"/>
      <c r="R118" s="23">
        <v>4</v>
      </c>
      <c r="S118" s="25">
        <v>45707</v>
      </c>
      <c r="T118" s="25">
        <v>45716</v>
      </c>
      <c r="U118" s="25"/>
      <c r="V118" s="25"/>
      <c r="W118" s="25">
        <v>45728</v>
      </c>
      <c r="X118" s="23" t="s">
        <v>297</v>
      </c>
      <c r="Y118" s="4" t="str">
        <f>IF(Tabela2[[#This Row],[SIGLA]]="","",VLOOKUP(Tabela2[[#This Row],[SIGLA]],Tabela14[[#All],[Sigla Arte]:[Crédito]],2,0))</f>
        <v>VICTOR LEMOS/ARQUIVO DA EDITORA</v>
      </c>
      <c r="Z118" s="24" t="s">
        <v>172</v>
      </c>
      <c r="AA118" s="24" t="str">
        <f>Tabela2[[#This Row],[ILUSTRADOR CRIAÇÃO]]</f>
        <v>VICTOR LEMOS/ARQUIVO DA EDITORA</v>
      </c>
      <c r="AB118" s="23">
        <v>13</v>
      </c>
      <c r="AC118" s="21" t="s">
        <v>39</v>
      </c>
      <c r="AD118" s="21" t="s">
        <v>40</v>
      </c>
      <c r="AE118" s="4" t="str">
        <f t="shared" si="1"/>
        <v>EF1 E001 Geo</v>
      </c>
    </row>
    <row r="119" spans="1:31" s="14" customFormat="1" ht="60" x14ac:dyDescent="0.25">
      <c r="A119" s="24" t="s">
        <v>302</v>
      </c>
      <c r="B119" s="21" t="s">
        <v>74</v>
      </c>
      <c r="C119" s="21" t="s">
        <v>110</v>
      </c>
      <c r="D119" s="21" t="s">
        <v>34</v>
      </c>
      <c r="E119" s="23">
        <v>99</v>
      </c>
      <c r="F119" s="23">
        <v>4</v>
      </c>
      <c r="G119" s="23">
        <v>3</v>
      </c>
      <c r="H119" s="23"/>
      <c r="I119" s="24" t="s">
        <v>35</v>
      </c>
      <c r="J119" s="24"/>
      <c r="K119" s="23"/>
      <c r="L119" s="23"/>
      <c r="M119" s="24"/>
      <c r="N119" s="24"/>
      <c r="O119" s="27" t="s">
        <v>303</v>
      </c>
      <c r="P119" s="27"/>
      <c r="Q119" s="27"/>
      <c r="R119" s="23">
        <v>4</v>
      </c>
      <c r="S119" s="25">
        <v>45707</v>
      </c>
      <c r="T119" s="25">
        <v>45716</v>
      </c>
      <c r="U119" s="25"/>
      <c r="V119" s="25"/>
      <c r="W119" s="25">
        <v>45728</v>
      </c>
      <c r="X119" s="23" t="s">
        <v>297</v>
      </c>
      <c r="Y119" s="4" t="str">
        <f>IF(Tabela2[[#This Row],[SIGLA]]="","",VLOOKUP(Tabela2[[#This Row],[SIGLA]],Tabela14[[#All],[Sigla Arte]:[Crédito]],2,0))</f>
        <v>VICTOR LEMOS/ARQUIVO DA EDITORA</v>
      </c>
      <c r="Z119" s="24" t="s">
        <v>172</v>
      </c>
      <c r="AA119" s="24" t="str">
        <f>Tabela2[[#This Row],[ILUSTRADOR CRIAÇÃO]]</f>
        <v>VICTOR LEMOS/ARQUIVO DA EDITORA</v>
      </c>
      <c r="AB119" s="23">
        <v>13</v>
      </c>
      <c r="AC119" s="21" t="s">
        <v>39</v>
      </c>
      <c r="AD119" s="21" t="s">
        <v>40</v>
      </c>
      <c r="AE119" s="4" t="str">
        <f t="shared" si="1"/>
        <v>EF1 E001 Geo</v>
      </c>
    </row>
    <row r="120" spans="1:31" s="14" customFormat="1" ht="60" x14ac:dyDescent="0.25">
      <c r="A120" s="30" t="s">
        <v>304</v>
      </c>
      <c r="B120" s="21" t="s">
        <v>74</v>
      </c>
      <c r="C120" s="21" t="s">
        <v>110</v>
      </c>
      <c r="D120" s="21" t="s">
        <v>34</v>
      </c>
      <c r="E120" s="23">
        <v>99</v>
      </c>
      <c r="F120" s="23">
        <v>4</v>
      </c>
      <c r="G120" s="23">
        <v>3</v>
      </c>
      <c r="H120" s="23"/>
      <c r="I120" s="24" t="s">
        <v>35</v>
      </c>
      <c r="J120" s="24"/>
      <c r="K120" s="23"/>
      <c r="L120" s="23"/>
      <c r="M120" s="24"/>
      <c r="N120" s="24"/>
      <c r="O120" s="27" t="s">
        <v>305</v>
      </c>
      <c r="P120" s="27"/>
      <c r="Q120" s="27"/>
      <c r="R120" s="23">
        <v>4</v>
      </c>
      <c r="S120" s="25">
        <v>45707</v>
      </c>
      <c r="T120" s="25">
        <v>45716</v>
      </c>
      <c r="U120" s="25"/>
      <c r="V120" s="25"/>
      <c r="W120" s="25">
        <v>45728</v>
      </c>
      <c r="X120" s="23" t="s">
        <v>297</v>
      </c>
      <c r="Y120" s="4" t="str">
        <f>IF(Tabela2[[#This Row],[SIGLA]]="","",VLOOKUP(Tabela2[[#This Row],[SIGLA]],Tabela14[[#All],[Sigla Arte]:[Crédito]],2,0))</f>
        <v>VICTOR LEMOS/ARQUIVO DA EDITORA</v>
      </c>
      <c r="Z120" s="24" t="s">
        <v>172</v>
      </c>
      <c r="AA120" s="24" t="str">
        <f>Tabela2[[#This Row],[ILUSTRADOR CRIAÇÃO]]</f>
        <v>VICTOR LEMOS/ARQUIVO DA EDITORA</v>
      </c>
      <c r="AB120" s="23">
        <v>13</v>
      </c>
      <c r="AC120" s="21" t="s">
        <v>39</v>
      </c>
      <c r="AD120" s="21" t="s">
        <v>40</v>
      </c>
      <c r="AE120" s="4" t="str">
        <f t="shared" si="1"/>
        <v>EF1 E001 Geo</v>
      </c>
    </row>
    <row r="121" spans="1:31" s="14" customFormat="1" ht="60" x14ac:dyDescent="0.25">
      <c r="A121" s="24" t="s">
        <v>306</v>
      </c>
      <c r="B121" s="21" t="s">
        <v>74</v>
      </c>
      <c r="C121" s="21" t="s">
        <v>110</v>
      </c>
      <c r="D121" s="21" t="s">
        <v>34</v>
      </c>
      <c r="E121" s="23">
        <v>99</v>
      </c>
      <c r="F121" s="23">
        <v>4</v>
      </c>
      <c r="G121" s="23">
        <v>3</v>
      </c>
      <c r="H121" s="23"/>
      <c r="I121" s="24" t="s">
        <v>35</v>
      </c>
      <c r="J121" s="24"/>
      <c r="K121" s="23"/>
      <c r="L121" s="23"/>
      <c r="M121" s="24"/>
      <c r="N121" s="24"/>
      <c r="O121" s="27" t="s">
        <v>307</v>
      </c>
      <c r="P121" s="27"/>
      <c r="Q121" s="27"/>
      <c r="R121" s="23">
        <v>4</v>
      </c>
      <c r="S121" s="25">
        <v>45707</v>
      </c>
      <c r="T121" s="25">
        <v>45716</v>
      </c>
      <c r="U121" s="25"/>
      <c r="V121" s="25"/>
      <c r="W121" s="25">
        <v>45728</v>
      </c>
      <c r="X121" s="23" t="s">
        <v>297</v>
      </c>
      <c r="Y121" s="4" t="str">
        <f>IF(Tabela2[[#This Row],[SIGLA]]="","",VLOOKUP(Tabela2[[#This Row],[SIGLA]],Tabela14[[#All],[Sigla Arte]:[Crédito]],2,0))</f>
        <v>VICTOR LEMOS/ARQUIVO DA EDITORA</v>
      </c>
      <c r="Z121" s="24" t="s">
        <v>172</v>
      </c>
      <c r="AA121" s="24" t="str">
        <f>Tabela2[[#This Row],[ILUSTRADOR CRIAÇÃO]]</f>
        <v>VICTOR LEMOS/ARQUIVO DA EDITORA</v>
      </c>
      <c r="AB121" s="23">
        <v>13</v>
      </c>
      <c r="AC121" s="21" t="s">
        <v>39</v>
      </c>
      <c r="AD121" s="21" t="s">
        <v>40</v>
      </c>
      <c r="AE121" s="4" t="str">
        <f t="shared" si="1"/>
        <v>EF1 E001 Geo</v>
      </c>
    </row>
    <row r="122" spans="1:31" s="14" customFormat="1" ht="60" x14ac:dyDescent="0.25">
      <c r="A122" s="24" t="s">
        <v>308</v>
      </c>
      <c r="B122" s="21" t="s">
        <v>74</v>
      </c>
      <c r="C122" s="21" t="s">
        <v>110</v>
      </c>
      <c r="D122" s="21" t="s">
        <v>34</v>
      </c>
      <c r="E122" s="23">
        <v>105</v>
      </c>
      <c r="F122" s="23">
        <v>4</v>
      </c>
      <c r="G122" s="23">
        <v>3</v>
      </c>
      <c r="H122" s="23"/>
      <c r="I122" s="24" t="s">
        <v>111</v>
      </c>
      <c r="J122" s="24"/>
      <c r="K122" s="23"/>
      <c r="L122" s="23"/>
      <c r="M122" s="24"/>
      <c r="N122" s="24"/>
      <c r="O122" s="27" t="s">
        <v>309</v>
      </c>
      <c r="P122" s="27"/>
      <c r="Q122" s="27"/>
      <c r="R122" s="23"/>
      <c r="S122" s="25"/>
      <c r="T122" s="25"/>
      <c r="U122" s="25"/>
      <c r="V122" s="25"/>
      <c r="W122" s="25"/>
      <c r="X122" s="23" t="s">
        <v>113</v>
      </c>
      <c r="Y122" s="4" t="str">
        <f>IF(Tabela2[[#This Row],[SIGLA]]="","",VLOOKUP(Tabela2[[#This Row],[SIGLA]],Tabela14[[#All],[Sigla Arte]:[Crédito]],2,0))</f>
        <v>DANILO SANTOS/ARQUIVO DA EDITORA</v>
      </c>
      <c r="Z122" s="24"/>
      <c r="AA122" s="24" t="str">
        <f>Tabela2[[#This Row],[ILUSTRADOR CRIAÇÃO]]</f>
        <v>DANILO SANTOS/ARQUIVO DA EDITORA</v>
      </c>
      <c r="AB122" s="23"/>
      <c r="AC122" s="21"/>
      <c r="AD122" s="21"/>
      <c r="AE122" s="4" t="str">
        <f t="shared" si="1"/>
        <v>EF1 E001 Geo</v>
      </c>
    </row>
    <row r="123" spans="1:31" s="14" customFormat="1" ht="30" x14ac:dyDescent="0.25">
      <c r="A123" s="24" t="s">
        <v>310</v>
      </c>
      <c r="B123" s="21" t="s">
        <v>32</v>
      </c>
      <c r="C123" s="21" t="s">
        <v>110</v>
      </c>
      <c r="D123" s="21" t="s">
        <v>34</v>
      </c>
      <c r="E123" s="23">
        <v>109</v>
      </c>
      <c r="F123" s="23">
        <v>4</v>
      </c>
      <c r="G123" s="23">
        <v>3</v>
      </c>
      <c r="H123" s="23"/>
      <c r="I123" s="24" t="s">
        <v>111</v>
      </c>
      <c r="J123" s="24"/>
      <c r="K123" s="23"/>
      <c r="L123" s="23"/>
      <c r="M123" s="24"/>
      <c r="N123" s="24"/>
      <c r="O123" s="27" t="s">
        <v>311</v>
      </c>
      <c r="P123" s="27"/>
      <c r="Q123" s="27"/>
      <c r="R123" s="23"/>
      <c r="S123" s="25"/>
      <c r="T123" s="25"/>
      <c r="U123" s="25"/>
      <c r="V123" s="25"/>
      <c r="W123" s="25"/>
      <c r="X123" s="23" t="s">
        <v>197</v>
      </c>
      <c r="Y123" s="4" t="str">
        <f>IF(Tabela2[[#This Row],[SIGLA]]="","",VLOOKUP(Tabela2[[#This Row],[SIGLA]],Tabela14[[#All],[Sigla Arte]:[Crédito]],2,0))</f>
        <v>HELOÍSA PINTARELLI/ARQUIVO DA EDITORA</v>
      </c>
      <c r="Z123" s="24"/>
      <c r="AA123" s="24" t="str">
        <f>Tabela2[[#This Row],[ILUSTRADOR CRIAÇÃO]]</f>
        <v>HELOÍSA PINTARELLI/ARQUIVO DA EDITORA</v>
      </c>
      <c r="AB123" s="23"/>
      <c r="AC123" s="21"/>
      <c r="AD123" s="21"/>
      <c r="AE123" s="4" t="str">
        <f t="shared" si="1"/>
        <v>EF1 E001 Geo</v>
      </c>
    </row>
    <row r="124" spans="1:31" s="14" customFormat="1" ht="30" x14ac:dyDescent="0.25">
      <c r="A124" s="24" t="s">
        <v>312</v>
      </c>
      <c r="B124" s="21" t="s">
        <v>74</v>
      </c>
      <c r="C124" s="21" t="s">
        <v>110</v>
      </c>
      <c r="D124" s="21" t="s">
        <v>34</v>
      </c>
      <c r="E124" s="23">
        <v>109</v>
      </c>
      <c r="F124" s="23">
        <v>4</v>
      </c>
      <c r="G124" s="23">
        <v>3</v>
      </c>
      <c r="H124" s="23"/>
      <c r="I124" s="24" t="s">
        <v>111</v>
      </c>
      <c r="J124" s="24"/>
      <c r="K124" s="23"/>
      <c r="L124" s="23"/>
      <c r="M124" s="24"/>
      <c r="N124" s="24"/>
      <c r="O124" s="27" t="s">
        <v>313</v>
      </c>
      <c r="P124" s="27"/>
      <c r="Q124" s="27"/>
      <c r="R124" s="23"/>
      <c r="S124" s="25"/>
      <c r="T124" s="25"/>
      <c r="U124" s="25"/>
      <c r="V124" s="25"/>
      <c r="W124" s="25"/>
      <c r="X124" s="23" t="s">
        <v>197</v>
      </c>
      <c r="Y124" s="4" t="str">
        <f>IF(Tabela2[[#This Row],[SIGLA]]="","",VLOOKUP(Tabela2[[#This Row],[SIGLA]],Tabela14[[#All],[Sigla Arte]:[Crédito]],2,0))</f>
        <v>HELOÍSA PINTARELLI/ARQUIVO DA EDITORA</v>
      </c>
      <c r="Z124" s="24"/>
      <c r="AA124" s="24" t="str">
        <f>Tabela2[[#This Row],[ILUSTRADOR CRIAÇÃO]]</f>
        <v>HELOÍSA PINTARELLI/ARQUIVO DA EDITORA</v>
      </c>
      <c r="AB124" s="23"/>
      <c r="AC124" s="21"/>
      <c r="AD124" s="21"/>
      <c r="AE124" s="4" t="str">
        <f t="shared" si="1"/>
        <v>EF1 E001 Geo</v>
      </c>
    </row>
    <row r="125" spans="1:31" s="14" customFormat="1" ht="30" x14ac:dyDescent="0.25">
      <c r="A125" s="24" t="s">
        <v>314</v>
      </c>
      <c r="B125" s="21" t="s">
        <v>32</v>
      </c>
      <c r="C125" s="21" t="s">
        <v>110</v>
      </c>
      <c r="D125" s="21" t="s">
        <v>34</v>
      </c>
      <c r="E125" s="23">
        <v>109</v>
      </c>
      <c r="F125" s="23">
        <v>4</v>
      </c>
      <c r="G125" s="23">
        <v>3</v>
      </c>
      <c r="H125" s="23"/>
      <c r="I125" s="24" t="s">
        <v>111</v>
      </c>
      <c r="J125" s="24"/>
      <c r="K125" s="23"/>
      <c r="L125" s="23"/>
      <c r="M125" s="24"/>
      <c r="N125" s="24"/>
      <c r="O125" s="27" t="s">
        <v>315</v>
      </c>
      <c r="P125" s="27"/>
      <c r="Q125" s="27"/>
      <c r="R125" s="23"/>
      <c r="S125" s="25"/>
      <c r="T125" s="25"/>
      <c r="U125" s="25"/>
      <c r="V125" s="25"/>
      <c r="W125" s="25"/>
      <c r="X125" s="23" t="s">
        <v>197</v>
      </c>
      <c r="Y125" s="4" t="str">
        <f>IF(Tabela2[[#This Row],[SIGLA]]="","",VLOOKUP(Tabela2[[#This Row],[SIGLA]],Tabela14[[#All],[Sigla Arte]:[Crédito]],2,0))</f>
        <v>HELOÍSA PINTARELLI/ARQUIVO DA EDITORA</v>
      </c>
      <c r="Z125" s="24"/>
      <c r="AA125" s="24" t="str">
        <f>Tabela2[[#This Row],[ILUSTRADOR CRIAÇÃO]]</f>
        <v>HELOÍSA PINTARELLI/ARQUIVO DA EDITORA</v>
      </c>
      <c r="AB125" s="23"/>
      <c r="AC125" s="21"/>
      <c r="AD125" s="21"/>
      <c r="AE125" s="4" t="str">
        <f t="shared" si="1"/>
        <v>EF1 E001 Geo</v>
      </c>
    </row>
    <row r="126" spans="1:31" s="14" customFormat="1" ht="45" x14ac:dyDescent="0.25">
      <c r="A126" s="24" t="s">
        <v>316</v>
      </c>
      <c r="B126" s="21" t="s">
        <v>74</v>
      </c>
      <c r="C126" s="21" t="s">
        <v>110</v>
      </c>
      <c r="D126" s="21" t="s">
        <v>34</v>
      </c>
      <c r="E126" s="23">
        <v>109</v>
      </c>
      <c r="F126" s="23">
        <v>4</v>
      </c>
      <c r="G126" s="23">
        <v>3</v>
      </c>
      <c r="H126" s="23"/>
      <c r="I126" s="24" t="s">
        <v>111</v>
      </c>
      <c r="J126" s="24"/>
      <c r="K126" s="23"/>
      <c r="L126" s="23"/>
      <c r="M126" s="24"/>
      <c r="N126" s="24"/>
      <c r="O126" s="27" t="s">
        <v>317</v>
      </c>
      <c r="P126" s="27"/>
      <c r="Q126" s="27"/>
      <c r="R126" s="23"/>
      <c r="S126" s="25"/>
      <c r="T126" s="25"/>
      <c r="U126" s="25"/>
      <c r="V126" s="25"/>
      <c r="W126" s="25"/>
      <c r="X126" s="23" t="s">
        <v>197</v>
      </c>
      <c r="Y126" s="4" t="str">
        <f>IF(Tabela2[[#This Row],[SIGLA]]="","",VLOOKUP(Tabela2[[#This Row],[SIGLA]],Tabela14[[#All],[Sigla Arte]:[Crédito]],2,0))</f>
        <v>HELOÍSA PINTARELLI/ARQUIVO DA EDITORA</v>
      </c>
      <c r="Z126" s="24"/>
      <c r="AA126" s="24" t="str">
        <f>Tabela2[[#This Row],[ILUSTRADOR CRIAÇÃO]]</f>
        <v>HELOÍSA PINTARELLI/ARQUIVO DA EDITORA</v>
      </c>
      <c r="AB126" s="23"/>
      <c r="AC126" s="21"/>
      <c r="AD126" s="21"/>
      <c r="AE126" s="4" t="str">
        <f t="shared" si="1"/>
        <v>EF1 E001 Geo</v>
      </c>
    </row>
    <row r="127" spans="1:31" s="14" customFormat="1" ht="165" x14ac:dyDescent="0.25">
      <c r="A127" s="24" t="s">
        <v>318</v>
      </c>
      <c r="B127" s="21" t="s">
        <v>32</v>
      </c>
      <c r="C127" s="21" t="s">
        <v>110</v>
      </c>
      <c r="D127" s="21" t="s">
        <v>34</v>
      </c>
      <c r="E127" s="23">
        <v>126</v>
      </c>
      <c r="F127" s="23">
        <v>4</v>
      </c>
      <c r="G127" s="23">
        <v>4</v>
      </c>
      <c r="H127" s="23"/>
      <c r="I127" s="24" t="s">
        <v>35</v>
      </c>
      <c r="J127" s="24"/>
      <c r="K127" s="23"/>
      <c r="L127" s="23"/>
      <c r="M127" s="24"/>
      <c r="N127" s="24"/>
      <c r="O127" s="27" t="s">
        <v>319</v>
      </c>
      <c r="P127" s="27"/>
      <c r="Q127" s="27"/>
      <c r="R127" s="23">
        <v>4</v>
      </c>
      <c r="S127" s="25">
        <v>45707</v>
      </c>
      <c r="T127" s="25">
        <v>45716</v>
      </c>
      <c r="U127" s="25"/>
      <c r="V127" s="25"/>
      <c r="W127" s="25">
        <v>45728</v>
      </c>
      <c r="X127" s="23" t="s">
        <v>320</v>
      </c>
      <c r="Y127" s="4" t="str">
        <f>IF(Tabela2[[#This Row],[SIGLA]]="","",VLOOKUP(Tabela2[[#This Row],[SIGLA]],Tabela14[[#All],[Sigla Arte]:[Crédito]],2,0))</f>
        <v>HUGO ARAÚJO/ARQUIVO DA EDITORA</v>
      </c>
      <c r="Z127" s="24" t="s">
        <v>172</v>
      </c>
      <c r="AA127" s="24" t="str">
        <f>Tabela2[[#This Row],[ILUSTRADOR CRIAÇÃO]]</f>
        <v>HUGO ARAÚJO/ARQUIVO DA EDITORA</v>
      </c>
      <c r="AB127" s="23">
        <v>13</v>
      </c>
      <c r="AC127" s="21" t="s">
        <v>39</v>
      </c>
      <c r="AD127" s="21" t="s">
        <v>40</v>
      </c>
      <c r="AE127" s="4" t="str">
        <f t="shared" si="1"/>
        <v>EF1 E001 Geo</v>
      </c>
    </row>
    <row r="128" spans="1:31" s="14" customFormat="1" ht="120" x14ac:dyDescent="0.25">
      <c r="A128" s="24" t="s">
        <v>321</v>
      </c>
      <c r="B128" s="21" t="s">
        <v>32</v>
      </c>
      <c r="C128" s="21" t="s">
        <v>110</v>
      </c>
      <c r="D128" s="21" t="s">
        <v>34</v>
      </c>
      <c r="E128" s="23">
        <v>134</v>
      </c>
      <c r="F128" s="23">
        <v>4</v>
      </c>
      <c r="G128" s="23">
        <v>4</v>
      </c>
      <c r="H128" s="23"/>
      <c r="I128" s="24" t="s">
        <v>35</v>
      </c>
      <c r="J128" s="24"/>
      <c r="K128" s="23"/>
      <c r="L128" s="23"/>
      <c r="M128" s="24"/>
      <c r="N128" s="24"/>
      <c r="O128" s="27" t="s">
        <v>322</v>
      </c>
      <c r="P128" s="27"/>
      <c r="Q128" s="27"/>
      <c r="R128" s="23">
        <v>4</v>
      </c>
      <c r="S128" s="25">
        <v>45707</v>
      </c>
      <c r="T128" s="25">
        <v>45716</v>
      </c>
      <c r="U128" s="25"/>
      <c r="V128" s="25"/>
      <c r="W128" s="25">
        <v>45728</v>
      </c>
      <c r="X128" s="23" t="s">
        <v>320</v>
      </c>
      <c r="Y128" s="4" t="str">
        <f>IF(Tabela2[[#This Row],[SIGLA]]="","",VLOOKUP(Tabela2[[#This Row],[SIGLA]],Tabela14[[#All],[Sigla Arte]:[Crédito]],2,0))</f>
        <v>HUGO ARAÚJO/ARQUIVO DA EDITORA</v>
      </c>
      <c r="Z128" s="24" t="s">
        <v>172</v>
      </c>
      <c r="AA128" s="24" t="str">
        <f>Tabela2[[#This Row],[ILUSTRADOR CRIAÇÃO]]</f>
        <v>HUGO ARAÚJO/ARQUIVO DA EDITORA</v>
      </c>
      <c r="AB128" s="23">
        <v>14</v>
      </c>
      <c r="AC128" s="21" t="s">
        <v>39</v>
      </c>
      <c r="AD128" s="21" t="s">
        <v>40</v>
      </c>
      <c r="AE128" s="4" t="str">
        <f t="shared" si="1"/>
        <v>EF1 E001 Geo</v>
      </c>
    </row>
    <row r="129" spans="1:31" s="14" customFormat="1" ht="135" x14ac:dyDescent="0.25">
      <c r="A129" s="24" t="s">
        <v>323</v>
      </c>
      <c r="B129" s="21" t="s">
        <v>32</v>
      </c>
      <c r="C129" s="21" t="s">
        <v>110</v>
      </c>
      <c r="D129" s="21" t="s">
        <v>34</v>
      </c>
      <c r="E129" s="23">
        <v>140</v>
      </c>
      <c r="F129" s="23">
        <v>4</v>
      </c>
      <c r="G129" s="23">
        <v>4</v>
      </c>
      <c r="H129" s="23"/>
      <c r="I129" s="24" t="s">
        <v>35</v>
      </c>
      <c r="J129" s="24"/>
      <c r="K129" s="23"/>
      <c r="L129" s="23"/>
      <c r="M129" s="24"/>
      <c r="N129" s="24"/>
      <c r="O129" s="27" t="s">
        <v>324</v>
      </c>
      <c r="P129" s="27"/>
      <c r="Q129" s="27"/>
      <c r="R129" s="23">
        <v>4</v>
      </c>
      <c r="S129" s="25">
        <v>45707</v>
      </c>
      <c r="T129" s="25">
        <v>45716</v>
      </c>
      <c r="U129" s="25"/>
      <c r="V129" s="25"/>
      <c r="W129" s="25">
        <v>45728</v>
      </c>
      <c r="X129" s="23" t="s">
        <v>297</v>
      </c>
      <c r="Y129" s="4" t="str">
        <f>IF(Tabela2[[#This Row],[SIGLA]]="","",VLOOKUP(Tabela2[[#This Row],[SIGLA]],Tabela14[[#All],[Sigla Arte]:[Crédito]],2,0))</f>
        <v>VICTOR LEMOS/ARQUIVO DA EDITORA</v>
      </c>
      <c r="Z129" s="24" t="s">
        <v>172</v>
      </c>
      <c r="AA129" s="24" t="str">
        <f>Tabela2[[#This Row],[ILUSTRADOR CRIAÇÃO]]</f>
        <v>VICTOR LEMOS/ARQUIVO DA EDITORA</v>
      </c>
      <c r="AB129" s="23">
        <v>14</v>
      </c>
      <c r="AC129" s="21" t="s">
        <v>39</v>
      </c>
      <c r="AD129" s="21" t="s">
        <v>40</v>
      </c>
      <c r="AE129" s="4" t="str">
        <f t="shared" si="1"/>
        <v>EF1 E001 Geo</v>
      </c>
    </row>
    <row r="130" spans="1:31" s="14" customFormat="1" ht="45" x14ac:dyDescent="0.25">
      <c r="A130" s="24" t="s">
        <v>325</v>
      </c>
      <c r="B130" s="21" t="s">
        <v>32</v>
      </c>
      <c r="C130" s="21" t="s">
        <v>110</v>
      </c>
      <c r="D130" s="21" t="s">
        <v>34</v>
      </c>
      <c r="E130" s="23">
        <v>15</v>
      </c>
      <c r="F130" s="23">
        <v>5</v>
      </c>
      <c r="G130" s="23">
        <v>1</v>
      </c>
      <c r="H130" s="23"/>
      <c r="I130" s="24" t="s">
        <v>111</v>
      </c>
      <c r="J130" s="24"/>
      <c r="K130" s="23"/>
      <c r="L130" s="23"/>
      <c r="M130" s="24"/>
      <c r="N130" s="24"/>
      <c r="O130" s="27" t="s">
        <v>326</v>
      </c>
      <c r="P130" s="27"/>
      <c r="Q130" s="27"/>
      <c r="R130" s="23"/>
      <c r="S130" s="25"/>
      <c r="T130" s="25"/>
      <c r="U130" s="25"/>
      <c r="V130" s="25"/>
      <c r="W130" s="25"/>
      <c r="X130" s="23" t="s">
        <v>197</v>
      </c>
      <c r="Y130" s="4" t="str">
        <f>IF(Tabela2[[#This Row],[SIGLA]]="","",VLOOKUP(Tabela2[[#This Row],[SIGLA]],Tabela14[[#All],[Sigla Arte]:[Crédito]],2,0))</f>
        <v>HELOÍSA PINTARELLI/ARQUIVO DA EDITORA</v>
      </c>
      <c r="Z130" s="24"/>
      <c r="AA130" s="24" t="str">
        <f>Tabela2[[#This Row],[ILUSTRADOR CRIAÇÃO]]</f>
        <v>HELOÍSA PINTARELLI/ARQUIVO DA EDITORA</v>
      </c>
      <c r="AB130" s="23"/>
      <c r="AC130" s="21"/>
      <c r="AD130" s="21"/>
      <c r="AE130" s="4" t="str">
        <f t="shared" ref="AE130:AE193" si="2">"EF1 E001 Geo"</f>
        <v>EF1 E001 Geo</v>
      </c>
    </row>
    <row r="131" spans="1:31" s="14" customFormat="1" ht="45" x14ac:dyDescent="0.25">
      <c r="A131" s="24" t="s">
        <v>327</v>
      </c>
      <c r="B131" s="21" t="s">
        <v>32</v>
      </c>
      <c r="C131" s="21" t="s">
        <v>110</v>
      </c>
      <c r="D131" s="21" t="s">
        <v>34</v>
      </c>
      <c r="E131" s="23">
        <v>15</v>
      </c>
      <c r="F131" s="23">
        <v>5</v>
      </c>
      <c r="G131" s="23">
        <v>1</v>
      </c>
      <c r="H131" s="23"/>
      <c r="I131" s="24" t="s">
        <v>111</v>
      </c>
      <c r="J131" s="24"/>
      <c r="K131" s="23"/>
      <c r="L131" s="23"/>
      <c r="M131" s="24"/>
      <c r="N131" s="24"/>
      <c r="O131" s="27" t="s">
        <v>328</v>
      </c>
      <c r="P131" s="27"/>
      <c r="Q131" s="27"/>
      <c r="R131" s="23"/>
      <c r="S131" s="25"/>
      <c r="T131" s="25"/>
      <c r="U131" s="25"/>
      <c r="V131" s="25"/>
      <c r="W131" s="25"/>
      <c r="X131" s="23" t="s">
        <v>197</v>
      </c>
      <c r="Y131" s="4" t="str">
        <f>IF(Tabela2[[#This Row],[SIGLA]]="","",VLOOKUP(Tabela2[[#This Row],[SIGLA]],Tabela14[[#All],[Sigla Arte]:[Crédito]],2,0))</f>
        <v>HELOÍSA PINTARELLI/ARQUIVO DA EDITORA</v>
      </c>
      <c r="Z131" s="24"/>
      <c r="AA131" s="24" t="str">
        <f>Tabela2[[#This Row],[ILUSTRADOR CRIAÇÃO]]</f>
        <v>HELOÍSA PINTARELLI/ARQUIVO DA EDITORA</v>
      </c>
      <c r="AB131" s="23"/>
      <c r="AC131" s="21"/>
      <c r="AD131" s="21"/>
      <c r="AE131" s="4" t="str">
        <f t="shared" si="2"/>
        <v>EF1 E001 Geo</v>
      </c>
    </row>
    <row r="132" spans="1:31" s="14" customFormat="1" ht="60" x14ac:dyDescent="0.25">
      <c r="A132" s="24" t="s">
        <v>329</v>
      </c>
      <c r="B132" s="21" t="s">
        <v>32</v>
      </c>
      <c r="C132" s="21" t="s">
        <v>110</v>
      </c>
      <c r="D132" s="21" t="s">
        <v>34</v>
      </c>
      <c r="E132" s="23">
        <v>15</v>
      </c>
      <c r="F132" s="23">
        <v>5</v>
      </c>
      <c r="G132" s="23">
        <v>1</v>
      </c>
      <c r="H132" s="23"/>
      <c r="I132" s="24" t="s">
        <v>111</v>
      </c>
      <c r="J132" s="24"/>
      <c r="K132" s="23"/>
      <c r="L132" s="23"/>
      <c r="M132" s="24"/>
      <c r="N132" s="24"/>
      <c r="O132" s="27" t="s">
        <v>330</v>
      </c>
      <c r="P132" s="27"/>
      <c r="Q132" s="27"/>
      <c r="R132" s="23"/>
      <c r="S132" s="25"/>
      <c r="T132" s="25"/>
      <c r="U132" s="25"/>
      <c r="V132" s="25"/>
      <c r="W132" s="25"/>
      <c r="X132" s="23" t="s">
        <v>197</v>
      </c>
      <c r="Y132" s="4" t="str">
        <f>IF(Tabela2[[#This Row],[SIGLA]]="","",VLOOKUP(Tabela2[[#This Row],[SIGLA]],Tabela14[[#All],[Sigla Arte]:[Crédito]],2,0))</f>
        <v>HELOÍSA PINTARELLI/ARQUIVO DA EDITORA</v>
      </c>
      <c r="Z132" s="24"/>
      <c r="AA132" s="24" t="str">
        <f>Tabela2[[#This Row],[ILUSTRADOR CRIAÇÃO]]</f>
        <v>HELOÍSA PINTARELLI/ARQUIVO DA EDITORA</v>
      </c>
      <c r="AB132" s="23"/>
      <c r="AC132" s="21"/>
      <c r="AD132" s="21"/>
      <c r="AE132" s="4" t="str">
        <f t="shared" si="2"/>
        <v>EF1 E001 Geo</v>
      </c>
    </row>
    <row r="133" spans="1:31" s="14" customFormat="1" ht="45" x14ac:dyDescent="0.25">
      <c r="A133" s="24" t="s">
        <v>331</v>
      </c>
      <c r="B133" s="21" t="s">
        <v>32</v>
      </c>
      <c r="C133" s="21" t="s">
        <v>110</v>
      </c>
      <c r="D133" s="21" t="s">
        <v>34</v>
      </c>
      <c r="E133" s="23">
        <v>15</v>
      </c>
      <c r="F133" s="23">
        <v>5</v>
      </c>
      <c r="G133" s="23">
        <v>1</v>
      </c>
      <c r="H133" s="23"/>
      <c r="I133" s="24" t="s">
        <v>111</v>
      </c>
      <c r="J133" s="24"/>
      <c r="K133" s="23"/>
      <c r="L133" s="23"/>
      <c r="M133" s="24"/>
      <c r="N133" s="24"/>
      <c r="O133" s="27" t="s">
        <v>332</v>
      </c>
      <c r="P133" s="27"/>
      <c r="Q133" s="27"/>
      <c r="R133" s="23"/>
      <c r="S133" s="25"/>
      <c r="T133" s="25"/>
      <c r="U133" s="25"/>
      <c r="V133" s="25"/>
      <c r="W133" s="25"/>
      <c r="X133" s="23" t="s">
        <v>197</v>
      </c>
      <c r="Y133" s="4" t="str">
        <f>IF(Tabela2[[#This Row],[SIGLA]]="","",VLOOKUP(Tabela2[[#This Row],[SIGLA]],Tabela14[[#All],[Sigla Arte]:[Crédito]],2,0))</f>
        <v>HELOÍSA PINTARELLI/ARQUIVO DA EDITORA</v>
      </c>
      <c r="Z133" s="24"/>
      <c r="AA133" s="24" t="str">
        <f>Tabela2[[#This Row],[ILUSTRADOR CRIAÇÃO]]</f>
        <v>HELOÍSA PINTARELLI/ARQUIVO DA EDITORA</v>
      </c>
      <c r="AB133" s="23"/>
      <c r="AC133" s="21"/>
      <c r="AD133" s="21"/>
      <c r="AE133" s="4" t="str">
        <f t="shared" si="2"/>
        <v>EF1 E001 Geo</v>
      </c>
    </row>
    <row r="134" spans="1:31" s="14" customFormat="1" ht="45" x14ac:dyDescent="0.25">
      <c r="A134" s="24" t="s">
        <v>333</v>
      </c>
      <c r="B134" s="21" t="s">
        <v>32</v>
      </c>
      <c r="C134" s="21" t="s">
        <v>110</v>
      </c>
      <c r="D134" s="21" t="s">
        <v>34</v>
      </c>
      <c r="E134" s="23">
        <v>17</v>
      </c>
      <c r="F134" s="23">
        <v>5</v>
      </c>
      <c r="G134" s="23">
        <v>1</v>
      </c>
      <c r="H134" s="23"/>
      <c r="I134" s="24" t="s">
        <v>111</v>
      </c>
      <c r="J134" s="24"/>
      <c r="K134" s="23"/>
      <c r="L134" s="23"/>
      <c r="M134" s="24"/>
      <c r="N134" s="24"/>
      <c r="O134" s="27" t="s">
        <v>334</v>
      </c>
      <c r="P134" s="27"/>
      <c r="Q134" s="27"/>
      <c r="R134" s="23"/>
      <c r="S134" s="25"/>
      <c r="T134" s="25">
        <v>45853</v>
      </c>
      <c r="U134" s="25"/>
      <c r="V134" s="25"/>
      <c r="W134" s="25">
        <v>45854</v>
      </c>
      <c r="X134" s="23" t="s">
        <v>283</v>
      </c>
      <c r="Y134" s="4" t="str">
        <f>IF(Tabela2[[#This Row],[SIGLA]]="","",VLOOKUP(Tabela2[[#This Row],[SIGLA]],Tabela14[[#All],[Sigla Arte]:[Crédito]],2,0))</f>
        <v>REINALDO ROSA/ARQUIVO DA EDITORA</v>
      </c>
      <c r="Z134" s="24" t="s">
        <v>128</v>
      </c>
      <c r="AA134" s="24" t="str">
        <f>Tabela2[[#This Row],[ILUSTRADOR CRIAÇÃO]]</f>
        <v>REINALDO ROSA/ARQUIVO DA EDITORA</v>
      </c>
      <c r="AB134" s="23">
        <v>13</v>
      </c>
      <c r="AC134" s="21" t="s">
        <v>177</v>
      </c>
      <c r="AD134" s="21" t="s">
        <v>40</v>
      </c>
      <c r="AE134" s="4" t="str">
        <f t="shared" si="2"/>
        <v>EF1 E001 Geo</v>
      </c>
    </row>
    <row r="135" spans="1:31" s="14" customFormat="1" ht="60" x14ac:dyDescent="0.25">
      <c r="A135" s="24" t="s">
        <v>335</v>
      </c>
      <c r="B135" s="21" t="s">
        <v>32</v>
      </c>
      <c r="C135" s="21" t="s">
        <v>110</v>
      </c>
      <c r="D135" s="21" t="s">
        <v>34</v>
      </c>
      <c r="E135" s="23">
        <v>19</v>
      </c>
      <c r="F135" s="23">
        <v>5</v>
      </c>
      <c r="G135" s="23">
        <v>1</v>
      </c>
      <c r="H135" s="23"/>
      <c r="I135" s="24" t="s">
        <v>111</v>
      </c>
      <c r="J135" s="24"/>
      <c r="K135" s="23"/>
      <c r="L135" s="23"/>
      <c r="M135" s="24"/>
      <c r="N135" s="24"/>
      <c r="O135" s="27" t="s">
        <v>336</v>
      </c>
      <c r="P135" s="27"/>
      <c r="Q135" s="27"/>
      <c r="R135" s="23"/>
      <c r="S135" s="25"/>
      <c r="T135" s="25"/>
      <c r="U135" s="25"/>
      <c r="V135" s="25"/>
      <c r="W135" s="25"/>
      <c r="X135" s="23" t="s">
        <v>97</v>
      </c>
      <c r="Y135" s="4" t="str">
        <f>IF(Tabela2[[#This Row],[SIGLA]]="","",VLOOKUP(Tabela2[[#This Row],[SIGLA]],Tabela14[[#All],[Sigla Arte]:[Crédito]],2,0))</f>
        <v>CAIO TANAKA/ARQUIVO DA EDITORA</v>
      </c>
      <c r="Z135" s="24"/>
      <c r="AA135" s="24" t="str">
        <f>Tabela2[[#This Row],[ILUSTRADOR CRIAÇÃO]]</f>
        <v>CAIO TANAKA/ARQUIVO DA EDITORA</v>
      </c>
      <c r="AB135" s="23"/>
      <c r="AC135" s="21"/>
      <c r="AD135" s="21"/>
      <c r="AE135" s="4" t="str">
        <f t="shared" si="2"/>
        <v>EF1 E001 Geo</v>
      </c>
    </row>
    <row r="136" spans="1:31" s="14" customFormat="1" ht="45" x14ac:dyDescent="0.25">
      <c r="A136" s="24" t="s">
        <v>337</v>
      </c>
      <c r="B136" s="21" t="s">
        <v>32</v>
      </c>
      <c r="C136" s="21" t="s">
        <v>110</v>
      </c>
      <c r="D136" s="21" t="s">
        <v>34</v>
      </c>
      <c r="E136" s="23">
        <v>23</v>
      </c>
      <c r="F136" s="23">
        <v>5</v>
      </c>
      <c r="G136" s="23">
        <v>1</v>
      </c>
      <c r="H136" s="23"/>
      <c r="I136" s="24" t="s">
        <v>111</v>
      </c>
      <c r="J136" s="24"/>
      <c r="K136" s="23"/>
      <c r="L136" s="23"/>
      <c r="M136" s="24"/>
      <c r="N136" s="24"/>
      <c r="O136" s="27" t="s">
        <v>338</v>
      </c>
      <c r="P136" s="27"/>
      <c r="Q136" s="27"/>
      <c r="R136" s="23"/>
      <c r="S136" s="25"/>
      <c r="T136" s="25"/>
      <c r="U136" s="25"/>
      <c r="V136" s="25"/>
      <c r="W136" s="25"/>
      <c r="X136" s="23" t="s">
        <v>113</v>
      </c>
      <c r="Y136" s="4" t="str">
        <f>IF(Tabela2[[#This Row],[SIGLA]]="","",VLOOKUP(Tabela2[[#This Row],[SIGLA]],Tabela14[[#All],[Sigla Arte]:[Crédito]],2,0))</f>
        <v>DANILO SANTOS/ARQUIVO DA EDITORA</v>
      </c>
      <c r="Z136" s="24"/>
      <c r="AA136" s="24" t="str">
        <f>Tabela2[[#This Row],[ILUSTRADOR CRIAÇÃO]]</f>
        <v>DANILO SANTOS/ARQUIVO DA EDITORA</v>
      </c>
      <c r="AB136" s="23"/>
      <c r="AC136" s="21"/>
      <c r="AD136" s="21"/>
      <c r="AE136" s="4" t="str">
        <f t="shared" si="2"/>
        <v>EF1 E001 Geo</v>
      </c>
    </row>
    <row r="137" spans="1:31" s="14" customFormat="1" ht="45" x14ac:dyDescent="0.25">
      <c r="A137" s="24" t="s">
        <v>339</v>
      </c>
      <c r="B137" s="21" t="s">
        <v>32</v>
      </c>
      <c r="C137" s="21" t="s">
        <v>110</v>
      </c>
      <c r="D137" s="21" t="s">
        <v>34</v>
      </c>
      <c r="E137" s="23">
        <v>25</v>
      </c>
      <c r="F137" s="23">
        <v>5</v>
      </c>
      <c r="G137" s="23">
        <v>1</v>
      </c>
      <c r="H137" s="23"/>
      <c r="I137" s="24" t="s">
        <v>111</v>
      </c>
      <c r="J137" s="24"/>
      <c r="K137" s="23"/>
      <c r="L137" s="23"/>
      <c r="M137" s="24"/>
      <c r="N137" s="24"/>
      <c r="O137" s="27" t="s">
        <v>340</v>
      </c>
      <c r="P137" s="27"/>
      <c r="Q137" s="27"/>
      <c r="R137" s="23"/>
      <c r="S137" s="25"/>
      <c r="T137" s="25"/>
      <c r="U137" s="25"/>
      <c r="V137" s="25"/>
      <c r="W137" s="25"/>
      <c r="X137" s="23" t="s">
        <v>197</v>
      </c>
      <c r="Y137" s="4" t="str">
        <f>IF(Tabela2[[#This Row],[SIGLA]]="","",VLOOKUP(Tabela2[[#This Row],[SIGLA]],Tabela14[[#All],[Sigla Arte]:[Crédito]],2,0))</f>
        <v>HELOÍSA PINTARELLI/ARQUIVO DA EDITORA</v>
      </c>
      <c r="Z137" s="24"/>
      <c r="AA137" s="24" t="str">
        <f>Tabela2[[#This Row],[ILUSTRADOR CRIAÇÃO]]</f>
        <v>HELOÍSA PINTARELLI/ARQUIVO DA EDITORA</v>
      </c>
      <c r="AB137" s="23"/>
      <c r="AC137" s="21"/>
      <c r="AD137" s="21"/>
      <c r="AE137" s="4" t="str">
        <f t="shared" si="2"/>
        <v>EF1 E001 Geo</v>
      </c>
    </row>
    <row r="138" spans="1:31" s="14" customFormat="1" ht="45" x14ac:dyDescent="0.25">
      <c r="A138" s="24" t="s">
        <v>341</v>
      </c>
      <c r="B138" s="21" t="s">
        <v>32</v>
      </c>
      <c r="C138" s="21" t="s">
        <v>110</v>
      </c>
      <c r="D138" s="21" t="s">
        <v>34</v>
      </c>
      <c r="E138" s="23">
        <v>25</v>
      </c>
      <c r="F138" s="23">
        <v>5</v>
      </c>
      <c r="G138" s="23">
        <v>1</v>
      </c>
      <c r="H138" s="23"/>
      <c r="I138" s="24" t="s">
        <v>111</v>
      </c>
      <c r="J138" s="24"/>
      <c r="K138" s="23"/>
      <c r="L138" s="23"/>
      <c r="M138" s="24"/>
      <c r="N138" s="24"/>
      <c r="O138" s="27" t="s">
        <v>342</v>
      </c>
      <c r="P138" s="27"/>
      <c r="Q138" s="27"/>
      <c r="R138" s="23"/>
      <c r="S138" s="25"/>
      <c r="T138" s="25"/>
      <c r="U138" s="25"/>
      <c r="V138" s="25"/>
      <c r="W138" s="25"/>
      <c r="X138" s="23" t="s">
        <v>197</v>
      </c>
      <c r="Y138" s="4" t="str">
        <f>IF(Tabela2[[#This Row],[SIGLA]]="","",VLOOKUP(Tabela2[[#This Row],[SIGLA]],Tabela14[[#All],[Sigla Arte]:[Crédito]],2,0))</f>
        <v>HELOÍSA PINTARELLI/ARQUIVO DA EDITORA</v>
      </c>
      <c r="Z138" s="24"/>
      <c r="AA138" s="24" t="str">
        <f>Tabela2[[#This Row],[ILUSTRADOR CRIAÇÃO]]</f>
        <v>HELOÍSA PINTARELLI/ARQUIVO DA EDITORA</v>
      </c>
      <c r="AB138" s="23"/>
      <c r="AC138" s="21"/>
      <c r="AD138" s="21"/>
      <c r="AE138" s="4" t="str">
        <f t="shared" si="2"/>
        <v>EF1 E001 Geo</v>
      </c>
    </row>
    <row r="139" spans="1:31" s="14" customFormat="1" ht="45" x14ac:dyDescent="0.25">
      <c r="A139" s="24" t="s">
        <v>343</v>
      </c>
      <c r="B139" s="21" t="s">
        <v>32</v>
      </c>
      <c r="C139" s="21" t="s">
        <v>110</v>
      </c>
      <c r="D139" s="21" t="s">
        <v>34</v>
      </c>
      <c r="E139" s="23">
        <v>25</v>
      </c>
      <c r="F139" s="23">
        <v>5</v>
      </c>
      <c r="G139" s="23">
        <v>1</v>
      </c>
      <c r="H139" s="23"/>
      <c r="I139" s="24" t="s">
        <v>111</v>
      </c>
      <c r="J139" s="24"/>
      <c r="K139" s="23"/>
      <c r="L139" s="23"/>
      <c r="M139" s="24"/>
      <c r="N139" s="24"/>
      <c r="O139" s="27" t="s">
        <v>344</v>
      </c>
      <c r="P139" s="27"/>
      <c r="Q139" s="27"/>
      <c r="R139" s="23"/>
      <c r="S139" s="25"/>
      <c r="T139" s="25"/>
      <c r="U139" s="25"/>
      <c r="V139" s="25"/>
      <c r="W139" s="25"/>
      <c r="X139" s="23" t="s">
        <v>197</v>
      </c>
      <c r="Y139" s="4" t="str">
        <f>IF(Tabela2[[#This Row],[SIGLA]]="","",VLOOKUP(Tabela2[[#This Row],[SIGLA]],Tabela14[[#All],[Sigla Arte]:[Crédito]],2,0))</f>
        <v>HELOÍSA PINTARELLI/ARQUIVO DA EDITORA</v>
      </c>
      <c r="Z139" s="24"/>
      <c r="AA139" s="24" t="str">
        <f>Tabela2[[#This Row],[ILUSTRADOR CRIAÇÃO]]</f>
        <v>HELOÍSA PINTARELLI/ARQUIVO DA EDITORA</v>
      </c>
      <c r="AB139" s="23"/>
      <c r="AC139" s="21"/>
      <c r="AD139" s="21"/>
      <c r="AE139" s="4" t="str">
        <f t="shared" si="2"/>
        <v>EF1 E001 Geo</v>
      </c>
    </row>
    <row r="140" spans="1:31" s="14" customFormat="1" ht="30" x14ac:dyDescent="0.25">
      <c r="A140" s="24" t="s">
        <v>345</v>
      </c>
      <c r="B140" s="21" t="s">
        <v>32</v>
      </c>
      <c r="C140" s="21" t="s">
        <v>110</v>
      </c>
      <c r="D140" s="21" t="s">
        <v>34</v>
      </c>
      <c r="E140" s="23">
        <v>25</v>
      </c>
      <c r="F140" s="23">
        <v>5</v>
      </c>
      <c r="G140" s="23">
        <v>1</v>
      </c>
      <c r="H140" s="23"/>
      <c r="I140" s="24" t="s">
        <v>111</v>
      </c>
      <c r="J140" s="24"/>
      <c r="K140" s="23"/>
      <c r="L140" s="23"/>
      <c r="M140" s="24"/>
      <c r="N140" s="24"/>
      <c r="O140" s="27" t="s">
        <v>346</v>
      </c>
      <c r="P140" s="27"/>
      <c r="Q140" s="27"/>
      <c r="R140" s="23"/>
      <c r="S140" s="25"/>
      <c r="T140" s="25"/>
      <c r="U140" s="25"/>
      <c r="V140" s="25"/>
      <c r="W140" s="25"/>
      <c r="X140" s="23" t="s">
        <v>197</v>
      </c>
      <c r="Y140" s="4" t="str">
        <f>IF(Tabela2[[#This Row],[SIGLA]]="","",VLOOKUP(Tabela2[[#This Row],[SIGLA]],Tabela14[[#All],[Sigla Arte]:[Crédito]],2,0))</f>
        <v>HELOÍSA PINTARELLI/ARQUIVO DA EDITORA</v>
      </c>
      <c r="Z140" s="24"/>
      <c r="AA140" s="24" t="str">
        <f>Tabela2[[#This Row],[ILUSTRADOR CRIAÇÃO]]</f>
        <v>HELOÍSA PINTARELLI/ARQUIVO DA EDITORA</v>
      </c>
      <c r="AB140" s="23"/>
      <c r="AC140" s="21"/>
      <c r="AD140" s="21"/>
      <c r="AE140" s="4" t="str">
        <f t="shared" si="2"/>
        <v>EF1 E001 Geo</v>
      </c>
    </row>
    <row r="141" spans="1:31" s="14" customFormat="1" ht="45" x14ac:dyDescent="0.25">
      <c r="A141" s="24" t="s">
        <v>347</v>
      </c>
      <c r="B141" s="21" t="s">
        <v>32</v>
      </c>
      <c r="C141" s="21" t="s">
        <v>110</v>
      </c>
      <c r="D141" s="21" t="s">
        <v>34</v>
      </c>
      <c r="E141" s="23">
        <v>25</v>
      </c>
      <c r="F141" s="23">
        <v>5</v>
      </c>
      <c r="G141" s="23">
        <v>1</v>
      </c>
      <c r="H141" s="23"/>
      <c r="I141" s="24" t="s">
        <v>111</v>
      </c>
      <c r="J141" s="24"/>
      <c r="K141" s="23"/>
      <c r="L141" s="23"/>
      <c r="M141" s="24"/>
      <c r="N141" s="24"/>
      <c r="O141" s="27" t="s">
        <v>348</v>
      </c>
      <c r="P141" s="27"/>
      <c r="Q141" s="27"/>
      <c r="R141" s="23"/>
      <c r="S141" s="25"/>
      <c r="T141" s="25"/>
      <c r="U141" s="25"/>
      <c r="V141" s="25"/>
      <c r="W141" s="25"/>
      <c r="X141" s="23" t="s">
        <v>197</v>
      </c>
      <c r="Y141" s="4" t="str">
        <f>IF(Tabela2[[#This Row],[SIGLA]]="","",VLOOKUP(Tabela2[[#This Row],[SIGLA]],Tabela14[[#All],[Sigla Arte]:[Crédito]],2,0))</f>
        <v>HELOÍSA PINTARELLI/ARQUIVO DA EDITORA</v>
      </c>
      <c r="Z141" s="24"/>
      <c r="AA141" s="24" t="str">
        <f>Tabela2[[#This Row],[ILUSTRADOR CRIAÇÃO]]</f>
        <v>HELOÍSA PINTARELLI/ARQUIVO DA EDITORA</v>
      </c>
      <c r="AB141" s="23"/>
      <c r="AC141" s="21"/>
      <c r="AD141" s="21"/>
      <c r="AE141" s="4" t="str">
        <f t="shared" si="2"/>
        <v>EF1 E001 Geo</v>
      </c>
    </row>
    <row r="142" spans="1:31" s="14" customFormat="1" ht="45" x14ac:dyDescent="0.25">
      <c r="A142" s="24" t="s">
        <v>349</v>
      </c>
      <c r="B142" s="21" t="s">
        <v>32</v>
      </c>
      <c r="C142" s="21" t="s">
        <v>110</v>
      </c>
      <c r="D142" s="21" t="s">
        <v>34</v>
      </c>
      <c r="E142" s="23">
        <v>25</v>
      </c>
      <c r="F142" s="23">
        <v>5</v>
      </c>
      <c r="G142" s="23">
        <v>1</v>
      </c>
      <c r="H142" s="23"/>
      <c r="I142" s="24" t="s">
        <v>111</v>
      </c>
      <c r="J142" s="24"/>
      <c r="K142" s="23"/>
      <c r="L142" s="23"/>
      <c r="M142" s="24"/>
      <c r="N142" s="24"/>
      <c r="O142" s="27" t="s">
        <v>350</v>
      </c>
      <c r="P142" s="27"/>
      <c r="Q142" s="27"/>
      <c r="R142" s="23"/>
      <c r="S142" s="25"/>
      <c r="T142" s="25"/>
      <c r="U142" s="25"/>
      <c r="V142" s="25"/>
      <c r="W142" s="25"/>
      <c r="X142" s="23" t="s">
        <v>197</v>
      </c>
      <c r="Y142" s="4" t="str">
        <f>IF(Tabela2[[#This Row],[SIGLA]]="","",VLOOKUP(Tabela2[[#This Row],[SIGLA]],Tabela14[[#All],[Sigla Arte]:[Crédito]],2,0))</f>
        <v>HELOÍSA PINTARELLI/ARQUIVO DA EDITORA</v>
      </c>
      <c r="Z142" s="24"/>
      <c r="AA142" s="24" t="str">
        <f>Tabela2[[#This Row],[ILUSTRADOR CRIAÇÃO]]</f>
        <v>HELOÍSA PINTARELLI/ARQUIVO DA EDITORA</v>
      </c>
      <c r="AB142" s="23"/>
      <c r="AC142" s="21"/>
      <c r="AD142" s="21"/>
      <c r="AE142" s="4" t="str">
        <f t="shared" si="2"/>
        <v>EF1 E001 Geo</v>
      </c>
    </row>
    <row r="143" spans="1:31" s="14" customFormat="1" ht="45" x14ac:dyDescent="0.25">
      <c r="A143" s="24" t="s">
        <v>351</v>
      </c>
      <c r="B143" s="21" t="s">
        <v>32</v>
      </c>
      <c r="C143" s="21" t="s">
        <v>110</v>
      </c>
      <c r="D143" s="21" t="s">
        <v>34</v>
      </c>
      <c r="E143" s="23">
        <v>25</v>
      </c>
      <c r="F143" s="23">
        <v>5</v>
      </c>
      <c r="G143" s="23">
        <v>1</v>
      </c>
      <c r="H143" s="23"/>
      <c r="I143" s="24" t="s">
        <v>111</v>
      </c>
      <c r="J143" s="24"/>
      <c r="K143" s="23"/>
      <c r="L143" s="23"/>
      <c r="M143" s="24"/>
      <c r="N143" s="24"/>
      <c r="O143" s="27" t="s">
        <v>352</v>
      </c>
      <c r="P143" s="27"/>
      <c r="Q143" s="27"/>
      <c r="R143" s="23"/>
      <c r="S143" s="25"/>
      <c r="T143" s="25"/>
      <c r="U143" s="25"/>
      <c r="V143" s="25"/>
      <c r="W143" s="25"/>
      <c r="X143" s="23" t="s">
        <v>197</v>
      </c>
      <c r="Y143" s="4" t="str">
        <f>IF(Tabela2[[#This Row],[SIGLA]]="","",VLOOKUP(Tabela2[[#This Row],[SIGLA]],Tabela14[[#All],[Sigla Arte]:[Crédito]],2,0))</f>
        <v>HELOÍSA PINTARELLI/ARQUIVO DA EDITORA</v>
      </c>
      <c r="Z143" s="24"/>
      <c r="AA143" s="24" t="str">
        <f>Tabela2[[#This Row],[ILUSTRADOR CRIAÇÃO]]</f>
        <v>HELOÍSA PINTARELLI/ARQUIVO DA EDITORA</v>
      </c>
      <c r="AB143" s="23"/>
      <c r="AC143" s="21"/>
      <c r="AD143" s="21"/>
      <c r="AE143" s="4" t="str">
        <f t="shared" si="2"/>
        <v>EF1 E001 Geo</v>
      </c>
    </row>
    <row r="144" spans="1:31" s="14" customFormat="1" ht="45" x14ac:dyDescent="0.25">
      <c r="A144" s="24" t="s">
        <v>353</v>
      </c>
      <c r="B144" s="21" t="s">
        <v>32</v>
      </c>
      <c r="C144" s="21" t="s">
        <v>110</v>
      </c>
      <c r="D144" s="21" t="s">
        <v>34</v>
      </c>
      <c r="E144" s="23">
        <v>25</v>
      </c>
      <c r="F144" s="23">
        <v>5</v>
      </c>
      <c r="G144" s="23">
        <v>1</v>
      </c>
      <c r="H144" s="23"/>
      <c r="I144" s="24" t="s">
        <v>111</v>
      </c>
      <c r="J144" s="24"/>
      <c r="K144" s="23"/>
      <c r="L144" s="23"/>
      <c r="M144" s="24"/>
      <c r="N144" s="24"/>
      <c r="O144" s="27" t="s">
        <v>354</v>
      </c>
      <c r="P144" s="27"/>
      <c r="Q144" s="27"/>
      <c r="R144" s="23"/>
      <c r="S144" s="25"/>
      <c r="T144" s="25"/>
      <c r="U144" s="25"/>
      <c r="V144" s="25"/>
      <c r="W144" s="25"/>
      <c r="X144" s="23" t="s">
        <v>197</v>
      </c>
      <c r="Y144" s="4" t="str">
        <f>IF(Tabela2[[#This Row],[SIGLA]]="","",VLOOKUP(Tabela2[[#This Row],[SIGLA]],Tabela14[[#All],[Sigla Arte]:[Crédito]],2,0))</f>
        <v>HELOÍSA PINTARELLI/ARQUIVO DA EDITORA</v>
      </c>
      <c r="Z144" s="24"/>
      <c r="AA144" s="24" t="str">
        <f>Tabela2[[#This Row],[ILUSTRADOR CRIAÇÃO]]</f>
        <v>HELOÍSA PINTARELLI/ARQUIVO DA EDITORA</v>
      </c>
      <c r="AB144" s="23"/>
      <c r="AC144" s="21"/>
      <c r="AD144" s="21"/>
      <c r="AE144" s="4" t="str">
        <f t="shared" si="2"/>
        <v>EF1 E001 Geo</v>
      </c>
    </row>
    <row r="145" spans="1:31" s="14" customFormat="1" ht="30" x14ac:dyDescent="0.25">
      <c r="A145" s="24" t="s">
        <v>355</v>
      </c>
      <c r="B145" s="21" t="s">
        <v>32</v>
      </c>
      <c r="C145" s="21" t="s">
        <v>110</v>
      </c>
      <c r="D145" s="21" t="s">
        <v>34</v>
      </c>
      <c r="E145" s="23">
        <v>25</v>
      </c>
      <c r="F145" s="23">
        <v>5</v>
      </c>
      <c r="G145" s="23">
        <v>1</v>
      </c>
      <c r="H145" s="23"/>
      <c r="I145" s="24" t="s">
        <v>111</v>
      </c>
      <c r="J145" s="24"/>
      <c r="K145" s="23"/>
      <c r="L145" s="23"/>
      <c r="M145" s="24"/>
      <c r="N145" s="24"/>
      <c r="O145" s="27" t="s">
        <v>356</v>
      </c>
      <c r="P145" s="27"/>
      <c r="Q145" s="27"/>
      <c r="R145" s="23"/>
      <c r="S145" s="25"/>
      <c r="T145" s="25"/>
      <c r="U145" s="25"/>
      <c r="V145" s="25"/>
      <c r="W145" s="25"/>
      <c r="X145" s="23" t="s">
        <v>197</v>
      </c>
      <c r="Y145" s="4" t="str">
        <f>IF(Tabela2[[#This Row],[SIGLA]]="","",VLOOKUP(Tabela2[[#This Row],[SIGLA]],Tabela14[[#All],[Sigla Arte]:[Crédito]],2,0))</f>
        <v>HELOÍSA PINTARELLI/ARQUIVO DA EDITORA</v>
      </c>
      <c r="Z145" s="24"/>
      <c r="AA145" s="24" t="str">
        <f>Tabela2[[#This Row],[ILUSTRADOR CRIAÇÃO]]</f>
        <v>HELOÍSA PINTARELLI/ARQUIVO DA EDITORA</v>
      </c>
      <c r="AB145" s="23"/>
      <c r="AC145" s="21"/>
      <c r="AD145" s="21"/>
      <c r="AE145" s="4" t="str">
        <f t="shared" si="2"/>
        <v>EF1 E001 Geo</v>
      </c>
    </row>
    <row r="146" spans="1:31" s="14" customFormat="1" ht="60" x14ac:dyDescent="0.25">
      <c r="A146" s="24" t="s">
        <v>357</v>
      </c>
      <c r="B146" s="21" t="s">
        <v>32</v>
      </c>
      <c r="C146" s="21" t="s">
        <v>110</v>
      </c>
      <c r="D146" s="21" t="s">
        <v>34</v>
      </c>
      <c r="E146" s="23">
        <v>26</v>
      </c>
      <c r="F146" s="23">
        <v>5</v>
      </c>
      <c r="G146" s="23">
        <v>1</v>
      </c>
      <c r="H146" s="23"/>
      <c r="I146" s="24" t="s">
        <v>111</v>
      </c>
      <c r="J146" s="24"/>
      <c r="K146" s="23"/>
      <c r="L146" s="23"/>
      <c r="M146" s="24"/>
      <c r="N146" s="24"/>
      <c r="O146" s="27" t="s">
        <v>358</v>
      </c>
      <c r="P146" s="27"/>
      <c r="Q146" s="27"/>
      <c r="R146" s="23"/>
      <c r="S146" s="25"/>
      <c r="T146" s="25"/>
      <c r="U146" s="25"/>
      <c r="V146" s="25"/>
      <c r="W146" s="25"/>
      <c r="X146" s="23" t="s">
        <v>359</v>
      </c>
      <c r="Y146" s="4" t="str">
        <f>IF(Tabela2[[#This Row],[SIGLA]]="","",VLOOKUP(Tabela2[[#This Row],[SIGLA]],Tabela14[[#All],[Sigla Arte]:[Crédito]],2,0))</f>
        <v>DEIVY LIMA COSTA/ARQUIVO DA EDITORA</v>
      </c>
      <c r="Z146" s="24"/>
      <c r="AA146" s="24" t="str">
        <f>Tabela2[[#This Row],[ILUSTRADOR CRIAÇÃO]]</f>
        <v>DEIVY LIMA COSTA/ARQUIVO DA EDITORA</v>
      </c>
      <c r="AB146" s="23"/>
      <c r="AC146" s="21"/>
      <c r="AD146" s="21"/>
      <c r="AE146" s="4" t="str">
        <f t="shared" si="2"/>
        <v>EF1 E001 Geo</v>
      </c>
    </row>
    <row r="147" spans="1:31" s="14" customFormat="1" ht="105" x14ac:dyDescent="0.25">
      <c r="A147" s="24" t="s">
        <v>360</v>
      </c>
      <c r="B147" s="21" t="s">
        <v>32</v>
      </c>
      <c r="C147" s="21" t="s">
        <v>110</v>
      </c>
      <c r="D147" s="21" t="s">
        <v>34</v>
      </c>
      <c r="E147" s="23">
        <v>30</v>
      </c>
      <c r="F147" s="23">
        <v>5</v>
      </c>
      <c r="G147" s="23">
        <v>1</v>
      </c>
      <c r="H147" s="23"/>
      <c r="I147" s="24" t="s">
        <v>35</v>
      </c>
      <c r="J147" s="24"/>
      <c r="K147" s="23"/>
      <c r="L147" s="23"/>
      <c r="M147" s="24"/>
      <c r="N147" s="24"/>
      <c r="O147" s="27" t="s">
        <v>361</v>
      </c>
      <c r="P147" s="27"/>
      <c r="Q147" s="27"/>
      <c r="R147" s="23">
        <v>5</v>
      </c>
      <c r="S147" s="25">
        <v>45727</v>
      </c>
      <c r="T147" s="25">
        <v>45727</v>
      </c>
      <c r="U147" s="25"/>
      <c r="V147" s="25"/>
      <c r="W147" s="25">
        <v>45728</v>
      </c>
      <c r="X147" s="23" t="s">
        <v>297</v>
      </c>
      <c r="Y147" s="4" t="str">
        <f>IF(Tabela2[[#This Row],[SIGLA]]="","",VLOOKUP(Tabela2[[#This Row],[SIGLA]],Tabela14[[#All],[Sigla Arte]:[Crédito]],2,0))</f>
        <v>VICTOR LEMOS/ARQUIVO DA EDITORA</v>
      </c>
      <c r="Z147" s="24" t="s">
        <v>362</v>
      </c>
      <c r="AA147" s="24" t="str">
        <f>Tabela2[[#This Row],[ILUSTRADOR CRIAÇÃO]]</f>
        <v>VICTOR LEMOS/ARQUIVO DA EDITORA</v>
      </c>
      <c r="AB147" s="23">
        <v>13</v>
      </c>
      <c r="AC147" s="21"/>
      <c r="AD147" s="21" t="s">
        <v>40</v>
      </c>
      <c r="AE147" s="4" t="str">
        <f t="shared" si="2"/>
        <v>EF1 E001 Geo</v>
      </c>
    </row>
    <row r="148" spans="1:31" s="14" customFormat="1" ht="75" x14ac:dyDescent="0.25">
      <c r="A148" s="24" t="s">
        <v>363</v>
      </c>
      <c r="B148" s="21" t="s">
        <v>32</v>
      </c>
      <c r="C148" s="21" t="s">
        <v>110</v>
      </c>
      <c r="D148" s="21" t="s">
        <v>34</v>
      </c>
      <c r="E148" s="23">
        <v>30</v>
      </c>
      <c r="F148" s="23">
        <v>5</v>
      </c>
      <c r="G148" s="23">
        <v>1</v>
      </c>
      <c r="H148" s="23"/>
      <c r="I148" s="24" t="s">
        <v>35</v>
      </c>
      <c r="J148" s="24"/>
      <c r="K148" s="23"/>
      <c r="L148" s="23"/>
      <c r="M148" s="24"/>
      <c r="N148" s="24"/>
      <c r="O148" s="27" t="s">
        <v>364</v>
      </c>
      <c r="P148" s="27"/>
      <c r="Q148" s="27"/>
      <c r="R148" s="23">
        <v>22</v>
      </c>
      <c r="S148" s="25">
        <v>45869</v>
      </c>
      <c r="T148" s="25">
        <v>45870</v>
      </c>
      <c r="U148" s="25"/>
      <c r="V148" s="25"/>
      <c r="W148" s="25">
        <v>45870</v>
      </c>
      <c r="X148" s="23" t="s">
        <v>212</v>
      </c>
      <c r="Y148" s="4" t="str">
        <f>IF(Tabela2[[#This Row],[SIGLA]]="","",VLOOKUP(Tabela2[[#This Row],[SIGLA]],Tabela14[[#All],[Sigla Arte]:[Crédito]],2,0))</f>
        <v>RENAN FONSECA/ARQUIVO DA EDITORA</v>
      </c>
      <c r="Z148" s="24" t="s">
        <v>365</v>
      </c>
      <c r="AA148" s="24" t="str">
        <f>Tabela2[[#This Row],[ILUSTRADOR CRIAÇÃO]]</f>
        <v>RENAN FONSECA/ARQUIVO DA EDITORA</v>
      </c>
      <c r="AB148" s="23">
        <v>14</v>
      </c>
      <c r="AC148" s="21" t="s">
        <v>366</v>
      </c>
      <c r="AD148" s="21" t="s">
        <v>40</v>
      </c>
      <c r="AE148" s="4" t="str">
        <f t="shared" si="2"/>
        <v>EF1 E001 Geo</v>
      </c>
    </row>
    <row r="149" spans="1:31" s="14" customFormat="1" ht="45" x14ac:dyDescent="0.25">
      <c r="A149" s="24" t="s">
        <v>367</v>
      </c>
      <c r="B149" s="21" t="s">
        <v>32</v>
      </c>
      <c r="C149" s="21" t="s">
        <v>110</v>
      </c>
      <c r="D149" s="21" t="s">
        <v>34</v>
      </c>
      <c r="E149" s="23">
        <v>36</v>
      </c>
      <c r="F149" s="23">
        <v>5</v>
      </c>
      <c r="G149" s="23">
        <v>1</v>
      </c>
      <c r="H149" s="23"/>
      <c r="I149" s="24" t="s">
        <v>111</v>
      </c>
      <c r="J149" s="24"/>
      <c r="K149" s="23"/>
      <c r="L149" s="23"/>
      <c r="M149" s="24"/>
      <c r="N149" s="24"/>
      <c r="O149" s="27" t="s">
        <v>368</v>
      </c>
      <c r="P149" s="27"/>
      <c r="Q149" s="27"/>
      <c r="R149" s="23"/>
      <c r="S149" s="25"/>
      <c r="T149" s="25"/>
      <c r="U149" s="25"/>
      <c r="V149" s="25"/>
      <c r="W149" s="25"/>
      <c r="X149" s="23" t="s">
        <v>197</v>
      </c>
      <c r="Y149" s="4" t="str">
        <f>IF(Tabela2[[#This Row],[SIGLA]]="","",VLOOKUP(Tabela2[[#This Row],[SIGLA]],Tabela14[[#All],[Sigla Arte]:[Crédito]],2,0))</f>
        <v>HELOÍSA PINTARELLI/ARQUIVO DA EDITORA</v>
      </c>
      <c r="Z149" s="24"/>
      <c r="AA149" s="24" t="str">
        <f>Tabela2[[#This Row],[ILUSTRADOR CRIAÇÃO]]</f>
        <v>HELOÍSA PINTARELLI/ARQUIVO DA EDITORA</v>
      </c>
      <c r="AB149" s="23"/>
      <c r="AC149" s="21"/>
      <c r="AD149" s="21"/>
      <c r="AE149" s="4" t="str">
        <f t="shared" si="2"/>
        <v>EF1 E001 Geo</v>
      </c>
    </row>
    <row r="150" spans="1:31" s="14" customFormat="1" ht="45" x14ac:dyDescent="0.25">
      <c r="A150" s="24" t="s">
        <v>369</v>
      </c>
      <c r="B150" s="21" t="s">
        <v>32</v>
      </c>
      <c r="C150" s="21" t="s">
        <v>110</v>
      </c>
      <c r="D150" s="21" t="s">
        <v>34</v>
      </c>
      <c r="E150" s="23">
        <v>36</v>
      </c>
      <c r="F150" s="23">
        <v>5</v>
      </c>
      <c r="G150" s="23">
        <v>1</v>
      </c>
      <c r="H150" s="23"/>
      <c r="I150" s="24" t="s">
        <v>111</v>
      </c>
      <c r="J150" s="24"/>
      <c r="K150" s="23"/>
      <c r="L150" s="23"/>
      <c r="M150" s="24"/>
      <c r="N150" s="24"/>
      <c r="O150" s="27" t="s">
        <v>370</v>
      </c>
      <c r="P150" s="27"/>
      <c r="Q150" s="27"/>
      <c r="R150" s="23"/>
      <c r="S150" s="25"/>
      <c r="T150" s="25"/>
      <c r="U150" s="25"/>
      <c r="V150" s="25"/>
      <c r="W150" s="25"/>
      <c r="X150" s="23" t="s">
        <v>197</v>
      </c>
      <c r="Y150" s="4" t="str">
        <f>IF(Tabela2[[#This Row],[SIGLA]]="","",VLOOKUP(Tabela2[[#This Row],[SIGLA]],Tabela14[[#All],[Sigla Arte]:[Crédito]],2,0))</f>
        <v>HELOÍSA PINTARELLI/ARQUIVO DA EDITORA</v>
      </c>
      <c r="Z150" s="24"/>
      <c r="AA150" s="24" t="str">
        <f>Tabela2[[#This Row],[ILUSTRADOR CRIAÇÃO]]</f>
        <v>HELOÍSA PINTARELLI/ARQUIVO DA EDITORA</v>
      </c>
      <c r="AB150" s="23"/>
      <c r="AC150" s="21"/>
      <c r="AD150" s="21"/>
      <c r="AE150" s="4" t="str">
        <f t="shared" si="2"/>
        <v>EF1 E001 Geo</v>
      </c>
    </row>
    <row r="151" spans="1:31" s="14" customFormat="1" ht="45" x14ac:dyDescent="0.25">
      <c r="A151" s="24" t="s">
        <v>371</v>
      </c>
      <c r="B151" s="21" t="s">
        <v>32</v>
      </c>
      <c r="C151" s="21" t="s">
        <v>110</v>
      </c>
      <c r="D151" s="21" t="s">
        <v>34</v>
      </c>
      <c r="E151" s="23">
        <v>36</v>
      </c>
      <c r="F151" s="23">
        <v>5</v>
      </c>
      <c r="G151" s="23">
        <v>1</v>
      </c>
      <c r="H151" s="23"/>
      <c r="I151" s="24" t="s">
        <v>111</v>
      </c>
      <c r="J151" s="24"/>
      <c r="K151" s="23"/>
      <c r="L151" s="23"/>
      <c r="M151" s="24"/>
      <c r="N151" s="24"/>
      <c r="O151" s="27" t="s">
        <v>372</v>
      </c>
      <c r="P151" s="27"/>
      <c r="Q151" s="27"/>
      <c r="R151" s="23"/>
      <c r="S151" s="25"/>
      <c r="T151" s="25"/>
      <c r="U151" s="25"/>
      <c r="V151" s="25"/>
      <c r="W151" s="25"/>
      <c r="X151" s="23" t="s">
        <v>197</v>
      </c>
      <c r="Y151" s="4" t="str">
        <f>IF(Tabela2[[#This Row],[SIGLA]]="","",VLOOKUP(Tabela2[[#This Row],[SIGLA]],Tabela14[[#All],[Sigla Arte]:[Crédito]],2,0))</f>
        <v>HELOÍSA PINTARELLI/ARQUIVO DA EDITORA</v>
      </c>
      <c r="Z151" s="24"/>
      <c r="AA151" s="24" t="str">
        <f>Tabela2[[#This Row],[ILUSTRADOR CRIAÇÃO]]</f>
        <v>HELOÍSA PINTARELLI/ARQUIVO DA EDITORA</v>
      </c>
      <c r="AB151" s="23"/>
      <c r="AC151" s="21"/>
      <c r="AD151" s="21"/>
      <c r="AE151" s="4" t="str">
        <f t="shared" si="2"/>
        <v>EF1 E001 Geo</v>
      </c>
    </row>
    <row r="152" spans="1:31" s="14" customFormat="1" ht="45" x14ac:dyDescent="0.25">
      <c r="A152" s="24" t="s">
        <v>373</v>
      </c>
      <c r="B152" s="21" t="s">
        <v>32</v>
      </c>
      <c r="C152" s="21" t="s">
        <v>110</v>
      </c>
      <c r="D152" s="21" t="s">
        <v>34</v>
      </c>
      <c r="E152" s="23">
        <v>48</v>
      </c>
      <c r="F152" s="23">
        <v>5</v>
      </c>
      <c r="G152" s="23">
        <v>1</v>
      </c>
      <c r="H152" s="31" t="s">
        <v>374</v>
      </c>
      <c r="I152" s="24" t="s">
        <v>111</v>
      </c>
      <c r="J152" s="24"/>
      <c r="K152" s="23"/>
      <c r="L152" s="23"/>
      <c r="M152" s="24"/>
      <c r="N152" s="24"/>
      <c r="O152" s="27" t="s">
        <v>375</v>
      </c>
      <c r="P152" s="27"/>
      <c r="Q152" s="27"/>
      <c r="R152" s="23"/>
      <c r="S152" s="25"/>
      <c r="T152" s="25"/>
      <c r="U152" s="25"/>
      <c r="V152" s="25"/>
      <c r="W152" s="25"/>
      <c r="X152" s="23" t="s">
        <v>197</v>
      </c>
      <c r="Y152" s="4" t="str">
        <f>IF(Tabela2[[#This Row],[SIGLA]]="","",VLOOKUP(Tabela2[[#This Row],[SIGLA]],Tabela14[[#All],[Sigla Arte]:[Crédito]],2,0))</f>
        <v>HELOÍSA PINTARELLI/ARQUIVO DA EDITORA</v>
      </c>
      <c r="Z152" s="24"/>
      <c r="AA152" s="24" t="str">
        <f>Tabela2[[#This Row],[ILUSTRADOR CRIAÇÃO]]</f>
        <v>HELOÍSA PINTARELLI/ARQUIVO DA EDITORA</v>
      </c>
      <c r="AB152" s="23"/>
      <c r="AC152" s="21"/>
      <c r="AD152" s="21"/>
      <c r="AE152" s="4" t="str">
        <f t="shared" si="2"/>
        <v>EF1 E001 Geo</v>
      </c>
    </row>
    <row r="153" spans="1:31" s="14" customFormat="1" ht="45" x14ac:dyDescent="0.25">
      <c r="A153" s="24" t="s">
        <v>376</v>
      </c>
      <c r="B153" s="21" t="s">
        <v>32</v>
      </c>
      <c r="C153" s="21" t="s">
        <v>110</v>
      </c>
      <c r="D153" s="21" t="s">
        <v>34</v>
      </c>
      <c r="E153" s="23">
        <v>48</v>
      </c>
      <c r="F153" s="23">
        <v>5</v>
      </c>
      <c r="G153" s="23">
        <v>1</v>
      </c>
      <c r="H153" s="31" t="s">
        <v>374</v>
      </c>
      <c r="I153" s="24" t="s">
        <v>111</v>
      </c>
      <c r="J153" s="24"/>
      <c r="K153" s="23"/>
      <c r="L153" s="23"/>
      <c r="M153" s="24"/>
      <c r="N153" s="24"/>
      <c r="O153" s="27" t="s">
        <v>377</v>
      </c>
      <c r="P153" s="27"/>
      <c r="Q153" s="27"/>
      <c r="R153" s="23"/>
      <c r="S153" s="25"/>
      <c r="T153" s="25"/>
      <c r="U153" s="25"/>
      <c r="V153" s="25"/>
      <c r="W153" s="25"/>
      <c r="X153" s="23" t="s">
        <v>197</v>
      </c>
      <c r="Y153" s="4" t="str">
        <f>IF(Tabela2[[#This Row],[SIGLA]]="","",VLOOKUP(Tabela2[[#This Row],[SIGLA]],Tabela14[[#All],[Sigla Arte]:[Crédito]],2,0))</f>
        <v>HELOÍSA PINTARELLI/ARQUIVO DA EDITORA</v>
      </c>
      <c r="Z153" s="24"/>
      <c r="AA153" s="24" t="str">
        <f>Tabela2[[#This Row],[ILUSTRADOR CRIAÇÃO]]</f>
        <v>HELOÍSA PINTARELLI/ARQUIVO DA EDITORA</v>
      </c>
      <c r="AB153" s="23"/>
      <c r="AC153" s="21"/>
      <c r="AD153" s="21"/>
      <c r="AE153" s="4" t="str">
        <f t="shared" si="2"/>
        <v>EF1 E001 Geo</v>
      </c>
    </row>
    <row r="154" spans="1:31" s="14" customFormat="1" ht="45" x14ac:dyDescent="0.25">
      <c r="A154" s="24" t="s">
        <v>378</v>
      </c>
      <c r="B154" s="21" t="s">
        <v>32</v>
      </c>
      <c r="C154" s="21" t="s">
        <v>110</v>
      </c>
      <c r="D154" s="21" t="s">
        <v>34</v>
      </c>
      <c r="E154" s="23">
        <v>48</v>
      </c>
      <c r="F154" s="23">
        <v>5</v>
      </c>
      <c r="G154" s="23">
        <v>1</v>
      </c>
      <c r="H154" s="31" t="s">
        <v>374</v>
      </c>
      <c r="I154" s="24" t="s">
        <v>111</v>
      </c>
      <c r="J154" s="24"/>
      <c r="K154" s="23"/>
      <c r="L154" s="23"/>
      <c r="M154" s="24"/>
      <c r="N154" s="24"/>
      <c r="O154" s="27" t="s">
        <v>379</v>
      </c>
      <c r="P154" s="27"/>
      <c r="Q154" s="27"/>
      <c r="R154" s="23"/>
      <c r="S154" s="25"/>
      <c r="T154" s="25"/>
      <c r="U154" s="25"/>
      <c r="V154" s="25"/>
      <c r="W154" s="25"/>
      <c r="X154" s="23" t="s">
        <v>197</v>
      </c>
      <c r="Y154" s="4" t="str">
        <f>IF(Tabela2[[#This Row],[SIGLA]]="","",VLOOKUP(Tabela2[[#This Row],[SIGLA]],Tabela14[[#All],[Sigla Arte]:[Crédito]],2,0))</f>
        <v>HELOÍSA PINTARELLI/ARQUIVO DA EDITORA</v>
      </c>
      <c r="Z154" s="24"/>
      <c r="AA154" s="24" t="str">
        <f>Tabela2[[#This Row],[ILUSTRADOR CRIAÇÃO]]</f>
        <v>HELOÍSA PINTARELLI/ARQUIVO DA EDITORA</v>
      </c>
      <c r="AB154" s="23"/>
      <c r="AC154" s="21"/>
      <c r="AD154" s="21"/>
      <c r="AE154" s="4" t="str">
        <f t="shared" si="2"/>
        <v>EF1 E001 Geo</v>
      </c>
    </row>
    <row r="155" spans="1:31" s="14" customFormat="1" ht="45" x14ac:dyDescent="0.25">
      <c r="A155" s="24" t="s">
        <v>380</v>
      </c>
      <c r="B155" s="21" t="s">
        <v>32</v>
      </c>
      <c r="C155" s="21" t="s">
        <v>110</v>
      </c>
      <c r="D155" s="21" t="s">
        <v>34</v>
      </c>
      <c r="E155" s="23">
        <v>48</v>
      </c>
      <c r="F155" s="23">
        <v>5</v>
      </c>
      <c r="G155" s="23">
        <v>1</v>
      </c>
      <c r="H155" s="31" t="s">
        <v>374</v>
      </c>
      <c r="I155" s="24" t="s">
        <v>111</v>
      </c>
      <c r="J155" s="24"/>
      <c r="K155" s="23"/>
      <c r="L155" s="23"/>
      <c r="M155" s="24"/>
      <c r="N155" s="24"/>
      <c r="O155" s="27" t="s">
        <v>381</v>
      </c>
      <c r="P155" s="27"/>
      <c r="Q155" s="27"/>
      <c r="R155" s="23"/>
      <c r="S155" s="25"/>
      <c r="T155" s="25"/>
      <c r="U155" s="25"/>
      <c r="V155" s="25"/>
      <c r="W155" s="25"/>
      <c r="X155" s="23" t="s">
        <v>197</v>
      </c>
      <c r="Y155" s="4" t="str">
        <f>IF(Tabela2[[#This Row],[SIGLA]]="","",VLOOKUP(Tabela2[[#This Row],[SIGLA]],Tabela14[[#All],[Sigla Arte]:[Crédito]],2,0))</f>
        <v>HELOÍSA PINTARELLI/ARQUIVO DA EDITORA</v>
      </c>
      <c r="Z155" s="24"/>
      <c r="AA155" s="24" t="str">
        <f>Tabela2[[#This Row],[ILUSTRADOR CRIAÇÃO]]</f>
        <v>HELOÍSA PINTARELLI/ARQUIVO DA EDITORA</v>
      </c>
      <c r="AB155" s="23"/>
      <c r="AC155" s="21"/>
      <c r="AD155" s="21"/>
      <c r="AE155" s="4" t="str">
        <f t="shared" si="2"/>
        <v>EF1 E001 Geo</v>
      </c>
    </row>
    <row r="156" spans="1:31" s="14" customFormat="1" ht="60" x14ac:dyDescent="0.25">
      <c r="A156" s="24" t="s">
        <v>382</v>
      </c>
      <c r="B156" s="21" t="s">
        <v>88</v>
      </c>
      <c r="C156" s="21" t="s">
        <v>110</v>
      </c>
      <c r="D156" s="21" t="s">
        <v>34</v>
      </c>
      <c r="E156" s="23">
        <v>65</v>
      </c>
      <c r="F156" s="23">
        <v>5</v>
      </c>
      <c r="G156" s="23">
        <v>2</v>
      </c>
      <c r="H156" s="23"/>
      <c r="I156" s="24" t="s">
        <v>111</v>
      </c>
      <c r="J156" s="24"/>
      <c r="K156" s="23"/>
      <c r="L156" s="23"/>
      <c r="M156" s="24"/>
      <c r="N156" s="24"/>
      <c r="O156" s="27" t="s">
        <v>383</v>
      </c>
      <c r="P156" s="27"/>
      <c r="Q156" s="27"/>
      <c r="R156" s="23"/>
      <c r="S156" s="25"/>
      <c r="T156" s="25"/>
      <c r="U156" s="25"/>
      <c r="V156" s="25"/>
      <c r="W156" s="25"/>
      <c r="X156" s="23" t="s">
        <v>283</v>
      </c>
      <c r="Y156" s="4" t="str">
        <f>IF(Tabela2[[#This Row],[SIGLA]]="","",VLOOKUP(Tabela2[[#This Row],[SIGLA]],Tabela14[[#All],[Sigla Arte]:[Crédito]],2,0))</f>
        <v>REINALDO ROSA/ARQUIVO DA EDITORA</v>
      </c>
      <c r="Z156" s="24"/>
      <c r="AA156" s="24" t="str">
        <f>Tabela2[[#This Row],[ILUSTRADOR CRIAÇÃO]]</f>
        <v>REINALDO ROSA/ARQUIVO DA EDITORA</v>
      </c>
      <c r="AB156" s="23"/>
      <c r="AC156" s="21"/>
      <c r="AD156" s="21"/>
      <c r="AE156" s="4" t="str">
        <f t="shared" si="2"/>
        <v>EF1 E001 Geo</v>
      </c>
    </row>
    <row r="157" spans="1:31" s="14" customFormat="1" ht="45" x14ac:dyDescent="0.25">
      <c r="A157" s="24" t="s">
        <v>384</v>
      </c>
      <c r="B157" s="21" t="s">
        <v>88</v>
      </c>
      <c r="C157" s="21" t="s">
        <v>110</v>
      </c>
      <c r="D157" s="21" t="s">
        <v>34</v>
      </c>
      <c r="E157" s="23">
        <v>96</v>
      </c>
      <c r="F157" s="23">
        <v>5</v>
      </c>
      <c r="G157" s="23">
        <v>3</v>
      </c>
      <c r="H157" s="31" t="s">
        <v>385</v>
      </c>
      <c r="I157" s="24" t="s">
        <v>111</v>
      </c>
      <c r="J157" s="24"/>
      <c r="K157" s="23"/>
      <c r="L157" s="23"/>
      <c r="M157" s="24"/>
      <c r="N157" s="24"/>
      <c r="O157" s="27" t="s">
        <v>386</v>
      </c>
      <c r="P157" s="27"/>
      <c r="Q157" s="27"/>
      <c r="R157" s="23"/>
      <c r="S157" s="25"/>
      <c r="T157" s="25"/>
      <c r="U157" s="25"/>
      <c r="V157" s="25"/>
      <c r="W157" s="25"/>
      <c r="X157" s="23" t="s">
        <v>359</v>
      </c>
      <c r="Y157" s="4" t="str">
        <f>IF(Tabela2[[#This Row],[SIGLA]]="","",VLOOKUP(Tabela2[[#This Row],[SIGLA]],Tabela14[[#All],[Sigla Arte]:[Crédito]],2,0))</f>
        <v>DEIVY LIMA COSTA/ARQUIVO DA EDITORA</v>
      </c>
      <c r="Z157" s="24"/>
      <c r="AA157" s="24" t="str">
        <f>Tabela2[[#This Row],[ILUSTRADOR CRIAÇÃO]]</f>
        <v>DEIVY LIMA COSTA/ARQUIVO DA EDITORA</v>
      </c>
      <c r="AB157" s="23"/>
      <c r="AC157" s="21"/>
      <c r="AD157" s="21"/>
      <c r="AE157" s="4" t="str">
        <f t="shared" si="2"/>
        <v>EF1 E001 Geo</v>
      </c>
    </row>
    <row r="158" spans="1:31" s="14" customFormat="1" ht="45" x14ac:dyDescent="0.25">
      <c r="A158" s="24" t="s">
        <v>387</v>
      </c>
      <c r="B158" s="21" t="s">
        <v>88</v>
      </c>
      <c r="C158" s="21" t="s">
        <v>110</v>
      </c>
      <c r="D158" s="21" t="s">
        <v>34</v>
      </c>
      <c r="E158" s="23">
        <v>96</v>
      </c>
      <c r="F158" s="23">
        <v>5</v>
      </c>
      <c r="G158" s="23">
        <v>3</v>
      </c>
      <c r="H158" s="31" t="s">
        <v>385</v>
      </c>
      <c r="I158" s="24" t="s">
        <v>111</v>
      </c>
      <c r="J158" s="24"/>
      <c r="K158" s="23"/>
      <c r="L158" s="23"/>
      <c r="M158" s="24"/>
      <c r="N158" s="24"/>
      <c r="O158" s="27" t="s">
        <v>388</v>
      </c>
      <c r="P158" s="27"/>
      <c r="Q158" s="27"/>
      <c r="R158" s="23"/>
      <c r="S158" s="25"/>
      <c r="T158" s="25"/>
      <c r="U158" s="25"/>
      <c r="V158" s="25"/>
      <c r="W158" s="25"/>
      <c r="X158" s="23" t="s">
        <v>359</v>
      </c>
      <c r="Y158" s="4" t="str">
        <f>IF(Tabela2[[#This Row],[SIGLA]]="","",VLOOKUP(Tabela2[[#This Row],[SIGLA]],Tabela14[[#All],[Sigla Arte]:[Crédito]],2,0))</f>
        <v>DEIVY LIMA COSTA/ARQUIVO DA EDITORA</v>
      </c>
      <c r="Z158" s="24"/>
      <c r="AA158" s="24" t="str">
        <f>Tabela2[[#This Row],[ILUSTRADOR CRIAÇÃO]]</f>
        <v>DEIVY LIMA COSTA/ARQUIVO DA EDITORA</v>
      </c>
      <c r="AB158" s="23"/>
      <c r="AC158" s="21"/>
      <c r="AD158" s="21"/>
      <c r="AE158" s="4" t="str">
        <f t="shared" si="2"/>
        <v>EF1 E001 Geo</v>
      </c>
    </row>
    <row r="159" spans="1:31" s="14" customFormat="1" ht="45" x14ac:dyDescent="0.25">
      <c r="A159" s="24" t="s">
        <v>389</v>
      </c>
      <c r="B159" s="21" t="s">
        <v>88</v>
      </c>
      <c r="C159" s="21" t="s">
        <v>110</v>
      </c>
      <c r="D159" s="21" t="s">
        <v>34</v>
      </c>
      <c r="E159" s="23">
        <v>82</v>
      </c>
      <c r="F159" s="23">
        <v>5</v>
      </c>
      <c r="G159" s="23">
        <v>2</v>
      </c>
      <c r="H159" s="31" t="s">
        <v>385</v>
      </c>
      <c r="I159" s="24" t="s">
        <v>111</v>
      </c>
      <c r="J159" s="24"/>
      <c r="K159" s="23"/>
      <c r="L159" s="23"/>
      <c r="M159" s="24"/>
      <c r="N159" s="24"/>
      <c r="O159" s="27" t="s">
        <v>390</v>
      </c>
      <c r="P159" s="27"/>
      <c r="Q159" s="27"/>
      <c r="R159" s="23"/>
      <c r="S159" s="25"/>
      <c r="T159" s="25"/>
      <c r="U159" s="25"/>
      <c r="V159" s="25"/>
      <c r="W159" s="25"/>
      <c r="X159" s="23" t="s">
        <v>359</v>
      </c>
      <c r="Y159" s="4" t="str">
        <f>IF(Tabela2[[#This Row],[SIGLA]]="","",VLOOKUP(Tabela2[[#This Row],[SIGLA]],Tabela14[[#All],[Sigla Arte]:[Crédito]],2,0))</f>
        <v>DEIVY LIMA COSTA/ARQUIVO DA EDITORA</v>
      </c>
      <c r="Z159" s="24"/>
      <c r="AA159" s="24" t="str">
        <f>Tabela2[[#This Row],[ILUSTRADOR CRIAÇÃO]]</f>
        <v>DEIVY LIMA COSTA/ARQUIVO DA EDITORA</v>
      </c>
      <c r="AB159" s="23"/>
      <c r="AC159" s="21"/>
      <c r="AD159" s="21"/>
      <c r="AE159" s="4" t="str">
        <f t="shared" si="2"/>
        <v>EF1 E001 Geo</v>
      </c>
    </row>
    <row r="160" spans="1:31" s="14" customFormat="1" ht="45" x14ac:dyDescent="0.25">
      <c r="A160" s="24" t="s">
        <v>391</v>
      </c>
      <c r="B160" s="21" t="s">
        <v>88</v>
      </c>
      <c r="C160" s="21" t="s">
        <v>110</v>
      </c>
      <c r="D160" s="21" t="s">
        <v>34</v>
      </c>
      <c r="E160" s="23">
        <v>82</v>
      </c>
      <c r="F160" s="23">
        <v>5</v>
      </c>
      <c r="G160" s="23">
        <v>2</v>
      </c>
      <c r="H160" s="31" t="s">
        <v>385</v>
      </c>
      <c r="I160" s="24" t="s">
        <v>111</v>
      </c>
      <c r="J160" s="24"/>
      <c r="K160" s="23"/>
      <c r="L160" s="23"/>
      <c r="M160" s="24"/>
      <c r="N160" s="24"/>
      <c r="O160" s="27" t="s">
        <v>392</v>
      </c>
      <c r="P160" s="27"/>
      <c r="Q160" s="27"/>
      <c r="R160" s="23"/>
      <c r="S160" s="25"/>
      <c r="T160" s="25"/>
      <c r="U160" s="25"/>
      <c r="V160" s="25"/>
      <c r="W160" s="25"/>
      <c r="X160" s="23" t="s">
        <v>359</v>
      </c>
      <c r="Y160" s="4" t="str">
        <f>IF(Tabela2[[#This Row],[SIGLA]]="","",VLOOKUP(Tabela2[[#This Row],[SIGLA]],Tabela14[[#All],[Sigla Arte]:[Crédito]],2,0))</f>
        <v>DEIVY LIMA COSTA/ARQUIVO DA EDITORA</v>
      </c>
      <c r="Z160" s="24"/>
      <c r="AA160" s="24" t="str">
        <f>Tabela2[[#This Row],[ILUSTRADOR CRIAÇÃO]]</f>
        <v>DEIVY LIMA COSTA/ARQUIVO DA EDITORA</v>
      </c>
      <c r="AB160" s="23"/>
      <c r="AC160" s="21"/>
      <c r="AD160" s="21"/>
      <c r="AE160" s="4" t="str">
        <f t="shared" si="2"/>
        <v>EF1 E001 Geo</v>
      </c>
    </row>
    <row r="161" spans="1:31" s="14" customFormat="1" ht="60" x14ac:dyDescent="0.25">
      <c r="A161" s="24" t="s">
        <v>393</v>
      </c>
      <c r="B161" s="21" t="s">
        <v>88</v>
      </c>
      <c r="C161" s="21" t="s">
        <v>110</v>
      </c>
      <c r="D161" s="21" t="s">
        <v>34</v>
      </c>
      <c r="E161" s="23">
        <v>97</v>
      </c>
      <c r="F161" s="23">
        <v>5</v>
      </c>
      <c r="G161" s="23">
        <v>3</v>
      </c>
      <c r="H161" s="31" t="s">
        <v>385</v>
      </c>
      <c r="I161" s="24" t="s">
        <v>35</v>
      </c>
      <c r="J161" s="24"/>
      <c r="K161" s="23"/>
      <c r="L161" s="23"/>
      <c r="M161" s="24"/>
      <c r="N161" s="24"/>
      <c r="O161" s="27" t="s">
        <v>394</v>
      </c>
      <c r="P161" s="27"/>
      <c r="Q161" s="27"/>
      <c r="R161" s="23">
        <v>25</v>
      </c>
      <c r="S161" s="25"/>
      <c r="T161" s="25">
        <v>45873</v>
      </c>
      <c r="U161" s="25"/>
      <c r="V161" s="25"/>
      <c r="W161" s="25">
        <v>45873</v>
      </c>
      <c r="X161" s="23" t="s">
        <v>359</v>
      </c>
      <c r="Y161" s="4" t="str">
        <f>IF(Tabela2[[#This Row],[SIGLA]]="","",VLOOKUP(Tabela2[[#This Row],[SIGLA]],Tabela14[[#All],[Sigla Arte]:[Crédito]],2,0))</f>
        <v>DEIVY LIMA COSTA/ARQUIVO DA EDITORA</v>
      </c>
      <c r="Z161" s="24" t="s">
        <v>395</v>
      </c>
      <c r="AA161" s="24" t="str">
        <f>Tabela2[[#This Row],[ILUSTRADOR CRIAÇÃO]]</f>
        <v>DEIVY LIMA COSTA/ARQUIVO DA EDITORA</v>
      </c>
      <c r="AB161" s="23">
        <v>13</v>
      </c>
      <c r="AC161" s="21" t="s">
        <v>396</v>
      </c>
      <c r="AD161" s="21" t="s">
        <v>40</v>
      </c>
      <c r="AE161" s="4" t="str">
        <f t="shared" si="2"/>
        <v>EF1 E001 Geo</v>
      </c>
    </row>
    <row r="162" spans="1:31" s="14" customFormat="1" ht="75" x14ac:dyDescent="0.25">
      <c r="A162" s="24" t="s">
        <v>397</v>
      </c>
      <c r="B162" s="21" t="s">
        <v>88</v>
      </c>
      <c r="C162" s="21" t="s">
        <v>110</v>
      </c>
      <c r="D162" s="21" t="s">
        <v>34</v>
      </c>
      <c r="E162" s="23">
        <v>101</v>
      </c>
      <c r="F162" s="23">
        <v>5</v>
      </c>
      <c r="G162" s="23"/>
      <c r="H162" s="23"/>
      <c r="I162" s="24" t="s">
        <v>35</v>
      </c>
      <c r="J162" s="24"/>
      <c r="K162" s="23"/>
      <c r="L162" s="23"/>
      <c r="M162" s="24"/>
      <c r="N162" s="24"/>
      <c r="O162" s="27" t="s">
        <v>398</v>
      </c>
      <c r="P162" s="27"/>
      <c r="Q162" s="27" t="s">
        <v>100</v>
      </c>
      <c r="R162" s="23">
        <v>5</v>
      </c>
      <c r="S162" s="25">
        <v>45727</v>
      </c>
      <c r="T162" s="25">
        <v>45727</v>
      </c>
      <c r="U162" s="25"/>
      <c r="V162" s="25"/>
      <c r="W162" s="25">
        <v>45728</v>
      </c>
      <c r="X162" s="23" t="s">
        <v>399</v>
      </c>
      <c r="Y162" s="4" t="str">
        <f>IF(Tabela2[[#This Row],[SIGLA]]="","",VLOOKUP(Tabela2[[#This Row],[SIGLA]],Tabela14[[#All],[Sigla Arte]:[Crédito]],2,0))</f>
        <v>GIOVANA MEDEIROS/ARQUIVO DA EDITORA</v>
      </c>
      <c r="Z162" s="24" t="s">
        <v>362</v>
      </c>
      <c r="AA162" s="24" t="str">
        <f>Tabela2[[#This Row],[ILUSTRADOR CRIAÇÃO]]</f>
        <v>GIOVANA MEDEIROS/ARQUIVO DA EDITORA</v>
      </c>
      <c r="AB162" s="23">
        <v>14</v>
      </c>
      <c r="AC162" s="21"/>
      <c r="AD162" s="21" t="s">
        <v>40</v>
      </c>
      <c r="AE162" s="4" t="str">
        <f t="shared" si="2"/>
        <v>EF1 E001 Geo</v>
      </c>
    </row>
    <row r="163" spans="1:31" s="14" customFormat="1" ht="45" x14ac:dyDescent="0.25">
      <c r="A163" s="24" t="s">
        <v>400</v>
      </c>
      <c r="B163" s="21" t="s">
        <v>32</v>
      </c>
      <c r="C163" s="21" t="s">
        <v>110</v>
      </c>
      <c r="D163" s="21" t="s">
        <v>34</v>
      </c>
      <c r="E163" s="23">
        <v>124</v>
      </c>
      <c r="F163" s="23">
        <v>5</v>
      </c>
      <c r="G163" s="23">
        <v>4</v>
      </c>
      <c r="H163" s="23"/>
      <c r="I163" s="24" t="s">
        <v>111</v>
      </c>
      <c r="J163" s="24"/>
      <c r="K163" s="23"/>
      <c r="L163" s="23"/>
      <c r="M163" s="24"/>
      <c r="N163" s="24"/>
      <c r="O163" s="27" t="s">
        <v>401</v>
      </c>
      <c r="P163" s="27"/>
      <c r="Q163" s="27"/>
      <c r="R163" s="23"/>
      <c r="S163" s="25"/>
      <c r="T163" s="25"/>
      <c r="U163" s="25"/>
      <c r="V163" s="25"/>
      <c r="W163" s="25"/>
      <c r="X163" s="23" t="s">
        <v>142</v>
      </c>
      <c r="Y163" s="4" t="str">
        <f>IF(Tabela2[[#This Row],[SIGLA]]="","",VLOOKUP(Tabela2[[#This Row],[SIGLA]],Tabela14[[#All],[Sigla Arte]:[Crédito]],2,0))</f>
        <v>GUSTAVO RAMOS/ARQUIVO DA EDITORA</v>
      </c>
      <c r="Z163" s="24"/>
      <c r="AA163" s="24" t="str">
        <f>Tabela2[[#This Row],[ILUSTRADOR CRIAÇÃO]]</f>
        <v>GUSTAVO RAMOS/ARQUIVO DA EDITORA</v>
      </c>
      <c r="AB163" s="23"/>
      <c r="AC163" s="21"/>
      <c r="AD163" s="21"/>
      <c r="AE163" s="4" t="str">
        <f t="shared" si="2"/>
        <v>EF1 E001 Geo</v>
      </c>
    </row>
    <row r="164" spans="1:31" s="14" customFormat="1" ht="135" x14ac:dyDescent="0.25">
      <c r="A164" s="24" t="s">
        <v>402</v>
      </c>
      <c r="B164" s="21" t="s">
        <v>32</v>
      </c>
      <c r="C164" s="21" t="s">
        <v>110</v>
      </c>
      <c r="D164" s="21" t="s">
        <v>34</v>
      </c>
      <c r="E164" s="23">
        <v>131</v>
      </c>
      <c r="F164" s="23">
        <v>5</v>
      </c>
      <c r="G164" s="23">
        <v>1</v>
      </c>
      <c r="H164" s="23"/>
      <c r="I164" s="24" t="s">
        <v>35</v>
      </c>
      <c r="J164" s="24"/>
      <c r="K164" s="23"/>
      <c r="L164" s="23"/>
      <c r="M164" s="24"/>
      <c r="N164" s="24"/>
      <c r="O164" s="27" t="s">
        <v>403</v>
      </c>
      <c r="P164" s="27"/>
      <c r="Q164" s="27" t="s">
        <v>404</v>
      </c>
      <c r="R164" s="23">
        <v>5</v>
      </c>
      <c r="S164" s="25">
        <v>45727</v>
      </c>
      <c r="T164" s="25">
        <v>45727</v>
      </c>
      <c r="U164" s="25"/>
      <c r="V164" s="25"/>
      <c r="W164" s="25">
        <v>45728</v>
      </c>
      <c r="X164" s="23" t="s">
        <v>197</v>
      </c>
      <c r="Y164" s="4" t="str">
        <f>IF(Tabela2[[#This Row],[SIGLA]]="","",VLOOKUP(Tabela2[[#This Row],[SIGLA]],Tabela14[[#All],[Sigla Arte]:[Crédito]],2,0))</f>
        <v>HELOÍSA PINTARELLI/ARQUIVO DA EDITORA</v>
      </c>
      <c r="Z164" s="24" t="s">
        <v>362</v>
      </c>
      <c r="AA164" s="24" t="str">
        <f>Tabela2[[#This Row],[ILUSTRADOR CRIAÇÃO]]</f>
        <v>HELOÍSA PINTARELLI/ARQUIVO DA EDITORA</v>
      </c>
      <c r="AB164" s="23">
        <v>13</v>
      </c>
      <c r="AC164" s="21"/>
      <c r="AD164" s="21" t="s">
        <v>40</v>
      </c>
      <c r="AE164" s="4" t="str">
        <f t="shared" si="2"/>
        <v>EF1 E001 Geo</v>
      </c>
    </row>
    <row r="165" spans="1:31" s="14" customFormat="1" ht="75" x14ac:dyDescent="0.25">
      <c r="A165" s="24" t="s">
        <v>405</v>
      </c>
      <c r="B165" s="21" t="s">
        <v>32</v>
      </c>
      <c r="C165" s="21" t="s">
        <v>110</v>
      </c>
      <c r="D165" s="21" t="s">
        <v>34</v>
      </c>
      <c r="E165" s="23">
        <v>134</v>
      </c>
      <c r="F165" s="23">
        <v>5</v>
      </c>
      <c r="G165" s="23">
        <v>1</v>
      </c>
      <c r="H165" s="31" t="s">
        <v>385</v>
      </c>
      <c r="I165" s="24" t="s">
        <v>35</v>
      </c>
      <c r="J165" s="24"/>
      <c r="K165" s="23"/>
      <c r="L165" s="23"/>
      <c r="M165" s="24"/>
      <c r="N165" s="24"/>
      <c r="O165" s="27" t="s">
        <v>406</v>
      </c>
      <c r="P165" s="27"/>
      <c r="Q165" s="27" t="s">
        <v>404</v>
      </c>
      <c r="R165" s="23">
        <v>5</v>
      </c>
      <c r="S165" s="25">
        <v>45727</v>
      </c>
      <c r="T165" s="25">
        <v>45727</v>
      </c>
      <c r="U165" s="25"/>
      <c r="V165" s="25"/>
      <c r="W165" s="25">
        <v>45728</v>
      </c>
      <c r="X165" s="23" t="s">
        <v>407</v>
      </c>
      <c r="Y165" s="4" t="str">
        <f>IF(Tabela2[[#This Row],[SIGLA]]="","",VLOOKUP(Tabela2[[#This Row],[SIGLA]],Tabela14[[#All],[Sigla Arte]:[Crédito]],2,0))</f>
        <v>BÁRBARA SARZI/ARQUIVO DA EDITORA</v>
      </c>
      <c r="Z165" s="24" t="s">
        <v>362</v>
      </c>
      <c r="AA165" s="24" t="str">
        <f>Tabela2[[#This Row],[ILUSTRADOR CRIAÇÃO]]</f>
        <v>BÁRBARA SARZI/ARQUIVO DA EDITORA</v>
      </c>
      <c r="AB165" s="23">
        <v>13</v>
      </c>
      <c r="AC165" s="21"/>
      <c r="AD165" s="21" t="s">
        <v>40</v>
      </c>
      <c r="AE165" s="4" t="str">
        <f t="shared" si="2"/>
        <v>EF1 E001 Geo</v>
      </c>
    </row>
    <row r="166" spans="1:31" s="14" customFormat="1" ht="90" x14ac:dyDescent="0.25">
      <c r="A166" s="24" t="s">
        <v>408</v>
      </c>
      <c r="B166" s="21" t="s">
        <v>32</v>
      </c>
      <c r="C166" s="21" t="s">
        <v>110</v>
      </c>
      <c r="D166" s="21" t="s">
        <v>34</v>
      </c>
      <c r="E166" s="23">
        <v>134</v>
      </c>
      <c r="F166" s="23">
        <v>5</v>
      </c>
      <c r="G166" s="23">
        <v>1</v>
      </c>
      <c r="H166" s="31" t="s">
        <v>385</v>
      </c>
      <c r="I166" s="24" t="s">
        <v>35</v>
      </c>
      <c r="J166" s="24"/>
      <c r="K166" s="23"/>
      <c r="L166" s="23"/>
      <c r="M166" s="24"/>
      <c r="N166" s="24"/>
      <c r="O166" s="27" t="s">
        <v>409</v>
      </c>
      <c r="P166" s="27"/>
      <c r="Q166" s="27" t="s">
        <v>404</v>
      </c>
      <c r="R166" s="23">
        <v>5</v>
      </c>
      <c r="S166" s="25">
        <v>45727</v>
      </c>
      <c r="T166" s="25">
        <v>45727</v>
      </c>
      <c r="U166" s="25"/>
      <c r="V166" s="25"/>
      <c r="W166" s="25">
        <v>45728</v>
      </c>
      <c r="X166" s="23" t="s">
        <v>407</v>
      </c>
      <c r="Y166" s="4" t="str">
        <f>IF(Tabela2[[#This Row],[SIGLA]]="","",VLOOKUP(Tabela2[[#This Row],[SIGLA]],Tabela14[[#All],[Sigla Arte]:[Crédito]],2,0))</f>
        <v>BÁRBARA SARZI/ARQUIVO DA EDITORA</v>
      </c>
      <c r="Z166" s="24" t="s">
        <v>362</v>
      </c>
      <c r="AA166" s="24" t="str">
        <f>Tabela2[[#This Row],[ILUSTRADOR CRIAÇÃO]]</f>
        <v>BÁRBARA SARZI/ARQUIVO DA EDITORA</v>
      </c>
      <c r="AB166" s="23">
        <v>13</v>
      </c>
      <c r="AC166" s="21"/>
      <c r="AD166" s="21" t="s">
        <v>40</v>
      </c>
      <c r="AE166" s="4" t="str">
        <f t="shared" si="2"/>
        <v>EF1 E001 Geo</v>
      </c>
    </row>
    <row r="167" spans="1:31" s="14" customFormat="1" ht="105" x14ac:dyDescent="0.25">
      <c r="A167" s="24" t="s">
        <v>410</v>
      </c>
      <c r="B167" s="21" t="s">
        <v>32</v>
      </c>
      <c r="C167" s="21" t="s">
        <v>110</v>
      </c>
      <c r="D167" s="21" t="s">
        <v>34</v>
      </c>
      <c r="E167" s="23">
        <v>134</v>
      </c>
      <c r="F167" s="23">
        <v>5</v>
      </c>
      <c r="G167" s="23">
        <v>1</v>
      </c>
      <c r="H167" s="31" t="s">
        <v>385</v>
      </c>
      <c r="I167" s="24" t="s">
        <v>35</v>
      </c>
      <c r="J167" s="24"/>
      <c r="K167" s="23"/>
      <c r="L167" s="23"/>
      <c r="M167" s="24"/>
      <c r="N167" s="24"/>
      <c r="O167" s="27" t="s">
        <v>411</v>
      </c>
      <c r="P167" s="27"/>
      <c r="Q167" s="27" t="s">
        <v>404</v>
      </c>
      <c r="R167" s="23">
        <v>5</v>
      </c>
      <c r="S167" s="25">
        <v>45727</v>
      </c>
      <c r="T167" s="25">
        <v>45727</v>
      </c>
      <c r="U167" s="25"/>
      <c r="V167" s="25"/>
      <c r="W167" s="25">
        <v>45728</v>
      </c>
      <c r="X167" s="23" t="s">
        <v>407</v>
      </c>
      <c r="Y167" s="4" t="str">
        <f>IF(Tabela2[[#This Row],[SIGLA]]="","",VLOOKUP(Tabela2[[#This Row],[SIGLA]],Tabela14[[#All],[Sigla Arte]:[Crédito]],2,0))</f>
        <v>BÁRBARA SARZI/ARQUIVO DA EDITORA</v>
      </c>
      <c r="Z167" s="24" t="s">
        <v>362</v>
      </c>
      <c r="AA167" s="24" t="str">
        <f>Tabela2[[#This Row],[ILUSTRADOR CRIAÇÃO]]</f>
        <v>BÁRBARA SARZI/ARQUIVO DA EDITORA</v>
      </c>
      <c r="AB167" s="23">
        <v>14</v>
      </c>
      <c r="AC167" s="21"/>
      <c r="AD167" s="21" t="s">
        <v>40</v>
      </c>
      <c r="AE167" s="4" t="str">
        <f t="shared" si="2"/>
        <v>EF1 E001 Geo</v>
      </c>
    </row>
    <row r="168" spans="1:31" s="14" customFormat="1" ht="75" x14ac:dyDescent="0.25">
      <c r="A168" s="24" t="s">
        <v>412</v>
      </c>
      <c r="B168" s="21" t="s">
        <v>32</v>
      </c>
      <c r="C168" s="21" t="s">
        <v>110</v>
      </c>
      <c r="D168" s="21" t="s">
        <v>34</v>
      </c>
      <c r="E168" s="23">
        <v>134</v>
      </c>
      <c r="F168" s="23">
        <v>5</v>
      </c>
      <c r="G168" s="23">
        <v>1</v>
      </c>
      <c r="H168" s="31" t="s">
        <v>385</v>
      </c>
      <c r="I168" s="24" t="s">
        <v>35</v>
      </c>
      <c r="J168" s="24"/>
      <c r="K168" s="23"/>
      <c r="L168" s="23"/>
      <c r="M168" s="24"/>
      <c r="N168" s="24"/>
      <c r="O168" s="27" t="s">
        <v>413</v>
      </c>
      <c r="P168" s="27"/>
      <c r="Q168" s="27" t="s">
        <v>404</v>
      </c>
      <c r="R168" s="23">
        <v>5</v>
      </c>
      <c r="S168" s="25">
        <v>45727</v>
      </c>
      <c r="T168" s="25">
        <v>45727</v>
      </c>
      <c r="U168" s="25"/>
      <c r="V168" s="25"/>
      <c r="W168" s="25">
        <v>45728</v>
      </c>
      <c r="X168" s="23" t="s">
        <v>407</v>
      </c>
      <c r="Y168" s="4" t="str">
        <f>IF(Tabela2[[#This Row],[SIGLA]]="","",VLOOKUP(Tabela2[[#This Row],[SIGLA]],Tabela14[[#All],[Sigla Arte]:[Crédito]],2,0))</f>
        <v>BÁRBARA SARZI/ARQUIVO DA EDITORA</v>
      </c>
      <c r="Z168" s="24" t="s">
        <v>362</v>
      </c>
      <c r="AA168" s="24" t="str">
        <f>Tabela2[[#This Row],[ILUSTRADOR CRIAÇÃO]]</f>
        <v>BÁRBARA SARZI/ARQUIVO DA EDITORA</v>
      </c>
      <c r="AB168" s="23">
        <v>14</v>
      </c>
      <c r="AC168" s="21"/>
      <c r="AD168" s="21" t="s">
        <v>40</v>
      </c>
      <c r="AE168" s="4" t="str">
        <f t="shared" si="2"/>
        <v>EF1 E001 Geo</v>
      </c>
    </row>
    <row r="169" spans="1:31" s="14" customFormat="1" ht="75" x14ac:dyDescent="0.25">
      <c r="A169" s="24" t="s">
        <v>414</v>
      </c>
      <c r="B169" s="21" t="s">
        <v>88</v>
      </c>
      <c r="C169" s="21" t="s">
        <v>110</v>
      </c>
      <c r="D169" s="21" t="s">
        <v>34</v>
      </c>
      <c r="E169" s="23">
        <v>135</v>
      </c>
      <c r="F169" s="23">
        <v>5</v>
      </c>
      <c r="G169" s="23"/>
      <c r="H169" s="31" t="s">
        <v>385</v>
      </c>
      <c r="I169" s="24" t="s">
        <v>35</v>
      </c>
      <c r="J169" s="24"/>
      <c r="K169" s="23"/>
      <c r="L169" s="23"/>
      <c r="M169" s="24"/>
      <c r="N169" s="24"/>
      <c r="O169" s="27" t="s">
        <v>415</v>
      </c>
      <c r="P169" s="27"/>
      <c r="Q169" s="27" t="s">
        <v>404</v>
      </c>
      <c r="R169" s="23">
        <v>5</v>
      </c>
      <c r="S169" s="25">
        <v>45727</v>
      </c>
      <c r="T169" s="25">
        <v>45727</v>
      </c>
      <c r="U169" s="25"/>
      <c r="V169" s="25"/>
      <c r="W169" s="25">
        <v>45728</v>
      </c>
      <c r="X169" s="23" t="s">
        <v>90</v>
      </c>
      <c r="Y169" s="4" t="str">
        <f>IF(Tabela2[[#This Row],[SIGLA]]="","",VLOOKUP(Tabela2[[#This Row],[SIGLA]],Tabela14[[#All],[Sigla Arte]:[Crédito]],2,0))</f>
        <v>KEITHY MOSTACHI/ARQUIVO DA EDITORA</v>
      </c>
      <c r="Z169" s="24" t="s">
        <v>362</v>
      </c>
      <c r="AA169" s="24" t="str">
        <f>Tabela2[[#This Row],[ILUSTRADOR CRIAÇÃO]]</f>
        <v>KEITHY MOSTACHI/ARQUIVO DA EDITORA</v>
      </c>
      <c r="AB169" s="23">
        <v>13</v>
      </c>
      <c r="AC169" s="21"/>
      <c r="AD169" s="21" t="s">
        <v>40</v>
      </c>
      <c r="AE169" s="4" t="str">
        <f t="shared" si="2"/>
        <v>EF1 E001 Geo</v>
      </c>
    </row>
    <row r="170" spans="1:31" s="14" customFormat="1" ht="90" x14ac:dyDescent="0.25">
      <c r="A170" s="24" t="s">
        <v>416</v>
      </c>
      <c r="B170" s="21" t="s">
        <v>88</v>
      </c>
      <c r="C170" s="21" t="s">
        <v>110</v>
      </c>
      <c r="D170" s="21" t="s">
        <v>34</v>
      </c>
      <c r="E170" s="23">
        <v>135</v>
      </c>
      <c r="F170" s="23">
        <v>5</v>
      </c>
      <c r="G170" s="23"/>
      <c r="H170" s="31" t="s">
        <v>385</v>
      </c>
      <c r="I170" s="24" t="s">
        <v>35</v>
      </c>
      <c r="J170" s="24"/>
      <c r="K170" s="23"/>
      <c r="L170" s="23"/>
      <c r="M170" s="24"/>
      <c r="N170" s="24"/>
      <c r="O170" s="27" t="s">
        <v>417</v>
      </c>
      <c r="P170" s="27"/>
      <c r="Q170" s="27" t="s">
        <v>404</v>
      </c>
      <c r="R170" s="23">
        <v>5</v>
      </c>
      <c r="S170" s="25">
        <v>45727</v>
      </c>
      <c r="T170" s="25">
        <v>45727</v>
      </c>
      <c r="U170" s="25"/>
      <c r="V170" s="25"/>
      <c r="W170" s="25">
        <v>45728</v>
      </c>
      <c r="X170" s="23" t="s">
        <v>90</v>
      </c>
      <c r="Y170" s="4" t="str">
        <f>IF(Tabela2[[#This Row],[SIGLA]]="","",VLOOKUP(Tabela2[[#This Row],[SIGLA]],Tabela14[[#All],[Sigla Arte]:[Crédito]],2,0))</f>
        <v>KEITHY MOSTACHI/ARQUIVO DA EDITORA</v>
      </c>
      <c r="Z170" s="24" t="s">
        <v>362</v>
      </c>
      <c r="AA170" s="24" t="str">
        <f>Tabela2[[#This Row],[ILUSTRADOR CRIAÇÃO]]</f>
        <v>KEITHY MOSTACHI/ARQUIVO DA EDITORA</v>
      </c>
      <c r="AB170" s="23">
        <v>13</v>
      </c>
      <c r="AC170" s="21"/>
      <c r="AD170" s="21" t="s">
        <v>40</v>
      </c>
      <c r="AE170" s="4" t="str">
        <f t="shared" si="2"/>
        <v>EF1 E001 Geo</v>
      </c>
    </row>
    <row r="171" spans="1:31" s="14" customFormat="1" ht="75" x14ac:dyDescent="0.25">
      <c r="A171" s="24" t="s">
        <v>418</v>
      </c>
      <c r="B171" s="21" t="s">
        <v>88</v>
      </c>
      <c r="C171" s="21" t="s">
        <v>110</v>
      </c>
      <c r="D171" s="21" t="s">
        <v>34</v>
      </c>
      <c r="E171" s="23">
        <v>141</v>
      </c>
      <c r="F171" s="23">
        <v>5</v>
      </c>
      <c r="G171" s="23"/>
      <c r="H171" s="31" t="s">
        <v>385</v>
      </c>
      <c r="I171" s="24" t="s">
        <v>35</v>
      </c>
      <c r="J171" s="24"/>
      <c r="K171" s="23"/>
      <c r="L171" s="23"/>
      <c r="M171" s="24"/>
      <c r="N171" s="24"/>
      <c r="O171" s="27" t="s">
        <v>419</v>
      </c>
      <c r="P171" s="27"/>
      <c r="Q171" s="27" t="s">
        <v>404</v>
      </c>
      <c r="R171" s="23">
        <v>5</v>
      </c>
      <c r="S171" s="25">
        <v>45727</v>
      </c>
      <c r="T171" s="25">
        <v>45727</v>
      </c>
      <c r="U171" s="25"/>
      <c r="V171" s="25"/>
      <c r="W171" s="25">
        <v>45728</v>
      </c>
      <c r="X171" s="23" t="s">
        <v>297</v>
      </c>
      <c r="Y171" s="4" t="str">
        <f>IF(Tabela2[[#This Row],[SIGLA]]="","",VLOOKUP(Tabela2[[#This Row],[SIGLA]],Tabela14[[#All],[Sigla Arte]:[Crédito]],2,0))</f>
        <v>VICTOR LEMOS/ARQUIVO DA EDITORA</v>
      </c>
      <c r="Z171" s="24" t="s">
        <v>362</v>
      </c>
      <c r="AA171" s="24" t="str">
        <f>Tabela2[[#This Row],[ILUSTRADOR CRIAÇÃO]]</f>
        <v>VICTOR LEMOS/ARQUIVO DA EDITORA</v>
      </c>
      <c r="AB171" s="23">
        <v>14</v>
      </c>
      <c r="AC171" s="21"/>
      <c r="AD171" s="21" t="s">
        <v>40</v>
      </c>
      <c r="AE171" s="4" t="str">
        <f t="shared" si="2"/>
        <v>EF1 E001 Geo</v>
      </c>
    </row>
    <row r="172" spans="1:31" s="14" customFormat="1" ht="45" x14ac:dyDescent="0.25">
      <c r="A172" s="24" t="s">
        <v>420</v>
      </c>
      <c r="B172" s="21" t="s">
        <v>32</v>
      </c>
      <c r="C172" s="21" t="s">
        <v>110</v>
      </c>
      <c r="D172" s="21" t="s">
        <v>34</v>
      </c>
      <c r="E172" s="23">
        <v>141</v>
      </c>
      <c r="F172" s="23">
        <v>5</v>
      </c>
      <c r="G172" s="23">
        <v>4</v>
      </c>
      <c r="H172" s="31" t="s">
        <v>385</v>
      </c>
      <c r="I172" s="24" t="s">
        <v>111</v>
      </c>
      <c r="J172" s="24"/>
      <c r="K172" s="23"/>
      <c r="L172" s="23"/>
      <c r="M172" s="24"/>
      <c r="N172" s="24"/>
      <c r="O172" s="27" t="s">
        <v>421</v>
      </c>
      <c r="P172" s="27"/>
      <c r="Q172" s="27"/>
      <c r="R172" s="23"/>
      <c r="S172" s="25"/>
      <c r="T172" s="25"/>
      <c r="U172" s="25"/>
      <c r="V172" s="25"/>
      <c r="W172" s="25"/>
      <c r="X172" s="23" t="s">
        <v>297</v>
      </c>
      <c r="Y172" s="4" t="str">
        <f>IF(Tabela2[[#This Row],[SIGLA]]="","",VLOOKUP(Tabela2[[#This Row],[SIGLA]],Tabela14[[#All],[Sigla Arte]:[Crédito]],2,0))</f>
        <v>VICTOR LEMOS/ARQUIVO DA EDITORA</v>
      </c>
      <c r="Z172" s="24"/>
      <c r="AA172" s="24" t="str">
        <f>Tabela2[[#This Row],[ILUSTRADOR CRIAÇÃO]]</f>
        <v>VICTOR LEMOS/ARQUIVO DA EDITORA</v>
      </c>
      <c r="AB172" s="23"/>
      <c r="AC172" s="21"/>
      <c r="AD172" s="21"/>
      <c r="AE172" s="4" t="str">
        <f t="shared" si="2"/>
        <v>EF1 E001 Geo</v>
      </c>
    </row>
    <row r="173" spans="1:31" s="14" customFormat="1" ht="45" x14ac:dyDescent="0.25">
      <c r="A173" s="24" t="s">
        <v>422</v>
      </c>
      <c r="B173" s="21" t="s">
        <v>423</v>
      </c>
      <c r="C173" s="21" t="s">
        <v>110</v>
      </c>
      <c r="D173" s="21" t="s">
        <v>34</v>
      </c>
      <c r="E173" s="23">
        <v>141</v>
      </c>
      <c r="F173" s="23">
        <v>5</v>
      </c>
      <c r="G173" s="23">
        <v>4</v>
      </c>
      <c r="H173" s="31" t="s">
        <v>385</v>
      </c>
      <c r="I173" s="24" t="s">
        <v>35</v>
      </c>
      <c r="J173" s="24"/>
      <c r="K173" s="23"/>
      <c r="L173" s="23"/>
      <c r="M173" s="24"/>
      <c r="N173" s="24"/>
      <c r="O173" s="27" t="s">
        <v>424</v>
      </c>
      <c r="P173" s="27"/>
      <c r="Q173" s="27"/>
      <c r="R173" s="23">
        <v>27</v>
      </c>
      <c r="S173" s="25">
        <v>45904</v>
      </c>
      <c r="T173" s="25">
        <v>45904</v>
      </c>
      <c r="U173" s="25"/>
      <c r="V173" s="25"/>
      <c r="W173" s="25">
        <v>45905</v>
      </c>
      <c r="X173" s="23" t="s">
        <v>297</v>
      </c>
      <c r="Y173" s="4" t="str">
        <f>IF(Tabela2[[#This Row],[SIGLA]]="","",VLOOKUP(Tabela2[[#This Row],[SIGLA]],Tabela14[[#All],[Sigla Arte]:[Crédito]],2,0))</f>
        <v>VICTOR LEMOS/ARQUIVO DA EDITORA</v>
      </c>
      <c r="Z173" s="24" t="s">
        <v>84</v>
      </c>
      <c r="AA173" s="24" t="str">
        <f>Tabela2[[#This Row],[ILUSTRADOR CRIAÇÃO]]</f>
        <v>VICTOR LEMOS/ARQUIVO DA EDITORA</v>
      </c>
      <c r="AB173" s="23">
        <v>13</v>
      </c>
      <c r="AC173" s="21" t="s">
        <v>425</v>
      </c>
      <c r="AD173" s="21" t="s">
        <v>40</v>
      </c>
      <c r="AE173" s="4" t="str">
        <f t="shared" si="2"/>
        <v>EF1 E001 Geo</v>
      </c>
    </row>
    <row r="174" spans="1:31" s="14" customFormat="1" ht="45" x14ac:dyDescent="0.25">
      <c r="A174" s="24" t="s">
        <v>426</v>
      </c>
      <c r="B174" s="21" t="s">
        <v>32</v>
      </c>
      <c r="C174" s="21" t="s">
        <v>110</v>
      </c>
      <c r="D174" s="21" t="s">
        <v>34</v>
      </c>
      <c r="E174" s="23">
        <v>141</v>
      </c>
      <c r="F174" s="23">
        <v>5</v>
      </c>
      <c r="G174" s="23">
        <v>4</v>
      </c>
      <c r="H174" s="31" t="s">
        <v>385</v>
      </c>
      <c r="I174" s="24" t="s">
        <v>111</v>
      </c>
      <c r="J174" s="24"/>
      <c r="K174" s="23"/>
      <c r="L174" s="23"/>
      <c r="M174" s="24"/>
      <c r="N174" s="24"/>
      <c r="O174" s="27" t="s">
        <v>427</v>
      </c>
      <c r="P174" s="27"/>
      <c r="Q174" s="27"/>
      <c r="R174" s="23"/>
      <c r="S174" s="25"/>
      <c r="T174" s="25"/>
      <c r="U174" s="25"/>
      <c r="V174" s="25"/>
      <c r="W174" s="25"/>
      <c r="X174" s="23" t="s">
        <v>297</v>
      </c>
      <c r="Y174" s="4" t="str">
        <f>IF(Tabela2[[#This Row],[SIGLA]]="","",VLOOKUP(Tabela2[[#This Row],[SIGLA]],Tabela14[[#All],[Sigla Arte]:[Crédito]],2,0))</f>
        <v>VICTOR LEMOS/ARQUIVO DA EDITORA</v>
      </c>
      <c r="Z174" s="24"/>
      <c r="AA174" s="24" t="str">
        <f>Tabela2[[#This Row],[ILUSTRADOR CRIAÇÃO]]</f>
        <v>VICTOR LEMOS/ARQUIVO DA EDITORA</v>
      </c>
      <c r="AB174" s="23"/>
      <c r="AC174" s="21"/>
      <c r="AD174" s="21"/>
      <c r="AE174" s="4" t="str">
        <f t="shared" si="2"/>
        <v>EF1 E001 Geo</v>
      </c>
    </row>
    <row r="175" spans="1:31" s="14" customFormat="1" ht="45" x14ac:dyDescent="0.25">
      <c r="A175" s="24" t="s">
        <v>428</v>
      </c>
      <c r="B175" s="21" t="s">
        <v>32</v>
      </c>
      <c r="C175" s="21" t="s">
        <v>110</v>
      </c>
      <c r="D175" s="21" t="s">
        <v>34</v>
      </c>
      <c r="E175" s="23">
        <v>150</v>
      </c>
      <c r="F175" s="23">
        <v>5</v>
      </c>
      <c r="G175" s="23">
        <v>4</v>
      </c>
      <c r="H175" s="23"/>
      <c r="I175" s="24" t="s">
        <v>111</v>
      </c>
      <c r="J175" s="24"/>
      <c r="K175" s="23"/>
      <c r="L175" s="23"/>
      <c r="M175" s="24"/>
      <c r="N175" s="24"/>
      <c r="O175" s="27" t="s">
        <v>429</v>
      </c>
      <c r="P175" s="27"/>
      <c r="Q175" s="27"/>
      <c r="R175" s="23"/>
      <c r="S175" s="25"/>
      <c r="T175" s="25"/>
      <c r="U175" s="25"/>
      <c r="V175" s="25"/>
      <c r="W175" s="25"/>
      <c r="X175" s="23" t="s">
        <v>283</v>
      </c>
      <c r="Y175" s="4" t="str">
        <f>IF(Tabela2[[#This Row],[SIGLA]]="","",VLOOKUP(Tabela2[[#This Row],[SIGLA]],Tabela14[[#All],[Sigla Arte]:[Crédito]],2,0))</f>
        <v>REINALDO ROSA/ARQUIVO DA EDITORA</v>
      </c>
      <c r="Z175" s="24"/>
      <c r="AA175" s="24" t="str">
        <f>Tabela2[[#This Row],[ILUSTRADOR CRIAÇÃO]]</f>
        <v>REINALDO ROSA/ARQUIVO DA EDITORA</v>
      </c>
      <c r="AB175" s="23"/>
      <c r="AC175" s="21"/>
      <c r="AD175" s="21"/>
      <c r="AE175" s="4" t="str">
        <f t="shared" si="2"/>
        <v>EF1 E001 Geo</v>
      </c>
    </row>
    <row r="176" spans="1:31" s="14" customFormat="1" ht="45" x14ac:dyDescent="0.25">
      <c r="A176" s="24" t="s">
        <v>430</v>
      </c>
      <c r="B176" s="21" t="s">
        <v>32</v>
      </c>
      <c r="C176" s="21" t="s">
        <v>110</v>
      </c>
      <c r="D176" s="21" t="s">
        <v>34</v>
      </c>
      <c r="E176" s="23">
        <v>150</v>
      </c>
      <c r="F176" s="23">
        <v>5</v>
      </c>
      <c r="G176" s="23">
        <v>4</v>
      </c>
      <c r="H176" s="23"/>
      <c r="I176" s="24" t="s">
        <v>111</v>
      </c>
      <c r="J176" s="24"/>
      <c r="K176" s="23"/>
      <c r="L176" s="23"/>
      <c r="M176" s="24"/>
      <c r="N176" s="24"/>
      <c r="O176" s="27" t="s">
        <v>431</v>
      </c>
      <c r="P176" s="27"/>
      <c r="Q176" s="27"/>
      <c r="R176" s="23"/>
      <c r="S176" s="25"/>
      <c r="T176" s="25"/>
      <c r="U176" s="25"/>
      <c r="V176" s="25"/>
      <c r="W176" s="25"/>
      <c r="X176" s="23" t="s">
        <v>283</v>
      </c>
      <c r="Y176" s="4" t="str">
        <f>IF(Tabela2[[#This Row],[SIGLA]]="","",VLOOKUP(Tabela2[[#This Row],[SIGLA]],Tabela14[[#All],[Sigla Arte]:[Crédito]],2,0))</f>
        <v>REINALDO ROSA/ARQUIVO DA EDITORA</v>
      </c>
      <c r="Z176" s="24"/>
      <c r="AA176" s="24" t="str">
        <f>Tabela2[[#This Row],[ILUSTRADOR CRIAÇÃO]]</f>
        <v>REINALDO ROSA/ARQUIVO DA EDITORA</v>
      </c>
      <c r="AB176" s="23"/>
      <c r="AC176" s="21"/>
      <c r="AD176" s="21"/>
      <c r="AE176" s="4" t="str">
        <f t="shared" si="2"/>
        <v>EF1 E001 Geo</v>
      </c>
    </row>
    <row r="177" spans="1:31" s="14" customFormat="1" ht="45" x14ac:dyDescent="0.25">
      <c r="A177" s="24" t="s">
        <v>432</v>
      </c>
      <c r="B177" s="21" t="s">
        <v>32</v>
      </c>
      <c r="C177" s="21" t="s">
        <v>110</v>
      </c>
      <c r="D177" s="21" t="s">
        <v>34</v>
      </c>
      <c r="E177" s="23">
        <v>150</v>
      </c>
      <c r="F177" s="23">
        <v>5</v>
      </c>
      <c r="G177" s="23">
        <v>4</v>
      </c>
      <c r="H177" s="23"/>
      <c r="I177" s="24" t="s">
        <v>111</v>
      </c>
      <c r="J177" s="24"/>
      <c r="K177" s="23"/>
      <c r="L177" s="23"/>
      <c r="M177" s="24"/>
      <c r="N177" s="24"/>
      <c r="O177" s="27" t="s">
        <v>433</v>
      </c>
      <c r="P177" s="27"/>
      <c r="Q177" s="27"/>
      <c r="R177" s="23"/>
      <c r="S177" s="25"/>
      <c r="T177" s="25"/>
      <c r="U177" s="25"/>
      <c r="V177" s="25"/>
      <c r="W177" s="25"/>
      <c r="X177" s="23" t="s">
        <v>283</v>
      </c>
      <c r="Y177" s="4" t="str">
        <f>IF(Tabela2[[#This Row],[SIGLA]]="","",VLOOKUP(Tabela2[[#This Row],[SIGLA]],Tabela14[[#All],[Sigla Arte]:[Crédito]],2,0))</f>
        <v>REINALDO ROSA/ARQUIVO DA EDITORA</v>
      </c>
      <c r="Z177" s="24"/>
      <c r="AA177" s="24" t="str">
        <f>Tabela2[[#This Row],[ILUSTRADOR CRIAÇÃO]]</f>
        <v>REINALDO ROSA/ARQUIVO DA EDITORA</v>
      </c>
      <c r="AB177" s="23"/>
      <c r="AC177" s="21"/>
      <c r="AD177" s="21"/>
      <c r="AE177" s="4" t="str">
        <f t="shared" si="2"/>
        <v>EF1 E001 Geo</v>
      </c>
    </row>
    <row r="178" spans="1:31" s="14" customFormat="1" ht="45" x14ac:dyDescent="0.25">
      <c r="A178" s="24" t="s">
        <v>434</v>
      </c>
      <c r="B178" s="21" t="s">
        <v>32</v>
      </c>
      <c r="C178" s="21" t="s">
        <v>110</v>
      </c>
      <c r="D178" s="21" t="s">
        <v>34</v>
      </c>
      <c r="E178" s="23">
        <v>150</v>
      </c>
      <c r="F178" s="23">
        <v>5</v>
      </c>
      <c r="G178" s="23">
        <v>4</v>
      </c>
      <c r="H178" s="23"/>
      <c r="I178" s="24" t="s">
        <v>111</v>
      </c>
      <c r="J178" s="24"/>
      <c r="K178" s="23"/>
      <c r="L178" s="23"/>
      <c r="M178" s="24"/>
      <c r="N178" s="24"/>
      <c r="O178" s="27" t="s">
        <v>435</v>
      </c>
      <c r="P178" s="27"/>
      <c r="Q178" s="27"/>
      <c r="R178" s="23"/>
      <c r="S178" s="25"/>
      <c r="T178" s="25"/>
      <c r="U178" s="25"/>
      <c r="V178" s="25"/>
      <c r="W178" s="25"/>
      <c r="X178" s="23" t="s">
        <v>283</v>
      </c>
      <c r="Y178" s="4" t="str">
        <f>IF(Tabela2[[#This Row],[SIGLA]]="","",VLOOKUP(Tabela2[[#This Row],[SIGLA]],Tabela14[[#All],[Sigla Arte]:[Crédito]],2,0))</f>
        <v>REINALDO ROSA/ARQUIVO DA EDITORA</v>
      </c>
      <c r="Z178" s="24"/>
      <c r="AA178" s="24" t="str">
        <f>Tabela2[[#This Row],[ILUSTRADOR CRIAÇÃO]]</f>
        <v>REINALDO ROSA/ARQUIVO DA EDITORA</v>
      </c>
      <c r="AB178" s="23"/>
      <c r="AC178" s="21"/>
      <c r="AD178" s="21"/>
      <c r="AE178" s="4" t="str">
        <f t="shared" si="2"/>
        <v>EF1 E001 Geo</v>
      </c>
    </row>
    <row r="179" spans="1:31" s="14" customFormat="1" ht="45" x14ac:dyDescent="0.25">
      <c r="A179" s="24" t="s">
        <v>436</v>
      </c>
      <c r="B179" s="21" t="s">
        <v>32</v>
      </c>
      <c r="C179" s="21" t="s">
        <v>110</v>
      </c>
      <c r="D179" s="21" t="s">
        <v>34</v>
      </c>
      <c r="E179" s="23">
        <v>150</v>
      </c>
      <c r="F179" s="23">
        <v>5</v>
      </c>
      <c r="G179" s="23">
        <v>4</v>
      </c>
      <c r="H179" s="23"/>
      <c r="I179" s="24" t="s">
        <v>111</v>
      </c>
      <c r="J179" s="24"/>
      <c r="K179" s="23"/>
      <c r="L179" s="23"/>
      <c r="M179" s="24"/>
      <c r="N179" s="24"/>
      <c r="O179" s="27" t="s">
        <v>437</v>
      </c>
      <c r="P179" s="27"/>
      <c r="Q179" s="27"/>
      <c r="R179" s="23"/>
      <c r="S179" s="25"/>
      <c r="T179" s="25"/>
      <c r="U179" s="25"/>
      <c r="V179" s="25"/>
      <c r="W179" s="25"/>
      <c r="X179" s="23" t="s">
        <v>283</v>
      </c>
      <c r="Y179" s="4" t="str">
        <f>IF(Tabela2[[#This Row],[SIGLA]]="","",VLOOKUP(Tabela2[[#This Row],[SIGLA]],Tabela14[[#All],[Sigla Arte]:[Crédito]],2,0))</f>
        <v>REINALDO ROSA/ARQUIVO DA EDITORA</v>
      </c>
      <c r="Z179" s="24"/>
      <c r="AA179" s="24" t="str">
        <f>Tabela2[[#This Row],[ILUSTRADOR CRIAÇÃO]]</f>
        <v>REINALDO ROSA/ARQUIVO DA EDITORA</v>
      </c>
      <c r="AB179" s="23"/>
      <c r="AC179" s="21"/>
      <c r="AD179" s="21"/>
      <c r="AE179" s="4" t="str">
        <f t="shared" si="2"/>
        <v>EF1 E001 Geo</v>
      </c>
    </row>
    <row r="180" spans="1:31" s="14" customFormat="1" ht="75" x14ac:dyDescent="0.25">
      <c r="A180" s="24" t="s">
        <v>438</v>
      </c>
      <c r="B180" s="21" t="s">
        <v>88</v>
      </c>
      <c r="C180" s="21" t="s">
        <v>110</v>
      </c>
      <c r="D180" s="21" t="s">
        <v>34</v>
      </c>
      <c r="E180" s="23">
        <v>153</v>
      </c>
      <c r="F180" s="23">
        <v>5</v>
      </c>
      <c r="G180" s="23"/>
      <c r="H180" s="23"/>
      <c r="I180" s="24" t="s">
        <v>35</v>
      </c>
      <c r="J180" s="24"/>
      <c r="K180" s="23"/>
      <c r="L180" s="23"/>
      <c r="M180" s="24"/>
      <c r="N180" s="24"/>
      <c r="O180" s="27" t="s">
        <v>439</v>
      </c>
      <c r="P180" s="27"/>
      <c r="Q180" s="27" t="s">
        <v>404</v>
      </c>
      <c r="R180" s="23">
        <v>5</v>
      </c>
      <c r="S180" s="25">
        <v>45727</v>
      </c>
      <c r="T180" s="25">
        <v>45727</v>
      </c>
      <c r="U180" s="25"/>
      <c r="V180" s="25"/>
      <c r="W180" s="25">
        <v>45728</v>
      </c>
      <c r="X180" s="23" t="s">
        <v>197</v>
      </c>
      <c r="Y180" s="4" t="str">
        <f>IF(Tabela2[[#This Row],[SIGLA]]="","",VLOOKUP(Tabela2[[#This Row],[SIGLA]],Tabela14[[#All],[Sigla Arte]:[Crédito]],2,0))</f>
        <v>HELOÍSA PINTARELLI/ARQUIVO DA EDITORA</v>
      </c>
      <c r="Z180" s="24" t="s">
        <v>362</v>
      </c>
      <c r="AA180" s="24" t="str">
        <f>Tabela2[[#This Row],[ILUSTRADOR CRIAÇÃO]]</f>
        <v>HELOÍSA PINTARELLI/ARQUIVO DA EDITORA</v>
      </c>
      <c r="AB180" s="23">
        <v>14</v>
      </c>
      <c r="AC180" s="21"/>
      <c r="AD180" s="21" t="s">
        <v>40</v>
      </c>
      <c r="AE180" s="4" t="str">
        <f t="shared" si="2"/>
        <v>EF1 E001 Geo</v>
      </c>
    </row>
    <row r="181" spans="1:31" s="14" customFormat="1" ht="75" x14ac:dyDescent="0.25">
      <c r="A181" s="24" t="s">
        <v>440</v>
      </c>
      <c r="B181" s="21" t="s">
        <v>88</v>
      </c>
      <c r="C181" s="21" t="s">
        <v>110</v>
      </c>
      <c r="D181" s="21" t="s">
        <v>34</v>
      </c>
      <c r="E181" s="23">
        <v>153</v>
      </c>
      <c r="F181" s="23">
        <v>5</v>
      </c>
      <c r="G181" s="23"/>
      <c r="H181" s="23"/>
      <c r="I181" s="24" t="s">
        <v>35</v>
      </c>
      <c r="J181" s="24"/>
      <c r="K181" s="23"/>
      <c r="L181" s="23"/>
      <c r="M181" s="24"/>
      <c r="N181" s="24"/>
      <c r="O181" s="27" t="s">
        <v>441</v>
      </c>
      <c r="P181" s="27"/>
      <c r="Q181" s="27" t="s">
        <v>404</v>
      </c>
      <c r="R181" s="23">
        <v>5</v>
      </c>
      <c r="S181" s="25">
        <v>45727</v>
      </c>
      <c r="T181" s="25">
        <v>45727</v>
      </c>
      <c r="U181" s="25"/>
      <c r="V181" s="25"/>
      <c r="W181" s="25">
        <v>45728</v>
      </c>
      <c r="X181" s="23" t="s">
        <v>197</v>
      </c>
      <c r="Y181" s="4" t="str">
        <f>IF(Tabela2[[#This Row],[SIGLA]]="","",VLOOKUP(Tabela2[[#This Row],[SIGLA]],Tabela14[[#All],[Sigla Arte]:[Crédito]],2,0))</f>
        <v>HELOÍSA PINTARELLI/ARQUIVO DA EDITORA</v>
      </c>
      <c r="Z181" s="24" t="s">
        <v>362</v>
      </c>
      <c r="AA181" s="24" t="str">
        <f>Tabela2[[#This Row],[ILUSTRADOR CRIAÇÃO]]</f>
        <v>HELOÍSA PINTARELLI/ARQUIVO DA EDITORA</v>
      </c>
      <c r="AB181" s="23">
        <v>14</v>
      </c>
      <c r="AC181" s="21"/>
      <c r="AD181" s="21" t="s">
        <v>40</v>
      </c>
      <c r="AE181" s="4" t="str">
        <f t="shared" si="2"/>
        <v>EF1 E001 Geo</v>
      </c>
    </row>
    <row r="182" spans="1:31" s="14" customFormat="1" ht="45" x14ac:dyDescent="0.25">
      <c r="A182" s="24" t="s">
        <v>442</v>
      </c>
      <c r="B182" s="21" t="s">
        <v>423</v>
      </c>
      <c r="C182" s="21" t="s">
        <v>110</v>
      </c>
      <c r="D182" s="21" t="s">
        <v>34</v>
      </c>
      <c r="E182" s="23">
        <v>155</v>
      </c>
      <c r="F182" s="23">
        <v>5</v>
      </c>
      <c r="G182" s="23">
        <v>4</v>
      </c>
      <c r="H182" s="23"/>
      <c r="I182" s="24" t="s">
        <v>35</v>
      </c>
      <c r="J182" s="24"/>
      <c r="K182" s="23"/>
      <c r="L182" s="23"/>
      <c r="M182" s="24"/>
      <c r="N182" s="24"/>
      <c r="O182" s="27" t="s">
        <v>443</v>
      </c>
      <c r="P182" s="27"/>
      <c r="Q182" s="27"/>
      <c r="R182" s="23">
        <v>27</v>
      </c>
      <c r="S182" s="25">
        <v>45904</v>
      </c>
      <c r="T182" s="25">
        <v>45904</v>
      </c>
      <c r="U182" s="25"/>
      <c r="V182" s="25"/>
      <c r="W182" s="25">
        <v>45905</v>
      </c>
      <c r="X182" s="23" t="s">
        <v>197</v>
      </c>
      <c r="Y182" s="4" t="str">
        <f>IF(Tabela2[[#This Row],[SIGLA]]="","",VLOOKUP(Tabela2[[#This Row],[SIGLA]],Tabela14[[#All],[Sigla Arte]:[Crédito]],2,0))</f>
        <v>HELOÍSA PINTARELLI/ARQUIVO DA EDITORA</v>
      </c>
      <c r="Z182" s="24" t="s">
        <v>84</v>
      </c>
      <c r="AA182" s="24" t="str">
        <f>Tabela2[[#This Row],[ILUSTRADOR CRIAÇÃO]]</f>
        <v>HELOÍSA PINTARELLI/ARQUIVO DA EDITORA</v>
      </c>
      <c r="AB182" s="23">
        <v>13</v>
      </c>
      <c r="AC182" s="21" t="s">
        <v>425</v>
      </c>
      <c r="AD182" s="21" t="s">
        <v>40</v>
      </c>
      <c r="AE182" s="4" t="str">
        <f t="shared" si="2"/>
        <v>EF1 E001 Geo</v>
      </c>
    </row>
    <row r="183" spans="1:31" s="14" customFormat="1" ht="45" x14ac:dyDescent="0.25">
      <c r="A183" s="24" t="s">
        <v>444</v>
      </c>
      <c r="B183" s="21" t="s">
        <v>32</v>
      </c>
      <c r="C183" s="21" t="s">
        <v>110</v>
      </c>
      <c r="D183" s="21" t="s">
        <v>34</v>
      </c>
      <c r="E183" s="23">
        <v>169</v>
      </c>
      <c r="F183" s="23">
        <v>5</v>
      </c>
      <c r="G183" s="23">
        <v>4</v>
      </c>
      <c r="H183" s="23"/>
      <c r="I183" s="24" t="s">
        <v>111</v>
      </c>
      <c r="J183" s="24"/>
      <c r="K183" s="23"/>
      <c r="L183" s="23"/>
      <c r="M183" s="24"/>
      <c r="N183" s="24"/>
      <c r="O183" s="27" t="s">
        <v>445</v>
      </c>
      <c r="P183" s="27"/>
      <c r="Q183" s="27"/>
      <c r="R183" s="23"/>
      <c r="S183" s="25"/>
      <c r="T183" s="25"/>
      <c r="U183" s="25"/>
      <c r="V183" s="25"/>
      <c r="W183" s="25"/>
      <c r="X183" s="23" t="s">
        <v>197</v>
      </c>
      <c r="Y183" s="4" t="str">
        <f>IF(Tabela2[[#This Row],[SIGLA]]="","",VLOOKUP(Tabela2[[#This Row],[SIGLA]],Tabela14[[#All],[Sigla Arte]:[Crédito]],2,0))</f>
        <v>HELOÍSA PINTARELLI/ARQUIVO DA EDITORA</v>
      </c>
      <c r="Z183" s="24"/>
      <c r="AA183" s="24" t="str">
        <f>Tabela2[[#This Row],[ILUSTRADOR CRIAÇÃO]]</f>
        <v>HELOÍSA PINTARELLI/ARQUIVO DA EDITORA</v>
      </c>
      <c r="AB183" s="23"/>
      <c r="AC183" s="21"/>
      <c r="AD183" s="21"/>
      <c r="AE183" s="4" t="str">
        <f t="shared" si="2"/>
        <v>EF1 E001 Geo</v>
      </c>
    </row>
    <row r="184" spans="1:31" s="14" customFormat="1" ht="30" x14ac:dyDescent="0.25">
      <c r="A184" s="24" t="s">
        <v>446</v>
      </c>
      <c r="B184" s="21" t="s">
        <v>32</v>
      </c>
      <c r="C184" s="21" t="s">
        <v>110</v>
      </c>
      <c r="D184" s="21" t="s">
        <v>34</v>
      </c>
      <c r="E184" s="23">
        <v>169</v>
      </c>
      <c r="F184" s="23">
        <v>5</v>
      </c>
      <c r="G184" s="23">
        <v>4</v>
      </c>
      <c r="H184" s="23"/>
      <c r="I184" s="24" t="s">
        <v>111</v>
      </c>
      <c r="J184" s="24"/>
      <c r="K184" s="23"/>
      <c r="L184" s="23"/>
      <c r="M184" s="24"/>
      <c r="N184" s="24"/>
      <c r="O184" s="27" t="s">
        <v>447</v>
      </c>
      <c r="P184" s="27"/>
      <c r="Q184" s="27"/>
      <c r="R184" s="23"/>
      <c r="S184" s="25"/>
      <c r="T184" s="25"/>
      <c r="U184" s="25"/>
      <c r="V184" s="25"/>
      <c r="W184" s="25"/>
      <c r="X184" s="23" t="s">
        <v>197</v>
      </c>
      <c r="Y184" s="4" t="str">
        <f>IF(Tabela2[[#This Row],[SIGLA]]="","",VLOOKUP(Tabela2[[#This Row],[SIGLA]],Tabela14[[#All],[Sigla Arte]:[Crédito]],2,0))</f>
        <v>HELOÍSA PINTARELLI/ARQUIVO DA EDITORA</v>
      </c>
      <c r="Z184" s="24"/>
      <c r="AA184" s="24" t="str">
        <f>Tabela2[[#This Row],[ILUSTRADOR CRIAÇÃO]]</f>
        <v>HELOÍSA PINTARELLI/ARQUIVO DA EDITORA</v>
      </c>
      <c r="AB184" s="23"/>
      <c r="AC184" s="21"/>
      <c r="AD184" s="21"/>
      <c r="AE184" s="4" t="str">
        <f t="shared" si="2"/>
        <v>EF1 E001 Geo</v>
      </c>
    </row>
    <row r="185" spans="1:31" s="14" customFormat="1" ht="45" x14ac:dyDescent="0.25">
      <c r="A185" s="24" t="s">
        <v>448</v>
      </c>
      <c r="B185" s="21" t="s">
        <v>32</v>
      </c>
      <c r="C185" s="21" t="s">
        <v>110</v>
      </c>
      <c r="D185" s="21" t="s">
        <v>34</v>
      </c>
      <c r="E185" s="23">
        <v>169</v>
      </c>
      <c r="F185" s="23">
        <v>5</v>
      </c>
      <c r="G185" s="23">
        <v>4</v>
      </c>
      <c r="H185" s="23"/>
      <c r="I185" s="24" t="s">
        <v>111</v>
      </c>
      <c r="J185" s="24"/>
      <c r="K185" s="23"/>
      <c r="L185" s="23"/>
      <c r="M185" s="24"/>
      <c r="N185" s="24"/>
      <c r="O185" s="27" t="s">
        <v>449</v>
      </c>
      <c r="P185" s="27"/>
      <c r="Q185" s="27"/>
      <c r="R185" s="23"/>
      <c r="S185" s="25"/>
      <c r="T185" s="25"/>
      <c r="U185" s="25"/>
      <c r="V185" s="25"/>
      <c r="W185" s="25"/>
      <c r="X185" s="23" t="s">
        <v>197</v>
      </c>
      <c r="Y185" s="4" t="str">
        <f>IF(Tabela2[[#This Row],[SIGLA]]="","",VLOOKUP(Tabela2[[#This Row],[SIGLA]],Tabela14[[#All],[Sigla Arte]:[Crédito]],2,0))</f>
        <v>HELOÍSA PINTARELLI/ARQUIVO DA EDITORA</v>
      </c>
      <c r="Z185" s="24"/>
      <c r="AA185" s="24" t="str">
        <f>Tabela2[[#This Row],[ILUSTRADOR CRIAÇÃO]]</f>
        <v>HELOÍSA PINTARELLI/ARQUIVO DA EDITORA</v>
      </c>
      <c r="AB185" s="23"/>
      <c r="AC185" s="21"/>
      <c r="AD185" s="21"/>
      <c r="AE185" s="4" t="str">
        <f t="shared" si="2"/>
        <v>EF1 E001 Geo</v>
      </c>
    </row>
    <row r="186" spans="1:31" s="14" customFormat="1" ht="45" x14ac:dyDescent="0.25">
      <c r="A186" s="24" t="s">
        <v>450</v>
      </c>
      <c r="B186" s="21" t="s">
        <v>32</v>
      </c>
      <c r="C186" s="21" t="s">
        <v>110</v>
      </c>
      <c r="D186" s="21" t="s">
        <v>34</v>
      </c>
      <c r="E186" s="23">
        <v>169</v>
      </c>
      <c r="F186" s="23">
        <v>5</v>
      </c>
      <c r="G186" s="23">
        <v>4</v>
      </c>
      <c r="H186" s="23"/>
      <c r="I186" s="24" t="s">
        <v>111</v>
      </c>
      <c r="J186" s="24"/>
      <c r="K186" s="23"/>
      <c r="L186" s="23"/>
      <c r="M186" s="24"/>
      <c r="N186" s="24"/>
      <c r="O186" s="27" t="s">
        <v>451</v>
      </c>
      <c r="P186" s="27"/>
      <c r="Q186" s="27"/>
      <c r="R186" s="23"/>
      <c r="S186" s="25"/>
      <c r="T186" s="25"/>
      <c r="U186" s="25"/>
      <c r="V186" s="25"/>
      <c r="W186" s="25"/>
      <c r="X186" s="23" t="s">
        <v>197</v>
      </c>
      <c r="Y186" s="4" t="str">
        <f>IF(Tabela2[[#This Row],[SIGLA]]="","",VLOOKUP(Tabela2[[#This Row],[SIGLA]],Tabela14[[#All],[Sigla Arte]:[Crédito]],2,0))</f>
        <v>HELOÍSA PINTARELLI/ARQUIVO DA EDITORA</v>
      </c>
      <c r="Z186" s="24"/>
      <c r="AA186" s="24" t="str">
        <f>Tabela2[[#This Row],[ILUSTRADOR CRIAÇÃO]]</f>
        <v>HELOÍSA PINTARELLI/ARQUIVO DA EDITORA</v>
      </c>
      <c r="AB186" s="23"/>
      <c r="AC186" s="21"/>
      <c r="AD186" s="21"/>
      <c r="AE186" s="4" t="str">
        <f t="shared" si="2"/>
        <v>EF1 E001 Geo</v>
      </c>
    </row>
    <row r="187" spans="1:31" s="14" customFormat="1" ht="45" x14ac:dyDescent="0.25">
      <c r="A187" s="24" t="s">
        <v>452</v>
      </c>
      <c r="B187" s="21" t="s">
        <v>32</v>
      </c>
      <c r="C187" s="21" t="s">
        <v>110</v>
      </c>
      <c r="D187" s="21" t="s">
        <v>34</v>
      </c>
      <c r="E187" s="23">
        <v>169</v>
      </c>
      <c r="F187" s="23">
        <v>5</v>
      </c>
      <c r="G187" s="23">
        <v>4</v>
      </c>
      <c r="H187" s="23"/>
      <c r="I187" s="24" t="s">
        <v>111</v>
      </c>
      <c r="J187" s="24"/>
      <c r="K187" s="23"/>
      <c r="L187" s="23"/>
      <c r="M187" s="24"/>
      <c r="N187" s="24"/>
      <c r="O187" s="27" t="s">
        <v>453</v>
      </c>
      <c r="P187" s="27"/>
      <c r="Q187" s="27"/>
      <c r="R187" s="23"/>
      <c r="S187" s="25"/>
      <c r="T187" s="25"/>
      <c r="U187" s="25"/>
      <c r="V187" s="25"/>
      <c r="W187" s="25"/>
      <c r="X187" s="23" t="s">
        <v>197</v>
      </c>
      <c r="Y187" s="4" t="str">
        <f>IF(Tabela2[[#This Row],[SIGLA]]="","",VLOOKUP(Tabela2[[#This Row],[SIGLA]],Tabela14[[#All],[Sigla Arte]:[Crédito]],2,0))</f>
        <v>HELOÍSA PINTARELLI/ARQUIVO DA EDITORA</v>
      </c>
      <c r="Z187" s="24"/>
      <c r="AA187" s="24" t="str">
        <f>Tabela2[[#This Row],[ILUSTRADOR CRIAÇÃO]]</f>
        <v>HELOÍSA PINTARELLI/ARQUIVO DA EDITORA</v>
      </c>
      <c r="AB187" s="23"/>
      <c r="AC187" s="21"/>
      <c r="AD187" s="21"/>
      <c r="AE187" s="4" t="str">
        <f t="shared" si="2"/>
        <v>EF1 E001 Geo</v>
      </c>
    </row>
    <row r="188" spans="1:31" s="14" customFormat="1" ht="45" x14ac:dyDescent="0.25">
      <c r="A188" s="24" t="s">
        <v>454</v>
      </c>
      <c r="B188" s="21" t="s">
        <v>88</v>
      </c>
      <c r="C188" s="21" t="s">
        <v>110</v>
      </c>
      <c r="D188" s="21" t="s">
        <v>34</v>
      </c>
      <c r="E188" s="23">
        <v>169</v>
      </c>
      <c r="F188" s="23">
        <v>5</v>
      </c>
      <c r="G188" s="23">
        <v>4</v>
      </c>
      <c r="H188" s="23"/>
      <c r="I188" s="24" t="s">
        <v>111</v>
      </c>
      <c r="J188" s="24"/>
      <c r="K188" s="23"/>
      <c r="L188" s="23"/>
      <c r="M188" s="24"/>
      <c r="N188" s="24"/>
      <c r="O188" s="27" t="s">
        <v>455</v>
      </c>
      <c r="P188" s="27"/>
      <c r="Q188" s="27"/>
      <c r="R188" s="23"/>
      <c r="S188" s="25"/>
      <c r="T188" s="25"/>
      <c r="U188" s="25"/>
      <c r="V188" s="25"/>
      <c r="W188" s="25"/>
      <c r="X188" s="23" t="s">
        <v>197</v>
      </c>
      <c r="Y188" s="4" t="str">
        <f>IF(Tabela2[[#This Row],[SIGLA]]="","",VLOOKUP(Tabela2[[#This Row],[SIGLA]],Tabela14[[#All],[Sigla Arte]:[Crédito]],2,0))</f>
        <v>HELOÍSA PINTARELLI/ARQUIVO DA EDITORA</v>
      </c>
      <c r="Z188" s="24"/>
      <c r="AA188" s="24" t="str">
        <f>Tabela2[[#This Row],[ILUSTRADOR CRIAÇÃO]]</f>
        <v>HELOÍSA PINTARELLI/ARQUIVO DA EDITORA</v>
      </c>
      <c r="AB188" s="23"/>
      <c r="AC188" s="21"/>
      <c r="AD188" s="21"/>
      <c r="AE188" s="4" t="str">
        <f t="shared" si="2"/>
        <v>EF1 E001 Geo</v>
      </c>
    </row>
    <row r="189" spans="1:31" s="14" customFormat="1" ht="135" x14ac:dyDescent="0.25">
      <c r="A189" s="24" t="s">
        <v>456</v>
      </c>
      <c r="B189" s="21" t="s">
        <v>88</v>
      </c>
      <c r="C189" s="21" t="s">
        <v>110</v>
      </c>
      <c r="D189" s="21" t="s">
        <v>34</v>
      </c>
      <c r="E189" s="23">
        <v>35</v>
      </c>
      <c r="F189" s="23">
        <v>3</v>
      </c>
      <c r="G189" s="23">
        <v>1</v>
      </c>
      <c r="H189" s="23"/>
      <c r="I189" s="24" t="s">
        <v>276</v>
      </c>
      <c r="J189" s="24"/>
      <c r="K189" s="23"/>
      <c r="L189" s="23"/>
      <c r="M189" s="24"/>
      <c r="N189" s="24"/>
      <c r="O189" s="27" t="s">
        <v>457</v>
      </c>
      <c r="P189" s="27"/>
      <c r="Q189" s="27"/>
      <c r="R189" s="23">
        <v>6</v>
      </c>
      <c r="S189" s="25">
        <v>45737</v>
      </c>
      <c r="T189" s="25">
        <v>45740</v>
      </c>
      <c r="U189" s="25">
        <v>45742</v>
      </c>
      <c r="V189" s="25">
        <v>45744</v>
      </c>
      <c r="W189" s="25">
        <v>45747</v>
      </c>
      <c r="X189" s="23" t="s">
        <v>458</v>
      </c>
      <c r="Y189" s="4" t="str">
        <f>IF(Tabela2[[#This Row],[SIGLA]]="","",VLOOKUP(Tabela2[[#This Row],[SIGLA]],Tabela14[[#All],[Sigla Arte]:[Crédito]],2,0))</f>
        <v>WERLLEN HOLANDA/ARQUIVO DA EDITORA</v>
      </c>
      <c r="Z189" s="24"/>
      <c r="AA189" s="24" t="str">
        <f>Tabela2[[#This Row],[ILUSTRADOR CRIAÇÃO]]</f>
        <v>WERLLEN HOLANDA/ARQUIVO DA EDITORA</v>
      </c>
      <c r="AB189" s="23">
        <v>7</v>
      </c>
      <c r="AC189" s="21" t="s">
        <v>459</v>
      </c>
      <c r="AD189" s="21" t="s">
        <v>460</v>
      </c>
      <c r="AE189" s="4" t="str">
        <f t="shared" si="2"/>
        <v>EF1 E001 Geo</v>
      </c>
    </row>
    <row r="190" spans="1:31" s="14" customFormat="1" ht="75" x14ac:dyDescent="0.25">
      <c r="A190" s="24" t="s">
        <v>461</v>
      </c>
      <c r="B190" s="21" t="s">
        <v>88</v>
      </c>
      <c r="C190" s="21" t="s">
        <v>110</v>
      </c>
      <c r="D190" s="21" t="s">
        <v>34</v>
      </c>
      <c r="E190" s="23">
        <v>35</v>
      </c>
      <c r="F190" s="23">
        <v>3</v>
      </c>
      <c r="G190" s="23">
        <v>1</v>
      </c>
      <c r="H190" s="23"/>
      <c r="I190" s="24" t="s">
        <v>276</v>
      </c>
      <c r="J190" s="24"/>
      <c r="K190" s="23"/>
      <c r="L190" s="23"/>
      <c r="M190" s="24"/>
      <c r="N190" s="24"/>
      <c r="O190" s="27" t="s">
        <v>462</v>
      </c>
      <c r="P190" s="27"/>
      <c r="Q190" s="27"/>
      <c r="R190" s="23">
        <v>6</v>
      </c>
      <c r="S190" s="25">
        <v>45737</v>
      </c>
      <c r="T190" s="25">
        <v>45740</v>
      </c>
      <c r="U190" s="25">
        <v>45742</v>
      </c>
      <c r="V190" s="25">
        <v>45744</v>
      </c>
      <c r="W190" s="25">
        <v>45747</v>
      </c>
      <c r="X190" s="23" t="s">
        <v>458</v>
      </c>
      <c r="Y190" s="4" t="str">
        <f>IF(Tabela2[[#This Row],[SIGLA]]="","",VLOOKUP(Tabela2[[#This Row],[SIGLA]],Tabela14[[#All],[Sigla Arte]:[Crédito]],2,0))</f>
        <v>WERLLEN HOLANDA/ARQUIVO DA EDITORA</v>
      </c>
      <c r="Z190" s="24"/>
      <c r="AA190" s="24" t="str">
        <f>Tabela2[[#This Row],[ILUSTRADOR CRIAÇÃO]]</f>
        <v>WERLLEN HOLANDA/ARQUIVO DA EDITORA</v>
      </c>
      <c r="AB190" s="23">
        <v>7</v>
      </c>
      <c r="AC190" s="21" t="s">
        <v>459</v>
      </c>
      <c r="AD190" s="21" t="s">
        <v>460</v>
      </c>
      <c r="AE190" s="4" t="str">
        <f t="shared" si="2"/>
        <v>EF1 E001 Geo</v>
      </c>
    </row>
    <row r="191" spans="1:31" s="14" customFormat="1" ht="75" x14ac:dyDescent="0.25">
      <c r="A191" s="24" t="s">
        <v>463</v>
      </c>
      <c r="B191" s="21" t="s">
        <v>88</v>
      </c>
      <c r="C191" s="21" t="s">
        <v>110</v>
      </c>
      <c r="D191" s="21" t="s">
        <v>34</v>
      </c>
      <c r="E191" s="23">
        <v>35</v>
      </c>
      <c r="F191" s="23">
        <v>3</v>
      </c>
      <c r="G191" s="23">
        <v>1</v>
      </c>
      <c r="H191" s="23"/>
      <c r="I191" s="24" t="s">
        <v>276</v>
      </c>
      <c r="J191" s="24"/>
      <c r="K191" s="23"/>
      <c r="L191" s="23"/>
      <c r="M191" s="24"/>
      <c r="N191" s="24"/>
      <c r="O191" s="27" t="s">
        <v>464</v>
      </c>
      <c r="P191" s="27"/>
      <c r="Q191" s="27"/>
      <c r="R191" s="23">
        <v>6</v>
      </c>
      <c r="S191" s="25">
        <v>45737</v>
      </c>
      <c r="T191" s="25">
        <v>45740</v>
      </c>
      <c r="U191" s="25">
        <v>45742</v>
      </c>
      <c r="V191" s="25">
        <v>45744</v>
      </c>
      <c r="W191" s="25">
        <v>45747</v>
      </c>
      <c r="X191" s="23" t="s">
        <v>458</v>
      </c>
      <c r="Y191" s="4" t="str">
        <f>IF(Tabela2[[#This Row],[SIGLA]]="","",VLOOKUP(Tabela2[[#This Row],[SIGLA]],Tabela14[[#All],[Sigla Arte]:[Crédito]],2,0))</f>
        <v>WERLLEN HOLANDA/ARQUIVO DA EDITORA</v>
      </c>
      <c r="Z191" s="24"/>
      <c r="AA191" s="24" t="str">
        <f>Tabela2[[#This Row],[ILUSTRADOR CRIAÇÃO]]</f>
        <v>WERLLEN HOLANDA/ARQUIVO DA EDITORA</v>
      </c>
      <c r="AB191" s="23">
        <v>7</v>
      </c>
      <c r="AC191" s="21" t="s">
        <v>459</v>
      </c>
      <c r="AD191" s="21" t="s">
        <v>460</v>
      </c>
      <c r="AE191" s="4" t="str">
        <f t="shared" si="2"/>
        <v>EF1 E001 Geo</v>
      </c>
    </row>
    <row r="192" spans="1:31" s="14" customFormat="1" ht="105" x14ac:dyDescent="0.25">
      <c r="A192" s="24" t="s">
        <v>465</v>
      </c>
      <c r="B192" s="21" t="s">
        <v>88</v>
      </c>
      <c r="C192" s="21" t="s">
        <v>110</v>
      </c>
      <c r="D192" s="21" t="s">
        <v>34</v>
      </c>
      <c r="E192" s="23">
        <v>35</v>
      </c>
      <c r="F192" s="23">
        <v>3</v>
      </c>
      <c r="G192" s="23">
        <v>1</v>
      </c>
      <c r="H192" s="23"/>
      <c r="I192" s="24" t="s">
        <v>276</v>
      </c>
      <c r="J192" s="24"/>
      <c r="K192" s="23"/>
      <c r="L192" s="23"/>
      <c r="M192" s="24"/>
      <c r="N192" s="24"/>
      <c r="O192" s="27" t="s">
        <v>466</v>
      </c>
      <c r="P192" s="27"/>
      <c r="Q192" s="27"/>
      <c r="R192" s="23">
        <v>6</v>
      </c>
      <c r="S192" s="25">
        <v>45737</v>
      </c>
      <c r="T192" s="25">
        <v>45740</v>
      </c>
      <c r="U192" s="25">
        <v>45742</v>
      </c>
      <c r="V192" s="25">
        <v>45744</v>
      </c>
      <c r="W192" s="25">
        <v>45747</v>
      </c>
      <c r="X192" s="23" t="s">
        <v>458</v>
      </c>
      <c r="Y192" s="4" t="str">
        <f>IF(Tabela2[[#This Row],[SIGLA]]="","",VLOOKUP(Tabela2[[#This Row],[SIGLA]],Tabela14[[#All],[Sigla Arte]:[Crédito]],2,0))</f>
        <v>WERLLEN HOLANDA/ARQUIVO DA EDITORA</v>
      </c>
      <c r="Z192" s="24"/>
      <c r="AA192" s="24" t="str">
        <f>Tabela2[[#This Row],[ILUSTRADOR CRIAÇÃO]]</f>
        <v>WERLLEN HOLANDA/ARQUIVO DA EDITORA</v>
      </c>
      <c r="AB192" s="23">
        <v>13</v>
      </c>
      <c r="AC192" s="21" t="s">
        <v>459</v>
      </c>
      <c r="AD192" s="21" t="s">
        <v>460</v>
      </c>
      <c r="AE192" s="4" t="str">
        <f t="shared" si="2"/>
        <v>EF1 E001 Geo</v>
      </c>
    </row>
    <row r="193" spans="1:31" s="14" customFormat="1" ht="105" x14ac:dyDescent="0.25">
      <c r="A193" s="24" t="s">
        <v>467</v>
      </c>
      <c r="B193" s="21" t="s">
        <v>88</v>
      </c>
      <c r="C193" s="21" t="s">
        <v>110</v>
      </c>
      <c r="D193" s="21" t="s">
        <v>34</v>
      </c>
      <c r="E193" s="23">
        <v>35</v>
      </c>
      <c r="F193" s="23">
        <v>3</v>
      </c>
      <c r="G193" s="23">
        <v>1</v>
      </c>
      <c r="H193" s="23"/>
      <c r="I193" s="24" t="s">
        <v>276</v>
      </c>
      <c r="J193" s="24"/>
      <c r="K193" s="23"/>
      <c r="L193" s="23"/>
      <c r="M193" s="24"/>
      <c r="N193" s="24"/>
      <c r="O193" s="27" t="s">
        <v>468</v>
      </c>
      <c r="P193" s="27"/>
      <c r="Q193" s="27"/>
      <c r="R193" s="23">
        <v>6</v>
      </c>
      <c r="S193" s="25">
        <v>45737</v>
      </c>
      <c r="T193" s="25">
        <v>45740</v>
      </c>
      <c r="U193" s="25">
        <v>45742</v>
      </c>
      <c r="V193" s="25">
        <v>45744</v>
      </c>
      <c r="W193" s="25">
        <v>45747</v>
      </c>
      <c r="X193" s="23" t="s">
        <v>458</v>
      </c>
      <c r="Y193" s="4" t="str">
        <f>IF(Tabela2[[#This Row],[SIGLA]]="","",VLOOKUP(Tabela2[[#This Row],[SIGLA]],Tabela14[[#All],[Sigla Arte]:[Crédito]],2,0))</f>
        <v>WERLLEN HOLANDA/ARQUIVO DA EDITORA</v>
      </c>
      <c r="Z193" s="24"/>
      <c r="AA193" s="24" t="str">
        <f>Tabela2[[#This Row],[ILUSTRADOR CRIAÇÃO]]</f>
        <v>WERLLEN HOLANDA/ARQUIVO DA EDITORA</v>
      </c>
      <c r="AB193" s="23">
        <v>13</v>
      </c>
      <c r="AC193" s="21" t="s">
        <v>459</v>
      </c>
      <c r="AD193" s="21" t="s">
        <v>460</v>
      </c>
      <c r="AE193" s="4" t="str">
        <f t="shared" si="2"/>
        <v>EF1 E001 Geo</v>
      </c>
    </row>
    <row r="194" spans="1:31" s="14" customFormat="1" ht="105" x14ac:dyDescent="0.25">
      <c r="A194" s="24" t="s">
        <v>469</v>
      </c>
      <c r="B194" s="21" t="s">
        <v>88</v>
      </c>
      <c r="C194" s="21" t="s">
        <v>110</v>
      </c>
      <c r="D194" s="21" t="s">
        <v>34</v>
      </c>
      <c r="E194" s="23">
        <v>35</v>
      </c>
      <c r="F194" s="23">
        <v>3</v>
      </c>
      <c r="G194" s="23">
        <v>1</v>
      </c>
      <c r="H194" s="23"/>
      <c r="I194" s="24" t="s">
        <v>276</v>
      </c>
      <c r="J194" s="24"/>
      <c r="K194" s="23"/>
      <c r="L194" s="23"/>
      <c r="M194" s="24"/>
      <c r="N194" s="24"/>
      <c r="O194" s="27" t="s">
        <v>470</v>
      </c>
      <c r="P194" s="27"/>
      <c r="Q194" s="27"/>
      <c r="R194" s="23">
        <v>6</v>
      </c>
      <c r="S194" s="25">
        <v>45737</v>
      </c>
      <c r="T194" s="25">
        <v>45740</v>
      </c>
      <c r="U194" s="25">
        <v>45742</v>
      </c>
      <c r="V194" s="25">
        <v>45744</v>
      </c>
      <c r="W194" s="25">
        <v>45747</v>
      </c>
      <c r="X194" s="23" t="s">
        <v>458</v>
      </c>
      <c r="Y194" s="4" t="str">
        <f>IF(Tabela2[[#This Row],[SIGLA]]="","",VLOOKUP(Tabela2[[#This Row],[SIGLA]],Tabela14[[#All],[Sigla Arte]:[Crédito]],2,0))</f>
        <v>WERLLEN HOLANDA/ARQUIVO DA EDITORA</v>
      </c>
      <c r="Z194" s="24"/>
      <c r="AA194" s="24" t="str">
        <f>Tabela2[[#This Row],[ILUSTRADOR CRIAÇÃO]]</f>
        <v>WERLLEN HOLANDA/ARQUIVO DA EDITORA</v>
      </c>
      <c r="AB194" s="23">
        <v>13</v>
      </c>
      <c r="AC194" s="21" t="s">
        <v>459</v>
      </c>
      <c r="AD194" s="21" t="s">
        <v>460</v>
      </c>
      <c r="AE194" s="4" t="str">
        <f t="shared" ref="AE194:AE257" si="3">"EF1 E001 Geo"</f>
        <v>EF1 E001 Geo</v>
      </c>
    </row>
    <row r="195" spans="1:31" s="14" customFormat="1" ht="120" x14ac:dyDescent="0.25">
      <c r="A195" s="24" t="s">
        <v>471</v>
      </c>
      <c r="B195" s="21" t="s">
        <v>32</v>
      </c>
      <c r="C195" s="21" t="s">
        <v>110</v>
      </c>
      <c r="D195" s="21" t="s">
        <v>34</v>
      </c>
      <c r="E195" s="23">
        <v>54</v>
      </c>
      <c r="F195" s="23">
        <v>3</v>
      </c>
      <c r="G195" s="23">
        <v>2</v>
      </c>
      <c r="H195" s="23"/>
      <c r="I195" s="24" t="s">
        <v>276</v>
      </c>
      <c r="J195" s="24"/>
      <c r="K195" s="23"/>
      <c r="L195" s="23"/>
      <c r="M195" s="24"/>
      <c r="N195" s="24"/>
      <c r="O195" s="27" t="s">
        <v>472</v>
      </c>
      <c r="P195" s="27"/>
      <c r="Q195" s="27"/>
      <c r="R195" s="23">
        <v>7</v>
      </c>
      <c r="S195" s="25"/>
      <c r="T195" s="25">
        <v>45756</v>
      </c>
      <c r="U195" s="25">
        <v>45762</v>
      </c>
      <c r="V195" s="25">
        <v>45770</v>
      </c>
      <c r="W195" s="25">
        <v>45775</v>
      </c>
      <c r="X195" s="23" t="s">
        <v>458</v>
      </c>
      <c r="Y195" s="4" t="str">
        <f>IF(Tabela2[[#This Row],[SIGLA]]="","",VLOOKUP(Tabela2[[#This Row],[SIGLA]],Tabela14[[#All],[Sigla Arte]:[Crédito]],2,0))</f>
        <v>WERLLEN HOLANDA/ARQUIVO DA EDITORA</v>
      </c>
      <c r="Z195" s="24"/>
      <c r="AA195" s="24" t="str">
        <f>Tabela2[[#This Row],[ILUSTRADOR CRIAÇÃO]]</f>
        <v>WERLLEN HOLANDA/ARQUIVO DA EDITORA</v>
      </c>
      <c r="AB195" s="23">
        <v>5</v>
      </c>
      <c r="AC195" s="21" t="s">
        <v>473</v>
      </c>
      <c r="AD195" s="21" t="s">
        <v>460</v>
      </c>
      <c r="AE195" s="4" t="str">
        <f t="shared" si="3"/>
        <v>EF1 E001 Geo</v>
      </c>
    </row>
    <row r="196" spans="1:31" s="14" customFormat="1" ht="135" x14ac:dyDescent="0.25">
      <c r="A196" s="24" t="s">
        <v>474</v>
      </c>
      <c r="B196" s="21" t="s">
        <v>32</v>
      </c>
      <c r="C196" s="21" t="s">
        <v>110</v>
      </c>
      <c r="D196" s="21" t="s">
        <v>34</v>
      </c>
      <c r="E196" s="23">
        <v>55</v>
      </c>
      <c r="F196" s="23">
        <v>3</v>
      </c>
      <c r="G196" s="23">
        <v>2</v>
      </c>
      <c r="H196" s="23"/>
      <c r="I196" s="24" t="s">
        <v>276</v>
      </c>
      <c r="J196" s="24"/>
      <c r="K196" s="23"/>
      <c r="L196" s="23"/>
      <c r="M196" s="24"/>
      <c r="N196" s="24"/>
      <c r="O196" s="27" t="s">
        <v>475</v>
      </c>
      <c r="P196" s="27"/>
      <c r="Q196" s="27"/>
      <c r="R196" s="23">
        <v>7</v>
      </c>
      <c r="S196" s="25"/>
      <c r="T196" s="25">
        <v>45756</v>
      </c>
      <c r="U196" s="25">
        <v>45762</v>
      </c>
      <c r="V196" s="25">
        <v>45770</v>
      </c>
      <c r="W196" s="25">
        <v>45775</v>
      </c>
      <c r="X196" s="23" t="s">
        <v>458</v>
      </c>
      <c r="Y196" s="4" t="str">
        <f>IF(Tabela2[[#This Row],[SIGLA]]="","",VLOOKUP(Tabela2[[#This Row],[SIGLA]],Tabela14[[#All],[Sigla Arte]:[Crédito]],2,0))</f>
        <v>WERLLEN HOLANDA/ARQUIVO DA EDITORA</v>
      </c>
      <c r="Z196" s="24"/>
      <c r="AA196" s="24" t="str">
        <f>Tabela2[[#This Row],[ILUSTRADOR CRIAÇÃO]]</f>
        <v>WERLLEN HOLANDA/ARQUIVO DA EDITORA</v>
      </c>
      <c r="AB196" s="23">
        <v>6</v>
      </c>
      <c r="AC196" s="21" t="s">
        <v>473</v>
      </c>
      <c r="AD196" s="21" t="s">
        <v>460</v>
      </c>
      <c r="AE196" s="4" t="str">
        <f t="shared" si="3"/>
        <v>EF1 E001 Geo</v>
      </c>
    </row>
    <row r="197" spans="1:31" s="14" customFormat="1" ht="60" x14ac:dyDescent="0.25">
      <c r="A197" s="24" t="s">
        <v>476</v>
      </c>
      <c r="B197" s="21" t="s">
        <v>32</v>
      </c>
      <c r="C197" s="21" t="s">
        <v>110</v>
      </c>
      <c r="D197" s="21" t="s">
        <v>34</v>
      </c>
      <c r="E197" s="23">
        <v>55</v>
      </c>
      <c r="F197" s="23">
        <v>3</v>
      </c>
      <c r="G197" s="23">
        <v>2</v>
      </c>
      <c r="H197" s="23"/>
      <c r="I197" s="24" t="s">
        <v>276</v>
      </c>
      <c r="J197" s="24"/>
      <c r="K197" s="23"/>
      <c r="L197" s="23"/>
      <c r="M197" s="24"/>
      <c r="N197" s="24"/>
      <c r="O197" s="27" t="s">
        <v>477</v>
      </c>
      <c r="P197" s="27"/>
      <c r="Q197" s="27"/>
      <c r="R197" s="23">
        <v>7</v>
      </c>
      <c r="S197" s="25"/>
      <c r="T197" s="25">
        <v>45756</v>
      </c>
      <c r="U197" s="25">
        <v>45762</v>
      </c>
      <c r="V197" s="25">
        <v>45770</v>
      </c>
      <c r="W197" s="25">
        <v>45775</v>
      </c>
      <c r="X197" s="23" t="s">
        <v>458</v>
      </c>
      <c r="Y197" s="4" t="str">
        <f>IF(Tabela2[[#This Row],[SIGLA]]="","",VLOOKUP(Tabela2[[#This Row],[SIGLA]],Tabela14[[#All],[Sigla Arte]:[Crédito]],2,0))</f>
        <v>WERLLEN HOLANDA/ARQUIVO DA EDITORA</v>
      </c>
      <c r="Z197" s="24"/>
      <c r="AA197" s="24" t="str">
        <f>Tabela2[[#This Row],[ILUSTRADOR CRIAÇÃO]]</f>
        <v>WERLLEN HOLANDA/ARQUIVO DA EDITORA</v>
      </c>
      <c r="AB197" s="23">
        <v>7</v>
      </c>
      <c r="AC197" s="32" t="s">
        <v>473</v>
      </c>
      <c r="AD197" s="21" t="s">
        <v>460</v>
      </c>
      <c r="AE197" s="4" t="str">
        <f t="shared" si="3"/>
        <v>EF1 E001 Geo</v>
      </c>
    </row>
    <row r="198" spans="1:31" s="14" customFormat="1" ht="45" x14ac:dyDescent="0.25">
      <c r="A198" s="24" t="s">
        <v>478</v>
      </c>
      <c r="B198" s="21" t="s">
        <v>32</v>
      </c>
      <c r="C198" s="21" t="s">
        <v>110</v>
      </c>
      <c r="D198" s="21" t="s">
        <v>34</v>
      </c>
      <c r="E198" s="23">
        <v>55</v>
      </c>
      <c r="F198" s="23">
        <v>3</v>
      </c>
      <c r="G198" s="23">
        <v>2</v>
      </c>
      <c r="H198" s="23"/>
      <c r="I198" s="24" t="s">
        <v>276</v>
      </c>
      <c r="J198" s="24"/>
      <c r="K198" s="23"/>
      <c r="L198" s="23"/>
      <c r="M198" s="24"/>
      <c r="N198" s="24"/>
      <c r="O198" s="27" t="s">
        <v>479</v>
      </c>
      <c r="P198" s="27"/>
      <c r="Q198" s="27"/>
      <c r="R198" s="23">
        <v>7</v>
      </c>
      <c r="S198" s="25"/>
      <c r="T198" s="25">
        <v>45756</v>
      </c>
      <c r="U198" s="25">
        <v>45762</v>
      </c>
      <c r="V198" s="25">
        <v>45770</v>
      </c>
      <c r="W198" s="25">
        <v>45775</v>
      </c>
      <c r="X198" s="23" t="s">
        <v>458</v>
      </c>
      <c r="Y198" s="4" t="str">
        <f>IF(Tabela2[[#This Row],[SIGLA]]="","",VLOOKUP(Tabela2[[#This Row],[SIGLA]],Tabela14[[#All],[Sigla Arte]:[Crédito]],2,0))</f>
        <v>WERLLEN HOLANDA/ARQUIVO DA EDITORA</v>
      </c>
      <c r="Z198" s="24"/>
      <c r="AA198" s="24" t="str">
        <f>Tabela2[[#This Row],[ILUSTRADOR CRIAÇÃO]]</f>
        <v>WERLLEN HOLANDA/ARQUIVO DA EDITORA</v>
      </c>
      <c r="AB198" s="23">
        <v>13</v>
      </c>
      <c r="AC198" s="32" t="s">
        <v>473</v>
      </c>
      <c r="AD198" s="21" t="s">
        <v>460</v>
      </c>
      <c r="AE198" s="4" t="str">
        <f t="shared" si="3"/>
        <v>EF1 E001 Geo</v>
      </c>
    </row>
    <row r="199" spans="1:31" s="14" customFormat="1" ht="120" x14ac:dyDescent="0.25">
      <c r="A199" s="24" t="s">
        <v>480</v>
      </c>
      <c r="B199" s="21" t="s">
        <v>74</v>
      </c>
      <c r="C199" s="21" t="s">
        <v>110</v>
      </c>
      <c r="D199" s="21" t="s">
        <v>34</v>
      </c>
      <c r="E199" s="23">
        <v>56</v>
      </c>
      <c r="F199" s="23">
        <v>3</v>
      </c>
      <c r="G199" s="23">
        <v>2</v>
      </c>
      <c r="H199" s="23"/>
      <c r="I199" s="24" t="s">
        <v>35</v>
      </c>
      <c r="J199" s="24"/>
      <c r="K199" s="23"/>
      <c r="L199" s="23"/>
      <c r="M199" s="24"/>
      <c r="N199" s="24"/>
      <c r="O199" s="27" t="s">
        <v>481</v>
      </c>
      <c r="P199" s="27"/>
      <c r="Q199" s="27"/>
      <c r="R199" s="23">
        <v>7</v>
      </c>
      <c r="S199" s="25"/>
      <c r="T199" s="25">
        <v>45756</v>
      </c>
      <c r="U199" s="25"/>
      <c r="V199" s="25"/>
      <c r="W199" s="25">
        <v>45756</v>
      </c>
      <c r="X199" s="23" t="s">
        <v>142</v>
      </c>
      <c r="Y199" s="4" t="str">
        <f>IF(Tabela2[[#This Row],[SIGLA]]="","",VLOOKUP(Tabela2[[#This Row],[SIGLA]],Tabela14[[#All],[Sigla Arte]:[Crédito]],2,0))</f>
        <v>GUSTAVO RAMOS/ARQUIVO DA EDITORA</v>
      </c>
      <c r="Z199" s="24" t="s">
        <v>128</v>
      </c>
      <c r="AA199" s="24" t="str">
        <f>Tabela2[[#This Row],[ILUSTRADOR CRIAÇÃO]]</f>
        <v>GUSTAVO RAMOS/ARQUIVO DA EDITORA</v>
      </c>
      <c r="AB199" s="23">
        <v>13</v>
      </c>
      <c r="AC199" s="21"/>
      <c r="AD199" s="21" t="s">
        <v>40</v>
      </c>
      <c r="AE199" s="4" t="str">
        <f t="shared" si="3"/>
        <v>EF1 E001 Geo</v>
      </c>
    </row>
    <row r="200" spans="1:31" s="14" customFormat="1" ht="135" x14ac:dyDescent="0.25">
      <c r="A200" s="24" t="s">
        <v>482</v>
      </c>
      <c r="B200" s="21" t="s">
        <v>32</v>
      </c>
      <c r="C200" s="21" t="s">
        <v>110</v>
      </c>
      <c r="D200" s="21" t="s">
        <v>34</v>
      </c>
      <c r="E200" s="23">
        <v>64</v>
      </c>
      <c r="F200" s="23">
        <v>3</v>
      </c>
      <c r="G200" s="23">
        <v>2</v>
      </c>
      <c r="H200" s="23"/>
      <c r="I200" s="24" t="s">
        <v>276</v>
      </c>
      <c r="J200" s="24"/>
      <c r="K200" s="23"/>
      <c r="L200" s="23"/>
      <c r="M200" s="24"/>
      <c r="N200" s="24"/>
      <c r="O200" s="27" t="s">
        <v>483</v>
      </c>
      <c r="P200" s="27"/>
      <c r="Q200" s="27"/>
      <c r="R200" s="23">
        <v>7</v>
      </c>
      <c r="S200" s="25"/>
      <c r="T200" s="25">
        <v>45756</v>
      </c>
      <c r="U200" s="25">
        <v>45762</v>
      </c>
      <c r="V200" s="25">
        <v>45770</v>
      </c>
      <c r="W200" s="25">
        <v>45775</v>
      </c>
      <c r="X200" s="23" t="s">
        <v>458</v>
      </c>
      <c r="Y200" s="4" t="str">
        <f>IF(Tabela2[[#This Row],[SIGLA]]="","",VLOOKUP(Tabela2[[#This Row],[SIGLA]],Tabela14[[#All],[Sigla Arte]:[Crédito]],2,0))</f>
        <v>WERLLEN HOLANDA/ARQUIVO DA EDITORA</v>
      </c>
      <c r="Z200" s="24"/>
      <c r="AA200" s="24" t="str">
        <f>Tabela2[[#This Row],[ILUSTRADOR CRIAÇÃO]]</f>
        <v>WERLLEN HOLANDA/ARQUIVO DA EDITORA</v>
      </c>
      <c r="AB200" s="23">
        <v>5</v>
      </c>
      <c r="AC200" s="32" t="s">
        <v>473</v>
      </c>
      <c r="AD200" s="21" t="s">
        <v>460</v>
      </c>
      <c r="AE200" s="4" t="str">
        <f t="shared" si="3"/>
        <v>EF1 E001 Geo</v>
      </c>
    </row>
    <row r="201" spans="1:31" s="14" customFormat="1" ht="75" x14ac:dyDescent="0.25">
      <c r="A201" s="24" t="s">
        <v>484</v>
      </c>
      <c r="B201" s="21" t="s">
        <v>74</v>
      </c>
      <c r="C201" s="21" t="s">
        <v>110</v>
      </c>
      <c r="D201" s="21" t="s">
        <v>34</v>
      </c>
      <c r="E201" s="23">
        <v>64</v>
      </c>
      <c r="F201" s="23">
        <v>3</v>
      </c>
      <c r="G201" s="23">
        <v>2</v>
      </c>
      <c r="H201" s="23"/>
      <c r="I201" s="24" t="s">
        <v>276</v>
      </c>
      <c r="J201" s="24"/>
      <c r="K201" s="23"/>
      <c r="L201" s="23"/>
      <c r="M201" s="24"/>
      <c r="N201" s="24"/>
      <c r="O201" s="27" t="s">
        <v>485</v>
      </c>
      <c r="P201" s="27"/>
      <c r="Q201" s="27"/>
      <c r="R201" s="23">
        <v>7</v>
      </c>
      <c r="S201" s="25"/>
      <c r="T201" s="25">
        <v>45756</v>
      </c>
      <c r="U201" s="25">
        <v>45762</v>
      </c>
      <c r="V201" s="25"/>
      <c r="W201" s="25"/>
      <c r="X201" s="23" t="s">
        <v>458</v>
      </c>
      <c r="Y201" s="4" t="str">
        <f>IF(Tabela2[[#This Row],[SIGLA]]="","",VLOOKUP(Tabela2[[#This Row],[SIGLA]],Tabela14[[#All],[Sigla Arte]:[Crédito]],2,0))</f>
        <v>WERLLEN HOLANDA/ARQUIVO DA EDITORA</v>
      </c>
      <c r="Z201" s="24"/>
      <c r="AA201" s="24" t="str">
        <f>Tabela2[[#This Row],[ILUSTRADOR CRIAÇÃO]]</f>
        <v>WERLLEN HOLANDA/ARQUIVO DA EDITORA</v>
      </c>
      <c r="AB201" s="23">
        <v>6</v>
      </c>
      <c r="AC201" s="33" t="s">
        <v>486</v>
      </c>
      <c r="AD201" s="21" t="s">
        <v>487</v>
      </c>
      <c r="AE201" s="4" t="str">
        <f t="shared" si="3"/>
        <v>EF1 E001 Geo</v>
      </c>
    </row>
    <row r="202" spans="1:31" s="14" customFormat="1" ht="165" x14ac:dyDescent="0.25">
      <c r="A202" s="24" t="s">
        <v>488</v>
      </c>
      <c r="B202" s="21" t="s">
        <v>32</v>
      </c>
      <c r="C202" s="21" t="s">
        <v>110</v>
      </c>
      <c r="D202" s="21" t="s">
        <v>34</v>
      </c>
      <c r="E202" s="23">
        <v>65</v>
      </c>
      <c r="F202" s="23">
        <v>3</v>
      </c>
      <c r="G202" s="23">
        <v>2</v>
      </c>
      <c r="H202" s="23"/>
      <c r="I202" s="24" t="s">
        <v>276</v>
      </c>
      <c r="J202" s="24"/>
      <c r="K202" s="23"/>
      <c r="L202" s="23"/>
      <c r="M202" s="24"/>
      <c r="N202" s="24"/>
      <c r="O202" s="27" t="s">
        <v>489</v>
      </c>
      <c r="P202" s="27"/>
      <c r="Q202" s="27"/>
      <c r="R202" s="23">
        <v>7</v>
      </c>
      <c r="S202" s="25"/>
      <c r="T202" s="25">
        <v>45756</v>
      </c>
      <c r="U202" s="25">
        <v>45762</v>
      </c>
      <c r="V202" s="25">
        <v>45770</v>
      </c>
      <c r="W202" s="25">
        <v>45775</v>
      </c>
      <c r="X202" s="23" t="s">
        <v>458</v>
      </c>
      <c r="Y202" s="4" t="str">
        <f>IF(Tabela2[[#This Row],[SIGLA]]="","",VLOOKUP(Tabela2[[#This Row],[SIGLA]],Tabela14[[#All],[Sigla Arte]:[Crédito]],2,0))</f>
        <v>WERLLEN HOLANDA/ARQUIVO DA EDITORA</v>
      </c>
      <c r="Z202" s="24"/>
      <c r="AA202" s="24" t="str">
        <f>Tabela2[[#This Row],[ILUSTRADOR CRIAÇÃO]]</f>
        <v>WERLLEN HOLANDA/ARQUIVO DA EDITORA</v>
      </c>
      <c r="AB202" s="23">
        <v>6</v>
      </c>
      <c r="AC202" s="32" t="s">
        <v>473</v>
      </c>
      <c r="AD202" s="21" t="s">
        <v>460</v>
      </c>
      <c r="AE202" s="4" t="str">
        <f t="shared" si="3"/>
        <v>EF1 E001 Geo</v>
      </c>
    </row>
    <row r="203" spans="1:31" s="14" customFormat="1" ht="30" x14ac:dyDescent="0.25">
      <c r="A203" s="24" t="s">
        <v>490</v>
      </c>
      <c r="B203" s="21" t="s">
        <v>32</v>
      </c>
      <c r="C203" s="21" t="s">
        <v>110</v>
      </c>
      <c r="D203" s="21" t="s">
        <v>34</v>
      </c>
      <c r="E203" s="23"/>
      <c r="F203" s="23">
        <v>3</v>
      </c>
      <c r="G203" s="23">
        <v>2</v>
      </c>
      <c r="H203" s="23"/>
      <c r="I203" s="24" t="s">
        <v>276</v>
      </c>
      <c r="J203" s="24"/>
      <c r="K203" s="23"/>
      <c r="L203" s="23"/>
      <c r="M203" s="24"/>
      <c r="N203" s="24"/>
      <c r="O203" s="27" t="s">
        <v>491</v>
      </c>
      <c r="P203" s="27"/>
      <c r="Q203" s="27"/>
      <c r="R203" s="23">
        <v>7</v>
      </c>
      <c r="S203" s="25"/>
      <c r="T203" s="25">
        <v>45756</v>
      </c>
      <c r="U203" s="25">
        <v>45762</v>
      </c>
      <c r="V203" s="25">
        <v>45770</v>
      </c>
      <c r="W203" s="25">
        <v>45775</v>
      </c>
      <c r="X203" s="23" t="s">
        <v>458</v>
      </c>
      <c r="Y203" s="4" t="str">
        <f>IF(Tabela2[[#This Row],[SIGLA]]="","",VLOOKUP(Tabela2[[#This Row],[SIGLA]],Tabela14[[#All],[Sigla Arte]:[Crédito]],2,0))</f>
        <v>WERLLEN HOLANDA/ARQUIVO DA EDITORA</v>
      </c>
      <c r="Z203" s="24" t="s">
        <v>128</v>
      </c>
      <c r="AA203" s="24" t="str">
        <f>Tabela2[[#This Row],[ILUSTRADOR CRIAÇÃO]]</f>
        <v>WERLLEN HOLANDA/ARQUIVO DA EDITORA</v>
      </c>
      <c r="AB203" s="23">
        <v>13</v>
      </c>
      <c r="AC203" s="21" t="s">
        <v>492</v>
      </c>
      <c r="AD203" s="21" t="s">
        <v>40</v>
      </c>
      <c r="AE203" s="4" t="str">
        <f t="shared" si="3"/>
        <v>EF1 E001 Geo</v>
      </c>
    </row>
    <row r="204" spans="1:31" s="14" customFormat="1" ht="30" x14ac:dyDescent="0.25">
      <c r="A204" s="24" t="s">
        <v>493</v>
      </c>
      <c r="B204" s="21" t="s">
        <v>32</v>
      </c>
      <c r="C204" s="21" t="s">
        <v>110</v>
      </c>
      <c r="D204" s="21" t="s">
        <v>34</v>
      </c>
      <c r="E204" s="23"/>
      <c r="F204" s="23">
        <v>3</v>
      </c>
      <c r="G204" s="23">
        <v>2</v>
      </c>
      <c r="H204" s="23"/>
      <c r="I204" s="24" t="s">
        <v>276</v>
      </c>
      <c r="J204" s="24"/>
      <c r="K204" s="23"/>
      <c r="L204" s="23"/>
      <c r="M204" s="24"/>
      <c r="N204" s="24"/>
      <c r="O204" s="27" t="s">
        <v>494</v>
      </c>
      <c r="P204" s="27"/>
      <c r="Q204" s="27"/>
      <c r="R204" s="23">
        <v>7</v>
      </c>
      <c r="S204" s="25"/>
      <c r="T204" s="25">
        <v>45756</v>
      </c>
      <c r="U204" s="25">
        <v>45762</v>
      </c>
      <c r="V204" s="25">
        <v>45770</v>
      </c>
      <c r="W204" s="25">
        <v>45775</v>
      </c>
      <c r="X204" s="23" t="s">
        <v>458</v>
      </c>
      <c r="Y204" s="4" t="str">
        <f>IF(Tabela2[[#This Row],[SIGLA]]="","",VLOOKUP(Tabela2[[#This Row],[SIGLA]],Tabela14[[#All],[Sigla Arte]:[Crédito]],2,0))</f>
        <v>WERLLEN HOLANDA/ARQUIVO DA EDITORA</v>
      </c>
      <c r="Z204" s="24" t="s">
        <v>128</v>
      </c>
      <c r="AA204" s="24" t="str">
        <f>Tabela2[[#This Row],[ILUSTRADOR CRIAÇÃO]]</f>
        <v>WERLLEN HOLANDA/ARQUIVO DA EDITORA</v>
      </c>
      <c r="AB204" s="23">
        <v>13</v>
      </c>
      <c r="AC204" s="21" t="s">
        <v>492</v>
      </c>
      <c r="AD204" s="21" t="s">
        <v>40</v>
      </c>
      <c r="AE204" s="4" t="str">
        <f t="shared" si="3"/>
        <v>EF1 E001 Geo</v>
      </c>
    </row>
    <row r="205" spans="1:31" s="14" customFormat="1" ht="45" x14ac:dyDescent="0.25">
      <c r="A205" s="24" t="s">
        <v>495</v>
      </c>
      <c r="B205" s="21" t="s">
        <v>32</v>
      </c>
      <c r="C205" s="21" t="s">
        <v>110</v>
      </c>
      <c r="D205" s="21" t="s">
        <v>34</v>
      </c>
      <c r="E205" s="23">
        <v>92</v>
      </c>
      <c r="F205" s="23">
        <v>3</v>
      </c>
      <c r="G205" s="23"/>
      <c r="H205" s="23"/>
      <c r="I205" s="24" t="s">
        <v>111</v>
      </c>
      <c r="J205" s="24"/>
      <c r="K205" s="23"/>
      <c r="L205" s="23"/>
      <c r="M205" s="24"/>
      <c r="N205" s="24"/>
      <c r="O205" s="27" t="s">
        <v>496</v>
      </c>
      <c r="P205" s="27"/>
      <c r="Q205" s="27"/>
      <c r="R205" s="23">
        <v>22</v>
      </c>
      <c r="S205" s="25">
        <v>45867</v>
      </c>
      <c r="T205" s="25">
        <v>45868</v>
      </c>
      <c r="U205" s="25"/>
      <c r="V205" s="25"/>
      <c r="W205" s="25">
        <v>45868</v>
      </c>
      <c r="X205" s="23" t="s">
        <v>283</v>
      </c>
      <c r="Y205" s="4" t="str">
        <f>IF(Tabela2[[#This Row],[SIGLA]]="","",VLOOKUP(Tabela2[[#This Row],[SIGLA]],Tabela14[[#All],[Sigla Arte]:[Crédito]],2,0))</f>
        <v>REINALDO ROSA/ARQUIVO DA EDITORA</v>
      </c>
      <c r="Z205" s="24" t="s">
        <v>172</v>
      </c>
      <c r="AA205" s="24" t="str">
        <f>Tabela2[[#This Row],[ILUSTRADOR CRIAÇÃO]]</f>
        <v>REINALDO ROSA/ARQUIVO DA EDITORA</v>
      </c>
      <c r="AB205" s="23">
        <v>13</v>
      </c>
      <c r="AC205" s="21" t="s">
        <v>39</v>
      </c>
      <c r="AD205" s="21" t="s">
        <v>40</v>
      </c>
      <c r="AE205" s="4" t="str">
        <f t="shared" si="3"/>
        <v>EF1 E001 Geo</v>
      </c>
    </row>
    <row r="206" spans="1:31" s="14" customFormat="1" ht="45" x14ac:dyDescent="0.25">
      <c r="A206" s="24" t="s">
        <v>497</v>
      </c>
      <c r="B206" s="21" t="s">
        <v>32</v>
      </c>
      <c r="C206" s="21" t="s">
        <v>110</v>
      </c>
      <c r="D206" s="21" t="s">
        <v>34</v>
      </c>
      <c r="E206" s="23">
        <v>92</v>
      </c>
      <c r="F206" s="23">
        <v>3</v>
      </c>
      <c r="G206" s="23"/>
      <c r="H206" s="23"/>
      <c r="I206" s="24" t="s">
        <v>111</v>
      </c>
      <c r="J206" s="24"/>
      <c r="K206" s="23"/>
      <c r="L206" s="23"/>
      <c r="M206" s="24"/>
      <c r="N206" s="24"/>
      <c r="O206" s="27" t="s">
        <v>498</v>
      </c>
      <c r="P206" s="27"/>
      <c r="Q206" s="27"/>
      <c r="R206" s="23"/>
      <c r="S206" s="25"/>
      <c r="T206" s="25"/>
      <c r="U206" s="25"/>
      <c r="V206" s="25"/>
      <c r="W206" s="25"/>
      <c r="X206" s="23" t="s">
        <v>283</v>
      </c>
      <c r="Y206" s="4" t="str">
        <f>IF(Tabela2[[#This Row],[SIGLA]]="","",VLOOKUP(Tabela2[[#This Row],[SIGLA]],Tabela14[[#All],[Sigla Arte]:[Crédito]],2,0))</f>
        <v>REINALDO ROSA/ARQUIVO DA EDITORA</v>
      </c>
      <c r="Z206" s="24"/>
      <c r="AA206" s="24" t="str">
        <f>Tabela2[[#This Row],[ILUSTRADOR CRIAÇÃO]]</f>
        <v>REINALDO ROSA/ARQUIVO DA EDITORA</v>
      </c>
      <c r="AB206" s="23"/>
      <c r="AC206" s="21"/>
      <c r="AD206" s="21"/>
      <c r="AE206" s="4" t="str">
        <f t="shared" si="3"/>
        <v>EF1 E001 Geo</v>
      </c>
    </row>
    <row r="207" spans="1:31" s="14" customFormat="1" ht="45" x14ac:dyDescent="0.25">
      <c r="A207" s="24" t="s">
        <v>499</v>
      </c>
      <c r="B207" s="21" t="s">
        <v>32</v>
      </c>
      <c r="C207" s="21" t="s">
        <v>110</v>
      </c>
      <c r="D207" s="21" t="s">
        <v>34</v>
      </c>
      <c r="E207" s="23">
        <v>92</v>
      </c>
      <c r="F207" s="23">
        <v>3</v>
      </c>
      <c r="G207" s="23"/>
      <c r="H207" s="23"/>
      <c r="I207" s="24" t="s">
        <v>111</v>
      </c>
      <c r="J207" s="24"/>
      <c r="K207" s="23"/>
      <c r="L207" s="23"/>
      <c r="M207" s="24"/>
      <c r="N207" s="24"/>
      <c r="O207" s="27" t="s">
        <v>500</v>
      </c>
      <c r="P207" s="27"/>
      <c r="Q207" s="27"/>
      <c r="R207" s="23"/>
      <c r="S207" s="25"/>
      <c r="T207" s="25"/>
      <c r="U207" s="25"/>
      <c r="V207" s="25"/>
      <c r="W207" s="25"/>
      <c r="X207" s="23" t="s">
        <v>283</v>
      </c>
      <c r="Y207" s="4" t="str">
        <f>IF(Tabela2[[#This Row],[SIGLA]]="","",VLOOKUP(Tabela2[[#This Row],[SIGLA]],Tabela14[[#All],[Sigla Arte]:[Crédito]],2,0))</f>
        <v>REINALDO ROSA/ARQUIVO DA EDITORA</v>
      </c>
      <c r="Z207" s="24"/>
      <c r="AA207" s="24" t="str">
        <f>Tabela2[[#This Row],[ILUSTRADOR CRIAÇÃO]]</f>
        <v>REINALDO ROSA/ARQUIVO DA EDITORA</v>
      </c>
      <c r="AB207" s="23"/>
      <c r="AC207" s="21"/>
      <c r="AD207" s="21"/>
      <c r="AE207" s="4" t="str">
        <f t="shared" si="3"/>
        <v>EF1 E001 Geo</v>
      </c>
    </row>
    <row r="208" spans="1:31" s="14" customFormat="1" ht="45" x14ac:dyDescent="0.25">
      <c r="A208" s="24" t="s">
        <v>501</v>
      </c>
      <c r="B208" s="21" t="s">
        <v>32</v>
      </c>
      <c r="C208" s="21" t="s">
        <v>110</v>
      </c>
      <c r="D208" s="21" t="s">
        <v>34</v>
      </c>
      <c r="E208" s="23">
        <v>93</v>
      </c>
      <c r="F208" s="23">
        <v>3</v>
      </c>
      <c r="G208" s="23"/>
      <c r="H208" s="23"/>
      <c r="I208" s="24" t="s">
        <v>111</v>
      </c>
      <c r="J208" s="24"/>
      <c r="K208" s="23"/>
      <c r="L208" s="23"/>
      <c r="M208" s="24"/>
      <c r="N208" s="24"/>
      <c r="O208" s="27" t="s">
        <v>502</v>
      </c>
      <c r="P208" s="27"/>
      <c r="Q208" s="27"/>
      <c r="R208" s="23"/>
      <c r="S208" s="25"/>
      <c r="T208" s="25"/>
      <c r="U208" s="25"/>
      <c r="V208" s="25"/>
      <c r="W208" s="25"/>
      <c r="X208" s="23" t="s">
        <v>283</v>
      </c>
      <c r="Y208" s="4" t="str">
        <f>IF(Tabela2[[#This Row],[SIGLA]]="","",VLOOKUP(Tabela2[[#This Row],[SIGLA]],Tabela14[[#All],[Sigla Arte]:[Crédito]],2,0))</f>
        <v>REINALDO ROSA/ARQUIVO DA EDITORA</v>
      </c>
      <c r="Z208" s="24"/>
      <c r="AA208" s="24" t="str">
        <f>Tabela2[[#This Row],[ILUSTRADOR CRIAÇÃO]]</f>
        <v>REINALDO ROSA/ARQUIVO DA EDITORA</v>
      </c>
      <c r="AB208" s="23"/>
      <c r="AC208" s="21"/>
      <c r="AD208" s="21"/>
      <c r="AE208" s="4" t="str">
        <f t="shared" si="3"/>
        <v>EF1 E001 Geo</v>
      </c>
    </row>
    <row r="209" spans="1:31" s="14" customFormat="1" ht="45" x14ac:dyDescent="0.25">
      <c r="A209" s="24" t="s">
        <v>503</v>
      </c>
      <c r="B209" s="21" t="s">
        <v>32</v>
      </c>
      <c r="C209" s="21" t="s">
        <v>110</v>
      </c>
      <c r="D209" s="21" t="s">
        <v>34</v>
      </c>
      <c r="E209" s="23">
        <v>93</v>
      </c>
      <c r="F209" s="23">
        <v>3</v>
      </c>
      <c r="G209" s="23"/>
      <c r="H209" s="23"/>
      <c r="I209" s="24" t="s">
        <v>111</v>
      </c>
      <c r="J209" s="24"/>
      <c r="K209" s="23"/>
      <c r="L209" s="23"/>
      <c r="M209" s="24"/>
      <c r="N209" s="24"/>
      <c r="O209" s="27" t="s">
        <v>504</v>
      </c>
      <c r="P209" s="27"/>
      <c r="Q209" s="27"/>
      <c r="R209" s="23"/>
      <c r="S209" s="25"/>
      <c r="T209" s="25"/>
      <c r="U209" s="25"/>
      <c r="V209" s="25"/>
      <c r="W209" s="25"/>
      <c r="X209" s="23" t="s">
        <v>283</v>
      </c>
      <c r="Y209" s="4" t="str">
        <f>IF(Tabela2[[#This Row],[SIGLA]]="","",VLOOKUP(Tabela2[[#This Row],[SIGLA]],Tabela14[[#All],[Sigla Arte]:[Crédito]],2,0))</f>
        <v>REINALDO ROSA/ARQUIVO DA EDITORA</v>
      </c>
      <c r="Z209" s="24"/>
      <c r="AA209" s="24" t="str">
        <f>Tabela2[[#This Row],[ILUSTRADOR CRIAÇÃO]]</f>
        <v>REINALDO ROSA/ARQUIVO DA EDITORA</v>
      </c>
      <c r="AB209" s="23"/>
      <c r="AC209" s="21"/>
      <c r="AD209" s="21"/>
      <c r="AE209" s="4" t="str">
        <f t="shared" si="3"/>
        <v>EF1 E001 Geo</v>
      </c>
    </row>
    <row r="210" spans="1:31" s="14" customFormat="1" ht="45" x14ac:dyDescent="0.25">
      <c r="A210" s="24" t="s">
        <v>505</v>
      </c>
      <c r="B210" s="21" t="s">
        <v>32</v>
      </c>
      <c r="C210" s="21" t="s">
        <v>110</v>
      </c>
      <c r="D210" s="21" t="s">
        <v>34</v>
      </c>
      <c r="E210" s="23">
        <v>93</v>
      </c>
      <c r="F210" s="23">
        <v>3</v>
      </c>
      <c r="G210" s="23"/>
      <c r="H210" s="23"/>
      <c r="I210" s="24" t="s">
        <v>111</v>
      </c>
      <c r="J210" s="24"/>
      <c r="K210" s="23"/>
      <c r="L210" s="23"/>
      <c r="M210" s="24"/>
      <c r="N210" s="24"/>
      <c r="O210" s="27" t="s">
        <v>506</v>
      </c>
      <c r="P210" s="27"/>
      <c r="Q210" s="27"/>
      <c r="R210" s="23"/>
      <c r="S210" s="25"/>
      <c r="T210" s="25"/>
      <c r="U210" s="25"/>
      <c r="V210" s="25"/>
      <c r="W210" s="25"/>
      <c r="X210" s="23" t="s">
        <v>283</v>
      </c>
      <c r="Y210" s="4" t="str">
        <f>IF(Tabela2[[#This Row],[SIGLA]]="","",VLOOKUP(Tabela2[[#This Row],[SIGLA]],Tabela14[[#All],[Sigla Arte]:[Crédito]],2,0))</f>
        <v>REINALDO ROSA/ARQUIVO DA EDITORA</v>
      </c>
      <c r="Z210" s="24"/>
      <c r="AA210" s="24" t="str">
        <f>Tabela2[[#This Row],[ILUSTRADOR CRIAÇÃO]]</f>
        <v>REINALDO ROSA/ARQUIVO DA EDITORA</v>
      </c>
      <c r="AB210" s="23"/>
      <c r="AC210" s="21"/>
      <c r="AD210" s="21"/>
      <c r="AE210" s="4" t="str">
        <f t="shared" si="3"/>
        <v>EF1 E001 Geo</v>
      </c>
    </row>
    <row r="211" spans="1:31" s="14" customFormat="1" ht="45" x14ac:dyDescent="0.25">
      <c r="A211" s="24" t="s">
        <v>507</v>
      </c>
      <c r="B211" s="21" t="s">
        <v>32</v>
      </c>
      <c r="C211" s="21" t="s">
        <v>110</v>
      </c>
      <c r="D211" s="21" t="s">
        <v>34</v>
      </c>
      <c r="E211" s="23">
        <v>93</v>
      </c>
      <c r="F211" s="23">
        <v>3</v>
      </c>
      <c r="G211" s="23"/>
      <c r="H211" s="23"/>
      <c r="I211" s="24" t="s">
        <v>111</v>
      </c>
      <c r="J211" s="24"/>
      <c r="K211" s="23"/>
      <c r="L211" s="23"/>
      <c r="M211" s="24"/>
      <c r="N211" s="24"/>
      <c r="O211" s="27" t="s">
        <v>508</v>
      </c>
      <c r="P211" s="27"/>
      <c r="Q211" s="27"/>
      <c r="R211" s="23"/>
      <c r="S211" s="25"/>
      <c r="T211" s="25"/>
      <c r="U211" s="25"/>
      <c r="V211" s="25"/>
      <c r="W211" s="25"/>
      <c r="X211" s="23" t="s">
        <v>283</v>
      </c>
      <c r="Y211" s="4" t="str">
        <f>IF(Tabela2[[#This Row],[SIGLA]]="","",VLOOKUP(Tabela2[[#This Row],[SIGLA]],Tabela14[[#All],[Sigla Arte]:[Crédito]],2,0))</f>
        <v>REINALDO ROSA/ARQUIVO DA EDITORA</v>
      </c>
      <c r="Z211" s="24"/>
      <c r="AA211" s="24" t="str">
        <f>Tabela2[[#This Row],[ILUSTRADOR CRIAÇÃO]]</f>
        <v>REINALDO ROSA/ARQUIVO DA EDITORA</v>
      </c>
      <c r="AB211" s="23"/>
      <c r="AC211" s="21"/>
      <c r="AD211" s="21"/>
      <c r="AE211" s="4" t="str">
        <f t="shared" si="3"/>
        <v>EF1 E001 Geo</v>
      </c>
    </row>
    <row r="212" spans="1:31" s="14" customFormat="1" ht="30" x14ac:dyDescent="0.25">
      <c r="A212" s="24" t="s">
        <v>509</v>
      </c>
      <c r="B212" s="21" t="s">
        <v>32</v>
      </c>
      <c r="C212" s="21" t="s">
        <v>110</v>
      </c>
      <c r="D212" s="21" t="s">
        <v>34</v>
      </c>
      <c r="E212" s="23">
        <v>95</v>
      </c>
      <c r="F212" s="23">
        <v>3</v>
      </c>
      <c r="G212" s="23"/>
      <c r="H212" s="23"/>
      <c r="I212" s="24" t="s">
        <v>111</v>
      </c>
      <c r="J212" s="24"/>
      <c r="K212" s="23"/>
      <c r="L212" s="23"/>
      <c r="M212" s="24"/>
      <c r="N212" s="24"/>
      <c r="O212" s="27" t="s">
        <v>510</v>
      </c>
      <c r="P212" s="27"/>
      <c r="Q212" s="27"/>
      <c r="R212" s="23"/>
      <c r="S212" s="25"/>
      <c r="T212" s="25"/>
      <c r="U212" s="25"/>
      <c r="V212" s="25"/>
      <c r="W212" s="25"/>
      <c r="X212" s="23" t="s">
        <v>197</v>
      </c>
      <c r="Y212" s="4" t="str">
        <f>IF(Tabela2[[#This Row],[SIGLA]]="","",VLOOKUP(Tabela2[[#This Row],[SIGLA]],Tabela14[[#All],[Sigla Arte]:[Crédito]],2,0))</f>
        <v>HELOÍSA PINTARELLI/ARQUIVO DA EDITORA</v>
      </c>
      <c r="Z212" s="24"/>
      <c r="AA212" s="24" t="str">
        <f>Tabela2[[#This Row],[ILUSTRADOR CRIAÇÃO]]</f>
        <v>HELOÍSA PINTARELLI/ARQUIVO DA EDITORA</v>
      </c>
      <c r="AB212" s="23"/>
      <c r="AC212" s="21"/>
      <c r="AD212" s="21"/>
      <c r="AE212" s="4" t="str">
        <f t="shared" si="3"/>
        <v>EF1 E001 Geo</v>
      </c>
    </row>
    <row r="213" spans="1:31" s="14" customFormat="1" ht="45" x14ac:dyDescent="0.25">
      <c r="A213" s="24" t="s">
        <v>511</v>
      </c>
      <c r="B213" s="21" t="s">
        <v>32</v>
      </c>
      <c r="C213" s="21" t="s">
        <v>110</v>
      </c>
      <c r="D213" s="21" t="s">
        <v>34</v>
      </c>
      <c r="E213" s="23">
        <v>95</v>
      </c>
      <c r="F213" s="23">
        <v>3</v>
      </c>
      <c r="G213" s="23"/>
      <c r="H213" s="23"/>
      <c r="I213" s="24" t="s">
        <v>111</v>
      </c>
      <c r="J213" s="24"/>
      <c r="K213" s="23"/>
      <c r="L213" s="23"/>
      <c r="M213" s="24"/>
      <c r="N213" s="24"/>
      <c r="O213" s="27" t="s">
        <v>512</v>
      </c>
      <c r="P213" s="27"/>
      <c r="Q213" s="27"/>
      <c r="R213" s="23"/>
      <c r="S213" s="25"/>
      <c r="T213" s="25"/>
      <c r="U213" s="25"/>
      <c r="V213" s="25"/>
      <c r="W213" s="25"/>
      <c r="X213" s="23" t="s">
        <v>197</v>
      </c>
      <c r="Y213" s="4" t="str">
        <f>IF(Tabela2[[#This Row],[SIGLA]]="","",VLOOKUP(Tabela2[[#This Row],[SIGLA]],Tabela14[[#All],[Sigla Arte]:[Crédito]],2,0))</f>
        <v>HELOÍSA PINTARELLI/ARQUIVO DA EDITORA</v>
      </c>
      <c r="Z213" s="24"/>
      <c r="AA213" s="24" t="str">
        <f>Tabela2[[#This Row],[ILUSTRADOR CRIAÇÃO]]</f>
        <v>HELOÍSA PINTARELLI/ARQUIVO DA EDITORA</v>
      </c>
      <c r="AB213" s="23"/>
      <c r="AC213" s="21"/>
      <c r="AD213" s="21"/>
      <c r="AE213" s="4" t="str">
        <f t="shared" si="3"/>
        <v>EF1 E001 Geo</v>
      </c>
    </row>
    <row r="214" spans="1:31" s="14" customFormat="1" ht="30" x14ac:dyDescent="0.25">
      <c r="A214" s="24" t="s">
        <v>513</v>
      </c>
      <c r="B214" s="21" t="s">
        <v>32</v>
      </c>
      <c r="C214" s="21" t="s">
        <v>110</v>
      </c>
      <c r="D214" s="21" t="s">
        <v>34</v>
      </c>
      <c r="E214" s="23">
        <v>95</v>
      </c>
      <c r="F214" s="23">
        <v>3</v>
      </c>
      <c r="G214" s="23"/>
      <c r="H214" s="23"/>
      <c r="I214" s="24" t="s">
        <v>111</v>
      </c>
      <c r="J214" s="24"/>
      <c r="K214" s="23"/>
      <c r="L214" s="23"/>
      <c r="M214" s="24"/>
      <c r="N214" s="24"/>
      <c r="O214" s="27" t="s">
        <v>514</v>
      </c>
      <c r="P214" s="27"/>
      <c r="Q214" s="27"/>
      <c r="R214" s="23"/>
      <c r="S214" s="25"/>
      <c r="T214" s="25"/>
      <c r="U214" s="25"/>
      <c r="V214" s="25"/>
      <c r="W214" s="25"/>
      <c r="X214" s="23" t="s">
        <v>197</v>
      </c>
      <c r="Y214" s="4" t="str">
        <f>IF(Tabela2[[#This Row],[SIGLA]]="","",VLOOKUP(Tabela2[[#This Row],[SIGLA]],Tabela14[[#All],[Sigla Arte]:[Crédito]],2,0))</f>
        <v>HELOÍSA PINTARELLI/ARQUIVO DA EDITORA</v>
      </c>
      <c r="Z214" s="24"/>
      <c r="AA214" s="24" t="str">
        <f>Tabela2[[#This Row],[ILUSTRADOR CRIAÇÃO]]</f>
        <v>HELOÍSA PINTARELLI/ARQUIVO DA EDITORA</v>
      </c>
      <c r="AB214" s="23"/>
      <c r="AC214" s="21"/>
      <c r="AD214" s="21"/>
      <c r="AE214" s="4" t="str">
        <f t="shared" si="3"/>
        <v>EF1 E001 Geo</v>
      </c>
    </row>
    <row r="215" spans="1:31" s="14" customFormat="1" ht="45" x14ac:dyDescent="0.25">
      <c r="A215" s="24" t="s">
        <v>515</v>
      </c>
      <c r="B215" s="21" t="s">
        <v>32</v>
      </c>
      <c r="C215" s="21" t="s">
        <v>110</v>
      </c>
      <c r="D215" s="21" t="s">
        <v>34</v>
      </c>
      <c r="E215" s="23">
        <v>95</v>
      </c>
      <c r="F215" s="23">
        <v>3</v>
      </c>
      <c r="G215" s="23"/>
      <c r="H215" s="23"/>
      <c r="I215" s="24" t="s">
        <v>111</v>
      </c>
      <c r="J215" s="24"/>
      <c r="K215" s="23"/>
      <c r="L215" s="23"/>
      <c r="M215" s="24"/>
      <c r="N215" s="24"/>
      <c r="O215" s="27" t="s">
        <v>516</v>
      </c>
      <c r="P215" s="27"/>
      <c r="Q215" s="27"/>
      <c r="R215" s="23"/>
      <c r="S215" s="25"/>
      <c r="T215" s="25"/>
      <c r="U215" s="25"/>
      <c r="V215" s="25"/>
      <c r="W215" s="25"/>
      <c r="X215" s="23" t="s">
        <v>197</v>
      </c>
      <c r="Y215" s="4" t="str">
        <f>IF(Tabela2[[#This Row],[SIGLA]]="","",VLOOKUP(Tabela2[[#This Row],[SIGLA]],Tabela14[[#All],[Sigla Arte]:[Crédito]],2,0))</f>
        <v>HELOÍSA PINTARELLI/ARQUIVO DA EDITORA</v>
      </c>
      <c r="Z215" s="24"/>
      <c r="AA215" s="24" t="str">
        <f>Tabela2[[#This Row],[ILUSTRADOR CRIAÇÃO]]</f>
        <v>HELOÍSA PINTARELLI/ARQUIVO DA EDITORA</v>
      </c>
      <c r="AB215" s="23"/>
      <c r="AC215" s="21"/>
      <c r="AD215" s="21"/>
      <c r="AE215" s="4" t="str">
        <f t="shared" si="3"/>
        <v>EF1 E001 Geo</v>
      </c>
    </row>
    <row r="216" spans="1:31" s="14" customFormat="1" ht="45" x14ac:dyDescent="0.25">
      <c r="A216" s="24" t="s">
        <v>517</v>
      </c>
      <c r="B216" s="21" t="s">
        <v>32</v>
      </c>
      <c r="C216" s="21" t="s">
        <v>110</v>
      </c>
      <c r="D216" s="21" t="s">
        <v>34</v>
      </c>
      <c r="E216" s="23">
        <v>95</v>
      </c>
      <c r="F216" s="23">
        <v>3</v>
      </c>
      <c r="G216" s="23"/>
      <c r="H216" s="23"/>
      <c r="I216" s="24" t="s">
        <v>111</v>
      </c>
      <c r="J216" s="24"/>
      <c r="K216" s="23"/>
      <c r="L216" s="23"/>
      <c r="M216" s="24"/>
      <c r="N216" s="24"/>
      <c r="O216" s="27" t="s">
        <v>518</v>
      </c>
      <c r="P216" s="27"/>
      <c r="Q216" s="27"/>
      <c r="R216" s="23"/>
      <c r="S216" s="25"/>
      <c r="T216" s="25"/>
      <c r="U216" s="25"/>
      <c r="V216" s="25"/>
      <c r="W216" s="25"/>
      <c r="X216" s="23" t="s">
        <v>197</v>
      </c>
      <c r="Y216" s="4" t="str">
        <f>IF(Tabela2[[#This Row],[SIGLA]]="","",VLOOKUP(Tabela2[[#This Row],[SIGLA]],Tabela14[[#All],[Sigla Arte]:[Crédito]],2,0))</f>
        <v>HELOÍSA PINTARELLI/ARQUIVO DA EDITORA</v>
      </c>
      <c r="Z216" s="24"/>
      <c r="AA216" s="24" t="str">
        <f>Tabela2[[#This Row],[ILUSTRADOR CRIAÇÃO]]</f>
        <v>HELOÍSA PINTARELLI/ARQUIVO DA EDITORA</v>
      </c>
      <c r="AB216" s="23"/>
      <c r="AC216" s="21"/>
      <c r="AD216" s="21"/>
      <c r="AE216" s="4" t="str">
        <f t="shared" si="3"/>
        <v>EF1 E001 Geo</v>
      </c>
    </row>
    <row r="217" spans="1:31" s="14" customFormat="1" ht="45" x14ac:dyDescent="0.25">
      <c r="A217" s="24" t="s">
        <v>519</v>
      </c>
      <c r="B217" s="21" t="s">
        <v>32</v>
      </c>
      <c r="C217" s="21" t="s">
        <v>110</v>
      </c>
      <c r="D217" s="21" t="s">
        <v>34</v>
      </c>
      <c r="E217" s="23">
        <v>95</v>
      </c>
      <c r="F217" s="23">
        <v>3</v>
      </c>
      <c r="G217" s="23"/>
      <c r="H217" s="23"/>
      <c r="I217" s="24" t="s">
        <v>111</v>
      </c>
      <c r="J217" s="24"/>
      <c r="K217" s="23"/>
      <c r="L217" s="23"/>
      <c r="M217" s="24"/>
      <c r="N217" s="24"/>
      <c r="O217" s="27" t="s">
        <v>520</v>
      </c>
      <c r="P217" s="27"/>
      <c r="Q217" s="27"/>
      <c r="R217" s="23"/>
      <c r="S217" s="25"/>
      <c r="T217" s="25"/>
      <c r="U217" s="25"/>
      <c r="V217" s="25"/>
      <c r="W217" s="25"/>
      <c r="X217" s="23" t="s">
        <v>197</v>
      </c>
      <c r="Y217" s="4" t="str">
        <f>IF(Tabela2[[#This Row],[SIGLA]]="","",VLOOKUP(Tabela2[[#This Row],[SIGLA]],Tabela14[[#All],[Sigla Arte]:[Crédito]],2,0))</f>
        <v>HELOÍSA PINTARELLI/ARQUIVO DA EDITORA</v>
      </c>
      <c r="Z217" s="24"/>
      <c r="AA217" s="24" t="str">
        <f>Tabela2[[#This Row],[ILUSTRADOR CRIAÇÃO]]</f>
        <v>HELOÍSA PINTARELLI/ARQUIVO DA EDITORA</v>
      </c>
      <c r="AB217" s="23"/>
      <c r="AC217" s="21"/>
      <c r="AD217" s="21"/>
      <c r="AE217" s="4" t="str">
        <f t="shared" si="3"/>
        <v>EF1 E001 Geo</v>
      </c>
    </row>
    <row r="218" spans="1:31" s="14" customFormat="1" ht="165" x14ac:dyDescent="0.25">
      <c r="A218" s="24" t="s">
        <v>521</v>
      </c>
      <c r="B218" s="21" t="s">
        <v>32</v>
      </c>
      <c r="C218" s="21" t="s">
        <v>110</v>
      </c>
      <c r="D218" s="21" t="s">
        <v>34</v>
      </c>
      <c r="E218" s="23">
        <v>101</v>
      </c>
      <c r="F218" s="23">
        <v>3</v>
      </c>
      <c r="G218" s="23">
        <v>3</v>
      </c>
      <c r="H218" s="23"/>
      <c r="I218" s="24" t="s">
        <v>276</v>
      </c>
      <c r="J218" s="24"/>
      <c r="K218" s="23"/>
      <c r="L218" s="23"/>
      <c r="M218" s="24"/>
      <c r="N218" s="24"/>
      <c r="O218" s="27" t="s">
        <v>522</v>
      </c>
      <c r="P218" s="27"/>
      <c r="Q218" s="27"/>
      <c r="R218" s="23">
        <v>8</v>
      </c>
      <c r="S218" s="25">
        <v>45764</v>
      </c>
      <c r="T218" s="25">
        <v>45770</v>
      </c>
      <c r="U218" s="25"/>
      <c r="V218" s="25"/>
      <c r="W218" s="25">
        <v>45775</v>
      </c>
      <c r="X218" s="23" t="s">
        <v>197</v>
      </c>
      <c r="Y218" s="4" t="str">
        <f>IF(Tabela2[[#This Row],[SIGLA]]="","",VLOOKUP(Tabela2[[#This Row],[SIGLA]],Tabela14[[#All],[Sigla Arte]:[Crédito]],2,0))</f>
        <v>HELOÍSA PINTARELLI/ARQUIVO DA EDITORA</v>
      </c>
      <c r="Z218" s="24"/>
      <c r="AA218" s="24" t="str">
        <f>Tabela2[[#This Row],[ILUSTRADOR CRIAÇÃO]]</f>
        <v>HELOÍSA PINTARELLI/ARQUIVO DA EDITORA</v>
      </c>
      <c r="AB218" s="23">
        <v>7</v>
      </c>
      <c r="AC218" s="21" t="s">
        <v>523</v>
      </c>
      <c r="AD218" s="21" t="s">
        <v>460</v>
      </c>
      <c r="AE218" s="4" t="str">
        <f t="shared" si="3"/>
        <v>EF1 E001 Geo</v>
      </c>
    </row>
    <row r="219" spans="1:31" s="14" customFormat="1" ht="75" x14ac:dyDescent="0.25">
      <c r="A219" s="24" t="s">
        <v>524</v>
      </c>
      <c r="B219" s="21" t="s">
        <v>32</v>
      </c>
      <c r="C219" s="21" t="s">
        <v>110</v>
      </c>
      <c r="D219" s="21" t="s">
        <v>34</v>
      </c>
      <c r="E219" s="23">
        <v>120</v>
      </c>
      <c r="F219" s="23">
        <v>3</v>
      </c>
      <c r="G219" s="23">
        <v>4</v>
      </c>
      <c r="H219" s="23"/>
      <c r="I219" s="24" t="s">
        <v>111</v>
      </c>
      <c r="J219" s="24"/>
      <c r="K219" s="23"/>
      <c r="L219" s="23"/>
      <c r="M219" s="24"/>
      <c r="N219" s="24"/>
      <c r="O219" s="27" t="s">
        <v>525</v>
      </c>
      <c r="P219" s="27"/>
      <c r="Q219" s="27"/>
      <c r="R219" s="23"/>
      <c r="S219" s="25"/>
      <c r="T219" s="25"/>
      <c r="U219" s="25"/>
      <c r="V219" s="25"/>
      <c r="W219" s="25"/>
      <c r="X219" s="23" t="s">
        <v>320</v>
      </c>
      <c r="Y219" s="4" t="str">
        <f>IF(Tabela2[[#This Row],[SIGLA]]="","",VLOOKUP(Tabela2[[#This Row],[SIGLA]],Tabela14[[#All],[Sigla Arte]:[Crédito]],2,0))</f>
        <v>HUGO ARAÚJO/ARQUIVO DA EDITORA</v>
      </c>
      <c r="Z219" s="24"/>
      <c r="AA219" s="24" t="str">
        <f>Tabela2[[#This Row],[ILUSTRADOR CRIAÇÃO]]</f>
        <v>HUGO ARAÚJO/ARQUIVO DA EDITORA</v>
      </c>
      <c r="AB219" s="23"/>
      <c r="AC219" s="21"/>
      <c r="AD219" s="21"/>
      <c r="AE219" s="4" t="str">
        <f t="shared" si="3"/>
        <v>EF1 E001 Geo</v>
      </c>
    </row>
    <row r="220" spans="1:31" s="14" customFormat="1" ht="135" x14ac:dyDescent="0.25">
      <c r="A220" s="24" t="s">
        <v>526</v>
      </c>
      <c r="B220" s="21" t="s">
        <v>64</v>
      </c>
      <c r="C220" s="21" t="s">
        <v>33</v>
      </c>
      <c r="D220" s="21" t="s">
        <v>34</v>
      </c>
      <c r="E220" s="23">
        <v>18</v>
      </c>
      <c r="F220" s="23">
        <v>4</v>
      </c>
      <c r="G220" s="23">
        <v>1</v>
      </c>
      <c r="H220" s="23"/>
      <c r="I220" s="24" t="s">
        <v>35</v>
      </c>
      <c r="J220" s="24"/>
      <c r="K220" s="23"/>
      <c r="L220" s="23"/>
      <c r="M220" s="24"/>
      <c r="N220" s="24"/>
      <c r="O220" s="27" t="s">
        <v>527</v>
      </c>
      <c r="P220" s="27"/>
      <c r="Q220" s="27"/>
      <c r="R220" s="23">
        <v>9</v>
      </c>
      <c r="S220" s="25">
        <v>45782</v>
      </c>
      <c r="T220" s="25">
        <v>45786</v>
      </c>
      <c r="U220" s="25"/>
      <c r="V220" s="25"/>
      <c r="W220" s="25">
        <v>45878</v>
      </c>
      <c r="X220" s="23" t="s">
        <v>37</v>
      </c>
      <c r="Y220" s="4" t="str">
        <f>IF(Tabela2[[#This Row],[SIGLA]]="","",VLOOKUP(Tabela2[[#This Row],[SIGLA]],Tabela14[[#All],[Sigla Arte]:[Crédito]],2,0))</f>
        <v>EDSON BELLUSCI/ARQUIVO DA EDITORA</v>
      </c>
      <c r="Z220" s="24" t="s">
        <v>66</v>
      </c>
      <c r="AA220" s="24" t="str">
        <f>Tabela2[[#This Row],[ILUSTRADOR CRIAÇÃO]]</f>
        <v>EDSON BELLUSCI/ARQUIVO DA EDITORA</v>
      </c>
      <c r="AB220" s="23">
        <v>14</v>
      </c>
      <c r="AC220" s="21" t="s">
        <v>39</v>
      </c>
      <c r="AD220" s="21" t="s">
        <v>40</v>
      </c>
      <c r="AE220" s="4" t="str">
        <f t="shared" si="3"/>
        <v>EF1 E001 Geo</v>
      </c>
    </row>
    <row r="221" spans="1:31" s="14" customFormat="1" ht="90" x14ac:dyDescent="0.25">
      <c r="A221" s="24" t="s">
        <v>528</v>
      </c>
      <c r="B221" s="21" t="s">
        <v>64</v>
      </c>
      <c r="C221" s="21" t="s">
        <v>529</v>
      </c>
      <c r="D221" s="21" t="s">
        <v>34</v>
      </c>
      <c r="E221" s="23">
        <v>34</v>
      </c>
      <c r="F221" s="23">
        <v>4</v>
      </c>
      <c r="G221" s="23">
        <v>1</v>
      </c>
      <c r="H221" s="23"/>
      <c r="I221" s="24" t="s">
        <v>35</v>
      </c>
      <c r="J221" s="24"/>
      <c r="K221" s="23"/>
      <c r="L221" s="23"/>
      <c r="M221" s="24"/>
      <c r="N221" s="24"/>
      <c r="O221" s="27" t="s">
        <v>530</v>
      </c>
      <c r="P221" s="27"/>
      <c r="Q221" s="27"/>
      <c r="R221" s="23">
        <v>9</v>
      </c>
      <c r="S221" s="25">
        <v>45782</v>
      </c>
      <c r="T221" s="25">
        <v>45878</v>
      </c>
      <c r="U221" s="25"/>
      <c r="V221" s="25"/>
      <c r="W221" s="25">
        <v>45878</v>
      </c>
      <c r="X221" s="23" t="s">
        <v>278</v>
      </c>
      <c r="Y221" s="4" t="str">
        <f>IF(Tabela2[[#This Row],[SIGLA]]="","",VLOOKUP(Tabela2[[#This Row],[SIGLA]],Tabela14[[#All],[Sigla Arte]:[Crédito]],2,0))</f>
        <v>VINÍCIUS COSTA/ARQUIVO DA EDITORA</v>
      </c>
      <c r="Z221" s="24" t="s">
        <v>66</v>
      </c>
      <c r="AA221" s="24" t="str">
        <f>Tabela2[[#This Row],[ILUSTRADOR CRIAÇÃO]]</f>
        <v>VINÍCIUS COSTA/ARQUIVO DA EDITORA</v>
      </c>
      <c r="AB221" s="23">
        <v>13</v>
      </c>
      <c r="AC221" s="21" t="s">
        <v>39</v>
      </c>
      <c r="AD221" s="21" t="s">
        <v>40</v>
      </c>
      <c r="AE221" s="4" t="str">
        <f t="shared" si="3"/>
        <v>EF1 E001 Geo</v>
      </c>
    </row>
    <row r="222" spans="1:31" s="14" customFormat="1" ht="135" x14ac:dyDescent="0.25">
      <c r="A222" s="24" t="s">
        <v>531</v>
      </c>
      <c r="B222" s="21" t="s">
        <v>32</v>
      </c>
      <c r="C222" s="21" t="s">
        <v>529</v>
      </c>
      <c r="D222" s="21" t="s">
        <v>34</v>
      </c>
      <c r="E222" s="23">
        <v>35</v>
      </c>
      <c r="F222" s="23">
        <v>4</v>
      </c>
      <c r="G222" s="23">
        <v>1</v>
      </c>
      <c r="H222" s="23"/>
      <c r="I222" s="24" t="s">
        <v>35</v>
      </c>
      <c r="J222" s="24"/>
      <c r="K222" s="23"/>
      <c r="L222" s="23"/>
      <c r="M222" s="24"/>
      <c r="N222" s="24"/>
      <c r="O222" s="27" t="s">
        <v>532</v>
      </c>
      <c r="P222" s="27"/>
      <c r="Q222" s="27"/>
      <c r="R222" s="23">
        <v>9</v>
      </c>
      <c r="S222" s="25">
        <v>45782</v>
      </c>
      <c r="T222" s="25">
        <v>45782</v>
      </c>
      <c r="U222" s="25"/>
      <c r="V222" s="25"/>
      <c r="W222" s="25">
        <v>45784</v>
      </c>
      <c r="X222" s="23" t="s">
        <v>212</v>
      </c>
      <c r="Y222" s="4" t="str">
        <f>IF(Tabela2[[#This Row],[SIGLA]]="","",VLOOKUP(Tabela2[[#This Row],[SIGLA]],Tabela14[[#All],[Sigla Arte]:[Crédito]],2,0))</f>
        <v>RENAN FONSECA/ARQUIVO DA EDITORA</v>
      </c>
      <c r="Z222" s="24" t="s">
        <v>84</v>
      </c>
      <c r="AA222" s="24" t="str">
        <f>Tabela2[[#This Row],[ILUSTRADOR CRIAÇÃO]]</f>
        <v>RENAN FONSECA/ARQUIVO DA EDITORA</v>
      </c>
      <c r="AB222" s="23">
        <v>13</v>
      </c>
      <c r="AC222" s="21" t="s">
        <v>39</v>
      </c>
      <c r="AD222" s="21" t="s">
        <v>40</v>
      </c>
      <c r="AE222" s="4" t="str">
        <f t="shared" si="3"/>
        <v>EF1 E001 Geo</v>
      </c>
    </row>
    <row r="223" spans="1:31" s="14" customFormat="1" ht="135" x14ac:dyDescent="0.25">
      <c r="A223" s="24" t="s">
        <v>533</v>
      </c>
      <c r="B223" s="21" t="s">
        <v>64</v>
      </c>
      <c r="C223" s="21" t="s">
        <v>529</v>
      </c>
      <c r="D223" s="21" t="s">
        <v>34</v>
      </c>
      <c r="E223" s="23">
        <v>35</v>
      </c>
      <c r="F223" s="23">
        <v>4</v>
      </c>
      <c r="G223" s="23">
        <v>1</v>
      </c>
      <c r="H223" s="23"/>
      <c r="I223" s="24" t="s">
        <v>35</v>
      </c>
      <c r="J223" s="24"/>
      <c r="K223" s="23"/>
      <c r="L223" s="23"/>
      <c r="M223" s="24"/>
      <c r="N223" s="24"/>
      <c r="O223" s="27" t="s">
        <v>534</v>
      </c>
      <c r="P223" s="27"/>
      <c r="Q223" s="27"/>
      <c r="R223" s="23">
        <v>9</v>
      </c>
      <c r="S223" s="25">
        <v>45782</v>
      </c>
      <c r="T223" s="25">
        <v>45878</v>
      </c>
      <c r="U223" s="25"/>
      <c r="V223" s="25"/>
      <c r="W223" s="25">
        <v>45878</v>
      </c>
      <c r="X223" s="23" t="s">
        <v>212</v>
      </c>
      <c r="Y223" s="4" t="str">
        <f>IF(Tabela2[[#This Row],[SIGLA]]="","",VLOOKUP(Tabela2[[#This Row],[SIGLA]],Tabela14[[#All],[Sigla Arte]:[Crédito]],2,0))</f>
        <v>RENAN FONSECA/ARQUIVO DA EDITORA</v>
      </c>
      <c r="Z223" s="24" t="s">
        <v>66</v>
      </c>
      <c r="AA223" s="24" t="str">
        <f>Tabela2[[#This Row],[ILUSTRADOR CRIAÇÃO]]</f>
        <v>RENAN FONSECA/ARQUIVO DA EDITORA</v>
      </c>
      <c r="AB223" s="23">
        <v>13</v>
      </c>
      <c r="AC223" s="21" t="s">
        <v>39</v>
      </c>
      <c r="AD223" s="21" t="s">
        <v>40</v>
      </c>
      <c r="AE223" s="4" t="str">
        <f t="shared" si="3"/>
        <v>EF1 E001 Geo</v>
      </c>
    </row>
    <row r="224" spans="1:31" s="14" customFormat="1" ht="30" x14ac:dyDescent="0.25">
      <c r="A224" s="24" t="s">
        <v>535</v>
      </c>
      <c r="B224" s="21" t="s">
        <v>32</v>
      </c>
      <c r="C224" s="21" t="s">
        <v>110</v>
      </c>
      <c r="D224" s="21" t="s">
        <v>34</v>
      </c>
      <c r="E224" s="23">
        <v>45</v>
      </c>
      <c r="F224" s="23">
        <v>4</v>
      </c>
      <c r="G224" s="23">
        <v>1</v>
      </c>
      <c r="H224" s="23"/>
      <c r="I224" s="24" t="s">
        <v>276</v>
      </c>
      <c r="J224" s="24"/>
      <c r="K224" s="23"/>
      <c r="L224" s="23"/>
      <c r="M224" s="24"/>
      <c r="N224" s="24"/>
      <c r="O224" s="27" t="s">
        <v>536</v>
      </c>
      <c r="P224" s="27"/>
      <c r="Q224" s="27"/>
      <c r="R224" s="23">
        <v>10</v>
      </c>
      <c r="S224" s="25">
        <v>45796</v>
      </c>
      <c r="T224" s="25">
        <v>45796</v>
      </c>
      <c r="U224" s="25"/>
      <c r="V224" s="25"/>
      <c r="W224" s="25">
        <v>45797</v>
      </c>
      <c r="X224" s="23" t="s">
        <v>537</v>
      </c>
      <c r="Y224" s="4" t="str">
        <f>IF(Tabela2[[#This Row],[SIGLA]]="","",VLOOKUP(Tabela2[[#This Row],[SIGLA]],Tabela14[[#All],[Sigla Arte]:[Crédito]],2,0))</f>
        <v>TATIANE GALHEIRO/ARQUIVO DA EDITORA</v>
      </c>
      <c r="Z224" s="24"/>
      <c r="AA224" s="24" t="str">
        <f>Tabela2[[#This Row],[ILUSTRADOR CRIAÇÃO]]</f>
        <v>TATIANE GALHEIRO/ARQUIVO DA EDITORA</v>
      </c>
      <c r="AB224" s="23">
        <v>8</v>
      </c>
      <c r="AC224" s="21" t="s">
        <v>538</v>
      </c>
      <c r="AD224" s="21" t="s">
        <v>40</v>
      </c>
      <c r="AE224" s="4" t="str">
        <f t="shared" si="3"/>
        <v>EF1 E001 Geo</v>
      </c>
    </row>
    <row r="225" spans="1:31" s="14" customFormat="1" x14ac:dyDescent="0.25">
      <c r="A225" s="24"/>
      <c r="B225" s="21"/>
      <c r="C225" s="21"/>
      <c r="D225" s="21"/>
      <c r="E225" s="23"/>
      <c r="F225" s="23"/>
      <c r="G225" s="23"/>
      <c r="H225" s="23"/>
      <c r="I225" s="24"/>
      <c r="J225" s="24"/>
      <c r="K225" s="23"/>
      <c r="L225" s="23"/>
      <c r="M225" s="24"/>
      <c r="N225" s="24"/>
      <c r="O225" s="27"/>
      <c r="P225" s="27"/>
      <c r="Q225" s="27"/>
      <c r="R225" s="23"/>
      <c r="S225" s="25"/>
      <c r="T225" s="25"/>
      <c r="U225" s="25"/>
      <c r="V225" s="25"/>
      <c r="W225" s="25"/>
      <c r="X225" s="23" t="s">
        <v>283</v>
      </c>
      <c r="Y225" s="4" t="str">
        <f>IF(Tabela2[[#This Row],[SIGLA]]="","",VLOOKUP(Tabela2[[#This Row],[SIGLA]],Tabela14[[#All],[Sigla Arte]:[Crédito]],2,0))</f>
        <v>REINALDO ROSA/ARQUIVO DA EDITORA</v>
      </c>
      <c r="Z225" s="24"/>
      <c r="AA225" s="24" t="str">
        <f>Tabela2[[#This Row],[ILUSTRADOR CRIAÇÃO]]</f>
        <v>REINALDO ROSA/ARQUIVO DA EDITORA</v>
      </c>
      <c r="AB225" s="23"/>
      <c r="AC225" s="21"/>
      <c r="AD225" s="21"/>
      <c r="AE225" s="4" t="str">
        <f t="shared" si="3"/>
        <v>EF1 E001 Geo</v>
      </c>
    </row>
    <row r="226" spans="1:31" s="14" customFormat="1" ht="60" x14ac:dyDescent="0.25">
      <c r="A226" s="24" t="s">
        <v>539</v>
      </c>
      <c r="B226" s="21" t="s">
        <v>64</v>
      </c>
      <c r="C226" s="21" t="s">
        <v>529</v>
      </c>
      <c r="D226" s="21" t="s">
        <v>34</v>
      </c>
      <c r="E226" s="23">
        <v>80</v>
      </c>
      <c r="F226" s="23">
        <v>4</v>
      </c>
      <c r="G226" s="23">
        <v>3</v>
      </c>
      <c r="H226" s="23"/>
      <c r="I226" s="24" t="s">
        <v>35</v>
      </c>
      <c r="J226" s="24"/>
      <c r="K226" s="23"/>
      <c r="L226" s="23"/>
      <c r="M226" s="24"/>
      <c r="N226" s="24"/>
      <c r="O226" s="27" t="s">
        <v>540</v>
      </c>
      <c r="P226" s="27"/>
      <c r="Q226" s="27"/>
      <c r="R226" s="23">
        <v>15</v>
      </c>
      <c r="S226" s="25">
        <v>45838</v>
      </c>
      <c r="T226" s="25">
        <v>45880</v>
      </c>
      <c r="U226" s="25"/>
      <c r="V226" s="25"/>
      <c r="W226" s="25">
        <v>45880</v>
      </c>
      <c r="X226" s="23" t="s">
        <v>90</v>
      </c>
      <c r="Y226" s="4" t="str">
        <f>IF(Tabela2[[#This Row],[SIGLA]]="","",VLOOKUP(Tabela2[[#This Row],[SIGLA]],Tabela14[[#All],[Sigla Arte]:[Crédito]],2,0))</f>
        <v>KEITHY MOSTACHI/ARQUIVO DA EDITORA</v>
      </c>
      <c r="Z226" s="24" t="s">
        <v>66</v>
      </c>
      <c r="AA226" s="24" t="str">
        <f>Tabela2[[#This Row],[ILUSTRADOR CRIAÇÃO]]</f>
        <v>KEITHY MOSTACHI/ARQUIVO DA EDITORA</v>
      </c>
      <c r="AB226" s="23">
        <v>14</v>
      </c>
      <c r="AC226" s="21" t="s">
        <v>541</v>
      </c>
      <c r="AD226" s="21" t="s">
        <v>40</v>
      </c>
      <c r="AE226" s="4" t="str">
        <f t="shared" si="3"/>
        <v>EF1 E001 Geo</v>
      </c>
    </row>
    <row r="227" spans="1:31" s="14" customFormat="1" ht="255" x14ac:dyDescent="0.25">
      <c r="A227" s="24" t="s">
        <v>542</v>
      </c>
      <c r="B227" s="21" t="s">
        <v>32</v>
      </c>
      <c r="C227" s="21" t="s">
        <v>33</v>
      </c>
      <c r="D227" s="21" t="s">
        <v>34</v>
      </c>
      <c r="E227" s="23">
        <v>85</v>
      </c>
      <c r="F227" s="23">
        <v>4</v>
      </c>
      <c r="G227" s="23">
        <v>3</v>
      </c>
      <c r="H227" s="23"/>
      <c r="I227" s="24" t="s">
        <v>276</v>
      </c>
      <c r="J227" s="24"/>
      <c r="K227" s="23"/>
      <c r="L227" s="23"/>
      <c r="M227" s="24"/>
      <c r="N227" s="24"/>
      <c r="O227" s="27" t="s">
        <v>543</v>
      </c>
      <c r="P227" s="27"/>
      <c r="Q227" s="27"/>
      <c r="R227" s="23">
        <v>11</v>
      </c>
      <c r="S227" s="25">
        <v>45796</v>
      </c>
      <c r="T227" s="25">
        <v>45803</v>
      </c>
      <c r="U227" s="25"/>
      <c r="V227" s="25"/>
      <c r="W227" s="25">
        <v>45805</v>
      </c>
      <c r="X227" s="23" t="s">
        <v>544</v>
      </c>
      <c r="Y227" s="4" t="str">
        <f>IF(Tabela2[[#This Row],[SIGLA]]="","",VLOOKUP(Tabela2[[#This Row],[SIGLA]],Tabela14[[#All],[Sigla Arte]:[Crédito]],2,0))</f>
        <v>INGRIDHI BORGES/ARQUIVO DA EDITORA</v>
      </c>
      <c r="Z227" s="24"/>
      <c r="AA227" s="24" t="str">
        <f>Tabela2[[#This Row],[ILUSTRADOR CRIAÇÃO]]</f>
        <v>INGRIDHI BORGES/ARQUIVO DA EDITORA</v>
      </c>
      <c r="AB227" s="23">
        <v>10</v>
      </c>
      <c r="AC227" s="21" t="s">
        <v>545</v>
      </c>
      <c r="AD227" s="21" t="s">
        <v>40</v>
      </c>
      <c r="AE227" s="4" t="str">
        <f t="shared" si="3"/>
        <v>EF1 E001 Geo</v>
      </c>
    </row>
    <row r="228" spans="1:31" s="14" customFormat="1" ht="45" x14ac:dyDescent="0.25">
      <c r="A228" s="24" t="s">
        <v>546</v>
      </c>
      <c r="B228" s="21" t="s">
        <v>32</v>
      </c>
      <c r="C228" s="21" t="s">
        <v>110</v>
      </c>
      <c r="D228" s="21" t="s">
        <v>34</v>
      </c>
      <c r="E228" s="23">
        <v>97</v>
      </c>
      <c r="F228" s="23">
        <v>4</v>
      </c>
      <c r="G228" s="23">
        <v>3</v>
      </c>
      <c r="H228" s="23"/>
      <c r="I228" s="24" t="s">
        <v>111</v>
      </c>
      <c r="J228" s="24"/>
      <c r="K228" s="23"/>
      <c r="L228" s="23"/>
      <c r="M228" s="24"/>
      <c r="N228" s="24"/>
      <c r="O228" s="27" t="s">
        <v>348</v>
      </c>
      <c r="P228" s="27"/>
      <c r="Q228" s="27"/>
      <c r="R228" s="23"/>
      <c r="S228" s="25"/>
      <c r="T228" s="25"/>
      <c r="U228" s="25"/>
      <c r="V228" s="25"/>
      <c r="W228" s="25"/>
      <c r="X228" s="23" t="s">
        <v>197</v>
      </c>
      <c r="Y228" s="4" t="str">
        <f>IF(Tabela2[[#This Row],[SIGLA]]="","",VLOOKUP(Tabela2[[#This Row],[SIGLA]],Tabela14[[#All],[Sigla Arte]:[Crédito]],2,0))</f>
        <v>HELOÍSA PINTARELLI/ARQUIVO DA EDITORA</v>
      </c>
      <c r="Z228" s="24"/>
      <c r="AA228" s="24" t="str">
        <f>Tabela2[[#This Row],[ILUSTRADOR CRIAÇÃO]]</f>
        <v>HELOÍSA PINTARELLI/ARQUIVO DA EDITORA</v>
      </c>
      <c r="AB228" s="23"/>
      <c r="AC228" s="21"/>
      <c r="AD228" s="21"/>
      <c r="AE228" s="4" t="str">
        <f t="shared" si="3"/>
        <v>EF1 E001 Geo</v>
      </c>
    </row>
    <row r="229" spans="1:31" s="14" customFormat="1" ht="30" x14ac:dyDescent="0.25">
      <c r="A229" s="24" t="s">
        <v>547</v>
      </c>
      <c r="B229" s="21" t="s">
        <v>32</v>
      </c>
      <c r="C229" s="21" t="s">
        <v>110</v>
      </c>
      <c r="D229" s="21" t="s">
        <v>34</v>
      </c>
      <c r="E229" s="23">
        <v>97</v>
      </c>
      <c r="F229" s="23">
        <v>4</v>
      </c>
      <c r="G229" s="23">
        <v>3</v>
      </c>
      <c r="H229" s="23"/>
      <c r="I229" s="24" t="s">
        <v>111</v>
      </c>
      <c r="J229" s="24"/>
      <c r="K229" s="23"/>
      <c r="L229" s="23"/>
      <c r="M229" s="24"/>
      <c r="N229" s="24"/>
      <c r="O229" s="27" t="s">
        <v>356</v>
      </c>
      <c r="P229" s="27"/>
      <c r="Q229" s="27"/>
      <c r="R229" s="23"/>
      <c r="S229" s="25"/>
      <c r="T229" s="25"/>
      <c r="U229" s="25"/>
      <c r="V229" s="25"/>
      <c r="W229" s="25"/>
      <c r="X229" s="23" t="s">
        <v>197</v>
      </c>
      <c r="Y229" s="4" t="str">
        <f>IF(Tabela2[[#This Row],[SIGLA]]="","",VLOOKUP(Tabela2[[#This Row],[SIGLA]],Tabela14[[#All],[Sigla Arte]:[Crédito]],2,0))</f>
        <v>HELOÍSA PINTARELLI/ARQUIVO DA EDITORA</v>
      </c>
      <c r="Z229" s="24"/>
      <c r="AA229" s="24" t="str">
        <f>Tabela2[[#This Row],[ILUSTRADOR CRIAÇÃO]]</f>
        <v>HELOÍSA PINTARELLI/ARQUIVO DA EDITORA</v>
      </c>
      <c r="AB229" s="23"/>
      <c r="AC229" s="21"/>
      <c r="AD229" s="21"/>
      <c r="AE229" s="4" t="str">
        <f t="shared" si="3"/>
        <v>EF1 E001 Geo</v>
      </c>
    </row>
    <row r="230" spans="1:31" s="14" customFormat="1" ht="75" x14ac:dyDescent="0.25">
      <c r="A230" s="24" t="s">
        <v>548</v>
      </c>
      <c r="B230" s="21" t="s">
        <v>32</v>
      </c>
      <c r="C230" s="21" t="s">
        <v>110</v>
      </c>
      <c r="D230" s="21" t="s">
        <v>34</v>
      </c>
      <c r="E230" s="23">
        <v>99</v>
      </c>
      <c r="F230" s="23">
        <v>4</v>
      </c>
      <c r="G230" s="23">
        <v>3</v>
      </c>
      <c r="H230" s="23"/>
      <c r="I230" s="24" t="s">
        <v>276</v>
      </c>
      <c r="J230" s="24"/>
      <c r="K230" s="23"/>
      <c r="L230" s="23"/>
      <c r="M230" s="24"/>
      <c r="N230" s="24"/>
      <c r="O230" s="27" t="s">
        <v>549</v>
      </c>
      <c r="P230" s="27"/>
      <c r="Q230" s="27"/>
      <c r="R230" s="23">
        <v>11</v>
      </c>
      <c r="S230" s="25">
        <v>45796</v>
      </c>
      <c r="T230" s="25">
        <v>45799</v>
      </c>
      <c r="U230" s="25">
        <v>45803</v>
      </c>
      <c r="V230" s="25">
        <v>45804</v>
      </c>
      <c r="W230" s="25">
        <v>45806</v>
      </c>
      <c r="X230" s="23" t="s">
        <v>458</v>
      </c>
      <c r="Y230" s="4" t="str">
        <f>IF(Tabela2[[#This Row],[SIGLA]]="","",VLOOKUP(Tabela2[[#This Row],[SIGLA]],Tabela14[[#All],[Sigla Arte]:[Crédito]],2,0))</f>
        <v>WERLLEN HOLANDA/ARQUIVO DA EDITORA</v>
      </c>
      <c r="Z230" s="24"/>
      <c r="AA230" s="24" t="str">
        <f>Tabela2[[#This Row],[ILUSTRADOR CRIAÇÃO]]</f>
        <v>WERLLEN HOLANDA/ARQUIVO DA EDITORA</v>
      </c>
      <c r="AB230" s="23">
        <v>7</v>
      </c>
      <c r="AC230" s="27" t="s">
        <v>550</v>
      </c>
      <c r="AD230" s="21" t="s">
        <v>460</v>
      </c>
      <c r="AE230" s="4" t="str">
        <f t="shared" si="3"/>
        <v>EF1 E001 Geo</v>
      </c>
    </row>
    <row r="231" spans="1:31" s="14" customFormat="1" ht="165" x14ac:dyDescent="0.25">
      <c r="A231" s="24" t="s">
        <v>551</v>
      </c>
      <c r="B231" s="21" t="s">
        <v>32</v>
      </c>
      <c r="C231" s="21" t="s">
        <v>33</v>
      </c>
      <c r="D231" s="21" t="s">
        <v>34</v>
      </c>
      <c r="E231" s="23">
        <v>105</v>
      </c>
      <c r="F231" s="23">
        <v>4</v>
      </c>
      <c r="G231" s="23">
        <v>3</v>
      </c>
      <c r="H231" s="23"/>
      <c r="I231" s="24" t="s">
        <v>35</v>
      </c>
      <c r="J231" s="24"/>
      <c r="K231" s="23"/>
      <c r="L231" s="23"/>
      <c r="M231" s="24"/>
      <c r="N231" s="24"/>
      <c r="O231" s="27" t="s">
        <v>552</v>
      </c>
      <c r="P231" s="27"/>
      <c r="Q231" s="27"/>
      <c r="R231" s="23">
        <v>11</v>
      </c>
      <c r="S231" s="25">
        <v>45796</v>
      </c>
      <c r="T231" s="25">
        <v>45803</v>
      </c>
      <c r="U231" s="25"/>
      <c r="V231" s="25"/>
      <c r="W231" s="25">
        <v>45805</v>
      </c>
      <c r="X231" s="23" t="s">
        <v>37</v>
      </c>
      <c r="Y231" s="4" t="str">
        <f>IF(Tabela2[[#This Row],[SIGLA]]="","",VLOOKUP(Tabela2[[#This Row],[SIGLA]],Tabela14[[#All],[Sigla Arte]:[Crédito]],2,0))</f>
        <v>EDSON BELLUSCI/ARQUIVO DA EDITORA</v>
      </c>
      <c r="Z231" s="24" t="s">
        <v>176</v>
      </c>
      <c r="AA231" s="24" t="str">
        <f>Tabela2[[#This Row],[ILUSTRADOR CRIAÇÃO]]</f>
        <v>EDSON BELLUSCI/ARQUIVO DA EDITORA</v>
      </c>
      <c r="AB231" s="23">
        <v>13</v>
      </c>
      <c r="AC231" s="21" t="s">
        <v>177</v>
      </c>
      <c r="AD231" s="21" t="s">
        <v>40</v>
      </c>
      <c r="AE231" s="4" t="str">
        <f t="shared" si="3"/>
        <v>EF1 E001 Geo</v>
      </c>
    </row>
    <row r="232" spans="1:31" s="14" customFormat="1" ht="60" x14ac:dyDescent="0.25">
      <c r="A232" s="24" t="s">
        <v>140</v>
      </c>
      <c r="B232" s="21" t="s">
        <v>32</v>
      </c>
      <c r="C232" s="21" t="s">
        <v>110</v>
      </c>
      <c r="D232" s="21" t="s">
        <v>34</v>
      </c>
      <c r="E232" s="23">
        <v>51</v>
      </c>
      <c r="F232" s="23">
        <v>3</v>
      </c>
      <c r="G232" s="23">
        <v>2</v>
      </c>
      <c r="H232" s="23"/>
      <c r="I232" s="24" t="s">
        <v>111</v>
      </c>
      <c r="J232" s="24"/>
      <c r="K232" s="23"/>
      <c r="L232" s="23"/>
      <c r="M232" s="24"/>
      <c r="N232" s="24"/>
      <c r="O232" s="27" t="s">
        <v>141</v>
      </c>
      <c r="P232" s="27"/>
      <c r="Q232" s="27"/>
      <c r="R232" s="23"/>
      <c r="S232" s="25"/>
      <c r="T232" s="25"/>
      <c r="U232" s="25"/>
      <c r="V232" s="25"/>
      <c r="W232" s="25"/>
      <c r="X232" s="23" t="s">
        <v>142</v>
      </c>
      <c r="Y232" s="4" t="str">
        <f>IF(Tabela2[[#This Row],[SIGLA]]="","",VLOOKUP(Tabela2[[#This Row],[SIGLA]],Tabela14[[#All],[Sigla Arte]:[Crédito]],2,0))</f>
        <v>GUSTAVO RAMOS/ARQUIVO DA EDITORA</v>
      </c>
      <c r="Z232" s="24"/>
      <c r="AA232" s="24" t="str">
        <f>Tabela2[[#This Row],[ILUSTRADOR CRIAÇÃO]]</f>
        <v>GUSTAVO RAMOS/ARQUIVO DA EDITORA</v>
      </c>
      <c r="AB232" s="23"/>
      <c r="AC232" s="21"/>
      <c r="AD232" s="21"/>
      <c r="AE232" s="4" t="str">
        <f t="shared" si="3"/>
        <v>EF1 E001 Geo</v>
      </c>
    </row>
    <row r="233" spans="1:31" s="14" customFormat="1" ht="330" x14ac:dyDescent="0.25">
      <c r="A233" s="24" t="s">
        <v>553</v>
      </c>
      <c r="B233" s="21" t="s">
        <v>32</v>
      </c>
      <c r="C233" s="21" t="s">
        <v>33</v>
      </c>
      <c r="D233" s="21" t="s">
        <v>34</v>
      </c>
      <c r="E233" s="23">
        <v>112</v>
      </c>
      <c r="F233" s="23">
        <v>4</v>
      </c>
      <c r="G233" s="23">
        <v>4</v>
      </c>
      <c r="H233" s="23"/>
      <c r="I233" s="24" t="s">
        <v>276</v>
      </c>
      <c r="J233" s="24"/>
      <c r="K233" s="23"/>
      <c r="L233" s="23"/>
      <c r="M233" s="24"/>
      <c r="N233" s="24"/>
      <c r="O233" s="27" t="s">
        <v>554</v>
      </c>
      <c r="P233" s="27"/>
      <c r="Q233" s="27"/>
      <c r="R233" s="23">
        <v>13</v>
      </c>
      <c r="S233" s="25">
        <v>45806</v>
      </c>
      <c r="T233" s="25">
        <v>45814</v>
      </c>
      <c r="U233" s="25"/>
      <c r="V233" s="25"/>
      <c r="W233" s="25">
        <v>45817</v>
      </c>
      <c r="X233" s="23" t="s">
        <v>544</v>
      </c>
      <c r="Y233" s="4" t="str">
        <f>IF(Tabela2[[#This Row],[SIGLA]]="","",VLOOKUP(Tabela2[[#This Row],[SIGLA]],Tabela14[[#All],[Sigla Arte]:[Crédito]],2,0))</f>
        <v>INGRIDHI BORGES/ARQUIVO DA EDITORA</v>
      </c>
      <c r="Z233" s="24"/>
      <c r="AA233" s="24" t="str">
        <f>Tabela2[[#This Row],[ILUSTRADOR CRIAÇÃO]]</f>
        <v>INGRIDHI BORGES/ARQUIVO DA EDITORA</v>
      </c>
      <c r="AB233" s="23">
        <v>10</v>
      </c>
      <c r="AC233" s="21" t="s">
        <v>545</v>
      </c>
      <c r="AD233" s="21"/>
      <c r="AE233" s="4" t="str">
        <f t="shared" si="3"/>
        <v>EF1 E001 Geo</v>
      </c>
    </row>
    <row r="234" spans="1:31" s="14" customFormat="1" ht="120" x14ac:dyDescent="0.25">
      <c r="A234" s="24" t="s">
        <v>555</v>
      </c>
      <c r="B234" s="21" t="s">
        <v>32</v>
      </c>
      <c r="C234" s="21" t="s">
        <v>33</v>
      </c>
      <c r="D234" s="21" t="s">
        <v>34</v>
      </c>
      <c r="E234" s="23">
        <v>116</v>
      </c>
      <c r="F234" s="23">
        <v>4</v>
      </c>
      <c r="G234" s="23">
        <v>4</v>
      </c>
      <c r="H234" s="23"/>
      <c r="I234" s="24" t="s">
        <v>35</v>
      </c>
      <c r="J234" s="24"/>
      <c r="K234" s="23"/>
      <c r="L234" s="23"/>
      <c r="M234" s="24"/>
      <c r="N234" s="24"/>
      <c r="O234" s="27" t="s">
        <v>556</v>
      </c>
      <c r="P234" s="27"/>
      <c r="Q234" s="27"/>
      <c r="R234" s="23">
        <v>13</v>
      </c>
      <c r="S234" s="25">
        <v>45806</v>
      </c>
      <c r="T234" s="25">
        <v>45812</v>
      </c>
      <c r="U234" s="25"/>
      <c r="V234" s="25"/>
      <c r="W234" s="25">
        <v>45814</v>
      </c>
      <c r="X234" s="23" t="s">
        <v>37</v>
      </c>
      <c r="Y234" s="4" t="str">
        <f>IF(Tabela2[[#This Row],[SIGLA]]="","",VLOOKUP(Tabela2[[#This Row],[SIGLA]],Tabela14[[#All],[Sigla Arte]:[Crédito]],2,0))</f>
        <v>EDSON BELLUSCI/ARQUIVO DA EDITORA</v>
      </c>
      <c r="Z234" s="24" t="s">
        <v>176</v>
      </c>
      <c r="AA234" s="24" t="str">
        <f>Tabela2[[#This Row],[ILUSTRADOR CRIAÇÃO]]</f>
        <v>EDSON BELLUSCI/ARQUIVO DA EDITORA</v>
      </c>
      <c r="AB234" s="23">
        <v>13</v>
      </c>
      <c r="AC234" s="21" t="s">
        <v>177</v>
      </c>
      <c r="AD234" s="21" t="s">
        <v>40</v>
      </c>
      <c r="AE234" s="4" t="str">
        <f t="shared" si="3"/>
        <v>EF1 E001 Geo</v>
      </c>
    </row>
    <row r="235" spans="1:31" s="14" customFormat="1" ht="165" x14ac:dyDescent="0.25">
      <c r="A235" s="24" t="s">
        <v>557</v>
      </c>
      <c r="B235" s="21" t="s">
        <v>32</v>
      </c>
      <c r="C235" s="21" t="s">
        <v>33</v>
      </c>
      <c r="D235" s="21" t="s">
        <v>34</v>
      </c>
      <c r="E235" s="23">
        <v>118</v>
      </c>
      <c r="F235" s="23">
        <v>4</v>
      </c>
      <c r="G235" s="23">
        <v>4</v>
      </c>
      <c r="H235" s="23"/>
      <c r="I235" s="24" t="s">
        <v>35</v>
      </c>
      <c r="J235" s="24"/>
      <c r="K235" s="23"/>
      <c r="L235" s="23"/>
      <c r="M235" s="24"/>
      <c r="N235" s="24"/>
      <c r="O235" s="27" t="s">
        <v>558</v>
      </c>
      <c r="P235" s="27"/>
      <c r="Q235" s="27"/>
      <c r="R235" s="23">
        <v>13</v>
      </c>
      <c r="S235" s="25">
        <v>45806</v>
      </c>
      <c r="T235" s="25">
        <v>45812</v>
      </c>
      <c r="U235" s="25"/>
      <c r="V235" s="25"/>
      <c r="W235" s="25">
        <v>45814</v>
      </c>
      <c r="X235" s="23" t="s">
        <v>37</v>
      </c>
      <c r="Y235" s="4" t="str">
        <f>IF(Tabela2[[#This Row],[SIGLA]]="","",VLOOKUP(Tabela2[[#This Row],[SIGLA]],Tabela14[[#All],[Sigla Arte]:[Crédito]],2,0))</f>
        <v>EDSON BELLUSCI/ARQUIVO DA EDITORA</v>
      </c>
      <c r="Z235" s="24" t="s">
        <v>176</v>
      </c>
      <c r="AA235" s="24" t="str">
        <f>Tabela2[[#This Row],[ILUSTRADOR CRIAÇÃO]]</f>
        <v>EDSON BELLUSCI/ARQUIVO DA EDITORA</v>
      </c>
      <c r="AB235" s="23">
        <v>13</v>
      </c>
      <c r="AC235" s="21" t="s">
        <v>177</v>
      </c>
      <c r="AD235" s="21" t="s">
        <v>40</v>
      </c>
      <c r="AE235" s="4" t="str">
        <f t="shared" si="3"/>
        <v>EF1 E001 Geo</v>
      </c>
    </row>
    <row r="236" spans="1:31" s="14" customFormat="1" ht="195" x14ac:dyDescent="0.25">
      <c r="A236" s="24" t="s">
        <v>559</v>
      </c>
      <c r="B236" s="21" t="s">
        <v>74</v>
      </c>
      <c r="C236" s="21" t="s">
        <v>560</v>
      </c>
      <c r="D236" s="21" t="s">
        <v>34</v>
      </c>
      <c r="E236" s="23">
        <v>133</v>
      </c>
      <c r="F236" s="23">
        <v>4</v>
      </c>
      <c r="G236" s="23">
        <v>4</v>
      </c>
      <c r="H236" s="23"/>
      <c r="I236" s="24" t="s">
        <v>276</v>
      </c>
      <c r="J236" s="24"/>
      <c r="K236" s="23"/>
      <c r="L236" s="23"/>
      <c r="M236" s="24"/>
      <c r="N236" s="24"/>
      <c r="O236" s="27" t="s">
        <v>561</v>
      </c>
      <c r="P236" s="27"/>
      <c r="Q236" s="27" t="s">
        <v>562</v>
      </c>
      <c r="R236" s="23">
        <v>14</v>
      </c>
      <c r="S236" s="25">
        <v>45820</v>
      </c>
      <c r="T236" s="25">
        <v>45820</v>
      </c>
      <c r="U236" s="25"/>
      <c r="V236" s="25"/>
      <c r="W236" s="25">
        <v>45820</v>
      </c>
      <c r="X236" s="23" t="s">
        <v>544</v>
      </c>
      <c r="Y236" s="4" t="str">
        <f>IF(Tabela2[[#This Row],[SIGLA]]="","",VLOOKUP(Tabela2[[#This Row],[SIGLA]],Tabela14[[#All],[Sigla Arte]:[Crédito]],2,0))</f>
        <v>INGRIDHI BORGES/ARQUIVO DA EDITORA</v>
      </c>
      <c r="Z236" s="24"/>
      <c r="AA236" s="24" t="str">
        <f>Tabela2[[#This Row],[ILUSTRADOR CRIAÇÃO]]</f>
        <v>INGRIDHI BORGES/ARQUIVO DA EDITORA</v>
      </c>
      <c r="AB236" s="23">
        <v>8</v>
      </c>
      <c r="AC236" s="21" t="s">
        <v>545</v>
      </c>
      <c r="AD236" s="21" t="s">
        <v>40</v>
      </c>
      <c r="AE236" s="4" t="str">
        <f t="shared" si="3"/>
        <v>EF1 E001 Geo</v>
      </c>
    </row>
    <row r="237" spans="1:31" s="14" customFormat="1" ht="45" x14ac:dyDescent="0.25">
      <c r="A237" s="24" t="s">
        <v>563</v>
      </c>
      <c r="B237" s="21" t="s">
        <v>32</v>
      </c>
      <c r="C237" s="21" t="s">
        <v>110</v>
      </c>
      <c r="D237" s="21" t="s">
        <v>34</v>
      </c>
      <c r="E237" s="23">
        <v>96</v>
      </c>
      <c r="F237" s="23">
        <v>4</v>
      </c>
      <c r="G237" s="23">
        <v>3</v>
      </c>
      <c r="H237" s="23"/>
      <c r="I237" s="24" t="s">
        <v>111</v>
      </c>
      <c r="J237" s="24"/>
      <c r="K237" s="23"/>
      <c r="L237" s="23"/>
      <c r="M237" s="24"/>
      <c r="N237" s="24"/>
      <c r="O237" s="27" t="s">
        <v>342</v>
      </c>
      <c r="P237" s="27"/>
      <c r="Q237" s="27"/>
      <c r="R237" s="23"/>
      <c r="S237" s="25"/>
      <c r="T237" s="25"/>
      <c r="U237" s="25"/>
      <c r="V237" s="25"/>
      <c r="W237" s="25"/>
      <c r="X237" s="23" t="s">
        <v>197</v>
      </c>
      <c r="Y237" s="4" t="str">
        <f>IF(Tabela2[[#This Row],[SIGLA]]="","",VLOOKUP(Tabela2[[#This Row],[SIGLA]],Tabela14[[#All],[Sigla Arte]:[Crédito]],2,0))</f>
        <v>HELOÍSA PINTARELLI/ARQUIVO DA EDITORA</v>
      </c>
      <c r="Z237" s="24"/>
      <c r="AA237" s="24" t="str">
        <f>Tabela2[[#This Row],[ILUSTRADOR CRIAÇÃO]]</f>
        <v>HELOÍSA PINTARELLI/ARQUIVO DA EDITORA</v>
      </c>
      <c r="AB237" s="23"/>
      <c r="AC237" s="21"/>
      <c r="AD237" s="21"/>
      <c r="AE237" s="4" t="str">
        <f t="shared" si="3"/>
        <v>EF1 E001 Geo</v>
      </c>
    </row>
    <row r="238" spans="1:31" s="14" customFormat="1" ht="45" x14ac:dyDescent="0.25">
      <c r="A238" s="24" t="s">
        <v>564</v>
      </c>
      <c r="B238" s="21" t="s">
        <v>32</v>
      </c>
      <c r="C238" s="21" t="s">
        <v>110</v>
      </c>
      <c r="D238" s="21" t="s">
        <v>34</v>
      </c>
      <c r="E238" s="23">
        <v>96</v>
      </c>
      <c r="F238" s="23">
        <v>4</v>
      </c>
      <c r="G238" s="23">
        <v>3</v>
      </c>
      <c r="H238" s="23"/>
      <c r="I238" s="24" t="s">
        <v>111</v>
      </c>
      <c r="J238" s="24"/>
      <c r="K238" s="23"/>
      <c r="L238" s="23"/>
      <c r="M238" s="24"/>
      <c r="N238" s="24"/>
      <c r="O238" s="27" t="s">
        <v>344</v>
      </c>
      <c r="P238" s="27"/>
      <c r="Q238" s="27"/>
      <c r="R238" s="23"/>
      <c r="S238" s="25"/>
      <c r="T238" s="25"/>
      <c r="U238" s="25"/>
      <c r="V238" s="25"/>
      <c r="W238" s="25"/>
      <c r="X238" s="23" t="s">
        <v>197</v>
      </c>
      <c r="Y238" s="4" t="str">
        <f>IF(Tabela2[[#This Row],[SIGLA]]="","",VLOOKUP(Tabela2[[#This Row],[SIGLA]],Tabela14[[#All],[Sigla Arte]:[Crédito]],2,0))</f>
        <v>HELOÍSA PINTARELLI/ARQUIVO DA EDITORA</v>
      </c>
      <c r="Z238" s="24"/>
      <c r="AA238" s="24" t="str">
        <f>Tabela2[[#This Row],[ILUSTRADOR CRIAÇÃO]]</f>
        <v>HELOÍSA PINTARELLI/ARQUIVO DA EDITORA</v>
      </c>
      <c r="AB238" s="23"/>
      <c r="AC238" s="21"/>
      <c r="AD238" s="21"/>
      <c r="AE238" s="4" t="str">
        <f t="shared" si="3"/>
        <v>EF1 E001 Geo</v>
      </c>
    </row>
    <row r="239" spans="1:31" s="14" customFormat="1" ht="45" x14ac:dyDescent="0.25">
      <c r="A239" s="24" t="s">
        <v>565</v>
      </c>
      <c r="B239" s="21" t="s">
        <v>32</v>
      </c>
      <c r="C239" s="21" t="s">
        <v>110</v>
      </c>
      <c r="D239" s="21" t="s">
        <v>34</v>
      </c>
      <c r="E239" s="23">
        <v>96</v>
      </c>
      <c r="F239" s="23">
        <v>4</v>
      </c>
      <c r="G239" s="23">
        <v>3</v>
      </c>
      <c r="H239" s="23"/>
      <c r="I239" s="24" t="s">
        <v>111</v>
      </c>
      <c r="J239" s="24"/>
      <c r="K239" s="23"/>
      <c r="L239" s="23"/>
      <c r="M239" s="24"/>
      <c r="N239" s="24"/>
      <c r="O239" s="27" t="s">
        <v>344</v>
      </c>
      <c r="P239" s="27"/>
      <c r="Q239" s="27"/>
      <c r="R239" s="23"/>
      <c r="S239" s="25"/>
      <c r="T239" s="25"/>
      <c r="U239" s="25"/>
      <c r="V239" s="25"/>
      <c r="W239" s="25"/>
      <c r="X239" s="23" t="s">
        <v>197</v>
      </c>
      <c r="Y239" s="4" t="str">
        <f>IF(Tabela2[[#This Row],[SIGLA]]="","",VLOOKUP(Tabela2[[#This Row],[SIGLA]],Tabela14[[#All],[Sigla Arte]:[Crédito]],2,0))</f>
        <v>HELOÍSA PINTARELLI/ARQUIVO DA EDITORA</v>
      </c>
      <c r="Z239" s="24"/>
      <c r="AA239" s="24" t="str">
        <f>Tabela2[[#This Row],[ILUSTRADOR CRIAÇÃO]]</f>
        <v>HELOÍSA PINTARELLI/ARQUIVO DA EDITORA</v>
      </c>
      <c r="AB239" s="23"/>
      <c r="AC239" s="21"/>
      <c r="AD239" s="21"/>
      <c r="AE239" s="4" t="str">
        <f t="shared" si="3"/>
        <v>EF1 E001 Geo</v>
      </c>
    </row>
    <row r="240" spans="1:31" s="14" customFormat="1" ht="150" x14ac:dyDescent="0.25">
      <c r="A240" s="24" t="s">
        <v>566</v>
      </c>
      <c r="B240" s="21" t="s">
        <v>32</v>
      </c>
      <c r="C240" s="21" t="s">
        <v>529</v>
      </c>
      <c r="D240" s="21" t="s">
        <v>34</v>
      </c>
      <c r="E240" s="23">
        <v>17</v>
      </c>
      <c r="F240" s="23">
        <v>5</v>
      </c>
      <c r="G240" s="23">
        <v>1</v>
      </c>
      <c r="H240" s="23"/>
      <c r="I240" s="24" t="s">
        <v>35</v>
      </c>
      <c r="J240" s="24"/>
      <c r="K240" s="23"/>
      <c r="L240" s="23"/>
      <c r="M240" s="24"/>
      <c r="N240" s="24"/>
      <c r="O240" s="27" t="s">
        <v>567</v>
      </c>
      <c r="P240" s="27"/>
      <c r="Q240" s="27"/>
      <c r="R240" s="23">
        <v>16</v>
      </c>
      <c r="S240" s="25">
        <v>45853</v>
      </c>
      <c r="T240" s="25">
        <v>45853</v>
      </c>
      <c r="U240" s="25"/>
      <c r="V240" s="25"/>
      <c r="W240" s="25">
        <v>45854</v>
      </c>
      <c r="X240" s="23" t="s">
        <v>90</v>
      </c>
      <c r="Y240" s="4" t="str">
        <f>IF(Tabela2[[#This Row],[SIGLA]]="","",VLOOKUP(Tabela2[[#This Row],[SIGLA]],Tabela14[[#All],[Sigla Arte]:[Crédito]],2,0))</f>
        <v>KEITHY MOSTACHI/ARQUIVO DA EDITORA</v>
      </c>
      <c r="Z240" s="24" t="s">
        <v>128</v>
      </c>
      <c r="AA240" s="24" t="str">
        <f>Tabela2[[#This Row],[ILUSTRADOR CRIAÇÃO]]</f>
        <v>KEITHY MOSTACHI/ARQUIVO DA EDITORA</v>
      </c>
      <c r="AB240" s="23">
        <v>13</v>
      </c>
      <c r="AC240" s="21" t="s">
        <v>177</v>
      </c>
      <c r="AD240" s="21" t="s">
        <v>40</v>
      </c>
      <c r="AE240" s="4" t="str">
        <f t="shared" si="3"/>
        <v>EF1 E001 Geo</v>
      </c>
    </row>
    <row r="241" spans="1:31" s="14" customFormat="1" ht="90" x14ac:dyDescent="0.25">
      <c r="A241" s="24" t="s">
        <v>568</v>
      </c>
      <c r="B241" s="21" t="s">
        <v>32</v>
      </c>
      <c r="C241" s="21" t="s">
        <v>529</v>
      </c>
      <c r="D241" s="21" t="s">
        <v>34</v>
      </c>
      <c r="E241" s="23">
        <v>28</v>
      </c>
      <c r="F241" s="23">
        <v>5</v>
      </c>
      <c r="G241" s="23">
        <v>1</v>
      </c>
      <c r="H241" s="23"/>
      <c r="I241" s="24" t="s">
        <v>35</v>
      </c>
      <c r="J241" s="24"/>
      <c r="K241" s="23"/>
      <c r="L241" s="23"/>
      <c r="M241" s="24"/>
      <c r="N241" s="24"/>
      <c r="O241" s="27" t="s">
        <v>569</v>
      </c>
      <c r="P241" s="27"/>
      <c r="Q241" s="27"/>
      <c r="R241" s="23">
        <v>16</v>
      </c>
      <c r="S241" s="25">
        <v>45853</v>
      </c>
      <c r="T241" s="25">
        <v>45853</v>
      </c>
      <c r="U241" s="25"/>
      <c r="V241" s="25"/>
      <c r="W241" s="25">
        <v>45854</v>
      </c>
      <c r="X241" s="23" t="s">
        <v>90</v>
      </c>
      <c r="Y241" s="4" t="str">
        <f>IF(Tabela2[[#This Row],[SIGLA]]="","",VLOOKUP(Tabela2[[#This Row],[SIGLA]],Tabela14[[#All],[Sigla Arte]:[Crédito]],2,0))</f>
        <v>KEITHY MOSTACHI/ARQUIVO DA EDITORA</v>
      </c>
      <c r="Z241" s="24" t="s">
        <v>128</v>
      </c>
      <c r="AA241" s="24" t="str">
        <f>Tabela2[[#This Row],[ILUSTRADOR CRIAÇÃO]]</f>
        <v>KEITHY MOSTACHI/ARQUIVO DA EDITORA</v>
      </c>
      <c r="AB241" s="23">
        <v>13</v>
      </c>
      <c r="AC241" s="21" t="s">
        <v>177</v>
      </c>
      <c r="AD241" s="21" t="s">
        <v>40</v>
      </c>
      <c r="AE241" s="4" t="str">
        <f t="shared" si="3"/>
        <v>EF1 E001 Geo</v>
      </c>
    </row>
    <row r="242" spans="1:31" s="14" customFormat="1" ht="150" x14ac:dyDescent="0.25">
      <c r="A242" s="24" t="s">
        <v>570</v>
      </c>
      <c r="B242" s="21" t="s">
        <v>32</v>
      </c>
      <c r="C242" s="21" t="s">
        <v>529</v>
      </c>
      <c r="D242" s="21" t="s">
        <v>34</v>
      </c>
      <c r="E242" s="23">
        <v>34</v>
      </c>
      <c r="F242" s="23">
        <v>5</v>
      </c>
      <c r="G242" s="23">
        <v>1</v>
      </c>
      <c r="H242" s="23"/>
      <c r="I242" s="24" t="s">
        <v>35</v>
      </c>
      <c r="J242" s="24"/>
      <c r="K242" s="23"/>
      <c r="L242" s="23"/>
      <c r="M242" s="24"/>
      <c r="N242" s="24"/>
      <c r="O242" s="27" t="s">
        <v>571</v>
      </c>
      <c r="P242" s="27"/>
      <c r="Q242" s="27"/>
      <c r="R242" s="23">
        <v>16</v>
      </c>
      <c r="S242" s="25">
        <v>45853</v>
      </c>
      <c r="T242" s="25">
        <v>45853</v>
      </c>
      <c r="U242" s="25"/>
      <c r="V242" s="25"/>
      <c r="W242" s="25">
        <v>45854</v>
      </c>
      <c r="X242" s="23" t="s">
        <v>572</v>
      </c>
      <c r="Y242" s="4" t="str">
        <f>IF(Tabela2[[#This Row],[SIGLA]]="","",VLOOKUP(Tabela2[[#This Row],[SIGLA]],Tabela14[[#All],[Sigla Arte]:[Crédito]],2,0))</f>
        <v>SERGIO LIMA/ARQUIVO DA EDITORA</v>
      </c>
      <c r="Z242" s="24" t="s">
        <v>128</v>
      </c>
      <c r="AA242" s="24" t="str">
        <f>Tabela2[[#This Row],[ILUSTRADOR CRIAÇÃO]]</f>
        <v>SERGIO LIMA/ARQUIVO DA EDITORA</v>
      </c>
      <c r="AB242" s="23">
        <v>13</v>
      </c>
      <c r="AC242" s="21" t="s">
        <v>177</v>
      </c>
      <c r="AD242" s="21" t="s">
        <v>40</v>
      </c>
      <c r="AE242" s="4" t="str">
        <f t="shared" si="3"/>
        <v>EF1 E001 Geo</v>
      </c>
    </row>
    <row r="243" spans="1:31" s="14" customFormat="1" ht="105" x14ac:dyDescent="0.25">
      <c r="A243" s="24" t="s">
        <v>573</v>
      </c>
      <c r="B243" s="21" t="s">
        <v>74</v>
      </c>
      <c r="C243" s="21" t="s">
        <v>529</v>
      </c>
      <c r="D243" s="21" t="s">
        <v>34</v>
      </c>
      <c r="E243" s="23">
        <v>40</v>
      </c>
      <c r="F243" s="23">
        <v>5</v>
      </c>
      <c r="G243" s="23">
        <v>1</v>
      </c>
      <c r="H243" s="23"/>
      <c r="I243" s="24" t="s">
        <v>35</v>
      </c>
      <c r="J243" s="24"/>
      <c r="K243" s="23"/>
      <c r="L243" s="23"/>
      <c r="M243" s="24"/>
      <c r="N243" s="24"/>
      <c r="O243" s="27" t="s">
        <v>574</v>
      </c>
      <c r="P243" s="27"/>
      <c r="Q243" s="27"/>
      <c r="R243" s="23">
        <v>16</v>
      </c>
      <c r="S243" s="25">
        <v>45853</v>
      </c>
      <c r="T243" s="25">
        <v>45853</v>
      </c>
      <c r="U243" s="25"/>
      <c r="V243" s="25"/>
      <c r="W243" s="25">
        <v>45854</v>
      </c>
      <c r="X243" s="23" t="s">
        <v>90</v>
      </c>
      <c r="Y243" s="4" t="str">
        <f>IF(Tabela2[[#This Row],[SIGLA]]="","",VLOOKUP(Tabela2[[#This Row],[SIGLA]],Tabela14[[#All],[Sigla Arte]:[Crédito]],2,0))</f>
        <v>KEITHY MOSTACHI/ARQUIVO DA EDITORA</v>
      </c>
      <c r="Z243" s="24" t="s">
        <v>128</v>
      </c>
      <c r="AA243" s="24" t="str">
        <f>Tabela2[[#This Row],[ILUSTRADOR CRIAÇÃO]]</f>
        <v>KEITHY MOSTACHI/ARQUIVO DA EDITORA</v>
      </c>
      <c r="AB243" s="23">
        <v>13</v>
      </c>
      <c r="AC243" s="21" t="s">
        <v>177</v>
      </c>
      <c r="AD243" s="21" t="s">
        <v>40</v>
      </c>
      <c r="AE243" s="4" t="str">
        <f t="shared" si="3"/>
        <v>EF1 E001 Geo</v>
      </c>
    </row>
    <row r="244" spans="1:31" s="14" customFormat="1" ht="90" x14ac:dyDescent="0.25">
      <c r="A244" s="24" t="s">
        <v>333</v>
      </c>
      <c r="B244" s="21" t="s">
        <v>32</v>
      </c>
      <c r="C244" s="21" t="s">
        <v>110</v>
      </c>
      <c r="D244" s="21" t="s">
        <v>34</v>
      </c>
      <c r="E244" s="23">
        <v>21</v>
      </c>
      <c r="F244" s="23">
        <v>5</v>
      </c>
      <c r="G244" s="23">
        <v>1</v>
      </c>
      <c r="H244" s="23"/>
      <c r="I244" s="24" t="s">
        <v>35</v>
      </c>
      <c r="J244" s="24"/>
      <c r="K244" s="23"/>
      <c r="L244" s="23"/>
      <c r="M244" s="24"/>
      <c r="N244" s="24"/>
      <c r="O244" s="27" t="s">
        <v>575</v>
      </c>
      <c r="P244" s="27"/>
      <c r="Q244" s="27"/>
      <c r="R244" s="23">
        <v>16</v>
      </c>
      <c r="S244" s="25">
        <v>45853</v>
      </c>
      <c r="T244" s="25">
        <v>45853</v>
      </c>
      <c r="U244" s="25"/>
      <c r="V244" s="25"/>
      <c r="W244" s="25">
        <v>45854</v>
      </c>
      <c r="X244" s="23" t="s">
        <v>283</v>
      </c>
      <c r="Y244" s="4" t="str">
        <f>IF(Tabela2[[#This Row],[SIGLA]]="","",VLOOKUP(Tabela2[[#This Row],[SIGLA]],Tabela14[[#All],[Sigla Arte]:[Crédito]],2,0))</f>
        <v>REINALDO ROSA/ARQUIVO DA EDITORA</v>
      </c>
      <c r="Z244" s="24" t="s">
        <v>128</v>
      </c>
      <c r="AA244" s="24" t="str">
        <f>Tabela2[[#This Row],[ILUSTRADOR CRIAÇÃO]]</f>
        <v>REINALDO ROSA/ARQUIVO DA EDITORA</v>
      </c>
      <c r="AB244" s="23">
        <v>13</v>
      </c>
      <c r="AC244" s="21" t="s">
        <v>177</v>
      </c>
      <c r="AD244" s="21" t="s">
        <v>40</v>
      </c>
      <c r="AE244" s="4" t="str">
        <f t="shared" si="3"/>
        <v>EF1 E001 Geo</v>
      </c>
    </row>
    <row r="245" spans="1:31" s="14" customFormat="1" ht="90" x14ac:dyDescent="0.25">
      <c r="A245" s="24" t="s">
        <v>576</v>
      </c>
      <c r="B245" s="21" t="s">
        <v>32</v>
      </c>
      <c r="C245" s="21" t="s">
        <v>110</v>
      </c>
      <c r="D245" s="21" t="s">
        <v>34</v>
      </c>
      <c r="E245" s="23">
        <v>18</v>
      </c>
      <c r="F245" s="23">
        <v>5</v>
      </c>
      <c r="G245" s="23">
        <v>1</v>
      </c>
      <c r="H245" s="23"/>
      <c r="I245" s="24" t="s">
        <v>35</v>
      </c>
      <c r="J245" s="24"/>
      <c r="K245" s="23"/>
      <c r="L245" s="23"/>
      <c r="M245" s="24"/>
      <c r="N245" s="24"/>
      <c r="O245" s="27" t="s">
        <v>577</v>
      </c>
      <c r="P245" s="27"/>
      <c r="Q245" s="27"/>
      <c r="R245" s="23">
        <v>16</v>
      </c>
      <c r="S245" s="25">
        <v>45853</v>
      </c>
      <c r="T245" s="25">
        <v>45853</v>
      </c>
      <c r="U245" s="25"/>
      <c r="V245" s="25"/>
      <c r="W245" s="25">
        <v>45854</v>
      </c>
      <c r="X245" s="23" t="s">
        <v>578</v>
      </c>
      <c r="Y245" s="4" t="str">
        <f>IF(Tabela2[[#This Row],[SIGLA]]="","",VLOOKUP(Tabela2[[#This Row],[SIGLA]],Tabela14[[#All],[Sigla Arte]:[Crédito]],2,0))</f>
        <v>JANAINA OLIVEIRA/ARQUIVO DA EDITORA</v>
      </c>
      <c r="Z245" s="24" t="s">
        <v>128</v>
      </c>
      <c r="AA245" s="24" t="str">
        <f>Tabela2[[#This Row],[ILUSTRADOR CRIAÇÃO]]</f>
        <v>JANAINA OLIVEIRA/ARQUIVO DA EDITORA</v>
      </c>
      <c r="AB245" s="23">
        <v>13</v>
      </c>
      <c r="AC245" s="21" t="s">
        <v>177</v>
      </c>
      <c r="AD245" s="21" t="s">
        <v>40</v>
      </c>
      <c r="AE245" s="4" t="str">
        <f t="shared" si="3"/>
        <v>EF1 E001 Geo</v>
      </c>
    </row>
    <row r="246" spans="1:31" s="14" customFormat="1" ht="180" x14ac:dyDescent="0.25">
      <c r="A246" s="24" t="s">
        <v>579</v>
      </c>
      <c r="B246" s="21" t="s">
        <v>32</v>
      </c>
      <c r="C246" s="21" t="s">
        <v>33</v>
      </c>
      <c r="D246" s="21" t="s">
        <v>34</v>
      </c>
      <c r="E246" s="23">
        <v>22</v>
      </c>
      <c r="F246" s="23">
        <v>5</v>
      </c>
      <c r="G246" s="23">
        <v>1</v>
      </c>
      <c r="H246" s="23"/>
      <c r="I246" s="24" t="s">
        <v>276</v>
      </c>
      <c r="J246" s="24"/>
      <c r="K246" s="23"/>
      <c r="L246" s="23"/>
      <c r="M246" s="24"/>
      <c r="N246" s="24"/>
      <c r="O246" s="27" t="s">
        <v>580</v>
      </c>
      <c r="P246" s="27"/>
      <c r="Q246" s="27"/>
      <c r="R246" s="23">
        <v>16</v>
      </c>
      <c r="S246" s="25">
        <v>45853</v>
      </c>
      <c r="T246" s="25">
        <v>45853</v>
      </c>
      <c r="U246" s="25"/>
      <c r="V246" s="25"/>
      <c r="W246" s="25">
        <v>45854</v>
      </c>
      <c r="X246" s="23" t="s">
        <v>90</v>
      </c>
      <c r="Y246" s="4" t="str">
        <f>IF(Tabela2[[#This Row],[SIGLA]]="","",VLOOKUP(Tabela2[[#This Row],[SIGLA]],Tabela14[[#All],[Sigla Arte]:[Crédito]],2,0))</f>
        <v>KEITHY MOSTACHI/ARQUIVO DA EDITORA</v>
      </c>
      <c r="Z246" s="24"/>
      <c r="AA246" s="24" t="str">
        <f>Tabela2[[#This Row],[ILUSTRADOR CRIAÇÃO]]</f>
        <v>KEITHY MOSTACHI/ARQUIVO DA EDITORA</v>
      </c>
      <c r="AB246" s="23">
        <v>10</v>
      </c>
      <c r="AC246" s="21" t="s">
        <v>545</v>
      </c>
      <c r="AD246" s="21" t="s">
        <v>40</v>
      </c>
      <c r="AE246" s="4" t="str">
        <f t="shared" si="3"/>
        <v>EF1 E001 Geo</v>
      </c>
    </row>
    <row r="247" spans="1:31" s="14" customFormat="1" ht="105" x14ac:dyDescent="0.25">
      <c r="A247" s="24" t="s">
        <v>581</v>
      </c>
      <c r="B247" s="21" t="s">
        <v>32</v>
      </c>
      <c r="C247" s="21" t="s">
        <v>33</v>
      </c>
      <c r="D247" s="21" t="s">
        <v>34</v>
      </c>
      <c r="E247" s="23">
        <v>22</v>
      </c>
      <c r="F247" s="23">
        <v>5</v>
      </c>
      <c r="G247" s="23">
        <v>1</v>
      </c>
      <c r="H247" s="23"/>
      <c r="I247" s="24" t="s">
        <v>276</v>
      </c>
      <c r="J247" s="24"/>
      <c r="K247" s="23"/>
      <c r="L247" s="23"/>
      <c r="M247" s="24"/>
      <c r="N247" s="24"/>
      <c r="O247" s="27" t="s">
        <v>582</v>
      </c>
      <c r="P247" s="27"/>
      <c r="Q247" s="27"/>
      <c r="R247" s="23">
        <v>16</v>
      </c>
      <c r="S247" s="25">
        <v>45853</v>
      </c>
      <c r="T247" s="25">
        <v>45853</v>
      </c>
      <c r="U247" s="25"/>
      <c r="V247" s="25"/>
      <c r="W247" s="25">
        <v>45854</v>
      </c>
      <c r="X247" s="23" t="s">
        <v>90</v>
      </c>
      <c r="Y247" s="4" t="str">
        <f>IF(Tabela2[[#This Row],[SIGLA]]="","",VLOOKUP(Tabela2[[#This Row],[SIGLA]],Tabela14[[#All],[Sigla Arte]:[Crédito]],2,0))</f>
        <v>KEITHY MOSTACHI/ARQUIVO DA EDITORA</v>
      </c>
      <c r="Z247" s="24"/>
      <c r="AA247" s="24" t="str">
        <f>Tabela2[[#This Row],[ILUSTRADOR CRIAÇÃO]]</f>
        <v>KEITHY MOSTACHI/ARQUIVO DA EDITORA</v>
      </c>
      <c r="AB247" s="23">
        <v>10</v>
      </c>
      <c r="AC247" s="21" t="s">
        <v>545</v>
      </c>
      <c r="AD247" s="21" t="s">
        <v>40</v>
      </c>
      <c r="AE247" s="4" t="str">
        <f t="shared" si="3"/>
        <v>EF1 E001 Geo</v>
      </c>
    </row>
    <row r="248" spans="1:31" s="14" customFormat="1" ht="409.5" x14ac:dyDescent="0.25">
      <c r="A248" s="24" t="s">
        <v>583</v>
      </c>
      <c r="B248" s="21" t="s">
        <v>88</v>
      </c>
      <c r="C248" s="21" t="s">
        <v>110</v>
      </c>
      <c r="D248" s="21" t="s">
        <v>34</v>
      </c>
      <c r="E248" s="23" t="s">
        <v>584</v>
      </c>
      <c r="F248" s="23">
        <v>5</v>
      </c>
      <c r="G248" s="23">
        <v>2</v>
      </c>
      <c r="H248" s="23"/>
      <c r="I248" s="24" t="s">
        <v>276</v>
      </c>
      <c r="J248" s="24"/>
      <c r="K248" s="23"/>
      <c r="L248" s="23"/>
      <c r="M248" s="24"/>
      <c r="N248" s="24"/>
      <c r="O248" s="27" t="s">
        <v>585</v>
      </c>
      <c r="P248" s="27"/>
      <c r="Q248" s="27"/>
      <c r="R248" s="23">
        <v>17</v>
      </c>
      <c r="S248" s="25">
        <v>45853</v>
      </c>
      <c r="T248" s="25">
        <v>45854</v>
      </c>
      <c r="U248" s="25">
        <v>45859</v>
      </c>
      <c r="V248" s="25">
        <v>45860</v>
      </c>
      <c r="W248" s="25">
        <v>45863</v>
      </c>
      <c r="X248" s="23" t="s">
        <v>586</v>
      </c>
      <c r="Y248" s="4" t="str">
        <f>IF(Tabela2[[#This Row],[SIGLA]]="","",VLOOKUP(Tabela2[[#This Row],[SIGLA]],Tabela14[[#All],[Sigla Arte]:[Crédito]],2,0))</f>
        <v>RIVALDO BARBOZA/ARQUIVO DA EDITORA</v>
      </c>
      <c r="Z248" s="24"/>
      <c r="AA248" s="24" t="str">
        <f>Tabela2[[#This Row],[ILUSTRADOR CRIAÇÃO]]</f>
        <v>RIVALDO BARBOZA/ARQUIVO DA EDITORA</v>
      </c>
      <c r="AB248" s="23">
        <v>4</v>
      </c>
      <c r="AC248" s="21" t="s">
        <v>587</v>
      </c>
      <c r="AD248" s="21" t="s">
        <v>460</v>
      </c>
      <c r="AE248" s="4" t="str">
        <f t="shared" si="3"/>
        <v>EF1 E001 Geo</v>
      </c>
    </row>
    <row r="249" spans="1:31" s="14" customFormat="1" ht="60" x14ac:dyDescent="0.25">
      <c r="A249" s="24" t="s">
        <v>588</v>
      </c>
      <c r="B249" s="21" t="s">
        <v>88</v>
      </c>
      <c r="C249" s="21" t="s">
        <v>110</v>
      </c>
      <c r="D249" s="21" t="s">
        <v>34</v>
      </c>
      <c r="E249" s="23">
        <v>52</v>
      </c>
      <c r="F249" s="23">
        <v>5</v>
      </c>
      <c r="G249" s="23">
        <v>2</v>
      </c>
      <c r="H249" s="23"/>
      <c r="I249" s="24" t="s">
        <v>111</v>
      </c>
      <c r="J249" s="24"/>
      <c r="K249" s="23"/>
      <c r="L249" s="23"/>
      <c r="M249" s="24"/>
      <c r="N249" s="24"/>
      <c r="O249" s="27" t="s">
        <v>358</v>
      </c>
      <c r="P249" s="27"/>
      <c r="Q249" s="27"/>
      <c r="R249" s="23"/>
      <c r="S249" s="25"/>
      <c r="T249" s="25"/>
      <c r="U249" s="25"/>
      <c r="V249" s="25"/>
      <c r="W249" s="25"/>
      <c r="X249" s="23" t="s">
        <v>359</v>
      </c>
      <c r="Y249" s="4" t="str">
        <f>IF(Tabela2[[#This Row],[SIGLA]]="","",VLOOKUP(Tabela2[[#This Row],[SIGLA]],Tabela14[[#All],[Sigla Arte]:[Crédito]],2,0))</f>
        <v>DEIVY LIMA COSTA/ARQUIVO DA EDITORA</v>
      </c>
      <c r="Z249" s="24"/>
      <c r="AA249" s="24" t="str">
        <f>Tabela2[[#This Row],[ILUSTRADOR CRIAÇÃO]]</f>
        <v>DEIVY LIMA COSTA/ARQUIVO DA EDITORA</v>
      </c>
      <c r="AB249" s="23"/>
      <c r="AC249" s="21"/>
      <c r="AD249" s="21"/>
      <c r="AE249" s="4" t="str">
        <f t="shared" si="3"/>
        <v>EF1 E001 Geo</v>
      </c>
    </row>
    <row r="250" spans="1:31" s="14" customFormat="1" ht="90" x14ac:dyDescent="0.25">
      <c r="A250" s="24" t="s">
        <v>589</v>
      </c>
      <c r="B250" s="21" t="s">
        <v>88</v>
      </c>
      <c r="C250" s="21" t="s">
        <v>529</v>
      </c>
      <c r="D250" s="21" t="s">
        <v>34</v>
      </c>
      <c r="E250" s="23">
        <v>52</v>
      </c>
      <c r="F250" s="23">
        <v>5</v>
      </c>
      <c r="G250" s="23">
        <v>2</v>
      </c>
      <c r="H250" s="23"/>
      <c r="I250" s="24" t="s">
        <v>35</v>
      </c>
      <c r="J250" s="24"/>
      <c r="K250" s="23"/>
      <c r="L250" s="23"/>
      <c r="M250" s="24"/>
      <c r="N250" s="24"/>
      <c r="O250" s="27" t="s">
        <v>590</v>
      </c>
      <c r="P250" s="27"/>
      <c r="Q250" s="27"/>
      <c r="R250" s="23">
        <v>17</v>
      </c>
      <c r="S250" s="25">
        <v>45853</v>
      </c>
      <c r="T250" s="25">
        <v>45854</v>
      </c>
      <c r="U250" s="25"/>
      <c r="V250" s="25"/>
      <c r="W250" s="25">
        <v>45854</v>
      </c>
      <c r="X250" s="23" t="s">
        <v>212</v>
      </c>
      <c r="Y250" s="4" t="str">
        <f>IF(Tabela2[[#This Row],[SIGLA]]="","",VLOOKUP(Tabela2[[#This Row],[SIGLA]],Tabela14[[#All],[Sigla Arte]:[Crédito]],2,0))</f>
        <v>RENAN FONSECA/ARQUIVO DA EDITORA</v>
      </c>
      <c r="Z250" s="24" t="s">
        <v>128</v>
      </c>
      <c r="AA250" s="24" t="str">
        <f>Tabela2[[#This Row],[ILUSTRADOR CRIAÇÃO]]</f>
        <v>RENAN FONSECA/ARQUIVO DA EDITORA</v>
      </c>
      <c r="AB250" s="23">
        <v>13</v>
      </c>
      <c r="AC250" s="21" t="s">
        <v>177</v>
      </c>
      <c r="AD250" s="21" t="s">
        <v>40</v>
      </c>
      <c r="AE250" s="4" t="str">
        <f t="shared" si="3"/>
        <v>EF1 E001 Geo</v>
      </c>
    </row>
    <row r="251" spans="1:31" s="14" customFormat="1" ht="135" x14ac:dyDescent="0.25">
      <c r="A251" s="24" t="s">
        <v>591</v>
      </c>
      <c r="B251" s="21" t="s">
        <v>88</v>
      </c>
      <c r="C251" s="21" t="s">
        <v>529</v>
      </c>
      <c r="D251" s="21" t="s">
        <v>34</v>
      </c>
      <c r="E251" s="23">
        <v>53</v>
      </c>
      <c r="F251" s="23">
        <v>5</v>
      </c>
      <c r="G251" s="23">
        <v>2</v>
      </c>
      <c r="H251" s="23"/>
      <c r="I251" s="24" t="s">
        <v>35</v>
      </c>
      <c r="J251" s="24"/>
      <c r="K251" s="23"/>
      <c r="L251" s="23"/>
      <c r="M251" s="24"/>
      <c r="N251" s="24"/>
      <c r="O251" s="27" t="s">
        <v>592</v>
      </c>
      <c r="P251" s="27"/>
      <c r="Q251" s="27"/>
      <c r="R251" s="23">
        <v>17</v>
      </c>
      <c r="S251" s="25">
        <v>45853</v>
      </c>
      <c r="T251" s="25">
        <v>45854</v>
      </c>
      <c r="U251" s="25"/>
      <c r="V251" s="25"/>
      <c r="W251" s="25">
        <v>45854</v>
      </c>
      <c r="X251" s="23" t="s">
        <v>90</v>
      </c>
      <c r="Y251" s="4" t="str">
        <f>IF(Tabela2[[#This Row],[SIGLA]]="","",VLOOKUP(Tabela2[[#This Row],[SIGLA]],Tabela14[[#All],[Sigla Arte]:[Crédito]],2,0))</f>
        <v>KEITHY MOSTACHI/ARQUIVO DA EDITORA</v>
      </c>
      <c r="Z251" s="24" t="s">
        <v>128</v>
      </c>
      <c r="AA251" s="24" t="str">
        <f>Tabela2[[#This Row],[ILUSTRADOR CRIAÇÃO]]</f>
        <v>KEITHY MOSTACHI/ARQUIVO DA EDITORA</v>
      </c>
      <c r="AB251" s="23">
        <v>13</v>
      </c>
      <c r="AC251" s="21" t="s">
        <v>177</v>
      </c>
      <c r="AD251" s="21" t="s">
        <v>40</v>
      </c>
      <c r="AE251" s="4" t="str">
        <f t="shared" si="3"/>
        <v>EF1 E001 Geo</v>
      </c>
    </row>
    <row r="252" spans="1:31" s="14" customFormat="1" ht="75" x14ac:dyDescent="0.25">
      <c r="A252" s="24" t="s">
        <v>593</v>
      </c>
      <c r="B252" s="21" t="s">
        <v>88</v>
      </c>
      <c r="C252" s="21" t="s">
        <v>529</v>
      </c>
      <c r="D252" s="21" t="s">
        <v>34</v>
      </c>
      <c r="E252" s="23">
        <v>53</v>
      </c>
      <c r="F252" s="23">
        <v>5</v>
      </c>
      <c r="G252" s="23">
        <v>2</v>
      </c>
      <c r="H252" s="23"/>
      <c r="I252" s="24" t="s">
        <v>35</v>
      </c>
      <c r="J252" s="24"/>
      <c r="K252" s="23"/>
      <c r="L252" s="23"/>
      <c r="M252" s="24"/>
      <c r="N252" s="24"/>
      <c r="O252" s="27" t="s">
        <v>594</v>
      </c>
      <c r="P252" s="27"/>
      <c r="Q252" s="27"/>
      <c r="R252" s="23">
        <v>17</v>
      </c>
      <c r="S252" s="25">
        <v>45853</v>
      </c>
      <c r="T252" s="25">
        <v>45854</v>
      </c>
      <c r="U252" s="25"/>
      <c r="V252" s="25"/>
      <c r="W252" s="25">
        <v>45854</v>
      </c>
      <c r="X252" s="23" t="s">
        <v>90</v>
      </c>
      <c r="Y252" s="4" t="str">
        <f>IF(Tabela2[[#This Row],[SIGLA]]="","",VLOOKUP(Tabela2[[#This Row],[SIGLA]],Tabela14[[#All],[Sigla Arte]:[Crédito]],2,0))</f>
        <v>KEITHY MOSTACHI/ARQUIVO DA EDITORA</v>
      </c>
      <c r="Z252" s="24" t="s">
        <v>128</v>
      </c>
      <c r="AA252" s="24" t="str">
        <f>Tabela2[[#This Row],[ILUSTRADOR CRIAÇÃO]]</f>
        <v>KEITHY MOSTACHI/ARQUIVO DA EDITORA</v>
      </c>
      <c r="AB252" s="23">
        <v>13</v>
      </c>
      <c r="AC252" s="21" t="s">
        <v>177</v>
      </c>
      <c r="AD252" s="21" t="s">
        <v>40</v>
      </c>
      <c r="AE252" s="4" t="str">
        <f t="shared" si="3"/>
        <v>EF1 E001 Geo</v>
      </c>
    </row>
    <row r="253" spans="1:31" s="14" customFormat="1" ht="150" x14ac:dyDescent="0.25">
      <c r="A253" s="24" t="s">
        <v>595</v>
      </c>
      <c r="B253" s="21" t="s">
        <v>88</v>
      </c>
      <c r="C253" s="21" t="s">
        <v>529</v>
      </c>
      <c r="D253" s="21" t="s">
        <v>34</v>
      </c>
      <c r="E253" s="23">
        <v>53</v>
      </c>
      <c r="F253" s="23">
        <v>5</v>
      </c>
      <c r="G253" s="23">
        <v>2</v>
      </c>
      <c r="H253" s="23"/>
      <c r="I253" s="24" t="s">
        <v>35</v>
      </c>
      <c r="J253" s="24"/>
      <c r="K253" s="23"/>
      <c r="L253" s="23"/>
      <c r="M253" s="24"/>
      <c r="N253" s="24"/>
      <c r="O253" s="27" t="s">
        <v>596</v>
      </c>
      <c r="P253" s="27"/>
      <c r="Q253" s="27"/>
      <c r="R253" s="23">
        <v>17</v>
      </c>
      <c r="S253" s="25">
        <v>45853</v>
      </c>
      <c r="T253" s="25">
        <v>45854</v>
      </c>
      <c r="U253" s="25"/>
      <c r="V253" s="25"/>
      <c r="W253" s="25">
        <v>45854</v>
      </c>
      <c r="X253" s="23" t="s">
        <v>90</v>
      </c>
      <c r="Y253" s="4" t="str">
        <f>IF(Tabela2[[#This Row],[SIGLA]]="","",VLOOKUP(Tabela2[[#This Row],[SIGLA]],Tabela14[[#All],[Sigla Arte]:[Crédito]],2,0))</f>
        <v>KEITHY MOSTACHI/ARQUIVO DA EDITORA</v>
      </c>
      <c r="Z253" s="24" t="s">
        <v>128</v>
      </c>
      <c r="AA253" s="24" t="str">
        <f>Tabela2[[#This Row],[ILUSTRADOR CRIAÇÃO]]</f>
        <v>KEITHY MOSTACHI/ARQUIVO DA EDITORA</v>
      </c>
      <c r="AB253" s="23">
        <v>13</v>
      </c>
      <c r="AC253" s="21" t="s">
        <v>177</v>
      </c>
      <c r="AD253" s="21" t="s">
        <v>40</v>
      </c>
      <c r="AE253" s="4" t="str">
        <f t="shared" si="3"/>
        <v>EF1 E001 Geo</v>
      </c>
    </row>
    <row r="254" spans="1:31" s="14" customFormat="1" ht="135" x14ac:dyDescent="0.25">
      <c r="A254" s="24" t="s">
        <v>597</v>
      </c>
      <c r="B254" s="21" t="s">
        <v>88</v>
      </c>
      <c r="C254" s="21" t="s">
        <v>529</v>
      </c>
      <c r="D254" s="21" t="s">
        <v>34</v>
      </c>
      <c r="E254" s="23">
        <v>53</v>
      </c>
      <c r="F254" s="23">
        <v>5</v>
      </c>
      <c r="G254" s="23">
        <v>2</v>
      </c>
      <c r="H254" s="23"/>
      <c r="I254" s="24" t="s">
        <v>35</v>
      </c>
      <c r="J254" s="24"/>
      <c r="K254" s="23"/>
      <c r="L254" s="23"/>
      <c r="M254" s="24"/>
      <c r="N254" s="24"/>
      <c r="O254" s="27" t="s">
        <v>598</v>
      </c>
      <c r="P254" s="27"/>
      <c r="Q254" s="27"/>
      <c r="R254" s="23">
        <v>17</v>
      </c>
      <c r="S254" s="25">
        <v>45853</v>
      </c>
      <c r="T254" s="25">
        <v>45854</v>
      </c>
      <c r="U254" s="25"/>
      <c r="V254" s="25"/>
      <c r="W254" s="25">
        <v>45854</v>
      </c>
      <c r="X254" s="23" t="s">
        <v>90</v>
      </c>
      <c r="Y254" s="4" t="str">
        <f>IF(Tabela2[[#This Row],[SIGLA]]="","",VLOOKUP(Tabela2[[#This Row],[SIGLA]],Tabela14[[#All],[Sigla Arte]:[Crédito]],2,0))</f>
        <v>KEITHY MOSTACHI/ARQUIVO DA EDITORA</v>
      </c>
      <c r="Z254" s="24" t="s">
        <v>128</v>
      </c>
      <c r="AA254" s="24" t="str">
        <f>Tabela2[[#This Row],[ILUSTRADOR CRIAÇÃO]]</f>
        <v>KEITHY MOSTACHI/ARQUIVO DA EDITORA</v>
      </c>
      <c r="AB254" s="23">
        <v>13</v>
      </c>
      <c r="AC254" s="21" t="s">
        <v>177</v>
      </c>
      <c r="AD254" s="21" t="s">
        <v>40</v>
      </c>
      <c r="AE254" s="4" t="str">
        <f t="shared" si="3"/>
        <v>EF1 E001 Geo</v>
      </c>
    </row>
    <row r="255" spans="1:31" s="14" customFormat="1" ht="195" x14ac:dyDescent="0.25">
      <c r="A255" s="24" t="s">
        <v>599</v>
      </c>
      <c r="B255" s="21" t="s">
        <v>88</v>
      </c>
      <c r="C255" s="21" t="s">
        <v>529</v>
      </c>
      <c r="D255" s="21" t="s">
        <v>34</v>
      </c>
      <c r="E255" s="23">
        <v>53</v>
      </c>
      <c r="F255" s="23">
        <v>5</v>
      </c>
      <c r="G255" s="23">
        <v>2</v>
      </c>
      <c r="H255" s="23"/>
      <c r="I255" s="24" t="s">
        <v>35</v>
      </c>
      <c r="J255" s="24"/>
      <c r="K255" s="23"/>
      <c r="L255" s="23"/>
      <c r="M255" s="24"/>
      <c r="N255" s="24"/>
      <c r="O255" s="27" t="s">
        <v>600</v>
      </c>
      <c r="P255" s="27"/>
      <c r="Q255" s="27"/>
      <c r="R255" s="23">
        <v>17</v>
      </c>
      <c r="S255" s="25">
        <v>45853</v>
      </c>
      <c r="T255" s="25">
        <v>45854</v>
      </c>
      <c r="U255" s="25"/>
      <c r="V255" s="25"/>
      <c r="W255" s="25">
        <v>45854</v>
      </c>
      <c r="X255" s="23" t="s">
        <v>90</v>
      </c>
      <c r="Y255" s="4" t="str">
        <f>IF(Tabela2[[#This Row],[SIGLA]]="","",VLOOKUP(Tabela2[[#This Row],[SIGLA]],Tabela14[[#All],[Sigla Arte]:[Crédito]],2,0))</f>
        <v>KEITHY MOSTACHI/ARQUIVO DA EDITORA</v>
      </c>
      <c r="Z255" s="24" t="s">
        <v>128</v>
      </c>
      <c r="AA255" s="24" t="str">
        <f>Tabela2[[#This Row],[ILUSTRADOR CRIAÇÃO]]</f>
        <v>KEITHY MOSTACHI/ARQUIVO DA EDITORA</v>
      </c>
      <c r="AB255" s="23">
        <v>13</v>
      </c>
      <c r="AC255" s="21" t="s">
        <v>177</v>
      </c>
      <c r="AD255" s="21" t="s">
        <v>40</v>
      </c>
      <c r="AE255" s="4" t="str">
        <f t="shared" si="3"/>
        <v>EF1 E001 Geo</v>
      </c>
    </row>
    <row r="256" spans="1:31" s="14" customFormat="1" ht="135" x14ac:dyDescent="0.25">
      <c r="A256" s="24" t="s">
        <v>601</v>
      </c>
      <c r="B256" s="21" t="s">
        <v>88</v>
      </c>
      <c r="C256" s="21" t="s">
        <v>33</v>
      </c>
      <c r="D256" s="21" t="s">
        <v>34</v>
      </c>
      <c r="E256" s="23">
        <v>55</v>
      </c>
      <c r="F256" s="23">
        <v>5</v>
      </c>
      <c r="G256" s="23">
        <v>2</v>
      </c>
      <c r="H256" s="23"/>
      <c r="I256" s="24" t="s">
        <v>35</v>
      </c>
      <c r="J256" s="24"/>
      <c r="K256" s="23"/>
      <c r="L256" s="23"/>
      <c r="M256" s="24"/>
      <c r="N256" s="24"/>
      <c r="O256" s="27" t="s">
        <v>602</v>
      </c>
      <c r="P256" s="27"/>
      <c r="Q256" s="27"/>
      <c r="R256" s="23">
        <v>17</v>
      </c>
      <c r="S256" s="25">
        <v>45853</v>
      </c>
      <c r="T256" s="25">
        <v>45854</v>
      </c>
      <c r="U256" s="25"/>
      <c r="V256" s="25"/>
      <c r="W256" s="25">
        <v>45854</v>
      </c>
      <c r="X256" s="23" t="s">
        <v>37</v>
      </c>
      <c r="Y256" s="4" t="str">
        <f>IF(Tabela2[[#This Row],[SIGLA]]="","",VLOOKUP(Tabela2[[#This Row],[SIGLA]],Tabela14[[#All],[Sigla Arte]:[Crédito]],2,0))</f>
        <v>EDSON BELLUSCI/ARQUIVO DA EDITORA</v>
      </c>
      <c r="Z256" s="24" t="s">
        <v>128</v>
      </c>
      <c r="AA256" s="24" t="str">
        <f>Tabela2[[#This Row],[ILUSTRADOR CRIAÇÃO]]</f>
        <v>EDSON BELLUSCI/ARQUIVO DA EDITORA</v>
      </c>
      <c r="AB256" s="23">
        <v>13</v>
      </c>
      <c r="AC256" s="21" t="s">
        <v>177</v>
      </c>
      <c r="AD256" s="21" t="s">
        <v>40</v>
      </c>
      <c r="AE256" s="4" t="str">
        <f t="shared" si="3"/>
        <v>EF1 E001 Geo</v>
      </c>
    </row>
    <row r="257" spans="1:31" s="14" customFormat="1" ht="120" x14ac:dyDescent="0.25">
      <c r="A257" s="24" t="s">
        <v>603</v>
      </c>
      <c r="B257" s="21" t="s">
        <v>423</v>
      </c>
      <c r="C257" s="21" t="s">
        <v>33</v>
      </c>
      <c r="D257" s="21" t="s">
        <v>34</v>
      </c>
      <c r="E257" s="23">
        <v>56</v>
      </c>
      <c r="F257" s="23">
        <v>5</v>
      </c>
      <c r="G257" s="23">
        <v>2</v>
      </c>
      <c r="H257" s="23"/>
      <c r="I257" s="24" t="s">
        <v>276</v>
      </c>
      <c r="J257" s="24"/>
      <c r="K257" s="23"/>
      <c r="L257" s="23"/>
      <c r="M257" s="24"/>
      <c r="N257" s="24"/>
      <c r="O257" s="27" t="s">
        <v>604</v>
      </c>
      <c r="P257" s="27"/>
      <c r="Q257" s="27"/>
      <c r="R257" s="23">
        <v>17</v>
      </c>
      <c r="S257" s="25">
        <v>45853</v>
      </c>
      <c r="T257" s="25">
        <v>45854</v>
      </c>
      <c r="U257" s="25"/>
      <c r="V257" s="25"/>
      <c r="W257" s="25">
        <v>45854</v>
      </c>
      <c r="X257" s="23" t="s">
        <v>90</v>
      </c>
      <c r="Y257" s="4" t="str">
        <f>IF(Tabela2[[#This Row],[SIGLA]]="","",VLOOKUP(Tabela2[[#This Row],[SIGLA]],Tabela14[[#All],[Sigla Arte]:[Crédito]],2,0))</f>
        <v>KEITHY MOSTACHI/ARQUIVO DA EDITORA</v>
      </c>
      <c r="Z257" s="24"/>
      <c r="AA257" s="24" t="str">
        <f>Tabela2[[#This Row],[ILUSTRADOR CRIAÇÃO]]</f>
        <v>KEITHY MOSTACHI/ARQUIVO DA EDITORA</v>
      </c>
      <c r="AB257" s="23">
        <v>10</v>
      </c>
      <c r="AC257" s="21" t="s">
        <v>545</v>
      </c>
      <c r="AD257" s="21" t="s">
        <v>40</v>
      </c>
      <c r="AE257" s="4" t="str">
        <f t="shared" si="3"/>
        <v>EF1 E001 Geo</v>
      </c>
    </row>
    <row r="258" spans="1:31" s="14" customFormat="1" ht="60" x14ac:dyDescent="0.25">
      <c r="A258" s="24" t="s">
        <v>605</v>
      </c>
      <c r="B258" s="21" t="s">
        <v>74</v>
      </c>
      <c r="C258" s="21" t="s">
        <v>110</v>
      </c>
      <c r="D258" s="21" t="s">
        <v>34</v>
      </c>
      <c r="E258" s="23">
        <v>65</v>
      </c>
      <c r="F258" s="23">
        <v>5</v>
      </c>
      <c r="G258" s="23">
        <v>2</v>
      </c>
      <c r="H258" s="23"/>
      <c r="I258" s="24" t="s">
        <v>111</v>
      </c>
      <c r="J258" s="24"/>
      <c r="K258" s="23"/>
      <c r="L258" s="23"/>
      <c r="M258" s="24"/>
      <c r="N258" s="24"/>
      <c r="O258" s="27" t="s">
        <v>383</v>
      </c>
      <c r="P258" s="27"/>
      <c r="Q258" s="27" t="s">
        <v>606</v>
      </c>
      <c r="R258" s="23"/>
      <c r="S258" s="25"/>
      <c r="T258" s="25"/>
      <c r="U258" s="25"/>
      <c r="V258" s="25"/>
      <c r="W258" s="25"/>
      <c r="X258" s="23" t="s">
        <v>283</v>
      </c>
      <c r="Y258" s="4" t="str">
        <f>IF(Tabela2[[#This Row],[SIGLA]]="","",VLOOKUP(Tabela2[[#This Row],[SIGLA]],Tabela14[[#All],[Sigla Arte]:[Crédito]],2,0))</f>
        <v>REINALDO ROSA/ARQUIVO DA EDITORA</v>
      </c>
      <c r="Z258" s="24"/>
      <c r="AA258" s="24" t="str">
        <f>Tabela2[[#This Row],[ILUSTRADOR CRIAÇÃO]]</f>
        <v>REINALDO ROSA/ARQUIVO DA EDITORA</v>
      </c>
      <c r="AB258" s="23"/>
      <c r="AC258" s="21"/>
      <c r="AD258" s="21"/>
      <c r="AE258" s="4" t="str">
        <f t="shared" ref="AE258:AE321" si="4">"EF1 E001 Geo"</f>
        <v>EF1 E001 Geo</v>
      </c>
    </row>
    <row r="259" spans="1:31" s="14" customFormat="1" ht="75" x14ac:dyDescent="0.25">
      <c r="A259" s="24" t="s">
        <v>607</v>
      </c>
      <c r="B259" s="21" t="s">
        <v>88</v>
      </c>
      <c r="C259" s="21" t="s">
        <v>529</v>
      </c>
      <c r="D259" s="21" t="s">
        <v>34</v>
      </c>
      <c r="E259" s="23">
        <v>72</v>
      </c>
      <c r="F259" s="23">
        <v>5</v>
      </c>
      <c r="G259" s="23">
        <v>2</v>
      </c>
      <c r="H259" s="23"/>
      <c r="I259" s="24" t="s">
        <v>35</v>
      </c>
      <c r="J259" s="24"/>
      <c r="K259" s="23"/>
      <c r="L259" s="23"/>
      <c r="M259" s="24"/>
      <c r="N259" s="24"/>
      <c r="O259" s="27" t="s">
        <v>608</v>
      </c>
      <c r="P259" s="27"/>
      <c r="Q259" s="27"/>
      <c r="R259" s="23">
        <v>18</v>
      </c>
      <c r="S259" s="25">
        <v>45855</v>
      </c>
      <c r="T259" s="25">
        <v>45862</v>
      </c>
      <c r="U259" s="25"/>
      <c r="V259" s="25"/>
      <c r="W259" s="25">
        <v>45862</v>
      </c>
      <c r="X259" s="23" t="s">
        <v>212</v>
      </c>
      <c r="Y259" s="4" t="str">
        <f>IF(Tabela2[[#This Row],[SIGLA]]="","",VLOOKUP(Tabela2[[#This Row],[SIGLA]],Tabela14[[#All],[Sigla Arte]:[Crédito]],2,0))</f>
        <v>RENAN FONSECA/ARQUIVO DA EDITORA</v>
      </c>
      <c r="Z259" s="24" t="s">
        <v>365</v>
      </c>
      <c r="AA259" s="24" t="str">
        <f>Tabela2[[#This Row],[ILUSTRADOR CRIAÇÃO]]</f>
        <v>RENAN FONSECA/ARQUIVO DA EDITORA</v>
      </c>
      <c r="AB259" s="23">
        <v>14</v>
      </c>
      <c r="AC259" s="21" t="s">
        <v>366</v>
      </c>
      <c r="AD259" s="21" t="s">
        <v>40</v>
      </c>
      <c r="AE259" s="4" t="str">
        <f t="shared" si="4"/>
        <v>EF1 E001 Geo</v>
      </c>
    </row>
    <row r="260" spans="1:31" s="14" customFormat="1" ht="165" x14ac:dyDescent="0.25">
      <c r="A260" s="24" t="s">
        <v>609</v>
      </c>
      <c r="B260" s="21" t="s">
        <v>88</v>
      </c>
      <c r="C260" s="21" t="s">
        <v>110</v>
      </c>
      <c r="D260" s="21" t="s">
        <v>34</v>
      </c>
      <c r="E260" s="23">
        <v>73</v>
      </c>
      <c r="F260" s="23">
        <v>5</v>
      </c>
      <c r="G260" s="23">
        <v>3</v>
      </c>
      <c r="H260" s="23"/>
      <c r="I260" s="24" t="s">
        <v>35</v>
      </c>
      <c r="J260" s="24"/>
      <c r="K260" s="23"/>
      <c r="L260" s="23"/>
      <c r="M260" s="24"/>
      <c r="N260" s="24"/>
      <c r="O260" s="27" t="s">
        <v>610</v>
      </c>
      <c r="P260" s="27"/>
      <c r="Q260" s="27"/>
      <c r="R260" s="23">
        <v>18</v>
      </c>
      <c r="S260" s="25">
        <v>45855</v>
      </c>
      <c r="T260" s="25">
        <v>45862</v>
      </c>
      <c r="U260" s="25"/>
      <c r="V260" s="25"/>
      <c r="W260" s="25">
        <v>45862</v>
      </c>
      <c r="X260" s="23" t="s">
        <v>113</v>
      </c>
      <c r="Y260" s="4" t="str">
        <f>IF(Tabela2[[#This Row],[SIGLA]]="","",VLOOKUP(Tabela2[[#This Row],[SIGLA]],Tabela14[[#All],[Sigla Arte]:[Crédito]],2,0))</f>
        <v>DANILO SANTOS/ARQUIVO DA EDITORA</v>
      </c>
      <c r="Z260" s="24" t="s">
        <v>365</v>
      </c>
      <c r="AA260" s="24" t="str">
        <f>Tabela2[[#This Row],[ILUSTRADOR CRIAÇÃO]]</f>
        <v>DANILO SANTOS/ARQUIVO DA EDITORA</v>
      </c>
      <c r="AB260" s="23">
        <v>14</v>
      </c>
      <c r="AC260" s="21" t="s">
        <v>366</v>
      </c>
      <c r="AD260" s="21" t="s">
        <v>40</v>
      </c>
      <c r="AE260" s="4" t="str">
        <f t="shared" si="4"/>
        <v>EF1 E001 Geo</v>
      </c>
    </row>
    <row r="261" spans="1:31" s="14" customFormat="1" ht="90" x14ac:dyDescent="0.25">
      <c r="A261" s="24" t="s">
        <v>611</v>
      </c>
      <c r="B261" s="21" t="s">
        <v>88</v>
      </c>
      <c r="C261" s="21" t="s">
        <v>529</v>
      </c>
      <c r="D261" s="21" t="s">
        <v>34</v>
      </c>
      <c r="E261" s="23"/>
      <c r="F261" s="23">
        <v>5</v>
      </c>
      <c r="G261" s="23">
        <v>3</v>
      </c>
      <c r="H261" s="23"/>
      <c r="I261" s="24" t="s">
        <v>35</v>
      </c>
      <c r="J261" s="24"/>
      <c r="K261" s="23"/>
      <c r="L261" s="23"/>
      <c r="M261" s="24"/>
      <c r="N261" s="24"/>
      <c r="O261" s="27" t="s">
        <v>612</v>
      </c>
      <c r="P261" s="27"/>
      <c r="Q261" s="27"/>
      <c r="R261" s="23">
        <v>18</v>
      </c>
      <c r="S261" s="25">
        <v>45855</v>
      </c>
      <c r="T261" s="25">
        <v>45862</v>
      </c>
      <c r="U261" s="25"/>
      <c r="V261" s="25"/>
      <c r="W261" s="25">
        <v>45862</v>
      </c>
      <c r="X261" s="23" t="s">
        <v>97</v>
      </c>
      <c r="Y261" s="4" t="str">
        <f>IF(Tabela2[[#This Row],[SIGLA]]="","",VLOOKUP(Tabela2[[#This Row],[SIGLA]],Tabela14[[#All],[Sigla Arte]:[Crédito]],2,0))</f>
        <v>CAIO TANAKA/ARQUIVO DA EDITORA</v>
      </c>
      <c r="Z261" s="24" t="s">
        <v>365</v>
      </c>
      <c r="AA261" s="24" t="str">
        <f>Tabela2[[#This Row],[ILUSTRADOR CRIAÇÃO]]</f>
        <v>CAIO TANAKA/ARQUIVO DA EDITORA</v>
      </c>
      <c r="AB261" s="23">
        <v>14</v>
      </c>
      <c r="AC261" s="21" t="s">
        <v>366</v>
      </c>
      <c r="AD261" s="21" t="s">
        <v>40</v>
      </c>
      <c r="AE261" s="4" t="str">
        <f t="shared" si="4"/>
        <v>EF1 E001 Geo</v>
      </c>
    </row>
    <row r="262" spans="1:31" s="14" customFormat="1" ht="45" x14ac:dyDescent="0.25">
      <c r="A262" s="24" t="s">
        <v>613</v>
      </c>
      <c r="B262" s="21" t="s">
        <v>64</v>
      </c>
      <c r="C262" s="21" t="s">
        <v>110</v>
      </c>
      <c r="D262" s="21" t="s">
        <v>34</v>
      </c>
      <c r="E262" s="23">
        <v>12</v>
      </c>
      <c r="F262" s="23">
        <v>5</v>
      </c>
      <c r="G262" s="23"/>
      <c r="H262" s="23" t="s">
        <v>614</v>
      </c>
      <c r="I262" s="24" t="s">
        <v>35</v>
      </c>
      <c r="J262" s="24"/>
      <c r="K262" s="23"/>
      <c r="L262" s="23"/>
      <c r="M262" s="24"/>
      <c r="N262" s="24"/>
      <c r="O262" s="27" t="s">
        <v>615</v>
      </c>
      <c r="P262" s="27"/>
      <c r="Q262" s="27"/>
      <c r="R262" s="23">
        <v>26</v>
      </c>
      <c r="S262" s="25">
        <v>45903</v>
      </c>
      <c r="T262" s="25">
        <v>45904</v>
      </c>
      <c r="U262" s="25"/>
      <c r="V262" s="25"/>
      <c r="W262" s="25">
        <v>45904</v>
      </c>
      <c r="X262" s="23" t="s">
        <v>197</v>
      </c>
      <c r="Y262" s="4" t="str">
        <f>IF(Tabela2[[#This Row],[SIGLA]]="","",VLOOKUP(Tabela2[[#This Row],[SIGLA]],Tabela14[[#All],[Sigla Arte]:[Crédito]],2,0))</f>
        <v>HELOÍSA PINTARELLI/ARQUIVO DA EDITORA</v>
      </c>
      <c r="Z262" s="24" t="s">
        <v>616</v>
      </c>
      <c r="AA262" s="24" t="str">
        <f>Tabela2[[#This Row],[ILUSTRADOR CRIAÇÃO]]</f>
        <v>HELOÍSA PINTARELLI/ARQUIVO DA EDITORA</v>
      </c>
      <c r="AB262" s="23">
        <v>13</v>
      </c>
      <c r="AC262" s="21" t="s">
        <v>425</v>
      </c>
      <c r="AD262" s="21" t="s">
        <v>40</v>
      </c>
      <c r="AE262" s="4" t="str">
        <f t="shared" si="4"/>
        <v>EF1 E001 Geo</v>
      </c>
    </row>
    <row r="263" spans="1:31" s="14" customFormat="1" ht="45" x14ac:dyDescent="0.25">
      <c r="A263" s="24" t="s">
        <v>617</v>
      </c>
      <c r="B263" s="21" t="s">
        <v>88</v>
      </c>
      <c r="C263" s="21" t="s">
        <v>110</v>
      </c>
      <c r="D263" s="21" t="s">
        <v>34</v>
      </c>
      <c r="E263" s="23">
        <v>13</v>
      </c>
      <c r="F263" s="23">
        <v>5</v>
      </c>
      <c r="G263" s="23"/>
      <c r="H263" s="23" t="s">
        <v>614</v>
      </c>
      <c r="I263" s="24" t="s">
        <v>111</v>
      </c>
      <c r="J263" s="24"/>
      <c r="K263" s="23"/>
      <c r="L263" s="23"/>
      <c r="M263" s="24"/>
      <c r="N263" s="24"/>
      <c r="O263" s="27" t="s">
        <v>618</v>
      </c>
      <c r="P263" s="27"/>
      <c r="Q263" s="27"/>
      <c r="R263" s="23"/>
      <c r="S263" s="25"/>
      <c r="T263" s="25"/>
      <c r="U263" s="25"/>
      <c r="V263" s="25"/>
      <c r="W263" s="25"/>
      <c r="X263" s="23"/>
      <c r="Y263" s="4" t="str">
        <f>IF(Tabela2[[#This Row],[SIGLA]]="","",VLOOKUP(Tabela2[[#This Row],[SIGLA]],Tabela14[[#All],[Sigla Arte]:[Crédito]],2,0))</f>
        <v/>
      </c>
      <c r="Z263" s="24"/>
      <c r="AA263" s="24" t="str">
        <f>Tabela2[[#This Row],[ILUSTRADOR CRIAÇÃO]]</f>
        <v/>
      </c>
      <c r="AB263" s="23"/>
      <c r="AC263" s="21"/>
      <c r="AD263" s="21"/>
      <c r="AE263" s="4" t="str">
        <f t="shared" si="4"/>
        <v>EF1 E001 Geo</v>
      </c>
    </row>
    <row r="264" spans="1:31" s="14" customFormat="1" ht="45" x14ac:dyDescent="0.25">
      <c r="A264" s="24" t="s">
        <v>619</v>
      </c>
      <c r="B264" s="21" t="s">
        <v>88</v>
      </c>
      <c r="C264" s="21" t="s">
        <v>110</v>
      </c>
      <c r="D264" s="21" t="s">
        <v>34</v>
      </c>
      <c r="E264" s="23">
        <v>13</v>
      </c>
      <c r="F264" s="23">
        <v>5</v>
      </c>
      <c r="G264" s="23"/>
      <c r="H264" s="23" t="s">
        <v>614</v>
      </c>
      <c r="I264" s="24" t="s">
        <v>111</v>
      </c>
      <c r="J264" s="24"/>
      <c r="K264" s="23"/>
      <c r="L264" s="23"/>
      <c r="M264" s="24"/>
      <c r="N264" s="24"/>
      <c r="O264" s="27" t="s">
        <v>620</v>
      </c>
      <c r="P264" s="27"/>
      <c r="Q264" s="27"/>
      <c r="R264" s="23"/>
      <c r="S264" s="25"/>
      <c r="T264" s="25"/>
      <c r="U264" s="25"/>
      <c r="V264" s="25"/>
      <c r="W264" s="25"/>
      <c r="X264" s="23"/>
      <c r="Y264" s="4" t="str">
        <f>IF(Tabela2[[#This Row],[SIGLA]]="","",VLOOKUP(Tabela2[[#This Row],[SIGLA]],Tabela14[[#All],[Sigla Arte]:[Crédito]],2,0))</f>
        <v/>
      </c>
      <c r="Z264" s="24"/>
      <c r="AA264" s="24" t="str">
        <f>Tabela2[[#This Row],[ILUSTRADOR CRIAÇÃO]]</f>
        <v/>
      </c>
      <c r="AB264" s="23"/>
      <c r="AC264" s="21"/>
      <c r="AD264" s="21"/>
      <c r="AE264" s="4" t="str">
        <f t="shared" si="4"/>
        <v>EF1 E001 Geo</v>
      </c>
    </row>
    <row r="265" spans="1:31" s="14" customFormat="1" ht="390" x14ac:dyDescent="0.25">
      <c r="A265" s="24" t="s">
        <v>621</v>
      </c>
      <c r="B265" s="21" t="s">
        <v>32</v>
      </c>
      <c r="C265" s="21" t="s">
        <v>33</v>
      </c>
      <c r="D265" s="21" t="s">
        <v>34</v>
      </c>
      <c r="E265" s="23">
        <v>23</v>
      </c>
      <c r="F265" s="23">
        <v>5</v>
      </c>
      <c r="G265" s="23">
        <v>1</v>
      </c>
      <c r="H265" s="23"/>
      <c r="I265" s="24" t="s">
        <v>276</v>
      </c>
      <c r="J265" s="24"/>
      <c r="K265" s="23"/>
      <c r="L265" s="23"/>
      <c r="M265" s="24"/>
      <c r="N265" s="24"/>
      <c r="O265" s="27" t="s">
        <v>622</v>
      </c>
      <c r="P265" s="27"/>
      <c r="Q265" s="27"/>
      <c r="R265" s="23">
        <v>19</v>
      </c>
      <c r="S265" s="25">
        <v>45859</v>
      </c>
      <c r="T265" s="25">
        <v>45860</v>
      </c>
      <c r="U265" s="25"/>
      <c r="V265" s="25"/>
      <c r="W265" s="25">
        <v>45860</v>
      </c>
      <c r="X265" s="23" t="s">
        <v>90</v>
      </c>
      <c r="Y265" s="4" t="str">
        <f>IF(Tabela2[[#This Row],[SIGLA]]="","",VLOOKUP(Tabela2[[#This Row],[SIGLA]],Tabela14[[#All],[Sigla Arte]:[Crédito]],2,0))</f>
        <v>KEITHY MOSTACHI/ARQUIVO DA EDITORA</v>
      </c>
      <c r="Z265" s="24"/>
      <c r="AA265" s="24" t="str">
        <f>Tabela2[[#This Row],[ILUSTRADOR CRIAÇÃO]]</f>
        <v>KEITHY MOSTACHI/ARQUIVO DA EDITORA</v>
      </c>
      <c r="AB265" s="23">
        <v>10</v>
      </c>
      <c r="AC265" s="23" t="s">
        <v>545</v>
      </c>
      <c r="AD265" s="21" t="s">
        <v>40</v>
      </c>
      <c r="AE265" s="4" t="str">
        <f t="shared" si="4"/>
        <v>EF1 E001 Geo</v>
      </c>
    </row>
    <row r="266" spans="1:31" s="14" customFormat="1" ht="409.5" x14ac:dyDescent="0.25">
      <c r="A266" s="24" t="s">
        <v>623</v>
      </c>
      <c r="B266" s="21" t="s">
        <v>88</v>
      </c>
      <c r="C266" s="21" t="s">
        <v>33</v>
      </c>
      <c r="D266" s="21" t="s">
        <v>34</v>
      </c>
      <c r="E266" s="23">
        <v>64</v>
      </c>
      <c r="F266" s="23">
        <v>5</v>
      </c>
      <c r="G266" s="23">
        <v>2</v>
      </c>
      <c r="H266" s="23"/>
      <c r="I266" s="24" t="s">
        <v>276</v>
      </c>
      <c r="J266" s="24"/>
      <c r="K266" s="23"/>
      <c r="L266" s="23"/>
      <c r="M266" s="24"/>
      <c r="N266" s="24"/>
      <c r="O266" s="27" t="s">
        <v>624</v>
      </c>
      <c r="P266" s="27"/>
      <c r="Q266" s="27"/>
      <c r="R266" s="23">
        <v>19</v>
      </c>
      <c r="S266" s="25">
        <v>45859</v>
      </c>
      <c r="T266" s="25">
        <v>45860</v>
      </c>
      <c r="U266" s="25"/>
      <c r="V266" s="25"/>
      <c r="W266" s="25">
        <v>45860</v>
      </c>
      <c r="X266" s="23" t="s">
        <v>90</v>
      </c>
      <c r="Y266" s="4" t="str">
        <f>IF(Tabela2[[#This Row],[SIGLA]]="","",VLOOKUP(Tabela2[[#This Row],[SIGLA]],Tabela14[[#All],[Sigla Arte]:[Crédito]],2,0))</f>
        <v>KEITHY MOSTACHI/ARQUIVO DA EDITORA</v>
      </c>
      <c r="Z266" s="24"/>
      <c r="AA266" s="24" t="str">
        <f>Tabela2[[#This Row],[ILUSTRADOR CRIAÇÃO]]</f>
        <v>KEITHY MOSTACHI/ARQUIVO DA EDITORA</v>
      </c>
      <c r="AB266" s="23">
        <v>10</v>
      </c>
      <c r="AC266" s="23" t="s">
        <v>545</v>
      </c>
      <c r="AD266" s="21" t="s">
        <v>40</v>
      </c>
      <c r="AE266" s="4" t="str">
        <f t="shared" si="4"/>
        <v>EF1 E001 Geo</v>
      </c>
    </row>
    <row r="267" spans="1:31" s="14" customFormat="1" ht="150" x14ac:dyDescent="0.25">
      <c r="A267" s="24" t="s">
        <v>625</v>
      </c>
      <c r="B267" s="21" t="s">
        <v>88</v>
      </c>
      <c r="C267" s="21" t="s">
        <v>33</v>
      </c>
      <c r="D267" s="21" t="s">
        <v>34</v>
      </c>
      <c r="E267" s="23">
        <v>66</v>
      </c>
      <c r="F267" s="23">
        <v>5</v>
      </c>
      <c r="G267" s="23">
        <v>2</v>
      </c>
      <c r="H267" s="23"/>
      <c r="I267" s="24" t="s">
        <v>276</v>
      </c>
      <c r="J267" s="24"/>
      <c r="K267" s="23"/>
      <c r="L267" s="23"/>
      <c r="M267" s="24"/>
      <c r="N267" s="24"/>
      <c r="O267" s="27" t="s">
        <v>626</v>
      </c>
      <c r="P267" s="27"/>
      <c r="Q267" s="27"/>
      <c r="R267" s="23">
        <v>19</v>
      </c>
      <c r="S267" s="25">
        <v>45859</v>
      </c>
      <c r="T267" s="25">
        <v>45860</v>
      </c>
      <c r="U267" s="25"/>
      <c r="V267" s="25"/>
      <c r="W267" s="25">
        <v>45860</v>
      </c>
      <c r="X267" s="23" t="s">
        <v>90</v>
      </c>
      <c r="Y267" s="4" t="str">
        <f>IF(Tabela2[[#This Row],[SIGLA]]="","",VLOOKUP(Tabela2[[#This Row],[SIGLA]],Tabela14[[#All],[Sigla Arte]:[Crédito]],2,0))</f>
        <v>KEITHY MOSTACHI/ARQUIVO DA EDITORA</v>
      </c>
      <c r="Z267" s="24"/>
      <c r="AA267" s="24" t="str">
        <f>Tabela2[[#This Row],[ILUSTRADOR CRIAÇÃO]]</f>
        <v>KEITHY MOSTACHI/ARQUIVO DA EDITORA</v>
      </c>
      <c r="AB267" s="23">
        <v>10</v>
      </c>
      <c r="AC267" s="23" t="s">
        <v>545</v>
      </c>
      <c r="AD267" s="21" t="s">
        <v>40</v>
      </c>
      <c r="AE267" s="4" t="str">
        <f t="shared" si="4"/>
        <v>EF1 E001 Geo</v>
      </c>
    </row>
    <row r="268" spans="1:31" s="14" customFormat="1" ht="195" x14ac:dyDescent="0.25">
      <c r="A268" s="24" t="s">
        <v>627</v>
      </c>
      <c r="B268" s="21" t="s">
        <v>74</v>
      </c>
      <c r="C268" s="21" t="s">
        <v>560</v>
      </c>
      <c r="D268" s="21" t="s">
        <v>34</v>
      </c>
      <c r="E268" s="23">
        <v>106</v>
      </c>
      <c r="F268" s="23">
        <v>5</v>
      </c>
      <c r="G268" s="23">
        <v>4</v>
      </c>
      <c r="H268" s="23"/>
      <c r="I268" s="24" t="s">
        <v>35</v>
      </c>
      <c r="J268" s="24"/>
      <c r="K268" s="23"/>
      <c r="L268" s="23"/>
      <c r="M268" s="24"/>
      <c r="N268" s="24"/>
      <c r="O268" s="27" t="s">
        <v>628</v>
      </c>
      <c r="P268" s="27"/>
      <c r="Q268" s="27"/>
      <c r="R268" s="23">
        <v>20</v>
      </c>
      <c r="S268" s="25">
        <v>45859</v>
      </c>
      <c r="T268" s="25">
        <v>45860</v>
      </c>
      <c r="U268" s="25"/>
      <c r="V268" s="25"/>
      <c r="W268" s="25">
        <v>45860</v>
      </c>
      <c r="X268" s="23" t="s">
        <v>90</v>
      </c>
      <c r="Y268" s="4" t="str">
        <f>IF(Tabela2[[#This Row],[SIGLA]]="","",VLOOKUP(Tabela2[[#This Row],[SIGLA]],Tabela14[[#All],[Sigla Arte]:[Crédito]],2,0))</f>
        <v>KEITHY MOSTACHI/ARQUIVO DA EDITORA</v>
      </c>
      <c r="Z268" s="24" t="s">
        <v>128</v>
      </c>
      <c r="AA268" s="24" t="str">
        <f>Tabela2[[#This Row],[ILUSTRADOR CRIAÇÃO]]</f>
        <v>KEITHY MOSTACHI/ARQUIVO DA EDITORA</v>
      </c>
      <c r="AB268" s="23">
        <v>13</v>
      </c>
      <c r="AC268" s="21" t="s">
        <v>39</v>
      </c>
      <c r="AD268" s="21" t="s">
        <v>40</v>
      </c>
      <c r="AE268" s="4" t="str">
        <f t="shared" si="4"/>
        <v>EF1 E001 Geo</v>
      </c>
    </row>
    <row r="269" spans="1:31" s="14" customFormat="1" ht="60" x14ac:dyDescent="0.25">
      <c r="A269" s="24" t="s">
        <v>629</v>
      </c>
      <c r="B269" s="21" t="s">
        <v>88</v>
      </c>
      <c r="C269" s="21" t="s">
        <v>33</v>
      </c>
      <c r="D269" s="21" t="s">
        <v>34</v>
      </c>
      <c r="E269" s="23">
        <v>111</v>
      </c>
      <c r="F269" s="23">
        <v>5</v>
      </c>
      <c r="G269" s="23">
        <v>4</v>
      </c>
      <c r="H269" s="23"/>
      <c r="I269" s="24" t="s">
        <v>276</v>
      </c>
      <c r="J269" s="24"/>
      <c r="K269" s="23"/>
      <c r="L269" s="23"/>
      <c r="M269" s="24"/>
      <c r="N269" s="24"/>
      <c r="O269" s="27" t="s">
        <v>630</v>
      </c>
      <c r="P269" s="27"/>
      <c r="Q269" s="27"/>
      <c r="R269" s="23">
        <v>20</v>
      </c>
      <c r="S269" s="25">
        <v>45859</v>
      </c>
      <c r="T269" s="25">
        <v>45860</v>
      </c>
      <c r="U269" s="25"/>
      <c r="V269" s="25"/>
      <c r="W269" s="25">
        <v>45860</v>
      </c>
      <c r="X269" s="23" t="s">
        <v>90</v>
      </c>
      <c r="Y269" s="4" t="str">
        <f>IF(Tabela2[[#This Row],[SIGLA]]="","",VLOOKUP(Tabela2[[#This Row],[SIGLA]],Tabela14[[#All],[Sigla Arte]:[Crédito]],2,0))</f>
        <v>KEITHY MOSTACHI/ARQUIVO DA EDITORA</v>
      </c>
      <c r="Z269" s="24"/>
      <c r="AA269" s="24" t="str">
        <f>Tabela2[[#This Row],[ILUSTRADOR CRIAÇÃO]]</f>
        <v>KEITHY MOSTACHI/ARQUIVO DA EDITORA</v>
      </c>
      <c r="AB269" s="23">
        <v>10</v>
      </c>
      <c r="AC269" s="21" t="s">
        <v>631</v>
      </c>
      <c r="AD269" s="21" t="s">
        <v>40</v>
      </c>
      <c r="AE269" s="4" t="str">
        <f t="shared" si="4"/>
        <v>EF1 E001 Geo</v>
      </c>
    </row>
    <row r="270" spans="1:31" s="14" customFormat="1" ht="105" x14ac:dyDescent="0.25">
      <c r="A270" s="24" t="s">
        <v>632</v>
      </c>
      <c r="B270" s="21" t="s">
        <v>88</v>
      </c>
      <c r="C270" s="21" t="s">
        <v>529</v>
      </c>
      <c r="D270" s="21" t="s">
        <v>34</v>
      </c>
      <c r="E270" s="23">
        <v>115</v>
      </c>
      <c r="F270" s="23">
        <v>5</v>
      </c>
      <c r="G270" s="23">
        <v>4</v>
      </c>
      <c r="H270" s="23"/>
      <c r="I270" s="24" t="s">
        <v>276</v>
      </c>
      <c r="J270" s="24"/>
      <c r="K270" s="23"/>
      <c r="L270" s="23"/>
      <c r="M270" s="24"/>
      <c r="N270" s="24"/>
      <c r="O270" s="27" t="s">
        <v>633</v>
      </c>
      <c r="P270" s="27"/>
      <c r="Q270" s="27"/>
      <c r="R270" s="23">
        <v>20</v>
      </c>
      <c r="S270" s="25">
        <v>45859</v>
      </c>
      <c r="T270" s="25">
        <v>45860</v>
      </c>
      <c r="U270" s="25"/>
      <c r="V270" s="25"/>
      <c r="W270" s="25">
        <v>45860</v>
      </c>
      <c r="X270" s="23" t="s">
        <v>90</v>
      </c>
      <c r="Y270" s="4" t="str">
        <f>IF(Tabela2[[#This Row],[SIGLA]]="","",VLOOKUP(Tabela2[[#This Row],[SIGLA]],Tabela14[[#All],[Sigla Arte]:[Crédito]],2,0))</f>
        <v>KEITHY MOSTACHI/ARQUIVO DA EDITORA</v>
      </c>
      <c r="Z270" s="24"/>
      <c r="AA270" s="24" t="str">
        <f>Tabela2[[#This Row],[ILUSTRADOR CRIAÇÃO]]</f>
        <v>KEITHY MOSTACHI/ARQUIVO DA EDITORA</v>
      </c>
      <c r="AB270" s="23">
        <v>12</v>
      </c>
      <c r="AC270" s="21" t="s">
        <v>631</v>
      </c>
      <c r="AD270" s="21" t="s">
        <v>40</v>
      </c>
      <c r="AE270" s="4" t="str">
        <f t="shared" si="4"/>
        <v>EF1 E001 Geo</v>
      </c>
    </row>
    <row r="271" spans="1:31" s="14" customFormat="1" ht="105" x14ac:dyDescent="0.25">
      <c r="A271" s="24" t="s">
        <v>634</v>
      </c>
      <c r="B271" s="21" t="s">
        <v>88</v>
      </c>
      <c r="C271" s="21" t="s">
        <v>529</v>
      </c>
      <c r="D271" s="21" t="s">
        <v>34</v>
      </c>
      <c r="E271" s="23">
        <v>115</v>
      </c>
      <c r="F271" s="23">
        <v>5</v>
      </c>
      <c r="G271" s="23">
        <v>4</v>
      </c>
      <c r="H271" s="23"/>
      <c r="I271" s="24" t="s">
        <v>276</v>
      </c>
      <c r="J271" s="24"/>
      <c r="K271" s="23"/>
      <c r="L271" s="23"/>
      <c r="M271" s="24"/>
      <c r="N271" s="24"/>
      <c r="O271" s="27" t="s">
        <v>635</v>
      </c>
      <c r="P271" s="27"/>
      <c r="Q271" s="27"/>
      <c r="R271" s="23">
        <v>20</v>
      </c>
      <c r="S271" s="25">
        <v>45859</v>
      </c>
      <c r="T271" s="25">
        <v>45860</v>
      </c>
      <c r="U271" s="25"/>
      <c r="V271" s="25"/>
      <c r="W271" s="25">
        <v>45860</v>
      </c>
      <c r="X271" s="23" t="s">
        <v>90</v>
      </c>
      <c r="Y271" s="4" t="str">
        <f>IF(Tabela2[[#This Row],[SIGLA]]="","",VLOOKUP(Tabela2[[#This Row],[SIGLA]],Tabela14[[#All],[Sigla Arte]:[Crédito]],2,0))</f>
        <v>KEITHY MOSTACHI/ARQUIVO DA EDITORA</v>
      </c>
      <c r="Z271" s="24"/>
      <c r="AA271" s="24" t="str">
        <f>Tabela2[[#This Row],[ILUSTRADOR CRIAÇÃO]]</f>
        <v>KEITHY MOSTACHI/ARQUIVO DA EDITORA</v>
      </c>
      <c r="AB271" s="23">
        <v>12</v>
      </c>
      <c r="AC271" s="21" t="s">
        <v>631</v>
      </c>
      <c r="AD271" s="21" t="s">
        <v>40</v>
      </c>
      <c r="AE271" s="4" t="str">
        <f t="shared" si="4"/>
        <v>EF1 E001 Geo</v>
      </c>
    </row>
    <row r="272" spans="1:31" s="14" customFormat="1" ht="195" x14ac:dyDescent="0.25">
      <c r="A272" s="24" t="s">
        <v>636</v>
      </c>
      <c r="B272" s="21" t="s">
        <v>88</v>
      </c>
      <c r="C272" s="21" t="s">
        <v>33</v>
      </c>
      <c r="D272" s="21" t="s">
        <v>34</v>
      </c>
      <c r="E272" s="23">
        <v>116</v>
      </c>
      <c r="F272" s="23">
        <v>5</v>
      </c>
      <c r="G272" s="23">
        <v>4</v>
      </c>
      <c r="H272" s="23"/>
      <c r="I272" s="24" t="s">
        <v>35</v>
      </c>
      <c r="J272" s="24"/>
      <c r="K272" s="23"/>
      <c r="L272" s="23"/>
      <c r="M272" s="24"/>
      <c r="N272" s="24"/>
      <c r="O272" s="27" t="s">
        <v>637</v>
      </c>
      <c r="P272" s="27"/>
      <c r="Q272" s="27"/>
      <c r="R272" s="23">
        <v>20</v>
      </c>
      <c r="S272" s="25">
        <v>45859</v>
      </c>
      <c r="T272" s="25">
        <v>45860</v>
      </c>
      <c r="U272" s="25"/>
      <c r="V272" s="25"/>
      <c r="W272" s="25">
        <v>45860</v>
      </c>
      <c r="X272" s="23" t="s">
        <v>37</v>
      </c>
      <c r="Y272" s="4" t="str">
        <f>IF(Tabela2[[#This Row],[SIGLA]]="","",VLOOKUP(Tabela2[[#This Row],[SIGLA]],Tabela14[[#All],[Sigla Arte]:[Crédito]],2,0))</f>
        <v>EDSON BELLUSCI/ARQUIVO DA EDITORA</v>
      </c>
      <c r="Z272" s="24" t="s">
        <v>128</v>
      </c>
      <c r="AA272" s="24" t="str">
        <f>Tabela2[[#This Row],[ILUSTRADOR CRIAÇÃO]]</f>
        <v>EDSON BELLUSCI/ARQUIVO DA EDITORA</v>
      </c>
      <c r="AB272" s="23">
        <v>13</v>
      </c>
      <c r="AC272" s="21" t="s">
        <v>39</v>
      </c>
      <c r="AD272" s="21" t="s">
        <v>40</v>
      </c>
      <c r="AE272" s="4" t="str">
        <f t="shared" si="4"/>
        <v>EF1 E001 Geo</v>
      </c>
    </row>
    <row r="273" spans="1:31" s="14" customFormat="1" ht="90" x14ac:dyDescent="0.25">
      <c r="A273" s="24" t="s">
        <v>638</v>
      </c>
      <c r="B273" s="21" t="s">
        <v>88</v>
      </c>
      <c r="C273" s="21" t="s">
        <v>33</v>
      </c>
      <c r="D273" s="21" t="s">
        <v>34</v>
      </c>
      <c r="E273" s="23">
        <v>116</v>
      </c>
      <c r="F273" s="23">
        <v>5</v>
      </c>
      <c r="G273" s="23">
        <v>4</v>
      </c>
      <c r="H273" s="23"/>
      <c r="I273" s="24" t="s">
        <v>35</v>
      </c>
      <c r="J273" s="24"/>
      <c r="K273" s="23"/>
      <c r="L273" s="23"/>
      <c r="M273" s="24"/>
      <c r="N273" s="24"/>
      <c r="O273" s="27" t="s">
        <v>639</v>
      </c>
      <c r="P273" s="27"/>
      <c r="Q273" s="27"/>
      <c r="R273" s="23">
        <v>20</v>
      </c>
      <c r="S273" s="25">
        <v>45859</v>
      </c>
      <c r="T273" s="25">
        <v>45860</v>
      </c>
      <c r="U273" s="25"/>
      <c r="V273" s="25"/>
      <c r="W273" s="25">
        <v>45860</v>
      </c>
      <c r="X273" s="23" t="s">
        <v>37</v>
      </c>
      <c r="Y273" s="4" t="str">
        <f>IF(Tabela2[[#This Row],[SIGLA]]="","",VLOOKUP(Tabela2[[#This Row],[SIGLA]],Tabela14[[#All],[Sigla Arte]:[Crédito]],2,0))</f>
        <v>EDSON BELLUSCI/ARQUIVO DA EDITORA</v>
      </c>
      <c r="Z273" s="24" t="s">
        <v>128</v>
      </c>
      <c r="AA273" s="24" t="str">
        <f>Tabela2[[#This Row],[ILUSTRADOR CRIAÇÃO]]</f>
        <v>EDSON BELLUSCI/ARQUIVO DA EDITORA</v>
      </c>
      <c r="AB273" s="23">
        <v>13</v>
      </c>
      <c r="AC273" s="21" t="s">
        <v>39</v>
      </c>
      <c r="AD273" s="21" t="s">
        <v>40</v>
      </c>
      <c r="AE273" s="4" t="str">
        <f t="shared" si="4"/>
        <v>EF1 E001 Geo</v>
      </c>
    </row>
    <row r="274" spans="1:31" s="14" customFormat="1" ht="165" x14ac:dyDescent="0.25">
      <c r="A274" s="24" t="s">
        <v>640</v>
      </c>
      <c r="B274" s="21" t="s">
        <v>88</v>
      </c>
      <c r="C274" s="21" t="s">
        <v>529</v>
      </c>
      <c r="D274" s="21" t="s">
        <v>34</v>
      </c>
      <c r="E274" s="23">
        <v>119</v>
      </c>
      <c r="F274" s="23">
        <v>5</v>
      </c>
      <c r="G274" s="23">
        <v>4</v>
      </c>
      <c r="H274" s="23"/>
      <c r="I274" s="24" t="s">
        <v>35</v>
      </c>
      <c r="J274" s="24"/>
      <c r="K274" s="23"/>
      <c r="L274" s="23"/>
      <c r="M274" s="24"/>
      <c r="N274" s="24"/>
      <c r="O274" s="27" t="s">
        <v>641</v>
      </c>
      <c r="P274" s="27"/>
      <c r="Q274" s="27"/>
      <c r="R274" s="23">
        <v>20</v>
      </c>
      <c r="S274" s="25">
        <v>45859</v>
      </c>
      <c r="T274" s="25">
        <v>45860</v>
      </c>
      <c r="U274" s="25"/>
      <c r="V274" s="25"/>
      <c r="W274" s="25">
        <v>45860</v>
      </c>
      <c r="X274" s="23" t="s">
        <v>90</v>
      </c>
      <c r="Y274" s="4" t="str">
        <f>IF(Tabela2[[#This Row],[SIGLA]]="","",VLOOKUP(Tabela2[[#This Row],[SIGLA]],Tabela14[[#All],[Sigla Arte]:[Crédito]],2,0))</f>
        <v>KEITHY MOSTACHI/ARQUIVO DA EDITORA</v>
      </c>
      <c r="Z274" s="24" t="s">
        <v>128</v>
      </c>
      <c r="AA274" s="24" t="str">
        <f>Tabela2[[#This Row],[ILUSTRADOR CRIAÇÃO]]</f>
        <v>KEITHY MOSTACHI/ARQUIVO DA EDITORA</v>
      </c>
      <c r="AB274" s="23">
        <v>13</v>
      </c>
      <c r="AC274" s="21" t="s">
        <v>39</v>
      </c>
      <c r="AD274" s="21" t="s">
        <v>40</v>
      </c>
      <c r="AE274" s="4" t="str">
        <f t="shared" si="4"/>
        <v>EF1 E001 Geo</v>
      </c>
    </row>
    <row r="275" spans="1:31" s="14" customFormat="1" ht="195" x14ac:dyDescent="0.25">
      <c r="A275" s="24" t="s">
        <v>642</v>
      </c>
      <c r="B275" s="21" t="s">
        <v>423</v>
      </c>
      <c r="C275" s="21" t="s">
        <v>529</v>
      </c>
      <c r="D275" s="21" t="s">
        <v>34</v>
      </c>
      <c r="E275" s="23">
        <v>127</v>
      </c>
      <c r="F275" s="23">
        <v>5</v>
      </c>
      <c r="G275" s="23">
        <v>4</v>
      </c>
      <c r="H275" s="23"/>
      <c r="I275" s="24" t="s">
        <v>35</v>
      </c>
      <c r="J275" s="24"/>
      <c r="K275" s="23"/>
      <c r="L275" s="23"/>
      <c r="M275" s="24"/>
      <c r="N275" s="24"/>
      <c r="O275" s="27" t="s">
        <v>643</v>
      </c>
      <c r="P275" s="27"/>
      <c r="Q275" s="27"/>
      <c r="R275" s="23">
        <v>20</v>
      </c>
      <c r="S275" s="25">
        <v>45859</v>
      </c>
      <c r="T275" s="25">
        <v>45860</v>
      </c>
      <c r="U275" s="25"/>
      <c r="V275" s="25"/>
      <c r="W275" s="25">
        <v>45860</v>
      </c>
      <c r="X275" s="23" t="s">
        <v>90</v>
      </c>
      <c r="Y275" s="4" t="str">
        <f>IF(Tabela2[[#This Row],[SIGLA]]="","",VLOOKUP(Tabela2[[#This Row],[SIGLA]],Tabela14[[#All],[Sigla Arte]:[Crédito]],2,0))</f>
        <v>KEITHY MOSTACHI/ARQUIVO DA EDITORA</v>
      </c>
      <c r="Z275" s="24" t="s">
        <v>128</v>
      </c>
      <c r="AA275" s="24" t="str">
        <f>Tabela2[[#This Row],[ILUSTRADOR CRIAÇÃO]]</f>
        <v>KEITHY MOSTACHI/ARQUIVO DA EDITORA</v>
      </c>
      <c r="AB275" s="23">
        <v>13</v>
      </c>
      <c r="AC275" s="21" t="s">
        <v>39</v>
      </c>
      <c r="AD275" s="21" t="s">
        <v>40</v>
      </c>
      <c r="AE275" s="4" t="str">
        <f t="shared" si="4"/>
        <v>EF1 E001 Geo</v>
      </c>
    </row>
    <row r="276" spans="1:31" s="14" customFormat="1" ht="60" x14ac:dyDescent="0.25">
      <c r="A276" s="24" t="s">
        <v>644</v>
      </c>
      <c r="B276" s="21" t="s">
        <v>88</v>
      </c>
      <c r="C276" s="21" t="s">
        <v>110</v>
      </c>
      <c r="D276" s="21" t="s">
        <v>34</v>
      </c>
      <c r="E276" s="23">
        <v>134</v>
      </c>
      <c r="F276" s="23">
        <v>5</v>
      </c>
      <c r="G276" s="23">
        <v>4</v>
      </c>
      <c r="H276" s="23"/>
      <c r="I276" s="24" t="s">
        <v>111</v>
      </c>
      <c r="J276" s="24"/>
      <c r="K276" s="23"/>
      <c r="L276" s="23"/>
      <c r="M276" s="24"/>
      <c r="N276" s="24"/>
      <c r="O276" s="27" t="s">
        <v>187</v>
      </c>
      <c r="P276" s="27"/>
      <c r="Q276" s="27"/>
      <c r="R276" s="23"/>
      <c r="S276" s="25"/>
      <c r="T276" s="25"/>
      <c r="U276" s="25"/>
      <c r="V276" s="25"/>
      <c r="W276" s="25"/>
      <c r="X276" s="23"/>
      <c r="Y276" s="4" t="str">
        <f>IF(Tabela2[[#This Row],[SIGLA]]="","",VLOOKUP(Tabela2[[#This Row],[SIGLA]],Tabela14[[#All],[Sigla Arte]:[Crédito]],2,0))</f>
        <v/>
      </c>
      <c r="Z276" s="24"/>
      <c r="AA276" s="24" t="str">
        <f>Tabela2[[#This Row],[ILUSTRADOR CRIAÇÃO]]</f>
        <v/>
      </c>
      <c r="AB276" s="23"/>
      <c r="AC276" s="21"/>
      <c r="AD276" s="21"/>
      <c r="AE276" s="4" t="str">
        <f t="shared" si="4"/>
        <v>EF1 E001 Geo</v>
      </c>
    </row>
    <row r="277" spans="1:31" s="14" customFormat="1" ht="60" x14ac:dyDescent="0.25">
      <c r="A277" s="24" t="s">
        <v>645</v>
      </c>
      <c r="B277" s="21" t="s">
        <v>88</v>
      </c>
      <c r="C277" s="21" t="s">
        <v>110</v>
      </c>
      <c r="D277" s="21" t="s">
        <v>34</v>
      </c>
      <c r="E277" s="23">
        <v>134</v>
      </c>
      <c r="F277" s="23">
        <v>5</v>
      </c>
      <c r="G277" s="23">
        <v>4</v>
      </c>
      <c r="H277" s="23"/>
      <c r="I277" s="24" t="s">
        <v>111</v>
      </c>
      <c r="J277" s="24"/>
      <c r="K277" s="23"/>
      <c r="L277" s="23"/>
      <c r="M277" s="24"/>
      <c r="N277" s="24"/>
      <c r="O277" s="27" t="s">
        <v>190</v>
      </c>
      <c r="P277" s="27"/>
      <c r="Q277" s="27"/>
      <c r="R277" s="23"/>
      <c r="S277" s="25"/>
      <c r="T277" s="25"/>
      <c r="U277" s="25"/>
      <c r="V277" s="25"/>
      <c r="W277" s="25"/>
      <c r="X277" s="23"/>
      <c r="Y277" s="4" t="str">
        <f>IF(Tabela2[[#This Row],[SIGLA]]="","",VLOOKUP(Tabela2[[#This Row],[SIGLA]],Tabela14[[#All],[Sigla Arte]:[Crédito]],2,0))</f>
        <v/>
      </c>
      <c r="Z277" s="24"/>
      <c r="AA277" s="24" t="str">
        <f>Tabela2[[#This Row],[ILUSTRADOR CRIAÇÃO]]</f>
        <v/>
      </c>
      <c r="AB277" s="23"/>
      <c r="AC277" s="21"/>
      <c r="AD277" s="21"/>
      <c r="AE277" s="4" t="str">
        <f t="shared" si="4"/>
        <v>EF1 E001 Geo</v>
      </c>
    </row>
    <row r="278" spans="1:31" s="14" customFormat="1" ht="75" x14ac:dyDescent="0.25">
      <c r="A278" s="24" t="s">
        <v>646</v>
      </c>
      <c r="B278" s="21" t="s">
        <v>88</v>
      </c>
      <c r="C278" s="21" t="s">
        <v>110</v>
      </c>
      <c r="D278" s="21" t="s">
        <v>34</v>
      </c>
      <c r="E278" s="23">
        <v>135</v>
      </c>
      <c r="F278" s="23">
        <v>5</v>
      </c>
      <c r="G278" s="23">
        <v>4</v>
      </c>
      <c r="H278" s="23"/>
      <c r="I278" s="24" t="s">
        <v>111</v>
      </c>
      <c r="J278" s="24"/>
      <c r="K278" s="23"/>
      <c r="L278" s="23"/>
      <c r="M278" s="24"/>
      <c r="N278" s="24"/>
      <c r="O278" s="27" t="s">
        <v>192</v>
      </c>
      <c r="P278" s="27"/>
      <c r="Q278" s="27"/>
      <c r="R278" s="23"/>
      <c r="S278" s="25"/>
      <c r="T278" s="25"/>
      <c r="U278" s="25"/>
      <c r="V278" s="25"/>
      <c r="W278" s="25"/>
      <c r="X278" s="23"/>
      <c r="Y278" s="4" t="str">
        <f>IF(Tabela2[[#This Row],[SIGLA]]="","",VLOOKUP(Tabela2[[#This Row],[SIGLA]],Tabela14[[#All],[Sigla Arte]:[Crédito]],2,0))</f>
        <v/>
      </c>
      <c r="Z278" s="24"/>
      <c r="AA278" s="24" t="str">
        <f>Tabela2[[#This Row],[ILUSTRADOR CRIAÇÃO]]</f>
        <v/>
      </c>
      <c r="AB278" s="23"/>
      <c r="AC278" s="21"/>
      <c r="AD278" s="21"/>
      <c r="AE278" s="4" t="str">
        <f t="shared" si="4"/>
        <v>EF1 E001 Geo</v>
      </c>
    </row>
    <row r="279" spans="1:31" s="14" customFormat="1" ht="75" x14ac:dyDescent="0.25">
      <c r="A279" s="24" t="s">
        <v>647</v>
      </c>
      <c r="B279" s="21" t="s">
        <v>88</v>
      </c>
      <c r="C279" s="21" t="s">
        <v>110</v>
      </c>
      <c r="D279" s="21" t="s">
        <v>34</v>
      </c>
      <c r="E279" s="23">
        <v>135</v>
      </c>
      <c r="F279" s="23">
        <v>5</v>
      </c>
      <c r="G279" s="23">
        <v>4</v>
      </c>
      <c r="H279" s="23"/>
      <c r="I279" s="24" t="s">
        <v>35</v>
      </c>
      <c r="J279" s="24"/>
      <c r="K279" s="23"/>
      <c r="L279" s="23"/>
      <c r="M279" s="24"/>
      <c r="N279" s="24"/>
      <c r="O279" s="27" t="s">
        <v>648</v>
      </c>
      <c r="P279" s="27"/>
      <c r="Q279" s="27"/>
      <c r="R279" s="23">
        <v>20</v>
      </c>
      <c r="S279" s="25">
        <v>45859</v>
      </c>
      <c r="T279" s="25">
        <v>45860</v>
      </c>
      <c r="U279" s="25"/>
      <c r="V279" s="25"/>
      <c r="W279" s="25">
        <v>45860</v>
      </c>
      <c r="X279" s="23" t="s">
        <v>188</v>
      </c>
      <c r="Y279" s="4" t="str">
        <f>IF(Tabela2[[#This Row],[SIGLA]]="","",VLOOKUP(Tabela2[[#This Row],[SIGLA]],Tabela14[[#All],[Sigla Arte]:[Crédito]],2,0))</f>
        <v>ERIK MALAGRINO/ARQUIVO DA EDITORA</v>
      </c>
      <c r="Z279" s="24" t="s">
        <v>128</v>
      </c>
      <c r="AA279" s="24" t="str">
        <f>Tabela2[[#This Row],[ILUSTRADOR CRIAÇÃO]]</f>
        <v>ERIK MALAGRINO/ARQUIVO DA EDITORA</v>
      </c>
      <c r="AB279" s="23">
        <v>13</v>
      </c>
      <c r="AC279" s="21" t="s">
        <v>39</v>
      </c>
      <c r="AD279" s="21" t="s">
        <v>40</v>
      </c>
      <c r="AE279" s="4" t="str">
        <f t="shared" si="4"/>
        <v>EF1 E001 Geo</v>
      </c>
    </row>
    <row r="280" spans="1:31" s="14" customFormat="1" ht="409.5" x14ac:dyDescent="0.25">
      <c r="A280" s="24" t="s">
        <v>649</v>
      </c>
      <c r="B280" s="21" t="s">
        <v>32</v>
      </c>
      <c r="C280" s="21" t="s">
        <v>33</v>
      </c>
      <c r="D280" s="21" t="s">
        <v>34</v>
      </c>
      <c r="E280" s="23">
        <v>38</v>
      </c>
      <c r="F280" s="23">
        <v>5</v>
      </c>
      <c r="G280" s="23">
        <v>1</v>
      </c>
      <c r="H280" s="23"/>
      <c r="I280" s="24" t="s">
        <v>276</v>
      </c>
      <c r="J280" s="24"/>
      <c r="K280" s="23"/>
      <c r="L280" s="23"/>
      <c r="M280" s="24"/>
      <c r="N280" s="24"/>
      <c r="O280" s="27" t="s">
        <v>650</v>
      </c>
      <c r="P280" s="27"/>
      <c r="Q280" s="27"/>
      <c r="R280" s="23">
        <v>21</v>
      </c>
      <c r="S280" s="25">
        <v>45863</v>
      </c>
      <c r="T280" s="25">
        <v>45870</v>
      </c>
      <c r="U280" s="25"/>
      <c r="V280" s="25"/>
      <c r="W280" s="25">
        <v>45870</v>
      </c>
      <c r="X280" s="23" t="s">
        <v>90</v>
      </c>
      <c r="Y280" s="4" t="str">
        <f>IF(Tabela2[[#This Row],[SIGLA]]="","",VLOOKUP(Tabela2[[#This Row],[SIGLA]],Tabela14[[#All],[Sigla Arte]:[Crédito]],2,0))</f>
        <v>KEITHY MOSTACHI/ARQUIVO DA EDITORA</v>
      </c>
      <c r="Z280" s="24"/>
      <c r="AA280" s="24" t="str">
        <f>Tabela2[[#This Row],[ILUSTRADOR CRIAÇÃO]]</f>
        <v>KEITHY MOSTACHI/ARQUIVO DA EDITORA</v>
      </c>
      <c r="AB280" s="23">
        <v>10</v>
      </c>
      <c r="AC280" s="21" t="s">
        <v>545</v>
      </c>
      <c r="AD280" s="21" t="s">
        <v>40</v>
      </c>
      <c r="AE280" s="4" t="str">
        <f t="shared" si="4"/>
        <v>EF1 E001 Geo</v>
      </c>
    </row>
    <row r="281" spans="1:31" s="14" customFormat="1" ht="45" x14ac:dyDescent="0.25">
      <c r="A281" s="24" t="s">
        <v>651</v>
      </c>
      <c r="B281" s="21" t="s">
        <v>652</v>
      </c>
      <c r="C281" s="21" t="s">
        <v>560</v>
      </c>
      <c r="D281" s="21" t="s">
        <v>34</v>
      </c>
      <c r="E281" s="23">
        <v>122</v>
      </c>
      <c r="F281" s="23">
        <v>3</v>
      </c>
      <c r="G281" s="23">
        <v>4</v>
      </c>
      <c r="H281" s="23"/>
      <c r="I281" s="24" t="s">
        <v>276</v>
      </c>
      <c r="J281" s="24"/>
      <c r="K281" s="23"/>
      <c r="L281" s="23"/>
      <c r="M281" s="24"/>
      <c r="N281" s="24"/>
      <c r="O281" s="27" t="s">
        <v>653</v>
      </c>
      <c r="P281" s="27"/>
      <c r="Q281" s="27"/>
      <c r="R281" s="23">
        <v>23</v>
      </c>
      <c r="S281" s="25">
        <v>45867</v>
      </c>
      <c r="T281" s="25">
        <v>45868</v>
      </c>
      <c r="U281" s="25"/>
      <c r="V281" s="25"/>
      <c r="W281" s="25">
        <v>45868</v>
      </c>
      <c r="X281" s="23" t="s">
        <v>278</v>
      </c>
      <c r="Y281" s="4" t="str">
        <f>IF(Tabela2[[#This Row],[SIGLA]]="","",VLOOKUP(Tabela2[[#This Row],[SIGLA]],Tabela14[[#All],[Sigla Arte]:[Crédito]],2,0))</f>
        <v>VINÍCIUS COSTA/ARQUIVO DA EDITORA</v>
      </c>
      <c r="Z281" s="24"/>
      <c r="AA281" s="24" t="str">
        <f>Tabela2[[#This Row],[ILUSTRADOR CRIAÇÃO]]</f>
        <v>VINÍCIUS COSTA/ARQUIVO DA EDITORA</v>
      </c>
      <c r="AB281" s="23">
        <v>8</v>
      </c>
      <c r="AC281" s="21" t="s">
        <v>631</v>
      </c>
      <c r="AD281" s="21" t="s">
        <v>40</v>
      </c>
      <c r="AE281" s="4" t="str">
        <f t="shared" si="4"/>
        <v>EF1 E001 Geo</v>
      </c>
    </row>
    <row r="282" spans="1:31" s="14" customFormat="1" x14ac:dyDescent="0.25">
      <c r="A282" s="24" t="s">
        <v>654</v>
      </c>
      <c r="B282" s="21" t="s">
        <v>88</v>
      </c>
      <c r="C282" s="21" t="s">
        <v>33</v>
      </c>
      <c r="D282" s="21" t="s">
        <v>34</v>
      </c>
      <c r="E282" s="23">
        <v>62</v>
      </c>
      <c r="F282" s="23">
        <v>5</v>
      </c>
      <c r="G282" s="23">
        <v>2</v>
      </c>
      <c r="H282" s="23"/>
      <c r="I282" s="24" t="s">
        <v>276</v>
      </c>
      <c r="J282" s="24"/>
      <c r="K282" s="23"/>
      <c r="L282" s="23"/>
      <c r="M282" s="24"/>
      <c r="N282" s="24"/>
      <c r="O282" s="27" t="s">
        <v>655</v>
      </c>
      <c r="P282" s="27"/>
      <c r="Q282" s="27"/>
      <c r="R282" s="23">
        <v>24</v>
      </c>
      <c r="S282" s="25" t="s">
        <v>656</v>
      </c>
      <c r="T282" s="25">
        <v>45869</v>
      </c>
      <c r="U282" s="25"/>
      <c r="V282" s="25"/>
      <c r="W282" s="25">
        <v>45870</v>
      </c>
      <c r="X282" s="23" t="s">
        <v>90</v>
      </c>
      <c r="Y282" s="4" t="str">
        <f>IF(Tabela2[[#This Row],[SIGLA]]="","",VLOOKUP(Tabela2[[#This Row],[SIGLA]],Tabela14[[#All],[Sigla Arte]:[Crédito]],2,0))</f>
        <v>KEITHY MOSTACHI/ARQUIVO DA EDITORA</v>
      </c>
      <c r="Z282" s="24"/>
      <c r="AA282" s="24" t="str">
        <f>Tabela2[[#This Row],[ILUSTRADOR CRIAÇÃO]]</f>
        <v>KEITHY MOSTACHI/ARQUIVO DA EDITORA</v>
      </c>
      <c r="AB282" s="23">
        <v>10</v>
      </c>
      <c r="AC282" s="21" t="s">
        <v>545</v>
      </c>
      <c r="AD282" s="21" t="s">
        <v>40</v>
      </c>
      <c r="AE282" s="4" t="str">
        <f t="shared" si="4"/>
        <v>EF1 E001 Geo</v>
      </c>
    </row>
    <row r="283" spans="1:31" s="14" customFormat="1" ht="30" x14ac:dyDescent="0.25">
      <c r="A283" s="24" t="s">
        <v>657</v>
      </c>
      <c r="B283" s="21" t="s">
        <v>652</v>
      </c>
      <c r="C283" s="21" t="s">
        <v>529</v>
      </c>
      <c r="D283" s="21" t="s">
        <v>34</v>
      </c>
      <c r="E283" s="23">
        <v>106</v>
      </c>
      <c r="F283" s="23">
        <v>5</v>
      </c>
      <c r="G283" s="23">
        <v>4</v>
      </c>
      <c r="H283" s="23"/>
      <c r="I283" s="24" t="s">
        <v>276</v>
      </c>
      <c r="J283" s="24"/>
      <c r="K283" s="23"/>
      <c r="L283" s="23"/>
      <c r="M283" s="24"/>
      <c r="N283" s="24"/>
      <c r="O283" s="27" t="s">
        <v>658</v>
      </c>
      <c r="P283" s="27"/>
      <c r="Q283" s="27"/>
      <c r="R283" s="23">
        <v>27</v>
      </c>
      <c r="S283" s="25">
        <v>45904</v>
      </c>
      <c r="T283" s="25">
        <v>45904</v>
      </c>
      <c r="U283" s="25"/>
      <c r="V283" s="25"/>
      <c r="W283" s="25">
        <v>45905</v>
      </c>
      <c r="X283" s="23" t="s">
        <v>537</v>
      </c>
      <c r="Y283" s="4" t="str">
        <f>IF(Tabela2[[#This Row],[SIGLA]]="","",VLOOKUP(Tabela2[[#This Row],[SIGLA]],Tabela14[[#All],[Sigla Arte]:[Crédito]],2,0))</f>
        <v>TATIANE GALHEIRO/ARQUIVO DA EDITORA</v>
      </c>
      <c r="Z283" s="24"/>
      <c r="AA283" s="24" t="str">
        <f>Tabela2[[#This Row],[ILUSTRADOR CRIAÇÃO]]</f>
        <v>TATIANE GALHEIRO/ARQUIVO DA EDITORA</v>
      </c>
      <c r="AB283" s="23">
        <v>12</v>
      </c>
      <c r="AC283" s="21" t="s">
        <v>538</v>
      </c>
      <c r="AD283" s="21" t="s">
        <v>40</v>
      </c>
      <c r="AE283" s="4" t="str">
        <f t="shared" si="4"/>
        <v>EF1 E001 Geo</v>
      </c>
    </row>
    <row r="284" spans="1:31" s="14" customFormat="1" ht="270" x14ac:dyDescent="0.25">
      <c r="A284" s="24" t="s">
        <v>659</v>
      </c>
      <c r="B284" s="21" t="s">
        <v>88</v>
      </c>
      <c r="C284" s="21" t="s">
        <v>33</v>
      </c>
      <c r="D284" s="21" t="s">
        <v>34</v>
      </c>
      <c r="E284" s="23">
        <v>116</v>
      </c>
      <c r="F284" s="23">
        <v>5</v>
      </c>
      <c r="G284" s="23">
        <v>4</v>
      </c>
      <c r="H284" s="23"/>
      <c r="I284" s="24" t="s">
        <v>276</v>
      </c>
      <c r="J284" s="24"/>
      <c r="K284" s="23"/>
      <c r="L284" s="23"/>
      <c r="M284" s="24"/>
      <c r="N284" s="24"/>
      <c r="O284" s="27" t="s">
        <v>660</v>
      </c>
      <c r="P284" s="27"/>
      <c r="Q284" s="27"/>
      <c r="R284" s="23">
        <v>27</v>
      </c>
      <c r="S284" s="25">
        <v>45904</v>
      </c>
      <c r="T284" s="25">
        <v>45904</v>
      </c>
      <c r="U284" s="25"/>
      <c r="V284" s="25"/>
      <c r="W284" s="25">
        <v>45905</v>
      </c>
      <c r="X284" s="23" t="s">
        <v>37</v>
      </c>
      <c r="Y284" s="4" t="str">
        <f>IF(Tabela2[[#This Row],[SIGLA]]="","",VLOOKUP(Tabela2[[#This Row],[SIGLA]],Tabela14[[#All],[Sigla Arte]:[Crédito]],2,0))</f>
        <v>EDSON BELLUSCI/ARQUIVO DA EDITORA</v>
      </c>
      <c r="Z284" s="24" t="s">
        <v>84</v>
      </c>
      <c r="AA284" s="24" t="str">
        <f>Tabela2[[#This Row],[ILUSTRADOR CRIAÇÃO]]</f>
        <v>EDSON BELLUSCI/ARQUIVO DA EDITORA</v>
      </c>
      <c r="AB284" s="23">
        <v>13</v>
      </c>
      <c r="AC284" s="21" t="s">
        <v>425</v>
      </c>
      <c r="AD284" s="21" t="s">
        <v>40</v>
      </c>
      <c r="AE284" s="4" t="str">
        <f t="shared" si="4"/>
        <v>EF1 E001 Geo</v>
      </c>
    </row>
    <row r="285" spans="1:31" s="14" customFormat="1" ht="30" x14ac:dyDescent="0.25">
      <c r="A285" s="24" t="s">
        <v>661</v>
      </c>
      <c r="B285" s="21" t="s">
        <v>88</v>
      </c>
      <c r="C285" s="21" t="s">
        <v>529</v>
      </c>
      <c r="D285" s="21" t="s">
        <v>34</v>
      </c>
      <c r="E285" s="23">
        <v>40</v>
      </c>
      <c r="F285" s="23">
        <v>5</v>
      </c>
      <c r="G285" s="23">
        <v>1</v>
      </c>
      <c r="H285" s="23"/>
      <c r="I285" s="24" t="s">
        <v>276</v>
      </c>
      <c r="J285" s="24"/>
      <c r="K285" s="23"/>
      <c r="L285" s="23"/>
      <c r="M285" s="24"/>
      <c r="N285" s="24"/>
      <c r="O285" s="27" t="s">
        <v>662</v>
      </c>
      <c r="P285" s="27"/>
      <c r="Q285" s="27"/>
      <c r="R285" s="23">
        <v>28</v>
      </c>
      <c r="S285" s="25">
        <v>45904</v>
      </c>
      <c r="T285" s="25">
        <v>45904</v>
      </c>
      <c r="U285" s="25"/>
      <c r="V285" s="25"/>
      <c r="W285" s="25">
        <v>45904</v>
      </c>
      <c r="X285" s="23" t="s">
        <v>47</v>
      </c>
      <c r="Y285" s="4" t="str">
        <f>IF(Tabela2[[#This Row],[SIGLA]]="","",VLOOKUP(Tabela2[[#This Row],[SIGLA]],Tabela14[[#All],[Sigla Arte]:[Crédito]],2,0))</f>
        <v>RAFAELA PANISSA/ARQUIVO DA EDITORA</v>
      </c>
      <c r="Z285" s="24"/>
      <c r="AA285" s="24" t="str">
        <f>Tabela2[[#This Row],[ILUSTRADOR CRIAÇÃO]]</f>
        <v>RAFAELA PANISSA/ARQUIVO DA EDITORA</v>
      </c>
      <c r="AB285" s="23">
        <v>12</v>
      </c>
      <c r="AC285" s="21" t="s">
        <v>631</v>
      </c>
      <c r="AD285" s="21" t="s">
        <v>40</v>
      </c>
      <c r="AE285" s="4" t="str">
        <f t="shared" si="4"/>
        <v>EF1 E001 Geo</v>
      </c>
    </row>
    <row r="286" spans="1:31" s="14" customFormat="1" x14ac:dyDescent="0.25">
      <c r="A286" s="24"/>
      <c r="B286" s="21"/>
      <c r="C286" s="21"/>
      <c r="D286" s="21"/>
      <c r="E286" s="23"/>
      <c r="F286" s="23"/>
      <c r="G286" s="23"/>
      <c r="H286" s="23"/>
      <c r="I286" s="24"/>
      <c r="J286" s="24"/>
      <c r="K286" s="23"/>
      <c r="L286" s="23"/>
      <c r="M286" s="24"/>
      <c r="N286" s="24"/>
      <c r="O286" s="27"/>
      <c r="P286" s="27"/>
      <c r="Q286" s="27"/>
      <c r="R286" s="23"/>
      <c r="S286" s="25"/>
      <c r="T286" s="25"/>
      <c r="U286" s="25"/>
      <c r="V286" s="25"/>
      <c r="W286" s="25"/>
      <c r="X286" s="23"/>
      <c r="Y286" s="4" t="str">
        <f>IF(Tabela2[[#This Row],[SIGLA]]="","",VLOOKUP(Tabela2[[#This Row],[SIGLA]],Tabela14[[#All],[Sigla Arte]:[Crédito]],2,0))</f>
        <v/>
      </c>
      <c r="Z286" s="24"/>
      <c r="AA286" s="24" t="str">
        <f>Tabela2[[#This Row],[ILUSTRADOR CRIAÇÃO]]</f>
        <v/>
      </c>
      <c r="AB286" s="23"/>
      <c r="AC286" s="21"/>
      <c r="AD286" s="21"/>
      <c r="AE286" s="4" t="str">
        <f t="shared" si="4"/>
        <v>EF1 E001 Geo</v>
      </c>
    </row>
    <row r="287" spans="1:31" s="14" customFormat="1" x14ac:dyDescent="0.25">
      <c r="A287" s="24"/>
      <c r="B287" s="21"/>
      <c r="C287" s="21"/>
      <c r="D287" s="21"/>
      <c r="E287" s="23"/>
      <c r="F287" s="23"/>
      <c r="G287" s="23"/>
      <c r="H287" s="23"/>
      <c r="I287" s="24"/>
      <c r="J287" s="24"/>
      <c r="K287" s="23"/>
      <c r="L287" s="23"/>
      <c r="M287" s="24"/>
      <c r="N287" s="24"/>
      <c r="O287" s="27"/>
      <c r="P287" s="27"/>
      <c r="Q287" s="27"/>
      <c r="R287" s="23"/>
      <c r="S287" s="25"/>
      <c r="T287" s="25"/>
      <c r="U287" s="25"/>
      <c r="V287" s="25"/>
      <c r="W287" s="25"/>
      <c r="X287" s="23"/>
      <c r="Y287" s="4" t="str">
        <f>IF(Tabela2[[#This Row],[SIGLA]]="","",VLOOKUP(Tabela2[[#This Row],[SIGLA]],Tabela14[[#All],[Sigla Arte]:[Crédito]],2,0))</f>
        <v/>
      </c>
      <c r="Z287" s="24"/>
      <c r="AA287" s="24" t="str">
        <f>Tabela2[[#This Row],[ILUSTRADOR CRIAÇÃO]]</f>
        <v/>
      </c>
      <c r="AB287" s="23"/>
      <c r="AC287" s="21"/>
      <c r="AD287" s="21"/>
      <c r="AE287" s="4" t="str">
        <f t="shared" si="4"/>
        <v>EF1 E001 Geo</v>
      </c>
    </row>
    <row r="288" spans="1:31" s="14" customFormat="1" x14ac:dyDescent="0.25">
      <c r="A288" s="24"/>
      <c r="B288" s="21"/>
      <c r="C288" s="21"/>
      <c r="D288" s="21"/>
      <c r="E288" s="23"/>
      <c r="F288" s="23"/>
      <c r="G288" s="23"/>
      <c r="H288" s="23"/>
      <c r="I288" s="24"/>
      <c r="J288" s="24"/>
      <c r="K288" s="23"/>
      <c r="L288" s="23"/>
      <c r="M288" s="24"/>
      <c r="N288" s="24"/>
      <c r="O288" s="27"/>
      <c r="P288" s="27"/>
      <c r="Q288" s="27"/>
      <c r="R288" s="23"/>
      <c r="S288" s="25"/>
      <c r="T288" s="25"/>
      <c r="U288" s="25"/>
      <c r="V288" s="25"/>
      <c r="W288" s="25"/>
      <c r="X288" s="23"/>
      <c r="Y288" s="4" t="str">
        <f>IF(Tabela2[[#This Row],[SIGLA]]="","",VLOOKUP(Tabela2[[#This Row],[SIGLA]],Tabela14[[#All],[Sigla Arte]:[Crédito]],2,0))</f>
        <v/>
      </c>
      <c r="Z288" s="24"/>
      <c r="AA288" s="24" t="str">
        <f>Tabela2[[#This Row],[ILUSTRADOR CRIAÇÃO]]</f>
        <v/>
      </c>
      <c r="AB288" s="23"/>
      <c r="AC288" s="21"/>
      <c r="AD288" s="21"/>
      <c r="AE288" s="4" t="str">
        <f t="shared" si="4"/>
        <v>EF1 E001 Geo</v>
      </c>
    </row>
    <row r="289" spans="1:31" s="14" customFormat="1" x14ac:dyDescent="0.25">
      <c r="A289" s="24"/>
      <c r="B289" s="21"/>
      <c r="C289" s="21"/>
      <c r="D289" s="21"/>
      <c r="E289" s="23"/>
      <c r="F289" s="23"/>
      <c r="G289" s="23"/>
      <c r="H289" s="23"/>
      <c r="I289" s="24"/>
      <c r="J289" s="24"/>
      <c r="K289" s="23"/>
      <c r="L289" s="23"/>
      <c r="M289" s="24"/>
      <c r="N289" s="24"/>
      <c r="O289" s="27"/>
      <c r="P289" s="27"/>
      <c r="Q289" s="27"/>
      <c r="R289" s="23"/>
      <c r="S289" s="25"/>
      <c r="T289" s="25"/>
      <c r="U289" s="25"/>
      <c r="V289" s="25"/>
      <c r="W289" s="25"/>
      <c r="X289" s="23"/>
      <c r="Y289" s="4" t="str">
        <f>IF(Tabela2[[#This Row],[SIGLA]]="","",VLOOKUP(Tabela2[[#This Row],[SIGLA]],Tabela14[[#All],[Sigla Arte]:[Crédito]],2,0))</f>
        <v/>
      </c>
      <c r="Z289" s="24"/>
      <c r="AA289" s="24" t="str">
        <f>Tabela2[[#This Row],[ILUSTRADOR CRIAÇÃO]]</f>
        <v/>
      </c>
      <c r="AB289" s="23"/>
      <c r="AC289" s="21"/>
      <c r="AD289" s="21"/>
      <c r="AE289" s="4" t="str">
        <f t="shared" si="4"/>
        <v>EF1 E001 Geo</v>
      </c>
    </row>
    <row r="290" spans="1:31" s="14" customFormat="1" x14ac:dyDescent="0.25">
      <c r="A290" s="24"/>
      <c r="B290" s="21"/>
      <c r="C290" s="21"/>
      <c r="D290" s="21"/>
      <c r="E290" s="23"/>
      <c r="F290" s="23"/>
      <c r="G290" s="23"/>
      <c r="H290" s="23"/>
      <c r="I290" s="24"/>
      <c r="J290" s="24"/>
      <c r="K290" s="23"/>
      <c r="L290" s="23"/>
      <c r="M290" s="24"/>
      <c r="N290" s="24"/>
      <c r="O290" s="27"/>
      <c r="P290" s="27"/>
      <c r="Q290" s="27"/>
      <c r="R290" s="23"/>
      <c r="S290" s="25"/>
      <c r="T290" s="25"/>
      <c r="U290" s="25"/>
      <c r="V290" s="25"/>
      <c r="W290" s="25"/>
      <c r="X290" s="23"/>
      <c r="Y290" s="4" t="str">
        <f>IF(Tabela2[[#This Row],[SIGLA]]="","",VLOOKUP(Tabela2[[#This Row],[SIGLA]],Tabela14[[#All],[Sigla Arte]:[Crédito]],2,0))</f>
        <v/>
      </c>
      <c r="Z290" s="24"/>
      <c r="AA290" s="24" t="str">
        <f>Tabela2[[#This Row],[ILUSTRADOR CRIAÇÃO]]</f>
        <v/>
      </c>
      <c r="AB290" s="23"/>
      <c r="AC290" s="21"/>
      <c r="AD290" s="21"/>
      <c r="AE290" s="4" t="str">
        <f t="shared" si="4"/>
        <v>EF1 E001 Geo</v>
      </c>
    </row>
    <row r="291" spans="1:31" s="14" customFormat="1" x14ac:dyDescent="0.25">
      <c r="A291" s="24"/>
      <c r="B291" s="21"/>
      <c r="C291" s="21"/>
      <c r="D291" s="21"/>
      <c r="E291" s="23"/>
      <c r="F291" s="23"/>
      <c r="G291" s="23"/>
      <c r="H291" s="23"/>
      <c r="I291" s="24"/>
      <c r="J291" s="24"/>
      <c r="K291" s="23"/>
      <c r="L291" s="23"/>
      <c r="M291" s="24"/>
      <c r="N291" s="24"/>
      <c r="O291" s="27"/>
      <c r="P291" s="27"/>
      <c r="Q291" s="27"/>
      <c r="R291" s="23"/>
      <c r="S291" s="25"/>
      <c r="T291" s="25"/>
      <c r="U291" s="25"/>
      <c r="V291" s="25"/>
      <c r="W291" s="25"/>
      <c r="X291" s="23"/>
      <c r="Y291" s="4" t="str">
        <f>IF(Tabela2[[#This Row],[SIGLA]]="","",VLOOKUP(Tabela2[[#This Row],[SIGLA]],Tabela14[[#All],[Sigla Arte]:[Crédito]],2,0))</f>
        <v/>
      </c>
      <c r="Z291" s="24"/>
      <c r="AA291" s="24" t="str">
        <f>Tabela2[[#This Row],[ILUSTRADOR CRIAÇÃO]]</f>
        <v/>
      </c>
      <c r="AB291" s="23"/>
      <c r="AC291" s="21"/>
      <c r="AD291" s="21"/>
      <c r="AE291" s="4" t="str">
        <f t="shared" si="4"/>
        <v>EF1 E001 Geo</v>
      </c>
    </row>
    <row r="292" spans="1:31" s="14" customFormat="1" x14ac:dyDescent="0.25">
      <c r="A292" s="24"/>
      <c r="B292" s="21"/>
      <c r="C292" s="21"/>
      <c r="D292" s="21"/>
      <c r="E292" s="23"/>
      <c r="F292" s="23"/>
      <c r="G292" s="23"/>
      <c r="H292" s="23"/>
      <c r="I292" s="24"/>
      <c r="J292" s="24"/>
      <c r="K292" s="23"/>
      <c r="L292" s="23"/>
      <c r="M292" s="24"/>
      <c r="N292" s="24"/>
      <c r="O292" s="27"/>
      <c r="P292" s="27"/>
      <c r="Q292" s="27"/>
      <c r="R292" s="23"/>
      <c r="S292" s="25"/>
      <c r="T292" s="25"/>
      <c r="U292" s="25"/>
      <c r="V292" s="25"/>
      <c r="W292" s="25"/>
      <c r="X292" s="23"/>
      <c r="Y292" s="4" t="str">
        <f>IF(Tabela2[[#This Row],[SIGLA]]="","",VLOOKUP(Tabela2[[#This Row],[SIGLA]],Tabela14[[#All],[Sigla Arte]:[Crédito]],2,0))</f>
        <v/>
      </c>
      <c r="Z292" s="24"/>
      <c r="AA292" s="24" t="str">
        <f>Tabela2[[#This Row],[ILUSTRADOR CRIAÇÃO]]</f>
        <v/>
      </c>
      <c r="AB292" s="23"/>
      <c r="AC292" s="21"/>
      <c r="AD292" s="21"/>
      <c r="AE292" s="4" t="str">
        <f t="shared" si="4"/>
        <v>EF1 E001 Geo</v>
      </c>
    </row>
    <row r="293" spans="1:31" s="14" customFormat="1" x14ac:dyDescent="0.25">
      <c r="A293" s="24"/>
      <c r="B293" s="21"/>
      <c r="C293" s="21"/>
      <c r="D293" s="21"/>
      <c r="E293" s="23"/>
      <c r="F293" s="23"/>
      <c r="G293" s="23"/>
      <c r="H293" s="23"/>
      <c r="I293" s="24"/>
      <c r="J293" s="24"/>
      <c r="K293" s="23"/>
      <c r="L293" s="23"/>
      <c r="M293" s="24"/>
      <c r="N293" s="24"/>
      <c r="O293" s="27"/>
      <c r="P293" s="27"/>
      <c r="Q293" s="27"/>
      <c r="R293" s="23"/>
      <c r="S293" s="25"/>
      <c r="T293" s="25"/>
      <c r="U293" s="25"/>
      <c r="V293" s="25"/>
      <c r="W293" s="25"/>
      <c r="X293" s="23"/>
      <c r="Y293" s="4" t="str">
        <f>IF(Tabela2[[#This Row],[SIGLA]]="","",VLOOKUP(Tabela2[[#This Row],[SIGLA]],Tabela14[[#All],[Sigla Arte]:[Crédito]],2,0))</f>
        <v/>
      </c>
      <c r="Z293" s="24"/>
      <c r="AA293" s="24" t="str">
        <f>Tabela2[[#This Row],[ILUSTRADOR CRIAÇÃO]]</f>
        <v/>
      </c>
      <c r="AB293" s="23"/>
      <c r="AC293" s="21"/>
      <c r="AD293" s="21"/>
      <c r="AE293" s="4" t="str">
        <f t="shared" si="4"/>
        <v>EF1 E001 Geo</v>
      </c>
    </row>
    <row r="294" spans="1:31" s="14" customFormat="1" x14ac:dyDescent="0.25">
      <c r="A294" s="24"/>
      <c r="B294" s="21"/>
      <c r="C294" s="21"/>
      <c r="D294" s="21"/>
      <c r="E294" s="23"/>
      <c r="F294" s="23"/>
      <c r="G294" s="23"/>
      <c r="H294" s="23"/>
      <c r="I294" s="24"/>
      <c r="J294" s="24"/>
      <c r="K294" s="23"/>
      <c r="L294" s="23"/>
      <c r="M294" s="24"/>
      <c r="N294" s="24"/>
      <c r="O294" s="27"/>
      <c r="P294" s="27"/>
      <c r="Q294" s="27"/>
      <c r="R294" s="23"/>
      <c r="S294" s="25"/>
      <c r="T294" s="25"/>
      <c r="U294" s="25"/>
      <c r="V294" s="25"/>
      <c r="W294" s="25"/>
      <c r="X294" s="23"/>
      <c r="Y294" s="4" t="str">
        <f>IF(Tabela2[[#This Row],[SIGLA]]="","",VLOOKUP(Tabela2[[#This Row],[SIGLA]],Tabela14[[#All],[Sigla Arte]:[Crédito]],2,0))</f>
        <v/>
      </c>
      <c r="Z294" s="24"/>
      <c r="AA294" s="24" t="str">
        <f>Tabela2[[#This Row],[ILUSTRADOR CRIAÇÃO]]</f>
        <v/>
      </c>
      <c r="AB294" s="23"/>
      <c r="AC294" s="21"/>
      <c r="AD294" s="21"/>
      <c r="AE294" s="4" t="str">
        <f t="shared" si="4"/>
        <v>EF1 E001 Geo</v>
      </c>
    </row>
    <row r="295" spans="1:31" s="14" customFormat="1" x14ac:dyDescent="0.25">
      <c r="A295" s="24"/>
      <c r="B295" s="21"/>
      <c r="C295" s="21"/>
      <c r="D295" s="21"/>
      <c r="E295" s="23"/>
      <c r="F295" s="23"/>
      <c r="G295" s="23"/>
      <c r="H295" s="23"/>
      <c r="I295" s="24"/>
      <c r="J295" s="24"/>
      <c r="K295" s="23"/>
      <c r="L295" s="23"/>
      <c r="M295" s="24"/>
      <c r="N295" s="24"/>
      <c r="O295" s="27"/>
      <c r="P295" s="27"/>
      <c r="Q295" s="27"/>
      <c r="R295" s="23"/>
      <c r="S295" s="25"/>
      <c r="T295" s="25"/>
      <c r="U295" s="25"/>
      <c r="V295" s="25"/>
      <c r="W295" s="25"/>
      <c r="X295" s="23"/>
      <c r="Y295" s="4" t="str">
        <f>IF(Tabela2[[#This Row],[SIGLA]]="","",VLOOKUP(Tabela2[[#This Row],[SIGLA]],Tabela14[[#All],[Sigla Arte]:[Crédito]],2,0))</f>
        <v/>
      </c>
      <c r="Z295" s="24"/>
      <c r="AA295" s="24" t="str">
        <f>Tabela2[[#This Row],[ILUSTRADOR CRIAÇÃO]]</f>
        <v/>
      </c>
      <c r="AB295" s="23"/>
      <c r="AC295" s="21"/>
      <c r="AD295" s="21"/>
      <c r="AE295" s="4" t="str">
        <f t="shared" si="4"/>
        <v>EF1 E001 Geo</v>
      </c>
    </row>
    <row r="296" spans="1:31" s="14" customFormat="1" x14ac:dyDescent="0.25">
      <c r="A296" s="24"/>
      <c r="B296" s="21"/>
      <c r="C296" s="21"/>
      <c r="D296" s="21"/>
      <c r="E296" s="23"/>
      <c r="F296" s="23"/>
      <c r="G296" s="23"/>
      <c r="H296" s="23"/>
      <c r="I296" s="24"/>
      <c r="J296" s="24"/>
      <c r="K296" s="23"/>
      <c r="L296" s="23"/>
      <c r="M296" s="24"/>
      <c r="N296" s="24"/>
      <c r="O296" s="27"/>
      <c r="P296" s="27"/>
      <c r="Q296" s="27"/>
      <c r="R296" s="23"/>
      <c r="S296" s="25"/>
      <c r="T296" s="25"/>
      <c r="U296" s="25"/>
      <c r="V296" s="25"/>
      <c r="W296" s="25"/>
      <c r="X296" s="23"/>
      <c r="Y296" s="4" t="str">
        <f>IF(Tabela2[[#This Row],[SIGLA]]="","",VLOOKUP(Tabela2[[#This Row],[SIGLA]],Tabela14[[#All],[Sigla Arte]:[Crédito]],2,0))</f>
        <v/>
      </c>
      <c r="Z296" s="24"/>
      <c r="AA296" s="24" t="str">
        <f>Tabela2[[#This Row],[ILUSTRADOR CRIAÇÃO]]</f>
        <v/>
      </c>
      <c r="AB296" s="23"/>
      <c r="AC296" s="21"/>
      <c r="AD296" s="21"/>
      <c r="AE296" s="4" t="str">
        <f t="shared" si="4"/>
        <v>EF1 E001 Geo</v>
      </c>
    </row>
    <row r="297" spans="1:31" s="14" customFormat="1" x14ac:dyDescent="0.25">
      <c r="A297" s="24"/>
      <c r="B297" s="21"/>
      <c r="C297" s="21"/>
      <c r="D297" s="21"/>
      <c r="E297" s="23"/>
      <c r="F297" s="23"/>
      <c r="G297" s="23"/>
      <c r="H297" s="23"/>
      <c r="I297" s="24"/>
      <c r="J297" s="24"/>
      <c r="K297" s="23"/>
      <c r="L297" s="23"/>
      <c r="M297" s="24"/>
      <c r="N297" s="24"/>
      <c r="O297" s="27"/>
      <c r="P297" s="27"/>
      <c r="Q297" s="27"/>
      <c r="R297" s="23"/>
      <c r="S297" s="25"/>
      <c r="T297" s="25"/>
      <c r="U297" s="25"/>
      <c r="V297" s="25"/>
      <c r="W297" s="25"/>
      <c r="X297" s="23"/>
      <c r="Y297" s="4" t="str">
        <f>IF(Tabela2[[#This Row],[SIGLA]]="","",VLOOKUP(Tabela2[[#This Row],[SIGLA]],Tabela14[[#All],[Sigla Arte]:[Crédito]],2,0))</f>
        <v/>
      </c>
      <c r="Z297" s="24"/>
      <c r="AA297" s="24" t="str">
        <f>Tabela2[[#This Row],[ILUSTRADOR CRIAÇÃO]]</f>
        <v/>
      </c>
      <c r="AB297" s="23"/>
      <c r="AC297" s="21"/>
      <c r="AD297" s="21"/>
      <c r="AE297" s="4" t="str">
        <f t="shared" si="4"/>
        <v>EF1 E001 Geo</v>
      </c>
    </row>
    <row r="298" spans="1:31" s="14" customFormat="1" x14ac:dyDescent="0.25">
      <c r="A298" s="24"/>
      <c r="B298" s="21"/>
      <c r="C298" s="21"/>
      <c r="D298" s="21"/>
      <c r="E298" s="23"/>
      <c r="F298" s="23"/>
      <c r="G298" s="23"/>
      <c r="H298" s="23"/>
      <c r="I298" s="24"/>
      <c r="J298" s="24"/>
      <c r="K298" s="23"/>
      <c r="L298" s="23"/>
      <c r="M298" s="24"/>
      <c r="N298" s="24"/>
      <c r="O298" s="27"/>
      <c r="P298" s="27"/>
      <c r="Q298" s="27"/>
      <c r="R298" s="23"/>
      <c r="S298" s="25"/>
      <c r="T298" s="25"/>
      <c r="U298" s="25"/>
      <c r="V298" s="25"/>
      <c r="W298" s="25"/>
      <c r="X298" s="23"/>
      <c r="Y298" s="4" t="str">
        <f>IF(Tabela2[[#This Row],[SIGLA]]="","",VLOOKUP(Tabela2[[#This Row],[SIGLA]],Tabela14[[#All],[Sigla Arte]:[Crédito]],2,0))</f>
        <v/>
      </c>
      <c r="Z298" s="24"/>
      <c r="AA298" s="24" t="str">
        <f>Tabela2[[#This Row],[ILUSTRADOR CRIAÇÃO]]</f>
        <v/>
      </c>
      <c r="AB298" s="23"/>
      <c r="AC298" s="21"/>
      <c r="AD298" s="21"/>
      <c r="AE298" s="4" t="str">
        <f t="shared" si="4"/>
        <v>EF1 E001 Geo</v>
      </c>
    </row>
    <row r="299" spans="1:31" s="14" customFormat="1" x14ac:dyDescent="0.25">
      <c r="A299" s="24"/>
      <c r="B299" s="21"/>
      <c r="C299" s="21"/>
      <c r="D299" s="21"/>
      <c r="E299" s="23"/>
      <c r="F299" s="23"/>
      <c r="G299" s="23"/>
      <c r="H299" s="23"/>
      <c r="I299" s="24"/>
      <c r="J299" s="24"/>
      <c r="K299" s="23"/>
      <c r="L299" s="23"/>
      <c r="M299" s="24"/>
      <c r="N299" s="24"/>
      <c r="O299" s="27"/>
      <c r="P299" s="27"/>
      <c r="Q299" s="27"/>
      <c r="R299" s="23"/>
      <c r="S299" s="25"/>
      <c r="T299" s="25"/>
      <c r="U299" s="25"/>
      <c r="V299" s="25"/>
      <c r="W299" s="25"/>
      <c r="X299" s="23"/>
      <c r="Y299" s="4" t="str">
        <f>IF(Tabela2[[#This Row],[SIGLA]]="","",VLOOKUP(Tabela2[[#This Row],[SIGLA]],Tabela14[[#All],[Sigla Arte]:[Crédito]],2,0))</f>
        <v/>
      </c>
      <c r="Z299" s="24"/>
      <c r="AA299" s="24" t="str">
        <f>Tabela2[[#This Row],[ILUSTRADOR CRIAÇÃO]]</f>
        <v/>
      </c>
      <c r="AB299" s="23"/>
      <c r="AC299" s="21"/>
      <c r="AD299" s="21"/>
      <c r="AE299" s="4" t="str">
        <f t="shared" si="4"/>
        <v>EF1 E001 Geo</v>
      </c>
    </row>
    <row r="300" spans="1:31" s="14" customFormat="1" x14ac:dyDescent="0.25">
      <c r="A300" s="24"/>
      <c r="B300" s="21"/>
      <c r="C300" s="21"/>
      <c r="D300" s="21"/>
      <c r="E300" s="23"/>
      <c r="F300" s="23"/>
      <c r="G300" s="23"/>
      <c r="H300" s="23"/>
      <c r="I300" s="24"/>
      <c r="J300" s="24"/>
      <c r="K300" s="23"/>
      <c r="L300" s="23"/>
      <c r="M300" s="24"/>
      <c r="N300" s="24"/>
      <c r="O300" s="27"/>
      <c r="P300" s="27"/>
      <c r="Q300" s="27"/>
      <c r="R300" s="23"/>
      <c r="S300" s="25"/>
      <c r="T300" s="25"/>
      <c r="U300" s="25"/>
      <c r="V300" s="25"/>
      <c r="W300" s="25"/>
      <c r="X300" s="23"/>
      <c r="Y300" s="4" t="str">
        <f>IF(Tabela2[[#This Row],[SIGLA]]="","",VLOOKUP(Tabela2[[#This Row],[SIGLA]],Tabela14[[#All],[Sigla Arte]:[Crédito]],2,0))</f>
        <v/>
      </c>
      <c r="Z300" s="24"/>
      <c r="AA300" s="24" t="str">
        <f>Tabela2[[#This Row],[ILUSTRADOR CRIAÇÃO]]</f>
        <v/>
      </c>
      <c r="AB300" s="23"/>
      <c r="AC300" s="21"/>
      <c r="AD300" s="21"/>
      <c r="AE300" s="4" t="str">
        <f t="shared" si="4"/>
        <v>EF1 E001 Geo</v>
      </c>
    </row>
    <row r="301" spans="1:31" s="14" customFormat="1" x14ac:dyDescent="0.25">
      <c r="A301" s="24"/>
      <c r="B301" s="21"/>
      <c r="C301" s="21"/>
      <c r="D301" s="21"/>
      <c r="E301" s="23"/>
      <c r="F301" s="23"/>
      <c r="G301" s="23"/>
      <c r="H301" s="23"/>
      <c r="I301" s="24"/>
      <c r="J301" s="24"/>
      <c r="K301" s="23"/>
      <c r="L301" s="23"/>
      <c r="M301" s="24"/>
      <c r="N301" s="24"/>
      <c r="O301" s="27"/>
      <c r="P301" s="27"/>
      <c r="Q301" s="27"/>
      <c r="R301" s="23"/>
      <c r="S301" s="25"/>
      <c r="T301" s="25"/>
      <c r="U301" s="25"/>
      <c r="V301" s="25"/>
      <c r="W301" s="25"/>
      <c r="X301" s="23"/>
      <c r="Y301" s="4" t="str">
        <f>IF(Tabela2[[#This Row],[SIGLA]]="","",VLOOKUP(Tabela2[[#This Row],[SIGLA]],Tabela14[[#All],[Sigla Arte]:[Crédito]],2,0))</f>
        <v/>
      </c>
      <c r="Z301" s="24"/>
      <c r="AA301" s="24" t="str">
        <f>Tabela2[[#This Row],[ILUSTRADOR CRIAÇÃO]]</f>
        <v/>
      </c>
      <c r="AB301" s="23"/>
      <c r="AC301" s="21"/>
      <c r="AD301" s="21"/>
      <c r="AE301" s="4" t="str">
        <f t="shared" si="4"/>
        <v>EF1 E001 Geo</v>
      </c>
    </row>
    <row r="302" spans="1:31" s="14" customFormat="1" x14ac:dyDescent="0.25">
      <c r="A302" s="24"/>
      <c r="B302" s="21"/>
      <c r="C302" s="21"/>
      <c r="D302" s="21"/>
      <c r="E302" s="23"/>
      <c r="F302" s="23"/>
      <c r="G302" s="23"/>
      <c r="H302" s="23"/>
      <c r="I302" s="24"/>
      <c r="J302" s="24"/>
      <c r="K302" s="23"/>
      <c r="L302" s="23"/>
      <c r="M302" s="24"/>
      <c r="N302" s="24"/>
      <c r="O302" s="27"/>
      <c r="P302" s="27"/>
      <c r="Q302" s="27"/>
      <c r="R302" s="23"/>
      <c r="S302" s="25"/>
      <c r="T302" s="25"/>
      <c r="U302" s="25"/>
      <c r="V302" s="25"/>
      <c r="W302" s="25"/>
      <c r="X302" s="23"/>
      <c r="Y302" s="4" t="str">
        <f>IF(Tabela2[[#This Row],[SIGLA]]="","",VLOOKUP(Tabela2[[#This Row],[SIGLA]],Tabela14[[#All],[Sigla Arte]:[Crédito]],2,0))</f>
        <v/>
      </c>
      <c r="Z302" s="24"/>
      <c r="AA302" s="24" t="str">
        <f>Tabela2[[#This Row],[ILUSTRADOR CRIAÇÃO]]</f>
        <v/>
      </c>
      <c r="AB302" s="23"/>
      <c r="AC302" s="21"/>
      <c r="AD302" s="21"/>
      <c r="AE302" s="4" t="str">
        <f t="shared" si="4"/>
        <v>EF1 E001 Geo</v>
      </c>
    </row>
    <row r="303" spans="1:31" s="14" customFormat="1" x14ac:dyDescent="0.25">
      <c r="A303" s="24"/>
      <c r="B303" s="21"/>
      <c r="C303" s="21"/>
      <c r="D303" s="21"/>
      <c r="E303" s="23"/>
      <c r="F303" s="23"/>
      <c r="G303" s="23"/>
      <c r="H303" s="23"/>
      <c r="I303" s="24"/>
      <c r="J303" s="24"/>
      <c r="K303" s="23"/>
      <c r="L303" s="23"/>
      <c r="M303" s="24"/>
      <c r="N303" s="24"/>
      <c r="O303" s="27"/>
      <c r="P303" s="27"/>
      <c r="Q303" s="27"/>
      <c r="R303" s="23"/>
      <c r="S303" s="25"/>
      <c r="T303" s="25"/>
      <c r="U303" s="25"/>
      <c r="V303" s="25"/>
      <c r="W303" s="25"/>
      <c r="X303" s="23"/>
      <c r="Y303" s="4" t="str">
        <f>IF(Tabela2[[#This Row],[SIGLA]]="","",VLOOKUP(Tabela2[[#This Row],[SIGLA]],Tabela14[[#All],[Sigla Arte]:[Crédito]],2,0))</f>
        <v/>
      </c>
      <c r="Z303" s="24"/>
      <c r="AA303" s="24" t="str">
        <f>Tabela2[[#This Row],[ILUSTRADOR CRIAÇÃO]]</f>
        <v/>
      </c>
      <c r="AB303" s="23"/>
      <c r="AC303" s="21"/>
      <c r="AD303" s="21"/>
      <c r="AE303" s="4" t="str">
        <f t="shared" si="4"/>
        <v>EF1 E001 Geo</v>
      </c>
    </row>
    <row r="304" spans="1:31" s="14" customFormat="1" x14ac:dyDescent="0.25">
      <c r="A304" s="24"/>
      <c r="B304" s="21"/>
      <c r="C304" s="21"/>
      <c r="D304" s="21"/>
      <c r="E304" s="23"/>
      <c r="F304" s="23"/>
      <c r="G304" s="23"/>
      <c r="H304" s="23"/>
      <c r="I304" s="24"/>
      <c r="J304" s="24"/>
      <c r="K304" s="23"/>
      <c r="L304" s="23"/>
      <c r="M304" s="24"/>
      <c r="N304" s="24"/>
      <c r="O304" s="27"/>
      <c r="P304" s="27"/>
      <c r="Q304" s="27"/>
      <c r="R304" s="23"/>
      <c r="S304" s="25"/>
      <c r="T304" s="25"/>
      <c r="U304" s="25"/>
      <c r="V304" s="25"/>
      <c r="W304" s="25"/>
      <c r="X304" s="23"/>
      <c r="Y304" s="4" t="str">
        <f>IF(Tabela2[[#This Row],[SIGLA]]="","",VLOOKUP(Tabela2[[#This Row],[SIGLA]],Tabela14[[#All],[Sigla Arte]:[Crédito]],2,0))</f>
        <v/>
      </c>
      <c r="Z304" s="24"/>
      <c r="AA304" s="24" t="str">
        <f>Tabela2[[#This Row],[ILUSTRADOR CRIAÇÃO]]</f>
        <v/>
      </c>
      <c r="AB304" s="23"/>
      <c r="AC304" s="21"/>
      <c r="AD304" s="21"/>
      <c r="AE304" s="4" t="str">
        <f t="shared" si="4"/>
        <v>EF1 E001 Geo</v>
      </c>
    </row>
    <row r="305" spans="1:31" s="14" customFormat="1" x14ac:dyDescent="0.25">
      <c r="A305" s="24"/>
      <c r="B305" s="21"/>
      <c r="C305" s="21"/>
      <c r="D305" s="21"/>
      <c r="E305" s="23"/>
      <c r="F305" s="23"/>
      <c r="G305" s="23"/>
      <c r="H305" s="23"/>
      <c r="I305" s="24"/>
      <c r="J305" s="24"/>
      <c r="K305" s="23"/>
      <c r="L305" s="23"/>
      <c r="M305" s="24"/>
      <c r="N305" s="24"/>
      <c r="O305" s="27"/>
      <c r="P305" s="27"/>
      <c r="Q305" s="27"/>
      <c r="R305" s="23"/>
      <c r="S305" s="25"/>
      <c r="T305" s="25"/>
      <c r="U305" s="25"/>
      <c r="V305" s="25"/>
      <c r="W305" s="25"/>
      <c r="X305" s="23"/>
      <c r="Y305" s="4" t="str">
        <f>IF(Tabela2[[#This Row],[SIGLA]]="","",VLOOKUP(Tabela2[[#This Row],[SIGLA]],Tabela14[[#All],[Sigla Arte]:[Crédito]],2,0))</f>
        <v/>
      </c>
      <c r="Z305" s="24"/>
      <c r="AA305" s="24" t="str">
        <f>Tabela2[[#This Row],[ILUSTRADOR CRIAÇÃO]]</f>
        <v/>
      </c>
      <c r="AB305" s="23"/>
      <c r="AC305" s="21"/>
      <c r="AD305" s="21"/>
      <c r="AE305" s="4" t="str">
        <f t="shared" si="4"/>
        <v>EF1 E001 Geo</v>
      </c>
    </row>
    <row r="306" spans="1:31" s="14" customFormat="1" x14ac:dyDescent="0.25">
      <c r="A306" s="24"/>
      <c r="B306" s="21"/>
      <c r="C306" s="21"/>
      <c r="D306" s="21"/>
      <c r="E306" s="23"/>
      <c r="F306" s="23"/>
      <c r="G306" s="23"/>
      <c r="H306" s="23"/>
      <c r="I306" s="24"/>
      <c r="J306" s="24"/>
      <c r="K306" s="23"/>
      <c r="L306" s="23"/>
      <c r="M306" s="24"/>
      <c r="N306" s="24"/>
      <c r="O306" s="27"/>
      <c r="P306" s="27"/>
      <c r="Q306" s="27"/>
      <c r="R306" s="23"/>
      <c r="S306" s="25"/>
      <c r="T306" s="25"/>
      <c r="U306" s="25"/>
      <c r="V306" s="25"/>
      <c r="W306" s="25"/>
      <c r="X306" s="23"/>
      <c r="Y306" s="4" t="str">
        <f>IF(Tabela2[[#This Row],[SIGLA]]="","",VLOOKUP(Tabela2[[#This Row],[SIGLA]],Tabela14[[#All],[Sigla Arte]:[Crédito]],2,0))</f>
        <v/>
      </c>
      <c r="Z306" s="24"/>
      <c r="AA306" s="24" t="str">
        <f>Tabela2[[#This Row],[ILUSTRADOR CRIAÇÃO]]</f>
        <v/>
      </c>
      <c r="AB306" s="23"/>
      <c r="AC306" s="21"/>
      <c r="AD306" s="21"/>
      <c r="AE306" s="4" t="str">
        <f t="shared" si="4"/>
        <v>EF1 E001 Geo</v>
      </c>
    </row>
    <row r="307" spans="1:31" s="14" customFormat="1" x14ac:dyDescent="0.25">
      <c r="A307" s="24"/>
      <c r="B307" s="21"/>
      <c r="C307" s="21"/>
      <c r="D307" s="21"/>
      <c r="E307" s="23"/>
      <c r="F307" s="23"/>
      <c r="G307" s="23"/>
      <c r="H307" s="23"/>
      <c r="I307" s="24"/>
      <c r="J307" s="24"/>
      <c r="K307" s="23"/>
      <c r="L307" s="23"/>
      <c r="M307" s="24"/>
      <c r="N307" s="24"/>
      <c r="O307" s="27"/>
      <c r="P307" s="27"/>
      <c r="Q307" s="27"/>
      <c r="R307" s="23"/>
      <c r="S307" s="25"/>
      <c r="T307" s="25"/>
      <c r="U307" s="25"/>
      <c r="V307" s="25"/>
      <c r="W307" s="25"/>
      <c r="X307" s="23"/>
      <c r="Y307" s="4" t="str">
        <f>IF(Tabela2[[#This Row],[SIGLA]]="","",VLOOKUP(Tabela2[[#This Row],[SIGLA]],Tabela14[[#All],[Sigla Arte]:[Crédito]],2,0))</f>
        <v/>
      </c>
      <c r="Z307" s="24"/>
      <c r="AA307" s="24" t="str">
        <f>Tabela2[[#This Row],[ILUSTRADOR CRIAÇÃO]]</f>
        <v/>
      </c>
      <c r="AB307" s="23"/>
      <c r="AC307" s="21"/>
      <c r="AD307" s="21"/>
      <c r="AE307" s="4" t="str">
        <f t="shared" si="4"/>
        <v>EF1 E001 Geo</v>
      </c>
    </row>
    <row r="308" spans="1:31" s="14" customFormat="1" x14ac:dyDescent="0.25">
      <c r="A308" s="24"/>
      <c r="B308" s="21"/>
      <c r="C308" s="21"/>
      <c r="D308" s="21"/>
      <c r="E308" s="23"/>
      <c r="F308" s="23"/>
      <c r="G308" s="23"/>
      <c r="H308" s="23"/>
      <c r="I308" s="24"/>
      <c r="J308" s="24"/>
      <c r="K308" s="23"/>
      <c r="L308" s="23"/>
      <c r="M308" s="24"/>
      <c r="N308" s="24"/>
      <c r="O308" s="27"/>
      <c r="P308" s="27"/>
      <c r="Q308" s="27"/>
      <c r="R308" s="23"/>
      <c r="S308" s="25"/>
      <c r="T308" s="25"/>
      <c r="U308" s="25"/>
      <c r="V308" s="25"/>
      <c r="W308" s="25"/>
      <c r="X308" s="23"/>
      <c r="Y308" s="4" t="str">
        <f>IF(Tabela2[[#This Row],[SIGLA]]="","",VLOOKUP(Tabela2[[#This Row],[SIGLA]],Tabela14[[#All],[Sigla Arte]:[Crédito]],2,0))</f>
        <v/>
      </c>
      <c r="Z308" s="24"/>
      <c r="AA308" s="24" t="str">
        <f>Tabela2[[#This Row],[ILUSTRADOR CRIAÇÃO]]</f>
        <v/>
      </c>
      <c r="AB308" s="23"/>
      <c r="AC308" s="21"/>
      <c r="AD308" s="21"/>
      <c r="AE308" s="4" t="str">
        <f t="shared" si="4"/>
        <v>EF1 E001 Geo</v>
      </c>
    </row>
    <row r="309" spans="1:31" s="14" customFormat="1" x14ac:dyDescent="0.25">
      <c r="A309" s="24"/>
      <c r="B309" s="21"/>
      <c r="C309" s="21"/>
      <c r="D309" s="21"/>
      <c r="E309" s="23"/>
      <c r="F309" s="23"/>
      <c r="G309" s="23"/>
      <c r="H309" s="23"/>
      <c r="I309" s="24"/>
      <c r="J309" s="24"/>
      <c r="K309" s="23"/>
      <c r="L309" s="23"/>
      <c r="M309" s="24"/>
      <c r="N309" s="24"/>
      <c r="O309" s="27"/>
      <c r="P309" s="27"/>
      <c r="Q309" s="27"/>
      <c r="R309" s="23"/>
      <c r="S309" s="25"/>
      <c r="T309" s="25"/>
      <c r="U309" s="25"/>
      <c r="V309" s="25"/>
      <c r="W309" s="25"/>
      <c r="X309" s="23"/>
      <c r="Y309" s="4" t="str">
        <f>IF(Tabela2[[#This Row],[SIGLA]]="","",VLOOKUP(Tabela2[[#This Row],[SIGLA]],Tabela14[[#All],[Sigla Arte]:[Crédito]],2,0))</f>
        <v/>
      </c>
      <c r="Z309" s="24"/>
      <c r="AA309" s="24" t="str">
        <f>Tabela2[[#This Row],[ILUSTRADOR CRIAÇÃO]]</f>
        <v/>
      </c>
      <c r="AB309" s="23"/>
      <c r="AC309" s="21"/>
      <c r="AD309" s="21"/>
      <c r="AE309" s="4" t="str">
        <f t="shared" si="4"/>
        <v>EF1 E001 Geo</v>
      </c>
    </row>
    <row r="310" spans="1:31" s="14" customFormat="1" x14ac:dyDescent="0.25">
      <c r="A310" s="24"/>
      <c r="B310" s="21"/>
      <c r="C310" s="21"/>
      <c r="D310" s="21"/>
      <c r="E310" s="23"/>
      <c r="F310" s="23"/>
      <c r="G310" s="23"/>
      <c r="H310" s="23"/>
      <c r="I310" s="24"/>
      <c r="J310" s="24"/>
      <c r="K310" s="23"/>
      <c r="L310" s="23"/>
      <c r="M310" s="24"/>
      <c r="N310" s="24"/>
      <c r="O310" s="27"/>
      <c r="P310" s="27"/>
      <c r="Q310" s="27"/>
      <c r="R310" s="23"/>
      <c r="S310" s="25"/>
      <c r="T310" s="25"/>
      <c r="U310" s="25"/>
      <c r="V310" s="25"/>
      <c r="W310" s="25"/>
      <c r="X310" s="23"/>
      <c r="Y310" s="4" t="str">
        <f>IF(Tabela2[[#This Row],[SIGLA]]="","",VLOOKUP(Tabela2[[#This Row],[SIGLA]],Tabela14[[#All],[Sigla Arte]:[Crédito]],2,0))</f>
        <v/>
      </c>
      <c r="Z310" s="24"/>
      <c r="AA310" s="24" t="str">
        <f>Tabela2[[#This Row],[ILUSTRADOR CRIAÇÃO]]</f>
        <v/>
      </c>
      <c r="AB310" s="23"/>
      <c r="AC310" s="21"/>
      <c r="AD310" s="21"/>
      <c r="AE310" s="4" t="str">
        <f t="shared" si="4"/>
        <v>EF1 E001 Geo</v>
      </c>
    </row>
    <row r="311" spans="1:31" s="14" customFormat="1" x14ac:dyDescent="0.25">
      <c r="A311" s="24"/>
      <c r="B311" s="21"/>
      <c r="C311" s="21"/>
      <c r="D311" s="21"/>
      <c r="E311" s="23"/>
      <c r="F311" s="23"/>
      <c r="G311" s="23"/>
      <c r="H311" s="23"/>
      <c r="I311" s="24"/>
      <c r="J311" s="24"/>
      <c r="K311" s="23"/>
      <c r="L311" s="23"/>
      <c r="M311" s="24"/>
      <c r="N311" s="24"/>
      <c r="O311" s="27"/>
      <c r="P311" s="27"/>
      <c r="Q311" s="27"/>
      <c r="R311" s="23"/>
      <c r="S311" s="25"/>
      <c r="T311" s="25"/>
      <c r="U311" s="25"/>
      <c r="V311" s="25"/>
      <c r="W311" s="25"/>
      <c r="X311" s="23"/>
      <c r="Y311" s="4" t="str">
        <f>IF(Tabela2[[#This Row],[SIGLA]]="","",VLOOKUP(Tabela2[[#This Row],[SIGLA]],Tabela14[[#All],[Sigla Arte]:[Crédito]],2,0))</f>
        <v/>
      </c>
      <c r="Z311" s="24"/>
      <c r="AA311" s="24" t="str">
        <f>Tabela2[[#This Row],[ILUSTRADOR CRIAÇÃO]]</f>
        <v/>
      </c>
      <c r="AB311" s="23"/>
      <c r="AC311" s="21"/>
      <c r="AD311" s="21"/>
      <c r="AE311" s="4" t="str">
        <f t="shared" si="4"/>
        <v>EF1 E001 Geo</v>
      </c>
    </row>
    <row r="312" spans="1:31" s="14" customFormat="1" x14ac:dyDescent="0.25">
      <c r="A312" s="24"/>
      <c r="B312" s="21"/>
      <c r="C312" s="21"/>
      <c r="D312" s="21"/>
      <c r="E312" s="23"/>
      <c r="F312" s="23"/>
      <c r="G312" s="23"/>
      <c r="H312" s="23"/>
      <c r="I312" s="24"/>
      <c r="J312" s="24"/>
      <c r="K312" s="23"/>
      <c r="L312" s="23"/>
      <c r="M312" s="24"/>
      <c r="N312" s="24"/>
      <c r="O312" s="27"/>
      <c r="P312" s="27"/>
      <c r="Q312" s="27"/>
      <c r="R312" s="23"/>
      <c r="S312" s="25"/>
      <c r="T312" s="25"/>
      <c r="U312" s="25"/>
      <c r="V312" s="25"/>
      <c r="W312" s="25"/>
      <c r="X312" s="23"/>
      <c r="Y312" s="4" t="str">
        <f>IF(Tabela2[[#This Row],[SIGLA]]="","",VLOOKUP(Tabela2[[#This Row],[SIGLA]],Tabela14[[#All],[Sigla Arte]:[Crédito]],2,0))</f>
        <v/>
      </c>
      <c r="Z312" s="24"/>
      <c r="AA312" s="24" t="str">
        <f>Tabela2[[#This Row],[ILUSTRADOR CRIAÇÃO]]</f>
        <v/>
      </c>
      <c r="AB312" s="23"/>
      <c r="AC312" s="21"/>
      <c r="AD312" s="21"/>
      <c r="AE312" s="4" t="str">
        <f t="shared" si="4"/>
        <v>EF1 E001 Geo</v>
      </c>
    </row>
    <row r="313" spans="1:31" s="14" customFormat="1" x14ac:dyDescent="0.25">
      <c r="A313" s="24"/>
      <c r="B313" s="21"/>
      <c r="C313" s="21"/>
      <c r="D313" s="21"/>
      <c r="E313" s="23"/>
      <c r="F313" s="23"/>
      <c r="G313" s="23"/>
      <c r="H313" s="23"/>
      <c r="I313" s="24"/>
      <c r="J313" s="24"/>
      <c r="K313" s="23"/>
      <c r="L313" s="23"/>
      <c r="M313" s="24"/>
      <c r="N313" s="24"/>
      <c r="O313" s="27"/>
      <c r="P313" s="27"/>
      <c r="Q313" s="27"/>
      <c r="R313" s="23"/>
      <c r="S313" s="25"/>
      <c r="T313" s="25"/>
      <c r="U313" s="25"/>
      <c r="V313" s="25"/>
      <c r="W313" s="25"/>
      <c r="X313" s="23"/>
      <c r="Y313" s="4" t="str">
        <f>IF(Tabela2[[#This Row],[SIGLA]]="","",VLOOKUP(Tabela2[[#This Row],[SIGLA]],Tabela14[[#All],[Sigla Arte]:[Crédito]],2,0))</f>
        <v/>
      </c>
      <c r="Z313" s="24"/>
      <c r="AA313" s="24" t="str">
        <f>Tabela2[[#This Row],[ILUSTRADOR CRIAÇÃO]]</f>
        <v/>
      </c>
      <c r="AB313" s="23"/>
      <c r="AC313" s="21"/>
      <c r="AD313" s="21"/>
      <c r="AE313" s="4" t="str">
        <f t="shared" si="4"/>
        <v>EF1 E001 Geo</v>
      </c>
    </row>
    <row r="314" spans="1:31" s="14" customFormat="1" x14ac:dyDescent="0.25">
      <c r="A314" s="24"/>
      <c r="B314" s="21"/>
      <c r="C314" s="21"/>
      <c r="D314" s="21"/>
      <c r="E314" s="23"/>
      <c r="F314" s="23"/>
      <c r="G314" s="23"/>
      <c r="H314" s="23"/>
      <c r="I314" s="24"/>
      <c r="J314" s="24"/>
      <c r="K314" s="23"/>
      <c r="L314" s="23"/>
      <c r="M314" s="24"/>
      <c r="N314" s="24"/>
      <c r="O314" s="27"/>
      <c r="P314" s="27"/>
      <c r="Q314" s="27"/>
      <c r="R314" s="23"/>
      <c r="S314" s="25"/>
      <c r="T314" s="25"/>
      <c r="U314" s="25"/>
      <c r="V314" s="25"/>
      <c r="W314" s="25"/>
      <c r="X314" s="23"/>
      <c r="Y314" s="4" t="str">
        <f>IF(Tabela2[[#This Row],[SIGLA]]="","",VLOOKUP(Tabela2[[#This Row],[SIGLA]],Tabela14[[#All],[Sigla Arte]:[Crédito]],2,0))</f>
        <v/>
      </c>
      <c r="Z314" s="24"/>
      <c r="AA314" s="24" t="str">
        <f>Tabela2[[#This Row],[ILUSTRADOR CRIAÇÃO]]</f>
        <v/>
      </c>
      <c r="AB314" s="23"/>
      <c r="AC314" s="21"/>
      <c r="AD314" s="21"/>
      <c r="AE314" s="4" t="str">
        <f t="shared" si="4"/>
        <v>EF1 E001 Geo</v>
      </c>
    </row>
    <row r="315" spans="1:31" s="14" customFormat="1" x14ac:dyDescent="0.25">
      <c r="A315" s="24"/>
      <c r="B315" s="21"/>
      <c r="C315" s="21"/>
      <c r="D315" s="21"/>
      <c r="E315" s="23"/>
      <c r="F315" s="23"/>
      <c r="G315" s="23"/>
      <c r="H315" s="23"/>
      <c r="I315" s="24"/>
      <c r="J315" s="24"/>
      <c r="K315" s="23"/>
      <c r="L315" s="23"/>
      <c r="M315" s="24"/>
      <c r="N315" s="24"/>
      <c r="O315" s="27"/>
      <c r="P315" s="27"/>
      <c r="Q315" s="27"/>
      <c r="R315" s="23"/>
      <c r="S315" s="25"/>
      <c r="T315" s="25"/>
      <c r="U315" s="25"/>
      <c r="V315" s="25"/>
      <c r="W315" s="25"/>
      <c r="X315" s="23"/>
      <c r="Y315" s="4" t="str">
        <f>IF(Tabela2[[#This Row],[SIGLA]]="","",VLOOKUP(Tabela2[[#This Row],[SIGLA]],Tabela14[[#All],[Sigla Arte]:[Crédito]],2,0))</f>
        <v/>
      </c>
      <c r="Z315" s="24"/>
      <c r="AA315" s="24" t="str">
        <f>Tabela2[[#This Row],[ILUSTRADOR CRIAÇÃO]]</f>
        <v/>
      </c>
      <c r="AB315" s="23"/>
      <c r="AC315" s="21"/>
      <c r="AD315" s="21"/>
      <c r="AE315" s="4" t="str">
        <f t="shared" si="4"/>
        <v>EF1 E001 Geo</v>
      </c>
    </row>
    <row r="316" spans="1:31" s="14" customFormat="1" x14ac:dyDescent="0.25">
      <c r="A316" s="24"/>
      <c r="B316" s="21"/>
      <c r="C316" s="21"/>
      <c r="D316" s="21"/>
      <c r="E316" s="23"/>
      <c r="F316" s="23"/>
      <c r="G316" s="23"/>
      <c r="H316" s="23"/>
      <c r="I316" s="24"/>
      <c r="J316" s="24"/>
      <c r="K316" s="23"/>
      <c r="L316" s="23"/>
      <c r="M316" s="24"/>
      <c r="N316" s="24"/>
      <c r="O316" s="27"/>
      <c r="P316" s="27"/>
      <c r="Q316" s="27"/>
      <c r="R316" s="23"/>
      <c r="S316" s="25"/>
      <c r="T316" s="25"/>
      <c r="U316" s="25"/>
      <c r="V316" s="25"/>
      <c r="W316" s="25"/>
      <c r="X316" s="23"/>
      <c r="Y316" s="4" t="str">
        <f>IF(Tabela2[[#This Row],[SIGLA]]="","",VLOOKUP(Tabela2[[#This Row],[SIGLA]],Tabela14[[#All],[Sigla Arte]:[Crédito]],2,0))</f>
        <v/>
      </c>
      <c r="Z316" s="24"/>
      <c r="AA316" s="24" t="str">
        <f>Tabela2[[#This Row],[ILUSTRADOR CRIAÇÃO]]</f>
        <v/>
      </c>
      <c r="AB316" s="23"/>
      <c r="AC316" s="21"/>
      <c r="AD316" s="21"/>
      <c r="AE316" s="4" t="str">
        <f t="shared" si="4"/>
        <v>EF1 E001 Geo</v>
      </c>
    </row>
    <row r="317" spans="1:31" s="14" customFormat="1" x14ac:dyDescent="0.25">
      <c r="A317" s="24"/>
      <c r="B317" s="21"/>
      <c r="C317" s="21"/>
      <c r="D317" s="21"/>
      <c r="E317" s="23"/>
      <c r="F317" s="23"/>
      <c r="G317" s="23"/>
      <c r="H317" s="23"/>
      <c r="I317" s="24"/>
      <c r="J317" s="24"/>
      <c r="K317" s="23"/>
      <c r="L317" s="23"/>
      <c r="M317" s="24"/>
      <c r="N317" s="24"/>
      <c r="O317" s="27"/>
      <c r="P317" s="27"/>
      <c r="Q317" s="27"/>
      <c r="R317" s="23"/>
      <c r="S317" s="25"/>
      <c r="T317" s="25"/>
      <c r="U317" s="25"/>
      <c r="V317" s="25"/>
      <c r="W317" s="25"/>
      <c r="X317" s="23"/>
      <c r="Y317" s="4" t="str">
        <f>IF(Tabela2[[#This Row],[SIGLA]]="","",VLOOKUP(Tabela2[[#This Row],[SIGLA]],Tabela14[[#All],[Sigla Arte]:[Crédito]],2,0))</f>
        <v/>
      </c>
      <c r="Z317" s="24"/>
      <c r="AA317" s="24" t="str">
        <f>Tabela2[[#This Row],[ILUSTRADOR CRIAÇÃO]]</f>
        <v/>
      </c>
      <c r="AB317" s="23"/>
      <c r="AC317" s="21"/>
      <c r="AD317" s="21"/>
      <c r="AE317" s="4" t="str">
        <f t="shared" si="4"/>
        <v>EF1 E001 Geo</v>
      </c>
    </row>
    <row r="318" spans="1:31" s="14" customFormat="1" x14ac:dyDescent="0.25">
      <c r="A318" s="24"/>
      <c r="B318" s="21"/>
      <c r="C318" s="21"/>
      <c r="D318" s="21"/>
      <c r="E318" s="23"/>
      <c r="F318" s="23"/>
      <c r="G318" s="23"/>
      <c r="H318" s="23"/>
      <c r="I318" s="24"/>
      <c r="J318" s="24"/>
      <c r="K318" s="23"/>
      <c r="L318" s="23"/>
      <c r="M318" s="24"/>
      <c r="N318" s="24"/>
      <c r="O318" s="27"/>
      <c r="P318" s="27"/>
      <c r="Q318" s="27"/>
      <c r="R318" s="23"/>
      <c r="S318" s="25"/>
      <c r="T318" s="25"/>
      <c r="U318" s="25"/>
      <c r="V318" s="25"/>
      <c r="W318" s="25"/>
      <c r="X318" s="23"/>
      <c r="Y318" s="4" t="str">
        <f>IF(Tabela2[[#This Row],[SIGLA]]="","",VLOOKUP(Tabela2[[#This Row],[SIGLA]],Tabela14[[#All],[Sigla Arte]:[Crédito]],2,0))</f>
        <v/>
      </c>
      <c r="Z318" s="24"/>
      <c r="AA318" s="24" t="str">
        <f>Tabela2[[#This Row],[ILUSTRADOR CRIAÇÃO]]</f>
        <v/>
      </c>
      <c r="AB318" s="23"/>
      <c r="AC318" s="21"/>
      <c r="AD318" s="21"/>
      <c r="AE318" s="4" t="str">
        <f t="shared" si="4"/>
        <v>EF1 E001 Geo</v>
      </c>
    </row>
    <row r="319" spans="1:31" s="14" customFormat="1" x14ac:dyDescent="0.25">
      <c r="A319" s="24"/>
      <c r="B319" s="21"/>
      <c r="C319" s="21"/>
      <c r="D319" s="21"/>
      <c r="E319" s="23"/>
      <c r="F319" s="23"/>
      <c r="G319" s="23"/>
      <c r="H319" s="23"/>
      <c r="I319" s="24"/>
      <c r="J319" s="24"/>
      <c r="K319" s="23"/>
      <c r="L319" s="23"/>
      <c r="M319" s="24"/>
      <c r="N319" s="24"/>
      <c r="O319" s="27"/>
      <c r="P319" s="27"/>
      <c r="Q319" s="27"/>
      <c r="R319" s="23"/>
      <c r="S319" s="25"/>
      <c r="T319" s="25"/>
      <c r="U319" s="25"/>
      <c r="V319" s="25"/>
      <c r="W319" s="25"/>
      <c r="X319" s="23"/>
      <c r="Y319" s="4" t="str">
        <f>IF(Tabela2[[#This Row],[SIGLA]]="","",VLOOKUP(Tabela2[[#This Row],[SIGLA]],Tabela14[[#All],[Sigla Arte]:[Crédito]],2,0))</f>
        <v/>
      </c>
      <c r="Z319" s="24"/>
      <c r="AA319" s="24" t="str">
        <f>Tabela2[[#This Row],[ILUSTRADOR CRIAÇÃO]]</f>
        <v/>
      </c>
      <c r="AB319" s="23"/>
      <c r="AC319" s="21"/>
      <c r="AD319" s="21"/>
      <c r="AE319" s="4" t="str">
        <f t="shared" si="4"/>
        <v>EF1 E001 Geo</v>
      </c>
    </row>
    <row r="320" spans="1:31" s="14" customFormat="1" x14ac:dyDescent="0.25">
      <c r="A320" s="24"/>
      <c r="B320" s="21"/>
      <c r="C320" s="21"/>
      <c r="D320" s="21"/>
      <c r="E320" s="23"/>
      <c r="F320" s="23"/>
      <c r="G320" s="23"/>
      <c r="H320" s="23"/>
      <c r="I320" s="24"/>
      <c r="J320" s="24"/>
      <c r="K320" s="23"/>
      <c r="L320" s="23"/>
      <c r="M320" s="24"/>
      <c r="N320" s="24"/>
      <c r="O320" s="27"/>
      <c r="P320" s="27"/>
      <c r="Q320" s="27"/>
      <c r="R320" s="23"/>
      <c r="S320" s="25"/>
      <c r="T320" s="25"/>
      <c r="U320" s="25"/>
      <c r="V320" s="25"/>
      <c r="W320" s="25"/>
      <c r="X320" s="23"/>
      <c r="Y320" s="4" t="str">
        <f>IF(Tabela2[[#This Row],[SIGLA]]="","",VLOOKUP(Tabela2[[#This Row],[SIGLA]],Tabela14[[#All],[Sigla Arte]:[Crédito]],2,0))</f>
        <v/>
      </c>
      <c r="Z320" s="24"/>
      <c r="AA320" s="24" t="str">
        <f>Tabela2[[#This Row],[ILUSTRADOR CRIAÇÃO]]</f>
        <v/>
      </c>
      <c r="AB320" s="23"/>
      <c r="AC320" s="21"/>
      <c r="AD320" s="21"/>
      <c r="AE320" s="4" t="str">
        <f t="shared" si="4"/>
        <v>EF1 E001 Geo</v>
      </c>
    </row>
    <row r="321" spans="1:31" s="14" customFormat="1" x14ac:dyDescent="0.25">
      <c r="A321" s="24"/>
      <c r="B321" s="21"/>
      <c r="C321" s="21"/>
      <c r="D321" s="21"/>
      <c r="E321" s="23"/>
      <c r="F321" s="23"/>
      <c r="G321" s="23"/>
      <c r="H321" s="23"/>
      <c r="I321" s="24"/>
      <c r="J321" s="24"/>
      <c r="K321" s="23"/>
      <c r="L321" s="23"/>
      <c r="M321" s="24"/>
      <c r="N321" s="24"/>
      <c r="O321" s="27"/>
      <c r="P321" s="27"/>
      <c r="Q321" s="27"/>
      <c r="R321" s="23"/>
      <c r="S321" s="25"/>
      <c r="T321" s="25"/>
      <c r="U321" s="25"/>
      <c r="V321" s="25"/>
      <c r="W321" s="25"/>
      <c r="X321" s="23"/>
      <c r="Y321" s="4" t="str">
        <f>IF(Tabela2[[#This Row],[SIGLA]]="","",VLOOKUP(Tabela2[[#This Row],[SIGLA]],Tabela14[[#All],[Sigla Arte]:[Crédito]],2,0))</f>
        <v/>
      </c>
      <c r="Z321" s="24"/>
      <c r="AA321" s="24" t="str">
        <f>Tabela2[[#This Row],[ILUSTRADOR CRIAÇÃO]]</f>
        <v/>
      </c>
      <c r="AB321" s="23"/>
      <c r="AC321" s="21"/>
      <c r="AD321" s="21"/>
      <c r="AE321" s="4" t="str">
        <f t="shared" si="4"/>
        <v>EF1 E001 Geo</v>
      </c>
    </row>
    <row r="322" spans="1:31" s="14" customFormat="1" x14ac:dyDescent="0.25">
      <c r="A322" s="24"/>
      <c r="B322" s="21"/>
      <c r="C322" s="21"/>
      <c r="D322" s="21"/>
      <c r="E322" s="23"/>
      <c r="F322" s="23"/>
      <c r="G322" s="23"/>
      <c r="H322" s="23"/>
      <c r="I322" s="24"/>
      <c r="J322" s="24"/>
      <c r="K322" s="23"/>
      <c r="L322" s="23"/>
      <c r="M322" s="24"/>
      <c r="N322" s="24"/>
      <c r="O322" s="27"/>
      <c r="P322" s="27"/>
      <c r="Q322" s="27"/>
      <c r="R322" s="23"/>
      <c r="S322" s="25"/>
      <c r="T322" s="25"/>
      <c r="U322" s="25"/>
      <c r="V322" s="25"/>
      <c r="W322" s="25"/>
      <c r="X322" s="23"/>
      <c r="Y322" s="4" t="str">
        <f>IF(Tabela2[[#This Row],[SIGLA]]="","",VLOOKUP(Tabela2[[#This Row],[SIGLA]],Tabela14[[#All],[Sigla Arte]:[Crédito]],2,0))</f>
        <v/>
      </c>
      <c r="Z322" s="24"/>
      <c r="AA322" s="24" t="str">
        <f>Tabela2[[#This Row],[ILUSTRADOR CRIAÇÃO]]</f>
        <v/>
      </c>
      <c r="AB322" s="23"/>
      <c r="AC322" s="21"/>
      <c r="AD322" s="21"/>
      <c r="AE322" s="4" t="str">
        <f t="shared" ref="AE322:AE385" si="5">"EF1 E001 Geo"</f>
        <v>EF1 E001 Geo</v>
      </c>
    </row>
    <row r="323" spans="1:31" s="14" customFormat="1" x14ac:dyDescent="0.25">
      <c r="A323" s="24"/>
      <c r="B323" s="21"/>
      <c r="C323" s="21"/>
      <c r="D323" s="21"/>
      <c r="E323" s="23"/>
      <c r="F323" s="23"/>
      <c r="G323" s="23"/>
      <c r="H323" s="23"/>
      <c r="I323" s="24"/>
      <c r="J323" s="24"/>
      <c r="K323" s="23"/>
      <c r="L323" s="23"/>
      <c r="M323" s="24"/>
      <c r="N323" s="24"/>
      <c r="O323" s="27"/>
      <c r="P323" s="27"/>
      <c r="Q323" s="27"/>
      <c r="R323" s="23"/>
      <c r="S323" s="25"/>
      <c r="T323" s="25"/>
      <c r="U323" s="25"/>
      <c r="V323" s="25"/>
      <c r="W323" s="25"/>
      <c r="X323" s="23"/>
      <c r="Y323" s="4" t="str">
        <f>IF(Tabela2[[#This Row],[SIGLA]]="","",VLOOKUP(Tabela2[[#This Row],[SIGLA]],Tabela14[[#All],[Sigla Arte]:[Crédito]],2,0))</f>
        <v/>
      </c>
      <c r="Z323" s="24"/>
      <c r="AA323" s="24" t="str">
        <f>Tabela2[[#This Row],[ILUSTRADOR CRIAÇÃO]]</f>
        <v/>
      </c>
      <c r="AB323" s="23"/>
      <c r="AC323" s="21"/>
      <c r="AD323" s="21"/>
      <c r="AE323" s="4" t="str">
        <f t="shared" si="5"/>
        <v>EF1 E001 Geo</v>
      </c>
    </row>
    <row r="324" spans="1:31" s="14" customFormat="1" x14ac:dyDescent="0.25">
      <c r="A324" s="24"/>
      <c r="B324" s="21"/>
      <c r="C324" s="21"/>
      <c r="D324" s="21"/>
      <c r="E324" s="23"/>
      <c r="F324" s="23"/>
      <c r="G324" s="23"/>
      <c r="H324" s="23"/>
      <c r="I324" s="24"/>
      <c r="J324" s="24"/>
      <c r="K324" s="23"/>
      <c r="L324" s="23"/>
      <c r="M324" s="24"/>
      <c r="N324" s="24"/>
      <c r="O324" s="27"/>
      <c r="P324" s="27"/>
      <c r="Q324" s="27"/>
      <c r="R324" s="23"/>
      <c r="S324" s="25"/>
      <c r="T324" s="25"/>
      <c r="U324" s="25"/>
      <c r="V324" s="25"/>
      <c r="W324" s="25"/>
      <c r="X324" s="23"/>
      <c r="Y324" s="4" t="str">
        <f>IF(Tabela2[[#This Row],[SIGLA]]="","",VLOOKUP(Tabela2[[#This Row],[SIGLA]],Tabela14[[#All],[Sigla Arte]:[Crédito]],2,0))</f>
        <v/>
      </c>
      <c r="Z324" s="24"/>
      <c r="AA324" s="24" t="str">
        <f>Tabela2[[#This Row],[ILUSTRADOR CRIAÇÃO]]</f>
        <v/>
      </c>
      <c r="AB324" s="23"/>
      <c r="AC324" s="21"/>
      <c r="AD324" s="21"/>
      <c r="AE324" s="4" t="str">
        <f t="shared" si="5"/>
        <v>EF1 E001 Geo</v>
      </c>
    </row>
    <row r="325" spans="1:31" s="14" customFormat="1" x14ac:dyDescent="0.25">
      <c r="A325" s="24"/>
      <c r="B325" s="21"/>
      <c r="C325" s="21"/>
      <c r="D325" s="21"/>
      <c r="E325" s="23"/>
      <c r="F325" s="23"/>
      <c r="G325" s="23"/>
      <c r="H325" s="23"/>
      <c r="I325" s="24"/>
      <c r="J325" s="24"/>
      <c r="K325" s="23"/>
      <c r="L325" s="23"/>
      <c r="M325" s="24"/>
      <c r="N325" s="24"/>
      <c r="O325" s="27"/>
      <c r="P325" s="27"/>
      <c r="Q325" s="27"/>
      <c r="R325" s="23"/>
      <c r="S325" s="25"/>
      <c r="T325" s="25"/>
      <c r="U325" s="25"/>
      <c r="V325" s="25"/>
      <c r="W325" s="25"/>
      <c r="X325" s="23"/>
      <c r="Y325" s="4" t="str">
        <f>IF(Tabela2[[#This Row],[SIGLA]]="","",VLOOKUP(Tabela2[[#This Row],[SIGLA]],Tabela14[[#All],[Sigla Arte]:[Crédito]],2,0))</f>
        <v/>
      </c>
      <c r="Z325" s="24"/>
      <c r="AA325" s="24" t="str">
        <f>Tabela2[[#This Row],[ILUSTRADOR CRIAÇÃO]]</f>
        <v/>
      </c>
      <c r="AB325" s="23"/>
      <c r="AC325" s="21"/>
      <c r="AD325" s="21"/>
      <c r="AE325" s="4" t="str">
        <f t="shared" si="5"/>
        <v>EF1 E001 Geo</v>
      </c>
    </row>
    <row r="326" spans="1:31" s="14" customFormat="1" x14ac:dyDescent="0.25">
      <c r="A326" s="24"/>
      <c r="B326" s="21"/>
      <c r="C326" s="21"/>
      <c r="D326" s="21"/>
      <c r="E326" s="23"/>
      <c r="F326" s="23"/>
      <c r="G326" s="23"/>
      <c r="H326" s="23"/>
      <c r="I326" s="24"/>
      <c r="J326" s="24"/>
      <c r="K326" s="23"/>
      <c r="L326" s="23"/>
      <c r="M326" s="24"/>
      <c r="N326" s="24"/>
      <c r="O326" s="27"/>
      <c r="P326" s="27"/>
      <c r="Q326" s="27"/>
      <c r="R326" s="23"/>
      <c r="S326" s="25"/>
      <c r="T326" s="25"/>
      <c r="U326" s="25"/>
      <c r="V326" s="25"/>
      <c r="W326" s="25"/>
      <c r="X326" s="23"/>
      <c r="Y326" s="4" t="str">
        <f>IF(Tabela2[[#This Row],[SIGLA]]="","",VLOOKUP(Tabela2[[#This Row],[SIGLA]],Tabela14[[#All],[Sigla Arte]:[Crédito]],2,0))</f>
        <v/>
      </c>
      <c r="Z326" s="24"/>
      <c r="AA326" s="24" t="str">
        <f>Tabela2[[#This Row],[ILUSTRADOR CRIAÇÃO]]</f>
        <v/>
      </c>
      <c r="AB326" s="23"/>
      <c r="AC326" s="21"/>
      <c r="AD326" s="21"/>
      <c r="AE326" s="4" t="str">
        <f t="shared" si="5"/>
        <v>EF1 E001 Geo</v>
      </c>
    </row>
    <row r="327" spans="1:31" s="14" customFormat="1" x14ac:dyDescent="0.25">
      <c r="A327" s="24"/>
      <c r="B327" s="21"/>
      <c r="C327" s="21"/>
      <c r="D327" s="21"/>
      <c r="E327" s="23"/>
      <c r="F327" s="23"/>
      <c r="G327" s="23"/>
      <c r="H327" s="23"/>
      <c r="I327" s="24"/>
      <c r="J327" s="24"/>
      <c r="K327" s="23"/>
      <c r="L327" s="23"/>
      <c r="M327" s="24"/>
      <c r="N327" s="24"/>
      <c r="O327" s="27"/>
      <c r="P327" s="27"/>
      <c r="Q327" s="27"/>
      <c r="R327" s="23"/>
      <c r="S327" s="25"/>
      <c r="T327" s="25"/>
      <c r="U327" s="25"/>
      <c r="V327" s="25"/>
      <c r="W327" s="25"/>
      <c r="X327" s="23"/>
      <c r="Y327" s="4" t="str">
        <f>IF(Tabela2[[#This Row],[SIGLA]]="","",VLOOKUP(Tabela2[[#This Row],[SIGLA]],Tabela14[[#All],[Sigla Arte]:[Crédito]],2,0))</f>
        <v/>
      </c>
      <c r="Z327" s="24"/>
      <c r="AA327" s="24" t="str">
        <f>Tabela2[[#This Row],[ILUSTRADOR CRIAÇÃO]]</f>
        <v/>
      </c>
      <c r="AB327" s="23"/>
      <c r="AC327" s="21"/>
      <c r="AD327" s="21"/>
      <c r="AE327" s="4" t="str">
        <f t="shared" si="5"/>
        <v>EF1 E001 Geo</v>
      </c>
    </row>
    <row r="328" spans="1:31" s="14" customFormat="1" x14ac:dyDescent="0.25">
      <c r="A328" s="24"/>
      <c r="B328" s="21"/>
      <c r="C328" s="21"/>
      <c r="D328" s="21"/>
      <c r="E328" s="23"/>
      <c r="F328" s="23"/>
      <c r="G328" s="23"/>
      <c r="H328" s="23"/>
      <c r="I328" s="24"/>
      <c r="J328" s="24"/>
      <c r="K328" s="23"/>
      <c r="L328" s="23"/>
      <c r="M328" s="24"/>
      <c r="N328" s="24"/>
      <c r="O328" s="27"/>
      <c r="P328" s="27"/>
      <c r="Q328" s="27"/>
      <c r="R328" s="23"/>
      <c r="S328" s="25"/>
      <c r="T328" s="25"/>
      <c r="U328" s="25"/>
      <c r="V328" s="25"/>
      <c r="W328" s="25"/>
      <c r="X328" s="23"/>
      <c r="Y328" s="4" t="str">
        <f>IF(Tabela2[[#This Row],[SIGLA]]="","",VLOOKUP(Tabela2[[#This Row],[SIGLA]],Tabela14[[#All],[Sigla Arte]:[Crédito]],2,0))</f>
        <v/>
      </c>
      <c r="Z328" s="24"/>
      <c r="AA328" s="24" t="str">
        <f>Tabela2[[#This Row],[ILUSTRADOR CRIAÇÃO]]</f>
        <v/>
      </c>
      <c r="AB328" s="23"/>
      <c r="AC328" s="21"/>
      <c r="AD328" s="21"/>
      <c r="AE328" s="4" t="str">
        <f t="shared" si="5"/>
        <v>EF1 E001 Geo</v>
      </c>
    </row>
    <row r="329" spans="1:31" s="14" customFormat="1" x14ac:dyDescent="0.25">
      <c r="A329" s="24"/>
      <c r="B329" s="21"/>
      <c r="C329" s="21"/>
      <c r="D329" s="21"/>
      <c r="E329" s="23"/>
      <c r="F329" s="23"/>
      <c r="G329" s="23"/>
      <c r="H329" s="23"/>
      <c r="I329" s="24"/>
      <c r="J329" s="24"/>
      <c r="K329" s="23"/>
      <c r="L329" s="23"/>
      <c r="M329" s="24"/>
      <c r="N329" s="24"/>
      <c r="O329" s="27"/>
      <c r="P329" s="27"/>
      <c r="Q329" s="27"/>
      <c r="R329" s="23"/>
      <c r="S329" s="25"/>
      <c r="T329" s="25"/>
      <c r="U329" s="25"/>
      <c r="V329" s="25"/>
      <c r="W329" s="25"/>
      <c r="X329" s="23"/>
      <c r="Y329" s="4" t="str">
        <f>IF(Tabela2[[#This Row],[SIGLA]]="","",VLOOKUP(Tabela2[[#This Row],[SIGLA]],Tabela14[[#All],[Sigla Arte]:[Crédito]],2,0))</f>
        <v/>
      </c>
      <c r="Z329" s="24"/>
      <c r="AA329" s="24" t="str">
        <f>Tabela2[[#This Row],[ILUSTRADOR CRIAÇÃO]]</f>
        <v/>
      </c>
      <c r="AB329" s="23"/>
      <c r="AC329" s="21"/>
      <c r="AD329" s="21"/>
      <c r="AE329" s="4" t="str">
        <f t="shared" si="5"/>
        <v>EF1 E001 Geo</v>
      </c>
    </row>
    <row r="330" spans="1:31" s="14" customFormat="1" x14ac:dyDescent="0.25">
      <c r="A330" s="24"/>
      <c r="B330" s="21"/>
      <c r="C330" s="21"/>
      <c r="D330" s="21"/>
      <c r="E330" s="23"/>
      <c r="F330" s="23"/>
      <c r="G330" s="23"/>
      <c r="H330" s="23"/>
      <c r="I330" s="24"/>
      <c r="J330" s="24"/>
      <c r="K330" s="23"/>
      <c r="L330" s="23"/>
      <c r="M330" s="24"/>
      <c r="N330" s="24"/>
      <c r="O330" s="27"/>
      <c r="P330" s="27"/>
      <c r="Q330" s="27"/>
      <c r="R330" s="23"/>
      <c r="S330" s="25"/>
      <c r="T330" s="25"/>
      <c r="U330" s="25"/>
      <c r="V330" s="25"/>
      <c r="W330" s="25"/>
      <c r="X330" s="23"/>
      <c r="Y330" s="4" t="str">
        <f>IF(Tabela2[[#This Row],[SIGLA]]="","",VLOOKUP(Tabela2[[#This Row],[SIGLA]],Tabela14[[#All],[Sigla Arte]:[Crédito]],2,0))</f>
        <v/>
      </c>
      <c r="Z330" s="24"/>
      <c r="AA330" s="24" t="str">
        <f>Tabela2[[#This Row],[ILUSTRADOR CRIAÇÃO]]</f>
        <v/>
      </c>
      <c r="AB330" s="23"/>
      <c r="AC330" s="21"/>
      <c r="AD330" s="21"/>
      <c r="AE330" s="4" t="str">
        <f t="shared" si="5"/>
        <v>EF1 E001 Geo</v>
      </c>
    </row>
    <row r="331" spans="1:31" s="14" customFormat="1" x14ac:dyDescent="0.25">
      <c r="A331" s="24"/>
      <c r="B331" s="21"/>
      <c r="C331" s="21"/>
      <c r="D331" s="21"/>
      <c r="E331" s="23"/>
      <c r="F331" s="23"/>
      <c r="G331" s="23"/>
      <c r="H331" s="23"/>
      <c r="I331" s="24"/>
      <c r="J331" s="24"/>
      <c r="K331" s="23"/>
      <c r="L331" s="23"/>
      <c r="M331" s="24"/>
      <c r="N331" s="24"/>
      <c r="O331" s="27"/>
      <c r="P331" s="27"/>
      <c r="Q331" s="27"/>
      <c r="R331" s="23"/>
      <c r="S331" s="25"/>
      <c r="T331" s="25"/>
      <c r="U331" s="25"/>
      <c r="V331" s="25"/>
      <c r="W331" s="25"/>
      <c r="X331" s="23"/>
      <c r="Y331" s="4" t="str">
        <f>IF(Tabela2[[#This Row],[SIGLA]]="","",VLOOKUP(Tabela2[[#This Row],[SIGLA]],Tabela14[[#All],[Sigla Arte]:[Crédito]],2,0))</f>
        <v/>
      </c>
      <c r="Z331" s="24"/>
      <c r="AA331" s="24" t="str">
        <f>Tabela2[[#This Row],[ILUSTRADOR CRIAÇÃO]]</f>
        <v/>
      </c>
      <c r="AB331" s="23"/>
      <c r="AC331" s="21"/>
      <c r="AD331" s="21"/>
      <c r="AE331" s="4" t="str">
        <f t="shared" si="5"/>
        <v>EF1 E001 Geo</v>
      </c>
    </row>
    <row r="332" spans="1:31" s="14" customFormat="1" x14ac:dyDescent="0.25">
      <c r="A332" s="24"/>
      <c r="B332" s="21"/>
      <c r="C332" s="21"/>
      <c r="D332" s="21"/>
      <c r="E332" s="23"/>
      <c r="F332" s="23"/>
      <c r="G332" s="23"/>
      <c r="H332" s="23"/>
      <c r="I332" s="24"/>
      <c r="J332" s="24"/>
      <c r="K332" s="23"/>
      <c r="L332" s="23"/>
      <c r="M332" s="24"/>
      <c r="N332" s="24"/>
      <c r="O332" s="27"/>
      <c r="P332" s="27"/>
      <c r="Q332" s="27"/>
      <c r="R332" s="23"/>
      <c r="S332" s="25"/>
      <c r="T332" s="25"/>
      <c r="U332" s="25"/>
      <c r="V332" s="25"/>
      <c r="W332" s="25"/>
      <c r="X332" s="23"/>
      <c r="Y332" s="4" t="str">
        <f>IF(Tabela2[[#This Row],[SIGLA]]="","",VLOOKUP(Tabela2[[#This Row],[SIGLA]],Tabela14[[#All],[Sigla Arte]:[Crédito]],2,0))</f>
        <v/>
      </c>
      <c r="Z332" s="24"/>
      <c r="AA332" s="24" t="str">
        <f>Tabela2[[#This Row],[ILUSTRADOR CRIAÇÃO]]</f>
        <v/>
      </c>
      <c r="AB332" s="23"/>
      <c r="AC332" s="21"/>
      <c r="AD332" s="21"/>
      <c r="AE332" s="4" t="str">
        <f t="shared" si="5"/>
        <v>EF1 E001 Geo</v>
      </c>
    </row>
    <row r="333" spans="1:31" s="14" customFormat="1" x14ac:dyDescent="0.25">
      <c r="A333" s="24"/>
      <c r="B333" s="21"/>
      <c r="C333" s="21"/>
      <c r="D333" s="21"/>
      <c r="E333" s="23"/>
      <c r="F333" s="23"/>
      <c r="G333" s="23"/>
      <c r="H333" s="23"/>
      <c r="I333" s="24"/>
      <c r="J333" s="24"/>
      <c r="K333" s="23"/>
      <c r="L333" s="23"/>
      <c r="M333" s="24"/>
      <c r="N333" s="24"/>
      <c r="O333" s="27"/>
      <c r="P333" s="27"/>
      <c r="Q333" s="27"/>
      <c r="R333" s="23"/>
      <c r="S333" s="25"/>
      <c r="T333" s="25"/>
      <c r="U333" s="25"/>
      <c r="V333" s="25"/>
      <c r="W333" s="25"/>
      <c r="X333" s="23"/>
      <c r="Y333" s="4" t="str">
        <f>IF(Tabela2[[#This Row],[SIGLA]]="","",VLOOKUP(Tabela2[[#This Row],[SIGLA]],Tabela14[[#All],[Sigla Arte]:[Crédito]],2,0))</f>
        <v/>
      </c>
      <c r="Z333" s="24"/>
      <c r="AA333" s="24" t="str">
        <f>Tabela2[[#This Row],[ILUSTRADOR CRIAÇÃO]]</f>
        <v/>
      </c>
      <c r="AB333" s="23"/>
      <c r="AC333" s="21"/>
      <c r="AD333" s="21"/>
      <c r="AE333" s="4" t="str">
        <f t="shared" si="5"/>
        <v>EF1 E001 Geo</v>
      </c>
    </row>
    <row r="334" spans="1:31" s="14" customFormat="1" x14ac:dyDescent="0.25">
      <c r="A334" s="24"/>
      <c r="B334" s="21"/>
      <c r="C334" s="21"/>
      <c r="D334" s="21"/>
      <c r="E334" s="23"/>
      <c r="F334" s="23"/>
      <c r="G334" s="23"/>
      <c r="H334" s="23"/>
      <c r="I334" s="24"/>
      <c r="J334" s="24"/>
      <c r="K334" s="23"/>
      <c r="L334" s="23"/>
      <c r="M334" s="24"/>
      <c r="N334" s="24"/>
      <c r="O334" s="27"/>
      <c r="P334" s="27"/>
      <c r="Q334" s="27"/>
      <c r="R334" s="23"/>
      <c r="S334" s="25"/>
      <c r="T334" s="25"/>
      <c r="U334" s="25"/>
      <c r="V334" s="25"/>
      <c r="W334" s="25"/>
      <c r="X334" s="23"/>
      <c r="Y334" s="4" t="str">
        <f>IF(Tabela2[[#This Row],[SIGLA]]="","",VLOOKUP(Tabela2[[#This Row],[SIGLA]],Tabela14[[#All],[Sigla Arte]:[Crédito]],2,0))</f>
        <v/>
      </c>
      <c r="Z334" s="24"/>
      <c r="AA334" s="24" t="str">
        <f>Tabela2[[#This Row],[ILUSTRADOR CRIAÇÃO]]</f>
        <v/>
      </c>
      <c r="AB334" s="23"/>
      <c r="AC334" s="21"/>
      <c r="AD334" s="21"/>
      <c r="AE334" s="4" t="str">
        <f t="shared" si="5"/>
        <v>EF1 E001 Geo</v>
      </c>
    </row>
    <row r="335" spans="1:31" s="14" customFormat="1" x14ac:dyDescent="0.25">
      <c r="A335" s="24"/>
      <c r="B335" s="21"/>
      <c r="C335" s="21"/>
      <c r="D335" s="21"/>
      <c r="E335" s="23"/>
      <c r="F335" s="23"/>
      <c r="G335" s="23"/>
      <c r="H335" s="23"/>
      <c r="I335" s="24"/>
      <c r="J335" s="24"/>
      <c r="K335" s="23"/>
      <c r="L335" s="23"/>
      <c r="M335" s="24"/>
      <c r="N335" s="24"/>
      <c r="O335" s="27"/>
      <c r="P335" s="27"/>
      <c r="Q335" s="27"/>
      <c r="R335" s="23"/>
      <c r="S335" s="25"/>
      <c r="T335" s="25"/>
      <c r="U335" s="25"/>
      <c r="V335" s="25"/>
      <c r="W335" s="25"/>
      <c r="X335" s="23"/>
      <c r="Y335" s="4" t="str">
        <f>IF(Tabela2[[#This Row],[SIGLA]]="","",VLOOKUP(Tabela2[[#This Row],[SIGLA]],Tabela14[[#All],[Sigla Arte]:[Crédito]],2,0))</f>
        <v/>
      </c>
      <c r="Z335" s="24"/>
      <c r="AA335" s="24" t="str">
        <f>Tabela2[[#This Row],[ILUSTRADOR CRIAÇÃO]]</f>
        <v/>
      </c>
      <c r="AB335" s="23"/>
      <c r="AC335" s="21"/>
      <c r="AD335" s="21"/>
      <c r="AE335" s="4" t="str">
        <f t="shared" si="5"/>
        <v>EF1 E001 Geo</v>
      </c>
    </row>
    <row r="336" spans="1:31" s="14" customFormat="1" x14ac:dyDescent="0.25">
      <c r="A336" s="24"/>
      <c r="B336" s="21"/>
      <c r="C336" s="21"/>
      <c r="D336" s="21"/>
      <c r="E336" s="23"/>
      <c r="F336" s="23"/>
      <c r="G336" s="23"/>
      <c r="H336" s="23"/>
      <c r="I336" s="24"/>
      <c r="J336" s="24"/>
      <c r="K336" s="23"/>
      <c r="L336" s="23"/>
      <c r="M336" s="24"/>
      <c r="N336" s="24"/>
      <c r="O336" s="27"/>
      <c r="P336" s="27"/>
      <c r="Q336" s="27"/>
      <c r="R336" s="23"/>
      <c r="S336" s="25"/>
      <c r="T336" s="25"/>
      <c r="U336" s="25"/>
      <c r="V336" s="25"/>
      <c r="W336" s="25"/>
      <c r="X336" s="23"/>
      <c r="Y336" s="4" t="str">
        <f>IF(Tabela2[[#This Row],[SIGLA]]="","",VLOOKUP(Tabela2[[#This Row],[SIGLA]],Tabela14[[#All],[Sigla Arte]:[Crédito]],2,0))</f>
        <v/>
      </c>
      <c r="Z336" s="24"/>
      <c r="AA336" s="24" t="str">
        <f>Tabela2[[#This Row],[ILUSTRADOR CRIAÇÃO]]</f>
        <v/>
      </c>
      <c r="AB336" s="23"/>
      <c r="AC336" s="21"/>
      <c r="AD336" s="21"/>
      <c r="AE336" s="4" t="str">
        <f t="shared" si="5"/>
        <v>EF1 E001 Geo</v>
      </c>
    </row>
    <row r="337" spans="1:31" s="14" customFormat="1" x14ac:dyDescent="0.25">
      <c r="A337" s="24"/>
      <c r="B337" s="21"/>
      <c r="C337" s="21"/>
      <c r="D337" s="21"/>
      <c r="E337" s="23"/>
      <c r="F337" s="23"/>
      <c r="G337" s="23"/>
      <c r="H337" s="23"/>
      <c r="I337" s="24"/>
      <c r="J337" s="24"/>
      <c r="K337" s="23"/>
      <c r="L337" s="23"/>
      <c r="M337" s="24"/>
      <c r="N337" s="24"/>
      <c r="O337" s="27"/>
      <c r="P337" s="27"/>
      <c r="Q337" s="27"/>
      <c r="R337" s="23"/>
      <c r="S337" s="25"/>
      <c r="T337" s="25"/>
      <c r="U337" s="25"/>
      <c r="V337" s="25"/>
      <c r="W337" s="25"/>
      <c r="X337" s="23"/>
      <c r="Y337" s="4" t="str">
        <f>IF(Tabela2[[#This Row],[SIGLA]]="","",VLOOKUP(Tabela2[[#This Row],[SIGLA]],Tabela14[[#All],[Sigla Arte]:[Crédito]],2,0))</f>
        <v/>
      </c>
      <c r="Z337" s="24"/>
      <c r="AA337" s="24" t="str">
        <f>Tabela2[[#This Row],[ILUSTRADOR CRIAÇÃO]]</f>
        <v/>
      </c>
      <c r="AB337" s="23"/>
      <c r="AC337" s="21"/>
      <c r="AD337" s="21"/>
      <c r="AE337" s="4" t="str">
        <f t="shared" si="5"/>
        <v>EF1 E001 Geo</v>
      </c>
    </row>
    <row r="338" spans="1:31" s="14" customFormat="1" x14ac:dyDescent="0.25">
      <c r="A338" s="24"/>
      <c r="B338" s="21"/>
      <c r="C338" s="21"/>
      <c r="D338" s="21"/>
      <c r="E338" s="23"/>
      <c r="F338" s="23"/>
      <c r="G338" s="23"/>
      <c r="H338" s="23"/>
      <c r="I338" s="24"/>
      <c r="J338" s="24"/>
      <c r="K338" s="23"/>
      <c r="L338" s="23"/>
      <c r="M338" s="24"/>
      <c r="N338" s="24"/>
      <c r="O338" s="27"/>
      <c r="P338" s="27"/>
      <c r="Q338" s="27"/>
      <c r="R338" s="23"/>
      <c r="S338" s="25"/>
      <c r="T338" s="25"/>
      <c r="U338" s="25"/>
      <c r="V338" s="25"/>
      <c r="W338" s="25"/>
      <c r="X338" s="23"/>
      <c r="Y338" s="4" t="str">
        <f>IF(Tabela2[[#This Row],[SIGLA]]="","",VLOOKUP(Tabela2[[#This Row],[SIGLA]],Tabela14[[#All],[Sigla Arte]:[Crédito]],2,0))</f>
        <v/>
      </c>
      <c r="Z338" s="24"/>
      <c r="AA338" s="24" t="str">
        <f>Tabela2[[#This Row],[ILUSTRADOR CRIAÇÃO]]</f>
        <v/>
      </c>
      <c r="AB338" s="23"/>
      <c r="AC338" s="21"/>
      <c r="AD338" s="21"/>
      <c r="AE338" s="4" t="str">
        <f t="shared" si="5"/>
        <v>EF1 E001 Geo</v>
      </c>
    </row>
    <row r="339" spans="1:31" s="14" customFormat="1" x14ac:dyDescent="0.25">
      <c r="A339" s="24"/>
      <c r="B339" s="21"/>
      <c r="C339" s="21"/>
      <c r="D339" s="21"/>
      <c r="E339" s="23"/>
      <c r="F339" s="23"/>
      <c r="G339" s="23"/>
      <c r="H339" s="23"/>
      <c r="I339" s="24"/>
      <c r="J339" s="24"/>
      <c r="K339" s="23"/>
      <c r="L339" s="23"/>
      <c r="M339" s="24"/>
      <c r="N339" s="24"/>
      <c r="O339" s="27"/>
      <c r="P339" s="27"/>
      <c r="Q339" s="27"/>
      <c r="R339" s="23"/>
      <c r="S339" s="25"/>
      <c r="T339" s="25"/>
      <c r="U339" s="25"/>
      <c r="V339" s="25"/>
      <c r="W339" s="25"/>
      <c r="X339" s="23"/>
      <c r="Y339" s="4" t="str">
        <f>IF(Tabela2[[#This Row],[SIGLA]]="","",VLOOKUP(Tabela2[[#This Row],[SIGLA]],Tabela14[[#All],[Sigla Arte]:[Crédito]],2,0))</f>
        <v/>
      </c>
      <c r="Z339" s="24"/>
      <c r="AA339" s="24" t="str">
        <f>Tabela2[[#This Row],[ILUSTRADOR CRIAÇÃO]]</f>
        <v/>
      </c>
      <c r="AB339" s="23"/>
      <c r="AC339" s="21"/>
      <c r="AD339" s="21"/>
      <c r="AE339" s="4" t="str">
        <f t="shared" si="5"/>
        <v>EF1 E001 Geo</v>
      </c>
    </row>
    <row r="340" spans="1:31" s="14" customFormat="1" x14ac:dyDescent="0.25">
      <c r="A340" s="24"/>
      <c r="B340" s="21"/>
      <c r="C340" s="21"/>
      <c r="D340" s="21"/>
      <c r="E340" s="23"/>
      <c r="F340" s="23"/>
      <c r="G340" s="23"/>
      <c r="H340" s="23"/>
      <c r="I340" s="24"/>
      <c r="J340" s="24"/>
      <c r="K340" s="23"/>
      <c r="L340" s="23"/>
      <c r="M340" s="24"/>
      <c r="N340" s="24"/>
      <c r="O340" s="27"/>
      <c r="P340" s="27"/>
      <c r="Q340" s="27"/>
      <c r="R340" s="23"/>
      <c r="S340" s="25"/>
      <c r="T340" s="25"/>
      <c r="U340" s="25"/>
      <c r="V340" s="25"/>
      <c r="W340" s="25"/>
      <c r="X340" s="23"/>
      <c r="Y340" s="4" t="str">
        <f>IF(Tabela2[[#This Row],[SIGLA]]="","",VLOOKUP(Tabela2[[#This Row],[SIGLA]],Tabela14[[#All],[Sigla Arte]:[Crédito]],2,0))</f>
        <v/>
      </c>
      <c r="Z340" s="24"/>
      <c r="AA340" s="24" t="str">
        <f>Tabela2[[#This Row],[ILUSTRADOR CRIAÇÃO]]</f>
        <v/>
      </c>
      <c r="AB340" s="23"/>
      <c r="AC340" s="21"/>
      <c r="AD340" s="21"/>
      <c r="AE340" s="4" t="str">
        <f t="shared" si="5"/>
        <v>EF1 E001 Geo</v>
      </c>
    </row>
    <row r="341" spans="1:31" s="14" customFormat="1" x14ac:dyDescent="0.25">
      <c r="A341" s="24"/>
      <c r="B341" s="21"/>
      <c r="C341" s="21"/>
      <c r="D341" s="21"/>
      <c r="E341" s="23"/>
      <c r="F341" s="23"/>
      <c r="G341" s="23"/>
      <c r="H341" s="23"/>
      <c r="I341" s="24"/>
      <c r="J341" s="24"/>
      <c r="K341" s="23"/>
      <c r="L341" s="23"/>
      <c r="M341" s="24"/>
      <c r="N341" s="24"/>
      <c r="O341" s="27"/>
      <c r="P341" s="27"/>
      <c r="Q341" s="27"/>
      <c r="R341" s="23"/>
      <c r="S341" s="25"/>
      <c r="T341" s="25"/>
      <c r="U341" s="25"/>
      <c r="V341" s="25"/>
      <c r="W341" s="25"/>
      <c r="X341" s="23"/>
      <c r="Y341" s="4" t="str">
        <f>IF(Tabela2[[#This Row],[SIGLA]]="","",VLOOKUP(Tabela2[[#This Row],[SIGLA]],Tabela14[[#All],[Sigla Arte]:[Crédito]],2,0))</f>
        <v/>
      </c>
      <c r="Z341" s="24"/>
      <c r="AA341" s="24" t="str">
        <f>Tabela2[[#This Row],[ILUSTRADOR CRIAÇÃO]]</f>
        <v/>
      </c>
      <c r="AB341" s="23"/>
      <c r="AC341" s="21"/>
      <c r="AD341" s="21"/>
      <c r="AE341" s="4" t="str">
        <f t="shared" si="5"/>
        <v>EF1 E001 Geo</v>
      </c>
    </row>
    <row r="342" spans="1:31" s="14" customFormat="1" x14ac:dyDescent="0.25">
      <c r="A342" s="24"/>
      <c r="B342" s="21"/>
      <c r="C342" s="21"/>
      <c r="D342" s="21"/>
      <c r="E342" s="23"/>
      <c r="F342" s="23"/>
      <c r="G342" s="23"/>
      <c r="H342" s="23"/>
      <c r="I342" s="24"/>
      <c r="J342" s="24"/>
      <c r="K342" s="23"/>
      <c r="L342" s="23"/>
      <c r="M342" s="24"/>
      <c r="N342" s="24"/>
      <c r="O342" s="27"/>
      <c r="P342" s="27"/>
      <c r="Q342" s="27"/>
      <c r="R342" s="23"/>
      <c r="S342" s="25"/>
      <c r="T342" s="25"/>
      <c r="U342" s="25"/>
      <c r="V342" s="25"/>
      <c r="W342" s="25"/>
      <c r="X342" s="23"/>
      <c r="Y342" s="4" t="str">
        <f>IF(Tabela2[[#This Row],[SIGLA]]="","",VLOOKUP(Tabela2[[#This Row],[SIGLA]],Tabela14[[#All],[Sigla Arte]:[Crédito]],2,0))</f>
        <v/>
      </c>
      <c r="Z342" s="24"/>
      <c r="AA342" s="24" t="str">
        <f>Tabela2[[#This Row],[ILUSTRADOR CRIAÇÃO]]</f>
        <v/>
      </c>
      <c r="AB342" s="23"/>
      <c r="AC342" s="21"/>
      <c r="AD342" s="21"/>
      <c r="AE342" s="4" t="str">
        <f t="shared" si="5"/>
        <v>EF1 E001 Geo</v>
      </c>
    </row>
    <row r="343" spans="1:31" s="14" customFormat="1" x14ac:dyDescent="0.25">
      <c r="A343" s="24"/>
      <c r="B343" s="21"/>
      <c r="C343" s="21"/>
      <c r="D343" s="21"/>
      <c r="E343" s="23"/>
      <c r="F343" s="23"/>
      <c r="G343" s="23"/>
      <c r="H343" s="23"/>
      <c r="I343" s="24"/>
      <c r="J343" s="24"/>
      <c r="K343" s="23"/>
      <c r="L343" s="23"/>
      <c r="M343" s="24"/>
      <c r="N343" s="24"/>
      <c r="O343" s="27"/>
      <c r="P343" s="27"/>
      <c r="Q343" s="27"/>
      <c r="R343" s="23"/>
      <c r="S343" s="25"/>
      <c r="T343" s="25"/>
      <c r="U343" s="25"/>
      <c r="V343" s="25"/>
      <c r="W343" s="25"/>
      <c r="X343" s="23"/>
      <c r="Y343" s="4" t="str">
        <f>IF(Tabela2[[#This Row],[SIGLA]]="","",VLOOKUP(Tabela2[[#This Row],[SIGLA]],Tabela14[[#All],[Sigla Arte]:[Crédito]],2,0))</f>
        <v/>
      </c>
      <c r="Z343" s="24"/>
      <c r="AA343" s="24" t="str">
        <f>Tabela2[[#This Row],[ILUSTRADOR CRIAÇÃO]]</f>
        <v/>
      </c>
      <c r="AB343" s="23"/>
      <c r="AC343" s="21"/>
      <c r="AD343" s="21"/>
      <c r="AE343" s="4" t="str">
        <f t="shared" si="5"/>
        <v>EF1 E001 Geo</v>
      </c>
    </row>
    <row r="344" spans="1:31" s="14" customFormat="1" x14ac:dyDescent="0.25">
      <c r="A344" s="24"/>
      <c r="B344" s="21"/>
      <c r="C344" s="21"/>
      <c r="D344" s="21"/>
      <c r="E344" s="23"/>
      <c r="F344" s="23"/>
      <c r="G344" s="23"/>
      <c r="H344" s="23"/>
      <c r="I344" s="24"/>
      <c r="J344" s="24"/>
      <c r="K344" s="23"/>
      <c r="L344" s="23"/>
      <c r="M344" s="24"/>
      <c r="N344" s="24"/>
      <c r="O344" s="27"/>
      <c r="P344" s="27"/>
      <c r="Q344" s="27"/>
      <c r="R344" s="23"/>
      <c r="S344" s="25"/>
      <c r="T344" s="25"/>
      <c r="U344" s="25"/>
      <c r="V344" s="25"/>
      <c r="W344" s="25"/>
      <c r="X344" s="23"/>
      <c r="Y344" s="4" t="str">
        <f>IF(Tabela2[[#This Row],[SIGLA]]="","",VLOOKUP(Tabela2[[#This Row],[SIGLA]],Tabela14[[#All],[Sigla Arte]:[Crédito]],2,0))</f>
        <v/>
      </c>
      <c r="Z344" s="24"/>
      <c r="AA344" s="24" t="str">
        <f>Tabela2[[#This Row],[ILUSTRADOR CRIAÇÃO]]</f>
        <v/>
      </c>
      <c r="AB344" s="23"/>
      <c r="AC344" s="21"/>
      <c r="AD344" s="21"/>
      <c r="AE344" s="4" t="str">
        <f t="shared" si="5"/>
        <v>EF1 E001 Geo</v>
      </c>
    </row>
    <row r="345" spans="1:31" s="14" customFormat="1" x14ac:dyDescent="0.25">
      <c r="A345" s="24"/>
      <c r="B345" s="21"/>
      <c r="C345" s="21"/>
      <c r="D345" s="21"/>
      <c r="E345" s="23"/>
      <c r="F345" s="23"/>
      <c r="G345" s="23"/>
      <c r="H345" s="23"/>
      <c r="I345" s="24"/>
      <c r="J345" s="24"/>
      <c r="K345" s="23"/>
      <c r="L345" s="23"/>
      <c r="M345" s="24"/>
      <c r="N345" s="24"/>
      <c r="O345" s="27"/>
      <c r="P345" s="27"/>
      <c r="Q345" s="27"/>
      <c r="R345" s="23"/>
      <c r="S345" s="25"/>
      <c r="T345" s="25"/>
      <c r="U345" s="25"/>
      <c r="V345" s="25"/>
      <c r="W345" s="25"/>
      <c r="X345" s="23"/>
      <c r="Y345" s="4" t="str">
        <f>IF(Tabela2[[#This Row],[SIGLA]]="","",VLOOKUP(Tabela2[[#This Row],[SIGLA]],Tabela14[[#All],[Sigla Arte]:[Crédito]],2,0))</f>
        <v/>
      </c>
      <c r="Z345" s="24"/>
      <c r="AA345" s="24" t="str">
        <f>Tabela2[[#This Row],[ILUSTRADOR CRIAÇÃO]]</f>
        <v/>
      </c>
      <c r="AB345" s="23"/>
      <c r="AC345" s="21"/>
      <c r="AD345" s="21"/>
      <c r="AE345" s="4" t="str">
        <f t="shared" si="5"/>
        <v>EF1 E001 Geo</v>
      </c>
    </row>
    <row r="346" spans="1:31" s="14" customFormat="1" x14ac:dyDescent="0.25">
      <c r="A346" s="24"/>
      <c r="B346" s="21"/>
      <c r="C346" s="21"/>
      <c r="D346" s="21"/>
      <c r="E346" s="23"/>
      <c r="F346" s="23"/>
      <c r="G346" s="23"/>
      <c r="H346" s="23"/>
      <c r="I346" s="24"/>
      <c r="J346" s="24"/>
      <c r="K346" s="23"/>
      <c r="L346" s="23"/>
      <c r="M346" s="24"/>
      <c r="N346" s="24"/>
      <c r="O346" s="27"/>
      <c r="P346" s="27"/>
      <c r="Q346" s="27"/>
      <c r="R346" s="23"/>
      <c r="S346" s="25"/>
      <c r="T346" s="25"/>
      <c r="U346" s="25"/>
      <c r="V346" s="25"/>
      <c r="W346" s="25"/>
      <c r="X346" s="23"/>
      <c r="Y346" s="4" t="str">
        <f>IF(Tabela2[[#This Row],[SIGLA]]="","",VLOOKUP(Tabela2[[#This Row],[SIGLA]],Tabela14[[#All],[Sigla Arte]:[Crédito]],2,0))</f>
        <v/>
      </c>
      <c r="Z346" s="24"/>
      <c r="AA346" s="24" t="str">
        <f>Tabela2[[#This Row],[ILUSTRADOR CRIAÇÃO]]</f>
        <v/>
      </c>
      <c r="AB346" s="23"/>
      <c r="AC346" s="21"/>
      <c r="AD346" s="21"/>
      <c r="AE346" s="4" t="str">
        <f t="shared" si="5"/>
        <v>EF1 E001 Geo</v>
      </c>
    </row>
    <row r="347" spans="1:31" s="14" customFormat="1" x14ac:dyDescent="0.25">
      <c r="A347" s="24"/>
      <c r="B347" s="21"/>
      <c r="C347" s="21"/>
      <c r="D347" s="21"/>
      <c r="E347" s="23"/>
      <c r="F347" s="23"/>
      <c r="G347" s="23"/>
      <c r="H347" s="23"/>
      <c r="I347" s="24"/>
      <c r="J347" s="24"/>
      <c r="K347" s="23"/>
      <c r="L347" s="23"/>
      <c r="M347" s="24"/>
      <c r="N347" s="24"/>
      <c r="O347" s="27"/>
      <c r="P347" s="27"/>
      <c r="Q347" s="27"/>
      <c r="R347" s="23"/>
      <c r="S347" s="25"/>
      <c r="T347" s="25"/>
      <c r="U347" s="25"/>
      <c r="V347" s="25"/>
      <c r="W347" s="25"/>
      <c r="X347" s="23"/>
      <c r="Y347" s="4" t="str">
        <f>IF(Tabela2[[#This Row],[SIGLA]]="","",VLOOKUP(Tabela2[[#This Row],[SIGLA]],Tabela14[[#All],[Sigla Arte]:[Crédito]],2,0))</f>
        <v/>
      </c>
      <c r="Z347" s="24"/>
      <c r="AA347" s="24" t="str">
        <f>Tabela2[[#This Row],[ILUSTRADOR CRIAÇÃO]]</f>
        <v/>
      </c>
      <c r="AB347" s="23"/>
      <c r="AC347" s="21"/>
      <c r="AD347" s="21"/>
      <c r="AE347" s="4" t="str">
        <f t="shared" si="5"/>
        <v>EF1 E001 Geo</v>
      </c>
    </row>
    <row r="348" spans="1:31" s="14" customFormat="1" x14ac:dyDescent="0.25">
      <c r="A348" s="24"/>
      <c r="B348" s="21"/>
      <c r="C348" s="21"/>
      <c r="D348" s="21"/>
      <c r="E348" s="23"/>
      <c r="F348" s="23"/>
      <c r="G348" s="23"/>
      <c r="H348" s="23"/>
      <c r="I348" s="24"/>
      <c r="J348" s="24"/>
      <c r="K348" s="23"/>
      <c r="L348" s="23"/>
      <c r="M348" s="24"/>
      <c r="N348" s="24"/>
      <c r="O348" s="27"/>
      <c r="P348" s="27"/>
      <c r="Q348" s="27"/>
      <c r="R348" s="23"/>
      <c r="S348" s="25"/>
      <c r="T348" s="25"/>
      <c r="U348" s="25"/>
      <c r="V348" s="25"/>
      <c r="W348" s="25"/>
      <c r="X348" s="23"/>
      <c r="Y348" s="4" t="str">
        <f>IF(Tabela2[[#This Row],[SIGLA]]="","",VLOOKUP(Tabela2[[#This Row],[SIGLA]],Tabela14[[#All],[Sigla Arte]:[Crédito]],2,0))</f>
        <v/>
      </c>
      <c r="Z348" s="24"/>
      <c r="AA348" s="24" t="str">
        <f>Tabela2[[#This Row],[ILUSTRADOR CRIAÇÃO]]</f>
        <v/>
      </c>
      <c r="AB348" s="23"/>
      <c r="AC348" s="21"/>
      <c r="AD348" s="21"/>
      <c r="AE348" s="4" t="str">
        <f t="shared" si="5"/>
        <v>EF1 E001 Geo</v>
      </c>
    </row>
    <row r="349" spans="1:31" s="14" customFormat="1" x14ac:dyDescent="0.25">
      <c r="A349" s="24"/>
      <c r="B349" s="21"/>
      <c r="C349" s="21"/>
      <c r="D349" s="21"/>
      <c r="E349" s="23"/>
      <c r="F349" s="23"/>
      <c r="G349" s="23"/>
      <c r="H349" s="23"/>
      <c r="I349" s="24"/>
      <c r="J349" s="24"/>
      <c r="K349" s="23"/>
      <c r="L349" s="23"/>
      <c r="M349" s="24"/>
      <c r="N349" s="24"/>
      <c r="O349" s="27"/>
      <c r="P349" s="27"/>
      <c r="Q349" s="27"/>
      <c r="R349" s="23"/>
      <c r="S349" s="25"/>
      <c r="T349" s="25"/>
      <c r="U349" s="25"/>
      <c r="V349" s="25"/>
      <c r="W349" s="25"/>
      <c r="X349" s="23"/>
      <c r="Y349" s="4" t="str">
        <f>IF(Tabela2[[#This Row],[SIGLA]]="","",VLOOKUP(Tabela2[[#This Row],[SIGLA]],Tabela14[[#All],[Sigla Arte]:[Crédito]],2,0))</f>
        <v/>
      </c>
      <c r="Z349" s="24"/>
      <c r="AA349" s="24" t="str">
        <f>Tabela2[[#This Row],[ILUSTRADOR CRIAÇÃO]]</f>
        <v/>
      </c>
      <c r="AB349" s="23"/>
      <c r="AC349" s="21"/>
      <c r="AD349" s="21"/>
      <c r="AE349" s="4" t="str">
        <f t="shared" si="5"/>
        <v>EF1 E001 Geo</v>
      </c>
    </row>
    <row r="350" spans="1:31" s="14" customFormat="1" x14ac:dyDescent="0.25">
      <c r="A350" s="24"/>
      <c r="B350" s="21"/>
      <c r="C350" s="21"/>
      <c r="D350" s="21"/>
      <c r="E350" s="23"/>
      <c r="F350" s="23"/>
      <c r="G350" s="23"/>
      <c r="H350" s="23"/>
      <c r="I350" s="24"/>
      <c r="J350" s="24"/>
      <c r="K350" s="23"/>
      <c r="L350" s="23"/>
      <c r="M350" s="24"/>
      <c r="N350" s="24"/>
      <c r="O350" s="27"/>
      <c r="P350" s="27"/>
      <c r="Q350" s="27"/>
      <c r="R350" s="23"/>
      <c r="S350" s="25"/>
      <c r="T350" s="25"/>
      <c r="U350" s="25"/>
      <c r="V350" s="25"/>
      <c r="W350" s="25"/>
      <c r="X350" s="23"/>
      <c r="Y350" s="4" t="str">
        <f>IF(Tabela2[[#This Row],[SIGLA]]="","",VLOOKUP(Tabela2[[#This Row],[SIGLA]],Tabela14[[#All],[Sigla Arte]:[Crédito]],2,0))</f>
        <v/>
      </c>
      <c r="Z350" s="24"/>
      <c r="AA350" s="24" t="str">
        <f>Tabela2[[#This Row],[ILUSTRADOR CRIAÇÃO]]</f>
        <v/>
      </c>
      <c r="AB350" s="23"/>
      <c r="AC350" s="21"/>
      <c r="AD350" s="21"/>
      <c r="AE350" s="4" t="str">
        <f t="shared" si="5"/>
        <v>EF1 E001 Geo</v>
      </c>
    </row>
    <row r="351" spans="1:31" s="14" customFormat="1" x14ac:dyDescent="0.25">
      <c r="A351" s="24"/>
      <c r="B351" s="21"/>
      <c r="C351" s="21"/>
      <c r="D351" s="21"/>
      <c r="E351" s="23"/>
      <c r="F351" s="23"/>
      <c r="G351" s="23"/>
      <c r="H351" s="23"/>
      <c r="I351" s="24"/>
      <c r="J351" s="24"/>
      <c r="K351" s="23"/>
      <c r="L351" s="23"/>
      <c r="M351" s="24"/>
      <c r="N351" s="24"/>
      <c r="O351" s="27"/>
      <c r="P351" s="27"/>
      <c r="Q351" s="27"/>
      <c r="R351" s="23"/>
      <c r="S351" s="25"/>
      <c r="T351" s="25"/>
      <c r="U351" s="25"/>
      <c r="V351" s="25"/>
      <c r="W351" s="25"/>
      <c r="X351" s="23"/>
      <c r="Y351" s="4" t="str">
        <f>IF(Tabela2[[#This Row],[SIGLA]]="","",VLOOKUP(Tabela2[[#This Row],[SIGLA]],Tabela14[[#All],[Sigla Arte]:[Crédito]],2,0))</f>
        <v/>
      </c>
      <c r="Z351" s="24"/>
      <c r="AA351" s="24" t="str">
        <f>Tabela2[[#This Row],[ILUSTRADOR CRIAÇÃO]]</f>
        <v/>
      </c>
      <c r="AB351" s="23"/>
      <c r="AC351" s="21"/>
      <c r="AD351" s="21"/>
      <c r="AE351" s="4" t="str">
        <f t="shared" si="5"/>
        <v>EF1 E001 Geo</v>
      </c>
    </row>
    <row r="352" spans="1:31" s="14" customFormat="1" x14ac:dyDescent="0.25">
      <c r="A352" s="24"/>
      <c r="B352" s="21"/>
      <c r="C352" s="21"/>
      <c r="D352" s="21"/>
      <c r="E352" s="23"/>
      <c r="F352" s="23"/>
      <c r="G352" s="23"/>
      <c r="H352" s="23"/>
      <c r="I352" s="24"/>
      <c r="J352" s="24"/>
      <c r="K352" s="23"/>
      <c r="L352" s="23"/>
      <c r="M352" s="24"/>
      <c r="N352" s="24"/>
      <c r="O352" s="27"/>
      <c r="P352" s="27"/>
      <c r="Q352" s="27"/>
      <c r="R352" s="23"/>
      <c r="S352" s="25"/>
      <c r="T352" s="25"/>
      <c r="U352" s="25"/>
      <c r="V352" s="25"/>
      <c r="W352" s="25"/>
      <c r="X352" s="23"/>
      <c r="Y352" s="4" t="str">
        <f>IF(Tabela2[[#This Row],[SIGLA]]="","",VLOOKUP(Tabela2[[#This Row],[SIGLA]],Tabela14[[#All],[Sigla Arte]:[Crédito]],2,0))</f>
        <v/>
      </c>
      <c r="Z352" s="24"/>
      <c r="AA352" s="24" t="str">
        <f>Tabela2[[#This Row],[ILUSTRADOR CRIAÇÃO]]</f>
        <v/>
      </c>
      <c r="AB352" s="23"/>
      <c r="AC352" s="21"/>
      <c r="AD352" s="21"/>
      <c r="AE352" s="4" t="str">
        <f t="shared" si="5"/>
        <v>EF1 E001 Geo</v>
      </c>
    </row>
    <row r="353" spans="1:31" s="14" customFormat="1" x14ac:dyDescent="0.25">
      <c r="A353" s="24"/>
      <c r="B353" s="21"/>
      <c r="C353" s="21"/>
      <c r="D353" s="21"/>
      <c r="E353" s="23"/>
      <c r="F353" s="23"/>
      <c r="G353" s="23"/>
      <c r="H353" s="23"/>
      <c r="I353" s="24"/>
      <c r="J353" s="24"/>
      <c r="K353" s="23"/>
      <c r="L353" s="23"/>
      <c r="M353" s="24"/>
      <c r="N353" s="24"/>
      <c r="O353" s="27"/>
      <c r="P353" s="27"/>
      <c r="Q353" s="27"/>
      <c r="R353" s="23"/>
      <c r="S353" s="25"/>
      <c r="T353" s="25"/>
      <c r="U353" s="25"/>
      <c r="V353" s="25"/>
      <c r="W353" s="25"/>
      <c r="X353" s="23"/>
      <c r="Y353" s="4" t="str">
        <f>IF(Tabela2[[#This Row],[SIGLA]]="","",VLOOKUP(Tabela2[[#This Row],[SIGLA]],Tabela14[[#All],[Sigla Arte]:[Crédito]],2,0))</f>
        <v/>
      </c>
      <c r="Z353" s="24"/>
      <c r="AA353" s="24" t="str">
        <f>Tabela2[[#This Row],[ILUSTRADOR CRIAÇÃO]]</f>
        <v/>
      </c>
      <c r="AB353" s="23"/>
      <c r="AC353" s="21"/>
      <c r="AD353" s="21"/>
      <c r="AE353" s="4" t="str">
        <f t="shared" si="5"/>
        <v>EF1 E001 Geo</v>
      </c>
    </row>
    <row r="354" spans="1:31" s="14" customFormat="1" x14ac:dyDescent="0.25">
      <c r="A354" s="24"/>
      <c r="B354" s="21"/>
      <c r="C354" s="21"/>
      <c r="D354" s="21"/>
      <c r="E354" s="23"/>
      <c r="F354" s="23"/>
      <c r="G354" s="23"/>
      <c r="H354" s="23"/>
      <c r="I354" s="24"/>
      <c r="J354" s="24"/>
      <c r="K354" s="23"/>
      <c r="L354" s="23"/>
      <c r="M354" s="24"/>
      <c r="N354" s="24"/>
      <c r="O354" s="27"/>
      <c r="P354" s="27"/>
      <c r="Q354" s="27"/>
      <c r="R354" s="23"/>
      <c r="S354" s="25"/>
      <c r="T354" s="25"/>
      <c r="U354" s="25"/>
      <c r="V354" s="25"/>
      <c r="W354" s="25"/>
      <c r="X354" s="23"/>
      <c r="Y354" s="4" t="str">
        <f>IF(Tabela2[[#This Row],[SIGLA]]="","",VLOOKUP(Tabela2[[#This Row],[SIGLA]],Tabela14[[#All],[Sigla Arte]:[Crédito]],2,0))</f>
        <v/>
      </c>
      <c r="Z354" s="24"/>
      <c r="AA354" s="24" t="str">
        <f>Tabela2[[#This Row],[ILUSTRADOR CRIAÇÃO]]</f>
        <v/>
      </c>
      <c r="AB354" s="23"/>
      <c r="AC354" s="21"/>
      <c r="AD354" s="21"/>
      <c r="AE354" s="4" t="str">
        <f t="shared" si="5"/>
        <v>EF1 E001 Geo</v>
      </c>
    </row>
    <row r="355" spans="1:31" s="14" customFormat="1" x14ac:dyDescent="0.25">
      <c r="A355" s="24"/>
      <c r="B355" s="21"/>
      <c r="C355" s="21"/>
      <c r="D355" s="21"/>
      <c r="E355" s="23"/>
      <c r="F355" s="23"/>
      <c r="G355" s="23"/>
      <c r="H355" s="23"/>
      <c r="I355" s="24"/>
      <c r="J355" s="24"/>
      <c r="K355" s="23"/>
      <c r="L355" s="23"/>
      <c r="M355" s="24"/>
      <c r="N355" s="24"/>
      <c r="O355" s="27"/>
      <c r="P355" s="27"/>
      <c r="Q355" s="27"/>
      <c r="R355" s="23"/>
      <c r="S355" s="25"/>
      <c r="T355" s="25"/>
      <c r="U355" s="25"/>
      <c r="V355" s="25"/>
      <c r="W355" s="25"/>
      <c r="X355" s="23"/>
      <c r="Y355" s="4" t="str">
        <f>IF(Tabela2[[#This Row],[SIGLA]]="","",VLOOKUP(Tabela2[[#This Row],[SIGLA]],Tabela14[[#All],[Sigla Arte]:[Crédito]],2,0))</f>
        <v/>
      </c>
      <c r="Z355" s="24"/>
      <c r="AA355" s="24" t="str">
        <f>Tabela2[[#This Row],[ILUSTRADOR CRIAÇÃO]]</f>
        <v/>
      </c>
      <c r="AB355" s="23"/>
      <c r="AC355" s="21"/>
      <c r="AD355" s="21"/>
      <c r="AE355" s="4" t="str">
        <f t="shared" si="5"/>
        <v>EF1 E001 Geo</v>
      </c>
    </row>
    <row r="356" spans="1:31" s="14" customFormat="1" x14ac:dyDescent="0.25">
      <c r="A356" s="24"/>
      <c r="B356" s="21"/>
      <c r="C356" s="21"/>
      <c r="D356" s="21"/>
      <c r="E356" s="23"/>
      <c r="F356" s="23"/>
      <c r="G356" s="23"/>
      <c r="H356" s="23"/>
      <c r="I356" s="24"/>
      <c r="J356" s="24"/>
      <c r="K356" s="23"/>
      <c r="L356" s="23"/>
      <c r="M356" s="24"/>
      <c r="N356" s="24"/>
      <c r="O356" s="27"/>
      <c r="P356" s="27"/>
      <c r="Q356" s="27"/>
      <c r="R356" s="23"/>
      <c r="S356" s="25"/>
      <c r="T356" s="25"/>
      <c r="U356" s="25"/>
      <c r="V356" s="25"/>
      <c r="W356" s="25"/>
      <c r="X356" s="23"/>
      <c r="Y356" s="4" t="str">
        <f>IF(Tabela2[[#This Row],[SIGLA]]="","",VLOOKUP(Tabela2[[#This Row],[SIGLA]],Tabela14[[#All],[Sigla Arte]:[Crédito]],2,0))</f>
        <v/>
      </c>
      <c r="Z356" s="24"/>
      <c r="AA356" s="24" t="str">
        <f>Tabela2[[#This Row],[ILUSTRADOR CRIAÇÃO]]</f>
        <v/>
      </c>
      <c r="AB356" s="23"/>
      <c r="AC356" s="21"/>
      <c r="AD356" s="21"/>
      <c r="AE356" s="4" t="str">
        <f t="shared" si="5"/>
        <v>EF1 E001 Geo</v>
      </c>
    </row>
    <row r="357" spans="1:31" s="14" customFormat="1" x14ac:dyDescent="0.25">
      <c r="A357" s="24"/>
      <c r="B357" s="21"/>
      <c r="C357" s="21"/>
      <c r="D357" s="21"/>
      <c r="E357" s="23"/>
      <c r="F357" s="23"/>
      <c r="G357" s="23"/>
      <c r="H357" s="23"/>
      <c r="I357" s="24"/>
      <c r="J357" s="24"/>
      <c r="K357" s="23"/>
      <c r="L357" s="23"/>
      <c r="M357" s="24"/>
      <c r="N357" s="24"/>
      <c r="O357" s="27"/>
      <c r="P357" s="27"/>
      <c r="Q357" s="27"/>
      <c r="R357" s="23"/>
      <c r="S357" s="25"/>
      <c r="T357" s="25"/>
      <c r="U357" s="25"/>
      <c r="V357" s="25"/>
      <c r="W357" s="25"/>
      <c r="X357" s="23"/>
      <c r="Y357" s="4" t="str">
        <f>IF(Tabela2[[#This Row],[SIGLA]]="","",VLOOKUP(Tabela2[[#This Row],[SIGLA]],Tabela14[[#All],[Sigla Arte]:[Crédito]],2,0))</f>
        <v/>
      </c>
      <c r="Z357" s="24"/>
      <c r="AA357" s="24" t="str">
        <f>Tabela2[[#This Row],[ILUSTRADOR CRIAÇÃO]]</f>
        <v/>
      </c>
      <c r="AB357" s="23"/>
      <c r="AC357" s="21"/>
      <c r="AD357" s="21"/>
      <c r="AE357" s="4" t="str">
        <f t="shared" si="5"/>
        <v>EF1 E001 Geo</v>
      </c>
    </row>
    <row r="358" spans="1:31" s="14" customFormat="1" x14ac:dyDescent="0.25">
      <c r="A358" s="24"/>
      <c r="B358" s="21"/>
      <c r="C358" s="21"/>
      <c r="D358" s="21"/>
      <c r="E358" s="23"/>
      <c r="F358" s="23"/>
      <c r="G358" s="23"/>
      <c r="H358" s="23"/>
      <c r="I358" s="24"/>
      <c r="J358" s="24"/>
      <c r="K358" s="23"/>
      <c r="L358" s="23"/>
      <c r="M358" s="24"/>
      <c r="N358" s="24"/>
      <c r="O358" s="27"/>
      <c r="P358" s="27"/>
      <c r="Q358" s="27"/>
      <c r="R358" s="23"/>
      <c r="S358" s="25"/>
      <c r="T358" s="25"/>
      <c r="U358" s="25"/>
      <c r="V358" s="25"/>
      <c r="W358" s="25"/>
      <c r="X358" s="23"/>
      <c r="Y358" s="4" t="str">
        <f>IF(Tabela2[[#This Row],[SIGLA]]="","",VLOOKUP(Tabela2[[#This Row],[SIGLA]],Tabela14[[#All],[Sigla Arte]:[Crédito]],2,0))</f>
        <v/>
      </c>
      <c r="Z358" s="24"/>
      <c r="AA358" s="24" t="str">
        <f>Tabela2[[#This Row],[ILUSTRADOR CRIAÇÃO]]</f>
        <v/>
      </c>
      <c r="AB358" s="23"/>
      <c r="AC358" s="21"/>
      <c r="AD358" s="21"/>
      <c r="AE358" s="4" t="str">
        <f t="shared" si="5"/>
        <v>EF1 E001 Geo</v>
      </c>
    </row>
    <row r="359" spans="1:31" s="14" customFormat="1" x14ac:dyDescent="0.25">
      <c r="A359" s="24"/>
      <c r="B359" s="21"/>
      <c r="C359" s="21"/>
      <c r="D359" s="21"/>
      <c r="E359" s="23"/>
      <c r="F359" s="23"/>
      <c r="G359" s="23"/>
      <c r="H359" s="23"/>
      <c r="I359" s="24"/>
      <c r="J359" s="24"/>
      <c r="K359" s="23"/>
      <c r="L359" s="23"/>
      <c r="M359" s="24"/>
      <c r="N359" s="24"/>
      <c r="O359" s="27"/>
      <c r="P359" s="27"/>
      <c r="Q359" s="27"/>
      <c r="R359" s="23"/>
      <c r="S359" s="25"/>
      <c r="T359" s="25"/>
      <c r="U359" s="25"/>
      <c r="V359" s="25"/>
      <c r="W359" s="25"/>
      <c r="X359" s="23"/>
      <c r="Y359" s="4" t="str">
        <f>IF(Tabela2[[#This Row],[SIGLA]]="","",VLOOKUP(Tabela2[[#This Row],[SIGLA]],Tabela14[[#All],[Sigla Arte]:[Crédito]],2,0))</f>
        <v/>
      </c>
      <c r="Z359" s="24"/>
      <c r="AA359" s="24" t="str">
        <f>Tabela2[[#This Row],[ILUSTRADOR CRIAÇÃO]]</f>
        <v/>
      </c>
      <c r="AB359" s="23"/>
      <c r="AC359" s="21"/>
      <c r="AD359" s="21"/>
      <c r="AE359" s="4" t="str">
        <f t="shared" si="5"/>
        <v>EF1 E001 Geo</v>
      </c>
    </row>
    <row r="360" spans="1:31" s="14" customFormat="1" x14ac:dyDescent="0.25">
      <c r="A360" s="24"/>
      <c r="B360" s="21"/>
      <c r="C360" s="21"/>
      <c r="D360" s="21"/>
      <c r="E360" s="23"/>
      <c r="F360" s="23"/>
      <c r="G360" s="23"/>
      <c r="H360" s="23"/>
      <c r="I360" s="24"/>
      <c r="J360" s="24"/>
      <c r="K360" s="23"/>
      <c r="L360" s="23"/>
      <c r="M360" s="24"/>
      <c r="N360" s="24"/>
      <c r="O360" s="27"/>
      <c r="P360" s="27"/>
      <c r="Q360" s="27"/>
      <c r="R360" s="23"/>
      <c r="S360" s="25"/>
      <c r="T360" s="25"/>
      <c r="U360" s="25"/>
      <c r="V360" s="25"/>
      <c r="W360" s="25"/>
      <c r="X360" s="23"/>
      <c r="Y360" s="4" t="str">
        <f>IF(Tabela2[[#This Row],[SIGLA]]="","",VLOOKUP(Tabela2[[#This Row],[SIGLA]],Tabela14[[#All],[Sigla Arte]:[Crédito]],2,0))</f>
        <v/>
      </c>
      <c r="Z360" s="24"/>
      <c r="AA360" s="24" t="str">
        <f>Tabela2[[#This Row],[ILUSTRADOR CRIAÇÃO]]</f>
        <v/>
      </c>
      <c r="AB360" s="23"/>
      <c r="AC360" s="21"/>
      <c r="AD360" s="21"/>
      <c r="AE360" s="4" t="str">
        <f t="shared" si="5"/>
        <v>EF1 E001 Geo</v>
      </c>
    </row>
    <row r="361" spans="1:31" s="14" customFormat="1" x14ac:dyDescent="0.25">
      <c r="A361" s="24"/>
      <c r="B361" s="21"/>
      <c r="C361" s="21"/>
      <c r="D361" s="21"/>
      <c r="E361" s="23"/>
      <c r="F361" s="23"/>
      <c r="G361" s="23"/>
      <c r="H361" s="23"/>
      <c r="I361" s="24"/>
      <c r="J361" s="24"/>
      <c r="K361" s="23"/>
      <c r="L361" s="23"/>
      <c r="M361" s="24"/>
      <c r="N361" s="24"/>
      <c r="O361" s="27"/>
      <c r="P361" s="27"/>
      <c r="Q361" s="27"/>
      <c r="R361" s="23"/>
      <c r="S361" s="25"/>
      <c r="T361" s="25"/>
      <c r="U361" s="25"/>
      <c r="V361" s="25"/>
      <c r="W361" s="25"/>
      <c r="X361" s="23"/>
      <c r="Y361" s="4" t="str">
        <f>IF(Tabela2[[#This Row],[SIGLA]]="","",VLOOKUP(Tabela2[[#This Row],[SIGLA]],Tabela14[[#All],[Sigla Arte]:[Crédito]],2,0))</f>
        <v/>
      </c>
      <c r="Z361" s="24"/>
      <c r="AA361" s="24" t="str">
        <f>Tabela2[[#This Row],[ILUSTRADOR CRIAÇÃO]]</f>
        <v/>
      </c>
      <c r="AB361" s="23"/>
      <c r="AC361" s="21"/>
      <c r="AD361" s="21"/>
      <c r="AE361" s="4" t="str">
        <f t="shared" si="5"/>
        <v>EF1 E001 Geo</v>
      </c>
    </row>
    <row r="362" spans="1:31" s="14" customFormat="1" x14ac:dyDescent="0.25">
      <c r="A362" s="24"/>
      <c r="B362" s="21"/>
      <c r="C362" s="21"/>
      <c r="D362" s="21"/>
      <c r="E362" s="23"/>
      <c r="F362" s="23"/>
      <c r="G362" s="23"/>
      <c r="H362" s="23"/>
      <c r="I362" s="24"/>
      <c r="J362" s="24"/>
      <c r="K362" s="23"/>
      <c r="L362" s="23"/>
      <c r="M362" s="24"/>
      <c r="N362" s="24"/>
      <c r="O362" s="27"/>
      <c r="P362" s="27"/>
      <c r="Q362" s="27"/>
      <c r="R362" s="23"/>
      <c r="S362" s="25"/>
      <c r="T362" s="25"/>
      <c r="U362" s="25"/>
      <c r="V362" s="25"/>
      <c r="W362" s="25"/>
      <c r="X362" s="23"/>
      <c r="Y362" s="4" t="str">
        <f>IF(Tabela2[[#This Row],[SIGLA]]="","",VLOOKUP(Tabela2[[#This Row],[SIGLA]],Tabela14[[#All],[Sigla Arte]:[Crédito]],2,0))</f>
        <v/>
      </c>
      <c r="Z362" s="24"/>
      <c r="AA362" s="24" t="str">
        <f>Tabela2[[#This Row],[ILUSTRADOR CRIAÇÃO]]</f>
        <v/>
      </c>
      <c r="AB362" s="23"/>
      <c r="AC362" s="21"/>
      <c r="AD362" s="21"/>
      <c r="AE362" s="4" t="str">
        <f t="shared" si="5"/>
        <v>EF1 E001 Geo</v>
      </c>
    </row>
    <row r="363" spans="1:31" s="14" customFormat="1" x14ac:dyDescent="0.25">
      <c r="A363" s="24"/>
      <c r="B363" s="21"/>
      <c r="C363" s="21"/>
      <c r="D363" s="21"/>
      <c r="E363" s="23"/>
      <c r="F363" s="23"/>
      <c r="G363" s="23"/>
      <c r="H363" s="23"/>
      <c r="I363" s="24"/>
      <c r="J363" s="24"/>
      <c r="K363" s="23"/>
      <c r="L363" s="23"/>
      <c r="M363" s="24"/>
      <c r="N363" s="24"/>
      <c r="O363" s="27"/>
      <c r="P363" s="27"/>
      <c r="Q363" s="27"/>
      <c r="R363" s="23"/>
      <c r="S363" s="25"/>
      <c r="T363" s="25"/>
      <c r="U363" s="25"/>
      <c r="V363" s="25"/>
      <c r="W363" s="25"/>
      <c r="X363" s="23"/>
      <c r="Y363" s="4" t="str">
        <f>IF(Tabela2[[#This Row],[SIGLA]]="","",VLOOKUP(Tabela2[[#This Row],[SIGLA]],Tabela14[[#All],[Sigla Arte]:[Crédito]],2,0))</f>
        <v/>
      </c>
      <c r="Z363" s="24"/>
      <c r="AA363" s="24" t="str">
        <f>Tabela2[[#This Row],[ILUSTRADOR CRIAÇÃO]]</f>
        <v/>
      </c>
      <c r="AB363" s="23"/>
      <c r="AC363" s="21"/>
      <c r="AD363" s="21"/>
      <c r="AE363" s="4" t="str">
        <f t="shared" si="5"/>
        <v>EF1 E001 Geo</v>
      </c>
    </row>
    <row r="364" spans="1:31" s="14" customFormat="1" x14ac:dyDescent="0.25">
      <c r="A364" s="24"/>
      <c r="B364" s="21"/>
      <c r="C364" s="21"/>
      <c r="D364" s="21"/>
      <c r="E364" s="23"/>
      <c r="F364" s="23"/>
      <c r="G364" s="23"/>
      <c r="H364" s="23"/>
      <c r="I364" s="24"/>
      <c r="J364" s="24"/>
      <c r="K364" s="23"/>
      <c r="L364" s="23"/>
      <c r="M364" s="24"/>
      <c r="N364" s="24"/>
      <c r="O364" s="27"/>
      <c r="P364" s="27"/>
      <c r="Q364" s="27"/>
      <c r="R364" s="23"/>
      <c r="S364" s="25"/>
      <c r="T364" s="25"/>
      <c r="U364" s="25"/>
      <c r="V364" s="25"/>
      <c r="W364" s="25"/>
      <c r="X364" s="23"/>
      <c r="Y364" s="4" t="str">
        <f>IF(Tabela2[[#This Row],[SIGLA]]="","",VLOOKUP(Tabela2[[#This Row],[SIGLA]],Tabela14[[#All],[Sigla Arte]:[Crédito]],2,0))</f>
        <v/>
      </c>
      <c r="Z364" s="24"/>
      <c r="AA364" s="24" t="str">
        <f>Tabela2[[#This Row],[ILUSTRADOR CRIAÇÃO]]</f>
        <v/>
      </c>
      <c r="AB364" s="23"/>
      <c r="AC364" s="21"/>
      <c r="AD364" s="21"/>
      <c r="AE364" s="4" t="str">
        <f t="shared" si="5"/>
        <v>EF1 E001 Geo</v>
      </c>
    </row>
    <row r="365" spans="1:31" s="14" customFormat="1" x14ac:dyDescent="0.25">
      <c r="A365" s="24"/>
      <c r="B365" s="21"/>
      <c r="C365" s="21"/>
      <c r="D365" s="21"/>
      <c r="E365" s="23"/>
      <c r="F365" s="23"/>
      <c r="G365" s="23"/>
      <c r="H365" s="23"/>
      <c r="I365" s="24"/>
      <c r="J365" s="24"/>
      <c r="K365" s="23"/>
      <c r="L365" s="23"/>
      <c r="M365" s="24"/>
      <c r="N365" s="24"/>
      <c r="O365" s="27"/>
      <c r="P365" s="27"/>
      <c r="Q365" s="27"/>
      <c r="R365" s="23"/>
      <c r="S365" s="25"/>
      <c r="T365" s="25"/>
      <c r="U365" s="25"/>
      <c r="V365" s="25"/>
      <c r="W365" s="25"/>
      <c r="X365" s="23"/>
      <c r="Y365" s="4" t="str">
        <f>IF(Tabela2[[#This Row],[SIGLA]]="","",VLOOKUP(Tabela2[[#This Row],[SIGLA]],Tabela14[[#All],[Sigla Arte]:[Crédito]],2,0))</f>
        <v/>
      </c>
      <c r="Z365" s="24"/>
      <c r="AA365" s="24" t="str">
        <f>Tabela2[[#This Row],[ILUSTRADOR CRIAÇÃO]]</f>
        <v/>
      </c>
      <c r="AB365" s="23"/>
      <c r="AC365" s="21"/>
      <c r="AD365" s="21"/>
      <c r="AE365" s="4" t="str">
        <f t="shared" si="5"/>
        <v>EF1 E001 Geo</v>
      </c>
    </row>
    <row r="366" spans="1:31" s="14" customFormat="1" x14ac:dyDescent="0.25">
      <c r="A366" s="24"/>
      <c r="B366" s="21"/>
      <c r="C366" s="21"/>
      <c r="D366" s="21"/>
      <c r="E366" s="23"/>
      <c r="F366" s="23"/>
      <c r="G366" s="23"/>
      <c r="H366" s="23"/>
      <c r="I366" s="24"/>
      <c r="J366" s="24"/>
      <c r="K366" s="23"/>
      <c r="L366" s="23"/>
      <c r="M366" s="24"/>
      <c r="N366" s="24"/>
      <c r="O366" s="27"/>
      <c r="P366" s="27"/>
      <c r="Q366" s="27"/>
      <c r="R366" s="23"/>
      <c r="S366" s="25"/>
      <c r="T366" s="25"/>
      <c r="U366" s="25"/>
      <c r="V366" s="25"/>
      <c r="W366" s="25"/>
      <c r="X366" s="23"/>
      <c r="Y366" s="4" t="str">
        <f>IF(Tabela2[[#This Row],[SIGLA]]="","",VLOOKUP(Tabela2[[#This Row],[SIGLA]],Tabela14[[#All],[Sigla Arte]:[Crédito]],2,0))</f>
        <v/>
      </c>
      <c r="Z366" s="24"/>
      <c r="AA366" s="24" t="str">
        <f>Tabela2[[#This Row],[ILUSTRADOR CRIAÇÃO]]</f>
        <v/>
      </c>
      <c r="AB366" s="23"/>
      <c r="AC366" s="21"/>
      <c r="AD366" s="21"/>
      <c r="AE366" s="4" t="str">
        <f t="shared" si="5"/>
        <v>EF1 E001 Geo</v>
      </c>
    </row>
    <row r="367" spans="1:31" s="14" customFormat="1" x14ac:dyDescent="0.25">
      <c r="A367" s="24"/>
      <c r="B367" s="21"/>
      <c r="C367" s="21"/>
      <c r="D367" s="21"/>
      <c r="E367" s="23"/>
      <c r="F367" s="23"/>
      <c r="G367" s="23"/>
      <c r="H367" s="23"/>
      <c r="I367" s="24"/>
      <c r="J367" s="24"/>
      <c r="K367" s="23"/>
      <c r="L367" s="23"/>
      <c r="M367" s="24"/>
      <c r="N367" s="24"/>
      <c r="O367" s="27"/>
      <c r="P367" s="27"/>
      <c r="Q367" s="27"/>
      <c r="R367" s="23"/>
      <c r="S367" s="25"/>
      <c r="T367" s="25"/>
      <c r="U367" s="25"/>
      <c r="V367" s="25"/>
      <c r="W367" s="25"/>
      <c r="X367" s="23"/>
      <c r="Y367" s="4" t="str">
        <f>IF(Tabela2[[#This Row],[SIGLA]]="","",VLOOKUP(Tabela2[[#This Row],[SIGLA]],Tabela14[[#All],[Sigla Arte]:[Crédito]],2,0))</f>
        <v/>
      </c>
      <c r="Z367" s="24"/>
      <c r="AA367" s="24" t="str">
        <f>Tabela2[[#This Row],[ILUSTRADOR CRIAÇÃO]]</f>
        <v/>
      </c>
      <c r="AB367" s="23"/>
      <c r="AC367" s="21"/>
      <c r="AD367" s="21"/>
      <c r="AE367" s="4" t="str">
        <f t="shared" si="5"/>
        <v>EF1 E001 Geo</v>
      </c>
    </row>
    <row r="368" spans="1:31" s="14" customFormat="1" x14ac:dyDescent="0.25">
      <c r="A368" s="24"/>
      <c r="B368" s="21"/>
      <c r="C368" s="21"/>
      <c r="D368" s="21"/>
      <c r="E368" s="23"/>
      <c r="F368" s="23"/>
      <c r="G368" s="23"/>
      <c r="H368" s="23"/>
      <c r="I368" s="24"/>
      <c r="J368" s="24"/>
      <c r="K368" s="23"/>
      <c r="L368" s="23"/>
      <c r="M368" s="24"/>
      <c r="N368" s="24"/>
      <c r="O368" s="27"/>
      <c r="P368" s="27"/>
      <c r="Q368" s="27"/>
      <c r="R368" s="23"/>
      <c r="S368" s="25"/>
      <c r="T368" s="25"/>
      <c r="U368" s="25"/>
      <c r="V368" s="25"/>
      <c r="W368" s="25"/>
      <c r="X368" s="23"/>
      <c r="Y368" s="4" t="str">
        <f>IF(Tabela2[[#This Row],[SIGLA]]="","",VLOOKUP(Tabela2[[#This Row],[SIGLA]],Tabela14[[#All],[Sigla Arte]:[Crédito]],2,0))</f>
        <v/>
      </c>
      <c r="Z368" s="24"/>
      <c r="AA368" s="24" t="str">
        <f>Tabela2[[#This Row],[ILUSTRADOR CRIAÇÃO]]</f>
        <v/>
      </c>
      <c r="AB368" s="23"/>
      <c r="AC368" s="21"/>
      <c r="AD368" s="21"/>
      <c r="AE368" s="4" t="str">
        <f t="shared" si="5"/>
        <v>EF1 E001 Geo</v>
      </c>
    </row>
    <row r="369" spans="1:31" s="14" customFormat="1" x14ac:dyDescent="0.25">
      <c r="A369" s="24"/>
      <c r="B369" s="21"/>
      <c r="C369" s="21"/>
      <c r="D369" s="21"/>
      <c r="E369" s="23"/>
      <c r="F369" s="23"/>
      <c r="G369" s="23"/>
      <c r="H369" s="23"/>
      <c r="I369" s="24"/>
      <c r="J369" s="24"/>
      <c r="K369" s="23"/>
      <c r="L369" s="23"/>
      <c r="M369" s="24"/>
      <c r="N369" s="24"/>
      <c r="O369" s="27"/>
      <c r="P369" s="27"/>
      <c r="Q369" s="27"/>
      <c r="R369" s="23"/>
      <c r="S369" s="25"/>
      <c r="T369" s="25"/>
      <c r="U369" s="25"/>
      <c r="V369" s="25"/>
      <c r="W369" s="25"/>
      <c r="X369" s="23"/>
      <c r="Y369" s="4" t="str">
        <f>IF(Tabela2[[#This Row],[SIGLA]]="","",VLOOKUP(Tabela2[[#This Row],[SIGLA]],Tabela14[[#All],[Sigla Arte]:[Crédito]],2,0))</f>
        <v/>
      </c>
      <c r="Z369" s="24"/>
      <c r="AA369" s="24" t="str">
        <f>Tabela2[[#This Row],[ILUSTRADOR CRIAÇÃO]]</f>
        <v/>
      </c>
      <c r="AB369" s="23"/>
      <c r="AC369" s="21"/>
      <c r="AD369" s="21"/>
      <c r="AE369" s="4" t="str">
        <f t="shared" si="5"/>
        <v>EF1 E001 Geo</v>
      </c>
    </row>
    <row r="370" spans="1:31" s="14" customFormat="1" x14ac:dyDescent="0.25">
      <c r="A370" s="24"/>
      <c r="B370" s="21"/>
      <c r="C370" s="21"/>
      <c r="D370" s="21"/>
      <c r="E370" s="23"/>
      <c r="F370" s="23"/>
      <c r="G370" s="23"/>
      <c r="H370" s="23"/>
      <c r="I370" s="24"/>
      <c r="J370" s="24"/>
      <c r="K370" s="23"/>
      <c r="L370" s="23"/>
      <c r="M370" s="24"/>
      <c r="N370" s="24"/>
      <c r="O370" s="27"/>
      <c r="P370" s="27"/>
      <c r="Q370" s="27"/>
      <c r="R370" s="23"/>
      <c r="S370" s="25"/>
      <c r="T370" s="25"/>
      <c r="U370" s="25"/>
      <c r="V370" s="25"/>
      <c r="W370" s="25"/>
      <c r="X370" s="23"/>
      <c r="Y370" s="4" t="str">
        <f>IF(Tabela2[[#This Row],[SIGLA]]="","",VLOOKUP(Tabela2[[#This Row],[SIGLA]],Tabela14[[#All],[Sigla Arte]:[Crédito]],2,0))</f>
        <v/>
      </c>
      <c r="Z370" s="24"/>
      <c r="AA370" s="24" t="str">
        <f>Tabela2[[#This Row],[ILUSTRADOR CRIAÇÃO]]</f>
        <v/>
      </c>
      <c r="AB370" s="23"/>
      <c r="AC370" s="21"/>
      <c r="AD370" s="21"/>
      <c r="AE370" s="4" t="str">
        <f t="shared" si="5"/>
        <v>EF1 E001 Geo</v>
      </c>
    </row>
    <row r="371" spans="1:31" s="14" customFormat="1" x14ac:dyDescent="0.25">
      <c r="A371" s="24"/>
      <c r="B371" s="21"/>
      <c r="C371" s="21"/>
      <c r="D371" s="21"/>
      <c r="E371" s="23"/>
      <c r="F371" s="23"/>
      <c r="G371" s="23"/>
      <c r="H371" s="23"/>
      <c r="I371" s="24"/>
      <c r="J371" s="24"/>
      <c r="K371" s="23"/>
      <c r="L371" s="23"/>
      <c r="M371" s="24"/>
      <c r="N371" s="24"/>
      <c r="O371" s="27"/>
      <c r="P371" s="27"/>
      <c r="Q371" s="27"/>
      <c r="R371" s="23"/>
      <c r="S371" s="25"/>
      <c r="T371" s="25"/>
      <c r="U371" s="25"/>
      <c r="V371" s="25"/>
      <c r="W371" s="25"/>
      <c r="X371" s="23"/>
      <c r="Y371" s="4" t="str">
        <f>IF(Tabela2[[#This Row],[SIGLA]]="","",VLOOKUP(Tabela2[[#This Row],[SIGLA]],Tabela14[[#All],[Sigla Arte]:[Crédito]],2,0))</f>
        <v/>
      </c>
      <c r="Z371" s="24"/>
      <c r="AA371" s="24" t="str">
        <f>Tabela2[[#This Row],[ILUSTRADOR CRIAÇÃO]]</f>
        <v/>
      </c>
      <c r="AB371" s="23"/>
      <c r="AC371" s="21"/>
      <c r="AD371" s="21"/>
      <c r="AE371" s="4" t="str">
        <f t="shared" si="5"/>
        <v>EF1 E001 Geo</v>
      </c>
    </row>
    <row r="372" spans="1:31" s="14" customFormat="1" x14ac:dyDescent="0.25">
      <c r="A372" s="24"/>
      <c r="B372" s="21"/>
      <c r="C372" s="21"/>
      <c r="D372" s="21"/>
      <c r="E372" s="23"/>
      <c r="F372" s="23"/>
      <c r="G372" s="23"/>
      <c r="H372" s="23"/>
      <c r="I372" s="24"/>
      <c r="J372" s="24"/>
      <c r="K372" s="23"/>
      <c r="L372" s="23"/>
      <c r="M372" s="24"/>
      <c r="N372" s="24"/>
      <c r="O372" s="27"/>
      <c r="P372" s="27"/>
      <c r="Q372" s="27"/>
      <c r="R372" s="23"/>
      <c r="S372" s="25"/>
      <c r="T372" s="25"/>
      <c r="U372" s="25"/>
      <c r="V372" s="25"/>
      <c r="W372" s="25"/>
      <c r="X372" s="23"/>
      <c r="Y372" s="4" t="str">
        <f>IF(Tabela2[[#This Row],[SIGLA]]="","",VLOOKUP(Tabela2[[#This Row],[SIGLA]],Tabela14[[#All],[Sigla Arte]:[Crédito]],2,0))</f>
        <v/>
      </c>
      <c r="Z372" s="24"/>
      <c r="AA372" s="24" t="str">
        <f>Tabela2[[#This Row],[ILUSTRADOR CRIAÇÃO]]</f>
        <v/>
      </c>
      <c r="AB372" s="23"/>
      <c r="AC372" s="21"/>
      <c r="AD372" s="21"/>
      <c r="AE372" s="4" t="str">
        <f t="shared" si="5"/>
        <v>EF1 E001 Geo</v>
      </c>
    </row>
    <row r="373" spans="1:31" s="14" customFormat="1" x14ac:dyDescent="0.25">
      <c r="A373" s="24"/>
      <c r="B373" s="21"/>
      <c r="C373" s="21"/>
      <c r="D373" s="21"/>
      <c r="E373" s="23"/>
      <c r="F373" s="23"/>
      <c r="G373" s="23"/>
      <c r="H373" s="23"/>
      <c r="I373" s="24"/>
      <c r="J373" s="24"/>
      <c r="K373" s="23"/>
      <c r="L373" s="23"/>
      <c r="M373" s="24"/>
      <c r="N373" s="24"/>
      <c r="O373" s="27"/>
      <c r="P373" s="27"/>
      <c r="Q373" s="27"/>
      <c r="R373" s="23"/>
      <c r="S373" s="25"/>
      <c r="T373" s="25"/>
      <c r="U373" s="25"/>
      <c r="V373" s="25"/>
      <c r="W373" s="25"/>
      <c r="X373" s="23"/>
      <c r="Y373" s="4" t="str">
        <f>IF(Tabela2[[#This Row],[SIGLA]]="","",VLOOKUP(Tabela2[[#This Row],[SIGLA]],Tabela14[[#All],[Sigla Arte]:[Crédito]],2,0))</f>
        <v/>
      </c>
      <c r="Z373" s="24"/>
      <c r="AA373" s="24" t="str">
        <f>Tabela2[[#This Row],[ILUSTRADOR CRIAÇÃO]]</f>
        <v/>
      </c>
      <c r="AB373" s="23"/>
      <c r="AC373" s="21"/>
      <c r="AD373" s="21"/>
      <c r="AE373" s="4" t="str">
        <f t="shared" si="5"/>
        <v>EF1 E001 Geo</v>
      </c>
    </row>
    <row r="374" spans="1:31" s="14" customFormat="1" x14ac:dyDescent="0.25">
      <c r="A374" s="24"/>
      <c r="B374" s="21"/>
      <c r="C374" s="21"/>
      <c r="D374" s="21"/>
      <c r="E374" s="23"/>
      <c r="F374" s="23"/>
      <c r="G374" s="23"/>
      <c r="H374" s="23"/>
      <c r="I374" s="24"/>
      <c r="J374" s="24"/>
      <c r="K374" s="23"/>
      <c r="L374" s="23"/>
      <c r="M374" s="24"/>
      <c r="N374" s="24"/>
      <c r="O374" s="27"/>
      <c r="P374" s="27"/>
      <c r="Q374" s="27"/>
      <c r="R374" s="23"/>
      <c r="S374" s="25"/>
      <c r="T374" s="25"/>
      <c r="U374" s="25"/>
      <c r="V374" s="25"/>
      <c r="W374" s="25"/>
      <c r="X374" s="23"/>
      <c r="Y374" s="4" t="str">
        <f>IF(Tabela2[[#This Row],[SIGLA]]="","",VLOOKUP(Tabela2[[#This Row],[SIGLA]],Tabela14[[#All],[Sigla Arte]:[Crédito]],2,0))</f>
        <v/>
      </c>
      <c r="Z374" s="24"/>
      <c r="AA374" s="24" t="str">
        <f>Tabela2[[#This Row],[ILUSTRADOR CRIAÇÃO]]</f>
        <v/>
      </c>
      <c r="AB374" s="23"/>
      <c r="AC374" s="21"/>
      <c r="AD374" s="21"/>
      <c r="AE374" s="4" t="str">
        <f t="shared" si="5"/>
        <v>EF1 E001 Geo</v>
      </c>
    </row>
    <row r="375" spans="1:31" s="14" customFormat="1" x14ac:dyDescent="0.25">
      <c r="A375" s="24"/>
      <c r="B375" s="21"/>
      <c r="C375" s="21"/>
      <c r="D375" s="21"/>
      <c r="E375" s="23"/>
      <c r="F375" s="23"/>
      <c r="G375" s="23"/>
      <c r="H375" s="23"/>
      <c r="I375" s="24"/>
      <c r="J375" s="24"/>
      <c r="K375" s="23"/>
      <c r="L375" s="23"/>
      <c r="M375" s="24"/>
      <c r="N375" s="24"/>
      <c r="O375" s="27"/>
      <c r="P375" s="27"/>
      <c r="Q375" s="27"/>
      <c r="R375" s="23"/>
      <c r="S375" s="25"/>
      <c r="T375" s="25"/>
      <c r="U375" s="25"/>
      <c r="V375" s="25"/>
      <c r="W375" s="25"/>
      <c r="X375" s="23"/>
      <c r="Y375" s="4" t="str">
        <f>IF(Tabela2[[#This Row],[SIGLA]]="","",VLOOKUP(Tabela2[[#This Row],[SIGLA]],Tabela14[[#All],[Sigla Arte]:[Crédito]],2,0))</f>
        <v/>
      </c>
      <c r="Z375" s="24"/>
      <c r="AA375" s="24" t="str">
        <f>Tabela2[[#This Row],[ILUSTRADOR CRIAÇÃO]]</f>
        <v/>
      </c>
      <c r="AB375" s="23"/>
      <c r="AC375" s="21"/>
      <c r="AD375" s="21"/>
      <c r="AE375" s="4" t="str">
        <f t="shared" si="5"/>
        <v>EF1 E001 Geo</v>
      </c>
    </row>
    <row r="376" spans="1:31" s="14" customFormat="1" x14ac:dyDescent="0.25">
      <c r="A376" s="24"/>
      <c r="B376" s="21"/>
      <c r="C376" s="21"/>
      <c r="D376" s="21"/>
      <c r="E376" s="23"/>
      <c r="F376" s="23"/>
      <c r="G376" s="23"/>
      <c r="H376" s="23"/>
      <c r="I376" s="24"/>
      <c r="J376" s="24"/>
      <c r="K376" s="23"/>
      <c r="L376" s="23"/>
      <c r="M376" s="24"/>
      <c r="N376" s="24"/>
      <c r="O376" s="27"/>
      <c r="P376" s="27"/>
      <c r="Q376" s="27"/>
      <c r="R376" s="23"/>
      <c r="S376" s="25"/>
      <c r="T376" s="25"/>
      <c r="U376" s="25"/>
      <c r="V376" s="25"/>
      <c r="W376" s="25"/>
      <c r="X376" s="23"/>
      <c r="Y376" s="4" t="str">
        <f>IF(Tabela2[[#This Row],[SIGLA]]="","",VLOOKUP(Tabela2[[#This Row],[SIGLA]],Tabela14[[#All],[Sigla Arte]:[Crédito]],2,0))</f>
        <v/>
      </c>
      <c r="Z376" s="24"/>
      <c r="AA376" s="24" t="str">
        <f>Tabela2[[#This Row],[ILUSTRADOR CRIAÇÃO]]</f>
        <v/>
      </c>
      <c r="AB376" s="23"/>
      <c r="AC376" s="21"/>
      <c r="AD376" s="21"/>
      <c r="AE376" s="4" t="str">
        <f t="shared" si="5"/>
        <v>EF1 E001 Geo</v>
      </c>
    </row>
    <row r="377" spans="1:31" s="14" customFormat="1" x14ac:dyDescent="0.25">
      <c r="A377" s="24"/>
      <c r="B377" s="21"/>
      <c r="C377" s="21"/>
      <c r="D377" s="21"/>
      <c r="E377" s="23"/>
      <c r="F377" s="23"/>
      <c r="G377" s="23"/>
      <c r="H377" s="23"/>
      <c r="I377" s="24"/>
      <c r="J377" s="24"/>
      <c r="K377" s="23"/>
      <c r="L377" s="23"/>
      <c r="M377" s="24"/>
      <c r="N377" s="24"/>
      <c r="O377" s="27"/>
      <c r="P377" s="27"/>
      <c r="Q377" s="27"/>
      <c r="R377" s="23"/>
      <c r="S377" s="25"/>
      <c r="T377" s="25"/>
      <c r="U377" s="25"/>
      <c r="V377" s="25"/>
      <c r="W377" s="25"/>
      <c r="X377" s="23"/>
      <c r="Y377" s="4" t="str">
        <f>IF(Tabela2[[#This Row],[SIGLA]]="","",VLOOKUP(Tabela2[[#This Row],[SIGLA]],Tabela14[[#All],[Sigla Arte]:[Crédito]],2,0))</f>
        <v/>
      </c>
      <c r="Z377" s="24"/>
      <c r="AA377" s="24" t="str">
        <f>Tabela2[[#This Row],[ILUSTRADOR CRIAÇÃO]]</f>
        <v/>
      </c>
      <c r="AB377" s="23"/>
      <c r="AC377" s="21"/>
      <c r="AD377" s="21"/>
      <c r="AE377" s="4" t="str">
        <f t="shared" si="5"/>
        <v>EF1 E001 Geo</v>
      </c>
    </row>
    <row r="378" spans="1:31" s="14" customFormat="1" x14ac:dyDescent="0.25">
      <c r="A378" s="24"/>
      <c r="B378" s="21"/>
      <c r="C378" s="21"/>
      <c r="D378" s="21"/>
      <c r="E378" s="23"/>
      <c r="F378" s="23"/>
      <c r="G378" s="23"/>
      <c r="H378" s="23"/>
      <c r="I378" s="24"/>
      <c r="J378" s="24"/>
      <c r="K378" s="23"/>
      <c r="L378" s="23"/>
      <c r="M378" s="24"/>
      <c r="N378" s="24"/>
      <c r="O378" s="27"/>
      <c r="P378" s="27"/>
      <c r="Q378" s="27"/>
      <c r="R378" s="23"/>
      <c r="S378" s="25"/>
      <c r="T378" s="25"/>
      <c r="U378" s="25"/>
      <c r="V378" s="25"/>
      <c r="W378" s="25"/>
      <c r="X378" s="23"/>
      <c r="Y378" s="4" t="str">
        <f>IF(Tabela2[[#This Row],[SIGLA]]="","",VLOOKUP(Tabela2[[#This Row],[SIGLA]],Tabela14[[#All],[Sigla Arte]:[Crédito]],2,0))</f>
        <v/>
      </c>
      <c r="Z378" s="24"/>
      <c r="AA378" s="24" t="str">
        <f>Tabela2[[#This Row],[ILUSTRADOR CRIAÇÃO]]</f>
        <v/>
      </c>
      <c r="AB378" s="23"/>
      <c r="AC378" s="21"/>
      <c r="AD378" s="21"/>
      <c r="AE378" s="4" t="str">
        <f t="shared" si="5"/>
        <v>EF1 E001 Geo</v>
      </c>
    </row>
    <row r="379" spans="1:31" s="14" customFormat="1" x14ac:dyDescent="0.25">
      <c r="A379" s="24"/>
      <c r="B379" s="21"/>
      <c r="C379" s="21"/>
      <c r="D379" s="21"/>
      <c r="E379" s="23"/>
      <c r="F379" s="23"/>
      <c r="G379" s="23"/>
      <c r="H379" s="23"/>
      <c r="I379" s="24"/>
      <c r="J379" s="24"/>
      <c r="K379" s="23"/>
      <c r="L379" s="23"/>
      <c r="M379" s="24"/>
      <c r="N379" s="24"/>
      <c r="O379" s="27"/>
      <c r="P379" s="27"/>
      <c r="Q379" s="27"/>
      <c r="R379" s="23"/>
      <c r="S379" s="25"/>
      <c r="T379" s="25"/>
      <c r="U379" s="25"/>
      <c r="V379" s="25"/>
      <c r="W379" s="25"/>
      <c r="X379" s="23"/>
      <c r="Y379" s="4" t="str">
        <f>IF(Tabela2[[#This Row],[SIGLA]]="","",VLOOKUP(Tabela2[[#This Row],[SIGLA]],Tabela14[[#All],[Sigla Arte]:[Crédito]],2,0))</f>
        <v/>
      </c>
      <c r="Z379" s="24"/>
      <c r="AA379" s="24" t="str">
        <f>Tabela2[[#This Row],[ILUSTRADOR CRIAÇÃO]]</f>
        <v/>
      </c>
      <c r="AB379" s="23"/>
      <c r="AC379" s="21"/>
      <c r="AD379" s="21"/>
      <c r="AE379" s="4" t="str">
        <f t="shared" si="5"/>
        <v>EF1 E001 Geo</v>
      </c>
    </row>
    <row r="380" spans="1:31" s="14" customFormat="1" x14ac:dyDescent="0.25">
      <c r="A380" s="24"/>
      <c r="B380" s="21"/>
      <c r="C380" s="21"/>
      <c r="D380" s="21"/>
      <c r="E380" s="23"/>
      <c r="F380" s="23"/>
      <c r="G380" s="23"/>
      <c r="H380" s="23"/>
      <c r="I380" s="24"/>
      <c r="J380" s="24"/>
      <c r="K380" s="23"/>
      <c r="L380" s="23"/>
      <c r="M380" s="24"/>
      <c r="N380" s="24"/>
      <c r="O380" s="27"/>
      <c r="P380" s="27"/>
      <c r="Q380" s="27"/>
      <c r="R380" s="23"/>
      <c r="S380" s="25"/>
      <c r="T380" s="25"/>
      <c r="U380" s="25"/>
      <c r="V380" s="25"/>
      <c r="W380" s="25"/>
      <c r="X380" s="23"/>
      <c r="Y380" s="4" t="str">
        <f>IF(Tabela2[[#This Row],[SIGLA]]="","",VLOOKUP(Tabela2[[#This Row],[SIGLA]],Tabela14[[#All],[Sigla Arte]:[Crédito]],2,0))</f>
        <v/>
      </c>
      <c r="Z380" s="24"/>
      <c r="AA380" s="24" t="str">
        <f>Tabela2[[#This Row],[ILUSTRADOR CRIAÇÃO]]</f>
        <v/>
      </c>
      <c r="AB380" s="23"/>
      <c r="AC380" s="21"/>
      <c r="AD380" s="21"/>
      <c r="AE380" s="4" t="str">
        <f t="shared" si="5"/>
        <v>EF1 E001 Geo</v>
      </c>
    </row>
    <row r="381" spans="1:31" s="14" customFormat="1" x14ac:dyDescent="0.25">
      <c r="A381" s="24"/>
      <c r="B381" s="21"/>
      <c r="C381" s="21"/>
      <c r="D381" s="21"/>
      <c r="E381" s="23"/>
      <c r="F381" s="23"/>
      <c r="G381" s="23"/>
      <c r="H381" s="23"/>
      <c r="I381" s="24"/>
      <c r="J381" s="24"/>
      <c r="K381" s="23"/>
      <c r="L381" s="23"/>
      <c r="M381" s="24"/>
      <c r="N381" s="24"/>
      <c r="O381" s="27"/>
      <c r="P381" s="27"/>
      <c r="Q381" s="27"/>
      <c r="R381" s="23"/>
      <c r="S381" s="25"/>
      <c r="T381" s="25"/>
      <c r="U381" s="25"/>
      <c r="V381" s="25"/>
      <c r="W381" s="25"/>
      <c r="X381" s="23"/>
      <c r="Y381" s="4" t="str">
        <f>IF(Tabela2[[#This Row],[SIGLA]]="","",VLOOKUP(Tabela2[[#This Row],[SIGLA]],Tabela14[[#All],[Sigla Arte]:[Crédito]],2,0))</f>
        <v/>
      </c>
      <c r="Z381" s="24"/>
      <c r="AA381" s="24" t="str">
        <f>Tabela2[[#This Row],[ILUSTRADOR CRIAÇÃO]]</f>
        <v/>
      </c>
      <c r="AB381" s="23"/>
      <c r="AC381" s="21"/>
      <c r="AD381" s="21"/>
      <c r="AE381" s="4" t="str">
        <f t="shared" si="5"/>
        <v>EF1 E001 Geo</v>
      </c>
    </row>
    <row r="382" spans="1:31" s="14" customFormat="1" x14ac:dyDescent="0.25">
      <c r="A382" s="24"/>
      <c r="B382" s="21"/>
      <c r="C382" s="21"/>
      <c r="D382" s="21"/>
      <c r="E382" s="23"/>
      <c r="F382" s="23"/>
      <c r="G382" s="23"/>
      <c r="H382" s="23"/>
      <c r="I382" s="24"/>
      <c r="J382" s="24"/>
      <c r="K382" s="23"/>
      <c r="L382" s="23"/>
      <c r="M382" s="24"/>
      <c r="N382" s="24"/>
      <c r="O382" s="27"/>
      <c r="P382" s="27"/>
      <c r="Q382" s="27"/>
      <c r="R382" s="23"/>
      <c r="S382" s="25"/>
      <c r="T382" s="25"/>
      <c r="U382" s="25"/>
      <c r="V382" s="25"/>
      <c r="W382" s="25"/>
      <c r="X382" s="23"/>
      <c r="Y382" s="4" t="str">
        <f>IF(Tabela2[[#This Row],[SIGLA]]="","",VLOOKUP(Tabela2[[#This Row],[SIGLA]],Tabela14[[#All],[Sigla Arte]:[Crédito]],2,0))</f>
        <v/>
      </c>
      <c r="Z382" s="24"/>
      <c r="AA382" s="24" t="str">
        <f>Tabela2[[#This Row],[ILUSTRADOR CRIAÇÃO]]</f>
        <v/>
      </c>
      <c r="AB382" s="23"/>
      <c r="AC382" s="21"/>
      <c r="AD382" s="21"/>
      <c r="AE382" s="4" t="str">
        <f t="shared" si="5"/>
        <v>EF1 E001 Geo</v>
      </c>
    </row>
    <row r="383" spans="1:31" s="14" customFormat="1" x14ac:dyDescent="0.25">
      <c r="A383" s="24"/>
      <c r="B383" s="21"/>
      <c r="C383" s="21"/>
      <c r="D383" s="21"/>
      <c r="E383" s="23"/>
      <c r="F383" s="23"/>
      <c r="G383" s="23"/>
      <c r="H383" s="23"/>
      <c r="I383" s="24"/>
      <c r="J383" s="24"/>
      <c r="K383" s="23"/>
      <c r="L383" s="23"/>
      <c r="M383" s="24"/>
      <c r="N383" s="24"/>
      <c r="O383" s="27"/>
      <c r="P383" s="27"/>
      <c r="Q383" s="27"/>
      <c r="R383" s="23"/>
      <c r="S383" s="25"/>
      <c r="T383" s="25"/>
      <c r="U383" s="25"/>
      <c r="V383" s="25"/>
      <c r="W383" s="25"/>
      <c r="X383" s="23"/>
      <c r="Y383" s="4" t="str">
        <f>IF(Tabela2[[#This Row],[SIGLA]]="","",VLOOKUP(Tabela2[[#This Row],[SIGLA]],Tabela14[[#All],[Sigla Arte]:[Crédito]],2,0))</f>
        <v/>
      </c>
      <c r="Z383" s="24"/>
      <c r="AA383" s="24" t="str">
        <f>Tabela2[[#This Row],[ILUSTRADOR CRIAÇÃO]]</f>
        <v/>
      </c>
      <c r="AB383" s="23"/>
      <c r="AC383" s="21"/>
      <c r="AD383" s="21"/>
      <c r="AE383" s="4" t="str">
        <f t="shared" si="5"/>
        <v>EF1 E001 Geo</v>
      </c>
    </row>
    <row r="384" spans="1:31" s="14" customFormat="1" x14ac:dyDescent="0.25">
      <c r="A384" s="24"/>
      <c r="B384" s="21"/>
      <c r="C384" s="21"/>
      <c r="D384" s="21"/>
      <c r="E384" s="23"/>
      <c r="F384" s="23"/>
      <c r="G384" s="23"/>
      <c r="H384" s="23"/>
      <c r="I384" s="24"/>
      <c r="J384" s="24"/>
      <c r="K384" s="23"/>
      <c r="L384" s="23"/>
      <c r="M384" s="24"/>
      <c r="N384" s="24"/>
      <c r="O384" s="27"/>
      <c r="P384" s="27"/>
      <c r="Q384" s="27"/>
      <c r="R384" s="23"/>
      <c r="S384" s="25"/>
      <c r="T384" s="25"/>
      <c r="U384" s="25"/>
      <c r="V384" s="25"/>
      <c r="W384" s="25"/>
      <c r="X384" s="23"/>
      <c r="Y384" s="4" t="str">
        <f>IF(Tabela2[[#This Row],[SIGLA]]="","",VLOOKUP(Tabela2[[#This Row],[SIGLA]],Tabela14[[#All],[Sigla Arte]:[Crédito]],2,0))</f>
        <v/>
      </c>
      <c r="Z384" s="24"/>
      <c r="AA384" s="24" t="str">
        <f>Tabela2[[#This Row],[ILUSTRADOR CRIAÇÃO]]</f>
        <v/>
      </c>
      <c r="AB384" s="23"/>
      <c r="AC384" s="21"/>
      <c r="AD384" s="21"/>
      <c r="AE384" s="4" t="str">
        <f t="shared" si="5"/>
        <v>EF1 E001 Geo</v>
      </c>
    </row>
    <row r="385" spans="1:31" s="14" customFormat="1" x14ac:dyDescent="0.25">
      <c r="A385" s="24"/>
      <c r="B385" s="21"/>
      <c r="C385" s="21"/>
      <c r="D385" s="21"/>
      <c r="E385" s="23"/>
      <c r="F385" s="23"/>
      <c r="G385" s="23"/>
      <c r="H385" s="23"/>
      <c r="I385" s="24"/>
      <c r="J385" s="24"/>
      <c r="K385" s="23"/>
      <c r="L385" s="23"/>
      <c r="M385" s="24"/>
      <c r="N385" s="24"/>
      <c r="O385" s="27"/>
      <c r="P385" s="27"/>
      <c r="Q385" s="27"/>
      <c r="R385" s="23"/>
      <c r="S385" s="25"/>
      <c r="T385" s="25"/>
      <c r="U385" s="25"/>
      <c r="V385" s="25"/>
      <c r="W385" s="25"/>
      <c r="X385" s="23"/>
      <c r="Y385" s="4" t="str">
        <f>IF(Tabela2[[#This Row],[SIGLA]]="","",VLOOKUP(Tabela2[[#This Row],[SIGLA]],Tabela14[[#All],[Sigla Arte]:[Crédito]],2,0))</f>
        <v/>
      </c>
      <c r="Z385" s="24"/>
      <c r="AA385" s="24" t="str">
        <f>Tabela2[[#This Row],[ILUSTRADOR CRIAÇÃO]]</f>
        <v/>
      </c>
      <c r="AB385" s="23"/>
      <c r="AC385" s="21"/>
      <c r="AD385" s="21"/>
      <c r="AE385" s="4" t="str">
        <f t="shared" si="5"/>
        <v>EF1 E001 Geo</v>
      </c>
    </row>
    <row r="386" spans="1:31" s="14" customFormat="1" x14ac:dyDescent="0.25">
      <c r="A386" s="24"/>
      <c r="B386" s="21"/>
      <c r="C386" s="21"/>
      <c r="D386" s="21"/>
      <c r="E386" s="23"/>
      <c r="F386" s="23"/>
      <c r="G386" s="23"/>
      <c r="H386" s="23"/>
      <c r="I386" s="24"/>
      <c r="J386" s="24"/>
      <c r="K386" s="23"/>
      <c r="L386" s="23"/>
      <c r="M386" s="24"/>
      <c r="N386" s="24"/>
      <c r="O386" s="27"/>
      <c r="P386" s="27"/>
      <c r="Q386" s="27"/>
      <c r="R386" s="23"/>
      <c r="S386" s="25"/>
      <c r="T386" s="25"/>
      <c r="U386" s="25"/>
      <c r="V386" s="25"/>
      <c r="W386" s="25"/>
      <c r="X386" s="23"/>
      <c r="Y386" s="4" t="str">
        <f>IF(Tabela2[[#This Row],[SIGLA]]="","",VLOOKUP(Tabela2[[#This Row],[SIGLA]],Tabela14[[#All],[Sigla Arte]:[Crédito]],2,0))</f>
        <v/>
      </c>
      <c r="Z386" s="24"/>
      <c r="AA386" s="24" t="str">
        <f>Tabela2[[#This Row],[ILUSTRADOR CRIAÇÃO]]</f>
        <v/>
      </c>
      <c r="AB386" s="23"/>
      <c r="AC386" s="21"/>
      <c r="AD386" s="21"/>
      <c r="AE386" s="4" t="str">
        <f t="shared" ref="AE386:AE449" si="6">"EF1 E001 Geo"</f>
        <v>EF1 E001 Geo</v>
      </c>
    </row>
    <row r="387" spans="1:31" s="14" customFormat="1" x14ac:dyDescent="0.25">
      <c r="A387" s="24"/>
      <c r="B387" s="21"/>
      <c r="C387" s="21"/>
      <c r="D387" s="21"/>
      <c r="E387" s="23"/>
      <c r="F387" s="23"/>
      <c r="G387" s="23"/>
      <c r="H387" s="23"/>
      <c r="I387" s="24"/>
      <c r="J387" s="24"/>
      <c r="K387" s="23"/>
      <c r="L387" s="23"/>
      <c r="M387" s="24"/>
      <c r="N387" s="24"/>
      <c r="O387" s="27"/>
      <c r="P387" s="27"/>
      <c r="Q387" s="27"/>
      <c r="R387" s="23"/>
      <c r="S387" s="25"/>
      <c r="T387" s="25"/>
      <c r="U387" s="25"/>
      <c r="V387" s="25"/>
      <c r="W387" s="25"/>
      <c r="X387" s="23"/>
      <c r="Y387" s="4" t="str">
        <f>IF(Tabela2[[#This Row],[SIGLA]]="","",VLOOKUP(Tabela2[[#This Row],[SIGLA]],Tabela14[[#All],[Sigla Arte]:[Crédito]],2,0))</f>
        <v/>
      </c>
      <c r="Z387" s="24"/>
      <c r="AA387" s="24" t="str">
        <f>Tabela2[[#This Row],[ILUSTRADOR CRIAÇÃO]]</f>
        <v/>
      </c>
      <c r="AB387" s="23"/>
      <c r="AC387" s="21"/>
      <c r="AD387" s="21"/>
      <c r="AE387" s="4" t="str">
        <f t="shared" si="6"/>
        <v>EF1 E001 Geo</v>
      </c>
    </row>
    <row r="388" spans="1:31" s="14" customFormat="1" x14ac:dyDescent="0.25">
      <c r="A388" s="24"/>
      <c r="B388" s="21"/>
      <c r="C388" s="21"/>
      <c r="D388" s="21"/>
      <c r="E388" s="23"/>
      <c r="F388" s="23"/>
      <c r="G388" s="23"/>
      <c r="H388" s="23"/>
      <c r="I388" s="24"/>
      <c r="J388" s="24"/>
      <c r="K388" s="23"/>
      <c r="L388" s="23"/>
      <c r="M388" s="24"/>
      <c r="N388" s="24"/>
      <c r="O388" s="27"/>
      <c r="P388" s="27"/>
      <c r="Q388" s="27"/>
      <c r="R388" s="23"/>
      <c r="S388" s="25"/>
      <c r="T388" s="25"/>
      <c r="U388" s="25"/>
      <c r="V388" s="25"/>
      <c r="W388" s="25"/>
      <c r="X388" s="23"/>
      <c r="Y388" s="4" t="str">
        <f>IF(Tabela2[[#This Row],[SIGLA]]="","",VLOOKUP(Tabela2[[#This Row],[SIGLA]],Tabela14[[#All],[Sigla Arte]:[Crédito]],2,0))</f>
        <v/>
      </c>
      <c r="Z388" s="24"/>
      <c r="AA388" s="24" t="str">
        <f>Tabela2[[#This Row],[ILUSTRADOR CRIAÇÃO]]</f>
        <v/>
      </c>
      <c r="AB388" s="23"/>
      <c r="AC388" s="21"/>
      <c r="AD388" s="21"/>
      <c r="AE388" s="4" t="str">
        <f t="shared" si="6"/>
        <v>EF1 E001 Geo</v>
      </c>
    </row>
    <row r="389" spans="1:31" s="14" customFormat="1" x14ac:dyDescent="0.25">
      <c r="A389" s="24"/>
      <c r="B389" s="21"/>
      <c r="C389" s="21"/>
      <c r="D389" s="21"/>
      <c r="E389" s="23"/>
      <c r="F389" s="23"/>
      <c r="G389" s="23"/>
      <c r="H389" s="23"/>
      <c r="I389" s="24"/>
      <c r="J389" s="24"/>
      <c r="K389" s="23"/>
      <c r="L389" s="23"/>
      <c r="M389" s="24"/>
      <c r="N389" s="24"/>
      <c r="O389" s="27"/>
      <c r="P389" s="27"/>
      <c r="Q389" s="27"/>
      <c r="R389" s="23"/>
      <c r="S389" s="25"/>
      <c r="T389" s="25"/>
      <c r="U389" s="25"/>
      <c r="V389" s="25"/>
      <c r="W389" s="25"/>
      <c r="X389" s="23"/>
      <c r="Y389" s="4" t="str">
        <f>IF(Tabela2[[#This Row],[SIGLA]]="","",VLOOKUP(Tabela2[[#This Row],[SIGLA]],Tabela14[[#All],[Sigla Arte]:[Crédito]],2,0))</f>
        <v/>
      </c>
      <c r="Z389" s="24"/>
      <c r="AA389" s="24" t="str">
        <f>Tabela2[[#This Row],[ILUSTRADOR CRIAÇÃO]]</f>
        <v/>
      </c>
      <c r="AB389" s="23"/>
      <c r="AC389" s="21"/>
      <c r="AD389" s="21"/>
      <c r="AE389" s="4" t="str">
        <f t="shared" si="6"/>
        <v>EF1 E001 Geo</v>
      </c>
    </row>
    <row r="390" spans="1:31" s="14" customFormat="1" x14ac:dyDescent="0.25">
      <c r="A390" s="24"/>
      <c r="B390" s="21"/>
      <c r="C390" s="21"/>
      <c r="D390" s="21"/>
      <c r="E390" s="23"/>
      <c r="F390" s="23"/>
      <c r="G390" s="23"/>
      <c r="H390" s="23"/>
      <c r="I390" s="24"/>
      <c r="J390" s="24"/>
      <c r="K390" s="23"/>
      <c r="L390" s="23"/>
      <c r="M390" s="24"/>
      <c r="N390" s="24"/>
      <c r="O390" s="27"/>
      <c r="P390" s="27"/>
      <c r="Q390" s="27"/>
      <c r="R390" s="23"/>
      <c r="S390" s="25"/>
      <c r="T390" s="25"/>
      <c r="U390" s="25"/>
      <c r="V390" s="25"/>
      <c r="W390" s="25"/>
      <c r="X390" s="23"/>
      <c r="Y390" s="4" t="str">
        <f>IF(Tabela2[[#This Row],[SIGLA]]="","",VLOOKUP(Tabela2[[#This Row],[SIGLA]],Tabela14[[#All],[Sigla Arte]:[Crédito]],2,0))</f>
        <v/>
      </c>
      <c r="Z390" s="24"/>
      <c r="AA390" s="24" t="str">
        <f>Tabela2[[#This Row],[ILUSTRADOR CRIAÇÃO]]</f>
        <v/>
      </c>
      <c r="AB390" s="23"/>
      <c r="AC390" s="21"/>
      <c r="AD390" s="21"/>
      <c r="AE390" s="4" t="str">
        <f t="shared" si="6"/>
        <v>EF1 E001 Geo</v>
      </c>
    </row>
    <row r="391" spans="1:31" s="14" customFormat="1" x14ac:dyDescent="0.25">
      <c r="A391" s="24"/>
      <c r="B391" s="21"/>
      <c r="C391" s="21"/>
      <c r="D391" s="21"/>
      <c r="E391" s="23"/>
      <c r="F391" s="23"/>
      <c r="G391" s="23"/>
      <c r="H391" s="23"/>
      <c r="I391" s="24"/>
      <c r="J391" s="24"/>
      <c r="K391" s="23"/>
      <c r="L391" s="23"/>
      <c r="M391" s="24"/>
      <c r="N391" s="24"/>
      <c r="O391" s="27"/>
      <c r="P391" s="27"/>
      <c r="Q391" s="27"/>
      <c r="R391" s="23"/>
      <c r="S391" s="25"/>
      <c r="T391" s="25"/>
      <c r="U391" s="25"/>
      <c r="V391" s="25"/>
      <c r="W391" s="25"/>
      <c r="X391" s="23"/>
      <c r="Y391" s="4" t="str">
        <f>IF(Tabela2[[#This Row],[SIGLA]]="","",VLOOKUP(Tabela2[[#This Row],[SIGLA]],Tabela14[[#All],[Sigla Arte]:[Crédito]],2,0))</f>
        <v/>
      </c>
      <c r="Z391" s="24"/>
      <c r="AA391" s="24" t="str">
        <f>Tabela2[[#This Row],[ILUSTRADOR CRIAÇÃO]]</f>
        <v/>
      </c>
      <c r="AB391" s="23"/>
      <c r="AC391" s="21"/>
      <c r="AD391" s="21"/>
      <c r="AE391" s="4" t="str">
        <f t="shared" si="6"/>
        <v>EF1 E001 Geo</v>
      </c>
    </row>
    <row r="392" spans="1:31" s="14" customFormat="1" x14ac:dyDescent="0.25">
      <c r="A392" s="24"/>
      <c r="B392" s="21"/>
      <c r="C392" s="21"/>
      <c r="D392" s="21"/>
      <c r="E392" s="23"/>
      <c r="F392" s="23"/>
      <c r="G392" s="23"/>
      <c r="H392" s="23"/>
      <c r="I392" s="24"/>
      <c r="J392" s="24"/>
      <c r="K392" s="23"/>
      <c r="L392" s="23"/>
      <c r="M392" s="24"/>
      <c r="N392" s="24"/>
      <c r="O392" s="27"/>
      <c r="P392" s="27"/>
      <c r="Q392" s="27"/>
      <c r="R392" s="23"/>
      <c r="S392" s="25"/>
      <c r="T392" s="25"/>
      <c r="U392" s="25"/>
      <c r="V392" s="25"/>
      <c r="W392" s="25"/>
      <c r="X392" s="23"/>
      <c r="Y392" s="4" t="str">
        <f>IF(Tabela2[[#This Row],[SIGLA]]="","",VLOOKUP(Tabela2[[#This Row],[SIGLA]],Tabela14[[#All],[Sigla Arte]:[Crédito]],2,0))</f>
        <v/>
      </c>
      <c r="Z392" s="24"/>
      <c r="AA392" s="24" t="str">
        <f>Tabela2[[#This Row],[ILUSTRADOR CRIAÇÃO]]</f>
        <v/>
      </c>
      <c r="AB392" s="23"/>
      <c r="AC392" s="21"/>
      <c r="AD392" s="21"/>
      <c r="AE392" s="4" t="str">
        <f t="shared" si="6"/>
        <v>EF1 E001 Geo</v>
      </c>
    </row>
    <row r="393" spans="1:31" s="14" customFormat="1" x14ac:dyDescent="0.25">
      <c r="A393" s="24"/>
      <c r="B393" s="21"/>
      <c r="C393" s="21"/>
      <c r="D393" s="21"/>
      <c r="E393" s="23"/>
      <c r="F393" s="23"/>
      <c r="G393" s="23"/>
      <c r="H393" s="23"/>
      <c r="I393" s="24"/>
      <c r="J393" s="24"/>
      <c r="K393" s="23"/>
      <c r="L393" s="23"/>
      <c r="M393" s="24"/>
      <c r="N393" s="24"/>
      <c r="O393" s="27"/>
      <c r="P393" s="27"/>
      <c r="Q393" s="27"/>
      <c r="R393" s="23"/>
      <c r="S393" s="25"/>
      <c r="T393" s="25"/>
      <c r="U393" s="25"/>
      <c r="V393" s="25"/>
      <c r="W393" s="25"/>
      <c r="X393" s="23"/>
      <c r="Y393" s="4" t="str">
        <f>IF(Tabela2[[#This Row],[SIGLA]]="","",VLOOKUP(Tabela2[[#This Row],[SIGLA]],Tabela14[[#All],[Sigla Arte]:[Crédito]],2,0))</f>
        <v/>
      </c>
      <c r="Z393" s="24"/>
      <c r="AA393" s="24" t="str">
        <f>Tabela2[[#This Row],[ILUSTRADOR CRIAÇÃO]]</f>
        <v/>
      </c>
      <c r="AB393" s="23"/>
      <c r="AC393" s="21"/>
      <c r="AD393" s="21"/>
      <c r="AE393" s="4" t="str">
        <f t="shared" si="6"/>
        <v>EF1 E001 Geo</v>
      </c>
    </row>
    <row r="394" spans="1:31" s="14" customFormat="1" x14ac:dyDescent="0.25">
      <c r="A394" s="24"/>
      <c r="B394" s="21"/>
      <c r="C394" s="21"/>
      <c r="D394" s="21"/>
      <c r="E394" s="23"/>
      <c r="F394" s="23"/>
      <c r="G394" s="23"/>
      <c r="H394" s="23"/>
      <c r="I394" s="24"/>
      <c r="J394" s="24"/>
      <c r="K394" s="23"/>
      <c r="L394" s="23"/>
      <c r="M394" s="24"/>
      <c r="N394" s="24"/>
      <c r="O394" s="27"/>
      <c r="P394" s="27"/>
      <c r="Q394" s="27"/>
      <c r="R394" s="23"/>
      <c r="S394" s="25"/>
      <c r="T394" s="25"/>
      <c r="U394" s="25"/>
      <c r="V394" s="25"/>
      <c r="W394" s="25"/>
      <c r="X394" s="23"/>
      <c r="Y394" s="4" t="str">
        <f>IF(Tabela2[[#This Row],[SIGLA]]="","",VLOOKUP(Tabela2[[#This Row],[SIGLA]],Tabela14[[#All],[Sigla Arte]:[Crédito]],2,0))</f>
        <v/>
      </c>
      <c r="Z394" s="24"/>
      <c r="AA394" s="24" t="str">
        <f>Tabela2[[#This Row],[ILUSTRADOR CRIAÇÃO]]</f>
        <v/>
      </c>
      <c r="AB394" s="23"/>
      <c r="AC394" s="21"/>
      <c r="AD394" s="21"/>
      <c r="AE394" s="4" t="str">
        <f t="shared" si="6"/>
        <v>EF1 E001 Geo</v>
      </c>
    </row>
    <row r="395" spans="1:31" s="14" customFormat="1" x14ac:dyDescent="0.25">
      <c r="A395" s="24"/>
      <c r="B395" s="21"/>
      <c r="C395" s="21"/>
      <c r="D395" s="21"/>
      <c r="E395" s="23"/>
      <c r="F395" s="23"/>
      <c r="G395" s="23"/>
      <c r="H395" s="23"/>
      <c r="I395" s="24"/>
      <c r="J395" s="24"/>
      <c r="K395" s="23"/>
      <c r="L395" s="23"/>
      <c r="M395" s="24"/>
      <c r="N395" s="24"/>
      <c r="O395" s="27"/>
      <c r="P395" s="27"/>
      <c r="Q395" s="27"/>
      <c r="R395" s="23"/>
      <c r="S395" s="25"/>
      <c r="T395" s="25"/>
      <c r="U395" s="25"/>
      <c r="V395" s="25"/>
      <c r="W395" s="25"/>
      <c r="X395" s="23"/>
      <c r="Y395" s="4" t="str">
        <f>IF(Tabela2[[#This Row],[SIGLA]]="","",VLOOKUP(Tabela2[[#This Row],[SIGLA]],Tabela14[[#All],[Sigla Arte]:[Crédito]],2,0))</f>
        <v/>
      </c>
      <c r="Z395" s="24"/>
      <c r="AA395" s="24" t="str">
        <f>Tabela2[[#This Row],[ILUSTRADOR CRIAÇÃO]]</f>
        <v/>
      </c>
      <c r="AB395" s="23"/>
      <c r="AC395" s="21"/>
      <c r="AD395" s="21"/>
      <c r="AE395" s="4" t="str">
        <f t="shared" si="6"/>
        <v>EF1 E001 Geo</v>
      </c>
    </row>
    <row r="396" spans="1:31" s="14" customFormat="1" x14ac:dyDescent="0.25">
      <c r="A396" s="24"/>
      <c r="B396" s="21"/>
      <c r="C396" s="21"/>
      <c r="D396" s="21"/>
      <c r="E396" s="23"/>
      <c r="F396" s="23"/>
      <c r="G396" s="23"/>
      <c r="H396" s="23"/>
      <c r="I396" s="24"/>
      <c r="J396" s="24"/>
      <c r="K396" s="23"/>
      <c r="L396" s="23"/>
      <c r="M396" s="24"/>
      <c r="N396" s="24"/>
      <c r="O396" s="27"/>
      <c r="P396" s="27"/>
      <c r="Q396" s="27"/>
      <c r="R396" s="23"/>
      <c r="S396" s="25"/>
      <c r="T396" s="25"/>
      <c r="U396" s="25"/>
      <c r="V396" s="25"/>
      <c r="W396" s="25"/>
      <c r="X396" s="23"/>
      <c r="Y396" s="4" t="str">
        <f>IF(Tabela2[[#This Row],[SIGLA]]="","",VLOOKUP(Tabela2[[#This Row],[SIGLA]],Tabela14[[#All],[Sigla Arte]:[Crédito]],2,0))</f>
        <v/>
      </c>
      <c r="Z396" s="24"/>
      <c r="AA396" s="24" t="str">
        <f>Tabela2[[#This Row],[ILUSTRADOR CRIAÇÃO]]</f>
        <v/>
      </c>
      <c r="AB396" s="23"/>
      <c r="AC396" s="21"/>
      <c r="AD396" s="21"/>
      <c r="AE396" s="4" t="str">
        <f t="shared" si="6"/>
        <v>EF1 E001 Geo</v>
      </c>
    </row>
    <row r="397" spans="1:31" s="14" customFormat="1" x14ac:dyDescent="0.25">
      <c r="A397" s="24"/>
      <c r="B397" s="21"/>
      <c r="C397" s="21"/>
      <c r="D397" s="21"/>
      <c r="E397" s="23"/>
      <c r="F397" s="23"/>
      <c r="G397" s="23"/>
      <c r="H397" s="23"/>
      <c r="I397" s="24"/>
      <c r="J397" s="24"/>
      <c r="K397" s="23"/>
      <c r="L397" s="23"/>
      <c r="M397" s="24"/>
      <c r="N397" s="24"/>
      <c r="O397" s="27"/>
      <c r="P397" s="27"/>
      <c r="Q397" s="27"/>
      <c r="R397" s="23"/>
      <c r="S397" s="25"/>
      <c r="T397" s="25"/>
      <c r="U397" s="25"/>
      <c r="V397" s="25"/>
      <c r="W397" s="25"/>
      <c r="X397" s="23"/>
      <c r="Y397" s="4" t="str">
        <f>IF(Tabela2[[#This Row],[SIGLA]]="","",VLOOKUP(Tabela2[[#This Row],[SIGLA]],Tabela14[[#All],[Sigla Arte]:[Crédito]],2,0))</f>
        <v/>
      </c>
      <c r="Z397" s="24"/>
      <c r="AA397" s="24" t="str">
        <f>Tabela2[[#This Row],[ILUSTRADOR CRIAÇÃO]]</f>
        <v/>
      </c>
      <c r="AB397" s="23"/>
      <c r="AC397" s="21"/>
      <c r="AD397" s="21"/>
      <c r="AE397" s="4" t="str">
        <f t="shared" si="6"/>
        <v>EF1 E001 Geo</v>
      </c>
    </row>
    <row r="398" spans="1:31" s="14" customFormat="1" x14ac:dyDescent="0.25">
      <c r="A398" s="24"/>
      <c r="B398" s="21"/>
      <c r="C398" s="21"/>
      <c r="D398" s="21"/>
      <c r="E398" s="23"/>
      <c r="F398" s="23"/>
      <c r="G398" s="23"/>
      <c r="H398" s="23"/>
      <c r="I398" s="24"/>
      <c r="J398" s="24"/>
      <c r="K398" s="23"/>
      <c r="L398" s="23"/>
      <c r="M398" s="24"/>
      <c r="N398" s="24"/>
      <c r="O398" s="27"/>
      <c r="P398" s="27"/>
      <c r="Q398" s="27"/>
      <c r="R398" s="23"/>
      <c r="S398" s="25"/>
      <c r="T398" s="25"/>
      <c r="U398" s="25"/>
      <c r="V398" s="25"/>
      <c r="W398" s="25"/>
      <c r="X398" s="23"/>
      <c r="Y398" s="4" t="str">
        <f>IF(Tabela2[[#This Row],[SIGLA]]="","",VLOOKUP(Tabela2[[#This Row],[SIGLA]],Tabela14[[#All],[Sigla Arte]:[Crédito]],2,0))</f>
        <v/>
      </c>
      <c r="Z398" s="24"/>
      <c r="AA398" s="24" t="str">
        <f>Tabela2[[#This Row],[ILUSTRADOR CRIAÇÃO]]</f>
        <v/>
      </c>
      <c r="AB398" s="23"/>
      <c r="AC398" s="21"/>
      <c r="AD398" s="21"/>
      <c r="AE398" s="4" t="str">
        <f t="shared" si="6"/>
        <v>EF1 E001 Geo</v>
      </c>
    </row>
    <row r="399" spans="1:31" s="14" customFormat="1" x14ac:dyDescent="0.25">
      <c r="A399" s="24"/>
      <c r="B399" s="21"/>
      <c r="C399" s="21"/>
      <c r="D399" s="21"/>
      <c r="E399" s="23"/>
      <c r="F399" s="23"/>
      <c r="G399" s="23"/>
      <c r="H399" s="23"/>
      <c r="I399" s="24"/>
      <c r="J399" s="24"/>
      <c r="K399" s="23"/>
      <c r="L399" s="23"/>
      <c r="M399" s="24"/>
      <c r="N399" s="24"/>
      <c r="O399" s="27"/>
      <c r="P399" s="27"/>
      <c r="Q399" s="27"/>
      <c r="R399" s="23"/>
      <c r="S399" s="25"/>
      <c r="T399" s="25"/>
      <c r="U399" s="25"/>
      <c r="V399" s="25"/>
      <c r="W399" s="25"/>
      <c r="X399" s="23"/>
      <c r="Y399" s="4" t="str">
        <f>IF(Tabela2[[#This Row],[SIGLA]]="","",VLOOKUP(Tabela2[[#This Row],[SIGLA]],Tabela14[[#All],[Sigla Arte]:[Crédito]],2,0))</f>
        <v/>
      </c>
      <c r="Z399" s="24"/>
      <c r="AA399" s="24" t="str">
        <f>Tabela2[[#This Row],[ILUSTRADOR CRIAÇÃO]]</f>
        <v/>
      </c>
      <c r="AB399" s="23"/>
      <c r="AC399" s="21"/>
      <c r="AD399" s="21"/>
      <c r="AE399" s="4" t="str">
        <f t="shared" si="6"/>
        <v>EF1 E001 Geo</v>
      </c>
    </row>
    <row r="400" spans="1:31" s="14" customFormat="1" x14ac:dyDescent="0.25">
      <c r="A400" s="24"/>
      <c r="B400" s="21"/>
      <c r="C400" s="21"/>
      <c r="D400" s="21"/>
      <c r="E400" s="23"/>
      <c r="F400" s="23"/>
      <c r="G400" s="23"/>
      <c r="H400" s="23"/>
      <c r="I400" s="24"/>
      <c r="J400" s="24"/>
      <c r="K400" s="23"/>
      <c r="L400" s="23"/>
      <c r="M400" s="24"/>
      <c r="N400" s="24"/>
      <c r="O400" s="27"/>
      <c r="P400" s="27"/>
      <c r="Q400" s="27"/>
      <c r="R400" s="23"/>
      <c r="S400" s="25"/>
      <c r="T400" s="25"/>
      <c r="U400" s="25"/>
      <c r="V400" s="25"/>
      <c r="W400" s="25"/>
      <c r="X400" s="23"/>
      <c r="Y400" s="4" t="str">
        <f>IF(Tabela2[[#This Row],[SIGLA]]="","",VLOOKUP(Tabela2[[#This Row],[SIGLA]],Tabela14[[#All],[Sigla Arte]:[Crédito]],2,0))</f>
        <v/>
      </c>
      <c r="Z400" s="24"/>
      <c r="AA400" s="24" t="str">
        <f>Tabela2[[#This Row],[ILUSTRADOR CRIAÇÃO]]</f>
        <v/>
      </c>
      <c r="AB400" s="23"/>
      <c r="AC400" s="21"/>
      <c r="AD400" s="21"/>
      <c r="AE400" s="4" t="str">
        <f t="shared" si="6"/>
        <v>EF1 E001 Geo</v>
      </c>
    </row>
    <row r="401" spans="1:31" s="14" customFormat="1" x14ac:dyDescent="0.25">
      <c r="A401" s="24"/>
      <c r="B401" s="21"/>
      <c r="C401" s="21"/>
      <c r="D401" s="21"/>
      <c r="E401" s="23"/>
      <c r="F401" s="23"/>
      <c r="G401" s="23"/>
      <c r="H401" s="23"/>
      <c r="I401" s="24"/>
      <c r="J401" s="24"/>
      <c r="K401" s="23"/>
      <c r="L401" s="23"/>
      <c r="M401" s="24"/>
      <c r="N401" s="24"/>
      <c r="O401" s="27"/>
      <c r="P401" s="27"/>
      <c r="Q401" s="27"/>
      <c r="R401" s="23"/>
      <c r="S401" s="25"/>
      <c r="T401" s="25"/>
      <c r="U401" s="25"/>
      <c r="V401" s="25"/>
      <c r="W401" s="25"/>
      <c r="X401" s="23"/>
      <c r="Y401" s="4" t="str">
        <f>IF(Tabela2[[#This Row],[SIGLA]]="","",VLOOKUP(Tabela2[[#This Row],[SIGLA]],Tabela14[[#All],[Sigla Arte]:[Crédito]],2,0))</f>
        <v/>
      </c>
      <c r="Z401" s="24"/>
      <c r="AA401" s="24" t="str">
        <f>Tabela2[[#This Row],[ILUSTRADOR CRIAÇÃO]]</f>
        <v/>
      </c>
      <c r="AB401" s="23"/>
      <c r="AC401" s="21"/>
      <c r="AD401" s="21"/>
      <c r="AE401" s="4" t="str">
        <f t="shared" si="6"/>
        <v>EF1 E001 Geo</v>
      </c>
    </row>
    <row r="402" spans="1:31" s="14" customFormat="1" x14ac:dyDescent="0.25">
      <c r="A402" s="24"/>
      <c r="B402" s="21"/>
      <c r="C402" s="21"/>
      <c r="D402" s="21"/>
      <c r="E402" s="23"/>
      <c r="F402" s="23"/>
      <c r="G402" s="23"/>
      <c r="H402" s="23"/>
      <c r="I402" s="24"/>
      <c r="J402" s="24"/>
      <c r="K402" s="23"/>
      <c r="L402" s="23"/>
      <c r="M402" s="24"/>
      <c r="N402" s="24"/>
      <c r="O402" s="27"/>
      <c r="P402" s="27"/>
      <c r="Q402" s="27"/>
      <c r="R402" s="23"/>
      <c r="S402" s="25"/>
      <c r="T402" s="25"/>
      <c r="U402" s="25"/>
      <c r="V402" s="25"/>
      <c r="W402" s="25"/>
      <c r="X402" s="23"/>
      <c r="Y402" s="4" t="str">
        <f>IF(Tabela2[[#This Row],[SIGLA]]="","",VLOOKUP(Tabela2[[#This Row],[SIGLA]],Tabela14[[#All],[Sigla Arte]:[Crédito]],2,0))</f>
        <v/>
      </c>
      <c r="Z402" s="24"/>
      <c r="AA402" s="24" t="str">
        <f>Tabela2[[#This Row],[ILUSTRADOR CRIAÇÃO]]</f>
        <v/>
      </c>
      <c r="AB402" s="23"/>
      <c r="AC402" s="21"/>
      <c r="AD402" s="21"/>
      <c r="AE402" s="4" t="str">
        <f t="shared" si="6"/>
        <v>EF1 E001 Geo</v>
      </c>
    </row>
    <row r="403" spans="1:31" s="14" customFormat="1" x14ac:dyDescent="0.25">
      <c r="A403" s="24"/>
      <c r="B403" s="21"/>
      <c r="C403" s="21"/>
      <c r="D403" s="21"/>
      <c r="E403" s="23"/>
      <c r="F403" s="23"/>
      <c r="G403" s="23"/>
      <c r="H403" s="23"/>
      <c r="I403" s="24"/>
      <c r="J403" s="24"/>
      <c r="K403" s="23"/>
      <c r="L403" s="23"/>
      <c r="M403" s="24"/>
      <c r="N403" s="24"/>
      <c r="O403" s="27"/>
      <c r="P403" s="27"/>
      <c r="Q403" s="27"/>
      <c r="R403" s="23"/>
      <c r="S403" s="25"/>
      <c r="T403" s="25"/>
      <c r="U403" s="25"/>
      <c r="V403" s="25"/>
      <c r="W403" s="25"/>
      <c r="X403" s="23"/>
      <c r="Y403" s="4" t="str">
        <f>IF(Tabela2[[#This Row],[SIGLA]]="","",VLOOKUP(Tabela2[[#This Row],[SIGLA]],Tabela14[[#All],[Sigla Arte]:[Crédito]],2,0))</f>
        <v/>
      </c>
      <c r="Z403" s="24"/>
      <c r="AA403" s="24" t="str">
        <f>Tabela2[[#This Row],[ILUSTRADOR CRIAÇÃO]]</f>
        <v/>
      </c>
      <c r="AB403" s="23"/>
      <c r="AC403" s="21"/>
      <c r="AD403" s="21"/>
      <c r="AE403" s="4" t="str">
        <f t="shared" si="6"/>
        <v>EF1 E001 Geo</v>
      </c>
    </row>
    <row r="404" spans="1:31" s="14" customFormat="1" x14ac:dyDescent="0.25">
      <c r="A404" s="24"/>
      <c r="B404" s="21"/>
      <c r="C404" s="21"/>
      <c r="D404" s="21"/>
      <c r="E404" s="23"/>
      <c r="F404" s="23"/>
      <c r="G404" s="23"/>
      <c r="H404" s="23"/>
      <c r="I404" s="24"/>
      <c r="J404" s="24"/>
      <c r="K404" s="23"/>
      <c r="L404" s="23"/>
      <c r="M404" s="24"/>
      <c r="N404" s="24"/>
      <c r="O404" s="27"/>
      <c r="P404" s="27"/>
      <c r="Q404" s="27"/>
      <c r="R404" s="23"/>
      <c r="S404" s="25"/>
      <c r="T404" s="25"/>
      <c r="U404" s="25"/>
      <c r="V404" s="25"/>
      <c r="W404" s="25"/>
      <c r="X404" s="23"/>
      <c r="Y404" s="4" t="str">
        <f>IF(Tabela2[[#This Row],[SIGLA]]="","",VLOOKUP(Tabela2[[#This Row],[SIGLA]],Tabela14[[#All],[Sigla Arte]:[Crédito]],2,0))</f>
        <v/>
      </c>
      <c r="Z404" s="24"/>
      <c r="AA404" s="24" t="str">
        <f>Tabela2[[#This Row],[ILUSTRADOR CRIAÇÃO]]</f>
        <v/>
      </c>
      <c r="AB404" s="23"/>
      <c r="AC404" s="21"/>
      <c r="AD404" s="21"/>
      <c r="AE404" s="4" t="str">
        <f t="shared" si="6"/>
        <v>EF1 E001 Geo</v>
      </c>
    </row>
    <row r="405" spans="1:31" s="14" customFormat="1" x14ac:dyDescent="0.25">
      <c r="A405" s="24"/>
      <c r="B405" s="21"/>
      <c r="C405" s="21"/>
      <c r="D405" s="21"/>
      <c r="E405" s="23"/>
      <c r="F405" s="23"/>
      <c r="G405" s="23"/>
      <c r="H405" s="23"/>
      <c r="I405" s="24"/>
      <c r="J405" s="24"/>
      <c r="K405" s="23"/>
      <c r="L405" s="23"/>
      <c r="M405" s="24"/>
      <c r="N405" s="24"/>
      <c r="O405" s="27"/>
      <c r="P405" s="27"/>
      <c r="Q405" s="27"/>
      <c r="R405" s="23"/>
      <c r="S405" s="25"/>
      <c r="T405" s="25"/>
      <c r="U405" s="25"/>
      <c r="V405" s="25"/>
      <c r="W405" s="25"/>
      <c r="X405" s="23"/>
      <c r="Y405" s="4" t="str">
        <f>IF(Tabela2[[#This Row],[SIGLA]]="","",VLOOKUP(Tabela2[[#This Row],[SIGLA]],Tabela14[[#All],[Sigla Arte]:[Crédito]],2,0))</f>
        <v/>
      </c>
      <c r="Z405" s="24"/>
      <c r="AA405" s="24" t="str">
        <f>Tabela2[[#This Row],[ILUSTRADOR CRIAÇÃO]]</f>
        <v/>
      </c>
      <c r="AB405" s="23"/>
      <c r="AC405" s="21"/>
      <c r="AD405" s="21"/>
      <c r="AE405" s="4" t="str">
        <f t="shared" si="6"/>
        <v>EF1 E001 Geo</v>
      </c>
    </row>
    <row r="406" spans="1:31" s="14" customFormat="1" x14ac:dyDescent="0.25">
      <c r="A406" s="24"/>
      <c r="B406" s="21"/>
      <c r="C406" s="21"/>
      <c r="D406" s="21"/>
      <c r="E406" s="23"/>
      <c r="F406" s="23"/>
      <c r="G406" s="23"/>
      <c r="H406" s="23"/>
      <c r="I406" s="24"/>
      <c r="J406" s="24"/>
      <c r="K406" s="23"/>
      <c r="L406" s="23"/>
      <c r="M406" s="24"/>
      <c r="N406" s="24"/>
      <c r="O406" s="27"/>
      <c r="P406" s="27"/>
      <c r="Q406" s="27"/>
      <c r="R406" s="23"/>
      <c r="S406" s="25"/>
      <c r="T406" s="25"/>
      <c r="U406" s="25"/>
      <c r="V406" s="25"/>
      <c r="W406" s="25"/>
      <c r="X406" s="23"/>
      <c r="Y406" s="4" t="str">
        <f>IF(Tabela2[[#This Row],[SIGLA]]="","",VLOOKUP(Tabela2[[#This Row],[SIGLA]],Tabela14[[#All],[Sigla Arte]:[Crédito]],2,0))</f>
        <v/>
      </c>
      <c r="Z406" s="24"/>
      <c r="AA406" s="24" t="str">
        <f>Tabela2[[#This Row],[ILUSTRADOR CRIAÇÃO]]</f>
        <v/>
      </c>
      <c r="AB406" s="23"/>
      <c r="AC406" s="21"/>
      <c r="AD406" s="21"/>
      <c r="AE406" s="4" t="str">
        <f t="shared" si="6"/>
        <v>EF1 E001 Geo</v>
      </c>
    </row>
    <row r="407" spans="1:31" s="14" customFormat="1" x14ac:dyDescent="0.25">
      <c r="A407" s="24"/>
      <c r="B407" s="21"/>
      <c r="C407" s="21"/>
      <c r="D407" s="21"/>
      <c r="E407" s="23"/>
      <c r="F407" s="23"/>
      <c r="G407" s="23"/>
      <c r="H407" s="23"/>
      <c r="I407" s="24"/>
      <c r="J407" s="24"/>
      <c r="K407" s="23"/>
      <c r="L407" s="23"/>
      <c r="M407" s="24"/>
      <c r="N407" s="24"/>
      <c r="O407" s="27"/>
      <c r="P407" s="27"/>
      <c r="Q407" s="27"/>
      <c r="R407" s="23"/>
      <c r="S407" s="25"/>
      <c r="T407" s="25"/>
      <c r="U407" s="25"/>
      <c r="V407" s="25"/>
      <c r="W407" s="25"/>
      <c r="X407" s="23"/>
      <c r="Y407" s="4" t="str">
        <f>IF(Tabela2[[#This Row],[SIGLA]]="","",VLOOKUP(Tabela2[[#This Row],[SIGLA]],Tabela14[[#All],[Sigla Arte]:[Crédito]],2,0))</f>
        <v/>
      </c>
      <c r="Z407" s="24"/>
      <c r="AA407" s="24" t="str">
        <f>Tabela2[[#This Row],[ILUSTRADOR CRIAÇÃO]]</f>
        <v/>
      </c>
      <c r="AB407" s="23"/>
      <c r="AC407" s="21"/>
      <c r="AD407" s="21"/>
      <c r="AE407" s="4" t="str">
        <f t="shared" si="6"/>
        <v>EF1 E001 Geo</v>
      </c>
    </row>
    <row r="408" spans="1:31" s="14" customFormat="1" x14ac:dyDescent="0.25">
      <c r="A408" s="24"/>
      <c r="B408" s="21"/>
      <c r="C408" s="21"/>
      <c r="D408" s="21"/>
      <c r="E408" s="23"/>
      <c r="F408" s="23"/>
      <c r="G408" s="23"/>
      <c r="H408" s="23"/>
      <c r="I408" s="24"/>
      <c r="J408" s="24"/>
      <c r="K408" s="23"/>
      <c r="L408" s="23"/>
      <c r="M408" s="24"/>
      <c r="N408" s="24"/>
      <c r="O408" s="27"/>
      <c r="P408" s="27"/>
      <c r="Q408" s="27"/>
      <c r="R408" s="23"/>
      <c r="S408" s="25"/>
      <c r="T408" s="25"/>
      <c r="U408" s="25"/>
      <c r="V408" s="25"/>
      <c r="W408" s="25"/>
      <c r="X408" s="23"/>
      <c r="Y408" s="4" t="str">
        <f>IF(Tabela2[[#This Row],[SIGLA]]="","",VLOOKUP(Tabela2[[#This Row],[SIGLA]],Tabela14[[#All],[Sigla Arte]:[Crédito]],2,0))</f>
        <v/>
      </c>
      <c r="Z408" s="24"/>
      <c r="AA408" s="24" t="str">
        <f>Tabela2[[#This Row],[ILUSTRADOR CRIAÇÃO]]</f>
        <v/>
      </c>
      <c r="AB408" s="23"/>
      <c r="AC408" s="21"/>
      <c r="AD408" s="21"/>
      <c r="AE408" s="4" t="str">
        <f t="shared" si="6"/>
        <v>EF1 E001 Geo</v>
      </c>
    </row>
    <row r="409" spans="1:31" s="14" customFormat="1" x14ac:dyDescent="0.25">
      <c r="A409" s="24"/>
      <c r="B409" s="21"/>
      <c r="C409" s="21"/>
      <c r="D409" s="21"/>
      <c r="E409" s="23"/>
      <c r="F409" s="23"/>
      <c r="G409" s="23"/>
      <c r="H409" s="23"/>
      <c r="I409" s="24"/>
      <c r="J409" s="24"/>
      <c r="K409" s="23"/>
      <c r="L409" s="23"/>
      <c r="M409" s="24"/>
      <c r="N409" s="24"/>
      <c r="O409" s="27"/>
      <c r="P409" s="27"/>
      <c r="Q409" s="27"/>
      <c r="R409" s="23"/>
      <c r="S409" s="25"/>
      <c r="T409" s="25"/>
      <c r="U409" s="25"/>
      <c r="V409" s="25"/>
      <c r="W409" s="25"/>
      <c r="X409" s="23"/>
      <c r="Y409" s="4" t="str">
        <f>IF(Tabela2[[#This Row],[SIGLA]]="","",VLOOKUP(Tabela2[[#This Row],[SIGLA]],Tabela14[[#All],[Sigla Arte]:[Crédito]],2,0))</f>
        <v/>
      </c>
      <c r="Z409" s="24"/>
      <c r="AA409" s="24" t="str">
        <f>Tabela2[[#This Row],[ILUSTRADOR CRIAÇÃO]]</f>
        <v/>
      </c>
      <c r="AB409" s="23"/>
      <c r="AC409" s="21"/>
      <c r="AD409" s="21"/>
      <c r="AE409" s="4" t="str">
        <f t="shared" si="6"/>
        <v>EF1 E001 Geo</v>
      </c>
    </row>
    <row r="410" spans="1:31" s="14" customFormat="1" x14ac:dyDescent="0.25">
      <c r="A410" s="24"/>
      <c r="B410" s="21"/>
      <c r="C410" s="21"/>
      <c r="D410" s="21"/>
      <c r="E410" s="23"/>
      <c r="F410" s="23"/>
      <c r="G410" s="23"/>
      <c r="H410" s="23"/>
      <c r="I410" s="24"/>
      <c r="J410" s="24"/>
      <c r="K410" s="23"/>
      <c r="L410" s="23"/>
      <c r="M410" s="24"/>
      <c r="N410" s="24"/>
      <c r="O410" s="27"/>
      <c r="P410" s="27"/>
      <c r="Q410" s="27"/>
      <c r="R410" s="23"/>
      <c r="S410" s="25"/>
      <c r="T410" s="25"/>
      <c r="U410" s="25"/>
      <c r="V410" s="25"/>
      <c r="W410" s="25"/>
      <c r="X410" s="23"/>
      <c r="Y410" s="4" t="str">
        <f>IF(Tabela2[[#This Row],[SIGLA]]="","",VLOOKUP(Tabela2[[#This Row],[SIGLA]],Tabela14[[#All],[Sigla Arte]:[Crédito]],2,0))</f>
        <v/>
      </c>
      <c r="Z410" s="24"/>
      <c r="AA410" s="24" t="str">
        <f>Tabela2[[#This Row],[ILUSTRADOR CRIAÇÃO]]</f>
        <v/>
      </c>
      <c r="AB410" s="23"/>
      <c r="AC410" s="21"/>
      <c r="AD410" s="21"/>
      <c r="AE410" s="4" t="str">
        <f t="shared" si="6"/>
        <v>EF1 E001 Geo</v>
      </c>
    </row>
    <row r="411" spans="1:31" s="14" customFormat="1" x14ac:dyDescent="0.25">
      <c r="A411" s="24"/>
      <c r="B411" s="21"/>
      <c r="C411" s="21"/>
      <c r="D411" s="21"/>
      <c r="E411" s="23"/>
      <c r="F411" s="23"/>
      <c r="G411" s="23"/>
      <c r="H411" s="23"/>
      <c r="I411" s="24"/>
      <c r="J411" s="24"/>
      <c r="K411" s="23"/>
      <c r="L411" s="23"/>
      <c r="M411" s="24"/>
      <c r="N411" s="24"/>
      <c r="O411" s="27"/>
      <c r="P411" s="27"/>
      <c r="Q411" s="27"/>
      <c r="R411" s="23"/>
      <c r="S411" s="25"/>
      <c r="T411" s="25"/>
      <c r="U411" s="25"/>
      <c r="V411" s="25"/>
      <c r="W411" s="25"/>
      <c r="X411" s="23"/>
      <c r="Y411" s="4" t="str">
        <f>IF(Tabela2[[#This Row],[SIGLA]]="","",VLOOKUP(Tabela2[[#This Row],[SIGLA]],Tabela14[[#All],[Sigla Arte]:[Crédito]],2,0))</f>
        <v/>
      </c>
      <c r="Z411" s="24"/>
      <c r="AA411" s="24" t="str">
        <f>Tabela2[[#This Row],[ILUSTRADOR CRIAÇÃO]]</f>
        <v/>
      </c>
      <c r="AB411" s="23"/>
      <c r="AC411" s="21"/>
      <c r="AD411" s="21"/>
      <c r="AE411" s="4" t="str">
        <f t="shared" si="6"/>
        <v>EF1 E001 Geo</v>
      </c>
    </row>
    <row r="412" spans="1:31" s="14" customFormat="1" x14ac:dyDescent="0.25">
      <c r="A412" s="24"/>
      <c r="B412" s="21"/>
      <c r="C412" s="21"/>
      <c r="D412" s="21"/>
      <c r="E412" s="23"/>
      <c r="F412" s="23"/>
      <c r="G412" s="23"/>
      <c r="H412" s="23"/>
      <c r="I412" s="24"/>
      <c r="J412" s="24"/>
      <c r="K412" s="23"/>
      <c r="L412" s="23"/>
      <c r="M412" s="24"/>
      <c r="N412" s="24"/>
      <c r="O412" s="27"/>
      <c r="P412" s="27"/>
      <c r="Q412" s="27"/>
      <c r="R412" s="23"/>
      <c r="S412" s="25"/>
      <c r="T412" s="25"/>
      <c r="U412" s="25"/>
      <c r="V412" s="25"/>
      <c r="W412" s="25"/>
      <c r="X412" s="23"/>
      <c r="Y412" s="4" t="str">
        <f>IF(Tabela2[[#This Row],[SIGLA]]="","",VLOOKUP(Tabela2[[#This Row],[SIGLA]],Tabela14[[#All],[Sigla Arte]:[Crédito]],2,0))</f>
        <v/>
      </c>
      <c r="Z412" s="24"/>
      <c r="AA412" s="24" t="str">
        <f>Tabela2[[#This Row],[ILUSTRADOR CRIAÇÃO]]</f>
        <v/>
      </c>
      <c r="AB412" s="23"/>
      <c r="AC412" s="21"/>
      <c r="AD412" s="21"/>
      <c r="AE412" s="4" t="str">
        <f t="shared" si="6"/>
        <v>EF1 E001 Geo</v>
      </c>
    </row>
    <row r="413" spans="1:31" s="14" customFormat="1" x14ac:dyDescent="0.25">
      <c r="A413" s="24"/>
      <c r="B413" s="21"/>
      <c r="C413" s="21"/>
      <c r="D413" s="21"/>
      <c r="E413" s="23"/>
      <c r="F413" s="23"/>
      <c r="G413" s="23"/>
      <c r="H413" s="23"/>
      <c r="I413" s="24"/>
      <c r="J413" s="24"/>
      <c r="K413" s="23"/>
      <c r="L413" s="23"/>
      <c r="M413" s="24"/>
      <c r="N413" s="24"/>
      <c r="O413" s="27"/>
      <c r="P413" s="27"/>
      <c r="Q413" s="27"/>
      <c r="R413" s="23"/>
      <c r="S413" s="25"/>
      <c r="T413" s="25"/>
      <c r="U413" s="25"/>
      <c r="V413" s="25"/>
      <c r="W413" s="25"/>
      <c r="X413" s="23"/>
      <c r="Y413" s="4" t="str">
        <f>IF(Tabela2[[#This Row],[SIGLA]]="","",VLOOKUP(Tabela2[[#This Row],[SIGLA]],Tabela14[[#All],[Sigla Arte]:[Crédito]],2,0))</f>
        <v/>
      </c>
      <c r="Z413" s="24"/>
      <c r="AA413" s="24" t="str">
        <f>Tabela2[[#This Row],[ILUSTRADOR CRIAÇÃO]]</f>
        <v/>
      </c>
      <c r="AB413" s="23"/>
      <c r="AC413" s="21"/>
      <c r="AD413" s="21"/>
      <c r="AE413" s="4" t="str">
        <f t="shared" si="6"/>
        <v>EF1 E001 Geo</v>
      </c>
    </row>
    <row r="414" spans="1:31" s="14" customFormat="1" x14ac:dyDescent="0.25">
      <c r="A414" s="24"/>
      <c r="B414" s="21"/>
      <c r="C414" s="21"/>
      <c r="D414" s="21"/>
      <c r="E414" s="23"/>
      <c r="F414" s="23"/>
      <c r="G414" s="23"/>
      <c r="H414" s="23"/>
      <c r="I414" s="24"/>
      <c r="J414" s="24"/>
      <c r="K414" s="23"/>
      <c r="L414" s="23"/>
      <c r="M414" s="24"/>
      <c r="N414" s="24"/>
      <c r="O414" s="27"/>
      <c r="P414" s="27"/>
      <c r="Q414" s="27"/>
      <c r="R414" s="23"/>
      <c r="S414" s="25"/>
      <c r="T414" s="25"/>
      <c r="U414" s="25"/>
      <c r="V414" s="25"/>
      <c r="W414" s="25"/>
      <c r="X414" s="23"/>
      <c r="Y414" s="4" t="str">
        <f>IF(Tabela2[[#This Row],[SIGLA]]="","",VLOOKUP(Tabela2[[#This Row],[SIGLA]],Tabela14[[#All],[Sigla Arte]:[Crédito]],2,0))</f>
        <v/>
      </c>
      <c r="Z414" s="24"/>
      <c r="AA414" s="24" t="str">
        <f>Tabela2[[#This Row],[ILUSTRADOR CRIAÇÃO]]</f>
        <v/>
      </c>
      <c r="AB414" s="23"/>
      <c r="AC414" s="21"/>
      <c r="AD414" s="21"/>
      <c r="AE414" s="4" t="str">
        <f t="shared" si="6"/>
        <v>EF1 E001 Geo</v>
      </c>
    </row>
    <row r="415" spans="1:31" s="14" customFormat="1" x14ac:dyDescent="0.25">
      <c r="A415" s="24"/>
      <c r="B415" s="21"/>
      <c r="C415" s="21"/>
      <c r="D415" s="21"/>
      <c r="E415" s="23"/>
      <c r="F415" s="23"/>
      <c r="G415" s="23"/>
      <c r="H415" s="23"/>
      <c r="I415" s="24"/>
      <c r="J415" s="24"/>
      <c r="K415" s="23"/>
      <c r="L415" s="23"/>
      <c r="M415" s="24"/>
      <c r="N415" s="24"/>
      <c r="O415" s="27"/>
      <c r="P415" s="27"/>
      <c r="Q415" s="27"/>
      <c r="R415" s="23"/>
      <c r="S415" s="25"/>
      <c r="T415" s="25"/>
      <c r="U415" s="25"/>
      <c r="V415" s="25"/>
      <c r="W415" s="25"/>
      <c r="X415" s="23"/>
      <c r="Y415" s="4" t="str">
        <f>IF(Tabela2[[#This Row],[SIGLA]]="","",VLOOKUP(Tabela2[[#This Row],[SIGLA]],Tabela14[[#All],[Sigla Arte]:[Crédito]],2,0))</f>
        <v/>
      </c>
      <c r="Z415" s="24"/>
      <c r="AA415" s="24" t="str">
        <f>Tabela2[[#This Row],[ILUSTRADOR CRIAÇÃO]]</f>
        <v/>
      </c>
      <c r="AB415" s="23"/>
      <c r="AC415" s="21"/>
      <c r="AD415" s="21"/>
      <c r="AE415" s="4" t="str">
        <f t="shared" si="6"/>
        <v>EF1 E001 Geo</v>
      </c>
    </row>
    <row r="416" spans="1:31" s="14" customFormat="1" x14ac:dyDescent="0.25">
      <c r="A416" s="24"/>
      <c r="B416" s="21"/>
      <c r="C416" s="21"/>
      <c r="D416" s="21"/>
      <c r="E416" s="23"/>
      <c r="F416" s="23"/>
      <c r="G416" s="23"/>
      <c r="H416" s="23"/>
      <c r="I416" s="24"/>
      <c r="J416" s="24"/>
      <c r="K416" s="23"/>
      <c r="L416" s="23"/>
      <c r="M416" s="24"/>
      <c r="N416" s="24"/>
      <c r="O416" s="27"/>
      <c r="P416" s="27"/>
      <c r="Q416" s="27"/>
      <c r="R416" s="23"/>
      <c r="S416" s="25"/>
      <c r="T416" s="25"/>
      <c r="U416" s="25"/>
      <c r="V416" s="25"/>
      <c r="W416" s="25"/>
      <c r="X416" s="23"/>
      <c r="Y416" s="4" t="str">
        <f>IF(Tabela2[[#This Row],[SIGLA]]="","",VLOOKUP(Tabela2[[#This Row],[SIGLA]],Tabela14[[#All],[Sigla Arte]:[Crédito]],2,0))</f>
        <v/>
      </c>
      <c r="Z416" s="24"/>
      <c r="AA416" s="24" t="str">
        <f>Tabela2[[#This Row],[ILUSTRADOR CRIAÇÃO]]</f>
        <v/>
      </c>
      <c r="AB416" s="23"/>
      <c r="AC416" s="21"/>
      <c r="AD416" s="21"/>
      <c r="AE416" s="4" t="str">
        <f t="shared" si="6"/>
        <v>EF1 E001 Geo</v>
      </c>
    </row>
    <row r="417" spans="1:31" s="14" customFormat="1" x14ac:dyDescent="0.25">
      <c r="A417" s="24"/>
      <c r="B417" s="21"/>
      <c r="C417" s="21"/>
      <c r="D417" s="21"/>
      <c r="E417" s="23"/>
      <c r="F417" s="23"/>
      <c r="G417" s="23"/>
      <c r="H417" s="23"/>
      <c r="I417" s="24"/>
      <c r="J417" s="24"/>
      <c r="K417" s="23"/>
      <c r="L417" s="23"/>
      <c r="M417" s="24"/>
      <c r="N417" s="24"/>
      <c r="O417" s="27"/>
      <c r="P417" s="27"/>
      <c r="Q417" s="27"/>
      <c r="R417" s="23"/>
      <c r="S417" s="25"/>
      <c r="T417" s="25"/>
      <c r="U417" s="25"/>
      <c r="V417" s="25"/>
      <c r="W417" s="25"/>
      <c r="X417" s="23"/>
      <c r="Y417" s="4" t="str">
        <f>IF(Tabela2[[#This Row],[SIGLA]]="","",VLOOKUP(Tabela2[[#This Row],[SIGLA]],Tabela14[[#All],[Sigla Arte]:[Crédito]],2,0))</f>
        <v/>
      </c>
      <c r="Z417" s="24"/>
      <c r="AA417" s="24" t="str">
        <f>Tabela2[[#This Row],[ILUSTRADOR CRIAÇÃO]]</f>
        <v/>
      </c>
      <c r="AB417" s="23"/>
      <c r="AC417" s="21"/>
      <c r="AD417" s="21"/>
      <c r="AE417" s="4" t="str">
        <f t="shared" si="6"/>
        <v>EF1 E001 Geo</v>
      </c>
    </row>
    <row r="418" spans="1:31" s="14" customFormat="1" x14ac:dyDescent="0.25">
      <c r="A418" s="24"/>
      <c r="B418" s="21"/>
      <c r="C418" s="21"/>
      <c r="D418" s="21"/>
      <c r="E418" s="23"/>
      <c r="F418" s="23"/>
      <c r="G418" s="23"/>
      <c r="H418" s="23"/>
      <c r="I418" s="24"/>
      <c r="J418" s="24"/>
      <c r="K418" s="23"/>
      <c r="L418" s="23"/>
      <c r="M418" s="24"/>
      <c r="N418" s="24"/>
      <c r="O418" s="27"/>
      <c r="P418" s="27"/>
      <c r="Q418" s="27"/>
      <c r="R418" s="23"/>
      <c r="S418" s="25"/>
      <c r="T418" s="25"/>
      <c r="U418" s="25"/>
      <c r="V418" s="25"/>
      <c r="W418" s="25"/>
      <c r="X418" s="23"/>
      <c r="Y418" s="4" t="str">
        <f>IF(Tabela2[[#This Row],[SIGLA]]="","",VLOOKUP(Tabela2[[#This Row],[SIGLA]],Tabela14[[#All],[Sigla Arte]:[Crédito]],2,0))</f>
        <v/>
      </c>
      <c r="Z418" s="24"/>
      <c r="AA418" s="24" t="str">
        <f>Tabela2[[#This Row],[ILUSTRADOR CRIAÇÃO]]</f>
        <v/>
      </c>
      <c r="AB418" s="23"/>
      <c r="AC418" s="21"/>
      <c r="AD418" s="21"/>
      <c r="AE418" s="4" t="str">
        <f t="shared" si="6"/>
        <v>EF1 E001 Geo</v>
      </c>
    </row>
    <row r="419" spans="1:31" s="14" customFormat="1" x14ac:dyDescent="0.25">
      <c r="A419" s="24"/>
      <c r="B419" s="21"/>
      <c r="C419" s="21"/>
      <c r="D419" s="21"/>
      <c r="E419" s="23"/>
      <c r="F419" s="23"/>
      <c r="G419" s="23"/>
      <c r="H419" s="23"/>
      <c r="I419" s="24"/>
      <c r="J419" s="24"/>
      <c r="K419" s="23"/>
      <c r="L419" s="23"/>
      <c r="M419" s="24"/>
      <c r="N419" s="24"/>
      <c r="O419" s="27"/>
      <c r="P419" s="27"/>
      <c r="Q419" s="27"/>
      <c r="R419" s="23"/>
      <c r="S419" s="25"/>
      <c r="T419" s="25"/>
      <c r="U419" s="25"/>
      <c r="V419" s="25"/>
      <c r="W419" s="25"/>
      <c r="X419" s="23"/>
      <c r="Y419" s="4" t="str">
        <f>IF(Tabela2[[#This Row],[SIGLA]]="","",VLOOKUP(Tabela2[[#This Row],[SIGLA]],Tabela14[[#All],[Sigla Arte]:[Crédito]],2,0))</f>
        <v/>
      </c>
      <c r="Z419" s="24"/>
      <c r="AA419" s="24" t="str">
        <f>Tabela2[[#This Row],[ILUSTRADOR CRIAÇÃO]]</f>
        <v/>
      </c>
      <c r="AB419" s="23"/>
      <c r="AC419" s="21"/>
      <c r="AD419" s="21"/>
      <c r="AE419" s="4" t="str">
        <f t="shared" si="6"/>
        <v>EF1 E001 Geo</v>
      </c>
    </row>
    <row r="420" spans="1:31" s="14" customFormat="1" x14ac:dyDescent="0.25">
      <c r="A420" s="24"/>
      <c r="B420" s="21"/>
      <c r="C420" s="21"/>
      <c r="D420" s="21"/>
      <c r="E420" s="23"/>
      <c r="F420" s="23"/>
      <c r="G420" s="23"/>
      <c r="H420" s="23"/>
      <c r="I420" s="24"/>
      <c r="J420" s="24"/>
      <c r="K420" s="23"/>
      <c r="L420" s="23"/>
      <c r="M420" s="24"/>
      <c r="N420" s="24"/>
      <c r="O420" s="27"/>
      <c r="P420" s="27"/>
      <c r="Q420" s="27"/>
      <c r="R420" s="23"/>
      <c r="S420" s="25"/>
      <c r="T420" s="25"/>
      <c r="U420" s="25"/>
      <c r="V420" s="25"/>
      <c r="W420" s="25"/>
      <c r="X420" s="23"/>
      <c r="Y420" s="4" t="str">
        <f>IF(Tabela2[[#This Row],[SIGLA]]="","",VLOOKUP(Tabela2[[#This Row],[SIGLA]],Tabela14[[#All],[Sigla Arte]:[Crédito]],2,0))</f>
        <v/>
      </c>
      <c r="Z420" s="24"/>
      <c r="AA420" s="24" t="str">
        <f>Tabela2[[#This Row],[ILUSTRADOR CRIAÇÃO]]</f>
        <v/>
      </c>
      <c r="AB420" s="23"/>
      <c r="AC420" s="21"/>
      <c r="AD420" s="21"/>
      <c r="AE420" s="4" t="str">
        <f t="shared" si="6"/>
        <v>EF1 E001 Geo</v>
      </c>
    </row>
    <row r="421" spans="1:31" s="14" customFormat="1" x14ac:dyDescent="0.25">
      <c r="A421" s="24"/>
      <c r="B421" s="21"/>
      <c r="C421" s="21"/>
      <c r="D421" s="21"/>
      <c r="E421" s="23"/>
      <c r="F421" s="23"/>
      <c r="G421" s="23"/>
      <c r="H421" s="23"/>
      <c r="I421" s="24"/>
      <c r="J421" s="24"/>
      <c r="K421" s="23"/>
      <c r="L421" s="23"/>
      <c r="M421" s="24"/>
      <c r="N421" s="24"/>
      <c r="O421" s="27"/>
      <c r="P421" s="27"/>
      <c r="Q421" s="27"/>
      <c r="R421" s="23"/>
      <c r="S421" s="25"/>
      <c r="T421" s="25"/>
      <c r="U421" s="25"/>
      <c r="V421" s="25"/>
      <c r="W421" s="25"/>
      <c r="X421" s="23"/>
      <c r="Y421" s="4" t="str">
        <f>IF(Tabela2[[#This Row],[SIGLA]]="","",VLOOKUP(Tabela2[[#This Row],[SIGLA]],Tabela14[[#All],[Sigla Arte]:[Crédito]],2,0))</f>
        <v/>
      </c>
      <c r="Z421" s="24"/>
      <c r="AA421" s="24" t="str">
        <f>Tabela2[[#This Row],[ILUSTRADOR CRIAÇÃO]]</f>
        <v/>
      </c>
      <c r="AB421" s="23"/>
      <c r="AC421" s="21"/>
      <c r="AD421" s="21"/>
      <c r="AE421" s="4" t="str">
        <f t="shared" si="6"/>
        <v>EF1 E001 Geo</v>
      </c>
    </row>
    <row r="422" spans="1:31" s="14" customFormat="1" x14ac:dyDescent="0.25">
      <c r="A422" s="24"/>
      <c r="B422" s="21"/>
      <c r="C422" s="21"/>
      <c r="D422" s="21"/>
      <c r="E422" s="23"/>
      <c r="F422" s="23"/>
      <c r="G422" s="23"/>
      <c r="H422" s="23"/>
      <c r="I422" s="24"/>
      <c r="J422" s="24"/>
      <c r="K422" s="23"/>
      <c r="L422" s="23"/>
      <c r="M422" s="24"/>
      <c r="N422" s="24"/>
      <c r="O422" s="27"/>
      <c r="P422" s="27"/>
      <c r="Q422" s="27"/>
      <c r="R422" s="23"/>
      <c r="S422" s="25"/>
      <c r="T422" s="25"/>
      <c r="U422" s="25"/>
      <c r="V422" s="25"/>
      <c r="W422" s="25"/>
      <c r="X422" s="23"/>
      <c r="Y422" s="4" t="str">
        <f>IF(Tabela2[[#This Row],[SIGLA]]="","",VLOOKUP(Tabela2[[#This Row],[SIGLA]],Tabela14[[#All],[Sigla Arte]:[Crédito]],2,0))</f>
        <v/>
      </c>
      <c r="Z422" s="24"/>
      <c r="AA422" s="24" t="str">
        <f>Tabela2[[#This Row],[ILUSTRADOR CRIAÇÃO]]</f>
        <v/>
      </c>
      <c r="AB422" s="23"/>
      <c r="AC422" s="21"/>
      <c r="AD422" s="21"/>
      <c r="AE422" s="4" t="str">
        <f t="shared" si="6"/>
        <v>EF1 E001 Geo</v>
      </c>
    </row>
    <row r="423" spans="1:31" s="14" customFormat="1" x14ac:dyDescent="0.25">
      <c r="A423" s="24"/>
      <c r="B423" s="21"/>
      <c r="C423" s="21"/>
      <c r="D423" s="21"/>
      <c r="E423" s="23"/>
      <c r="F423" s="23"/>
      <c r="G423" s="23"/>
      <c r="H423" s="23"/>
      <c r="I423" s="24"/>
      <c r="J423" s="24"/>
      <c r="K423" s="23"/>
      <c r="L423" s="23"/>
      <c r="M423" s="24"/>
      <c r="N423" s="24"/>
      <c r="O423" s="27"/>
      <c r="P423" s="27"/>
      <c r="Q423" s="27"/>
      <c r="R423" s="23"/>
      <c r="S423" s="25"/>
      <c r="T423" s="25"/>
      <c r="U423" s="25"/>
      <c r="V423" s="25"/>
      <c r="W423" s="25"/>
      <c r="X423" s="23"/>
      <c r="Y423" s="4" t="str">
        <f>IF(Tabela2[[#This Row],[SIGLA]]="","",VLOOKUP(Tabela2[[#This Row],[SIGLA]],Tabela14[[#All],[Sigla Arte]:[Crédito]],2,0))</f>
        <v/>
      </c>
      <c r="Z423" s="24"/>
      <c r="AA423" s="24" t="str">
        <f>Tabela2[[#This Row],[ILUSTRADOR CRIAÇÃO]]</f>
        <v/>
      </c>
      <c r="AB423" s="23"/>
      <c r="AC423" s="21"/>
      <c r="AD423" s="21"/>
      <c r="AE423" s="4" t="str">
        <f t="shared" si="6"/>
        <v>EF1 E001 Geo</v>
      </c>
    </row>
    <row r="424" spans="1:31" s="14" customFormat="1" x14ac:dyDescent="0.25">
      <c r="A424" s="24"/>
      <c r="B424" s="21"/>
      <c r="C424" s="21"/>
      <c r="D424" s="21"/>
      <c r="E424" s="23"/>
      <c r="F424" s="23"/>
      <c r="G424" s="23"/>
      <c r="H424" s="23"/>
      <c r="I424" s="24"/>
      <c r="J424" s="24"/>
      <c r="K424" s="23"/>
      <c r="L424" s="23"/>
      <c r="M424" s="24"/>
      <c r="N424" s="24"/>
      <c r="O424" s="27"/>
      <c r="P424" s="27"/>
      <c r="Q424" s="27"/>
      <c r="R424" s="23"/>
      <c r="S424" s="25"/>
      <c r="T424" s="25"/>
      <c r="U424" s="25"/>
      <c r="V424" s="25"/>
      <c r="W424" s="25"/>
      <c r="X424" s="23"/>
      <c r="Y424" s="4" t="str">
        <f>IF(Tabela2[[#This Row],[SIGLA]]="","",VLOOKUP(Tabela2[[#This Row],[SIGLA]],Tabela14[[#All],[Sigla Arte]:[Crédito]],2,0))</f>
        <v/>
      </c>
      <c r="Z424" s="24"/>
      <c r="AA424" s="24" t="str">
        <f>Tabela2[[#This Row],[ILUSTRADOR CRIAÇÃO]]</f>
        <v/>
      </c>
      <c r="AB424" s="23"/>
      <c r="AC424" s="21"/>
      <c r="AD424" s="21"/>
      <c r="AE424" s="4" t="str">
        <f t="shared" si="6"/>
        <v>EF1 E001 Geo</v>
      </c>
    </row>
    <row r="425" spans="1:31" s="14" customFormat="1" x14ac:dyDescent="0.25">
      <c r="A425" s="24"/>
      <c r="B425" s="21"/>
      <c r="C425" s="21"/>
      <c r="D425" s="21"/>
      <c r="E425" s="23"/>
      <c r="F425" s="23"/>
      <c r="G425" s="23"/>
      <c r="H425" s="23"/>
      <c r="I425" s="24"/>
      <c r="J425" s="24"/>
      <c r="K425" s="23"/>
      <c r="L425" s="23"/>
      <c r="M425" s="24"/>
      <c r="N425" s="24"/>
      <c r="O425" s="27"/>
      <c r="P425" s="27"/>
      <c r="Q425" s="27"/>
      <c r="R425" s="23"/>
      <c r="S425" s="25"/>
      <c r="T425" s="25"/>
      <c r="U425" s="25"/>
      <c r="V425" s="25"/>
      <c r="W425" s="25"/>
      <c r="X425" s="23"/>
      <c r="Y425" s="4" t="str">
        <f>IF(Tabela2[[#This Row],[SIGLA]]="","",VLOOKUP(Tabela2[[#This Row],[SIGLA]],Tabela14[[#All],[Sigla Arte]:[Crédito]],2,0))</f>
        <v/>
      </c>
      <c r="Z425" s="24"/>
      <c r="AA425" s="24" t="str">
        <f>Tabela2[[#This Row],[ILUSTRADOR CRIAÇÃO]]</f>
        <v/>
      </c>
      <c r="AB425" s="23"/>
      <c r="AC425" s="21"/>
      <c r="AD425" s="21"/>
      <c r="AE425" s="4" t="str">
        <f t="shared" si="6"/>
        <v>EF1 E001 Geo</v>
      </c>
    </row>
    <row r="426" spans="1:31" s="14" customFormat="1" x14ac:dyDescent="0.25">
      <c r="A426" s="24"/>
      <c r="B426" s="21"/>
      <c r="C426" s="21"/>
      <c r="D426" s="21"/>
      <c r="E426" s="23"/>
      <c r="F426" s="23"/>
      <c r="G426" s="23"/>
      <c r="H426" s="23"/>
      <c r="I426" s="24"/>
      <c r="J426" s="24"/>
      <c r="K426" s="23"/>
      <c r="L426" s="23"/>
      <c r="M426" s="24"/>
      <c r="N426" s="24"/>
      <c r="O426" s="27"/>
      <c r="P426" s="27"/>
      <c r="Q426" s="27"/>
      <c r="R426" s="23"/>
      <c r="S426" s="25"/>
      <c r="T426" s="25"/>
      <c r="U426" s="25"/>
      <c r="V426" s="25"/>
      <c r="W426" s="25"/>
      <c r="X426" s="23"/>
      <c r="Y426" s="4" t="str">
        <f>IF(Tabela2[[#This Row],[SIGLA]]="","",VLOOKUP(Tabela2[[#This Row],[SIGLA]],Tabela14[[#All],[Sigla Arte]:[Crédito]],2,0))</f>
        <v/>
      </c>
      <c r="Z426" s="24"/>
      <c r="AA426" s="24" t="str">
        <f>Tabela2[[#This Row],[ILUSTRADOR CRIAÇÃO]]</f>
        <v/>
      </c>
      <c r="AB426" s="23"/>
      <c r="AC426" s="21"/>
      <c r="AD426" s="21"/>
      <c r="AE426" s="4" t="str">
        <f t="shared" si="6"/>
        <v>EF1 E001 Geo</v>
      </c>
    </row>
    <row r="427" spans="1:31" s="14" customFormat="1" x14ac:dyDescent="0.25">
      <c r="A427" s="24"/>
      <c r="B427" s="21"/>
      <c r="C427" s="21"/>
      <c r="D427" s="21"/>
      <c r="E427" s="23"/>
      <c r="F427" s="23"/>
      <c r="G427" s="23"/>
      <c r="H427" s="23"/>
      <c r="I427" s="24"/>
      <c r="J427" s="24"/>
      <c r="K427" s="23"/>
      <c r="L427" s="23"/>
      <c r="M427" s="24"/>
      <c r="N427" s="24"/>
      <c r="O427" s="27"/>
      <c r="P427" s="27"/>
      <c r="Q427" s="27"/>
      <c r="R427" s="23"/>
      <c r="S427" s="25"/>
      <c r="T427" s="25"/>
      <c r="U427" s="25"/>
      <c r="V427" s="25"/>
      <c r="W427" s="25"/>
      <c r="X427" s="23"/>
      <c r="Y427" s="4" t="str">
        <f>IF(Tabela2[[#This Row],[SIGLA]]="","",VLOOKUP(Tabela2[[#This Row],[SIGLA]],Tabela14[[#All],[Sigla Arte]:[Crédito]],2,0))</f>
        <v/>
      </c>
      <c r="Z427" s="24"/>
      <c r="AA427" s="24" t="str">
        <f>Tabela2[[#This Row],[ILUSTRADOR CRIAÇÃO]]</f>
        <v/>
      </c>
      <c r="AB427" s="23"/>
      <c r="AC427" s="21"/>
      <c r="AD427" s="21"/>
      <c r="AE427" s="4" t="str">
        <f t="shared" si="6"/>
        <v>EF1 E001 Geo</v>
      </c>
    </row>
    <row r="428" spans="1:31" s="14" customFormat="1" x14ac:dyDescent="0.25">
      <c r="A428" s="24"/>
      <c r="B428" s="21"/>
      <c r="C428" s="21"/>
      <c r="D428" s="21"/>
      <c r="E428" s="23"/>
      <c r="F428" s="23"/>
      <c r="G428" s="23"/>
      <c r="H428" s="23"/>
      <c r="I428" s="24"/>
      <c r="J428" s="24"/>
      <c r="K428" s="23"/>
      <c r="L428" s="23"/>
      <c r="M428" s="24"/>
      <c r="N428" s="24"/>
      <c r="O428" s="27"/>
      <c r="P428" s="27"/>
      <c r="Q428" s="27"/>
      <c r="R428" s="23"/>
      <c r="S428" s="25"/>
      <c r="T428" s="25"/>
      <c r="U428" s="25"/>
      <c r="V428" s="25"/>
      <c r="W428" s="25"/>
      <c r="X428" s="23"/>
      <c r="Y428" s="4" t="str">
        <f>IF(Tabela2[[#This Row],[SIGLA]]="","",VLOOKUP(Tabela2[[#This Row],[SIGLA]],Tabela14[[#All],[Sigla Arte]:[Crédito]],2,0))</f>
        <v/>
      </c>
      <c r="Z428" s="24"/>
      <c r="AA428" s="24" t="str">
        <f>Tabela2[[#This Row],[ILUSTRADOR CRIAÇÃO]]</f>
        <v/>
      </c>
      <c r="AB428" s="23"/>
      <c r="AC428" s="21"/>
      <c r="AD428" s="21"/>
      <c r="AE428" s="4" t="str">
        <f t="shared" si="6"/>
        <v>EF1 E001 Geo</v>
      </c>
    </row>
    <row r="429" spans="1:31" s="14" customFormat="1" x14ac:dyDescent="0.25">
      <c r="A429" s="24"/>
      <c r="B429" s="21"/>
      <c r="C429" s="21"/>
      <c r="D429" s="21"/>
      <c r="E429" s="23"/>
      <c r="F429" s="23"/>
      <c r="G429" s="23"/>
      <c r="H429" s="23"/>
      <c r="I429" s="24"/>
      <c r="J429" s="24"/>
      <c r="K429" s="23"/>
      <c r="L429" s="23"/>
      <c r="M429" s="24"/>
      <c r="N429" s="24"/>
      <c r="O429" s="27"/>
      <c r="P429" s="27"/>
      <c r="Q429" s="27"/>
      <c r="R429" s="23"/>
      <c r="S429" s="25"/>
      <c r="T429" s="25"/>
      <c r="U429" s="25"/>
      <c r="V429" s="25"/>
      <c r="W429" s="25"/>
      <c r="X429" s="23"/>
      <c r="Y429" s="4" t="str">
        <f>IF(Tabela2[[#This Row],[SIGLA]]="","",VLOOKUP(Tabela2[[#This Row],[SIGLA]],Tabela14[[#All],[Sigla Arte]:[Crédito]],2,0))</f>
        <v/>
      </c>
      <c r="Z429" s="24"/>
      <c r="AA429" s="24" t="str">
        <f>Tabela2[[#This Row],[ILUSTRADOR CRIAÇÃO]]</f>
        <v/>
      </c>
      <c r="AB429" s="23"/>
      <c r="AC429" s="21"/>
      <c r="AD429" s="21"/>
      <c r="AE429" s="4" t="str">
        <f t="shared" si="6"/>
        <v>EF1 E001 Geo</v>
      </c>
    </row>
    <row r="430" spans="1:31" s="14" customFormat="1" x14ac:dyDescent="0.25">
      <c r="A430" s="24"/>
      <c r="B430" s="21"/>
      <c r="C430" s="21"/>
      <c r="D430" s="21"/>
      <c r="E430" s="23"/>
      <c r="F430" s="23"/>
      <c r="G430" s="23"/>
      <c r="H430" s="23"/>
      <c r="I430" s="24"/>
      <c r="J430" s="24"/>
      <c r="K430" s="23"/>
      <c r="L430" s="23"/>
      <c r="M430" s="24"/>
      <c r="N430" s="24"/>
      <c r="O430" s="27"/>
      <c r="P430" s="27"/>
      <c r="Q430" s="27"/>
      <c r="R430" s="23"/>
      <c r="S430" s="25"/>
      <c r="T430" s="25"/>
      <c r="U430" s="25"/>
      <c r="V430" s="25"/>
      <c r="W430" s="25"/>
      <c r="X430" s="23"/>
      <c r="Y430" s="4" t="str">
        <f>IF(Tabela2[[#This Row],[SIGLA]]="","",VLOOKUP(Tabela2[[#This Row],[SIGLA]],Tabela14[[#All],[Sigla Arte]:[Crédito]],2,0))</f>
        <v/>
      </c>
      <c r="Z430" s="24"/>
      <c r="AA430" s="24" t="str">
        <f>Tabela2[[#This Row],[ILUSTRADOR CRIAÇÃO]]</f>
        <v/>
      </c>
      <c r="AB430" s="23"/>
      <c r="AC430" s="21"/>
      <c r="AD430" s="21"/>
      <c r="AE430" s="4" t="str">
        <f t="shared" si="6"/>
        <v>EF1 E001 Geo</v>
      </c>
    </row>
    <row r="431" spans="1:31" s="14" customFormat="1" x14ac:dyDescent="0.25">
      <c r="A431" s="24"/>
      <c r="B431" s="21"/>
      <c r="C431" s="21"/>
      <c r="D431" s="21"/>
      <c r="E431" s="23"/>
      <c r="F431" s="23"/>
      <c r="G431" s="23"/>
      <c r="H431" s="23"/>
      <c r="I431" s="24"/>
      <c r="J431" s="24"/>
      <c r="K431" s="23"/>
      <c r="L431" s="23"/>
      <c r="M431" s="24"/>
      <c r="N431" s="24"/>
      <c r="O431" s="27"/>
      <c r="P431" s="27"/>
      <c r="Q431" s="27"/>
      <c r="R431" s="23"/>
      <c r="S431" s="25"/>
      <c r="T431" s="25"/>
      <c r="U431" s="25"/>
      <c r="V431" s="25"/>
      <c r="W431" s="25"/>
      <c r="X431" s="23"/>
      <c r="Y431" s="4" t="str">
        <f>IF(Tabela2[[#This Row],[SIGLA]]="","",VLOOKUP(Tabela2[[#This Row],[SIGLA]],Tabela14[[#All],[Sigla Arte]:[Crédito]],2,0))</f>
        <v/>
      </c>
      <c r="Z431" s="24"/>
      <c r="AA431" s="24" t="str">
        <f>Tabela2[[#This Row],[ILUSTRADOR CRIAÇÃO]]</f>
        <v/>
      </c>
      <c r="AB431" s="23"/>
      <c r="AC431" s="21"/>
      <c r="AD431" s="21"/>
      <c r="AE431" s="4" t="str">
        <f t="shared" si="6"/>
        <v>EF1 E001 Geo</v>
      </c>
    </row>
    <row r="432" spans="1:31" s="14" customFormat="1" x14ac:dyDescent="0.25">
      <c r="A432" s="24"/>
      <c r="B432" s="21"/>
      <c r="C432" s="21"/>
      <c r="D432" s="21"/>
      <c r="E432" s="23"/>
      <c r="F432" s="23"/>
      <c r="G432" s="23"/>
      <c r="H432" s="23"/>
      <c r="I432" s="24"/>
      <c r="J432" s="24"/>
      <c r="K432" s="23"/>
      <c r="L432" s="23"/>
      <c r="M432" s="24"/>
      <c r="N432" s="24"/>
      <c r="O432" s="27"/>
      <c r="P432" s="27"/>
      <c r="Q432" s="27"/>
      <c r="R432" s="23"/>
      <c r="S432" s="25"/>
      <c r="T432" s="25"/>
      <c r="U432" s="25"/>
      <c r="V432" s="25"/>
      <c r="W432" s="25"/>
      <c r="X432" s="23"/>
      <c r="Y432" s="4" t="str">
        <f>IF(Tabela2[[#This Row],[SIGLA]]="","",VLOOKUP(Tabela2[[#This Row],[SIGLA]],Tabela14[[#All],[Sigla Arte]:[Crédito]],2,0))</f>
        <v/>
      </c>
      <c r="Z432" s="24"/>
      <c r="AA432" s="24" t="str">
        <f>Tabela2[[#This Row],[ILUSTRADOR CRIAÇÃO]]</f>
        <v/>
      </c>
      <c r="AB432" s="23"/>
      <c r="AC432" s="21"/>
      <c r="AD432" s="21"/>
      <c r="AE432" s="4" t="str">
        <f t="shared" si="6"/>
        <v>EF1 E001 Geo</v>
      </c>
    </row>
    <row r="433" spans="1:31" s="14" customFormat="1" x14ac:dyDescent="0.25">
      <c r="A433" s="24"/>
      <c r="B433" s="21"/>
      <c r="C433" s="21"/>
      <c r="D433" s="21"/>
      <c r="E433" s="23"/>
      <c r="F433" s="23"/>
      <c r="G433" s="23"/>
      <c r="H433" s="23"/>
      <c r="I433" s="24"/>
      <c r="J433" s="24"/>
      <c r="K433" s="23"/>
      <c r="L433" s="23"/>
      <c r="M433" s="24"/>
      <c r="N433" s="24"/>
      <c r="O433" s="27"/>
      <c r="P433" s="27"/>
      <c r="Q433" s="27"/>
      <c r="R433" s="23"/>
      <c r="S433" s="25"/>
      <c r="T433" s="25"/>
      <c r="U433" s="25"/>
      <c r="V433" s="25"/>
      <c r="W433" s="25"/>
      <c r="X433" s="23"/>
      <c r="Y433" s="4" t="str">
        <f>IF(Tabela2[[#This Row],[SIGLA]]="","",VLOOKUP(Tabela2[[#This Row],[SIGLA]],Tabela14[[#All],[Sigla Arte]:[Crédito]],2,0))</f>
        <v/>
      </c>
      <c r="Z433" s="24"/>
      <c r="AA433" s="24" t="str">
        <f>Tabela2[[#This Row],[ILUSTRADOR CRIAÇÃO]]</f>
        <v/>
      </c>
      <c r="AB433" s="23"/>
      <c r="AC433" s="21"/>
      <c r="AD433" s="21"/>
      <c r="AE433" s="4" t="str">
        <f t="shared" si="6"/>
        <v>EF1 E001 Geo</v>
      </c>
    </row>
    <row r="434" spans="1:31" s="14" customFormat="1" x14ac:dyDescent="0.25">
      <c r="A434" s="24"/>
      <c r="B434" s="21"/>
      <c r="C434" s="21"/>
      <c r="D434" s="21"/>
      <c r="E434" s="23"/>
      <c r="F434" s="23"/>
      <c r="G434" s="23"/>
      <c r="H434" s="23"/>
      <c r="I434" s="24"/>
      <c r="J434" s="24"/>
      <c r="K434" s="23"/>
      <c r="L434" s="23"/>
      <c r="M434" s="24"/>
      <c r="N434" s="24"/>
      <c r="O434" s="27"/>
      <c r="P434" s="27"/>
      <c r="Q434" s="27"/>
      <c r="R434" s="23"/>
      <c r="S434" s="25"/>
      <c r="T434" s="25"/>
      <c r="U434" s="25"/>
      <c r="V434" s="25"/>
      <c r="W434" s="25"/>
      <c r="X434" s="23"/>
      <c r="Y434" s="4" t="str">
        <f>IF(Tabela2[[#This Row],[SIGLA]]="","",VLOOKUP(Tabela2[[#This Row],[SIGLA]],Tabela14[[#All],[Sigla Arte]:[Crédito]],2,0))</f>
        <v/>
      </c>
      <c r="Z434" s="24"/>
      <c r="AA434" s="24" t="str">
        <f>Tabela2[[#This Row],[ILUSTRADOR CRIAÇÃO]]</f>
        <v/>
      </c>
      <c r="AB434" s="23"/>
      <c r="AC434" s="21"/>
      <c r="AD434" s="21"/>
      <c r="AE434" s="4" t="str">
        <f t="shared" si="6"/>
        <v>EF1 E001 Geo</v>
      </c>
    </row>
    <row r="435" spans="1:31" s="14" customFormat="1" x14ac:dyDescent="0.25">
      <c r="A435" s="24"/>
      <c r="B435" s="21"/>
      <c r="C435" s="21"/>
      <c r="D435" s="21"/>
      <c r="E435" s="23"/>
      <c r="F435" s="23"/>
      <c r="G435" s="23"/>
      <c r="H435" s="23"/>
      <c r="I435" s="24"/>
      <c r="J435" s="24"/>
      <c r="K435" s="23"/>
      <c r="L435" s="23"/>
      <c r="M435" s="24"/>
      <c r="N435" s="24"/>
      <c r="O435" s="27"/>
      <c r="P435" s="27"/>
      <c r="Q435" s="27"/>
      <c r="R435" s="23"/>
      <c r="S435" s="25"/>
      <c r="T435" s="25"/>
      <c r="U435" s="25"/>
      <c r="V435" s="25"/>
      <c r="W435" s="25"/>
      <c r="X435" s="23"/>
      <c r="Y435" s="4" t="str">
        <f>IF(Tabela2[[#This Row],[SIGLA]]="","",VLOOKUP(Tabela2[[#This Row],[SIGLA]],Tabela14[[#All],[Sigla Arte]:[Crédito]],2,0))</f>
        <v/>
      </c>
      <c r="Z435" s="24"/>
      <c r="AA435" s="24" t="str">
        <f>Tabela2[[#This Row],[ILUSTRADOR CRIAÇÃO]]</f>
        <v/>
      </c>
      <c r="AB435" s="23"/>
      <c r="AC435" s="21"/>
      <c r="AD435" s="21"/>
      <c r="AE435" s="4" t="str">
        <f t="shared" si="6"/>
        <v>EF1 E001 Geo</v>
      </c>
    </row>
    <row r="436" spans="1:31" s="14" customFormat="1" x14ac:dyDescent="0.25">
      <c r="A436" s="24"/>
      <c r="B436" s="21"/>
      <c r="C436" s="21"/>
      <c r="D436" s="21"/>
      <c r="E436" s="23"/>
      <c r="F436" s="23"/>
      <c r="G436" s="23"/>
      <c r="H436" s="23"/>
      <c r="I436" s="24"/>
      <c r="J436" s="24"/>
      <c r="K436" s="23"/>
      <c r="L436" s="23"/>
      <c r="M436" s="24"/>
      <c r="N436" s="24"/>
      <c r="O436" s="27"/>
      <c r="P436" s="27"/>
      <c r="Q436" s="27"/>
      <c r="R436" s="23"/>
      <c r="S436" s="25"/>
      <c r="T436" s="25"/>
      <c r="U436" s="25"/>
      <c r="V436" s="25"/>
      <c r="W436" s="25"/>
      <c r="X436" s="23"/>
      <c r="Y436" s="4" t="str">
        <f>IF(Tabela2[[#This Row],[SIGLA]]="","",VLOOKUP(Tabela2[[#This Row],[SIGLA]],Tabela14[[#All],[Sigla Arte]:[Crédito]],2,0))</f>
        <v/>
      </c>
      <c r="Z436" s="24"/>
      <c r="AA436" s="24" t="str">
        <f>Tabela2[[#This Row],[ILUSTRADOR CRIAÇÃO]]</f>
        <v/>
      </c>
      <c r="AB436" s="23"/>
      <c r="AC436" s="21"/>
      <c r="AD436" s="21"/>
      <c r="AE436" s="4" t="str">
        <f t="shared" si="6"/>
        <v>EF1 E001 Geo</v>
      </c>
    </row>
    <row r="437" spans="1:31" s="14" customFormat="1" x14ac:dyDescent="0.25">
      <c r="A437" s="24"/>
      <c r="B437" s="21"/>
      <c r="C437" s="21"/>
      <c r="D437" s="21"/>
      <c r="E437" s="23"/>
      <c r="F437" s="23"/>
      <c r="G437" s="23"/>
      <c r="H437" s="23"/>
      <c r="I437" s="24"/>
      <c r="J437" s="24"/>
      <c r="K437" s="23"/>
      <c r="L437" s="23"/>
      <c r="M437" s="24"/>
      <c r="N437" s="24"/>
      <c r="O437" s="27"/>
      <c r="P437" s="27"/>
      <c r="Q437" s="27"/>
      <c r="R437" s="23"/>
      <c r="S437" s="25"/>
      <c r="T437" s="25"/>
      <c r="U437" s="25"/>
      <c r="V437" s="25"/>
      <c r="W437" s="25"/>
      <c r="X437" s="23"/>
      <c r="Y437" s="4" t="str">
        <f>IF(Tabela2[[#This Row],[SIGLA]]="","",VLOOKUP(Tabela2[[#This Row],[SIGLA]],Tabela14[[#All],[Sigla Arte]:[Crédito]],2,0))</f>
        <v/>
      </c>
      <c r="Z437" s="24"/>
      <c r="AA437" s="24" t="str">
        <f>Tabela2[[#This Row],[ILUSTRADOR CRIAÇÃO]]</f>
        <v/>
      </c>
      <c r="AB437" s="23"/>
      <c r="AC437" s="21"/>
      <c r="AD437" s="21"/>
      <c r="AE437" s="4" t="str">
        <f t="shared" si="6"/>
        <v>EF1 E001 Geo</v>
      </c>
    </row>
    <row r="438" spans="1:31" s="14" customFormat="1" x14ac:dyDescent="0.25">
      <c r="A438" s="24"/>
      <c r="B438" s="21"/>
      <c r="C438" s="21"/>
      <c r="D438" s="21"/>
      <c r="E438" s="23"/>
      <c r="F438" s="23"/>
      <c r="G438" s="23"/>
      <c r="H438" s="23"/>
      <c r="I438" s="24"/>
      <c r="J438" s="24"/>
      <c r="K438" s="23"/>
      <c r="L438" s="23"/>
      <c r="M438" s="24"/>
      <c r="N438" s="24"/>
      <c r="O438" s="27"/>
      <c r="P438" s="27"/>
      <c r="Q438" s="27"/>
      <c r="R438" s="23"/>
      <c r="S438" s="25"/>
      <c r="T438" s="25"/>
      <c r="U438" s="25"/>
      <c r="V438" s="25"/>
      <c r="W438" s="25"/>
      <c r="X438" s="23"/>
      <c r="Y438" s="4" t="str">
        <f>IF(Tabela2[[#This Row],[SIGLA]]="","",VLOOKUP(Tabela2[[#This Row],[SIGLA]],Tabela14[[#All],[Sigla Arte]:[Crédito]],2,0))</f>
        <v/>
      </c>
      <c r="Z438" s="24"/>
      <c r="AA438" s="24" t="str">
        <f>Tabela2[[#This Row],[ILUSTRADOR CRIAÇÃO]]</f>
        <v/>
      </c>
      <c r="AB438" s="23"/>
      <c r="AC438" s="21"/>
      <c r="AD438" s="21"/>
      <c r="AE438" s="4" t="str">
        <f t="shared" si="6"/>
        <v>EF1 E001 Geo</v>
      </c>
    </row>
    <row r="439" spans="1:31" s="14" customFormat="1" x14ac:dyDescent="0.25">
      <c r="A439" s="24"/>
      <c r="B439" s="21"/>
      <c r="C439" s="21"/>
      <c r="D439" s="21"/>
      <c r="E439" s="23"/>
      <c r="F439" s="23"/>
      <c r="G439" s="23"/>
      <c r="H439" s="23"/>
      <c r="I439" s="24"/>
      <c r="J439" s="24"/>
      <c r="K439" s="23"/>
      <c r="L439" s="23"/>
      <c r="M439" s="24"/>
      <c r="N439" s="24"/>
      <c r="O439" s="27"/>
      <c r="P439" s="27"/>
      <c r="Q439" s="27"/>
      <c r="R439" s="23"/>
      <c r="S439" s="25"/>
      <c r="T439" s="25"/>
      <c r="U439" s="25"/>
      <c r="V439" s="25"/>
      <c r="W439" s="25"/>
      <c r="X439" s="23"/>
      <c r="Y439" s="4" t="str">
        <f>IF(Tabela2[[#This Row],[SIGLA]]="","",VLOOKUP(Tabela2[[#This Row],[SIGLA]],Tabela14[[#All],[Sigla Arte]:[Crédito]],2,0))</f>
        <v/>
      </c>
      <c r="Z439" s="24"/>
      <c r="AA439" s="24" t="str">
        <f>Tabela2[[#This Row],[ILUSTRADOR CRIAÇÃO]]</f>
        <v/>
      </c>
      <c r="AB439" s="23"/>
      <c r="AC439" s="21"/>
      <c r="AD439" s="21"/>
      <c r="AE439" s="4" t="str">
        <f t="shared" si="6"/>
        <v>EF1 E001 Geo</v>
      </c>
    </row>
    <row r="440" spans="1:31" s="14" customFormat="1" x14ac:dyDescent="0.25">
      <c r="A440" s="24"/>
      <c r="B440" s="21"/>
      <c r="C440" s="21"/>
      <c r="D440" s="21"/>
      <c r="E440" s="23"/>
      <c r="F440" s="23"/>
      <c r="G440" s="23"/>
      <c r="H440" s="23"/>
      <c r="I440" s="24"/>
      <c r="J440" s="24"/>
      <c r="K440" s="23"/>
      <c r="L440" s="23"/>
      <c r="M440" s="24"/>
      <c r="N440" s="24"/>
      <c r="O440" s="27"/>
      <c r="P440" s="27"/>
      <c r="Q440" s="27"/>
      <c r="R440" s="23"/>
      <c r="S440" s="25"/>
      <c r="T440" s="25"/>
      <c r="U440" s="25"/>
      <c r="V440" s="25"/>
      <c r="W440" s="25"/>
      <c r="X440" s="23"/>
      <c r="Y440" s="4" t="str">
        <f>IF(Tabela2[[#This Row],[SIGLA]]="","",VLOOKUP(Tabela2[[#This Row],[SIGLA]],Tabela14[[#All],[Sigla Arte]:[Crédito]],2,0))</f>
        <v/>
      </c>
      <c r="Z440" s="24"/>
      <c r="AA440" s="24" t="str">
        <f>Tabela2[[#This Row],[ILUSTRADOR CRIAÇÃO]]</f>
        <v/>
      </c>
      <c r="AB440" s="23"/>
      <c r="AC440" s="21"/>
      <c r="AD440" s="21"/>
      <c r="AE440" s="4" t="str">
        <f t="shared" si="6"/>
        <v>EF1 E001 Geo</v>
      </c>
    </row>
    <row r="441" spans="1:31" s="14" customFormat="1" x14ac:dyDescent="0.25">
      <c r="A441" s="24"/>
      <c r="B441" s="21"/>
      <c r="C441" s="21"/>
      <c r="D441" s="21"/>
      <c r="E441" s="23"/>
      <c r="F441" s="23"/>
      <c r="G441" s="23"/>
      <c r="H441" s="23"/>
      <c r="I441" s="24"/>
      <c r="J441" s="24"/>
      <c r="K441" s="23"/>
      <c r="L441" s="23"/>
      <c r="M441" s="24"/>
      <c r="N441" s="24"/>
      <c r="O441" s="27"/>
      <c r="P441" s="27"/>
      <c r="Q441" s="27"/>
      <c r="R441" s="23"/>
      <c r="S441" s="25"/>
      <c r="T441" s="25"/>
      <c r="U441" s="25"/>
      <c r="V441" s="25"/>
      <c r="W441" s="25"/>
      <c r="X441" s="23"/>
      <c r="Y441" s="4" t="str">
        <f>IF(Tabela2[[#This Row],[SIGLA]]="","",VLOOKUP(Tabela2[[#This Row],[SIGLA]],Tabela14[[#All],[Sigla Arte]:[Crédito]],2,0))</f>
        <v/>
      </c>
      <c r="Z441" s="24"/>
      <c r="AA441" s="24" t="str">
        <f>Tabela2[[#This Row],[ILUSTRADOR CRIAÇÃO]]</f>
        <v/>
      </c>
      <c r="AB441" s="23"/>
      <c r="AC441" s="21"/>
      <c r="AD441" s="21"/>
      <c r="AE441" s="4" t="str">
        <f t="shared" si="6"/>
        <v>EF1 E001 Geo</v>
      </c>
    </row>
    <row r="442" spans="1:31" s="14" customFormat="1" x14ac:dyDescent="0.25">
      <c r="A442" s="24"/>
      <c r="B442" s="21"/>
      <c r="C442" s="21"/>
      <c r="D442" s="21"/>
      <c r="E442" s="23"/>
      <c r="F442" s="23"/>
      <c r="G442" s="23"/>
      <c r="H442" s="23"/>
      <c r="I442" s="24"/>
      <c r="J442" s="24"/>
      <c r="K442" s="23"/>
      <c r="L442" s="23"/>
      <c r="M442" s="24"/>
      <c r="N442" s="24"/>
      <c r="O442" s="27"/>
      <c r="P442" s="27"/>
      <c r="Q442" s="27"/>
      <c r="R442" s="23"/>
      <c r="S442" s="25"/>
      <c r="T442" s="25"/>
      <c r="U442" s="25"/>
      <c r="V442" s="25"/>
      <c r="W442" s="25"/>
      <c r="X442" s="23"/>
      <c r="Y442" s="4" t="str">
        <f>IF(Tabela2[[#This Row],[SIGLA]]="","",VLOOKUP(Tabela2[[#This Row],[SIGLA]],Tabela14[[#All],[Sigla Arte]:[Crédito]],2,0))</f>
        <v/>
      </c>
      <c r="Z442" s="24"/>
      <c r="AA442" s="24" t="str">
        <f>Tabela2[[#This Row],[ILUSTRADOR CRIAÇÃO]]</f>
        <v/>
      </c>
      <c r="AB442" s="23"/>
      <c r="AC442" s="21"/>
      <c r="AD442" s="21"/>
      <c r="AE442" s="4" t="str">
        <f t="shared" si="6"/>
        <v>EF1 E001 Geo</v>
      </c>
    </row>
    <row r="443" spans="1:31" s="14" customFormat="1" x14ac:dyDescent="0.25">
      <c r="A443" s="24"/>
      <c r="B443" s="21"/>
      <c r="C443" s="21"/>
      <c r="D443" s="21"/>
      <c r="E443" s="23"/>
      <c r="F443" s="23"/>
      <c r="G443" s="23"/>
      <c r="H443" s="23"/>
      <c r="I443" s="24"/>
      <c r="J443" s="24"/>
      <c r="K443" s="23"/>
      <c r="L443" s="23"/>
      <c r="M443" s="24"/>
      <c r="N443" s="24"/>
      <c r="O443" s="27"/>
      <c r="P443" s="27"/>
      <c r="Q443" s="27"/>
      <c r="R443" s="23"/>
      <c r="S443" s="25"/>
      <c r="T443" s="25"/>
      <c r="U443" s="25"/>
      <c r="V443" s="25"/>
      <c r="W443" s="25"/>
      <c r="X443" s="23"/>
      <c r="Y443" s="4" t="str">
        <f>IF(Tabela2[[#This Row],[SIGLA]]="","",VLOOKUP(Tabela2[[#This Row],[SIGLA]],Tabela14[[#All],[Sigla Arte]:[Crédito]],2,0))</f>
        <v/>
      </c>
      <c r="Z443" s="24"/>
      <c r="AA443" s="24" t="str">
        <f>Tabela2[[#This Row],[ILUSTRADOR CRIAÇÃO]]</f>
        <v/>
      </c>
      <c r="AB443" s="23"/>
      <c r="AC443" s="21"/>
      <c r="AD443" s="21"/>
      <c r="AE443" s="4" t="str">
        <f t="shared" si="6"/>
        <v>EF1 E001 Geo</v>
      </c>
    </row>
    <row r="444" spans="1:31" s="14" customFormat="1" x14ac:dyDescent="0.25">
      <c r="A444" s="24"/>
      <c r="B444" s="21"/>
      <c r="C444" s="21"/>
      <c r="D444" s="21"/>
      <c r="E444" s="23"/>
      <c r="F444" s="23"/>
      <c r="G444" s="23"/>
      <c r="H444" s="23"/>
      <c r="I444" s="24"/>
      <c r="J444" s="24"/>
      <c r="K444" s="23"/>
      <c r="L444" s="23"/>
      <c r="M444" s="24"/>
      <c r="N444" s="24"/>
      <c r="O444" s="27"/>
      <c r="P444" s="27"/>
      <c r="Q444" s="27"/>
      <c r="R444" s="23"/>
      <c r="S444" s="25"/>
      <c r="T444" s="25"/>
      <c r="U444" s="25"/>
      <c r="V444" s="25"/>
      <c r="W444" s="25"/>
      <c r="X444" s="23"/>
      <c r="Y444" s="4" t="str">
        <f>IF(Tabela2[[#This Row],[SIGLA]]="","",VLOOKUP(Tabela2[[#This Row],[SIGLA]],Tabela14[[#All],[Sigla Arte]:[Crédito]],2,0))</f>
        <v/>
      </c>
      <c r="Z444" s="24"/>
      <c r="AA444" s="24" t="str">
        <f>Tabela2[[#This Row],[ILUSTRADOR CRIAÇÃO]]</f>
        <v/>
      </c>
      <c r="AB444" s="23"/>
      <c r="AC444" s="21"/>
      <c r="AD444" s="21"/>
      <c r="AE444" s="4" t="str">
        <f t="shared" si="6"/>
        <v>EF1 E001 Geo</v>
      </c>
    </row>
    <row r="445" spans="1:31" s="14" customFormat="1" x14ac:dyDescent="0.25">
      <c r="A445" s="24"/>
      <c r="B445" s="21"/>
      <c r="C445" s="21"/>
      <c r="D445" s="21"/>
      <c r="E445" s="23"/>
      <c r="F445" s="23"/>
      <c r="G445" s="23"/>
      <c r="H445" s="23"/>
      <c r="I445" s="24"/>
      <c r="J445" s="24"/>
      <c r="K445" s="23"/>
      <c r="L445" s="23"/>
      <c r="M445" s="24"/>
      <c r="N445" s="24"/>
      <c r="O445" s="27"/>
      <c r="P445" s="27"/>
      <c r="Q445" s="27"/>
      <c r="R445" s="23"/>
      <c r="S445" s="25"/>
      <c r="T445" s="25"/>
      <c r="U445" s="25"/>
      <c r="V445" s="25"/>
      <c r="W445" s="25"/>
      <c r="X445" s="23"/>
      <c r="Y445" s="4" t="str">
        <f>IF(Tabela2[[#This Row],[SIGLA]]="","",VLOOKUP(Tabela2[[#This Row],[SIGLA]],Tabela14[[#All],[Sigla Arte]:[Crédito]],2,0))</f>
        <v/>
      </c>
      <c r="Z445" s="24"/>
      <c r="AA445" s="24" t="str">
        <f>Tabela2[[#This Row],[ILUSTRADOR CRIAÇÃO]]</f>
        <v/>
      </c>
      <c r="AB445" s="23"/>
      <c r="AC445" s="21"/>
      <c r="AD445" s="21"/>
      <c r="AE445" s="4" t="str">
        <f t="shared" si="6"/>
        <v>EF1 E001 Geo</v>
      </c>
    </row>
    <row r="446" spans="1:31" s="14" customFormat="1" x14ac:dyDescent="0.25">
      <c r="A446" s="24"/>
      <c r="B446" s="21"/>
      <c r="C446" s="21"/>
      <c r="D446" s="21"/>
      <c r="E446" s="23"/>
      <c r="F446" s="23"/>
      <c r="G446" s="23"/>
      <c r="H446" s="23"/>
      <c r="I446" s="24"/>
      <c r="J446" s="24"/>
      <c r="K446" s="23"/>
      <c r="L446" s="23"/>
      <c r="M446" s="24"/>
      <c r="N446" s="24"/>
      <c r="O446" s="27"/>
      <c r="P446" s="27"/>
      <c r="Q446" s="27"/>
      <c r="R446" s="23"/>
      <c r="S446" s="25"/>
      <c r="T446" s="25"/>
      <c r="U446" s="25"/>
      <c r="V446" s="25"/>
      <c r="W446" s="25"/>
      <c r="X446" s="23"/>
      <c r="Y446" s="4" t="str">
        <f>IF(Tabela2[[#This Row],[SIGLA]]="","",VLOOKUP(Tabela2[[#This Row],[SIGLA]],Tabela14[[#All],[Sigla Arte]:[Crédito]],2,0))</f>
        <v/>
      </c>
      <c r="Z446" s="24"/>
      <c r="AA446" s="24" t="str">
        <f>Tabela2[[#This Row],[ILUSTRADOR CRIAÇÃO]]</f>
        <v/>
      </c>
      <c r="AB446" s="23"/>
      <c r="AC446" s="21"/>
      <c r="AD446" s="21"/>
      <c r="AE446" s="4" t="str">
        <f t="shared" si="6"/>
        <v>EF1 E001 Geo</v>
      </c>
    </row>
    <row r="447" spans="1:31" s="14" customFormat="1" x14ac:dyDescent="0.25">
      <c r="A447" s="24"/>
      <c r="B447" s="21"/>
      <c r="C447" s="21"/>
      <c r="D447" s="21"/>
      <c r="E447" s="23"/>
      <c r="F447" s="23"/>
      <c r="G447" s="23"/>
      <c r="H447" s="23"/>
      <c r="I447" s="24"/>
      <c r="J447" s="24"/>
      <c r="K447" s="23"/>
      <c r="L447" s="23"/>
      <c r="M447" s="24"/>
      <c r="N447" s="24"/>
      <c r="O447" s="27"/>
      <c r="P447" s="27"/>
      <c r="Q447" s="27"/>
      <c r="R447" s="23"/>
      <c r="S447" s="25"/>
      <c r="T447" s="25"/>
      <c r="U447" s="25"/>
      <c r="V447" s="25"/>
      <c r="W447" s="25"/>
      <c r="X447" s="23"/>
      <c r="Y447" s="4" t="str">
        <f>IF(Tabela2[[#This Row],[SIGLA]]="","",VLOOKUP(Tabela2[[#This Row],[SIGLA]],Tabela14[[#All],[Sigla Arte]:[Crédito]],2,0))</f>
        <v/>
      </c>
      <c r="Z447" s="24"/>
      <c r="AA447" s="24" t="str">
        <f>Tabela2[[#This Row],[ILUSTRADOR CRIAÇÃO]]</f>
        <v/>
      </c>
      <c r="AB447" s="23"/>
      <c r="AC447" s="21"/>
      <c r="AD447" s="21"/>
      <c r="AE447" s="4" t="str">
        <f t="shared" si="6"/>
        <v>EF1 E001 Geo</v>
      </c>
    </row>
    <row r="448" spans="1:31" s="14" customFormat="1" x14ac:dyDescent="0.25">
      <c r="A448" s="24"/>
      <c r="B448" s="21"/>
      <c r="C448" s="21"/>
      <c r="D448" s="21"/>
      <c r="E448" s="23"/>
      <c r="F448" s="23"/>
      <c r="G448" s="23"/>
      <c r="H448" s="23"/>
      <c r="I448" s="24"/>
      <c r="J448" s="24"/>
      <c r="K448" s="23"/>
      <c r="L448" s="23"/>
      <c r="M448" s="24"/>
      <c r="N448" s="24"/>
      <c r="O448" s="27"/>
      <c r="P448" s="27"/>
      <c r="Q448" s="27"/>
      <c r="R448" s="23"/>
      <c r="S448" s="25"/>
      <c r="T448" s="25"/>
      <c r="U448" s="25"/>
      <c r="V448" s="25"/>
      <c r="W448" s="25"/>
      <c r="X448" s="23"/>
      <c r="Y448" s="4" t="str">
        <f>IF(Tabela2[[#This Row],[SIGLA]]="","",VLOOKUP(Tabela2[[#This Row],[SIGLA]],Tabela14[[#All],[Sigla Arte]:[Crédito]],2,0))</f>
        <v/>
      </c>
      <c r="Z448" s="24"/>
      <c r="AA448" s="24" t="str">
        <f>Tabela2[[#This Row],[ILUSTRADOR CRIAÇÃO]]</f>
        <v/>
      </c>
      <c r="AB448" s="23"/>
      <c r="AC448" s="21"/>
      <c r="AD448" s="21"/>
      <c r="AE448" s="4" t="str">
        <f t="shared" si="6"/>
        <v>EF1 E001 Geo</v>
      </c>
    </row>
    <row r="449" spans="1:31" s="14" customFormat="1" x14ac:dyDescent="0.25">
      <c r="A449" s="24"/>
      <c r="B449" s="21"/>
      <c r="C449" s="21"/>
      <c r="D449" s="21"/>
      <c r="E449" s="23"/>
      <c r="F449" s="23"/>
      <c r="G449" s="23"/>
      <c r="H449" s="23"/>
      <c r="I449" s="24"/>
      <c r="J449" s="24"/>
      <c r="K449" s="23"/>
      <c r="L449" s="23"/>
      <c r="M449" s="24"/>
      <c r="N449" s="24"/>
      <c r="O449" s="27"/>
      <c r="P449" s="27"/>
      <c r="Q449" s="27"/>
      <c r="R449" s="23"/>
      <c r="S449" s="25"/>
      <c r="T449" s="25"/>
      <c r="U449" s="25"/>
      <c r="V449" s="25"/>
      <c r="W449" s="25"/>
      <c r="X449" s="23"/>
      <c r="Y449" s="4" t="str">
        <f>IF(Tabela2[[#This Row],[SIGLA]]="","",VLOOKUP(Tabela2[[#This Row],[SIGLA]],Tabela14[[#All],[Sigla Arte]:[Crédito]],2,0))</f>
        <v/>
      </c>
      <c r="Z449" s="24"/>
      <c r="AA449" s="24" t="str">
        <f>Tabela2[[#This Row],[ILUSTRADOR CRIAÇÃO]]</f>
        <v/>
      </c>
      <c r="AB449" s="23"/>
      <c r="AC449" s="21"/>
      <c r="AD449" s="21"/>
      <c r="AE449" s="4" t="str">
        <f t="shared" si="6"/>
        <v>EF1 E001 Geo</v>
      </c>
    </row>
    <row r="450" spans="1:31" s="14" customFormat="1" x14ac:dyDescent="0.25">
      <c r="A450" s="24"/>
      <c r="B450" s="21"/>
      <c r="C450" s="21"/>
      <c r="D450" s="21"/>
      <c r="E450" s="23"/>
      <c r="F450" s="23"/>
      <c r="G450" s="23"/>
      <c r="H450" s="23"/>
      <c r="I450" s="24"/>
      <c r="J450" s="24"/>
      <c r="K450" s="23"/>
      <c r="L450" s="23"/>
      <c r="M450" s="24"/>
      <c r="N450" s="24"/>
      <c r="O450" s="27"/>
      <c r="P450" s="27"/>
      <c r="Q450" s="27"/>
      <c r="R450" s="23"/>
      <c r="S450" s="25"/>
      <c r="T450" s="25"/>
      <c r="U450" s="25"/>
      <c r="V450" s="25"/>
      <c r="W450" s="25"/>
      <c r="X450" s="23"/>
      <c r="Y450" s="4" t="str">
        <f>IF(Tabela2[[#This Row],[SIGLA]]="","",VLOOKUP(Tabela2[[#This Row],[SIGLA]],Tabela14[[#All],[Sigla Arte]:[Crédito]],2,0))</f>
        <v/>
      </c>
      <c r="Z450" s="24"/>
      <c r="AA450" s="24" t="str">
        <f>Tabela2[[#This Row],[ILUSTRADOR CRIAÇÃO]]</f>
        <v/>
      </c>
      <c r="AB450" s="23"/>
      <c r="AC450" s="21"/>
      <c r="AD450" s="21"/>
      <c r="AE450" s="4" t="str">
        <f t="shared" ref="AE450:AE500" si="7">"EF1 E001 Geo"</f>
        <v>EF1 E001 Geo</v>
      </c>
    </row>
    <row r="451" spans="1:31" s="14" customFormat="1" x14ac:dyDescent="0.25">
      <c r="A451" s="24"/>
      <c r="B451" s="21"/>
      <c r="C451" s="21"/>
      <c r="D451" s="21"/>
      <c r="E451" s="23"/>
      <c r="F451" s="23"/>
      <c r="G451" s="23"/>
      <c r="H451" s="23"/>
      <c r="I451" s="24"/>
      <c r="J451" s="24"/>
      <c r="K451" s="23"/>
      <c r="L451" s="23"/>
      <c r="M451" s="24"/>
      <c r="N451" s="24"/>
      <c r="O451" s="27"/>
      <c r="P451" s="27"/>
      <c r="Q451" s="27"/>
      <c r="R451" s="23"/>
      <c r="S451" s="25"/>
      <c r="T451" s="25"/>
      <c r="U451" s="25"/>
      <c r="V451" s="25"/>
      <c r="W451" s="25"/>
      <c r="X451" s="23"/>
      <c r="Y451" s="4" t="str">
        <f>IF(Tabela2[[#This Row],[SIGLA]]="","",VLOOKUP(Tabela2[[#This Row],[SIGLA]],Tabela14[[#All],[Sigla Arte]:[Crédito]],2,0))</f>
        <v/>
      </c>
      <c r="Z451" s="24"/>
      <c r="AA451" s="24" t="str">
        <f>Tabela2[[#This Row],[ILUSTRADOR CRIAÇÃO]]</f>
        <v/>
      </c>
      <c r="AB451" s="23"/>
      <c r="AC451" s="21"/>
      <c r="AD451" s="21"/>
      <c r="AE451" s="4" t="str">
        <f t="shared" si="7"/>
        <v>EF1 E001 Geo</v>
      </c>
    </row>
    <row r="452" spans="1:31" s="14" customFormat="1" x14ac:dyDescent="0.25">
      <c r="A452" s="24"/>
      <c r="B452" s="21"/>
      <c r="C452" s="21"/>
      <c r="D452" s="21"/>
      <c r="E452" s="23"/>
      <c r="F452" s="23"/>
      <c r="G452" s="23"/>
      <c r="H452" s="23"/>
      <c r="I452" s="24"/>
      <c r="J452" s="24"/>
      <c r="K452" s="23"/>
      <c r="L452" s="23"/>
      <c r="M452" s="24"/>
      <c r="N452" s="24"/>
      <c r="O452" s="27"/>
      <c r="P452" s="27"/>
      <c r="Q452" s="27"/>
      <c r="R452" s="23"/>
      <c r="S452" s="25"/>
      <c r="T452" s="25"/>
      <c r="U452" s="25"/>
      <c r="V452" s="25"/>
      <c r="W452" s="25"/>
      <c r="X452" s="23"/>
      <c r="Y452" s="4" t="str">
        <f>IF(Tabela2[[#This Row],[SIGLA]]="","",VLOOKUP(Tabela2[[#This Row],[SIGLA]],Tabela14[[#All],[Sigla Arte]:[Crédito]],2,0))</f>
        <v/>
      </c>
      <c r="Z452" s="24"/>
      <c r="AA452" s="24" t="str">
        <f>Tabela2[[#This Row],[ILUSTRADOR CRIAÇÃO]]</f>
        <v/>
      </c>
      <c r="AB452" s="23"/>
      <c r="AC452" s="21"/>
      <c r="AD452" s="21"/>
      <c r="AE452" s="4" t="str">
        <f t="shared" si="7"/>
        <v>EF1 E001 Geo</v>
      </c>
    </row>
    <row r="453" spans="1:31" s="14" customFormat="1" x14ac:dyDescent="0.25">
      <c r="A453" s="24"/>
      <c r="B453" s="21"/>
      <c r="C453" s="21"/>
      <c r="D453" s="21"/>
      <c r="E453" s="23"/>
      <c r="F453" s="23"/>
      <c r="G453" s="23"/>
      <c r="H453" s="23"/>
      <c r="I453" s="24"/>
      <c r="J453" s="24"/>
      <c r="K453" s="23"/>
      <c r="L453" s="23"/>
      <c r="M453" s="24"/>
      <c r="N453" s="24"/>
      <c r="O453" s="27"/>
      <c r="P453" s="27"/>
      <c r="Q453" s="27"/>
      <c r="R453" s="23"/>
      <c r="S453" s="25"/>
      <c r="T453" s="25"/>
      <c r="U453" s="25"/>
      <c r="V453" s="25"/>
      <c r="W453" s="25"/>
      <c r="X453" s="23"/>
      <c r="Y453" s="4" t="str">
        <f>IF(Tabela2[[#This Row],[SIGLA]]="","",VLOOKUP(Tabela2[[#This Row],[SIGLA]],Tabela14[[#All],[Sigla Arte]:[Crédito]],2,0))</f>
        <v/>
      </c>
      <c r="Z453" s="24"/>
      <c r="AA453" s="24" t="str">
        <f>Tabela2[[#This Row],[ILUSTRADOR CRIAÇÃO]]</f>
        <v/>
      </c>
      <c r="AB453" s="23"/>
      <c r="AC453" s="21"/>
      <c r="AD453" s="21"/>
      <c r="AE453" s="4" t="str">
        <f t="shared" si="7"/>
        <v>EF1 E001 Geo</v>
      </c>
    </row>
    <row r="454" spans="1:31" s="14" customFormat="1" x14ac:dyDescent="0.25">
      <c r="A454" s="24"/>
      <c r="B454" s="21"/>
      <c r="C454" s="21"/>
      <c r="D454" s="21"/>
      <c r="E454" s="23"/>
      <c r="F454" s="23"/>
      <c r="G454" s="23"/>
      <c r="H454" s="23"/>
      <c r="I454" s="24"/>
      <c r="J454" s="24"/>
      <c r="K454" s="23"/>
      <c r="L454" s="23"/>
      <c r="M454" s="24"/>
      <c r="N454" s="24"/>
      <c r="O454" s="27"/>
      <c r="P454" s="27"/>
      <c r="Q454" s="27"/>
      <c r="R454" s="23"/>
      <c r="S454" s="25"/>
      <c r="T454" s="25"/>
      <c r="U454" s="25"/>
      <c r="V454" s="25"/>
      <c r="W454" s="25"/>
      <c r="X454" s="23"/>
      <c r="Y454" s="4" t="str">
        <f>IF(Tabela2[[#This Row],[SIGLA]]="","",VLOOKUP(Tabela2[[#This Row],[SIGLA]],Tabela14[[#All],[Sigla Arte]:[Crédito]],2,0))</f>
        <v/>
      </c>
      <c r="Z454" s="24"/>
      <c r="AA454" s="24" t="str">
        <f>Tabela2[[#This Row],[ILUSTRADOR CRIAÇÃO]]</f>
        <v/>
      </c>
      <c r="AB454" s="23"/>
      <c r="AC454" s="21"/>
      <c r="AD454" s="21"/>
      <c r="AE454" s="4" t="str">
        <f t="shared" si="7"/>
        <v>EF1 E001 Geo</v>
      </c>
    </row>
    <row r="455" spans="1:31" s="14" customFormat="1" x14ac:dyDescent="0.25">
      <c r="A455" s="24"/>
      <c r="B455" s="21"/>
      <c r="C455" s="21"/>
      <c r="D455" s="21"/>
      <c r="E455" s="23"/>
      <c r="F455" s="23"/>
      <c r="G455" s="23"/>
      <c r="H455" s="23"/>
      <c r="I455" s="24"/>
      <c r="J455" s="24"/>
      <c r="K455" s="23"/>
      <c r="L455" s="23"/>
      <c r="M455" s="24"/>
      <c r="N455" s="24"/>
      <c r="O455" s="27"/>
      <c r="P455" s="27"/>
      <c r="Q455" s="27"/>
      <c r="R455" s="23"/>
      <c r="S455" s="25"/>
      <c r="T455" s="25"/>
      <c r="U455" s="25"/>
      <c r="V455" s="25"/>
      <c r="W455" s="25"/>
      <c r="X455" s="23"/>
      <c r="Y455" s="4" t="str">
        <f>IF(Tabela2[[#This Row],[SIGLA]]="","",VLOOKUP(Tabela2[[#This Row],[SIGLA]],Tabela14[[#All],[Sigla Arte]:[Crédito]],2,0))</f>
        <v/>
      </c>
      <c r="Z455" s="24"/>
      <c r="AA455" s="24" t="str">
        <f>Tabela2[[#This Row],[ILUSTRADOR CRIAÇÃO]]</f>
        <v/>
      </c>
      <c r="AB455" s="23"/>
      <c r="AC455" s="21"/>
      <c r="AD455" s="21"/>
      <c r="AE455" s="4" t="str">
        <f t="shared" si="7"/>
        <v>EF1 E001 Geo</v>
      </c>
    </row>
    <row r="456" spans="1:31" s="14" customFormat="1" x14ac:dyDescent="0.25">
      <c r="A456" s="24"/>
      <c r="B456" s="21"/>
      <c r="C456" s="21"/>
      <c r="D456" s="21"/>
      <c r="E456" s="23"/>
      <c r="F456" s="23"/>
      <c r="G456" s="23"/>
      <c r="H456" s="23"/>
      <c r="I456" s="24"/>
      <c r="J456" s="24"/>
      <c r="K456" s="23"/>
      <c r="L456" s="23"/>
      <c r="M456" s="24"/>
      <c r="N456" s="24"/>
      <c r="O456" s="27"/>
      <c r="P456" s="27"/>
      <c r="Q456" s="27"/>
      <c r="R456" s="23"/>
      <c r="S456" s="25"/>
      <c r="T456" s="25"/>
      <c r="U456" s="25"/>
      <c r="V456" s="25"/>
      <c r="W456" s="25"/>
      <c r="X456" s="23"/>
      <c r="Y456" s="4" t="str">
        <f>IF(Tabela2[[#This Row],[SIGLA]]="","",VLOOKUP(Tabela2[[#This Row],[SIGLA]],Tabela14[[#All],[Sigla Arte]:[Crédito]],2,0))</f>
        <v/>
      </c>
      <c r="Z456" s="24"/>
      <c r="AA456" s="24" t="str">
        <f>Tabela2[[#This Row],[ILUSTRADOR CRIAÇÃO]]</f>
        <v/>
      </c>
      <c r="AB456" s="23"/>
      <c r="AC456" s="21"/>
      <c r="AD456" s="21"/>
      <c r="AE456" s="4" t="str">
        <f t="shared" si="7"/>
        <v>EF1 E001 Geo</v>
      </c>
    </row>
    <row r="457" spans="1:31" s="14" customFormat="1" x14ac:dyDescent="0.25">
      <c r="A457" s="24"/>
      <c r="B457" s="21"/>
      <c r="C457" s="21"/>
      <c r="D457" s="21"/>
      <c r="E457" s="23"/>
      <c r="F457" s="23"/>
      <c r="G457" s="23"/>
      <c r="H457" s="23"/>
      <c r="I457" s="24"/>
      <c r="J457" s="24"/>
      <c r="K457" s="23"/>
      <c r="L457" s="23"/>
      <c r="M457" s="24"/>
      <c r="N457" s="24"/>
      <c r="O457" s="27"/>
      <c r="P457" s="27"/>
      <c r="Q457" s="27"/>
      <c r="R457" s="23"/>
      <c r="S457" s="25"/>
      <c r="T457" s="25"/>
      <c r="U457" s="25"/>
      <c r="V457" s="25"/>
      <c r="W457" s="25"/>
      <c r="X457" s="23"/>
      <c r="Y457" s="4" t="str">
        <f>IF(Tabela2[[#This Row],[SIGLA]]="","",VLOOKUP(Tabela2[[#This Row],[SIGLA]],Tabela14[[#All],[Sigla Arte]:[Crédito]],2,0))</f>
        <v/>
      </c>
      <c r="Z457" s="24"/>
      <c r="AA457" s="24" t="str">
        <f>Tabela2[[#This Row],[ILUSTRADOR CRIAÇÃO]]</f>
        <v/>
      </c>
      <c r="AB457" s="23"/>
      <c r="AC457" s="21"/>
      <c r="AD457" s="21"/>
      <c r="AE457" s="4" t="str">
        <f t="shared" si="7"/>
        <v>EF1 E001 Geo</v>
      </c>
    </row>
    <row r="458" spans="1:31" s="14" customFormat="1" x14ac:dyDescent="0.25">
      <c r="A458" s="24"/>
      <c r="B458" s="21"/>
      <c r="C458" s="21"/>
      <c r="D458" s="21"/>
      <c r="E458" s="23"/>
      <c r="F458" s="23"/>
      <c r="G458" s="23"/>
      <c r="H458" s="23"/>
      <c r="I458" s="24"/>
      <c r="J458" s="24"/>
      <c r="K458" s="23"/>
      <c r="L458" s="23"/>
      <c r="M458" s="24"/>
      <c r="N458" s="24"/>
      <c r="O458" s="27"/>
      <c r="P458" s="27"/>
      <c r="Q458" s="27"/>
      <c r="R458" s="23"/>
      <c r="S458" s="25"/>
      <c r="T458" s="25"/>
      <c r="U458" s="25"/>
      <c r="V458" s="25"/>
      <c r="W458" s="25"/>
      <c r="X458" s="23"/>
      <c r="Y458" s="4" t="str">
        <f>IF(Tabela2[[#This Row],[SIGLA]]="","",VLOOKUP(Tabela2[[#This Row],[SIGLA]],Tabela14[[#All],[Sigla Arte]:[Crédito]],2,0))</f>
        <v/>
      </c>
      <c r="Z458" s="24"/>
      <c r="AA458" s="24" t="str">
        <f>Tabela2[[#This Row],[ILUSTRADOR CRIAÇÃO]]</f>
        <v/>
      </c>
      <c r="AB458" s="23"/>
      <c r="AC458" s="21"/>
      <c r="AD458" s="21"/>
      <c r="AE458" s="4" t="str">
        <f t="shared" si="7"/>
        <v>EF1 E001 Geo</v>
      </c>
    </row>
    <row r="459" spans="1:31" s="14" customFormat="1" x14ac:dyDescent="0.25">
      <c r="A459" s="24"/>
      <c r="B459" s="21"/>
      <c r="C459" s="21"/>
      <c r="D459" s="21"/>
      <c r="E459" s="23"/>
      <c r="F459" s="23"/>
      <c r="G459" s="23"/>
      <c r="H459" s="23"/>
      <c r="I459" s="24"/>
      <c r="J459" s="24"/>
      <c r="K459" s="23"/>
      <c r="L459" s="23"/>
      <c r="M459" s="24"/>
      <c r="N459" s="24"/>
      <c r="O459" s="27"/>
      <c r="P459" s="27"/>
      <c r="Q459" s="27"/>
      <c r="R459" s="23"/>
      <c r="S459" s="25"/>
      <c r="T459" s="25"/>
      <c r="U459" s="25"/>
      <c r="V459" s="25"/>
      <c r="W459" s="25"/>
      <c r="X459" s="23"/>
      <c r="Y459" s="4" t="str">
        <f>IF(Tabela2[[#This Row],[SIGLA]]="","",VLOOKUP(Tabela2[[#This Row],[SIGLA]],Tabela14[[#All],[Sigla Arte]:[Crédito]],2,0))</f>
        <v/>
      </c>
      <c r="Z459" s="24"/>
      <c r="AA459" s="24" t="str">
        <f>Tabela2[[#This Row],[ILUSTRADOR CRIAÇÃO]]</f>
        <v/>
      </c>
      <c r="AB459" s="23"/>
      <c r="AC459" s="21"/>
      <c r="AD459" s="21"/>
      <c r="AE459" s="4" t="str">
        <f t="shared" si="7"/>
        <v>EF1 E001 Geo</v>
      </c>
    </row>
    <row r="460" spans="1:31" s="14" customFormat="1" x14ac:dyDescent="0.25">
      <c r="A460" s="24"/>
      <c r="B460" s="21"/>
      <c r="C460" s="21"/>
      <c r="D460" s="21"/>
      <c r="E460" s="23"/>
      <c r="F460" s="23"/>
      <c r="G460" s="23"/>
      <c r="H460" s="23"/>
      <c r="I460" s="24"/>
      <c r="J460" s="24"/>
      <c r="K460" s="23"/>
      <c r="L460" s="23"/>
      <c r="M460" s="24"/>
      <c r="N460" s="24"/>
      <c r="O460" s="27"/>
      <c r="P460" s="27"/>
      <c r="Q460" s="27"/>
      <c r="R460" s="23"/>
      <c r="S460" s="25"/>
      <c r="T460" s="25"/>
      <c r="U460" s="25"/>
      <c r="V460" s="25"/>
      <c r="W460" s="25"/>
      <c r="X460" s="23"/>
      <c r="Y460" s="4" t="str">
        <f>IF(Tabela2[[#This Row],[SIGLA]]="","",VLOOKUP(Tabela2[[#This Row],[SIGLA]],Tabela14[[#All],[Sigla Arte]:[Crédito]],2,0))</f>
        <v/>
      </c>
      <c r="Z460" s="24"/>
      <c r="AA460" s="24" t="str">
        <f>Tabela2[[#This Row],[ILUSTRADOR CRIAÇÃO]]</f>
        <v/>
      </c>
      <c r="AB460" s="23"/>
      <c r="AC460" s="21"/>
      <c r="AD460" s="21"/>
      <c r="AE460" s="4" t="str">
        <f t="shared" si="7"/>
        <v>EF1 E001 Geo</v>
      </c>
    </row>
    <row r="461" spans="1:31" s="14" customFormat="1" x14ac:dyDescent="0.25">
      <c r="A461" s="24"/>
      <c r="B461" s="21"/>
      <c r="C461" s="21"/>
      <c r="D461" s="21"/>
      <c r="E461" s="23"/>
      <c r="F461" s="23"/>
      <c r="G461" s="23"/>
      <c r="H461" s="23"/>
      <c r="I461" s="24"/>
      <c r="J461" s="24"/>
      <c r="K461" s="23"/>
      <c r="L461" s="23"/>
      <c r="M461" s="24"/>
      <c r="N461" s="24"/>
      <c r="O461" s="27"/>
      <c r="P461" s="27"/>
      <c r="Q461" s="27"/>
      <c r="R461" s="23"/>
      <c r="S461" s="25"/>
      <c r="T461" s="25"/>
      <c r="U461" s="25"/>
      <c r="V461" s="25"/>
      <c r="W461" s="25"/>
      <c r="X461" s="23"/>
      <c r="Y461" s="4" t="str">
        <f>IF(Tabela2[[#This Row],[SIGLA]]="","",VLOOKUP(Tabela2[[#This Row],[SIGLA]],Tabela14[[#All],[Sigla Arte]:[Crédito]],2,0))</f>
        <v/>
      </c>
      <c r="Z461" s="24"/>
      <c r="AA461" s="24" t="str">
        <f>Tabela2[[#This Row],[ILUSTRADOR CRIAÇÃO]]</f>
        <v/>
      </c>
      <c r="AB461" s="23"/>
      <c r="AC461" s="21"/>
      <c r="AD461" s="21"/>
      <c r="AE461" s="4" t="str">
        <f t="shared" si="7"/>
        <v>EF1 E001 Geo</v>
      </c>
    </row>
    <row r="462" spans="1:31" s="14" customFormat="1" x14ac:dyDescent="0.25">
      <c r="A462" s="24"/>
      <c r="B462" s="21"/>
      <c r="C462" s="21"/>
      <c r="D462" s="21"/>
      <c r="E462" s="23"/>
      <c r="F462" s="23"/>
      <c r="G462" s="23"/>
      <c r="H462" s="23"/>
      <c r="I462" s="24"/>
      <c r="J462" s="24"/>
      <c r="K462" s="23"/>
      <c r="L462" s="23"/>
      <c r="M462" s="24"/>
      <c r="N462" s="24"/>
      <c r="O462" s="27"/>
      <c r="P462" s="27"/>
      <c r="Q462" s="27"/>
      <c r="R462" s="23"/>
      <c r="S462" s="25"/>
      <c r="T462" s="25"/>
      <c r="U462" s="25"/>
      <c r="V462" s="25"/>
      <c r="W462" s="25"/>
      <c r="X462" s="23"/>
      <c r="Y462" s="4" t="str">
        <f>IF(Tabela2[[#This Row],[SIGLA]]="","",VLOOKUP(Tabela2[[#This Row],[SIGLA]],Tabela14[[#All],[Sigla Arte]:[Crédito]],2,0))</f>
        <v/>
      </c>
      <c r="Z462" s="24"/>
      <c r="AA462" s="24" t="str">
        <f>Tabela2[[#This Row],[ILUSTRADOR CRIAÇÃO]]</f>
        <v/>
      </c>
      <c r="AB462" s="23"/>
      <c r="AC462" s="21"/>
      <c r="AD462" s="21"/>
      <c r="AE462" s="4" t="str">
        <f t="shared" si="7"/>
        <v>EF1 E001 Geo</v>
      </c>
    </row>
    <row r="463" spans="1:31" s="14" customFormat="1" x14ac:dyDescent="0.25">
      <c r="A463" s="24"/>
      <c r="B463" s="21"/>
      <c r="C463" s="21"/>
      <c r="D463" s="21"/>
      <c r="E463" s="23"/>
      <c r="F463" s="23"/>
      <c r="G463" s="23"/>
      <c r="H463" s="23"/>
      <c r="I463" s="24"/>
      <c r="J463" s="24"/>
      <c r="K463" s="23"/>
      <c r="L463" s="23"/>
      <c r="M463" s="24"/>
      <c r="N463" s="24"/>
      <c r="O463" s="27"/>
      <c r="P463" s="27"/>
      <c r="Q463" s="27"/>
      <c r="R463" s="23"/>
      <c r="S463" s="25"/>
      <c r="T463" s="25"/>
      <c r="U463" s="25"/>
      <c r="V463" s="25"/>
      <c r="W463" s="25"/>
      <c r="X463" s="23"/>
      <c r="Y463" s="4" t="str">
        <f>IF(Tabela2[[#This Row],[SIGLA]]="","",VLOOKUP(Tabela2[[#This Row],[SIGLA]],Tabela14[[#All],[Sigla Arte]:[Crédito]],2,0))</f>
        <v/>
      </c>
      <c r="Z463" s="24"/>
      <c r="AA463" s="24" t="str">
        <f>Tabela2[[#This Row],[ILUSTRADOR CRIAÇÃO]]</f>
        <v/>
      </c>
      <c r="AB463" s="23"/>
      <c r="AC463" s="21"/>
      <c r="AD463" s="21"/>
      <c r="AE463" s="4" t="str">
        <f t="shared" si="7"/>
        <v>EF1 E001 Geo</v>
      </c>
    </row>
    <row r="464" spans="1:31" s="14" customFormat="1" x14ac:dyDescent="0.25">
      <c r="A464" s="24"/>
      <c r="B464" s="21"/>
      <c r="C464" s="21"/>
      <c r="D464" s="21"/>
      <c r="E464" s="23"/>
      <c r="F464" s="23"/>
      <c r="G464" s="23"/>
      <c r="H464" s="23"/>
      <c r="I464" s="24"/>
      <c r="J464" s="24"/>
      <c r="K464" s="23"/>
      <c r="L464" s="23"/>
      <c r="M464" s="24"/>
      <c r="N464" s="24"/>
      <c r="O464" s="27"/>
      <c r="P464" s="27"/>
      <c r="Q464" s="27"/>
      <c r="R464" s="23"/>
      <c r="S464" s="25"/>
      <c r="T464" s="25"/>
      <c r="U464" s="25"/>
      <c r="V464" s="25"/>
      <c r="W464" s="25"/>
      <c r="X464" s="23"/>
      <c r="Y464" s="4" t="str">
        <f>IF(Tabela2[[#This Row],[SIGLA]]="","",VLOOKUP(Tabela2[[#This Row],[SIGLA]],Tabela14[[#All],[Sigla Arte]:[Crédito]],2,0))</f>
        <v/>
      </c>
      <c r="Z464" s="24"/>
      <c r="AA464" s="24" t="str">
        <f>Tabela2[[#This Row],[ILUSTRADOR CRIAÇÃO]]</f>
        <v/>
      </c>
      <c r="AB464" s="23"/>
      <c r="AC464" s="21"/>
      <c r="AD464" s="21"/>
      <c r="AE464" s="4" t="str">
        <f t="shared" si="7"/>
        <v>EF1 E001 Geo</v>
      </c>
    </row>
    <row r="465" spans="1:31" s="14" customFormat="1" x14ac:dyDescent="0.25">
      <c r="A465" s="24"/>
      <c r="B465" s="21"/>
      <c r="C465" s="21"/>
      <c r="D465" s="21"/>
      <c r="E465" s="23"/>
      <c r="F465" s="23"/>
      <c r="G465" s="23"/>
      <c r="H465" s="23"/>
      <c r="I465" s="24"/>
      <c r="J465" s="24"/>
      <c r="K465" s="23"/>
      <c r="L465" s="23"/>
      <c r="M465" s="24"/>
      <c r="N465" s="24"/>
      <c r="O465" s="27"/>
      <c r="P465" s="27"/>
      <c r="Q465" s="27"/>
      <c r="R465" s="23"/>
      <c r="S465" s="25"/>
      <c r="T465" s="25"/>
      <c r="U465" s="25"/>
      <c r="V465" s="25"/>
      <c r="W465" s="25"/>
      <c r="X465" s="23"/>
      <c r="Y465" s="4" t="str">
        <f>IF(Tabela2[[#This Row],[SIGLA]]="","",VLOOKUP(Tabela2[[#This Row],[SIGLA]],Tabela14[[#All],[Sigla Arte]:[Crédito]],2,0))</f>
        <v/>
      </c>
      <c r="Z465" s="24"/>
      <c r="AA465" s="24" t="str">
        <f>Tabela2[[#This Row],[ILUSTRADOR CRIAÇÃO]]</f>
        <v/>
      </c>
      <c r="AB465" s="23"/>
      <c r="AC465" s="21"/>
      <c r="AD465" s="21"/>
      <c r="AE465" s="4" t="str">
        <f t="shared" si="7"/>
        <v>EF1 E001 Geo</v>
      </c>
    </row>
    <row r="466" spans="1:31" s="14" customFormat="1" x14ac:dyDescent="0.25">
      <c r="A466" s="24"/>
      <c r="B466" s="21"/>
      <c r="C466" s="21"/>
      <c r="D466" s="21"/>
      <c r="E466" s="23"/>
      <c r="F466" s="23"/>
      <c r="G466" s="23"/>
      <c r="H466" s="23"/>
      <c r="I466" s="24"/>
      <c r="J466" s="24"/>
      <c r="K466" s="23"/>
      <c r="L466" s="23"/>
      <c r="M466" s="24"/>
      <c r="N466" s="24"/>
      <c r="O466" s="27"/>
      <c r="P466" s="27"/>
      <c r="Q466" s="27"/>
      <c r="R466" s="23"/>
      <c r="S466" s="25"/>
      <c r="T466" s="25"/>
      <c r="U466" s="25"/>
      <c r="V466" s="25"/>
      <c r="W466" s="25"/>
      <c r="X466" s="23"/>
      <c r="Y466" s="4" t="str">
        <f>IF(Tabela2[[#This Row],[SIGLA]]="","",VLOOKUP(Tabela2[[#This Row],[SIGLA]],Tabela14[[#All],[Sigla Arte]:[Crédito]],2,0))</f>
        <v/>
      </c>
      <c r="Z466" s="24"/>
      <c r="AA466" s="24" t="str">
        <f>Tabela2[[#This Row],[ILUSTRADOR CRIAÇÃO]]</f>
        <v/>
      </c>
      <c r="AB466" s="23"/>
      <c r="AC466" s="21"/>
      <c r="AD466" s="21"/>
      <c r="AE466" s="4" t="str">
        <f t="shared" si="7"/>
        <v>EF1 E001 Geo</v>
      </c>
    </row>
    <row r="467" spans="1:31" s="14" customFormat="1" x14ac:dyDescent="0.25">
      <c r="A467" s="24"/>
      <c r="B467" s="21"/>
      <c r="C467" s="21"/>
      <c r="D467" s="21"/>
      <c r="E467" s="23"/>
      <c r="F467" s="23"/>
      <c r="G467" s="23"/>
      <c r="H467" s="23"/>
      <c r="I467" s="24"/>
      <c r="J467" s="24"/>
      <c r="K467" s="23"/>
      <c r="L467" s="23"/>
      <c r="M467" s="24"/>
      <c r="N467" s="24"/>
      <c r="O467" s="27"/>
      <c r="P467" s="27"/>
      <c r="Q467" s="27"/>
      <c r="R467" s="23"/>
      <c r="S467" s="25"/>
      <c r="T467" s="25"/>
      <c r="U467" s="25"/>
      <c r="V467" s="25"/>
      <c r="W467" s="25"/>
      <c r="X467" s="23"/>
      <c r="Y467" s="4" t="str">
        <f>IF(Tabela2[[#This Row],[SIGLA]]="","",VLOOKUP(Tabela2[[#This Row],[SIGLA]],Tabela14[[#All],[Sigla Arte]:[Crédito]],2,0))</f>
        <v/>
      </c>
      <c r="Z467" s="24"/>
      <c r="AA467" s="24" t="str">
        <f>Tabela2[[#This Row],[ILUSTRADOR CRIAÇÃO]]</f>
        <v/>
      </c>
      <c r="AB467" s="23"/>
      <c r="AC467" s="21"/>
      <c r="AD467" s="21"/>
      <c r="AE467" s="4" t="str">
        <f t="shared" si="7"/>
        <v>EF1 E001 Geo</v>
      </c>
    </row>
    <row r="468" spans="1:31" s="14" customFormat="1" x14ac:dyDescent="0.25">
      <c r="A468" s="24"/>
      <c r="B468" s="21"/>
      <c r="C468" s="21"/>
      <c r="D468" s="21"/>
      <c r="E468" s="23"/>
      <c r="F468" s="23"/>
      <c r="G468" s="23"/>
      <c r="H468" s="23"/>
      <c r="I468" s="24"/>
      <c r="J468" s="24"/>
      <c r="K468" s="23"/>
      <c r="L468" s="23"/>
      <c r="M468" s="24"/>
      <c r="N468" s="24"/>
      <c r="O468" s="27"/>
      <c r="P468" s="27"/>
      <c r="Q468" s="27"/>
      <c r="R468" s="23"/>
      <c r="S468" s="25"/>
      <c r="T468" s="25"/>
      <c r="U468" s="25"/>
      <c r="V468" s="25"/>
      <c r="W468" s="25"/>
      <c r="X468" s="23"/>
      <c r="Y468" s="4" t="str">
        <f>IF(Tabela2[[#This Row],[SIGLA]]="","",VLOOKUP(Tabela2[[#This Row],[SIGLA]],Tabela14[[#All],[Sigla Arte]:[Crédito]],2,0))</f>
        <v/>
      </c>
      <c r="Z468" s="24"/>
      <c r="AA468" s="24" t="str">
        <f>Tabela2[[#This Row],[ILUSTRADOR CRIAÇÃO]]</f>
        <v/>
      </c>
      <c r="AB468" s="23"/>
      <c r="AC468" s="21"/>
      <c r="AD468" s="21"/>
      <c r="AE468" s="4" t="str">
        <f t="shared" si="7"/>
        <v>EF1 E001 Geo</v>
      </c>
    </row>
    <row r="469" spans="1:31" s="14" customFormat="1" x14ac:dyDescent="0.25">
      <c r="A469" s="24"/>
      <c r="B469" s="21"/>
      <c r="C469" s="21"/>
      <c r="D469" s="21"/>
      <c r="E469" s="23"/>
      <c r="F469" s="23"/>
      <c r="G469" s="23"/>
      <c r="H469" s="23"/>
      <c r="I469" s="24"/>
      <c r="J469" s="24"/>
      <c r="K469" s="23"/>
      <c r="L469" s="23"/>
      <c r="M469" s="24"/>
      <c r="N469" s="24"/>
      <c r="O469" s="27"/>
      <c r="P469" s="27"/>
      <c r="Q469" s="27"/>
      <c r="R469" s="23"/>
      <c r="S469" s="25"/>
      <c r="T469" s="25"/>
      <c r="U469" s="25"/>
      <c r="V469" s="25"/>
      <c r="W469" s="25"/>
      <c r="X469" s="23"/>
      <c r="Y469" s="4" t="str">
        <f>IF(Tabela2[[#This Row],[SIGLA]]="","",VLOOKUP(Tabela2[[#This Row],[SIGLA]],Tabela14[[#All],[Sigla Arte]:[Crédito]],2,0))</f>
        <v/>
      </c>
      <c r="Z469" s="24"/>
      <c r="AA469" s="24" t="str">
        <f>Tabela2[[#This Row],[ILUSTRADOR CRIAÇÃO]]</f>
        <v/>
      </c>
      <c r="AB469" s="23"/>
      <c r="AC469" s="21"/>
      <c r="AD469" s="21"/>
      <c r="AE469" s="4" t="str">
        <f t="shared" si="7"/>
        <v>EF1 E001 Geo</v>
      </c>
    </row>
    <row r="470" spans="1:31" s="14" customFormat="1" x14ac:dyDescent="0.25">
      <c r="A470" s="24"/>
      <c r="B470" s="21"/>
      <c r="C470" s="21"/>
      <c r="D470" s="21"/>
      <c r="E470" s="23"/>
      <c r="F470" s="23"/>
      <c r="G470" s="23"/>
      <c r="H470" s="23"/>
      <c r="I470" s="24"/>
      <c r="J470" s="24"/>
      <c r="K470" s="23"/>
      <c r="L470" s="23"/>
      <c r="M470" s="24"/>
      <c r="N470" s="24"/>
      <c r="O470" s="27"/>
      <c r="P470" s="27"/>
      <c r="Q470" s="27"/>
      <c r="R470" s="23"/>
      <c r="S470" s="25"/>
      <c r="T470" s="25"/>
      <c r="U470" s="25"/>
      <c r="V470" s="25"/>
      <c r="W470" s="25"/>
      <c r="X470" s="23"/>
      <c r="Y470" s="4" t="str">
        <f>IF(Tabela2[[#This Row],[SIGLA]]="","",VLOOKUP(Tabela2[[#This Row],[SIGLA]],Tabela14[[#All],[Sigla Arte]:[Crédito]],2,0))</f>
        <v/>
      </c>
      <c r="Z470" s="24"/>
      <c r="AA470" s="24" t="str">
        <f>Tabela2[[#This Row],[ILUSTRADOR CRIAÇÃO]]</f>
        <v/>
      </c>
      <c r="AB470" s="23"/>
      <c r="AC470" s="21"/>
      <c r="AD470" s="21"/>
      <c r="AE470" s="4" t="str">
        <f t="shared" si="7"/>
        <v>EF1 E001 Geo</v>
      </c>
    </row>
    <row r="471" spans="1:31" s="14" customFormat="1" x14ac:dyDescent="0.25">
      <c r="A471" s="24"/>
      <c r="B471" s="21"/>
      <c r="C471" s="21"/>
      <c r="D471" s="21"/>
      <c r="E471" s="23"/>
      <c r="F471" s="23"/>
      <c r="G471" s="23"/>
      <c r="H471" s="23"/>
      <c r="I471" s="24"/>
      <c r="J471" s="24"/>
      <c r="K471" s="23"/>
      <c r="L471" s="23"/>
      <c r="M471" s="24"/>
      <c r="N471" s="24"/>
      <c r="O471" s="27"/>
      <c r="P471" s="27"/>
      <c r="Q471" s="27"/>
      <c r="R471" s="23"/>
      <c r="S471" s="25"/>
      <c r="T471" s="25"/>
      <c r="U471" s="25"/>
      <c r="V471" s="25"/>
      <c r="W471" s="25"/>
      <c r="X471" s="23"/>
      <c r="Y471" s="4" t="str">
        <f>IF(Tabela2[[#This Row],[SIGLA]]="","",VLOOKUP(Tabela2[[#This Row],[SIGLA]],Tabela14[[#All],[Sigla Arte]:[Crédito]],2,0))</f>
        <v/>
      </c>
      <c r="Z471" s="24"/>
      <c r="AA471" s="24" t="str">
        <f>Tabela2[[#This Row],[ILUSTRADOR CRIAÇÃO]]</f>
        <v/>
      </c>
      <c r="AB471" s="23"/>
      <c r="AC471" s="21"/>
      <c r="AD471" s="21"/>
      <c r="AE471" s="4" t="str">
        <f t="shared" si="7"/>
        <v>EF1 E001 Geo</v>
      </c>
    </row>
    <row r="472" spans="1:31" s="14" customFormat="1" x14ac:dyDescent="0.25">
      <c r="A472" s="24"/>
      <c r="B472" s="21"/>
      <c r="C472" s="21"/>
      <c r="D472" s="21"/>
      <c r="E472" s="23"/>
      <c r="F472" s="23"/>
      <c r="G472" s="23"/>
      <c r="H472" s="23"/>
      <c r="I472" s="24"/>
      <c r="J472" s="24"/>
      <c r="K472" s="23"/>
      <c r="L472" s="23"/>
      <c r="M472" s="24"/>
      <c r="N472" s="24"/>
      <c r="O472" s="27"/>
      <c r="P472" s="27"/>
      <c r="Q472" s="27"/>
      <c r="R472" s="23"/>
      <c r="S472" s="25"/>
      <c r="T472" s="25"/>
      <c r="U472" s="25"/>
      <c r="V472" s="25"/>
      <c r="W472" s="25"/>
      <c r="X472" s="23"/>
      <c r="Y472" s="4" t="str">
        <f>IF(Tabela2[[#This Row],[SIGLA]]="","",VLOOKUP(Tabela2[[#This Row],[SIGLA]],Tabela14[[#All],[Sigla Arte]:[Crédito]],2,0))</f>
        <v/>
      </c>
      <c r="Z472" s="24"/>
      <c r="AA472" s="24" t="str">
        <f>Tabela2[[#This Row],[ILUSTRADOR CRIAÇÃO]]</f>
        <v/>
      </c>
      <c r="AB472" s="23"/>
      <c r="AC472" s="21"/>
      <c r="AD472" s="21"/>
      <c r="AE472" s="4" t="str">
        <f t="shared" si="7"/>
        <v>EF1 E001 Geo</v>
      </c>
    </row>
    <row r="473" spans="1:31" s="14" customFormat="1" x14ac:dyDescent="0.25">
      <c r="A473" s="24"/>
      <c r="B473" s="21"/>
      <c r="C473" s="21"/>
      <c r="D473" s="21"/>
      <c r="E473" s="23"/>
      <c r="F473" s="23"/>
      <c r="G473" s="23"/>
      <c r="H473" s="23"/>
      <c r="I473" s="24"/>
      <c r="J473" s="24"/>
      <c r="K473" s="23"/>
      <c r="L473" s="23"/>
      <c r="M473" s="24"/>
      <c r="N473" s="24"/>
      <c r="O473" s="27"/>
      <c r="P473" s="27"/>
      <c r="Q473" s="27"/>
      <c r="R473" s="23"/>
      <c r="S473" s="25"/>
      <c r="T473" s="25"/>
      <c r="U473" s="25"/>
      <c r="V473" s="25"/>
      <c r="W473" s="25"/>
      <c r="X473" s="23"/>
      <c r="Y473" s="4" t="str">
        <f>IF(Tabela2[[#This Row],[SIGLA]]="","",VLOOKUP(Tabela2[[#This Row],[SIGLA]],Tabela14[[#All],[Sigla Arte]:[Crédito]],2,0))</f>
        <v/>
      </c>
      <c r="Z473" s="24"/>
      <c r="AA473" s="24" t="str">
        <f>Tabela2[[#This Row],[ILUSTRADOR CRIAÇÃO]]</f>
        <v/>
      </c>
      <c r="AB473" s="23"/>
      <c r="AC473" s="21"/>
      <c r="AD473" s="21"/>
      <c r="AE473" s="4" t="str">
        <f t="shared" si="7"/>
        <v>EF1 E001 Geo</v>
      </c>
    </row>
    <row r="474" spans="1:31" s="14" customFormat="1" x14ac:dyDescent="0.25">
      <c r="A474" s="24"/>
      <c r="B474" s="21"/>
      <c r="C474" s="21"/>
      <c r="D474" s="21"/>
      <c r="E474" s="23"/>
      <c r="F474" s="23"/>
      <c r="G474" s="23"/>
      <c r="H474" s="23"/>
      <c r="I474" s="24"/>
      <c r="J474" s="24"/>
      <c r="K474" s="23"/>
      <c r="L474" s="23"/>
      <c r="M474" s="24"/>
      <c r="N474" s="24"/>
      <c r="O474" s="27"/>
      <c r="P474" s="27"/>
      <c r="Q474" s="27"/>
      <c r="R474" s="23"/>
      <c r="S474" s="25"/>
      <c r="T474" s="25"/>
      <c r="U474" s="25"/>
      <c r="V474" s="25"/>
      <c r="W474" s="25"/>
      <c r="X474" s="23"/>
      <c r="Y474" s="4" t="str">
        <f>IF(Tabela2[[#This Row],[SIGLA]]="","",VLOOKUP(Tabela2[[#This Row],[SIGLA]],Tabela14[[#All],[Sigla Arte]:[Crédito]],2,0))</f>
        <v/>
      </c>
      <c r="Z474" s="24"/>
      <c r="AA474" s="24" t="str">
        <f>Tabela2[[#This Row],[ILUSTRADOR CRIAÇÃO]]</f>
        <v/>
      </c>
      <c r="AB474" s="23"/>
      <c r="AC474" s="21"/>
      <c r="AD474" s="21"/>
      <c r="AE474" s="4" t="str">
        <f t="shared" si="7"/>
        <v>EF1 E001 Geo</v>
      </c>
    </row>
    <row r="475" spans="1:31" s="14" customFormat="1" x14ac:dyDescent="0.25">
      <c r="A475" s="24"/>
      <c r="B475" s="21"/>
      <c r="C475" s="21"/>
      <c r="D475" s="21"/>
      <c r="E475" s="23"/>
      <c r="F475" s="23"/>
      <c r="G475" s="23"/>
      <c r="H475" s="23"/>
      <c r="I475" s="24"/>
      <c r="J475" s="24"/>
      <c r="K475" s="23"/>
      <c r="L475" s="23"/>
      <c r="M475" s="24"/>
      <c r="N475" s="24"/>
      <c r="O475" s="27"/>
      <c r="P475" s="27"/>
      <c r="Q475" s="27"/>
      <c r="R475" s="23"/>
      <c r="S475" s="25"/>
      <c r="T475" s="25"/>
      <c r="U475" s="25"/>
      <c r="V475" s="25"/>
      <c r="W475" s="25"/>
      <c r="X475" s="23"/>
      <c r="Y475" s="4" t="str">
        <f>IF(Tabela2[[#This Row],[SIGLA]]="","",VLOOKUP(Tabela2[[#This Row],[SIGLA]],Tabela14[[#All],[Sigla Arte]:[Crédito]],2,0))</f>
        <v/>
      </c>
      <c r="Z475" s="24"/>
      <c r="AA475" s="24" t="str">
        <f>Tabela2[[#This Row],[ILUSTRADOR CRIAÇÃO]]</f>
        <v/>
      </c>
      <c r="AB475" s="23"/>
      <c r="AC475" s="21"/>
      <c r="AD475" s="21"/>
      <c r="AE475" s="4" t="str">
        <f t="shared" si="7"/>
        <v>EF1 E001 Geo</v>
      </c>
    </row>
    <row r="476" spans="1:31" s="14" customFormat="1" x14ac:dyDescent="0.25">
      <c r="A476" s="24"/>
      <c r="B476" s="21"/>
      <c r="C476" s="21"/>
      <c r="D476" s="21"/>
      <c r="E476" s="23"/>
      <c r="F476" s="23"/>
      <c r="G476" s="23"/>
      <c r="H476" s="23"/>
      <c r="I476" s="24"/>
      <c r="J476" s="24"/>
      <c r="K476" s="23"/>
      <c r="L476" s="23"/>
      <c r="M476" s="24"/>
      <c r="N476" s="24"/>
      <c r="O476" s="27"/>
      <c r="P476" s="27"/>
      <c r="Q476" s="27"/>
      <c r="R476" s="23"/>
      <c r="S476" s="25"/>
      <c r="T476" s="25"/>
      <c r="U476" s="25"/>
      <c r="V476" s="25"/>
      <c r="W476" s="25"/>
      <c r="X476" s="23"/>
      <c r="Y476" s="4" t="str">
        <f>IF(Tabela2[[#This Row],[SIGLA]]="","",VLOOKUP(Tabela2[[#This Row],[SIGLA]],Tabela14[[#All],[Sigla Arte]:[Crédito]],2,0))</f>
        <v/>
      </c>
      <c r="Z476" s="24"/>
      <c r="AA476" s="24" t="str">
        <f>Tabela2[[#This Row],[ILUSTRADOR CRIAÇÃO]]</f>
        <v/>
      </c>
      <c r="AB476" s="23"/>
      <c r="AC476" s="21"/>
      <c r="AD476" s="21"/>
      <c r="AE476" s="4" t="str">
        <f t="shared" si="7"/>
        <v>EF1 E001 Geo</v>
      </c>
    </row>
    <row r="477" spans="1:31" s="14" customFormat="1" x14ac:dyDescent="0.25">
      <c r="A477" s="24"/>
      <c r="B477" s="21"/>
      <c r="C477" s="21"/>
      <c r="D477" s="21"/>
      <c r="E477" s="23"/>
      <c r="F477" s="23"/>
      <c r="G477" s="23"/>
      <c r="H477" s="23"/>
      <c r="I477" s="24"/>
      <c r="J477" s="24"/>
      <c r="K477" s="23"/>
      <c r="L477" s="23"/>
      <c r="M477" s="24"/>
      <c r="N477" s="24"/>
      <c r="O477" s="27"/>
      <c r="P477" s="27"/>
      <c r="Q477" s="27"/>
      <c r="R477" s="23"/>
      <c r="S477" s="25"/>
      <c r="T477" s="25"/>
      <c r="U477" s="25"/>
      <c r="V477" s="25"/>
      <c r="W477" s="25"/>
      <c r="X477" s="23"/>
      <c r="Y477" s="4" t="str">
        <f>IF(Tabela2[[#This Row],[SIGLA]]="","",VLOOKUP(Tabela2[[#This Row],[SIGLA]],Tabela14[[#All],[Sigla Arte]:[Crédito]],2,0))</f>
        <v/>
      </c>
      <c r="Z477" s="24"/>
      <c r="AA477" s="24" t="str">
        <f>Tabela2[[#This Row],[ILUSTRADOR CRIAÇÃO]]</f>
        <v/>
      </c>
      <c r="AB477" s="23"/>
      <c r="AC477" s="21"/>
      <c r="AD477" s="21"/>
      <c r="AE477" s="4" t="str">
        <f t="shared" si="7"/>
        <v>EF1 E001 Geo</v>
      </c>
    </row>
    <row r="478" spans="1:31" s="14" customFormat="1" x14ac:dyDescent="0.25">
      <c r="A478" s="24"/>
      <c r="B478" s="21"/>
      <c r="C478" s="21"/>
      <c r="D478" s="21"/>
      <c r="E478" s="23"/>
      <c r="F478" s="23"/>
      <c r="G478" s="23"/>
      <c r="H478" s="23"/>
      <c r="I478" s="24"/>
      <c r="J478" s="24"/>
      <c r="K478" s="23"/>
      <c r="L478" s="23"/>
      <c r="M478" s="24"/>
      <c r="N478" s="24"/>
      <c r="O478" s="27"/>
      <c r="P478" s="27"/>
      <c r="Q478" s="27"/>
      <c r="R478" s="23"/>
      <c r="S478" s="25"/>
      <c r="T478" s="25"/>
      <c r="U478" s="25"/>
      <c r="V478" s="25"/>
      <c r="W478" s="25"/>
      <c r="X478" s="23"/>
      <c r="Y478" s="4" t="str">
        <f>IF(Tabela2[[#This Row],[SIGLA]]="","",VLOOKUP(Tabela2[[#This Row],[SIGLA]],Tabela14[[#All],[Sigla Arte]:[Crédito]],2,0))</f>
        <v/>
      </c>
      <c r="Z478" s="24"/>
      <c r="AA478" s="24" t="str">
        <f>Tabela2[[#This Row],[ILUSTRADOR CRIAÇÃO]]</f>
        <v/>
      </c>
      <c r="AB478" s="23"/>
      <c r="AC478" s="21"/>
      <c r="AD478" s="21"/>
      <c r="AE478" s="4" t="str">
        <f t="shared" si="7"/>
        <v>EF1 E001 Geo</v>
      </c>
    </row>
    <row r="479" spans="1:31" s="14" customFormat="1" x14ac:dyDescent="0.25">
      <c r="A479" s="24"/>
      <c r="B479" s="21"/>
      <c r="C479" s="21"/>
      <c r="D479" s="21"/>
      <c r="E479" s="23"/>
      <c r="F479" s="23"/>
      <c r="G479" s="23"/>
      <c r="H479" s="23"/>
      <c r="I479" s="24"/>
      <c r="J479" s="24"/>
      <c r="K479" s="23"/>
      <c r="L479" s="23"/>
      <c r="M479" s="24"/>
      <c r="N479" s="24"/>
      <c r="O479" s="27"/>
      <c r="P479" s="27"/>
      <c r="Q479" s="27"/>
      <c r="R479" s="23"/>
      <c r="S479" s="25"/>
      <c r="T479" s="25"/>
      <c r="U479" s="25"/>
      <c r="V479" s="25"/>
      <c r="W479" s="25"/>
      <c r="X479" s="23"/>
      <c r="Y479" s="4" t="str">
        <f>IF(Tabela2[[#This Row],[SIGLA]]="","",VLOOKUP(Tabela2[[#This Row],[SIGLA]],Tabela14[[#All],[Sigla Arte]:[Crédito]],2,0))</f>
        <v/>
      </c>
      <c r="Z479" s="24"/>
      <c r="AA479" s="24" t="str">
        <f>Tabela2[[#This Row],[ILUSTRADOR CRIAÇÃO]]</f>
        <v/>
      </c>
      <c r="AB479" s="23"/>
      <c r="AC479" s="21"/>
      <c r="AD479" s="21"/>
      <c r="AE479" s="4" t="str">
        <f t="shared" si="7"/>
        <v>EF1 E001 Geo</v>
      </c>
    </row>
    <row r="480" spans="1:31" s="14" customFormat="1" x14ac:dyDescent="0.25">
      <c r="A480" s="24"/>
      <c r="B480" s="21"/>
      <c r="C480" s="21"/>
      <c r="D480" s="21"/>
      <c r="E480" s="23"/>
      <c r="F480" s="23"/>
      <c r="G480" s="23"/>
      <c r="H480" s="23"/>
      <c r="I480" s="24"/>
      <c r="J480" s="24"/>
      <c r="K480" s="23"/>
      <c r="L480" s="23"/>
      <c r="M480" s="24"/>
      <c r="N480" s="24"/>
      <c r="O480" s="27"/>
      <c r="P480" s="27"/>
      <c r="Q480" s="27"/>
      <c r="R480" s="23"/>
      <c r="S480" s="25"/>
      <c r="T480" s="25"/>
      <c r="U480" s="25"/>
      <c r="V480" s="25"/>
      <c r="W480" s="25"/>
      <c r="X480" s="23"/>
      <c r="Y480" s="4" t="str">
        <f>IF(Tabela2[[#This Row],[SIGLA]]="","",VLOOKUP(Tabela2[[#This Row],[SIGLA]],Tabela14[[#All],[Sigla Arte]:[Crédito]],2,0))</f>
        <v/>
      </c>
      <c r="Z480" s="24"/>
      <c r="AA480" s="24" t="str">
        <f>Tabela2[[#This Row],[ILUSTRADOR CRIAÇÃO]]</f>
        <v/>
      </c>
      <c r="AB480" s="23"/>
      <c r="AC480" s="21"/>
      <c r="AD480" s="21"/>
      <c r="AE480" s="4" t="str">
        <f t="shared" si="7"/>
        <v>EF1 E001 Geo</v>
      </c>
    </row>
    <row r="481" spans="1:31" s="14" customFormat="1" x14ac:dyDescent="0.25">
      <c r="A481" s="24"/>
      <c r="B481" s="21"/>
      <c r="C481" s="21"/>
      <c r="D481" s="21"/>
      <c r="E481" s="23"/>
      <c r="F481" s="23"/>
      <c r="G481" s="23"/>
      <c r="H481" s="23"/>
      <c r="I481" s="24"/>
      <c r="J481" s="24"/>
      <c r="K481" s="23"/>
      <c r="L481" s="23"/>
      <c r="M481" s="24"/>
      <c r="N481" s="24"/>
      <c r="O481" s="27"/>
      <c r="P481" s="27"/>
      <c r="Q481" s="27"/>
      <c r="R481" s="23"/>
      <c r="S481" s="25"/>
      <c r="T481" s="25"/>
      <c r="U481" s="25"/>
      <c r="V481" s="25"/>
      <c r="W481" s="25"/>
      <c r="X481" s="23"/>
      <c r="Y481" s="4" t="str">
        <f>IF(Tabela2[[#This Row],[SIGLA]]="","",VLOOKUP(Tabela2[[#This Row],[SIGLA]],Tabela14[[#All],[Sigla Arte]:[Crédito]],2,0))</f>
        <v/>
      </c>
      <c r="Z481" s="24"/>
      <c r="AA481" s="24" t="str">
        <f>Tabela2[[#This Row],[ILUSTRADOR CRIAÇÃO]]</f>
        <v/>
      </c>
      <c r="AB481" s="23"/>
      <c r="AC481" s="21"/>
      <c r="AD481" s="21"/>
      <c r="AE481" s="4" t="str">
        <f t="shared" si="7"/>
        <v>EF1 E001 Geo</v>
      </c>
    </row>
    <row r="482" spans="1:31" s="14" customFormat="1" x14ac:dyDescent="0.25">
      <c r="A482" s="24"/>
      <c r="B482" s="21"/>
      <c r="C482" s="21"/>
      <c r="D482" s="21"/>
      <c r="E482" s="23"/>
      <c r="F482" s="23"/>
      <c r="G482" s="23"/>
      <c r="H482" s="23"/>
      <c r="I482" s="24"/>
      <c r="J482" s="24"/>
      <c r="K482" s="23"/>
      <c r="L482" s="23"/>
      <c r="M482" s="24"/>
      <c r="N482" s="24"/>
      <c r="O482" s="27"/>
      <c r="P482" s="27"/>
      <c r="Q482" s="27"/>
      <c r="R482" s="23"/>
      <c r="S482" s="25"/>
      <c r="T482" s="25"/>
      <c r="U482" s="25"/>
      <c r="V482" s="25"/>
      <c r="W482" s="25"/>
      <c r="X482" s="23"/>
      <c r="Y482" s="4" t="str">
        <f>IF(Tabela2[[#This Row],[SIGLA]]="","",VLOOKUP(Tabela2[[#This Row],[SIGLA]],Tabela14[[#All],[Sigla Arte]:[Crédito]],2,0))</f>
        <v/>
      </c>
      <c r="Z482" s="24"/>
      <c r="AA482" s="24" t="str">
        <f>Tabela2[[#This Row],[ILUSTRADOR CRIAÇÃO]]</f>
        <v/>
      </c>
      <c r="AB482" s="23"/>
      <c r="AC482" s="21"/>
      <c r="AD482" s="21"/>
      <c r="AE482" s="4" t="str">
        <f t="shared" si="7"/>
        <v>EF1 E001 Geo</v>
      </c>
    </row>
    <row r="483" spans="1:31" s="14" customFormat="1" x14ac:dyDescent="0.25">
      <c r="A483" s="24"/>
      <c r="B483" s="21"/>
      <c r="C483" s="21"/>
      <c r="D483" s="21"/>
      <c r="E483" s="23"/>
      <c r="F483" s="23"/>
      <c r="G483" s="23"/>
      <c r="H483" s="23"/>
      <c r="I483" s="24"/>
      <c r="J483" s="24"/>
      <c r="K483" s="23"/>
      <c r="L483" s="23"/>
      <c r="M483" s="24"/>
      <c r="N483" s="24"/>
      <c r="O483" s="27"/>
      <c r="P483" s="27"/>
      <c r="Q483" s="27"/>
      <c r="R483" s="23"/>
      <c r="S483" s="25"/>
      <c r="T483" s="25"/>
      <c r="U483" s="25"/>
      <c r="V483" s="25"/>
      <c r="W483" s="25"/>
      <c r="X483" s="23"/>
      <c r="Y483" s="4" t="str">
        <f>IF(Tabela2[[#This Row],[SIGLA]]="","",VLOOKUP(Tabela2[[#This Row],[SIGLA]],Tabela14[[#All],[Sigla Arte]:[Crédito]],2,0))</f>
        <v/>
      </c>
      <c r="Z483" s="24"/>
      <c r="AA483" s="24" t="str">
        <f>Tabela2[[#This Row],[ILUSTRADOR CRIAÇÃO]]</f>
        <v/>
      </c>
      <c r="AB483" s="23"/>
      <c r="AC483" s="21"/>
      <c r="AD483" s="21"/>
      <c r="AE483" s="4" t="str">
        <f t="shared" si="7"/>
        <v>EF1 E001 Geo</v>
      </c>
    </row>
    <row r="484" spans="1:31" s="14" customFormat="1" x14ac:dyDescent="0.25">
      <c r="A484" s="24"/>
      <c r="B484" s="21"/>
      <c r="C484" s="21"/>
      <c r="D484" s="21"/>
      <c r="E484" s="23"/>
      <c r="F484" s="23"/>
      <c r="G484" s="23"/>
      <c r="H484" s="23"/>
      <c r="I484" s="24"/>
      <c r="J484" s="24"/>
      <c r="K484" s="23"/>
      <c r="L484" s="23"/>
      <c r="M484" s="24"/>
      <c r="N484" s="24"/>
      <c r="O484" s="27"/>
      <c r="P484" s="27"/>
      <c r="Q484" s="27"/>
      <c r="R484" s="23"/>
      <c r="S484" s="25"/>
      <c r="T484" s="25"/>
      <c r="U484" s="25"/>
      <c r="V484" s="25"/>
      <c r="W484" s="25"/>
      <c r="X484" s="23"/>
      <c r="Y484" s="4" t="str">
        <f>IF(Tabela2[[#This Row],[SIGLA]]="","",VLOOKUP(Tabela2[[#This Row],[SIGLA]],Tabela14[[#All],[Sigla Arte]:[Crédito]],2,0))</f>
        <v/>
      </c>
      <c r="Z484" s="24"/>
      <c r="AA484" s="24" t="str">
        <f>Tabela2[[#This Row],[ILUSTRADOR CRIAÇÃO]]</f>
        <v/>
      </c>
      <c r="AB484" s="23"/>
      <c r="AC484" s="21"/>
      <c r="AD484" s="21"/>
      <c r="AE484" s="4" t="str">
        <f t="shared" si="7"/>
        <v>EF1 E001 Geo</v>
      </c>
    </row>
    <row r="485" spans="1:31" s="14" customFormat="1" x14ac:dyDescent="0.25">
      <c r="A485" s="24"/>
      <c r="B485" s="21"/>
      <c r="C485" s="21"/>
      <c r="D485" s="21"/>
      <c r="E485" s="23"/>
      <c r="F485" s="23"/>
      <c r="G485" s="23"/>
      <c r="H485" s="23"/>
      <c r="I485" s="24"/>
      <c r="J485" s="24"/>
      <c r="K485" s="23"/>
      <c r="L485" s="23"/>
      <c r="M485" s="24"/>
      <c r="N485" s="24"/>
      <c r="O485" s="27"/>
      <c r="P485" s="27"/>
      <c r="Q485" s="27"/>
      <c r="R485" s="23"/>
      <c r="S485" s="25"/>
      <c r="T485" s="25"/>
      <c r="U485" s="25"/>
      <c r="V485" s="25"/>
      <c r="W485" s="25"/>
      <c r="X485" s="23"/>
      <c r="Y485" s="4" t="str">
        <f>IF(Tabela2[[#This Row],[SIGLA]]="","",VLOOKUP(Tabela2[[#This Row],[SIGLA]],Tabela14[[#All],[Sigla Arte]:[Crédito]],2,0))</f>
        <v/>
      </c>
      <c r="Z485" s="24"/>
      <c r="AA485" s="24" t="str">
        <f>Tabela2[[#This Row],[ILUSTRADOR CRIAÇÃO]]</f>
        <v/>
      </c>
      <c r="AB485" s="23"/>
      <c r="AC485" s="21"/>
      <c r="AD485" s="21"/>
      <c r="AE485" s="4" t="str">
        <f t="shared" si="7"/>
        <v>EF1 E001 Geo</v>
      </c>
    </row>
    <row r="486" spans="1:31" s="14" customFormat="1" x14ac:dyDescent="0.25">
      <c r="A486" s="24"/>
      <c r="B486" s="21"/>
      <c r="C486" s="21"/>
      <c r="D486" s="21"/>
      <c r="E486" s="23"/>
      <c r="F486" s="23"/>
      <c r="G486" s="23"/>
      <c r="H486" s="23"/>
      <c r="I486" s="24"/>
      <c r="J486" s="24"/>
      <c r="K486" s="23"/>
      <c r="L486" s="23"/>
      <c r="M486" s="24"/>
      <c r="N486" s="24"/>
      <c r="O486" s="27"/>
      <c r="P486" s="27"/>
      <c r="Q486" s="27"/>
      <c r="R486" s="23"/>
      <c r="S486" s="25"/>
      <c r="T486" s="25"/>
      <c r="U486" s="25"/>
      <c r="V486" s="25"/>
      <c r="W486" s="25"/>
      <c r="X486" s="23"/>
      <c r="Y486" s="4" t="str">
        <f>IF(Tabela2[[#This Row],[SIGLA]]="","",VLOOKUP(Tabela2[[#This Row],[SIGLA]],Tabela14[[#All],[Sigla Arte]:[Crédito]],2,0))</f>
        <v/>
      </c>
      <c r="Z486" s="24"/>
      <c r="AA486" s="24" t="str">
        <f>Tabela2[[#This Row],[ILUSTRADOR CRIAÇÃO]]</f>
        <v/>
      </c>
      <c r="AB486" s="23"/>
      <c r="AC486" s="21"/>
      <c r="AD486" s="21"/>
      <c r="AE486" s="4" t="str">
        <f t="shared" si="7"/>
        <v>EF1 E001 Geo</v>
      </c>
    </row>
    <row r="487" spans="1:31" s="14" customFormat="1" x14ac:dyDescent="0.25">
      <c r="A487" s="24"/>
      <c r="B487" s="21"/>
      <c r="C487" s="21"/>
      <c r="D487" s="21"/>
      <c r="E487" s="23"/>
      <c r="F487" s="23"/>
      <c r="G487" s="23"/>
      <c r="H487" s="23"/>
      <c r="I487" s="24"/>
      <c r="J487" s="24"/>
      <c r="K487" s="23"/>
      <c r="L487" s="23"/>
      <c r="M487" s="24"/>
      <c r="N487" s="24"/>
      <c r="O487" s="27"/>
      <c r="P487" s="27"/>
      <c r="Q487" s="27"/>
      <c r="R487" s="23"/>
      <c r="S487" s="25"/>
      <c r="T487" s="25"/>
      <c r="U487" s="25"/>
      <c r="V487" s="25"/>
      <c r="W487" s="25"/>
      <c r="X487" s="23"/>
      <c r="Y487" s="4" t="str">
        <f>IF(Tabela2[[#This Row],[SIGLA]]="","",VLOOKUP(Tabela2[[#This Row],[SIGLA]],Tabela14[[#All],[Sigla Arte]:[Crédito]],2,0))</f>
        <v/>
      </c>
      <c r="Z487" s="24"/>
      <c r="AA487" s="24" t="str">
        <f>Tabela2[[#This Row],[ILUSTRADOR CRIAÇÃO]]</f>
        <v/>
      </c>
      <c r="AB487" s="23"/>
      <c r="AC487" s="21"/>
      <c r="AD487" s="21"/>
      <c r="AE487" s="4" t="str">
        <f t="shared" si="7"/>
        <v>EF1 E001 Geo</v>
      </c>
    </row>
    <row r="488" spans="1:31" s="14" customFormat="1" x14ac:dyDescent="0.25">
      <c r="A488" s="24"/>
      <c r="B488" s="21"/>
      <c r="C488" s="21"/>
      <c r="D488" s="21"/>
      <c r="E488" s="23"/>
      <c r="F488" s="23"/>
      <c r="G488" s="23"/>
      <c r="H488" s="23"/>
      <c r="I488" s="24"/>
      <c r="J488" s="24"/>
      <c r="K488" s="23"/>
      <c r="L488" s="23"/>
      <c r="M488" s="24"/>
      <c r="N488" s="24"/>
      <c r="O488" s="27"/>
      <c r="P488" s="27"/>
      <c r="Q488" s="27"/>
      <c r="R488" s="23"/>
      <c r="S488" s="25"/>
      <c r="T488" s="25"/>
      <c r="U488" s="25"/>
      <c r="V488" s="25"/>
      <c r="W488" s="25"/>
      <c r="X488" s="23"/>
      <c r="Y488" s="4" t="str">
        <f>IF(Tabela2[[#This Row],[SIGLA]]="","",VLOOKUP(Tabela2[[#This Row],[SIGLA]],Tabela14[[#All],[Sigla Arte]:[Crédito]],2,0))</f>
        <v/>
      </c>
      <c r="Z488" s="24"/>
      <c r="AA488" s="24" t="str">
        <f>Tabela2[[#This Row],[ILUSTRADOR CRIAÇÃO]]</f>
        <v/>
      </c>
      <c r="AB488" s="23"/>
      <c r="AC488" s="21"/>
      <c r="AD488" s="21"/>
      <c r="AE488" s="4" t="str">
        <f t="shared" si="7"/>
        <v>EF1 E001 Geo</v>
      </c>
    </row>
    <row r="489" spans="1:31" s="14" customFormat="1" x14ac:dyDescent="0.25">
      <c r="A489" s="24"/>
      <c r="B489" s="21"/>
      <c r="C489" s="21"/>
      <c r="D489" s="21"/>
      <c r="E489" s="23"/>
      <c r="F489" s="23"/>
      <c r="G489" s="23"/>
      <c r="H489" s="23"/>
      <c r="I489" s="24"/>
      <c r="J489" s="24"/>
      <c r="K489" s="23"/>
      <c r="L489" s="23"/>
      <c r="M489" s="24"/>
      <c r="N489" s="24"/>
      <c r="O489" s="27"/>
      <c r="P489" s="27"/>
      <c r="Q489" s="27"/>
      <c r="R489" s="23"/>
      <c r="S489" s="25"/>
      <c r="T489" s="25"/>
      <c r="U489" s="25"/>
      <c r="V489" s="25"/>
      <c r="W489" s="25"/>
      <c r="X489" s="23"/>
      <c r="Y489" s="4" t="str">
        <f>IF(Tabela2[[#This Row],[SIGLA]]="","",VLOOKUP(Tabela2[[#This Row],[SIGLA]],Tabela14[[#All],[Sigla Arte]:[Crédito]],2,0))</f>
        <v/>
      </c>
      <c r="Z489" s="24"/>
      <c r="AA489" s="24" t="str">
        <f>Tabela2[[#This Row],[ILUSTRADOR CRIAÇÃO]]</f>
        <v/>
      </c>
      <c r="AB489" s="23"/>
      <c r="AC489" s="21"/>
      <c r="AD489" s="21"/>
      <c r="AE489" s="4" t="str">
        <f t="shared" si="7"/>
        <v>EF1 E001 Geo</v>
      </c>
    </row>
    <row r="490" spans="1:31" s="14" customFormat="1" x14ac:dyDescent="0.25">
      <c r="A490" s="24"/>
      <c r="B490" s="21"/>
      <c r="C490" s="21"/>
      <c r="D490" s="21"/>
      <c r="E490" s="23"/>
      <c r="F490" s="23"/>
      <c r="G490" s="23"/>
      <c r="H490" s="23"/>
      <c r="I490" s="24"/>
      <c r="J490" s="24"/>
      <c r="K490" s="23"/>
      <c r="L490" s="23"/>
      <c r="M490" s="24"/>
      <c r="N490" s="24"/>
      <c r="O490" s="27"/>
      <c r="P490" s="27"/>
      <c r="Q490" s="27"/>
      <c r="R490" s="23"/>
      <c r="S490" s="25"/>
      <c r="T490" s="25"/>
      <c r="U490" s="25"/>
      <c r="V490" s="25"/>
      <c r="W490" s="25"/>
      <c r="X490" s="23"/>
      <c r="Y490" s="4" t="str">
        <f>IF(Tabela2[[#This Row],[SIGLA]]="","",VLOOKUP(Tabela2[[#This Row],[SIGLA]],Tabela14[[#All],[Sigla Arte]:[Crédito]],2,0))</f>
        <v/>
      </c>
      <c r="Z490" s="24"/>
      <c r="AA490" s="24" t="str">
        <f>Tabela2[[#This Row],[ILUSTRADOR CRIAÇÃO]]</f>
        <v/>
      </c>
      <c r="AB490" s="23"/>
      <c r="AC490" s="21"/>
      <c r="AD490" s="21"/>
      <c r="AE490" s="4" t="str">
        <f t="shared" si="7"/>
        <v>EF1 E001 Geo</v>
      </c>
    </row>
    <row r="491" spans="1:31" s="14" customFormat="1" x14ac:dyDescent="0.25">
      <c r="A491" s="24"/>
      <c r="B491" s="21"/>
      <c r="C491" s="21"/>
      <c r="D491" s="21"/>
      <c r="E491" s="23"/>
      <c r="F491" s="23"/>
      <c r="G491" s="23"/>
      <c r="H491" s="23"/>
      <c r="I491" s="24"/>
      <c r="J491" s="24"/>
      <c r="K491" s="23"/>
      <c r="L491" s="23"/>
      <c r="M491" s="24"/>
      <c r="N491" s="24"/>
      <c r="O491" s="27"/>
      <c r="P491" s="27"/>
      <c r="Q491" s="27"/>
      <c r="R491" s="23"/>
      <c r="S491" s="25"/>
      <c r="T491" s="25"/>
      <c r="U491" s="25"/>
      <c r="V491" s="25"/>
      <c r="W491" s="25"/>
      <c r="X491" s="23"/>
      <c r="Y491" s="4" t="str">
        <f>IF(Tabela2[[#This Row],[SIGLA]]="","",VLOOKUP(Tabela2[[#This Row],[SIGLA]],Tabela14[[#All],[Sigla Arte]:[Crédito]],2,0))</f>
        <v/>
      </c>
      <c r="Z491" s="24"/>
      <c r="AA491" s="24" t="str">
        <f>Tabela2[[#This Row],[ILUSTRADOR CRIAÇÃO]]</f>
        <v/>
      </c>
      <c r="AB491" s="23"/>
      <c r="AC491" s="21"/>
      <c r="AD491" s="21"/>
      <c r="AE491" s="4" t="str">
        <f t="shared" si="7"/>
        <v>EF1 E001 Geo</v>
      </c>
    </row>
    <row r="492" spans="1:31" s="14" customFormat="1" x14ac:dyDescent="0.25">
      <c r="A492" s="24"/>
      <c r="B492" s="21"/>
      <c r="C492" s="21"/>
      <c r="D492" s="21"/>
      <c r="E492" s="23"/>
      <c r="F492" s="23"/>
      <c r="G492" s="23"/>
      <c r="H492" s="23"/>
      <c r="I492" s="24"/>
      <c r="J492" s="24"/>
      <c r="K492" s="23"/>
      <c r="L492" s="23"/>
      <c r="M492" s="24"/>
      <c r="N492" s="24"/>
      <c r="O492" s="27"/>
      <c r="P492" s="27"/>
      <c r="Q492" s="27"/>
      <c r="R492" s="23"/>
      <c r="S492" s="25"/>
      <c r="T492" s="25"/>
      <c r="U492" s="25"/>
      <c r="V492" s="25"/>
      <c r="W492" s="25"/>
      <c r="X492" s="23"/>
      <c r="Y492" s="4" t="str">
        <f>IF(Tabela2[[#This Row],[SIGLA]]="","",VLOOKUP(Tabela2[[#This Row],[SIGLA]],Tabela14[[#All],[Sigla Arte]:[Crédito]],2,0))</f>
        <v/>
      </c>
      <c r="Z492" s="24"/>
      <c r="AA492" s="24" t="str">
        <f>Tabela2[[#This Row],[ILUSTRADOR CRIAÇÃO]]</f>
        <v/>
      </c>
      <c r="AB492" s="23"/>
      <c r="AC492" s="21"/>
      <c r="AD492" s="21"/>
      <c r="AE492" s="4" t="str">
        <f t="shared" si="7"/>
        <v>EF1 E001 Geo</v>
      </c>
    </row>
    <row r="493" spans="1:31" s="14" customFormat="1" x14ac:dyDescent="0.25">
      <c r="A493" s="24"/>
      <c r="B493" s="21"/>
      <c r="C493" s="21"/>
      <c r="D493" s="21"/>
      <c r="E493" s="23"/>
      <c r="F493" s="23"/>
      <c r="G493" s="23"/>
      <c r="H493" s="23"/>
      <c r="I493" s="24"/>
      <c r="J493" s="24"/>
      <c r="K493" s="23"/>
      <c r="L493" s="23"/>
      <c r="M493" s="24"/>
      <c r="N493" s="24"/>
      <c r="O493" s="27"/>
      <c r="P493" s="27"/>
      <c r="Q493" s="27"/>
      <c r="R493" s="23"/>
      <c r="S493" s="25"/>
      <c r="T493" s="25"/>
      <c r="U493" s="25"/>
      <c r="V493" s="25"/>
      <c r="W493" s="25"/>
      <c r="X493" s="23"/>
      <c r="Y493" s="4" t="str">
        <f>IF(Tabela2[[#This Row],[SIGLA]]="","",VLOOKUP(Tabela2[[#This Row],[SIGLA]],Tabela14[[#All],[Sigla Arte]:[Crédito]],2,0))</f>
        <v/>
      </c>
      <c r="Z493" s="24"/>
      <c r="AA493" s="24" t="str">
        <f>Tabela2[[#This Row],[ILUSTRADOR CRIAÇÃO]]</f>
        <v/>
      </c>
      <c r="AB493" s="23"/>
      <c r="AC493" s="21"/>
      <c r="AD493" s="21"/>
      <c r="AE493" s="4" t="str">
        <f t="shared" si="7"/>
        <v>EF1 E001 Geo</v>
      </c>
    </row>
    <row r="494" spans="1:31" s="14" customFormat="1" x14ac:dyDescent="0.25">
      <c r="A494" s="24"/>
      <c r="B494" s="21"/>
      <c r="C494" s="21"/>
      <c r="D494" s="21"/>
      <c r="E494" s="23"/>
      <c r="F494" s="23"/>
      <c r="G494" s="23"/>
      <c r="H494" s="23"/>
      <c r="I494" s="24"/>
      <c r="J494" s="24"/>
      <c r="K494" s="23"/>
      <c r="L494" s="23"/>
      <c r="M494" s="24"/>
      <c r="N494" s="24"/>
      <c r="O494" s="27"/>
      <c r="P494" s="27"/>
      <c r="Q494" s="27"/>
      <c r="R494" s="23"/>
      <c r="S494" s="25"/>
      <c r="T494" s="25"/>
      <c r="U494" s="25"/>
      <c r="V494" s="25"/>
      <c r="W494" s="25"/>
      <c r="X494" s="23"/>
      <c r="Y494" s="4" t="str">
        <f>IF(Tabela2[[#This Row],[SIGLA]]="","",VLOOKUP(Tabela2[[#This Row],[SIGLA]],Tabela14[[#All],[Sigla Arte]:[Crédito]],2,0))</f>
        <v/>
      </c>
      <c r="Z494" s="24"/>
      <c r="AA494" s="24" t="str">
        <f>Tabela2[[#This Row],[ILUSTRADOR CRIAÇÃO]]</f>
        <v/>
      </c>
      <c r="AB494" s="23"/>
      <c r="AC494" s="21"/>
      <c r="AD494" s="21"/>
      <c r="AE494" s="4" t="str">
        <f t="shared" si="7"/>
        <v>EF1 E001 Geo</v>
      </c>
    </row>
    <row r="495" spans="1:31" s="14" customFormat="1" x14ac:dyDescent="0.25">
      <c r="A495" s="24"/>
      <c r="B495" s="21"/>
      <c r="C495" s="21"/>
      <c r="D495" s="21"/>
      <c r="E495" s="23"/>
      <c r="F495" s="23"/>
      <c r="G495" s="23"/>
      <c r="H495" s="23"/>
      <c r="I495" s="24"/>
      <c r="J495" s="24"/>
      <c r="K495" s="23"/>
      <c r="L495" s="23"/>
      <c r="M495" s="24"/>
      <c r="N495" s="24"/>
      <c r="O495" s="27"/>
      <c r="P495" s="27"/>
      <c r="Q495" s="27"/>
      <c r="R495" s="23"/>
      <c r="S495" s="25"/>
      <c r="T495" s="25"/>
      <c r="U495" s="25"/>
      <c r="V495" s="25"/>
      <c r="W495" s="25"/>
      <c r="X495" s="23"/>
      <c r="Y495" s="4" t="str">
        <f>IF(Tabela2[[#This Row],[SIGLA]]="","",VLOOKUP(Tabela2[[#This Row],[SIGLA]],Tabela14[[#All],[Sigla Arte]:[Crédito]],2,0))</f>
        <v/>
      </c>
      <c r="Z495" s="24"/>
      <c r="AA495" s="24" t="str">
        <f>Tabela2[[#This Row],[ILUSTRADOR CRIAÇÃO]]</f>
        <v/>
      </c>
      <c r="AB495" s="23"/>
      <c r="AC495" s="21"/>
      <c r="AD495" s="21"/>
      <c r="AE495" s="4" t="str">
        <f t="shared" si="7"/>
        <v>EF1 E001 Geo</v>
      </c>
    </row>
    <row r="496" spans="1:31" s="14" customFormat="1" x14ac:dyDescent="0.25">
      <c r="A496" s="24"/>
      <c r="B496" s="21"/>
      <c r="C496" s="21"/>
      <c r="D496" s="21"/>
      <c r="E496" s="23"/>
      <c r="F496" s="23"/>
      <c r="G496" s="23"/>
      <c r="H496" s="23"/>
      <c r="I496" s="24"/>
      <c r="J496" s="24"/>
      <c r="K496" s="23"/>
      <c r="L496" s="23"/>
      <c r="M496" s="24"/>
      <c r="N496" s="24"/>
      <c r="O496" s="27"/>
      <c r="P496" s="27"/>
      <c r="Q496" s="27"/>
      <c r="R496" s="23"/>
      <c r="S496" s="25"/>
      <c r="T496" s="25"/>
      <c r="U496" s="25"/>
      <c r="V496" s="25"/>
      <c r="W496" s="25"/>
      <c r="X496" s="23"/>
      <c r="Y496" s="4" t="str">
        <f>IF(Tabela2[[#This Row],[SIGLA]]="","",VLOOKUP(Tabela2[[#This Row],[SIGLA]],Tabela14[[#All],[Sigla Arte]:[Crédito]],2,0))</f>
        <v/>
      </c>
      <c r="Z496" s="24"/>
      <c r="AA496" s="24" t="str">
        <f>Tabela2[[#This Row],[ILUSTRADOR CRIAÇÃO]]</f>
        <v/>
      </c>
      <c r="AB496" s="23"/>
      <c r="AC496" s="21"/>
      <c r="AD496" s="21"/>
      <c r="AE496" s="4" t="str">
        <f t="shared" si="7"/>
        <v>EF1 E001 Geo</v>
      </c>
    </row>
    <row r="497" spans="1:31" s="14" customFormat="1" x14ac:dyDescent="0.25">
      <c r="A497" s="24"/>
      <c r="B497" s="21"/>
      <c r="C497" s="21"/>
      <c r="D497" s="21"/>
      <c r="E497" s="23"/>
      <c r="F497" s="23"/>
      <c r="G497" s="23"/>
      <c r="H497" s="23"/>
      <c r="I497" s="24"/>
      <c r="J497" s="24"/>
      <c r="K497" s="23"/>
      <c r="L497" s="23"/>
      <c r="M497" s="24"/>
      <c r="N497" s="24"/>
      <c r="O497" s="27"/>
      <c r="P497" s="27"/>
      <c r="Q497" s="27"/>
      <c r="R497" s="23"/>
      <c r="S497" s="25"/>
      <c r="T497" s="25"/>
      <c r="U497" s="25"/>
      <c r="V497" s="25"/>
      <c r="W497" s="25"/>
      <c r="X497" s="23"/>
      <c r="Y497" s="4" t="str">
        <f>IF(Tabela2[[#This Row],[SIGLA]]="","",VLOOKUP(Tabela2[[#This Row],[SIGLA]],Tabela14[[#All],[Sigla Arte]:[Crédito]],2,0))</f>
        <v/>
      </c>
      <c r="Z497" s="24"/>
      <c r="AA497" s="24" t="str">
        <f>Tabela2[[#This Row],[ILUSTRADOR CRIAÇÃO]]</f>
        <v/>
      </c>
      <c r="AB497" s="23"/>
      <c r="AC497" s="21"/>
      <c r="AD497" s="21"/>
      <c r="AE497" s="4" t="str">
        <f t="shared" si="7"/>
        <v>EF1 E001 Geo</v>
      </c>
    </row>
    <row r="498" spans="1:31" s="14" customFormat="1" x14ac:dyDescent="0.25">
      <c r="A498" s="24"/>
      <c r="B498" s="21"/>
      <c r="C498" s="21"/>
      <c r="D498" s="21"/>
      <c r="E498" s="23"/>
      <c r="F498" s="23"/>
      <c r="G498" s="23"/>
      <c r="H498" s="23"/>
      <c r="I498" s="24"/>
      <c r="J498" s="24"/>
      <c r="K498" s="23"/>
      <c r="L498" s="23"/>
      <c r="M498" s="24"/>
      <c r="N498" s="24"/>
      <c r="O498" s="27"/>
      <c r="P498" s="27"/>
      <c r="Q498" s="27"/>
      <c r="R498" s="23"/>
      <c r="S498" s="25"/>
      <c r="T498" s="25"/>
      <c r="U498" s="25"/>
      <c r="V498" s="25"/>
      <c r="W498" s="25"/>
      <c r="X498" s="23"/>
      <c r="Y498" s="4" t="str">
        <f>IF(Tabela2[[#This Row],[SIGLA]]="","",VLOOKUP(Tabela2[[#This Row],[SIGLA]],Tabela14[[#All],[Sigla Arte]:[Crédito]],2,0))</f>
        <v/>
      </c>
      <c r="Z498" s="24"/>
      <c r="AA498" s="24" t="str">
        <f>Tabela2[[#This Row],[ILUSTRADOR CRIAÇÃO]]</f>
        <v/>
      </c>
      <c r="AB498" s="23"/>
      <c r="AC498" s="21"/>
      <c r="AD498" s="21"/>
      <c r="AE498" s="4" t="str">
        <f t="shared" si="7"/>
        <v>EF1 E001 Geo</v>
      </c>
    </row>
    <row r="499" spans="1:31" s="14" customFormat="1" x14ac:dyDescent="0.25">
      <c r="A499" s="24"/>
      <c r="B499" s="21"/>
      <c r="C499" s="21"/>
      <c r="D499" s="21"/>
      <c r="E499" s="23"/>
      <c r="F499" s="23"/>
      <c r="G499" s="23"/>
      <c r="H499" s="23"/>
      <c r="I499" s="24"/>
      <c r="J499" s="24"/>
      <c r="K499" s="23"/>
      <c r="L499" s="23"/>
      <c r="M499" s="24"/>
      <c r="N499" s="24"/>
      <c r="O499" s="27"/>
      <c r="P499" s="27"/>
      <c r="Q499" s="27"/>
      <c r="R499" s="23"/>
      <c r="S499" s="25"/>
      <c r="T499" s="25"/>
      <c r="U499" s="25"/>
      <c r="V499" s="25"/>
      <c r="W499" s="25"/>
      <c r="X499" s="23"/>
      <c r="Y499" s="4" t="str">
        <f>IF(Tabela2[[#This Row],[SIGLA]]="","",VLOOKUP(Tabela2[[#This Row],[SIGLA]],Tabela14[[#All],[Sigla Arte]:[Crédito]],2,0))</f>
        <v/>
      </c>
      <c r="Z499" s="24"/>
      <c r="AA499" s="24" t="str">
        <f>Tabela2[[#This Row],[ILUSTRADOR CRIAÇÃO]]</f>
        <v/>
      </c>
      <c r="AB499" s="23"/>
      <c r="AC499" s="21"/>
      <c r="AD499" s="21"/>
      <c r="AE499" s="4" t="str">
        <f t="shared" si="7"/>
        <v>EF1 E001 Geo</v>
      </c>
    </row>
    <row r="500" spans="1:31" s="14" customFormat="1" x14ac:dyDescent="0.25">
      <c r="A500" s="24"/>
      <c r="B500" s="21"/>
      <c r="C500" s="21"/>
      <c r="D500" s="21"/>
      <c r="E500" s="23"/>
      <c r="F500" s="23"/>
      <c r="G500" s="23"/>
      <c r="H500" s="23"/>
      <c r="I500" s="24"/>
      <c r="J500" s="24"/>
      <c r="K500" s="23"/>
      <c r="L500" s="23"/>
      <c r="M500" s="24"/>
      <c r="N500" s="24"/>
      <c r="O500" s="27"/>
      <c r="P500" s="27"/>
      <c r="Q500" s="27"/>
      <c r="R500" s="23"/>
      <c r="S500" s="25"/>
      <c r="T500" s="25"/>
      <c r="U500" s="25"/>
      <c r="V500" s="25"/>
      <c r="W500" s="25"/>
      <c r="X500" s="23"/>
      <c r="Y500" s="4" t="str">
        <f>IF(Tabela2[[#This Row],[SIGLA]]="","",VLOOKUP(Tabela2[[#This Row],[SIGLA]],Tabela14[[#All],[Sigla Arte]:[Crédito]],2,0))</f>
        <v/>
      </c>
      <c r="Z500" s="24"/>
      <c r="AA500" s="24" t="str">
        <f>Tabela2[[#This Row],[ILUSTRADOR CRIAÇÃO]]</f>
        <v/>
      </c>
      <c r="AB500" s="23"/>
      <c r="AC500" s="21"/>
      <c r="AD500" s="21"/>
      <c r="AE500" s="4" t="str">
        <f t="shared" si="7"/>
        <v>EF1 E001 Geo</v>
      </c>
    </row>
  </sheetData>
  <sheetProtection sheet="1" formatCells="0" formatColumns="0" formatRows="0" sort="0" autoFilter="0" pivotTables="0"/>
  <pageMargins left="0.511811024" right="0.511811024" top="0.78740157499999996" bottom="0.78740157499999996" header="0.31496062000000002" footer="0.31496062000000002"/>
  <legacyDrawing r:id="rId1"/>
  <tableParts count="1">
    <tablePart r:id="rId2"/>
  </tableParts>
  <extLst>
    <ext xmlns:x14="http://schemas.microsoft.com/office/spreadsheetml/2009/9/main" uri="{CCE6A557-97BC-4b89-ADB6-D9C93CAAB3DF}">
      <x14:dataValidations xmlns:xm="http://schemas.microsoft.com/office/excel/2006/main" count="13">
        <x14:dataValidation type="list" allowBlank="1" showInputMessage="1" showErrorMessage="1" xr:uid="{1E0E5C3B-B338-4A82-ABB7-55FA01F1FD25}">
          <x14:formula1>
            <xm:f>metadados!$C$1:$C$8</xm:f>
          </x14:formula1>
          <xm:sqref>D1:D1048576</xm:sqref>
        </x14:dataValidation>
        <x14:dataValidation type="list" allowBlank="1" showInputMessage="1" showErrorMessage="1" xr:uid="{C70449A7-09E1-454B-83EB-81DB8E145BED}">
          <x14:formula1>
            <xm:f>metadados!$D$1:$D$7</xm:f>
          </x14:formula1>
          <xm:sqref>F1:F1048576 L1:L1048576</xm:sqref>
        </x14:dataValidation>
        <x14:dataValidation type="list" allowBlank="1" showInputMessage="1" showErrorMessage="1" xr:uid="{832AC6A1-37A3-4247-8D3B-0B1514A698E5}">
          <x14:formula1>
            <xm:f>metadados!$E$1:$E$3</xm:f>
          </x14:formula1>
          <xm:sqref>I1:I1048576</xm:sqref>
        </x14:dataValidation>
        <x14:dataValidation type="list" allowBlank="1" showInputMessage="1" showErrorMessage="1" xr:uid="{ABD634A1-19D3-465A-AE87-A59444E4CB70}">
          <x14:formula1>
            <xm:f>metadados!$F$1:$F$13</xm:f>
          </x14:formula1>
          <xm:sqref>N1:N1048576</xm:sqref>
        </x14:dataValidation>
        <x14:dataValidation type="list" allowBlank="1" showInputMessage="1" showErrorMessage="1" xr:uid="{06BC7D6A-D6EB-41B5-B621-DE4A72652772}">
          <x14:formula1>
            <xm:f>créditos_base!$C$3:$C$116</xm:f>
          </x14:formula1>
          <xm:sqref>Z501:Z1048576 Z1</xm:sqref>
        </x14:dataValidation>
        <x14:dataValidation type="list" allowBlank="1" showInputMessage="1" showErrorMessage="1" xr:uid="{5705C48B-E793-4249-A1A5-E9D0055F43D8}">
          <x14:formula1>
            <xm:f>créditos_base!$B$3:$B$116</xm:f>
          </x14:formula1>
          <xm:sqref>X501:X1048576</xm:sqref>
        </x14:dataValidation>
        <x14:dataValidation type="list" allowBlank="1" showInputMessage="1" showErrorMessage="1" xr:uid="{B4ADD33D-8B17-41A6-94BC-BC2885E9FB91}">
          <x14:formula1>
            <xm:f>metadados!$G$1:$G$14</xm:f>
          </x14:formula1>
          <xm:sqref>AB1:AB1048576</xm:sqref>
        </x14:dataValidation>
        <x14:dataValidation type="list" allowBlank="1" showInputMessage="1" showErrorMessage="1" xr:uid="{61E550D5-36D2-44FC-A08D-4E51EFE8F470}">
          <x14:formula1>
            <xm:f>metadados!$H$1:$H$5</xm:f>
          </x14:formula1>
          <xm:sqref>AD1:AD1048576</xm:sqref>
        </x14:dataValidation>
        <x14:dataValidation type="list" allowBlank="1" showInputMessage="1" showErrorMessage="1" xr:uid="{C969C20B-651A-4D17-86CC-88E223060629}">
          <x14:formula1>
            <xm:f>metadados!$B$1:$B$7</xm:f>
          </x14:formula1>
          <xm:sqref>C1:C1048576</xm:sqref>
        </x14:dataValidation>
        <x14:dataValidation type="list" allowBlank="1" showInputMessage="1" showErrorMessage="1" xr:uid="{3DEA087E-8545-4161-8C8D-B5F05D6A5B2C}">
          <x14:formula1>
            <xm:f>créditos_base!$B$3:$B$117</xm:f>
          </x14:formula1>
          <xm:sqref>X1</xm:sqref>
        </x14:dataValidation>
        <x14:dataValidation type="list" allowBlank="1" showInputMessage="1" showErrorMessage="1" xr:uid="{16EC5BD9-C303-4090-B89A-FFCB1126CF7A}">
          <x14:formula1>
            <xm:f>créditos_base!$B$3:$B$332</xm:f>
          </x14:formula1>
          <xm:sqref>X2:X500</xm:sqref>
        </x14:dataValidation>
        <x14:dataValidation type="list" allowBlank="1" showInputMessage="1" showErrorMessage="1" xr:uid="{1AA95865-CBF1-4B2C-956A-2164D1BA3591}">
          <x14:formula1>
            <xm:f>créditos_base!$A$3:$A$332</xm:f>
          </x14:formula1>
          <xm:sqref>Z2:Z500</xm:sqref>
        </x14:dataValidation>
        <x14:dataValidation type="list" allowBlank="1" showErrorMessage="1" xr:uid="{8C59E314-3DFF-498C-8F2E-89E73DBE2751}">
          <x14:formula1>
            <xm:f>metadados!$A$1:$A$10</xm:f>
          </x14:formula1>
          <xm:sqref>B1:B1048576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4"/>
  <sheetViews>
    <sheetView topLeftCell="A153" workbookViewId="0">
      <selection activeCell="C154" sqref="C154"/>
    </sheetView>
  </sheetViews>
  <sheetFormatPr defaultRowHeight="15" x14ac:dyDescent="0.25"/>
  <cols>
    <col min="1" max="1" width="61" bestFit="1" customWidth="1"/>
    <col min="2" max="2" width="11.7109375" bestFit="1" customWidth="1"/>
    <col min="3" max="3" width="73.5703125" customWidth="1"/>
  </cols>
  <sheetData>
    <row r="1" spans="1:3" ht="50.25" customHeight="1" x14ac:dyDescent="0.35">
      <c r="A1" s="37" t="s">
        <v>663</v>
      </c>
      <c r="B1" s="38"/>
      <c r="C1" s="38"/>
    </row>
    <row r="2" spans="1:3" x14ac:dyDescent="0.25">
      <c r="A2" t="s">
        <v>664</v>
      </c>
      <c r="B2" t="s">
        <v>665</v>
      </c>
      <c r="C2" t="s">
        <v>666</v>
      </c>
    </row>
    <row r="3" spans="1:3" x14ac:dyDescent="0.25">
      <c r="A3" t="s">
        <v>664</v>
      </c>
      <c r="B3" t="s">
        <v>665</v>
      </c>
      <c r="C3" t="s">
        <v>666</v>
      </c>
    </row>
    <row r="4" spans="1:3" x14ac:dyDescent="0.25">
      <c r="A4" t="s">
        <v>667</v>
      </c>
      <c r="B4" t="s">
        <v>668</v>
      </c>
      <c r="C4" t="s">
        <v>669</v>
      </c>
    </row>
    <row r="5" spans="1:3" x14ac:dyDescent="0.25">
      <c r="A5" t="s">
        <v>670</v>
      </c>
      <c r="B5" t="s">
        <v>671</v>
      </c>
      <c r="C5" t="s">
        <v>672</v>
      </c>
    </row>
    <row r="6" spans="1:3" ht="30" x14ac:dyDescent="0.25">
      <c r="A6" t="s">
        <v>673</v>
      </c>
      <c r="B6" t="s">
        <v>674</v>
      </c>
      <c r="C6" s="12" t="s">
        <v>675</v>
      </c>
    </row>
    <row r="7" spans="1:3" x14ac:dyDescent="0.25">
      <c r="A7" t="s">
        <v>676</v>
      </c>
      <c r="B7" t="s">
        <v>677</v>
      </c>
      <c r="C7" t="s">
        <v>678</v>
      </c>
    </row>
    <row r="8" spans="1:3" x14ac:dyDescent="0.25">
      <c r="A8" t="s">
        <v>679</v>
      </c>
      <c r="B8" t="s">
        <v>680</v>
      </c>
      <c r="C8" t="s">
        <v>678</v>
      </c>
    </row>
    <row r="9" spans="1:3" x14ac:dyDescent="0.25">
      <c r="A9" t="s">
        <v>681</v>
      </c>
      <c r="B9" t="s">
        <v>682</v>
      </c>
      <c r="C9" t="s">
        <v>678</v>
      </c>
    </row>
    <row r="10" spans="1:3" x14ac:dyDescent="0.25">
      <c r="A10" t="s">
        <v>683</v>
      </c>
      <c r="B10" t="s">
        <v>684</v>
      </c>
      <c r="C10" t="s">
        <v>669</v>
      </c>
    </row>
    <row r="11" spans="1:3" x14ac:dyDescent="0.25">
      <c r="A11" t="s">
        <v>538</v>
      </c>
      <c r="B11" t="s">
        <v>685</v>
      </c>
      <c r="C11" t="s">
        <v>545</v>
      </c>
    </row>
    <row r="12" spans="1:3" x14ac:dyDescent="0.25">
      <c r="A12" t="s">
        <v>686</v>
      </c>
      <c r="B12" t="s">
        <v>687</v>
      </c>
      <c r="C12" s="7" t="s">
        <v>688</v>
      </c>
    </row>
    <row r="13" spans="1:3" x14ac:dyDescent="0.25">
      <c r="A13" t="s">
        <v>689</v>
      </c>
      <c r="B13" t="s">
        <v>690</v>
      </c>
      <c r="C13" s="7" t="s">
        <v>691</v>
      </c>
    </row>
    <row r="14" spans="1:3" x14ac:dyDescent="0.25">
      <c r="A14" t="s">
        <v>692</v>
      </c>
      <c r="B14" t="s">
        <v>693</v>
      </c>
      <c r="C14" s="7" t="s">
        <v>694</v>
      </c>
    </row>
    <row r="15" spans="1:3" x14ac:dyDescent="0.25">
      <c r="A15" t="s">
        <v>695</v>
      </c>
      <c r="B15" t="s">
        <v>696</v>
      </c>
      <c r="C15" s="7" t="s">
        <v>697</v>
      </c>
    </row>
    <row r="16" spans="1:3" x14ac:dyDescent="0.25">
      <c r="A16" t="s">
        <v>698</v>
      </c>
      <c r="B16" t="s">
        <v>699</v>
      </c>
      <c r="C16" s="7" t="s">
        <v>700</v>
      </c>
    </row>
    <row r="17" spans="1:3" x14ac:dyDescent="0.25">
      <c r="A17" t="s">
        <v>701</v>
      </c>
      <c r="B17" t="s">
        <v>702</v>
      </c>
      <c r="C17" s="7" t="s">
        <v>703</v>
      </c>
    </row>
    <row r="18" spans="1:3" x14ac:dyDescent="0.25">
      <c r="A18" t="s">
        <v>704</v>
      </c>
      <c r="B18" t="s">
        <v>705</v>
      </c>
      <c r="C18" s="7" t="s">
        <v>706</v>
      </c>
    </row>
    <row r="19" spans="1:3" x14ac:dyDescent="0.25">
      <c r="A19" t="s">
        <v>707</v>
      </c>
      <c r="B19" t="s">
        <v>708</v>
      </c>
      <c r="C19" s="7" t="s">
        <v>709</v>
      </c>
    </row>
    <row r="20" spans="1:3" x14ac:dyDescent="0.25">
      <c r="A20" t="s">
        <v>710</v>
      </c>
      <c r="B20" t="s">
        <v>711</v>
      </c>
      <c r="C20" s="7" t="s">
        <v>712</v>
      </c>
    </row>
    <row r="21" spans="1:3" x14ac:dyDescent="0.25">
      <c r="A21" t="s">
        <v>713</v>
      </c>
      <c r="B21" t="s">
        <v>714</v>
      </c>
      <c r="C21" s="7" t="s">
        <v>715</v>
      </c>
    </row>
    <row r="22" spans="1:3" x14ac:dyDescent="0.25">
      <c r="A22" t="s">
        <v>716</v>
      </c>
      <c r="B22" t="s">
        <v>717</v>
      </c>
      <c r="C22" s="7" t="s">
        <v>718</v>
      </c>
    </row>
    <row r="23" spans="1:3" x14ac:dyDescent="0.25">
      <c r="A23" t="s">
        <v>719</v>
      </c>
      <c r="B23" t="s">
        <v>720</v>
      </c>
      <c r="C23" s="7" t="s">
        <v>721</v>
      </c>
    </row>
    <row r="24" spans="1:3" x14ac:dyDescent="0.25">
      <c r="A24" t="s">
        <v>722</v>
      </c>
      <c r="B24" t="s">
        <v>723</v>
      </c>
      <c r="C24" s="7" t="s">
        <v>724</v>
      </c>
    </row>
    <row r="25" spans="1:3" x14ac:dyDescent="0.25">
      <c r="A25" t="s">
        <v>725</v>
      </c>
      <c r="B25" t="s">
        <v>726</v>
      </c>
      <c r="C25" s="7" t="s">
        <v>727</v>
      </c>
    </row>
    <row r="26" spans="1:3" x14ac:dyDescent="0.25">
      <c r="A26" t="s">
        <v>728</v>
      </c>
      <c r="B26" t="s">
        <v>729</v>
      </c>
      <c r="C26" s="7" t="s">
        <v>730</v>
      </c>
    </row>
    <row r="27" spans="1:3" x14ac:dyDescent="0.25">
      <c r="A27" t="s">
        <v>731</v>
      </c>
      <c r="B27" t="s">
        <v>732</v>
      </c>
      <c r="C27" s="7" t="s">
        <v>733</v>
      </c>
    </row>
    <row r="28" spans="1:3" x14ac:dyDescent="0.25">
      <c r="A28" t="s">
        <v>734</v>
      </c>
      <c r="B28" t="s">
        <v>735</v>
      </c>
      <c r="C28" s="7" t="s">
        <v>736</v>
      </c>
    </row>
    <row r="29" spans="1:3" x14ac:dyDescent="0.25">
      <c r="A29" t="s">
        <v>737</v>
      </c>
      <c r="B29" t="s">
        <v>738</v>
      </c>
      <c r="C29" s="7" t="s">
        <v>739</v>
      </c>
    </row>
    <row r="30" spans="1:3" x14ac:dyDescent="0.25">
      <c r="A30" t="s">
        <v>740</v>
      </c>
      <c r="B30" t="s">
        <v>741</v>
      </c>
      <c r="C30" s="7" t="s">
        <v>742</v>
      </c>
    </row>
    <row r="31" spans="1:3" x14ac:dyDescent="0.25">
      <c r="A31" t="s">
        <v>743</v>
      </c>
      <c r="B31" t="s">
        <v>744</v>
      </c>
      <c r="C31" s="7" t="s">
        <v>745</v>
      </c>
    </row>
    <row r="32" spans="1:3" x14ac:dyDescent="0.25">
      <c r="A32" t="s">
        <v>746</v>
      </c>
      <c r="B32" t="s">
        <v>747</v>
      </c>
      <c r="C32" s="7" t="s">
        <v>748</v>
      </c>
    </row>
    <row r="33" spans="1:3" x14ac:dyDescent="0.25">
      <c r="A33" t="s">
        <v>749</v>
      </c>
      <c r="B33" t="s">
        <v>750</v>
      </c>
      <c r="C33" s="7" t="s">
        <v>751</v>
      </c>
    </row>
    <row r="34" spans="1:3" x14ac:dyDescent="0.25">
      <c r="A34" t="s">
        <v>752</v>
      </c>
      <c r="B34" t="s">
        <v>753</v>
      </c>
      <c r="C34" s="7" t="s">
        <v>754</v>
      </c>
    </row>
    <row r="35" spans="1:3" x14ac:dyDescent="0.25">
      <c r="A35" t="s">
        <v>755</v>
      </c>
      <c r="B35" t="s">
        <v>756</v>
      </c>
      <c r="C35" s="7" t="s">
        <v>757</v>
      </c>
    </row>
    <row r="36" spans="1:3" x14ac:dyDescent="0.25">
      <c r="A36" t="s">
        <v>758</v>
      </c>
      <c r="B36" t="s">
        <v>294</v>
      </c>
      <c r="C36" s="7" t="s">
        <v>759</v>
      </c>
    </row>
    <row r="37" spans="1:3" x14ac:dyDescent="0.25">
      <c r="A37" t="s">
        <v>760</v>
      </c>
      <c r="B37" t="s">
        <v>761</v>
      </c>
      <c r="C37" s="7" t="s">
        <v>762</v>
      </c>
    </row>
    <row r="38" spans="1:3" x14ac:dyDescent="0.25">
      <c r="A38" t="s">
        <v>763</v>
      </c>
      <c r="B38" t="s">
        <v>764</v>
      </c>
      <c r="C38" s="7" t="s">
        <v>765</v>
      </c>
    </row>
    <row r="39" spans="1:3" x14ac:dyDescent="0.25">
      <c r="A39" t="s">
        <v>766</v>
      </c>
      <c r="B39" t="s">
        <v>407</v>
      </c>
      <c r="C39" s="7" t="s">
        <v>767</v>
      </c>
    </row>
    <row r="40" spans="1:3" x14ac:dyDescent="0.25">
      <c r="A40" t="s">
        <v>768</v>
      </c>
      <c r="B40" t="s">
        <v>769</v>
      </c>
      <c r="C40" s="7" t="s">
        <v>770</v>
      </c>
    </row>
    <row r="41" spans="1:3" x14ac:dyDescent="0.25">
      <c r="A41" t="s">
        <v>771</v>
      </c>
      <c r="B41" t="s">
        <v>772</v>
      </c>
      <c r="C41" s="7" t="s">
        <v>773</v>
      </c>
    </row>
    <row r="42" spans="1:3" x14ac:dyDescent="0.25">
      <c r="A42" t="s">
        <v>774</v>
      </c>
      <c r="B42" t="s">
        <v>775</v>
      </c>
      <c r="C42" s="7" t="s">
        <v>776</v>
      </c>
    </row>
    <row r="43" spans="1:3" x14ac:dyDescent="0.25">
      <c r="A43" t="s">
        <v>777</v>
      </c>
      <c r="B43" t="s">
        <v>778</v>
      </c>
      <c r="C43" s="7" t="s">
        <v>779</v>
      </c>
    </row>
    <row r="44" spans="1:3" x14ac:dyDescent="0.25">
      <c r="A44" t="s">
        <v>780</v>
      </c>
      <c r="B44" t="s">
        <v>781</v>
      </c>
      <c r="C44" s="7" t="s">
        <v>782</v>
      </c>
    </row>
    <row r="45" spans="1:3" x14ac:dyDescent="0.25">
      <c r="A45" t="s">
        <v>783</v>
      </c>
      <c r="B45" t="s">
        <v>784</v>
      </c>
      <c r="C45" s="7" t="s">
        <v>785</v>
      </c>
    </row>
    <row r="46" spans="1:3" x14ac:dyDescent="0.25">
      <c r="A46" t="s">
        <v>786</v>
      </c>
      <c r="B46" t="s">
        <v>787</v>
      </c>
      <c r="C46" s="7" t="s">
        <v>788</v>
      </c>
    </row>
    <row r="47" spans="1:3" x14ac:dyDescent="0.25">
      <c r="A47" t="s">
        <v>789</v>
      </c>
      <c r="B47" t="s">
        <v>790</v>
      </c>
      <c r="C47" s="7" t="s">
        <v>791</v>
      </c>
    </row>
    <row r="48" spans="1:3" x14ac:dyDescent="0.25">
      <c r="A48" t="s">
        <v>792</v>
      </c>
      <c r="B48" t="s">
        <v>793</v>
      </c>
      <c r="C48" s="7" t="s">
        <v>794</v>
      </c>
    </row>
    <row r="49" spans="1:3" x14ac:dyDescent="0.25">
      <c r="A49" t="s">
        <v>795</v>
      </c>
      <c r="B49" t="s">
        <v>796</v>
      </c>
      <c r="C49" s="7" t="s">
        <v>797</v>
      </c>
    </row>
    <row r="50" spans="1:3" x14ac:dyDescent="0.25">
      <c r="A50" t="s">
        <v>798</v>
      </c>
      <c r="B50" t="s">
        <v>799</v>
      </c>
      <c r="C50" s="7" t="s">
        <v>800</v>
      </c>
    </row>
    <row r="51" spans="1:3" x14ac:dyDescent="0.25">
      <c r="A51" t="s">
        <v>801</v>
      </c>
      <c r="B51" t="s">
        <v>802</v>
      </c>
      <c r="C51" s="7" t="s">
        <v>803</v>
      </c>
    </row>
    <row r="52" spans="1:3" x14ac:dyDescent="0.25">
      <c r="A52" t="s">
        <v>804</v>
      </c>
      <c r="B52" t="s">
        <v>805</v>
      </c>
      <c r="C52" s="7" t="s">
        <v>806</v>
      </c>
    </row>
    <row r="53" spans="1:3" x14ac:dyDescent="0.25">
      <c r="A53" t="s">
        <v>807</v>
      </c>
      <c r="B53" t="s">
        <v>808</v>
      </c>
      <c r="C53" s="7" t="s">
        <v>809</v>
      </c>
    </row>
    <row r="54" spans="1:3" x14ac:dyDescent="0.25">
      <c r="A54" t="s">
        <v>810</v>
      </c>
      <c r="B54" t="s">
        <v>811</v>
      </c>
      <c r="C54" s="8"/>
    </row>
    <row r="55" spans="1:3" x14ac:dyDescent="0.25">
      <c r="A55" t="s">
        <v>812</v>
      </c>
      <c r="B55" t="s">
        <v>97</v>
      </c>
      <c r="C55" s="7" t="s">
        <v>813</v>
      </c>
    </row>
    <row r="56" spans="1:3" x14ac:dyDescent="0.25">
      <c r="A56" t="s">
        <v>814</v>
      </c>
      <c r="B56" t="s">
        <v>815</v>
      </c>
      <c r="C56" s="7"/>
    </row>
    <row r="57" spans="1:3" x14ac:dyDescent="0.25">
      <c r="A57" t="s">
        <v>816</v>
      </c>
      <c r="B57" t="s">
        <v>817</v>
      </c>
      <c r="C57" s="7" t="s">
        <v>818</v>
      </c>
    </row>
    <row r="58" spans="1:3" x14ac:dyDescent="0.25">
      <c r="A58" t="s">
        <v>819</v>
      </c>
      <c r="B58" t="s">
        <v>820</v>
      </c>
      <c r="C58" s="7" t="s">
        <v>821</v>
      </c>
    </row>
    <row r="59" spans="1:3" x14ac:dyDescent="0.25">
      <c r="A59" t="s">
        <v>822</v>
      </c>
      <c r="B59" t="s">
        <v>823</v>
      </c>
      <c r="C59" s="7" t="s">
        <v>824</v>
      </c>
    </row>
    <row r="60" spans="1:3" x14ac:dyDescent="0.25">
      <c r="A60" t="s">
        <v>825</v>
      </c>
      <c r="B60" t="s">
        <v>826</v>
      </c>
      <c r="C60" s="7" t="s">
        <v>827</v>
      </c>
    </row>
    <row r="61" spans="1:3" x14ac:dyDescent="0.25">
      <c r="A61" t="s">
        <v>828</v>
      </c>
      <c r="B61" t="s">
        <v>829</v>
      </c>
      <c r="C61" s="7" t="s">
        <v>830</v>
      </c>
    </row>
    <row r="62" spans="1:3" x14ac:dyDescent="0.25">
      <c r="A62" t="s">
        <v>831</v>
      </c>
      <c r="B62" t="s">
        <v>832</v>
      </c>
      <c r="C62" s="7" t="s">
        <v>833</v>
      </c>
    </row>
    <row r="63" spans="1:3" x14ac:dyDescent="0.25">
      <c r="A63" t="s">
        <v>834</v>
      </c>
      <c r="B63" t="s">
        <v>835</v>
      </c>
      <c r="C63" s="7" t="s">
        <v>836</v>
      </c>
    </row>
    <row r="64" spans="1:3" x14ac:dyDescent="0.25">
      <c r="A64" t="s">
        <v>837</v>
      </c>
      <c r="B64" t="s">
        <v>838</v>
      </c>
      <c r="C64" s="7" t="s">
        <v>839</v>
      </c>
    </row>
    <row r="65" spans="1:3" x14ac:dyDescent="0.25">
      <c r="A65" t="s">
        <v>840</v>
      </c>
      <c r="B65" t="s">
        <v>841</v>
      </c>
      <c r="C65" s="7" t="s">
        <v>842</v>
      </c>
    </row>
    <row r="66" spans="1:3" x14ac:dyDescent="0.25">
      <c r="A66" t="s">
        <v>843</v>
      </c>
      <c r="B66" t="s">
        <v>844</v>
      </c>
      <c r="C66" s="7" t="s">
        <v>776</v>
      </c>
    </row>
    <row r="67" spans="1:3" x14ac:dyDescent="0.25">
      <c r="A67" t="s">
        <v>845</v>
      </c>
      <c r="B67" t="s">
        <v>846</v>
      </c>
      <c r="C67" s="7" t="s">
        <v>847</v>
      </c>
    </row>
    <row r="68" spans="1:3" x14ac:dyDescent="0.25">
      <c r="A68" t="s">
        <v>848</v>
      </c>
      <c r="B68" t="s">
        <v>849</v>
      </c>
      <c r="C68" s="7" t="s">
        <v>850</v>
      </c>
    </row>
    <row r="69" spans="1:3" x14ac:dyDescent="0.25">
      <c r="A69" t="s">
        <v>851</v>
      </c>
      <c r="B69" t="s">
        <v>852</v>
      </c>
      <c r="C69" s="7" t="s">
        <v>853</v>
      </c>
    </row>
    <row r="70" spans="1:3" x14ac:dyDescent="0.25">
      <c r="A70" t="s">
        <v>854</v>
      </c>
      <c r="B70" t="s">
        <v>855</v>
      </c>
      <c r="C70" s="7" t="s">
        <v>856</v>
      </c>
    </row>
    <row r="71" spans="1:3" x14ac:dyDescent="0.25">
      <c r="A71" t="s">
        <v>857</v>
      </c>
      <c r="B71" t="s">
        <v>858</v>
      </c>
      <c r="C71" s="7" t="s">
        <v>859</v>
      </c>
    </row>
    <row r="72" spans="1:3" x14ac:dyDescent="0.25">
      <c r="A72" t="s">
        <v>860</v>
      </c>
      <c r="B72" t="s">
        <v>861</v>
      </c>
      <c r="C72" s="7" t="s">
        <v>776</v>
      </c>
    </row>
    <row r="73" spans="1:3" x14ac:dyDescent="0.25">
      <c r="A73" t="s">
        <v>862</v>
      </c>
      <c r="B73" t="s">
        <v>863</v>
      </c>
      <c r="C73" s="7" t="s">
        <v>864</v>
      </c>
    </row>
    <row r="74" spans="1:3" x14ac:dyDescent="0.25">
      <c r="A74" t="s">
        <v>865</v>
      </c>
      <c r="B74" t="s">
        <v>866</v>
      </c>
      <c r="C74" s="7" t="s">
        <v>867</v>
      </c>
    </row>
    <row r="75" spans="1:3" x14ac:dyDescent="0.25">
      <c r="A75" t="s">
        <v>868</v>
      </c>
      <c r="B75" t="s">
        <v>869</v>
      </c>
      <c r="C75" s="7" t="s">
        <v>870</v>
      </c>
    </row>
    <row r="76" spans="1:3" x14ac:dyDescent="0.25">
      <c r="A76" t="s">
        <v>871</v>
      </c>
      <c r="B76" t="s">
        <v>872</v>
      </c>
      <c r="C76" s="7" t="s">
        <v>873</v>
      </c>
    </row>
    <row r="77" spans="1:3" ht="16.5" x14ac:dyDescent="0.3">
      <c r="A77" s="28" t="s">
        <v>874</v>
      </c>
      <c r="B77" s="29" t="s">
        <v>875</v>
      </c>
      <c r="C77" s="29" t="s">
        <v>776</v>
      </c>
    </row>
    <row r="78" spans="1:3" x14ac:dyDescent="0.25">
      <c r="A78" t="s">
        <v>876</v>
      </c>
      <c r="B78" t="s">
        <v>877</v>
      </c>
      <c r="C78" s="7" t="s">
        <v>776</v>
      </c>
    </row>
    <row r="79" spans="1:3" x14ac:dyDescent="0.25">
      <c r="A79" t="s">
        <v>878</v>
      </c>
      <c r="B79" t="s">
        <v>879</v>
      </c>
      <c r="C79" s="7" t="s">
        <v>880</v>
      </c>
    </row>
    <row r="80" spans="1:3" x14ac:dyDescent="0.25">
      <c r="A80" t="s">
        <v>881</v>
      </c>
      <c r="B80" t="s">
        <v>882</v>
      </c>
      <c r="C80" s="7" t="s">
        <v>883</v>
      </c>
    </row>
    <row r="81" spans="1:3" x14ac:dyDescent="0.25">
      <c r="A81" t="s">
        <v>884</v>
      </c>
      <c r="B81" t="s">
        <v>885</v>
      </c>
      <c r="C81" s="7" t="s">
        <v>886</v>
      </c>
    </row>
    <row r="82" spans="1:3" x14ac:dyDescent="0.25">
      <c r="A82" t="s">
        <v>887</v>
      </c>
      <c r="B82" t="s">
        <v>888</v>
      </c>
      <c r="C82" s="7" t="s">
        <v>889</v>
      </c>
    </row>
    <row r="83" spans="1:3" x14ac:dyDescent="0.25">
      <c r="A83" t="s">
        <v>890</v>
      </c>
      <c r="B83" t="s">
        <v>891</v>
      </c>
      <c r="C83" s="7" t="s">
        <v>892</v>
      </c>
    </row>
    <row r="84" spans="1:3" x14ac:dyDescent="0.25">
      <c r="A84" t="s">
        <v>893</v>
      </c>
      <c r="B84" t="s">
        <v>894</v>
      </c>
      <c r="C84" s="7" t="s">
        <v>895</v>
      </c>
    </row>
    <row r="85" spans="1:3" x14ac:dyDescent="0.25">
      <c r="A85" t="s">
        <v>896</v>
      </c>
      <c r="B85" t="s">
        <v>897</v>
      </c>
      <c r="C85" s="36" t="s">
        <v>898</v>
      </c>
    </row>
    <row r="86" spans="1:3" x14ac:dyDescent="0.25">
      <c r="A86" t="s">
        <v>899</v>
      </c>
      <c r="B86" t="s">
        <v>900</v>
      </c>
      <c r="C86" s="7" t="s">
        <v>901</v>
      </c>
    </row>
    <row r="87" spans="1:3" x14ac:dyDescent="0.25">
      <c r="A87" t="s">
        <v>902</v>
      </c>
      <c r="B87" t="s">
        <v>903</v>
      </c>
      <c r="C87" s="7" t="s">
        <v>904</v>
      </c>
    </row>
    <row r="88" spans="1:3" x14ac:dyDescent="0.25">
      <c r="A88" t="s">
        <v>905</v>
      </c>
      <c r="B88" t="s">
        <v>113</v>
      </c>
      <c r="C88" s="7" t="s">
        <v>906</v>
      </c>
    </row>
    <row r="89" spans="1:3" x14ac:dyDescent="0.25">
      <c r="A89" t="s">
        <v>907</v>
      </c>
      <c r="B89" t="s">
        <v>908</v>
      </c>
      <c r="C89" s="7" t="s">
        <v>909</v>
      </c>
    </row>
    <row r="90" spans="1:3" x14ac:dyDescent="0.25">
      <c r="A90" t="s">
        <v>910</v>
      </c>
      <c r="B90" t="s">
        <v>911</v>
      </c>
      <c r="C90" s="7" t="s">
        <v>912</v>
      </c>
    </row>
    <row r="91" spans="1:3" x14ac:dyDescent="0.25">
      <c r="A91" t="s">
        <v>913</v>
      </c>
      <c r="B91" t="s">
        <v>914</v>
      </c>
      <c r="C91" s="7" t="s">
        <v>915</v>
      </c>
    </row>
    <row r="92" spans="1:3" x14ac:dyDescent="0.25">
      <c r="A92" t="s">
        <v>916</v>
      </c>
      <c r="B92" t="s">
        <v>917</v>
      </c>
      <c r="C92" s="7" t="s">
        <v>918</v>
      </c>
    </row>
    <row r="93" spans="1:3" x14ac:dyDescent="0.25">
      <c r="A93" t="s">
        <v>919</v>
      </c>
      <c r="B93" t="s">
        <v>920</v>
      </c>
      <c r="C93" s="7" t="s">
        <v>921</v>
      </c>
    </row>
    <row r="94" spans="1:3" x14ac:dyDescent="0.25">
      <c r="A94" t="s">
        <v>922</v>
      </c>
      <c r="B94" t="s">
        <v>923</v>
      </c>
      <c r="C94" s="7" t="s">
        <v>924</v>
      </c>
    </row>
    <row r="95" spans="1:3" x14ac:dyDescent="0.25">
      <c r="A95" t="s">
        <v>925</v>
      </c>
      <c r="B95" t="s">
        <v>359</v>
      </c>
      <c r="C95" s="7" t="s">
        <v>926</v>
      </c>
    </row>
    <row r="96" spans="1:3" x14ac:dyDescent="0.25">
      <c r="A96" t="s">
        <v>927</v>
      </c>
      <c r="B96" t="s">
        <v>928</v>
      </c>
      <c r="C96" s="7" t="s">
        <v>929</v>
      </c>
    </row>
    <row r="97" spans="1:3" x14ac:dyDescent="0.25">
      <c r="A97" t="s">
        <v>930</v>
      </c>
      <c r="B97" t="s">
        <v>931</v>
      </c>
      <c r="C97" s="7" t="s">
        <v>932</v>
      </c>
    </row>
    <row r="98" spans="1:3" x14ac:dyDescent="0.25">
      <c r="A98" t="s">
        <v>933</v>
      </c>
      <c r="B98" t="s">
        <v>934</v>
      </c>
      <c r="C98" s="7" t="s">
        <v>935</v>
      </c>
    </row>
    <row r="99" spans="1:3" x14ac:dyDescent="0.25">
      <c r="A99" t="s">
        <v>936</v>
      </c>
      <c r="B99" t="s">
        <v>937</v>
      </c>
      <c r="C99" s="7" t="s">
        <v>938</v>
      </c>
    </row>
    <row r="100" spans="1:3" x14ac:dyDescent="0.25">
      <c r="A100" t="s">
        <v>939</v>
      </c>
      <c r="B100" t="s">
        <v>37</v>
      </c>
      <c r="C100" s="7" t="s">
        <v>940</v>
      </c>
    </row>
    <row r="101" spans="1:3" x14ac:dyDescent="0.25">
      <c r="A101" t="s">
        <v>941</v>
      </c>
      <c r="B101" t="s">
        <v>942</v>
      </c>
      <c r="C101" s="7" t="s">
        <v>943</v>
      </c>
    </row>
    <row r="102" spans="1:3" x14ac:dyDescent="0.25">
      <c r="A102" t="s">
        <v>944</v>
      </c>
      <c r="B102" t="s">
        <v>945</v>
      </c>
      <c r="C102" s="7" t="s">
        <v>946</v>
      </c>
    </row>
    <row r="103" spans="1:3" x14ac:dyDescent="0.25">
      <c r="A103" t="s">
        <v>947</v>
      </c>
      <c r="B103" t="s">
        <v>948</v>
      </c>
      <c r="C103" s="7" t="s">
        <v>949</v>
      </c>
    </row>
    <row r="104" spans="1:3" x14ac:dyDescent="0.25">
      <c r="A104" t="s">
        <v>950</v>
      </c>
      <c r="B104" t="s">
        <v>951</v>
      </c>
      <c r="C104" s="7" t="s">
        <v>952</v>
      </c>
    </row>
    <row r="105" spans="1:3" x14ac:dyDescent="0.25">
      <c r="A105" t="s">
        <v>38</v>
      </c>
      <c r="B105" t="s">
        <v>953</v>
      </c>
      <c r="C105" s="7" t="s">
        <v>954</v>
      </c>
    </row>
    <row r="106" spans="1:3" x14ac:dyDescent="0.25">
      <c r="A106" t="s">
        <v>955</v>
      </c>
      <c r="B106" t="s">
        <v>956</v>
      </c>
      <c r="C106" s="7" t="s">
        <v>957</v>
      </c>
    </row>
    <row r="107" spans="1:3" x14ac:dyDescent="0.25">
      <c r="A107" t="s">
        <v>958</v>
      </c>
      <c r="B107" t="s">
        <v>959</v>
      </c>
      <c r="C107" s="7" t="s">
        <v>960</v>
      </c>
    </row>
    <row r="108" spans="1:3" x14ac:dyDescent="0.25">
      <c r="A108" t="s">
        <v>961</v>
      </c>
      <c r="B108" t="s">
        <v>962</v>
      </c>
      <c r="C108" s="7" t="s">
        <v>963</v>
      </c>
    </row>
    <row r="109" spans="1:3" x14ac:dyDescent="0.25">
      <c r="A109" t="s">
        <v>964</v>
      </c>
      <c r="B109" t="s">
        <v>965</v>
      </c>
      <c r="C109" s="7" t="s">
        <v>776</v>
      </c>
    </row>
    <row r="110" spans="1:3" x14ac:dyDescent="0.25">
      <c r="A110" t="s">
        <v>966</v>
      </c>
      <c r="B110" t="s">
        <v>967</v>
      </c>
      <c r="C110" s="7" t="s">
        <v>776</v>
      </c>
    </row>
    <row r="111" spans="1:3" x14ac:dyDescent="0.25">
      <c r="A111" t="s">
        <v>968</v>
      </c>
      <c r="B111" t="s">
        <v>969</v>
      </c>
      <c r="C111" s="7" t="s">
        <v>970</v>
      </c>
    </row>
    <row r="112" spans="1:3" x14ac:dyDescent="0.25">
      <c r="A112" t="s">
        <v>971</v>
      </c>
      <c r="B112" t="s">
        <v>972</v>
      </c>
      <c r="C112" s="7" t="s">
        <v>973</v>
      </c>
    </row>
    <row r="113" spans="1:3" x14ac:dyDescent="0.25">
      <c r="A113" t="s">
        <v>974</v>
      </c>
      <c r="B113" t="s">
        <v>188</v>
      </c>
      <c r="C113" s="7" t="s">
        <v>975</v>
      </c>
    </row>
    <row r="114" spans="1:3" x14ac:dyDescent="0.25">
      <c r="A114" t="s">
        <v>976</v>
      </c>
      <c r="B114" t="s">
        <v>977</v>
      </c>
      <c r="C114" s="7" t="s">
        <v>978</v>
      </c>
    </row>
    <row r="115" spans="1:3" x14ac:dyDescent="0.25">
      <c r="A115" t="s">
        <v>979</v>
      </c>
      <c r="B115" t="s">
        <v>980</v>
      </c>
      <c r="C115" s="7" t="s">
        <v>776</v>
      </c>
    </row>
    <row r="116" spans="1:3" x14ac:dyDescent="0.25">
      <c r="A116" t="s">
        <v>981</v>
      </c>
      <c r="B116" t="s">
        <v>982</v>
      </c>
      <c r="C116" s="7" t="s">
        <v>776</v>
      </c>
    </row>
    <row r="117" spans="1:3" x14ac:dyDescent="0.25">
      <c r="A117" t="s">
        <v>983</v>
      </c>
      <c r="B117" t="s">
        <v>984</v>
      </c>
      <c r="C117" s="7" t="s">
        <v>985</v>
      </c>
    </row>
    <row r="118" spans="1:3" x14ac:dyDescent="0.25">
      <c r="A118" t="s">
        <v>986</v>
      </c>
      <c r="B118" t="s">
        <v>987</v>
      </c>
      <c r="C118" s="7" t="s">
        <v>776</v>
      </c>
    </row>
    <row r="119" spans="1:3" x14ac:dyDescent="0.25">
      <c r="A119" t="s">
        <v>988</v>
      </c>
      <c r="B119" t="s">
        <v>989</v>
      </c>
      <c r="C119" s="7" t="s">
        <v>990</v>
      </c>
    </row>
    <row r="120" spans="1:3" x14ac:dyDescent="0.25">
      <c r="A120" t="s">
        <v>991</v>
      </c>
      <c r="B120" t="s">
        <v>992</v>
      </c>
      <c r="C120" s="7" t="s">
        <v>993</v>
      </c>
    </row>
    <row r="121" spans="1:3" x14ac:dyDescent="0.25">
      <c r="A121" t="s">
        <v>994</v>
      </c>
      <c r="B121" t="s">
        <v>995</v>
      </c>
      <c r="C121" s="7" t="s">
        <v>996</v>
      </c>
    </row>
    <row r="122" spans="1:3" x14ac:dyDescent="0.25">
      <c r="A122" t="s">
        <v>997</v>
      </c>
      <c r="B122" t="s">
        <v>998</v>
      </c>
      <c r="C122" s="7" t="s">
        <v>999</v>
      </c>
    </row>
    <row r="123" spans="1:3" x14ac:dyDescent="0.25">
      <c r="A123" t="s">
        <v>395</v>
      </c>
      <c r="B123" t="s">
        <v>1000</v>
      </c>
      <c r="C123" s="7" t="s">
        <v>1001</v>
      </c>
    </row>
    <row r="124" spans="1:3" x14ac:dyDescent="0.25">
      <c r="A124" t="s">
        <v>1002</v>
      </c>
      <c r="B124" t="s">
        <v>1003</v>
      </c>
      <c r="C124" s="7" t="s">
        <v>1004</v>
      </c>
    </row>
    <row r="125" spans="1:3" x14ac:dyDescent="0.25">
      <c r="A125" t="s">
        <v>1005</v>
      </c>
      <c r="B125" t="s">
        <v>1006</v>
      </c>
      <c r="C125" s="7" t="s">
        <v>1007</v>
      </c>
    </row>
    <row r="126" spans="1:3" x14ac:dyDescent="0.25">
      <c r="A126" t="s">
        <v>1008</v>
      </c>
      <c r="B126" t="s">
        <v>1009</v>
      </c>
      <c r="C126" s="7" t="s">
        <v>1010</v>
      </c>
    </row>
    <row r="127" spans="1:3" x14ac:dyDescent="0.25">
      <c r="A127" t="s">
        <v>1011</v>
      </c>
      <c r="B127" t="s">
        <v>1012</v>
      </c>
      <c r="C127" s="7" t="s">
        <v>1013</v>
      </c>
    </row>
    <row r="128" spans="1:3" x14ac:dyDescent="0.25">
      <c r="A128" t="s">
        <v>1014</v>
      </c>
      <c r="B128" t="s">
        <v>1015</v>
      </c>
      <c r="C128" s="7" t="s">
        <v>1016</v>
      </c>
    </row>
    <row r="129" spans="1:3" x14ac:dyDescent="0.25">
      <c r="A129" t="s">
        <v>1017</v>
      </c>
      <c r="B129" t="s">
        <v>1018</v>
      </c>
      <c r="C129" s="7" t="s">
        <v>1019</v>
      </c>
    </row>
    <row r="130" spans="1:3" x14ac:dyDescent="0.25">
      <c r="A130" t="s">
        <v>1020</v>
      </c>
      <c r="B130" t="s">
        <v>1021</v>
      </c>
      <c r="C130" s="7" t="s">
        <v>1022</v>
      </c>
    </row>
    <row r="131" spans="1:3" x14ac:dyDescent="0.25">
      <c r="A131" t="s">
        <v>1023</v>
      </c>
      <c r="B131" t="s">
        <v>1024</v>
      </c>
      <c r="C131" s="7" t="s">
        <v>1025</v>
      </c>
    </row>
    <row r="132" spans="1:3" x14ac:dyDescent="0.25">
      <c r="A132" t="s">
        <v>1026</v>
      </c>
      <c r="B132" t="s">
        <v>1027</v>
      </c>
      <c r="C132" s="7" t="s">
        <v>1028</v>
      </c>
    </row>
    <row r="133" spans="1:3" x14ac:dyDescent="0.25">
      <c r="A133" t="s">
        <v>1029</v>
      </c>
      <c r="B133" t="s">
        <v>1030</v>
      </c>
      <c r="C133" s="7" t="s">
        <v>1031</v>
      </c>
    </row>
    <row r="134" spans="1:3" x14ac:dyDescent="0.25">
      <c r="A134" t="s">
        <v>66</v>
      </c>
      <c r="B134" t="s">
        <v>1032</v>
      </c>
      <c r="C134" s="7" t="s">
        <v>1033</v>
      </c>
    </row>
    <row r="135" spans="1:3" x14ac:dyDescent="0.25">
      <c r="A135" t="s">
        <v>1034</v>
      </c>
      <c r="B135" t="s">
        <v>1035</v>
      </c>
      <c r="C135" s="7" t="s">
        <v>1036</v>
      </c>
    </row>
    <row r="136" spans="1:3" x14ac:dyDescent="0.25">
      <c r="A136" t="s">
        <v>1037</v>
      </c>
      <c r="B136" t="s">
        <v>399</v>
      </c>
      <c r="C136" s="7" t="s">
        <v>1038</v>
      </c>
    </row>
    <row r="137" spans="1:3" x14ac:dyDescent="0.25">
      <c r="A137" t="s">
        <v>1039</v>
      </c>
      <c r="B137" t="s">
        <v>1040</v>
      </c>
      <c r="C137" s="7" t="s">
        <v>1041</v>
      </c>
    </row>
    <row r="138" spans="1:3" x14ac:dyDescent="0.25">
      <c r="A138" t="s">
        <v>1042</v>
      </c>
      <c r="B138" t="s">
        <v>1043</v>
      </c>
      <c r="C138" s="7" t="s">
        <v>1044</v>
      </c>
    </row>
    <row r="139" spans="1:3" x14ac:dyDescent="0.25">
      <c r="A139" t="s">
        <v>1045</v>
      </c>
      <c r="B139" t="s">
        <v>1046</v>
      </c>
      <c r="C139" s="7" t="s">
        <v>776</v>
      </c>
    </row>
    <row r="140" spans="1:3" x14ac:dyDescent="0.25">
      <c r="A140" t="s">
        <v>1047</v>
      </c>
      <c r="B140" t="s">
        <v>1048</v>
      </c>
      <c r="C140" s="7" t="s">
        <v>776</v>
      </c>
    </row>
    <row r="141" spans="1:3" x14ac:dyDescent="0.25">
      <c r="A141" t="s">
        <v>1049</v>
      </c>
      <c r="B141" t="s">
        <v>1050</v>
      </c>
      <c r="C141" s="7" t="s">
        <v>1051</v>
      </c>
    </row>
    <row r="142" spans="1:3" x14ac:dyDescent="0.25">
      <c r="A142" t="s">
        <v>1052</v>
      </c>
      <c r="B142" t="s">
        <v>1053</v>
      </c>
      <c r="C142" s="7" t="s">
        <v>1054</v>
      </c>
    </row>
    <row r="143" spans="1:3" x14ac:dyDescent="0.25">
      <c r="A143" t="s">
        <v>1055</v>
      </c>
      <c r="B143" t="s">
        <v>1056</v>
      </c>
      <c r="C143" s="7" t="s">
        <v>1057</v>
      </c>
    </row>
    <row r="144" spans="1:3" x14ac:dyDescent="0.25">
      <c r="A144" t="s">
        <v>1058</v>
      </c>
      <c r="B144" t="s">
        <v>1059</v>
      </c>
      <c r="C144" s="7" t="s">
        <v>1060</v>
      </c>
    </row>
    <row r="145" spans="1:3" x14ac:dyDescent="0.25">
      <c r="A145" t="s">
        <v>1061</v>
      </c>
      <c r="B145" t="s">
        <v>1062</v>
      </c>
      <c r="C145" s="7" t="s">
        <v>1063</v>
      </c>
    </row>
    <row r="146" spans="1:3" x14ac:dyDescent="0.25">
      <c r="A146" t="s">
        <v>1064</v>
      </c>
      <c r="B146" t="s">
        <v>1065</v>
      </c>
      <c r="C146" s="7" t="s">
        <v>1066</v>
      </c>
    </row>
    <row r="147" spans="1:3" x14ac:dyDescent="0.25">
      <c r="A147" t="s">
        <v>1067</v>
      </c>
      <c r="B147" t="s">
        <v>142</v>
      </c>
      <c r="C147" s="7" t="s">
        <v>1068</v>
      </c>
    </row>
    <row r="148" spans="1:3" x14ac:dyDescent="0.25">
      <c r="A148" t="s">
        <v>1069</v>
      </c>
      <c r="B148" t="s">
        <v>1070</v>
      </c>
      <c r="C148" s="7" t="s">
        <v>1071</v>
      </c>
    </row>
    <row r="149" spans="1:3" x14ac:dyDescent="0.25">
      <c r="A149" t="s">
        <v>1072</v>
      </c>
      <c r="B149" t="s">
        <v>1073</v>
      </c>
      <c r="C149" s="7" t="s">
        <v>1074</v>
      </c>
    </row>
    <row r="150" spans="1:3" x14ac:dyDescent="0.25">
      <c r="A150" t="s">
        <v>1075</v>
      </c>
      <c r="B150" t="s">
        <v>1076</v>
      </c>
      <c r="C150" s="7" t="s">
        <v>1077</v>
      </c>
    </row>
    <row r="151" spans="1:3" x14ac:dyDescent="0.25">
      <c r="A151" t="s">
        <v>1078</v>
      </c>
      <c r="B151" t="s">
        <v>1079</v>
      </c>
      <c r="C151" s="7" t="s">
        <v>1080</v>
      </c>
    </row>
    <row r="152" spans="1:3" x14ac:dyDescent="0.25">
      <c r="A152" t="s">
        <v>1081</v>
      </c>
      <c r="B152" t="s">
        <v>320</v>
      </c>
      <c r="C152" s="7" t="s">
        <v>1082</v>
      </c>
    </row>
    <row r="153" spans="1:3" x14ac:dyDescent="0.25">
      <c r="A153" t="s">
        <v>1083</v>
      </c>
      <c r="B153" t="s">
        <v>1084</v>
      </c>
      <c r="C153" s="7" t="s">
        <v>1085</v>
      </c>
    </row>
    <row r="154" spans="1:3" x14ac:dyDescent="0.25">
      <c r="A154" t="s">
        <v>1086</v>
      </c>
      <c r="B154" t="s">
        <v>283</v>
      </c>
      <c r="C154" s="7" t="s">
        <v>1087</v>
      </c>
    </row>
    <row r="155" spans="1:3" x14ac:dyDescent="0.25">
      <c r="A155" t="s">
        <v>1088</v>
      </c>
      <c r="B155" t="s">
        <v>1089</v>
      </c>
      <c r="C155" s="7" t="s">
        <v>776</v>
      </c>
    </row>
    <row r="156" spans="1:3" x14ac:dyDescent="0.25">
      <c r="A156" t="s">
        <v>1090</v>
      </c>
      <c r="B156" t="s">
        <v>1091</v>
      </c>
      <c r="C156" s="7" t="s">
        <v>1092</v>
      </c>
    </row>
    <row r="157" spans="1:3" x14ac:dyDescent="0.25">
      <c r="A157" t="s">
        <v>1093</v>
      </c>
      <c r="B157" t="s">
        <v>1094</v>
      </c>
      <c r="C157" s="7" t="s">
        <v>1095</v>
      </c>
    </row>
    <row r="158" spans="1:3" x14ac:dyDescent="0.25">
      <c r="A158" t="s">
        <v>176</v>
      </c>
      <c r="B158" t="s">
        <v>544</v>
      </c>
      <c r="C158" s="7" t="s">
        <v>1096</v>
      </c>
    </row>
    <row r="159" spans="1:3" x14ac:dyDescent="0.25">
      <c r="A159" t="s">
        <v>1097</v>
      </c>
      <c r="B159" t="s">
        <v>1098</v>
      </c>
      <c r="C159" s="7" t="s">
        <v>776</v>
      </c>
    </row>
    <row r="160" spans="1:3" x14ac:dyDescent="0.25">
      <c r="A160" t="s">
        <v>1099</v>
      </c>
      <c r="B160" t="s">
        <v>1100</v>
      </c>
      <c r="C160" s="7" t="s">
        <v>1101</v>
      </c>
    </row>
    <row r="161" spans="1:3" x14ac:dyDescent="0.25">
      <c r="A161" t="s">
        <v>1102</v>
      </c>
      <c r="B161" t="s">
        <v>1103</v>
      </c>
      <c r="C161" s="7" t="s">
        <v>1104</v>
      </c>
    </row>
    <row r="162" spans="1:3" x14ac:dyDescent="0.25">
      <c r="A162" t="s">
        <v>1105</v>
      </c>
      <c r="B162" t="s">
        <v>1106</v>
      </c>
      <c r="C162" s="7" t="s">
        <v>1107</v>
      </c>
    </row>
    <row r="163" spans="1:3" x14ac:dyDescent="0.25">
      <c r="A163" t="s">
        <v>1108</v>
      </c>
      <c r="B163" t="s">
        <v>1109</v>
      </c>
      <c r="C163" s="7" t="s">
        <v>1110</v>
      </c>
    </row>
    <row r="164" spans="1:3" x14ac:dyDescent="0.25">
      <c r="A164" t="s">
        <v>1111</v>
      </c>
      <c r="B164" t="s">
        <v>1112</v>
      </c>
      <c r="C164" s="7" t="s">
        <v>1113</v>
      </c>
    </row>
    <row r="165" spans="1:3" x14ac:dyDescent="0.25">
      <c r="A165" t="s">
        <v>1114</v>
      </c>
      <c r="B165" t="s">
        <v>1115</v>
      </c>
      <c r="C165" s="7" t="s">
        <v>1116</v>
      </c>
    </row>
    <row r="166" spans="1:3" x14ac:dyDescent="0.25">
      <c r="A166" t="s">
        <v>1117</v>
      </c>
      <c r="B166" t="s">
        <v>1118</v>
      </c>
      <c r="C166" s="7" t="s">
        <v>1119</v>
      </c>
    </row>
    <row r="167" spans="1:3" x14ac:dyDescent="0.25">
      <c r="A167" t="s">
        <v>1120</v>
      </c>
      <c r="B167" t="s">
        <v>1121</v>
      </c>
      <c r="C167" s="7" t="s">
        <v>1122</v>
      </c>
    </row>
    <row r="168" spans="1:3" x14ac:dyDescent="0.25">
      <c r="A168" t="s">
        <v>1123</v>
      </c>
      <c r="B168" t="s">
        <v>1124</v>
      </c>
      <c r="C168" s="7" t="s">
        <v>1125</v>
      </c>
    </row>
    <row r="169" spans="1:3" x14ac:dyDescent="0.25">
      <c r="A169" t="s">
        <v>1126</v>
      </c>
      <c r="B169" t="s">
        <v>578</v>
      </c>
      <c r="C169" s="7" t="s">
        <v>1127</v>
      </c>
    </row>
    <row r="170" spans="1:3" x14ac:dyDescent="0.25">
      <c r="A170" t="s">
        <v>1128</v>
      </c>
      <c r="B170" t="s">
        <v>1129</v>
      </c>
      <c r="C170" s="7" t="s">
        <v>1130</v>
      </c>
    </row>
    <row r="171" spans="1:3" x14ac:dyDescent="0.25">
      <c r="A171" t="s">
        <v>1131</v>
      </c>
      <c r="B171" t="s">
        <v>1132</v>
      </c>
      <c r="C171" s="7" t="s">
        <v>1133</v>
      </c>
    </row>
    <row r="172" spans="1:3" x14ac:dyDescent="0.25">
      <c r="A172" t="s">
        <v>1134</v>
      </c>
      <c r="B172" t="s">
        <v>1135</v>
      </c>
      <c r="C172" s="7" t="s">
        <v>1136</v>
      </c>
    </row>
    <row r="173" spans="1:3" x14ac:dyDescent="0.25">
      <c r="A173" t="s">
        <v>1137</v>
      </c>
      <c r="B173" t="s">
        <v>1138</v>
      </c>
      <c r="C173" s="7" t="s">
        <v>1139</v>
      </c>
    </row>
    <row r="174" spans="1:3" x14ac:dyDescent="0.25">
      <c r="A174" t="s">
        <v>1140</v>
      </c>
      <c r="B174" t="s">
        <v>1141</v>
      </c>
      <c r="C174" s="7" t="s">
        <v>1142</v>
      </c>
    </row>
    <row r="175" spans="1:3" x14ac:dyDescent="0.25">
      <c r="A175" t="s">
        <v>1143</v>
      </c>
      <c r="B175" t="s">
        <v>1144</v>
      </c>
      <c r="C175" s="7" t="s">
        <v>1145</v>
      </c>
    </row>
    <row r="176" spans="1:3" x14ac:dyDescent="0.25">
      <c r="A176" t="s">
        <v>1146</v>
      </c>
      <c r="B176" t="s">
        <v>1147</v>
      </c>
      <c r="C176" s="7" t="s">
        <v>1148</v>
      </c>
    </row>
    <row r="177" spans="1:3" x14ac:dyDescent="0.25">
      <c r="A177" t="s">
        <v>1149</v>
      </c>
      <c r="B177" t="s">
        <v>1150</v>
      </c>
      <c r="C177" s="7" t="s">
        <v>1151</v>
      </c>
    </row>
    <row r="178" spans="1:3" x14ac:dyDescent="0.25">
      <c r="A178" t="s">
        <v>1152</v>
      </c>
      <c r="B178" t="s">
        <v>1153</v>
      </c>
      <c r="C178" s="7" t="s">
        <v>1154</v>
      </c>
    </row>
    <row r="179" spans="1:3" x14ac:dyDescent="0.25">
      <c r="A179" t="s">
        <v>1155</v>
      </c>
      <c r="B179" t="s">
        <v>1156</v>
      </c>
      <c r="C179" s="7" t="s">
        <v>776</v>
      </c>
    </row>
    <row r="180" spans="1:3" x14ac:dyDescent="0.25">
      <c r="A180" t="s">
        <v>1157</v>
      </c>
      <c r="B180" t="s">
        <v>1158</v>
      </c>
      <c r="C180" s="7" t="s">
        <v>1159</v>
      </c>
    </row>
    <row r="181" spans="1:3" x14ac:dyDescent="0.25">
      <c r="A181" t="s">
        <v>1160</v>
      </c>
      <c r="B181" t="s">
        <v>1161</v>
      </c>
      <c r="C181" s="7" t="s">
        <v>1162</v>
      </c>
    </row>
    <row r="182" spans="1:3" x14ac:dyDescent="0.25">
      <c r="A182" t="s">
        <v>1163</v>
      </c>
      <c r="B182" t="s">
        <v>1164</v>
      </c>
      <c r="C182" s="7" t="s">
        <v>1165</v>
      </c>
    </row>
    <row r="183" spans="1:3" x14ac:dyDescent="0.25">
      <c r="A183" t="s">
        <v>1166</v>
      </c>
      <c r="B183" t="s">
        <v>1167</v>
      </c>
      <c r="C183" s="7" t="s">
        <v>1168</v>
      </c>
    </row>
    <row r="184" spans="1:3" x14ac:dyDescent="0.25">
      <c r="A184" t="s">
        <v>1169</v>
      </c>
      <c r="B184" t="s">
        <v>1170</v>
      </c>
      <c r="C184" s="7" t="s">
        <v>1171</v>
      </c>
    </row>
    <row r="185" spans="1:3" x14ac:dyDescent="0.25">
      <c r="A185" t="s">
        <v>1172</v>
      </c>
      <c r="B185" t="s">
        <v>1173</v>
      </c>
      <c r="C185" s="7" t="s">
        <v>1174</v>
      </c>
    </row>
    <row r="186" spans="1:3" x14ac:dyDescent="0.25">
      <c r="A186" t="s">
        <v>1175</v>
      </c>
      <c r="B186" t="s">
        <v>1176</v>
      </c>
      <c r="C186" s="7" t="s">
        <v>1177</v>
      </c>
    </row>
    <row r="187" spans="1:3" x14ac:dyDescent="0.25">
      <c r="A187" t="s">
        <v>1178</v>
      </c>
      <c r="B187" t="s">
        <v>1179</v>
      </c>
      <c r="C187" s="7" t="s">
        <v>776</v>
      </c>
    </row>
    <row r="188" spans="1:3" x14ac:dyDescent="0.25">
      <c r="A188" t="s">
        <v>1180</v>
      </c>
      <c r="B188" t="s">
        <v>1181</v>
      </c>
      <c r="C188" s="7" t="s">
        <v>1182</v>
      </c>
    </row>
    <row r="189" spans="1:3" x14ac:dyDescent="0.25">
      <c r="A189" t="s">
        <v>128</v>
      </c>
      <c r="B189" t="s">
        <v>90</v>
      </c>
      <c r="C189" s="7" t="s">
        <v>1183</v>
      </c>
    </row>
    <row r="190" spans="1:3" x14ac:dyDescent="0.25">
      <c r="A190" t="s">
        <v>1184</v>
      </c>
      <c r="B190" t="s">
        <v>1185</v>
      </c>
      <c r="C190" s="7" t="s">
        <v>1186</v>
      </c>
    </row>
    <row r="191" spans="1:3" x14ac:dyDescent="0.25">
      <c r="A191" t="s">
        <v>1187</v>
      </c>
      <c r="B191" t="s">
        <v>1188</v>
      </c>
      <c r="C191" s="7" t="s">
        <v>1189</v>
      </c>
    </row>
    <row r="192" spans="1:3" x14ac:dyDescent="0.25">
      <c r="A192" t="s">
        <v>1190</v>
      </c>
      <c r="B192" t="s">
        <v>1191</v>
      </c>
      <c r="C192" s="7" t="s">
        <v>1192</v>
      </c>
    </row>
    <row r="193" spans="1:3" x14ac:dyDescent="0.25">
      <c r="A193" t="s">
        <v>1193</v>
      </c>
      <c r="B193" t="s">
        <v>1194</v>
      </c>
      <c r="C193" s="7" t="s">
        <v>1195</v>
      </c>
    </row>
    <row r="194" spans="1:3" x14ac:dyDescent="0.25">
      <c r="A194" t="s">
        <v>1196</v>
      </c>
      <c r="B194" t="s">
        <v>135</v>
      </c>
      <c r="C194" s="7" t="s">
        <v>1197</v>
      </c>
    </row>
    <row r="195" spans="1:3" x14ac:dyDescent="0.25">
      <c r="A195" t="s">
        <v>1198</v>
      </c>
      <c r="B195" t="s">
        <v>1199</v>
      </c>
      <c r="C195" s="7" t="s">
        <v>1200</v>
      </c>
    </row>
    <row r="196" spans="1:3" x14ac:dyDescent="0.25">
      <c r="A196" t="s">
        <v>1201</v>
      </c>
      <c r="B196" t="s">
        <v>1202</v>
      </c>
      <c r="C196" s="7" t="s">
        <v>1203</v>
      </c>
    </row>
    <row r="197" spans="1:3" x14ac:dyDescent="0.25">
      <c r="A197" t="s">
        <v>1204</v>
      </c>
      <c r="B197" t="s">
        <v>1205</v>
      </c>
      <c r="C197" s="7" t="s">
        <v>1206</v>
      </c>
    </row>
    <row r="198" spans="1:3" x14ac:dyDescent="0.25">
      <c r="A198" t="s">
        <v>1207</v>
      </c>
      <c r="B198" t="s">
        <v>1208</v>
      </c>
      <c r="C198" s="7" t="s">
        <v>1209</v>
      </c>
    </row>
    <row r="199" spans="1:3" x14ac:dyDescent="0.25">
      <c r="A199" t="s">
        <v>1210</v>
      </c>
      <c r="B199" t="s">
        <v>1211</v>
      </c>
      <c r="C199" s="7" t="s">
        <v>1212</v>
      </c>
    </row>
    <row r="200" spans="1:3" x14ac:dyDescent="0.25">
      <c r="A200" t="s">
        <v>1213</v>
      </c>
      <c r="B200" t="s">
        <v>1214</v>
      </c>
      <c r="C200" s="7" t="s">
        <v>1215</v>
      </c>
    </row>
    <row r="201" spans="1:3" x14ac:dyDescent="0.25">
      <c r="A201" t="s">
        <v>1216</v>
      </c>
      <c r="B201" t="s">
        <v>1217</v>
      </c>
      <c r="C201" s="7" t="s">
        <v>1218</v>
      </c>
    </row>
    <row r="202" spans="1:3" x14ac:dyDescent="0.25">
      <c r="A202" t="s">
        <v>1219</v>
      </c>
      <c r="B202" t="s">
        <v>1220</v>
      </c>
      <c r="C202" s="7" t="s">
        <v>1221</v>
      </c>
    </row>
    <row r="203" spans="1:3" x14ac:dyDescent="0.25">
      <c r="A203" t="s">
        <v>1222</v>
      </c>
      <c r="B203" t="s">
        <v>1223</v>
      </c>
      <c r="C203" s="7" t="s">
        <v>1224</v>
      </c>
    </row>
    <row r="204" spans="1:3" x14ac:dyDescent="0.25">
      <c r="A204" t="s">
        <v>1225</v>
      </c>
      <c r="B204" t="s">
        <v>1226</v>
      </c>
      <c r="C204" s="7" t="s">
        <v>1227</v>
      </c>
    </row>
    <row r="205" spans="1:3" x14ac:dyDescent="0.25">
      <c r="A205" t="s">
        <v>1228</v>
      </c>
      <c r="B205" t="s">
        <v>1229</v>
      </c>
      <c r="C205" s="7" t="s">
        <v>1230</v>
      </c>
    </row>
    <row r="206" spans="1:3" x14ac:dyDescent="0.25">
      <c r="A206" t="s">
        <v>1231</v>
      </c>
      <c r="B206" t="s">
        <v>1232</v>
      </c>
      <c r="C206" s="7" t="s">
        <v>776</v>
      </c>
    </row>
    <row r="207" spans="1:3" x14ac:dyDescent="0.25">
      <c r="A207" t="s">
        <v>1233</v>
      </c>
      <c r="B207" t="s">
        <v>1234</v>
      </c>
      <c r="C207" s="7" t="s">
        <v>1235</v>
      </c>
    </row>
    <row r="208" spans="1:3" x14ac:dyDescent="0.25">
      <c r="A208" t="s">
        <v>1236</v>
      </c>
      <c r="B208" t="s">
        <v>1237</v>
      </c>
      <c r="C208" s="7" t="s">
        <v>1238</v>
      </c>
    </row>
    <row r="209" spans="1:3" x14ac:dyDescent="0.25">
      <c r="A209" t="s">
        <v>1239</v>
      </c>
      <c r="B209" t="s">
        <v>1240</v>
      </c>
      <c r="C209" s="7" t="s">
        <v>1241</v>
      </c>
    </row>
    <row r="210" spans="1:3" x14ac:dyDescent="0.25">
      <c r="A210" t="s">
        <v>1242</v>
      </c>
      <c r="B210" t="s">
        <v>1243</v>
      </c>
      <c r="C210" s="7" t="s">
        <v>1244</v>
      </c>
    </row>
    <row r="211" spans="1:3" x14ac:dyDescent="0.25">
      <c r="A211" t="s">
        <v>1245</v>
      </c>
      <c r="B211" t="s">
        <v>1246</v>
      </c>
      <c r="C211" s="7" t="s">
        <v>1247</v>
      </c>
    </row>
    <row r="212" spans="1:3" x14ac:dyDescent="0.25">
      <c r="A212" t="s">
        <v>1248</v>
      </c>
      <c r="B212" t="s">
        <v>175</v>
      </c>
      <c r="C212" s="7" t="s">
        <v>1249</v>
      </c>
    </row>
    <row r="213" spans="1:3" x14ac:dyDescent="0.25">
      <c r="A213" t="s">
        <v>1250</v>
      </c>
      <c r="B213" t="s">
        <v>1251</v>
      </c>
      <c r="C213" s="7" t="s">
        <v>1252</v>
      </c>
    </row>
    <row r="214" spans="1:3" x14ac:dyDescent="0.25">
      <c r="A214" t="s">
        <v>1253</v>
      </c>
      <c r="B214" t="s">
        <v>1254</v>
      </c>
      <c r="C214" s="7" t="s">
        <v>1255</v>
      </c>
    </row>
    <row r="215" spans="1:3" x14ac:dyDescent="0.25">
      <c r="A215" t="s">
        <v>1256</v>
      </c>
      <c r="B215" t="s">
        <v>1257</v>
      </c>
      <c r="C215" s="7" t="s">
        <v>1258</v>
      </c>
    </row>
    <row r="216" spans="1:3" x14ac:dyDescent="0.25">
      <c r="A216" t="s">
        <v>1259</v>
      </c>
      <c r="B216" t="s">
        <v>1260</v>
      </c>
      <c r="C216" s="7" t="s">
        <v>1261</v>
      </c>
    </row>
    <row r="217" spans="1:3" x14ac:dyDescent="0.25">
      <c r="A217" t="s">
        <v>1262</v>
      </c>
      <c r="B217" t="s">
        <v>1263</v>
      </c>
      <c r="C217" s="7" t="s">
        <v>1264</v>
      </c>
    </row>
    <row r="218" spans="1:3" x14ac:dyDescent="0.25">
      <c r="A218" t="s">
        <v>1265</v>
      </c>
      <c r="B218" t="s">
        <v>1266</v>
      </c>
      <c r="C218" s="7" t="s">
        <v>1267</v>
      </c>
    </row>
    <row r="219" spans="1:3" x14ac:dyDescent="0.25">
      <c r="A219" t="s">
        <v>1268</v>
      </c>
      <c r="B219" t="s">
        <v>1269</v>
      </c>
      <c r="C219" s="7" t="s">
        <v>1270</v>
      </c>
    </row>
    <row r="220" spans="1:3" x14ac:dyDescent="0.25">
      <c r="A220" t="s">
        <v>1271</v>
      </c>
      <c r="B220" t="s">
        <v>1272</v>
      </c>
      <c r="C220" s="7" t="s">
        <v>1273</v>
      </c>
    </row>
    <row r="221" spans="1:3" x14ac:dyDescent="0.25">
      <c r="A221" t="s">
        <v>1274</v>
      </c>
      <c r="B221" t="s">
        <v>1275</v>
      </c>
      <c r="C221" s="7" t="s">
        <v>1276</v>
      </c>
    </row>
    <row r="222" spans="1:3" x14ac:dyDescent="0.25">
      <c r="A222" t="s">
        <v>1277</v>
      </c>
      <c r="B222" t="s">
        <v>1278</v>
      </c>
      <c r="C222" s="7" t="s">
        <v>1279</v>
      </c>
    </row>
    <row r="223" spans="1:3" x14ac:dyDescent="0.25">
      <c r="A223" t="s">
        <v>1280</v>
      </c>
      <c r="B223" t="s">
        <v>1281</v>
      </c>
      <c r="C223" s="7" t="s">
        <v>1282</v>
      </c>
    </row>
    <row r="224" spans="1:3" x14ac:dyDescent="0.25">
      <c r="A224" t="s">
        <v>1283</v>
      </c>
      <c r="B224" t="s">
        <v>1284</v>
      </c>
      <c r="C224" s="7" t="s">
        <v>1285</v>
      </c>
    </row>
    <row r="225" spans="1:3" x14ac:dyDescent="0.25">
      <c r="A225" t="s">
        <v>1286</v>
      </c>
      <c r="B225" t="s">
        <v>1287</v>
      </c>
      <c r="C225" s="7" t="s">
        <v>1288</v>
      </c>
    </row>
    <row r="226" spans="1:3" x14ac:dyDescent="0.25">
      <c r="A226" t="s">
        <v>1289</v>
      </c>
      <c r="B226" t="s">
        <v>1290</v>
      </c>
      <c r="C226" s="7" t="s">
        <v>1291</v>
      </c>
    </row>
    <row r="227" spans="1:3" x14ac:dyDescent="0.25">
      <c r="A227" t="s">
        <v>1292</v>
      </c>
      <c r="B227" t="s">
        <v>1293</v>
      </c>
      <c r="C227" s="7" t="s">
        <v>1294</v>
      </c>
    </row>
    <row r="228" spans="1:3" x14ac:dyDescent="0.25">
      <c r="A228" t="s">
        <v>1295</v>
      </c>
      <c r="B228" t="s">
        <v>1296</v>
      </c>
      <c r="C228" s="7" t="s">
        <v>1297</v>
      </c>
    </row>
    <row r="229" spans="1:3" x14ac:dyDescent="0.25">
      <c r="A229" t="s">
        <v>1298</v>
      </c>
      <c r="B229" t="s">
        <v>1299</v>
      </c>
      <c r="C229" s="7" t="s">
        <v>1300</v>
      </c>
    </row>
    <row r="230" spans="1:3" x14ac:dyDescent="0.25">
      <c r="A230" t="s">
        <v>1301</v>
      </c>
      <c r="B230" t="s">
        <v>1302</v>
      </c>
      <c r="C230" s="7" t="s">
        <v>1303</v>
      </c>
    </row>
    <row r="231" spans="1:3" x14ac:dyDescent="0.25">
      <c r="A231" t="s">
        <v>1304</v>
      </c>
      <c r="B231" t="s">
        <v>1305</v>
      </c>
      <c r="C231" s="7" t="s">
        <v>1306</v>
      </c>
    </row>
    <row r="232" spans="1:3" x14ac:dyDescent="0.25">
      <c r="A232" t="s">
        <v>1307</v>
      </c>
      <c r="B232" t="s">
        <v>1308</v>
      </c>
      <c r="C232" s="7" t="s">
        <v>1309</v>
      </c>
    </row>
    <row r="233" spans="1:3" x14ac:dyDescent="0.25">
      <c r="A233" t="s">
        <v>1310</v>
      </c>
      <c r="B233" t="s">
        <v>1311</v>
      </c>
      <c r="C233" s="7" t="s">
        <v>1312</v>
      </c>
    </row>
    <row r="234" spans="1:3" x14ac:dyDescent="0.25">
      <c r="A234" t="s">
        <v>1313</v>
      </c>
      <c r="B234" t="s">
        <v>1314</v>
      </c>
      <c r="C234" s="7" t="s">
        <v>1315</v>
      </c>
    </row>
    <row r="235" spans="1:3" x14ac:dyDescent="0.25">
      <c r="A235" t="s">
        <v>1316</v>
      </c>
      <c r="B235" t="s">
        <v>1305</v>
      </c>
      <c r="C235" s="7" t="s">
        <v>1317</v>
      </c>
    </row>
    <row r="236" spans="1:3" x14ac:dyDescent="0.25">
      <c r="A236" t="s">
        <v>1318</v>
      </c>
      <c r="B236" t="s">
        <v>1319</v>
      </c>
      <c r="C236" s="7" t="s">
        <v>1320</v>
      </c>
    </row>
    <row r="237" spans="1:3" x14ac:dyDescent="0.25">
      <c r="A237" t="s">
        <v>1321</v>
      </c>
      <c r="B237" t="s">
        <v>1322</v>
      </c>
      <c r="C237" s="35" t="s">
        <v>1323</v>
      </c>
    </row>
    <row r="238" spans="1:3" x14ac:dyDescent="0.25">
      <c r="A238" t="s">
        <v>1324</v>
      </c>
      <c r="B238" t="s">
        <v>1325</v>
      </c>
      <c r="C238" s="7" t="s">
        <v>1326</v>
      </c>
    </row>
    <row r="239" spans="1:3" x14ac:dyDescent="0.25">
      <c r="A239" t="s">
        <v>1327</v>
      </c>
      <c r="B239" t="s">
        <v>1328</v>
      </c>
      <c r="C239" s="7" t="s">
        <v>1329</v>
      </c>
    </row>
    <row r="240" spans="1:3" x14ac:dyDescent="0.25">
      <c r="A240" t="s">
        <v>1330</v>
      </c>
      <c r="B240" t="s">
        <v>1331</v>
      </c>
      <c r="C240" s="7" t="s">
        <v>1332</v>
      </c>
    </row>
    <row r="241" spans="1:3" x14ac:dyDescent="0.25">
      <c r="A241" t="s">
        <v>1333</v>
      </c>
      <c r="B241" t="s">
        <v>1334</v>
      </c>
      <c r="C241" s="7" t="s">
        <v>978</v>
      </c>
    </row>
    <row r="242" spans="1:3" x14ac:dyDescent="0.25">
      <c r="A242" t="s">
        <v>1335</v>
      </c>
      <c r="B242" t="s">
        <v>1336</v>
      </c>
      <c r="C242" s="7" t="s">
        <v>1337</v>
      </c>
    </row>
    <row r="243" spans="1:3" x14ac:dyDescent="0.25">
      <c r="A243" t="s">
        <v>1338</v>
      </c>
      <c r="B243" t="s">
        <v>1339</v>
      </c>
      <c r="C243" s="7" t="s">
        <v>1340</v>
      </c>
    </row>
    <row r="244" spans="1:3" x14ac:dyDescent="0.25">
      <c r="A244" t="s">
        <v>1341</v>
      </c>
      <c r="B244" t="s">
        <v>1342</v>
      </c>
      <c r="C244" s="7" t="s">
        <v>1343</v>
      </c>
    </row>
    <row r="245" spans="1:3" x14ac:dyDescent="0.25">
      <c r="A245" t="s">
        <v>365</v>
      </c>
      <c r="B245" t="s">
        <v>1344</v>
      </c>
      <c r="C245" s="7" t="s">
        <v>1345</v>
      </c>
    </row>
    <row r="246" spans="1:3" x14ac:dyDescent="0.25">
      <c r="A246" t="s">
        <v>1346</v>
      </c>
      <c r="B246" t="s">
        <v>1347</v>
      </c>
      <c r="C246" s="7" t="s">
        <v>1348</v>
      </c>
    </row>
    <row r="247" spans="1:3" x14ac:dyDescent="0.25">
      <c r="A247" t="s">
        <v>1349</v>
      </c>
      <c r="B247" t="s">
        <v>1350</v>
      </c>
      <c r="C247" s="7" t="s">
        <v>1351</v>
      </c>
    </row>
    <row r="248" spans="1:3" x14ac:dyDescent="0.25">
      <c r="A248" t="s">
        <v>1352</v>
      </c>
      <c r="B248" t="s">
        <v>1353</v>
      </c>
      <c r="C248" s="7" t="s">
        <v>1354</v>
      </c>
    </row>
    <row r="249" spans="1:3" x14ac:dyDescent="0.25">
      <c r="A249" t="s">
        <v>1355</v>
      </c>
      <c r="B249" t="s">
        <v>1356</v>
      </c>
      <c r="C249" s="7" t="s">
        <v>1357</v>
      </c>
    </row>
    <row r="250" spans="1:3" x14ac:dyDescent="0.25">
      <c r="A250" t="s">
        <v>1358</v>
      </c>
      <c r="B250" t="s">
        <v>1359</v>
      </c>
      <c r="C250" s="7" t="s">
        <v>1360</v>
      </c>
    </row>
    <row r="251" spans="1:3" x14ac:dyDescent="0.25">
      <c r="A251" t="s">
        <v>1361</v>
      </c>
      <c r="B251" t="s">
        <v>1362</v>
      </c>
      <c r="C251" s="7" t="s">
        <v>1363</v>
      </c>
    </row>
    <row r="252" spans="1:3" x14ac:dyDescent="0.25">
      <c r="A252" t="s">
        <v>1364</v>
      </c>
      <c r="B252" t="s">
        <v>1365</v>
      </c>
      <c r="C252" s="7" t="s">
        <v>1366</v>
      </c>
    </row>
    <row r="253" spans="1:3" x14ac:dyDescent="0.25">
      <c r="A253" t="s">
        <v>1367</v>
      </c>
      <c r="B253" t="s">
        <v>1368</v>
      </c>
      <c r="C253" s="7" t="s">
        <v>1369</v>
      </c>
    </row>
    <row r="254" spans="1:3" x14ac:dyDescent="0.25">
      <c r="A254" t="s">
        <v>1370</v>
      </c>
      <c r="B254" t="s">
        <v>52</v>
      </c>
      <c r="C254" s="7" t="s">
        <v>1371</v>
      </c>
    </row>
    <row r="255" spans="1:3" x14ac:dyDescent="0.25">
      <c r="A255" t="s">
        <v>1372</v>
      </c>
      <c r="B255" t="s">
        <v>1373</v>
      </c>
      <c r="C255" s="7" t="s">
        <v>1374</v>
      </c>
    </row>
    <row r="256" spans="1:3" x14ac:dyDescent="0.25">
      <c r="A256" t="s">
        <v>1375</v>
      </c>
      <c r="B256" t="s">
        <v>1376</v>
      </c>
      <c r="C256" s="7" t="s">
        <v>1377</v>
      </c>
    </row>
    <row r="257" spans="1:3" x14ac:dyDescent="0.25">
      <c r="A257" t="s">
        <v>1378</v>
      </c>
      <c r="B257" t="s">
        <v>1379</v>
      </c>
      <c r="C257" s="7" t="s">
        <v>1380</v>
      </c>
    </row>
    <row r="258" spans="1:3" x14ac:dyDescent="0.25">
      <c r="A258" t="s">
        <v>1381</v>
      </c>
      <c r="B258" t="s">
        <v>1382</v>
      </c>
      <c r="C258" s="7" t="s">
        <v>1383</v>
      </c>
    </row>
    <row r="259" spans="1:3" x14ac:dyDescent="0.25">
      <c r="A259" t="s">
        <v>1384</v>
      </c>
      <c r="B259" t="s">
        <v>1385</v>
      </c>
      <c r="C259" s="7" t="s">
        <v>1386</v>
      </c>
    </row>
    <row r="260" spans="1:3" x14ac:dyDescent="0.25">
      <c r="A260" t="s">
        <v>1387</v>
      </c>
      <c r="B260" t="s">
        <v>1388</v>
      </c>
      <c r="C260" s="7" t="s">
        <v>1389</v>
      </c>
    </row>
    <row r="261" spans="1:3" x14ac:dyDescent="0.25">
      <c r="A261" t="s">
        <v>1390</v>
      </c>
      <c r="B261" t="s">
        <v>1391</v>
      </c>
      <c r="C261" s="7" t="s">
        <v>1392</v>
      </c>
    </row>
    <row r="262" spans="1:3" x14ac:dyDescent="0.25">
      <c r="A262" t="s">
        <v>1393</v>
      </c>
      <c r="B262" t="s">
        <v>1394</v>
      </c>
      <c r="C262" s="7" t="s">
        <v>1395</v>
      </c>
    </row>
    <row r="263" spans="1:3" x14ac:dyDescent="0.25">
      <c r="A263" t="s">
        <v>1396</v>
      </c>
      <c r="B263" t="s">
        <v>1397</v>
      </c>
      <c r="C263" s="7" t="s">
        <v>1398</v>
      </c>
    </row>
    <row r="264" spans="1:3" x14ac:dyDescent="0.25">
      <c r="A264" t="s">
        <v>1399</v>
      </c>
      <c r="B264" t="s">
        <v>1400</v>
      </c>
      <c r="C264" s="7" t="s">
        <v>1401</v>
      </c>
    </row>
    <row r="265" spans="1:3" x14ac:dyDescent="0.25">
      <c r="A265" t="s">
        <v>1402</v>
      </c>
      <c r="B265" t="s">
        <v>1403</v>
      </c>
      <c r="C265" s="7" t="s">
        <v>1404</v>
      </c>
    </row>
    <row r="266" spans="1:3" x14ac:dyDescent="0.25">
      <c r="A266" t="s">
        <v>1405</v>
      </c>
      <c r="B266" t="s">
        <v>1406</v>
      </c>
      <c r="C266" s="7" t="s">
        <v>1407</v>
      </c>
    </row>
    <row r="267" spans="1:3" x14ac:dyDescent="0.25">
      <c r="A267" t="s">
        <v>1408</v>
      </c>
      <c r="B267" t="s">
        <v>1409</v>
      </c>
      <c r="C267" s="7" t="s">
        <v>1410</v>
      </c>
    </row>
    <row r="268" spans="1:3" x14ac:dyDescent="0.25">
      <c r="A268" t="s">
        <v>1411</v>
      </c>
      <c r="B268" t="s">
        <v>197</v>
      </c>
      <c r="C268" s="7" t="s">
        <v>1071</v>
      </c>
    </row>
    <row r="269" spans="1:3" x14ac:dyDescent="0.25">
      <c r="A269" t="s">
        <v>1412</v>
      </c>
      <c r="B269" t="s">
        <v>1413</v>
      </c>
      <c r="C269" s="7" t="s">
        <v>1414</v>
      </c>
    </row>
    <row r="270" spans="1:3" x14ac:dyDescent="0.25">
      <c r="A270" t="s">
        <v>1415</v>
      </c>
      <c r="B270" t="s">
        <v>1416</v>
      </c>
      <c r="C270" s="7" t="s">
        <v>1417</v>
      </c>
    </row>
    <row r="271" spans="1:3" x14ac:dyDescent="0.25">
      <c r="A271" t="s">
        <v>616</v>
      </c>
      <c r="B271" t="s">
        <v>47</v>
      </c>
      <c r="C271" s="7" t="s">
        <v>1418</v>
      </c>
    </row>
    <row r="272" spans="1:3" x14ac:dyDescent="0.25">
      <c r="A272" t="s">
        <v>1419</v>
      </c>
      <c r="B272" t="s">
        <v>1420</v>
      </c>
      <c r="C272" s="7" t="s">
        <v>1421</v>
      </c>
    </row>
    <row r="273" spans="1:3" x14ac:dyDescent="0.25">
      <c r="A273" t="s">
        <v>1422</v>
      </c>
      <c r="B273" t="s">
        <v>1423</v>
      </c>
      <c r="C273" s="7" t="s">
        <v>1424</v>
      </c>
    </row>
    <row r="274" spans="1:3" x14ac:dyDescent="0.25">
      <c r="A274" t="s">
        <v>1425</v>
      </c>
      <c r="B274" t="s">
        <v>1426</v>
      </c>
      <c r="C274" s="7" t="s">
        <v>1427</v>
      </c>
    </row>
    <row r="275" spans="1:3" x14ac:dyDescent="0.25">
      <c r="A275" t="s">
        <v>1428</v>
      </c>
      <c r="B275" t="s">
        <v>1429</v>
      </c>
      <c r="C275" s="7" t="s">
        <v>1430</v>
      </c>
    </row>
    <row r="276" spans="1:3" x14ac:dyDescent="0.25">
      <c r="A276" t="s">
        <v>1431</v>
      </c>
      <c r="B276" t="s">
        <v>1432</v>
      </c>
      <c r="C276" s="7" t="s">
        <v>1433</v>
      </c>
    </row>
    <row r="277" spans="1:3" x14ac:dyDescent="0.25">
      <c r="A277" t="s">
        <v>1434</v>
      </c>
      <c r="B277" t="s">
        <v>1435</v>
      </c>
      <c r="C277" s="7" t="s">
        <v>1436</v>
      </c>
    </row>
    <row r="278" spans="1:3" x14ac:dyDescent="0.25">
      <c r="A278" t="s">
        <v>1437</v>
      </c>
      <c r="B278" t="s">
        <v>1438</v>
      </c>
      <c r="C278" s="7" t="s">
        <v>1087</v>
      </c>
    </row>
    <row r="279" spans="1:3" x14ac:dyDescent="0.25">
      <c r="A279" t="s">
        <v>1439</v>
      </c>
      <c r="B279" t="s">
        <v>212</v>
      </c>
      <c r="C279" s="7" t="s">
        <v>1440</v>
      </c>
    </row>
    <row r="280" spans="1:3" x14ac:dyDescent="0.25">
      <c r="A280" t="s">
        <v>1441</v>
      </c>
      <c r="B280" t="s">
        <v>1442</v>
      </c>
      <c r="C280" s="7" t="s">
        <v>1443</v>
      </c>
    </row>
    <row r="281" spans="1:3" x14ac:dyDescent="0.25">
      <c r="A281" t="s">
        <v>1444</v>
      </c>
      <c r="B281" t="s">
        <v>1445</v>
      </c>
      <c r="C281" s="7" t="s">
        <v>1446</v>
      </c>
    </row>
    <row r="282" spans="1:3" x14ac:dyDescent="0.25">
      <c r="A282" t="s">
        <v>1447</v>
      </c>
      <c r="B282" t="s">
        <v>586</v>
      </c>
      <c r="C282" s="7" t="s">
        <v>1448</v>
      </c>
    </row>
    <row r="283" spans="1:3" x14ac:dyDescent="0.25">
      <c r="A283" t="s">
        <v>1449</v>
      </c>
      <c r="B283" t="s">
        <v>1450</v>
      </c>
      <c r="C283" s="7" t="s">
        <v>1451</v>
      </c>
    </row>
    <row r="284" spans="1:3" x14ac:dyDescent="0.25">
      <c r="A284" t="s">
        <v>1452</v>
      </c>
      <c r="B284" t="s">
        <v>1453</v>
      </c>
      <c r="C284" s="7" t="s">
        <v>1454</v>
      </c>
    </row>
    <row r="285" spans="1:3" x14ac:dyDescent="0.25">
      <c r="A285" t="s">
        <v>1455</v>
      </c>
      <c r="B285" t="s">
        <v>1456</v>
      </c>
      <c r="C285" s="7" t="s">
        <v>1457</v>
      </c>
    </row>
    <row r="286" spans="1:3" x14ac:dyDescent="0.25">
      <c r="A286" t="s">
        <v>1458</v>
      </c>
      <c r="B286" t="s">
        <v>1459</v>
      </c>
      <c r="C286" s="7" t="s">
        <v>1460</v>
      </c>
    </row>
    <row r="287" spans="1:3" x14ac:dyDescent="0.25">
      <c r="A287" t="s">
        <v>1461</v>
      </c>
      <c r="B287" t="s">
        <v>1462</v>
      </c>
      <c r="C287" s="7" t="s">
        <v>1463</v>
      </c>
    </row>
    <row r="288" spans="1:3" x14ac:dyDescent="0.25">
      <c r="A288" t="s">
        <v>1464</v>
      </c>
      <c r="B288" t="s">
        <v>1465</v>
      </c>
      <c r="C288" s="7" t="s">
        <v>1466</v>
      </c>
    </row>
    <row r="289" spans="1:3" x14ac:dyDescent="0.25">
      <c r="A289" t="s">
        <v>1467</v>
      </c>
      <c r="B289" t="s">
        <v>1468</v>
      </c>
      <c r="C289" s="7" t="s">
        <v>1469</v>
      </c>
    </row>
    <row r="290" spans="1:3" x14ac:dyDescent="0.25">
      <c r="A290" t="s">
        <v>1470</v>
      </c>
      <c r="B290" t="s">
        <v>1471</v>
      </c>
      <c r="C290" s="7" t="s">
        <v>1472</v>
      </c>
    </row>
    <row r="291" spans="1:3" x14ac:dyDescent="0.25">
      <c r="A291" t="s">
        <v>1473</v>
      </c>
      <c r="B291" t="s">
        <v>1474</v>
      </c>
      <c r="C291" s="7" t="s">
        <v>1475</v>
      </c>
    </row>
    <row r="292" spans="1:3" x14ac:dyDescent="0.25">
      <c r="A292" t="s">
        <v>1476</v>
      </c>
      <c r="B292" t="s">
        <v>1477</v>
      </c>
      <c r="C292" s="7" t="s">
        <v>1478</v>
      </c>
    </row>
    <row r="293" spans="1:3" x14ac:dyDescent="0.25">
      <c r="A293" t="s">
        <v>1479</v>
      </c>
      <c r="B293" t="s">
        <v>1480</v>
      </c>
      <c r="C293" s="7" t="s">
        <v>1481</v>
      </c>
    </row>
    <row r="294" spans="1:3" x14ac:dyDescent="0.25">
      <c r="A294" t="s">
        <v>1482</v>
      </c>
      <c r="B294" t="s">
        <v>1483</v>
      </c>
      <c r="C294" s="7" t="s">
        <v>1484</v>
      </c>
    </row>
    <row r="295" spans="1:3" x14ac:dyDescent="0.25">
      <c r="A295" t="s">
        <v>1485</v>
      </c>
      <c r="B295" t="s">
        <v>1486</v>
      </c>
      <c r="C295" s="7" t="s">
        <v>1487</v>
      </c>
    </row>
    <row r="296" spans="1:3" x14ac:dyDescent="0.25">
      <c r="A296" t="s">
        <v>1488</v>
      </c>
      <c r="B296" t="s">
        <v>1489</v>
      </c>
      <c r="C296" s="7" t="s">
        <v>1490</v>
      </c>
    </row>
    <row r="297" spans="1:3" x14ac:dyDescent="0.25">
      <c r="A297" t="s">
        <v>1491</v>
      </c>
      <c r="B297" t="s">
        <v>1492</v>
      </c>
      <c r="C297" s="7" t="s">
        <v>1493</v>
      </c>
    </row>
    <row r="298" spans="1:3" x14ac:dyDescent="0.25">
      <c r="A298" t="s">
        <v>1494</v>
      </c>
      <c r="B298" t="s">
        <v>1495</v>
      </c>
      <c r="C298" s="7" t="s">
        <v>1496</v>
      </c>
    </row>
    <row r="299" spans="1:3" x14ac:dyDescent="0.25">
      <c r="A299" t="s">
        <v>1497</v>
      </c>
      <c r="B299" t="s">
        <v>572</v>
      </c>
      <c r="C299" s="7" t="s">
        <v>1498</v>
      </c>
    </row>
    <row r="300" spans="1:3" x14ac:dyDescent="0.25">
      <c r="A300" t="s">
        <v>1499</v>
      </c>
      <c r="B300" t="s">
        <v>1500</v>
      </c>
      <c r="C300" s="7" t="s">
        <v>1501</v>
      </c>
    </row>
    <row r="301" spans="1:3" x14ac:dyDescent="0.25">
      <c r="A301" t="s">
        <v>1502</v>
      </c>
      <c r="B301" t="s">
        <v>1503</v>
      </c>
      <c r="C301" s="7" t="s">
        <v>1504</v>
      </c>
    </row>
    <row r="302" spans="1:3" x14ac:dyDescent="0.25">
      <c r="A302" t="s">
        <v>1505</v>
      </c>
      <c r="B302" t="s">
        <v>1506</v>
      </c>
      <c r="C302" s="7" t="s">
        <v>1507</v>
      </c>
    </row>
    <row r="303" spans="1:3" x14ac:dyDescent="0.25">
      <c r="A303" t="s">
        <v>1508</v>
      </c>
      <c r="B303" t="s">
        <v>1509</v>
      </c>
      <c r="C303" s="7" t="s">
        <v>1510</v>
      </c>
    </row>
    <row r="304" spans="1:3" x14ac:dyDescent="0.25">
      <c r="A304" t="s">
        <v>1511</v>
      </c>
      <c r="B304" t="s">
        <v>1512</v>
      </c>
      <c r="C304" s="7" t="s">
        <v>1513</v>
      </c>
    </row>
    <row r="305" spans="1:3" x14ac:dyDescent="0.25">
      <c r="A305" t="s">
        <v>1514</v>
      </c>
      <c r="B305" t="s">
        <v>1515</v>
      </c>
      <c r="C305" s="7" t="s">
        <v>1516</v>
      </c>
    </row>
    <row r="306" spans="1:3" x14ac:dyDescent="0.25">
      <c r="A306" t="s">
        <v>1517</v>
      </c>
      <c r="B306" t="s">
        <v>1518</v>
      </c>
      <c r="C306" s="7" t="s">
        <v>1519</v>
      </c>
    </row>
    <row r="307" spans="1:3" x14ac:dyDescent="0.25">
      <c r="A307" t="s">
        <v>1520</v>
      </c>
      <c r="B307" t="s">
        <v>1521</v>
      </c>
      <c r="C307" s="7" t="s">
        <v>1522</v>
      </c>
    </row>
    <row r="308" spans="1:3" x14ac:dyDescent="0.25">
      <c r="A308" t="s">
        <v>1523</v>
      </c>
      <c r="B308" t="s">
        <v>1524</v>
      </c>
      <c r="C308" s="7" t="s">
        <v>1525</v>
      </c>
    </row>
    <row r="309" spans="1:3" x14ac:dyDescent="0.25">
      <c r="A309" t="s">
        <v>1526</v>
      </c>
      <c r="B309" t="s">
        <v>1527</v>
      </c>
      <c r="C309" s="7" t="s">
        <v>1528</v>
      </c>
    </row>
    <row r="310" spans="1:3" x14ac:dyDescent="0.25">
      <c r="A310" t="s">
        <v>1529</v>
      </c>
      <c r="B310" t="s">
        <v>1530</v>
      </c>
      <c r="C310" s="7" t="s">
        <v>1531</v>
      </c>
    </row>
    <row r="311" spans="1:3" x14ac:dyDescent="0.25">
      <c r="A311" t="s">
        <v>1532</v>
      </c>
      <c r="B311" t="s">
        <v>1533</v>
      </c>
      <c r="C311" s="7" t="s">
        <v>1534</v>
      </c>
    </row>
    <row r="312" spans="1:3" x14ac:dyDescent="0.25">
      <c r="A312" t="s">
        <v>1535</v>
      </c>
      <c r="B312" t="s">
        <v>1536</v>
      </c>
      <c r="C312" s="7" t="s">
        <v>1537</v>
      </c>
    </row>
    <row r="313" spans="1:3" x14ac:dyDescent="0.25">
      <c r="A313" t="s">
        <v>1538</v>
      </c>
      <c r="B313" t="s">
        <v>1539</v>
      </c>
      <c r="C313" s="7" t="s">
        <v>1540</v>
      </c>
    </row>
    <row r="314" spans="1:3" x14ac:dyDescent="0.25">
      <c r="A314" t="s">
        <v>1541</v>
      </c>
      <c r="B314" t="s">
        <v>1542</v>
      </c>
      <c r="C314" s="7" t="s">
        <v>1543</v>
      </c>
    </row>
    <row r="315" spans="1:3" x14ac:dyDescent="0.25">
      <c r="A315" t="s">
        <v>1544</v>
      </c>
      <c r="B315" t="s">
        <v>1545</v>
      </c>
      <c r="C315" s="7" t="s">
        <v>1546</v>
      </c>
    </row>
    <row r="316" spans="1:3" x14ac:dyDescent="0.25">
      <c r="A316" t="s">
        <v>84</v>
      </c>
      <c r="B316" t="s">
        <v>537</v>
      </c>
      <c r="C316" s="7" t="s">
        <v>1547</v>
      </c>
    </row>
    <row r="317" spans="1:3" x14ac:dyDescent="0.25">
      <c r="A317" t="s">
        <v>1548</v>
      </c>
      <c r="B317" t="s">
        <v>1549</v>
      </c>
      <c r="C317" s="7" t="s">
        <v>1550</v>
      </c>
    </row>
    <row r="318" spans="1:3" x14ac:dyDescent="0.25">
      <c r="A318" t="s">
        <v>1551</v>
      </c>
      <c r="B318" t="s">
        <v>1552</v>
      </c>
      <c r="C318" s="7" t="s">
        <v>1553</v>
      </c>
    </row>
    <row r="319" spans="1:3" x14ac:dyDescent="0.25">
      <c r="A319" t="s">
        <v>1554</v>
      </c>
      <c r="B319" t="s">
        <v>1555</v>
      </c>
      <c r="C319" s="7" t="s">
        <v>1556</v>
      </c>
    </row>
    <row r="320" spans="1:3" x14ac:dyDescent="0.25">
      <c r="A320" t="s">
        <v>1557</v>
      </c>
      <c r="B320" t="s">
        <v>1558</v>
      </c>
      <c r="C320" s="7" t="s">
        <v>1559</v>
      </c>
    </row>
    <row r="321" spans="1:3" x14ac:dyDescent="0.25">
      <c r="A321" t="s">
        <v>1560</v>
      </c>
      <c r="B321" t="s">
        <v>1561</v>
      </c>
      <c r="C321" s="7" t="s">
        <v>1562</v>
      </c>
    </row>
    <row r="322" spans="1:3" x14ac:dyDescent="0.25">
      <c r="A322" t="s">
        <v>1563</v>
      </c>
      <c r="B322" t="s">
        <v>1564</v>
      </c>
      <c r="C322" s="7" t="s">
        <v>1565</v>
      </c>
    </row>
    <row r="323" spans="1:3" x14ac:dyDescent="0.25">
      <c r="A323" t="s">
        <v>1566</v>
      </c>
      <c r="B323" t="s">
        <v>1567</v>
      </c>
      <c r="C323" s="7" t="s">
        <v>1568</v>
      </c>
    </row>
    <row r="324" spans="1:3" x14ac:dyDescent="0.25">
      <c r="A324" t="s">
        <v>1569</v>
      </c>
      <c r="B324" t="s">
        <v>1570</v>
      </c>
      <c r="C324" s="7" t="s">
        <v>1288</v>
      </c>
    </row>
    <row r="325" spans="1:3" x14ac:dyDescent="0.25">
      <c r="A325" t="s">
        <v>1571</v>
      </c>
      <c r="B325" t="s">
        <v>1572</v>
      </c>
      <c r="C325" s="7" t="s">
        <v>1573</v>
      </c>
    </row>
    <row r="326" spans="1:3" x14ac:dyDescent="0.25">
      <c r="A326" t="s">
        <v>1574</v>
      </c>
      <c r="B326" t="s">
        <v>1575</v>
      </c>
      <c r="C326" s="7" t="s">
        <v>1576</v>
      </c>
    </row>
    <row r="327" spans="1:3" x14ac:dyDescent="0.25">
      <c r="A327" t="s">
        <v>1577</v>
      </c>
      <c r="B327" t="s">
        <v>297</v>
      </c>
      <c r="C327" s="7" t="s">
        <v>1578</v>
      </c>
    </row>
    <row r="328" spans="1:3" x14ac:dyDescent="0.25">
      <c r="A328" t="s">
        <v>172</v>
      </c>
      <c r="B328" t="s">
        <v>278</v>
      </c>
      <c r="C328" s="7" t="s">
        <v>1579</v>
      </c>
    </row>
    <row r="329" spans="1:3" x14ac:dyDescent="0.25">
      <c r="A329" t="s">
        <v>1580</v>
      </c>
      <c r="B329" t="s">
        <v>1581</v>
      </c>
      <c r="C329" s="7" t="s">
        <v>1582</v>
      </c>
    </row>
    <row r="330" spans="1:3" x14ac:dyDescent="0.25">
      <c r="A330" t="s">
        <v>1583</v>
      </c>
      <c r="B330" t="s">
        <v>1584</v>
      </c>
      <c r="C330" s="7" t="s">
        <v>1585</v>
      </c>
    </row>
    <row r="331" spans="1:3" x14ac:dyDescent="0.25">
      <c r="A331" t="s">
        <v>1586</v>
      </c>
      <c r="B331" t="s">
        <v>1587</v>
      </c>
      <c r="C331" s="7" t="s">
        <v>1588</v>
      </c>
    </row>
    <row r="332" spans="1:3" x14ac:dyDescent="0.25">
      <c r="A332" t="s">
        <v>1589</v>
      </c>
      <c r="B332" t="s">
        <v>1590</v>
      </c>
      <c r="C332" s="7" t="s">
        <v>1591</v>
      </c>
    </row>
    <row r="333" spans="1:3" x14ac:dyDescent="0.25">
      <c r="A333" t="s">
        <v>1592</v>
      </c>
      <c r="B333" t="s">
        <v>1593</v>
      </c>
      <c r="C333" s="7" t="s">
        <v>1594</v>
      </c>
    </row>
    <row r="334" spans="1:3" x14ac:dyDescent="0.25">
      <c r="A334" t="s">
        <v>1595</v>
      </c>
      <c r="B334" t="s">
        <v>458</v>
      </c>
      <c r="C334" s="7" t="s">
        <v>1596</v>
      </c>
    </row>
  </sheetData>
  <sheetProtection sheet="1" objects="1" scenarios="1"/>
  <mergeCells count="1">
    <mergeCell ref="A1:C1"/>
  </mergeCells>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4"/>
  <sheetViews>
    <sheetView workbookViewId="0">
      <selection activeCell="C14" sqref="C14"/>
    </sheetView>
  </sheetViews>
  <sheetFormatPr defaultRowHeight="15" x14ac:dyDescent="0.25"/>
  <cols>
    <col min="1" max="1" width="21.140625" customWidth="1"/>
    <col min="2" max="2" width="18.7109375" customWidth="1"/>
    <col min="3" max="3" width="20.85546875" customWidth="1"/>
    <col min="4" max="4" width="6.7109375" bestFit="1" customWidth="1"/>
    <col min="5" max="5" width="8.5703125" bestFit="1" customWidth="1"/>
    <col min="6" max="6" width="16.42578125" customWidth="1"/>
    <col min="7" max="7" width="3" bestFit="1" customWidth="1"/>
    <col min="8" max="8" width="16.28515625" bestFit="1" customWidth="1"/>
  </cols>
  <sheetData>
    <row r="1" spans="1:8" x14ac:dyDescent="0.25">
      <c r="A1" t="s">
        <v>1597</v>
      </c>
      <c r="B1" s="1" t="s">
        <v>110</v>
      </c>
      <c r="C1" s="2" t="s">
        <v>1598</v>
      </c>
      <c r="D1" s="3">
        <v>1</v>
      </c>
      <c r="E1" s="4" t="s">
        <v>35</v>
      </c>
      <c r="F1" s="5" t="s">
        <v>1599</v>
      </c>
      <c r="G1" s="4">
        <v>1</v>
      </c>
      <c r="H1" s="4" t="s">
        <v>1600</v>
      </c>
    </row>
    <row r="2" spans="1:8" x14ac:dyDescent="0.25">
      <c r="A2" s="2" t="s">
        <v>1601</v>
      </c>
      <c r="B2" s="1" t="s">
        <v>1602</v>
      </c>
      <c r="C2" s="2" t="s">
        <v>1603</v>
      </c>
      <c r="D2" s="3">
        <v>2</v>
      </c>
      <c r="E2" s="4" t="s">
        <v>276</v>
      </c>
      <c r="F2" s="5" t="s">
        <v>1604</v>
      </c>
      <c r="G2" s="4">
        <v>2</v>
      </c>
      <c r="H2" s="4" t="s">
        <v>40</v>
      </c>
    </row>
    <row r="3" spans="1:8" x14ac:dyDescent="0.25">
      <c r="A3" s="2" t="s">
        <v>652</v>
      </c>
      <c r="B3" s="2" t="s">
        <v>560</v>
      </c>
      <c r="C3" s="2" t="s">
        <v>1605</v>
      </c>
      <c r="D3" s="3">
        <v>3</v>
      </c>
      <c r="E3" s="4" t="s">
        <v>111</v>
      </c>
      <c r="F3" s="5" t="s">
        <v>1606</v>
      </c>
      <c r="G3" s="4">
        <v>3</v>
      </c>
      <c r="H3" s="4" t="s">
        <v>1607</v>
      </c>
    </row>
    <row r="4" spans="1:8" x14ac:dyDescent="0.25">
      <c r="A4" s="2" t="s">
        <v>1608</v>
      </c>
      <c r="B4" s="2" t="s">
        <v>33</v>
      </c>
      <c r="C4" s="2" t="s">
        <v>1609</v>
      </c>
      <c r="D4" s="3">
        <v>4</v>
      </c>
      <c r="E4" s="4"/>
      <c r="F4" s="5" t="s">
        <v>1610</v>
      </c>
      <c r="G4" s="4">
        <v>4</v>
      </c>
      <c r="H4" s="4" t="s">
        <v>460</v>
      </c>
    </row>
    <row r="5" spans="1:8" x14ac:dyDescent="0.25">
      <c r="A5" s="2" t="s">
        <v>64</v>
      </c>
      <c r="B5" s="2" t="s">
        <v>529</v>
      </c>
      <c r="C5" s="2" t="s">
        <v>34</v>
      </c>
      <c r="D5" s="3">
        <v>5</v>
      </c>
      <c r="E5" s="4"/>
      <c r="F5" s="5" t="s">
        <v>1611</v>
      </c>
      <c r="G5" s="4">
        <v>5</v>
      </c>
      <c r="H5" s="4" t="s">
        <v>487</v>
      </c>
    </row>
    <row r="6" spans="1:8" x14ac:dyDescent="0.25">
      <c r="A6" s="2" t="s">
        <v>423</v>
      </c>
      <c r="B6" s="1" t="s">
        <v>1612</v>
      </c>
      <c r="C6" s="2" t="s">
        <v>1613</v>
      </c>
      <c r="D6" s="3">
        <v>6</v>
      </c>
      <c r="E6" s="4"/>
      <c r="F6" s="5" t="s">
        <v>1614</v>
      </c>
      <c r="G6" s="4">
        <v>6</v>
      </c>
      <c r="H6" s="4"/>
    </row>
    <row r="7" spans="1:8" x14ac:dyDescent="0.25">
      <c r="A7" s="2" t="s">
        <v>1615</v>
      </c>
      <c r="B7" s="1" t="s">
        <v>1616</v>
      </c>
      <c r="C7" s="2" t="s">
        <v>1617</v>
      </c>
      <c r="D7" s="6" t="s">
        <v>1618</v>
      </c>
      <c r="E7" s="4"/>
      <c r="F7" s="5" t="s">
        <v>1619</v>
      </c>
      <c r="G7" s="4">
        <v>7</v>
      </c>
      <c r="H7" s="4"/>
    </row>
    <row r="8" spans="1:8" x14ac:dyDescent="0.25">
      <c r="A8" s="2" t="s">
        <v>88</v>
      </c>
      <c r="B8" s="1"/>
      <c r="C8" s="2" t="s">
        <v>1620</v>
      </c>
      <c r="D8" s="4"/>
      <c r="E8" s="4"/>
      <c r="F8" s="5" t="s">
        <v>1621</v>
      </c>
      <c r="G8" s="4">
        <v>8</v>
      </c>
      <c r="H8" s="4"/>
    </row>
    <row r="9" spans="1:8" x14ac:dyDescent="0.25">
      <c r="A9" s="2" t="s">
        <v>32</v>
      </c>
      <c r="C9" s="2"/>
      <c r="D9" s="4"/>
      <c r="E9" s="4"/>
      <c r="F9" s="5" t="s">
        <v>1622</v>
      </c>
      <c r="G9" s="4">
        <v>9</v>
      </c>
      <c r="H9" s="4"/>
    </row>
    <row r="10" spans="1:8" x14ac:dyDescent="0.25">
      <c r="A10" s="2" t="s">
        <v>74</v>
      </c>
      <c r="C10" s="2"/>
      <c r="D10" s="4"/>
      <c r="E10" s="4"/>
      <c r="F10" s="5" t="s">
        <v>1623</v>
      </c>
      <c r="G10" s="4">
        <v>10</v>
      </c>
      <c r="H10" s="4"/>
    </row>
    <row r="11" spans="1:8" x14ac:dyDescent="0.25">
      <c r="A11" s="2"/>
      <c r="B11" s="4"/>
      <c r="C11" s="4"/>
      <c r="D11" s="4"/>
      <c r="E11" s="4"/>
      <c r="F11" s="5" t="s">
        <v>1624</v>
      </c>
      <c r="G11" s="4">
        <v>11</v>
      </c>
      <c r="H11" s="4"/>
    </row>
    <row r="12" spans="1:8" x14ac:dyDescent="0.25">
      <c r="A12" s="2"/>
      <c r="B12" s="4"/>
      <c r="C12" s="4"/>
      <c r="D12" s="4"/>
      <c r="E12" s="4"/>
      <c r="F12" s="5" t="s">
        <v>1625</v>
      </c>
      <c r="G12" s="4">
        <v>12</v>
      </c>
      <c r="H12" s="4"/>
    </row>
    <row r="13" spans="1:8" x14ac:dyDescent="0.25">
      <c r="A13" s="4"/>
      <c r="B13" s="4"/>
      <c r="C13" s="4"/>
      <c r="D13" s="4"/>
      <c r="E13" s="4"/>
      <c r="F13" s="5" t="s">
        <v>1626</v>
      </c>
      <c r="G13" s="4">
        <v>13</v>
      </c>
      <c r="H13" s="4"/>
    </row>
    <row r="14" spans="1:8" x14ac:dyDescent="0.25">
      <c r="A14" s="4"/>
      <c r="B14" s="4"/>
      <c r="C14" s="4"/>
      <c r="D14" s="4"/>
      <c r="E14" s="4"/>
      <c r="F14" s="4"/>
      <c r="G14" s="4">
        <v>14</v>
      </c>
      <c r="H14" s="4"/>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5a27415-2a14-4757-8bb8-5765f45029e7" xsi:nil="true"/>
    <lcf76f155ced4ddcb4097134ff3c332f xmlns="4898c11a-2dff-4f3b-be30-bf5e6f7537e0">
      <Terms xmlns="http://schemas.microsoft.com/office/infopath/2007/PartnerControls"/>
    </lcf76f155ced4ddcb4097134ff3c332f>
    <Atribu_x00ed_do_x00e0_ xmlns="4898c11a-2dff-4f3b-be30-bf5e6f7537e0">
      <UserInfo>
        <DisplayName/>
        <AccountId xsi:nil="true"/>
        <AccountType/>
      </UserInfo>
    </Atribu_x00ed_do_x00e0_>
    <status xmlns="4898c11a-2dff-4f3b-be30-bf5e6f7537e0" xsi:nil="true"/>
    <Observa_x00e7__x00e3_o xmlns="4898c11a-2dff-4f3b-be30-bf5e6f7537e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7AE5FD4E922E14CAFE7AD42DA61D019" ma:contentTypeVersion="17" ma:contentTypeDescription="Crie um novo documento." ma:contentTypeScope="" ma:versionID="d612fddf1c75288bd96813a5e9d160a4">
  <xsd:schema xmlns:xsd="http://www.w3.org/2001/XMLSchema" xmlns:xs="http://www.w3.org/2001/XMLSchema" xmlns:p="http://schemas.microsoft.com/office/2006/metadata/properties" xmlns:ns2="4898c11a-2dff-4f3b-be30-bf5e6f7537e0" xmlns:ns3="c5a27415-2a14-4757-8bb8-5765f45029e7" targetNamespace="http://schemas.microsoft.com/office/2006/metadata/properties" ma:root="true" ma:fieldsID="2fa031e9a58b61315363df3570b75385" ns2:_="" ns3:_="">
    <xsd:import namespace="4898c11a-2dff-4f3b-be30-bf5e6f7537e0"/>
    <xsd:import namespace="c5a27415-2a14-4757-8bb8-5765f45029e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status" minOccurs="0"/>
                <xsd:element ref="ns2:Atribu_x00ed_do_x00e0_"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98c11a-2dff-4f3b-be30-bf5e6f7537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status" ma:index="20" nillable="true" ma:displayName="status" ma:format="Dropdown" ma:internalName="status">
      <xsd:simpleType>
        <xsd:restriction base="dms:Choice">
          <xsd:enumeration value="Produzir"/>
          <xsd:enumeration value="Em produção"/>
          <xsd:enumeration value="Concluído"/>
          <xsd:enumeration value="Em uso"/>
          <xsd:enumeration value="Liberado para uso"/>
        </xsd:restriction>
      </xsd:simpleType>
    </xsd:element>
    <xsd:element name="Atribu_x00ed_do_x00e0_" ma:index="21" nillable="true" ma:displayName="Atribuído à" ma:format="Dropdown" ma:list="UserInfo" ma:SharePointGroup="0" ma:internalName="Atribu_x00ed_do_x00e0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bserva_x00e7__x00e3_o" ma:index="22" nillable="true" ma:displayName="Observação" ma:format="Dropdown" ma:internalName="Observa_x00e7__x00e3_o">
      <xsd:simpleType>
        <xsd:restriction base="dms:Text">
          <xsd:maxLength value="255"/>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a27415-2a14-4757-8bb8-5765f45029e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94c9e24-c3dc-4f2e-b29c-7e677ee7c878}" ma:internalName="TaxCatchAll" ma:showField="CatchAllData" ma:web="c5a27415-2a14-4757-8bb8-5765f45029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5A8A88-114F-4414-B78B-59A1E08F48D9}">
  <ds:schemaRefs>
    <ds:schemaRef ds:uri="http://purl.org/dc/elements/1.1/"/>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www.w3.org/XML/1998/namespace"/>
    <ds:schemaRef ds:uri="http://schemas.microsoft.com/office/infopath/2007/PartnerControls"/>
    <ds:schemaRef ds:uri="c5a27415-2a14-4757-8bb8-5765f45029e7"/>
    <ds:schemaRef ds:uri="4898c11a-2dff-4f3b-be30-bf5e6f7537e0"/>
    <ds:schemaRef ds:uri="http://purl.org/dc/terms/"/>
  </ds:schemaRefs>
</ds:datastoreItem>
</file>

<file path=customXml/itemProps2.xml><?xml version="1.0" encoding="utf-8"?>
<ds:datastoreItem xmlns:ds="http://schemas.openxmlformats.org/officeDocument/2006/customXml" ds:itemID="{572368C5-A9FA-44AD-A8AB-0A5B13F92F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98c11a-2dff-4f3b-be30-bf5e6f7537e0"/>
    <ds:schemaRef ds:uri="c5a27415-2a14-4757-8bb8-5765f45029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DCC011B-0C57-45DA-AF49-4F980948F3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ilustração</vt:lpstr>
      <vt:lpstr>créditos_base</vt:lpstr>
      <vt:lpstr>metadados</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Lucia Moniz das Neves</cp:lastModifiedBy>
  <cp:revision/>
  <dcterms:created xsi:type="dcterms:W3CDTF">2024-11-11T13:23:41Z</dcterms:created>
  <dcterms:modified xsi:type="dcterms:W3CDTF">2025-09-26T11:47:08Z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0x01010057AE5FD4E922E14CAFE7AD42DA61D019</vt:lpwstr>
  </property>
  <property fmtid="{D5CDD505-2E9C-101B-9397-08002B2CF9AE}" pid="3" name="MediaServiceImageTags">
    <vt:lpwstr/>
  </property>
</Properties>
</file>