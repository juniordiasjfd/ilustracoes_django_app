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unior.dias\PycharmProjects\ilustracoes\testes\planilhas\"/>
    </mc:Choice>
  </mc:AlternateContent>
  <xr:revisionPtr revIDLastSave="0" documentId="13_ncr:1_{BC7EDBE6-9F6C-41C2-A457-A87008632848}" xr6:coauthVersionLast="47" xr6:coauthVersionMax="47" xr10:uidLastSave="{00000000-0000-0000-0000-000000000000}"/>
  <bookViews>
    <workbookView xWindow="-108" yWindow="-108" windowWidth="23256" windowHeight="12456" xr2:uid="{6B0CC131-DCB1-4859-96F0-F61121EDAE88}"/>
  </bookViews>
  <sheets>
    <sheet name="ilustração" sheetId="1" r:id="rId1"/>
    <sheet name="créditos_base" sheetId="3" r:id="rId2"/>
    <sheet name="metadado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X108" i="1"/>
  <c r="X23" i="1"/>
  <c r="X24" i="1"/>
  <c r="X25" i="1"/>
  <c r="X111" i="1"/>
  <c r="X2" i="1"/>
  <c r="X52" i="1"/>
  <c r="X54" i="1"/>
  <c r="X56" i="1"/>
  <c r="X112" i="1"/>
  <c r="X64" i="1"/>
  <c r="Z64" i="1" s="1"/>
  <c r="X80" i="1"/>
  <c r="X83" i="1"/>
  <c r="X6" i="1"/>
  <c r="X86" i="1"/>
  <c r="X116" i="1"/>
  <c r="X93" i="1"/>
  <c r="X95" i="1"/>
  <c r="X101" i="1"/>
  <c r="X102" i="1"/>
  <c r="X8" i="1"/>
  <c r="X100" i="1"/>
  <c r="X84" i="1"/>
  <c r="X91" i="1"/>
  <c r="X92" i="1"/>
  <c r="X17" i="1"/>
  <c r="Z17" i="1" s="1"/>
  <c r="X20" i="1"/>
  <c r="X21" i="1"/>
  <c r="X22" i="1"/>
  <c r="X42" i="1"/>
  <c r="X43" i="1"/>
  <c r="X44" i="1"/>
  <c r="X45" i="1"/>
  <c r="X46" i="1"/>
  <c r="X47" i="1"/>
  <c r="X48" i="1"/>
  <c r="X49" i="1"/>
  <c r="X50" i="1"/>
  <c r="X51" i="1"/>
  <c r="X53" i="1"/>
  <c r="X58" i="1"/>
  <c r="X60" i="1"/>
  <c r="X61" i="1"/>
  <c r="X62" i="1"/>
  <c r="X63" i="1"/>
  <c r="X65" i="1"/>
  <c r="X66" i="1"/>
  <c r="X67" i="1"/>
  <c r="X68" i="1"/>
  <c r="X69" i="1"/>
  <c r="X70" i="1"/>
  <c r="X71" i="1"/>
  <c r="X72" i="1"/>
  <c r="X73" i="1"/>
  <c r="X74" i="1"/>
  <c r="X75" i="1"/>
  <c r="X87" i="1"/>
  <c r="X88" i="1"/>
  <c r="X89" i="1"/>
  <c r="X78" i="1"/>
  <c r="X79" i="1"/>
  <c r="X110" i="1"/>
  <c r="X55" i="1"/>
  <c r="X57" i="1"/>
  <c r="X113" i="1"/>
  <c r="X76" i="1"/>
  <c r="X9" i="1"/>
  <c r="X10" i="1"/>
  <c r="X11" i="1"/>
  <c r="X12" i="1"/>
  <c r="X13" i="1"/>
  <c r="X14" i="1"/>
  <c r="X15" i="1"/>
  <c r="X16" i="1"/>
  <c r="X18" i="1"/>
  <c r="X19" i="1"/>
  <c r="X26" i="1"/>
  <c r="X27" i="1"/>
  <c r="X28" i="1"/>
  <c r="X29" i="1"/>
  <c r="X30" i="1"/>
  <c r="X31" i="1"/>
  <c r="X33" i="1"/>
  <c r="X34" i="1"/>
  <c r="X35" i="1"/>
  <c r="X36" i="1"/>
  <c r="X37" i="1"/>
  <c r="X96" i="1"/>
  <c r="X97" i="1"/>
  <c r="X98" i="1"/>
  <c r="X99" i="1"/>
  <c r="X77" i="1"/>
  <c r="X81" i="1"/>
  <c r="X82" i="1"/>
  <c r="X59" i="1"/>
  <c r="X115" i="1"/>
  <c r="X5" i="1"/>
  <c r="X7" i="1"/>
  <c r="X3" i="1"/>
  <c r="X4" i="1"/>
  <c r="X85" i="1"/>
  <c r="X90" i="1"/>
  <c r="X94" i="1"/>
  <c r="X103" i="1"/>
  <c r="X32" i="1"/>
  <c r="Z32" i="1" s="1"/>
  <c r="X105" i="1"/>
  <c r="Z105" i="1" s="1"/>
  <c r="X117" i="1"/>
  <c r="Z117" i="1" s="1"/>
  <c r="X109" i="1"/>
  <c r="X38" i="1"/>
  <c r="Z38" i="1" s="1"/>
  <c r="X39" i="1"/>
  <c r="X40" i="1"/>
  <c r="X41" i="1"/>
  <c r="X104" i="1"/>
  <c r="X106" i="1"/>
  <c r="X107" i="1"/>
  <c r="X114" i="1"/>
  <c r="Z108" i="1" l="1"/>
  <c r="Z23" i="1" l="1"/>
  <c r="Z24" i="1" l="1"/>
  <c r="Z25" i="1" l="1"/>
  <c r="Z111" i="1" l="1"/>
  <c r="Z52" i="1" l="1"/>
  <c r="Z54" i="1" l="1"/>
  <c r="Z56" i="1" l="1"/>
  <c r="Z112" i="1" l="1"/>
  <c r="Z80" i="1" l="1"/>
  <c r="Z83" i="1" l="1"/>
  <c r="Z6" i="1" l="1"/>
  <c r="Z86" i="1" l="1"/>
  <c r="Z116" i="1" l="1"/>
  <c r="Z93" i="1" l="1"/>
  <c r="Z95" i="1" l="1"/>
  <c r="Z101" i="1" l="1"/>
  <c r="Z102" i="1" l="1"/>
  <c r="Z8" i="1" l="1"/>
  <c r="Z100" i="1" l="1"/>
  <c r="Z84" i="1" l="1"/>
  <c r="Z91" i="1" l="1"/>
  <c r="Z92" i="1" l="1"/>
  <c r="Z20" i="1" l="1"/>
  <c r="Z21" i="1" l="1"/>
  <c r="Z22" i="1" l="1"/>
  <c r="Z42" i="1" l="1"/>
  <c r="Z43" i="1" l="1"/>
  <c r="Z44" i="1" l="1"/>
  <c r="Z45" i="1" l="1"/>
  <c r="Z46" i="1" l="1"/>
  <c r="Z47" i="1" l="1"/>
  <c r="Z48" i="1" l="1"/>
  <c r="Z49" i="1" l="1"/>
  <c r="Z50" i="1" l="1"/>
  <c r="Z51" i="1" l="1"/>
  <c r="Z53" i="1" l="1"/>
  <c r="Z58" i="1" l="1"/>
  <c r="Z60" i="1" l="1"/>
  <c r="Z61" i="1" l="1"/>
  <c r="Z62" i="1" l="1"/>
  <c r="Z63" i="1" l="1"/>
  <c r="Z65" i="1" l="1"/>
  <c r="Z66" i="1" l="1"/>
  <c r="Z67" i="1" l="1"/>
  <c r="Z68" i="1" l="1"/>
  <c r="Z69" i="1" l="1"/>
  <c r="Z70" i="1" l="1"/>
  <c r="Z71" i="1" l="1"/>
  <c r="Z72" i="1" l="1"/>
  <c r="Z73" i="1" l="1"/>
  <c r="Z74" i="1" l="1"/>
  <c r="Z75" i="1" l="1"/>
  <c r="Z87" i="1" l="1"/>
  <c r="Z88" i="1" l="1"/>
  <c r="Z89" i="1" l="1"/>
  <c r="Z78" i="1" l="1"/>
  <c r="Z79" i="1" l="1"/>
  <c r="Z110" i="1" l="1"/>
  <c r="Z55" i="1" l="1"/>
  <c r="Z57" i="1" l="1"/>
  <c r="Z113" i="1" l="1"/>
  <c r="Z76" i="1" l="1"/>
  <c r="Z9" i="1" l="1"/>
  <c r="Z10" i="1" l="1"/>
  <c r="Z11" i="1" l="1"/>
  <c r="Z12" i="1" l="1"/>
  <c r="Z13" i="1" l="1"/>
  <c r="Z14" i="1" l="1"/>
  <c r="Z15" i="1" l="1"/>
  <c r="Z16" i="1" l="1"/>
  <c r="Z18" i="1" l="1"/>
  <c r="Z19" i="1" l="1"/>
  <c r="Z26" i="1" l="1"/>
  <c r="Z27" i="1" l="1"/>
  <c r="Z28" i="1" l="1"/>
  <c r="Z29" i="1" l="1"/>
  <c r="Z30" i="1" l="1"/>
  <c r="Z31" i="1" l="1"/>
  <c r="Z33" i="1" l="1"/>
  <c r="Z34" i="1" l="1"/>
  <c r="Z35" i="1" l="1"/>
  <c r="Z36" i="1" l="1"/>
  <c r="Z37" i="1" l="1"/>
  <c r="Z96" i="1" l="1"/>
  <c r="Z97" i="1" l="1"/>
  <c r="Z98" i="1" l="1"/>
  <c r="Z99" i="1" l="1"/>
  <c r="Z77" i="1" l="1"/>
  <c r="Z81" i="1" l="1"/>
  <c r="Z82" i="1" l="1"/>
  <c r="Z59" i="1" l="1"/>
  <c r="Z115" i="1" l="1"/>
  <c r="Z5" i="1" l="1"/>
  <c r="Z7" i="1" l="1"/>
  <c r="Z85" i="1" l="1"/>
  <c r="Z90" i="1" l="1"/>
  <c r="Z94" i="1" l="1"/>
  <c r="Z103" i="1" l="1"/>
  <c r="Z109" i="1" l="1"/>
  <c r="Z39" i="1" l="1"/>
  <c r="Z40" i="1" l="1"/>
  <c r="Z41" i="1" l="1"/>
  <c r="Z104" i="1" l="1"/>
  <c r="Z106" i="1" l="1"/>
  <c r="Z107" i="1" l="1"/>
  <c r="Z1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Lucia Moniz das Neves</author>
  </authors>
  <commentList>
    <comment ref="A1" authorId="0" shapeId="0" xr:uid="{78B3B20B-CDA3-4688-9F2F-D4481F1598BC}">
      <text>
        <r>
          <rPr>
            <sz val="9"/>
            <color indexed="81"/>
            <rFont val="Segoe UI"/>
            <family val="2"/>
          </rPr>
          <t xml:space="preserve">Sequência numérica acompanhada do código que identifica a obra.
</t>
        </r>
      </text>
    </comment>
    <comment ref="B1" authorId="0" shapeId="0" xr:uid="{4602FFEB-B78A-4BB4-9961-5AEB8C68D208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C1" authorId="0" shapeId="0" xr:uid="{E8B7EA30-1769-490C-8D69-6DD7A4099E17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D1" authorId="0" shapeId="0" xr:uid="{DC8ACF1E-39D4-467B-967A-836AA1A270D7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E1" authorId="0" shapeId="0" xr:uid="{9F2A00FF-41DB-4589-8699-E33E2EC40E90}">
      <text>
        <r>
          <rPr>
            <sz val="9"/>
            <color indexed="81"/>
            <rFont val="Segoe UI"/>
            <family val="2"/>
          </rPr>
          <t>Preencher estes campos com números 
de páginas.</t>
        </r>
      </text>
    </comment>
    <comment ref="F1" authorId="0" shapeId="0" xr:uid="{ACD357DD-B014-4ED9-8667-F469371E9BA3}">
      <text>
        <r>
          <rPr>
            <sz val="9"/>
            <color indexed="81"/>
            <rFont val="Segoe UI"/>
            <family val="2"/>
          </rPr>
          <t>Preencher estes campos com números 
de páginas.</t>
        </r>
      </text>
    </comment>
    <comment ref="G1" authorId="0" shapeId="0" xr:uid="{6570E06E-8AA2-4BD1-B405-0B560236FEF3}">
      <text>
        <r>
          <rPr>
            <sz val="9"/>
            <color indexed="81"/>
            <rFont val="Segoe UI"/>
            <family val="2"/>
          </rPr>
          <t>Preencher este campo com o número do capítulo ou nome da seção.</t>
        </r>
      </text>
    </comment>
    <comment ref="H1" authorId="0" shapeId="0" xr:uid="{666E5709-87C0-483C-9495-44A0B1BF3C44}">
      <text>
        <r>
          <rPr>
            <sz val="9"/>
            <color indexed="81"/>
            <rFont val="Segoe UI"/>
            <family val="2"/>
          </rPr>
          <t xml:space="preserve">Preencher estes campos com números do capítulos ou os nomes padronizados das seções.
</t>
        </r>
      </text>
    </comment>
    <comment ref="I1" authorId="0" shapeId="0" xr:uid="{0738ED59-F076-4E6E-841D-BC19A472710C}">
      <text>
        <r>
          <rPr>
            <sz val="9"/>
            <color indexed="81"/>
            <rFont val="Segoe UI"/>
            <family val="2"/>
          </rPr>
          <t xml:space="preserve">Preencher estes campos com números do capítulos ou os nomes padronizados das seções.
</t>
        </r>
      </text>
    </comment>
    <comment ref="J1" authorId="0" shapeId="0" xr:uid="{2873E6AC-EAAB-44A7-A8CF-0F815684520D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o nome da obra de origem.
</t>
        </r>
      </text>
    </comment>
    <comment ref="K1" authorId="0" shapeId="0" xr:uid="{72273769-0F7C-4156-A373-0EEEC7BC37C1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apenas o número da página da obra de origem.
</t>
        </r>
      </text>
    </comment>
    <comment ref="L1" authorId="0" shapeId="0" xr:uid="{DE33AA22-6E5D-4246-9F49-60FBCAB800BB}">
      <text>
        <r>
          <rPr>
            <sz val="9"/>
            <color indexed="81"/>
            <rFont val="Segoe UI"/>
            <family val="2"/>
          </rPr>
          <t>Se o tipo de imagem escolhida for RESGATE ou AJUSTE, coloque aqui apenas o número do volume da obra de origem.</t>
        </r>
      </text>
    </comment>
    <comment ref="M1" authorId="0" shapeId="0" xr:uid="{B9BEE7C1-8CDA-4F0F-B4BE-88E29506E308}">
      <text>
        <r>
          <rPr>
            <sz val="9"/>
            <color indexed="81"/>
            <rFont val="Segoe UI"/>
            <family val="2"/>
          </rPr>
          <t xml:space="preserve">
Se o tipo de imagem escolhida for RESGATE ou AJUSTE, coloque aqui apenas o número do volume da obra de origem.</t>
        </r>
      </text>
    </comment>
    <comment ref="N1" authorId="0" shapeId="0" xr:uid="{8031DC19-DA89-4181-BCC0-257B1A65415A}">
      <text>
        <r>
          <rPr>
            <sz val="9"/>
            <color indexed="81"/>
            <rFont val="Segoe UI"/>
            <family val="2"/>
          </rPr>
          <t>Qual editora possui o direito de uso da ilustração.</t>
        </r>
      </text>
    </comment>
    <comment ref="O1" authorId="0" shapeId="0" xr:uid="{3F3FBFD8-30E1-41DD-A345-1D720B1C4A7C}">
      <text>
        <r>
          <rPr>
            <sz val="9"/>
            <color indexed="81"/>
            <rFont val="Segoe UI"/>
            <family val="2"/>
          </rPr>
          <t xml:space="preserve">Descrição da imagem detalhada de acordo com a edição.
</t>
        </r>
      </text>
    </comment>
    <comment ref="P1" authorId="0" shapeId="0" xr:uid="{5C3CA9A4-1ECC-44E0-B977-7B55E200D5CB}">
      <text>
        <r>
          <rPr>
            <sz val="9"/>
            <color indexed="81"/>
            <rFont val="Segoe UI"/>
            <family val="2"/>
          </rPr>
          <t>Anotações gerais/adicionais da equipe/núcleo sobre a produção da imagem.</t>
        </r>
      </text>
    </comment>
    <comment ref="Q1" authorId="0" shapeId="0" xr:uid="{D6121765-78EB-4C8F-BA07-6F4440440C70}">
      <text>
        <r>
          <rPr>
            <sz val="9"/>
            <color indexed="81"/>
            <rFont val="Segoe UI"/>
            <family val="2"/>
          </rPr>
          <t xml:space="preserve">Número do lote de acordo com a data de liberação para arte.
</t>
        </r>
      </text>
    </comment>
    <comment ref="R1" authorId="0" shapeId="0" xr:uid="{2EBA87D7-8EDD-404E-94D1-E1E2EFAEBE48}">
      <text>
        <r>
          <rPr>
            <sz val="9"/>
            <color indexed="81"/>
            <rFont val="Segoe UI"/>
            <family val="2"/>
          </rPr>
          <t xml:space="preserve">Data que o lote foi liberado para edição de arte.
</t>
        </r>
      </text>
    </comment>
    <comment ref="S1" authorId="0" shapeId="0" xr:uid="{EBC30C68-117E-45EC-B509-A71855C3C00F}">
      <text>
        <r>
          <rPr>
            <sz val="9"/>
            <color indexed="81"/>
            <rFont val="Segoe UI"/>
            <family val="2"/>
          </rPr>
          <t>Data de envio da edição de arte para o ilustrador.</t>
        </r>
      </text>
    </comment>
    <comment ref="T1" authorId="0" shapeId="0" xr:uid="{2AE6D239-43D5-4210-B7DD-F13DE15431F2}">
      <text>
        <r>
          <rPr>
            <sz val="9"/>
            <color indexed="81"/>
            <rFont val="Segoe UI"/>
            <family val="2"/>
          </rPr>
          <t xml:space="preserve">Data de recebimento 
do rafe do ilustrador.
</t>
        </r>
      </text>
    </comment>
    <comment ref="U1" authorId="0" shapeId="0" xr:uid="{BDDE7620-163E-4287-BC83-2E73BDE3AFDE}">
      <text>
        <r>
          <rPr>
            <sz val="9"/>
            <color indexed="81"/>
            <rFont val="Segoe UI"/>
            <family val="2"/>
          </rPr>
          <t xml:space="preserve">Data de envio para finalizar a ilustração.
</t>
        </r>
      </text>
    </comment>
    <comment ref="V1" authorId="0" shapeId="0" xr:uid="{8BA6F622-81DB-4C18-B2A4-DABCEFE7FA80}">
      <text>
        <r>
          <rPr>
            <sz val="9"/>
            <color indexed="81"/>
            <rFont val="Segoe UI"/>
            <family val="2"/>
          </rPr>
          <t>Data de retorno da ilustração finalizada pelo ilustrador.</t>
        </r>
      </text>
    </comment>
    <comment ref="W1" authorId="0" shapeId="0" xr:uid="{0EB5C1BD-2998-4DC0-AAF9-D0037E1E3EFD}">
      <text>
        <r>
          <rPr>
            <sz val="9"/>
            <color indexed="81"/>
            <rFont val="Segoe UI"/>
            <family val="2"/>
          </rPr>
          <t>Data de retorno da ilustração finalizada pelo ilustrador.</t>
        </r>
      </text>
    </comment>
    <comment ref="X1" authorId="0" shapeId="0" xr:uid="{DD98689F-9837-40E6-9C90-7CC79A3D1106}">
      <text>
        <r>
          <rPr>
            <sz val="9"/>
            <color indexed="81"/>
            <rFont val="Segoe UI"/>
            <family val="2"/>
          </rPr>
          <t>Nome do ilustrador que produziu ou produzirá a ilustração ou o nome do criador da ilustração do padrão.
Coluna bloqueada para edição manual.</t>
        </r>
      </text>
    </comment>
    <comment ref="Y1" authorId="0" shapeId="0" xr:uid="{F8540957-0692-49A1-B512-C57288BD1023}">
      <text>
        <r>
          <rPr>
            <sz val="9"/>
            <color indexed="81"/>
            <rFont val="Segoe UI"/>
            <family val="2"/>
          </rPr>
          <t>Nome de quem ajustou ou coloriu a ilustração.</t>
        </r>
      </text>
    </comment>
    <comment ref="Z1" authorId="0" shapeId="0" xr:uid="{866BD4E2-51B0-4309-A615-4BA3C8602605}">
      <text>
        <r>
          <rPr>
            <sz val="9"/>
            <color indexed="81"/>
            <rFont val="Segoe UI"/>
            <family val="2"/>
          </rPr>
          <t>O crédito deve ser de quem criou a ilustração e produziu-a pela primeira vez. Em casos de mais de um ilustrador, separar por /. Ex: Sergio Lima/Rogério Casagrande</t>
        </r>
      </text>
    </comment>
    <comment ref="AA1" authorId="0" shapeId="0" xr:uid="{27DF1FB8-79C7-4000-BCB9-7F044E72BC1D}">
      <text>
        <r>
          <rPr>
            <sz val="9"/>
            <color indexed="81"/>
            <rFont val="Segoe UI"/>
            <family val="2"/>
          </rPr>
          <t xml:space="preserve">Selecione na lista suspensa em cada célula a classificação da ilustração.
</t>
        </r>
      </text>
    </comment>
    <comment ref="AB1" authorId="0" shapeId="0" xr:uid="{6A0C36E5-6EC7-4912-AE8F-9A403D691522}">
      <text>
        <r>
          <rPr>
            <sz val="9"/>
            <color indexed="81"/>
            <rFont val="Segoe UI"/>
            <family val="2"/>
          </rPr>
          <t>Anotações gerais/adicionais do designer sobre a produção da imagem.</t>
        </r>
      </text>
    </comment>
    <comment ref="AC1" authorId="0" shapeId="0" xr:uid="{D691B6B3-F239-4548-AA53-8E627DE9C4C5}">
      <text>
        <r>
          <rPr>
            <sz val="9"/>
            <color indexed="81"/>
            <rFont val="Segoe UI"/>
            <family val="2"/>
          </rPr>
          <t>Anotações para fechamento dos pagamentos mensais das ilustrações.</t>
        </r>
      </text>
    </comment>
  </commentList>
</comments>
</file>

<file path=xl/sharedStrings.xml><?xml version="1.0" encoding="utf-8"?>
<sst xmlns="http://schemas.openxmlformats.org/spreadsheetml/2006/main" count="2096" uniqueCount="1302">
  <si>
    <t>NOME DA OBRA
 PARA RESGATE</t>
  </si>
  <si>
    <t>PÁGINA PARA RESGATE</t>
  </si>
  <si>
    <t>VOLUME PARA RESGATE</t>
  </si>
  <si>
    <t>VERSÃO PARA RESGATE</t>
  </si>
  <si>
    <t>PROPRIEDADE</t>
  </si>
  <si>
    <t>m0129_4p011h_g27_e001</t>
  </si>
  <si>
    <t>EXCLUIDA</t>
  </si>
  <si>
    <t>MAPA</t>
  </si>
  <si>
    <t>MIOLO</t>
  </si>
  <si>
    <t>AJUSTE</t>
  </si>
  <si>
    <t xml:space="preserve">Resgatar mapa mostrando as migrações por regiões, página 22, g23_mdn_lt_4nph código antigo: m0238km_4nph_g23_mdn_aj
Incluir um quadradinho cor de rosa na legenda com a seguinte indicação:
Área ocupada pelos grupos humanos
Separar o mapa e as legendas em 2 arquivos, com extensão a e b.
</t>
  </si>
  <si>
    <t xml:space="preserve">Excluído pela equipe/ sibstituído por mapa técnico </t>
  </si>
  <si>
    <t>km</t>
  </si>
  <si>
    <t>Tatiane Galheiro</t>
  </si>
  <si>
    <t>FINALIZADO</t>
  </si>
  <si>
    <t>i0130_4p011h_g27_e001</t>
  </si>
  <si>
    <t>APLICADA</t>
  </si>
  <si>
    <t>ILUSTRAÇÃO</t>
  </si>
  <si>
    <t>Ilustração feita com base em estudos históricos. A aurora da humanidade , páginas 24/25, g23_mdn_lt_4nph código antigo: i0208ha_4pmh_g19_mdn_ef
Ajuste 1: Arte: ver ajuste na leitura Arte
Separar a ilustração em duas partes, excluindo a sobreposição do texto à imagem, conforme referência a seguir:
Ajuste 2: Arte: é necessário ajustar essa ilustração para que fique atualizada conceitualmente. Inserir uma mulher pescando próximo dos homens.
Uma opção seria tentar ajustar um desses três personagens para que seja uma mulher:</t>
  </si>
  <si>
    <t>ha</t>
  </si>
  <si>
    <t>i0132_4p011h_g27_e001</t>
  </si>
  <si>
    <t>Resgatar ilustração de pequena fogueira com gravetos; Resgatar ilustração de uma pessoa com uma pedra em cada mão; Resgatar ilustração de uma pessoa batendo uma pedra na outra a fim de fazer fogo, página 27, g23_mdn_lt_4nph
 código antigo:
i0242ha_4nph_g23_mdn_aj
Arte: separar as ilustrações em A, B e C.</t>
  </si>
  <si>
    <t>i0134_4p011h_g27_e001</t>
  </si>
  <si>
    <t>Ilustração representando a invenção do comércio, com trocas diretas de excedentes, moedas, frutos, café, etc. código antigo: i0230ha_4nph_g23_mdn
Arte: ver ajuste na leitura Arte
Sseparar a ilustração em duas partes, conforme referência a seguir</t>
  </si>
  <si>
    <t>m0313_4p011h_g27_e001</t>
  </si>
  <si>
    <t xml:space="preserve">Resgate com ajuste
Mapa - Exploração da costa africana pelos portugueses no século 15
página 39, g23_mdn_lt_4nph
 código antigo m0413ed_4pmh_g19_mdn_aj
 Ajuste: separar o mapa, a legenda e mapa de localização em 3 arquivos, com extensão a,b e c. </t>
  </si>
  <si>
    <t>ed</t>
  </si>
  <si>
    <t>Resgate com ajuste</t>
  </si>
  <si>
    <t xml:space="preserve">g0314_4p011h_g27_e001 </t>
  </si>
  <si>
    <t>LINHA TEMPO</t>
  </si>
  <si>
    <t>NOVA</t>
  </si>
  <si>
    <t>Linha do tempo conforme página 39, g23_mdn_lt_4nph
Ajustar conforme padrão atual</t>
  </si>
  <si>
    <t>zz</t>
  </si>
  <si>
    <t xml:space="preserve">Rafaela Panissa </t>
  </si>
  <si>
    <t>VINÍCIUS COSTA/ARQUIVO DA EDITORA</t>
  </si>
  <si>
    <t>Arte</t>
  </si>
  <si>
    <t>i0318_4p011h_g27_e001</t>
  </si>
  <si>
    <t>RESGATE</t>
  </si>
  <si>
    <t>Resgate
Ilustração de caravela portuguesa, página 41, g23_mdn_lt_4nph 
código antigo i0624ha_4m2seh_m20_stl_re</t>
  </si>
  <si>
    <t>i0319_4p011h_g27_e001</t>
  </si>
  <si>
    <t>Resgate
Ilustração de nau portuguesa , página 41, g23_mdn_lt_4nph 
código antigo i0625ha_4m2seh_m20_stl_re</t>
  </si>
  <si>
    <t xml:space="preserve">i0320_4p011h_g27_e001 </t>
  </si>
  <si>
    <t xml:space="preserve">Resgate
 Ilustração de galeão português, página 41, g23_mdn_lt_4nph
 código antigo i0626ha_4m2seh_m20_stl_re
 </t>
  </si>
  <si>
    <t>m0325_4p011h_g27_e001</t>
  </si>
  <si>
    <t>RESGATE
Mapa - Rotas das principais expedições marítimas no século 15 veio da página 46, g23_mdn_lt_4nph código antigo m0632ed_4m2seh_m20_stl_aj
remover a rota bartolomeu</t>
  </si>
  <si>
    <t>Resgate ajuste</t>
  </si>
  <si>
    <t>i0338_4p011h_g27_e001</t>
  </si>
  <si>
    <t>Ilustrar um grupo de crianças de 9 anos de idade segurando cartazes com frases contra o racismo. É necessário que fique evidente que o cenário é escolar.  Variar etnias (se possivel incluir um menino negro, uma menina indígena, um menino branco com gesso ou com prótese ortopédica).
Ref.: https://c.files.bbci.co.uk/5160/production/_113023802_mandela1.png
Frases:
RACISMO É CRIME!
CHEGA DE RACISMO NA ESCOLA!</t>
  </si>
  <si>
    <t>jn</t>
  </si>
  <si>
    <t>R: 19/02  F: 28/02</t>
  </si>
  <si>
    <t>PAGO</t>
  </si>
  <si>
    <t>i0357_4p011h_g27_e001</t>
  </si>
  <si>
    <t>Resgate com ajuste
Ilustração de uma exposição cultural
Arte: ver indicação de ajuste na leitura Arte
(ARTE: separar a ilustração em duas partes.Ver layout no paperclip)
página 62, g23_mdn_lt_4nph 
código antigo i0459gr_4pmh_g19_mdn_ef_ly</t>
  </si>
  <si>
    <t>gr</t>
  </si>
  <si>
    <t>i0502_4p011h_g27_e001</t>
  </si>
  <si>
    <t>Resgate com ajuste
Ilustração de mapa do Brasil em aquarela, com o texto citado dentro dele
 página 68, g23_mdn_lt_4nph 
código antigo i1002kw_4nph_g23_mdn_re
Arte, aplicar ajuste indicado na leitura Arte:
editar um pouco a ilustração, limpando a textura do fundo para não sangrar a imagem</t>
  </si>
  <si>
    <t>kw</t>
  </si>
  <si>
    <t>g0525_4p011h_g27_e001</t>
  </si>
  <si>
    <t>GRÁFICO</t>
  </si>
  <si>
    <t xml:space="preserve"> Gráfico de barras mostrando refugiados reconhecidos no Brasil, entre 2019 e 2023. 
Produzir eixo vertical com intervalo de 10 mil em 10mil, iniciando no 0 e finalizando no 80mil com o título no eixo y Número de refugiados. 
No eixo horizontal produzir colunas com os respectivos anos e adicionar os dados logo acima da coluna:  2019 – 21515; 2020 – 26577; 2021 - 3086; 2022 – 5795; 2023 – 77193, o eixo horizontal deve ser nomeado Ano. (compor espaço fino nos numeros maiores que mil)
Ref: página 86, g23_mdn_lt_4nph
</t>
  </si>
  <si>
    <t>ti</t>
  </si>
  <si>
    <t>i0528_4p011h_g27_e001</t>
  </si>
  <si>
    <t xml:space="preserve">il de uma criança entrevistando um adulto reilustrar utilizando uma linguagem mais atual, se possivel mandar para heloisa, tem ilustração dela na mesma pagina ver referencia em:
página 89, g23_mdn_lt_4nph 
código antigo i1033sd_4nph_g23_mdn_aj
</t>
  </si>
  <si>
    <t>R: 13/02  F: 19/02</t>
  </si>
  <si>
    <t>m0536_4p011h_g27_e001</t>
  </si>
  <si>
    <t>AJUSTE
 Mapa - principais estados de saída e de destino de migrantes entre 1950 e 1960
página 98, g23_mdn_lt_4nph 
código antigo m0822ed_4pmh_g19_mdn
Ajuste: separar o mapa, a legenda e o mapa de localização em 3 arquivos, com extensão a, b e c.</t>
  </si>
  <si>
    <t>i0703_4p011h_g27_e001</t>
  </si>
  <si>
    <t>Ilustração de duas crianças conversando por Libras
Ajuste: Arte, suavizar o olhar das duas crianças, estão muito vidrados
 página 109, g23_mdn_lt_4nph 
código antigo i1404vf_4nph_g23_mdn_ef</t>
  </si>
  <si>
    <t>vf</t>
  </si>
  <si>
    <t>i0704_4p011h_g27_e001</t>
  </si>
  <si>
    <t>Ilustração de alfabeto manual
Arte: na letra Z, inverter o movimento do gesto, como se a mão estivesse de frente para o aluno
página 110, g23_mdn_lt_4nph 
código antigo i1405rm_4nph_g23_mdn</t>
  </si>
  <si>
    <t>rm</t>
  </si>
  <si>
    <t>i0730_4p011h_g27_e001</t>
  </si>
  <si>
    <t>Resgate
Ilustração de print de página (blog) da intenet
Resgatar de: página 118, g23_mdn_lt_4nph
código antigo i1052rn_4nph_g23_mdn_aj</t>
  </si>
  <si>
    <t>rn</t>
  </si>
  <si>
    <t>i0731_4p011h_g27_e001</t>
  </si>
  <si>
    <t>Resgate com ajuste
Ilustração de alunos em uma sala de estudo, com uma professora, alguns no computador criando blog, outros na mesa escrevendo e lendo.
Ajuste: melhorar cor dos elementos, não só dos traços mas tb contraste da pele da personagem com o cenário (tb melhorar o formato da cabeça do personagem que está de costas) 
Resgatar de página 119, g23_mdn_lt_4nph 
código antigo i0832kw_4pmh_g19_mdn</t>
  </si>
  <si>
    <t>g0732_4p011h_g27_e001</t>
  </si>
  <si>
    <t>Gráfico de setor sobre os motivos da falta de acesso à internet no Brasil, em 2023.
obs: Deixar os dados do grafico em porcentagem para fora, como é no padrão, e fazer a legenda ao lado, separar os dois em A e B
Usar os seguintes dados para compor o gráfico:
Não sabiam usar a internet 46,3%
Falta de necessidade de acessar a internet 25,9%
Serviço de acesso à internet era caro 10,4%
Equipamento eletrônico necessário para acessar a internet era caro 4,6%
Serviço de acesso à internet não disponível nos locais que costumavam frequentar 2,5%
Outro motivo 10,3%</t>
  </si>
  <si>
    <t>i0715_4p011h_g27_e001</t>
  </si>
  <si>
    <t xml:space="preserve">Ilustração de ícones referentes à internet
 página 117, g23_mdn_lt_4nph
 código antigo i1418vf_4nph_g23_mdn
</t>
  </si>
  <si>
    <t>i0527_4p011h_g27_e001</t>
  </si>
  <si>
    <t xml:space="preserve">Resgatar e ajustar Ilustração de ícones de comunicação. Conforme orientação do Júnior, vamos evitar recursos moldados ao texto, considerando o risco do texto mudar e causar buracos.Uma sugestão da Marcela, visando economizar na produção, é ilustrar em formato de vinheta. 
Veio da página 89, g23_mdn_lt_4nph código antigo i1061rm_4NPH_g23_mdn
</t>
  </si>
  <si>
    <t>vai ser nova</t>
  </si>
  <si>
    <t>i0552_4p011h_g27_e001</t>
  </si>
  <si>
    <t xml:space="preserve"> Ilustração de ícones de comunicação. Conforme orientação do Júnior, vamos evitar recursos moldados ao texto, considerando o risco do texto mudar e causar buracos.Uma sugestão da Marcela, visando economizar na produção, é ilustrar em formato de vinheta. 
Veio da página 89, g23_mdn_lt_4nph código antigo i1061rm_4NPH_g23_mdn
</t>
  </si>
  <si>
    <t>i0553_4p011h_g27_e001</t>
  </si>
  <si>
    <t xml:space="preserve">Resgatar il de uma criança entrevistando um adulto veio da
página 89, g23_mdn_lt_4nph 
código antigo i1033sd_4nph_g23_mdn_aj
</t>
  </si>
  <si>
    <t>sd</t>
  </si>
  <si>
    <t>i0113_5p011h_g27_e001</t>
  </si>
  <si>
    <t>PRONTA</t>
  </si>
  <si>
    <t xml:space="preserve">Ilustração retratando nômades no deserto, com tendas, dromedários,
página 14, g23_mdn_lt_5nph
 código antigo i0213fe_5pmh_g19_mdn_ly
Ajuste (leitura_prévia):  Dividir a ilustração em duas partes. Ver layout da arte:
</t>
  </si>
  <si>
    <t>fe</t>
  </si>
  <si>
    <t>Vinícius Costa</t>
  </si>
  <si>
    <t>i0120_5p011h_g27_e001</t>
  </si>
  <si>
    <t xml:space="preserve">Ilustração com símbolos do judaísmo, cristianismo, candomblé e ubanda, islamismo
página 18, g23_mdn_lt_5nph  código antigo i0233fe_5nph_g23_mdn_ly
Ajuste (leitura_prévia): 
Editar imagem para que fique "falso espelho". Separar por partes para que funcione também no digital.
A ilustração foi separada em vários códigos. Ver layout no paperclip.
Recado da marcela: Nesse layout fui separando a ilustração por partes. Se todas as partes da ilustração forem usadas conforme a original, completar o recorte da página ímpar.
</t>
  </si>
  <si>
    <t>i0121_5p011h_g27_e001</t>
  </si>
  <si>
    <t xml:space="preserve">Ilustração de manifestação com pessoas diferentes, segurando cartazes em prol da diversidade
página 20, g23_mdn_lt_5nph 
código antigo i0218fe_5nph_g23_mdn_aj_1_ef
Ajuste (leitura_prévia) : Deixar os textos dos cartazes mais nítidos e ajustar contraste.
</t>
  </si>
  <si>
    <t xml:space="preserve">i0128_5p011h_g27_e001 </t>
  </si>
  <si>
    <t xml:space="preserve">Ilustrar pessoa votando em cabine de votação no Brasil.
Fazer pessoa e cabine de votação conforme referência:
https://www.pulsarimagens.com.br/foto/Mulher-idosa-na-cabina-de-vota%C3%A7%C3%A3o-durante-primeiro-turno-das-elei%C3%A7%C3%B5es-gerais-2022-na-Universidade-PUC-RIO?assunto=Mulher-idosa-na-cabina-de-vota%C3%A7%C3%A3o-durante-primeiro-turno-das-elei%C3%A7%C3%B5es-gerais-2022-na-Universidade-PUC-RIO&amp;procurar=votando&amp;codigo-imagem=18LW508&amp;codigo=582368&amp;pagina=1&amp;posicao=20&amp;ordenar=1&amp;tipo=0&amp;direito-imagem=&amp;autorizacao-imagem=&amp;depois-ano=&amp;anterior-ano=&amp;orientacao=&amp;tipo-video=&amp;autor=&amp;pais=&amp;estado=&amp;cidade=&amp;regiao=
</t>
  </si>
  <si>
    <t>th</t>
  </si>
  <si>
    <t>R:06/03 F:</t>
  </si>
  <si>
    <t>i0302_5p011h_g27_e001</t>
  </si>
  <si>
    <t xml:space="preserve">Ilustração de famÍlia  conversando na sala de casa
página 32, g23_mdn_lt_5nph 
código antigo i0648kw_5nph_g23_mdn_aj
</t>
  </si>
  <si>
    <t>i0303_5p011h_g27_e001</t>
  </si>
  <si>
    <t xml:space="preserve">Ilustração de três pessoas de diferentes etnias conversando, a moça com o lenço na cabeça segura uma revista
página 33, g23_mdn_lt_5nph
 código antigo i0649kw_5nph_g23_mdn_aj
</t>
  </si>
  <si>
    <t>i0304_5p011h_g27_e001</t>
  </si>
  <si>
    <t>EDICAO_ARTE</t>
  </si>
  <si>
    <t xml:space="preserve">Ilustração de três pessoas cuidando de um jardim, dois meninos plantando e uma menina com uma enxada
página 33, g23_mdn_lt_5nph 
código antigo i0650kw_5nph_g23_mdn_aj
Ajuste : Retirar a enxada, ilustrar a figura feminina da cena como uma mulher adulta manuseando a cavadeira articulada.
</t>
  </si>
  <si>
    <t>Rafaela Panissa</t>
  </si>
  <si>
    <t>i0305_5p011h_g27_e001</t>
  </si>
  <si>
    <t xml:space="preserve">Ilustração de mãe e filho atravessando na faixa de pedestres, e dois carros aguardando
página 33, g23_mdn_lt_5nph 
código antigo i0651kw_5nph_g23_mdn_aj
Ajustes: Ilustrar a criança da cena com vitilligo e um dos motoristas como uma pessoa negra.
Incluir nos carros:  puxadores nas portas, retrovisores laterais e central, palhetas e placas (verificar se seguimos padrão Mercosul e tomar cuidado com a indicação de números e letras que podem ser de placa existente),
Faixa divisória entre os carros e  faixa que antecede a faixa de pedestre.
Deixar o outro lado da rua com a mesma cor (cinza claro).
</t>
  </si>
  <si>
    <t>i0306_5p011h_g27_e001</t>
  </si>
  <si>
    <t xml:space="preserve">Ilustração de uma reunião sendo feita em uma escola, onde dois adultos estão sentados em uma carteira de aluno, e outra está em pé com prancheta na mão
página 34, g23_mdn_lt_5nph 
código antigo i0652kw_5nph_g23_mdn_aj
</t>
  </si>
  <si>
    <t>i0307_5p011h_g27_e001</t>
  </si>
  <si>
    <t xml:space="preserve">Ilustração de aluno com mochila nas costas, jogando lixo na lixeira
página 34, g23_mdn_lt_5nph 
código antigo i0653kw_5nph_g23_mdn_aj
Ajustes: Ilustrar o personagem com sobrepeso;
Inserir mais lixeiras, conforme referência. O menino  deve descartar o papel na de cor azul. Avaliar a disposição, uma sugestão é ilustrar as lixeiras como se fossem suspensas.
https://brasilescola.uol.com.br/biologia/coleta-seletiva-casa.htm
ver referencia
</t>
  </si>
  <si>
    <t>i0308_5p011h_g27_e001</t>
  </si>
  <si>
    <t xml:space="preserve"> Ilustração de um adulto ensinando uma criança a maneira de usar um amassador de latinhas
página 34, g23_mdn_lt_5nph 
código antigo i0654kw_5nph_g23_mdn_aj
</t>
  </si>
  <si>
    <t>i0309_5p011h_g27_e001</t>
  </si>
  <si>
    <t xml:space="preserve">Ilustração de pessoas fazendo protesto contra poluição próximo a um rio poluído
 página 35, g23_mdn_lt_5nph 
código antigo i0655kw_5nph_g23_mdn_aj
</t>
  </si>
  <si>
    <t>i0316_5p011h_g27_e001</t>
  </si>
  <si>
    <t xml:space="preserve">Ilustração de três alunos fazendo apresentação em sala de aula, a professora na bancada, observando
 página 38, g23_mdn_lt_5nph 
código antigo i0656dd_5nph_g23_mdn_aj_ly
Ajuste1 (leitura_prévia): Cropar na mancha e melhorar o contraste do quadro com o texto, até atingir os critérios necessários no Contrast checker;
Ajuste2: Ajustar cadeira de rodas conforme referência:
https://www.mobilitybrasil.com.br/cadeira-de-rodas-genesys-ultra-lite-x-infantil-ortobras
</t>
  </si>
  <si>
    <t>dd</t>
  </si>
  <si>
    <t>Bruna Campos</t>
  </si>
  <si>
    <t>i0317_5p011h_g27_e001</t>
  </si>
  <si>
    <t xml:space="preserve">Ilustração.de uma cédula com o nome de três pessoas para votação
página 39, g23_mdn_lt_5nph 
código antigo i0419dd_5pmh_g19_mdn
</t>
  </si>
  <si>
    <t>i0318_5p011h_g27_e001</t>
  </si>
  <si>
    <t xml:space="preserve">Ilustração de professora fazendo a apuração dos votos e anotando na lousa
página 39, g23_mdn_lt_5nph 
código antigo i0657dd_5nph_g23_mdn_aj_ly
Ajuste (leitura_prévia): melhorar o contraste do quadro com o texto, até atingir os critérios necessários no Contrast checker;
</t>
  </si>
  <si>
    <t>i0321_5p011h_g27_e001</t>
  </si>
  <si>
    <t xml:space="preserve">Ilustração de fundo como se fosse templo de Atenas, com o texto citado dentro
página 42, g23_mdn_lt_5nph
 código antigo i0611gr_5nph_g23_mdn_aj
Ajuste (leitura_prévia): Tentar outra saída que não seja o uso da moldura. Ver layout no paperclip.
</t>
  </si>
  <si>
    <t>i0334_5p011h_g27_e001</t>
  </si>
  <si>
    <t xml:space="preserve">ilustração da primeira constituição do Brasil
página 51, g23_mdn_lt_5nph 
código antigo i0624_5nph_g23_mdn_re
</t>
  </si>
  <si>
    <t>i0335_5p011h_g27_e001</t>
  </si>
  <si>
    <t xml:space="preserve"> Ilustração de pessoa depositando voto em uma urna
página 51, g23_mdn_lt_5nph 
código antigo i0625_5nph_g23_mdn_re
</t>
  </si>
  <si>
    <t>i0336_5p011h_g27_e001</t>
  </si>
  <si>
    <t xml:space="preserve">Ilustração de uma mesa de reuniões, com integrantes de terno
 página 52, g23_mdn_lt_5nph 
código antigo i0626_5nph_g23_mdn_re
</t>
  </si>
  <si>
    <t>i0337_5p011h_g27_e001</t>
  </si>
  <si>
    <t xml:space="preserve"> ilustração de placa de eleições com um X vermelho em cima
página 52, g23_mdn_lt_5nph 
código antigo i0627_5nph_g23_mdn_re
</t>
  </si>
  <si>
    <t>i0338_5p011h_g27_e001</t>
  </si>
  <si>
    <t xml:space="preserve">Ilustração de mesa de reuniões com três pessoas discutindo, balões de fala em cada um
 página 52, g23_mdn_lt_5nph
 código antigo i0628_5nph_g23_mdn_re
</t>
  </si>
  <si>
    <t>i0339_5p011h_g27_e001</t>
  </si>
  <si>
    <t xml:space="preserve"> Ilustração de capacete de exército 
página 53, g23_mdn_lt_5nph
 código antigo i0629_5nph_g23_mdn_re
</t>
  </si>
  <si>
    <t>i0340_5p011h_g27_e001</t>
  </si>
  <si>
    <t xml:space="preserve">Ilustração da constituição
página 53, g23_mdn_lt_5nph 
código antigo i0630_5nph_g23_mdn_re
</t>
  </si>
  <si>
    <t>i0341_5p011h_g27_e001</t>
  </si>
  <si>
    <t xml:space="preserve">Ilustração de mãos e cartazes
 p. 54 g23_mdn_lt_5nph_u2
 código antigo i0442co_5pmh_g19_mdn
Ajuste (leitura_prévia): Para não sangrar a ilustração na página, será necessário adaptá-la, se ela não for aplicada contida em algum quadro do projeto, acrescentar algum tipo de fundo para que as mãos não fiquem cropadas.)
</t>
  </si>
  <si>
    <t>co</t>
  </si>
  <si>
    <t>i0342_5p011h_g27_e001</t>
  </si>
  <si>
    <t xml:space="preserve"> ilustração de placa de racismo não 
página 56, g23_mdn_lt_5nph
 código antigo i0632gr_5nph_g23_mdn
</t>
  </si>
  <si>
    <t>i0343_5p011h_g27_e001</t>
  </si>
  <si>
    <t xml:space="preserve">Ilustração de cadeirante descendo uma rampa
página 56, g23_mdn_lt_5nph
 código antigo i0633gr_5nph_g23_mdn
Ajuste: Ilustrar cadeira de rodas conforme referência, adicionando as rodinhas dianteiras, os freios, o suporte/descanso dos braços e o aro de impulso (usado pela cadeirante para movimentar a cadeira). Também é preciso ajustar o posicionamento das mãos da cadeirante, ela precisa estar segurando o aro de impulso. 
https://www.mobilitybrasil.com.br/cadeira-de-rodas-genesys-ultra-lite-x-infantil-ortobras
</t>
  </si>
  <si>
    <t>i0344_5p011h_g27_e001</t>
  </si>
  <si>
    <t xml:space="preserve">Ilustração de duas moradias diferentes, uma de renda alta e outra de renda baixa 
página 56, g23_mdn_lt_5nph
 código antigo i0634gr_5nph_g23_mdn_ef
</t>
  </si>
  <si>
    <t>i0345_5p011h_g27_e001</t>
  </si>
  <si>
    <t xml:space="preserve"> ilustração de um bosque, pintado no estilo aquarela 
página 57, g23_mdn_lt_5nph
 código antigSo i0636gr_5nph_g23_mdn
</t>
  </si>
  <si>
    <t>i0346_5p011h_g27_e001</t>
  </si>
  <si>
    <t xml:space="preserve">Ilustração de idoso se alongando ao ar livre
código antigo i0635gr_5nph_g23_mdn_ef
Ajuste: Melhorar mãos e rosto do senhor, estão muito disformes.
</t>
  </si>
  <si>
    <t>i0347_5p011h_g27_e001</t>
  </si>
  <si>
    <t xml:space="preserve">Resgatar il de de um vilarejo com placa “Terras quilombolas” 
página 57, g23_mdn_lt_5nph 
código antigo i0637gr_5nph_g23_mdn
</t>
  </si>
  <si>
    <t>i0349_5p011h_g27_e001</t>
  </si>
  <si>
    <t xml:space="preserve">Ilustração de protesto pelos direitos das mulheres. Ilustrar mulheres de diferentes etnias e tipos físicos: 
Negra, parda, branca;
Com cabelos lisos, ondulados, crespos, com tintura;
Corpos de diferentes formas, incluindo corpo obeso. 
Elas devem estar segurando cartazes contendo as seguintes frases:
RESPEITEM OS DIREITOS DAS MULHERES!
CHEGA DE VIOLÊNCIA!
DENUNCIE, LIGUE 180
Ref.:
https://static.vecteezy.com/ti/vetor-gratis/p1/10414685-ilustracaoial-de-mulheres-segurando-sinais-ou-placar-em-uma-manifestacao-ou-piquete-mulher-contra-violencia-poluicao-descriminacao-violacao-dos-direitos-humanos-vetor.jpg
https://static.vecteezy.com/ti/vetor-gratis/p1/10414684-ilustracaoial-de-mulheres-segurando-sinais-ou-placar-em-uma-manifestacao-ou-piquete-mulher-contra-violencia-poluicao-descriminacao-violacao-dos-direitos-humanos-vetor.jpg
</t>
  </si>
  <si>
    <t>R: 13/03  F: 24/03</t>
  </si>
  <si>
    <t>i0528_5p011h_g27_e001</t>
  </si>
  <si>
    <t xml:space="preserve">ilustração de uma contação de historia para crianças, a atriz com uma roupa tradicional japonesa e uma sombrinha. Veio da página 82, g23_mdn_lt_5nph. código antigo i0639gr_5pmh_g19_mdn
Ajuste 1 (leitura_prévia):  Adequar ao tamanho de uma página (ver paperclip). 
Ajuste 2: Ajustar o cabelo dos personagens negros que estão na cor ruiva (professora e 2 alunos). Eles devem ser escuros e crespos. Ver referência
</t>
  </si>
  <si>
    <t>i0530_5p011h_g27_e001</t>
  </si>
  <si>
    <t xml:space="preserve">ilustração de mulher griô com boneca usando de forma pedagógica, veio da página 85, g23_mdn_lt_5nph; código antigo i1034gr_5nph_g23_mdn_ly
Ajuste: demilitar melhor os pés (e dedos), a mão (e dedos) e os dentes da personagem. Ajustar tbm o cutuvelo esquerdo, parece pontiagudo. </t>
  </si>
  <si>
    <t>i0534_3p011h_g27_e001</t>
  </si>
  <si>
    <t>Resgate e ajustar ilustração representando tecnologias sendo utilizadas no campo do g23_mdn_lt_3nph_p086, código antigo i0626kw_3pmh_g19_mdn 
AJUSTE: ajustar imagem conforme solicitado na leitura prévia da Arte, separando a ilustração em duas partes. Ver referência a seguir.</t>
  </si>
  <si>
    <t>Felipe Grigoli</t>
  </si>
  <si>
    <t>Separacao de ilustracao - A e B</t>
  </si>
  <si>
    <t>i0354_3p011h_g27_e001</t>
  </si>
  <si>
    <t>Resgatar ilustração com ajuste de parte de um município, veio do g23_mdn_lt_3nph_p040 código antigo i0603vf_3nph_g23_mdn_aj Ajustar o espelho para dividir a ilustração em duas páginas Ajuste 1: inserir rampas de acessibilidade em todas as faixas de pedestres, aplicar de forma que seja possível a identificação da rampa. Ajuste 2: Inserir piso retrátil nas calçadas, em alguns casos existem árvores que podem não dar margem de espaço para o piso, nesses casos mover as árvores para algum lugar que não afete a inserção do piso, como as casas ou praças próximas. Ajuste 3: na escola, inserir um portão em grades para não ficar todo aberto e copiar uma sombra de um adulto.</t>
  </si>
  <si>
    <t>Ingridhi Borges</t>
  </si>
  <si>
    <t>i0355_3p011h_g27_e001</t>
  </si>
  <si>
    <t>m0312_3p011h_g27_e001</t>
  </si>
  <si>
    <t xml:space="preserve">Produzir mapa com dados recentes sobre as unidades de conservação no Brasil.
Usar os dados desse site: Mapa | Unidades de Conservação no Brasil, deixando só os filtros de contorno (Federal e Estadual) Diferentemente do modelo antigo, o mapa atual deve ter somente três legendas:
Unidades de conservação
COR 1: FEDERAL
COR 2: ESTADUAL
COR 3: DIVISA ESTADUAL
</t>
  </si>
  <si>
    <t>pn</t>
  </si>
  <si>
    <t>arte</t>
  </si>
  <si>
    <t>i0320_3p011h_g27_e001</t>
  </si>
  <si>
    <t>Resgatar il de crianças cuidando de um parque veio do g23_mdn_lt_3nph_p050 código antigo i0417kw_3pmh_g19_mdn
AJUSTE: Dividir a ilustração em duas partes de acordo com a leitura prévia da arte.
- Transformar a menina com enxada em professora adulta com pele mais retinta (colocar jaleco de professor), remover a ferramenta de cavar e onde está a base da enxada fazer um buraco como se estivesse sendo aberto para as crianças plantarem.</t>
  </si>
  <si>
    <t>em ajuste</t>
  </si>
  <si>
    <t>i0321_3p011h_g27_e001</t>
  </si>
  <si>
    <t>Resgatar il de crianças cuidando de um parque veio do g23_mdn_lt_3nph_p050 código antigo i0417kw_3pmh_g19_mdn AJUSTE: Nessa parte da il, deixar a menina de vestido vermelho com vitiligo, para adequação de inclusão.</t>
  </si>
  <si>
    <t>m0349_3p011h_g27_e001</t>
  </si>
  <si>
    <t>Resgatar il de mapa do brasil com terras quilombolas regularizadas e em processo de regularização veio do g23_mdn_lt_3nph_p070 código antigo m0635pr_3pnh_g23_aj
- Ajustar apenas os números conforme referência e o site: https://cpisp.org.br/ , considerando que Amarelo = Vinho e Rosa = Laranja
- Se possível manter as cores que estavam no resgate mesmo, mas verificar se os textos sobre o fundo rosa passa no contraste Checker, se necessário clarear.
- Ajustar os textos dos círculos maiores em que: Terras quilombolas tituladas 268 e
Terras quilombolas em processo de regularização 1899
- separar os arquivos em mapa, mapa de localização e legenda.</t>
  </si>
  <si>
    <t>pr</t>
  </si>
  <si>
    <t>i0351_3p011h_g27_e001</t>
  </si>
  <si>
    <t>Ilustração nova para fechar a página, boneca feita com sabugo de milho, palitos e retalhos de tecido (como descrito no texto abaixo). Inserir a ilustração ao lado do texto.
Ref. https://www.revistacarpediem.com/content/uploads/2020/05/boneca-de-palha-de-milho-colorida-1.jpg
https://s01.video.glbimg.com/x216/2017512.jpg
https://media.istockphoto.com/id/1254439662/pt/foto/handmade-dolls-made-with-corn-husk.jpg?s=612x612&amp;w=0&amp;k=20&amp;c=JQyDWXgB3Ukyy1G_wP5IneZueZ-rmfLbne1nr61i7E0=</t>
  </si>
  <si>
    <t>sq</t>
  </si>
  <si>
    <t xml:space="preserve">
Final: 07/04</t>
  </si>
  <si>
    <t>i0102_3p011h_g27_e001</t>
  </si>
  <si>
    <t>20 e 21</t>
  </si>
  <si>
    <t>resgatar il de representação de uma rua veio do g23_mdn_lt_3nph_p006 código antigo i0202gr_3pmh_g19_mdn_ly_ef
AJUSTE: Dividir a ilustração em duas partes de acordo com a leitura prévia da arte. Ver print.</t>
  </si>
  <si>
    <t>i0107_3p011h_g27_e001</t>
  </si>
  <si>
    <t>Icone com Carrinho de supermercado – ampliar um pouco as ilustrações. Veio de 3nph g23 p. 14. código antigo: i0205ll_3pmh_g19_mdn_ef</t>
  </si>
  <si>
    <t>ll</t>
  </si>
  <si>
    <t>i0108_3p011h_g27_e001</t>
  </si>
  <si>
    <t>Icone com Bomba de combustível – ampliar um pouco as ilustrações. Veio de 3nph g23 p. 14. Código antigo: i0206ll_3pmh_g19_mdn_ef</t>
  </si>
  <si>
    <t>i0109_3p011h_g27_e001</t>
  </si>
  <si>
    <t>Ícone com camiseta – ampliar um pouco as ilustrações veio de 3nph g23 p. 14. Código antigo: i0207ll_3pmh_g19_mdn_ef</t>
  </si>
  <si>
    <t>i0110_3p011h_g27_e001</t>
  </si>
  <si>
    <t>Arte ilustrar um peso (haltere) de academia e aplicar no fundo “marcador”, ver as outra ils da página. Referência em:.
https://th.bing.com/th/id/OIP.5kOl5PwhBl5EDYbZgVhrqAHaHa?rs=1&amp;pid=ImgDetMain</t>
  </si>
  <si>
    <t>i0111_3p011h_g27_e001</t>
  </si>
  <si>
    <t>Ícone referente a padaria – ampliar um pouco as ilustrações. Veio de 3nph g23 p. 14. Código antigo: i0209ll_3pmh_g19_mdn_ef</t>
  </si>
  <si>
    <t>i0112_3p011h_g27_e001</t>
  </si>
  <si>
    <t>Ícone referente a açougue – ampliar um pouco as ilustrações. Veio do 3nph g23 p. 14. Código antigo: i0210ll_3pmh_g19_mdn_ef</t>
  </si>
  <si>
    <t>i0113_3p011h_g27_e001</t>
  </si>
  <si>
    <t>Arte ilustrar pneu sem roda e aplicar no fundo “marcador”, ver as outras ils da página. Referência em: https://media.istockphoto.com/id/985676436/id/vektor/ikon-vektor-datar-ban-mobil-hitam-dengan-pola-tapak-tema-mobil-elemen-untuk-dijual-poster.jpg?s=1024x1024&amp;w=is&amp;k=20&amp;c=cyOOpwsVy7b9gEEbWhrvJ88sZcvlZUPPzU-qttfw4uw=</t>
  </si>
  <si>
    <t>i0114_3p011h_g27_e001</t>
  </si>
  <si>
    <t>Ícone referente a farmácia – ampliar um pouco as ilustrações. Veio de 3nph g23 p. 14. Código antigo: i0212ll_3pmh_g19_mdn_ef</t>
  </si>
  <si>
    <t>i0119_3p011h_g27_e001</t>
  </si>
  <si>
    <t>Resgatar il de pessoas em frente a uma casa - veio do g23_mdn_lt_3nph_p016 /código antigo i0260vf_3nph_g23_mdn_aj
AJUSTE: Ajustar conforme leitura arte – para que a ilustra não sangre nas laterais. Ver print.</t>
  </si>
  <si>
    <t>Resgate Ajuste</t>
  </si>
  <si>
    <t>i0153_3p011h_g27_e001</t>
  </si>
  <si>
    <t>Trocar o nome Monteiro Lobato por Cora Coralina. Veio do g23_mdn_lt_3nph_p030 código antigo i0247rn_3pmh_g19_mdn</t>
  </si>
  <si>
    <t>i0154_3p011h_g27_e001</t>
  </si>
  <si>
    <t>resgatar il de placa de rua tucano veio do g23_mdn_lt_3nph_p030 código antigo i0248rn_3pmh_g19_mdn</t>
  </si>
  <si>
    <t>i0155_3p011h_g27_e001</t>
  </si>
  <si>
    <t>resgatar il de placa de rua 7 de setembro veio do g23_mdn_lt_3nph_p030 código antigo i0249rn_3pmh_g19_mdn</t>
  </si>
  <si>
    <t>i0156_3p011h_g27_e001</t>
  </si>
  <si>
    <t>resgatar il de placa de rua Getúlio Vargas veio do g23_mdn_lt_3nph_p030 código antigo i0250rn_3pmh_g19_mdn</t>
  </si>
  <si>
    <t>i0157_3p011h_g27_e001</t>
  </si>
  <si>
    <t>Trocar o nome Santos Dumont por Doutora Rita Lobato. Veio do g23_mdn_lt_3nph_p030 código antigo i0251rn_3pmh_g19_mdn</t>
  </si>
  <si>
    <t>i0158_3p011h_g27_e001</t>
  </si>
  <si>
    <t>resgatar il de placa de rua brasil veio do g23_mdn_lt_3nph_p030 código antigo i0252rn_3pmh_g19_mdn</t>
  </si>
  <si>
    <t>i0159_3p011h_g27_e001</t>
  </si>
  <si>
    <t>resgatar il de placa de rua minas gerais veio do g23_mdn_lt_3nph_p030 código antigo i0253rn_3pmh_g19_mdn</t>
  </si>
  <si>
    <t>i0160_3p011h_g27_e001</t>
  </si>
  <si>
    <t>resgatar il de placa de rua das rosas veio do g23_mdn_lt_3nph_p030 código antigo i0254rn_3pmh_g19_mdn</t>
  </si>
  <si>
    <t>i0179_3p011h_g27_e001</t>
  </si>
  <si>
    <t>Il de menina. Veio do g23_mdn_lt_3nph_p006. Código antigo: i0279vf_3m1seh_m20_stl
Ajuste: deixar no arquivo só a menina e o fundo cor</t>
  </si>
  <si>
    <t>i0180_3p011h_g27_e001</t>
  </si>
  <si>
    <t>Il de menino. Veio do g23_mdn_lt_3nph_p006. Código antigo: i0279vf_3m1seh_m20_stl
Ajuste: deixar no arquivo só o menino e o fundo cor</t>
  </si>
  <si>
    <t>i0181_3p011h_g27_e001</t>
  </si>
  <si>
    <t>Il de menino. Veio do g23_mdn_lt_3nph_p006. Código antigo: i0279vf_3m1seh_m20_stl
Ajuste: deixar no arquivo só o menino e o fundo cor. E inserir em cada orelha aparelho auditivo.</t>
  </si>
  <si>
    <t xml:space="preserve">i0708_3p011h_g27_e001 </t>
  </si>
  <si>
    <t xml:space="preserve">il de professora e alunos em sala de aula veio do g23_mdn_lt_3nph_p096 código antigo i0807dd_3pmh_g19_mdn
Inserir diversidade em um dos estudantes – ver o que melhor se encaixa para a linguagem em questão
ARTE: dividir a ilustração em duas partes para que a ilustração fique só na página ímpar. Editar de modo que a ilustração não sangre na página. Ver layout no paperclip.
</t>
  </si>
  <si>
    <t xml:space="preserve">i0709_3p011h_g27_e001 </t>
  </si>
  <si>
    <t>resgatar il de alunos pesquisando na biblioteca veio do g23_mdn_lt_3nph_p096 código antigo i0808dd_3pmh_g19_mdn</t>
  </si>
  <si>
    <t xml:space="preserve">i0710_3p011h_g27_e001 </t>
  </si>
  <si>
    <t>resgatar il de entrevista sendo feita com um idoso  veio do g23_mdn_lt_3nph_p097 código antigo i0828dd_3pmh_g19_mdn</t>
  </si>
  <si>
    <t xml:space="preserve">i0711_3p011h_g27_e001 </t>
  </si>
  <si>
    <t>resgatar il de exposição de cartazes na escola veio do g23_mdn_lt_3nph_p097 código antigo i0829dd_3pmh_g19_mdn_ef_1</t>
  </si>
  <si>
    <t>i0353_3p011h_g27_e001</t>
  </si>
  <si>
    <t xml:space="preserve">Resgate com ajustes de acordo com a leitura prévia da arte, dividir a ilustração para entrar individualmente em cada página.
resgatar il de pessoas em uma praça veio do g23_mdn_lt_3nph_p052 código antigo i0418vf_3pmh_g19_mdn
Ajuste 1: analisar se na imagem 2 podemos fazer adaptação para inclusão. (pessoa com prótese ortopédica / com muleta / cadeira de rodas).
Ajuste 2: alterar a cor da bola do menino para branca com detalhes pretos, na forma que está parece bola de basquete.
</t>
  </si>
  <si>
    <t>i0362_4p011h_g27_e001</t>
  </si>
  <si>
    <t xml:space="preserve">Ilustração de turista andando pela cidade e olhando o celular para se localizar.
Ref.:
</t>
  </si>
  <si>
    <t>R:25 F:14/05</t>
  </si>
  <si>
    <t>i0363_4p011h_g27_e001</t>
  </si>
  <si>
    <t xml:space="preserve">Ilustração de família dirigindo em um carro e usando o sistema de GPS.
Ref.:
</t>
  </si>
  <si>
    <t>i0329_4p011h_g27_e001</t>
  </si>
  <si>
    <t xml:space="preserve">Ilustração de zimbo, concha utilizada como moeda no Reino do Congo.
página 48, g23_mdn_lt_4nph código antigo i2026Ib_4nph_m20_mdn
</t>
  </si>
  <si>
    <t>lb</t>
  </si>
  <si>
    <t>m0535_4p011h_g27_e001</t>
  </si>
  <si>
    <t>Mapa Distribuição regional das comunidades brasileiras no exterior (2022)
-No mapa, devem estar destacadas a seguintes regiões (e respectivos números de habitantes brasileiros) : América do Norte (2 078 170), Europa 1 490 745, América do Sul (646 730), Ásia (222.053), Oriente Médio (59.230), (Oceania) 53.430, África (39.600) e América Central (8 777);
-Compor legendas com cores correspondentes às regiões.
-Separar o mapa e a legenda em 2 arquivos, com extensão a e b.
Referência:</t>
  </si>
  <si>
    <t>g0522_4p011h_g27_e001</t>
  </si>
  <si>
    <t>Produzir um gráfico de colunas com os dados a seguir.
No eixo vertical mostrar os Números de imigrantes e no eixo horizontal apresentar as Nacionalidade.
Fonte</t>
  </si>
  <si>
    <t>g0557_4p011h_g27_e001</t>
  </si>
  <si>
    <t xml:space="preserve">Gráfico que apresenta as maiores comunidades brasileiras no exterior, por país.
Estados Unidos: 1.775.000 (2020); 1.905.000 (2021); 1.900.000 (2022); 2.085.000 (2023).
Portugal: 276.200 (2020); 275.000 (2021); 360.000 (2022); 513.000 (2023).
Paraguai: 240.000 (2020); 245.850 (2021); 254.000 (2022); 263.200 (2023).
Reino Unido: 220.000 (2020); 220.000 (2021); 220.000 (2022); 230.000 (2023).
Japão: 211.138 (2020); 206.259 (2021); 206.990 (2022); 210.471 (2023).
</t>
  </si>
  <si>
    <t>g0508_5p011h_g27_e001</t>
  </si>
  <si>
    <t>AVALIANDO</t>
  </si>
  <si>
    <t xml:space="preserve">Resgatar linha do tempo História de Recife da p. 70 g23_mdn_lt_5nph_u3
Ajuste (leitura_prévia): Verticalizar a linha do tempo e ajustar conforme padrão da obra atual. 
</t>
  </si>
  <si>
    <t>g0512_5p011h_g27_e001</t>
  </si>
  <si>
    <t xml:space="preserve">Resgatar Linha do tempo: Nascimento de Jesus p. 72 g23_mdn_lt_5nph_u3.
Ajustar conforme padrão da obra atual
</t>
  </si>
  <si>
    <t>i0527_5p011h_g27_e001</t>
  </si>
  <si>
    <t xml:space="preserve">Resgatar il de grios cantando e  tocando instrumento para outras pessoas
  página 80, g23_mdn_lt_5nph
 código antigo i0637kw_5pmh_g19_mdn_aj
Ajuste1 (leitura_prévia): Não sangrar a imagem na base de página, restringir ao espaço da mancha.
Separar a imagem em duas partes.
Ver layout no paperclip.
Ajuste2: Ilustrar aparelho auditivo na menina de blusa rosa.
</t>
  </si>
  <si>
    <t>i0550_5p011h_g27_e001</t>
  </si>
  <si>
    <t>IL TEC ARTE</t>
  </si>
  <si>
    <t xml:space="preserve">Ilustração de diferentes escritas do alfabeto em Fenício, grego antigo, latim antigo e latim atual. Veio da página 94, g23_mdn_lt_5nph. código antigo: g0664re_5pmh_g19_mdn_aj
AJUSTES: - Descaracterizar a il como estivesse na tabela, inserir em uma papeleta ou em fundo cor.
- Nos sombreados laranja da imagem usar outra cor que esteja no projeto gráfico de ícone de legendas para o destaque das "Letras que foram criadas posteriormente" para melhorar o contraste, pois tem a questão de acessibilidade.)
Ref de como é no resgate
</t>
  </si>
  <si>
    <t>re</t>
  </si>
  <si>
    <t>i0703_5p011h_g27_e001</t>
  </si>
  <si>
    <t xml:space="preserve"> ilustração feita com base em padrão de grafismo Wajãpi  
 página 10, g23_mdn_lt_5nph 
código antigo i0803ba_5pmh_g19_mdn
</t>
  </si>
  <si>
    <t>i0733_5p011h_g27_e001</t>
  </si>
  <si>
    <t xml:space="preserve">Resgatar il do mapa do mundo com alguns itens de “localização”, 
página 108, g23_mdn_lt_5nph código antigo i1415_5nph_g23_mdn
</t>
  </si>
  <si>
    <t>i0158_5p011h_g27_e001</t>
  </si>
  <si>
    <t xml:space="preserve">Ilustração de lousa com a palavra DIVERSIDADE escrita com giz no centro. Inserir a professora (mulher negra, com jaleco) olhando um aluno (menino oriental, 10 anos) escrevendo com giz, com letra cursiva na lousa, a palavra respeito. </t>
  </si>
  <si>
    <t>R:04/07 F:014/07</t>
  </si>
  <si>
    <t>i0763_5p011h_g27_e001</t>
  </si>
  <si>
    <t>AJUSTANDO</t>
  </si>
  <si>
    <t>Ilustrar pessoas em Samba de Roda.
Fazer conforme a seguinte referência:
https://blogger.googleusercontent.com/img/b/R29vZ2xl/AVvXsEjgaLvh9rKHDY7_js0d2C2YQovTWlGtmKy3TGRxFAeKsVkTXNxS7y8LVEbn87SO_-9lC29OlzT3rQcekzQTbedGmB3WYiIE0vSTB7DESPedKy0ETWISMLiXVtWu8v0C-khy3uUSiETxmEYC/s1600/samba+de++roda.jpg</t>
  </si>
  <si>
    <t>R:15/07 F:17/07</t>
  </si>
  <si>
    <t>m0764_5p011h_g27_e001</t>
  </si>
  <si>
    <t xml:space="preserve">Mapa-múndi atual, com escala, rosa-dos-ventos, coordenadas, meridianos, oceanos etc.
Teotihuacán (México)
Pequim (China)
Cidade do Cabo (África do Sul)
Gizé (Egito)
Fazer o mapa em cor neutra, apenas destacar com cores o território dos seguintes países:
México: cor amarela
China: corde verde
África do Sul: cor roxa
Egito: cor alaranjada
</t>
  </si>
  <si>
    <t>m0164_4p011h_g27_e001</t>
  </si>
  <si>
    <t>Mapa - Migrações humanas</t>
  </si>
  <si>
    <t>ARTE</t>
  </si>
  <si>
    <t>i0184_3p011h_g27_e001</t>
  </si>
  <si>
    <t>ILUSTRANDO</t>
  </si>
  <si>
    <t>Ilustrar cena de festa do boi (Boi-bumbá). O boi deve estar passando na rua. Ao redor, algumas pessoas celebrando a festividade. (foco no boi)</t>
  </si>
  <si>
    <t>id</t>
  </si>
  <si>
    <t>R:21/07 F:25/07</t>
  </si>
  <si>
    <t>i0185_3p011h_g27_e001</t>
  </si>
  <si>
    <t>Ilustrar cena de aniversário em ambiente doméstico. Na cena, uma família formada por mãe, avó e filha/neta (asiáticas) ao redor da mesa. A criança deve estar soprando as velas de um bolo. Evitar muito recheio no bolo. Fazer uma garrafa de suco  e copos ao lado.</t>
  </si>
  <si>
    <t>i0186_3p011h_g27_e001</t>
  </si>
  <si>
    <t>Ilustrar cena de casamento com foco no casal (homem branco e mulher parda). O ambiente e as vestimentas dos noivos devem ser indicativos de noivos (terno, vestido de noiva branco etc).</t>
  </si>
  <si>
    <t>i0187_3p011h_g27_e001</t>
  </si>
  <si>
    <t>Ilustrar cena de festa junina na rua. Fazer cena que representa pai e filha (afrodescendentes) pegando pipoca em uma barraca. O vendedor de pipoca deve ser homem branco. Eles devem estar com trajes típicos da festividade (xadrez, chapéu de palha).</t>
  </si>
  <si>
    <t>i0763_3p011h_g27_e001</t>
  </si>
  <si>
    <t>Ilustrar um casal caracterizado de gaúcho fazendo dança tradicional. Fazer em um ginásio/galpão, com público assistindo. Ver referência de cena e caracterização.</t>
  </si>
  <si>
    <t>jx</t>
  </si>
  <si>
    <t>R:25/07 F:30/07</t>
  </si>
  <si>
    <t>i0764_3p011h_g27_e001</t>
  </si>
  <si>
    <t>Ilustrar um grupo de dança gaúcha fazendo o passo conhecido como pau de fita. Fazer em um ginásio, 6 pessoas caracterizadas com trajes gaúchos e segurando a fita em roda. Variar na etnia das pessoas. Roupas coloridas. Ver referências, inclusive de caracterização a seguir.</t>
  </si>
  <si>
    <t>i0765_3p011h_g27_e001</t>
  </si>
  <si>
    <t>Ilustrar o mesmo grupo da ilustração anterior fazendo o passo de dança a seguir (em um ginásio). Homens de um lado e mulheres de outro. Ver referência. Inserir elementos musicais para complementar a cena.</t>
  </si>
  <si>
    <t>22/072025</t>
  </si>
  <si>
    <t xml:space="preserve">m0391_4p011h_g27_e001 </t>
  </si>
  <si>
    <t>Mapa População indígena residente em Terras Indígenas no Brasil (2022).</t>
  </si>
  <si>
    <t>vc</t>
  </si>
  <si>
    <t>Gabriella Imai</t>
  </si>
  <si>
    <t>CRÉDITOS GERAIS DA MODERNA PARA REFERÊNCIA  - EF1</t>
  </si>
  <si>
    <t>Nome do ilustrador</t>
  </si>
  <si>
    <t>Sigla Arte</t>
  </si>
  <si>
    <t>Crédito</t>
  </si>
  <si>
    <t>Acervo da editora</t>
  </si>
  <si>
    <t>xx</t>
  </si>
  <si>
    <t>ARQUIVO DA EDITORA</t>
  </si>
  <si>
    <t>Sigla ZZ (ver documento de ils. técnicas)</t>
  </si>
  <si>
    <t>VER DOCUMENTO DE ILS. TÉCNICAS</t>
  </si>
  <si>
    <t>ILUSTRAÇOES DE PROVAS OFICIAIS (somente se não houver crédito)</t>
  </si>
  <si>
    <t>yv</t>
  </si>
  <si>
    <t>NOME DA UNIVERSIDADE/ANO - UNICAMP 2024
NOME DO ILUSTRADOR (AJUSTE)/ARQUIVO DA EDITORA/UNIVERSIDADE ANO</t>
  </si>
  <si>
    <t>ILUSTRAÇÕES DE PLACAS DE TRÂNSITO</t>
  </si>
  <si>
    <t>yy</t>
  </si>
  <si>
    <t>NOME DO ILUSTRADOR/ARQUIVO DA EDITORA</t>
  </si>
  <si>
    <t>ILUSTRAÇÕES DE BANDEIRAS DE PAÍS</t>
  </si>
  <si>
    <t>yp</t>
  </si>
  <si>
    <t>ILUSTRAÇÕES DE BANDEIRAS DE ESTADO</t>
  </si>
  <si>
    <t>ye</t>
  </si>
  <si>
    <t>ILUSTRAÇÕES GERADAS POR PROGRAMAS C/ IA</t>
  </si>
  <si>
    <t>ia</t>
  </si>
  <si>
    <t>a</t>
  </si>
  <si>
    <t>3 Pixel Studio</t>
  </si>
  <si>
    <t>px</t>
  </si>
  <si>
    <t>ROBSON OLIVIERIA/ARQUIVO DA EDITORA</t>
  </si>
  <si>
    <t>A7 Estudio</t>
  </si>
  <si>
    <t>ao</t>
  </si>
  <si>
    <t>JORGE RIBEIRO/ARQUIVO DA EDITORA</t>
  </si>
  <si>
    <t xml:space="preserve">Adilson Farias </t>
  </si>
  <si>
    <t>af</t>
  </si>
  <si>
    <t>ADILSON FARIAS/ARQUIVO DA EDITORA</t>
  </si>
  <si>
    <t xml:space="preserve">Adilson Secco </t>
  </si>
  <si>
    <t>ac</t>
  </si>
  <si>
    <t>ADILSON SECCO/ARQUIVO DA EDITORA</t>
  </si>
  <si>
    <t>Adriano Cesar Moreno Pátaro</t>
  </si>
  <si>
    <t>ad</t>
  </si>
  <si>
    <t>ADRIANO PÁTARO/ARQUIVO DA EDITORA</t>
  </si>
  <si>
    <t>Adriel Contieri</t>
  </si>
  <si>
    <t>av</t>
  </si>
  <si>
    <t>ADRIEL CONTIERI/ARQUIVO DA EDITORA</t>
  </si>
  <si>
    <t>Águeda Horn</t>
  </si>
  <si>
    <t>ah</t>
  </si>
  <si>
    <t>ÁGUEDA HORN/ARQUIVO DA EDITORA</t>
  </si>
  <si>
    <t>Alessandra Tozi</t>
  </si>
  <si>
    <t>az</t>
  </si>
  <si>
    <t>ALESSANDRA TOZI/ARQUIVO DA EDITORA</t>
  </si>
  <si>
    <t>Alexandre Affonso</t>
  </si>
  <si>
    <t>ax</t>
  </si>
  <si>
    <t>ALEXANDRE AFFONSO/ARQUIVO DA EDITORA</t>
  </si>
  <si>
    <t>Alexandre de Lima Barvik</t>
  </si>
  <si>
    <t>ab</t>
  </si>
  <si>
    <t>ALEXANDRE DE LIMA BARVIK/ARQUIVO DA EDITORA</t>
  </si>
  <si>
    <t>Alexandre de Souza</t>
  </si>
  <si>
    <t>xe</t>
  </si>
  <si>
    <t>ALEXANDRE DE SOUZA/ARQUIVO DA EDITORA</t>
  </si>
  <si>
    <t>Alexandre Koyama</t>
  </si>
  <si>
    <t>ak</t>
  </si>
  <si>
    <t>ALEXANDRE KOYAMA/ARQUIVO DA EDITORA</t>
  </si>
  <si>
    <t>Alexandre Rampazo</t>
  </si>
  <si>
    <t>am</t>
  </si>
  <si>
    <t>ALEXANDRE RAMPAZO/ARQUIVO DA EDITORA</t>
  </si>
  <si>
    <t>Ana Elisa Carneiro</t>
  </si>
  <si>
    <t>ae</t>
  </si>
  <si>
    <t>ANA ELISA CARNEIRO/ARQUIVO DA EDITORA</t>
  </si>
  <si>
    <t>Ana Laura Alexius</t>
  </si>
  <si>
    <t>au</t>
  </si>
  <si>
    <t>ANA ALEXIUS/ARQUIVO DA EDITORA</t>
  </si>
  <si>
    <t>Ana Kozuki</t>
  </si>
  <si>
    <t>zk</t>
  </si>
  <si>
    <t>ANA KOZUKI/ARQUIVO DA EDITORA</t>
  </si>
  <si>
    <t>Andressa Meissner</t>
  </si>
  <si>
    <t>aq</t>
  </si>
  <si>
    <t>ANDRESSA MEISSNER/ARQUIVO DA EDITORA</t>
  </si>
  <si>
    <t>André Aguiar</t>
  </si>
  <si>
    <t>aa</t>
  </si>
  <si>
    <t>ANDRÉ AGUIAR/ARQUIVO DA EDITORA</t>
  </si>
  <si>
    <t>André Leandro Silva</t>
  </si>
  <si>
    <t>an</t>
  </si>
  <si>
    <t>ANDRÉ L. SILVA/ARQUIVO DA EDITORA</t>
  </si>
  <si>
    <t>André Rodrigues</t>
  </si>
  <si>
    <t>ag</t>
  </si>
  <si>
    <t>ANDRÉ RODRIGUES/ARQUIVO DA EDITORA</t>
  </si>
  <si>
    <t xml:space="preserve">Angelo Shuman </t>
  </si>
  <si>
    <t>as</t>
  </si>
  <si>
    <t>ANGELO SHUMAN/ARQUIVO DA EDITORA</t>
  </si>
  <si>
    <t>Anna Anjos</t>
  </si>
  <si>
    <t>nn</t>
  </si>
  <si>
    <t>ANNA ANJOS/ARQUIVO DA EDITORA</t>
  </si>
  <si>
    <t>Anna Simonin</t>
  </si>
  <si>
    <t>ai</t>
  </si>
  <si>
    <t>ANNA SIMONIN/ARQUIVO DA EDITORA</t>
  </si>
  <si>
    <t>Ariel Fajtlowicz</t>
  </si>
  <si>
    <t>aj</t>
  </si>
  <si>
    <t>ARIEL FAJTLOWICZ/ARQUIVO DA EDITORA</t>
  </si>
  <si>
    <t>Art Capri - Gustavo Machado</t>
  </si>
  <si>
    <t>gm</t>
  </si>
  <si>
    <t>GUSTAVO MACHADO/ARQUIVO DA EDITORA</t>
  </si>
  <si>
    <t>Arthur Moreno Milan Parreira</t>
  </si>
  <si>
    <t>at</t>
  </si>
  <si>
    <t>ARTHUR M. M. PARREIRA/ARQUIVO DA EDITORA</t>
  </si>
  <si>
    <t>Arthur Rosseto</t>
  </si>
  <si>
    <t>ar</t>
  </si>
  <si>
    <t>ARTHUR ROSSETO/ARQUIVO DA EDITORA</t>
  </si>
  <si>
    <t>Bárbara Lô Sarzi</t>
  </si>
  <si>
    <t>ba</t>
  </si>
  <si>
    <t>BÁRBARA SARZI/ARQUIVO DA EDITORA</t>
  </si>
  <si>
    <t>Beatriz Carvalho</t>
  </si>
  <si>
    <t>bt</t>
  </si>
  <si>
    <t>BEATRIZ CARVALHO/ARQUIVO DA EDITORA</t>
  </si>
  <si>
    <t>Beatriz Mayumi</t>
  </si>
  <si>
    <t>bm</t>
  </si>
  <si>
    <t>BEATRIZ MAYUMI/ARQUIVO DA EDITORA</t>
  </si>
  <si>
    <t>Belli Studio Design</t>
  </si>
  <si>
    <t>bl</t>
  </si>
  <si>
    <t/>
  </si>
  <si>
    <t>Bernardo França</t>
  </si>
  <si>
    <t>be</t>
  </si>
  <si>
    <t>BERNARDO FRANÇA/ARQUIVO DA EDITORA</t>
  </si>
  <si>
    <t>Bianca Nazari</t>
  </si>
  <si>
    <t>bi</t>
  </si>
  <si>
    <t>BIANCA NAZARI/ARQUIVO DA EDITORA</t>
  </si>
  <si>
    <t>Brenda Bossato</t>
  </si>
  <si>
    <t>bd</t>
  </si>
  <si>
    <t>BRENDA BOSSATO/ARQUIVO DA EDITORA</t>
  </si>
  <si>
    <t>Brenda Goes</t>
  </si>
  <si>
    <t>bg</t>
  </si>
  <si>
    <t>BRENDA GOES/ARQUIVO DA EDITORA</t>
  </si>
  <si>
    <t>bp</t>
  </si>
  <si>
    <t>BRUNA CAMPOS/ARQUIVO DA EDITORA</t>
  </si>
  <si>
    <t>Brunna Mancuso</t>
  </si>
  <si>
    <t>bs</t>
  </si>
  <si>
    <t>BRUNNA MANCUSO/ARQUIVO DA EDITORA</t>
  </si>
  <si>
    <t>Bruna Menezes</t>
  </si>
  <si>
    <t>bz</t>
  </si>
  <si>
    <t>BRUNA MENEZES/ARQUIVO DA EDITORA</t>
  </si>
  <si>
    <t>Bruno Badain</t>
  </si>
  <si>
    <t>bb</t>
  </si>
  <si>
    <t>BRUNO BADAIN/ARQUIVO DA EDITORA</t>
  </si>
  <si>
    <t>Bruno H. S. Cerkuenik</t>
  </si>
  <si>
    <t>bc</t>
  </si>
  <si>
    <t>BRUNO CERKUENIK/ARQUIVO DA EDITORA</t>
  </si>
  <si>
    <t>Bruno Nunes Coelho</t>
  </si>
  <si>
    <t>bn</t>
  </si>
  <si>
    <t>BRUNO NUNES/ARQUIVO DA EDITORA</t>
  </si>
  <si>
    <t>Bruno Oliveira Sampaio</t>
  </si>
  <si>
    <t>br</t>
  </si>
  <si>
    <t>BRUNO SAMPAIO/ARQUIVO DA EDITORA</t>
  </si>
  <si>
    <t>Bruno Rosal de Vasconcelos</t>
  </si>
  <si>
    <t>bu</t>
  </si>
  <si>
    <t>Caio Hideki Takaso Tanaka</t>
  </si>
  <si>
    <t>ct</t>
  </si>
  <si>
    <t>CAIO TANAKA/ARQUIVO DA EDITORA</t>
  </si>
  <si>
    <t>Camila Cristiane Pereira dos Santos</t>
  </si>
  <si>
    <t>cd</t>
  </si>
  <si>
    <t>Camila Ferreira Carmona</t>
  </si>
  <si>
    <t>ca</t>
  </si>
  <si>
    <t>CAMILA CARMONA/ARQUIVO DA EDITORA</t>
  </si>
  <si>
    <t>Carlitos Pinheiro</t>
  </si>
  <si>
    <t>cq</t>
  </si>
  <si>
    <t>CARLITOS PINHEIRO/ARQUIVO DA EDITORA</t>
  </si>
  <si>
    <t>Carlos Alberto Borin Junior</t>
  </si>
  <si>
    <t>cj</t>
  </si>
  <si>
    <t>CARLOS BORIN/ARQUIVO DA EDITORA</t>
  </si>
  <si>
    <t>Carlos Eduardo Nascimento</t>
  </si>
  <si>
    <t>cn</t>
  </si>
  <si>
    <t>CARLOS EDUARDO NASCIMENTO/ARQUIVO DA EDITORA</t>
  </si>
  <si>
    <t>Carmen Ferreira Martinez</t>
  </si>
  <si>
    <t>cc</t>
  </si>
  <si>
    <t>CARMEN MARTINEZ/ARQUIVO DA EDITORA</t>
  </si>
  <si>
    <t>Carol Rempto</t>
  </si>
  <si>
    <t>cw</t>
  </si>
  <si>
    <t>CAROL REMPTO/ARQUIVO DA EDITORA</t>
  </si>
  <si>
    <t>Carol Sartori</t>
  </si>
  <si>
    <t>cx</t>
  </si>
  <si>
    <t>CAROL SARTORI/ARQUIVO DA EDITORA</t>
  </si>
  <si>
    <t>Carolina Coroa</t>
  </si>
  <si>
    <t>kk</t>
  </si>
  <si>
    <t>CAROLINA COROA/ARQUIVO DA EDITORA</t>
  </si>
  <si>
    <t>Caroline Romão Bezerra</t>
  </si>
  <si>
    <t>CAROLINE ROMÃO BEZERRA/ARQUIVO DA EDITORA</t>
  </si>
  <si>
    <t>Cartoon Pro</t>
  </si>
  <si>
    <t>cp</t>
  </si>
  <si>
    <t>Cássio Bittencourt</t>
  </si>
  <si>
    <t>cs</t>
  </si>
  <si>
    <t>CÁSSIO BITTENCOURT/ARQUIVO DA EDITORA</t>
  </si>
  <si>
    <t>Cássio Yoshiyaki Shibukawa</t>
  </si>
  <si>
    <t>cy</t>
  </si>
  <si>
    <t>CÁSSIO YOSHIYAKI SHIBUKAWA/ARQUIVO DA EDITORA</t>
  </si>
  <si>
    <t>Cátia Germani</t>
  </si>
  <si>
    <t>cm</t>
  </si>
  <si>
    <t>CÁTIA GERMANI/ARQUIVO DA EDITORA</t>
  </si>
  <si>
    <t>Cauê Zunchini</t>
  </si>
  <si>
    <t>ci</t>
  </si>
  <si>
    <t>CAUÊ ZUNCHINI/ARQUIVO DA EDITORA</t>
  </si>
  <si>
    <t>Cecilia Andrade</t>
  </si>
  <si>
    <t>cl</t>
  </si>
  <si>
    <t>CECILIA ANDRADE/ARQUIVO DA EDITORA</t>
  </si>
  <si>
    <t xml:space="preserve">Chanceler </t>
  </si>
  <si>
    <t>ch</t>
  </si>
  <si>
    <t>Chris Borges</t>
  </si>
  <si>
    <t>cg</t>
  </si>
  <si>
    <t>CHRIS BORGES/ARQUIVO DA EDITORA</t>
  </si>
  <si>
    <t>Clarissa França</t>
  </si>
  <si>
    <t>cf</t>
  </si>
  <si>
    <t>CLARISSA FRANÇA/ARQUIVO DA EDITORA</t>
  </si>
  <si>
    <t>Claudia Brito</t>
  </si>
  <si>
    <t>cb</t>
  </si>
  <si>
    <t>CLAUDIA BRITO/ARQUIVO DA EDITORA</t>
  </si>
  <si>
    <t>Claudia Souza</t>
  </si>
  <si>
    <t>cz</t>
  </si>
  <si>
    <t>CLAUDIA SOUZA/ARQUIVO DA EDITORA</t>
  </si>
  <si>
    <t>Copa Studio</t>
  </si>
  <si>
    <t>ap</t>
  </si>
  <si>
    <t>Cria Ideias</t>
  </si>
  <si>
    <t>cr</t>
  </si>
  <si>
    <t>Cris Eich (Maria Cristina Pires de Carvalho)</t>
  </si>
  <si>
    <t>ce</t>
  </si>
  <si>
    <t>CRIS EICH/ARQUIVO DA EDITORA</t>
  </si>
  <si>
    <t>Cynthia Sekiguchi</t>
  </si>
  <si>
    <t>ck</t>
  </si>
  <si>
    <t>CYNTHIA SEKIGUCHI/ARQUIVO DA EDITORA</t>
  </si>
  <si>
    <t>Dani Mota</t>
  </si>
  <si>
    <t>dm</t>
  </si>
  <si>
    <t>DANI MOTA/ARQUIVO DA EDITORA</t>
  </si>
  <si>
    <t>Daniel Araujo</t>
  </si>
  <si>
    <t>da</t>
  </si>
  <si>
    <t>DANIEL ARAUJO/ARQUIVO DA EDITORA</t>
  </si>
  <si>
    <t>Daniel Carvalho</t>
  </si>
  <si>
    <t>dc</t>
  </si>
  <si>
    <t>DANIEL CARVALHO/ARQUIVO DA EDITORA</t>
  </si>
  <si>
    <t>Daniel Wu</t>
  </si>
  <si>
    <t>dw</t>
  </si>
  <si>
    <t>DANIEL WU/ARQUIVO DA EDITORA</t>
  </si>
  <si>
    <t>Daniel Zeppo</t>
  </si>
  <si>
    <t>dz</t>
  </si>
  <si>
    <t>DANIEL GUSTAVO SILVA GONÇALVES/ARQUIVO DA EDITORA</t>
  </si>
  <si>
    <t>Danielle Pioli</t>
  </si>
  <si>
    <t>dp</t>
  </si>
  <si>
    <t>DANIELLE PIOLI/ARQUIVO DA EDITORA</t>
  </si>
  <si>
    <t>Danillo Souza</t>
  </si>
  <si>
    <t>dl</t>
  </si>
  <si>
    <t>DANILLO SOUZA/ARQUIVO DA EDITORA</t>
  </si>
  <si>
    <t>Danilo Santos - Red Dragon</t>
  </si>
  <si>
    <t>DANILO SANTOS/ARQUIVO DA EDITORA</t>
  </si>
  <si>
    <t>Davi Augusto</t>
  </si>
  <si>
    <t>do</t>
  </si>
  <si>
    <t>DAVI AUGUSTO/ARQUIVO DA EDITORA</t>
  </si>
  <si>
    <t>David Renó</t>
  </si>
  <si>
    <t>dv</t>
  </si>
  <si>
    <t>DAVI RENÓ/ARQUIVO DA EDITORA</t>
  </si>
  <si>
    <t>Dayane Barbieri</t>
  </si>
  <si>
    <t>db</t>
  </si>
  <si>
    <t>DAYANE BARBIERI/ARQUIVO DA EDITORA</t>
  </si>
  <si>
    <t>Débora Ferreira</t>
  </si>
  <si>
    <t>df</t>
  </si>
  <si>
    <t>DÉBORA FERREIRA/ARQUIVO DA EDITORA</t>
  </si>
  <si>
    <t>Débora Kamogawa</t>
  </si>
  <si>
    <t>dk</t>
  </si>
  <si>
    <t>DÉBORA KAMOGAWA/ARQUIVO DA EDITORA</t>
  </si>
  <si>
    <t>Débora Mini</t>
  </si>
  <si>
    <t>di</t>
  </si>
  <si>
    <t>DÉBORA MINI/ARQUIVO DA EDITORA</t>
  </si>
  <si>
    <t>Desenhorama Estúdio</t>
  </si>
  <si>
    <t>ds</t>
  </si>
  <si>
    <t>DEIVY LIMA COSTA/ARQUIVO DA EDITORA</t>
  </si>
  <si>
    <t>Dogzilla Studio - Walkir Fernandes</t>
  </si>
  <si>
    <t>dg</t>
  </si>
  <si>
    <t>WALKIR FERNANDES/ARQUIVO DA EDITORA</t>
  </si>
  <si>
    <t>Dois de nós (Kime Rodrigues)</t>
  </si>
  <si>
    <t>dn</t>
  </si>
  <si>
    <t>GUILHERME RODRIGUES/ARQUIVO DA EDITORA</t>
  </si>
  <si>
    <t>Eber Evangelista</t>
  </si>
  <si>
    <t>ee</t>
  </si>
  <si>
    <t>EBER EVANGELISTA/ARQUIVO DA EDITORA</t>
  </si>
  <si>
    <t>Edde Wagner Aguiar</t>
  </si>
  <si>
    <t>ew</t>
  </si>
  <si>
    <t>EDDE AGUIAR/ARQUIVO DA EDITORA</t>
  </si>
  <si>
    <t>Edson Bellusci Cavalcante</t>
  </si>
  <si>
    <t>EDSON BELLUSCI/ARQUIVO DA EDITORA</t>
  </si>
  <si>
    <t>Edson Farias</t>
  </si>
  <si>
    <t>ef</t>
  </si>
  <si>
    <t>EDSON FARIAS/ARQUIVO DA EDITORA</t>
  </si>
  <si>
    <t>Eduardo A. Rosa Neto</t>
  </si>
  <si>
    <t>du</t>
  </si>
  <si>
    <t>EDUARDO ROSA/ARQUIVO DA EDITORA</t>
  </si>
  <si>
    <t>Eduardo Borges</t>
  </si>
  <si>
    <t>eb</t>
  </si>
  <si>
    <t>EDUARDO BORGES/ARQUIVO DA EDITORA</t>
  </si>
  <si>
    <t>Eduardo Carriça dos Santos</t>
  </si>
  <si>
    <t>es</t>
  </si>
  <si>
    <t>EDUARDO CARRIÇA/ARQUIVO DA EDITORA</t>
  </si>
  <si>
    <t>Ellen Jacob</t>
  </si>
  <si>
    <t>ej</t>
  </si>
  <si>
    <t>ELLEN JACOB/ARQUIVO DA EDITORA</t>
  </si>
  <si>
    <t>Enágio Coelho</t>
  </si>
  <si>
    <t>en</t>
  </si>
  <si>
    <t>ENÁGIO COELHO/ARQUIVO DA EDITORA</t>
  </si>
  <si>
    <t>Erica Maria Rocha Santos (Erica Maradona)</t>
  </si>
  <si>
    <t>er</t>
  </si>
  <si>
    <t>ERICA MARADONA/ARQUIVO DA EDITORA</t>
  </si>
  <si>
    <t>Erika Lourenço</t>
  </si>
  <si>
    <t>ek</t>
  </si>
  <si>
    <t>ERIKA LOURENÇO/ARQUIVO DA EDITORA</t>
  </si>
  <si>
    <t>Estúdio Amplarena</t>
  </si>
  <si>
    <t>al</t>
  </si>
  <si>
    <t>Estúdio Guerra</t>
  </si>
  <si>
    <t>eg</t>
  </si>
  <si>
    <t>Estúdio Ilustranet</t>
  </si>
  <si>
    <t>it</t>
  </si>
  <si>
    <t>RUBENS TAVARES LIMA FILHO/ARQUIVO DA EDITORA</t>
  </si>
  <si>
    <t>Estúdio Kiwi</t>
  </si>
  <si>
    <t>THIAGO LOPES/ARQUIVO DA EDITORA</t>
  </si>
  <si>
    <t>Estúdio Lab307</t>
  </si>
  <si>
    <t>ERIK MALAGRINO/ARQUIVO DA EDITORA</t>
  </si>
  <si>
    <t>Estúdio Meraki</t>
  </si>
  <si>
    <t>mk</t>
  </si>
  <si>
    <t>NATANAELE BILMAIA/ARQUIVO DA EDITORA</t>
  </si>
  <si>
    <t>Estúdio Mil</t>
  </si>
  <si>
    <t>em</t>
  </si>
  <si>
    <t>Estúdio Orangotango</t>
  </si>
  <si>
    <t>eo</t>
  </si>
  <si>
    <t>Estúdio Ornitorrinco</t>
  </si>
  <si>
    <t>ec</t>
  </si>
  <si>
    <t>MÁRCIO GUERRA/ARQUIVO DA EDITORA</t>
  </si>
  <si>
    <t>Estúdio Um mais Dois</t>
  </si>
  <si>
    <t>ud</t>
  </si>
  <si>
    <t>Ezequiel Silva (Monge Lua)</t>
  </si>
  <si>
    <t>ez</t>
  </si>
  <si>
    <t>EZEQUIEL SILVA/ARQUIVO DA EDITORA</t>
  </si>
  <si>
    <t>Ewerton Xavier</t>
  </si>
  <si>
    <t>ex</t>
  </si>
  <si>
    <t>EWERTON XAVIER/ARQUIVO DA EDITORA</t>
  </si>
  <si>
    <t>Fabio Eugenio</t>
  </si>
  <si>
    <t>FABIO EUGENIO/ARQUIVO DA EDITORA</t>
  </si>
  <si>
    <t>Fabíola Petri</t>
  </si>
  <si>
    <t>fp</t>
  </si>
  <si>
    <t>FABÍOLA PETRI/ARQUIVO DA EDITORA</t>
  </si>
  <si>
    <t>fg</t>
  </si>
  <si>
    <t>FELIPE GRIGOLI/ARQUIVO DA EDITORA</t>
  </si>
  <si>
    <t>Fernanda Monteiro</t>
  </si>
  <si>
    <t>fm</t>
  </si>
  <si>
    <t>FERNANDA MONTEIRO/ARQUIVO DA EDITORA</t>
  </si>
  <si>
    <t>Fernanda Pardini Biagio</t>
  </si>
  <si>
    <t>fb</t>
  </si>
  <si>
    <t>FERNANDA PARDINI BIAGIO/ARQUIVO DA EDITORA</t>
  </si>
  <si>
    <t>Flávia Nunes</t>
  </si>
  <si>
    <t>fn</t>
  </si>
  <si>
    <t>FLÁVIA NUNES/ARQUIVO DA EDITORA</t>
  </si>
  <si>
    <t>Flavio Roberto Pereira</t>
  </si>
  <si>
    <t>fl</t>
  </si>
  <si>
    <t>FLAVIO PEREIRA/ARQUIVO DA EDITORA</t>
  </si>
  <si>
    <t>Francine Matsumoto</t>
  </si>
  <si>
    <t>fr</t>
  </si>
  <si>
    <t>FRAN MATSUMOTO/ARQUIVO DA EDITORA</t>
  </si>
  <si>
    <t>Gabi Vasko</t>
  </si>
  <si>
    <t>gv</t>
  </si>
  <si>
    <t>GABI VASKO/ARQUIVO DA EDITORA</t>
  </si>
  <si>
    <t>Gabriel Kyu</t>
  </si>
  <si>
    <t>gk</t>
  </si>
  <si>
    <t>GABRIEL KYU/ARQUIVO DA EDITORA</t>
  </si>
  <si>
    <t>Gabriela Abreu de Souza</t>
  </si>
  <si>
    <t>gs</t>
  </si>
  <si>
    <t>GABRIELA ABREU/ARQUIVO DA EDITORA</t>
  </si>
  <si>
    <t>Gabriela Heberle</t>
  </si>
  <si>
    <t>gb</t>
  </si>
  <si>
    <t>GABRIELA HEBERLE/ARQUIVO DA EDITORA</t>
  </si>
  <si>
    <t>Gabriela Tozati</t>
  </si>
  <si>
    <t>gt</t>
  </si>
  <si>
    <t>GABRIELA TOZATI/ARQUIVO DA EDITORA</t>
  </si>
  <si>
    <t>gx</t>
  </si>
  <si>
    <t>GABRIELLA IMAI/ARQUIVO DA EDITORA</t>
  </si>
  <si>
    <t xml:space="preserve">Gilberto Audibert Alicio </t>
  </si>
  <si>
    <t>ga</t>
  </si>
  <si>
    <t>GILBERTO ALICIO/ARQUIVO DA EDITORA</t>
  </si>
  <si>
    <t>Giovana Medeiros</t>
  </si>
  <si>
    <t>gi</t>
  </si>
  <si>
    <t>GIOVANA MEDEIROS/ARQUIVO DA EDITORA</t>
  </si>
  <si>
    <t>Girafa Listrada</t>
  </si>
  <si>
    <t>gl</t>
  </si>
  <si>
    <t>BRUNA ASSIS BRASIL/ARQUIVO DA EDITORA</t>
  </si>
  <si>
    <t xml:space="preserve">Giully Leão </t>
  </si>
  <si>
    <t>gy</t>
  </si>
  <si>
    <t>GIULLY LEÃO/ARQUIVO DA EDITORA</t>
  </si>
  <si>
    <t xml:space="preserve">Giz de Cera Studio </t>
  </si>
  <si>
    <t>gz</t>
  </si>
  <si>
    <t>Graphorama</t>
  </si>
  <si>
    <t>gh</t>
  </si>
  <si>
    <t>Graziela Andrade</t>
  </si>
  <si>
    <t>ge</t>
  </si>
  <si>
    <t>GRAZIELA ANDRADE/ARQUIVO DA EDITORA</t>
  </si>
  <si>
    <t>Guilherme Aranega - Estudio Rufus</t>
  </si>
  <si>
    <t>gn</t>
  </si>
  <si>
    <t>GUILHERME ARANEGA/ARQUIVO DA EDITORA</t>
  </si>
  <si>
    <t>Guilherme Casagrandi</t>
  </si>
  <si>
    <t>gg</t>
  </si>
  <si>
    <t>GUILHERME CASAGRANDI/ARQUIVO DA EDITORA</t>
  </si>
  <si>
    <t>Guilherme Da Cas</t>
  </si>
  <si>
    <t>gc</t>
  </si>
  <si>
    <t>GUILHERME DA CAS/ARQUIVO DA EDITORA</t>
  </si>
  <si>
    <t>Gustavo Conti</t>
  </si>
  <si>
    <t>gu</t>
  </si>
  <si>
    <t>GUSTAVO CONTI/ARQUIVO DA EDITORA</t>
  </si>
  <si>
    <t>Gustavo Pedrosa</t>
  </si>
  <si>
    <t>gp</t>
  </si>
  <si>
    <t>GUSTAVO PEDROSA/ARQUIVO DA EDITORA</t>
  </si>
  <si>
    <t>Gustavo Ramos</t>
  </si>
  <si>
    <t>GUSTAVO RAMOS/ARQUIVO DA EDITORA</t>
  </si>
  <si>
    <t xml:space="preserve">Heloísa Pintarelli </t>
  </si>
  <si>
    <t>he</t>
  </si>
  <si>
    <t>HELOÍSA PINTARELLI/ARQUIVO DA EDITORA</t>
  </si>
  <si>
    <t>Henrique Dan Fuzitani</t>
  </si>
  <si>
    <t>hf</t>
  </si>
  <si>
    <t>HENRIQUE DAN FUZITANI/ARQUIVO DA EDITORA</t>
  </si>
  <si>
    <t>Henrique Jorge</t>
  </si>
  <si>
    <t>hj</t>
  </si>
  <si>
    <t>HENRIQUE JORGE G. M. SILVA/ARQUIVO DA EDITORA</t>
  </si>
  <si>
    <t>Hiro Kawahara</t>
  </si>
  <si>
    <t>hk</t>
  </si>
  <si>
    <t>HIRO KAWAHARA/ARQUIVO DA EDITORA</t>
  </si>
  <si>
    <t>Hugo Araújo</t>
  </si>
  <si>
    <t>HUGO ARAÚJO/ARQUIVO DA EDITORA</t>
  </si>
  <si>
    <t>Iberá Júnior</t>
  </si>
  <si>
    <t>ij</t>
  </si>
  <si>
    <t>IBERÁ JÚNIOR/ARQUIVO DA EDITORA</t>
  </si>
  <si>
    <t xml:space="preserve">Ideário Lab </t>
  </si>
  <si>
    <t>REINALDO ROSA/ARQUIVO DA EDITORA</t>
  </si>
  <si>
    <t>Ilustra Cartoon</t>
  </si>
  <si>
    <t>ic</t>
  </si>
  <si>
    <t>Imaginario Studio - Fabio Eiji</t>
  </si>
  <si>
    <t>ig</t>
  </si>
  <si>
    <t>FABIO EIJI SIRASUMA/ARQUIVO DA EDITORA</t>
  </si>
  <si>
    <t>Ingrid Skare</t>
  </si>
  <si>
    <t>ik</t>
  </si>
  <si>
    <t>INGRID SKARE/ARQUIVO DA EDITORA</t>
  </si>
  <si>
    <t>ib</t>
  </si>
  <si>
    <t>INGRIDHI BORGES/ARQUIVO DA EDITORA</t>
  </si>
  <si>
    <t>Inkdrop Estudio</t>
  </si>
  <si>
    <t>ie</t>
  </si>
  <si>
    <t>Irena Freitas</t>
  </si>
  <si>
    <t>if</t>
  </si>
  <si>
    <t>IRENA FREITAS/ARQUIVO DA EDITORA</t>
  </si>
  <si>
    <t>Isabela Santos Ferreira do Vale</t>
  </si>
  <si>
    <t>ss</t>
  </si>
  <si>
    <t>ISABELA SANTOS/ARQUIVO DA EDITORA</t>
  </si>
  <si>
    <t>Isabella Medeiros</t>
  </si>
  <si>
    <t>im</t>
  </si>
  <si>
    <t>ISABELLA MEDEIROS/ARQUIVO DA EDITORA</t>
  </si>
  <si>
    <t>Isadora Zeferino</t>
  </si>
  <si>
    <t>is</t>
  </si>
  <si>
    <t>ISADORA ZEFERINO/ARQUIVO DA EDITORA</t>
  </si>
  <si>
    <t>Ísis Duarte</t>
  </si>
  <si>
    <t>iu</t>
  </si>
  <si>
    <t>ÍSIS DUARTE/ARQUIVO DA EDITORA</t>
  </si>
  <si>
    <t>Ivy Nunes</t>
  </si>
  <si>
    <t>iv</t>
  </si>
  <si>
    <t>IVY NUNES/ARQUIVO DA EDITORA</t>
  </si>
  <si>
    <t>Izaac Brito</t>
  </si>
  <si>
    <t>zb</t>
  </si>
  <si>
    <t>IZAAC BRITO/ARQUIVO DA EDITORA</t>
  </si>
  <si>
    <t>Jacqueline Amadio</t>
  </si>
  <si>
    <t>jc</t>
  </si>
  <si>
    <t>JACQUELINE AMADIO/ARQUIVO DA EDITORA</t>
  </si>
  <si>
    <t>Jacqueline Lima</t>
  </si>
  <si>
    <t>jl</t>
  </si>
  <si>
    <t>JACQUELINE LIMA/ARQUIVO DA EDITORA</t>
  </si>
  <si>
    <t>Janaina de Oliveira Castro</t>
  </si>
  <si>
    <t>ja</t>
  </si>
  <si>
    <t>JANAINA OLIVEIRA/ARQUIVO DA EDITORA</t>
  </si>
  <si>
    <t>Jessica Machado</t>
  </si>
  <si>
    <t>jg</t>
  </si>
  <si>
    <t>JESSICA MACHADO/ARQUIVO DA EDITORA</t>
  </si>
  <si>
    <t>Jéssica Sinnema</t>
  </si>
  <si>
    <t>jt</t>
  </si>
  <si>
    <t>JÉSSICA SINNEMA/ARQUIVO DA EDITORA</t>
  </si>
  <si>
    <t>Jéssyca Gomes</t>
  </si>
  <si>
    <t>je</t>
  </si>
  <si>
    <t>JÉSSYKA GOMES/ARQUIVO DA EDITORA</t>
  </si>
  <si>
    <t>João Ricardo Sampaio</t>
  </si>
  <si>
    <t>js</t>
  </si>
  <si>
    <t>JOÃO SAMPAIO/ARQUIVO DA EDITORA</t>
  </si>
  <si>
    <t>João Vitor Vanzela</t>
  </si>
  <si>
    <t>jv</t>
  </si>
  <si>
    <t>JOÃO VITOR VANZELA/ARQUIVO DA EDITORA</t>
  </si>
  <si>
    <t>Johannes de Paulo</t>
  </si>
  <si>
    <t>jp</t>
  </si>
  <si>
    <t>JOHANNES DE PAULO/ARQUIVO DA EDITORA</t>
  </si>
  <si>
    <t>Jorge Henrique Brazilio dos Santos</t>
  </si>
  <si>
    <t>jh</t>
  </si>
  <si>
    <t>JORGE BRAZÍLIO/ARQUIVO DA EDITORA</t>
  </si>
  <si>
    <t>Jorge Zaiba</t>
  </si>
  <si>
    <t>za</t>
  </si>
  <si>
    <t>JORGE ZAIBA/ARQUIVO DA EDITORA</t>
  </si>
  <si>
    <t>José Vitor Elorza Costa</t>
  </si>
  <si>
    <t>zv</t>
  </si>
  <si>
    <t>JOSÉ VITOR ELORZA/ARQUIVO DA EDITORA</t>
  </si>
  <si>
    <t>Jotabe Ilustração Infantil</t>
  </si>
  <si>
    <t>jb</t>
  </si>
  <si>
    <t>Julia Mello</t>
  </si>
  <si>
    <t>jm</t>
  </si>
  <si>
    <t>JULIA MELLO/ARQUIVO DA EDITORA</t>
  </si>
  <si>
    <t>Julia Ponnick</t>
  </si>
  <si>
    <t>JULIA PONNICK/ARQUIVO DA EDITORA</t>
  </si>
  <si>
    <t>Juliana Dacosta</t>
  </si>
  <si>
    <t>JULIANA DACOSTA/ARQUIVO DA EDITORA</t>
  </si>
  <si>
    <t>Juliana Del Anhol Azevedo</t>
  </si>
  <si>
    <t>jd</t>
  </si>
  <si>
    <t>JULIANA DEL ANHOL AZEVEDO/ARQUIVO DA EDITORA</t>
  </si>
  <si>
    <t>Juliana Oliveira</t>
  </si>
  <si>
    <t>ju</t>
  </si>
  <si>
    <t>JULIANA OLIVERIA/ARQUIVO DA EDITORA</t>
  </si>
  <si>
    <t>Júnior Caramez (Antonio Carlos Caramez Jr.)</t>
  </si>
  <si>
    <t>jr</t>
  </si>
  <si>
    <t>ANTONIO CARLOS CARAMEZ JÚNIOR/ARQUIVO DA EDITORA</t>
  </si>
  <si>
    <t>Karina Tamaki Kobayashi</t>
  </si>
  <si>
    <t>kr</t>
  </si>
  <si>
    <t>KARINA TAMAKI KOBAYASHI/ARQUIVO DA EDITORA</t>
  </si>
  <si>
    <t>Karyne Elise Teixeira</t>
  </si>
  <si>
    <t>ke</t>
  </si>
  <si>
    <t>Katharine Frota</t>
  </si>
  <si>
    <t>kf</t>
  </si>
  <si>
    <t>KATHARINE FROTA/ARQUIVO DA EDITORA</t>
  </si>
  <si>
    <t>Keithy Mostachi</t>
  </si>
  <si>
    <t>KEITHY MOSTACHI/ARQUIVO DA EDITORA</t>
  </si>
  <si>
    <t>Kendra Rubio da Silva</t>
  </si>
  <si>
    <t>ks</t>
  </si>
  <si>
    <t>KENDRA RUBIO/ARQUIVO DA EDITORA</t>
  </si>
  <si>
    <t>Kézia Trentini</t>
  </si>
  <si>
    <t>kt</t>
  </si>
  <si>
    <t>KÉZIA TRENTINI/ARQUIVO DA EDITORA</t>
  </si>
  <si>
    <t>Kirlley Velôso</t>
  </si>
  <si>
    <t>kv</t>
  </si>
  <si>
    <t>KIRLLEY VELÔSO/ARQUIVO DA EDITORA</t>
  </si>
  <si>
    <t>Klayton Luz</t>
  </si>
  <si>
    <t>kl</t>
  </si>
  <si>
    <t>KLAYTON LUZ/ARQUIVO DA EDITORA</t>
  </si>
  <si>
    <t>Kleber Maurício Coelho - GIZ DE CERA</t>
  </si>
  <si>
    <t>kb</t>
  </si>
  <si>
    <t>KLEBER MAURÍCIO COELHO/ARQUIVO DA EDITORA</t>
  </si>
  <si>
    <t>Laís Bicudo</t>
  </si>
  <si>
    <t>lc</t>
  </si>
  <si>
    <t>LAÍS BICUDO/ARQUIVO DA EDITORA</t>
  </si>
  <si>
    <t xml:space="preserve">Laís Cristina Caldonazzo Garbelini </t>
  </si>
  <si>
    <t>lg</t>
  </si>
  <si>
    <t>LAÍS GARBELINI/ARQUIVO DA EDITORA</t>
  </si>
  <si>
    <t>Leandro Júnior Pimenta</t>
  </si>
  <si>
    <t>lt</t>
  </si>
  <si>
    <t>LEANDRO PIMENTA/ARQUIVO DA EDITORA</t>
  </si>
  <si>
    <t>Leandro Lassmar</t>
  </si>
  <si>
    <t xml:space="preserve">ls </t>
  </si>
  <si>
    <t>LEANDRO LASSMAR /ARQUIVO DA EDITORA</t>
  </si>
  <si>
    <t>Leo Gibran</t>
  </si>
  <si>
    <t>le</t>
  </si>
  <si>
    <t>LEO GIBRAN/ARQUIVO DA EDITORA</t>
  </si>
  <si>
    <t>Leo Natsume</t>
  </si>
  <si>
    <t>ln</t>
  </si>
  <si>
    <t>LEO NATSUME/ARQUIVO DA EDITORA</t>
  </si>
  <si>
    <t>Leonardo de Moura Amaral - GIZ DE CERA</t>
  </si>
  <si>
    <t>la</t>
  </si>
  <si>
    <t>LEONARDO DE MOURA AMARAL/ARQUIVO DA EDITORA</t>
  </si>
  <si>
    <t>Leonardo Mari</t>
  </si>
  <si>
    <t>lm</t>
  </si>
  <si>
    <t>LEONARDO MARI/ARQUIVO DA EDITORA</t>
  </si>
  <si>
    <t>Letícia Ribeiro</t>
  </si>
  <si>
    <t>lr</t>
  </si>
  <si>
    <t>LETÍCIA RIBEIRO/ARQUIVO DA EDITORA</t>
  </si>
  <si>
    <t>Liberi</t>
  </si>
  <si>
    <t>l</t>
  </si>
  <si>
    <t>LIBERI/ARQUIVO DA EDITORA</t>
  </si>
  <si>
    <t>Lislley Velani</t>
  </si>
  <si>
    <t>ly</t>
  </si>
  <si>
    <t>LISLLEY GOMES FEIGE/ARQUIVO DA EDITORA</t>
  </si>
  <si>
    <t>Loquaz Design</t>
  </si>
  <si>
    <t>lq</t>
  </si>
  <si>
    <t>Lucas Kenzo Hamazaki</t>
  </si>
  <si>
    <t>kz</t>
  </si>
  <si>
    <t>KENZO HAMAZAKI/ARQUIVO DA EDITORA</t>
  </si>
  <si>
    <t>Lucas Palma</t>
  </si>
  <si>
    <t>lp</t>
  </si>
  <si>
    <t>LUCAS PALMA/ARQUIVO DA EDITORA</t>
  </si>
  <si>
    <t xml:space="preserve">Luciane Mori </t>
  </si>
  <si>
    <t>lu</t>
  </si>
  <si>
    <t>LUCIANE MORI/ARQUIVO DA EDITORA</t>
  </si>
  <si>
    <t>Luciano Veronezi</t>
  </si>
  <si>
    <t>lv</t>
  </si>
  <si>
    <t>LUCIANO VERONEZI/ARQUIVO DA EDITORA</t>
  </si>
  <si>
    <t>Luiz Fernando Fogaça</t>
  </si>
  <si>
    <t>lf</t>
  </si>
  <si>
    <t>LUIZ F. FOGAÇA/ARQUIVO DA EDITORA</t>
  </si>
  <si>
    <t>Luiz Lentini</t>
  </si>
  <si>
    <t>LUIZ PEREZ LENTINI/ARQUIVO DA EDITORA</t>
  </si>
  <si>
    <t>Luiz Roberto Lúcio Correa</t>
  </si>
  <si>
    <t>bo</t>
  </si>
  <si>
    <t>LUIZ ROBERTO/ARQUIVO DA EDITORA</t>
  </si>
  <si>
    <t>Malu Menezes</t>
  </si>
  <si>
    <t>mx</t>
  </si>
  <si>
    <t>MALU MENEZES/ARQUIVO DA EDITORA</t>
  </si>
  <si>
    <t>Marcela Pialarissi</t>
  </si>
  <si>
    <t>ma</t>
  </si>
  <si>
    <t>MARCELA PIALARISSI/ARQUIVO DA EDITORA</t>
  </si>
  <si>
    <t>Marcello Araújo</t>
  </si>
  <si>
    <t>mj</t>
  </si>
  <si>
    <t>MARCELLO ARAUJO/ARQUIVO DA EDITORA</t>
  </si>
  <si>
    <t>Marcelo Castro</t>
  </si>
  <si>
    <t>mc</t>
  </si>
  <si>
    <t>MARCELO CASTRO/ARQUIVO DA EDITORA</t>
  </si>
  <si>
    <t>Marciano Palácio</t>
  </si>
  <si>
    <t>mz</t>
  </si>
  <si>
    <t>MARCIANO PALÁCIO/ARQUIVO DA EDITORA</t>
  </si>
  <si>
    <t>Marcos Farrell</t>
  </si>
  <si>
    <t>mr</t>
  </si>
  <si>
    <t>MARCOS FARRELL/ARQUIVO DA EDITORA</t>
  </si>
  <si>
    <t>Marcos Machado</t>
  </si>
  <si>
    <t>mm</t>
  </si>
  <si>
    <t>MARCOS MACHADO/ARQUIVO DA EDITORA</t>
  </si>
  <si>
    <t>Marcos Mello</t>
  </si>
  <si>
    <t>me</t>
  </si>
  <si>
    <t>MARCO MELLO/ARQUIVO DA EDITORA</t>
  </si>
  <si>
    <t>Maria Gabriela Gama</t>
  </si>
  <si>
    <t>md</t>
  </si>
  <si>
    <t>MARIA GABRIELA GAMA/ARQUIVO DA EDITORA</t>
  </si>
  <si>
    <t>Minna Miná</t>
  </si>
  <si>
    <t>mq</t>
  </si>
  <si>
    <t>MINNA MINÁ/ARQUIVO DA EDITORA</t>
  </si>
  <si>
    <t>Mariana Valente</t>
  </si>
  <si>
    <t>mn</t>
  </si>
  <si>
    <t>MARIANA VALENTE/ARQUIVO DA EDITORA</t>
  </si>
  <si>
    <t>Marília Bruno</t>
  </si>
  <si>
    <t>mb</t>
  </si>
  <si>
    <t>MARÍLIA BRUNO/ARQUIVO DA EDITORA</t>
  </si>
  <si>
    <t>Marilia Pirilo</t>
  </si>
  <si>
    <t>mp</t>
  </si>
  <si>
    <t>MARILIA PIRILO/ARQUIVO DA EDITORA</t>
  </si>
  <si>
    <t>Mario Henrique Boaventura Nakano</t>
  </si>
  <si>
    <t>mh</t>
  </si>
  <si>
    <t>MARIO HENRIQUE/ARQUIVO DA EDITORA</t>
  </si>
  <si>
    <t>Marlowa</t>
  </si>
  <si>
    <t>mw</t>
  </si>
  <si>
    <t>MARLOWA/ARQUIVO DA EDITORA</t>
  </si>
  <si>
    <t>Maryane Vioto Silva</t>
  </si>
  <si>
    <t>mv</t>
  </si>
  <si>
    <t>MARYANE VIOTO SILVA/ARQUIVO DA EDITORA</t>
  </si>
  <si>
    <t>Maurenilson Freire</t>
  </si>
  <si>
    <t>mu</t>
  </si>
  <si>
    <t>MAURENILSON FREIRE/ARQUIVO DA EDITORA</t>
  </si>
  <si>
    <t>Maurício Loyola</t>
  </si>
  <si>
    <t>ml</t>
  </si>
  <si>
    <t>MAURÍCIO LOYOLA/ARQUIVO DA EDITORA</t>
  </si>
  <si>
    <t>Maurício Planel</t>
  </si>
  <si>
    <t>mo</t>
  </si>
  <si>
    <t>MAURICIO PLANEL/ARQUIVO DA EDITORA</t>
  </si>
  <si>
    <t>Mauro Souza</t>
  </si>
  <si>
    <t>ms</t>
  </si>
  <si>
    <t>MAURO SOUZA/ARQUIVO DA EDITORA</t>
  </si>
  <si>
    <t>Melissa Garabeli</t>
  </si>
  <si>
    <t>mg</t>
  </si>
  <si>
    <t>MELISSA GARABELI/ARQUIVO DA EDITORA</t>
  </si>
  <si>
    <t>Michael Altomani</t>
  </si>
  <si>
    <t>MICHEL ALTOMANI/ARQUIVO DA EDITORA</t>
  </si>
  <si>
    <t>Michel Ramalho</t>
  </si>
  <si>
    <t>mi</t>
  </si>
  <si>
    <t>MICHEL RAMALHO/ARQUIVO DA EDITORA</t>
  </si>
  <si>
    <t>Milena Godoy</t>
  </si>
  <si>
    <t xml:space="preserve">oy </t>
  </si>
  <si>
    <t>GABRIELA MELLO/MILENA GODOY/ARQUIVO DA EDITORA</t>
  </si>
  <si>
    <t>Mosaico Fluído</t>
  </si>
  <si>
    <t>mf</t>
  </si>
  <si>
    <t>MOSAICO FLUÍDO/ARQUIVO DA EDITORA</t>
  </si>
  <si>
    <t>Motoca Design</t>
  </si>
  <si>
    <t>mt</t>
  </si>
  <si>
    <t>MOTOCA DESIGN/ARQUIVO DA EDITORA</t>
  </si>
  <si>
    <t>Murilo Moretti</t>
  </si>
  <si>
    <t>et</t>
  </si>
  <si>
    <t>MURILO MORETTI/ARQUIVO DA EDITORA</t>
  </si>
  <si>
    <t xml:space="preserve">Natanaele Lima Bilmaia </t>
  </si>
  <si>
    <t>nb</t>
  </si>
  <si>
    <t>Nathalia Ichioka</t>
  </si>
  <si>
    <t>ni</t>
  </si>
  <si>
    <t>NATHALIA ICHIOKA/ARQUIVO DA EDITORA</t>
  </si>
  <si>
    <t xml:space="preserve">Nelson Akira Ishikawa </t>
  </si>
  <si>
    <t>ne</t>
  </si>
  <si>
    <t>NELSON ISHIKAWA /ARQUIVO DA EDITORA</t>
  </si>
  <si>
    <t>Nelson Cosentino</t>
  </si>
  <si>
    <t>nc</t>
  </si>
  <si>
    <t>NELSON COSENTINO/ARQUIVO DA EDITORA</t>
  </si>
  <si>
    <t>Nicolas Furtado</t>
  </si>
  <si>
    <t>nf</t>
  </si>
  <si>
    <t>NICOLAS FURTADO/ARQUIVO DA EDITORA</t>
  </si>
  <si>
    <t>Nicole Santos</t>
  </si>
  <si>
    <t>ns</t>
  </si>
  <si>
    <t>NICOLE SANTOS/ARQUIVO DA EDITORA</t>
  </si>
  <si>
    <t>Nik Neves</t>
  </si>
  <si>
    <t>nk</t>
  </si>
  <si>
    <t>NIK NEVES/ARQUIVO DA EDITORA</t>
  </si>
  <si>
    <t xml:space="preserve">Ohanna Schmitt </t>
  </si>
  <si>
    <t>oh</t>
  </si>
  <si>
    <t>OHANNA SCHMITT/ARQUIVO DA EDITORA</t>
  </si>
  <si>
    <t>Patrícia Kelen Takahashi</t>
  </si>
  <si>
    <t>pk</t>
  </si>
  <si>
    <t>PATRÍCIA KELEN TAKAHASHI/ARQUIVO DA EDITORA</t>
  </si>
  <si>
    <t>Patricia Paulozi de Menezes</t>
  </si>
  <si>
    <t>pp</t>
  </si>
  <si>
    <t>PATRÍCIA PAULOZI/ARQUIVO DA EDITORA</t>
  </si>
  <si>
    <t>Patricia Pessoa</t>
  </si>
  <si>
    <t>pt</t>
  </si>
  <si>
    <t>PATRICIA PESSOA/ARQUIVO DA EDITORA</t>
  </si>
  <si>
    <t>Paula Diazzi Ferreira</t>
  </si>
  <si>
    <t>pa</t>
  </si>
  <si>
    <t>PAULA DIAZZI/ARQUIVO DA EDITORA</t>
  </si>
  <si>
    <t>Paula Kranz</t>
  </si>
  <si>
    <t>pz</t>
  </si>
  <si>
    <t>PAULA KRANZ/ARQUIVO DA EDITORA</t>
  </si>
  <si>
    <t>Paula Radi</t>
  </si>
  <si>
    <t>PAULA RADI/ARQUIVO DA EDITORA</t>
  </si>
  <si>
    <t>Pedro Guilherme Pauletti Lorenzo</t>
  </si>
  <si>
    <t>pl</t>
  </si>
  <si>
    <t>PEDRO LORENZO/ARQUIVO DA EDITORA</t>
  </si>
  <si>
    <t>Petra Mendes</t>
  </si>
  <si>
    <t>pm</t>
  </si>
  <si>
    <t>PETRA MENDES/ARQUIVO DA EDITORA</t>
  </si>
  <si>
    <t>Poliana de Fátima Garcia</t>
  </si>
  <si>
    <t>po</t>
  </si>
  <si>
    <t>POLIANA GARCIA/ARQUIVO DA EDITORA</t>
  </si>
  <si>
    <t>Pri Wi</t>
  </si>
  <si>
    <t>pw</t>
  </si>
  <si>
    <t>PRIWI/ARQUIVO DA EDITORA</t>
  </si>
  <si>
    <t xml:space="preserve">Priscilla Camacho </t>
  </si>
  <si>
    <t>ps</t>
  </si>
  <si>
    <t>PRISCILLA CAMACHO/ARQUIVO DA EDITORA</t>
  </si>
  <si>
    <t>Quanta Studio (2014 em diante)</t>
  </si>
  <si>
    <t>qs</t>
  </si>
  <si>
    <t>QUANTA STUDIO (2014 EM DIANTE)/ARQUIVO DA EDITORA</t>
  </si>
  <si>
    <t>Quanta Studio (até 2013)</t>
  </si>
  <si>
    <t>qt</t>
  </si>
  <si>
    <t>QUANTA STUDIO (ATÉ 2013)/ARQUIVO DA EDITORA</t>
  </si>
  <si>
    <t xml:space="preserve">Rafael da Silva </t>
  </si>
  <si>
    <t>rd</t>
  </si>
  <si>
    <t>RAFAEL SILVA/ARQUIVO DA EDITORA</t>
  </si>
  <si>
    <t>Rafael da Silva Hatadani</t>
  </si>
  <si>
    <t>rh</t>
  </si>
  <si>
    <t>RAFAEL HATADANI/ARQUIVO DA EDITORA</t>
  </si>
  <si>
    <t>Rafael Gallardo</t>
  </si>
  <si>
    <t>rf</t>
  </si>
  <si>
    <t>RAFAEL GALLARDO/ARQUIVO DA EDITORA</t>
  </si>
  <si>
    <t>Rafael Lam</t>
  </si>
  <si>
    <t>rl</t>
  </si>
  <si>
    <t>RAFAEL LAM/ARQUIVO DA EDITORA</t>
  </si>
  <si>
    <t>Rafael Luís Gaion</t>
  </si>
  <si>
    <t>RAFAEL L. GAION/ARQUIVO DA EDITORA</t>
  </si>
  <si>
    <t>Rafael Luzio Rodrigues</t>
  </si>
  <si>
    <t>lz</t>
  </si>
  <si>
    <t>RAFAEL LUZIO/ARQUIVO DA EDITORA</t>
  </si>
  <si>
    <t>Rafael Martins - Somma</t>
  </si>
  <si>
    <t>Rafaela Harger</t>
  </si>
  <si>
    <t xml:space="preserve">rx </t>
  </si>
  <si>
    <t>RAFAELA HARGER/ARQUIVO DA EDITORA</t>
  </si>
  <si>
    <t>Rafaela Hidalgo Pereira</t>
  </si>
  <si>
    <t>rp</t>
  </si>
  <si>
    <t>RAFAELA H. PEREIRA/ARQUIVO DA EDITORA</t>
  </si>
  <si>
    <t>RAFAELA PANISSA/ARQUIVO DA EDITORA</t>
  </si>
  <si>
    <t>Raíssa Bulhões</t>
  </si>
  <si>
    <t>rs</t>
  </si>
  <si>
    <t>RAÍSSA BULHÕES/ARQUIVO DA EDITORA</t>
  </si>
  <si>
    <t>Raitan Ohi</t>
  </si>
  <si>
    <t>rt</t>
  </si>
  <si>
    <t>RAITAN OHI/ARQUIVO DA EDITORA</t>
  </si>
  <si>
    <t>Raquel Silva</t>
  </si>
  <si>
    <t>rq</t>
  </si>
  <si>
    <t>RAQUEL SILVA/ARQUIVO DA EDITORA</t>
  </si>
  <si>
    <t>Raul Aguiar</t>
  </si>
  <si>
    <t>ra</t>
  </si>
  <si>
    <t>RAUL AGUIAR/ARQUIVO DA EDITORA</t>
  </si>
  <si>
    <t>Rayanne Cardoso</t>
  </si>
  <si>
    <t>ay</t>
  </si>
  <si>
    <t>RAYANNE CARDOSO/ARQUIVO DA EDITORA</t>
  </si>
  <si>
    <t>Rebecca Baniski</t>
  </si>
  <si>
    <t>bk</t>
  </si>
  <si>
    <t>REBECCA BANISKI/ARQUIVO DA EDITORA</t>
  </si>
  <si>
    <t>Reinaldo Rosa - Ideario Lab</t>
  </si>
  <si>
    <t>il</t>
  </si>
  <si>
    <t>Renan de Oliveira Fonseca</t>
  </si>
  <si>
    <t>RENAN FONSECA/ARQUIVO DA EDITORA</t>
  </si>
  <si>
    <t>Renan Nuche</t>
  </si>
  <si>
    <t>rz</t>
  </si>
  <si>
    <t>RENAN NUCHE/ARQUIVO DA EDITORA</t>
  </si>
  <si>
    <t>Renato Rodrigues</t>
  </si>
  <si>
    <t>xr</t>
  </si>
  <si>
    <t>RENATO RODRIGUES/ARQUIVO DA EDITORA</t>
  </si>
  <si>
    <t>Rivaldo Ferreira Barboza Filho</t>
  </si>
  <si>
    <t>rv</t>
  </si>
  <si>
    <t>RIVALDO BARBOZA/ARQUIVO DA EDITORA</t>
  </si>
  <si>
    <t>Roberto Bigas</t>
  </si>
  <si>
    <t>rb</t>
  </si>
  <si>
    <t>ROBERTO BIGAS/ARQUIVO DA EDITORA</t>
  </si>
  <si>
    <t>Roberto Weigand</t>
  </si>
  <si>
    <t>rw</t>
  </si>
  <si>
    <t>ROBERTO WEIGAND/ARQUIVO DA EDITORA</t>
  </si>
  <si>
    <t>Robson Araújo</t>
  </si>
  <si>
    <t>rj</t>
  </si>
  <si>
    <t>ROBSON ARAÚJO/ARQUIVO DA EDITORA</t>
  </si>
  <si>
    <t>Rodrigo Arraya</t>
  </si>
  <si>
    <t>ry</t>
  </si>
  <si>
    <t>RODRIGO ARRAYA/ARQUIVO DA EDITORA</t>
  </si>
  <si>
    <t>Rodrigo Cordeiro</t>
  </si>
  <si>
    <t>rk</t>
  </si>
  <si>
    <t>RODRIGO CORDEIRO/ARQUIVO DA EDITORA</t>
  </si>
  <si>
    <t>Rodrigo Gafa</t>
  </si>
  <si>
    <t>ro</t>
  </si>
  <si>
    <t>RODRIGO GAFA/ARQUIVO DA EDITORA</t>
  </si>
  <si>
    <t>Roger Cartoon</t>
  </si>
  <si>
    <t>rg</t>
  </si>
  <si>
    <t>ROGER CARTOON/ARQUIVO DA EDITORA</t>
  </si>
  <si>
    <t xml:space="preserve">Rogério Casagrande </t>
  </si>
  <si>
    <t>rr</t>
  </si>
  <si>
    <t>ROGÉRIO CASAGRANDE/ARQUIVO DA EDITORA</t>
  </si>
  <si>
    <t>Rogério Coelho</t>
  </si>
  <si>
    <t>rc</t>
  </si>
  <si>
    <t>ROGÉRIO COELHO /ARQUIVO DA EDITORA</t>
  </si>
  <si>
    <t>Ronaldo Inácio De Lucena</t>
  </si>
  <si>
    <t>ri</t>
  </si>
  <si>
    <t>RONALDO LUCENA/ARQUIVO DA EDITORA</t>
  </si>
  <si>
    <t>Rosana Urbes</t>
  </si>
  <si>
    <t>ru</t>
  </si>
  <si>
    <t>ROSANA URBES/ARQUIVO DA EDITORA</t>
  </si>
  <si>
    <t>RS2 Comunicação</t>
  </si>
  <si>
    <t>sm</t>
  </si>
  <si>
    <t>RS2 COMUNICAÇÃO/ARQUIVO DA EDITORA</t>
  </si>
  <si>
    <t>Sabrina Eras</t>
  </si>
  <si>
    <t>se</t>
  </si>
  <si>
    <t>SABRINA ERAS/ARQUIVO DA EDITORA</t>
  </si>
  <si>
    <t>Samanta Flôor</t>
  </si>
  <si>
    <t>sf</t>
  </si>
  <si>
    <t>SAMANDA FLÔOR/ARQUIVO DA EDITORA</t>
  </si>
  <si>
    <t xml:space="preserve">Samuel Silva Nascimento </t>
  </si>
  <si>
    <t>sa</t>
  </si>
  <si>
    <t>SAMUEL SILVA/ARQUIVO DA EDITORA</t>
  </si>
  <si>
    <t>Saulo Nunes Marques</t>
  </si>
  <si>
    <t>SAULO NUNES/ARQUIVO DA EDITORA</t>
  </si>
  <si>
    <t>Sergio Luiz de Lima Filho</t>
  </si>
  <si>
    <t>sl</t>
  </si>
  <si>
    <t>SERGIO LIMA/ARQUIVO DA EDITORA</t>
  </si>
  <si>
    <t>Sidney Siqueira Meireles</t>
  </si>
  <si>
    <t>SIDNEY SIQUEIRA MEIRELES/ARQUIVO DA EDITORA</t>
  </si>
  <si>
    <t>Silvia Otofuji</t>
  </si>
  <si>
    <t>so</t>
  </si>
  <si>
    <t>SILVIA OTOFUJI/ARQUIVO DA EDITORA</t>
  </si>
  <si>
    <t>Simone Bellusci Cavalcante</t>
  </si>
  <si>
    <t>si</t>
  </si>
  <si>
    <t>SIMONE/ARQUIVO DA EDITORA</t>
  </si>
  <si>
    <t>Sonia Horn</t>
  </si>
  <si>
    <t>sh</t>
  </si>
  <si>
    <t>SONIA HORN/ARQUIVO DA EDITORA</t>
  </si>
  <si>
    <t>Sonia Vaz</t>
  </si>
  <si>
    <t>VAZ</t>
  </si>
  <si>
    <t>SONIA VAZ/ARQUIVO DA EDITORA</t>
  </si>
  <si>
    <t xml:space="preserve">Sputinik Studio </t>
  </si>
  <si>
    <t>sk</t>
  </si>
  <si>
    <t>SPUTINIK STUDIO/ARQUIVO DA EDITORA</t>
  </si>
  <si>
    <t>Studio Caparroz (Selma)</t>
  </si>
  <si>
    <t>sc</t>
  </si>
  <si>
    <t>SELMA CAPARROZ/ARQUIVO DA EDITORA</t>
  </si>
  <si>
    <t>Studio Maya</t>
  </si>
  <si>
    <t>my</t>
  </si>
  <si>
    <t>STUDIO MAYA/ARQUIVO DA EDITORA</t>
  </si>
  <si>
    <t>Studio OPZ</t>
  </si>
  <si>
    <t>oz</t>
  </si>
  <si>
    <t>ANDERSON GABRIEL CAPELOTO MACOHIN/ARQUIVO DA EDITORA</t>
  </si>
  <si>
    <t>Studio Pack</t>
  </si>
  <si>
    <t>sp</t>
  </si>
  <si>
    <t>STUDIO PACK/ARQUIVO DA EDITORA</t>
  </si>
  <si>
    <t>Suppa</t>
  </si>
  <si>
    <t>su</t>
  </si>
  <si>
    <t>VIVIAN SUPPA/ARQUIVO DA EDITORA</t>
  </si>
  <si>
    <t>Sylvia Muniz</t>
  </si>
  <si>
    <t>sy</t>
  </si>
  <si>
    <t>SYLVIA MUNIZ/ARQUIVO DA EDITORA</t>
  </si>
  <si>
    <t>Sylvia S. Nakamura</t>
  </si>
  <si>
    <t>sn</t>
  </si>
  <si>
    <t>SYLVIA NAKAMURA/ARQUIVO DA EDITORA</t>
  </si>
  <si>
    <t>Tamires Azevedo</t>
  </si>
  <si>
    <t>tr</t>
  </si>
  <si>
    <t>TAMIRES AZEVEDO/ARQUIVO DA EDITORA</t>
  </si>
  <si>
    <t>Tânia Machado</t>
  </si>
  <si>
    <t>tm</t>
  </si>
  <si>
    <t>TÂNIA MACHADO/ARQUIVO DA EDITORA</t>
  </si>
  <si>
    <t xml:space="preserve">Tatiana Paiva </t>
  </si>
  <si>
    <t>tp</t>
  </si>
  <si>
    <t>TATIANA PAIVA/ARQUIVO DA EDITORA</t>
  </si>
  <si>
    <t>TATIANE GALHEIRO/ARQUIVO DA EDITORA</t>
  </si>
  <si>
    <t>Thais Castro</t>
  </si>
  <si>
    <t>tc</t>
  </si>
  <si>
    <t>THAIS CASTRO/ARQUIVO DA EDITORA</t>
  </si>
  <si>
    <t>Thamires Paredes - Universo Paralelo</t>
  </si>
  <si>
    <t>THAMIRES PAREDES/ARQUIVO DA EDITORA</t>
  </si>
  <si>
    <t>Thiago Araujo Lima (Thiago Limon)</t>
  </si>
  <si>
    <t>tl</t>
  </si>
  <si>
    <t>THIAGO LIMA/ARQUIVO DA EDITORA</t>
  </si>
  <si>
    <t>Thiago Barbosa De Almeida</t>
  </si>
  <si>
    <t>ta</t>
  </si>
  <si>
    <t>THIAGO ALMEIDA/ARQUIVO DA EDITORA</t>
  </si>
  <si>
    <t xml:space="preserve">Thiago Moura Januário </t>
  </si>
  <si>
    <t>tj</t>
  </si>
  <si>
    <t>THIAGO MOURA JANUÁRIO/ARQUIVO DA EDITORA</t>
  </si>
  <si>
    <t>Thiago Neumann</t>
  </si>
  <si>
    <t>tn</t>
  </si>
  <si>
    <t>THIAGO NEUMANN/ARQUIVO DA EDITORA</t>
  </si>
  <si>
    <t>Thiago Soares</t>
  </si>
  <si>
    <t>tg</t>
  </si>
  <si>
    <t>THIAGO SOARES/ARQUIVO DA EDITORA</t>
  </si>
  <si>
    <t xml:space="preserve">TypoStudio </t>
  </si>
  <si>
    <t>ts</t>
  </si>
  <si>
    <t>Veridiana Pegoraro Camelo</t>
  </si>
  <si>
    <t>vo</t>
  </si>
  <si>
    <t>VERIDIANA PEGORARO CAMELO/ARQUIVO DA EDITORA</t>
  </si>
  <si>
    <t xml:space="preserve">Veridiana Scarpelli - IMAGERIA ESTUDIO </t>
  </si>
  <si>
    <t>vs</t>
  </si>
  <si>
    <t>VERIDIANA SCARPELLI/ARQUIVO DA EDITORA</t>
  </si>
  <si>
    <t>Victor Ferreira Lemos</t>
  </si>
  <si>
    <t>VICTOR LEMOS/ARQUIVO DA EDITORA</t>
  </si>
  <si>
    <t>Vitor Locatelli</t>
  </si>
  <si>
    <t>vl</t>
  </si>
  <si>
    <t>VITOR LOCATELLI/ARQUIVO DA EDITORA</t>
  </si>
  <si>
    <t>Volpe Studio</t>
  </si>
  <si>
    <t>vp</t>
  </si>
  <si>
    <t>VOLPE STUDIO/ARQUIVO DA EDITORA</t>
  </si>
  <si>
    <t xml:space="preserve">Waldomiro Neto </t>
  </si>
  <si>
    <t>wn</t>
  </si>
  <si>
    <t>WALDOMIRO NETO/ARQUIVO DA EDITORA</t>
  </si>
  <si>
    <t xml:space="preserve">Wandson Rocha </t>
  </si>
  <si>
    <t>wr</t>
  </si>
  <si>
    <t>WANDSON ROCHA/ARQUIVO DA EDITORA</t>
  </si>
  <si>
    <t>Wanick Correa Flores</t>
  </si>
  <si>
    <t>wk</t>
  </si>
  <si>
    <t>WANICK CORREA/ARQUIVO DA EDITORA</t>
  </si>
  <si>
    <t>Werllen Holanda</t>
  </si>
  <si>
    <t>wh</t>
  </si>
  <si>
    <t>WERLLEN HOLANDA/ARQUIVO DA EDITORA</t>
  </si>
  <si>
    <t>PRÉ-EDIÇÃO</t>
  </si>
  <si>
    <t>CAPA</t>
  </si>
  <si>
    <t>SCRIBA</t>
  </si>
  <si>
    <t>PREVISAO</t>
  </si>
  <si>
    <t>EDICAO_EQUIPE</t>
  </si>
  <si>
    <t>APRESENT.</t>
  </si>
  <si>
    <t>FTD</t>
  </si>
  <si>
    <t>IL + FOTO</t>
  </si>
  <si>
    <t>SUMÁRIO</t>
  </si>
  <si>
    <t>MDN</t>
  </si>
  <si>
    <t>FINALIZADO RAFE</t>
  </si>
  <si>
    <t>ABERTURA</t>
  </si>
  <si>
    <t>SABER</t>
  </si>
  <si>
    <t>SM</t>
  </si>
  <si>
    <t>PAGO RAFE</t>
  </si>
  <si>
    <t>PAG.ESPECIAL</t>
  </si>
  <si>
    <t>SCP</t>
  </si>
  <si>
    <t>FINALIZANDO</t>
  </si>
  <si>
    <t>INFOGRÁFICO</t>
  </si>
  <si>
    <t>MP-G</t>
  </si>
  <si>
    <t>ÚNICO</t>
  </si>
  <si>
    <t>ABR</t>
  </si>
  <si>
    <t>MP-E</t>
  </si>
  <si>
    <t>BASE</t>
  </si>
  <si>
    <t>IBEP</t>
  </si>
  <si>
    <t>LEYA</t>
  </si>
  <si>
    <t>SARAIVA</t>
  </si>
  <si>
    <t>SANTILLANA</t>
  </si>
  <si>
    <t>QUINTETO</t>
  </si>
  <si>
    <t>retranca</t>
  </si>
  <si>
    <t>status</t>
  </si>
  <si>
    <t>categoria</t>
  </si>
  <si>
    <t>localizacao</t>
  </si>
  <si>
    <t>pagina</t>
  </si>
  <si>
    <t>volume</t>
  </si>
  <si>
    <t>unidade</t>
  </si>
  <si>
    <t>capitulo_secao</t>
  </si>
  <si>
    <t>tipo</t>
  </si>
  <si>
    <t>descricao</t>
  </si>
  <si>
    <t>observacao_edit_nuc</t>
  </si>
  <si>
    <t>lote</t>
  </si>
  <si>
    <t>data_liberacao_para_arte</t>
  </si>
  <si>
    <t>data_envio_pedido</t>
  </si>
  <si>
    <t>data_recebimento_rafe</t>
  </si>
  <si>
    <t>data_retorno_rafe</t>
  </si>
  <si>
    <t>data_recebimento_finalizada</t>
  </si>
  <si>
    <t>sigla</t>
  </si>
  <si>
    <t>ilustrador</t>
  </si>
  <si>
    <t>ilustrador_ajuste</t>
  </si>
  <si>
    <t>credito</t>
  </si>
  <si>
    <t>classificacao</t>
  </si>
  <si>
    <t>observacao_arte</t>
  </si>
  <si>
    <t>pagamento</t>
  </si>
  <si>
    <t>projeto</t>
  </si>
  <si>
    <t>componente</t>
  </si>
  <si>
    <t>ilustrador_resgate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</si>
</sst>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Segoe UI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color rgb="FF000000"/>
      <name val="Aptos Narrow"/>
    </font>
    <font>
      <sz val="11"/>
      <name val="Arial Narrow"/>
      <family val="2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9" tint="-0.249977111117893"/>
        <bgColor theme="1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7" borderId="0" xfId="0" applyFont="1" applyFill="1" applyAlignment="1">
      <alignment vertical="center"/>
    </xf>
    <xf numFmtId="0" fontId="3" fillId="7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" fillId="8" borderId="0" xfId="0" applyFont="1" applyFill="1" applyAlignment="1">
      <alignment vertical="center"/>
    </xf>
    <xf numFmtId="0" fontId="3" fillId="7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14" fontId="1" fillId="5" borderId="2" xfId="0" applyNumberFormat="1" applyFont="1" applyFill="1" applyBorder="1" applyAlignment="1">
      <alignment horizontal="center" vertical="center" wrapText="1"/>
    </xf>
    <xf numFmtId="14" fontId="1" fillId="5" borderId="3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14" fontId="1" fillId="4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vertical="center"/>
      <protection locked="0"/>
    </xf>
    <xf numFmtId="0" fontId="7" fillId="0" borderId="0" xfId="0" applyFont="1" applyProtection="1">
      <protection locked="0"/>
    </xf>
    <xf numFmtId="0" fontId="8" fillId="10" borderId="5" xfId="0" applyFont="1" applyFill="1" applyBorder="1" applyAlignment="1">
      <alignment horizontal="left"/>
    </xf>
    <xf numFmtId="0" fontId="8" fillId="10" borderId="5" xfId="0" applyFont="1" applyFill="1" applyBorder="1" applyAlignment="1">
      <alignment horizontal="left" vertical="center"/>
    </xf>
    <xf numFmtId="0" fontId="9" fillId="0" borderId="0" xfId="0" applyFont="1"/>
    <xf numFmtId="0" fontId="4" fillId="0" borderId="7" xfId="0" applyFont="1" applyBorder="1" applyAlignment="1">
      <alignment vertical="center"/>
    </xf>
    <xf numFmtId="0" fontId="6" fillId="9" borderId="0" xfId="0" applyFont="1" applyFill="1" applyAlignment="1">
      <alignment horizontal="center" wrapText="1"/>
    </xf>
    <xf numFmtId="0" fontId="3" fillId="0" borderId="0" xfId="0" applyFont="1" applyBorder="1" applyAlignment="1" applyProtection="1">
      <alignment horizontal="left" vertical="center"/>
      <protection locked="0"/>
    </xf>
    <xf numFmtId="0" fontId="0" fillId="0" borderId="5" xfId="0" applyBorder="1" applyAlignment="1" applyProtection="1">
      <alignment vertical="center"/>
      <protection locked="0"/>
    </xf>
    <xf numFmtId="0" fontId="0" fillId="0" borderId="0" xfId="0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 wrapText="1"/>
      <protection locked="0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34">
    <dxf>
      <numFmt numFmtId="0" formatCode="General"/>
      <protection locked="0" hidden="0"/>
    </dxf>
    <dxf>
      <numFmt numFmtId="0" formatCode="General"/>
      <alignment horizontal="general" vertical="center" textRotation="0" indent="0" justifyLastLine="0" shrinkToFit="0" readingOrder="0"/>
      <protection locked="1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center" textRotation="0" wrapText="0" indent="0" justifyLastLine="0" shrinkToFit="0" readingOrder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0" formatCode="General"/>
      <alignment horizontal="general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numFmt numFmtId="0" formatCode="General"/>
      <alignment horizontal="general" vertical="center" textRotation="0" indent="0" justifyLastLine="0" shrinkToFit="0" readingOrder="0"/>
      <protection locked="1" hidden="0"/>
    </dxf>
    <dxf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vertical="center"/>
      <protection locked="0" hidden="0"/>
    </dxf>
    <dxf>
      <protection locked="0" hidden="0"/>
    </dxf>
  </dxfs>
  <tableStyles count="0" defaultTableStyle="TableStyleMedium2" defaultPivotStyle="PivotStyleLight16"/>
  <colors>
    <mruColors>
      <color rgb="FFCC9900"/>
      <color rgb="FF8D8A00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14978-443C-43BF-BBAB-3AC6D5A7AEE7}" name="Tabela2" displayName="Tabela2" ref="A1:AF117" totalsRowShown="0" dataDxfId="33">
  <autoFilter ref="A1:AF117" xr:uid="{26F14978-443C-43BF-BBAB-3AC6D5A7AEE7}"/>
  <sortState xmlns:xlrd2="http://schemas.microsoft.com/office/spreadsheetml/2017/richdata2" ref="A2:AD117">
    <sortCondition ref="A1:A117"/>
  </sortState>
  <tableColumns count="32">
    <tableColumn id="1" xr3:uid="{47B2C718-3485-46B9-AADB-7CD6614C956B}" name="retranca" dataDxfId="32"/>
    <tableColumn id="2" xr3:uid="{6F20D1A7-51B1-4A53-83CF-50614FC1E87E}" name="status" dataDxfId="31"/>
    <tableColumn id="3" xr3:uid="{E8572E99-0AB2-49AE-9897-F535E78DC59B}" name="categoria" dataDxfId="30"/>
    <tableColumn id="4" xr3:uid="{3BAA2E23-8D96-41DB-870E-717EF9F01497}" name="localizacao" dataDxfId="29"/>
    <tableColumn id="5" xr3:uid="{1B97AF7C-996A-498F-8E4F-F5114662DCAE}" name="pagina" dataDxfId="28"/>
    <tableColumn id="6" xr3:uid="{701EC8BF-5D46-4F01-9E72-37F5C84C6204}" name="volume" dataDxfId="27"/>
    <tableColumn id="7" xr3:uid="{42115F63-2A60-4768-BBD4-D907E57CB424}" name="unidade" dataDxfId="26"/>
    <tableColumn id="8" xr3:uid="{8E407FD3-50F6-4CC1-A2B4-EDA18ADCE3EB}" name="capitulo_secao" dataDxfId="25"/>
    <tableColumn id="9" xr3:uid="{F6258D69-7676-4635-B739-B385D000AE2F}" name="tipo" dataDxfId="24"/>
    <tableColumn id="10" xr3:uid="{4DD8887C-979F-4883-A85F-C815DE05EFC4}" name="NOME DA OBRA_x000a_ PARA RESGATE" dataDxfId="23"/>
    <tableColumn id="11" xr3:uid="{6AE351D3-5B1B-4747-80E2-2C6E7096156C}" name="PÁGINA PARA RESGATE" dataDxfId="22"/>
    <tableColumn id="12" xr3:uid="{952EC93C-92B5-4133-9AEA-04AF281045BE}" name="VOLUME PARA RESGATE" dataDxfId="21"/>
    <tableColumn id="13" xr3:uid="{57087D3E-8F9F-4743-8F04-3C6E29F5FEF7}" name="VERSÃO PARA RESGATE" dataDxfId="20"/>
    <tableColumn id="14" xr3:uid="{C9E5A9B8-DDE9-4844-B5BF-DF220C1DD168}" name="PROPRIEDADE" dataDxfId="19"/>
    <tableColumn id="15" xr3:uid="{562820C1-46A0-42B2-950F-AED0FB5E62E7}" name="descricao" dataDxfId="18"/>
    <tableColumn id="17" xr3:uid="{9EC1C14E-FE8F-416B-8F0B-F1829EFD032D}" name="observacao_edit_nuc" dataDxfId="17"/>
    <tableColumn id="18" xr3:uid="{1445C9B1-3AFA-4B92-985F-63C0113E7064}" name="lote" dataDxfId="16"/>
    <tableColumn id="19" xr3:uid="{DC238784-0E4D-4DC4-B1E6-1E19ACD2AA8D}" name="data_liberacao_para_arte" dataDxfId="15"/>
    <tableColumn id="20" xr3:uid="{0C20AC60-0820-4D59-B1C1-6D84A4B9FA66}" name="data_envio_pedido" dataDxfId="14"/>
    <tableColumn id="21" xr3:uid="{DDDDF8E2-4440-46FA-8A2E-11BFA188E1C2}" name="data_recebimento_rafe" dataDxfId="13"/>
    <tableColumn id="22" xr3:uid="{FE78F000-3E98-407F-A684-34560ED2CEE0}" name="data_retorno_rafe" dataDxfId="12"/>
    <tableColumn id="23" xr3:uid="{2847C90F-EB07-4DB4-B575-0FC03C222849}" name="data_recebimento_finalizada" dataDxfId="11"/>
    <tableColumn id="24" xr3:uid="{14797CE0-E66E-45A5-8181-5A2482F775E9}" name="sigla" dataDxfId="10"/>
    <tableColumn id="25" xr3:uid="{A1C665BD-8ED6-4CD6-88D0-C67BAF49562F}" name="ilustrador" dataDxfId="9">
      <calculatedColumnFormula>IF(Tabela2[[#This Row],[sigla]]="","",VLOOKUP(Tabela2[[#This Row],[sigla]],Tabela1[[#All],[Sigla Arte]:[Crédito]],2,0))</calculatedColumnFormula>
    </tableColumn>
    <tableColumn id="26" xr3:uid="{12E00CAD-6FD2-4BBD-B590-5DBCF5457DD0}" name="ilustrador_ajuste" dataDxfId="8"/>
    <tableColumn id="27" xr3:uid="{DB4DAD23-FDE3-4C38-AFEF-6E9484181939}" name="credito" dataDxfId="7">
      <calculatedColumnFormula>Tabela2[[#This Row],[ilustrador]]</calculatedColumnFormula>
    </tableColumn>
    <tableColumn id="28" xr3:uid="{A2773F6F-7648-4C4E-A050-6FF08F4C6FD3}" name="classificacao" dataDxfId="6"/>
    <tableColumn id="29" xr3:uid="{5A4B66D0-8557-4F1B-921F-35C87DD256F5}" name="observacao_arte" dataDxfId="5"/>
    <tableColumn id="30" xr3:uid="{EB5C8D02-71DF-417B-98C8-2041FFF8D781}" name="pagamento" dataDxfId="4"/>
    <tableColumn id="31" xr3:uid="{81BC28F8-346B-49BF-9B96-5CACD15820DD}" name="projeto" dataDxfId="1">
      <calculatedColumnFormula>"Pitanguá"</calculatedColumnFormula>
    </tableColumn>
    <tableColumn id="16" xr3:uid="{30FFAFB6-3645-4C27-B325-A90FED4E1B52}" name="componente" dataDxfId="0">
      <calculatedColumnFormula>"História"</calculatedColumnFormula>
    </tableColumn>
    <tableColumn id="32" xr3:uid="{B77AC360-20C0-4497-A7F8-33D56DF17D8F}" name="ilustrador_resgate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550269-3B5E-4644-A7F3-0B4614233CCE}" name="Tabela1" displayName="Tabela1" ref="A2:C334" totalsRowShown="0">
  <autoFilter ref="A2:C334" xr:uid="{A2550269-3B5E-4644-A7F3-0B4614233CCE}"/>
  <tableColumns count="3">
    <tableColumn id="1" xr3:uid="{5C055EEB-3A16-4CD5-92C1-7D150C916FFE}" name="Nome do ilustrador"/>
    <tableColumn id="2" xr3:uid="{3813050F-5E1F-4CB8-9271-35D54950AC65}" name="Sigla Arte"/>
    <tableColumn id="3" xr3:uid="{8B79EA77-FBE1-41D2-8898-37F736BCA6C4}" name="Crédito" dataDxfId="3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0BF5A-5CAC-45B3-A283-F5407C43288F}">
  <dimension ref="A1:AF117"/>
  <sheetViews>
    <sheetView tabSelected="1" zoomScaleNormal="100" workbookViewId="0">
      <selection activeCell="A2" sqref="A2"/>
    </sheetView>
  </sheetViews>
  <sheetFormatPr defaultRowHeight="14.4" x14ac:dyDescent="0.3"/>
  <cols>
    <col min="1" max="1" width="26.33203125" style="4" customWidth="1"/>
    <col min="2" max="2" width="15.33203125" style="21" bestFit="1" customWidth="1"/>
    <col min="3" max="3" width="16.109375" style="21" bestFit="1" customWidth="1"/>
    <col min="4" max="4" width="15.33203125" style="21" customWidth="1"/>
    <col min="5" max="5" width="12.44140625" style="3" bestFit="1" customWidth="1"/>
    <col min="6" max="6" width="10.5546875" style="3" customWidth="1"/>
    <col min="7" max="7" width="11.109375" style="3" customWidth="1"/>
    <col min="8" max="8" width="13.5546875" style="3" customWidth="1"/>
    <col min="9" max="9" width="9.6640625" style="4" bestFit="1" customWidth="1"/>
    <col min="10" max="10" width="21.33203125" style="4" customWidth="1"/>
    <col min="11" max="11" width="12.88671875" style="3" customWidth="1"/>
    <col min="12" max="12" width="14" style="3" customWidth="1"/>
    <col min="13" max="13" width="15.33203125" style="4" customWidth="1"/>
    <col min="14" max="14" width="16.5546875" style="4" customWidth="1"/>
    <col min="15" max="15" width="54.44140625" style="21" customWidth="1"/>
    <col min="16" max="16" width="36.44140625" style="21" customWidth="1"/>
    <col min="17" max="17" width="20.5546875" style="3" customWidth="1"/>
    <col min="18" max="22" width="18.6640625" style="25" customWidth="1"/>
    <col min="23" max="23" width="8.88671875" style="3" customWidth="1"/>
    <col min="24" max="24" width="63.88671875" style="4" customWidth="1"/>
    <col min="25" max="25" width="24.6640625" style="4" customWidth="1"/>
    <col min="26" max="26" width="68.33203125" style="4" customWidth="1"/>
    <col min="27" max="27" width="16.5546875" style="3" customWidth="1"/>
    <col min="28" max="28" width="35.5546875" style="21" customWidth="1"/>
    <col min="29" max="29" width="19.44140625" style="20" customWidth="1"/>
    <col min="30" max="30" width="13.6640625" style="4" bestFit="1" customWidth="1"/>
  </cols>
  <sheetData>
    <row r="1" spans="1:32" s="12" customFormat="1" ht="66" customHeight="1" x14ac:dyDescent="0.3">
      <c r="A1" s="9" t="s">
        <v>1275</v>
      </c>
      <c r="B1" s="10" t="s">
        <v>1276</v>
      </c>
      <c r="C1" s="10" t="s">
        <v>1277</v>
      </c>
      <c r="D1" s="10" t="s">
        <v>1278</v>
      </c>
      <c r="E1" s="10" t="s">
        <v>1279</v>
      </c>
      <c r="F1" s="10" t="s">
        <v>1280</v>
      </c>
      <c r="G1" s="10" t="s">
        <v>1281</v>
      </c>
      <c r="H1" s="10" t="s">
        <v>1282</v>
      </c>
      <c r="I1" s="10" t="s">
        <v>1283</v>
      </c>
      <c r="J1" s="10" t="s">
        <v>0</v>
      </c>
      <c r="K1" s="10" t="s">
        <v>1</v>
      </c>
      <c r="L1" s="10" t="s">
        <v>2</v>
      </c>
      <c r="M1" s="10" t="s">
        <v>3</v>
      </c>
      <c r="N1" s="10" t="s">
        <v>4</v>
      </c>
      <c r="O1" s="10" t="s">
        <v>1284</v>
      </c>
      <c r="P1" s="10" t="s">
        <v>1285</v>
      </c>
      <c r="Q1" s="10" t="s">
        <v>1286</v>
      </c>
      <c r="R1" s="18" t="s">
        <v>1287</v>
      </c>
      <c r="S1" s="15" t="s">
        <v>1288</v>
      </c>
      <c r="T1" s="15" t="s">
        <v>1289</v>
      </c>
      <c r="U1" s="15" t="s">
        <v>1290</v>
      </c>
      <c r="V1" s="16" t="s">
        <v>1291</v>
      </c>
      <c r="W1" s="16" t="s">
        <v>1292</v>
      </c>
      <c r="X1" s="37" t="s">
        <v>1293</v>
      </c>
      <c r="Y1" s="11" t="s">
        <v>1294</v>
      </c>
      <c r="Z1" s="13" t="s">
        <v>1295</v>
      </c>
      <c r="AA1" s="11" t="s">
        <v>1296</v>
      </c>
      <c r="AB1" s="11" t="s">
        <v>1297</v>
      </c>
      <c r="AC1" s="19" t="s">
        <v>1298</v>
      </c>
      <c r="AD1" s="17" t="s">
        <v>1299</v>
      </c>
      <c r="AE1" s="38" t="s">
        <v>1300</v>
      </c>
      <c r="AF1" s="38" t="s">
        <v>1301</v>
      </c>
    </row>
    <row r="2" spans="1:32" s="14" customFormat="1" ht="28.8" x14ac:dyDescent="0.3">
      <c r="A2" s="23" t="s">
        <v>28</v>
      </c>
      <c r="B2" s="20" t="s">
        <v>16</v>
      </c>
      <c r="C2" s="20" t="s">
        <v>29</v>
      </c>
      <c r="D2" s="20" t="s">
        <v>8</v>
      </c>
      <c r="E2" s="22">
        <v>39</v>
      </c>
      <c r="F2" s="22">
        <v>4</v>
      </c>
      <c r="G2" s="22">
        <v>2</v>
      </c>
      <c r="H2" s="22"/>
      <c r="I2" s="23" t="s">
        <v>30</v>
      </c>
      <c r="J2" s="23"/>
      <c r="K2" s="22"/>
      <c r="L2" s="22"/>
      <c r="M2" s="23"/>
      <c r="N2" s="23"/>
      <c r="O2" s="26" t="s">
        <v>31</v>
      </c>
      <c r="P2" s="26"/>
      <c r="Q2" s="22">
        <v>16</v>
      </c>
      <c r="R2" s="24">
        <v>45769</v>
      </c>
      <c r="S2" s="24">
        <v>45770</v>
      </c>
      <c r="T2" s="24"/>
      <c r="U2" s="24"/>
      <c r="V2" s="24">
        <v>45770</v>
      </c>
      <c r="W2" s="22" t="s">
        <v>32</v>
      </c>
      <c r="X2" s="4" t="str">
        <f>IF(Tabela2[[#This Row],[sigla]]="","",VLOOKUP(Tabela2[[#This Row],[sigla]],Tabela1[[#All],[Sigla Arte]:[Crédito]],2,0))</f>
        <v>VER DOCUMENTO DE ILS. TÉCNICAS</v>
      </c>
      <c r="Y2" s="23" t="s">
        <v>33</v>
      </c>
      <c r="Z2" s="23" t="s">
        <v>34</v>
      </c>
      <c r="AA2" s="22">
        <v>12</v>
      </c>
      <c r="AB2" s="20" t="s">
        <v>35</v>
      </c>
      <c r="AC2" s="20" t="s">
        <v>14</v>
      </c>
      <c r="AD2" s="4" t="str">
        <f t="shared" ref="AD2:AD33" si="0">"Pitanguá"</f>
        <v>Pitanguá</v>
      </c>
      <c r="AE2" s="14" t="str">
        <f t="shared" ref="AE2:AE33" si="1">"História"</f>
        <v>História</v>
      </c>
    </row>
    <row r="3" spans="1:32" s="14" customFormat="1" ht="72" x14ac:dyDescent="0.3">
      <c r="A3" s="23" t="s">
        <v>259</v>
      </c>
      <c r="B3" s="20" t="s">
        <v>260</v>
      </c>
      <c r="C3" s="20" t="s">
        <v>29</v>
      </c>
      <c r="D3" s="20" t="s">
        <v>8</v>
      </c>
      <c r="E3" s="22">
        <v>80</v>
      </c>
      <c r="F3" s="22">
        <v>5</v>
      </c>
      <c r="G3" s="22">
        <v>3</v>
      </c>
      <c r="H3" s="22"/>
      <c r="I3" s="23" t="s">
        <v>9</v>
      </c>
      <c r="J3" s="23"/>
      <c r="K3" s="22"/>
      <c r="L3" s="22"/>
      <c r="M3" s="23"/>
      <c r="N3" s="23"/>
      <c r="O3" s="26" t="s">
        <v>261</v>
      </c>
      <c r="P3" s="26"/>
      <c r="Q3" s="22">
        <v>19</v>
      </c>
      <c r="R3" s="24"/>
      <c r="S3" s="24">
        <v>45814</v>
      </c>
      <c r="T3" s="24"/>
      <c r="U3" s="24"/>
      <c r="V3" s="24">
        <v>45814</v>
      </c>
      <c r="W3" s="22" t="s">
        <v>32</v>
      </c>
      <c r="X3" s="4" t="str">
        <f>IF(Tabela2[[#This Row],[sigla]]="","",VLOOKUP(Tabela2[[#This Row],[sigla]],Tabela1[[#All],[Sigla Arte]:[Crédito]],2,0))</f>
        <v>VER DOCUMENTO DE ILS. TÉCNICAS</v>
      </c>
      <c r="Y3" s="23" t="s">
        <v>33</v>
      </c>
      <c r="Z3" s="23" t="s">
        <v>34</v>
      </c>
      <c r="AA3" s="22">
        <v>11</v>
      </c>
      <c r="AB3" s="20" t="s">
        <v>177</v>
      </c>
      <c r="AC3" s="20" t="s">
        <v>14</v>
      </c>
      <c r="AD3" s="4" t="str">
        <f t="shared" si="0"/>
        <v>Pitanguá</v>
      </c>
      <c r="AE3" s="14" t="str">
        <f t="shared" si="1"/>
        <v>História</v>
      </c>
    </row>
    <row r="4" spans="1:32" s="14" customFormat="1" ht="57.6" x14ac:dyDescent="0.3">
      <c r="A4" s="23" t="s">
        <v>262</v>
      </c>
      <c r="B4" s="20" t="s">
        <v>90</v>
      </c>
      <c r="C4" s="20" t="s">
        <v>29</v>
      </c>
      <c r="D4" s="20" t="s">
        <v>8</v>
      </c>
      <c r="E4" s="22">
        <v>82</v>
      </c>
      <c r="F4" s="22">
        <v>5</v>
      </c>
      <c r="G4" s="22">
        <v>3</v>
      </c>
      <c r="H4" s="22"/>
      <c r="I4" s="23" t="s">
        <v>9</v>
      </c>
      <c r="J4" s="23"/>
      <c r="K4" s="22"/>
      <c r="L4" s="22"/>
      <c r="M4" s="23"/>
      <c r="N4" s="23"/>
      <c r="O4" s="26" t="s">
        <v>263</v>
      </c>
      <c r="P4" s="26"/>
      <c r="Q4" s="22">
        <v>19</v>
      </c>
      <c r="R4" s="24"/>
      <c r="S4" s="24">
        <v>45814</v>
      </c>
      <c r="T4" s="24"/>
      <c r="U4" s="24"/>
      <c r="V4" s="24">
        <v>45814</v>
      </c>
      <c r="W4" s="22" t="s">
        <v>32</v>
      </c>
      <c r="X4" s="4" t="str">
        <f>IF(Tabela2[[#This Row],[sigla]]="","",VLOOKUP(Tabela2[[#This Row],[sigla]],Tabela1[[#All],[Sigla Arte]:[Crédito]],2,0))</f>
        <v>VER DOCUMENTO DE ILS. TÉCNICAS</v>
      </c>
      <c r="Y4" s="23" t="s">
        <v>33</v>
      </c>
      <c r="Z4" s="23" t="s">
        <v>34</v>
      </c>
      <c r="AA4" s="22">
        <v>11</v>
      </c>
      <c r="AB4" s="20" t="s">
        <v>177</v>
      </c>
      <c r="AC4" s="20" t="s">
        <v>14</v>
      </c>
      <c r="AD4" s="4" t="str">
        <f t="shared" si="0"/>
        <v>Pitanguá</v>
      </c>
      <c r="AE4" s="14" t="str">
        <f t="shared" si="1"/>
        <v>História</v>
      </c>
    </row>
    <row r="5" spans="1:32" s="14" customFormat="1" ht="165.75" customHeight="1" x14ac:dyDescent="0.3">
      <c r="A5" s="23" t="s">
        <v>255</v>
      </c>
      <c r="B5" s="20" t="s">
        <v>16</v>
      </c>
      <c r="C5" s="20" t="s">
        <v>58</v>
      </c>
      <c r="D5" s="20" t="s">
        <v>8</v>
      </c>
      <c r="E5" s="22">
        <v>95</v>
      </c>
      <c r="F5" s="22">
        <v>4</v>
      </c>
      <c r="G5" s="22">
        <v>3</v>
      </c>
      <c r="H5" s="22"/>
      <c r="I5" s="23" t="s">
        <v>30</v>
      </c>
      <c r="J5" s="23"/>
      <c r="K5" s="22"/>
      <c r="L5" s="22"/>
      <c r="M5" s="23"/>
      <c r="N5" s="23"/>
      <c r="O5" s="26" t="s">
        <v>256</v>
      </c>
      <c r="P5" s="26"/>
      <c r="Q5" s="22">
        <v>17</v>
      </c>
      <c r="R5" s="24">
        <v>45772</v>
      </c>
      <c r="S5" s="24">
        <v>45772</v>
      </c>
      <c r="T5" s="24"/>
      <c r="U5" s="24"/>
      <c r="V5" s="24">
        <v>45775</v>
      </c>
      <c r="W5" s="22" t="s">
        <v>176</v>
      </c>
      <c r="X5" s="4" t="str">
        <f>IF(Tabela2[[#This Row],[sigla]]="","",VLOOKUP(Tabela2[[#This Row],[sigla]],Tabela1[[#All],[Sigla Arte]:[Crédito]],2,0))</f>
        <v>RAFAELA PANISSA/ARQUIVO DA EDITORA</v>
      </c>
      <c r="Y5" s="23" t="s">
        <v>35</v>
      </c>
      <c r="Z5" s="23" t="str">
        <f>Tabela2[[#This Row],[ilustrador]]</f>
        <v>RAFAELA PANISSA/ARQUIVO DA EDITORA</v>
      </c>
      <c r="AA5" s="22">
        <v>12</v>
      </c>
      <c r="AB5" s="20" t="s">
        <v>177</v>
      </c>
      <c r="AC5" s="20" t="s">
        <v>14</v>
      </c>
      <c r="AD5" s="4" t="str">
        <f t="shared" si="0"/>
        <v>Pitanguá</v>
      </c>
      <c r="AE5" s="14" t="str">
        <f t="shared" si="1"/>
        <v>História</v>
      </c>
    </row>
    <row r="6" spans="1:32" s="14" customFormat="1" ht="111.75" customHeight="1" x14ac:dyDescent="0.3">
      <c r="A6" s="23" t="s">
        <v>57</v>
      </c>
      <c r="B6" s="20" t="s">
        <v>16</v>
      </c>
      <c r="C6" s="20" t="s">
        <v>58</v>
      </c>
      <c r="D6" s="20" t="s">
        <v>8</v>
      </c>
      <c r="E6" s="22">
        <v>86</v>
      </c>
      <c r="F6" s="22">
        <v>4</v>
      </c>
      <c r="G6" s="22">
        <v>3</v>
      </c>
      <c r="H6" s="22"/>
      <c r="I6" s="23" t="s">
        <v>30</v>
      </c>
      <c r="J6" s="23"/>
      <c r="K6" s="22"/>
      <c r="L6" s="22"/>
      <c r="M6" s="23"/>
      <c r="N6" s="23"/>
      <c r="O6" s="26" t="s">
        <v>59</v>
      </c>
      <c r="P6" s="26"/>
      <c r="Q6" s="22">
        <v>5</v>
      </c>
      <c r="R6" s="24">
        <v>45698</v>
      </c>
      <c r="S6" s="24">
        <v>45698</v>
      </c>
      <c r="T6" s="24"/>
      <c r="U6" s="24"/>
      <c r="V6" s="24">
        <v>45699</v>
      </c>
      <c r="W6" s="22" t="s">
        <v>60</v>
      </c>
      <c r="X6" s="4" t="str">
        <f>IF(Tabela2[[#This Row],[sigla]]="","",VLOOKUP(Tabela2[[#This Row],[sigla]],Tabela1[[#All],[Sigla Arte]:[Crédito]],2,0))</f>
        <v>TATIANE GALHEIRO/ARQUIVO DA EDITORA</v>
      </c>
      <c r="Y6" s="23"/>
      <c r="Z6" s="23" t="str">
        <f>Tabela2[[#This Row],[ilustrador]]</f>
        <v>TATIANE GALHEIRO/ARQUIVO DA EDITORA</v>
      </c>
      <c r="AA6" s="22">
        <v>12</v>
      </c>
      <c r="AB6" s="20"/>
      <c r="AC6" s="20" t="s">
        <v>14</v>
      </c>
      <c r="AD6" s="4" t="str">
        <f t="shared" si="0"/>
        <v>Pitanguá</v>
      </c>
      <c r="AE6" s="14" t="str">
        <f t="shared" si="1"/>
        <v>História</v>
      </c>
    </row>
    <row r="7" spans="1:32" s="14" customFormat="1" ht="187.2" x14ac:dyDescent="0.3">
      <c r="A7" s="23" t="s">
        <v>257</v>
      </c>
      <c r="B7" s="20" t="s">
        <v>16</v>
      </c>
      <c r="C7" s="20" t="s">
        <v>58</v>
      </c>
      <c r="D7" s="20" t="s">
        <v>8</v>
      </c>
      <c r="E7" s="22">
        <v>109</v>
      </c>
      <c r="F7" s="22">
        <v>4</v>
      </c>
      <c r="G7" s="22">
        <v>3</v>
      </c>
      <c r="H7" s="22"/>
      <c r="I7" s="23" t="s">
        <v>30</v>
      </c>
      <c r="J7" s="23"/>
      <c r="K7" s="22"/>
      <c r="L7" s="22"/>
      <c r="M7" s="23"/>
      <c r="N7" s="23"/>
      <c r="O7" s="26" t="s">
        <v>258</v>
      </c>
      <c r="P7" s="26"/>
      <c r="Q7" s="22">
        <v>18</v>
      </c>
      <c r="R7" s="24">
        <v>45784</v>
      </c>
      <c r="S7" s="24">
        <v>45784</v>
      </c>
      <c r="T7" s="24"/>
      <c r="U7" s="24"/>
      <c r="V7" s="24">
        <v>45784</v>
      </c>
      <c r="W7" s="22" t="s">
        <v>176</v>
      </c>
      <c r="X7" s="4" t="str">
        <f>IF(Tabela2[[#This Row],[sigla]]="","",VLOOKUP(Tabela2[[#This Row],[sigla]],Tabela1[[#All],[Sigla Arte]:[Crédito]],2,0))</f>
        <v>RAFAELA PANISSA/ARQUIVO DA EDITORA</v>
      </c>
      <c r="Y7" s="23" t="s">
        <v>35</v>
      </c>
      <c r="Z7" s="23" t="str">
        <f>Tabela2[[#This Row],[ilustrador]]</f>
        <v>RAFAELA PANISSA/ARQUIVO DA EDITORA</v>
      </c>
      <c r="AA7" s="22">
        <v>12</v>
      </c>
      <c r="AB7" s="20" t="s">
        <v>177</v>
      </c>
      <c r="AC7" s="20" t="s">
        <v>14</v>
      </c>
      <c r="AD7" s="4" t="str">
        <f t="shared" si="0"/>
        <v>Pitanguá</v>
      </c>
      <c r="AE7" s="14" t="str">
        <f t="shared" si="1"/>
        <v>História</v>
      </c>
    </row>
    <row r="8" spans="1:32" s="14" customFormat="1" ht="187.2" x14ac:dyDescent="0.3">
      <c r="A8" s="35" t="s">
        <v>77</v>
      </c>
      <c r="B8" s="20" t="s">
        <v>16</v>
      </c>
      <c r="C8" s="20" t="s">
        <v>58</v>
      </c>
      <c r="D8" s="20" t="s">
        <v>8</v>
      </c>
      <c r="E8" s="22">
        <v>120</v>
      </c>
      <c r="F8" s="22">
        <v>4</v>
      </c>
      <c r="G8" s="22">
        <v>4</v>
      </c>
      <c r="H8" s="22"/>
      <c r="I8" s="23" t="s">
        <v>9</v>
      </c>
      <c r="J8" s="23"/>
      <c r="K8" s="22"/>
      <c r="L8" s="22"/>
      <c r="M8" s="23"/>
      <c r="N8" s="23"/>
      <c r="O8" s="26" t="s">
        <v>78</v>
      </c>
      <c r="P8" s="26"/>
      <c r="Q8" s="22">
        <v>4</v>
      </c>
      <c r="R8" s="24">
        <v>45698</v>
      </c>
      <c r="S8" s="24">
        <v>45698</v>
      </c>
      <c r="T8" s="24"/>
      <c r="U8" s="24"/>
      <c r="V8" s="24">
        <v>45699</v>
      </c>
      <c r="W8" s="22" t="s">
        <v>60</v>
      </c>
      <c r="X8" s="4" t="str">
        <f>IF(Tabela2[[#This Row],[sigla]]="","",VLOOKUP(Tabela2[[#This Row],[sigla]],Tabela1[[#All],[Sigla Arte]:[Crédito]],2,0))</f>
        <v>TATIANE GALHEIRO/ARQUIVO DA EDITORA</v>
      </c>
      <c r="Y8" s="23" t="s">
        <v>13</v>
      </c>
      <c r="Z8" s="23" t="str">
        <f>Tabela2[[#This Row],[ilustrador]]</f>
        <v>TATIANE GALHEIRO/ARQUIVO DA EDITORA</v>
      </c>
      <c r="AA8" s="22">
        <v>12</v>
      </c>
      <c r="AB8" s="20"/>
      <c r="AC8" s="20" t="s">
        <v>14</v>
      </c>
      <c r="AD8" s="4" t="str">
        <f t="shared" si="0"/>
        <v>Pitanguá</v>
      </c>
      <c r="AE8" s="14" t="str">
        <f t="shared" si="1"/>
        <v>História</v>
      </c>
    </row>
    <row r="9" spans="1:32" s="14" customFormat="1" ht="72" x14ac:dyDescent="0.3">
      <c r="A9" s="23" t="s">
        <v>190</v>
      </c>
      <c r="B9" s="20" t="s">
        <v>16</v>
      </c>
      <c r="C9" s="20" t="s">
        <v>17</v>
      </c>
      <c r="D9" s="20" t="s">
        <v>8</v>
      </c>
      <c r="E9" s="22" t="s">
        <v>191</v>
      </c>
      <c r="F9" s="22">
        <v>3</v>
      </c>
      <c r="G9" s="22">
        <v>1</v>
      </c>
      <c r="H9" s="22"/>
      <c r="I9" s="23" t="s">
        <v>9</v>
      </c>
      <c r="J9" s="23"/>
      <c r="K9" s="22"/>
      <c r="L9" s="22"/>
      <c r="M9" s="23"/>
      <c r="N9" s="23"/>
      <c r="O9" s="26" t="s">
        <v>192</v>
      </c>
      <c r="P9" s="26"/>
      <c r="Q9" s="22">
        <v>11</v>
      </c>
      <c r="R9" s="24">
        <v>45749</v>
      </c>
      <c r="S9" s="24">
        <v>45749</v>
      </c>
      <c r="T9" s="24"/>
      <c r="U9" s="24"/>
      <c r="V9" s="24">
        <v>45749</v>
      </c>
      <c r="W9" s="22" t="s">
        <v>53</v>
      </c>
      <c r="X9" s="4" t="str">
        <f>IF(Tabela2[[#This Row],[sigla]]="","",VLOOKUP(Tabela2[[#This Row],[sigla]],Tabela1[[#All],[Sigla Arte]:[Crédito]],2,0))</f>
        <v>GUSTAVO RAMOS/ARQUIVO DA EDITORA</v>
      </c>
      <c r="Y9" s="23" t="s">
        <v>33</v>
      </c>
      <c r="Z9" s="23" t="str">
        <f>Tabela2[[#This Row],[ilustrador]]</f>
        <v>GUSTAVO RAMOS/ARQUIVO DA EDITORA</v>
      </c>
      <c r="AA9" s="22">
        <v>14</v>
      </c>
      <c r="AB9" s="20"/>
      <c r="AC9" s="20" t="s">
        <v>14</v>
      </c>
      <c r="AD9" s="4" t="str">
        <f t="shared" si="0"/>
        <v>Pitanguá</v>
      </c>
      <c r="AE9" s="14" t="str">
        <f t="shared" si="1"/>
        <v>História</v>
      </c>
    </row>
    <row r="10" spans="1:32" s="14" customFormat="1" ht="43.2" x14ac:dyDescent="0.3">
      <c r="A10" s="23" t="s">
        <v>193</v>
      </c>
      <c r="B10" s="20" t="s">
        <v>16</v>
      </c>
      <c r="C10" s="20" t="s">
        <v>17</v>
      </c>
      <c r="D10" s="20" t="s">
        <v>8</v>
      </c>
      <c r="E10" s="22">
        <v>24</v>
      </c>
      <c r="F10" s="22">
        <v>3</v>
      </c>
      <c r="G10" s="22">
        <v>1</v>
      </c>
      <c r="H10" s="22"/>
      <c r="I10" s="23" t="s">
        <v>37</v>
      </c>
      <c r="J10" s="23"/>
      <c r="K10" s="22"/>
      <c r="L10" s="22"/>
      <c r="M10" s="23"/>
      <c r="N10" s="23"/>
      <c r="O10" s="26" t="s">
        <v>194</v>
      </c>
      <c r="P10" s="26"/>
      <c r="Q10" s="22"/>
      <c r="R10" s="24"/>
      <c r="S10" s="24"/>
      <c r="T10" s="24"/>
      <c r="U10" s="24"/>
      <c r="V10" s="24"/>
      <c r="W10" s="22" t="s">
        <v>195</v>
      </c>
      <c r="X10" s="4" t="str">
        <f>IF(Tabela2[[#This Row],[sigla]]="","",VLOOKUP(Tabela2[[#This Row],[sigla]],Tabela1[[#All],[Sigla Arte]:[Crédito]],2,0))</f>
        <v>LUIZ PEREZ LENTINI/ARQUIVO DA EDITORA</v>
      </c>
      <c r="Y10" s="23"/>
      <c r="Z10" s="23" t="str">
        <f>Tabela2[[#This Row],[ilustrador]]</f>
        <v>LUIZ PEREZ LENTINI/ARQUIVO DA EDITORA</v>
      </c>
      <c r="AA10" s="22"/>
      <c r="AB10" s="20"/>
      <c r="AC10" s="20"/>
      <c r="AD10" s="4" t="str">
        <f t="shared" si="0"/>
        <v>Pitanguá</v>
      </c>
      <c r="AE10" s="14" t="str">
        <f t="shared" si="1"/>
        <v>História</v>
      </c>
    </row>
    <row r="11" spans="1:32" s="14" customFormat="1" ht="43.2" x14ac:dyDescent="0.3">
      <c r="A11" s="23" t="s">
        <v>196</v>
      </c>
      <c r="B11" s="20" t="s">
        <v>16</v>
      </c>
      <c r="C11" s="20" t="s">
        <v>17</v>
      </c>
      <c r="D11" s="20" t="s">
        <v>8</v>
      </c>
      <c r="E11" s="22">
        <v>24</v>
      </c>
      <c r="F11" s="22">
        <v>3</v>
      </c>
      <c r="G11" s="22">
        <v>1</v>
      </c>
      <c r="H11" s="22"/>
      <c r="I11" s="23" t="s">
        <v>37</v>
      </c>
      <c r="J11" s="23"/>
      <c r="K11" s="22"/>
      <c r="L11" s="22"/>
      <c r="M11" s="23"/>
      <c r="N11" s="23"/>
      <c r="O11" s="26" t="s">
        <v>197</v>
      </c>
      <c r="P11" s="26"/>
      <c r="Q11" s="22"/>
      <c r="R11" s="24"/>
      <c r="S11" s="24"/>
      <c r="T11" s="24"/>
      <c r="U11" s="24"/>
      <c r="V11" s="24"/>
      <c r="W11" s="22" t="s">
        <v>195</v>
      </c>
      <c r="X11" s="4" t="str">
        <f>IF(Tabela2[[#This Row],[sigla]]="","",VLOOKUP(Tabela2[[#This Row],[sigla]],Tabela1[[#All],[Sigla Arte]:[Crédito]],2,0))</f>
        <v>LUIZ PEREZ LENTINI/ARQUIVO DA EDITORA</v>
      </c>
      <c r="Y11" s="23"/>
      <c r="Z11" s="23" t="str">
        <f>Tabela2[[#This Row],[ilustrador]]</f>
        <v>LUIZ PEREZ LENTINI/ARQUIVO DA EDITORA</v>
      </c>
      <c r="AA11" s="22"/>
      <c r="AB11" s="20"/>
      <c r="AC11" s="20"/>
      <c r="AD11" s="4" t="str">
        <f t="shared" si="0"/>
        <v>Pitanguá</v>
      </c>
      <c r="AE11" s="14" t="str">
        <f t="shared" si="1"/>
        <v>História</v>
      </c>
    </row>
    <row r="12" spans="1:32" s="14" customFormat="1" ht="28.8" x14ac:dyDescent="0.3">
      <c r="A12" s="23" t="s">
        <v>198</v>
      </c>
      <c r="B12" s="20" t="s">
        <v>16</v>
      </c>
      <c r="C12" s="20" t="s">
        <v>17</v>
      </c>
      <c r="D12" s="20" t="s">
        <v>8</v>
      </c>
      <c r="E12" s="22">
        <v>24</v>
      </c>
      <c r="F12" s="22">
        <v>3</v>
      </c>
      <c r="G12" s="22">
        <v>1</v>
      </c>
      <c r="H12" s="22"/>
      <c r="I12" s="23" t="s">
        <v>37</v>
      </c>
      <c r="J12" s="23"/>
      <c r="K12" s="22"/>
      <c r="L12" s="22"/>
      <c r="M12" s="23"/>
      <c r="N12" s="23"/>
      <c r="O12" s="26" t="s">
        <v>199</v>
      </c>
      <c r="P12" s="26"/>
      <c r="Q12" s="22"/>
      <c r="R12" s="24"/>
      <c r="S12" s="24"/>
      <c r="T12" s="24"/>
      <c r="U12" s="24"/>
      <c r="V12" s="24"/>
      <c r="W12" s="22" t="s">
        <v>195</v>
      </c>
      <c r="X12" s="4" t="str">
        <f>IF(Tabela2[[#This Row],[sigla]]="","",VLOOKUP(Tabela2[[#This Row],[sigla]],Tabela1[[#All],[Sigla Arte]:[Crédito]],2,0))</f>
        <v>LUIZ PEREZ LENTINI/ARQUIVO DA EDITORA</v>
      </c>
      <c r="Y12" s="23"/>
      <c r="Z12" s="23" t="str">
        <f>Tabela2[[#This Row],[ilustrador]]</f>
        <v>LUIZ PEREZ LENTINI/ARQUIVO DA EDITORA</v>
      </c>
      <c r="AA12" s="22"/>
      <c r="AB12" s="20"/>
      <c r="AC12" s="20"/>
      <c r="AD12" s="4" t="str">
        <f t="shared" si="0"/>
        <v>Pitanguá</v>
      </c>
      <c r="AE12" s="14" t="str">
        <f t="shared" si="1"/>
        <v>História</v>
      </c>
    </row>
    <row r="13" spans="1:32" s="14" customFormat="1" ht="57.6" x14ac:dyDescent="0.3">
      <c r="A13" s="23" t="s">
        <v>200</v>
      </c>
      <c r="B13" s="20" t="s">
        <v>16</v>
      </c>
      <c r="C13" s="20" t="s">
        <v>17</v>
      </c>
      <c r="D13" s="20" t="s">
        <v>8</v>
      </c>
      <c r="E13" s="22">
        <v>24</v>
      </c>
      <c r="F13" s="22">
        <v>3</v>
      </c>
      <c r="G13" s="22">
        <v>1</v>
      </c>
      <c r="H13" s="22"/>
      <c r="I13" s="23" t="s">
        <v>30</v>
      </c>
      <c r="J13" s="23"/>
      <c r="K13" s="22"/>
      <c r="L13" s="22"/>
      <c r="M13" s="23"/>
      <c r="N13" s="23"/>
      <c r="O13" s="26" t="s">
        <v>201</v>
      </c>
      <c r="P13" s="26"/>
      <c r="Q13" s="22">
        <v>11</v>
      </c>
      <c r="R13" s="24">
        <v>45749</v>
      </c>
      <c r="S13" s="24">
        <v>45749</v>
      </c>
      <c r="T13" s="24"/>
      <c r="U13" s="24"/>
      <c r="V13" s="24">
        <v>45749</v>
      </c>
      <c r="W13" s="22" t="s">
        <v>176</v>
      </c>
      <c r="X13" s="4" t="str">
        <f>IF(Tabela2[[#This Row],[sigla]]="","",VLOOKUP(Tabela2[[#This Row],[sigla]],Tabela1[[#All],[Sigla Arte]:[Crédito]],2,0))</f>
        <v>RAFAELA PANISSA/ARQUIVO DA EDITORA</v>
      </c>
      <c r="Y13" s="23" t="s">
        <v>33</v>
      </c>
      <c r="Z13" s="23" t="str">
        <f>Tabela2[[#This Row],[ilustrador]]</f>
        <v>RAFAELA PANISSA/ARQUIVO DA EDITORA</v>
      </c>
      <c r="AA13" s="22">
        <v>8</v>
      </c>
      <c r="AB13" s="20" t="s">
        <v>35</v>
      </c>
      <c r="AC13" s="20" t="s">
        <v>14</v>
      </c>
      <c r="AD13" s="4" t="str">
        <f t="shared" si="0"/>
        <v>Pitanguá</v>
      </c>
      <c r="AE13" s="14" t="str">
        <f t="shared" si="1"/>
        <v>História</v>
      </c>
    </row>
    <row r="14" spans="1:32" s="14" customFormat="1" ht="165.75" customHeight="1" x14ac:dyDescent="0.3">
      <c r="A14" s="23" t="s">
        <v>202</v>
      </c>
      <c r="B14" s="20" t="s">
        <v>16</v>
      </c>
      <c r="C14" s="20" t="s">
        <v>17</v>
      </c>
      <c r="D14" s="20" t="s">
        <v>8</v>
      </c>
      <c r="E14" s="22">
        <v>24</v>
      </c>
      <c r="F14" s="22">
        <v>3</v>
      </c>
      <c r="G14" s="22">
        <v>1</v>
      </c>
      <c r="H14" s="22"/>
      <c r="I14" s="23" t="s">
        <v>37</v>
      </c>
      <c r="J14" s="23"/>
      <c r="K14" s="22"/>
      <c r="L14" s="22"/>
      <c r="M14" s="23"/>
      <c r="N14" s="23"/>
      <c r="O14" s="26" t="s">
        <v>203</v>
      </c>
      <c r="P14" s="26"/>
      <c r="Q14" s="22"/>
      <c r="R14" s="24"/>
      <c r="S14" s="24"/>
      <c r="T14" s="24"/>
      <c r="U14" s="24"/>
      <c r="V14" s="24"/>
      <c r="W14" s="22" t="s">
        <v>195</v>
      </c>
      <c r="X14" s="4" t="str">
        <f>IF(Tabela2[[#This Row],[sigla]]="","",VLOOKUP(Tabela2[[#This Row],[sigla]],Tabela1[[#All],[Sigla Arte]:[Crédito]],2,0))</f>
        <v>LUIZ PEREZ LENTINI/ARQUIVO DA EDITORA</v>
      </c>
      <c r="Y14" s="23"/>
      <c r="Z14" s="23" t="str">
        <f>Tabela2[[#This Row],[ilustrador]]</f>
        <v>LUIZ PEREZ LENTINI/ARQUIVO DA EDITORA</v>
      </c>
      <c r="AA14" s="22"/>
      <c r="AB14" s="20"/>
      <c r="AC14" s="20"/>
      <c r="AD14" s="4" t="str">
        <f t="shared" si="0"/>
        <v>Pitanguá</v>
      </c>
      <c r="AE14" s="14" t="str">
        <f t="shared" si="1"/>
        <v>História</v>
      </c>
    </row>
    <row r="15" spans="1:32" s="14" customFormat="1" ht="28.8" x14ac:dyDescent="0.3">
      <c r="A15" s="23" t="s">
        <v>204</v>
      </c>
      <c r="B15" s="20" t="s">
        <v>16</v>
      </c>
      <c r="C15" s="20" t="s">
        <v>17</v>
      </c>
      <c r="D15" s="20" t="s">
        <v>8</v>
      </c>
      <c r="E15" s="22">
        <v>24</v>
      </c>
      <c r="F15" s="22">
        <v>3</v>
      </c>
      <c r="G15" s="22">
        <v>1</v>
      </c>
      <c r="H15" s="22"/>
      <c r="I15" s="23" t="s">
        <v>37</v>
      </c>
      <c r="J15" s="23"/>
      <c r="K15" s="22"/>
      <c r="L15" s="22"/>
      <c r="M15" s="23"/>
      <c r="N15" s="23"/>
      <c r="O15" s="26" t="s">
        <v>205</v>
      </c>
      <c r="P15" s="26"/>
      <c r="Q15" s="22"/>
      <c r="R15" s="24"/>
      <c r="S15" s="24"/>
      <c r="T15" s="24"/>
      <c r="U15" s="24"/>
      <c r="V15" s="24"/>
      <c r="W15" s="22" t="s">
        <v>195</v>
      </c>
      <c r="X15" s="4" t="str">
        <f>IF(Tabela2[[#This Row],[sigla]]="","",VLOOKUP(Tabela2[[#This Row],[sigla]],Tabela1[[#All],[Sigla Arte]:[Crédito]],2,0))</f>
        <v>LUIZ PEREZ LENTINI/ARQUIVO DA EDITORA</v>
      </c>
      <c r="Y15" s="23"/>
      <c r="Z15" s="23" t="str">
        <f>Tabela2[[#This Row],[ilustrador]]</f>
        <v>LUIZ PEREZ LENTINI/ARQUIVO DA EDITORA</v>
      </c>
      <c r="AA15" s="22"/>
      <c r="AB15" s="20"/>
      <c r="AC15" s="20"/>
      <c r="AD15" s="4" t="str">
        <f t="shared" si="0"/>
        <v>Pitanguá</v>
      </c>
      <c r="AE15" s="14" t="str">
        <f t="shared" si="1"/>
        <v>História</v>
      </c>
    </row>
    <row r="16" spans="1:32" s="14" customFormat="1" ht="100.8" x14ac:dyDescent="0.3">
      <c r="A16" s="23" t="s">
        <v>206</v>
      </c>
      <c r="B16" s="20" t="s">
        <v>16</v>
      </c>
      <c r="C16" s="20" t="s">
        <v>17</v>
      </c>
      <c r="D16" s="20" t="s">
        <v>8</v>
      </c>
      <c r="E16" s="22">
        <v>24</v>
      </c>
      <c r="F16" s="22">
        <v>3</v>
      </c>
      <c r="G16" s="22">
        <v>1</v>
      </c>
      <c r="H16" s="22"/>
      <c r="I16" s="23" t="s">
        <v>30</v>
      </c>
      <c r="J16" s="23"/>
      <c r="K16" s="22"/>
      <c r="L16" s="22"/>
      <c r="M16" s="23"/>
      <c r="N16" s="23"/>
      <c r="O16" s="26" t="s">
        <v>207</v>
      </c>
      <c r="P16" s="26"/>
      <c r="Q16" s="22">
        <v>11</v>
      </c>
      <c r="R16" s="24">
        <v>45749</v>
      </c>
      <c r="S16" s="24">
        <v>45749</v>
      </c>
      <c r="T16" s="24"/>
      <c r="U16" s="24"/>
      <c r="V16" s="24">
        <v>45749</v>
      </c>
      <c r="W16" s="22" t="s">
        <v>176</v>
      </c>
      <c r="X16" s="4" t="str">
        <f>IF(Tabela2[[#This Row],[sigla]]="","",VLOOKUP(Tabela2[[#This Row],[sigla]],Tabela1[[#All],[Sigla Arte]:[Crédito]],2,0))</f>
        <v>RAFAELA PANISSA/ARQUIVO DA EDITORA</v>
      </c>
      <c r="Y16" s="23" t="s">
        <v>33</v>
      </c>
      <c r="Z16" s="23" t="str">
        <f>Tabela2[[#This Row],[ilustrador]]</f>
        <v>RAFAELA PANISSA/ARQUIVO DA EDITORA</v>
      </c>
      <c r="AA16" s="22">
        <v>8</v>
      </c>
      <c r="AB16" s="20" t="s">
        <v>35</v>
      </c>
      <c r="AC16" s="20" t="s">
        <v>14</v>
      </c>
      <c r="AD16" s="4" t="str">
        <f t="shared" si="0"/>
        <v>Pitanguá</v>
      </c>
      <c r="AE16" s="14" t="str">
        <f t="shared" si="1"/>
        <v>História</v>
      </c>
    </row>
    <row r="17" spans="1:31" s="14" customFormat="1" ht="115.2" x14ac:dyDescent="0.3">
      <c r="A17" s="23" t="s">
        <v>89</v>
      </c>
      <c r="B17" s="20" t="s">
        <v>90</v>
      </c>
      <c r="C17" s="20" t="s">
        <v>17</v>
      </c>
      <c r="D17" s="20" t="s">
        <v>8</v>
      </c>
      <c r="E17" s="22">
        <v>14</v>
      </c>
      <c r="F17" s="22">
        <v>5</v>
      </c>
      <c r="G17" s="22">
        <v>1</v>
      </c>
      <c r="H17" s="22"/>
      <c r="I17" s="23" t="s">
        <v>9</v>
      </c>
      <c r="J17" s="23"/>
      <c r="K17" s="22"/>
      <c r="L17" s="22"/>
      <c r="M17" s="23"/>
      <c r="N17" s="23"/>
      <c r="O17" s="26" t="s">
        <v>91</v>
      </c>
      <c r="P17" s="26"/>
      <c r="Q17" s="22">
        <v>6</v>
      </c>
      <c r="R17" s="24">
        <v>45715</v>
      </c>
      <c r="S17" s="24">
        <v>45715</v>
      </c>
      <c r="T17" s="24"/>
      <c r="U17" s="24"/>
      <c r="V17" s="24">
        <v>45716</v>
      </c>
      <c r="W17" s="22" t="s">
        <v>92</v>
      </c>
      <c r="X17" s="4" t="str">
        <f>IF(Tabela2[[#This Row],[sigla]]="","",VLOOKUP(Tabela2[[#This Row],[sigla]],Tabela1[[#All],[Sigla Arte]:[Crédito]],2,0))</f>
        <v>FABIO EUGENIO/ARQUIVO DA EDITORA</v>
      </c>
      <c r="Y17" s="36" t="s">
        <v>93</v>
      </c>
      <c r="Z17" s="23" t="str">
        <f>Tabela2[[#This Row],[ilustrador]]</f>
        <v>FABIO EUGENIO/ARQUIVO DA EDITORA</v>
      </c>
      <c r="AA17" s="22">
        <v>14</v>
      </c>
      <c r="AB17" s="20" t="s">
        <v>27</v>
      </c>
      <c r="AC17" s="20" t="s">
        <v>14</v>
      </c>
      <c r="AD17" s="4" t="str">
        <f t="shared" si="0"/>
        <v>Pitanguá</v>
      </c>
      <c r="AE17" s="14" t="str">
        <f t="shared" si="1"/>
        <v>História</v>
      </c>
    </row>
    <row r="18" spans="1:31" s="14" customFormat="1" ht="28.8" x14ac:dyDescent="0.3">
      <c r="A18" s="23" t="s">
        <v>208</v>
      </c>
      <c r="B18" s="20" t="s">
        <v>16</v>
      </c>
      <c r="C18" s="20" t="s">
        <v>17</v>
      </c>
      <c r="D18" s="20" t="s">
        <v>8</v>
      </c>
      <c r="E18" s="22">
        <v>24</v>
      </c>
      <c r="F18" s="22">
        <v>3</v>
      </c>
      <c r="G18" s="22">
        <v>1</v>
      </c>
      <c r="H18" s="22"/>
      <c r="I18" s="23" t="s">
        <v>37</v>
      </c>
      <c r="J18" s="23"/>
      <c r="K18" s="22"/>
      <c r="L18" s="22"/>
      <c r="M18" s="23"/>
      <c r="N18" s="23"/>
      <c r="O18" s="26" t="s">
        <v>209</v>
      </c>
      <c r="P18" s="26"/>
      <c r="Q18" s="22"/>
      <c r="R18" s="24"/>
      <c r="S18" s="24"/>
      <c r="T18" s="24"/>
      <c r="U18" s="24"/>
      <c r="V18" s="24"/>
      <c r="W18" s="22" t="s">
        <v>195</v>
      </c>
      <c r="X18" s="4" t="str">
        <f>IF(Tabela2[[#This Row],[sigla]]="","",VLOOKUP(Tabela2[[#This Row],[sigla]],Tabela1[[#All],[Sigla Arte]:[Crédito]],2,0))</f>
        <v>LUIZ PEREZ LENTINI/ARQUIVO DA EDITORA</v>
      </c>
      <c r="Y18" s="23"/>
      <c r="Z18" s="23" t="str">
        <f>Tabela2[[#This Row],[ilustrador]]</f>
        <v>LUIZ PEREZ LENTINI/ARQUIVO DA EDITORA</v>
      </c>
      <c r="AA18" s="22"/>
      <c r="AB18" s="20"/>
      <c r="AC18" s="20"/>
      <c r="AD18" s="4" t="str">
        <f t="shared" si="0"/>
        <v>Pitanguá</v>
      </c>
      <c r="AE18" s="14" t="str">
        <f t="shared" si="1"/>
        <v>História</v>
      </c>
    </row>
    <row r="19" spans="1:31" s="14" customFormat="1" ht="57.6" x14ac:dyDescent="0.3">
      <c r="A19" s="23" t="s">
        <v>210</v>
      </c>
      <c r="B19" s="20" t="s">
        <v>16</v>
      </c>
      <c r="C19" s="20" t="s">
        <v>17</v>
      </c>
      <c r="D19" s="20" t="s">
        <v>8</v>
      </c>
      <c r="E19" s="22">
        <v>26</v>
      </c>
      <c r="F19" s="22">
        <v>3</v>
      </c>
      <c r="G19" s="22">
        <v>1</v>
      </c>
      <c r="H19" s="22"/>
      <c r="I19" s="23" t="s">
        <v>9</v>
      </c>
      <c r="J19" s="23"/>
      <c r="K19" s="22"/>
      <c r="L19" s="22"/>
      <c r="M19" s="23"/>
      <c r="N19" s="23"/>
      <c r="O19" s="26" t="s">
        <v>211</v>
      </c>
      <c r="P19" s="26"/>
      <c r="Q19" s="22">
        <v>15</v>
      </c>
      <c r="R19" s="24">
        <v>45762</v>
      </c>
      <c r="S19" s="24">
        <v>45762</v>
      </c>
      <c r="T19" s="24"/>
      <c r="U19" s="24"/>
      <c r="V19" s="24">
        <v>45762</v>
      </c>
      <c r="W19" s="22" t="s">
        <v>68</v>
      </c>
      <c r="X19" s="4" t="str">
        <f>IF(Tabela2[[#This Row],[sigla]]="","",VLOOKUP(Tabela2[[#This Row],[sigla]],Tabela1[[#All],[Sigla Arte]:[Crédito]],2,0))</f>
        <v>VICTOR LEMOS/ARQUIVO DA EDITORA</v>
      </c>
      <c r="Y19" s="23" t="s">
        <v>168</v>
      </c>
      <c r="Z19" s="23" t="str">
        <f>Tabela2[[#This Row],[ilustrador]]</f>
        <v>VICTOR LEMOS/ARQUIVO DA EDITORA</v>
      </c>
      <c r="AA19" s="22">
        <v>14</v>
      </c>
      <c r="AB19" s="20" t="s">
        <v>212</v>
      </c>
      <c r="AC19" s="20" t="s">
        <v>14</v>
      </c>
      <c r="AD19" s="4" t="str">
        <f t="shared" si="0"/>
        <v>Pitanguá</v>
      </c>
      <c r="AE19" s="14" t="str">
        <f t="shared" si="1"/>
        <v>História</v>
      </c>
    </row>
    <row r="20" spans="1:31" s="14" customFormat="1" ht="201.6" x14ac:dyDescent="0.3">
      <c r="A20" s="23" t="s">
        <v>94</v>
      </c>
      <c r="B20" s="20" t="s">
        <v>6</v>
      </c>
      <c r="C20" s="20" t="s">
        <v>17</v>
      </c>
      <c r="D20" s="20" t="s">
        <v>8</v>
      </c>
      <c r="E20" s="22">
        <v>18</v>
      </c>
      <c r="F20" s="22">
        <v>5</v>
      </c>
      <c r="G20" s="22">
        <v>1</v>
      </c>
      <c r="H20" s="22"/>
      <c r="I20" s="23" t="s">
        <v>9</v>
      </c>
      <c r="J20" s="23"/>
      <c r="K20" s="22"/>
      <c r="L20" s="22"/>
      <c r="M20" s="23"/>
      <c r="N20" s="23"/>
      <c r="O20" s="26" t="s">
        <v>95</v>
      </c>
      <c r="P20" s="26"/>
      <c r="Q20" s="22">
        <v>6</v>
      </c>
      <c r="R20" s="24">
        <v>45715</v>
      </c>
      <c r="S20" s="24">
        <v>45715</v>
      </c>
      <c r="T20" s="24"/>
      <c r="U20" s="24"/>
      <c r="V20" s="24">
        <v>45716</v>
      </c>
      <c r="W20" s="22" t="s">
        <v>92</v>
      </c>
      <c r="X20" s="4" t="str">
        <f>IF(Tabela2[[#This Row],[sigla]]="","",VLOOKUP(Tabela2[[#This Row],[sigla]],Tabela1[[#All],[Sigla Arte]:[Crédito]],2,0))</f>
        <v>FABIO EUGENIO/ARQUIVO DA EDITORA</v>
      </c>
      <c r="Y20" s="36" t="s">
        <v>93</v>
      </c>
      <c r="Z20" s="23" t="str">
        <f>Tabela2[[#This Row],[ilustrador]]</f>
        <v>FABIO EUGENIO/ARQUIVO DA EDITORA</v>
      </c>
      <c r="AA20" s="22">
        <v>14</v>
      </c>
      <c r="AB20" s="20" t="s">
        <v>27</v>
      </c>
      <c r="AC20" s="20" t="s">
        <v>14</v>
      </c>
      <c r="AD20" s="4" t="str">
        <f t="shared" si="0"/>
        <v>Pitanguá</v>
      </c>
      <c r="AE20" s="14" t="str">
        <f t="shared" si="1"/>
        <v>História</v>
      </c>
    </row>
    <row r="21" spans="1:31" s="14" customFormat="1" ht="115.2" x14ac:dyDescent="0.3">
      <c r="A21" s="23" t="s">
        <v>96</v>
      </c>
      <c r="B21" s="20" t="s">
        <v>90</v>
      </c>
      <c r="C21" s="20" t="s">
        <v>17</v>
      </c>
      <c r="D21" s="20" t="s">
        <v>8</v>
      </c>
      <c r="E21" s="22">
        <v>20</v>
      </c>
      <c r="F21" s="22">
        <v>5</v>
      </c>
      <c r="G21" s="22">
        <v>1</v>
      </c>
      <c r="H21" s="22"/>
      <c r="I21" s="23" t="s">
        <v>9</v>
      </c>
      <c r="J21" s="23"/>
      <c r="K21" s="22"/>
      <c r="L21" s="22"/>
      <c r="M21" s="23"/>
      <c r="N21" s="23"/>
      <c r="O21" s="26" t="s">
        <v>97</v>
      </c>
      <c r="P21" s="26"/>
      <c r="Q21" s="22">
        <v>6</v>
      </c>
      <c r="R21" s="24">
        <v>45715</v>
      </c>
      <c r="S21" s="24">
        <v>45715</v>
      </c>
      <c r="T21" s="24"/>
      <c r="U21" s="24"/>
      <c r="V21" s="24">
        <v>45716</v>
      </c>
      <c r="W21" s="22" t="s">
        <v>92</v>
      </c>
      <c r="X21" s="4" t="str">
        <f>IF(Tabela2[[#This Row],[sigla]]="","",VLOOKUP(Tabela2[[#This Row],[sigla]],Tabela1[[#All],[Sigla Arte]:[Crédito]],2,0))</f>
        <v>FABIO EUGENIO/ARQUIVO DA EDITORA</v>
      </c>
      <c r="Y21" s="36" t="s">
        <v>93</v>
      </c>
      <c r="Z21" s="23" t="str">
        <f>Tabela2[[#This Row],[ilustrador]]</f>
        <v>FABIO EUGENIO/ARQUIVO DA EDITORA</v>
      </c>
      <c r="AA21" s="22">
        <v>14</v>
      </c>
      <c r="AB21" s="20" t="s">
        <v>27</v>
      </c>
      <c r="AC21" s="20" t="s">
        <v>14</v>
      </c>
      <c r="AD21" s="4" t="str">
        <f t="shared" si="0"/>
        <v>Pitanguá</v>
      </c>
      <c r="AE21" s="14" t="str">
        <f t="shared" si="1"/>
        <v>História</v>
      </c>
    </row>
    <row r="22" spans="1:31" s="14" customFormat="1" ht="216" x14ac:dyDescent="0.3">
      <c r="A22" s="23" t="s">
        <v>98</v>
      </c>
      <c r="B22" s="20" t="s">
        <v>90</v>
      </c>
      <c r="C22" s="20" t="s">
        <v>17</v>
      </c>
      <c r="D22" s="20" t="s">
        <v>8</v>
      </c>
      <c r="E22" s="22">
        <v>26</v>
      </c>
      <c r="F22" s="22">
        <v>5</v>
      </c>
      <c r="G22" s="22">
        <v>1</v>
      </c>
      <c r="H22" s="22"/>
      <c r="I22" s="23" t="s">
        <v>30</v>
      </c>
      <c r="J22" s="23"/>
      <c r="K22" s="22"/>
      <c r="L22" s="22"/>
      <c r="M22" s="23"/>
      <c r="N22" s="23"/>
      <c r="O22" s="26" t="s">
        <v>99</v>
      </c>
      <c r="P22" s="26"/>
      <c r="Q22" s="22">
        <v>6</v>
      </c>
      <c r="R22" s="24">
        <v>45715</v>
      </c>
      <c r="S22" s="24">
        <v>45715</v>
      </c>
      <c r="T22" s="24">
        <v>45722</v>
      </c>
      <c r="U22" s="24">
        <v>45723</v>
      </c>
      <c r="V22" s="24">
        <v>45726</v>
      </c>
      <c r="W22" s="22" t="s">
        <v>100</v>
      </c>
      <c r="X22" s="4" t="str">
        <f>IF(Tabela2[[#This Row],[sigla]]="","",VLOOKUP(Tabela2[[#This Row],[sigla]],Tabela1[[#All],[Sigla Arte]:[Crédito]],2,0))</f>
        <v>THAMIRES PAREDES/ARQUIVO DA EDITORA</v>
      </c>
      <c r="Y22" s="23"/>
      <c r="Z22" s="23" t="str">
        <f>Tabela2[[#This Row],[ilustrador]]</f>
        <v>THAMIRES PAREDES/ARQUIVO DA EDITORA</v>
      </c>
      <c r="AA22" s="22">
        <v>6</v>
      </c>
      <c r="AB22" s="20" t="s">
        <v>101</v>
      </c>
      <c r="AC22" s="20" t="s">
        <v>50</v>
      </c>
      <c r="AD22" s="4" t="str">
        <f t="shared" si="0"/>
        <v>Pitanguá</v>
      </c>
      <c r="AE22" s="14" t="str">
        <f t="shared" si="1"/>
        <v>História</v>
      </c>
    </row>
    <row r="23" spans="1:31" s="14" customFormat="1" ht="158.4" x14ac:dyDescent="0.3">
      <c r="A23" s="23" t="s">
        <v>15</v>
      </c>
      <c r="B23" s="20" t="s">
        <v>16</v>
      </c>
      <c r="C23" s="20" t="s">
        <v>17</v>
      </c>
      <c r="D23" s="20" t="s">
        <v>8</v>
      </c>
      <c r="E23" s="22">
        <v>24</v>
      </c>
      <c r="F23" s="22">
        <v>4</v>
      </c>
      <c r="G23" s="22">
        <v>1</v>
      </c>
      <c r="H23" s="22"/>
      <c r="I23" s="23" t="s">
        <v>9</v>
      </c>
      <c r="J23" s="23"/>
      <c r="K23" s="22"/>
      <c r="L23" s="22"/>
      <c r="M23" s="23"/>
      <c r="N23" s="23"/>
      <c r="O23" s="26" t="s">
        <v>18</v>
      </c>
      <c r="P23" s="26"/>
      <c r="Q23" s="22">
        <v>1</v>
      </c>
      <c r="R23" s="24">
        <v>45686</v>
      </c>
      <c r="S23" s="24">
        <v>45686</v>
      </c>
      <c r="T23" s="24"/>
      <c r="U23" s="24"/>
      <c r="V23" s="24">
        <v>45687</v>
      </c>
      <c r="W23" s="22" t="s">
        <v>19</v>
      </c>
      <c r="X23" s="4" t="str">
        <f>IF(Tabela2[[#This Row],[sigla]]="","",VLOOKUP(Tabela2[[#This Row],[sigla]],Tabela1[[#All],[Sigla Arte]:[Crédito]],2,0))</f>
        <v>HUGO ARAÚJO/ARQUIVO DA EDITORA</v>
      </c>
      <c r="Y23" s="23" t="s">
        <v>13</v>
      </c>
      <c r="Z23" s="23" t="str">
        <f>Tabela2[[#This Row],[ilustrador]]</f>
        <v>HUGO ARAÚJO/ARQUIVO DA EDITORA</v>
      </c>
      <c r="AA23" s="22">
        <v>13</v>
      </c>
      <c r="AB23" s="20"/>
      <c r="AC23" s="20" t="s">
        <v>14</v>
      </c>
      <c r="AD23" s="4" t="str">
        <f t="shared" si="0"/>
        <v>Pitanguá</v>
      </c>
      <c r="AE23" s="14" t="str">
        <f t="shared" si="1"/>
        <v>História</v>
      </c>
    </row>
    <row r="24" spans="1:31" s="14" customFormat="1" ht="223.5" customHeight="1" x14ac:dyDescent="0.3">
      <c r="A24" s="23" t="s">
        <v>20</v>
      </c>
      <c r="B24" s="20" t="s">
        <v>16</v>
      </c>
      <c r="C24" s="20" t="s">
        <v>17</v>
      </c>
      <c r="D24" s="20" t="s">
        <v>8</v>
      </c>
      <c r="E24" s="22">
        <v>27</v>
      </c>
      <c r="F24" s="22">
        <v>4</v>
      </c>
      <c r="G24" s="22">
        <v>1</v>
      </c>
      <c r="H24" s="22"/>
      <c r="I24" s="23" t="s">
        <v>9</v>
      </c>
      <c r="J24" s="23"/>
      <c r="K24" s="22"/>
      <c r="L24" s="22"/>
      <c r="M24" s="23"/>
      <c r="N24" s="23"/>
      <c r="O24" s="26" t="s">
        <v>21</v>
      </c>
      <c r="P24" s="26"/>
      <c r="Q24" s="22">
        <v>1</v>
      </c>
      <c r="R24" s="24">
        <v>45686</v>
      </c>
      <c r="S24" s="24">
        <v>45686</v>
      </c>
      <c r="T24" s="24"/>
      <c r="U24" s="24"/>
      <c r="V24" s="24">
        <v>45687</v>
      </c>
      <c r="W24" s="22" t="s">
        <v>19</v>
      </c>
      <c r="X24" s="4" t="str">
        <f>IF(Tabela2[[#This Row],[sigla]]="","",VLOOKUP(Tabela2[[#This Row],[sigla]],Tabela1[[#All],[Sigla Arte]:[Crédito]],2,0))</f>
        <v>HUGO ARAÚJO/ARQUIVO DA EDITORA</v>
      </c>
      <c r="Y24" s="23" t="s">
        <v>13</v>
      </c>
      <c r="Z24" s="23" t="str">
        <f>Tabela2[[#This Row],[ilustrador]]</f>
        <v>HUGO ARAÚJO/ARQUIVO DA EDITORA</v>
      </c>
      <c r="AA24" s="22">
        <v>13</v>
      </c>
      <c r="AB24" s="20"/>
      <c r="AC24" s="20" t="s">
        <v>14</v>
      </c>
      <c r="AD24" s="4" t="str">
        <f t="shared" si="0"/>
        <v>Pitanguá</v>
      </c>
      <c r="AE24" s="14" t="str">
        <f t="shared" si="1"/>
        <v>História</v>
      </c>
    </row>
    <row r="25" spans="1:31" s="14" customFormat="1" ht="86.4" x14ac:dyDescent="0.3">
      <c r="A25" s="23" t="s">
        <v>22</v>
      </c>
      <c r="B25" s="20" t="s">
        <v>16</v>
      </c>
      <c r="C25" s="20" t="s">
        <v>17</v>
      </c>
      <c r="D25" s="20" t="s">
        <v>8</v>
      </c>
      <c r="E25" s="22">
        <v>28</v>
      </c>
      <c r="F25" s="22">
        <v>4</v>
      </c>
      <c r="G25" s="22">
        <v>1</v>
      </c>
      <c r="H25" s="22"/>
      <c r="I25" s="23" t="s">
        <v>9</v>
      </c>
      <c r="J25" s="23"/>
      <c r="K25" s="22"/>
      <c r="L25" s="22"/>
      <c r="M25" s="23"/>
      <c r="N25" s="23"/>
      <c r="O25" s="26" t="s">
        <v>23</v>
      </c>
      <c r="P25" s="26"/>
      <c r="Q25" s="22">
        <v>1</v>
      </c>
      <c r="R25" s="24">
        <v>45686</v>
      </c>
      <c r="S25" s="24">
        <v>45686</v>
      </c>
      <c r="T25" s="24"/>
      <c r="U25" s="24"/>
      <c r="V25" s="24">
        <v>45687</v>
      </c>
      <c r="W25" s="22" t="s">
        <v>19</v>
      </c>
      <c r="X25" s="4" t="str">
        <f>IF(Tabela2[[#This Row],[sigla]]="","",VLOOKUP(Tabela2[[#This Row],[sigla]],Tabela1[[#All],[Sigla Arte]:[Crédito]],2,0))</f>
        <v>HUGO ARAÚJO/ARQUIVO DA EDITORA</v>
      </c>
      <c r="Y25" s="23" t="s">
        <v>13</v>
      </c>
      <c r="Z25" s="23" t="str">
        <f>Tabela2[[#This Row],[ilustrador]]</f>
        <v>HUGO ARAÚJO/ARQUIVO DA EDITORA</v>
      </c>
      <c r="AA25" s="22">
        <v>13</v>
      </c>
      <c r="AB25" s="20"/>
      <c r="AC25" s="20" t="s">
        <v>14</v>
      </c>
      <c r="AD25" s="4" t="str">
        <f t="shared" si="0"/>
        <v>Pitanguá</v>
      </c>
      <c r="AE25" s="14" t="str">
        <f t="shared" si="1"/>
        <v>História</v>
      </c>
    </row>
    <row r="26" spans="1:31" s="14" customFormat="1" ht="28.8" x14ac:dyDescent="0.3">
      <c r="A26" s="23" t="s">
        <v>213</v>
      </c>
      <c r="B26" s="20" t="s">
        <v>16</v>
      </c>
      <c r="C26" s="20" t="s">
        <v>17</v>
      </c>
      <c r="D26" s="20" t="s">
        <v>8</v>
      </c>
      <c r="E26" s="22">
        <v>44</v>
      </c>
      <c r="F26" s="22">
        <v>3</v>
      </c>
      <c r="G26" s="22">
        <v>1</v>
      </c>
      <c r="H26" s="22"/>
      <c r="I26" s="23" t="s">
        <v>9</v>
      </c>
      <c r="J26" s="23"/>
      <c r="K26" s="22"/>
      <c r="L26" s="22"/>
      <c r="M26" s="23"/>
      <c r="N26" s="23"/>
      <c r="O26" s="26" t="s">
        <v>214</v>
      </c>
      <c r="P26" s="26"/>
      <c r="Q26" s="22">
        <v>11</v>
      </c>
      <c r="R26" s="24">
        <v>45749</v>
      </c>
      <c r="S26" s="24">
        <v>45749</v>
      </c>
      <c r="T26" s="24"/>
      <c r="U26" s="24"/>
      <c r="V26" s="24">
        <v>45749</v>
      </c>
      <c r="W26" s="22" t="s">
        <v>74</v>
      </c>
      <c r="X26" s="4" t="str">
        <f>IF(Tabela2[[#This Row],[sigla]]="","",VLOOKUP(Tabela2[[#This Row],[sigla]],Tabela1[[#All],[Sigla Arte]:[Crédito]],2,0))</f>
        <v>RAFAEL L. GAION/ARQUIVO DA EDITORA</v>
      </c>
      <c r="Y26" s="23" t="s">
        <v>33</v>
      </c>
      <c r="Z26" s="23" t="str">
        <f>Tabela2[[#This Row],[ilustrador]]</f>
        <v>RAFAEL L. GAION/ARQUIVO DA EDITORA</v>
      </c>
      <c r="AA26" s="22">
        <v>13</v>
      </c>
      <c r="AB26" s="20"/>
      <c r="AC26" s="20" t="s">
        <v>14</v>
      </c>
      <c r="AD26" s="4" t="str">
        <f t="shared" si="0"/>
        <v>Pitanguá</v>
      </c>
      <c r="AE26" s="14" t="str">
        <f t="shared" si="1"/>
        <v>História</v>
      </c>
    </row>
    <row r="27" spans="1:31" s="14" customFormat="1" ht="28.8" x14ac:dyDescent="0.3">
      <c r="A27" s="23" t="s">
        <v>215</v>
      </c>
      <c r="B27" s="20" t="s">
        <v>16</v>
      </c>
      <c r="C27" s="20" t="s">
        <v>17</v>
      </c>
      <c r="D27" s="20" t="s">
        <v>8</v>
      </c>
      <c r="E27" s="22">
        <v>44</v>
      </c>
      <c r="F27" s="22">
        <v>3</v>
      </c>
      <c r="G27" s="22">
        <v>1</v>
      </c>
      <c r="H27" s="22"/>
      <c r="I27" s="23" t="s">
        <v>37</v>
      </c>
      <c r="J27" s="23"/>
      <c r="K27" s="22"/>
      <c r="L27" s="22"/>
      <c r="M27" s="23"/>
      <c r="N27" s="23"/>
      <c r="O27" s="26" t="s">
        <v>216</v>
      </c>
      <c r="P27" s="26"/>
      <c r="Q27" s="22"/>
      <c r="R27" s="24"/>
      <c r="S27" s="24"/>
      <c r="T27" s="24"/>
      <c r="U27" s="24"/>
      <c r="V27" s="24"/>
      <c r="W27" s="22" t="s">
        <v>74</v>
      </c>
      <c r="X27" s="4" t="str">
        <f>IF(Tabela2[[#This Row],[sigla]]="","",VLOOKUP(Tabela2[[#This Row],[sigla]],Tabela1[[#All],[Sigla Arte]:[Crédito]],2,0))</f>
        <v>RAFAEL L. GAION/ARQUIVO DA EDITORA</v>
      </c>
      <c r="Y27" s="23"/>
      <c r="Z27" s="23" t="str">
        <f>Tabela2[[#This Row],[ilustrador]]</f>
        <v>RAFAEL L. GAION/ARQUIVO DA EDITORA</v>
      </c>
      <c r="AA27" s="22"/>
      <c r="AB27" s="20"/>
      <c r="AC27" s="20"/>
      <c r="AD27" s="4" t="str">
        <f t="shared" si="0"/>
        <v>Pitanguá</v>
      </c>
      <c r="AE27" s="14" t="str">
        <f t="shared" si="1"/>
        <v>História</v>
      </c>
    </row>
    <row r="28" spans="1:31" s="14" customFormat="1" ht="28.8" x14ac:dyDescent="0.3">
      <c r="A28" s="23" t="s">
        <v>217</v>
      </c>
      <c r="B28" s="20" t="s">
        <v>16</v>
      </c>
      <c r="C28" s="20" t="s">
        <v>17</v>
      </c>
      <c r="D28" s="20" t="s">
        <v>8</v>
      </c>
      <c r="E28" s="22">
        <v>44</v>
      </c>
      <c r="F28" s="22">
        <v>3</v>
      </c>
      <c r="G28" s="22">
        <v>1</v>
      </c>
      <c r="H28" s="22"/>
      <c r="I28" s="23" t="s">
        <v>37</v>
      </c>
      <c r="J28" s="23"/>
      <c r="K28" s="22"/>
      <c r="L28" s="22"/>
      <c r="M28" s="23"/>
      <c r="N28" s="23"/>
      <c r="O28" s="26" t="s">
        <v>218</v>
      </c>
      <c r="P28" s="26"/>
      <c r="Q28" s="22"/>
      <c r="R28" s="24"/>
      <c r="S28" s="24"/>
      <c r="T28" s="24"/>
      <c r="U28" s="24"/>
      <c r="V28" s="24"/>
      <c r="W28" s="22" t="s">
        <v>74</v>
      </c>
      <c r="X28" s="4" t="str">
        <f>IF(Tabela2[[#This Row],[sigla]]="","",VLOOKUP(Tabela2[[#This Row],[sigla]],Tabela1[[#All],[Sigla Arte]:[Crédito]],2,0))</f>
        <v>RAFAEL L. GAION/ARQUIVO DA EDITORA</v>
      </c>
      <c r="Y28" s="23"/>
      <c r="Z28" s="23" t="str">
        <f>Tabela2[[#This Row],[ilustrador]]</f>
        <v>RAFAEL L. GAION/ARQUIVO DA EDITORA</v>
      </c>
      <c r="AA28" s="22"/>
      <c r="AB28" s="20"/>
      <c r="AC28" s="20"/>
      <c r="AD28" s="4" t="str">
        <f t="shared" si="0"/>
        <v>Pitanguá</v>
      </c>
      <c r="AE28" s="14" t="str">
        <f t="shared" si="1"/>
        <v>História</v>
      </c>
    </row>
    <row r="29" spans="1:31" s="14" customFormat="1" ht="28.8" x14ac:dyDescent="0.3">
      <c r="A29" s="23" t="s">
        <v>219</v>
      </c>
      <c r="B29" s="20" t="s">
        <v>16</v>
      </c>
      <c r="C29" s="20" t="s">
        <v>17</v>
      </c>
      <c r="D29" s="20" t="s">
        <v>8</v>
      </c>
      <c r="E29" s="22">
        <v>44</v>
      </c>
      <c r="F29" s="22">
        <v>3</v>
      </c>
      <c r="G29" s="22">
        <v>1</v>
      </c>
      <c r="H29" s="22"/>
      <c r="I29" s="23" t="s">
        <v>37</v>
      </c>
      <c r="J29" s="23"/>
      <c r="K29" s="22"/>
      <c r="L29" s="22"/>
      <c r="M29" s="23"/>
      <c r="N29" s="23"/>
      <c r="O29" s="26" t="s">
        <v>220</v>
      </c>
      <c r="P29" s="26"/>
      <c r="Q29" s="22"/>
      <c r="R29" s="24"/>
      <c r="S29" s="24"/>
      <c r="T29" s="24"/>
      <c r="U29" s="24"/>
      <c r="V29" s="24"/>
      <c r="W29" s="22" t="s">
        <v>74</v>
      </c>
      <c r="X29" s="4" t="str">
        <f>IF(Tabela2[[#This Row],[sigla]]="","",VLOOKUP(Tabela2[[#This Row],[sigla]],Tabela1[[#All],[Sigla Arte]:[Crédito]],2,0))</f>
        <v>RAFAEL L. GAION/ARQUIVO DA EDITORA</v>
      </c>
      <c r="Y29" s="27"/>
      <c r="Z29" s="23" t="str">
        <f>Tabela2[[#This Row],[ilustrador]]</f>
        <v>RAFAEL L. GAION/ARQUIVO DA EDITORA</v>
      </c>
      <c r="AA29" s="22"/>
      <c r="AB29" s="20"/>
      <c r="AC29" s="20"/>
      <c r="AD29" s="4" t="str">
        <f t="shared" si="0"/>
        <v>Pitanguá</v>
      </c>
      <c r="AE29" s="14" t="str">
        <f t="shared" si="1"/>
        <v>História</v>
      </c>
    </row>
    <row r="30" spans="1:31" s="14" customFormat="1" ht="28.8" x14ac:dyDescent="0.3">
      <c r="A30" s="23" t="s">
        <v>221</v>
      </c>
      <c r="B30" s="20" t="s">
        <v>16</v>
      </c>
      <c r="C30" s="20" t="s">
        <v>17</v>
      </c>
      <c r="D30" s="20" t="s">
        <v>8</v>
      </c>
      <c r="E30" s="22">
        <v>44</v>
      </c>
      <c r="F30" s="22">
        <v>3</v>
      </c>
      <c r="G30" s="22">
        <v>1</v>
      </c>
      <c r="H30" s="22"/>
      <c r="I30" s="23" t="s">
        <v>9</v>
      </c>
      <c r="J30" s="23"/>
      <c r="K30" s="22"/>
      <c r="L30" s="22"/>
      <c r="M30" s="23"/>
      <c r="N30" s="23"/>
      <c r="O30" s="26" t="s">
        <v>222</v>
      </c>
      <c r="P30" s="26"/>
      <c r="Q30" s="22">
        <v>11</v>
      </c>
      <c r="R30" s="24">
        <v>45749</v>
      </c>
      <c r="S30" s="24">
        <v>45749</v>
      </c>
      <c r="T30" s="24"/>
      <c r="U30" s="24"/>
      <c r="V30" s="24">
        <v>45749</v>
      </c>
      <c r="W30" s="22" t="s">
        <v>74</v>
      </c>
      <c r="X30" s="4" t="str">
        <f>IF(Tabela2[[#This Row],[sigla]]="","",VLOOKUP(Tabela2[[#This Row],[sigla]],Tabela1[[#All],[Sigla Arte]:[Crédito]],2,0))</f>
        <v>RAFAEL L. GAION/ARQUIVO DA EDITORA</v>
      </c>
      <c r="Y30" s="27" t="s">
        <v>33</v>
      </c>
      <c r="Z30" s="23" t="str">
        <f>Tabela2[[#This Row],[ilustrador]]</f>
        <v>RAFAEL L. GAION/ARQUIVO DA EDITORA</v>
      </c>
      <c r="AA30" s="22">
        <v>13</v>
      </c>
      <c r="AB30" s="20"/>
      <c r="AC30" s="20" t="s">
        <v>14</v>
      </c>
      <c r="AD30" s="4" t="str">
        <f t="shared" si="0"/>
        <v>Pitanguá</v>
      </c>
      <c r="AE30" s="14" t="str">
        <f t="shared" si="1"/>
        <v>História</v>
      </c>
    </row>
    <row r="31" spans="1:31" s="14" customFormat="1" ht="28.8" x14ac:dyDescent="0.3">
      <c r="A31" s="23" t="s">
        <v>223</v>
      </c>
      <c r="B31" s="20" t="s">
        <v>16</v>
      </c>
      <c r="C31" s="20" t="s">
        <v>17</v>
      </c>
      <c r="D31" s="20" t="s">
        <v>8</v>
      </c>
      <c r="E31" s="22">
        <v>44</v>
      </c>
      <c r="F31" s="22">
        <v>3</v>
      </c>
      <c r="G31" s="22">
        <v>1</v>
      </c>
      <c r="H31" s="22"/>
      <c r="I31" s="23" t="s">
        <v>37</v>
      </c>
      <c r="J31" s="23"/>
      <c r="K31" s="22"/>
      <c r="L31" s="22"/>
      <c r="M31" s="23"/>
      <c r="N31" s="23"/>
      <c r="O31" s="26" t="s">
        <v>224</v>
      </c>
      <c r="P31" s="26"/>
      <c r="Q31" s="22"/>
      <c r="R31" s="24"/>
      <c r="S31" s="24"/>
      <c r="T31" s="24"/>
      <c r="U31" s="24"/>
      <c r="V31" s="24"/>
      <c r="W31" s="22" t="s">
        <v>74</v>
      </c>
      <c r="X31" s="4" t="str">
        <f>IF(Tabela2[[#This Row],[sigla]]="","",VLOOKUP(Tabela2[[#This Row],[sigla]],Tabela1[[#All],[Sigla Arte]:[Crédito]],2,0))</f>
        <v>RAFAEL L. GAION/ARQUIVO DA EDITORA</v>
      </c>
      <c r="Y31" s="27"/>
      <c r="Z31" s="23" t="str">
        <f>Tabela2[[#This Row],[ilustrador]]</f>
        <v>RAFAEL L. GAION/ARQUIVO DA EDITORA</v>
      </c>
      <c r="AA31" s="22"/>
      <c r="AB31" s="20"/>
      <c r="AC31" s="20"/>
      <c r="AD31" s="4" t="str">
        <f t="shared" si="0"/>
        <v>Pitanguá</v>
      </c>
      <c r="AE31" s="14" t="str">
        <f t="shared" si="1"/>
        <v>História</v>
      </c>
    </row>
    <row r="32" spans="1:31" s="14" customFormat="1" ht="57.6" x14ac:dyDescent="0.3">
      <c r="A32" s="23" t="s">
        <v>274</v>
      </c>
      <c r="B32" s="20" t="s">
        <v>90</v>
      </c>
      <c r="C32" s="20" t="s">
        <v>17</v>
      </c>
      <c r="D32" s="20" t="s">
        <v>8</v>
      </c>
      <c r="E32" s="22">
        <v>23</v>
      </c>
      <c r="F32" s="22">
        <v>5</v>
      </c>
      <c r="G32" s="22">
        <v>1</v>
      </c>
      <c r="H32" s="22"/>
      <c r="I32" s="23" t="s">
        <v>30</v>
      </c>
      <c r="J32" s="23"/>
      <c r="K32" s="22"/>
      <c r="L32" s="22"/>
      <c r="M32" s="23"/>
      <c r="N32" s="23"/>
      <c r="O32" s="26" t="s">
        <v>275</v>
      </c>
      <c r="P32" s="26"/>
      <c r="Q32" s="22">
        <v>22</v>
      </c>
      <c r="R32" s="24">
        <v>45835</v>
      </c>
      <c r="S32" s="24">
        <v>45839</v>
      </c>
      <c r="T32" s="24">
        <v>45846</v>
      </c>
      <c r="U32" s="24">
        <v>45848</v>
      </c>
      <c r="V32" s="24">
        <v>45853</v>
      </c>
      <c r="W32" s="22" t="s">
        <v>188</v>
      </c>
      <c r="X32" s="4" t="str">
        <f>IF(Tabela2[[#This Row],[sigla]]="","",VLOOKUP(Tabela2[[#This Row],[sigla]],Tabela1[[#All],[Sigla Arte]:[Crédito]],2,0))</f>
        <v>SAULO NUNES/ARQUIVO DA EDITORA</v>
      </c>
      <c r="Y32" s="23"/>
      <c r="Z32" s="23" t="str">
        <f>Tabela2[[#This Row],[ilustrador]]</f>
        <v>SAULO NUNES/ARQUIVO DA EDITORA</v>
      </c>
      <c r="AA32" s="22">
        <v>5</v>
      </c>
      <c r="AB32" s="20" t="s">
        <v>276</v>
      </c>
      <c r="AC32" s="20" t="s">
        <v>50</v>
      </c>
      <c r="AD32" s="4" t="str">
        <f t="shared" si="0"/>
        <v>Pitanguá</v>
      </c>
      <c r="AE32" s="14" t="str">
        <f t="shared" si="1"/>
        <v>História</v>
      </c>
    </row>
    <row r="33" spans="1:31" s="14" customFormat="1" ht="28.8" x14ac:dyDescent="0.3">
      <c r="A33" s="23" t="s">
        <v>225</v>
      </c>
      <c r="B33" s="20" t="s">
        <v>16</v>
      </c>
      <c r="C33" s="20" t="s">
        <v>17</v>
      </c>
      <c r="D33" s="20" t="s">
        <v>8</v>
      </c>
      <c r="E33" s="22">
        <v>44</v>
      </c>
      <c r="F33" s="22">
        <v>3</v>
      </c>
      <c r="G33" s="22">
        <v>1</v>
      </c>
      <c r="H33" s="22"/>
      <c r="I33" s="23" t="s">
        <v>37</v>
      </c>
      <c r="J33" s="23"/>
      <c r="K33" s="22"/>
      <c r="L33" s="22"/>
      <c r="M33" s="23"/>
      <c r="N33" s="23"/>
      <c r="O33" s="26" t="s">
        <v>226</v>
      </c>
      <c r="P33" s="26"/>
      <c r="Q33" s="22"/>
      <c r="R33" s="24"/>
      <c r="S33" s="24"/>
      <c r="T33" s="24"/>
      <c r="U33" s="24"/>
      <c r="V33" s="24"/>
      <c r="W33" s="22" t="s">
        <v>74</v>
      </c>
      <c r="X33" s="4" t="str">
        <f>IF(Tabela2[[#This Row],[sigla]]="","",VLOOKUP(Tabela2[[#This Row],[sigla]],Tabela1[[#All],[Sigla Arte]:[Crédito]],2,0))</f>
        <v>RAFAEL L. GAION/ARQUIVO DA EDITORA</v>
      </c>
      <c r="Y33" s="23"/>
      <c r="Z33" s="23" t="str">
        <f>Tabela2[[#This Row],[ilustrador]]</f>
        <v>RAFAEL L. GAION/ARQUIVO DA EDITORA</v>
      </c>
      <c r="AA33" s="22"/>
      <c r="AB33" s="20"/>
      <c r="AC33" s="20"/>
      <c r="AD33" s="4" t="str">
        <f t="shared" si="0"/>
        <v>Pitanguá</v>
      </c>
      <c r="AE33" s="14" t="str">
        <f t="shared" si="1"/>
        <v>História</v>
      </c>
    </row>
    <row r="34" spans="1:31" s="14" customFormat="1" ht="28.8" x14ac:dyDescent="0.3">
      <c r="A34" s="23" t="s">
        <v>227</v>
      </c>
      <c r="B34" s="20" t="s">
        <v>16</v>
      </c>
      <c r="C34" s="20" t="s">
        <v>17</v>
      </c>
      <c r="D34" s="20" t="s">
        <v>8</v>
      </c>
      <c r="E34" s="22">
        <v>44</v>
      </c>
      <c r="F34" s="22">
        <v>3</v>
      </c>
      <c r="G34" s="22">
        <v>1</v>
      </c>
      <c r="H34" s="22"/>
      <c r="I34" s="23" t="s">
        <v>37</v>
      </c>
      <c r="J34" s="23"/>
      <c r="K34" s="22"/>
      <c r="L34" s="22"/>
      <c r="M34" s="23"/>
      <c r="N34" s="23"/>
      <c r="O34" s="26" t="s">
        <v>228</v>
      </c>
      <c r="P34" s="26"/>
      <c r="Q34" s="22"/>
      <c r="R34" s="24"/>
      <c r="S34" s="24"/>
      <c r="T34" s="24"/>
      <c r="U34" s="24"/>
      <c r="V34" s="24"/>
      <c r="W34" s="22" t="s">
        <v>74</v>
      </c>
      <c r="X34" s="4" t="str">
        <f>IF(Tabela2[[#This Row],[sigla]]="","",VLOOKUP(Tabela2[[#This Row],[sigla]],Tabela1[[#All],[Sigla Arte]:[Crédito]],2,0))</f>
        <v>RAFAEL L. GAION/ARQUIVO DA EDITORA</v>
      </c>
      <c r="Y34" s="23"/>
      <c r="Z34" s="23" t="str">
        <f>Tabela2[[#This Row],[ilustrador]]</f>
        <v>RAFAEL L. GAION/ARQUIVO DA EDITORA</v>
      </c>
      <c r="AA34" s="22"/>
      <c r="AB34" s="20"/>
      <c r="AC34" s="20"/>
      <c r="AD34" s="4" t="str">
        <f t="shared" ref="AD34:AD65" si="2">"Pitanguá"</f>
        <v>Pitanguá</v>
      </c>
      <c r="AE34" s="14" t="str">
        <f t="shared" ref="AE34:AE65" si="3">"História"</f>
        <v>História</v>
      </c>
    </row>
    <row r="35" spans="1:31" s="14" customFormat="1" ht="43.2" x14ac:dyDescent="0.3">
      <c r="A35" s="23" t="s">
        <v>229</v>
      </c>
      <c r="B35" s="20" t="s">
        <v>16</v>
      </c>
      <c r="C35" s="20" t="s">
        <v>17</v>
      </c>
      <c r="D35" s="20" t="s">
        <v>8</v>
      </c>
      <c r="E35" s="22">
        <v>15</v>
      </c>
      <c r="F35" s="22">
        <v>3</v>
      </c>
      <c r="G35" s="22">
        <v>1</v>
      </c>
      <c r="H35" s="22"/>
      <c r="I35" s="23" t="s">
        <v>9</v>
      </c>
      <c r="J35" s="23"/>
      <c r="K35" s="22"/>
      <c r="L35" s="22"/>
      <c r="M35" s="23"/>
      <c r="N35" s="23"/>
      <c r="O35" s="26" t="s">
        <v>230</v>
      </c>
      <c r="P35" s="26"/>
      <c r="Q35" s="22">
        <v>12</v>
      </c>
      <c r="R35" s="24">
        <v>45749</v>
      </c>
      <c r="S35" s="24">
        <v>45749</v>
      </c>
      <c r="T35" s="24"/>
      <c r="U35" s="24"/>
      <c r="V35" s="24">
        <v>45749</v>
      </c>
      <c r="W35" s="22" t="s">
        <v>68</v>
      </c>
      <c r="X35" s="4" t="str">
        <f>IF(Tabela2[[#This Row],[sigla]]="","",VLOOKUP(Tabela2[[#This Row],[sigla]],Tabela1[[#All],[Sigla Arte]:[Crédito]],2,0))</f>
        <v>VICTOR LEMOS/ARQUIVO DA EDITORA</v>
      </c>
      <c r="Y35" s="23" t="s">
        <v>123</v>
      </c>
      <c r="Z35" s="23" t="str">
        <f>Tabela2[[#This Row],[ilustrador]]</f>
        <v>VICTOR LEMOS/ARQUIVO DA EDITORA</v>
      </c>
      <c r="AA35" s="22">
        <v>13</v>
      </c>
      <c r="AB35" s="20" t="s">
        <v>27</v>
      </c>
      <c r="AC35" s="20" t="s">
        <v>14</v>
      </c>
      <c r="AD35" s="4" t="str">
        <f t="shared" si="2"/>
        <v>Pitanguá</v>
      </c>
      <c r="AE35" s="14" t="str">
        <f t="shared" si="3"/>
        <v>História</v>
      </c>
    </row>
    <row r="36" spans="1:31" s="14" customFormat="1" ht="43.2" x14ac:dyDescent="0.3">
      <c r="A36" s="23" t="s">
        <v>231</v>
      </c>
      <c r="B36" s="20" t="s">
        <v>16</v>
      </c>
      <c r="C36" s="20" t="s">
        <v>17</v>
      </c>
      <c r="D36" s="20" t="s">
        <v>8</v>
      </c>
      <c r="E36" s="22">
        <v>15</v>
      </c>
      <c r="F36" s="22">
        <v>3</v>
      </c>
      <c r="G36" s="22">
        <v>1</v>
      </c>
      <c r="H36" s="22"/>
      <c r="I36" s="23" t="s">
        <v>9</v>
      </c>
      <c r="J36" s="23"/>
      <c r="K36" s="22"/>
      <c r="L36" s="22"/>
      <c r="M36" s="23"/>
      <c r="N36" s="23"/>
      <c r="O36" s="26" t="s">
        <v>232</v>
      </c>
      <c r="P36" s="26"/>
      <c r="Q36" s="22">
        <v>12</v>
      </c>
      <c r="R36" s="24">
        <v>45749</v>
      </c>
      <c r="S36" s="24">
        <v>45749</v>
      </c>
      <c r="T36" s="24"/>
      <c r="U36" s="24"/>
      <c r="V36" s="24">
        <v>45749</v>
      </c>
      <c r="W36" s="22" t="s">
        <v>68</v>
      </c>
      <c r="X36" s="4" t="str">
        <f>IF(Tabela2[[#This Row],[sigla]]="","",VLOOKUP(Tabela2[[#This Row],[sigla]],Tabela1[[#All],[Sigla Arte]:[Crédito]],2,0))</f>
        <v>VICTOR LEMOS/ARQUIVO DA EDITORA</v>
      </c>
      <c r="Y36" s="23" t="s">
        <v>123</v>
      </c>
      <c r="Z36" s="23" t="str">
        <f>Tabela2[[#This Row],[ilustrador]]</f>
        <v>VICTOR LEMOS/ARQUIVO DA EDITORA</v>
      </c>
      <c r="AA36" s="22">
        <v>13</v>
      </c>
      <c r="AB36" s="20" t="s">
        <v>27</v>
      </c>
      <c r="AC36" s="20" t="s">
        <v>14</v>
      </c>
      <c r="AD36" s="4" t="str">
        <f t="shared" si="2"/>
        <v>Pitanguá</v>
      </c>
      <c r="AE36" s="14" t="str">
        <f t="shared" si="3"/>
        <v>História</v>
      </c>
    </row>
    <row r="37" spans="1:31" s="14" customFormat="1" ht="57.6" x14ac:dyDescent="0.3">
      <c r="A37" s="23" t="s">
        <v>233</v>
      </c>
      <c r="B37" s="20" t="s">
        <v>16</v>
      </c>
      <c r="C37" s="20" t="s">
        <v>17</v>
      </c>
      <c r="D37" s="20" t="s">
        <v>8</v>
      </c>
      <c r="E37" s="22">
        <v>15</v>
      </c>
      <c r="F37" s="22">
        <v>3</v>
      </c>
      <c r="G37" s="22">
        <v>1</v>
      </c>
      <c r="H37" s="22"/>
      <c r="I37" s="23" t="s">
        <v>9</v>
      </c>
      <c r="J37" s="23"/>
      <c r="K37" s="22"/>
      <c r="L37" s="22"/>
      <c r="M37" s="23"/>
      <c r="N37" s="23"/>
      <c r="O37" s="26" t="s">
        <v>234</v>
      </c>
      <c r="P37" s="26"/>
      <c r="Q37" s="22">
        <v>12</v>
      </c>
      <c r="R37" s="24">
        <v>45749</v>
      </c>
      <c r="S37" s="24">
        <v>45749</v>
      </c>
      <c r="T37" s="24"/>
      <c r="U37" s="24"/>
      <c r="V37" s="24">
        <v>45749</v>
      </c>
      <c r="W37" s="22" t="s">
        <v>68</v>
      </c>
      <c r="X37" s="4" t="str">
        <f>IF(Tabela2[[#This Row],[sigla]]="","",VLOOKUP(Tabela2[[#This Row],[sigla]],Tabela1[[#All],[Sigla Arte]:[Crédito]],2,0))</f>
        <v>VICTOR LEMOS/ARQUIVO DA EDITORA</v>
      </c>
      <c r="Y37" s="23" t="s">
        <v>123</v>
      </c>
      <c r="Z37" s="23" t="str">
        <f>Tabela2[[#This Row],[ilustrador]]</f>
        <v>VICTOR LEMOS/ARQUIVO DA EDITORA</v>
      </c>
      <c r="AA37" s="22">
        <v>13</v>
      </c>
      <c r="AB37" s="20" t="s">
        <v>27</v>
      </c>
      <c r="AC37" s="20" t="s">
        <v>14</v>
      </c>
      <c r="AD37" s="4" t="str">
        <f t="shared" si="2"/>
        <v>Pitanguá</v>
      </c>
      <c r="AE37" s="14" t="str">
        <f t="shared" si="3"/>
        <v>História</v>
      </c>
    </row>
    <row r="38" spans="1:31" s="14" customFormat="1" ht="43.2" x14ac:dyDescent="0.3">
      <c r="A38" s="23" t="s">
        <v>286</v>
      </c>
      <c r="B38" s="20" t="s">
        <v>287</v>
      </c>
      <c r="C38" s="20" t="s">
        <v>17</v>
      </c>
      <c r="D38" s="20" t="s">
        <v>8</v>
      </c>
      <c r="E38" s="22">
        <v>35</v>
      </c>
      <c r="F38" s="22">
        <v>1</v>
      </c>
      <c r="G38" s="22">
        <v>1</v>
      </c>
      <c r="H38" s="22"/>
      <c r="I38" s="23" t="s">
        <v>30</v>
      </c>
      <c r="J38" s="23"/>
      <c r="K38" s="22"/>
      <c r="L38" s="22"/>
      <c r="M38" s="23"/>
      <c r="N38" s="23"/>
      <c r="O38" s="26" t="s">
        <v>288</v>
      </c>
      <c r="P38" s="26"/>
      <c r="Q38" s="22">
        <v>25</v>
      </c>
      <c r="R38" s="24">
        <v>45853</v>
      </c>
      <c r="S38" s="24">
        <v>45853</v>
      </c>
      <c r="T38" s="24">
        <v>45860</v>
      </c>
      <c r="U38" s="24">
        <v>45860</v>
      </c>
      <c r="V38" s="24">
        <v>45868</v>
      </c>
      <c r="W38" s="22" t="s">
        <v>289</v>
      </c>
      <c r="X38" s="4" t="str">
        <f>IF(Tabela2[[#This Row],[sigla]]="","",VLOOKUP(Tabela2[[#This Row],[sigla]],Tabela1[[#All],[Sigla Arte]:[Crédito]],2,0))</f>
        <v>REINALDO ROSA/ARQUIVO DA EDITORA</v>
      </c>
      <c r="Y38" s="23"/>
      <c r="Z38" s="23" t="str">
        <f>Tabela2[[#This Row],[ilustrador]]</f>
        <v>REINALDO ROSA/ARQUIVO DA EDITORA</v>
      </c>
      <c r="AA38" s="22">
        <v>5</v>
      </c>
      <c r="AB38" s="20" t="s">
        <v>290</v>
      </c>
      <c r="AC38" s="20" t="s">
        <v>50</v>
      </c>
      <c r="AD38" s="4" t="str">
        <f t="shared" si="2"/>
        <v>Pitanguá</v>
      </c>
      <c r="AE38" s="14" t="str">
        <f t="shared" si="3"/>
        <v>História</v>
      </c>
    </row>
    <row r="39" spans="1:31" s="14" customFormat="1" ht="72" x14ac:dyDescent="0.3">
      <c r="A39" s="23" t="s">
        <v>291</v>
      </c>
      <c r="B39" s="20" t="s">
        <v>287</v>
      </c>
      <c r="C39" s="20" t="s">
        <v>17</v>
      </c>
      <c r="D39" s="20" t="s">
        <v>8</v>
      </c>
      <c r="E39" s="22">
        <v>35</v>
      </c>
      <c r="F39" s="22">
        <v>1</v>
      </c>
      <c r="G39" s="22">
        <v>1</v>
      </c>
      <c r="H39" s="22"/>
      <c r="I39" s="23" t="s">
        <v>30</v>
      </c>
      <c r="J39" s="23"/>
      <c r="K39" s="22"/>
      <c r="L39" s="22"/>
      <c r="M39" s="23"/>
      <c r="N39" s="23"/>
      <c r="O39" s="26" t="s">
        <v>292</v>
      </c>
      <c r="P39" s="26"/>
      <c r="Q39" s="22">
        <v>25</v>
      </c>
      <c r="R39" s="24">
        <v>45853</v>
      </c>
      <c r="S39" s="24">
        <v>45853</v>
      </c>
      <c r="T39" s="24">
        <v>45860</v>
      </c>
      <c r="U39" s="24">
        <v>45861</v>
      </c>
      <c r="V39" s="24">
        <v>45868</v>
      </c>
      <c r="W39" s="22" t="s">
        <v>289</v>
      </c>
      <c r="X39" s="4" t="str">
        <f>IF(Tabela2[[#This Row],[sigla]]="","",VLOOKUP(Tabela2[[#This Row],[sigla]],Tabela1[[#All],[Sigla Arte]:[Crédito]],2,0))</f>
        <v>REINALDO ROSA/ARQUIVO DA EDITORA</v>
      </c>
      <c r="Y39" s="23"/>
      <c r="Z39" s="23" t="str">
        <f>Tabela2[[#This Row],[ilustrador]]</f>
        <v>REINALDO ROSA/ARQUIVO DA EDITORA</v>
      </c>
      <c r="AA39" s="22">
        <v>5</v>
      </c>
      <c r="AB39" s="20" t="s">
        <v>290</v>
      </c>
      <c r="AC39" s="20" t="s">
        <v>50</v>
      </c>
      <c r="AD39" s="4" t="str">
        <f t="shared" si="2"/>
        <v>Pitanguá</v>
      </c>
      <c r="AE39" s="14" t="str">
        <f t="shared" si="3"/>
        <v>História</v>
      </c>
    </row>
    <row r="40" spans="1:31" s="14" customFormat="1" ht="43.2" x14ac:dyDescent="0.3">
      <c r="A40" s="23" t="s">
        <v>293</v>
      </c>
      <c r="B40" s="20" t="s">
        <v>287</v>
      </c>
      <c r="C40" s="20" t="s">
        <v>17</v>
      </c>
      <c r="D40" s="20" t="s">
        <v>8</v>
      </c>
      <c r="E40" s="22">
        <v>35</v>
      </c>
      <c r="F40" s="22">
        <v>1</v>
      </c>
      <c r="G40" s="22">
        <v>1</v>
      </c>
      <c r="H40" s="22"/>
      <c r="I40" s="23" t="s">
        <v>30</v>
      </c>
      <c r="J40" s="23"/>
      <c r="K40" s="22"/>
      <c r="L40" s="22"/>
      <c r="M40" s="23"/>
      <c r="N40" s="23"/>
      <c r="O40" s="26" t="s">
        <v>294</v>
      </c>
      <c r="P40" s="26"/>
      <c r="Q40" s="22">
        <v>25</v>
      </c>
      <c r="R40" s="24">
        <v>45853</v>
      </c>
      <c r="S40" s="24">
        <v>45853</v>
      </c>
      <c r="T40" s="24">
        <v>45860</v>
      </c>
      <c r="U40" s="24">
        <v>45862</v>
      </c>
      <c r="V40" s="24">
        <v>45868</v>
      </c>
      <c r="W40" s="22" t="s">
        <v>289</v>
      </c>
      <c r="X40" s="4" t="str">
        <f>IF(Tabela2[[#This Row],[sigla]]="","",VLOOKUP(Tabela2[[#This Row],[sigla]],Tabela1[[#All],[Sigla Arte]:[Crédito]],2,0))</f>
        <v>REINALDO ROSA/ARQUIVO DA EDITORA</v>
      </c>
      <c r="Y40" s="23"/>
      <c r="Z40" s="23" t="str">
        <f>Tabela2[[#This Row],[ilustrador]]</f>
        <v>REINALDO ROSA/ARQUIVO DA EDITORA</v>
      </c>
      <c r="AA40" s="22">
        <v>5</v>
      </c>
      <c r="AB40" s="20" t="s">
        <v>290</v>
      </c>
      <c r="AC40" s="20" t="s">
        <v>50</v>
      </c>
      <c r="AD40" s="4" t="str">
        <f t="shared" si="2"/>
        <v>Pitanguá</v>
      </c>
      <c r="AE40" s="14" t="str">
        <f t="shared" si="3"/>
        <v>História</v>
      </c>
    </row>
    <row r="41" spans="1:31" s="14" customFormat="1" ht="57.6" x14ac:dyDescent="0.3">
      <c r="A41" s="23" t="s">
        <v>295</v>
      </c>
      <c r="B41" s="20" t="s">
        <v>287</v>
      </c>
      <c r="C41" s="20" t="s">
        <v>17</v>
      </c>
      <c r="D41" s="20" t="s">
        <v>8</v>
      </c>
      <c r="E41" s="22">
        <v>35</v>
      </c>
      <c r="F41" s="22">
        <v>1</v>
      </c>
      <c r="G41" s="22">
        <v>1</v>
      </c>
      <c r="H41" s="22"/>
      <c r="I41" s="23" t="s">
        <v>30</v>
      </c>
      <c r="J41" s="23"/>
      <c r="K41" s="22"/>
      <c r="L41" s="22"/>
      <c r="M41" s="23"/>
      <c r="N41" s="23"/>
      <c r="O41" s="26" t="s">
        <v>296</v>
      </c>
      <c r="P41" s="26"/>
      <c r="Q41" s="22">
        <v>25</v>
      </c>
      <c r="R41" s="24">
        <v>45853</v>
      </c>
      <c r="S41" s="24">
        <v>45853</v>
      </c>
      <c r="T41" s="24">
        <v>45860</v>
      </c>
      <c r="U41" s="24">
        <v>45863</v>
      </c>
      <c r="V41" s="24">
        <v>45868</v>
      </c>
      <c r="W41" s="22" t="s">
        <v>289</v>
      </c>
      <c r="X41" s="4" t="str">
        <f>IF(Tabela2[[#This Row],[sigla]]="","",VLOOKUP(Tabela2[[#This Row],[sigla]],Tabela1[[#All],[Sigla Arte]:[Crédito]],2,0))</f>
        <v>REINALDO ROSA/ARQUIVO DA EDITORA</v>
      </c>
      <c r="Y41" s="23"/>
      <c r="Z41" s="23" t="str">
        <f>Tabela2[[#This Row],[ilustrador]]</f>
        <v>REINALDO ROSA/ARQUIVO DA EDITORA</v>
      </c>
      <c r="AA41" s="22">
        <v>5</v>
      </c>
      <c r="AB41" s="20" t="s">
        <v>290</v>
      </c>
      <c r="AC41" s="20" t="s">
        <v>50</v>
      </c>
      <c r="AD41" s="4" t="str">
        <f t="shared" si="2"/>
        <v>Pitanguá</v>
      </c>
      <c r="AE41" s="14" t="str">
        <f t="shared" si="3"/>
        <v>História</v>
      </c>
    </row>
    <row r="42" spans="1:31" s="14" customFormat="1" ht="57.6" x14ac:dyDescent="0.3">
      <c r="A42" s="23" t="s">
        <v>102</v>
      </c>
      <c r="B42" s="20" t="s">
        <v>90</v>
      </c>
      <c r="C42" s="20" t="s">
        <v>17</v>
      </c>
      <c r="D42" s="20" t="s">
        <v>8</v>
      </c>
      <c r="E42" s="22">
        <v>32</v>
      </c>
      <c r="F42" s="22">
        <v>5</v>
      </c>
      <c r="G42" s="22">
        <v>2</v>
      </c>
      <c r="H42" s="22"/>
      <c r="I42" s="23" t="s">
        <v>9</v>
      </c>
      <c r="J42" s="23"/>
      <c r="K42" s="22"/>
      <c r="L42" s="22"/>
      <c r="M42" s="23"/>
      <c r="N42" s="23"/>
      <c r="O42" s="26" t="s">
        <v>103</v>
      </c>
      <c r="P42" s="26"/>
      <c r="Q42" s="22">
        <v>27</v>
      </c>
      <c r="R42" s="24"/>
      <c r="S42" s="24">
        <v>45895</v>
      </c>
      <c r="T42" s="24"/>
      <c r="U42" s="24"/>
      <c r="V42" s="24">
        <v>45895</v>
      </c>
      <c r="W42" s="22" t="s">
        <v>56</v>
      </c>
      <c r="X42" s="4" t="str">
        <f>IF(Tabela2[[#This Row],[sigla]]="","",VLOOKUP(Tabela2[[#This Row],[sigla]],Tabela1[[#All],[Sigla Arte]:[Crédito]],2,0))</f>
        <v>THIAGO LOPES/ARQUIVO DA EDITORA</v>
      </c>
      <c r="Y42" s="23" t="s">
        <v>33</v>
      </c>
      <c r="Z42" s="23" t="str">
        <f>Tabela2[[#This Row],[ilustrador]]</f>
        <v>THIAGO LOPES/ARQUIVO DA EDITORA</v>
      </c>
      <c r="AA42" s="22">
        <v>13</v>
      </c>
      <c r="AB42" s="20" t="s">
        <v>45</v>
      </c>
      <c r="AC42" s="20" t="s">
        <v>14</v>
      </c>
      <c r="AD42" s="4" t="str">
        <f t="shared" si="2"/>
        <v>Pitanguá</v>
      </c>
      <c r="AE42" s="14" t="str">
        <f t="shared" si="3"/>
        <v>História</v>
      </c>
    </row>
    <row r="43" spans="1:31" s="14" customFormat="1" ht="72" x14ac:dyDescent="0.3">
      <c r="A43" s="23" t="s">
        <v>104</v>
      </c>
      <c r="B43" s="20" t="s">
        <v>16</v>
      </c>
      <c r="C43" s="20" t="s">
        <v>17</v>
      </c>
      <c r="D43" s="20" t="s">
        <v>8</v>
      </c>
      <c r="E43" s="22">
        <v>33</v>
      </c>
      <c r="F43" s="22">
        <v>5</v>
      </c>
      <c r="G43" s="22">
        <v>2</v>
      </c>
      <c r="H43" s="22"/>
      <c r="I43" s="23" t="s">
        <v>37</v>
      </c>
      <c r="J43" s="23"/>
      <c r="K43" s="22"/>
      <c r="L43" s="22"/>
      <c r="M43" s="23"/>
      <c r="N43" s="23"/>
      <c r="O43" s="26" t="s">
        <v>105</v>
      </c>
      <c r="P43" s="26"/>
      <c r="Q43" s="22"/>
      <c r="R43" s="24"/>
      <c r="S43" s="24"/>
      <c r="T43" s="24"/>
      <c r="U43" s="24"/>
      <c r="V43" s="24"/>
      <c r="W43" s="22" t="s">
        <v>56</v>
      </c>
      <c r="X43" s="4" t="str">
        <f>IF(Tabela2[[#This Row],[sigla]]="","",VLOOKUP(Tabela2[[#This Row],[sigla]],Tabela1[[#All],[Sigla Arte]:[Crédito]],2,0))</f>
        <v>THIAGO LOPES/ARQUIVO DA EDITORA</v>
      </c>
      <c r="Y43" s="23"/>
      <c r="Z43" s="23" t="str">
        <f>Tabela2[[#This Row],[ilustrador]]</f>
        <v>THIAGO LOPES/ARQUIVO DA EDITORA</v>
      </c>
      <c r="AA43" s="22"/>
      <c r="AB43" s="20"/>
      <c r="AC43" s="20"/>
      <c r="AD43" s="4" t="str">
        <f t="shared" si="2"/>
        <v>Pitanguá</v>
      </c>
      <c r="AE43" s="14" t="str">
        <f t="shared" si="3"/>
        <v>História</v>
      </c>
    </row>
    <row r="44" spans="1:31" s="14" customFormat="1" ht="100.8" x14ac:dyDescent="0.3">
      <c r="A44" s="23" t="s">
        <v>106</v>
      </c>
      <c r="B44" s="20" t="s">
        <v>107</v>
      </c>
      <c r="C44" s="20" t="s">
        <v>17</v>
      </c>
      <c r="D44" s="20" t="s">
        <v>8</v>
      </c>
      <c r="E44" s="22">
        <v>33</v>
      </c>
      <c r="F44" s="22">
        <v>5</v>
      </c>
      <c r="G44" s="22">
        <v>2</v>
      </c>
      <c r="H44" s="22"/>
      <c r="I44" s="23" t="s">
        <v>9</v>
      </c>
      <c r="J44" s="23"/>
      <c r="K44" s="22"/>
      <c r="L44" s="22"/>
      <c r="M44" s="23"/>
      <c r="N44" s="23"/>
      <c r="O44" s="26" t="s">
        <v>108</v>
      </c>
      <c r="P44" s="26"/>
      <c r="Q44" s="22">
        <v>7</v>
      </c>
      <c r="R44" s="24">
        <v>45721</v>
      </c>
      <c r="S44" s="24">
        <v>45721</v>
      </c>
      <c r="T44" s="24"/>
      <c r="U44" s="24"/>
      <c r="V44" s="24">
        <v>45726</v>
      </c>
      <c r="W44" s="22" t="s">
        <v>56</v>
      </c>
      <c r="X44" s="4" t="str">
        <f>IF(Tabela2[[#This Row],[sigla]]="","",VLOOKUP(Tabela2[[#This Row],[sigla]],Tabela1[[#All],[Sigla Arte]:[Crédito]],2,0))</f>
        <v>THIAGO LOPES/ARQUIVO DA EDITORA</v>
      </c>
      <c r="Y44" s="23" t="s">
        <v>109</v>
      </c>
      <c r="Z44" s="23" t="str">
        <f>Tabela2[[#This Row],[ilustrador]]</f>
        <v>THIAGO LOPES/ARQUIVO DA EDITORA</v>
      </c>
      <c r="AA44" s="22">
        <v>13</v>
      </c>
      <c r="AB44" s="20"/>
      <c r="AC44" s="20" t="s">
        <v>14</v>
      </c>
      <c r="AD44" s="4" t="str">
        <f t="shared" si="2"/>
        <v>Pitanguá</v>
      </c>
      <c r="AE44" s="14" t="str">
        <f t="shared" si="3"/>
        <v>História</v>
      </c>
    </row>
    <row r="45" spans="1:31" s="14" customFormat="1" ht="216" x14ac:dyDescent="0.3">
      <c r="A45" s="23" t="s">
        <v>110</v>
      </c>
      <c r="B45" s="20" t="s">
        <v>107</v>
      </c>
      <c r="C45" s="20" t="s">
        <v>17</v>
      </c>
      <c r="D45" s="20" t="s">
        <v>8</v>
      </c>
      <c r="E45" s="22">
        <v>33</v>
      </c>
      <c r="F45" s="22">
        <v>5</v>
      </c>
      <c r="G45" s="22">
        <v>2</v>
      </c>
      <c r="H45" s="22"/>
      <c r="I45" s="23" t="s">
        <v>9</v>
      </c>
      <c r="J45" s="23"/>
      <c r="K45" s="22"/>
      <c r="L45" s="22"/>
      <c r="M45" s="23"/>
      <c r="N45" s="23"/>
      <c r="O45" s="26" t="s">
        <v>111</v>
      </c>
      <c r="P45" s="26"/>
      <c r="Q45" s="22">
        <v>7</v>
      </c>
      <c r="R45" s="24">
        <v>45721</v>
      </c>
      <c r="S45" s="24">
        <v>45721</v>
      </c>
      <c r="T45" s="24"/>
      <c r="U45" s="24"/>
      <c r="V45" s="24">
        <v>45726</v>
      </c>
      <c r="W45" s="22" t="s">
        <v>56</v>
      </c>
      <c r="X45" s="4" t="str">
        <f>IF(Tabela2[[#This Row],[sigla]]="","",VLOOKUP(Tabela2[[#This Row],[sigla]],Tabela1[[#All],[Sigla Arte]:[Crédito]],2,0))</f>
        <v>THIAGO LOPES/ARQUIVO DA EDITORA</v>
      </c>
      <c r="Y45" s="23" t="s">
        <v>109</v>
      </c>
      <c r="Z45" s="23" t="str">
        <f>Tabela2[[#This Row],[ilustrador]]</f>
        <v>THIAGO LOPES/ARQUIVO DA EDITORA</v>
      </c>
      <c r="AA45" s="22">
        <v>13</v>
      </c>
      <c r="AB45" s="20"/>
      <c r="AC45" s="20" t="s">
        <v>14</v>
      </c>
      <c r="AD45" s="4" t="str">
        <f t="shared" si="2"/>
        <v>Pitanguá</v>
      </c>
      <c r="AE45" s="14" t="str">
        <f t="shared" si="3"/>
        <v>História</v>
      </c>
    </row>
    <row r="46" spans="1:31" s="14" customFormat="1" ht="86.4" x14ac:dyDescent="0.3">
      <c r="A46" s="23" t="s">
        <v>112</v>
      </c>
      <c r="B46" s="20" t="s">
        <v>90</v>
      </c>
      <c r="C46" s="20" t="s">
        <v>17</v>
      </c>
      <c r="D46" s="20" t="s">
        <v>8</v>
      </c>
      <c r="E46" s="22">
        <v>34</v>
      </c>
      <c r="F46" s="22">
        <v>5</v>
      </c>
      <c r="G46" s="22">
        <v>2</v>
      </c>
      <c r="H46" s="22"/>
      <c r="I46" s="23" t="s">
        <v>9</v>
      </c>
      <c r="J46" s="23"/>
      <c r="K46" s="22"/>
      <c r="L46" s="22"/>
      <c r="M46" s="23"/>
      <c r="N46" s="23"/>
      <c r="O46" s="26" t="s">
        <v>113</v>
      </c>
      <c r="P46" s="26"/>
      <c r="Q46" s="22">
        <v>27</v>
      </c>
      <c r="R46" s="24"/>
      <c r="S46" s="24">
        <v>45895</v>
      </c>
      <c r="T46" s="24"/>
      <c r="U46" s="24"/>
      <c r="V46" s="24">
        <v>45895</v>
      </c>
      <c r="W46" s="22" t="s">
        <v>56</v>
      </c>
      <c r="X46" s="4" t="str">
        <f>IF(Tabela2[[#This Row],[sigla]]="","",VLOOKUP(Tabela2[[#This Row],[sigla]],Tabela1[[#All],[Sigla Arte]:[Crédito]],2,0))</f>
        <v>THIAGO LOPES/ARQUIVO DA EDITORA</v>
      </c>
      <c r="Y46" s="23" t="s">
        <v>33</v>
      </c>
      <c r="Z46" s="23" t="str">
        <f>Tabela2[[#This Row],[ilustrador]]</f>
        <v>THIAGO LOPES/ARQUIVO DA EDITORA</v>
      </c>
      <c r="AA46" s="22">
        <v>13</v>
      </c>
      <c r="AB46" s="20" t="s">
        <v>45</v>
      </c>
      <c r="AC46" s="20" t="s">
        <v>14</v>
      </c>
      <c r="AD46" s="4" t="str">
        <f t="shared" si="2"/>
        <v>Pitanguá</v>
      </c>
      <c r="AE46" s="14" t="str">
        <f t="shared" si="3"/>
        <v>História</v>
      </c>
    </row>
    <row r="47" spans="1:31" s="14" customFormat="1" ht="187.2" x14ac:dyDescent="0.3">
      <c r="A47" s="23" t="s">
        <v>114</v>
      </c>
      <c r="B47" s="20" t="s">
        <v>16</v>
      </c>
      <c r="C47" s="20" t="s">
        <v>17</v>
      </c>
      <c r="D47" s="20" t="s">
        <v>8</v>
      </c>
      <c r="E47" s="22">
        <v>34</v>
      </c>
      <c r="F47" s="22">
        <v>5</v>
      </c>
      <c r="G47" s="22">
        <v>2</v>
      </c>
      <c r="H47" s="22"/>
      <c r="I47" s="23" t="s">
        <v>9</v>
      </c>
      <c r="J47" s="23"/>
      <c r="K47" s="22"/>
      <c r="L47" s="22"/>
      <c r="M47" s="23"/>
      <c r="N47" s="23"/>
      <c r="O47" s="26" t="s">
        <v>115</v>
      </c>
      <c r="P47" s="26"/>
      <c r="Q47" s="22">
        <v>7</v>
      </c>
      <c r="R47" s="24">
        <v>45721</v>
      </c>
      <c r="S47" s="24">
        <v>45721</v>
      </c>
      <c r="T47" s="24"/>
      <c r="U47" s="24"/>
      <c r="V47" s="24">
        <v>45726</v>
      </c>
      <c r="W47" s="22" t="s">
        <v>56</v>
      </c>
      <c r="X47" s="4" t="str">
        <f>IF(Tabela2[[#This Row],[sigla]]="","",VLOOKUP(Tabela2[[#This Row],[sigla]],Tabela1[[#All],[Sigla Arte]:[Crédito]],2,0))</f>
        <v>THIAGO LOPES/ARQUIVO DA EDITORA</v>
      </c>
      <c r="Y47" s="23" t="s">
        <v>109</v>
      </c>
      <c r="Z47" s="23" t="str">
        <f>Tabela2[[#This Row],[ilustrador]]</f>
        <v>THIAGO LOPES/ARQUIVO DA EDITORA</v>
      </c>
      <c r="AA47" s="22">
        <v>13</v>
      </c>
      <c r="AB47" s="20"/>
      <c r="AC47" s="20" t="s">
        <v>14</v>
      </c>
      <c r="AD47" s="4" t="str">
        <f t="shared" si="2"/>
        <v>Pitanguá</v>
      </c>
      <c r="AE47" s="14" t="str">
        <f t="shared" si="3"/>
        <v>História</v>
      </c>
    </row>
    <row r="48" spans="1:31" s="14" customFormat="1" ht="72" x14ac:dyDescent="0.3">
      <c r="A48" s="23" t="s">
        <v>116</v>
      </c>
      <c r="B48" s="20" t="s">
        <v>16</v>
      </c>
      <c r="C48" s="20" t="s">
        <v>17</v>
      </c>
      <c r="D48" s="20" t="s">
        <v>8</v>
      </c>
      <c r="E48" s="22">
        <v>34</v>
      </c>
      <c r="F48" s="22">
        <v>5</v>
      </c>
      <c r="G48" s="22">
        <v>2</v>
      </c>
      <c r="H48" s="22"/>
      <c r="I48" s="23" t="s">
        <v>37</v>
      </c>
      <c r="J48" s="23"/>
      <c r="K48" s="22"/>
      <c r="L48" s="22"/>
      <c r="M48" s="23"/>
      <c r="N48" s="23"/>
      <c r="O48" s="26" t="s">
        <v>117</v>
      </c>
      <c r="P48" s="26"/>
      <c r="Q48" s="22"/>
      <c r="R48" s="24"/>
      <c r="S48" s="24"/>
      <c r="T48" s="24"/>
      <c r="U48" s="24"/>
      <c r="V48" s="24"/>
      <c r="W48" s="22" t="s">
        <v>56</v>
      </c>
      <c r="X48" s="4" t="str">
        <f>IF(Tabela2[[#This Row],[sigla]]="","",VLOOKUP(Tabela2[[#This Row],[sigla]],Tabela1[[#All],[Sigla Arte]:[Crédito]],2,0))</f>
        <v>THIAGO LOPES/ARQUIVO DA EDITORA</v>
      </c>
      <c r="Y48" s="23"/>
      <c r="Z48" s="23" t="str">
        <f>Tabela2[[#This Row],[ilustrador]]</f>
        <v>THIAGO LOPES/ARQUIVO DA EDITORA</v>
      </c>
      <c r="AA48" s="22"/>
      <c r="AB48" s="20"/>
      <c r="AC48" s="20"/>
      <c r="AD48" s="4" t="str">
        <f t="shared" si="2"/>
        <v>Pitanguá</v>
      </c>
      <c r="AE48" s="14" t="str">
        <f t="shared" si="3"/>
        <v>História</v>
      </c>
    </row>
    <row r="49" spans="1:31" s="14" customFormat="1" ht="72" x14ac:dyDescent="0.3">
      <c r="A49" s="23" t="s">
        <v>118</v>
      </c>
      <c r="B49" s="20" t="s">
        <v>90</v>
      </c>
      <c r="C49" s="20" t="s">
        <v>17</v>
      </c>
      <c r="D49" s="20" t="s">
        <v>8</v>
      </c>
      <c r="E49" s="22">
        <v>35</v>
      </c>
      <c r="F49" s="22">
        <v>5</v>
      </c>
      <c r="G49" s="22">
        <v>2</v>
      </c>
      <c r="H49" s="22"/>
      <c r="I49" s="23" t="s">
        <v>9</v>
      </c>
      <c r="J49" s="23"/>
      <c r="K49" s="22"/>
      <c r="L49" s="22"/>
      <c r="M49" s="23"/>
      <c r="N49" s="23"/>
      <c r="O49" s="26" t="s">
        <v>119</v>
      </c>
      <c r="P49" s="26"/>
      <c r="Q49" s="22">
        <v>27</v>
      </c>
      <c r="R49" s="24"/>
      <c r="S49" s="24">
        <v>45895</v>
      </c>
      <c r="T49" s="24"/>
      <c r="U49" s="24"/>
      <c r="V49" s="24">
        <v>45895</v>
      </c>
      <c r="W49" s="22" t="s">
        <v>56</v>
      </c>
      <c r="X49" s="4" t="str">
        <f>IF(Tabela2[[#This Row],[sigla]]="","",VLOOKUP(Tabela2[[#This Row],[sigla]],Tabela1[[#All],[Sigla Arte]:[Crédito]],2,0))</f>
        <v>THIAGO LOPES/ARQUIVO DA EDITORA</v>
      </c>
      <c r="Y49" s="23" t="s">
        <v>33</v>
      </c>
      <c r="Z49" s="23" t="str">
        <f>Tabela2[[#This Row],[ilustrador]]</f>
        <v>THIAGO LOPES/ARQUIVO DA EDITORA</v>
      </c>
      <c r="AA49" s="22">
        <v>13</v>
      </c>
      <c r="AB49" s="20" t="s">
        <v>45</v>
      </c>
      <c r="AC49" s="20" t="s">
        <v>14</v>
      </c>
      <c r="AD49" s="4" t="str">
        <f t="shared" si="2"/>
        <v>Pitanguá</v>
      </c>
      <c r="AE49" s="14" t="str">
        <f t="shared" si="3"/>
        <v>História</v>
      </c>
    </row>
    <row r="50" spans="1:31" s="14" customFormat="1" ht="172.8" x14ac:dyDescent="0.3">
      <c r="A50" s="23" t="s">
        <v>120</v>
      </c>
      <c r="B50" s="20" t="s">
        <v>16</v>
      </c>
      <c r="C50" s="20" t="s">
        <v>17</v>
      </c>
      <c r="D50" s="20" t="s">
        <v>8</v>
      </c>
      <c r="E50" s="22">
        <v>38</v>
      </c>
      <c r="F50" s="22">
        <v>5</v>
      </c>
      <c r="G50" s="22">
        <v>2</v>
      </c>
      <c r="H50" s="22"/>
      <c r="I50" s="23" t="s">
        <v>9</v>
      </c>
      <c r="J50" s="23"/>
      <c r="K50" s="22"/>
      <c r="L50" s="22"/>
      <c r="M50" s="23"/>
      <c r="N50" s="23"/>
      <c r="O50" s="26" t="s">
        <v>121</v>
      </c>
      <c r="P50" s="26"/>
      <c r="Q50" s="22">
        <v>7</v>
      </c>
      <c r="R50" s="24">
        <v>45721</v>
      </c>
      <c r="S50" s="24">
        <v>45721</v>
      </c>
      <c r="T50" s="24"/>
      <c r="U50" s="24"/>
      <c r="V50" s="24">
        <v>45727</v>
      </c>
      <c r="W50" s="22" t="s">
        <v>122</v>
      </c>
      <c r="X50" s="4" t="str">
        <f>IF(Tabela2[[#This Row],[sigla]]="","",VLOOKUP(Tabela2[[#This Row],[sigla]],Tabela1[[#All],[Sigla Arte]:[Crédito]],2,0))</f>
        <v>DANILO SANTOS/ARQUIVO DA EDITORA</v>
      </c>
      <c r="Y50" s="23" t="s">
        <v>123</v>
      </c>
      <c r="Z50" s="23" t="str">
        <f>Tabela2[[#This Row],[ilustrador]]</f>
        <v>DANILO SANTOS/ARQUIVO DA EDITORA</v>
      </c>
      <c r="AA50" s="22">
        <v>13</v>
      </c>
      <c r="AB50" s="20"/>
      <c r="AC50" s="20" t="s">
        <v>14</v>
      </c>
      <c r="AD50" s="4" t="str">
        <f t="shared" si="2"/>
        <v>Pitanguá</v>
      </c>
      <c r="AE50" s="14" t="str">
        <f t="shared" si="3"/>
        <v>História</v>
      </c>
    </row>
    <row r="51" spans="1:31" s="14" customFormat="1" ht="72" x14ac:dyDescent="0.3">
      <c r="A51" s="23" t="s">
        <v>124</v>
      </c>
      <c r="B51" s="20" t="s">
        <v>90</v>
      </c>
      <c r="C51" s="20" t="s">
        <v>17</v>
      </c>
      <c r="D51" s="20" t="s">
        <v>8</v>
      </c>
      <c r="E51" s="22">
        <v>39</v>
      </c>
      <c r="F51" s="22">
        <v>5</v>
      </c>
      <c r="G51" s="22">
        <v>2</v>
      </c>
      <c r="H51" s="22"/>
      <c r="I51" s="23" t="s">
        <v>9</v>
      </c>
      <c r="J51" s="23"/>
      <c r="K51" s="22"/>
      <c r="L51" s="22"/>
      <c r="M51" s="23"/>
      <c r="N51" s="23"/>
      <c r="O51" s="26" t="s">
        <v>125</v>
      </c>
      <c r="P51" s="26"/>
      <c r="Q51" s="22">
        <v>27</v>
      </c>
      <c r="R51" s="24"/>
      <c r="S51" s="24">
        <v>45895</v>
      </c>
      <c r="T51" s="24"/>
      <c r="U51" s="24"/>
      <c r="V51" s="24">
        <v>45895</v>
      </c>
      <c r="W51" s="22" t="s">
        <v>122</v>
      </c>
      <c r="X51" s="4" t="str">
        <f>IF(Tabela2[[#This Row],[sigla]]="","",VLOOKUP(Tabela2[[#This Row],[sigla]],Tabela1[[#All],[Sigla Arte]:[Crédito]],2,0))</f>
        <v>DANILO SANTOS/ARQUIVO DA EDITORA</v>
      </c>
      <c r="Y51" s="23" t="s">
        <v>33</v>
      </c>
      <c r="Z51" s="23" t="str">
        <f>Tabela2[[#This Row],[ilustrador]]</f>
        <v>DANILO SANTOS/ARQUIVO DA EDITORA</v>
      </c>
      <c r="AA51" s="22">
        <v>13</v>
      </c>
      <c r="AB51" s="20" t="s">
        <v>45</v>
      </c>
      <c r="AC51" s="20" t="s">
        <v>14</v>
      </c>
      <c r="AD51" s="4" t="str">
        <f t="shared" si="2"/>
        <v>Pitanguá</v>
      </c>
      <c r="AE51" s="14" t="str">
        <f t="shared" si="3"/>
        <v>História</v>
      </c>
    </row>
    <row r="52" spans="1:31" s="14" customFormat="1" ht="43.2" x14ac:dyDescent="0.3">
      <c r="A52" s="23" t="s">
        <v>36</v>
      </c>
      <c r="B52" s="20" t="s">
        <v>6</v>
      </c>
      <c r="C52" s="20" t="s">
        <v>17</v>
      </c>
      <c r="D52" s="20" t="s">
        <v>8</v>
      </c>
      <c r="E52" s="22">
        <v>41</v>
      </c>
      <c r="F52" s="22">
        <v>4</v>
      </c>
      <c r="G52" s="22">
        <v>2</v>
      </c>
      <c r="H52" s="22"/>
      <c r="I52" s="23" t="s">
        <v>37</v>
      </c>
      <c r="J52" s="23"/>
      <c r="K52" s="22"/>
      <c r="L52" s="22"/>
      <c r="M52" s="23"/>
      <c r="N52" s="23"/>
      <c r="O52" s="26" t="s">
        <v>38</v>
      </c>
      <c r="P52" s="26"/>
      <c r="Q52" s="22"/>
      <c r="R52" s="24"/>
      <c r="S52" s="24"/>
      <c r="T52" s="24"/>
      <c r="U52" s="24"/>
      <c r="V52" s="24"/>
      <c r="W52" s="22" t="s">
        <v>19</v>
      </c>
      <c r="X52" s="4" t="str">
        <f>IF(Tabela2[[#This Row],[sigla]]="","",VLOOKUP(Tabela2[[#This Row],[sigla]],Tabela1[[#All],[Sigla Arte]:[Crédito]],2,0))</f>
        <v>HUGO ARAÚJO/ARQUIVO DA EDITORA</v>
      </c>
      <c r="Y52" s="23"/>
      <c r="Z52" s="23" t="str">
        <f>Tabela2[[#This Row],[ilustrador]]</f>
        <v>HUGO ARAÚJO/ARQUIVO DA EDITORA</v>
      </c>
      <c r="AA52" s="22"/>
      <c r="AB52" s="20"/>
      <c r="AC52" s="20"/>
      <c r="AD52" s="4" t="str">
        <f t="shared" si="2"/>
        <v>Pitanguá</v>
      </c>
      <c r="AE52" s="14" t="str">
        <f t="shared" si="3"/>
        <v>História</v>
      </c>
    </row>
    <row r="53" spans="1:31" s="14" customFormat="1" ht="115.2" x14ac:dyDescent="0.3">
      <c r="A53" s="23" t="s">
        <v>126</v>
      </c>
      <c r="B53" s="20" t="s">
        <v>16</v>
      </c>
      <c r="C53" s="20" t="s">
        <v>17</v>
      </c>
      <c r="D53" s="20" t="s">
        <v>8</v>
      </c>
      <c r="E53" s="22">
        <v>39</v>
      </c>
      <c r="F53" s="22">
        <v>5</v>
      </c>
      <c r="G53" s="22">
        <v>2</v>
      </c>
      <c r="H53" s="22"/>
      <c r="I53" s="23" t="s">
        <v>9</v>
      </c>
      <c r="J53" s="23"/>
      <c r="K53" s="22"/>
      <c r="L53" s="22"/>
      <c r="M53" s="23"/>
      <c r="N53" s="23"/>
      <c r="O53" s="26" t="s">
        <v>127</v>
      </c>
      <c r="P53" s="26"/>
      <c r="Q53" s="22">
        <v>7</v>
      </c>
      <c r="R53" s="24">
        <v>45721</v>
      </c>
      <c r="S53" s="24">
        <v>45721</v>
      </c>
      <c r="T53" s="24"/>
      <c r="U53" s="24"/>
      <c r="V53" s="24">
        <v>45726</v>
      </c>
      <c r="W53" s="22" t="s">
        <v>122</v>
      </c>
      <c r="X53" s="4" t="str">
        <f>IF(Tabela2[[#This Row],[sigla]]="","",VLOOKUP(Tabela2[[#This Row],[sigla]],Tabela1[[#All],[Sigla Arte]:[Crédito]],2,0))</f>
        <v>DANILO SANTOS/ARQUIVO DA EDITORA</v>
      </c>
      <c r="Y53" s="23" t="s">
        <v>109</v>
      </c>
      <c r="Z53" s="23" t="str">
        <f>Tabela2[[#This Row],[ilustrador]]</f>
        <v>DANILO SANTOS/ARQUIVO DA EDITORA</v>
      </c>
      <c r="AA53" s="22">
        <v>14</v>
      </c>
      <c r="AB53" s="20"/>
      <c r="AC53" s="20" t="s">
        <v>14</v>
      </c>
      <c r="AD53" s="4" t="str">
        <f t="shared" si="2"/>
        <v>Pitanguá</v>
      </c>
      <c r="AE53" s="14" t="str">
        <f t="shared" si="3"/>
        <v>História</v>
      </c>
    </row>
    <row r="54" spans="1:31" s="14" customFormat="1" ht="43.2" x14ac:dyDescent="0.3">
      <c r="A54" s="23" t="s">
        <v>39</v>
      </c>
      <c r="B54" s="20" t="s">
        <v>6</v>
      </c>
      <c r="C54" s="20" t="s">
        <v>17</v>
      </c>
      <c r="D54" s="20" t="s">
        <v>8</v>
      </c>
      <c r="E54" s="22">
        <v>41</v>
      </c>
      <c r="F54" s="22">
        <v>4</v>
      </c>
      <c r="G54" s="22">
        <v>2</v>
      </c>
      <c r="H54" s="22"/>
      <c r="I54" s="23" t="s">
        <v>37</v>
      </c>
      <c r="J54" s="23"/>
      <c r="K54" s="22"/>
      <c r="L54" s="22"/>
      <c r="M54" s="23"/>
      <c r="N54" s="23"/>
      <c r="O54" s="26" t="s">
        <v>40</v>
      </c>
      <c r="P54" s="26"/>
      <c r="Q54" s="22"/>
      <c r="R54" s="24"/>
      <c r="S54" s="24"/>
      <c r="T54" s="24"/>
      <c r="U54" s="24"/>
      <c r="V54" s="24"/>
      <c r="W54" s="22" t="s">
        <v>19</v>
      </c>
      <c r="X54" s="4" t="str">
        <f>IF(Tabela2[[#This Row],[sigla]]="","",VLOOKUP(Tabela2[[#This Row],[sigla]],Tabela1[[#All],[Sigla Arte]:[Crédito]],2,0))</f>
        <v>HUGO ARAÚJO/ARQUIVO DA EDITORA</v>
      </c>
      <c r="Y54" s="23"/>
      <c r="Z54" s="23" t="str">
        <f>Tabela2[[#This Row],[ilustrador]]</f>
        <v>HUGO ARAÚJO/ARQUIVO DA EDITORA</v>
      </c>
      <c r="AA54" s="22"/>
      <c r="AB54" s="20"/>
      <c r="AC54" s="20"/>
      <c r="AD54" s="4" t="str">
        <f t="shared" si="2"/>
        <v>Pitanguá</v>
      </c>
      <c r="AE54" s="14" t="str">
        <f t="shared" si="3"/>
        <v>História</v>
      </c>
    </row>
    <row r="55" spans="1:31" s="14" customFormat="1" ht="129.6" x14ac:dyDescent="0.3">
      <c r="A55" s="23" t="s">
        <v>178</v>
      </c>
      <c r="B55" s="20" t="s">
        <v>16</v>
      </c>
      <c r="C55" s="20" t="s">
        <v>17</v>
      </c>
      <c r="D55" s="20" t="s">
        <v>8</v>
      </c>
      <c r="E55" s="22">
        <v>66</v>
      </c>
      <c r="F55" s="22">
        <v>3</v>
      </c>
      <c r="G55" s="22">
        <v>2</v>
      </c>
      <c r="H55" s="22"/>
      <c r="I55" s="23" t="s">
        <v>9</v>
      </c>
      <c r="J55" s="23"/>
      <c r="K55" s="22"/>
      <c r="L55" s="22"/>
      <c r="M55" s="23"/>
      <c r="N55" s="23"/>
      <c r="O55" s="26" t="s">
        <v>179</v>
      </c>
      <c r="P55" s="26"/>
      <c r="Q55" s="22">
        <v>10</v>
      </c>
      <c r="R55" s="24">
        <v>45742</v>
      </c>
      <c r="S55" s="24">
        <v>45744</v>
      </c>
      <c r="T55" s="24"/>
      <c r="U55" s="24"/>
      <c r="V55" s="24">
        <v>45750</v>
      </c>
      <c r="W55" s="22" t="s">
        <v>56</v>
      </c>
      <c r="X55" s="4" t="str">
        <f>IF(Tabela2[[#This Row],[sigla]]="","",VLOOKUP(Tabela2[[#This Row],[sigla]],Tabela1[[#All],[Sigla Arte]:[Crédito]],2,0))</f>
        <v>THIAGO LOPES/ARQUIVO DA EDITORA</v>
      </c>
      <c r="Y55" s="23" t="s">
        <v>172</v>
      </c>
      <c r="Z55" s="23" t="str">
        <f>Tabela2[[#This Row],[ilustrador]]</f>
        <v>THIAGO LOPES/ARQUIVO DA EDITORA</v>
      </c>
      <c r="AA55" s="22">
        <v>13</v>
      </c>
      <c r="AB55" s="20" t="s">
        <v>180</v>
      </c>
      <c r="AC55" s="20" t="s">
        <v>14</v>
      </c>
      <c r="AD55" s="4" t="str">
        <f t="shared" si="2"/>
        <v>Pitanguá</v>
      </c>
      <c r="AE55" s="14" t="str">
        <f t="shared" si="3"/>
        <v>História</v>
      </c>
    </row>
    <row r="56" spans="1:31" s="14" customFormat="1" ht="57.6" x14ac:dyDescent="0.3">
      <c r="A56" s="23" t="s">
        <v>41</v>
      </c>
      <c r="B56" s="20" t="s">
        <v>6</v>
      </c>
      <c r="C56" s="20" t="s">
        <v>17</v>
      </c>
      <c r="D56" s="20" t="s">
        <v>8</v>
      </c>
      <c r="E56" s="22">
        <v>41</v>
      </c>
      <c r="F56" s="22">
        <v>4</v>
      </c>
      <c r="G56" s="22">
        <v>2</v>
      </c>
      <c r="H56" s="22"/>
      <c r="I56" s="23" t="s">
        <v>37</v>
      </c>
      <c r="J56" s="23"/>
      <c r="K56" s="22"/>
      <c r="L56" s="22"/>
      <c r="M56" s="23"/>
      <c r="N56" s="23"/>
      <c r="O56" s="26" t="s">
        <v>42</v>
      </c>
      <c r="P56" s="26"/>
      <c r="Q56" s="22"/>
      <c r="R56" s="24"/>
      <c r="S56" s="24"/>
      <c r="T56" s="24"/>
      <c r="U56" s="24"/>
      <c r="V56" s="24"/>
      <c r="W56" s="22" t="s">
        <v>19</v>
      </c>
      <c r="X56" s="4" t="str">
        <f>IF(Tabela2[[#This Row],[sigla]]="","",VLOOKUP(Tabela2[[#This Row],[sigla]],Tabela1[[#All],[Sigla Arte]:[Crédito]],2,0))</f>
        <v>HUGO ARAÚJO/ARQUIVO DA EDITORA</v>
      </c>
      <c r="Y56" s="23"/>
      <c r="Z56" s="23" t="str">
        <f>Tabela2[[#This Row],[ilustrador]]</f>
        <v>HUGO ARAÚJO/ARQUIVO DA EDITORA</v>
      </c>
      <c r="AA56" s="22"/>
      <c r="AB56" s="20"/>
      <c r="AC56" s="20"/>
      <c r="AD56" s="4" t="str">
        <f t="shared" si="2"/>
        <v>Pitanguá</v>
      </c>
      <c r="AE56" s="14" t="str">
        <f t="shared" si="3"/>
        <v>História</v>
      </c>
    </row>
    <row r="57" spans="1:31" s="14" customFormat="1" ht="57.6" x14ac:dyDescent="0.3">
      <c r="A57" s="23" t="s">
        <v>181</v>
      </c>
      <c r="B57" s="20" t="s">
        <v>16</v>
      </c>
      <c r="C57" s="20" t="s">
        <v>17</v>
      </c>
      <c r="D57" s="20" t="s">
        <v>8</v>
      </c>
      <c r="E57" s="22">
        <v>67</v>
      </c>
      <c r="F57" s="22">
        <v>3</v>
      </c>
      <c r="G57" s="22">
        <v>2</v>
      </c>
      <c r="H57" s="22"/>
      <c r="I57" s="23" t="s">
        <v>9</v>
      </c>
      <c r="J57" s="23"/>
      <c r="K57" s="22"/>
      <c r="L57" s="22"/>
      <c r="M57" s="23"/>
      <c r="N57" s="23"/>
      <c r="O57" s="26" t="s">
        <v>182</v>
      </c>
      <c r="P57" s="26"/>
      <c r="Q57" s="22">
        <v>10</v>
      </c>
      <c r="R57" s="24">
        <v>45742</v>
      </c>
      <c r="S57" s="24">
        <v>45744</v>
      </c>
      <c r="T57" s="24"/>
      <c r="U57" s="24"/>
      <c r="V57" s="24">
        <v>45750</v>
      </c>
      <c r="W57" s="22" t="s">
        <v>56</v>
      </c>
      <c r="X57" s="4" t="str">
        <f>IF(Tabela2[[#This Row],[sigla]]="","",VLOOKUP(Tabela2[[#This Row],[sigla]],Tabela1[[#All],[Sigla Arte]:[Crédito]],2,0))</f>
        <v>THIAGO LOPES/ARQUIVO DA EDITORA</v>
      </c>
      <c r="Y57" s="23" t="s">
        <v>172</v>
      </c>
      <c r="Z57" s="23" t="str">
        <f>Tabela2[[#This Row],[ilustrador]]</f>
        <v>THIAGO LOPES/ARQUIVO DA EDITORA</v>
      </c>
      <c r="AA57" s="22">
        <v>13</v>
      </c>
      <c r="AB57" s="20" t="s">
        <v>180</v>
      </c>
      <c r="AC57" s="20" t="s">
        <v>14</v>
      </c>
      <c r="AD57" s="4" t="str">
        <f t="shared" si="2"/>
        <v>Pitanguá</v>
      </c>
      <c r="AE57" s="14" t="str">
        <f t="shared" si="3"/>
        <v>História</v>
      </c>
    </row>
    <row r="58" spans="1:31" s="14" customFormat="1" ht="115.2" x14ac:dyDescent="0.3">
      <c r="A58" s="23" t="s">
        <v>128</v>
      </c>
      <c r="B58" s="20" t="s">
        <v>16</v>
      </c>
      <c r="C58" s="20" t="s">
        <v>17</v>
      </c>
      <c r="D58" s="20" t="s">
        <v>8</v>
      </c>
      <c r="E58" s="22">
        <v>42</v>
      </c>
      <c r="F58" s="22">
        <v>5</v>
      </c>
      <c r="G58" s="22">
        <v>2</v>
      </c>
      <c r="H58" s="22"/>
      <c r="I58" s="23" t="s">
        <v>9</v>
      </c>
      <c r="J58" s="23"/>
      <c r="K58" s="22"/>
      <c r="L58" s="22"/>
      <c r="M58" s="23"/>
      <c r="N58" s="23"/>
      <c r="O58" s="26" t="s">
        <v>129</v>
      </c>
      <c r="P58" s="26"/>
      <c r="Q58" s="22">
        <v>7</v>
      </c>
      <c r="R58" s="24">
        <v>45721</v>
      </c>
      <c r="S58" s="24">
        <v>45721</v>
      </c>
      <c r="T58" s="24"/>
      <c r="U58" s="24"/>
      <c r="V58" s="24">
        <v>45727</v>
      </c>
      <c r="W58" s="22" t="s">
        <v>53</v>
      </c>
      <c r="X58" s="4" t="str">
        <f>IF(Tabela2[[#This Row],[sigla]]="","",VLOOKUP(Tabela2[[#This Row],[sigla]],Tabela1[[#All],[Sigla Arte]:[Crédito]],2,0))</f>
        <v>GUSTAVO RAMOS/ARQUIVO DA EDITORA</v>
      </c>
      <c r="Y58" s="23" t="s">
        <v>123</v>
      </c>
      <c r="Z58" s="23" t="str">
        <f>Tabela2[[#This Row],[ilustrador]]</f>
        <v>GUSTAVO RAMOS/ARQUIVO DA EDITORA</v>
      </c>
      <c r="AA58" s="22">
        <v>14</v>
      </c>
      <c r="AB58" s="20"/>
      <c r="AC58" s="20" t="s">
        <v>14</v>
      </c>
      <c r="AD58" s="4" t="str">
        <f t="shared" si="2"/>
        <v>Pitanguá</v>
      </c>
      <c r="AE58" s="14" t="str">
        <f t="shared" si="3"/>
        <v>História</v>
      </c>
    </row>
    <row r="59" spans="1:31" s="14" customFormat="1" ht="72" x14ac:dyDescent="0.3">
      <c r="A59" s="23" t="s">
        <v>250</v>
      </c>
      <c r="B59" s="20" t="s">
        <v>16</v>
      </c>
      <c r="C59" s="20" t="s">
        <v>17</v>
      </c>
      <c r="D59" s="20" t="s">
        <v>8</v>
      </c>
      <c r="E59" s="22">
        <v>60</v>
      </c>
      <c r="F59" s="22">
        <v>4</v>
      </c>
      <c r="G59" s="22">
        <v>2</v>
      </c>
      <c r="H59" s="22"/>
      <c r="I59" s="23" t="s">
        <v>37</v>
      </c>
      <c r="J59" s="23"/>
      <c r="K59" s="22"/>
      <c r="L59" s="22"/>
      <c r="M59" s="23"/>
      <c r="N59" s="23"/>
      <c r="O59" s="26" t="s">
        <v>251</v>
      </c>
      <c r="P59" s="26"/>
      <c r="Q59" s="22"/>
      <c r="R59" s="24"/>
      <c r="S59" s="24"/>
      <c r="T59" s="24"/>
      <c r="U59" s="24"/>
      <c r="V59" s="24"/>
      <c r="W59" s="22" t="s">
        <v>252</v>
      </c>
      <c r="X59" s="4" t="str">
        <f>IF(Tabela2[[#This Row],[sigla]]="","",VLOOKUP(Tabela2[[#This Row],[sigla]],Tabela1[[#All],[Sigla Arte]:[Crédito]],2,0))</f>
        <v>ERIK MALAGRINO/ARQUIVO DA EDITORA</v>
      </c>
      <c r="Y59" s="23"/>
      <c r="Z59" s="23" t="str">
        <f>Tabela2[[#This Row],[ilustrador]]</f>
        <v>ERIK MALAGRINO/ARQUIVO DA EDITORA</v>
      </c>
      <c r="AA59" s="22"/>
      <c r="AB59" s="20"/>
      <c r="AC59" s="20"/>
      <c r="AD59" s="4" t="str">
        <f t="shared" si="2"/>
        <v>Pitanguá</v>
      </c>
      <c r="AE59" s="14" t="str">
        <f t="shared" si="3"/>
        <v>História</v>
      </c>
    </row>
    <row r="60" spans="1:31" s="14" customFormat="1" ht="57.6" x14ac:dyDescent="0.3">
      <c r="A60" s="23" t="s">
        <v>130</v>
      </c>
      <c r="B60" s="20" t="s">
        <v>16</v>
      </c>
      <c r="C60" s="20" t="s">
        <v>17</v>
      </c>
      <c r="D60" s="20" t="s">
        <v>8</v>
      </c>
      <c r="E60" s="22">
        <v>51</v>
      </c>
      <c r="F60" s="22">
        <v>5</v>
      </c>
      <c r="G60" s="22">
        <v>2</v>
      </c>
      <c r="H60" s="22"/>
      <c r="I60" s="23" t="s">
        <v>37</v>
      </c>
      <c r="J60" s="23"/>
      <c r="K60" s="22"/>
      <c r="L60" s="22"/>
      <c r="M60" s="23"/>
      <c r="N60" s="23"/>
      <c r="O60" s="26" t="s">
        <v>131</v>
      </c>
      <c r="P60" s="26"/>
      <c r="Q60" s="22"/>
      <c r="R60" s="24"/>
      <c r="S60" s="24"/>
      <c r="T60" s="24"/>
      <c r="U60" s="24"/>
      <c r="V60" s="24"/>
      <c r="W60" s="22" t="s">
        <v>68</v>
      </c>
      <c r="X60" s="4" t="str">
        <f>IF(Tabela2[[#This Row],[sigla]]="","",VLOOKUP(Tabela2[[#This Row],[sigla]],Tabela1[[#All],[Sigla Arte]:[Crédito]],2,0))</f>
        <v>VICTOR LEMOS/ARQUIVO DA EDITORA</v>
      </c>
      <c r="Y60" s="23"/>
      <c r="Z60" s="23" t="str">
        <f>Tabela2[[#This Row],[ilustrador]]</f>
        <v>VICTOR LEMOS/ARQUIVO DA EDITORA</v>
      </c>
      <c r="AA60" s="22"/>
      <c r="AB60" s="20"/>
      <c r="AC60" s="20"/>
      <c r="AD60" s="4" t="str">
        <f t="shared" si="2"/>
        <v>Pitanguá</v>
      </c>
      <c r="AE60" s="14" t="str">
        <f t="shared" si="3"/>
        <v>História</v>
      </c>
    </row>
    <row r="61" spans="1:31" s="14" customFormat="1" ht="57.6" x14ac:dyDescent="0.3">
      <c r="A61" s="23" t="s">
        <v>132</v>
      </c>
      <c r="B61" s="20" t="s">
        <v>16</v>
      </c>
      <c r="C61" s="20" t="s">
        <v>17</v>
      </c>
      <c r="D61" s="20" t="s">
        <v>8</v>
      </c>
      <c r="E61" s="22">
        <v>51</v>
      </c>
      <c r="F61" s="22">
        <v>5</v>
      </c>
      <c r="G61" s="22">
        <v>2</v>
      </c>
      <c r="H61" s="22"/>
      <c r="I61" s="23" t="s">
        <v>37</v>
      </c>
      <c r="J61" s="23"/>
      <c r="K61" s="22"/>
      <c r="L61" s="22"/>
      <c r="M61" s="23"/>
      <c r="N61" s="23"/>
      <c r="O61" s="26" t="s">
        <v>133</v>
      </c>
      <c r="P61" s="26"/>
      <c r="Q61" s="22"/>
      <c r="R61" s="24"/>
      <c r="S61" s="24"/>
      <c r="T61" s="24"/>
      <c r="U61" s="24"/>
      <c r="V61" s="24"/>
      <c r="W61" s="22" t="s">
        <v>68</v>
      </c>
      <c r="X61" s="4" t="str">
        <f>IF(Tabela2[[#This Row],[sigla]]="","",VLOOKUP(Tabela2[[#This Row],[sigla]],Tabela1[[#All],[Sigla Arte]:[Crédito]],2,0))</f>
        <v>VICTOR LEMOS/ARQUIVO DA EDITORA</v>
      </c>
      <c r="Y61" s="23"/>
      <c r="Z61" s="23" t="str">
        <f>Tabela2[[#This Row],[ilustrador]]</f>
        <v>VICTOR LEMOS/ARQUIVO DA EDITORA</v>
      </c>
      <c r="AA61" s="22"/>
      <c r="AB61" s="20"/>
      <c r="AC61" s="20"/>
      <c r="AD61" s="4" t="str">
        <f t="shared" si="2"/>
        <v>Pitanguá</v>
      </c>
      <c r="AE61" s="14" t="str">
        <f t="shared" si="3"/>
        <v>História</v>
      </c>
    </row>
    <row r="62" spans="1:31" s="14" customFormat="1" ht="57.6" x14ac:dyDescent="0.3">
      <c r="A62" s="23" t="s">
        <v>134</v>
      </c>
      <c r="B62" s="20" t="s">
        <v>16</v>
      </c>
      <c r="C62" s="20" t="s">
        <v>17</v>
      </c>
      <c r="D62" s="20" t="s">
        <v>8</v>
      </c>
      <c r="E62" s="22">
        <v>52</v>
      </c>
      <c r="F62" s="22">
        <v>5</v>
      </c>
      <c r="G62" s="22">
        <v>2</v>
      </c>
      <c r="H62" s="22"/>
      <c r="I62" s="23" t="s">
        <v>37</v>
      </c>
      <c r="J62" s="23"/>
      <c r="K62" s="22"/>
      <c r="L62" s="22"/>
      <c r="M62" s="23"/>
      <c r="N62" s="23"/>
      <c r="O62" s="26" t="s">
        <v>135</v>
      </c>
      <c r="P62" s="26"/>
      <c r="Q62" s="22"/>
      <c r="R62" s="24"/>
      <c r="S62" s="24"/>
      <c r="T62" s="24"/>
      <c r="U62" s="24"/>
      <c r="V62" s="24"/>
      <c r="W62" s="22" t="s">
        <v>68</v>
      </c>
      <c r="X62" s="4" t="str">
        <f>IF(Tabela2[[#This Row],[sigla]]="","",VLOOKUP(Tabela2[[#This Row],[sigla]],Tabela1[[#All],[Sigla Arte]:[Crédito]],2,0))</f>
        <v>VICTOR LEMOS/ARQUIVO DA EDITORA</v>
      </c>
      <c r="Y62" s="23"/>
      <c r="Z62" s="23" t="str">
        <f>Tabela2[[#This Row],[ilustrador]]</f>
        <v>VICTOR LEMOS/ARQUIVO DA EDITORA</v>
      </c>
      <c r="AA62" s="22"/>
      <c r="AB62" s="20"/>
      <c r="AC62" s="20"/>
      <c r="AD62" s="4" t="str">
        <f t="shared" si="2"/>
        <v>Pitanguá</v>
      </c>
      <c r="AE62" s="14" t="str">
        <f t="shared" si="3"/>
        <v>História</v>
      </c>
    </row>
    <row r="63" spans="1:31" s="14" customFormat="1" ht="57.6" x14ac:dyDescent="0.3">
      <c r="A63" s="23" t="s">
        <v>136</v>
      </c>
      <c r="B63" s="20" t="s">
        <v>16</v>
      </c>
      <c r="C63" s="20" t="s">
        <v>17</v>
      </c>
      <c r="D63" s="20" t="s">
        <v>8</v>
      </c>
      <c r="E63" s="22">
        <v>52</v>
      </c>
      <c r="F63" s="22">
        <v>5</v>
      </c>
      <c r="G63" s="22">
        <v>2</v>
      </c>
      <c r="H63" s="22"/>
      <c r="I63" s="23" t="s">
        <v>37</v>
      </c>
      <c r="J63" s="23"/>
      <c r="K63" s="22"/>
      <c r="L63" s="22"/>
      <c r="M63" s="23"/>
      <c r="N63" s="23"/>
      <c r="O63" s="26" t="s">
        <v>137</v>
      </c>
      <c r="P63" s="26"/>
      <c r="Q63" s="22"/>
      <c r="R63" s="24"/>
      <c r="S63" s="24"/>
      <c r="T63" s="24"/>
      <c r="U63" s="24"/>
      <c r="V63" s="24"/>
      <c r="W63" s="22" t="s">
        <v>68</v>
      </c>
      <c r="X63" s="4" t="str">
        <f>IF(Tabela2[[#This Row],[sigla]]="","",VLOOKUP(Tabela2[[#This Row],[sigla]],Tabela1[[#All],[Sigla Arte]:[Crédito]],2,0))</f>
        <v>VICTOR LEMOS/ARQUIVO DA EDITORA</v>
      </c>
      <c r="Y63" s="23"/>
      <c r="Z63" s="23" t="str">
        <f>Tabela2[[#This Row],[ilustrador]]</f>
        <v>VICTOR LEMOS/ARQUIVO DA EDITORA</v>
      </c>
      <c r="AA63" s="22"/>
      <c r="AB63" s="20"/>
      <c r="AC63" s="20"/>
      <c r="AD63" s="4" t="str">
        <f t="shared" si="2"/>
        <v>Pitanguá</v>
      </c>
      <c r="AE63" s="14" t="str">
        <f t="shared" si="3"/>
        <v>História</v>
      </c>
    </row>
    <row r="64" spans="1:31" s="14" customFormat="1" ht="158.4" x14ac:dyDescent="0.3">
      <c r="A64" s="23" t="s">
        <v>46</v>
      </c>
      <c r="B64" s="20" t="s">
        <v>16</v>
      </c>
      <c r="C64" s="20" t="s">
        <v>17</v>
      </c>
      <c r="D64" s="20" t="s">
        <v>8</v>
      </c>
      <c r="E64" s="22"/>
      <c r="F64" s="22">
        <v>4</v>
      </c>
      <c r="G64" s="22">
        <v>2</v>
      </c>
      <c r="H64" s="22"/>
      <c r="I64" s="23" t="s">
        <v>30</v>
      </c>
      <c r="J64" s="23"/>
      <c r="K64" s="22"/>
      <c r="L64" s="22"/>
      <c r="M64" s="23"/>
      <c r="N64" s="23"/>
      <c r="O64" s="26" t="s">
        <v>47</v>
      </c>
      <c r="P64" s="26"/>
      <c r="Q64" s="22">
        <v>2</v>
      </c>
      <c r="R64" s="24">
        <v>45692</v>
      </c>
      <c r="S64" s="24">
        <v>45698</v>
      </c>
      <c r="T64" s="24">
        <v>45700</v>
      </c>
      <c r="U64" s="24">
        <v>45709</v>
      </c>
      <c r="V64" s="24">
        <v>45716</v>
      </c>
      <c r="W64" s="22" t="s">
        <v>48</v>
      </c>
      <c r="X64" s="4" t="str">
        <f>IF(Tabela2[[#This Row],[sigla]]="","",VLOOKUP(Tabela2[[#This Row],[sigla]],Tabela1[[#All],[Sigla Arte]:[Crédito]],2,0))</f>
        <v>JULIA PONNICK/ARQUIVO DA EDITORA</v>
      </c>
      <c r="Y64" s="23"/>
      <c r="Z64" s="23" t="str">
        <f>Tabela2[[#This Row],[ilustrador]]</f>
        <v>JULIA PONNICK/ARQUIVO DA EDITORA</v>
      </c>
      <c r="AA64" s="22">
        <v>4</v>
      </c>
      <c r="AB64" s="20" t="s">
        <v>49</v>
      </c>
      <c r="AC64" s="20" t="s">
        <v>50</v>
      </c>
      <c r="AD64" s="4" t="str">
        <f t="shared" si="2"/>
        <v>Pitanguá</v>
      </c>
      <c r="AE64" s="14" t="str">
        <f t="shared" si="3"/>
        <v>História</v>
      </c>
    </row>
    <row r="65" spans="1:31" s="14" customFormat="1" ht="72" x14ac:dyDescent="0.3">
      <c r="A65" s="23" t="s">
        <v>138</v>
      </c>
      <c r="B65" s="20" t="s">
        <v>16</v>
      </c>
      <c r="C65" s="20" t="s">
        <v>17</v>
      </c>
      <c r="D65" s="20" t="s">
        <v>8</v>
      </c>
      <c r="E65" s="22">
        <v>52</v>
      </c>
      <c r="F65" s="22">
        <v>5</v>
      </c>
      <c r="G65" s="22">
        <v>2</v>
      </c>
      <c r="H65" s="22"/>
      <c r="I65" s="23" t="s">
        <v>37</v>
      </c>
      <c r="J65" s="23"/>
      <c r="K65" s="22"/>
      <c r="L65" s="22"/>
      <c r="M65" s="23"/>
      <c r="N65" s="23"/>
      <c r="O65" s="26" t="s">
        <v>139</v>
      </c>
      <c r="P65" s="26"/>
      <c r="Q65" s="22"/>
      <c r="R65" s="24"/>
      <c r="S65" s="24"/>
      <c r="T65" s="24"/>
      <c r="U65" s="24"/>
      <c r="V65" s="24"/>
      <c r="W65" s="22" t="s">
        <v>68</v>
      </c>
      <c r="X65" s="4" t="str">
        <f>IF(Tabela2[[#This Row],[sigla]]="","",VLOOKUP(Tabela2[[#This Row],[sigla]],Tabela1[[#All],[Sigla Arte]:[Crédito]],2,0))</f>
        <v>VICTOR LEMOS/ARQUIVO DA EDITORA</v>
      </c>
      <c r="Y65" s="23"/>
      <c r="Z65" s="23" t="str">
        <f>Tabela2[[#This Row],[ilustrador]]</f>
        <v>VICTOR LEMOS/ARQUIVO DA EDITORA</v>
      </c>
      <c r="AA65" s="22"/>
      <c r="AB65" s="20"/>
      <c r="AC65" s="20"/>
      <c r="AD65" s="4" t="str">
        <f t="shared" si="2"/>
        <v>Pitanguá</v>
      </c>
      <c r="AE65" s="14" t="str">
        <f t="shared" si="3"/>
        <v>História</v>
      </c>
    </row>
    <row r="66" spans="1:31" s="14" customFormat="1" ht="57.6" x14ac:dyDescent="0.3">
      <c r="A66" s="23" t="s">
        <v>140</v>
      </c>
      <c r="B66" s="20" t="s">
        <v>16</v>
      </c>
      <c r="C66" s="20" t="s">
        <v>17</v>
      </c>
      <c r="D66" s="20" t="s">
        <v>8</v>
      </c>
      <c r="E66" s="22">
        <v>53</v>
      </c>
      <c r="F66" s="22">
        <v>5</v>
      </c>
      <c r="G66" s="22">
        <v>2</v>
      </c>
      <c r="H66" s="22"/>
      <c r="I66" s="23" t="s">
        <v>37</v>
      </c>
      <c r="J66" s="23"/>
      <c r="K66" s="22"/>
      <c r="L66" s="22"/>
      <c r="M66" s="23"/>
      <c r="N66" s="23"/>
      <c r="O66" s="26" t="s">
        <v>141</v>
      </c>
      <c r="P66" s="26"/>
      <c r="Q66" s="22"/>
      <c r="R66" s="24"/>
      <c r="S66" s="24"/>
      <c r="T66" s="24"/>
      <c r="U66" s="24"/>
      <c r="V66" s="24"/>
      <c r="W66" s="22" t="s">
        <v>68</v>
      </c>
      <c r="X66" s="4" t="str">
        <f>IF(Tabela2[[#This Row],[sigla]]="","",VLOOKUP(Tabela2[[#This Row],[sigla]],Tabela1[[#All],[Sigla Arte]:[Crédito]],2,0))</f>
        <v>VICTOR LEMOS/ARQUIVO DA EDITORA</v>
      </c>
      <c r="Y66" s="23"/>
      <c r="Z66" s="23" t="str">
        <f>Tabela2[[#This Row],[ilustrador]]</f>
        <v>VICTOR LEMOS/ARQUIVO DA EDITORA</v>
      </c>
      <c r="AA66" s="22"/>
      <c r="AB66" s="20"/>
      <c r="AC66" s="20"/>
      <c r="AD66" s="4" t="str">
        <f t="shared" ref="AD66:AD97" si="4">"Pitanguá"</f>
        <v>Pitanguá</v>
      </c>
      <c r="AE66" s="14" t="str">
        <f t="shared" ref="AE66:AE97" si="5">"História"</f>
        <v>História</v>
      </c>
    </row>
    <row r="67" spans="1:31" s="14" customFormat="1" ht="57.6" x14ac:dyDescent="0.3">
      <c r="A67" s="23" t="s">
        <v>142</v>
      </c>
      <c r="B67" s="20" t="s">
        <v>16</v>
      </c>
      <c r="C67" s="20" t="s">
        <v>17</v>
      </c>
      <c r="D67" s="20" t="s">
        <v>8</v>
      </c>
      <c r="E67" s="22">
        <v>53</v>
      </c>
      <c r="F67" s="22">
        <v>5</v>
      </c>
      <c r="G67" s="22">
        <v>2</v>
      </c>
      <c r="H67" s="22"/>
      <c r="I67" s="23" t="s">
        <v>37</v>
      </c>
      <c r="J67" s="23"/>
      <c r="K67" s="22"/>
      <c r="L67" s="22"/>
      <c r="M67" s="23"/>
      <c r="N67" s="23"/>
      <c r="O67" s="26" t="s">
        <v>143</v>
      </c>
      <c r="P67" s="26"/>
      <c r="Q67" s="22"/>
      <c r="R67" s="24"/>
      <c r="S67" s="24"/>
      <c r="T67" s="24"/>
      <c r="U67" s="24"/>
      <c r="V67" s="24"/>
      <c r="W67" s="22" t="s">
        <v>68</v>
      </c>
      <c r="X67" s="4" t="str">
        <f>IF(Tabela2[[#This Row],[sigla]]="","",VLOOKUP(Tabela2[[#This Row],[sigla]],Tabela1[[#All],[Sigla Arte]:[Crédito]],2,0))</f>
        <v>VICTOR LEMOS/ARQUIVO DA EDITORA</v>
      </c>
      <c r="Y67" s="23"/>
      <c r="Z67" s="23" t="str">
        <f>Tabela2[[#This Row],[ilustrador]]</f>
        <v>VICTOR LEMOS/ARQUIVO DA EDITORA</v>
      </c>
      <c r="AA67" s="22"/>
      <c r="AB67" s="20"/>
      <c r="AC67" s="20"/>
      <c r="AD67" s="4" t="str">
        <f t="shared" si="4"/>
        <v>Pitanguá</v>
      </c>
      <c r="AE67" s="14" t="str">
        <f t="shared" si="5"/>
        <v>História</v>
      </c>
    </row>
    <row r="68" spans="1:31" s="14" customFormat="1" ht="129.6" x14ac:dyDescent="0.3">
      <c r="A68" s="23" t="s">
        <v>144</v>
      </c>
      <c r="B68" s="20" t="s">
        <v>16</v>
      </c>
      <c r="C68" s="20" t="s">
        <v>17</v>
      </c>
      <c r="D68" s="20" t="s">
        <v>8</v>
      </c>
      <c r="E68" s="22">
        <v>54</v>
      </c>
      <c r="F68" s="22">
        <v>5</v>
      </c>
      <c r="G68" s="22">
        <v>2</v>
      </c>
      <c r="H68" s="22"/>
      <c r="I68" s="23" t="s">
        <v>9</v>
      </c>
      <c r="J68" s="23"/>
      <c r="K68" s="22"/>
      <c r="L68" s="22"/>
      <c r="M68" s="23"/>
      <c r="N68" s="23"/>
      <c r="O68" s="26" t="s">
        <v>145</v>
      </c>
      <c r="P68" s="26"/>
      <c r="Q68" s="22">
        <v>7</v>
      </c>
      <c r="R68" s="24">
        <v>45721</v>
      </c>
      <c r="S68" s="24">
        <v>45721</v>
      </c>
      <c r="T68" s="24"/>
      <c r="U68" s="24"/>
      <c r="V68" s="24">
        <v>45727</v>
      </c>
      <c r="W68" s="22" t="s">
        <v>146</v>
      </c>
      <c r="X68" s="4" t="str">
        <f>IF(Tabela2[[#This Row],[sigla]]="","",VLOOKUP(Tabela2[[#This Row],[sigla]],Tabela1[[#All],[Sigla Arte]:[Crédito]],2,0))</f>
        <v>CAROLINE ROMÃO BEZERRA/ARQUIVO DA EDITORA</v>
      </c>
      <c r="Y68" s="23" t="s">
        <v>123</v>
      </c>
      <c r="Z68" s="23" t="str">
        <f>Tabela2[[#This Row],[ilustrador]]</f>
        <v>CAROLINE ROMÃO BEZERRA/ARQUIVO DA EDITORA</v>
      </c>
      <c r="AA68" s="22">
        <v>14</v>
      </c>
      <c r="AB68" s="20"/>
      <c r="AC68" s="20" t="s">
        <v>14</v>
      </c>
      <c r="AD68" s="4" t="str">
        <f t="shared" si="4"/>
        <v>Pitanguá</v>
      </c>
      <c r="AE68" s="14" t="str">
        <f t="shared" si="5"/>
        <v>História</v>
      </c>
    </row>
    <row r="69" spans="1:31" s="14" customFormat="1" ht="57.6" x14ac:dyDescent="0.3">
      <c r="A69" s="23" t="s">
        <v>147</v>
      </c>
      <c r="B69" s="20" t="s">
        <v>16</v>
      </c>
      <c r="C69" s="20" t="s">
        <v>17</v>
      </c>
      <c r="D69" s="20" t="s">
        <v>8</v>
      </c>
      <c r="E69" s="22">
        <v>56</v>
      </c>
      <c r="F69" s="22">
        <v>5</v>
      </c>
      <c r="G69" s="22">
        <v>2</v>
      </c>
      <c r="H69" s="22"/>
      <c r="I69" s="23" t="s">
        <v>37</v>
      </c>
      <c r="J69" s="23"/>
      <c r="K69" s="22"/>
      <c r="L69" s="22"/>
      <c r="M69" s="23"/>
      <c r="N69" s="23"/>
      <c r="O69" s="26" t="s">
        <v>148</v>
      </c>
      <c r="P69" s="26"/>
      <c r="Q69" s="22"/>
      <c r="R69" s="24"/>
      <c r="S69" s="24"/>
      <c r="T69" s="24"/>
      <c r="U69" s="24"/>
      <c r="V69" s="24"/>
      <c r="W69" s="22" t="s">
        <v>53</v>
      </c>
      <c r="X69" s="4" t="str">
        <f>IF(Tabela2[[#This Row],[sigla]]="","",VLOOKUP(Tabela2[[#This Row],[sigla]],Tabela1[[#All],[Sigla Arte]:[Crédito]],2,0))</f>
        <v>GUSTAVO RAMOS/ARQUIVO DA EDITORA</v>
      </c>
      <c r="Y69" s="23"/>
      <c r="Z69" s="23" t="str">
        <f>Tabela2[[#This Row],[ilustrador]]</f>
        <v>GUSTAVO RAMOS/ARQUIVO DA EDITORA</v>
      </c>
      <c r="AA69" s="22"/>
      <c r="AB69" s="20"/>
      <c r="AC69" s="20"/>
      <c r="AD69" s="4" t="str">
        <f t="shared" si="4"/>
        <v>Pitanguá</v>
      </c>
      <c r="AE69" s="14" t="str">
        <f t="shared" si="5"/>
        <v>História</v>
      </c>
    </row>
    <row r="70" spans="1:31" s="14" customFormat="1" ht="172.8" x14ac:dyDescent="0.3">
      <c r="A70" s="23" t="s">
        <v>149</v>
      </c>
      <c r="B70" s="20" t="s">
        <v>16</v>
      </c>
      <c r="C70" s="20" t="s">
        <v>17</v>
      </c>
      <c r="D70" s="20" t="s">
        <v>8</v>
      </c>
      <c r="E70" s="22">
        <v>56</v>
      </c>
      <c r="F70" s="22">
        <v>5</v>
      </c>
      <c r="G70" s="22">
        <v>2</v>
      </c>
      <c r="H70" s="22"/>
      <c r="I70" s="23" t="s">
        <v>9</v>
      </c>
      <c r="J70" s="23"/>
      <c r="K70" s="22"/>
      <c r="L70" s="22"/>
      <c r="M70" s="23"/>
      <c r="N70" s="23"/>
      <c r="O70" s="26" t="s">
        <v>150</v>
      </c>
      <c r="P70" s="26"/>
      <c r="Q70" s="22">
        <v>7</v>
      </c>
      <c r="R70" s="24">
        <v>45721</v>
      </c>
      <c r="S70" s="24">
        <v>45721</v>
      </c>
      <c r="T70" s="24"/>
      <c r="U70" s="24"/>
      <c r="V70" s="24">
        <v>45727</v>
      </c>
      <c r="W70" s="22" t="s">
        <v>53</v>
      </c>
      <c r="X70" s="4" t="str">
        <f>IF(Tabela2[[#This Row],[sigla]]="","",VLOOKUP(Tabela2[[#This Row],[sigla]],Tabela1[[#All],[Sigla Arte]:[Crédito]],2,0))</f>
        <v>GUSTAVO RAMOS/ARQUIVO DA EDITORA</v>
      </c>
      <c r="Y70" s="23" t="s">
        <v>123</v>
      </c>
      <c r="Z70" s="23" t="str">
        <f>Tabela2[[#This Row],[ilustrador]]</f>
        <v>GUSTAVO RAMOS/ARQUIVO DA EDITORA</v>
      </c>
      <c r="AA70" s="22">
        <v>13</v>
      </c>
      <c r="AB70" s="20"/>
      <c r="AC70" s="20" t="s">
        <v>14</v>
      </c>
      <c r="AD70" s="4" t="str">
        <f t="shared" si="4"/>
        <v>Pitanguá</v>
      </c>
      <c r="AE70" s="14" t="str">
        <f t="shared" si="5"/>
        <v>História</v>
      </c>
    </row>
    <row r="71" spans="1:31" s="14" customFormat="1" ht="72" x14ac:dyDescent="0.3">
      <c r="A71" s="23" t="s">
        <v>151</v>
      </c>
      <c r="B71" s="20" t="s">
        <v>16</v>
      </c>
      <c r="C71" s="20" t="s">
        <v>17</v>
      </c>
      <c r="D71" s="20" t="s">
        <v>8</v>
      </c>
      <c r="E71" s="22">
        <v>56</v>
      </c>
      <c r="F71" s="22">
        <v>5</v>
      </c>
      <c r="G71" s="22">
        <v>2</v>
      </c>
      <c r="H71" s="22"/>
      <c r="I71" s="23" t="s">
        <v>37</v>
      </c>
      <c r="J71" s="23"/>
      <c r="K71" s="22"/>
      <c r="L71" s="22"/>
      <c r="M71" s="23"/>
      <c r="N71" s="23"/>
      <c r="O71" s="26" t="s">
        <v>152</v>
      </c>
      <c r="P71" s="26"/>
      <c r="Q71" s="22"/>
      <c r="R71" s="24"/>
      <c r="S71" s="24"/>
      <c r="T71" s="24"/>
      <c r="U71" s="24"/>
      <c r="V71" s="24"/>
      <c r="W71" s="22" t="s">
        <v>53</v>
      </c>
      <c r="X71" s="4" t="str">
        <f>IF(Tabela2[[#This Row],[sigla]]="","",VLOOKUP(Tabela2[[#This Row],[sigla]],Tabela1[[#All],[Sigla Arte]:[Crédito]],2,0))</f>
        <v>GUSTAVO RAMOS/ARQUIVO DA EDITORA</v>
      </c>
      <c r="Y71" s="23"/>
      <c r="Z71" s="23" t="str">
        <f>Tabela2[[#This Row],[ilustrador]]</f>
        <v>GUSTAVO RAMOS/ARQUIVO DA EDITORA</v>
      </c>
      <c r="AA71" s="22"/>
      <c r="AB71" s="20"/>
      <c r="AC71" s="20"/>
      <c r="AD71" s="4" t="str">
        <f t="shared" si="4"/>
        <v>Pitanguá</v>
      </c>
      <c r="AE71" s="14" t="str">
        <f t="shared" si="5"/>
        <v>História</v>
      </c>
    </row>
    <row r="72" spans="1:31" s="14" customFormat="1" ht="57.6" x14ac:dyDescent="0.3">
      <c r="A72" s="23" t="s">
        <v>153</v>
      </c>
      <c r="B72" s="20" t="s">
        <v>16</v>
      </c>
      <c r="C72" s="20" t="s">
        <v>17</v>
      </c>
      <c r="D72" s="20" t="s">
        <v>8</v>
      </c>
      <c r="E72" s="22">
        <v>57</v>
      </c>
      <c r="F72" s="22">
        <v>5</v>
      </c>
      <c r="G72" s="22">
        <v>2</v>
      </c>
      <c r="H72" s="22"/>
      <c r="I72" s="23" t="s">
        <v>37</v>
      </c>
      <c r="J72" s="23"/>
      <c r="K72" s="22"/>
      <c r="L72" s="22"/>
      <c r="M72" s="23"/>
      <c r="N72" s="23"/>
      <c r="O72" s="26" t="s">
        <v>154</v>
      </c>
      <c r="P72" s="26"/>
      <c r="Q72" s="22"/>
      <c r="R72" s="24"/>
      <c r="S72" s="24"/>
      <c r="T72" s="24"/>
      <c r="U72" s="24"/>
      <c r="V72" s="24"/>
      <c r="W72" s="22" t="s">
        <v>53</v>
      </c>
      <c r="X72" s="4" t="str">
        <f>IF(Tabela2[[#This Row],[sigla]]="","",VLOOKUP(Tabela2[[#This Row],[sigla]],Tabela1[[#All],[Sigla Arte]:[Crédito]],2,0))</f>
        <v>GUSTAVO RAMOS/ARQUIVO DA EDITORA</v>
      </c>
      <c r="Y72" s="23"/>
      <c r="Z72" s="23" t="str">
        <f>Tabela2[[#This Row],[ilustrador]]</f>
        <v>GUSTAVO RAMOS/ARQUIVO DA EDITORA</v>
      </c>
      <c r="AA72" s="22"/>
      <c r="AB72" s="20"/>
      <c r="AC72" s="20"/>
      <c r="AD72" s="4" t="str">
        <f t="shared" si="4"/>
        <v>Pitanguá</v>
      </c>
      <c r="AE72" s="14" t="str">
        <f t="shared" si="5"/>
        <v>História</v>
      </c>
    </row>
    <row r="73" spans="1:31" s="14" customFormat="1" ht="57.6" x14ac:dyDescent="0.3">
      <c r="A73" s="23" t="s">
        <v>155</v>
      </c>
      <c r="B73" s="20" t="s">
        <v>16</v>
      </c>
      <c r="C73" s="20" t="s">
        <v>17</v>
      </c>
      <c r="D73" s="20" t="s">
        <v>8</v>
      </c>
      <c r="E73" s="22">
        <v>57</v>
      </c>
      <c r="F73" s="22">
        <v>5</v>
      </c>
      <c r="G73" s="22">
        <v>2</v>
      </c>
      <c r="H73" s="22"/>
      <c r="I73" s="23" t="s">
        <v>9</v>
      </c>
      <c r="J73" s="23"/>
      <c r="K73" s="22"/>
      <c r="L73" s="22"/>
      <c r="M73" s="23"/>
      <c r="N73" s="23"/>
      <c r="O73" s="26" t="s">
        <v>156</v>
      </c>
      <c r="P73" s="26"/>
      <c r="Q73" s="22">
        <v>7</v>
      </c>
      <c r="R73" s="24">
        <v>45721</v>
      </c>
      <c r="S73" s="24">
        <v>45721</v>
      </c>
      <c r="T73" s="24"/>
      <c r="U73" s="24"/>
      <c r="V73" s="24">
        <v>45727</v>
      </c>
      <c r="W73" s="22" t="s">
        <v>53</v>
      </c>
      <c r="X73" s="4" t="str">
        <f>IF(Tabela2[[#This Row],[sigla]]="","",VLOOKUP(Tabela2[[#This Row],[sigla]],Tabela1[[#All],[Sigla Arte]:[Crédito]],2,0))</f>
        <v>GUSTAVO RAMOS/ARQUIVO DA EDITORA</v>
      </c>
      <c r="Y73" s="23" t="s">
        <v>123</v>
      </c>
      <c r="Z73" s="23" t="str">
        <f>Tabela2[[#This Row],[ilustrador]]</f>
        <v>GUSTAVO RAMOS/ARQUIVO DA EDITORA</v>
      </c>
      <c r="AA73" s="22">
        <v>13</v>
      </c>
      <c r="AB73" s="20"/>
      <c r="AC73" s="20" t="s">
        <v>14</v>
      </c>
      <c r="AD73" s="4" t="str">
        <f t="shared" si="4"/>
        <v>Pitanguá</v>
      </c>
      <c r="AE73" s="14" t="str">
        <f t="shared" si="5"/>
        <v>História</v>
      </c>
    </row>
    <row r="74" spans="1:31" s="14" customFormat="1" ht="57.6" x14ac:dyDescent="0.3">
      <c r="A74" s="23" t="s">
        <v>157</v>
      </c>
      <c r="B74" s="20" t="s">
        <v>90</v>
      </c>
      <c r="C74" s="20" t="s">
        <v>17</v>
      </c>
      <c r="D74" s="20" t="s">
        <v>8</v>
      </c>
      <c r="E74" s="22">
        <v>57</v>
      </c>
      <c r="F74" s="22">
        <v>5</v>
      </c>
      <c r="G74" s="22">
        <v>2</v>
      </c>
      <c r="H74" s="22"/>
      <c r="I74" s="23" t="s">
        <v>9</v>
      </c>
      <c r="J74" s="23"/>
      <c r="K74" s="22"/>
      <c r="L74" s="22"/>
      <c r="M74" s="23"/>
      <c r="N74" s="23"/>
      <c r="O74" s="26" t="s">
        <v>158</v>
      </c>
      <c r="P74" s="26"/>
      <c r="Q74" s="22">
        <v>27</v>
      </c>
      <c r="R74" s="24"/>
      <c r="S74" s="24">
        <v>45895</v>
      </c>
      <c r="T74" s="24"/>
      <c r="U74" s="24"/>
      <c r="V74" s="24">
        <v>45895</v>
      </c>
      <c r="W74" s="22" t="s">
        <v>53</v>
      </c>
      <c r="X74" s="4" t="str">
        <f>IF(Tabela2[[#This Row],[sigla]]="","",VLOOKUP(Tabela2[[#This Row],[sigla]],Tabela1[[#All],[Sigla Arte]:[Crédito]],2,0))</f>
        <v>GUSTAVO RAMOS/ARQUIVO DA EDITORA</v>
      </c>
      <c r="Y74" s="23" t="s">
        <v>33</v>
      </c>
      <c r="Z74" s="23" t="str">
        <f>Tabela2[[#This Row],[ilustrador]]</f>
        <v>GUSTAVO RAMOS/ARQUIVO DA EDITORA</v>
      </c>
      <c r="AA74" s="22">
        <v>13</v>
      </c>
      <c r="AB74" s="20" t="s">
        <v>45</v>
      </c>
      <c r="AC74" s="20" t="s">
        <v>14</v>
      </c>
      <c r="AD74" s="4" t="str">
        <f t="shared" si="4"/>
        <v>Pitanguá</v>
      </c>
      <c r="AE74" s="14" t="str">
        <f t="shared" si="5"/>
        <v>História</v>
      </c>
    </row>
    <row r="75" spans="1:31" s="14" customFormat="1" ht="345.6" x14ac:dyDescent="0.3">
      <c r="A75" s="23" t="s">
        <v>159</v>
      </c>
      <c r="B75" s="20" t="s">
        <v>16</v>
      </c>
      <c r="C75" s="20" t="s">
        <v>17</v>
      </c>
      <c r="D75" s="20" t="s">
        <v>8</v>
      </c>
      <c r="E75" s="22">
        <v>58</v>
      </c>
      <c r="F75" s="22">
        <v>5</v>
      </c>
      <c r="G75" s="22">
        <v>2</v>
      </c>
      <c r="H75" s="22"/>
      <c r="I75" s="23" t="s">
        <v>30</v>
      </c>
      <c r="J75" s="23"/>
      <c r="K75" s="22"/>
      <c r="L75" s="22"/>
      <c r="M75" s="23"/>
      <c r="N75" s="23"/>
      <c r="O75" s="26" t="s">
        <v>160</v>
      </c>
      <c r="P75" s="26"/>
      <c r="Q75" s="22">
        <v>7</v>
      </c>
      <c r="R75" s="24">
        <v>45721</v>
      </c>
      <c r="S75" s="24">
        <v>45726</v>
      </c>
      <c r="T75" s="24">
        <v>45729</v>
      </c>
      <c r="U75" s="24">
        <v>45735</v>
      </c>
      <c r="V75" s="24">
        <v>45738</v>
      </c>
      <c r="W75" s="22" t="s">
        <v>92</v>
      </c>
      <c r="X75" s="4" t="str">
        <f>IF(Tabela2[[#This Row],[sigla]]="","",VLOOKUP(Tabela2[[#This Row],[sigla]],Tabela1[[#All],[Sigla Arte]:[Crédito]],2,0))</f>
        <v>FABIO EUGENIO/ARQUIVO DA EDITORA</v>
      </c>
      <c r="Y75" s="23"/>
      <c r="Z75" s="23" t="str">
        <f>Tabela2[[#This Row],[ilustrador]]</f>
        <v>FABIO EUGENIO/ARQUIVO DA EDITORA</v>
      </c>
      <c r="AA75" s="22">
        <v>4</v>
      </c>
      <c r="AB75" s="20" t="s">
        <v>161</v>
      </c>
      <c r="AC75" s="20" t="s">
        <v>50</v>
      </c>
      <c r="AD75" s="4" t="str">
        <f t="shared" si="4"/>
        <v>Pitanguá</v>
      </c>
      <c r="AE75" s="14" t="str">
        <f t="shared" si="5"/>
        <v>História</v>
      </c>
    </row>
    <row r="76" spans="1:31" s="14" customFormat="1" ht="158.4" x14ac:dyDescent="0.3">
      <c r="A76" s="23" t="s">
        <v>186</v>
      </c>
      <c r="B76" s="20" t="s">
        <v>16</v>
      </c>
      <c r="C76" s="20" t="s">
        <v>17</v>
      </c>
      <c r="D76" s="20" t="s">
        <v>8</v>
      </c>
      <c r="E76" s="22">
        <v>88</v>
      </c>
      <c r="F76" s="22">
        <v>3</v>
      </c>
      <c r="G76" s="22">
        <v>2</v>
      </c>
      <c r="H76" s="22"/>
      <c r="I76" s="23" t="s">
        <v>30</v>
      </c>
      <c r="J76" s="23"/>
      <c r="K76" s="22"/>
      <c r="L76" s="22"/>
      <c r="M76" s="23"/>
      <c r="N76" s="23"/>
      <c r="O76" s="26" t="s">
        <v>187</v>
      </c>
      <c r="P76" s="26"/>
      <c r="Q76" s="22">
        <v>10</v>
      </c>
      <c r="R76" s="24">
        <v>45742</v>
      </c>
      <c r="S76" s="24">
        <v>45744</v>
      </c>
      <c r="T76" s="24">
        <v>45748</v>
      </c>
      <c r="U76" s="24">
        <v>45750</v>
      </c>
      <c r="V76" s="24">
        <v>45754</v>
      </c>
      <c r="W76" s="22" t="s">
        <v>188</v>
      </c>
      <c r="X76" s="4" t="str">
        <f>IF(Tabela2[[#This Row],[sigla]]="","",VLOOKUP(Tabela2[[#This Row],[sigla]],Tabela1[[#All],[Sigla Arte]:[Crédito]],2,0))</f>
        <v>SAULO NUNES/ARQUIVO DA EDITORA</v>
      </c>
      <c r="Y76" s="23"/>
      <c r="Z76" s="23" t="str">
        <f>Tabela2[[#This Row],[ilustrador]]</f>
        <v>SAULO NUNES/ARQUIVO DA EDITORA</v>
      </c>
      <c r="AA76" s="22">
        <v>5</v>
      </c>
      <c r="AB76" s="26" t="s">
        <v>189</v>
      </c>
      <c r="AC76" s="20" t="s">
        <v>50</v>
      </c>
      <c r="AD76" s="4" t="str">
        <f t="shared" si="4"/>
        <v>Pitanguá</v>
      </c>
      <c r="AE76" s="14" t="str">
        <f t="shared" si="5"/>
        <v>História</v>
      </c>
    </row>
    <row r="77" spans="1:31" s="14" customFormat="1" ht="144" x14ac:dyDescent="0.3">
      <c r="A77" s="23" t="s">
        <v>243</v>
      </c>
      <c r="B77" s="20" t="s">
        <v>16</v>
      </c>
      <c r="C77" s="20" t="s">
        <v>17</v>
      </c>
      <c r="D77" s="20" t="s">
        <v>8</v>
      </c>
      <c r="E77" s="22">
        <v>68</v>
      </c>
      <c r="F77" s="22">
        <v>3</v>
      </c>
      <c r="G77" s="22">
        <v>2</v>
      </c>
      <c r="H77" s="22"/>
      <c r="I77" s="23" t="s">
        <v>9</v>
      </c>
      <c r="J77" s="23"/>
      <c r="K77" s="22"/>
      <c r="L77" s="22"/>
      <c r="M77" s="23"/>
      <c r="N77" s="23"/>
      <c r="O77" s="26" t="s">
        <v>244</v>
      </c>
      <c r="P77" s="26"/>
      <c r="Q77" s="22">
        <v>14</v>
      </c>
      <c r="R77" s="24">
        <v>45757</v>
      </c>
      <c r="S77" s="24">
        <v>45761</v>
      </c>
      <c r="T77" s="24"/>
      <c r="U77" s="24"/>
      <c r="V77" s="24">
        <v>45761</v>
      </c>
      <c r="W77" s="22" t="s">
        <v>68</v>
      </c>
      <c r="X77" s="4" t="str">
        <f>IF(Tabela2[[#This Row],[sigla]]="","",VLOOKUP(Tabela2[[#This Row],[sigla]],Tabela1[[#All],[Sigla Arte]:[Crédito]],2,0))</f>
        <v>VICTOR LEMOS/ARQUIVO DA EDITORA</v>
      </c>
      <c r="Y77" s="23" t="s">
        <v>172</v>
      </c>
      <c r="Z77" s="23" t="str">
        <f>Tabela2[[#This Row],[ilustrador]]</f>
        <v>VICTOR LEMOS/ARQUIVO DA EDITORA</v>
      </c>
      <c r="AA77" s="22">
        <v>13</v>
      </c>
      <c r="AB77" s="20" t="s">
        <v>27</v>
      </c>
      <c r="AC77" s="20" t="s">
        <v>14</v>
      </c>
      <c r="AD77" s="4" t="str">
        <f t="shared" si="4"/>
        <v>Pitanguá</v>
      </c>
      <c r="AE77" s="14" t="str">
        <f t="shared" si="5"/>
        <v>História</v>
      </c>
    </row>
    <row r="78" spans="1:31" s="14" customFormat="1" ht="158.4" x14ac:dyDescent="0.3">
      <c r="A78" s="23" t="s">
        <v>170</v>
      </c>
      <c r="B78" s="20" t="s">
        <v>16</v>
      </c>
      <c r="C78" s="20" t="s">
        <v>17</v>
      </c>
      <c r="D78" s="20" t="s">
        <v>8</v>
      </c>
      <c r="E78" s="22">
        <v>54</v>
      </c>
      <c r="F78" s="22">
        <v>3</v>
      </c>
      <c r="G78" s="22">
        <v>2</v>
      </c>
      <c r="H78" s="22"/>
      <c r="I78" s="23" t="s">
        <v>9</v>
      </c>
      <c r="J78" s="23"/>
      <c r="K78" s="22"/>
      <c r="L78" s="22"/>
      <c r="M78" s="23"/>
      <c r="N78" s="23"/>
      <c r="O78" s="26" t="s">
        <v>171</v>
      </c>
      <c r="P78" s="26"/>
      <c r="Q78" s="22">
        <v>10</v>
      </c>
      <c r="R78" s="24">
        <v>45742</v>
      </c>
      <c r="S78" s="24">
        <v>45744</v>
      </c>
      <c r="T78" s="24"/>
      <c r="U78" s="24"/>
      <c r="V78" s="24">
        <v>45750</v>
      </c>
      <c r="W78" s="22" t="s">
        <v>68</v>
      </c>
      <c r="X78" s="4" t="str">
        <f>IF(Tabela2[[#This Row],[sigla]]="","",VLOOKUP(Tabela2[[#This Row],[sigla]],Tabela1[[#All],[Sigla Arte]:[Crédito]],2,0))</f>
        <v>VICTOR LEMOS/ARQUIVO DA EDITORA</v>
      </c>
      <c r="Y78" s="23" t="s">
        <v>172</v>
      </c>
      <c r="Z78" s="23" t="str">
        <f>Tabela2[[#This Row],[ilustrador]]</f>
        <v>VICTOR LEMOS/ARQUIVO DA EDITORA</v>
      </c>
      <c r="AA78" s="22">
        <v>13</v>
      </c>
      <c r="AB78" s="20"/>
      <c r="AC78" s="20" t="s">
        <v>14</v>
      </c>
      <c r="AD78" s="4" t="str">
        <f t="shared" si="4"/>
        <v>Pitanguá</v>
      </c>
      <c r="AE78" s="14" t="str">
        <f t="shared" si="5"/>
        <v>História</v>
      </c>
    </row>
    <row r="79" spans="1:31" s="14" customFormat="1" ht="158.4" x14ac:dyDescent="0.3">
      <c r="A79" s="23" t="s">
        <v>173</v>
      </c>
      <c r="B79" s="20" t="s">
        <v>16</v>
      </c>
      <c r="C79" s="20" t="s">
        <v>17</v>
      </c>
      <c r="D79" s="20" t="s">
        <v>8</v>
      </c>
      <c r="E79" s="22">
        <v>55</v>
      </c>
      <c r="F79" s="22">
        <v>3</v>
      </c>
      <c r="G79" s="22">
        <v>2</v>
      </c>
      <c r="H79" s="22"/>
      <c r="I79" s="23" t="s">
        <v>9</v>
      </c>
      <c r="J79" s="23"/>
      <c r="K79" s="22"/>
      <c r="L79" s="22"/>
      <c r="M79" s="23"/>
      <c r="N79" s="23"/>
      <c r="O79" s="26" t="s">
        <v>171</v>
      </c>
      <c r="P79" s="26"/>
      <c r="Q79" s="22">
        <v>10</v>
      </c>
      <c r="R79" s="24">
        <v>45742</v>
      </c>
      <c r="S79" s="24">
        <v>45744</v>
      </c>
      <c r="T79" s="24"/>
      <c r="U79" s="24"/>
      <c r="V79" s="24">
        <v>45750</v>
      </c>
      <c r="W79" s="22" t="s">
        <v>68</v>
      </c>
      <c r="X79" s="4" t="str">
        <f>IF(Tabela2[[#This Row],[sigla]]="","",VLOOKUP(Tabela2[[#This Row],[sigla]],Tabela1[[#All],[Sigla Arte]:[Crédito]],2,0))</f>
        <v>VICTOR LEMOS/ARQUIVO DA EDITORA</v>
      </c>
      <c r="Y79" s="23" t="s">
        <v>172</v>
      </c>
      <c r="Z79" s="23" t="str">
        <f>Tabela2[[#This Row],[ilustrador]]</f>
        <v>VICTOR LEMOS/ARQUIVO DA EDITORA</v>
      </c>
      <c r="AA79" s="22">
        <v>13</v>
      </c>
      <c r="AB79" s="20"/>
      <c r="AC79" s="20" t="s">
        <v>14</v>
      </c>
      <c r="AD79" s="4" t="str">
        <f t="shared" si="4"/>
        <v>Pitanguá</v>
      </c>
      <c r="AE79" s="14" t="str">
        <f t="shared" si="5"/>
        <v>História</v>
      </c>
    </row>
    <row r="80" spans="1:31" s="14" customFormat="1" ht="100.8" x14ac:dyDescent="0.3">
      <c r="A80" s="23" t="s">
        <v>51</v>
      </c>
      <c r="B80" s="20" t="s">
        <v>16</v>
      </c>
      <c r="C80" s="20" t="s">
        <v>17</v>
      </c>
      <c r="D80" s="20" t="s">
        <v>8</v>
      </c>
      <c r="E80" s="22">
        <v>62</v>
      </c>
      <c r="F80" s="22">
        <v>4</v>
      </c>
      <c r="G80" s="22">
        <v>2</v>
      </c>
      <c r="H80" s="22"/>
      <c r="I80" s="23" t="s">
        <v>9</v>
      </c>
      <c r="J80" s="23"/>
      <c r="K80" s="22"/>
      <c r="L80" s="22"/>
      <c r="M80" s="23"/>
      <c r="N80" s="23"/>
      <c r="O80" s="26" t="s">
        <v>52</v>
      </c>
      <c r="P80" s="26"/>
      <c r="Q80" s="22">
        <v>2</v>
      </c>
      <c r="R80" s="24">
        <v>45692</v>
      </c>
      <c r="S80" s="24">
        <v>45692</v>
      </c>
      <c r="T80" s="24"/>
      <c r="U80" s="24"/>
      <c r="V80" s="24">
        <v>45695</v>
      </c>
      <c r="W80" s="22" t="s">
        <v>53</v>
      </c>
      <c r="X80" s="4" t="str">
        <f>IF(Tabela2[[#This Row],[sigla]]="","",VLOOKUP(Tabela2[[#This Row],[sigla]],Tabela1[[#All],[Sigla Arte]:[Crédito]],2,0))</f>
        <v>GUSTAVO RAMOS/ARQUIVO DA EDITORA</v>
      </c>
      <c r="Y80" s="23" t="s">
        <v>13</v>
      </c>
      <c r="Z80" s="23" t="str">
        <f>Tabela2[[#This Row],[ilustrador]]</f>
        <v>GUSTAVO RAMOS/ARQUIVO DA EDITORA</v>
      </c>
      <c r="AA80" s="22">
        <v>14</v>
      </c>
      <c r="AB80" s="20" t="s">
        <v>27</v>
      </c>
      <c r="AC80" s="20" t="s">
        <v>14</v>
      </c>
      <c r="AD80" s="4" t="str">
        <f t="shared" si="4"/>
        <v>Pitanguá</v>
      </c>
      <c r="AE80" s="14" t="str">
        <f t="shared" si="5"/>
        <v>História</v>
      </c>
    </row>
    <row r="81" spans="1:31" s="14" customFormat="1" ht="57.6" x14ac:dyDescent="0.3">
      <c r="A81" s="23" t="s">
        <v>245</v>
      </c>
      <c r="B81" s="20" t="s">
        <v>16</v>
      </c>
      <c r="C81" s="20" t="s">
        <v>17</v>
      </c>
      <c r="D81" s="20" t="s">
        <v>8</v>
      </c>
      <c r="E81" s="22">
        <v>53</v>
      </c>
      <c r="F81" s="22">
        <v>4</v>
      </c>
      <c r="G81" s="22">
        <v>2</v>
      </c>
      <c r="H81" s="22"/>
      <c r="I81" s="23" t="s">
        <v>30</v>
      </c>
      <c r="J81" s="23"/>
      <c r="K81" s="22"/>
      <c r="L81" s="22"/>
      <c r="M81" s="23"/>
      <c r="N81" s="23"/>
      <c r="O81" s="26" t="s">
        <v>246</v>
      </c>
      <c r="P81" s="26"/>
      <c r="Q81" s="22">
        <v>16</v>
      </c>
      <c r="R81" s="24">
        <v>45769</v>
      </c>
      <c r="S81" s="24">
        <v>45770</v>
      </c>
      <c r="T81" s="24">
        <v>45772</v>
      </c>
      <c r="U81" s="24">
        <v>45776</v>
      </c>
      <c r="V81" s="24">
        <v>45791</v>
      </c>
      <c r="W81" s="22" t="s">
        <v>188</v>
      </c>
      <c r="X81" s="4" t="str">
        <f>IF(Tabela2[[#This Row],[sigla]]="","",VLOOKUP(Tabela2[[#This Row],[sigla]],Tabela1[[#All],[Sigla Arte]:[Crédito]],2,0))</f>
        <v>SAULO NUNES/ARQUIVO DA EDITORA</v>
      </c>
      <c r="Y81" s="23"/>
      <c r="Z81" s="23" t="str">
        <f>Tabela2[[#This Row],[ilustrador]]</f>
        <v>SAULO NUNES/ARQUIVO DA EDITORA</v>
      </c>
      <c r="AA81" s="22">
        <v>5</v>
      </c>
      <c r="AB81" s="20" t="s">
        <v>247</v>
      </c>
      <c r="AC81" s="20" t="s">
        <v>50</v>
      </c>
      <c r="AD81" s="4" t="str">
        <f t="shared" si="4"/>
        <v>Pitanguá</v>
      </c>
      <c r="AE81" s="14" t="str">
        <f t="shared" si="5"/>
        <v>História</v>
      </c>
    </row>
    <row r="82" spans="1:31" s="14" customFormat="1" ht="57.6" x14ac:dyDescent="0.3">
      <c r="A82" s="23" t="s">
        <v>248</v>
      </c>
      <c r="B82" s="20" t="s">
        <v>16</v>
      </c>
      <c r="C82" s="20" t="s">
        <v>17</v>
      </c>
      <c r="D82" s="20" t="s">
        <v>8</v>
      </c>
      <c r="E82" s="22">
        <v>53</v>
      </c>
      <c r="F82" s="22">
        <v>4</v>
      </c>
      <c r="G82" s="22">
        <v>2</v>
      </c>
      <c r="H82" s="22"/>
      <c r="I82" s="23" t="s">
        <v>30</v>
      </c>
      <c r="J82" s="23"/>
      <c r="K82" s="22"/>
      <c r="L82" s="22"/>
      <c r="M82" s="23"/>
      <c r="N82" s="23"/>
      <c r="O82" s="26" t="s">
        <v>249</v>
      </c>
      <c r="P82" s="26"/>
      <c r="Q82" s="22">
        <v>16</v>
      </c>
      <c r="R82" s="24">
        <v>45769</v>
      </c>
      <c r="S82" s="24">
        <v>45770</v>
      </c>
      <c r="T82" s="24">
        <v>45772</v>
      </c>
      <c r="U82" s="24">
        <v>45776</v>
      </c>
      <c r="V82" s="24">
        <v>45791</v>
      </c>
      <c r="W82" s="22" t="s">
        <v>188</v>
      </c>
      <c r="X82" s="4" t="str">
        <f>IF(Tabela2[[#This Row],[sigla]]="","",VLOOKUP(Tabela2[[#This Row],[sigla]],Tabela1[[#All],[Sigla Arte]:[Crédito]],2,0))</f>
        <v>SAULO NUNES/ARQUIVO DA EDITORA</v>
      </c>
      <c r="Y82" s="23"/>
      <c r="Z82" s="23" t="str">
        <f>Tabela2[[#This Row],[ilustrador]]</f>
        <v>SAULO NUNES/ARQUIVO DA EDITORA</v>
      </c>
      <c r="AA82" s="22">
        <v>4</v>
      </c>
      <c r="AB82" s="20" t="s">
        <v>247</v>
      </c>
      <c r="AC82" s="20" t="s">
        <v>50</v>
      </c>
      <c r="AD82" s="4" t="str">
        <f t="shared" si="4"/>
        <v>Pitanguá</v>
      </c>
      <c r="AE82" s="14" t="str">
        <f t="shared" si="5"/>
        <v>História</v>
      </c>
    </row>
    <row r="83" spans="1:31" s="14" customFormat="1" ht="129.6" x14ac:dyDescent="0.3">
      <c r="A83" s="23" t="s">
        <v>54</v>
      </c>
      <c r="B83" s="20" t="s">
        <v>16</v>
      </c>
      <c r="C83" s="20" t="s">
        <v>17</v>
      </c>
      <c r="D83" s="20" t="s">
        <v>8</v>
      </c>
      <c r="E83" s="22">
        <v>68</v>
      </c>
      <c r="F83" s="22">
        <v>4</v>
      </c>
      <c r="G83" s="22">
        <v>3</v>
      </c>
      <c r="H83" s="22"/>
      <c r="I83" s="23" t="s">
        <v>9</v>
      </c>
      <c r="J83" s="23"/>
      <c r="K83" s="22"/>
      <c r="L83" s="22"/>
      <c r="M83" s="23"/>
      <c r="N83" s="23"/>
      <c r="O83" s="26" t="s">
        <v>55</v>
      </c>
      <c r="P83" s="26"/>
      <c r="Q83" s="22">
        <v>3</v>
      </c>
      <c r="R83" s="24">
        <v>45694</v>
      </c>
      <c r="S83" s="24">
        <v>45694</v>
      </c>
      <c r="T83" s="24"/>
      <c r="U83" s="24"/>
      <c r="V83" s="24">
        <v>45695</v>
      </c>
      <c r="W83" s="22" t="s">
        <v>56</v>
      </c>
      <c r="X83" s="4" t="str">
        <f>IF(Tabela2[[#This Row],[sigla]]="","",VLOOKUP(Tabela2[[#This Row],[sigla]],Tabela1[[#All],[Sigla Arte]:[Crédito]],2,0))</f>
        <v>THIAGO LOPES/ARQUIVO DA EDITORA</v>
      </c>
      <c r="Y83" s="23" t="s">
        <v>13</v>
      </c>
      <c r="Z83" s="23" t="str">
        <f>Tabela2[[#This Row],[ilustrador]]</f>
        <v>THIAGO LOPES/ARQUIVO DA EDITORA</v>
      </c>
      <c r="AA83" s="22">
        <v>14</v>
      </c>
      <c r="AB83" s="20" t="s">
        <v>27</v>
      </c>
      <c r="AC83" s="20" t="s">
        <v>14</v>
      </c>
      <c r="AD83" s="4" t="str">
        <f t="shared" si="4"/>
        <v>Pitanguá</v>
      </c>
      <c r="AE83" s="14" t="str">
        <f t="shared" si="5"/>
        <v>História</v>
      </c>
    </row>
    <row r="84" spans="1:31" s="14" customFormat="1" ht="115.2" x14ac:dyDescent="0.3">
      <c r="A84" s="23" t="s">
        <v>81</v>
      </c>
      <c r="B84" s="20" t="s">
        <v>6</v>
      </c>
      <c r="C84" s="20" t="s">
        <v>17</v>
      </c>
      <c r="D84" s="20" t="s">
        <v>8</v>
      </c>
      <c r="E84" s="22">
        <v>89</v>
      </c>
      <c r="F84" s="22">
        <v>4</v>
      </c>
      <c r="G84" s="22">
        <v>3</v>
      </c>
      <c r="H84" s="22"/>
      <c r="I84" s="23" t="s">
        <v>9</v>
      </c>
      <c r="J84" s="23"/>
      <c r="K84" s="22"/>
      <c r="L84" s="22"/>
      <c r="M84" s="23"/>
      <c r="N84" s="23"/>
      <c r="O84" s="26" t="s">
        <v>82</v>
      </c>
      <c r="P84" s="26" t="s">
        <v>83</v>
      </c>
      <c r="Q84" s="22">
        <v>5</v>
      </c>
      <c r="R84" s="24">
        <v>45698</v>
      </c>
      <c r="S84" s="24">
        <v>45698</v>
      </c>
      <c r="T84" s="24"/>
      <c r="U84" s="24"/>
      <c r="V84" s="24">
        <v>45700</v>
      </c>
      <c r="W84" s="22" t="s">
        <v>71</v>
      </c>
      <c r="X84" s="4" t="str">
        <f>IF(Tabela2[[#This Row],[sigla]]="","",VLOOKUP(Tabela2[[#This Row],[sigla]],Tabela1[[#All],[Sigla Arte]:[Crédito]],2,0))</f>
        <v>HELOÍSA PINTARELLI/ARQUIVO DA EDITORA</v>
      </c>
      <c r="Y84" s="23" t="s">
        <v>13</v>
      </c>
      <c r="Z84" s="23" t="str">
        <f>Tabela2[[#This Row],[ilustrador]]</f>
        <v>HELOÍSA PINTARELLI/ARQUIVO DA EDITORA</v>
      </c>
      <c r="AA84" s="22">
        <v>14</v>
      </c>
      <c r="AB84" s="20" t="s">
        <v>27</v>
      </c>
      <c r="AC84" s="20" t="s">
        <v>14</v>
      </c>
      <c r="AD84" s="4" t="str">
        <f t="shared" si="4"/>
        <v>Pitanguá</v>
      </c>
      <c r="AE84" s="14" t="str">
        <f t="shared" si="5"/>
        <v>História</v>
      </c>
    </row>
    <row r="85" spans="1:31" s="14" customFormat="1" ht="144" x14ac:dyDescent="0.3">
      <c r="A85" s="23" t="s">
        <v>264</v>
      </c>
      <c r="B85" s="20" t="s">
        <v>260</v>
      </c>
      <c r="C85" s="20" t="s">
        <v>17</v>
      </c>
      <c r="D85" s="20" t="s">
        <v>8</v>
      </c>
      <c r="E85" s="22">
        <v>92</v>
      </c>
      <c r="F85" s="22">
        <v>5</v>
      </c>
      <c r="G85" s="22">
        <v>3</v>
      </c>
      <c r="H85" s="22"/>
      <c r="I85" s="23" t="s">
        <v>9</v>
      </c>
      <c r="J85" s="23"/>
      <c r="K85" s="22"/>
      <c r="L85" s="22"/>
      <c r="M85" s="23"/>
      <c r="N85" s="23"/>
      <c r="O85" s="26" t="s">
        <v>265</v>
      </c>
      <c r="P85" s="26"/>
      <c r="Q85" s="22">
        <v>19</v>
      </c>
      <c r="R85" s="24"/>
      <c r="S85" s="24">
        <v>45814</v>
      </c>
      <c r="T85" s="24"/>
      <c r="U85" s="24"/>
      <c r="V85" s="24">
        <v>45814</v>
      </c>
      <c r="W85" s="22" t="s">
        <v>56</v>
      </c>
      <c r="X85" s="4" t="str">
        <f>IF(Tabela2[[#This Row],[sigla]]="","",VLOOKUP(Tabela2[[#This Row],[sigla]],Tabela1[[#All],[Sigla Arte]:[Crédito]],2,0))</f>
        <v>THIAGO LOPES/ARQUIVO DA EDITORA</v>
      </c>
      <c r="Y85" s="23" t="s">
        <v>33</v>
      </c>
      <c r="Z85" s="23" t="str">
        <f>Tabela2[[#This Row],[ilustrador]]</f>
        <v>THIAGO LOPES/ARQUIVO DA EDITORA</v>
      </c>
      <c r="AA85" s="22">
        <v>13</v>
      </c>
      <c r="AB85" s="20" t="s">
        <v>45</v>
      </c>
      <c r="AC85" s="20" t="s">
        <v>14</v>
      </c>
      <c r="AD85" s="4" t="str">
        <f t="shared" si="4"/>
        <v>Pitanguá</v>
      </c>
      <c r="AE85" s="14" t="str">
        <f t="shared" si="5"/>
        <v>História</v>
      </c>
    </row>
    <row r="86" spans="1:31" s="14" customFormat="1" ht="86.4" x14ac:dyDescent="0.3">
      <c r="A86" s="23" t="s">
        <v>61</v>
      </c>
      <c r="B86" s="20" t="s">
        <v>16</v>
      </c>
      <c r="C86" s="20" t="s">
        <v>17</v>
      </c>
      <c r="D86" s="20" t="s">
        <v>8</v>
      </c>
      <c r="E86" s="22">
        <v>89</v>
      </c>
      <c r="F86" s="22">
        <v>4</v>
      </c>
      <c r="G86" s="22">
        <v>3</v>
      </c>
      <c r="H86" s="22"/>
      <c r="I86" s="23" t="s">
        <v>30</v>
      </c>
      <c r="J86" s="23"/>
      <c r="K86" s="22"/>
      <c r="L86" s="22"/>
      <c r="M86" s="23"/>
      <c r="N86" s="23"/>
      <c r="O86" s="26" t="s">
        <v>62</v>
      </c>
      <c r="P86" s="26"/>
      <c r="Q86" s="22">
        <v>5</v>
      </c>
      <c r="R86" s="24">
        <v>45698</v>
      </c>
      <c r="S86" s="24">
        <v>45699</v>
      </c>
      <c r="T86" s="24">
        <v>45700</v>
      </c>
      <c r="U86" s="24">
        <v>45702</v>
      </c>
      <c r="V86" s="24">
        <v>45713</v>
      </c>
      <c r="W86" s="22" t="s">
        <v>53</v>
      </c>
      <c r="X86" s="4" t="str">
        <f>IF(Tabela2[[#This Row],[sigla]]="","",VLOOKUP(Tabela2[[#This Row],[sigla]],Tabela1[[#All],[Sigla Arte]:[Crédito]],2,0))</f>
        <v>GUSTAVO RAMOS/ARQUIVO DA EDITORA</v>
      </c>
      <c r="Y86" s="23"/>
      <c r="Z86" s="23" t="str">
        <f>Tabela2[[#This Row],[ilustrador]]</f>
        <v>GUSTAVO RAMOS/ARQUIVO DA EDITORA</v>
      </c>
      <c r="AA86" s="22">
        <v>5</v>
      </c>
      <c r="AB86" s="20" t="s">
        <v>63</v>
      </c>
      <c r="AC86" s="20" t="s">
        <v>50</v>
      </c>
      <c r="AD86" s="4" t="str">
        <f t="shared" si="4"/>
        <v>Pitanguá</v>
      </c>
      <c r="AE86" s="14" t="str">
        <f t="shared" si="5"/>
        <v>História</v>
      </c>
    </row>
    <row r="87" spans="1:31" s="14" customFormat="1" ht="144" x14ac:dyDescent="0.3">
      <c r="A87" s="23" t="s">
        <v>162</v>
      </c>
      <c r="B87" s="20" t="s">
        <v>90</v>
      </c>
      <c r="C87" s="20" t="s">
        <v>17</v>
      </c>
      <c r="D87" s="20" t="s">
        <v>8</v>
      </c>
      <c r="E87" s="22">
        <v>84</v>
      </c>
      <c r="F87" s="22">
        <v>5</v>
      </c>
      <c r="G87" s="22">
        <v>3</v>
      </c>
      <c r="H87" s="22"/>
      <c r="I87" s="23" t="s">
        <v>9</v>
      </c>
      <c r="J87" s="23"/>
      <c r="K87" s="22"/>
      <c r="L87" s="22"/>
      <c r="M87" s="23"/>
      <c r="N87" s="23"/>
      <c r="O87" s="26" t="s">
        <v>163</v>
      </c>
      <c r="P87" s="26"/>
      <c r="Q87" s="22">
        <v>8</v>
      </c>
      <c r="R87" s="24">
        <v>45728</v>
      </c>
      <c r="S87" s="24">
        <v>45728</v>
      </c>
      <c r="T87" s="24"/>
      <c r="U87" s="24"/>
      <c r="V87" s="24">
        <v>45728</v>
      </c>
      <c r="W87" s="22" t="s">
        <v>53</v>
      </c>
      <c r="X87" s="4" t="str">
        <f>IF(Tabela2[[#This Row],[sigla]]="","",VLOOKUP(Tabela2[[#This Row],[sigla]],Tabela1[[#All],[Sigla Arte]:[Crédito]],2,0))</f>
        <v>GUSTAVO RAMOS/ARQUIVO DA EDITORA</v>
      </c>
      <c r="Y87" s="23" t="s">
        <v>109</v>
      </c>
      <c r="Z87" s="23" t="str">
        <f>Tabela2[[#This Row],[ilustrador]]</f>
        <v>GUSTAVO RAMOS/ARQUIVO DA EDITORA</v>
      </c>
      <c r="AA87" s="22">
        <v>13</v>
      </c>
      <c r="AB87" s="20"/>
      <c r="AC87" s="20" t="s">
        <v>14</v>
      </c>
      <c r="AD87" s="4" t="str">
        <f t="shared" si="4"/>
        <v>Pitanguá</v>
      </c>
      <c r="AE87" s="14" t="str">
        <f t="shared" si="5"/>
        <v>História</v>
      </c>
    </row>
    <row r="88" spans="1:31" s="14" customFormat="1" ht="86.4" x14ac:dyDescent="0.3">
      <c r="A88" s="23" t="s">
        <v>164</v>
      </c>
      <c r="B88" s="20" t="s">
        <v>90</v>
      </c>
      <c r="C88" s="20" t="s">
        <v>17</v>
      </c>
      <c r="D88" s="20" t="s">
        <v>8</v>
      </c>
      <c r="E88" s="22">
        <v>87</v>
      </c>
      <c r="F88" s="22">
        <v>5</v>
      </c>
      <c r="G88" s="22">
        <v>3</v>
      </c>
      <c r="H88" s="22"/>
      <c r="I88" s="23" t="s">
        <v>9</v>
      </c>
      <c r="J88" s="23"/>
      <c r="K88" s="22"/>
      <c r="L88" s="22"/>
      <c r="M88" s="23"/>
      <c r="N88" s="23"/>
      <c r="O88" s="26" t="s">
        <v>165</v>
      </c>
      <c r="P88" s="26"/>
      <c r="Q88" s="22">
        <v>8</v>
      </c>
      <c r="R88" s="24">
        <v>45728</v>
      </c>
      <c r="S88" s="24">
        <v>45728</v>
      </c>
      <c r="T88" s="24"/>
      <c r="U88" s="24"/>
      <c r="V88" s="24">
        <v>45728</v>
      </c>
      <c r="W88" s="22" t="s">
        <v>53</v>
      </c>
      <c r="X88" s="4" t="str">
        <f>IF(Tabela2[[#This Row],[sigla]]="","",VLOOKUP(Tabela2[[#This Row],[sigla]],Tabela1[[#All],[Sigla Arte]:[Crédito]],2,0))</f>
        <v>GUSTAVO RAMOS/ARQUIVO DA EDITORA</v>
      </c>
      <c r="Y88" s="23" t="s">
        <v>109</v>
      </c>
      <c r="Z88" s="23" t="str">
        <f>Tabela2[[#This Row],[ilustrador]]</f>
        <v>GUSTAVO RAMOS/ARQUIVO DA EDITORA</v>
      </c>
      <c r="AA88" s="22">
        <v>13</v>
      </c>
      <c r="AB88" s="20"/>
      <c r="AC88" s="20" t="s">
        <v>14</v>
      </c>
      <c r="AD88" s="4" t="str">
        <f t="shared" si="4"/>
        <v>Pitanguá</v>
      </c>
      <c r="AE88" s="14" t="str">
        <f t="shared" si="5"/>
        <v>História</v>
      </c>
    </row>
    <row r="89" spans="1:31" s="14" customFormat="1" ht="86.4" x14ac:dyDescent="0.3">
      <c r="A89" s="23" t="s">
        <v>166</v>
      </c>
      <c r="B89" s="20" t="s">
        <v>16</v>
      </c>
      <c r="C89" s="20" t="s">
        <v>17</v>
      </c>
      <c r="D89" s="20" t="s">
        <v>8</v>
      </c>
      <c r="E89" s="22">
        <v>108</v>
      </c>
      <c r="F89" s="22">
        <v>3</v>
      </c>
      <c r="G89" s="22">
        <v>3</v>
      </c>
      <c r="H89" s="22"/>
      <c r="I89" s="23" t="s">
        <v>9</v>
      </c>
      <c r="J89" s="23"/>
      <c r="K89" s="22"/>
      <c r="L89" s="22"/>
      <c r="M89" s="23"/>
      <c r="N89" s="23"/>
      <c r="O89" s="26" t="s">
        <v>167</v>
      </c>
      <c r="P89" s="26"/>
      <c r="Q89" s="22">
        <v>9</v>
      </c>
      <c r="R89" s="24">
        <v>45740</v>
      </c>
      <c r="S89" s="24">
        <v>45740</v>
      </c>
      <c r="T89" s="24"/>
      <c r="U89" s="24"/>
      <c r="V89" s="24">
        <v>45741</v>
      </c>
      <c r="W89" s="22" t="s">
        <v>56</v>
      </c>
      <c r="X89" s="4" t="str">
        <f>IF(Tabela2[[#This Row],[sigla]]="","",VLOOKUP(Tabela2[[#This Row],[sigla]],Tabela1[[#All],[Sigla Arte]:[Crédito]],2,0))</f>
        <v>THIAGO LOPES/ARQUIVO DA EDITORA</v>
      </c>
      <c r="Y89" s="23" t="s">
        <v>168</v>
      </c>
      <c r="Z89" s="23" t="str">
        <f>Tabela2[[#This Row],[ilustrador]]</f>
        <v>THIAGO LOPES/ARQUIVO DA EDITORA</v>
      </c>
      <c r="AA89" s="22">
        <v>8</v>
      </c>
      <c r="AB89" s="20" t="s">
        <v>169</v>
      </c>
      <c r="AC89" s="20" t="s">
        <v>14</v>
      </c>
      <c r="AD89" s="4" t="str">
        <f t="shared" si="4"/>
        <v>Pitanguá</v>
      </c>
      <c r="AE89" s="14" t="str">
        <f t="shared" si="5"/>
        <v>História</v>
      </c>
    </row>
    <row r="90" spans="1:31" s="14" customFormat="1" ht="158.4" x14ac:dyDescent="0.3">
      <c r="A90" s="23" t="s">
        <v>266</v>
      </c>
      <c r="B90" s="20" t="s">
        <v>6</v>
      </c>
      <c r="C90" s="20" t="s">
        <v>267</v>
      </c>
      <c r="D90" s="20" t="s">
        <v>8</v>
      </c>
      <c r="E90" s="22">
        <v>105</v>
      </c>
      <c r="F90" s="22">
        <v>5</v>
      </c>
      <c r="G90" s="22">
        <v>3</v>
      </c>
      <c r="H90" s="22"/>
      <c r="I90" s="23" t="s">
        <v>9</v>
      </c>
      <c r="J90" s="23"/>
      <c r="K90" s="22"/>
      <c r="L90" s="22"/>
      <c r="M90" s="23"/>
      <c r="N90" s="23"/>
      <c r="O90" s="26" t="s">
        <v>268</v>
      </c>
      <c r="P90" s="26"/>
      <c r="Q90" s="22">
        <v>19</v>
      </c>
      <c r="R90" s="24"/>
      <c r="S90" s="24">
        <v>45814</v>
      </c>
      <c r="T90" s="24"/>
      <c r="U90" s="24"/>
      <c r="V90" s="24">
        <v>45814</v>
      </c>
      <c r="W90" s="22" t="s">
        <v>269</v>
      </c>
      <c r="X90" s="4" t="str">
        <f>IF(Tabela2[[#This Row],[sigla]]="","",VLOOKUP(Tabela2[[#This Row],[sigla]],Tabela1[[#All],[Sigla Arte]:[Crédito]],2,0))</f>
        <v>RENAN FONSECA/ARQUIVO DA EDITORA</v>
      </c>
      <c r="Y90" s="23" t="s">
        <v>33</v>
      </c>
      <c r="Z90" s="23" t="str">
        <f>Tabela2[[#This Row],[ilustrador]]</f>
        <v>RENAN FONSECA/ARQUIVO DA EDITORA</v>
      </c>
      <c r="AA90" s="22">
        <v>13</v>
      </c>
      <c r="AB90" s="20" t="s">
        <v>45</v>
      </c>
      <c r="AC90" s="20" t="s">
        <v>14</v>
      </c>
      <c r="AD90" s="4" t="str">
        <f t="shared" si="4"/>
        <v>Pitanguá</v>
      </c>
      <c r="AE90" s="14" t="str">
        <f t="shared" si="5"/>
        <v>História</v>
      </c>
    </row>
    <row r="91" spans="1:31" s="14" customFormat="1" ht="115.2" x14ac:dyDescent="0.3">
      <c r="A91" s="23" t="s">
        <v>84</v>
      </c>
      <c r="B91" s="20" t="s">
        <v>6</v>
      </c>
      <c r="C91" s="20" t="s">
        <v>17</v>
      </c>
      <c r="D91" s="20" t="s">
        <v>8</v>
      </c>
      <c r="E91" s="22">
        <v>89</v>
      </c>
      <c r="F91" s="22">
        <v>4</v>
      </c>
      <c r="G91" s="22">
        <v>3</v>
      </c>
      <c r="H91" s="22"/>
      <c r="I91" s="23" t="s">
        <v>30</v>
      </c>
      <c r="J91" s="23"/>
      <c r="K91" s="22"/>
      <c r="L91" s="22"/>
      <c r="M91" s="23"/>
      <c r="N91" s="23"/>
      <c r="O91" s="26" t="s">
        <v>85</v>
      </c>
      <c r="P91" s="26"/>
      <c r="Q91" s="22">
        <v>5</v>
      </c>
      <c r="R91" s="24">
        <v>45698</v>
      </c>
      <c r="S91" s="24">
        <v>45699</v>
      </c>
      <c r="T91" s="24">
        <v>45700</v>
      </c>
      <c r="U91" s="24">
        <v>45702</v>
      </c>
      <c r="V91" s="24">
        <v>45713</v>
      </c>
      <c r="W91" s="22" t="s">
        <v>53</v>
      </c>
      <c r="X91" s="4" t="str">
        <f>IF(Tabela2[[#This Row],[sigla]]="","",VLOOKUP(Tabela2[[#This Row],[sigla]],Tabela1[[#All],[Sigla Arte]:[Crédito]],2,0))</f>
        <v>GUSTAVO RAMOS/ARQUIVO DA EDITORA</v>
      </c>
      <c r="Y91" s="23"/>
      <c r="Z91" s="23" t="str">
        <f>Tabela2[[#This Row],[ilustrador]]</f>
        <v>GUSTAVO RAMOS/ARQUIVO DA EDITORA</v>
      </c>
      <c r="AA91" s="22">
        <v>6</v>
      </c>
      <c r="AB91" s="20" t="s">
        <v>63</v>
      </c>
      <c r="AC91" s="20" t="s">
        <v>50</v>
      </c>
      <c r="AD91" s="4" t="str">
        <f t="shared" si="4"/>
        <v>Pitanguá</v>
      </c>
      <c r="AE91" s="14" t="str">
        <f t="shared" si="5"/>
        <v>História</v>
      </c>
    </row>
    <row r="92" spans="1:31" s="14" customFormat="1" ht="57.6" x14ac:dyDescent="0.3">
      <c r="A92" s="23" t="s">
        <v>86</v>
      </c>
      <c r="B92" s="20" t="s">
        <v>6</v>
      </c>
      <c r="C92" s="20" t="s">
        <v>17</v>
      </c>
      <c r="D92" s="20" t="s">
        <v>8</v>
      </c>
      <c r="E92" s="22">
        <v>89</v>
      </c>
      <c r="F92" s="22">
        <v>4</v>
      </c>
      <c r="G92" s="22">
        <v>3</v>
      </c>
      <c r="H92" s="22"/>
      <c r="I92" s="23" t="s">
        <v>37</v>
      </c>
      <c r="J92" s="23"/>
      <c r="K92" s="22"/>
      <c r="L92" s="22"/>
      <c r="M92" s="23"/>
      <c r="N92" s="23"/>
      <c r="O92" s="26" t="s">
        <v>87</v>
      </c>
      <c r="P92" s="26" t="s">
        <v>83</v>
      </c>
      <c r="Q92" s="22"/>
      <c r="R92" s="24"/>
      <c r="S92" s="24"/>
      <c r="T92" s="24"/>
      <c r="U92" s="24"/>
      <c r="V92" s="24"/>
      <c r="W92" s="22" t="s">
        <v>88</v>
      </c>
      <c r="X92" s="4" t="str">
        <f>IF(Tabela2[[#This Row],[sigla]]="","",VLOOKUP(Tabela2[[#This Row],[sigla]],Tabela1[[#All],[Sigla Arte]:[Crédito]],2,0))</f>
        <v>SIDNEY SIQUEIRA MEIRELES/ARQUIVO DA EDITORA</v>
      </c>
      <c r="Y92" s="23"/>
      <c r="Z92" s="23" t="str">
        <f>Tabela2[[#This Row],[ilustrador]]</f>
        <v>SIDNEY SIQUEIRA MEIRELES/ARQUIVO DA EDITORA</v>
      </c>
      <c r="AA92" s="22"/>
      <c r="AB92" s="20"/>
      <c r="AC92" s="20"/>
      <c r="AD92" s="4" t="str">
        <f t="shared" si="4"/>
        <v>Pitanguá</v>
      </c>
      <c r="AE92" s="14" t="str">
        <f t="shared" si="5"/>
        <v>História</v>
      </c>
    </row>
    <row r="93" spans="1:31" s="14" customFormat="1" ht="72" x14ac:dyDescent="0.3">
      <c r="A93" s="23" t="s">
        <v>66</v>
      </c>
      <c r="B93" s="20" t="s">
        <v>16</v>
      </c>
      <c r="C93" s="20" t="s">
        <v>17</v>
      </c>
      <c r="D93" s="20" t="s">
        <v>8</v>
      </c>
      <c r="E93" s="22">
        <v>109</v>
      </c>
      <c r="F93" s="22">
        <v>4</v>
      </c>
      <c r="G93" s="22">
        <v>4</v>
      </c>
      <c r="H93" s="22"/>
      <c r="I93" s="23" t="s">
        <v>9</v>
      </c>
      <c r="J93" s="23"/>
      <c r="K93" s="22"/>
      <c r="L93" s="22"/>
      <c r="M93" s="23"/>
      <c r="N93" s="23"/>
      <c r="O93" s="26" t="s">
        <v>67</v>
      </c>
      <c r="P93" s="26"/>
      <c r="Q93" s="22">
        <v>4</v>
      </c>
      <c r="R93" s="24">
        <v>45698</v>
      </c>
      <c r="S93" s="24">
        <v>45698</v>
      </c>
      <c r="T93" s="24"/>
      <c r="U93" s="24"/>
      <c r="V93" s="24">
        <v>45699</v>
      </c>
      <c r="W93" s="22" t="s">
        <v>68</v>
      </c>
      <c r="X93" s="4" t="str">
        <f>IF(Tabela2[[#This Row],[sigla]]="","",VLOOKUP(Tabela2[[#This Row],[sigla]],Tabela1[[#All],[Sigla Arte]:[Crédito]],2,0))</f>
        <v>VICTOR LEMOS/ARQUIVO DA EDITORA</v>
      </c>
      <c r="Y93" s="23" t="s">
        <v>13</v>
      </c>
      <c r="Z93" s="23" t="str">
        <f>Tabela2[[#This Row],[ilustrador]]</f>
        <v>VICTOR LEMOS/ARQUIVO DA EDITORA</v>
      </c>
      <c r="AA93" s="22">
        <v>14</v>
      </c>
      <c r="AB93" s="20" t="s">
        <v>27</v>
      </c>
      <c r="AC93" s="20" t="s">
        <v>14</v>
      </c>
      <c r="AD93" s="4" t="str">
        <f t="shared" si="4"/>
        <v>Pitanguá</v>
      </c>
      <c r="AE93" s="14" t="str">
        <f t="shared" si="5"/>
        <v>História</v>
      </c>
    </row>
    <row r="94" spans="1:31" s="14" customFormat="1" ht="57.6" x14ac:dyDescent="0.3">
      <c r="A94" s="23" t="s">
        <v>270</v>
      </c>
      <c r="B94" s="20" t="s">
        <v>6</v>
      </c>
      <c r="C94" s="20" t="s">
        <v>17</v>
      </c>
      <c r="D94" s="20" t="s">
        <v>8</v>
      </c>
      <c r="E94" s="22">
        <v>115</v>
      </c>
      <c r="F94" s="22">
        <v>5</v>
      </c>
      <c r="G94" s="22">
        <v>4</v>
      </c>
      <c r="H94" s="22"/>
      <c r="I94" s="23" t="s">
        <v>37</v>
      </c>
      <c r="J94" s="23"/>
      <c r="K94" s="22"/>
      <c r="L94" s="22"/>
      <c r="M94" s="23"/>
      <c r="N94" s="23"/>
      <c r="O94" s="26" t="s">
        <v>271</v>
      </c>
      <c r="P94" s="26"/>
      <c r="Q94" s="22"/>
      <c r="R94" s="24"/>
      <c r="S94" s="24"/>
      <c r="T94" s="24"/>
      <c r="U94" s="24"/>
      <c r="V94" s="24"/>
      <c r="W94" s="22"/>
      <c r="X94" s="4" t="str">
        <f>IF(Tabela2[[#This Row],[sigla]]="","",VLOOKUP(Tabela2[[#This Row],[sigla]],Tabela1[[#All],[Sigla Arte]:[Crédito]],2,0))</f>
        <v/>
      </c>
      <c r="Y94" s="23"/>
      <c r="Z94" s="23" t="str">
        <f>Tabela2[[#This Row],[ilustrador]]</f>
        <v/>
      </c>
      <c r="AA94" s="22"/>
      <c r="AB94" s="20"/>
      <c r="AC94" s="20"/>
      <c r="AD94" s="4" t="str">
        <f t="shared" si="4"/>
        <v>Pitanguá</v>
      </c>
      <c r="AE94" s="14" t="str">
        <f t="shared" si="5"/>
        <v>História</v>
      </c>
    </row>
    <row r="95" spans="1:31" s="14" customFormat="1" ht="72" x14ac:dyDescent="0.3">
      <c r="A95" s="23" t="s">
        <v>69</v>
      </c>
      <c r="B95" s="20" t="s">
        <v>16</v>
      </c>
      <c r="C95" s="20" t="s">
        <v>17</v>
      </c>
      <c r="D95" s="20" t="s">
        <v>8</v>
      </c>
      <c r="E95" s="22">
        <v>110</v>
      </c>
      <c r="F95" s="22">
        <v>4</v>
      </c>
      <c r="G95" s="22">
        <v>4</v>
      </c>
      <c r="H95" s="22"/>
      <c r="I95" s="23" t="s">
        <v>9</v>
      </c>
      <c r="J95" s="23"/>
      <c r="K95" s="22"/>
      <c r="L95" s="22"/>
      <c r="M95" s="23"/>
      <c r="N95" s="23"/>
      <c r="O95" s="26" t="s">
        <v>70</v>
      </c>
      <c r="P95" s="26"/>
      <c r="Q95" s="22">
        <v>4</v>
      </c>
      <c r="R95" s="24">
        <v>45698</v>
      </c>
      <c r="S95" s="24">
        <v>45698</v>
      </c>
      <c r="T95" s="24"/>
      <c r="U95" s="24"/>
      <c r="V95" s="24">
        <v>45699</v>
      </c>
      <c r="W95" s="22" t="s">
        <v>71</v>
      </c>
      <c r="X95" s="4" t="str">
        <f>IF(Tabela2[[#This Row],[sigla]]="","",VLOOKUP(Tabela2[[#This Row],[sigla]],Tabela1[[#All],[Sigla Arte]:[Crédito]],2,0))</f>
        <v>HELOÍSA PINTARELLI/ARQUIVO DA EDITORA</v>
      </c>
      <c r="Y95" s="23" t="s">
        <v>13</v>
      </c>
      <c r="Z95" s="23" t="str">
        <f>Tabela2[[#This Row],[ilustrador]]</f>
        <v>HELOÍSA PINTARELLI/ARQUIVO DA EDITORA</v>
      </c>
      <c r="AA95" s="22">
        <v>14</v>
      </c>
      <c r="AB95" s="20" t="s">
        <v>27</v>
      </c>
      <c r="AC95" s="20" t="s">
        <v>14</v>
      </c>
      <c r="AD95" s="4" t="str">
        <f t="shared" si="4"/>
        <v>Pitanguá</v>
      </c>
      <c r="AE95" s="14" t="str">
        <f t="shared" si="5"/>
        <v>História</v>
      </c>
    </row>
    <row r="96" spans="1:31" s="14" customFormat="1" ht="115.2" x14ac:dyDescent="0.3">
      <c r="A96" s="23" t="s">
        <v>235</v>
      </c>
      <c r="B96" s="20" t="s">
        <v>16</v>
      </c>
      <c r="C96" s="20" t="s">
        <v>17</v>
      </c>
      <c r="D96" s="20" t="s">
        <v>8</v>
      </c>
      <c r="E96" s="22">
        <v>120</v>
      </c>
      <c r="F96" s="22">
        <v>3</v>
      </c>
      <c r="G96" s="22">
        <v>4</v>
      </c>
      <c r="H96" s="22"/>
      <c r="I96" s="23" t="s">
        <v>9</v>
      </c>
      <c r="J96" s="23"/>
      <c r="K96" s="22"/>
      <c r="L96" s="22"/>
      <c r="M96" s="23"/>
      <c r="N96" s="23"/>
      <c r="O96" s="26" t="s">
        <v>236</v>
      </c>
      <c r="P96" s="26"/>
      <c r="Q96" s="22">
        <v>13</v>
      </c>
      <c r="R96" s="24">
        <v>45749</v>
      </c>
      <c r="S96" s="24">
        <v>45749</v>
      </c>
      <c r="T96" s="24"/>
      <c r="U96" s="24"/>
      <c r="V96" s="24">
        <v>45750</v>
      </c>
      <c r="W96" s="22" t="s">
        <v>122</v>
      </c>
      <c r="X96" s="4" t="str">
        <f>IF(Tabela2[[#This Row],[sigla]]="","",VLOOKUP(Tabela2[[#This Row],[sigla]],Tabela1[[#All],[Sigla Arte]:[Crédito]],2,0))</f>
        <v>DANILO SANTOS/ARQUIVO DA EDITORA</v>
      </c>
      <c r="Y96" s="23" t="s">
        <v>33</v>
      </c>
      <c r="Z96" s="23" t="str">
        <f>Tabela2[[#This Row],[ilustrador]]</f>
        <v>DANILO SANTOS/ARQUIVO DA EDITORA</v>
      </c>
      <c r="AA96" s="22">
        <v>13</v>
      </c>
      <c r="AB96" s="20"/>
      <c r="AC96" s="20" t="s">
        <v>14</v>
      </c>
      <c r="AD96" s="4" t="str">
        <f t="shared" si="4"/>
        <v>Pitanguá</v>
      </c>
      <c r="AE96" s="14" t="str">
        <f t="shared" si="5"/>
        <v>História</v>
      </c>
    </row>
    <row r="97" spans="1:31" s="14" customFormat="1" ht="28.8" x14ac:dyDescent="0.3">
      <c r="A97" s="23" t="s">
        <v>237</v>
      </c>
      <c r="B97" s="20" t="s">
        <v>16</v>
      </c>
      <c r="C97" s="20" t="s">
        <v>17</v>
      </c>
      <c r="D97" s="20" t="s">
        <v>8</v>
      </c>
      <c r="E97" s="22">
        <v>120</v>
      </c>
      <c r="F97" s="22">
        <v>3</v>
      </c>
      <c r="G97" s="22">
        <v>4</v>
      </c>
      <c r="H97" s="22"/>
      <c r="I97" s="23" t="s">
        <v>37</v>
      </c>
      <c r="J97" s="23"/>
      <c r="K97" s="22"/>
      <c r="L97" s="22"/>
      <c r="M97" s="23"/>
      <c r="N97" s="23"/>
      <c r="O97" s="26" t="s">
        <v>238</v>
      </c>
      <c r="P97" s="26"/>
      <c r="Q97" s="22">
        <v>13</v>
      </c>
      <c r="R97" s="24">
        <v>45749</v>
      </c>
      <c r="S97" s="24"/>
      <c r="T97" s="24"/>
      <c r="U97" s="24"/>
      <c r="V97" s="24"/>
      <c r="W97" s="22" t="s">
        <v>122</v>
      </c>
      <c r="X97" s="4" t="str">
        <f>IF(Tabela2[[#This Row],[sigla]]="","",VLOOKUP(Tabela2[[#This Row],[sigla]],Tabela1[[#All],[Sigla Arte]:[Crédito]],2,0))</f>
        <v>DANILO SANTOS/ARQUIVO DA EDITORA</v>
      </c>
      <c r="Y97" s="23"/>
      <c r="Z97" s="23" t="str">
        <f>Tabela2[[#This Row],[ilustrador]]</f>
        <v>DANILO SANTOS/ARQUIVO DA EDITORA</v>
      </c>
      <c r="AA97" s="22"/>
      <c r="AB97" s="20"/>
      <c r="AC97" s="20"/>
      <c r="AD97" s="4" t="str">
        <f t="shared" si="4"/>
        <v>Pitanguá</v>
      </c>
      <c r="AE97" s="14" t="str">
        <f t="shared" si="5"/>
        <v>História</v>
      </c>
    </row>
    <row r="98" spans="1:31" s="14" customFormat="1" ht="28.8" x14ac:dyDescent="0.3">
      <c r="A98" s="23" t="s">
        <v>239</v>
      </c>
      <c r="B98" s="20" t="s">
        <v>16</v>
      </c>
      <c r="C98" s="20" t="s">
        <v>17</v>
      </c>
      <c r="D98" s="20" t="s">
        <v>8</v>
      </c>
      <c r="E98" s="22">
        <v>121</v>
      </c>
      <c r="F98" s="22">
        <v>3</v>
      </c>
      <c r="G98" s="22">
        <v>4</v>
      </c>
      <c r="H98" s="22"/>
      <c r="I98" s="23" t="s">
        <v>37</v>
      </c>
      <c r="J98" s="23"/>
      <c r="K98" s="22"/>
      <c r="L98" s="22"/>
      <c r="M98" s="23"/>
      <c r="N98" s="23"/>
      <c r="O98" s="26" t="s">
        <v>240</v>
      </c>
      <c r="P98" s="26"/>
      <c r="Q98" s="22">
        <v>13</v>
      </c>
      <c r="R98" s="24">
        <v>45749</v>
      </c>
      <c r="S98" s="24">
        <v>45863</v>
      </c>
      <c r="T98" s="24"/>
      <c r="U98" s="24"/>
      <c r="V98" s="24">
        <v>45863</v>
      </c>
      <c r="W98" s="22" t="s">
        <v>122</v>
      </c>
      <c r="X98" s="4" t="str">
        <f>IF(Tabela2[[#This Row],[sigla]]="","",VLOOKUP(Tabela2[[#This Row],[sigla]],Tabela1[[#All],[Sigla Arte]:[Crédito]],2,0))</f>
        <v>DANILO SANTOS/ARQUIVO DA EDITORA</v>
      </c>
      <c r="Y98" s="23" t="s">
        <v>33</v>
      </c>
      <c r="Z98" s="23" t="str">
        <f>Tabela2[[#This Row],[ilustrador]]</f>
        <v>DANILO SANTOS/ARQUIVO DA EDITORA</v>
      </c>
      <c r="AA98" s="22">
        <v>13</v>
      </c>
      <c r="AB98" s="20" t="s">
        <v>45</v>
      </c>
      <c r="AC98" s="20" t="s">
        <v>14</v>
      </c>
      <c r="AD98" s="4" t="str">
        <f t="shared" ref="AD98:AD117" si="6">"Pitanguá"</f>
        <v>Pitanguá</v>
      </c>
      <c r="AE98" s="14" t="str">
        <f t="shared" ref="AE98:AE117" si="7">"História"</f>
        <v>História</v>
      </c>
    </row>
    <row r="99" spans="1:31" s="14" customFormat="1" ht="43.2" x14ac:dyDescent="0.3">
      <c r="A99" s="23" t="s">
        <v>241</v>
      </c>
      <c r="B99" s="20" t="s">
        <v>16</v>
      </c>
      <c r="C99" s="20" t="s">
        <v>17</v>
      </c>
      <c r="D99" s="20" t="s">
        <v>8</v>
      </c>
      <c r="E99" s="22">
        <v>121</v>
      </c>
      <c r="F99" s="22">
        <v>3</v>
      </c>
      <c r="G99" s="22">
        <v>4</v>
      </c>
      <c r="H99" s="22"/>
      <c r="I99" s="23" t="s">
        <v>37</v>
      </c>
      <c r="J99" s="23"/>
      <c r="K99" s="22"/>
      <c r="L99" s="22"/>
      <c r="M99" s="23"/>
      <c r="N99" s="23"/>
      <c r="O99" s="26" t="s">
        <v>242</v>
      </c>
      <c r="P99" s="26"/>
      <c r="Q99" s="22">
        <v>13</v>
      </c>
      <c r="R99" s="24">
        <v>45749</v>
      </c>
      <c r="S99" s="24"/>
      <c r="T99" s="24"/>
      <c r="U99" s="24"/>
      <c r="V99" s="24"/>
      <c r="W99" s="22" t="s">
        <v>122</v>
      </c>
      <c r="X99" s="4" t="str">
        <f>IF(Tabela2[[#This Row],[sigla]]="","",VLOOKUP(Tabela2[[#This Row],[sigla]],Tabela1[[#All],[Sigla Arte]:[Crédito]],2,0))</f>
        <v>DANILO SANTOS/ARQUIVO DA EDITORA</v>
      </c>
      <c r="Y99" s="23"/>
      <c r="Z99" s="23" t="str">
        <f>Tabela2[[#This Row],[ilustrador]]</f>
        <v>DANILO SANTOS/ARQUIVO DA EDITORA</v>
      </c>
      <c r="AA99" s="22"/>
      <c r="AB99" s="20"/>
      <c r="AC99" s="20"/>
      <c r="AD99" s="4" t="str">
        <f t="shared" si="6"/>
        <v>Pitanguá</v>
      </c>
      <c r="AE99" s="14" t="str">
        <f t="shared" si="7"/>
        <v>História</v>
      </c>
    </row>
    <row r="100" spans="1:31" s="14" customFormat="1" ht="57.6" x14ac:dyDescent="0.3">
      <c r="A100" s="23" t="s">
        <v>79</v>
      </c>
      <c r="B100" s="20" t="s">
        <v>16</v>
      </c>
      <c r="C100" s="20" t="s">
        <v>17</v>
      </c>
      <c r="D100" s="20" t="s">
        <v>8</v>
      </c>
      <c r="E100" s="22">
        <v>117</v>
      </c>
      <c r="F100" s="22">
        <v>4</v>
      </c>
      <c r="G100" s="22">
        <v>4</v>
      </c>
      <c r="H100" s="22"/>
      <c r="I100" s="23" t="s">
        <v>37</v>
      </c>
      <c r="J100" s="23"/>
      <c r="K100" s="22"/>
      <c r="L100" s="22"/>
      <c r="M100" s="23"/>
      <c r="N100" s="23"/>
      <c r="O100" s="26" t="s">
        <v>80</v>
      </c>
      <c r="P100" s="26"/>
      <c r="Q100" s="22"/>
      <c r="R100" s="24"/>
      <c r="S100" s="24"/>
      <c r="T100" s="24"/>
      <c r="U100" s="24"/>
      <c r="V100" s="24"/>
      <c r="W100" s="22" t="s">
        <v>68</v>
      </c>
      <c r="X100" s="4" t="str">
        <f>IF(Tabela2[[#This Row],[sigla]]="","",VLOOKUP(Tabela2[[#This Row],[sigla]],Tabela1[[#All],[Sigla Arte]:[Crédito]],2,0))</f>
        <v>VICTOR LEMOS/ARQUIVO DA EDITORA</v>
      </c>
      <c r="Y100" s="23"/>
      <c r="Z100" s="23" t="str">
        <f>Tabela2[[#This Row],[ilustrador]]</f>
        <v>VICTOR LEMOS/ARQUIVO DA EDITORA</v>
      </c>
      <c r="AA100" s="22"/>
      <c r="AB100" s="20"/>
      <c r="AC100" s="20"/>
      <c r="AD100" s="4" t="str">
        <f t="shared" si="6"/>
        <v>Pitanguá</v>
      </c>
      <c r="AE100" s="14" t="str">
        <f t="shared" si="7"/>
        <v>História</v>
      </c>
    </row>
    <row r="101" spans="1:31" s="14" customFormat="1" ht="57.6" x14ac:dyDescent="0.3">
      <c r="A101" s="23" t="s">
        <v>72</v>
      </c>
      <c r="B101" s="20" t="s">
        <v>16</v>
      </c>
      <c r="C101" s="20" t="s">
        <v>17</v>
      </c>
      <c r="D101" s="20" t="s">
        <v>8</v>
      </c>
      <c r="E101" s="22">
        <v>118</v>
      </c>
      <c r="F101" s="22">
        <v>4</v>
      </c>
      <c r="G101" s="22">
        <v>4</v>
      </c>
      <c r="H101" s="22"/>
      <c r="I101" s="23" t="s">
        <v>9</v>
      </c>
      <c r="J101" s="23"/>
      <c r="K101" s="22"/>
      <c r="L101" s="22"/>
      <c r="M101" s="23"/>
      <c r="N101" s="23"/>
      <c r="O101" s="26" t="s">
        <v>73</v>
      </c>
      <c r="P101" s="26"/>
      <c r="Q101" s="22">
        <v>21</v>
      </c>
      <c r="R101" s="24">
        <v>45833</v>
      </c>
      <c r="S101" s="24">
        <v>45833</v>
      </c>
      <c r="T101" s="24"/>
      <c r="U101" s="24"/>
      <c r="V101" s="24">
        <v>45834</v>
      </c>
      <c r="W101" s="22" t="s">
        <v>74</v>
      </c>
      <c r="X101" s="4" t="str">
        <f>IF(Tabela2[[#This Row],[sigla]]="","",VLOOKUP(Tabela2[[#This Row],[sigla]],Tabela1[[#All],[Sigla Arte]:[Crédito]],2,0))</f>
        <v>RAFAEL L. GAION/ARQUIVO DA EDITORA</v>
      </c>
      <c r="Y101" s="23" t="s">
        <v>33</v>
      </c>
      <c r="Z101" s="23" t="str">
        <f>Tabela2[[#This Row],[ilustrador]]</f>
        <v>RAFAEL L. GAION/ARQUIVO DA EDITORA</v>
      </c>
      <c r="AA101" s="22">
        <v>13</v>
      </c>
      <c r="AB101" s="20" t="s">
        <v>45</v>
      </c>
      <c r="AC101" s="20" t="s">
        <v>14</v>
      </c>
      <c r="AD101" s="4" t="str">
        <f t="shared" si="6"/>
        <v>Pitanguá</v>
      </c>
      <c r="AE101" s="14" t="str">
        <f t="shared" si="7"/>
        <v>História</v>
      </c>
    </row>
    <row r="102" spans="1:31" s="14" customFormat="1" ht="129.6" x14ac:dyDescent="0.3">
      <c r="A102" s="23" t="s">
        <v>75</v>
      </c>
      <c r="B102" s="20" t="s">
        <v>16</v>
      </c>
      <c r="C102" s="20" t="s">
        <v>17</v>
      </c>
      <c r="D102" s="20" t="s">
        <v>8</v>
      </c>
      <c r="E102" s="22">
        <v>119</v>
      </c>
      <c r="F102" s="22">
        <v>4</v>
      </c>
      <c r="G102" s="22">
        <v>4</v>
      </c>
      <c r="H102" s="22"/>
      <c r="I102" s="23" t="s">
        <v>9</v>
      </c>
      <c r="J102" s="23"/>
      <c r="K102" s="22"/>
      <c r="L102" s="22"/>
      <c r="M102" s="23"/>
      <c r="N102" s="23"/>
      <c r="O102" s="26" t="s">
        <v>76</v>
      </c>
      <c r="P102" s="26"/>
      <c r="Q102" s="22">
        <v>4</v>
      </c>
      <c r="R102" s="24">
        <v>45698</v>
      </c>
      <c r="S102" s="24">
        <v>45698</v>
      </c>
      <c r="T102" s="24"/>
      <c r="U102" s="24"/>
      <c r="V102" s="24">
        <v>45699</v>
      </c>
      <c r="W102" s="22" t="s">
        <v>56</v>
      </c>
      <c r="X102" s="4" t="str">
        <f>IF(Tabela2[[#This Row],[sigla]]="","",VLOOKUP(Tabela2[[#This Row],[sigla]],Tabela1[[#All],[Sigla Arte]:[Crédito]],2,0))</f>
        <v>THIAGO LOPES/ARQUIVO DA EDITORA</v>
      </c>
      <c r="Y102" s="23" t="s">
        <v>13</v>
      </c>
      <c r="Z102" s="23" t="str">
        <f>Tabela2[[#This Row],[ilustrador]]</f>
        <v>THIAGO LOPES/ARQUIVO DA EDITORA</v>
      </c>
      <c r="AA102" s="22">
        <v>13</v>
      </c>
      <c r="AB102" s="20" t="s">
        <v>27</v>
      </c>
      <c r="AC102" s="20" t="s">
        <v>14</v>
      </c>
      <c r="AD102" s="4" t="str">
        <f t="shared" si="6"/>
        <v>Pitanguá</v>
      </c>
      <c r="AE102" s="14" t="str">
        <f t="shared" si="7"/>
        <v>História</v>
      </c>
    </row>
    <row r="103" spans="1:31" s="14" customFormat="1" ht="43.2" x14ac:dyDescent="0.3">
      <c r="A103" s="23" t="s">
        <v>272</v>
      </c>
      <c r="B103" s="20" t="s">
        <v>6</v>
      </c>
      <c r="C103" s="20" t="s">
        <v>17</v>
      </c>
      <c r="D103" s="20" t="s">
        <v>8</v>
      </c>
      <c r="E103" s="22">
        <v>120</v>
      </c>
      <c r="F103" s="22">
        <v>5</v>
      </c>
      <c r="G103" s="22">
        <v>4</v>
      </c>
      <c r="H103" s="22"/>
      <c r="I103" s="23" t="s">
        <v>37</v>
      </c>
      <c r="J103" s="23"/>
      <c r="K103" s="22"/>
      <c r="L103" s="22"/>
      <c r="M103" s="23"/>
      <c r="N103" s="23"/>
      <c r="O103" s="26" t="s">
        <v>273</v>
      </c>
      <c r="P103" s="26"/>
      <c r="Q103" s="22"/>
      <c r="R103" s="24"/>
      <c r="S103" s="24"/>
      <c r="T103" s="24"/>
      <c r="U103" s="24"/>
      <c r="V103" s="24"/>
      <c r="W103" s="22"/>
      <c r="X103" s="4" t="str">
        <f>IF(Tabela2[[#This Row],[sigla]]="","",VLOOKUP(Tabela2[[#This Row],[sigla]],Tabela1[[#All],[Sigla Arte]:[Crédito]],2,0))</f>
        <v/>
      </c>
      <c r="Y103" s="23"/>
      <c r="Z103" s="23" t="str">
        <f>Tabela2[[#This Row],[ilustrador]]</f>
        <v/>
      </c>
      <c r="AA103" s="22"/>
      <c r="AB103" s="20"/>
      <c r="AC103" s="20"/>
      <c r="AD103" s="4" t="str">
        <f t="shared" si="6"/>
        <v>Pitanguá</v>
      </c>
      <c r="AE103" s="14" t="str">
        <f t="shared" si="7"/>
        <v>História</v>
      </c>
    </row>
    <row r="104" spans="1:31" s="14" customFormat="1" ht="43.2" x14ac:dyDescent="0.3">
      <c r="A104" s="23" t="s">
        <v>297</v>
      </c>
      <c r="B104" s="20" t="s">
        <v>16</v>
      </c>
      <c r="C104" s="20" t="s">
        <v>17</v>
      </c>
      <c r="D104" s="20" t="s">
        <v>8</v>
      </c>
      <c r="E104" s="22">
        <v>132</v>
      </c>
      <c r="F104" s="22">
        <v>3</v>
      </c>
      <c r="G104" s="22">
        <v>4</v>
      </c>
      <c r="H104" s="22"/>
      <c r="I104" s="23" t="s">
        <v>30</v>
      </c>
      <c r="J104" s="23"/>
      <c r="K104" s="22"/>
      <c r="L104" s="22"/>
      <c r="M104" s="23"/>
      <c r="N104" s="23"/>
      <c r="O104" s="26" t="s">
        <v>298</v>
      </c>
      <c r="P104" s="26"/>
      <c r="Q104" s="22">
        <v>26</v>
      </c>
      <c r="R104" s="24">
        <v>45860</v>
      </c>
      <c r="S104" s="24">
        <v>45860</v>
      </c>
      <c r="T104" s="24">
        <v>45863</v>
      </c>
      <c r="U104" s="24">
        <v>45863</v>
      </c>
      <c r="V104" s="24">
        <v>45868</v>
      </c>
      <c r="W104" s="22" t="s">
        <v>299</v>
      </c>
      <c r="X104" s="4" t="str">
        <f>IF(Tabela2[[#This Row],[sigla]]="","",VLOOKUP(Tabela2[[#This Row],[sigla]],Tabela1[[#All],[Sigla Arte]:[Crédito]],2,0))</f>
        <v>JULIANA DACOSTA/ARQUIVO DA EDITORA</v>
      </c>
      <c r="Y104" s="23"/>
      <c r="Z104" s="23" t="str">
        <f>Tabela2[[#This Row],[ilustrador]]</f>
        <v>JULIANA DACOSTA/ARQUIVO DA EDITORA</v>
      </c>
      <c r="AA104" s="22">
        <v>4</v>
      </c>
      <c r="AB104" s="20" t="s">
        <v>300</v>
      </c>
      <c r="AC104" s="20" t="s">
        <v>50</v>
      </c>
      <c r="AD104" s="4" t="str">
        <f t="shared" si="6"/>
        <v>Pitanguá</v>
      </c>
      <c r="AE104" s="14" t="str">
        <f t="shared" si="7"/>
        <v>História</v>
      </c>
    </row>
    <row r="105" spans="1:31" s="14" customFormat="1" ht="115.2" x14ac:dyDescent="0.3">
      <c r="A105" s="23" t="s">
        <v>277</v>
      </c>
      <c r="B105" s="20" t="s">
        <v>278</v>
      </c>
      <c r="C105" s="20" t="s">
        <v>17</v>
      </c>
      <c r="D105" s="20" t="s">
        <v>8</v>
      </c>
      <c r="E105" s="22">
        <v>118</v>
      </c>
      <c r="F105" s="22">
        <v>5</v>
      </c>
      <c r="G105" s="22">
        <v>4</v>
      </c>
      <c r="H105" s="22"/>
      <c r="I105" s="23" t="s">
        <v>30</v>
      </c>
      <c r="J105" s="23"/>
      <c r="K105" s="22"/>
      <c r="L105" s="22"/>
      <c r="M105" s="23"/>
      <c r="N105" s="23"/>
      <c r="O105" s="26" t="s">
        <v>279</v>
      </c>
      <c r="P105" s="26"/>
      <c r="Q105" s="22">
        <v>23</v>
      </c>
      <c r="R105" s="24">
        <v>45852</v>
      </c>
      <c r="S105" s="24">
        <v>45852</v>
      </c>
      <c r="T105" s="24">
        <v>45853</v>
      </c>
      <c r="U105" s="24">
        <v>45853</v>
      </c>
      <c r="V105" s="24">
        <v>45859</v>
      </c>
      <c r="W105" s="22" t="s">
        <v>53</v>
      </c>
      <c r="X105" s="4" t="str">
        <f>IF(Tabela2[[#This Row],[sigla]]="","",VLOOKUP(Tabela2[[#This Row],[sigla]],Tabela1[[#All],[Sigla Arte]:[Crédito]],2,0))</f>
        <v>GUSTAVO RAMOS/ARQUIVO DA EDITORA</v>
      </c>
      <c r="Y105" s="23"/>
      <c r="Z105" s="23" t="str">
        <f>Tabela2[[#This Row],[ilustrador]]</f>
        <v>GUSTAVO RAMOS/ARQUIVO DA EDITORA</v>
      </c>
      <c r="AA105" s="22">
        <v>3</v>
      </c>
      <c r="AB105" s="20" t="s">
        <v>280</v>
      </c>
      <c r="AC105" s="20" t="s">
        <v>14</v>
      </c>
      <c r="AD105" s="4" t="str">
        <f t="shared" si="6"/>
        <v>Pitanguá</v>
      </c>
      <c r="AE105" s="14" t="str">
        <f t="shared" si="7"/>
        <v>História</v>
      </c>
    </row>
    <row r="106" spans="1:31" s="14" customFormat="1" ht="72" x14ac:dyDescent="0.3">
      <c r="A106" s="23" t="s">
        <v>301</v>
      </c>
      <c r="B106" s="20" t="s">
        <v>16</v>
      </c>
      <c r="C106" s="20" t="s">
        <v>17</v>
      </c>
      <c r="D106" s="20" t="s">
        <v>8</v>
      </c>
      <c r="E106" s="22">
        <v>133</v>
      </c>
      <c r="F106" s="22">
        <v>3</v>
      </c>
      <c r="G106" s="22">
        <v>4</v>
      </c>
      <c r="H106" s="22"/>
      <c r="I106" s="23" t="s">
        <v>30</v>
      </c>
      <c r="J106" s="23"/>
      <c r="K106" s="22"/>
      <c r="L106" s="22"/>
      <c r="M106" s="23"/>
      <c r="N106" s="23"/>
      <c r="O106" s="26" t="s">
        <v>302</v>
      </c>
      <c r="P106" s="26"/>
      <c r="Q106" s="22">
        <v>26</v>
      </c>
      <c r="R106" s="24">
        <v>45860</v>
      </c>
      <c r="S106" s="24">
        <v>45860</v>
      </c>
      <c r="T106" s="24">
        <v>45863</v>
      </c>
      <c r="U106" s="24">
        <v>45863</v>
      </c>
      <c r="V106" s="24">
        <v>45868</v>
      </c>
      <c r="W106" s="22" t="s">
        <v>299</v>
      </c>
      <c r="X106" s="4" t="str">
        <f>IF(Tabela2[[#This Row],[sigla]]="","",VLOOKUP(Tabela2[[#This Row],[sigla]],Tabela1[[#All],[Sigla Arte]:[Crédito]],2,0))</f>
        <v>JULIANA DACOSTA/ARQUIVO DA EDITORA</v>
      </c>
      <c r="Y106" s="23"/>
      <c r="Z106" s="23" t="str">
        <f>Tabela2[[#This Row],[ilustrador]]</f>
        <v>JULIANA DACOSTA/ARQUIVO DA EDITORA</v>
      </c>
      <c r="AA106" s="22">
        <v>3</v>
      </c>
      <c r="AB106" s="20" t="s">
        <v>300</v>
      </c>
      <c r="AC106" s="20" t="s">
        <v>50</v>
      </c>
      <c r="AD106" s="4" t="str">
        <f t="shared" si="6"/>
        <v>Pitanguá</v>
      </c>
      <c r="AE106" s="14" t="str">
        <f t="shared" si="7"/>
        <v>História</v>
      </c>
    </row>
    <row r="107" spans="1:31" s="14" customFormat="1" ht="57.6" x14ac:dyDescent="0.3">
      <c r="A107" s="23" t="s">
        <v>303</v>
      </c>
      <c r="B107" s="20" t="s">
        <v>16</v>
      </c>
      <c r="C107" s="20" t="s">
        <v>17</v>
      </c>
      <c r="D107" s="20"/>
      <c r="E107" s="22">
        <v>133</v>
      </c>
      <c r="F107" s="22">
        <v>3</v>
      </c>
      <c r="G107" s="22">
        <v>4</v>
      </c>
      <c r="H107" s="22"/>
      <c r="I107" s="23" t="s">
        <v>30</v>
      </c>
      <c r="J107" s="23"/>
      <c r="K107" s="22"/>
      <c r="L107" s="22"/>
      <c r="M107" s="23"/>
      <c r="N107" s="23"/>
      <c r="O107" s="26" t="s">
        <v>304</v>
      </c>
      <c r="P107" s="26"/>
      <c r="Q107" s="22">
        <v>26</v>
      </c>
      <c r="R107" s="24" t="s">
        <v>305</v>
      </c>
      <c r="S107" s="24">
        <v>45860</v>
      </c>
      <c r="T107" s="24">
        <v>45863</v>
      </c>
      <c r="U107" s="24">
        <v>45863</v>
      </c>
      <c r="V107" s="24">
        <v>45868</v>
      </c>
      <c r="W107" s="22" t="s">
        <v>299</v>
      </c>
      <c r="X107" s="4" t="str">
        <f>IF(Tabela2[[#This Row],[sigla]]="","",VLOOKUP(Tabela2[[#This Row],[sigla]],Tabela1[[#All],[Sigla Arte]:[Crédito]],2,0))</f>
        <v>JULIANA DACOSTA/ARQUIVO DA EDITORA</v>
      </c>
      <c r="Y107" s="23"/>
      <c r="Z107" s="23" t="str">
        <f>Tabela2[[#This Row],[ilustrador]]</f>
        <v>JULIANA DACOSTA/ARQUIVO DA EDITORA</v>
      </c>
      <c r="AA107" s="22">
        <v>3</v>
      </c>
      <c r="AB107" s="20" t="s">
        <v>300</v>
      </c>
      <c r="AC107" s="20" t="s">
        <v>50</v>
      </c>
      <c r="AD107" s="4" t="str">
        <f t="shared" si="6"/>
        <v>Pitanguá</v>
      </c>
      <c r="AE107" s="14" t="str">
        <f t="shared" si="7"/>
        <v>História</v>
      </c>
    </row>
    <row r="108" spans="1:31" s="14" customFormat="1" ht="100.8" x14ac:dyDescent="0.3">
      <c r="A108" s="22" t="s">
        <v>5</v>
      </c>
      <c r="B108" s="20" t="s">
        <v>6</v>
      </c>
      <c r="C108" s="20" t="s">
        <v>7</v>
      </c>
      <c r="D108" s="20" t="s">
        <v>8</v>
      </c>
      <c r="E108" s="22">
        <v>22</v>
      </c>
      <c r="F108" s="22">
        <v>4</v>
      </c>
      <c r="G108" s="22">
        <v>1</v>
      </c>
      <c r="H108" s="22"/>
      <c r="I108" s="23" t="s">
        <v>9</v>
      </c>
      <c r="J108" s="23"/>
      <c r="K108" s="22"/>
      <c r="L108" s="22"/>
      <c r="M108" s="23"/>
      <c r="N108" s="23"/>
      <c r="O108" s="26" t="s">
        <v>10</v>
      </c>
      <c r="P108" s="26" t="s">
        <v>11</v>
      </c>
      <c r="Q108" s="22">
        <v>1</v>
      </c>
      <c r="R108" s="24">
        <v>45686</v>
      </c>
      <c r="S108" s="24">
        <v>45686</v>
      </c>
      <c r="T108" s="24"/>
      <c r="U108" s="24"/>
      <c r="V108" s="24">
        <v>45687</v>
      </c>
      <c r="W108" s="22" t="s">
        <v>12</v>
      </c>
      <c r="X108" s="4" t="str">
        <f>IF(Tabela2[[#This Row],[sigla]]="","",VLOOKUP(Tabela2[[#This Row],[sigla]],Tabela1[[#All],[Sigla Arte]:[Crédito]],2,0))</f>
        <v>KEITHY MOSTACHI/ARQUIVO DA EDITORA</v>
      </c>
      <c r="Y108" s="23" t="s">
        <v>13</v>
      </c>
      <c r="Z108" s="23" t="str">
        <f>Tabela2[[#This Row],[ilustrador]]</f>
        <v>KEITHY MOSTACHI/ARQUIVO DA EDITORA</v>
      </c>
      <c r="AA108" s="22">
        <v>13</v>
      </c>
      <c r="AB108" s="20"/>
      <c r="AC108" s="20" t="s">
        <v>14</v>
      </c>
      <c r="AD108" s="4" t="str">
        <f t="shared" si="6"/>
        <v>Pitanguá</v>
      </c>
      <c r="AE108" s="14" t="str">
        <f t="shared" si="7"/>
        <v>História</v>
      </c>
    </row>
    <row r="109" spans="1:31" s="14" customFormat="1" x14ac:dyDescent="0.3">
      <c r="A109" s="23" t="s">
        <v>283</v>
      </c>
      <c r="B109" s="20" t="s">
        <v>107</v>
      </c>
      <c r="C109" s="20" t="s">
        <v>7</v>
      </c>
      <c r="D109" s="20" t="s">
        <v>8</v>
      </c>
      <c r="E109" s="22">
        <v>32</v>
      </c>
      <c r="F109" s="28">
        <v>4</v>
      </c>
      <c r="G109" s="28">
        <v>1</v>
      </c>
      <c r="H109" s="22"/>
      <c r="I109" s="23" t="s">
        <v>30</v>
      </c>
      <c r="J109" s="23"/>
      <c r="K109" s="22"/>
      <c r="L109" s="22"/>
      <c r="M109" s="23"/>
      <c r="N109" s="23"/>
      <c r="O109" s="26" t="s">
        <v>284</v>
      </c>
      <c r="P109" s="26"/>
      <c r="Q109" s="22">
        <v>24</v>
      </c>
      <c r="R109" s="24">
        <v>45852</v>
      </c>
      <c r="S109" s="24">
        <v>45853</v>
      </c>
      <c r="T109" s="24"/>
      <c r="U109" s="24"/>
      <c r="V109" s="24">
        <v>45853</v>
      </c>
      <c r="W109" s="22" t="s">
        <v>12</v>
      </c>
      <c r="X109" s="4" t="str">
        <f>IF(Tabela2[[#This Row],[sigla]]="","",VLOOKUP(Tabela2[[#This Row],[sigla]],Tabela1[[#All],[Sigla Arte]:[Crédito]],2,0))</f>
        <v>KEITHY MOSTACHI/ARQUIVO DA EDITORA</v>
      </c>
      <c r="Y109" s="23"/>
      <c r="Z109" s="23" t="str">
        <f>Tabela2[[#This Row],[ilustrador]]</f>
        <v>KEITHY MOSTACHI/ARQUIVO DA EDITORA</v>
      </c>
      <c r="AA109" s="22">
        <v>10</v>
      </c>
      <c r="AB109" s="20" t="s">
        <v>285</v>
      </c>
      <c r="AC109" s="20" t="s">
        <v>14</v>
      </c>
      <c r="AD109" s="4" t="str">
        <f t="shared" si="6"/>
        <v>Pitanguá</v>
      </c>
      <c r="AE109" s="14" t="str">
        <f t="shared" si="7"/>
        <v>História</v>
      </c>
    </row>
    <row r="110" spans="1:31" s="14" customFormat="1" ht="158.4" x14ac:dyDescent="0.3">
      <c r="A110" s="23" t="s">
        <v>174</v>
      </c>
      <c r="B110" s="20" t="s">
        <v>16</v>
      </c>
      <c r="C110" s="20" t="s">
        <v>7</v>
      </c>
      <c r="D110" s="20" t="s">
        <v>8</v>
      </c>
      <c r="E110" s="22">
        <v>59</v>
      </c>
      <c r="F110" s="22">
        <v>3</v>
      </c>
      <c r="G110" s="22">
        <v>2</v>
      </c>
      <c r="H110" s="22"/>
      <c r="I110" s="23" t="s">
        <v>30</v>
      </c>
      <c r="J110" s="23"/>
      <c r="K110" s="22"/>
      <c r="L110" s="22"/>
      <c r="M110" s="23"/>
      <c r="N110" s="23"/>
      <c r="O110" s="26" t="s">
        <v>175</v>
      </c>
      <c r="P110" s="26"/>
      <c r="Q110" s="22">
        <v>10</v>
      </c>
      <c r="R110" s="24">
        <v>45742</v>
      </c>
      <c r="S110" s="24">
        <v>45744</v>
      </c>
      <c r="T110" s="24"/>
      <c r="U110" s="24"/>
      <c r="V110" s="24">
        <v>45750</v>
      </c>
      <c r="W110" s="22" t="s">
        <v>176</v>
      </c>
      <c r="X110" s="4" t="str">
        <f>IF(Tabela2[[#This Row],[sigla]]="","",VLOOKUP(Tabela2[[#This Row],[sigla]],Tabela1[[#All],[Sigla Arte]:[Crédito]],2,0))</f>
        <v>RAFAELA PANISSA/ARQUIVO DA EDITORA</v>
      </c>
      <c r="Y110" s="23" t="s">
        <v>35</v>
      </c>
      <c r="Z110" s="23" t="str">
        <f>Tabela2[[#This Row],[ilustrador]]</f>
        <v>RAFAELA PANISSA/ARQUIVO DA EDITORA</v>
      </c>
      <c r="AA110" s="22">
        <v>9</v>
      </c>
      <c r="AB110" s="14" t="s">
        <v>177</v>
      </c>
      <c r="AC110" s="20" t="s">
        <v>14</v>
      </c>
      <c r="AD110" s="4" t="str">
        <f t="shared" si="6"/>
        <v>Pitanguá</v>
      </c>
      <c r="AE110" s="14" t="str">
        <f t="shared" si="7"/>
        <v>História</v>
      </c>
    </row>
    <row r="111" spans="1:31" s="14" customFormat="1" ht="100.8" x14ac:dyDescent="0.3">
      <c r="A111" s="34" t="s">
        <v>24</v>
      </c>
      <c r="B111" s="20" t="s">
        <v>16</v>
      </c>
      <c r="C111" s="20" t="s">
        <v>7</v>
      </c>
      <c r="D111" s="20" t="s">
        <v>8</v>
      </c>
      <c r="E111" s="22">
        <v>39</v>
      </c>
      <c r="F111" s="22">
        <v>4</v>
      </c>
      <c r="G111" s="22">
        <v>2</v>
      </c>
      <c r="H111" s="22"/>
      <c r="I111" s="23" t="s">
        <v>9</v>
      </c>
      <c r="J111" s="23"/>
      <c r="K111" s="22"/>
      <c r="L111" s="22"/>
      <c r="M111" s="23"/>
      <c r="N111" s="23"/>
      <c r="O111" s="26" t="s">
        <v>25</v>
      </c>
      <c r="P111" s="26"/>
      <c r="Q111" s="22">
        <v>2</v>
      </c>
      <c r="R111" s="24">
        <v>45692</v>
      </c>
      <c r="S111" s="24">
        <v>45692</v>
      </c>
      <c r="T111" s="24"/>
      <c r="U111" s="24"/>
      <c r="V111" s="24">
        <v>45695</v>
      </c>
      <c r="W111" s="22" t="s">
        <v>26</v>
      </c>
      <c r="X111" s="4" t="str">
        <f>IF(Tabela2[[#This Row],[sigla]]="","",VLOOKUP(Tabela2[[#This Row],[sigla]],Tabela1[[#All],[Sigla Arte]:[Crédito]],2,0))</f>
        <v>EDSON BELLUSCI/ARQUIVO DA EDITORA</v>
      </c>
      <c r="Y111" s="23" t="s">
        <v>13</v>
      </c>
      <c r="Z111" s="23" t="str">
        <f>Tabela2[[#This Row],[ilustrador]]</f>
        <v>EDSON BELLUSCI/ARQUIVO DA EDITORA</v>
      </c>
      <c r="AA111" s="22">
        <v>14</v>
      </c>
      <c r="AB111" s="20" t="s">
        <v>27</v>
      </c>
      <c r="AC111" s="20" t="s">
        <v>14</v>
      </c>
      <c r="AD111" s="4" t="str">
        <f t="shared" si="6"/>
        <v>Pitanguá</v>
      </c>
      <c r="AE111" s="14" t="str">
        <f t="shared" si="7"/>
        <v>História</v>
      </c>
    </row>
    <row r="112" spans="1:31" s="14" customFormat="1" ht="72" x14ac:dyDescent="0.3">
      <c r="A112" s="23" t="s">
        <v>43</v>
      </c>
      <c r="B112" s="20" t="s">
        <v>16</v>
      </c>
      <c r="C112" s="20" t="s">
        <v>7</v>
      </c>
      <c r="D112" s="20" t="s">
        <v>8</v>
      </c>
      <c r="E112" s="22">
        <v>46</v>
      </c>
      <c r="F112" s="22">
        <v>4</v>
      </c>
      <c r="G112" s="22">
        <v>2</v>
      </c>
      <c r="H112" s="22"/>
      <c r="I112" s="23" t="s">
        <v>9</v>
      </c>
      <c r="J112" s="23"/>
      <c r="K112" s="22"/>
      <c r="L112" s="22"/>
      <c r="M112" s="23"/>
      <c r="N112" s="23"/>
      <c r="O112" s="26" t="s">
        <v>44</v>
      </c>
      <c r="P112" s="26"/>
      <c r="Q112" s="22">
        <v>20</v>
      </c>
      <c r="R112" s="24">
        <v>45831</v>
      </c>
      <c r="S112" s="24">
        <v>45831</v>
      </c>
      <c r="T112" s="24"/>
      <c r="U112" s="24"/>
      <c r="V112" s="24">
        <v>45832</v>
      </c>
      <c r="W112" s="22" t="s">
        <v>26</v>
      </c>
      <c r="X112" s="4" t="str">
        <f>IF(Tabela2[[#This Row],[sigla]]="","",VLOOKUP(Tabela2[[#This Row],[sigla]],Tabela1[[#All],[Sigla Arte]:[Crédito]],2,0))</f>
        <v>EDSON BELLUSCI/ARQUIVO DA EDITORA</v>
      </c>
      <c r="Y112" s="23" t="s">
        <v>33</v>
      </c>
      <c r="Z112" s="23" t="str">
        <f>Tabela2[[#This Row],[ilustrador]]</f>
        <v>EDSON BELLUSCI/ARQUIVO DA EDITORA</v>
      </c>
      <c r="AA112" s="22">
        <v>13</v>
      </c>
      <c r="AB112" s="20" t="s">
        <v>45</v>
      </c>
      <c r="AC112" s="20" t="s">
        <v>14</v>
      </c>
      <c r="AD112" s="4" t="str">
        <f t="shared" si="6"/>
        <v>Pitanguá</v>
      </c>
      <c r="AE112" s="14" t="str">
        <f t="shared" si="7"/>
        <v>História</v>
      </c>
    </row>
    <row r="113" spans="1:31" s="14" customFormat="1" ht="187.2" x14ac:dyDescent="0.3">
      <c r="A113" s="23" t="s">
        <v>183</v>
      </c>
      <c r="B113" s="20" t="s">
        <v>16</v>
      </c>
      <c r="C113" s="20" t="s">
        <v>7</v>
      </c>
      <c r="D113" s="20" t="s">
        <v>8</v>
      </c>
      <c r="E113" s="22">
        <v>86</v>
      </c>
      <c r="F113" s="22">
        <v>3</v>
      </c>
      <c r="G113" s="22">
        <v>2</v>
      </c>
      <c r="H113" s="22"/>
      <c r="I113" s="23" t="s">
        <v>9</v>
      </c>
      <c r="J113" s="23"/>
      <c r="K113" s="22"/>
      <c r="L113" s="22"/>
      <c r="M113" s="23"/>
      <c r="N113" s="23"/>
      <c r="O113" s="26" t="s">
        <v>184</v>
      </c>
      <c r="P113" s="26"/>
      <c r="Q113" s="22">
        <v>10</v>
      </c>
      <c r="R113" s="24">
        <v>45742</v>
      </c>
      <c r="S113" s="24">
        <v>45744</v>
      </c>
      <c r="T113" s="24"/>
      <c r="U113" s="24"/>
      <c r="V113" s="24">
        <v>45751</v>
      </c>
      <c r="W113" s="22" t="s">
        <v>185</v>
      </c>
      <c r="X113" s="4" t="str">
        <f>IF(Tabela2[[#This Row],[sigla]]="","",VLOOKUP(Tabela2[[#This Row],[sigla]],Tabela1[[#All],[Sigla Arte]:[Crédito]],2,0))</f>
        <v>PAULA RADI/ARQUIVO DA EDITORA</v>
      </c>
      <c r="Y113" s="23" t="s">
        <v>172</v>
      </c>
      <c r="Z113" s="23" t="str">
        <f>Tabela2[[#This Row],[ilustrador]]</f>
        <v>PAULA RADI/ARQUIVO DA EDITORA</v>
      </c>
      <c r="AA113" s="22">
        <v>13</v>
      </c>
      <c r="AB113" s="20"/>
      <c r="AC113" s="20" t="s">
        <v>14</v>
      </c>
      <c r="AD113" s="4" t="str">
        <f t="shared" si="6"/>
        <v>Pitanguá</v>
      </c>
      <c r="AE113" s="14" t="str">
        <f t="shared" si="7"/>
        <v>História</v>
      </c>
    </row>
    <row r="114" spans="1:31" s="14" customFormat="1" ht="28.8" x14ac:dyDescent="0.3">
      <c r="A114" s="23" t="s">
        <v>306</v>
      </c>
      <c r="B114" s="20" t="s">
        <v>260</v>
      </c>
      <c r="C114" s="20" t="s">
        <v>7</v>
      </c>
      <c r="D114" s="20" t="s">
        <v>8</v>
      </c>
      <c r="E114" s="22">
        <v>53</v>
      </c>
      <c r="F114" s="22">
        <v>4</v>
      </c>
      <c r="G114" s="22">
        <v>2</v>
      </c>
      <c r="H114" s="22"/>
      <c r="I114" s="23" t="s">
        <v>9</v>
      </c>
      <c r="J114" s="23"/>
      <c r="K114" s="22"/>
      <c r="L114" s="22"/>
      <c r="M114" s="23"/>
      <c r="N114" s="23"/>
      <c r="O114" s="26" t="s">
        <v>307</v>
      </c>
      <c r="P114" s="26"/>
      <c r="Q114" s="22">
        <v>27</v>
      </c>
      <c r="R114" s="24">
        <v>45920</v>
      </c>
      <c r="S114" s="24">
        <v>45920</v>
      </c>
      <c r="T114" s="24"/>
      <c r="U114" s="24"/>
      <c r="V114" s="24">
        <v>45920</v>
      </c>
      <c r="W114" s="22" t="s">
        <v>308</v>
      </c>
      <c r="X114" s="4" t="str">
        <f>IF(Tabela2[[#This Row],[sigla]]="","",VLOOKUP(Tabela2[[#This Row],[sigla]],Tabela1[[#All],[Sigla Arte]:[Crédito]],2,0))</f>
        <v>VINÍCIUS COSTA/ARQUIVO DA EDITORA</v>
      </c>
      <c r="Y114" s="23" t="s">
        <v>309</v>
      </c>
      <c r="Z114" s="23" t="str">
        <f>Tabela2[[#This Row],[ilustrador]]</f>
        <v>VINÍCIUS COSTA/ARQUIVO DA EDITORA</v>
      </c>
      <c r="AA114" s="22">
        <v>13</v>
      </c>
      <c r="AB114" s="20" t="s">
        <v>177</v>
      </c>
      <c r="AC114" s="20" t="s">
        <v>14</v>
      </c>
      <c r="AD114" s="4" t="str">
        <f t="shared" si="6"/>
        <v>Pitanguá</v>
      </c>
      <c r="AE114" s="14" t="str">
        <f t="shared" si="7"/>
        <v>História</v>
      </c>
    </row>
    <row r="115" spans="1:31" s="14" customFormat="1" ht="144" x14ac:dyDescent="0.3">
      <c r="A115" s="23" t="s">
        <v>253</v>
      </c>
      <c r="B115" s="20" t="s">
        <v>6</v>
      </c>
      <c r="C115" s="20" t="s">
        <v>7</v>
      </c>
      <c r="D115" s="20" t="s">
        <v>8</v>
      </c>
      <c r="E115" s="22">
        <v>109</v>
      </c>
      <c r="F115" s="22">
        <v>4</v>
      </c>
      <c r="G115" s="22">
        <v>3</v>
      </c>
      <c r="H115" s="22"/>
      <c r="I115" s="23" t="s">
        <v>30</v>
      </c>
      <c r="J115" s="23"/>
      <c r="K115" s="22"/>
      <c r="L115" s="22"/>
      <c r="M115" s="23"/>
      <c r="N115" s="23"/>
      <c r="O115" s="26" t="s">
        <v>254</v>
      </c>
      <c r="P115" s="26"/>
      <c r="Q115" s="22">
        <v>17</v>
      </c>
      <c r="R115" s="24">
        <v>45772</v>
      </c>
      <c r="S115" s="24">
        <v>45772</v>
      </c>
      <c r="T115" s="24"/>
      <c r="U115" s="24"/>
      <c r="V115" s="24">
        <v>45775</v>
      </c>
      <c r="W115" s="22" t="s">
        <v>176</v>
      </c>
      <c r="X115" s="4" t="str">
        <f>IF(Tabela2[[#This Row],[sigla]]="","",VLOOKUP(Tabela2[[#This Row],[sigla]],Tabela1[[#All],[Sigla Arte]:[Crédito]],2,0))</f>
        <v>RAFAELA PANISSA/ARQUIVO DA EDITORA</v>
      </c>
      <c r="Y115" s="23" t="s">
        <v>35</v>
      </c>
      <c r="Z115" s="23" t="str">
        <f>Tabela2[[#This Row],[ilustrador]]</f>
        <v>RAFAELA PANISSA/ARQUIVO DA EDITORA</v>
      </c>
      <c r="AA115" s="22">
        <v>10</v>
      </c>
      <c r="AB115" s="20" t="s">
        <v>177</v>
      </c>
      <c r="AC115" s="20" t="s">
        <v>14</v>
      </c>
      <c r="AD115" s="4" t="str">
        <f t="shared" si="6"/>
        <v>Pitanguá</v>
      </c>
      <c r="AE115" s="14" t="str">
        <f t="shared" si="7"/>
        <v>História</v>
      </c>
    </row>
    <row r="116" spans="1:31" s="14" customFormat="1" ht="100.8" x14ac:dyDescent="0.3">
      <c r="A116" s="23" t="s">
        <v>64</v>
      </c>
      <c r="B116" s="20" t="s">
        <v>16</v>
      </c>
      <c r="C116" s="20" t="s">
        <v>7</v>
      </c>
      <c r="D116" s="20" t="s">
        <v>8</v>
      </c>
      <c r="E116" s="22">
        <v>98</v>
      </c>
      <c r="F116" s="22">
        <v>4</v>
      </c>
      <c r="G116" s="22">
        <v>3</v>
      </c>
      <c r="H116" s="22"/>
      <c r="I116" s="23" t="s">
        <v>9</v>
      </c>
      <c r="J116" s="23"/>
      <c r="K116" s="22"/>
      <c r="L116" s="22"/>
      <c r="M116" s="23"/>
      <c r="N116" s="23"/>
      <c r="O116" s="26" t="s">
        <v>65</v>
      </c>
      <c r="P116" s="26"/>
      <c r="Q116" s="22">
        <v>3</v>
      </c>
      <c r="R116" s="24">
        <v>45694</v>
      </c>
      <c r="S116" s="24">
        <v>45694</v>
      </c>
      <c r="T116" s="24"/>
      <c r="U116" s="24"/>
      <c r="V116" s="24">
        <v>45695</v>
      </c>
      <c r="W116" s="22" t="s">
        <v>26</v>
      </c>
      <c r="X116" s="4" t="str">
        <f>IF(Tabela2[[#This Row],[sigla]]="","",VLOOKUP(Tabela2[[#This Row],[sigla]],Tabela1[[#All],[Sigla Arte]:[Crédito]],2,0))</f>
        <v>EDSON BELLUSCI/ARQUIVO DA EDITORA</v>
      </c>
      <c r="Y116" s="23" t="s">
        <v>13</v>
      </c>
      <c r="Z116" s="23" t="str">
        <f>Tabela2[[#This Row],[ilustrador]]</f>
        <v>EDSON BELLUSCI/ARQUIVO DA EDITORA</v>
      </c>
      <c r="AA116" s="22">
        <v>14</v>
      </c>
      <c r="AB116" s="20" t="s">
        <v>27</v>
      </c>
      <c r="AC116" s="20" t="s">
        <v>14</v>
      </c>
      <c r="AD116" s="4" t="str">
        <f t="shared" si="6"/>
        <v>Pitanguá</v>
      </c>
      <c r="AE116" s="14" t="str">
        <f t="shared" si="7"/>
        <v>História</v>
      </c>
    </row>
    <row r="117" spans="1:31" s="14" customFormat="1" ht="201.6" x14ac:dyDescent="0.3">
      <c r="A117" s="23" t="s">
        <v>281</v>
      </c>
      <c r="B117" s="20" t="s">
        <v>278</v>
      </c>
      <c r="C117" s="20" t="s">
        <v>7</v>
      </c>
      <c r="D117" s="20" t="s">
        <v>8</v>
      </c>
      <c r="E117" s="22">
        <v>120</v>
      </c>
      <c r="F117" s="22">
        <v>5</v>
      </c>
      <c r="G117" s="22">
        <v>4</v>
      </c>
      <c r="H117" s="22"/>
      <c r="I117" s="23" t="s">
        <v>30</v>
      </c>
      <c r="J117" s="23"/>
      <c r="K117" s="22"/>
      <c r="L117" s="22"/>
      <c r="M117" s="23"/>
      <c r="N117" s="23"/>
      <c r="O117" s="26" t="s">
        <v>282</v>
      </c>
      <c r="P117" s="26"/>
      <c r="Q117" s="22">
        <v>23</v>
      </c>
      <c r="R117" s="24">
        <v>45852</v>
      </c>
      <c r="S117" s="24">
        <v>45852</v>
      </c>
      <c r="T117" s="24"/>
      <c r="U117" s="24"/>
      <c r="V117" s="24">
        <v>45852</v>
      </c>
      <c r="W117" s="22" t="s">
        <v>176</v>
      </c>
      <c r="X117" s="4" t="str">
        <f>IF(Tabela2[[#This Row],[sigla]]="","",VLOOKUP(Tabela2[[#This Row],[sigla]],Tabela1[[#All],[Sigla Arte]:[Crédito]],2,0))</f>
        <v>RAFAELA PANISSA/ARQUIVO DA EDITORA</v>
      </c>
      <c r="Y117" s="23"/>
      <c r="Z117" s="23" t="str">
        <f>Tabela2[[#This Row],[ilustrador]]</f>
        <v>RAFAELA PANISSA/ARQUIVO DA EDITORA</v>
      </c>
      <c r="AA117" s="22">
        <v>10</v>
      </c>
      <c r="AB117" s="20" t="s">
        <v>35</v>
      </c>
      <c r="AC117" s="20" t="s">
        <v>14</v>
      </c>
      <c r="AD117" s="4" t="str">
        <f t="shared" si="6"/>
        <v>Pitanguá</v>
      </c>
      <c r="AE117" s="14" t="str">
        <f t="shared" si="7"/>
        <v>História</v>
      </c>
    </row>
  </sheetData>
  <sheetProtection formatCells="0" formatColumns="0" formatRows="0" sort="0" autoFilter="0" pivotTables="0"/>
  <dataValidations count="1">
    <dataValidation allowBlank="1" showErrorMessage="1" sqref="B1:D1" xr:uid="{64D87D3F-9B8E-4533-BEDE-6A8CDA7262B5}"/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C70449A7-09E1-454B-83EB-81DB8E145BED}">
          <x14:formula1>
            <xm:f>metadados!$D$1:$D$7</xm:f>
          </x14:formula1>
          <xm:sqref>L2:L1048576 F112:F1048576 F2:F110</xm:sqref>
        </x14:dataValidation>
        <x14:dataValidation type="list" allowBlank="1" showInputMessage="1" showErrorMessage="1" xr:uid="{06BC7D6A-D6EB-41B5-B621-DE4A72652772}">
          <x14:formula1>
            <xm:f>créditos_base!$C$3:$C$116</xm:f>
          </x14:formula1>
          <xm:sqref>Y118:Y1048576</xm:sqref>
        </x14:dataValidation>
        <x14:dataValidation type="list" allowBlank="1" showInputMessage="1" showErrorMessage="1" xr:uid="{5705C48B-E793-4249-A1A5-E9D0055F43D8}">
          <x14:formula1>
            <xm:f>créditos_base!$B$3:$B$116</xm:f>
          </x14:formula1>
          <xm:sqref>W118:W1048576</xm:sqref>
        </x14:dataValidation>
        <x14:dataValidation type="list" allowBlank="1" showInputMessage="1" showErrorMessage="1" xr:uid="{C969C20B-651A-4D17-86CC-88E223060629}">
          <x14:formula1>
            <xm:f>metadados!$B$1:$B$8</xm:f>
          </x14:formula1>
          <xm:sqref>C118:C1048576</xm:sqref>
        </x14:dataValidation>
        <x14:dataValidation type="list" allowBlank="1" showInputMessage="1" showErrorMessage="1" xr:uid="{6B474DDE-6A86-4337-B601-F5F87E60C557}">
          <x14:formula1>
            <xm:f>créditos_base!$A$3:$A$332</xm:f>
          </x14:formula1>
          <xm:sqref>Y2:Y117</xm:sqref>
        </x14:dataValidation>
        <x14:dataValidation type="list" allowBlank="1" showInputMessage="1" showErrorMessage="1" xr:uid="{CB4EE900-9C62-48ED-9EFF-99A2CFB7DB86}">
          <x14:formula1>
            <xm:f>créditos_base!$B$3:$B$332</xm:f>
          </x14:formula1>
          <xm:sqref>W2:W117</xm:sqref>
        </x14:dataValidation>
        <x14:dataValidation type="list" allowBlank="1" showInputMessage="1" showErrorMessage="1" xr:uid="{A058AFE4-83C5-48F6-A497-4D99B56F1D96}">
          <x14:formula1>
            <xm:f>metadados!$B$1:$B$7</xm:f>
          </x14:formula1>
          <xm:sqref>C111:C117 C2:C109</xm:sqref>
        </x14:dataValidation>
        <x14:dataValidation type="list" allowBlank="1" showInputMessage="1" showErrorMessage="1" xr:uid="{1E0E5C3B-B338-4A82-ABB7-55FA01F1FD25}">
          <x14:formula1>
            <xm:f>metadados!$C$1:$C$8</xm:f>
          </x14:formula1>
          <xm:sqref>D2:D1048576</xm:sqref>
        </x14:dataValidation>
        <x14:dataValidation type="list" allowBlank="1" showInputMessage="1" showErrorMessage="1" xr:uid="{832AC6A1-37A3-4247-8D3B-0B1514A698E5}">
          <x14:formula1>
            <xm:f>metadados!$E$1:$E$3</xm:f>
          </x14:formula1>
          <xm:sqref>I2:I1048576</xm:sqref>
        </x14:dataValidation>
        <x14:dataValidation type="list" allowBlank="1" showInputMessage="1" showErrorMessage="1" xr:uid="{ABD634A1-19D3-465A-AE87-A59444E4CB70}">
          <x14:formula1>
            <xm:f>metadados!$F$1:$F$13</xm:f>
          </x14:formula1>
          <xm:sqref>N2:N1048576</xm:sqref>
        </x14:dataValidation>
        <x14:dataValidation type="list" allowBlank="1" showInputMessage="1" showErrorMessage="1" xr:uid="{B4ADD33D-8B17-41A6-94BC-BC2885E9FB91}">
          <x14:formula1>
            <xm:f>metadados!$G$1:$G$14</xm:f>
          </x14:formula1>
          <xm:sqref>AA2:AA1048576</xm:sqref>
        </x14:dataValidation>
        <x14:dataValidation type="list" allowBlank="1" showInputMessage="1" showErrorMessage="1" xr:uid="{61E550D5-36D2-44FC-A08D-4E51EFE8F470}">
          <x14:formula1>
            <xm:f>metadados!$H$1:$H$5</xm:f>
          </x14:formula1>
          <xm:sqref>AC2:AC1048576</xm:sqref>
        </x14:dataValidation>
        <x14:dataValidation type="list" allowBlank="1" showErrorMessage="1" xr:uid="{8C59E314-3DFF-498C-8F2E-89E73DBE2751}">
          <x14:formula1>
            <xm:f>metadados!$A$1:$A$10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14E60-2F08-404E-A796-158B251FCA67}">
  <dimension ref="A1:C334"/>
  <sheetViews>
    <sheetView topLeftCell="A69" workbookViewId="0">
      <selection activeCell="D85" sqref="D85"/>
    </sheetView>
  </sheetViews>
  <sheetFormatPr defaultRowHeight="14.4" x14ac:dyDescent="0.3"/>
  <cols>
    <col min="1" max="1" width="61" bestFit="1" customWidth="1"/>
    <col min="2" max="2" width="11.6640625" bestFit="1" customWidth="1"/>
    <col min="3" max="3" width="74.44140625" customWidth="1"/>
  </cols>
  <sheetData>
    <row r="1" spans="1:3" ht="21" x14ac:dyDescent="0.4">
      <c r="A1" s="33" t="s">
        <v>310</v>
      </c>
      <c r="B1" s="33"/>
      <c r="C1" s="33"/>
    </row>
    <row r="2" spans="1:3" x14ac:dyDescent="0.3">
      <c r="A2" t="s">
        <v>311</v>
      </c>
      <c r="B2" t="s">
        <v>312</v>
      </c>
      <c r="C2" t="s">
        <v>313</v>
      </c>
    </row>
    <row r="3" spans="1:3" x14ac:dyDescent="0.3">
      <c r="A3" t="s">
        <v>311</v>
      </c>
      <c r="B3" t="s">
        <v>312</v>
      </c>
      <c r="C3" t="s">
        <v>313</v>
      </c>
    </row>
    <row r="4" spans="1:3" x14ac:dyDescent="0.3">
      <c r="A4" t="s">
        <v>314</v>
      </c>
      <c r="B4" t="s">
        <v>315</v>
      </c>
      <c r="C4" t="s">
        <v>316</v>
      </c>
    </row>
    <row r="5" spans="1:3" x14ac:dyDescent="0.3">
      <c r="A5" t="s">
        <v>317</v>
      </c>
      <c r="B5" t="s">
        <v>32</v>
      </c>
      <c r="C5" t="s">
        <v>318</v>
      </c>
    </row>
    <row r="6" spans="1:3" ht="28.8" x14ac:dyDescent="0.3">
      <c r="A6" t="s">
        <v>319</v>
      </c>
      <c r="B6" t="s">
        <v>320</v>
      </c>
      <c r="C6" s="12" t="s">
        <v>321</v>
      </c>
    </row>
    <row r="7" spans="1:3" x14ac:dyDescent="0.3">
      <c r="A7" t="s">
        <v>322</v>
      </c>
      <c r="B7" t="s">
        <v>323</v>
      </c>
      <c r="C7" t="s">
        <v>324</v>
      </c>
    </row>
    <row r="8" spans="1:3" x14ac:dyDescent="0.3">
      <c r="A8" t="s">
        <v>325</v>
      </c>
      <c r="B8" t="s">
        <v>326</v>
      </c>
      <c r="C8" t="s">
        <v>324</v>
      </c>
    </row>
    <row r="9" spans="1:3" x14ac:dyDescent="0.3">
      <c r="A9" t="s">
        <v>327</v>
      </c>
      <c r="B9" t="s">
        <v>328</v>
      </c>
      <c r="C9" t="s">
        <v>324</v>
      </c>
    </row>
    <row r="10" spans="1:3" x14ac:dyDescent="0.3">
      <c r="A10" t="s">
        <v>329</v>
      </c>
      <c r="B10" t="s">
        <v>330</v>
      </c>
      <c r="C10" t="s">
        <v>316</v>
      </c>
    </row>
    <row r="11" spans="1:3" x14ac:dyDescent="0.3">
      <c r="A11" t="s">
        <v>35</v>
      </c>
      <c r="B11" t="s">
        <v>331</v>
      </c>
      <c r="C11" t="s">
        <v>285</v>
      </c>
    </row>
    <row r="12" spans="1:3" x14ac:dyDescent="0.3">
      <c r="A12" t="s">
        <v>332</v>
      </c>
      <c r="B12" t="s">
        <v>333</v>
      </c>
      <c r="C12" s="7" t="s">
        <v>334</v>
      </c>
    </row>
    <row r="13" spans="1:3" x14ac:dyDescent="0.3">
      <c r="A13" t="s">
        <v>335</v>
      </c>
      <c r="B13" t="s">
        <v>336</v>
      </c>
      <c r="C13" s="7" t="s">
        <v>337</v>
      </c>
    </row>
    <row r="14" spans="1:3" x14ac:dyDescent="0.3">
      <c r="A14" t="s">
        <v>338</v>
      </c>
      <c r="B14" t="s">
        <v>339</v>
      </c>
      <c r="C14" s="7" t="s">
        <v>340</v>
      </c>
    </row>
    <row r="15" spans="1:3" x14ac:dyDescent="0.3">
      <c r="A15" t="s">
        <v>341</v>
      </c>
      <c r="B15" t="s">
        <v>342</v>
      </c>
      <c r="C15" s="7" t="s">
        <v>343</v>
      </c>
    </row>
    <row r="16" spans="1:3" x14ac:dyDescent="0.3">
      <c r="A16" t="s">
        <v>344</v>
      </c>
      <c r="B16" t="s">
        <v>345</v>
      </c>
      <c r="C16" s="7" t="s">
        <v>346</v>
      </c>
    </row>
    <row r="17" spans="1:3" x14ac:dyDescent="0.3">
      <c r="A17" t="s">
        <v>347</v>
      </c>
      <c r="B17" t="s">
        <v>348</v>
      </c>
      <c r="C17" s="7" t="s">
        <v>349</v>
      </c>
    </row>
    <row r="18" spans="1:3" x14ac:dyDescent="0.3">
      <c r="A18" t="s">
        <v>350</v>
      </c>
      <c r="B18" t="s">
        <v>351</v>
      </c>
      <c r="C18" s="7" t="s">
        <v>352</v>
      </c>
    </row>
    <row r="19" spans="1:3" x14ac:dyDescent="0.3">
      <c r="A19" t="s">
        <v>353</v>
      </c>
      <c r="B19" t="s">
        <v>354</v>
      </c>
      <c r="C19" s="7" t="s">
        <v>355</v>
      </c>
    </row>
    <row r="20" spans="1:3" x14ac:dyDescent="0.3">
      <c r="A20" t="s">
        <v>356</v>
      </c>
      <c r="B20" t="s">
        <v>357</v>
      </c>
      <c r="C20" s="7" t="s">
        <v>358</v>
      </c>
    </row>
    <row r="21" spans="1:3" x14ac:dyDescent="0.3">
      <c r="A21" t="s">
        <v>359</v>
      </c>
      <c r="B21" t="s">
        <v>360</v>
      </c>
      <c r="C21" s="7" t="s">
        <v>361</v>
      </c>
    </row>
    <row r="22" spans="1:3" x14ac:dyDescent="0.3">
      <c r="A22" t="s">
        <v>362</v>
      </c>
      <c r="B22" t="s">
        <v>363</v>
      </c>
      <c r="C22" s="7" t="s">
        <v>364</v>
      </c>
    </row>
    <row r="23" spans="1:3" x14ac:dyDescent="0.3">
      <c r="A23" t="s">
        <v>365</v>
      </c>
      <c r="B23" t="s">
        <v>366</v>
      </c>
      <c r="C23" s="7" t="s">
        <v>367</v>
      </c>
    </row>
    <row r="24" spans="1:3" x14ac:dyDescent="0.3">
      <c r="A24" t="s">
        <v>368</v>
      </c>
      <c r="B24" t="s">
        <v>369</v>
      </c>
      <c r="C24" s="7" t="s">
        <v>370</v>
      </c>
    </row>
    <row r="25" spans="1:3" x14ac:dyDescent="0.3">
      <c r="A25" t="s">
        <v>371</v>
      </c>
      <c r="B25" t="s">
        <v>372</v>
      </c>
      <c r="C25" s="7" t="s">
        <v>373</v>
      </c>
    </row>
    <row r="26" spans="1:3" x14ac:dyDescent="0.3">
      <c r="A26" t="s">
        <v>374</v>
      </c>
      <c r="B26" t="s">
        <v>375</v>
      </c>
      <c r="C26" s="7" t="s">
        <v>376</v>
      </c>
    </row>
    <row r="27" spans="1:3" x14ac:dyDescent="0.3">
      <c r="A27" t="s">
        <v>377</v>
      </c>
      <c r="B27" t="s">
        <v>378</v>
      </c>
      <c r="C27" s="7" t="s">
        <v>379</v>
      </c>
    </row>
    <row r="28" spans="1:3" x14ac:dyDescent="0.3">
      <c r="A28" t="s">
        <v>380</v>
      </c>
      <c r="B28" t="s">
        <v>381</v>
      </c>
      <c r="C28" s="7" t="s">
        <v>382</v>
      </c>
    </row>
    <row r="29" spans="1:3" x14ac:dyDescent="0.3">
      <c r="A29" t="s">
        <v>383</v>
      </c>
      <c r="B29" t="s">
        <v>384</v>
      </c>
      <c r="C29" s="7" t="s">
        <v>385</v>
      </c>
    </row>
    <row r="30" spans="1:3" x14ac:dyDescent="0.3">
      <c r="A30" t="s">
        <v>386</v>
      </c>
      <c r="B30" t="s">
        <v>387</v>
      </c>
      <c r="C30" s="7" t="s">
        <v>388</v>
      </c>
    </row>
    <row r="31" spans="1:3" x14ac:dyDescent="0.3">
      <c r="A31" t="s">
        <v>389</v>
      </c>
      <c r="B31" t="s">
        <v>390</v>
      </c>
      <c r="C31" s="7" t="s">
        <v>391</v>
      </c>
    </row>
    <row r="32" spans="1:3" x14ac:dyDescent="0.3">
      <c r="A32" t="s">
        <v>392</v>
      </c>
      <c r="B32" t="s">
        <v>393</v>
      </c>
      <c r="C32" s="7" t="s">
        <v>394</v>
      </c>
    </row>
    <row r="33" spans="1:3" x14ac:dyDescent="0.3">
      <c r="A33" t="s">
        <v>395</v>
      </c>
      <c r="B33" t="s">
        <v>396</v>
      </c>
      <c r="C33" s="7" t="s">
        <v>397</v>
      </c>
    </row>
    <row r="34" spans="1:3" x14ac:dyDescent="0.3">
      <c r="A34" t="s">
        <v>398</v>
      </c>
      <c r="B34" t="s">
        <v>399</v>
      </c>
      <c r="C34" s="7" t="s">
        <v>400</v>
      </c>
    </row>
    <row r="35" spans="1:3" x14ac:dyDescent="0.3">
      <c r="A35" t="s">
        <v>401</v>
      </c>
      <c r="B35" t="s">
        <v>402</v>
      </c>
      <c r="C35" s="7" t="s">
        <v>403</v>
      </c>
    </row>
    <row r="36" spans="1:3" x14ac:dyDescent="0.3">
      <c r="A36" t="s">
        <v>404</v>
      </c>
      <c r="B36" t="s">
        <v>405</v>
      </c>
      <c r="C36" s="7" t="s">
        <v>406</v>
      </c>
    </row>
    <row r="37" spans="1:3" x14ac:dyDescent="0.3">
      <c r="A37" t="s">
        <v>407</v>
      </c>
      <c r="B37" t="s">
        <v>408</v>
      </c>
      <c r="C37" s="7" t="s">
        <v>409</v>
      </c>
    </row>
    <row r="38" spans="1:3" x14ac:dyDescent="0.3">
      <c r="A38" t="s">
        <v>410</v>
      </c>
      <c r="B38" t="s">
        <v>411</v>
      </c>
      <c r="C38" s="7" t="s">
        <v>412</v>
      </c>
    </row>
    <row r="39" spans="1:3" x14ac:dyDescent="0.3">
      <c r="A39" t="s">
        <v>413</v>
      </c>
      <c r="B39" t="s">
        <v>414</v>
      </c>
      <c r="C39" s="7" t="s">
        <v>415</v>
      </c>
    </row>
    <row r="40" spans="1:3" x14ac:dyDescent="0.3">
      <c r="A40" t="s">
        <v>416</v>
      </c>
      <c r="B40" t="s">
        <v>417</v>
      </c>
      <c r="C40" s="7" t="s">
        <v>418</v>
      </c>
    </row>
    <row r="41" spans="1:3" x14ac:dyDescent="0.3">
      <c r="A41" t="s">
        <v>419</v>
      </c>
      <c r="B41" t="s">
        <v>420</v>
      </c>
      <c r="C41" s="7" t="s">
        <v>421</v>
      </c>
    </row>
    <row r="42" spans="1:3" x14ac:dyDescent="0.3">
      <c r="A42" t="s">
        <v>422</v>
      </c>
      <c r="B42" t="s">
        <v>423</v>
      </c>
      <c r="C42" s="7" t="s">
        <v>424</v>
      </c>
    </row>
    <row r="43" spans="1:3" x14ac:dyDescent="0.3">
      <c r="A43" t="s">
        <v>425</v>
      </c>
      <c r="B43" t="s">
        <v>426</v>
      </c>
      <c r="C43" s="7" t="s">
        <v>427</v>
      </c>
    </row>
    <row r="44" spans="1:3" x14ac:dyDescent="0.3">
      <c r="A44" t="s">
        <v>428</v>
      </c>
      <c r="B44" t="s">
        <v>429</v>
      </c>
      <c r="C44" s="7" t="s">
        <v>430</v>
      </c>
    </row>
    <row r="45" spans="1:3" x14ac:dyDescent="0.3">
      <c r="A45" t="s">
        <v>431</v>
      </c>
      <c r="B45" t="s">
        <v>432</v>
      </c>
      <c r="C45" s="7" t="s">
        <v>433</v>
      </c>
    </row>
    <row r="46" spans="1:3" x14ac:dyDescent="0.3">
      <c r="A46" t="s">
        <v>434</v>
      </c>
      <c r="B46" t="s">
        <v>435</v>
      </c>
      <c r="C46" s="7" t="s">
        <v>436</v>
      </c>
    </row>
    <row r="47" spans="1:3" x14ac:dyDescent="0.3">
      <c r="A47" t="s">
        <v>123</v>
      </c>
      <c r="B47" t="s">
        <v>437</v>
      </c>
      <c r="C47" s="7" t="s">
        <v>438</v>
      </c>
    </row>
    <row r="48" spans="1:3" x14ac:dyDescent="0.3">
      <c r="A48" t="s">
        <v>439</v>
      </c>
      <c r="B48" t="s">
        <v>440</v>
      </c>
      <c r="C48" s="7" t="s">
        <v>441</v>
      </c>
    </row>
    <row r="49" spans="1:3" x14ac:dyDescent="0.3">
      <c r="A49" t="s">
        <v>442</v>
      </c>
      <c r="B49" t="s">
        <v>443</v>
      </c>
      <c r="C49" s="7" t="s">
        <v>444</v>
      </c>
    </row>
    <row r="50" spans="1:3" x14ac:dyDescent="0.3">
      <c r="A50" t="s">
        <v>445</v>
      </c>
      <c r="B50" t="s">
        <v>446</v>
      </c>
      <c r="C50" s="7" t="s">
        <v>447</v>
      </c>
    </row>
    <row r="51" spans="1:3" x14ac:dyDescent="0.3">
      <c r="A51" t="s">
        <v>448</v>
      </c>
      <c r="B51" t="s">
        <v>449</v>
      </c>
      <c r="C51" s="7" t="s">
        <v>450</v>
      </c>
    </row>
    <row r="52" spans="1:3" x14ac:dyDescent="0.3">
      <c r="A52" t="s">
        <v>451</v>
      </c>
      <c r="B52" t="s">
        <v>452</v>
      </c>
      <c r="C52" s="7" t="s">
        <v>453</v>
      </c>
    </row>
    <row r="53" spans="1:3" x14ac:dyDescent="0.3">
      <c r="A53" t="s">
        <v>454</v>
      </c>
      <c r="B53" t="s">
        <v>455</v>
      </c>
      <c r="C53" s="7" t="s">
        <v>456</v>
      </c>
    </row>
    <row r="54" spans="1:3" x14ac:dyDescent="0.3">
      <c r="A54" t="s">
        <v>457</v>
      </c>
      <c r="B54" t="s">
        <v>458</v>
      </c>
      <c r="C54" s="8"/>
    </row>
    <row r="55" spans="1:3" x14ac:dyDescent="0.3">
      <c r="A55" t="s">
        <v>459</v>
      </c>
      <c r="B55" t="s">
        <v>460</v>
      </c>
      <c r="C55" s="7" t="s">
        <v>461</v>
      </c>
    </row>
    <row r="56" spans="1:3" x14ac:dyDescent="0.3">
      <c r="A56" t="s">
        <v>462</v>
      </c>
      <c r="B56" t="s">
        <v>463</v>
      </c>
      <c r="C56" s="7"/>
    </row>
    <row r="57" spans="1:3" x14ac:dyDescent="0.3">
      <c r="A57" t="s">
        <v>464</v>
      </c>
      <c r="B57" t="s">
        <v>465</v>
      </c>
      <c r="C57" s="7" t="s">
        <v>466</v>
      </c>
    </row>
    <row r="58" spans="1:3" x14ac:dyDescent="0.3">
      <c r="A58" t="s">
        <v>467</v>
      </c>
      <c r="B58" t="s">
        <v>468</v>
      </c>
      <c r="C58" s="7" t="s">
        <v>469</v>
      </c>
    </row>
    <row r="59" spans="1:3" x14ac:dyDescent="0.3">
      <c r="A59" t="s">
        <v>470</v>
      </c>
      <c r="B59" t="s">
        <v>471</v>
      </c>
      <c r="C59" s="7" t="s">
        <v>472</v>
      </c>
    </row>
    <row r="60" spans="1:3" x14ac:dyDescent="0.3">
      <c r="A60" t="s">
        <v>473</v>
      </c>
      <c r="B60" t="s">
        <v>474</v>
      </c>
      <c r="C60" s="7" t="s">
        <v>475</v>
      </c>
    </row>
    <row r="61" spans="1:3" x14ac:dyDescent="0.3">
      <c r="A61" t="s">
        <v>476</v>
      </c>
      <c r="B61" t="s">
        <v>477</v>
      </c>
      <c r="C61" s="7" t="s">
        <v>478</v>
      </c>
    </row>
    <row r="62" spans="1:3" x14ac:dyDescent="0.3">
      <c r="A62" t="s">
        <v>479</v>
      </c>
      <c r="B62" t="s">
        <v>480</v>
      </c>
      <c r="C62" s="7" t="s">
        <v>481</v>
      </c>
    </row>
    <row r="63" spans="1:3" x14ac:dyDescent="0.3">
      <c r="A63" t="s">
        <v>482</v>
      </c>
      <c r="B63" t="s">
        <v>483</v>
      </c>
      <c r="C63" s="7" t="s">
        <v>484</v>
      </c>
    </row>
    <row r="64" spans="1:3" x14ac:dyDescent="0.3">
      <c r="A64" t="s">
        <v>485</v>
      </c>
      <c r="B64" t="s">
        <v>486</v>
      </c>
      <c r="C64" s="7" t="s">
        <v>487</v>
      </c>
    </row>
    <row r="65" spans="1:3" x14ac:dyDescent="0.3">
      <c r="A65" t="s">
        <v>488</v>
      </c>
      <c r="B65" t="s">
        <v>146</v>
      </c>
      <c r="C65" s="7" t="s">
        <v>489</v>
      </c>
    </row>
    <row r="66" spans="1:3" x14ac:dyDescent="0.3">
      <c r="A66" t="s">
        <v>490</v>
      </c>
      <c r="B66" t="s">
        <v>491</v>
      </c>
      <c r="C66" s="7" t="s">
        <v>424</v>
      </c>
    </row>
    <row r="67" spans="1:3" x14ac:dyDescent="0.3">
      <c r="A67" t="s">
        <v>492</v>
      </c>
      <c r="B67" t="s">
        <v>493</v>
      </c>
      <c r="C67" s="7" t="s">
        <v>494</v>
      </c>
    </row>
    <row r="68" spans="1:3" x14ac:dyDescent="0.3">
      <c r="A68" t="s">
        <v>495</v>
      </c>
      <c r="B68" t="s">
        <v>496</v>
      </c>
      <c r="C68" s="7" t="s">
        <v>497</v>
      </c>
    </row>
    <row r="69" spans="1:3" x14ac:dyDescent="0.3">
      <c r="A69" t="s">
        <v>498</v>
      </c>
      <c r="B69" t="s">
        <v>499</v>
      </c>
      <c r="C69" s="7" t="s">
        <v>500</v>
      </c>
    </row>
    <row r="70" spans="1:3" x14ac:dyDescent="0.3">
      <c r="A70" t="s">
        <v>501</v>
      </c>
      <c r="B70" t="s">
        <v>502</v>
      </c>
      <c r="C70" s="7" t="s">
        <v>503</v>
      </c>
    </row>
    <row r="71" spans="1:3" x14ac:dyDescent="0.3">
      <c r="A71" t="s">
        <v>504</v>
      </c>
      <c r="B71" t="s">
        <v>505</v>
      </c>
      <c r="C71" s="7" t="s">
        <v>506</v>
      </c>
    </row>
    <row r="72" spans="1:3" x14ac:dyDescent="0.3">
      <c r="A72" t="s">
        <v>507</v>
      </c>
      <c r="B72" t="s">
        <v>508</v>
      </c>
      <c r="C72" s="7" t="s">
        <v>424</v>
      </c>
    </row>
    <row r="73" spans="1:3" x14ac:dyDescent="0.3">
      <c r="A73" t="s">
        <v>509</v>
      </c>
      <c r="B73" t="s">
        <v>510</v>
      </c>
      <c r="C73" s="7" t="s">
        <v>511</v>
      </c>
    </row>
    <row r="74" spans="1:3" x14ac:dyDescent="0.3">
      <c r="A74" t="s">
        <v>512</v>
      </c>
      <c r="B74" t="s">
        <v>513</v>
      </c>
      <c r="C74" s="7" t="s">
        <v>514</v>
      </c>
    </row>
    <row r="75" spans="1:3" x14ac:dyDescent="0.3">
      <c r="A75" t="s">
        <v>515</v>
      </c>
      <c r="B75" t="s">
        <v>516</v>
      </c>
      <c r="C75" s="7" t="s">
        <v>517</v>
      </c>
    </row>
    <row r="76" spans="1:3" x14ac:dyDescent="0.3">
      <c r="A76" t="s">
        <v>518</v>
      </c>
      <c r="B76" t="s">
        <v>519</v>
      </c>
      <c r="C76" s="7" t="s">
        <v>520</v>
      </c>
    </row>
    <row r="77" spans="1:3" x14ac:dyDescent="0.3">
      <c r="A77" s="29" t="s">
        <v>521</v>
      </c>
      <c r="B77" s="30" t="s">
        <v>522</v>
      </c>
      <c r="C77" s="30" t="s">
        <v>424</v>
      </c>
    </row>
    <row r="78" spans="1:3" x14ac:dyDescent="0.3">
      <c r="A78" t="s">
        <v>523</v>
      </c>
      <c r="B78" t="s">
        <v>524</v>
      </c>
      <c r="C78" s="7" t="s">
        <v>424</v>
      </c>
    </row>
    <row r="79" spans="1:3" x14ac:dyDescent="0.3">
      <c r="A79" t="s">
        <v>525</v>
      </c>
      <c r="B79" t="s">
        <v>526</v>
      </c>
      <c r="C79" s="7" t="s">
        <v>527</v>
      </c>
    </row>
    <row r="80" spans="1:3" x14ac:dyDescent="0.3">
      <c r="A80" t="s">
        <v>528</v>
      </c>
      <c r="B80" t="s">
        <v>529</v>
      </c>
      <c r="C80" s="7" t="s">
        <v>530</v>
      </c>
    </row>
    <row r="81" spans="1:3" x14ac:dyDescent="0.3">
      <c r="A81" t="s">
        <v>531</v>
      </c>
      <c r="B81" t="s">
        <v>532</v>
      </c>
      <c r="C81" s="7" t="s">
        <v>533</v>
      </c>
    </row>
    <row r="82" spans="1:3" x14ac:dyDescent="0.3">
      <c r="A82" t="s">
        <v>534</v>
      </c>
      <c r="B82" t="s">
        <v>535</v>
      </c>
      <c r="C82" s="7" t="s">
        <v>536</v>
      </c>
    </row>
    <row r="83" spans="1:3" x14ac:dyDescent="0.3">
      <c r="A83" t="s">
        <v>537</v>
      </c>
      <c r="B83" t="s">
        <v>538</v>
      </c>
      <c r="C83" s="7" t="s">
        <v>539</v>
      </c>
    </row>
    <row r="84" spans="1:3" x14ac:dyDescent="0.3">
      <c r="A84" t="s">
        <v>540</v>
      </c>
      <c r="B84" t="s">
        <v>541</v>
      </c>
      <c r="C84" s="7" t="s">
        <v>542</v>
      </c>
    </row>
    <row r="85" spans="1:3" x14ac:dyDescent="0.3">
      <c r="A85" t="s">
        <v>543</v>
      </c>
      <c r="B85" t="s">
        <v>544</v>
      </c>
      <c r="C85" s="32" t="s">
        <v>545</v>
      </c>
    </row>
    <row r="86" spans="1:3" x14ac:dyDescent="0.3">
      <c r="A86" t="s">
        <v>546</v>
      </c>
      <c r="B86" t="s">
        <v>547</v>
      </c>
      <c r="C86" s="7" t="s">
        <v>548</v>
      </c>
    </row>
    <row r="87" spans="1:3" x14ac:dyDescent="0.3">
      <c r="A87" t="s">
        <v>549</v>
      </c>
      <c r="B87" t="s">
        <v>550</v>
      </c>
      <c r="C87" s="7" t="s">
        <v>551</v>
      </c>
    </row>
    <row r="88" spans="1:3" x14ac:dyDescent="0.3">
      <c r="A88" t="s">
        <v>552</v>
      </c>
      <c r="B88" t="s">
        <v>122</v>
      </c>
      <c r="C88" s="7" t="s">
        <v>553</v>
      </c>
    </row>
    <row r="89" spans="1:3" x14ac:dyDescent="0.3">
      <c r="A89" t="s">
        <v>554</v>
      </c>
      <c r="B89" t="s">
        <v>555</v>
      </c>
      <c r="C89" s="7" t="s">
        <v>556</v>
      </c>
    </row>
    <row r="90" spans="1:3" x14ac:dyDescent="0.3">
      <c r="A90" t="s">
        <v>557</v>
      </c>
      <c r="B90" t="s">
        <v>558</v>
      </c>
      <c r="C90" s="7" t="s">
        <v>559</v>
      </c>
    </row>
    <row r="91" spans="1:3" x14ac:dyDescent="0.3">
      <c r="A91" t="s">
        <v>560</v>
      </c>
      <c r="B91" t="s">
        <v>561</v>
      </c>
      <c r="C91" s="7" t="s">
        <v>562</v>
      </c>
    </row>
    <row r="92" spans="1:3" x14ac:dyDescent="0.3">
      <c r="A92" t="s">
        <v>563</v>
      </c>
      <c r="B92" t="s">
        <v>564</v>
      </c>
      <c r="C92" s="7" t="s">
        <v>565</v>
      </c>
    </row>
    <row r="93" spans="1:3" x14ac:dyDescent="0.3">
      <c r="A93" t="s">
        <v>566</v>
      </c>
      <c r="B93" t="s">
        <v>567</v>
      </c>
      <c r="C93" s="7" t="s">
        <v>568</v>
      </c>
    </row>
    <row r="94" spans="1:3" x14ac:dyDescent="0.3">
      <c r="A94" t="s">
        <v>569</v>
      </c>
      <c r="B94" t="s">
        <v>570</v>
      </c>
      <c r="C94" s="7" t="s">
        <v>571</v>
      </c>
    </row>
    <row r="95" spans="1:3" x14ac:dyDescent="0.3">
      <c r="A95" t="s">
        <v>572</v>
      </c>
      <c r="B95" t="s">
        <v>573</v>
      </c>
      <c r="C95" s="7" t="s">
        <v>574</v>
      </c>
    </row>
    <row r="96" spans="1:3" x14ac:dyDescent="0.3">
      <c r="A96" t="s">
        <v>575</v>
      </c>
      <c r="B96" t="s">
        <v>576</v>
      </c>
      <c r="C96" s="7" t="s">
        <v>577</v>
      </c>
    </row>
    <row r="97" spans="1:3" x14ac:dyDescent="0.3">
      <c r="A97" t="s">
        <v>578</v>
      </c>
      <c r="B97" t="s">
        <v>579</v>
      </c>
      <c r="C97" s="7" t="s">
        <v>580</v>
      </c>
    </row>
    <row r="98" spans="1:3" x14ac:dyDescent="0.3">
      <c r="A98" t="s">
        <v>581</v>
      </c>
      <c r="B98" t="s">
        <v>582</v>
      </c>
      <c r="C98" s="7" t="s">
        <v>583</v>
      </c>
    </row>
    <row r="99" spans="1:3" x14ac:dyDescent="0.3">
      <c r="A99" t="s">
        <v>584</v>
      </c>
      <c r="B99" t="s">
        <v>585</v>
      </c>
      <c r="C99" s="7" t="s">
        <v>586</v>
      </c>
    </row>
    <row r="100" spans="1:3" x14ac:dyDescent="0.3">
      <c r="A100" t="s">
        <v>587</v>
      </c>
      <c r="B100" t="s">
        <v>26</v>
      </c>
      <c r="C100" s="7" t="s">
        <v>588</v>
      </c>
    </row>
    <row r="101" spans="1:3" x14ac:dyDescent="0.3">
      <c r="A101" t="s">
        <v>589</v>
      </c>
      <c r="B101" t="s">
        <v>590</v>
      </c>
      <c r="C101" s="7" t="s">
        <v>591</v>
      </c>
    </row>
    <row r="102" spans="1:3" x14ac:dyDescent="0.3">
      <c r="A102" t="s">
        <v>592</v>
      </c>
      <c r="B102" t="s">
        <v>593</v>
      </c>
      <c r="C102" s="7" t="s">
        <v>594</v>
      </c>
    </row>
    <row r="103" spans="1:3" x14ac:dyDescent="0.3">
      <c r="A103" t="s">
        <v>595</v>
      </c>
      <c r="B103" t="s">
        <v>596</v>
      </c>
      <c r="C103" s="7" t="s">
        <v>597</v>
      </c>
    </row>
    <row r="104" spans="1:3" x14ac:dyDescent="0.3">
      <c r="A104" t="s">
        <v>598</v>
      </c>
      <c r="B104" t="s">
        <v>599</v>
      </c>
      <c r="C104" s="7" t="s">
        <v>600</v>
      </c>
    </row>
    <row r="105" spans="1:3" x14ac:dyDescent="0.3">
      <c r="A105" t="s">
        <v>601</v>
      </c>
      <c r="B105" t="s">
        <v>602</v>
      </c>
      <c r="C105" s="7" t="s">
        <v>603</v>
      </c>
    </row>
    <row r="106" spans="1:3" x14ac:dyDescent="0.3">
      <c r="A106" t="s">
        <v>604</v>
      </c>
      <c r="B106" t="s">
        <v>605</v>
      </c>
      <c r="C106" s="7" t="s">
        <v>606</v>
      </c>
    </row>
    <row r="107" spans="1:3" x14ac:dyDescent="0.3">
      <c r="A107" t="s">
        <v>607</v>
      </c>
      <c r="B107" t="s">
        <v>608</v>
      </c>
      <c r="C107" s="7" t="s">
        <v>609</v>
      </c>
    </row>
    <row r="108" spans="1:3" x14ac:dyDescent="0.3">
      <c r="A108" t="s">
        <v>610</v>
      </c>
      <c r="B108" t="s">
        <v>611</v>
      </c>
      <c r="C108" s="7" t="s">
        <v>612</v>
      </c>
    </row>
    <row r="109" spans="1:3" x14ac:dyDescent="0.3">
      <c r="A109" t="s">
        <v>613</v>
      </c>
      <c r="B109" t="s">
        <v>614</v>
      </c>
      <c r="C109" s="7" t="s">
        <v>424</v>
      </c>
    </row>
    <row r="110" spans="1:3" x14ac:dyDescent="0.3">
      <c r="A110" t="s">
        <v>615</v>
      </c>
      <c r="B110" t="s">
        <v>616</v>
      </c>
      <c r="C110" s="7" t="s">
        <v>424</v>
      </c>
    </row>
    <row r="111" spans="1:3" x14ac:dyDescent="0.3">
      <c r="A111" t="s">
        <v>617</v>
      </c>
      <c r="B111" t="s">
        <v>618</v>
      </c>
      <c r="C111" s="7" t="s">
        <v>619</v>
      </c>
    </row>
    <row r="112" spans="1:3" x14ac:dyDescent="0.3">
      <c r="A112" t="s">
        <v>620</v>
      </c>
      <c r="B112" t="s">
        <v>56</v>
      </c>
      <c r="C112" s="7" t="s">
        <v>621</v>
      </c>
    </row>
    <row r="113" spans="1:3" x14ac:dyDescent="0.3">
      <c r="A113" t="s">
        <v>622</v>
      </c>
      <c r="B113" t="s">
        <v>252</v>
      </c>
      <c r="C113" s="7" t="s">
        <v>623</v>
      </c>
    </row>
    <row r="114" spans="1:3" x14ac:dyDescent="0.3">
      <c r="A114" t="s">
        <v>624</v>
      </c>
      <c r="B114" t="s">
        <v>625</v>
      </c>
      <c r="C114" s="7" t="s">
        <v>626</v>
      </c>
    </row>
    <row r="115" spans="1:3" x14ac:dyDescent="0.3">
      <c r="A115" t="s">
        <v>627</v>
      </c>
      <c r="B115" t="s">
        <v>628</v>
      </c>
      <c r="C115" s="7" t="s">
        <v>424</v>
      </c>
    </row>
    <row r="116" spans="1:3" x14ac:dyDescent="0.3">
      <c r="A116" t="s">
        <v>629</v>
      </c>
      <c r="B116" t="s">
        <v>630</v>
      </c>
      <c r="C116" s="7" t="s">
        <v>424</v>
      </c>
    </row>
    <row r="117" spans="1:3" x14ac:dyDescent="0.3">
      <c r="A117" t="s">
        <v>631</v>
      </c>
      <c r="B117" t="s">
        <v>632</v>
      </c>
      <c r="C117" s="7" t="s">
        <v>633</v>
      </c>
    </row>
    <row r="118" spans="1:3" x14ac:dyDescent="0.3">
      <c r="A118" t="s">
        <v>634</v>
      </c>
      <c r="B118" t="s">
        <v>635</v>
      </c>
      <c r="C118" s="7" t="s">
        <v>424</v>
      </c>
    </row>
    <row r="119" spans="1:3" x14ac:dyDescent="0.3">
      <c r="A119" t="s">
        <v>636</v>
      </c>
      <c r="B119" t="s">
        <v>637</v>
      </c>
      <c r="C119" s="7" t="s">
        <v>638</v>
      </c>
    </row>
    <row r="120" spans="1:3" x14ac:dyDescent="0.3">
      <c r="A120" t="s">
        <v>639</v>
      </c>
      <c r="B120" t="s">
        <v>640</v>
      </c>
      <c r="C120" s="7" t="s">
        <v>641</v>
      </c>
    </row>
    <row r="121" spans="1:3" x14ac:dyDescent="0.3">
      <c r="A121" t="s">
        <v>642</v>
      </c>
      <c r="B121" t="s">
        <v>92</v>
      </c>
      <c r="C121" s="7" t="s">
        <v>643</v>
      </c>
    </row>
    <row r="122" spans="1:3" x14ac:dyDescent="0.3">
      <c r="A122" t="s">
        <v>644</v>
      </c>
      <c r="B122" t="s">
        <v>645</v>
      </c>
      <c r="C122" s="7" t="s">
        <v>646</v>
      </c>
    </row>
    <row r="123" spans="1:3" x14ac:dyDescent="0.3">
      <c r="A123" t="s">
        <v>168</v>
      </c>
      <c r="B123" t="s">
        <v>647</v>
      </c>
      <c r="C123" s="7" t="s">
        <v>648</v>
      </c>
    </row>
    <row r="124" spans="1:3" x14ac:dyDescent="0.3">
      <c r="A124" t="s">
        <v>649</v>
      </c>
      <c r="B124" t="s">
        <v>650</v>
      </c>
      <c r="C124" s="7" t="s">
        <v>651</v>
      </c>
    </row>
    <row r="125" spans="1:3" x14ac:dyDescent="0.3">
      <c r="A125" t="s">
        <v>652</v>
      </c>
      <c r="B125" t="s">
        <v>653</v>
      </c>
      <c r="C125" s="7" t="s">
        <v>654</v>
      </c>
    </row>
    <row r="126" spans="1:3" x14ac:dyDescent="0.3">
      <c r="A126" t="s">
        <v>655</v>
      </c>
      <c r="B126" t="s">
        <v>656</v>
      </c>
      <c r="C126" s="7" t="s">
        <v>657</v>
      </c>
    </row>
    <row r="127" spans="1:3" x14ac:dyDescent="0.3">
      <c r="A127" t="s">
        <v>658</v>
      </c>
      <c r="B127" t="s">
        <v>659</v>
      </c>
      <c r="C127" s="7" t="s">
        <v>660</v>
      </c>
    </row>
    <row r="128" spans="1:3" x14ac:dyDescent="0.3">
      <c r="A128" t="s">
        <v>661</v>
      </c>
      <c r="B128" t="s">
        <v>662</v>
      </c>
      <c r="C128" s="7" t="s">
        <v>663</v>
      </c>
    </row>
    <row r="129" spans="1:3" x14ac:dyDescent="0.3">
      <c r="A129" t="s">
        <v>664</v>
      </c>
      <c r="B129" t="s">
        <v>665</v>
      </c>
      <c r="C129" s="7" t="s">
        <v>666</v>
      </c>
    </row>
    <row r="130" spans="1:3" x14ac:dyDescent="0.3">
      <c r="A130" t="s">
        <v>667</v>
      </c>
      <c r="B130" t="s">
        <v>668</v>
      </c>
      <c r="C130" s="7" t="s">
        <v>669</v>
      </c>
    </row>
    <row r="131" spans="1:3" x14ac:dyDescent="0.3">
      <c r="A131" t="s">
        <v>670</v>
      </c>
      <c r="B131" t="s">
        <v>671</v>
      </c>
      <c r="C131" s="7" t="s">
        <v>672</v>
      </c>
    </row>
    <row r="132" spans="1:3" x14ac:dyDescent="0.3">
      <c r="A132" t="s">
        <v>673</v>
      </c>
      <c r="B132" t="s">
        <v>674</v>
      </c>
      <c r="C132" s="7" t="s">
        <v>675</v>
      </c>
    </row>
    <row r="133" spans="1:3" x14ac:dyDescent="0.3">
      <c r="A133" t="s">
        <v>676</v>
      </c>
      <c r="B133" t="s">
        <v>677</v>
      </c>
      <c r="C133" s="7" t="s">
        <v>678</v>
      </c>
    </row>
    <row r="134" spans="1:3" x14ac:dyDescent="0.3">
      <c r="A134" t="s">
        <v>309</v>
      </c>
      <c r="B134" t="s">
        <v>679</v>
      </c>
      <c r="C134" s="7" t="s">
        <v>680</v>
      </c>
    </row>
    <row r="135" spans="1:3" x14ac:dyDescent="0.3">
      <c r="A135" t="s">
        <v>681</v>
      </c>
      <c r="B135" t="s">
        <v>682</v>
      </c>
      <c r="C135" s="7" t="s">
        <v>683</v>
      </c>
    </row>
    <row r="136" spans="1:3" x14ac:dyDescent="0.3">
      <c r="A136" t="s">
        <v>684</v>
      </c>
      <c r="B136" t="s">
        <v>685</v>
      </c>
      <c r="C136" s="7" t="s">
        <v>686</v>
      </c>
    </row>
    <row r="137" spans="1:3" x14ac:dyDescent="0.3">
      <c r="A137" t="s">
        <v>687</v>
      </c>
      <c r="B137" t="s">
        <v>688</v>
      </c>
      <c r="C137" s="7" t="s">
        <v>689</v>
      </c>
    </row>
    <row r="138" spans="1:3" x14ac:dyDescent="0.3">
      <c r="A138" t="s">
        <v>690</v>
      </c>
      <c r="B138" t="s">
        <v>691</v>
      </c>
      <c r="C138" s="7" t="s">
        <v>692</v>
      </c>
    </row>
    <row r="139" spans="1:3" x14ac:dyDescent="0.3">
      <c r="A139" t="s">
        <v>693</v>
      </c>
      <c r="B139" t="s">
        <v>694</v>
      </c>
      <c r="C139" s="7" t="s">
        <v>424</v>
      </c>
    </row>
    <row r="140" spans="1:3" x14ac:dyDescent="0.3">
      <c r="A140" t="s">
        <v>695</v>
      </c>
      <c r="B140" t="s">
        <v>696</v>
      </c>
      <c r="C140" s="7" t="s">
        <v>424</v>
      </c>
    </row>
    <row r="141" spans="1:3" x14ac:dyDescent="0.3">
      <c r="A141" t="s">
        <v>697</v>
      </c>
      <c r="B141" t="s">
        <v>698</v>
      </c>
      <c r="C141" s="7" t="s">
        <v>699</v>
      </c>
    </row>
    <row r="142" spans="1:3" x14ac:dyDescent="0.3">
      <c r="A142" t="s">
        <v>700</v>
      </c>
      <c r="B142" t="s">
        <v>701</v>
      </c>
      <c r="C142" s="7" t="s">
        <v>702</v>
      </c>
    </row>
    <row r="143" spans="1:3" x14ac:dyDescent="0.3">
      <c r="A143" t="s">
        <v>703</v>
      </c>
      <c r="B143" t="s">
        <v>704</v>
      </c>
      <c r="C143" s="7" t="s">
        <v>705</v>
      </c>
    </row>
    <row r="144" spans="1:3" x14ac:dyDescent="0.3">
      <c r="A144" t="s">
        <v>706</v>
      </c>
      <c r="B144" t="s">
        <v>707</v>
      </c>
      <c r="C144" s="7" t="s">
        <v>708</v>
      </c>
    </row>
    <row r="145" spans="1:3" x14ac:dyDescent="0.3">
      <c r="A145" t="s">
        <v>709</v>
      </c>
      <c r="B145" t="s">
        <v>710</v>
      </c>
      <c r="C145" s="7" t="s">
        <v>711</v>
      </c>
    </row>
    <row r="146" spans="1:3" x14ac:dyDescent="0.3">
      <c r="A146" t="s">
        <v>712</v>
      </c>
      <c r="B146" t="s">
        <v>713</v>
      </c>
      <c r="C146" s="7" t="s">
        <v>714</v>
      </c>
    </row>
    <row r="147" spans="1:3" x14ac:dyDescent="0.3">
      <c r="A147" t="s">
        <v>715</v>
      </c>
      <c r="B147" t="s">
        <v>53</v>
      </c>
      <c r="C147" s="7" t="s">
        <v>716</v>
      </c>
    </row>
    <row r="148" spans="1:3" x14ac:dyDescent="0.3">
      <c r="A148" t="s">
        <v>717</v>
      </c>
      <c r="B148" t="s">
        <v>718</v>
      </c>
      <c r="C148" s="7" t="s">
        <v>719</v>
      </c>
    </row>
    <row r="149" spans="1:3" x14ac:dyDescent="0.3">
      <c r="A149" t="s">
        <v>720</v>
      </c>
      <c r="B149" t="s">
        <v>721</v>
      </c>
      <c r="C149" s="7" t="s">
        <v>722</v>
      </c>
    </row>
    <row r="150" spans="1:3" x14ac:dyDescent="0.3">
      <c r="A150" t="s">
        <v>723</v>
      </c>
      <c r="B150" t="s">
        <v>724</v>
      </c>
      <c r="C150" s="7" t="s">
        <v>725</v>
      </c>
    </row>
    <row r="151" spans="1:3" x14ac:dyDescent="0.3">
      <c r="A151" t="s">
        <v>726</v>
      </c>
      <c r="B151" t="s">
        <v>727</v>
      </c>
      <c r="C151" s="7" t="s">
        <v>728</v>
      </c>
    </row>
    <row r="152" spans="1:3" x14ac:dyDescent="0.3">
      <c r="A152" t="s">
        <v>729</v>
      </c>
      <c r="B152" t="s">
        <v>19</v>
      </c>
      <c r="C152" s="7" t="s">
        <v>730</v>
      </c>
    </row>
    <row r="153" spans="1:3" x14ac:dyDescent="0.3">
      <c r="A153" t="s">
        <v>731</v>
      </c>
      <c r="B153" t="s">
        <v>732</v>
      </c>
      <c r="C153" s="7" t="s">
        <v>733</v>
      </c>
    </row>
    <row r="154" spans="1:3" x14ac:dyDescent="0.3">
      <c r="A154" t="s">
        <v>734</v>
      </c>
      <c r="B154" t="s">
        <v>289</v>
      </c>
      <c r="C154" s="7" t="s">
        <v>735</v>
      </c>
    </row>
    <row r="155" spans="1:3" x14ac:dyDescent="0.3">
      <c r="A155" t="s">
        <v>736</v>
      </c>
      <c r="B155" t="s">
        <v>737</v>
      </c>
      <c r="C155" s="7" t="s">
        <v>424</v>
      </c>
    </row>
    <row r="156" spans="1:3" x14ac:dyDescent="0.3">
      <c r="A156" t="s">
        <v>738</v>
      </c>
      <c r="B156" t="s">
        <v>739</v>
      </c>
      <c r="C156" s="7" t="s">
        <v>740</v>
      </c>
    </row>
    <row r="157" spans="1:3" x14ac:dyDescent="0.3">
      <c r="A157" t="s">
        <v>741</v>
      </c>
      <c r="B157" t="s">
        <v>742</v>
      </c>
      <c r="C157" s="7" t="s">
        <v>743</v>
      </c>
    </row>
    <row r="158" spans="1:3" x14ac:dyDescent="0.3">
      <c r="A158" t="s">
        <v>172</v>
      </c>
      <c r="B158" t="s">
        <v>744</v>
      </c>
      <c r="C158" s="7" t="s">
        <v>745</v>
      </c>
    </row>
    <row r="159" spans="1:3" x14ac:dyDescent="0.3">
      <c r="A159" t="s">
        <v>746</v>
      </c>
      <c r="B159" t="s">
        <v>747</v>
      </c>
      <c r="C159" s="7" t="s">
        <v>424</v>
      </c>
    </row>
    <row r="160" spans="1:3" x14ac:dyDescent="0.3">
      <c r="A160" t="s">
        <v>748</v>
      </c>
      <c r="B160" t="s">
        <v>749</v>
      </c>
      <c r="C160" s="7" t="s">
        <v>750</v>
      </c>
    </row>
    <row r="161" spans="1:3" x14ac:dyDescent="0.3">
      <c r="A161" t="s">
        <v>751</v>
      </c>
      <c r="B161" t="s">
        <v>752</v>
      </c>
      <c r="C161" s="7" t="s">
        <v>753</v>
      </c>
    </row>
    <row r="162" spans="1:3" x14ac:dyDescent="0.3">
      <c r="A162" t="s">
        <v>754</v>
      </c>
      <c r="B162" t="s">
        <v>755</v>
      </c>
      <c r="C162" s="7" t="s">
        <v>756</v>
      </c>
    </row>
    <row r="163" spans="1:3" x14ac:dyDescent="0.3">
      <c r="A163" t="s">
        <v>757</v>
      </c>
      <c r="B163" t="s">
        <v>758</v>
      </c>
      <c r="C163" s="7" t="s">
        <v>759</v>
      </c>
    </row>
    <row r="164" spans="1:3" x14ac:dyDescent="0.3">
      <c r="A164" t="s">
        <v>760</v>
      </c>
      <c r="B164" t="s">
        <v>761</v>
      </c>
      <c r="C164" s="7" t="s">
        <v>762</v>
      </c>
    </row>
    <row r="165" spans="1:3" x14ac:dyDescent="0.3">
      <c r="A165" t="s">
        <v>763</v>
      </c>
      <c r="B165" t="s">
        <v>764</v>
      </c>
      <c r="C165" s="7" t="s">
        <v>765</v>
      </c>
    </row>
    <row r="166" spans="1:3" x14ac:dyDescent="0.3">
      <c r="A166" t="s">
        <v>766</v>
      </c>
      <c r="B166" t="s">
        <v>767</v>
      </c>
      <c r="C166" s="7" t="s">
        <v>768</v>
      </c>
    </row>
    <row r="167" spans="1:3" x14ac:dyDescent="0.3">
      <c r="A167" t="s">
        <v>769</v>
      </c>
      <c r="B167" t="s">
        <v>770</v>
      </c>
      <c r="C167" s="7" t="s">
        <v>771</v>
      </c>
    </row>
    <row r="168" spans="1:3" x14ac:dyDescent="0.3">
      <c r="A168" t="s">
        <v>772</v>
      </c>
      <c r="B168" t="s">
        <v>773</v>
      </c>
      <c r="C168" s="7" t="s">
        <v>774</v>
      </c>
    </row>
    <row r="169" spans="1:3" x14ac:dyDescent="0.3">
      <c r="A169" t="s">
        <v>775</v>
      </c>
      <c r="B169" t="s">
        <v>776</v>
      </c>
      <c r="C169" s="7" t="s">
        <v>777</v>
      </c>
    </row>
    <row r="170" spans="1:3" x14ac:dyDescent="0.3">
      <c r="A170" t="s">
        <v>778</v>
      </c>
      <c r="B170" t="s">
        <v>779</v>
      </c>
      <c r="C170" s="7" t="s">
        <v>780</v>
      </c>
    </row>
    <row r="171" spans="1:3" x14ac:dyDescent="0.3">
      <c r="A171" t="s">
        <v>781</v>
      </c>
      <c r="B171" t="s">
        <v>782</v>
      </c>
      <c r="C171" s="7" t="s">
        <v>783</v>
      </c>
    </row>
    <row r="172" spans="1:3" x14ac:dyDescent="0.3">
      <c r="A172" t="s">
        <v>784</v>
      </c>
      <c r="B172" t="s">
        <v>785</v>
      </c>
      <c r="C172" s="7" t="s">
        <v>786</v>
      </c>
    </row>
    <row r="173" spans="1:3" x14ac:dyDescent="0.3">
      <c r="A173" t="s">
        <v>787</v>
      </c>
      <c r="B173" t="s">
        <v>788</v>
      </c>
      <c r="C173" s="7" t="s">
        <v>789</v>
      </c>
    </row>
    <row r="174" spans="1:3" x14ac:dyDescent="0.3">
      <c r="A174" t="s">
        <v>790</v>
      </c>
      <c r="B174" t="s">
        <v>791</v>
      </c>
      <c r="C174" s="7" t="s">
        <v>792</v>
      </c>
    </row>
    <row r="175" spans="1:3" x14ac:dyDescent="0.3">
      <c r="A175" t="s">
        <v>793</v>
      </c>
      <c r="B175" t="s">
        <v>794</v>
      </c>
      <c r="C175" s="7" t="s">
        <v>795</v>
      </c>
    </row>
    <row r="176" spans="1:3" x14ac:dyDescent="0.3">
      <c r="A176" t="s">
        <v>796</v>
      </c>
      <c r="B176" t="s">
        <v>797</v>
      </c>
      <c r="C176" s="7" t="s">
        <v>798</v>
      </c>
    </row>
    <row r="177" spans="1:3" x14ac:dyDescent="0.3">
      <c r="A177" t="s">
        <v>799</v>
      </c>
      <c r="B177" t="s">
        <v>800</v>
      </c>
      <c r="C177" s="7" t="s">
        <v>801</v>
      </c>
    </row>
    <row r="178" spans="1:3" x14ac:dyDescent="0.3">
      <c r="A178" t="s">
        <v>802</v>
      </c>
      <c r="B178" t="s">
        <v>803</v>
      </c>
      <c r="C178" s="7" t="s">
        <v>804</v>
      </c>
    </row>
    <row r="179" spans="1:3" x14ac:dyDescent="0.3">
      <c r="A179" t="s">
        <v>805</v>
      </c>
      <c r="B179" t="s">
        <v>806</v>
      </c>
      <c r="C179" s="7" t="s">
        <v>424</v>
      </c>
    </row>
    <row r="180" spans="1:3" x14ac:dyDescent="0.3">
      <c r="A180" t="s">
        <v>807</v>
      </c>
      <c r="B180" t="s">
        <v>808</v>
      </c>
      <c r="C180" s="7" t="s">
        <v>809</v>
      </c>
    </row>
    <row r="181" spans="1:3" x14ac:dyDescent="0.3">
      <c r="A181" t="s">
        <v>810</v>
      </c>
      <c r="B181" t="s">
        <v>48</v>
      </c>
      <c r="C181" s="7" t="s">
        <v>811</v>
      </c>
    </row>
    <row r="182" spans="1:3" x14ac:dyDescent="0.3">
      <c r="A182" t="s">
        <v>812</v>
      </c>
      <c r="B182" t="s">
        <v>299</v>
      </c>
      <c r="C182" s="7" t="s">
        <v>813</v>
      </c>
    </row>
    <row r="183" spans="1:3" x14ac:dyDescent="0.3">
      <c r="A183" t="s">
        <v>814</v>
      </c>
      <c r="B183" t="s">
        <v>815</v>
      </c>
      <c r="C183" s="7" t="s">
        <v>816</v>
      </c>
    </row>
    <row r="184" spans="1:3" x14ac:dyDescent="0.3">
      <c r="A184" t="s">
        <v>817</v>
      </c>
      <c r="B184" t="s">
        <v>818</v>
      </c>
      <c r="C184" s="7" t="s">
        <v>819</v>
      </c>
    </row>
    <row r="185" spans="1:3" x14ac:dyDescent="0.3">
      <c r="A185" t="s">
        <v>820</v>
      </c>
      <c r="B185" t="s">
        <v>821</v>
      </c>
      <c r="C185" s="7" t="s">
        <v>822</v>
      </c>
    </row>
    <row r="186" spans="1:3" x14ac:dyDescent="0.3">
      <c r="A186" t="s">
        <v>823</v>
      </c>
      <c r="B186" t="s">
        <v>824</v>
      </c>
      <c r="C186" s="7" t="s">
        <v>825</v>
      </c>
    </row>
    <row r="187" spans="1:3" x14ac:dyDescent="0.3">
      <c r="A187" t="s">
        <v>826</v>
      </c>
      <c r="B187" t="s">
        <v>827</v>
      </c>
      <c r="C187" s="7" t="s">
        <v>424</v>
      </c>
    </row>
    <row r="188" spans="1:3" x14ac:dyDescent="0.3">
      <c r="A188" t="s">
        <v>828</v>
      </c>
      <c r="B188" t="s">
        <v>829</v>
      </c>
      <c r="C188" s="7" t="s">
        <v>830</v>
      </c>
    </row>
    <row r="189" spans="1:3" x14ac:dyDescent="0.3">
      <c r="A189" t="s">
        <v>831</v>
      </c>
      <c r="B189" t="s">
        <v>12</v>
      </c>
      <c r="C189" s="7" t="s">
        <v>832</v>
      </c>
    </row>
    <row r="190" spans="1:3" x14ac:dyDescent="0.3">
      <c r="A190" t="s">
        <v>833</v>
      </c>
      <c r="B190" t="s">
        <v>834</v>
      </c>
      <c r="C190" s="7" t="s">
        <v>835</v>
      </c>
    </row>
    <row r="191" spans="1:3" x14ac:dyDescent="0.3">
      <c r="A191" t="s">
        <v>836</v>
      </c>
      <c r="B191" t="s">
        <v>837</v>
      </c>
      <c r="C191" s="7" t="s">
        <v>838</v>
      </c>
    </row>
    <row r="192" spans="1:3" x14ac:dyDescent="0.3">
      <c r="A192" t="s">
        <v>839</v>
      </c>
      <c r="B192" t="s">
        <v>840</v>
      </c>
      <c r="C192" s="7" t="s">
        <v>841</v>
      </c>
    </row>
    <row r="193" spans="1:3" x14ac:dyDescent="0.3">
      <c r="A193" t="s">
        <v>842</v>
      </c>
      <c r="B193" t="s">
        <v>843</v>
      </c>
      <c r="C193" s="7" t="s">
        <v>844</v>
      </c>
    </row>
    <row r="194" spans="1:3" x14ac:dyDescent="0.3">
      <c r="A194" t="s">
        <v>845</v>
      </c>
      <c r="B194" t="s">
        <v>846</v>
      </c>
      <c r="C194" s="7" t="s">
        <v>847</v>
      </c>
    </row>
    <row r="195" spans="1:3" x14ac:dyDescent="0.3">
      <c r="A195" t="s">
        <v>848</v>
      </c>
      <c r="B195" t="s">
        <v>849</v>
      </c>
      <c r="C195" s="7" t="s">
        <v>850</v>
      </c>
    </row>
    <row r="196" spans="1:3" x14ac:dyDescent="0.3">
      <c r="A196" t="s">
        <v>851</v>
      </c>
      <c r="B196" t="s">
        <v>852</v>
      </c>
      <c r="C196" s="7" t="s">
        <v>853</v>
      </c>
    </row>
    <row r="197" spans="1:3" x14ac:dyDescent="0.3">
      <c r="A197" t="s">
        <v>854</v>
      </c>
      <c r="B197" t="s">
        <v>855</v>
      </c>
      <c r="C197" s="7" t="s">
        <v>856</v>
      </c>
    </row>
    <row r="198" spans="1:3" x14ac:dyDescent="0.3">
      <c r="A198" t="s">
        <v>857</v>
      </c>
      <c r="B198" t="s">
        <v>858</v>
      </c>
      <c r="C198" s="7" t="s">
        <v>859</v>
      </c>
    </row>
    <row r="199" spans="1:3" x14ac:dyDescent="0.3">
      <c r="A199" t="s">
        <v>860</v>
      </c>
      <c r="B199" t="s">
        <v>861</v>
      </c>
      <c r="C199" s="7" t="s">
        <v>862</v>
      </c>
    </row>
    <row r="200" spans="1:3" x14ac:dyDescent="0.3">
      <c r="A200" t="s">
        <v>863</v>
      </c>
      <c r="B200" t="s">
        <v>864</v>
      </c>
      <c r="C200" s="7" t="s">
        <v>865</v>
      </c>
    </row>
    <row r="201" spans="1:3" x14ac:dyDescent="0.3">
      <c r="A201" t="s">
        <v>866</v>
      </c>
      <c r="B201" t="s">
        <v>867</v>
      </c>
      <c r="C201" s="7" t="s">
        <v>868</v>
      </c>
    </row>
    <row r="202" spans="1:3" x14ac:dyDescent="0.3">
      <c r="A202" t="s">
        <v>869</v>
      </c>
      <c r="B202" t="s">
        <v>870</v>
      </c>
      <c r="C202" s="7" t="s">
        <v>871</v>
      </c>
    </row>
    <row r="203" spans="1:3" x14ac:dyDescent="0.3">
      <c r="A203" t="s">
        <v>872</v>
      </c>
      <c r="B203" t="s">
        <v>873</v>
      </c>
      <c r="C203" s="7" t="s">
        <v>874</v>
      </c>
    </row>
    <row r="204" spans="1:3" x14ac:dyDescent="0.3">
      <c r="A204" t="s">
        <v>875</v>
      </c>
      <c r="B204" t="s">
        <v>876</v>
      </c>
      <c r="C204" s="7" t="s">
        <v>877</v>
      </c>
    </row>
    <row r="205" spans="1:3" x14ac:dyDescent="0.3">
      <c r="A205" t="s">
        <v>878</v>
      </c>
      <c r="B205" t="s">
        <v>879</v>
      </c>
      <c r="C205" s="7" t="s">
        <v>880</v>
      </c>
    </row>
    <row r="206" spans="1:3" x14ac:dyDescent="0.3">
      <c r="A206" t="s">
        <v>881</v>
      </c>
      <c r="B206" t="s">
        <v>882</v>
      </c>
      <c r="C206" s="7" t="s">
        <v>424</v>
      </c>
    </row>
    <row r="207" spans="1:3" x14ac:dyDescent="0.3">
      <c r="A207" t="s">
        <v>883</v>
      </c>
      <c r="B207" t="s">
        <v>884</v>
      </c>
      <c r="C207" s="7" t="s">
        <v>885</v>
      </c>
    </row>
    <row r="208" spans="1:3" x14ac:dyDescent="0.3">
      <c r="A208" t="s">
        <v>886</v>
      </c>
      <c r="B208" t="s">
        <v>887</v>
      </c>
      <c r="C208" s="7" t="s">
        <v>888</v>
      </c>
    </row>
    <row r="209" spans="1:3" x14ac:dyDescent="0.3">
      <c r="A209" t="s">
        <v>889</v>
      </c>
      <c r="B209" t="s">
        <v>890</v>
      </c>
      <c r="C209" s="7" t="s">
        <v>891</v>
      </c>
    </row>
    <row r="210" spans="1:3" x14ac:dyDescent="0.3">
      <c r="A210" t="s">
        <v>892</v>
      </c>
      <c r="B210" t="s">
        <v>893</v>
      </c>
      <c r="C210" s="7" t="s">
        <v>894</v>
      </c>
    </row>
    <row r="211" spans="1:3" x14ac:dyDescent="0.3">
      <c r="A211" t="s">
        <v>895</v>
      </c>
      <c r="B211" t="s">
        <v>896</v>
      </c>
      <c r="C211" s="7" t="s">
        <v>897</v>
      </c>
    </row>
    <row r="212" spans="1:3" x14ac:dyDescent="0.3">
      <c r="A212" t="s">
        <v>898</v>
      </c>
      <c r="B212" t="s">
        <v>195</v>
      </c>
      <c r="C212" s="7" t="s">
        <v>899</v>
      </c>
    </row>
    <row r="213" spans="1:3" x14ac:dyDescent="0.3">
      <c r="A213" t="s">
        <v>900</v>
      </c>
      <c r="B213" t="s">
        <v>901</v>
      </c>
      <c r="C213" s="7" t="s">
        <v>902</v>
      </c>
    </row>
    <row r="214" spans="1:3" x14ac:dyDescent="0.3">
      <c r="A214" t="s">
        <v>903</v>
      </c>
      <c r="B214" t="s">
        <v>904</v>
      </c>
      <c r="C214" s="7" t="s">
        <v>905</v>
      </c>
    </row>
    <row r="215" spans="1:3" x14ac:dyDescent="0.3">
      <c r="A215" t="s">
        <v>906</v>
      </c>
      <c r="B215" t="s">
        <v>907</v>
      </c>
      <c r="C215" s="7" t="s">
        <v>908</v>
      </c>
    </row>
    <row r="216" spans="1:3" x14ac:dyDescent="0.3">
      <c r="A216" t="s">
        <v>909</v>
      </c>
      <c r="B216" t="s">
        <v>910</v>
      </c>
      <c r="C216" s="7" t="s">
        <v>911</v>
      </c>
    </row>
    <row r="217" spans="1:3" x14ac:dyDescent="0.3">
      <c r="A217" t="s">
        <v>912</v>
      </c>
      <c r="B217" t="s">
        <v>913</v>
      </c>
      <c r="C217" s="7" t="s">
        <v>914</v>
      </c>
    </row>
    <row r="218" spans="1:3" x14ac:dyDescent="0.3">
      <c r="A218" t="s">
        <v>915</v>
      </c>
      <c r="B218" t="s">
        <v>916</v>
      </c>
      <c r="C218" s="7" t="s">
        <v>917</v>
      </c>
    </row>
    <row r="219" spans="1:3" x14ac:dyDescent="0.3">
      <c r="A219" t="s">
        <v>918</v>
      </c>
      <c r="B219" t="s">
        <v>919</v>
      </c>
      <c r="C219" s="7" t="s">
        <v>920</v>
      </c>
    </row>
    <row r="220" spans="1:3" x14ac:dyDescent="0.3">
      <c r="A220" t="s">
        <v>921</v>
      </c>
      <c r="B220" t="s">
        <v>922</v>
      </c>
      <c r="C220" s="7" t="s">
        <v>923</v>
      </c>
    </row>
    <row r="221" spans="1:3" x14ac:dyDescent="0.3">
      <c r="A221" t="s">
        <v>924</v>
      </c>
      <c r="B221" t="s">
        <v>925</v>
      </c>
      <c r="C221" s="7" t="s">
        <v>926</v>
      </c>
    </row>
    <row r="222" spans="1:3" x14ac:dyDescent="0.3">
      <c r="A222" t="s">
        <v>927</v>
      </c>
      <c r="B222" t="s">
        <v>928</v>
      </c>
      <c r="C222" s="7" t="s">
        <v>929</v>
      </c>
    </row>
    <row r="223" spans="1:3" x14ac:dyDescent="0.3">
      <c r="A223" t="s">
        <v>930</v>
      </c>
      <c r="B223" t="s">
        <v>931</v>
      </c>
      <c r="C223" s="7" t="s">
        <v>932</v>
      </c>
    </row>
    <row r="224" spans="1:3" x14ac:dyDescent="0.3">
      <c r="A224" t="s">
        <v>933</v>
      </c>
      <c r="B224" t="s">
        <v>934</v>
      </c>
      <c r="C224" s="7" t="s">
        <v>935</v>
      </c>
    </row>
    <row r="225" spans="1:3" x14ac:dyDescent="0.3">
      <c r="A225" t="s">
        <v>936</v>
      </c>
      <c r="B225" t="s">
        <v>937</v>
      </c>
      <c r="C225" s="7" t="s">
        <v>938</v>
      </c>
    </row>
    <row r="226" spans="1:3" x14ac:dyDescent="0.3">
      <c r="A226" t="s">
        <v>939</v>
      </c>
      <c r="B226" t="s">
        <v>940</v>
      </c>
      <c r="C226" s="7" t="s">
        <v>941</v>
      </c>
    </row>
    <row r="227" spans="1:3" x14ac:dyDescent="0.3">
      <c r="A227" t="s">
        <v>942</v>
      </c>
      <c r="B227" t="s">
        <v>943</v>
      </c>
      <c r="C227" s="7" t="s">
        <v>944</v>
      </c>
    </row>
    <row r="228" spans="1:3" x14ac:dyDescent="0.3">
      <c r="A228" t="s">
        <v>945</v>
      </c>
      <c r="B228" t="s">
        <v>946</v>
      </c>
      <c r="C228" s="7" t="s">
        <v>947</v>
      </c>
    </row>
    <row r="229" spans="1:3" x14ac:dyDescent="0.3">
      <c r="A229" t="s">
        <v>948</v>
      </c>
      <c r="B229" t="s">
        <v>949</v>
      </c>
      <c r="C229" s="7" t="s">
        <v>950</v>
      </c>
    </row>
    <row r="230" spans="1:3" x14ac:dyDescent="0.3">
      <c r="A230" t="s">
        <v>951</v>
      </c>
      <c r="B230" t="s">
        <v>952</v>
      </c>
      <c r="C230" s="7" t="s">
        <v>953</v>
      </c>
    </row>
    <row r="231" spans="1:3" x14ac:dyDescent="0.3">
      <c r="A231" t="s">
        <v>954</v>
      </c>
      <c r="B231" t="s">
        <v>955</v>
      </c>
      <c r="C231" s="7" t="s">
        <v>956</v>
      </c>
    </row>
    <row r="232" spans="1:3" x14ac:dyDescent="0.3">
      <c r="A232" t="s">
        <v>957</v>
      </c>
      <c r="B232" t="s">
        <v>958</v>
      </c>
      <c r="C232" s="7" t="s">
        <v>959</v>
      </c>
    </row>
    <row r="233" spans="1:3" x14ac:dyDescent="0.3">
      <c r="A233" t="s">
        <v>960</v>
      </c>
      <c r="B233" t="s">
        <v>961</v>
      </c>
      <c r="C233" s="7" t="s">
        <v>962</v>
      </c>
    </row>
    <row r="234" spans="1:3" x14ac:dyDescent="0.3">
      <c r="A234" t="s">
        <v>963</v>
      </c>
      <c r="B234" t="s">
        <v>964</v>
      </c>
      <c r="C234" s="7" t="s">
        <v>965</v>
      </c>
    </row>
    <row r="235" spans="1:3" x14ac:dyDescent="0.3">
      <c r="A235" t="s">
        <v>966</v>
      </c>
      <c r="B235" t="s">
        <v>955</v>
      </c>
      <c r="C235" s="7" t="s">
        <v>967</v>
      </c>
    </row>
    <row r="236" spans="1:3" x14ac:dyDescent="0.3">
      <c r="A236" t="s">
        <v>968</v>
      </c>
      <c r="B236" t="s">
        <v>969</v>
      </c>
      <c r="C236" s="7" t="s">
        <v>970</v>
      </c>
    </row>
    <row r="237" spans="1:3" x14ac:dyDescent="0.3">
      <c r="A237" t="s">
        <v>971</v>
      </c>
      <c r="B237" t="s">
        <v>972</v>
      </c>
      <c r="C237" s="31" t="s">
        <v>973</v>
      </c>
    </row>
    <row r="238" spans="1:3" x14ac:dyDescent="0.3">
      <c r="A238" t="s">
        <v>974</v>
      </c>
      <c r="B238" t="s">
        <v>975</v>
      </c>
      <c r="C238" s="7" t="s">
        <v>976</v>
      </c>
    </row>
    <row r="239" spans="1:3" x14ac:dyDescent="0.3">
      <c r="A239" t="s">
        <v>977</v>
      </c>
      <c r="B239" t="s">
        <v>978</v>
      </c>
      <c r="C239" s="7" t="s">
        <v>979</v>
      </c>
    </row>
    <row r="240" spans="1:3" x14ac:dyDescent="0.3">
      <c r="A240" t="s">
        <v>980</v>
      </c>
      <c r="B240" t="s">
        <v>981</v>
      </c>
      <c r="C240" s="7" t="s">
        <v>982</v>
      </c>
    </row>
    <row r="241" spans="1:3" x14ac:dyDescent="0.3">
      <c r="A241" t="s">
        <v>983</v>
      </c>
      <c r="B241" t="s">
        <v>984</v>
      </c>
      <c r="C241" s="7" t="s">
        <v>626</v>
      </c>
    </row>
    <row r="242" spans="1:3" x14ac:dyDescent="0.3">
      <c r="A242" t="s">
        <v>985</v>
      </c>
      <c r="B242" t="s">
        <v>986</v>
      </c>
      <c r="C242" s="7" t="s">
        <v>987</v>
      </c>
    </row>
    <row r="243" spans="1:3" x14ac:dyDescent="0.3">
      <c r="A243" t="s">
        <v>988</v>
      </c>
      <c r="B243" t="s">
        <v>989</v>
      </c>
      <c r="C243" s="7" t="s">
        <v>990</v>
      </c>
    </row>
    <row r="244" spans="1:3" x14ac:dyDescent="0.3">
      <c r="A244" t="s">
        <v>991</v>
      </c>
      <c r="B244" t="s">
        <v>992</v>
      </c>
      <c r="C244" s="7" t="s">
        <v>993</v>
      </c>
    </row>
    <row r="245" spans="1:3" x14ac:dyDescent="0.3">
      <c r="A245" t="s">
        <v>994</v>
      </c>
      <c r="B245" t="s">
        <v>995</v>
      </c>
      <c r="C245" s="7" t="s">
        <v>996</v>
      </c>
    </row>
    <row r="246" spans="1:3" x14ac:dyDescent="0.3">
      <c r="A246" t="s">
        <v>997</v>
      </c>
      <c r="B246" t="s">
        <v>998</v>
      </c>
      <c r="C246" s="7" t="s">
        <v>999</v>
      </c>
    </row>
    <row r="247" spans="1:3" x14ac:dyDescent="0.3">
      <c r="A247" t="s">
        <v>1000</v>
      </c>
      <c r="B247" t="s">
        <v>1001</v>
      </c>
      <c r="C247" s="7" t="s">
        <v>1002</v>
      </c>
    </row>
    <row r="248" spans="1:3" x14ac:dyDescent="0.3">
      <c r="A248" t="s">
        <v>1003</v>
      </c>
      <c r="B248" t="s">
        <v>1004</v>
      </c>
      <c r="C248" s="7" t="s">
        <v>1005</v>
      </c>
    </row>
    <row r="249" spans="1:3" x14ac:dyDescent="0.3">
      <c r="A249" t="s">
        <v>1006</v>
      </c>
      <c r="B249" t="s">
        <v>1007</v>
      </c>
      <c r="C249" s="7" t="s">
        <v>1008</v>
      </c>
    </row>
    <row r="250" spans="1:3" x14ac:dyDescent="0.3">
      <c r="A250" t="s">
        <v>1009</v>
      </c>
      <c r="B250" t="s">
        <v>1010</v>
      </c>
      <c r="C250" s="7" t="s">
        <v>1011</v>
      </c>
    </row>
    <row r="251" spans="1:3" x14ac:dyDescent="0.3">
      <c r="A251" t="s">
        <v>1012</v>
      </c>
      <c r="B251" t="s">
        <v>1013</v>
      </c>
      <c r="C251" s="7" t="s">
        <v>1014</v>
      </c>
    </row>
    <row r="252" spans="1:3" x14ac:dyDescent="0.3">
      <c r="A252" t="s">
        <v>1015</v>
      </c>
      <c r="B252" t="s">
        <v>1016</v>
      </c>
      <c r="C252" s="7" t="s">
        <v>1017</v>
      </c>
    </row>
    <row r="253" spans="1:3" x14ac:dyDescent="0.3">
      <c r="A253" t="s">
        <v>1018</v>
      </c>
      <c r="B253" t="s">
        <v>1019</v>
      </c>
      <c r="C253" s="7" t="s">
        <v>1020</v>
      </c>
    </row>
    <row r="254" spans="1:3" x14ac:dyDescent="0.3">
      <c r="A254" t="s">
        <v>1021</v>
      </c>
      <c r="B254" t="s">
        <v>185</v>
      </c>
      <c r="C254" s="7" t="s">
        <v>1022</v>
      </c>
    </row>
    <row r="255" spans="1:3" x14ac:dyDescent="0.3">
      <c r="A255" t="s">
        <v>1023</v>
      </c>
      <c r="B255" t="s">
        <v>1024</v>
      </c>
      <c r="C255" s="7" t="s">
        <v>1025</v>
      </c>
    </row>
    <row r="256" spans="1:3" x14ac:dyDescent="0.3">
      <c r="A256" t="s">
        <v>1026</v>
      </c>
      <c r="B256" t="s">
        <v>1027</v>
      </c>
      <c r="C256" s="7" t="s">
        <v>1028</v>
      </c>
    </row>
    <row r="257" spans="1:3" x14ac:dyDescent="0.3">
      <c r="A257" t="s">
        <v>1029</v>
      </c>
      <c r="B257" t="s">
        <v>1030</v>
      </c>
      <c r="C257" s="7" t="s">
        <v>1031</v>
      </c>
    </row>
    <row r="258" spans="1:3" x14ac:dyDescent="0.3">
      <c r="A258" t="s">
        <v>1032</v>
      </c>
      <c r="B258" t="s">
        <v>1033</v>
      </c>
      <c r="C258" s="7" t="s">
        <v>1034</v>
      </c>
    </row>
    <row r="259" spans="1:3" x14ac:dyDescent="0.3">
      <c r="A259" t="s">
        <v>1035</v>
      </c>
      <c r="B259" t="s">
        <v>1036</v>
      </c>
      <c r="C259" s="7" t="s">
        <v>1037</v>
      </c>
    </row>
    <row r="260" spans="1:3" x14ac:dyDescent="0.3">
      <c r="A260" t="s">
        <v>1038</v>
      </c>
      <c r="B260" t="s">
        <v>1039</v>
      </c>
      <c r="C260" s="7" t="s">
        <v>1040</v>
      </c>
    </row>
    <row r="261" spans="1:3" x14ac:dyDescent="0.3">
      <c r="A261" t="s">
        <v>1041</v>
      </c>
      <c r="B261" t="s">
        <v>1042</v>
      </c>
      <c r="C261" s="7" t="s">
        <v>1043</v>
      </c>
    </row>
    <row r="262" spans="1:3" x14ac:dyDescent="0.3">
      <c r="A262" t="s">
        <v>1044</v>
      </c>
      <c r="B262" t="s">
        <v>1045</v>
      </c>
      <c r="C262" s="7" t="s">
        <v>1046</v>
      </c>
    </row>
    <row r="263" spans="1:3" x14ac:dyDescent="0.3">
      <c r="A263" t="s">
        <v>1047</v>
      </c>
      <c r="B263" t="s">
        <v>1048</v>
      </c>
      <c r="C263" s="7" t="s">
        <v>1049</v>
      </c>
    </row>
    <row r="264" spans="1:3" x14ac:dyDescent="0.3">
      <c r="A264" t="s">
        <v>1050</v>
      </c>
      <c r="B264" t="s">
        <v>1051</v>
      </c>
      <c r="C264" s="7" t="s">
        <v>1052</v>
      </c>
    </row>
    <row r="265" spans="1:3" x14ac:dyDescent="0.3">
      <c r="A265" t="s">
        <v>1053</v>
      </c>
      <c r="B265" t="s">
        <v>1054</v>
      </c>
      <c r="C265" s="7" t="s">
        <v>1055</v>
      </c>
    </row>
    <row r="266" spans="1:3" x14ac:dyDescent="0.3">
      <c r="A266" t="s">
        <v>1056</v>
      </c>
      <c r="B266" t="s">
        <v>74</v>
      </c>
      <c r="C266" s="7" t="s">
        <v>1057</v>
      </c>
    </row>
    <row r="267" spans="1:3" x14ac:dyDescent="0.3">
      <c r="A267" t="s">
        <v>1058</v>
      </c>
      <c r="B267" t="s">
        <v>1059</v>
      </c>
      <c r="C267" s="7" t="s">
        <v>1060</v>
      </c>
    </row>
    <row r="268" spans="1:3" x14ac:dyDescent="0.3">
      <c r="A268" t="s">
        <v>1061</v>
      </c>
      <c r="B268" t="s">
        <v>71</v>
      </c>
      <c r="C268" s="7" t="s">
        <v>719</v>
      </c>
    </row>
    <row r="269" spans="1:3" x14ac:dyDescent="0.3">
      <c r="A269" t="s">
        <v>1062</v>
      </c>
      <c r="B269" t="s">
        <v>1063</v>
      </c>
      <c r="C269" s="7" t="s">
        <v>1064</v>
      </c>
    </row>
    <row r="270" spans="1:3" x14ac:dyDescent="0.3">
      <c r="A270" t="s">
        <v>1065</v>
      </c>
      <c r="B270" t="s">
        <v>1066</v>
      </c>
      <c r="C270" s="7" t="s">
        <v>1067</v>
      </c>
    </row>
    <row r="271" spans="1:3" x14ac:dyDescent="0.3">
      <c r="A271" t="s">
        <v>33</v>
      </c>
      <c r="B271" t="s">
        <v>176</v>
      </c>
      <c r="C271" s="7" t="s">
        <v>1068</v>
      </c>
    </row>
    <row r="272" spans="1:3" x14ac:dyDescent="0.3">
      <c r="A272" t="s">
        <v>1069</v>
      </c>
      <c r="B272" t="s">
        <v>1070</v>
      </c>
      <c r="C272" s="7" t="s">
        <v>1071</v>
      </c>
    </row>
    <row r="273" spans="1:3" x14ac:dyDescent="0.3">
      <c r="A273" t="s">
        <v>1072</v>
      </c>
      <c r="B273" t="s">
        <v>1073</v>
      </c>
      <c r="C273" s="7" t="s">
        <v>1074</v>
      </c>
    </row>
    <row r="274" spans="1:3" x14ac:dyDescent="0.3">
      <c r="A274" t="s">
        <v>1075</v>
      </c>
      <c r="B274" t="s">
        <v>1076</v>
      </c>
      <c r="C274" s="7" t="s">
        <v>1077</v>
      </c>
    </row>
    <row r="275" spans="1:3" x14ac:dyDescent="0.3">
      <c r="A275" t="s">
        <v>1078</v>
      </c>
      <c r="B275" t="s">
        <v>1079</v>
      </c>
      <c r="C275" s="7" t="s">
        <v>1080</v>
      </c>
    </row>
    <row r="276" spans="1:3" x14ac:dyDescent="0.3">
      <c r="A276" t="s">
        <v>1081</v>
      </c>
      <c r="B276" t="s">
        <v>1082</v>
      </c>
      <c r="C276" s="7" t="s">
        <v>1083</v>
      </c>
    </row>
    <row r="277" spans="1:3" x14ac:dyDescent="0.3">
      <c r="A277" t="s">
        <v>1084</v>
      </c>
      <c r="B277" t="s">
        <v>1085</v>
      </c>
      <c r="C277" s="7" t="s">
        <v>1086</v>
      </c>
    </row>
    <row r="278" spans="1:3" x14ac:dyDescent="0.3">
      <c r="A278" t="s">
        <v>1087</v>
      </c>
      <c r="B278" t="s">
        <v>1088</v>
      </c>
      <c r="C278" s="7" t="s">
        <v>735</v>
      </c>
    </row>
    <row r="279" spans="1:3" x14ac:dyDescent="0.3">
      <c r="A279" t="s">
        <v>1089</v>
      </c>
      <c r="B279" t="s">
        <v>269</v>
      </c>
      <c r="C279" s="7" t="s">
        <v>1090</v>
      </c>
    </row>
    <row r="280" spans="1:3" x14ac:dyDescent="0.3">
      <c r="A280" t="s">
        <v>1091</v>
      </c>
      <c r="B280" t="s">
        <v>1092</v>
      </c>
      <c r="C280" s="7" t="s">
        <v>1093</v>
      </c>
    </row>
    <row r="281" spans="1:3" x14ac:dyDescent="0.3">
      <c r="A281" t="s">
        <v>1094</v>
      </c>
      <c r="B281" t="s">
        <v>1095</v>
      </c>
      <c r="C281" s="7" t="s">
        <v>1096</v>
      </c>
    </row>
    <row r="282" spans="1:3" x14ac:dyDescent="0.3">
      <c r="A282" t="s">
        <v>1097</v>
      </c>
      <c r="B282" t="s">
        <v>1098</v>
      </c>
      <c r="C282" s="7" t="s">
        <v>1099</v>
      </c>
    </row>
    <row r="283" spans="1:3" x14ac:dyDescent="0.3">
      <c r="A283" t="s">
        <v>1100</v>
      </c>
      <c r="B283" t="s">
        <v>1101</v>
      </c>
      <c r="C283" s="7" t="s">
        <v>1102</v>
      </c>
    </row>
    <row r="284" spans="1:3" x14ac:dyDescent="0.3">
      <c r="A284" t="s">
        <v>1103</v>
      </c>
      <c r="B284" t="s">
        <v>1104</v>
      </c>
      <c r="C284" s="7" t="s">
        <v>1105</v>
      </c>
    </row>
    <row r="285" spans="1:3" x14ac:dyDescent="0.3">
      <c r="A285" t="s">
        <v>1106</v>
      </c>
      <c r="B285" t="s">
        <v>1107</v>
      </c>
      <c r="C285" s="7" t="s">
        <v>1108</v>
      </c>
    </row>
    <row r="286" spans="1:3" x14ac:dyDescent="0.3">
      <c r="A286" t="s">
        <v>1109</v>
      </c>
      <c r="B286" t="s">
        <v>1110</v>
      </c>
      <c r="C286" s="7" t="s">
        <v>1111</v>
      </c>
    </row>
    <row r="287" spans="1:3" x14ac:dyDescent="0.3">
      <c r="A287" t="s">
        <v>1112</v>
      </c>
      <c r="B287" t="s">
        <v>1113</v>
      </c>
      <c r="C287" s="7" t="s">
        <v>1114</v>
      </c>
    </row>
    <row r="288" spans="1:3" x14ac:dyDescent="0.3">
      <c r="A288" t="s">
        <v>1115</v>
      </c>
      <c r="B288" t="s">
        <v>1116</v>
      </c>
      <c r="C288" s="7" t="s">
        <v>1117</v>
      </c>
    </row>
    <row r="289" spans="1:3" x14ac:dyDescent="0.3">
      <c r="A289" t="s">
        <v>1118</v>
      </c>
      <c r="B289" t="s">
        <v>1119</v>
      </c>
      <c r="C289" s="7" t="s">
        <v>1120</v>
      </c>
    </row>
    <row r="290" spans="1:3" x14ac:dyDescent="0.3">
      <c r="A290" t="s">
        <v>1121</v>
      </c>
      <c r="B290" t="s">
        <v>1122</v>
      </c>
      <c r="C290" s="7" t="s">
        <v>1123</v>
      </c>
    </row>
    <row r="291" spans="1:3" x14ac:dyDescent="0.3">
      <c r="A291" t="s">
        <v>1124</v>
      </c>
      <c r="B291" t="s">
        <v>1125</v>
      </c>
      <c r="C291" s="7" t="s">
        <v>1126</v>
      </c>
    </row>
    <row r="292" spans="1:3" x14ac:dyDescent="0.3">
      <c r="A292" t="s">
        <v>1127</v>
      </c>
      <c r="B292" t="s">
        <v>1128</v>
      </c>
      <c r="C292" s="7" t="s">
        <v>1129</v>
      </c>
    </row>
    <row r="293" spans="1:3" x14ac:dyDescent="0.3">
      <c r="A293" t="s">
        <v>1130</v>
      </c>
      <c r="B293" t="s">
        <v>1131</v>
      </c>
      <c r="C293" s="7" t="s">
        <v>1132</v>
      </c>
    </row>
    <row r="294" spans="1:3" x14ac:dyDescent="0.3">
      <c r="A294" t="s">
        <v>1133</v>
      </c>
      <c r="B294" t="s">
        <v>1134</v>
      </c>
      <c r="C294" s="7" t="s">
        <v>1135</v>
      </c>
    </row>
    <row r="295" spans="1:3" x14ac:dyDescent="0.3">
      <c r="A295" t="s">
        <v>1136</v>
      </c>
      <c r="B295" t="s">
        <v>1137</v>
      </c>
      <c r="C295" s="7" t="s">
        <v>1138</v>
      </c>
    </row>
    <row r="296" spans="1:3" x14ac:dyDescent="0.3">
      <c r="A296" t="s">
        <v>1139</v>
      </c>
      <c r="B296" t="s">
        <v>1140</v>
      </c>
      <c r="C296" s="7" t="s">
        <v>1141</v>
      </c>
    </row>
    <row r="297" spans="1:3" x14ac:dyDescent="0.3">
      <c r="A297" t="s">
        <v>1142</v>
      </c>
      <c r="B297" t="s">
        <v>1143</v>
      </c>
      <c r="C297" s="7" t="s">
        <v>1144</v>
      </c>
    </row>
    <row r="298" spans="1:3" x14ac:dyDescent="0.3">
      <c r="A298" t="s">
        <v>1145</v>
      </c>
      <c r="B298" t="s">
        <v>188</v>
      </c>
      <c r="C298" s="7" t="s">
        <v>1146</v>
      </c>
    </row>
    <row r="299" spans="1:3" x14ac:dyDescent="0.3">
      <c r="A299" t="s">
        <v>1147</v>
      </c>
      <c r="B299" t="s">
        <v>1148</v>
      </c>
      <c r="C299" s="7" t="s">
        <v>1149</v>
      </c>
    </row>
    <row r="300" spans="1:3" x14ac:dyDescent="0.3">
      <c r="A300" t="s">
        <v>1150</v>
      </c>
      <c r="B300" t="s">
        <v>88</v>
      </c>
      <c r="C300" s="7" t="s">
        <v>1151</v>
      </c>
    </row>
    <row r="301" spans="1:3" x14ac:dyDescent="0.3">
      <c r="A301" t="s">
        <v>1152</v>
      </c>
      <c r="B301" t="s">
        <v>1153</v>
      </c>
      <c r="C301" s="7" t="s">
        <v>1154</v>
      </c>
    </row>
    <row r="302" spans="1:3" x14ac:dyDescent="0.3">
      <c r="A302" t="s">
        <v>1155</v>
      </c>
      <c r="B302" t="s">
        <v>1156</v>
      </c>
      <c r="C302" s="7" t="s">
        <v>1157</v>
      </c>
    </row>
    <row r="303" spans="1:3" x14ac:dyDescent="0.3">
      <c r="A303" t="s">
        <v>1158</v>
      </c>
      <c r="B303" t="s">
        <v>1159</v>
      </c>
      <c r="C303" s="7" t="s">
        <v>1160</v>
      </c>
    </row>
    <row r="304" spans="1:3" x14ac:dyDescent="0.3">
      <c r="A304" t="s">
        <v>1161</v>
      </c>
      <c r="B304" t="s">
        <v>1162</v>
      </c>
      <c r="C304" s="7" t="s">
        <v>1163</v>
      </c>
    </row>
    <row r="305" spans="1:3" x14ac:dyDescent="0.3">
      <c r="A305" t="s">
        <v>1164</v>
      </c>
      <c r="B305" t="s">
        <v>1165</v>
      </c>
      <c r="C305" s="7" t="s">
        <v>1166</v>
      </c>
    </row>
    <row r="306" spans="1:3" x14ac:dyDescent="0.3">
      <c r="A306" t="s">
        <v>1167</v>
      </c>
      <c r="B306" t="s">
        <v>1168</v>
      </c>
      <c r="C306" s="7" t="s">
        <v>1169</v>
      </c>
    </row>
    <row r="307" spans="1:3" x14ac:dyDescent="0.3">
      <c r="A307" t="s">
        <v>1170</v>
      </c>
      <c r="B307" t="s">
        <v>1171</v>
      </c>
      <c r="C307" s="7" t="s">
        <v>1172</v>
      </c>
    </row>
    <row r="308" spans="1:3" x14ac:dyDescent="0.3">
      <c r="A308" t="s">
        <v>1173</v>
      </c>
      <c r="B308" t="s">
        <v>1174</v>
      </c>
      <c r="C308" s="7" t="s">
        <v>1175</v>
      </c>
    </row>
    <row r="309" spans="1:3" x14ac:dyDescent="0.3">
      <c r="A309" t="s">
        <v>1176</v>
      </c>
      <c r="B309" t="s">
        <v>1177</v>
      </c>
      <c r="C309" s="7" t="s">
        <v>1178</v>
      </c>
    </row>
    <row r="310" spans="1:3" x14ac:dyDescent="0.3">
      <c r="A310" t="s">
        <v>1179</v>
      </c>
      <c r="B310" t="s">
        <v>1180</v>
      </c>
      <c r="C310" s="7" t="s">
        <v>1181</v>
      </c>
    </row>
    <row r="311" spans="1:3" x14ac:dyDescent="0.3">
      <c r="A311" t="s">
        <v>1182</v>
      </c>
      <c r="B311" t="s">
        <v>1183</v>
      </c>
      <c r="C311" s="7" t="s">
        <v>1184</v>
      </c>
    </row>
    <row r="312" spans="1:3" x14ac:dyDescent="0.3">
      <c r="A312" t="s">
        <v>1185</v>
      </c>
      <c r="B312" t="s">
        <v>1186</v>
      </c>
      <c r="C312" s="7" t="s">
        <v>1187</v>
      </c>
    </row>
    <row r="313" spans="1:3" x14ac:dyDescent="0.3">
      <c r="A313" t="s">
        <v>1188</v>
      </c>
      <c r="B313" t="s">
        <v>1189</v>
      </c>
      <c r="C313" s="7" t="s">
        <v>1190</v>
      </c>
    </row>
    <row r="314" spans="1:3" x14ac:dyDescent="0.3">
      <c r="A314" t="s">
        <v>1191</v>
      </c>
      <c r="B314" t="s">
        <v>1192</v>
      </c>
      <c r="C314" s="7" t="s">
        <v>1193</v>
      </c>
    </row>
    <row r="315" spans="1:3" x14ac:dyDescent="0.3">
      <c r="A315" t="s">
        <v>1194</v>
      </c>
      <c r="B315" t="s">
        <v>1195</v>
      </c>
      <c r="C315" s="7" t="s">
        <v>1196</v>
      </c>
    </row>
    <row r="316" spans="1:3" x14ac:dyDescent="0.3">
      <c r="A316" t="s">
        <v>13</v>
      </c>
      <c r="B316" t="s">
        <v>60</v>
      </c>
      <c r="C316" s="7" t="s">
        <v>1197</v>
      </c>
    </row>
    <row r="317" spans="1:3" x14ac:dyDescent="0.3">
      <c r="A317" t="s">
        <v>1198</v>
      </c>
      <c r="B317" t="s">
        <v>1199</v>
      </c>
      <c r="C317" s="7" t="s">
        <v>1200</v>
      </c>
    </row>
    <row r="318" spans="1:3" x14ac:dyDescent="0.3">
      <c r="A318" t="s">
        <v>1201</v>
      </c>
      <c r="B318" t="s">
        <v>100</v>
      </c>
      <c r="C318" s="7" t="s">
        <v>1202</v>
      </c>
    </row>
    <row r="319" spans="1:3" x14ac:dyDescent="0.3">
      <c r="A319" t="s">
        <v>1203</v>
      </c>
      <c r="B319" t="s">
        <v>1204</v>
      </c>
      <c r="C319" s="7" t="s">
        <v>1205</v>
      </c>
    </row>
    <row r="320" spans="1:3" x14ac:dyDescent="0.3">
      <c r="A320" t="s">
        <v>1206</v>
      </c>
      <c r="B320" t="s">
        <v>1207</v>
      </c>
      <c r="C320" s="7" t="s">
        <v>1208</v>
      </c>
    </row>
    <row r="321" spans="1:3" x14ac:dyDescent="0.3">
      <c r="A321" t="s">
        <v>1209</v>
      </c>
      <c r="B321" t="s">
        <v>1210</v>
      </c>
      <c r="C321" s="7" t="s">
        <v>1211</v>
      </c>
    </row>
    <row r="322" spans="1:3" x14ac:dyDescent="0.3">
      <c r="A322" t="s">
        <v>1212</v>
      </c>
      <c r="B322" t="s">
        <v>1213</v>
      </c>
      <c r="C322" s="7" t="s">
        <v>1214</v>
      </c>
    </row>
    <row r="323" spans="1:3" x14ac:dyDescent="0.3">
      <c r="A323" t="s">
        <v>1215</v>
      </c>
      <c r="B323" t="s">
        <v>1216</v>
      </c>
      <c r="C323" s="7" t="s">
        <v>1217</v>
      </c>
    </row>
    <row r="324" spans="1:3" x14ac:dyDescent="0.3">
      <c r="A324" t="s">
        <v>1218</v>
      </c>
      <c r="B324" t="s">
        <v>1219</v>
      </c>
      <c r="C324" s="7" t="s">
        <v>938</v>
      </c>
    </row>
    <row r="325" spans="1:3" x14ac:dyDescent="0.3">
      <c r="A325" t="s">
        <v>1220</v>
      </c>
      <c r="B325" t="s">
        <v>1221</v>
      </c>
      <c r="C325" s="7" t="s">
        <v>1222</v>
      </c>
    </row>
    <row r="326" spans="1:3" x14ac:dyDescent="0.3">
      <c r="A326" t="s">
        <v>1223</v>
      </c>
      <c r="B326" t="s">
        <v>1224</v>
      </c>
      <c r="C326" s="7" t="s">
        <v>1225</v>
      </c>
    </row>
    <row r="327" spans="1:3" x14ac:dyDescent="0.3">
      <c r="A327" t="s">
        <v>1226</v>
      </c>
      <c r="B327" t="s">
        <v>68</v>
      </c>
      <c r="C327" s="7" t="s">
        <v>1227</v>
      </c>
    </row>
    <row r="328" spans="1:3" x14ac:dyDescent="0.3">
      <c r="A328" t="s">
        <v>93</v>
      </c>
      <c r="B328" t="s">
        <v>308</v>
      </c>
      <c r="C328" s="7" t="s">
        <v>34</v>
      </c>
    </row>
    <row r="329" spans="1:3" x14ac:dyDescent="0.3">
      <c r="A329" t="s">
        <v>1228</v>
      </c>
      <c r="B329" t="s">
        <v>1229</v>
      </c>
      <c r="C329" s="7" t="s">
        <v>1230</v>
      </c>
    </row>
    <row r="330" spans="1:3" x14ac:dyDescent="0.3">
      <c r="A330" t="s">
        <v>1231</v>
      </c>
      <c r="B330" t="s">
        <v>1232</v>
      </c>
      <c r="C330" s="7" t="s">
        <v>1233</v>
      </c>
    </row>
    <row r="331" spans="1:3" x14ac:dyDescent="0.3">
      <c r="A331" t="s">
        <v>1234</v>
      </c>
      <c r="B331" t="s">
        <v>1235</v>
      </c>
      <c r="C331" s="7" t="s">
        <v>1236</v>
      </c>
    </row>
    <row r="332" spans="1:3" x14ac:dyDescent="0.3">
      <c r="A332" t="s">
        <v>1237</v>
      </c>
      <c r="B332" t="s">
        <v>1238</v>
      </c>
      <c r="C332" s="7" t="s">
        <v>1239</v>
      </c>
    </row>
    <row r="333" spans="1:3" x14ac:dyDescent="0.3">
      <c r="A333" t="s">
        <v>1240</v>
      </c>
      <c r="B333" t="s">
        <v>1241</v>
      </c>
      <c r="C333" s="7" t="s">
        <v>1242</v>
      </c>
    </row>
    <row r="334" spans="1:3" x14ac:dyDescent="0.3">
      <c r="A334" t="s">
        <v>1243</v>
      </c>
      <c r="B334" t="s">
        <v>1244</v>
      </c>
      <c r="C334" s="7" t="s">
        <v>1245</v>
      </c>
    </row>
  </sheetData>
  <sheetProtection sheet="1" objects="1" scenarios="1"/>
  <mergeCells count="1">
    <mergeCell ref="A1:C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79135-AA0C-4A1E-A121-E2DF079A8E8A}">
  <dimension ref="A1:H14"/>
  <sheetViews>
    <sheetView workbookViewId="0">
      <selection activeCell="C12" sqref="C12"/>
    </sheetView>
  </sheetViews>
  <sheetFormatPr defaultRowHeight="14.4" x14ac:dyDescent="0.3"/>
  <cols>
    <col min="1" max="1" width="21.109375" customWidth="1"/>
    <col min="2" max="2" width="18.6640625" customWidth="1"/>
    <col min="3" max="3" width="20.88671875" customWidth="1"/>
    <col min="4" max="4" width="6.6640625" bestFit="1" customWidth="1"/>
    <col min="5" max="5" width="8.5546875" bestFit="1" customWidth="1"/>
    <col min="6" max="6" width="16.44140625" customWidth="1"/>
    <col min="7" max="7" width="3" bestFit="1" customWidth="1"/>
    <col min="8" max="8" width="16.33203125" bestFit="1" customWidth="1"/>
  </cols>
  <sheetData>
    <row r="1" spans="1:8" x14ac:dyDescent="0.3">
      <c r="A1" t="s">
        <v>1246</v>
      </c>
      <c r="B1" s="1" t="s">
        <v>17</v>
      </c>
      <c r="C1" s="2" t="s">
        <v>1247</v>
      </c>
      <c r="D1" s="3">
        <v>1</v>
      </c>
      <c r="E1" s="4" t="s">
        <v>9</v>
      </c>
      <c r="F1" s="5" t="s">
        <v>1248</v>
      </c>
      <c r="G1" s="4">
        <v>1</v>
      </c>
      <c r="H1" s="4" t="s">
        <v>1249</v>
      </c>
    </row>
    <row r="2" spans="1:8" x14ac:dyDescent="0.3">
      <c r="A2" s="2" t="s">
        <v>1250</v>
      </c>
      <c r="B2" s="1" t="s">
        <v>267</v>
      </c>
      <c r="C2" s="2" t="s">
        <v>1251</v>
      </c>
      <c r="D2" s="3">
        <v>2</v>
      </c>
      <c r="E2" s="4" t="s">
        <v>30</v>
      </c>
      <c r="F2" s="5" t="s">
        <v>1252</v>
      </c>
      <c r="G2" s="4">
        <v>2</v>
      </c>
      <c r="H2" s="4" t="s">
        <v>14</v>
      </c>
    </row>
    <row r="3" spans="1:8" x14ac:dyDescent="0.3">
      <c r="A3" s="2" t="s">
        <v>107</v>
      </c>
      <c r="B3" s="2" t="s">
        <v>1253</v>
      </c>
      <c r="C3" s="2" t="s">
        <v>1254</v>
      </c>
      <c r="D3" s="3">
        <v>3</v>
      </c>
      <c r="E3" s="4" t="s">
        <v>37</v>
      </c>
      <c r="F3" s="5" t="s">
        <v>1255</v>
      </c>
      <c r="G3" s="4">
        <v>3</v>
      </c>
      <c r="H3" s="4" t="s">
        <v>1256</v>
      </c>
    </row>
    <row r="4" spans="1:8" x14ac:dyDescent="0.3">
      <c r="A4" s="2" t="s">
        <v>287</v>
      </c>
      <c r="B4" s="2" t="s">
        <v>7</v>
      </c>
      <c r="C4" s="2" t="s">
        <v>1257</v>
      </c>
      <c r="D4" s="3">
        <v>4</v>
      </c>
      <c r="E4" s="4"/>
      <c r="F4" s="5" t="s">
        <v>1258</v>
      </c>
      <c r="G4" s="4">
        <v>4</v>
      </c>
      <c r="H4" s="4" t="s">
        <v>50</v>
      </c>
    </row>
    <row r="5" spans="1:8" x14ac:dyDescent="0.3">
      <c r="A5" s="2" t="s">
        <v>260</v>
      </c>
      <c r="B5" s="2" t="s">
        <v>58</v>
      </c>
      <c r="C5" s="2" t="s">
        <v>8</v>
      </c>
      <c r="D5" s="3">
        <v>5</v>
      </c>
      <c r="E5" s="4"/>
      <c r="F5" s="5" t="s">
        <v>1259</v>
      </c>
      <c r="G5" s="4">
        <v>5</v>
      </c>
      <c r="H5" s="4" t="s">
        <v>1260</v>
      </c>
    </row>
    <row r="6" spans="1:8" x14ac:dyDescent="0.3">
      <c r="A6" s="2" t="s">
        <v>278</v>
      </c>
      <c r="B6" s="1" t="s">
        <v>29</v>
      </c>
      <c r="C6" s="2" t="s">
        <v>1261</v>
      </c>
      <c r="D6" s="3">
        <v>6</v>
      </c>
      <c r="E6" s="4"/>
      <c r="F6" s="5" t="s">
        <v>1262</v>
      </c>
      <c r="G6" s="4">
        <v>6</v>
      </c>
      <c r="H6" s="4"/>
    </row>
    <row r="7" spans="1:8" x14ac:dyDescent="0.3">
      <c r="A7" s="2" t="s">
        <v>1263</v>
      </c>
      <c r="B7" s="1" t="s">
        <v>1264</v>
      </c>
      <c r="C7" s="2" t="s">
        <v>1265</v>
      </c>
      <c r="D7" s="6" t="s">
        <v>1266</v>
      </c>
      <c r="E7" s="4"/>
      <c r="F7" s="5" t="s">
        <v>1267</v>
      </c>
      <c r="G7" s="4">
        <v>7</v>
      </c>
      <c r="H7" s="4"/>
    </row>
    <row r="8" spans="1:8" x14ac:dyDescent="0.3">
      <c r="A8" s="2" t="s">
        <v>90</v>
      </c>
      <c r="B8" s="1"/>
      <c r="C8" s="2" t="s">
        <v>1268</v>
      </c>
      <c r="D8" s="4"/>
      <c r="E8" s="4"/>
      <c r="F8" s="5" t="s">
        <v>1269</v>
      </c>
      <c r="G8" s="4">
        <v>8</v>
      </c>
      <c r="H8" s="4"/>
    </row>
    <row r="9" spans="1:8" x14ac:dyDescent="0.3">
      <c r="A9" s="2" t="s">
        <v>16</v>
      </c>
      <c r="C9" s="2"/>
      <c r="D9" s="4"/>
      <c r="E9" s="4"/>
      <c r="F9" s="5" t="s">
        <v>1270</v>
      </c>
      <c r="G9" s="4">
        <v>9</v>
      </c>
      <c r="H9" s="4"/>
    </row>
    <row r="10" spans="1:8" x14ac:dyDescent="0.3">
      <c r="A10" s="2" t="s">
        <v>6</v>
      </c>
      <c r="C10" s="2"/>
      <c r="D10" s="4"/>
      <c r="E10" s="4"/>
      <c r="F10" s="5" t="s">
        <v>1271</v>
      </c>
      <c r="G10" s="4">
        <v>10</v>
      </c>
      <c r="H10" s="4"/>
    </row>
    <row r="11" spans="1:8" x14ac:dyDescent="0.3">
      <c r="A11" s="2"/>
      <c r="B11" s="4"/>
      <c r="C11" s="4"/>
      <c r="D11" s="4"/>
      <c r="E11" s="4"/>
      <c r="F11" s="5" t="s">
        <v>1272</v>
      </c>
      <c r="G11" s="4">
        <v>11</v>
      </c>
      <c r="H11" s="4"/>
    </row>
    <row r="12" spans="1:8" x14ac:dyDescent="0.3">
      <c r="A12" s="2"/>
      <c r="B12" s="4"/>
      <c r="C12" s="4"/>
      <c r="D12" s="4"/>
      <c r="E12" s="4"/>
      <c r="F12" s="5" t="s">
        <v>1273</v>
      </c>
      <c r="G12" s="4">
        <v>12</v>
      </c>
      <c r="H12" s="4"/>
    </row>
    <row r="13" spans="1:8" x14ac:dyDescent="0.3">
      <c r="A13" s="4"/>
      <c r="B13" s="4"/>
      <c r="C13" s="4"/>
      <c r="D13" s="4"/>
      <c r="E13" s="4"/>
      <c r="F13" s="5" t="s">
        <v>1274</v>
      </c>
      <c r="G13" s="4">
        <v>13</v>
      </c>
      <c r="H13" s="4"/>
    </row>
    <row r="14" spans="1:8" x14ac:dyDescent="0.3">
      <c r="A14" s="4"/>
      <c r="B14" s="4"/>
      <c r="C14" s="4"/>
      <c r="D14" s="4"/>
      <c r="E14" s="4"/>
      <c r="F14" s="4"/>
      <c r="G14" s="4">
        <v>14</v>
      </c>
      <c r="H14" s="4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7AE5FD4E922E14CAFE7AD42DA61D019" ma:contentTypeVersion="17" ma:contentTypeDescription="Crie um novo documento." ma:contentTypeScope="" ma:versionID="d612fddf1c75288bd96813a5e9d160a4">
  <xsd:schema xmlns:xsd="http://www.w3.org/2001/XMLSchema" xmlns:xs="http://www.w3.org/2001/XMLSchema" xmlns:p="http://schemas.microsoft.com/office/2006/metadata/properties" xmlns:ns2="4898c11a-2dff-4f3b-be30-bf5e6f7537e0" xmlns:ns3="c5a27415-2a14-4757-8bb8-5765f45029e7" targetNamespace="http://schemas.microsoft.com/office/2006/metadata/properties" ma:root="true" ma:fieldsID="2fa031e9a58b61315363df3570b75385" ns2:_="" ns3:_="">
    <xsd:import namespace="4898c11a-2dff-4f3b-be30-bf5e6f7537e0"/>
    <xsd:import namespace="c5a27415-2a14-4757-8bb8-5765f45029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status" minOccurs="0"/>
                <xsd:element ref="ns2:Atribu_x00ed_do_x00e0_" minOccurs="0"/>
                <xsd:element ref="ns2:Observa_x00e7__x00e3_o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98c11a-2dff-4f3b-be30-bf5e6f7537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ce2da107-056a-4cf5-838a-03c65b5add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status" ma:index="20" nillable="true" ma:displayName="status" ma:format="Dropdown" ma:internalName="status">
      <xsd:simpleType>
        <xsd:restriction base="dms:Choice">
          <xsd:enumeration value="Produzir"/>
          <xsd:enumeration value="Em produção"/>
          <xsd:enumeration value="Concluído"/>
          <xsd:enumeration value="Em uso"/>
          <xsd:enumeration value="Liberado para uso"/>
        </xsd:restriction>
      </xsd:simpleType>
    </xsd:element>
    <xsd:element name="Atribu_x00ed_do_x00e0_" ma:index="21" nillable="true" ma:displayName="Atribuído à" ma:format="Dropdown" ma:list="UserInfo" ma:SharePointGroup="0" ma:internalName="Atribu_x00ed_do_x00e0_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bserva_x00e7__x00e3_o" ma:index="22" nillable="true" ma:displayName="Observação" ma:format="Dropdown" ma:internalName="Observa_x00e7__x00e3_o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a27415-2a14-4757-8bb8-5765f45029e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94c9e24-c3dc-4f2e-b29c-7e677ee7c878}" ma:internalName="TaxCatchAll" ma:showField="CatchAllData" ma:web="c5a27415-2a14-4757-8bb8-5765f45029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a27415-2a14-4757-8bb8-5765f45029e7" xsi:nil="true"/>
    <lcf76f155ced4ddcb4097134ff3c332f xmlns="4898c11a-2dff-4f3b-be30-bf5e6f7537e0">
      <Terms xmlns="http://schemas.microsoft.com/office/infopath/2007/PartnerControls"/>
    </lcf76f155ced4ddcb4097134ff3c332f>
    <Atribu_x00ed_do_x00e0_ xmlns="4898c11a-2dff-4f3b-be30-bf5e6f7537e0">
      <UserInfo>
        <DisplayName/>
        <AccountId xsi:nil="true"/>
        <AccountType/>
      </UserInfo>
    </Atribu_x00ed_do_x00e0_>
    <status xmlns="4898c11a-2dff-4f3b-be30-bf5e6f7537e0" xsi:nil="true"/>
    <Observa_x00e7__x00e3_o xmlns="4898c11a-2dff-4f3b-be30-bf5e6f7537e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D31768-ADA5-4843-B2CD-D7365F7A2F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98c11a-2dff-4f3b-be30-bf5e6f7537e0"/>
    <ds:schemaRef ds:uri="c5a27415-2a14-4757-8bb8-5765f45029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5A8A88-114F-4414-B78B-59A1E08F48D9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4898c11a-2dff-4f3b-be30-bf5e6f7537e0"/>
    <ds:schemaRef ds:uri="http://schemas.openxmlformats.org/package/2006/metadata/core-properties"/>
    <ds:schemaRef ds:uri="c5a27415-2a14-4757-8bb8-5765f45029e7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DCC011B-0C57-45DA-AF49-4F980948F3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ilustração</vt:lpstr>
      <vt:lpstr>créditos_base</vt:lpstr>
      <vt:lpstr>metadados</vt:lpstr>
    </vt:vector>
  </TitlesOfParts>
  <Manager/>
  <Company>Scriba Projetos Editoriais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 Moniz das Neves</dc:creator>
  <cp:keywords/>
  <dc:description/>
  <cp:lastModifiedBy>Junior F. Dias</cp:lastModifiedBy>
  <cp:revision/>
  <dcterms:created xsi:type="dcterms:W3CDTF">2024-11-11T13:23:41Z</dcterms:created>
  <dcterms:modified xsi:type="dcterms:W3CDTF">2025-11-14T20:29:52Z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0x01010057AE5FD4E922E14CAFE7AD42DA61D019</vt:lpwstr>
  </property>
  <property fmtid="{D5CDD505-2E9C-101B-9397-08002B2CF9AE}" pid="3" name="MediaServiceImageTags">
    <vt:lpwstr/>
  </property>
</Properties>
</file>