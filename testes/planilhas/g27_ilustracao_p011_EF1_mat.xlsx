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40F48523-6746-4E17-A004-EC280B137BFB}" xr6:coauthVersionLast="47" xr6:coauthVersionMax="47" xr10:uidLastSave="{00000000-0000-0000-0000-000000000000}"/>
  <bookViews>
    <workbookView xWindow="-108" yWindow="-108" windowWidth="23256" windowHeight="12456" firstSheet="1" activeTab="1" xr2:uid="{6B0CC131-DCB1-4859-96F0-F61121EDAE88}"/>
  </bookViews>
  <sheets>
    <sheet name="Gráfico1" sheetId="4" r:id="rId1"/>
    <sheet name="ilustração" sheetId="1" r:id="rId2"/>
    <sheet name="créditos_base" sheetId="3" r:id="rId3"/>
    <sheet name="metadados" sheetId="2" r:id="rId4"/>
  </sheets>
  <definedNames>
    <definedName name="_xlnm._FilterDatabase" localSheetId="1" hidden="1">ilustração!$A$1:$AD$2864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7" i="1" l="1"/>
  <c r="AE79" i="1"/>
  <c r="AE89" i="1"/>
  <c r="AE94" i="1"/>
  <c r="AE99" i="1"/>
  <c r="AE104" i="1"/>
  <c r="AE109" i="1"/>
  <c r="AE114" i="1"/>
  <c r="AE118" i="1"/>
  <c r="AE123" i="1"/>
  <c r="AE128" i="1"/>
  <c r="AE131" i="1"/>
  <c r="AE134" i="1"/>
  <c r="AE137" i="1"/>
  <c r="AE141" i="1"/>
  <c r="AE145" i="1"/>
  <c r="AE149" i="1"/>
  <c r="AE152" i="1"/>
  <c r="AE154" i="1"/>
  <c r="AE156" i="1"/>
  <c r="AE164" i="1"/>
  <c r="AE169" i="1"/>
  <c r="AE172" i="1"/>
  <c r="AE176" i="1"/>
  <c r="AE179" i="1"/>
  <c r="AE182" i="1"/>
  <c r="AE184" i="1"/>
  <c r="AE188" i="1"/>
  <c r="AE191" i="1"/>
  <c r="AE207" i="1"/>
  <c r="AE210" i="1"/>
  <c r="AE213" i="1"/>
  <c r="AE216" i="1"/>
  <c r="AE232" i="1"/>
  <c r="AE237" i="1"/>
  <c r="AE240" i="1"/>
  <c r="AE242" i="1"/>
  <c r="AE244" i="1"/>
  <c r="AE246" i="1"/>
  <c r="AE249" i="1"/>
  <c r="AE251" i="1"/>
  <c r="AE254" i="1"/>
  <c r="AE257" i="1"/>
  <c r="AE260" i="1"/>
  <c r="AE263" i="1"/>
  <c r="AE265" i="1"/>
  <c r="AE266" i="1"/>
  <c r="AE220" i="1"/>
  <c r="AE222" i="1"/>
  <c r="AE225" i="1"/>
  <c r="AE228" i="1"/>
  <c r="AE267" i="1"/>
  <c r="AE802" i="1"/>
  <c r="AE811" i="1"/>
  <c r="AE816" i="1"/>
  <c r="AE825" i="1"/>
  <c r="AE830" i="1"/>
  <c r="AE876" i="1"/>
  <c r="AE835" i="1"/>
  <c r="AE840" i="1"/>
  <c r="AE844" i="1"/>
  <c r="AE848" i="1"/>
  <c r="AE852" i="1"/>
  <c r="AE857" i="1"/>
  <c r="AE862" i="1"/>
  <c r="AE866" i="1"/>
  <c r="AE871" i="1"/>
  <c r="AE1097" i="1"/>
  <c r="AE1101" i="1"/>
  <c r="AE1105" i="1"/>
  <c r="AE1109" i="1"/>
  <c r="AE1113" i="1"/>
  <c r="AE1118" i="1"/>
  <c r="AE1123" i="1"/>
  <c r="AE1127" i="1"/>
  <c r="AE1131" i="1"/>
  <c r="AE1136" i="1"/>
  <c r="AE1140" i="1"/>
  <c r="AE1144" i="1"/>
  <c r="AE1148" i="1"/>
  <c r="AE1152" i="1"/>
  <c r="AE1156" i="1"/>
  <c r="AE1160" i="1"/>
  <c r="AE1163" i="1"/>
  <c r="AE1168" i="1"/>
  <c r="AE1172" i="1"/>
  <c r="AE1176" i="1"/>
  <c r="AE1180" i="1"/>
  <c r="AE1185" i="1"/>
  <c r="AE1190" i="1"/>
  <c r="AE1194" i="1"/>
  <c r="AE1197" i="1"/>
  <c r="AE1201" i="1"/>
  <c r="AE1209" i="1"/>
  <c r="AE1213" i="1"/>
  <c r="AE1217" i="1"/>
  <c r="AE1221" i="1"/>
  <c r="AE1224" i="1"/>
  <c r="AE1228" i="1"/>
  <c r="AE1231" i="1"/>
  <c r="AE1235" i="1"/>
  <c r="AE1238" i="1"/>
  <c r="AE1242" i="1"/>
  <c r="AE1246" i="1"/>
  <c r="AE1251" i="1"/>
  <c r="AE1256" i="1"/>
  <c r="AE1261" i="1"/>
  <c r="AE1266" i="1"/>
  <c r="AE1275" i="1"/>
  <c r="AE1279" i="1"/>
  <c r="AE1286" i="1"/>
  <c r="AE1291" i="1"/>
  <c r="AE592" i="1"/>
  <c r="AE595" i="1"/>
  <c r="AE600" i="1"/>
  <c r="AE603" i="1"/>
  <c r="AE607" i="1"/>
  <c r="AE611" i="1"/>
  <c r="AE615" i="1"/>
  <c r="AE618" i="1"/>
  <c r="AE621" i="1"/>
  <c r="AE625" i="1"/>
  <c r="AE629" i="1"/>
  <c r="AE632" i="1"/>
  <c r="AE637" i="1"/>
  <c r="AE641" i="1"/>
  <c r="AE645" i="1"/>
  <c r="AE647" i="1"/>
  <c r="AE648" i="1"/>
  <c r="AE650" i="1"/>
  <c r="AE652" i="1"/>
  <c r="AE655" i="1"/>
  <c r="AE658" i="1"/>
  <c r="AE661" i="1"/>
  <c r="AE665" i="1"/>
  <c r="AE668" i="1"/>
  <c r="AE671" i="1"/>
  <c r="AE674" i="1"/>
  <c r="AE676" i="1"/>
  <c r="AE678" i="1"/>
  <c r="AE681" i="1"/>
  <c r="AE683" i="1"/>
  <c r="AE685" i="1"/>
  <c r="AE688" i="1"/>
  <c r="AE691" i="1"/>
  <c r="AE692" i="1"/>
  <c r="AE696" i="1"/>
  <c r="AE699" i="1"/>
  <c r="AE702" i="1"/>
  <c r="AE707" i="1"/>
  <c r="AE710" i="1"/>
  <c r="AE713" i="1"/>
  <c r="AE716" i="1"/>
  <c r="AE2840" i="1"/>
  <c r="AE2841" i="1"/>
  <c r="AE2842" i="1"/>
  <c r="AE733" i="1"/>
  <c r="AE734" i="1"/>
  <c r="AE736" i="1"/>
  <c r="AE737" i="1"/>
  <c r="AE738" i="1"/>
  <c r="AE741" i="1"/>
  <c r="AE756" i="1"/>
  <c r="AE760" i="1"/>
  <c r="AE763" i="1"/>
  <c r="AE766" i="1"/>
  <c r="AE769" i="1"/>
  <c r="AE772" i="1"/>
  <c r="AE775" i="1"/>
  <c r="AE776" i="1"/>
  <c r="AE778" i="1"/>
  <c r="AE780" i="1"/>
  <c r="AE782" i="1"/>
  <c r="AE784" i="1"/>
  <c r="AE1418" i="1"/>
  <c r="AE1422" i="1"/>
  <c r="AE1425" i="1"/>
  <c r="AE1430" i="1"/>
  <c r="AE1435" i="1"/>
  <c r="AE1440" i="1"/>
  <c r="AE1444" i="1"/>
  <c r="AE1448" i="1"/>
  <c r="AE1452" i="1"/>
  <c r="AE1456" i="1"/>
  <c r="AE1461" i="1"/>
  <c r="AE1465" i="1"/>
  <c r="AE1470" i="1"/>
  <c r="AE1475" i="1"/>
  <c r="AE1479" i="1"/>
  <c r="AE1483" i="1"/>
  <c r="AE1487" i="1"/>
  <c r="AE1491" i="1"/>
  <c r="AE1494" i="1"/>
  <c r="AE1496" i="1"/>
  <c r="AE1498" i="1"/>
  <c r="AE1501" i="1"/>
  <c r="AE1506" i="1"/>
  <c r="AE1510" i="1"/>
  <c r="AE1513" i="1"/>
  <c r="AE1516" i="1"/>
  <c r="AE1521" i="1"/>
  <c r="AE1526" i="1"/>
  <c r="AE1531" i="1"/>
  <c r="AE1534" i="1"/>
  <c r="AE1542" i="1"/>
  <c r="AE1546" i="1"/>
  <c r="AE1551" i="1"/>
  <c r="AE1556" i="1"/>
  <c r="AE1561" i="1"/>
  <c r="AE1566" i="1"/>
  <c r="AE1575" i="1"/>
  <c r="AE1580" i="1"/>
  <c r="AE1584" i="1"/>
  <c r="AE1588" i="1"/>
  <c r="AE1592" i="1"/>
  <c r="AE1595" i="1"/>
  <c r="AE1598" i="1"/>
  <c r="AE1630" i="1"/>
  <c r="AE1633" i="1"/>
  <c r="AE1635" i="1"/>
  <c r="AE1636" i="1"/>
  <c r="AE1640" i="1"/>
  <c r="AE1642" i="1"/>
  <c r="AE1643" i="1"/>
  <c r="AE1645" i="1"/>
  <c r="AE1647" i="1"/>
  <c r="AE1649" i="1"/>
  <c r="AE1651" i="1"/>
  <c r="AE1652" i="1"/>
  <c r="AE1654" i="1"/>
  <c r="AE1656" i="1"/>
  <c r="AE1658" i="1"/>
  <c r="AE1661" i="1"/>
  <c r="AE1663" i="1"/>
  <c r="AE1665" i="1"/>
  <c r="AE1667" i="1"/>
  <c r="AE1669" i="1"/>
  <c r="AE49" i="1"/>
  <c r="AE1672" i="1"/>
  <c r="AE1677" i="1"/>
  <c r="AE51" i="1"/>
  <c r="AE1749" i="1"/>
  <c r="AE1759" i="1"/>
  <c r="AE1761" i="1"/>
  <c r="AE1772" i="1"/>
  <c r="AE1901" i="1"/>
  <c r="AE1913" i="1"/>
  <c r="AE1916" i="1"/>
  <c r="AE1920" i="1"/>
  <c r="AE1937" i="1"/>
  <c r="AE2856" i="1"/>
  <c r="AE1950" i="1"/>
  <c r="AE1957" i="1"/>
  <c r="AE1960" i="1"/>
  <c r="AE1964" i="1"/>
  <c r="AE1968" i="1"/>
  <c r="AE1972" i="1"/>
  <c r="AE1976" i="1"/>
  <c r="AE1980" i="1"/>
  <c r="AE1984" i="1"/>
  <c r="AE1988" i="1"/>
  <c r="AE1992" i="1"/>
  <c r="AE1996" i="1"/>
  <c r="AE1999" i="1"/>
  <c r="AE2002" i="1"/>
  <c r="AE2005" i="1"/>
  <c r="AE2008" i="1"/>
  <c r="AE2011" i="1"/>
  <c r="AE2013" i="1"/>
  <c r="AE2136" i="1"/>
  <c r="AE2145" i="1"/>
  <c r="AE2151" i="1"/>
  <c r="AE2155" i="1"/>
  <c r="AE2159" i="1"/>
  <c r="AE2168" i="1"/>
  <c r="AE2172" i="1"/>
  <c r="AE2224" i="1"/>
  <c r="AE2228" i="1"/>
  <c r="AE2232" i="1"/>
  <c r="AE2236" i="1"/>
  <c r="AE2853" i="1"/>
  <c r="AE2244" i="1"/>
  <c r="AE2248" i="1"/>
  <c r="AE2252" i="1"/>
  <c r="AE2259" i="1"/>
  <c r="AE2262" i="1"/>
  <c r="AE2265" i="1"/>
  <c r="AE2270" i="1"/>
  <c r="AE2273" i="1"/>
  <c r="AE2276" i="1"/>
  <c r="AE2289" i="1"/>
  <c r="AE2333" i="1"/>
  <c r="AE2349" i="1"/>
  <c r="AE2357" i="1"/>
  <c r="AE2361" i="1"/>
  <c r="AE2365" i="1"/>
  <c r="AE2370" i="1"/>
  <c r="AE2375" i="1"/>
  <c r="AE2379" i="1"/>
  <c r="AE2383" i="1"/>
  <c r="AE2386" i="1"/>
  <c r="AE2391" i="1"/>
  <c r="AE2395" i="1"/>
  <c r="AE2398" i="1"/>
  <c r="AE2401" i="1"/>
  <c r="AE2405" i="1"/>
  <c r="AE2409" i="1"/>
  <c r="AE2413" i="1"/>
  <c r="AE2417" i="1"/>
  <c r="AE2421" i="1"/>
  <c r="AE2424" i="1"/>
  <c r="AE2428" i="1"/>
  <c r="AE2431" i="1"/>
  <c r="AE2434" i="1"/>
  <c r="AE2437" i="1"/>
  <c r="AE2445" i="1"/>
  <c r="AE2451" i="1"/>
  <c r="AE2456" i="1"/>
  <c r="AE2461" i="1"/>
  <c r="AE2465" i="1"/>
  <c r="AE2469" i="1"/>
  <c r="AE2473" i="1"/>
  <c r="AE2477" i="1"/>
  <c r="AE2482" i="1"/>
  <c r="AE2486" i="1"/>
  <c r="AE2490" i="1"/>
  <c r="AE2494" i="1"/>
  <c r="AE2498" i="1"/>
  <c r="AE2500" i="1"/>
  <c r="AE2503" i="1"/>
  <c r="AE294" i="1"/>
  <c r="AE335" i="1"/>
  <c r="AE339" i="1"/>
  <c r="AE344" i="1"/>
  <c r="AE348" i="1"/>
  <c r="AE353" i="1"/>
  <c r="AE360" i="1"/>
  <c r="AE364" i="1"/>
  <c r="AE371" i="1"/>
  <c r="AE386" i="1"/>
  <c r="AE390" i="1"/>
  <c r="AE397" i="1"/>
  <c r="AE404" i="1"/>
  <c r="AE21" i="1"/>
  <c r="AE423" i="1"/>
  <c r="AE427" i="1"/>
  <c r="AE431" i="1"/>
  <c r="AE435" i="1"/>
  <c r="AE439" i="1"/>
  <c r="AE442" i="1"/>
  <c r="AE467" i="1"/>
  <c r="AE470" i="1"/>
  <c r="AE473" i="1"/>
  <c r="AE504" i="1"/>
  <c r="AE524" i="1"/>
  <c r="AE534" i="1"/>
  <c r="AE535" i="1"/>
  <c r="AE538" i="1"/>
  <c r="AE545" i="1"/>
  <c r="AE551" i="1"/>
  <c r="AE574" i="1"/>
  <c r="AE575" i="1"/>
  <c r="AE580" i="1"/>
  <c r="AE581" i="1"/>
  <c r="AE583" i="1"/>
  <c r="AE2601" i="1"/>
  <c r="AE2618" i="1"/>
  <c r="AE271" i="1"/>
  <c r="AE273" i="1"/>
  <c r="AE275" i="1"/>
  <c r="AE279" i="1"/>
  <c r="AE482" i="1"/>
  <c r="AE284" i="1"/>
  <c r="AE288" i="1"/>
  <c r="AE290" i="1"/>
  <c r="AE485" i="1"/>
  <c r="AE488" i="1"/>
  <c r="AE491" i="1"/>
  <c r="AE536" i="1"/>
  <c r="AE454" i="1"/>
  <c r="AE462" i="1"/>
  <c r="AE540" i="1"/>
  <c r="AE543" i="1"/>
  <c r="AE542" i="1"/>
  <c r="AE544" i="1"/>
  <c r="AE546" i="1"/>
  <c r="AE547" i="1"/>
  <c r="AE548" i="1"/>
  <c r="AE549" i="1"/>
  <c r="AE550" i="1"/>
  <c r="AE552" i="1"/>
  <c r="AE553" i="1"/>
  <c r="AE554" i="1"/>
  <c r="AE555" i="1"/>
  <c r="AE556" i="1"/>
  <c r="AE557" i="1"/>
  <c r="AE558" i="1"/>
  <c r="AE559" i="1"/>
  <c r="AE560" i="1"/>
  <c r="AE562" i="1"/>
  <c r="AE571" i="1"/>
  <c r="AE572" i="1"/>
  <c r="AE573" i="1"/>
  <c r="AE576" i="1"/>
  <c r="AE577" i="1"/>
  <c r="AE578" i="1"/>
  <c r="AE579" i="1"/>
  <c r="AE582" i="1"/>
  <c r="AE2610" i="1"/>
  <c r="AE64" i="1"/>
  <c r="AE73" i="1"/>
  <c r="AE76" i="1"/>
  <c r="AE80" i="1"/>
  <c r="AE83" i="1"/>
  <c r="AE87" i="1"/>
  <c r="AE92" i="1"/>
  <c r="AE97" i="1"/>
  <c r="AE102" i="1"/>
  <c r="AE107" i="1"/>
  <c r="AE112" i="1"/>
  <c r="AE117" i="1"/>
  <c r="AE121" i="1"/>
  <c r="AE126" i="1"/>
  <c r="AE342" i="1"/>
  <c r="AE351" i="1"/>
  <c r="AE358" i="1"/>
  <c r="AE367" i="1"/>
  <c r="AE374" i="1"/>
  <c r="AE381" i="1"/>
  <c r="AE416" i="1"/>
  <c r="AE418" i="1"/>
  <c r="AE421" i="1"/>
  <c r="AE425" i="1"/>
  <c r="AE429" i="1"/>
  <c r="AE433" i="1"/>
  <c r="AE437" i="1"/>
  <c r="AE440" i="1"/>
  <c r="AE443" i="1"/>
  <c r="AE446" i="1"/>
  <c r="AE449" i="1"/>
  <c r="AE452" i="1"/>
  <c r="AE456" i="1"/>
  <c r="AE458" i="1"/>
  <c r="AE460" i="1"/>
  <c r="AE463" i="1"/>
  <c r="AE465" i="1"/>
  <c r="AE468" i="1"/>
  <c r="AE471" i="1"/>
  <c r="AE474" i="1"/>
  <c r="AE476" i="1"/>
  <c r="AE478" i="1"/>
  <c r="AE480" i="1"/>
  <c r="AE483" i="1"/>
  <c r="AE486" i="1"/>
  <c r="AE489" i="1"/>
  <c r="AE492" i="1"/>
  <c r="AE494" i="1"/>
  <c r="AE496" i="1"/>
  <c r="AE498" i="1"/>
  <c r="AE500" i="1"/>
  <c r="AE502" i="1"/>
  <c r="AE505" i="1"/>
  <c r="AE507" i="1"/>
  <c r="AE508" i="1"/>
  <c r="AE510" i="1"/>
  <c r="AE512" i="1"/>
  <c r="AE514" i="1"/>
  <c r="AE516" i="1"/>
  <c r="AE518" i="1"/>
  <c r="AE519" i="1"/>
  <c r="AE520" i="1"/>
  <c r="AE521" i="1"/>
  <c r="AE522" i="1"/>
  <c r="AE523" i="1"/>
  <c r="AE525" i="1"/>
  <c r="AE527" i="1"/>
  <c r="AE529" i="1"/>
  <c r="AE531" i="1"/>
  <c r="AE533" i="1"/>
  <c r="AE2864" i="1"/>
  <c r="AE2139" i="1"/>
  <c r="AE2143" i="1"/>
  <c r="AE2148" i="1"/>
  <c r="AE584" i="1"/>
  <c r="AE585" i="1"/>
  <c r="AE302" i="1"/>
  <c r="AE303" i="1"/>
  <c r="AE537" i="1"/>
  <c r="AE539" i="1"/>
  <c r="AE541" i="1"/>
  <c r="AE78" i="1"/>
  <c r="AE82" i="1"/>
  <c r="AE85" i="1"/>
  <c r="AE90" i="1"/>
  <c r="AE95" i="1"/>
  <c r="AE100" i="1"/>
  <c r="AE105" i="1"/>
  <c r="AE110" i="1"/>
  <c r="AE115" i="1"/>
  <c r="AE119" i="1"/>
  <c r="AE124" i="1"/>
  <c r="AE2581" i="1"/>
  <c r="AE2582" i="1"/>
  <c r="AE2583" i="1"/>
  <c r="AE2584" i="1"/>
  <c r="AE2585" i="1"/>
  <c r="AE2586" i="1"/>
  <c r="AE2587" i="1"/>
  <c r="AE2588" i="1"/>
  <c r="AE2589" i="1"/>
  <c r="AE2590" i="1"/>
  <c r="AE2591" i="1"/>
  <c r="AE2592" i="1"/>
  <c r="AE2593" i="1"/>
  <c r="AE2594" i="1"/>
  <c r="AE2595" i="1"/>
  <c r="AE2596" i="1"/>
  <c r="AE63" i="1"/>
  <c r="AE129" i="1"/>
  <c r="AE132" i="1"/>
  <c r="AE135" i="1"/>
  <c r="AE138" i="1"/>
  <c r="AE142" i="1"/>
  <c r="AE146" i="1"/>
  <c r="AE9" i="1"/>
  <c r="AE160" i="1"/>
  <c r="AE165" i="1"/>
  <c r="AE170" i="1"/>
  <c r="AE173" i="1"/>
  <c r="AE177" i="1"/>
  <c r="AE180" i="1"/>
  <c r="AE185" i="1"/>
  <c r="AE189" i="1"/>
  <c r="AE192" i="1"/>
  <c r="AE195" i="1"/>
  <c r="AE197" i="1"/>
  <c r="AE200" i="1"/>
  <c r="AE203" i="1"/>
  <c r="AE204" i="1"/>
  <c r="AE206" i="1"/>
  <c r="AE208" i="1"/>
  <c r="AE211" i="1"/>
  <c r="AE214" i="1"/>
  <c r="AE217" i="1"/>
  <c r="AE221" i="1"/>
  <c r="AE223" i="1"/>
  <c r="AE226" i="1"/>
  <c r="AE229" i="1"/>
  <c r="AE233" i="1"/>
  <c r="AE238" i="1"/>
  <c r="AE247" i="1"/>
  <c r="AE250" i="1"/>
  <c r="AE252" i="1"/>
  <c r="AE255" i="1"/>
  <c r="AE258" i="1"/>
  <c r="AE16" i="1"/>
  <c r="AE17" i="1"/>
  <c r="AE18" i="1"/>
  <c r="AE268" i="1"/>
  <c r="AE270" i="1"/>
  <c r="AE272" i="1"/>
  <c r="AE2772" i="1"/>
  <c r="AE276" i="1"/>
  <c r="AE280" i="1"/>
  <c r="AE283" i="1"/>
  <c r="AE285" i="1"/>
  <c r="AE2777" i="1"/>
  <c r="AE291" i="1"/>
  <c r="AE295" i="1"/>
  <c r="AE345" i="1"/>
  <c r="AE349" i="1"/>
  <c r="AE354" i="1"/>
  <c r="AE356" i="1"/>
  <c r="AE361" i="1"/>
  <c r="AE365" i="1"/>
  <c r="AE369" i="1"/>
  <c r="AE372" i="1"/>
  <c r="AE376" i="1"/>
  <c r="AE379" i="1"/>
  <c r="AE383" i="1"/>
  <c r="AE387" i="1"/>
  <c r="AE612" i="1"/>
  <c r="AE616" i="1"/>
  <c r="AE617" i="1"/>
  <c r="AE619" i="1"/>
  <c r="AE622" i="1"/>
  <c r="AE626" i="1"/>
  <c r="AE630" i="1"/>
  <c r="AE633" i="1"/>
  <c r="AE638" i="1"/>
  <c r="AE642" i="1"/>
  <c r="AE646" i="1"/>
  <c r="AE651" i="1"/>
  <c r="AE653" i="1"/>
  <c r="AE656" i="1"/>
  <c r="AE677" i="1"/>
  <c r="AE30" i="1"/>
  <c r="AE684" i="1"/>
  <c r="AE686" i="1"/>
  <c r="AE689" i="1"/>
  <c r="AE693" i="1"/>
  <c r="AE697" i="1"/>
  <c r="AE700" i="1"/>
  <c r="AE703" i="1"/>
  <c r="AE724" i="1"/>
  <c r="AE727" i="1"/>
  <c r="AE730" i="1"/>
  <c r="AE735" i="1"/>
  <c r="AE739" i="1"/>
  <c r="AE742" i="1"/>
  <c r="AE744" i="1"/>
  <c r="AE747" i="1"/>
  <c r="AE808" i="1"/>
  <c r="AE812" i="1"/>
  <c r="AE817" i="1"/>
  <c r="AE821" i="1"/>
  <c r="AE858" i="1"/>
  <c r="AE863" i="1"/>
  <c r="AE867" i="1"/>
  <c r="AE872" i="1"/>
  <c r="AE877" i="1"/>
  <c r="AE881" i="1"/>
  <c r="AE885" i="1"/>
  <c r="AE889" i="1"/>
  <c r="AE892" i="1"/>
  <c r="AE901" i="1"/>
  <c r="AE909" i="1"/>
  <c r="AE913" i="1"/>
  <c r="AE915" i="1"/>
  <c r="AE918" i="1"/>
  <c r="AE922" i="1"/>
  <c r="AE924" i="1"/>
  <c r="AE928" i="1"/>
  <c r="AE942" i="1"/>
  <c r="AE945" i="1"/>
  <c r="AE947" i="1"/>
  <c r="AE950" i="1"/>
  <c r="AE954" i="1"/>
  <c r="AE958" i="1"/>
  <c r="AE1041" i="1"/>
  <c r="AE963" i="1"/>
  <c r="AE968" i="1"/>
  <c r="AE972" i="1"/>
  <c r="AE976" i="1"/>
  <c r="AE980" i="1"/>
  <c r="AE984" i="1"/>
  <c r="AE988" i="1"/>
  <c r="AE992" i="1"/>
  <c r="AE996" i="1"/>
  <c r="AE1000" i="1"/>
  <c r="AE1004" i="1"/>
  <c r="AE1007" i="1"/>
  <c r="AE1010" i="1"/>
  <c r="AE1013" i="1"/>
  <c r="AE1016" i="1"/>
  <c r="AE1019" i="1"/>
  <c r="AE1022" i="1"/>
  <c r="AE1025" i="1"/>
  <c r="AE1027" i="1"/>
  <c r="AE1035" i="1"/>
  <c r="AE1038" i="1"/>
  <c r="AE932" i="1"/>
  <c r="AE935" i="1"/>
  <c r="AE939" i="1"/>
  <c r="AE1098" i="1"/>
  <c r="AE1102" i="1"/>
  <c r="AE1106" i="1"/>
  <c r="AE1114" i="1"/>
  <c r="AE1119" i="1"/>
  <c r="AE1124" i="1"/>
  <c r="AE1128" i="1"/>
  <c r="AE1132" i="1"/>
  <c r="AE1137" i="1"/>
  <c r="AE1145" i="1"/>
  <c r="AE1149" i="1"/>
  <c r="AE1153" i="1"/>
  <c r="AE1157" i="1"/>
  <c r="AE1161" i="1"/>
  <c r="AE1164" i="1"/>
  <c r="AE1169" i="1"/>
  <c r="AE1173" i="1"/>
  <c r="AE1177" i="1"/>
  <c r="AE1181" i="1"/>
  <c r="AE1186" i="1"/>
  <c r="AE1191" i="1"/>
  <c r="AE1198" i="1"/>
  <c r="AE1202" i="1"/>
  <c r="AE1205" i="1"/>
  <c r="AE1210" i="1"/>
  <c r="AE42" i="1"/>
  <c r="AE1239" i="1"/>
  <c r="AE1243" i="1"/>
  <c r="AE1247" i="1"/>
  <c r="AE1252" i="1"/>
  <c r="AE1257" i="1"/>
  <c r="AE1262" i="1"/>
  <c r="AE1267" i="1"/>
  <c r="AE1271" i="1"/>
  <c r="AE1276" i="1"/>
  <c r="AE1280" i="1"/>
  <c r="AE1283" i="1"/>
  <c r="AE1287" i="1"/>
  <c r="AE1292" i="1"/>
  <c r="AE1296" i="1"/>
  <c r="AE1303" i="1"/>
  <c r="AE1419" i="1"/>
  <c r="AE1426" i="1"/>
  <c r="AE1431" i="1"/>
  <c r="AE1436" i="1"/>
  <c r="AE1441" i="1"/>
  <c r="AE1445" i="1"/>
  <c r="AE1449" i="1"/>
  <c r="AE1453" i="1"/>
  <c r="AE1457" i="1"/>
  <c r="AE1466" i="1"/>
  <c r="AE1471" i="1"/>
  <c r="AE1502" i="1"/>
  <c r="AE1507" i="1"/>
  <c r="AE1511" i="1"/>
  <c r="AE1514" i="1"/>
  <c r="AE1517" i="1"/>
  <c r="AE1522" i="1"/>
  <c r="AE1716" i="1"/>
  <c r="AE1718" i="1"/>
  <c r="AE1722" i="1"/>
  <c r="AE1727" i="1"/>
  <c r="AE1730" i="1"/>
  <c r="AE1735" i="1"/>
  <c r="AE1739" i="1"/>
  <c r="AE1742" i="1"/>
  <c r="AE1745" i="1"/>
  <c r="AE55" i="1"/>
  <c r="AE1776" i="1"/>
  <c r="AE1779" i="1"/>
  <c r="AE1787" i="1"/>
  <c r="AE1791" i="1"/>
  <c r="AE1795" i="1"/>
  <c r="AE1799" i="1"/>
  <c r="AE1803" i="1"/>
  <c r="AE1807" i="1"/>
  <c r="AE1811" i="1"/>
  <c r="AE1813" i="1"/>
  <c r="AE1827" i="1"/>
  <c r="AE1773" i="1"/>
  <c r="AE1783" i="1"/>
  <c r="AE1904" i="1"/>
  <c r="AE1917" i="1"/>
  <c r="AE1921" i="1"/>
  <c r="AE1926" i="1"/>
  <c r="AE1929" i="1"/>
  <c r="AE1934" i="1"/>
  <c r="AE1938" i="1"/>
  <c r="AE1943" i="1"/>
  <c r="AE2137" i="1"/>
  <c r="AE2141" i="1"/>
  <c r="AE2146" i="1"/>
  <c r="AE2152" i="1"/>
  <c r="AE2156" i="1"/>
  <c r="AE2160" i="1"/>
  <c r="AE2164" i="1"/>
  <c r="AE2169" i="1"/>
  <c r="AE2173" i="1"/>
  <c r="AE2178" i="1"/>
  <c r="AE2182" i="1"/>
  <c r="AE2186" i="1"/>
  <c r="AE2190" i="1"/>
  <c r="AE2193" i="1"/>
  <c r="AE2196" i="1"/>
  <c r="AE2200" i="1"/>
  <c r="AE2204" i="1"/>
  <c r="AE2208" i="1"/>
  <c r="AE2211" i="1"/>
  <c r="AE2214" i="1"/>
  <c r="AE2217" i="1"/>
  <c r="AE2220" i="1"/>
  <c r="AE2225" i="1"/>
  <c r="AE2229" i="1"/>
  <c r="AE2233" i="1"/>
  <c r="AE2237" i="1"/>
  <c r="AE2241" i="1"/>
  <c r="AE2245" i="1"/>
  <c r="AE2249" i="1"/>
  <c r="AE2253" i="1"/>
  <c r="AE2256" i="1"/>
  <c r="AE2260" i="1"/>
  <c r="AE2263" i="1"/>
  <c r="AE2266" i="1"/>
  <c r="AE2268" i="1"/>
  <c r="AE2271" i="1"/>
  <c r="AE2274" i="1"/>
  <c r="AE2277" i="1"/>
  <c r="AE2278" i="1"/>
  <c r="AE2279" i="1"/>
  <c r="AE2281" i="1"/>
  <c r="AE2283" i="1"/>
  <c r="AE2286" i="1"/>
  <c r="AE2290" i="1"/>
  <c r="AE2292" i="1"/>
  <c r="AE2294" i="1"/>
  <c r="AE2296" i="1"/>
  <c r="AE2298" i="1"/>
  <c r="AE2335" i="1"/>
  <c r="AE2338" i="1"/>
  <c r="AE2341" i="1"/>
  <c r="AE2345" i="1"/>
  <c r="AE2350" i="1"/>
  <c r="AE2366" i="1"/>
  <c r="AE2371" i="1"/>
  <c r="AE2376" i="1"/>
  <c r="AE2384" i="1"/>
  <c r="AE2387" i="1"/>
  <c r="AE2392" i="1"/>
  <c r="AE2396" i="1"/>
  <c r="AE2399" i="1"/>
  <c r="AE2406" i="1"/>
  <c r="AE2414" i="1"/>
  <c r="AE2418" i="1"/>
  <c r="AE2429" i="1"/>
  <c r="AE2438" i="1"/>
  <c r="AE2440" i="1"/>
  <c r="AE2442" i="1"/>
  <c r="AE2446" i="1"/>
  <c r="AE2452" i="1"/>
  <c r="AE2457" i="1"/>
  <c r="AE2462" i="1"/>
  <c r="AE2425" i="1"/>
  <c r="AE75" i="1"/>
  <c r="AE4" i="1"/>
  <c r="AE86" i="1"/>
  <c r="AE91" i="1"/>
  <c r="AE96" i="1"/>
  <c r="AE101" i="1"/>
  <c r="AE106" i="1"/>
  <c r="AE111" i="1"/>
  <c r="AE116" i="1"/>
  <c r="AE120" i="1"/>
  <c r="AE125" i="1"/>
  <c r="AE6" i="1"/>
  <c r="AE7" i="1"/>
  <c r="AE143" i="1"/>
  <c r="AE147" i="1"/>
  <c r="AE150" i="1"/>
  <c r="AE157" i="1"/>
  <c r="AE161" i="1"/>
  <c r="AE166" i="1"/>
  <c r="AE183" i="1"/>
  <c r="AE186" i="1"/>
  <c r="AE190" i="1"/>
  <c r="AE193" i="1"/>
  <c r="AE196" i="1"/>
  <c r="AE198" i="1"/>
  <c r="AE201" i="1"/>
  <c r="AE209" i="1"/>
  <c r="AE218" i="1"/>
  <c r="AE224" i="1"/>
  <c r="AE227" i="1"/>
  <c r="AE230" i="1"/>
  <c r="AE234" i="1"/>
  <c r="AE241" i="1"/>
  <c r="AE243" i="1"/>
  <c r="AE245" i="1"/>
  <c r="AE292" i="1"/>
  <c r="AE253" i="1"/>
  <c r="AE256" i="1"/>
  <c r="AE259" i="1"/>
  <c r="AE261" i="1"/>
  <c r="AE274" i="1"/>
  <c r="AE277" i="1"/>
  <c r="AE281" i="1"/>
  <c r="AE286" i="1"/>
  <c r="AE289" i="1"/>
  <c r="AE337" i="1"/>
  <c r="AE341" i="1"/>
  <c r="AE346" i="1"/>
  <c r="AE350" i="1"/>
  <c r="AE355" i="1"/>
  <c r="AE357" i="1"/>
  <c r="AE362" i="1"/>
  <c r="AE366" i="1"/>
  <c r="AE370" i="1"/>
  <c r="AE373" i="1"/>
  <c r="AE377" i="1"/>
  <c r="AE380" i="1"/>
  <c r="AE384" i="1"/>
  <c r="AE388" i="1"/>
  <c r="AE391" i="1"/>
  <c r="AE393" i="1"/>
  <c r="AE395" i="1"/>
  <c r="AE399" i="1"/>
  <c r="AE402" i="1"/>
  <c r="AE406" i="1"/>
  <c r="AE408" i="1"/>
  <c r="AE411" i="1"/>
  <c r="AE413" i="1"/>
  <c r="AE415" i="1"/>
  <c r="AE417" i="1"/>
  <c r="AE420" i="1"/>
  <c r="AE424" i="1"/>
  <c r="AE428" i="1"/>
  <c r="AE432" i="1"/>
  <c r="AE436" i="1"/>
  <c r="AE445" i="1"/>
  <c r="AE448" i="1"/>
  <c r="AE451" i="1"/>
  <c r="AE455" i="1"/>
  <c r="AE593" i="1"/>
  <c r="AE597" i="1"/>
  <c r="AE608" i="1"/>
  <c r="AE613" i="1"/>
  <c r="AE623" i="1"/>
  <c r="AE627" i="1"/>
  <c r="AE631" i="1"/>
  <c r="AE634" i="1"/>
  <c r="AE639" i="1"/>
  <c r="AE643" i="1"/>
  <c r="AE2839" i="1"/>
  <c r="AE654" i="1"/>
  <c r="AE657" i="1"/>
  <c r="AE659" i="1"/>
  <c r="AE662" i="1"/>
  <c r="AE675" i="1"/>
  <c r="AE690" i="1"/>
  <c r="AE33" i="1"/>
  <c r="AE694" i="1"/>
  <c r="AE74" i="1"/>
  <c r="AE803" i="1"/>
  <c r="AE813" i="1"/>
  <c r="AE818" i="1"/>
  <c r="AE827" i="1"/>
  <c r="AE832" i="1"/>
  <c r="AE837" i="1"/>
  <c r="AE325" i="1"/>
  <c r="AE327" i="1"/>
  <c r="AE328" i="1"/>
  <c r="AE330" i="1"/>
  <c r="AE854" i="1"/>
  <c r="AE859" i="1"/>
  <c r="AE919" i="1"/>
  <c r="AE868" i="1"/>
  <c r="AE873" i="1"/>
  <c r="AE878" i="1"/>
  <c r="AE882" i="1"/>
  <c r="AE886" i="1"/>
  <c r="AE895" i="1"/>
  <c r="AE898" i="1"/>
  <c r="AE39" i="1"/>
  <c r="AE905" i="1"/>
  <c r="AE910" i="1"/>
  <c r="AE40" i="1"/>
  <c r="AE1337" i="1"/>
  <c r="AE1341" i="1"/>
  <c r="AE1344" i="1"/>
  <c r="AE1348" i="1"/>
  <c r="AE788" i="1"/>
  <c r="AE790" i="1"/>
  <c r="AE746" i="1"/>
  <c r="AE750" i="1"/>
  <c r="AE793" i="1"/>
  <c r="AE800" i="1"/>
  <c r="AE795" i="1"/>
  <c r="AE797" i="1"/>
  <c r="AE801" i="1"/>
  <c r="AE798" i="1"/>
  <c r="AE799" i="1"/>
  <c r="AE1312" i="1"/>
  <c r="AE1316" i="1"/>
  <c r="AE1320" i="1"/>
  <c r="AE1099" i="1"/>
  <c r="AE1103" i="1"/>
  <c r="AE1107" i="1"/>
  <c r="AE1110" i="1"/>
  <c r="AE1115" i="1"/>
  <c r="AE1120" i="1"/>
  <c r="AE1125" i="1"/>
  <c r="AE1129" i="1"/>
  <c r="AE1133" i="1"/>
  <c r="AE1138" i="1"/>
  <c r="AE1141" i="1"/>
  <c r="AE1146" i="1"/>
  <c r="AE1150" i="1"/>
  <c r="AE1154" i="1"/>
  <c r="AE1158" i="1"/>
  <c r="AE1165" i="1"/>
  <c r="AE1170" i="1"/>
  <c r="AE1174" i="1"/>
  <c r="AE1178" i="1"/>
  <c r="AE1182" i="1"/>
  <c r="AE1187" i="1"/>
  <c r="AE1192" i="1"/>
  <c r="AE1195" i="1"/>
  <c r="AE1199" i="1"/>
  <c r="AE1203" i="1"/>
  <c r="AE1206" i="1"/>
  <c r="AE1214" i="1"/>
  <c r="AE1218" i="1"/>
  <c r="AE1222" i="1"/>
  <c r="AE1225" i="1"/>
  <c r="AE1229" i="1"/>
  <c r="AE1232" i="1"/>
  <c r="AE1240" i="1"/>
  <c r="AE1244" i="1"/>
  <c r="AE1094" i="1"/>
  <c r="AE1248" i="1"/>
  <c r="AE1253" i="1"/>
  <c r="AE1258" i="1"/>
  <c r="AE1263" i="1"/>
  <c r="AE1268" i="1"/>
  <c r="AE1272" i="1"/>
  <c r="AE1277" i="1"/>
  <c r="AE1281" i="1"/>
  <c r="AE1284" i="1"/>
  <c r="AE1297" i="1"/>
  <c r="AE1300" i="1"/>
  <c r="AE1304" i="1"/>
  <c r="AE1306" i="1"/>
  <c r="AE1309" i="1"/>
  <c r="AE1313" i="1"/>
  <c r="AE1317" i="1"/>
  <c r="AE1321" i="1"/>
  <c r="AE1324" i="1"/>
  <c r="AE1327" i="1"/>
  <c r="AE1330" i="1"/>
  <c r="AE1332" i="1"/>
  <c r="AE1334" i="1"/>
  <c r="AE1338" i="1"/>
  <c r="AE1342" i="1"/>
  <c r="AE1345" i="1"/>
  <c r="AE2844" i="1"/>
  <c r="AE2845" i="1"/>
  <c r="AE2846" i="1"/>
  <c r="AE2847" i="1"/>
  <c r="AE2848" i="1"/>
  <c r="AE37" i="1"/>
  <c r="AE38" i="1"/>
  <c r="AE904" i="1"/>
  <c r="AE908" i="1"/>
  <c r="AE56" i="1"/>
  <c r="AE1420" i="1"/>
  <c r="AE1423" i="1"/>
  <c r="AE1427" i="1"/>
  <c r="AE1432" i="1"/>
  <c r="AE1437" i="1"/>
  <c r="AE1458" i="1"/>
  <c r="AE1462" i="1"/>
  <c r="AE1467" i="1"/>
  <c r="AE1472" i="1"/>
  <c r="AE1476" i="1"/>
  <c r="AE1480" i="1"/>
  <c r="AE1484" i="1"/>
  <c r="AE1488" i="1"/>
  <c r="AE1503" i="1"/>
  <c r="AE45" i="1"/>
  <c r="AE1518" i="1"/>
  <c r="AE1523" i="1"/>
  <c r="AE1536" i="1"/>
  <c r="AE1540" i="1"/>
  <c r="AE1544" i="1"/>
  <c r="AE1548" i="1"/>
  <c r="AE1553" i="1"/>
  <c r="AE1558" i="1"/>
  <c r="AE1563" i="1"/>
  <c r="AE1567" i="1"/>
  <c r="AE1569" i="1"/>
  <c r="AE1573" i="1"/>
  <c r="AE1577" i="1"/>
  <c r="AE1582" i="1"/>
  <c r="AE1586" i="1"/>
  <c r="AE1590" i="1"/>
  <c r="AE1593" i="1"/>
  <c r="AE1601" i="1"/>
  <c r="AE1605" i="1"/>
  <c r="AE1611" i="1"/>
  <c r="AE1615" i="1"/>
  <c r="AE1618" i="1"/>
  <c r="AE1717" i="1"/>
  <c r="AE1719" i="1"/>
  <c r="AE1723" i="1"/>
  <c r="AE1725" i="1"/>
  <c r="AE1728" i="1"/>
  <c r="AE1731" i="1"/>
  <c r="AE1733" i="1"/>
  <c r="AE1736" i="1"/>
  <c r="AE1740" i="1"/>
  <c r="AE1743" i="1"/>
  <c r="AE1746" i="1"/>
  <c r="AE1750" i="1"/>
  <c r="AE1753" i="1"/>
  <c r="AE1755" i="1"/>
  <c r="AE1757" i="1"/>
  <c r="AE3" i="1"/>
  <c r="AE1762" i="1"/>
  <c r="AE1764" i="1"/>
  <c r="AE1767" i="1"/>
  <c r="AE2850" i="1"/>
  <c r="AE1774" i="1"/>
  <c r="AE1777" i="1"/>
  <c r="AE1780" i="1"/>
  <c r="AE1784" i="1"/>
  <c r="AE1788" i="1"/>
  <c r="AE1792" i="1"/>
  <c r="AE1796" i="1"/>
  <c r="AE1800" i="1"/>
  <c r="AE1804" i="1"/>
  <c r="AE1808" i="1"/>
  <c r="AE1816" i="1"/>
  <c r="AE1821" i="1"/>
  <c r="AE1824" i="1"/>
  <c r="AE1831" i="1"/>
  <c r="AE1836" i="1"/>
  <c r="AE1839" i="1"/>
  <c r="AE1842" i="1"/>
  <c r="AE1846" i="1"/>
  <c r="AE1850" i="1"/>
  <c r="AE1853" i="1"/>
  <c r="AE1855" i="1"/>
  <c r="AE1858" i="1"/>
  <c r="AE2040" i="1"/>
  <c r="AE2042" i="1"/>
  <c r="AE2049" i="1"/>
  <c r="AE2051" i="1"/>
  <c r="AE1942" i="1"/>
  <c r="AE2140" i="1"/>
  <c r="AE2308" i="1"/>
  <c r="AE2310" i="1"/>
  <c r="AE2312" i="1"/>
  <c r="AE2163" i="1"/>
  <c r="AE2177" i="1"/>
  <c r="AE2328" i="1"/>
  <c r="AE2324" i="1"/>
  <c r="AE2323" i="1"/>
  <c r="AE2317" i="1"/>
  <c r="AE2319" i="1"/>
  <c r="AE2321" i="1"/>
  <c r="AE2322" i="1"/>
  <c r="AE2315" i="1"/>
  <c r="AE2854" i="1"/>
  <c r="AE2267" i="1"/>
  <c r="AE2325" i="1"/>
  <c r="AE2326" i="1"/>
  <c r="AE2255" i="1"/>
  <c r="AE2330" i="1"/>
  <c r="AE1939" i="1"/>
  <c r="AE1944" i="1"/>
  <c r="AE1947" i="1"/>
  <c r="AE1951" i="1"/>
  <c r="AE1954" i="1"/>
  <c r="AE1958" i="1"/>
  <c r="AE1961" i="1"/>
  <c r="AE1965" i="1"/>
  <c r="AE1970" i="1"/>
  <c r="AE1977" i="1"/>
  <c r="AE1981" i="1"/>
  <c r="AE1985" i="1"/>
  <c r="AE1989" i="1"/>
  <c r="AE1993" i="1"/>
  <c r="AE1997" i="1"/>
  <c r="AE2003" i="1"/>
  <c r="AE2006" i="1"/>
  <c r="AE2009" i="1"/>
  <c r="AE2015" i="1"/>
  <c r="AE2021" i="1"/>
  <c r="AE2030" i="1"/>
  <c r="AE2032" i="1"/>
  <c r="AE2034" i="1"/>
  <c r="AE2138" i="1"/>
  <c r="AE2142" i="1"/>
  <c r="AE2147" i="1"/>
  <c r="AE2153" i="1"/>
  <c r="AE2157" i="1"/>
  <c r="AE2161" i="1"/>
  <c r="AE2165" i="1"/>
  <c r="AE2174" i="1"/>
  <c r="AE2179" i="1"/>
  <c r="AE2183" i="1"/>
  <c r="AE2187" i="1"/>
  <c r="AE2191" i="1"/>
  <c r="AE2194" i="1"/>
  <c r="AE2197" i="1"/>
  <c r="AE2201" i="1"/>
  <c r="AE2205" i="1"/>
  <c r="AE2209" i="1"/>
  <c r="AE2212" i="1"/>
  <c r="AE2215" i="1"/>
  <c r="AE2218" i="1"/>
  <c r="AE2221" i="1"/>
  <c r="AE2226" i="1"/>
  <c r="AE1679" i="1"/>
  <c r="AE1680" i="1"/>
  <c r="AE1681" i="1"/>
  <c r="AE1705" i="1"/>
  <c r="AE1604" i="1"/>
  <c r="AE1607" i="1"/>
  <c r="AE1608" i="1"/>
  <c r="AE1610" i="1"/>
  <c r="AE1614" i="1"/>
  <c r="AE1617" i="1"/>
  <c r="AE1620" i="1"/>
  <c r="AE1622" i="1"/>
  <c r="AE1624" i="1"/>
  <c r="AE1627" i="1"/>
  <c r="AE1682" i="1"/>
  <c r="AE1683" i="1"/>
  <c r="AE1684" i="1"/>
  <c r="AE1638" i="1"/>
  <c r="AE1707" i="1"/>
  <c r="AE1685" i="1"/>
  <c r="AE1686" i="1"/>
  <c r="AE1687" i="1"/>
  <c r="AE1688" i="1"/>
  <c r="AE1689" i="1"/>
  <c r="AE1690" i="1"/>
  <c r="AE1706" i="1"/>
  <c r="AE1653" i="1"/>
  <c r="AE1691" i="1"/>
  <c r="AE1692" i="1"/>
  <c r="AE1693" i="1"/>
  <c r="AE1694" i="1"/>
  <c r="AE1695" i="1"/>
  <c r="AE1696" i="1"/>
  <c r="AE1697" i="1"/>
  <c r="AE1698" i="1"/>
  <c r="AE1699" i="1"/>
  <c r="AE1701" i="1"/>
  <c r="AE1702" i="1"/>
  <c r="AE1703" i="1"/>
  <c r="AE1704" i="1"/>
  <c r="AE2663" i="1"/>
  <c r="AE2669" i="1"/>
  <c r="AE2666" i="1"/>
  <c r="AE2672" i="1"/>
  <c r="AE2675" i="1"/>
  <c r="AE2678" i="1"/>
  <c r="AE2681" i="1"/>
  <c r="AE2684" i="1"/>
  <c r="AE2690" i="1"/>
  <c r="AE2693" i="1"/>
  <c r="AE2720" i="1"/>
  <c r="AE2687" i="1"/>
  <c r="AE2721" i="1"/>
  <c r="AE2714" i="1"/>
  <c r="AE2716" i="1"/>
  <c r="AE2719" i="1"/>
  <c r="AE1700" i="1"/>
  <c r="AE2602" i="1"/>
  <c r="AE2606" i="1"/>
  <c r="AE2635" i="1"/>
  <c r="AE2614" i="1"/>
  <c r="AE2619" i="1"/>
  <c r="AE2624" i="1"/>
  <c r="AE2639" i="1"/>
  <c r="AE2649" i="1"/>
  <c r="AE2643" i="1"/>
  <c r="AE2547" i="1"/>
  <c r="AE2513" i="1"/>
  <c r="AE2517" i="1"/>
  <c r="AE2521" i="1"/>
  <c r="AE2524" i="1"/>
  <c r="AE2526" i="1"/>
  <c r="AE2555" i="1"/>
  <c r="AE2533" i="1"/>
  <c r="AE2550" i="1"/>
  <c r="AE2552" i="1"/>
  <c r="AE2536" i="1"/>
  <c r="AE2539" i="1"/>
  <c r="AE2542" i="1"/>
  <c r="AE2506" i="1"/>
  <c r="AE2510" i="1"/>
  <c r="AE62" i="1"/>
  <c r="AE2342" i="1"/>
  <c r="AE2346" i="1"/>
  <c r="AE2351" i="1"/>
  <c r="AE2354" i="1"/>
  <c r="AE2358" i="1"/>
  <c r="AE2362" i="1"/>
  <c r="AE2367" i="1"/>
  <c r="AE2372" i="1"/>
  <c r="AE2380" i="1"/>
  <c r="AE2388" i="1"/>
  <c r="AE2393" i="1"/>
  <c r="AE2403" i="1"/>
  <c r="AE2407" i="1"/>
  <c r="AE2411" i="1"/>
  <c r="AE2415" i="1"/>
  <c r="AE2419" i="1"/>
  <c r="AE2422" i="1"/>
  <c r="AE2426" i="1"/>
  <c r="AE2430" i="1"/>
  <c r="AE2432" i="1"/>
  <c r="AE2435" i="1"/>
  <c r="AE2443" i="1"/>
  <c r="AE2447" i="1"/>
  <c r="AE2448" i="1"/>
  <c r="AE2453" i="1"/>
  <c r="AE2458" i="1"/>
  <c r="AE2463" i="1"/>
  <c r="AE2466" i="1"/>
  <c r="AE2471" i="1"/>
  <c r="AE2479" i="1"/>
  <c r="AE2487" i="1"/>
  <c r="AE2495" i="1"/>
  <c r="AE2501" i="1"/>
  <c r="AE2507" i="1"/>
  <c r="AE2515" i="1"/>
  <c r="AE2522" i="1"/>
  <c r="AE2525" i="1"/>
  <c r="AE2527" i="1"/>
  <c r="AE2528" i="1"/>
  <c r="AE2529" i="1"/>
  <c r="AE2531" i="1"/>
  <c r="AE2534" i="1"/>
  <c r="AE2537" i="1"/>
  <c r="AE2540" i="1"/>
  <c r="AE2543" i="1"/>
  <c r="AE2548" i="1"/>
  <c r="AE2553" i="1"/>
  <c r="AE2556" i="1"/>
  <c r="AE2557" i="1"/>
  <c r="AE2559" i="1"/>
  <c r="AE2562" i="1"/>
  <c r="AE2565" i="1"/>
  <c r="AE2567" i="1"/>
  <c r="AE2568" i="1"/>
  <c r="AE133" i="1"/>
  <c r="AE136" i="1"/>
  <c r="AE139" i="1"/>
  <c r="AE144" i="1"/>
  <c r="AE148" i="1"/>
  <c r="AE151" i="1"/>
  <c r="AE153" i="1"/>
  <c r="AE155" i="1"/>
  <c r="AE158" i="1"/>
  <c r="AE162" i="1"/>
  <c r="AE167" i="1"/>
  <c r="AE171" i="1"/>
  <c r="AE174" i="1"/>
  <c r="AE178" i="1"/>
  <c r="AE181" i="1"/>
  <c r="AE187" i="1"/>
  <c r="AE194" i="1"/>
  <c r="AE199" i="1"/>
  <c r="AE202" i="1"/>
  <c r="AE205" i="1"/>
  <c r="AE212" i="1"/>
  <c r="AE215" i="1"/>
  <c r="AE219" i="1"/>
  <c r="AE11" i="1"/>
  <c r="AE12" i="1"/>
  <c r="AE13" i="1"/>
  <c r="AE231" i="1"/>
  <c r="AE236" i="1"/>
  <c r="AE239" i="1"/>
  <c r="AE264" i="1"/>
  <c r="AE248" i="1"/>
  <c r="AE262" i="1"/>
  <c r="AE698" i="1"/>
  <c r="AE701" i="1"/>
  <c r="AE704" i="1"/>
  <c r="AE705" i="1"/>
  <c r="AE708" i="1"/>
  <c r="AE711" i="1"/>
  <c r="AE714" i="1"/>
  <c r="AE717" i="1"/>
  <c r="AE719" i="1"/>
  <c r="AE336" i="1"/>
  <c r="AE340" i="1"/>
  <c r="AE398" i="1"/>
  <c r="AE401" i="1"/>
  <c r="AE405" i="1"/>
  <c r="AE586" i="1"/>
  <c r="AE587" i="1"/>
  <c r="AE588" i="1"/>
  <c r="AE589" i="1"/>
  <c r="AE590" i="1"/>
  <c r="AE591" i="1"/>
  <c r="AE598" i="1"/>
  <c r="AE601" i="1"/>
  <c r="AE605" i="1"/>
  <c r="AE609" i="1"/>
  <c r="AE624" i="1"/>
  <c r="AE628" i="1"/>
  <c r="AE635" i="1"/>
  <c r="AE649" i="1"/>
  <c r="AE27" i="1"/>
  <c r="AE660" i="1"/>
  <c r="AE663" i="1"/>
  <c r="AE666" i="1"/>
  <c r="AE669" i="1"/>
  <c r="AE672" i="1"/>
  <c r="AE680" i="1"/>
  <c r="AE682" i="1"/>
  <c r="AE31" i="1"/>
  <c r="AE687" i="1"/>
  <c r="AE32" i="1"/>
  <c r="AE695" i="1"/>
  <c r="AE50" i="1"/>
  <c r="AE722" i="1"/>
  <c r="AE745" i="1"/>
  <c r="AE748" i="1"/>
  <c r="AE752" i="1"/>
  <c r="AE725" i="1"/>
  <c r="AE728" i="1"/>
  <c r="AE731" i="1"/>
  <c r="AE732" i="1"/>
  <c r="AE34" i="1"/>
  <c r="AE740" i="1"/>
  <c r="AE743" i="1"/>
  <c r="AE804" i="1"/>
  <c r="AE806" i="1"/>
  <c r="AE809" i="1"/>
  <c r="AE814" i="1"/>
  <c r="AE819" i="1"/>
  <c r="AE823" i="1"/>
  <c r="AE828" i="1"/>
  <c r="AE833" i="1"/>
  <c r="AE838" i="1"/>
  <c r="AE846" i="1"/>
  <c r="AE850" i="1"/>
  <c r="AE855" i="1"/>
  <c r="AE860" i="1"/>
  <c r="AE864" i="1"/>
  <c r="AE869" i="1"/>
  <c r="AE874" i="1"/>
  <c r="AE879" i="1"/>
  <c r="AE883" i="1"/>
  <c r="AE887" i="1"/>
  <c r="AE890" i="1"/>
  <c r="AE893" i="1"/>
  <c r="AE896" i="1"/>
  <c r="AE899" i="1"/>
  <c r="AE902" i="1"/>
  <c r="AE903" i="1"/>
  <c r="AE906" i="1"/>
  <c r="AE911" i="1"/>
  <c r="AE914" i="1"/>
  <c r="AE916" i="1"/>
  <c r="AE920" i="1"/>
  <c r="AE923" i="1"/>
  <c r="AE926" i="1"/>
  <c r="AE930" i="1"/>
  <c r="AE933" i="1"/>
  <c r="AE937" i="1"/>
  <c r="AE940" i="1"/>
  <c r="AE943" i="1"/>
  <c r="AE946" i="1"/>
  <c r="AE948" i="1"/>
  <c r="AE952" i="1"/>
  <c r="AE956" i="1"/>
  <c r="AE959" i="1"/>
  <c r="AE961" i="1"/>
  <c r="AE966" i="1"/>
  <c r="AE970" i="1"/>
  <c r="AE974" i="1"/>
  <c r="AE978" i="1"/>
  <c r="AE982" i="1"/>
  <c r="AE986" i="1"/>
  <c r="AE990" i="1"/>
  <c r="AE994" i="1"/>
  <c r="AE998" i="1"/>
  <c r="AE1002" i="1"/>
  <c r="AE1005" i="1"/>
  <c r="AE1008" i="1"/>
  <c r="AE1011" i="1"/>
  <c r="AE1014" i="1"/>
  <c r="AE1017" i="1"/>
  <c r="AE1020" i="1"/>
  <c r="AE1023" i="1"/>
  <c r="AE1026" i="1"/>
  <c r="AE1028" i="1"/>
  <c r="AE1030" i="1"/>
  <c r="AE1032" i="1"/>
  <c r="AE1033" i="1"/>
  <c r="AE1036" i="1"/>
  <c r="AE1039" i="1"/>
  <c r="AE1042" i="1"/>
  <c r="AE1044" i="1"/>
  <c r="AE1046" i="1"/>
  <c r="AE1048" i="1"/>
  <c r="AE1050" i="1"/>
  <c r="AE1052" i="1"/>
  <c r="AE1054" i="1"/>
  <c r="AE1056" i="1"/>
  <c r="AE1063" i="1"/>
  <c r="AE1068" i="1"/>
  <c r="AE1070" i="1"/>
  <c r="AE1074" i="1"/>
  <c r="AE1076" i="1"/>
  <c r="AE1077" i="1"/>
  <c r="AE1079" i="1"/>
  <c r="AE1081" i="1"/>
  <c r="AE1082" i="1"/>
  <c r="AE1084" i="1"/>
  <c r="AE1085" i="1"/>
  <c r="AE1087" i="1"/>
  <c r="AE1095" i="1"/>
  <c r="AE1100" i="1"/>
  <c r="AE1104" i="1"/>
  <c r="AE1111" i="1"/>
  <c r="AE1116" i="1"/>
  <c r="AE1121" i="1"/>
  <c r="AE1126" i="1"/>
  <c r="AE1134" i="1"/>
  <c r="AE1142" i="1"/>
  <c r="AE1183" i="1"/>
  <c r="AE1188" i="1"/>
  <c r="AE1215" i="1"/>
  <c r="AE1219" i="1"/>
  <c r="AE1223" i="1"/>
  <c r="AE1226" i="1"/>
  <c r="AE1241" i="1"/>
  <c r="AE1245" i="1"/>
  <c r="AE1249" i="1"/>
  <c r="AE1254" i="1"/>
  <c r="AE1259" i="1"/>
  <c r="AE1264" i="1"/>
  <c r="AE1269" i="1"/>
  <c r="AE1273" i="1"/>
  <c r="AE43" i="1"/>
  <c r="AE1289" i="1"/>
  <c r="AE1294" i="1"/>
  <c r="AE1298" i="1"/>
  <c r="AE1301" i="1"/>
  <c r="AE1428" i="1"/>
  <c r="AE1433" i="1"/>
  <c r="AE1438" i="1"/>
  <c r="AE1442" i="1"/>
  <c r="AE1446" i="1"/>
  <c r="AE1450" i="1"/>
  <c r="AE1454" i="1"/>
  <c r="AE1459" i="1"/>
  <c r="AE1463" i="1"/>
  <c r="AE1468" i="1"/>
  <c r="AE1473" i="1"/>
  <c r="AE1477" i="1"/>
  <c r="AE1481" i="1"/>
  <c r="AE1485" i="1"/>
  <c r="AE1489" i="1"/>
  <c r="AE1492" i="1"/>
  <c r="AE1508" i="1"/>
  <c r="AE2858" i="1"/>
  <c r="AE1519" i="1"/>
  <c r="AE1524" i="1"/>
  <c r="AE1527" i="1"/>
  <c r="AE1529" i="1"/>
  <c r="AE1533" i="1"/>
  <c r="AE1537" i="1"/>
  <c r="AE1541" i="1"/>
  <c r="AE1545" i="1"/>
  <c r="AE1549" i="1"/>
  <c r="AE1554" i="1"/>
  <c r="AE1559" i="1"/>
  <c r="AE1564" i="1"/>
  <c r="AE1570" i="1"/>
  <c r="AE1574" i="1"/>
  <c r="AE1578" i="1"/>
  <c r="AE1583" i="1"/>
  <c r="AE1587" i="1"/>
  <c r="AE1591" i="1"/>
  <c r="AE1594" i="1"/>
  <c r="AE1596" i="1"/>
  <c r="AE1599" i="1"/>
  <c r="AE1602" i="1"/>
  <c r="AE2603" i="1"/>
  <c r="AE2607" i="1"/>
  <c r="AE2611" i="1"/>
  <c r="AE2615" i="1"/>
  <c r="AE2627" i="1"/>
  <c r="AE2620" i="1"/>
  <c r="AE2622" i="1"/>
  <c r="AE2625" i="1"/>
  <c r="AE2630" i="1"/>
  <c r="AE2632" i="1"/>
  <c r="AE2636" i="1"/>
  <c r="AE2640" i="1"/>
  <c r="AE2644" i="1"/>
  <c r="AE67" i="1"/>
  <c r="AE841" i="1"/>
  <c r="AE925" i="1"/>
  <c r="AE929" i="1"/>
  <c r="AE936" i="1"/>
  <c r="AE36" i="1"/>
  <c r="AE2149" i="1"/>
  <c r="AE2154" i="1"/>
  <c r="AE2158" i="1"/>
  <c r="AE2162" i="1"/>
  <c r="AE2166" i="1"/>
  <c r="AE2170" i="1"/>
  <c r="AE2175" i="1"/>
  <c r="AE2180" i="1"/>
  <c r="AE2184" i="1"/>
  <c r="AE2188" i="1"/>
  <c r="AE2192" i="1"/>
  <c r="AE2195" i="1"/>
  <c r="AE2198" i="1"/>
  <c r="AE2202" i="1"/>
  <c r="AE2206" i="1"/>
  <c r="AE2210" i="1"/>
  <c r="AE2213" i="1"/>
  <c r="AE2216" i="1"/>
  <c r="AE2222" i="1"/>
  <c r="AE2227" i="1"/>
  <c r="AE2231" i="1"/>
  <c r="AE2235" i="1"/>
  <c r="AE2239" i="1"/>
  <c r="AE2247" i="1"/>
  <c r="AE2258" i="1"/>
  <c r="AE2261" i="1"/>
  <c r="AE2264" i="1"/>
  <c r="AE2269" i="1"/>
  <c r="AE2272" i="1"/>
  <c r="AE2275" i="1"/>
  <c r="AE2285" i="1"/>
  <c r="AE2288" i="1"/>
  <c r="AE2291" i="1"/>
  <c r="AE2293" i="1"/>
  <c r="AE2295" i="1"/>
  <c r="AE2297" i="1"/>
  <c r="AE2299" i="1"/>
  <c r="AE2300" i="1"/>
  <c r="AE2302" i="1"/>
  <c r="AE2304" i="1"/>
  <c r="AE1724" i="1"/>
  <c r="AE1726" i="1"/>
  <c r="AE1729" i="1"/>
  <c r="AE1732" i="1"/>
  <c r="AE1734" i="1"/>
  <c r="AE1737" i="1"/>
  <c r="AE1741" i="1"/>
  <c r="AE1744" i="1"/>
  <c r="AE1747" i="1"/>
  <c r="AE1751" i="1"/>
  <c r="AE1754" i="1"/>
  <c r="AE1756" i="1"/>
  <c r="AE1758" i="1"/>
  <c r="AE1760" i="1"/>
  <c r="AE1763" i="1"/>
  <c r="AE1765" i="1"/>
  <c r="AE1768" i="1"/>
  <c r="AE1770" i="1"/>
  <c r="AE1775" i="1"/>
  <c r="AE1778" i="1"/>
  <c r="AE1781" i="1"/>
  <c r="AE1785" i="1"/>
  <c r="AE1789" i="1"/>
  <c r="AE1793" i="1"/>
  <c r="AE1797" i="1"/>
  <c r="AE1801" i="1"/>
  <c r="AE1805" i="1"/>
  <c r="AE1809" i="1"/>
  <c r="AE1812" i="1"/>
  <c r="AE1814" i="1"/>
  <c r="AE1815" i="1"/>
  <c r="AE1817" i="1"/>
  <c r="AE1822" i="1"/>
  <c r="AE1825" i="1"/>
  <c r="AE1828" i="1"/>
  <c r="AE1843" i="1"/>
  <c r="AE1847" i="1"/>
  <c r="AE2336" i="1"/>
  <c r="AE2339" i="1"/>
  <c r="AE2343" i="1"/>
  <c r="AE2347" i="1"/>
  <c r="AE2352" i="1"/>
  <c r="AE2355" i="1"/>
  <c r="AE2359" i="1"/>
  <c r="AE2363" i="1"/>
  <c r="AE2368" i="1"/>
  <c r="AE2373" i="1"/>
  <c r="AE2377" i="1"/>
  <c r="AE2381" i="1"/>
  <c r="AE2389" i="1"/>
  <c r="AE2404" i="1"/>
  <c r="AE2449" i="1"/>
  <c r="AE2454" i="1"/>
  <c r="AE2459" i="1"/>
  <c r="AE2464" i="1"/>
  <c r="AE2467" i="1"/>
  <c r="AE2472" i="1"/>
  <c r="AE2475" i="1"/>
  <c r="AE2480" i="1"/>
  <c r="AE2484" i="1"/>
  <c r="AE2488" i="1"/>
  <c r="AE2492" i="1"/>
  <c r="AE2496" i="1"/>
  <c r="AE2499" i="1"/>
  <c r="AE2502" i="1"/>
  <c r="AE2504" i="1"/>
  <c r="AE2508" i="1"/>
  <c r="AE2511" i="1"/>
  <c r="AE2516" i="1"/>
  <c r="AE2532" i="1"/>
  <c r="AE314" i="1"/>
  <c r="AE304" i="1"/>
  <c r="AE307" i="1"/>
  <c r="AE1902" i="1"/>
  <c r="AE1905" i="1"/>
  <c r="AE1907" i="1"/>
  <c r="AE1909" i="1"/>
  <c r="AE1911" i="1"/>
  <c r="AE1914" i="1"/>
  <c r="AE1918" i="1"/>
  <c r="AE1922" i="1"/>
  <c r="AE1924" i="1"/>
  <c r="AE1927" i="1"/>
  <c r="AE1930" i="1"/>
  <c r="AE1932" i="1"/>
  <c r="AE1935" i="1"/>
  <c r="AE1940" i="1"/>
  <c r="AE1945" i="1"/>
  <c r="AE1948" i="1"/>
  <c r="AE1952" i="1"/>
  <c r="AE1955" i="1"/>
  <c r="AE1959" i="1"/>
  <c r="AE1962" i="1"/>
  <c r="AE1966" i="1"/>
  <c r="AE1971" i="1"/>
  <c r="AE1974" i="1"/>
  <c r="AE1978" i="1"/>
  <c r="AE1982" i="1"/>
  <c r="AE1986" i="1"/>
  <c r="AE1990" i="1"/>
  <c r="AE1994" i="1"/>
  <c r="AE2000" i="1"/>
  <c r="AE2004" i="1"/>
  <c r="AE2007" i="1"/>
  <c r="AE2010" i="1"/>
  <c r="AE2012" i="1"/>
  <c r="AE2014" i="1"/>
  <c r="AE2016" i="1"/>
  <c r="AE2017" i="1"/>
  <c r="AE2019" i="1"/>
  <c r="AE2020" i="1"/>
  <c r="AE2022" i="1"/>
  <c r="AE2024" i="1"/>
  <c r="AE2025" i="1"/>
  <c r="AE2026" i="1"/>
  <c r="AE2027" i="1"/>
  <c r="AE2028" i="1"/>
  <c r="AE2029" i="1"/>
  <c r="AE2031" i="1"/>
  <c r="AE2033" i="1"/>
  <c r="AE2035" i="1"/>
  <c r="AE2036" i="1"/>
  <c r="AE2038" i="1"/>
  <c r="AE2039" i="1"/>
  <c r="AE2041" i="1"/>
  <c r="AE2044" i="1"/>
  <c r="AE2046" i="1"/>
  <c r="AE2048" i="1"/>
  <c r="AE2050" i="1"/>
  <c r="AE2052" i="1"/>
  <c r="AE2054" i="1"/>
  <c r="AE2057" i="1"/>
  <c r="AE2060" i="1"/>
  <c r="AE2063" i="1"/>
  <c r="AE2066" i="1"/>
  <c r="AE2068" i="1"/>
  <c r="AE2069" i="1"/>
  <c r="AE2070" i="1"/>
  <c r="AE2072" i="1"/>
  <c r="AE2074" i="1"/>
  <c r="AE2076" i="1"/>
  <c r="AE2078" i="1"/>
  <c r="AE2079" i="1"/>
  <c r="AE2081" i="1"/>
  <c r="AE2083" i="1"/>
  <c r="AE2085" i="1"/>
  <c r="AE2087" i="1"/>
  <c r="AE2089" i="1"/>
  <c r="AE2091" i="1"/>
  <c r="AE2093" i="1"/>
  <c r="AE2095" i="1"/>
  <c r="AE2097" i="1"/>
  <c r="AE2099" i="1"/>
  <c r="AE2101" i="1"/>
  <c r="AE2103" i="1"/>
  <c r="AE2105" i="1"/>
  <c r="AE2107" i="1"/>
  <c r="AE2109" i="1"/>
  <c r="AE2110" i="1"/>
  <c r="AE2111" i="1"/>
  <c r="AE2112" i="1"/>
  <c r="AE2113" i="1"/>
  <c r="AE2114" i="1"/>
  <c r="AE2115" i="1"/>
  <c r="AE2116" i="1"/>
  <c r="AE2117" i="1"/>
  <c r="AE2118" i="1"/>
  <c r="AE2119" i="1"/>
  <c r="AE2120" i="1"/>
  <c r="AE2121" i="1"/>
  <c r="AE2122" i="1"/>
  <c r="AE2123" i="1"/>
  <c r="AE2124" i="1"/>
  <c r="AE2125" i="1"/>
  <c r="AE321" i="1"/>
  <c r="AE317" i="1"/>
  <c r="AE319" i="1"/>
  <c r="AE323" i="1"/>
  <c r="AE324" i="1"/>
  <c r="AE312" i="1"/>
  <c r="AE326" i="1"/>
  <c r="AE332" i="1"/>
  <c r="AE331" i="1"/>
  <c r="AE329" i="1"/>
  <c r="AE1969" i="1"/>
  <c r="AE1973" i="1"/>
  <c r="AE599" i="1"/>
  <c r="AE602" i="1"/>
  <c r="AE606" i="1"/>
  <c r="AE610" i="1"/>
  <c r="AE614" i="1"/>
  <c r="AE22" i="1"/>
  <c r="AE23" i="1"/>
  <c r="AE620" i="1"/>
  <c r="AE24" i="1"/>
  <c r="AE25" i="1"/>
  <c r="AE26" i="1"/>
  <c r="AE636" i="1"/>
  <c r="AE640" i="1"/>
  <c r="AE644" i="1"/>
  <c r="AE28" i="1"/>
  <c r="AE664" i="1"/>
  <c r="AE667" i="1"/>
  <c r="AE670" i="1"/>
  <c r="AE673" i="1"/>
  <c r="AE2474" i="1"/>
  <c r="AE2514" i="1"/>
  <c r="AE2518" i="1"/>
  <c r="AE2470" i="1"/>
  <c r="AE2483" i="1"/>
  <c r="AE2402" i="1"/>
  <c r="AE2410" i="1"/>
  <c r="AE60" i="1"/>
  <c r="AE807" i="1"/>
  <c r="AE810" i="1"/>
  <c r="AE815" i="1"/>
  <c r="AE820" i="1"/>
  <c r="AE822" i="1"/>
  <c r="AE824" i="1"/>
  <c r="AE829" i="1"/>
  <c r="AE834" i="1"/>
  <c r="AE839" i="1"/>
  <c r="AE843" i="1"/>
  <c r="AE847" i="1"/>
  <c r="AE851" i="1"/>
  <c r="AE856" i="1"/>
  <c r="AE861" i="1"/>
  <c r="AE865" i="1"/>
  <c r="AE870" i="1"/>
  <c r="AE875" i="1"/>
  <c r="AE880" i="1"/>
  <c r="AE884" i="1"/>
  <c r="AE888" i="1"/>
  <c r="AE894" i="1"/>
  <c r="AE897" i="1"/>
  <c r="AE900" i="1"/>
  <c r="AE907" i="1"/>
  <c r="AE912" i="1"/>
  <c r="AE917" i="1"/>
  <c r="AE921" i="1"/>
  <c r="AE931" i="1"/>
  <c r="AE934" i="1"/>
  <c r="AE938" i="1"/>
  <c r="AE941" i="1"/>
  <c r="AE944" i="1"/>
  <c r="AE949" i="1"/>
  <c r="AE953" i="1"/>
  <c r="AE957" i="1"/>
  <c r="AE960" i="1"/>
  <c r="AE962" i="1"/>
  <c r="AE967" i="1"/>
  <c r="AE971" i="1"/>
  <c r="AE975" i="1"/>
  <c r="AE979" i="1"/>
  <c r="AE983" i="1"/>
  <c r="AE987" i="1"/>
  <c r="AE991" i="1"/>
  <c r="AE995" i="1"/>
  <c r="AE999" i="1"/>
  <c r="AE1003" i="1"/>
  <c r="AE1006" i="1"/>
  <c r="AE1009" i="1"/>
  <c r="AE1012" i="1"/>
  <c r="AE1015" i="1"/>
  <c r="AE1018" i="1"/>
  <c r="AE1021" i="1"/>
  <c r="AE1024" i="1"/>
  <c r="AE1029" i="1"/>
  <c r="AE1031" i="1"/>
  <c r="AE1034" i="1"/>
  <c r="AE1037" i="1"/>
  <c r="AE1040" i="1"/>
  <c r="AE1043" i="1"/>
  <c r="AE1045" i="1"/>
  <c r="AE1047" i="1"/>
  <c r="AE1049" i="1"/>
  <c r="AE1051" i="1"/>
  <c r="AE1053" i="1"/>
  <c r="AE1055" i="1"/>
  <c r="AE1057" i="1"/>
  <c r="AE1058" i="1"/>
  <c r="AE1059" i="1"/>
  <c r="AE1060" i="1"/>
  <c r="AE1064" i="1"/>
  <c r="AE1066" i="1"/>
  <c r="AE1069" i="1"/>
  <c r="AE1071" i="1"/>
  <c r="AE1072" i="1"/>
  <c r="AE1075" i="1"/>
  <c r="AE1080" i="1"/>
  <c r="AE2843" i="1"/>
  <c r="AE1083" i="1"/>
  <c r="AE1086" i="1"/>
  <c r="AE1088" i="1"/>
  <c r="AE1089" i="1"/>
  <c r="AE1090" i="1"/>
  <c r="AE2491" i="1"/>
  <c r="AE2478" i="1"/>
  <c r="AE2656" i="1"/>
  <c r="AE2659" i="1"/>
  <c r="AE2664" i="1"/>
  <c r="AE309" i="1"/>
  <c r="AE1096" i="1"/>
  <c r="AE1112" i="1"/>
  <c r="AE1117" i="1"/>
  <c r="AE1122" i="1"/>
  <c r="AE1130" i="1"/>
  <c r="AE1135" i="1"/>
  <c r="AE1139" i="1"/>
  <c r="AE1143" i="1"/>
  <c r="AE1147" i="1"/>
  <c r="AE1151" i="1"/>
  <c r="AE1155" i="1"/>
  <c r="AE1159" i="1"/>
  <c r="AE1162" i="1"/>
  <c r="AE1167" i="1"/>
  <c r="AE1171" i="1"/>
  <c r="AE1175" i="1"/>
  <c r="AE1179" i="1"/>
  <c r="AE1184" i="1"/>
  <c r="AE1189" i="1"/>
  <c r="AE1193" i="1"/>
  <c r="AE1196" i="1"/>
  <c r="AE1200" i="1"/>
  <c r="AE1204" i="1"/>
  <c r="AE1208" i="1"/>
  <c r="AE1212" i="1"/>
  <c r="AE1216" i="1"/>
  <c r="AE1220" i="1"/>
  <c r="AE1227" i="1"/>
  <c r="AE1230" i="1"/>
  <c r="AE1234" i="1"/>
  <c r="AE1250" i="1"/>
  <c r="AE1255" i="1"/>
  <c r="AE1260" i="1"/>
  <c r="AE1265" i="1"/>
  <c r="AE1270" i="1"/>
  <c r="AE1274" i="1"/>
  <c r="AE1278" i="1"/>
  <c r="AE1282" i="1"/>
  <c r="AE1285" i="1"/>
  <c r="AE1290" i="1"/>
  <c r="AE1295" i="1"/>
  <c r="AE1299" i="1"/>
  <c r="AE1302" i="1"/>
  <c r="AE1305" i="1"/>
  <c r="AE1308" i="1"/>
  <c r="AE1311" i="1"/>
  <c r="AE1315" i="1"/>
  <c r="AE1319" i="1"/>
  <c r="AE1323" i="1"/>
  <c r="AE1326" i="1"/>
  <c r="AE1329" i="1"/>
  <c r="AE1331" i="1"/>
  <c r="AE1333" i="1"/>
  <c r="AE1336" i="1"/>
  <c r="AE1340" i="1"/>
  <c r="AE1343" i="1"/>
  <c r="AE1350" i="1"/>
  <c r="AE1352" i="1"/>
  <c r="AE1356" i="1"/>
  <c r="AE1360" i="1"/>
  <c r="AE1363" i="1"/>
  <c r="AE1367" i="1"/>
  <c r="AE1371" i="1"/>
  <c r="AE1375" i="1"/>
  <c r="AE1378" i="1"/>
  <c r="AE1381" i="1"/>
  <c r="AE1384" i="1"/>
  <c r="AE1387"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2861" i="1"/>
  <c r="AE1738" i="1"/>
  <c r="AE1748" i="1"/>
  <c r="AE1752" i="1"/>
  <c r="AE1766" i="1"/>
  <c r="AE1769" i="1"/>
  <c r="AE1771" i="1"/>
  <c r="AE1786" i="1"/>
  <c r="AE1806" i="1"/>
  <c r="AE1810" i="1"/>
  <c r="AE1820" i="1"/>
  <c r="AE1823" i="1"/>
  <c r="AE1826" i="1"/>
  <c r="AE1829" i="1"/>
  <c r="AE1832" i="1"/>
  <c r="AE1834" i="1"/>
  <c r="AE1837" i="1"/>
  <c r="AE1838" i="1"/>
  <c r="AE1840" i="1"/>
  <c r="AE1844" i="1"/>
  <c r="AE1848" i="1"/>
  <c r="AE1851" i="1"/>
  <c r="AE1854" i="1"/>
  <c r="AE1857" i="1"/>
  <c r="AE1860" i="1"/>
  <c r="AE1862" i="1"/>
  <c r="AE1864" i="1"/>
  <c r="AE1866" i="1"/>
  <c r="AE1868" i="1"/>
  <c r="AE1870" i="1"/>
  <c r="AE1872" i="1"/>
  <c r="AE1874" i="1"/>
  <c r="AE1877" i="1"/>
  <c r="AE1878" i="1"/>
  <c r="AE1879" i="1"/>
  <c r="AE1881" i="1"/>
  <c r="AE1882" i="1"/>
  <c r="AE1884" i="1"/>
  <c r="AE1886" i="1"/>
  <c r="AE1887" i="1"/>
  <c r="AE1889" i="1"/>
  <c r="AE1891" i="1"/>
  <c r="AE1892" i="1"/>
  <c r="AE1894" i="1"/>
  <c r="AE2862" i="1"/>
  <c r="AE2144" i="1"/>
  <c r="AE2150" i="1"/>
  <c r="AE2167" i="1"/>
  <c r="AE2171" i="1"/>
  <c r="AE2176" i="1"/>
  <c r="AE2181" i="1"/>
  <c r="AE2185" i="1"/>
  <c r="AE2189" i="1"/>
  <c r="AE2199" i="1"/>
  <c r="AE2203" i="1"/>
  <c r="AE2207" i="1"/>
  <c r="AE2219" i="1"/>
  <c r="AE2223" i="1"/>
  <c r="AE596" i="1"/>
  <c r="AE604" i="1"/>
  <c r="AE2334" i="1"/>
  <c r="AE2337" i="1"/>
  <c r="AE2340" i="1"/>
  <c r="AE2344" i="1"/>
  <c r="AE2348" i="1"/>
  <c r="AE2353" i="1"/>
  <c r="AE2356" i="1"/>
  <c r="AE2360" i="1"/>
  <c r="AE2364" i="1"/>
  <c r="AE2369" i="1"/>
  <c r="AE2374" i="1"/>
  <c r="AE2378" i="1"/>
  <c r="AE2382" i="1"/>
  <c r="AE2385" i="1"/>
  <c r="AE2390" i="1"/>
  <c r="AE2394" i="1"/>
  <c r="AE2397" i="1"/>
  <c r="AE2400" i="1"/>
  <c r="AE2408" i="1"/>
  <c r="AE2412" i="1"/>
  <c r="AE2416" i="1"/>
  <c r="AE2420" i="1"/>
  <c r="AE2423" i="1"/>
  <c r="AE2439" i="1"/>
  <c r="AE2441" i="1"/>
  <c r="AE2450" i="1"/>
  <c r="AE2455" i="1"/>
  <c r="AE2460" i="1"/>
  <c r="AE2468" i="1"/>
  <c r="AE2476" i="1"/>
  <c r="AE2481" i="1"/>
  <c r="AE2485" i="1"/>
  <c r="AE2489" i="1"/>
  <c r="AE2493" i="1"/>
  <c r="AE2497" i="1"/>
  <c r="AE757" i="1"/>
  <c r="AE679" i="1"/>
  <c r="AE777" i="1"/>
  <c r="AE779" i="1"/>
  <c r="AE781" i="1"/>
  <c r="AE783" i="1"/>
  <c r="AE721" i="1"/>
  <c r="AE751" i="1"/>
  <c r="AE1720" i="1"/>
  <c r="AE1841" i="1"/>
  <c r="AE1845" i="1"/>
  <c r="AE1849" i="1"/>
  <c r="AE1852" i="1"/>
  <c r="AE1830" i="1"/>
  <c r="AE1833" i="1"/>
  <c r="AE1835" i="1"/>
  <c r="AE2667" i="1"/>
  <c r="AE2670" i="1"/>
  <c r="AE2673" i="1"/>
  <c r="AE2676" i="1"/>
  <c r="AE2679" i="1"/>
  <c r="AE2682" i="1"/>
  <c r="AE1353" i="1"/>
  <c r="AE1361" i="1"/>
  <c r="AE1364" i="1"/>
  <c r="AE1368" i="1"/>
  <c r="AE1372" i="1"/>
  <c r="AE1376" i="1"/>
  <c r="AE1379" i="1"/>
  <c r="AE1388" i="1"/>
  <c r="AE1382" i="1"/>
  <c r="AE1385" i="1"/>
  <c r="AE2688" i="1"/>
  <c r="AE805" i="1"/>
  <c r="AE826" i="1"/>
  <c r="AE831" i="1"/>
  <c r="AE836" i="1"/>
  <c r="AE845" i="1"/>
  <c r="AE849" i="1"/>
  <c r="AE853" i="1"/>
  <c r="AE1067" i="1"/>
  <c r="AE1061" i="1"/>
  <c r="AE1062" i="1"/>
  <c r="AE964" i="1"/>
  <c r="AE44" i="1"/>
  <c r="AE1532" i="1"/>
  <c r="AE1535" i="1"/>
  <c r="AE1539" i="1"/>
  <c r="AE1543" i="1"/>
  <c r="AE1547" i="1"/>
  <c r="AE1552" i="1"/>
  <c r="AE1557" i="1"/>
  <c r="AE1499" i="1"/>
  <c r="AE1562" i="1"/>
  <c r="AE2053" i="1"/>
  <c r="AE2055" i="1"/>
  <c r="AE2058" i="1"/>
  <c r="AE2061" i="1"/>
  <c r="AE2307" i="1"/>
  <c r="AE2301" i="1"/>
  <c r="AE2303" i="1"/>
  <c r="AE2305" i="1"/>
  <c r="AE2309" i="1"/>
  <c r="AE965" i="1"/>
  <c r="AE969" i="1"/>
  <c r="AE973" i="1"/>
  <c r="AE977" i="1"/>
  <c r="AE981" i="1"/>
  <c r="AE985" i="1"/>
  <c r="AE989" i="1"/>
  <c r="AE2661" i="1"/>
  <c r="AE2723" i="1"/>
  <c r="AE2685" i="1"/>
  <c r="AE2691" i="1"/>
  <c r="AE2694" i="1"/>
  <c r="AE2696" i="1"/>
  <c r="AE2725" i="1"/>
  <c r="AE2726" i="1"/>
  <c r="AE1903" i="1"/>
  <c r="AE1906" i="1"/>
  <c r="AE1908" i="1"/>
  <c r="AE1910" i="1"/>
  <c r="AE1912" i="1"/>
  <c r="AE1915" i="1"/>
  <c r="AE1919" i="1"/>
  <c r="AE1923" i="1"/>
  <c r="AE1925" i="1"/>
  <c r="AE1928" i="1"/>
  <c r="AE1931" i="1"/>
  <c r="AE1933" i="1"/>
  <c r="AE1936" i="1"/>
  <c r="AE1941" i="1"/>
  <c r="AE1946" i="1"/>
  <c r="AE1949" i="1"/>
  <c r="AE1953" i="1"/>
  <c r="AE1956" i="1"/>
  <c r="AE2863" i="1"/>
  <c r="AE1963" i="1"/>
  <c r="AE1967" i="1"/>
  <c r="AE1975" i="1"/>
  <c r="AE1421" i="1"/>
  <c r="AE1424" i="1"/>
  <c r="AE1429" i="1"/>
  <c r="AE1434" i="1"/>
  <c r="AE1439" i="1"/>
  <c r="AE1443" i="1"/>
  <c r="AE1447" i="1"/>
  <c r="AE1451" i="1"/>
  <c r="AE1455" i="1"/>
  <c r="AE1460" i="1"/>
  <c r="AE1464" i="1"/>
  <c r="AE1469" i="1"/>
  <c r="AE1474" i="1"/>
  <c r="AE1478" i="1"/>
  <c r="AE1482" i="1"/>
  <c r="AE1486" i="1"/>
  <c r="AE1490" i="1"/>
  <c r="AE1493" i="1"/>
  <c r="AE1495" i="1"/>
  <c r="AE1497" i="1"/>
  <c r="AE1500" i="1"/>
  <c r="AE1505" i="1"/>
  <c r="AE1509" i="1"/>
  <c r="AE1512" i="1"/>
  <c r="AE1515" i="1"/>
  <c r="AE1520" i="1"/>
  <c r="AE1525" i="1"/>
  <c r="AE1528" i="1"/>
  <c r="AE1530" i="1"/>
  <c r="AE1538" i="1"/>
  <c r="AE46" i="1"/>
  <c r="AE1550" i="1"/>
  <c r="AE1555" i="1"/>
  <c r="AE1560" i="1"/>
  <c r="AE1565" i="1"/>
  <c r="AE1571" i="1"/>
  <c r="AE47" i="1"/>
  <c r="AE1579" i="1"/>
  <c r="AE1597" i="1"/>
  <c r="AE1600" i="1"/>
  <c r="AE1603" i="1"/>
  <c r="AE1606" i="1"/>
  <c r="AE1613" i="1"/>
  <c r="AE1616" i="1"/>
  <c r="AE1619" i="1"/>
  <c r="AE1621" i="1"/>
  <c r="AE1623" i="1"/>
  <c r="AE1626" i="1"/>
  <c r="AE1629" i="1"/>
  <c r="AE1632" i="1"/>
  <c r="AE1637" i="1"/>
  <c r="AE1639" i="1"/>
  <c r="AE1641" i="1"/>
  <c r="AE1644" i="1"/>
  <c r="AE1646" i="1"/>
  <c r="AE1648" i="1"/>
  <c r="AE1650" i="1"/>
  <c r="AE1655" i="1"/>
  <c r="AE1657" i="1"/>
  <c r="AE1659" i="1"/>
  <c r="AE1660" i="1"/>
  <c r="AE1662" i="1"/>
  <c r="AE1664" i="1"/>
  <c r="AE1666" i="1"/>
  <c r="AE1668" i="1"/>
  <c r="AE1670" i="1"/>
  <c r="AE1671" i="1"/>
  <c r="AE1673" i="1"/>
  <c r="AE1674" i="1"/>
  <c r="AE1675" i="1"/>
  <c r="AE1676" i="1"/>
  <c r="AE1678" i="1"/>
  <c r="AE52" i="1"/>
  <c r="AE1568" i="1"/>
  <c r="AE130" i="1"/>
  <c r="AE299" i="1"/>
  <c r="AE318" i="1"/>
  <c r="AE320" i="1"/>
  <c r="AE322" i="1"/>
  <c r="AE10" i="1"/>
  <c r="AE20" i="1"/>
  <c r="AE306" i="1"/>
  <c r="AE308" i="1"/>
  <c r="AE235" i="1"/>
  <c r="AE310" i="1"/>
  <c r="AE14" i="1"/>
  <c r="AE269" i="1"/>
  <c r="AE316" i="1"/>
  <c r="AE1572" i="1"/>
  <c r="AE1576" i="1"/>
  <c r="AE1108" i="1"/>
  <c r="AE1354" i="1"/>
  <c r="AE1236" i="1"/>
  <c r="AE1288" i="1"/>
  <c r="AE1293" i="1"/>
  <c r="AE1357" i="1"/>
  <c r="AE1358" i="1"/>
  <c r="AE1362" i="1"/>
  <c r="AE1365" i="1"/>
  <c r="AE1369" i="1"/>
  <c r="AE1373" i="1"/>
  <c r="AE1377" i="1"/>
  <c r="AE1383" i="1"/>
  <c r="AE1380" i="1"/>
  <c r="AE1386" i="1"/>
  <c r="AE1628" i="1"/>
  <c r="AE1625" i="1"/>
  <c r="AE951" i="1"/>
  <c r="AE955" i="1"/>
  <c r="AE1883" i="1"/>
  <c r="AE1885" i="1"/>
  <c r="AE1865" i="1"/>
  <c r="AE57" i="1"/>
  <c r="AE1875" i="1"/>
  <c r="AE1880" i="1"/>
  <c r="AE1581" i="1"/>
  <c r="AE1585" i="1"/>
  <c r="AE2787" i="1"/>
  <c r="AE2790" i="1"/>
  <c r="AE2734" i="1"/>
  <c r="AE2782" i="1"/>
  <c r="AE2778" i="1"/>
  <c r="AE1631" i="1"/>
  <c r="AE1634" i="1"/>
  <c r="AE2037" i="1"/>
  <c r="AE2065" i="1"/>
  <c r="AE2067" i="1"/>
  <c r="AE2043" i="1"/>
  <c r="AE2045" i="1"/>
  <c r="AE2047" i="1"/>
  <c r="AE2018" i="1"/>
  <c r="AE2080" i="1"/>
  <c r="AE2082" i="1"/>
  <c r="AE2084" i="1"/>
  <c r="AE2086" i="1"/>
  <c r="AE2023" i="1"/>
  <c r="AE2071" i="1"/>
  <c r="AE2073" i="1"/>
  <c r="AE2075" i="1"/>
  <c r="AE2077" i="1"/>
  <c r="AE2056" i="1"/>
  <c r="AE2059" i="1"/>
  <c r="AE2062" i="1"/>
  <c r="AE2230" i="1"/>
  <c r="AE2234" i="1"/>
  <c r="AE2242" i="1"/>
  <c r="AE2238" i="1"/>
  <c r="AE2246" i="1"/>
  <c r="AE2250" i="1"/>
  <c r="AE2282" i="1"/>
  <c r="AE2284" i="1"/>
  <c r="AE2254" i="1"/>
  <c r="AE2569" i="1"/>
  <c r="AE2570" i="1"/>
  <c r="AE2574" i="1"/>
  <c r="AE2575" i="1"/>
  <c r="AE2576" i="1"/>
  <c r="AE2577" i="1"/>
  <c r="AE2578" i="1"/>
  <c r="AE2579" i="1"/>
  <c r="AE2580" i="1"/>
  <c r="AE2571" i="1"/>
  <c r="AE2572" i="1"/>
  <c r="AE2573" i="1"/>
  <c r="AE2257" i="1"/>
  <c r="AE2287" i="1"/>
  <c r="AE2851" i="1"/>
  <c r="AE1888" i="1"/>
  <c r="AE1890" i="1"/>
  <c r="AE293" i="1"/>
  <c r="AE296" i="1"/>
  <c r="AE297" i="1"/>
  <c r="AE298" i="1"/>
  <c r="AE300" i="1"/>
  <c r="AE301" i="1"/>
  <c r="AE305" i="1"/>
  <c r="AE19" i="1"/>
  <c r="AE311" i="1"/>
  <c r="AE15" i="1"/>
  <c r="AE278" i="1"/>
  <c r="AE282" i="1"/>
  <c r="AE287" i="1"/>
  <c r="AE2674" i="1"/>
  <c r="AE2677" i="1"/>
  <c r="AE2680" i="1"/>
  <c r="AE2683" i="1"/>
  <c r="AE2686" i="1"/>
  <c r="AE2689" i="1"/>
  <c r="AE2692" i="1"/>
  <c r="AE2695" i="1"/>
  <c r="AE2697" i="1"/>
  <c r="AE2650" i="1"/>
  <c r="AE2699" i="1"/>
  <c r="AE2701" i="1"/>
  <c r="AE2703" i="1"/>
  <c r="AE2707" i="1"/>
  <c r="AE2653" i="1"/>
  <c r="AE2657" i="1"/>
  <c r="AE2665" i="1"/>
  <c r="AE2668" i="1"/>
  <c r="AE2671" i="1"/>
  <c r="AE2092" i="1"/>
  <c r="AE2094" i="1"/>
  <c r="AE2096" i="1"/>
  <c r="AE2098" i="1"/>
  <c r="AE2100" i="1"/>
  <c r="AE2102" i="1"/>
  <c r="AE2104" i="1"/>
  <c r="AE2727" i="1"/>
  <c r="AE2728" i="1"/>
  <c r="AE2746" i="1"/>
  <c r="AE2751" i="1"/>
  <c r="AE2763" i="1"/>
  <c r="AE2768" i="1"/>
  <c r="AE2773" i="1"/>
  <c r="AE2088" i="1"/>
  <c r="AE2090" i="1"/>
  <c r="AE2106" i="1"/>
  <c r="AE2108" i="1"/>
  <c r="AE706" i="1"/>
  <c r="AE709" i="1"/>
  <c r="AE712" i="1"/>
  <c r="AE715" i="1"/>
  <c r="AE718" i="1"/>
  <c r="AE720" i="1"/>
  <c r="AE723" i="1"/>
  <c r="AE726" i="1"/>
  <c r="AE729" i="1"/>
  <c r="AE35" i="1"/>
  <c r="AE749" i="1"/>
  <c r="AE753" i="1"/>
  <c r="AE754" i="1"/>
  <c r="AE755" i="1"/>
  <c r="AE759" i="1"/>
  <c r="AE762" i="1"/>
  <c r="AE765" i="1"/>
  <c r="AE313" i="1"/>
  <c r="AE315" i="1"/>
  <c r="AE2729" i="1"/>
  <c r="AE2730" i="1"/>
  <c r="AE2731" i="1"/>
  <c r="AE2732" i="1"/>
  <c r="AE2733" i="1"/>
  <c r="AE842" i="1"/>
  <c r="AE1092" i="1"/>
  <c r="AE1065" i="1"/>
  <c r="AE1091" i="1"/>
  <c r="AE410" i="1"/>
  <c r="AE333" i="1"/>
  <c r="AE2597" i="1"/>
  <c r="AE785" i="1"/>
  <c r="AE786" i="1"/>
  <c r="AE787" i="1"/>
  <c r="AE789" i="1"/>
  <c r="AE791" i="1"/>
  <c r="AE792" i="1"/>
  <c r="AE794" i="1"/>
  <c r="AE796" i="1"/>
  <c r="AE2598" i="1"/>
  <c r="AE2599" i="1"/>
  <c r="AE2600" i="1"/>
  <c r="AE1366" i="1"/>
  <c r="AE1322" i="1"/>
  <c r="AE1325" i="1"/>
  <c r="AE1328" i="1"/>
  <c r="AE1335" i="1"/>
  <c r="AE1339" i="1"/>
  <c r="AE1166" i="1"/>
  <c r="AE1346" i="1"/>
  <c r="AE1307" i="1"/>
  <c r="AE1310" i="1"/>
  <c r="AE1314" i="1"/>
  <c r="AE1318" i="1"/>
  <c r="AE1207" i="1"/>
  <c r="AE1211" i="1"/>
  <c r="AE1233" i="1"/>
  <c r="AE1349" i="1"/>
  <c r="AE1351" i="1"/>
  <c r="AE1355" i="1"/>
  <c r="AE1370" i="1"/>
  <c r="AE1374" i="1"/>
  <c r="AE1237" i="1"/>
  <c r="AE1359" i="1"/>
  <c r="AE1504" i="1"/>
  <c r="AE2859" i="1"/>
  <c r="AE1609" i="1"/>
  <c r="AE70" i="1"/>
  <c r="AE2838" i="1"/>
  <c r="AE2126" i="1"/>
  <c r="AE2127" i="1"/>
  <c r="AE2128" i="1"/>
  <c r="AE2129" i="1"/>
  <c r="AE2130" i="1"/>
  <c r="AE2131" i="1"/>
  <c r="AE2132" i="1"/>
  <c r="AE2133" i="1"/>
  <c r="AE1589" i="1"/>
  <c r="AE1867" i="1"/>
  <c r="AE1869" i="1"/>
  <c r="AE1871" i="1"/>
  <c r="AE1873" i="1"/>
  <c r="AE2134" i="1"/>
  <c r="AE2135" i="1"/>
  <c r="AE1708" i="1"/>
  <c r="AE1709" i="1"/>
  <c r="AE1710" i="1"/>
  <c r="AE1711" i="1"/>
  <c r="AE1712" i="1"/>
  <c r="AE1713" i="1"/>
  <c r="AE1714" i="1"/>
  <c r="AE2759" i="1"/>
  <c r="AE2735" i="1"/>
  <c r="AE2738" i="1"/>
  <c r="AE2764" i="1"/>
  <c r="AE2769" i="1"/>
  <c r="AE2774" i="1"/>
  <c r="AE2779" i="1"/>
  <c r="AE2558" i="1"/>
  <c r="AE2561" i="1"/>
  <c r="AE2564" i="1"/>
  <c r="AE2566" i="1"/>
  <c r="AE2722" i="1"/>
  <c r="AE2724" i="1"/>
  <c r="AE768" i="1"/>
  <c r="AE771" i="1"/>
  <c r="AE2" i="1"/>
  <c r="AE2783" i="1"/>
  <c r="AE71" i="1"/>
  <c r="AE758" i="1"/>
  <c r="AE761" i="1"/>
  <c r="AE764" i="1"/>
  <c r="AE774" i="1"/>
  <c r="AE767" i="1"/>
  <c r="AE770" i="1"/>
  <c r="AE773" i="1"/>
  <c r="AE993" i="1"/>
  <c r="AE997" i="1"/>
  <c r="AE1001" i="1"/>
  <c r="AE1721" i="1"/>
  <c r="AE1819" i="1"/>
  <c r="AE1876" i="1"/>
  <c r="AE1856" i="1"/>
  <c r="AE1859" i="1"/>
  <c r="AE1861" i="1"/>
  <c r="AE1863" i="1"/>
  <c r="AE2306" i="1"/>
  <c r="AE2313" i="1"/>
  <c r="AE2314" i="1"/>
  <c r="AE2311" i="1"/>
  <c r="AE2280" i="1"/>
  <c r="AE2251" i="1"/>
  <c r="AE2316" i="1"/>
  <c r="AE2318" i="1"/>
  <c r="AE2320" i="1"/>
  <c r="AE2544" i="1"/>
  <c r="AE2545" i="1"/>
  <c r="AE2546" i="1"/>
  <c r="AE2549" i="1"/>
  <c r="AE2551" i="1"/>
  <c r="AE2554" i="1"/>
  <c r="AE2519" i="1"/>
  <c r="AE61" i="1"/>
  <c r="AE2530" i="1"/>
  <c r="AE2535" i="1"/>
  <c r="AE2538" i="1"/>
  <c r="AE2560" i="1"/>
  <c r="AE2563" i="1"/>
  <c r="AE2541" i="1"/>
  <c r="AE81" i="1"/>
  <c r="AE84" i="1"/>
  <c r="AE88" i="1"/>
  <c r="AE93" i="1"/>
  <c r="AE98" i="1"/>
  <c r="AE103" i="1"/>
  <c r="AE108" i="1"/>
  <c r="AE113" i="1"/>
  <c r="AE5" i="1"/>
  <c r="AE122" i="1"/>
  <c r="AE127" i="1"/>
  <c r="AE140" i="1"/>
  <c r="AE8" i="1"/>
  <c r="AE159" i="1"/>
  <c r="AE163" i="1"/>
  <c r="AE168" i="1"/>
  <c r="AE2857" i="1"/>
  <c r="AE175" i="1"/>
  <c r="AE2634" i="1"/>
  <c r="AE2638" i="1"/>
  <c r="AE2642" i="1"/>
  <c r="AE2646" i="1"/>
  <c r="AE2648" i="1"/>
  <c r="AE2652" i="1"/>
  <c r="AE2655" i="1"/>
  <c r="AE338" i="1"/>
  <c r="AE343" i="1"/>
  <c r="AE347" i="1"/>
  <c r="AE352" i="1"/>
  <c r="AE561" i="1"/>
  <c r="AE359" i="1"/>
  <c r="AE363" i="1"/>
  <c r="AE368" i="1"/>
  <c r="AE563" i="1"/>
  <c r="AE375" i="1"/>
  <c r="AE378" i="1"/>
  <c r="AE382" i="1"/>
  <c r="AE385" i="1"/>
  <c r="AE389" i="1"/>
  <c r="AE392" i="1"/>
  <c r="AE394" i="1"/>
  <c r="AE396" i="1"/>
  <c r="AE400" i="1"/>
  <c r="AE403" i="1"/>
  <c r="AE407" i="1"/>
  <c r="AE409" i="1"/>
  <c r="AE412" i="1"/>
  <c r="AE414" i="1"/>
  <c r="AE564" i="1"/>
  <c r="AE419" i="1"/>
  <c r="AE422" i="1"/>
  <c r="AE426" i="1"/>
  <c r="AE430" i="1"/>
  <c r="AE434" i="1"/>
  <c r="AE438" i="1"/>
  <c r="AE441" i="1"/>
  <c r="AE444" i="1"/>
  <c r="AE447" i="1"/>
  <c r="AE450" i="1"/>
  <c r="AE453" i="1"/>
  <c r="AE457" i="1"/>
  <c r="AE459" i="1"/>
  <c r="AE461" i="1"/>
  <c r="AE464" i="1"/>
  <c r="AE466" i="1"/>
  <c r="AE469" i="1"/>
  <c r="AE472" i="1"/>
  <c r="AE475" i="1"/>
  <c r="AE477" i="1"/>
  <c r="AE479" i="1"/>
  <c r="AE481" i="1"/>
  <c r="AE484" i="1"/>
  <c r="AE499" i="1"/>
  <c r="AE501" i="1"/>
  <c r="AE503" i="1"/>
  <c r="AE506" i="1"/>
  <c r="AE509" i="1"/>
  <c r="AE565" i="1"/>
  <c r="AE487" i="1"/>
  <c r="AE490" i="1"/>
  <c r="AE493" i="1"/>
  <c r="AE495" i="1"/>
  <c r="AE497" i="1"/>
  <c r="AE511" i="1"/>
  <c r="AE513" i="1"/>
  <c r="AE515" i="1"/>
  <c r="AE517" i="1"/>
  <c r="AE566" i="1"/>
  <c r="AE526" i="1"/>
  <c r="AE567" i="1"/>
  <c r="AE528" i="1"/>
  <c r="AE530" i="1"/>
  <c r="AE532" i="1"/>
  <c r="AE568" i="1"/>
  <c r="AE569" i="1"/>
  <c r="AE570" i="1"/>
  <c r="AE1893" i="1"/>
  <c r="AE1895" i="1"/>
  <c r="AE2742" i="1"/>
  <c r="AE2747" i="1"/>
  <c r="AE2752" i="1"/>
  <c r="AE2791" i="1"/>
  <c r="AE2794" i="1"/>
  <c r="AE2797" i="1"/>
  <c r="AE2801" i="1"/>
  <c r="AE2805" i="1"/>
  <c r="AE2808" i="1"/>
  <c r="AE2756" i="1"/>
  <c r="AE2812" i="1"/>
  <c r="AE2815" i="1"/>
  <c r="AE2855" i="1"/>
  <c r="AE2612" i="1"/>
  <c r="AE2616" i="1"/>
  <c r="AE2604" i="1"/>
  <c r="AE2608" i="1"/>
  <c r="AE2621" i="1"/>
  <c r="AE2623" i="1"/>
  <c r="AE2626" i="1"/>
  <c r="AE2628" i="1"/>
  <c r="AE2633" i="1"/>
  <c r="AE2637" i="1"/>
  <c r="AE2641" i="1"/>
  <c r="AE2645" i="1"/>
  <c r="AE2647" i="1"/>
  <c r="AE2651" i="1"/>
  <c r="AE2654" i="1"/>
  <c r="AE2658" i="1"/>
  <c r="AE2660" i="1"/>
  <c r="AE2662" i="1"/>
  <c r="AE594" i="1"/>
  <c r="AE29" i="1"/>
  <c r="AE891" i="1"/>
  <c r="AE1416" i="1"/>
  <c r="AE1417" i="1"/>
  <c r="AE927" i="1"/>
  <c r="AE1093" i="1"/>
  <c r="AE41" i="1"/>
  <c r="AE1078" i="1"/>
  <c r="AE1411" i="1"/>
  <c r="AE1412" i="1"/>
  <c r="AE1413" i="1"/>
  <c r="AE1414" i="1"/>
  <c r="AE2849" i="1"/>
  <c r="AE48" i="1"/>
  <c r="AE54" i="1"/>
  <c r="AE2860" i="1"/>
  <c r="AE53" i="1"/>
  <c r="AE1782" i="1"/>
  <c r="AE1790" i="1"/>
  <c r="AE1794" i="1"/>
  <c r="AE1798" i="1"/>
  <c r="AE1802" i="1"/>
  <c r="AE1818" i="1"/>
  <c r="AE1897" i="1"/>
  <c r="AE1898" i="1"/>
  <c r="AE1896" i="1"/>
  <c r="AE1979" i="1"/>
  <c r="AE1983" i="1"/>
  <c r="AE1987" i="1"/>
  <c r="AE1991" i="1"/>
  <c r="AE1995" i="1"/>
  <c r="AE2001" i="1"/>
  <c r="AE1998" i="1"/>
  <c r="AE2736" i="1"/>
  <c r="AE2739" i="1"/>
  <c r="AE2743" i="1"/>
  <c r="AE58" i="1"/>
  <c r="AE2505" i="1"/>
  <c r="AE2243" i="1"/>
  <c r="AE2240" i="1"/>
  <c r="AE2509" i="1"/>
  <c r="AE2512" i="1"/>
  <c r="AE2427" i="1"/>
  <c r="AE59" i="1"/>
  <c r="AE2433" i="1"/>
  <c r="AE2436" i="1"/>
  <c r="AE2444" i="1"/>
  <c r="AE2520" i="1"/>
  <c r="AE2523" i="1"/>
  <c r="AE2327" i="1"/>
  <c r="AE2329" i="1"/>
  <c r="AE2331" i="1"/>
  <c r="AE2332" i="1"/>
  <c r="AE2748" i="1"/>
  <c r="AE2753" i="1"/>
  <c r="AE2757" i="1"/>
  <c r="AE2775" i="1"/>
  <c r="AE2780" i="1"/>
  <c r="AE2784" i="1"/>
  <c r="AE2760" i="1"/>
  <c r="AE2765" i="1"/>
  <c r="AE2770" i="1"/>
  <c r="AE2809" i="1"/>
  <c r="AE2813" i="1"/>
  <c r="AE2816" i="1"/>
  <c r="AE2818" i="1"/>
  <c r="AE2820" i="1"/>
  <c r="AE2822" i="1"/>
  <c r="AE2824" i="1"/>
  <c r="AE2826" i="1"/>
  <c r="AE2828" i="1"/>
  <c r="AE2830" i="1"/>
  <c r="AE2605" i="1"/>
  <c r="AE2609" i="1"/>
  <c r="AE2613" i="1"/>
  <c r="AE2617" i="1"/>
  <c r="AE65" i="1"/>
  <c r="AE66" i="1"/>
  <c r="AE2629" i="1"/>
  <c r="AE2631" i="1"/>
  <c r="AE2831" i="1"/>
  <c r="AE2832" i="1"/>
  <c r="AE2833" i="1"/>
  <c r="AE2834" i="1"/>
  <c r="AE2835" i="1"/>
  <c r="AE2836" i="1"/>
  <c r="AE2698" i="1"/>
  <c r="AE2700" i="1"/>
  <c r="AE2702" i="1"/>
  <c r="AE2706" i="1"/>
  <c r="AE2709" i="1"/>
  <c r="AE2710" i="1"/>
  <c r="AE2711" i="1"/>
  <c r="AE2712" i="1"/>
  <c r="AE2713" i="1"/>
  <c r="AE2715" i="1"/>
  <c r="AE2717" i="1"/>
  <c r="AE2718" i="1"/>
  <c r="AE1612" i="1"/>
  <c r="AE2852" i="1"/>
  <c r="AE1415" i="1"/>
  <c r="AE1347" i="1"/>
  <c r="AE2737" i="1"/>
  <c r="AE2740" i="1"/>
  <c r="AE2744" i="1"/>
  <c r="AE1899" i="1"/>
  <c r="AE1900" i="1"/>
  <c r="AE2749" i="1"/>
  <c r="AE2754" i="1"/>
  <c r="AE2758" i="1"/>
  <c r="AE2761" i="1"/>
  <c r="AE334" i="1"/>
  <c r="AE1715" i="1"/>
  <c r="AE2788" i="1"/>
  <c r="AE2792" i="1"/>
  <c r="AE2795" i="1"/>
  <c r="AE2766" i="1"/>
  <c r="AE2771" i="1"/>
  <c r="AE2776" i="1"/>
  <c r="AE2781" i="1"/>
  <c r="AE2785" i="1"/>
  <c r="AE2798" i="1"/>
  <c r="AE1073" i="1"/>
  <c r="AE2800" i="1"/>
  <c r="AE2804" i="1"/>
  <c r="AE2807" i="1"/>
  <c r="AE2811" i="1"/>
  <c r="AE2741" i="1"/>
  <c r="AE2745" i="1"/>
  <c r="AE2750" i="1"/>
  <c r="AE2755" i="1"/>
  <c r="AE69" i="1"/>
  <c r="AE68" i="1"/>
  <c r="AE2837" i="1"/>
  <c r="AE72" i="1"/>
  <c r="AE2762" i="1"/>
  <c r="AE2786" i="1"/>
  <c r="AE2789" i="1"/>
  <c r="AE2793" i="1"/>
  <c r="AE2796" i="1"/>
  <c r="AE2799" i="1"/>
  <c r="AE2802" i="1"/>
  <c r="AE2064" i="1"/>
  <c r="AE2767" i="1"/>
  <c r="AE2821" i="1"/>
  <c r="AE2823" i="1"/>
  <c r="AE2825" i="1"/>
  <c r="AE2803" i="1"/>
  <c r="AE2806" i="1"/>
  <c r="AE2810" i="1"/>
  <c r="AE2814" i="1"/>
  <c r="AE2817" i="1"/>
  <c r="AE2819" i="1"/>
  <c r="AE2827" i="1"/>
  <c r="AE2829" i="1"/>
  <c r="AE2704" i="1"/>
  <c r="AE2708" i="1"/>
  <c r="AE2705" i="1"/>
  <c r="AD77" i="1"/>
  <c r="AD79" i="1"/>
  <c r="AD89" i="1"/>
  <c r="AD94" i="1"/>
  <c r="AD99" i="1"/>
  <c r="AD104" i="1"/>
  <c r="AD109" i="1"/>
  <c r="AD114" i="1"/>
  <c r="AD118" i="1"/>
  <c r="AD123" i="1"/>
  <c r="AD128" i="1"/>
  <c r="AD131" i="1"/>
  <c r="AD134" i="1"/>
  <c r="AD137" i="1"/>
  <c r="AD141" i="1"/>
  <c r="AD145" i="1"/>
  <c r="AD149" i="1"/>
  <c r="AD152" i="1"/>
  <c r="AD154" i="1"/>
  <c r="AD156" i="1"/>
  <c r="AD164" i="1"/>
  <c r="AD169" i="1"/>
  <c r="AD172" i="1"/>
  <c r="AD176" i="1"/>
  <c r="AD179" i="1"/>
  <c r="AD182" i="1"/>
  <c r="AD184" i="1"/>
  <c r="AD188" i="1"/>
  <c r="AD191" i="1"/>
  <c r="AD207" i="1"/>
  <c r="AD210" i="1"/>
  <c r="AD213" i="1"/>
  <c r="AD216" i="1"/>
  <c r="AD232" i="1"/>
  <c r="AD237" i="1"/>
  <c r="AD240" i="1"/>
  <c r="AD242" i="1"/>
  <c r="AD244" i="1"/>
  <c r="AD246" i="1"/>
  <c r="AD249" i="1"/>
  <c r="AD251" i="1"/>
  <c r="AD254" i="1"/>
  <c r="AD257" i="1"/>
  <c r="AD260" i="1"/>
  <c r="AD263" i="1"/>
  <c r="AD265" i="1"/>
  <c r="AD266" i="1"/>
  <c r="AD220" i="1"/>
  <c r="AD222" i="1"/>
  <c r="AD225" i="1"/>
  <c r="AD228" i="1"/>
  <c r="AD267" i="1"/>
  <c r="AD802" i="1"/>
  <c r="AD811" i="1"/>
  <c r="AD816" i="1"/>
  <c r="AD825" i="1"/>
  <c r="AD830" i="1"/>
  <c r="AD876" i="1"/>
  <c r="AD835" i="1"/>
  <c r="AD840" i="1"/>
  <c r="AD844" i="1"/>
  <c r="AD848" i="1"/>
  <c r="AD852" i="1"/>
  <c r="AD857" i="1"/>
  <c r="AD862" i="1"/>
  <c r="AD866" i="1"/>
  <c r="AD871" i="1"/>
  <c r="AD1097" i="1"/>
  <c r="AD1101" i="1"/>
  <c r="AD1105" i="1"/>
  <c r="AD1109" i="1"/>
  <c r="AD1113" i="1"/>
  <c r="AD1118" i="1"/>
  <c r="AD1123" i="1"/>
  <c r="AD1127" i="1"/>
  <c r="AD1131" i="1"/>
  <c r="AD1136" i="1"/>
  <c r="AD1140" i="1"/>
  <c r="AD1144" i="1"/>
  <c r="AD1148" i="1"/>
  <c r="AD1152" i="1"/>
  <c r="AD1156" i="1"/>
  <c r="AD1160" i="1"/>
  <c r="AD1163" i="1"/>
  <c r="AD1168" i="1"/>
  <c r="AD1172" i="1"/>
  <c r="AD1176" i="1"/>
  <c r="AD1180" i="1"/>
  <c r="AD1185" i="1"/>
  <c r="AD1190" i="1"/>
  <c r="AD1194" i="1"/>
  <c r="AD1197" i="1"/>
  <c r="AD1201" i="1"/>
  <c r="AD1209" i="1"/>
  <c r="AD1213" i="1"/>
  <c r="AD1217" i="1"/>
  <c r="AD1221" i="1"/>
  <c r="AD1224" i="1"/>
  <c r="AD1228" i="1"/>
  <c r="AD1231" i="1"/>
  <c r="AD1235" i="1"/>
  <c r="AD1238" i="1"/>
  <c r="AD1242" i="1"/>
  <c r="AD1246" i="1"/>
  <c r="AD1251" i="1"/>
  <c r="AD1256" i="1"/>
  <c r="AD1261" i="1"/>
  <c r="AD1266" i="1"/>
  <c r="AD1275" i="1"/>
  <c r="AD1279" i="1"/>
  <c r="AD1286" i="1"/>
  <c r="AD1291" i="1"/>
  <c r="AD592" i="1"/>
  <c r="AD595" i="1"/>
  <c r="AD600" i="1"/>
  <c r="AD603" i="1"/>
  <c r="AD607" i="1"/>
  <c r="AD611" i="1"/>
  <c r="AD615" i="1"/>
  <c r="AD618" i="1"/>
  <c r="AD621" i="1"/>
  <c r="AD625" i="1"/>
  <c r="AD629" i="1"/>
  <c r="AD632" i="1"/>
  <c r="AD637" i="1"/>
  <c r="AD641" i="1"/>
  <c r="AD645" i="1"/>
  <c r="AD647" i="1"/>
  <c r="AD648" i="1"/>
  <c r="AD650" i="1"/>
  <c r="AD652" i="1"/>
  <c r="AD655" i="1"/>
  <c r="AD658" i="1"/>
  <c r="AD661" i="1"/>
  <c r="AD665" i="1"/>
  <c r="AD668" i="1"/>
  <c r="AD671" i="1"/>
  <c r="AD674" i="1"/>
  <c r="AD676" i="1"/>
  <c r="AD678" i="1"/>
  <c r="AD681" i="1"/>
  <c r="AD683" i="1"/>
  <c r="AD685" i="1"/>
  <c r="AD688" i="1"/>
  <c r="AD691" i="1"/>
  <c r="AD692" i="1"/>
  <c r="AD696" i="1"/>
  <c r="AD699" i="1"/>
  <c r="AD702" i="1"/>
  <c r="AD707" i="1"/>
  <c r="AD710" i="1"/>
  <c r="AD713" i="1"/>
  <c r="AD716" i="1"/>
  <c r="AD2840" i="1"/>
  <c r="AD2841" i="1"/>
  <c r="AD2842" i="1"/>
  <c r="AD733" i="1"/>
  <c r="AD734" i="1"/>
  <c r="AD736" i="1"/>
  <c r="AD737" i="1"/>
  <c r="AD738" i="1"/>
  <c r="AD741" i="1"/>
  <c r="AD756" i="1"/>
  <c r="AD760" i="1"/>
  <c r="AD763" i="1"/>
  <c r="AD766" i="1"/>
  <c r="AD769" i="1"/>
  <c r="AD772" i="1"/>
  <c r="AD775" i="1"/>
  <c r="AD776" i="1"/>
  <c r="AD778" i="1"/>
  <c r="AD780" i="1"/>
  <c r="AD782" i="1"/>
  <c r="AD784" i="1"/>
  <c r="AD1418" i="1"/>
  <c r="AD1422" i="1"/>
  <c r="AD1425" i="1"/>
  <c r="AD1430" i="1"/>
  <c r="AD1435" i="1"/>
  <c r="AD1440" i="1"/>
  <c r="AD1444" i="1"/>
  <c r="AD1448" i="1"/>
  <c r="AD1452" i="1"/>
  <c r="AD1456" i="1"/>
  <c r="AD1461" i="1"/>
  <c r="AD1465" i="1"/>
  <c r="AD1470" i="1"/>
  <c r="AD1475" i="1"/>
  <c r="AD1479" i="1"/>
  <c r="AD1483" i="1"/>
  <c r="AD1487" i="1"/>
  <c r="AD1491" i="1"/>
  <c r="AD1494" i="1"/>
  <c r="AD1496" i="1"/>
  <c r="AD1498" i="1"/>
  <c r="AD1501" i="1"/>
  <c r="AD1506" i="1"/>
  <c r="AD1510" i="1"/>
  <c r="AD1513" i="1"/>
  <c r="AD1516" i="1"/>
  <c r="AD1521" i="1"/>
  <c r="AD1526" i="1"/>
  <c r="AD1531" i="1"/>
  <c r="AD1534" i="1"/>
  <c r="AD1542" i="1"/>
  <c r="AD1546" i="1"/>
  <c r="AD1551" i="1"/>
  <c r="AD1556" i="1"/>
  <c r="AD1561" i="1"/>
  <c r="AD1566" i="1"/>
  <c r="AD1575" i="1"/>
  <c r="AD1580" i="1"/>
  <c r="AD1584" i="1"/>
  <c r="AD1588" i="1"/>
  <c r="AD1592" i="1"/>
  <c r="AD1595" i="1"/>
  <c r="AD1598" i="1"/>
  <c r="AD1630" i="1"/>
  <c r="AD1633" i="1"/>
  <c r="AD1635" i="1"/>
  <c r="AD1636" i="1"/>
  <c r="AD1640" i="1"/>
  <c r="AD1642" i="1"/>
  <c r="AD1643" i="1"/>
  <c r="AD1645" i="1"/>
  <c r="AD1647" i="1"/>
  <c r="AD1649" i="1"/>
  <c r="AD1651" i="1"/>
  <c r="AD1652" i="1"/>
  <c r="AD1654" i="1"/>
  <c r="AD1656" i="1"/>
  <c r="AD1658" i="1"/>
  <c r="AD1661" i="1"/>
  <c r="AD1663" i="1"/>
  <c r="AD1665" i="1"/>
  <c r="AD1667" i="1"/>
  <c r="AD1669" i="1"/>
  <c r="AD49" i="1"/>
  <c r="AD1672" i="1"/>
  <c r="AD1677" i="1"/>
  <c r="AD51" i="1"/>
  <c r="AD1749" i="1"/>
  <c r="AD1759" i="1"/>
  <c r="AD1761" i="1"/>
  <c r="AD1772" i="1"/>
  <c r="AD1901" i="1"/>
  <c r="AD1913" i="1"/>
  <c r="AD1916" i="1"/>
  <c r="AD1920" i="1"/>
  <c r="AD1937" i="1"/>
  <c r="AD2856" i="1"/>
  <c r="AD1950" i="1"/>
  <c r="AD1957" i="1"/>
  <c r="AD1960" i="1"/>
  <c r="AD1964" i="1"/>
  <c r="AD1968" i="1"/>
  <c r="AD1972" i="1"/>
  <c r="AD1976" i="1"/>
  <c r="AD1980" i="1"/>
  <c r="AD1984" i="1"/>
  <c r="AD1988" i="1"/>
  <c r="AD1992" i="1"/>
  <c r="AD1996" i="1"/>
  <c r="AD1999" i="1"/>
  <c r="AD2002" i="1"/>
  <c r="AD2005" i="1"/>
  <c r="AD2008" i="1"/>
  <c r="AD2011" i="1"/>
  <c r="AD2013" i="1"/>
  <c r="AD2136" i="1"/>
  <c r="AD2145" i="1"/>
  <c r="AD2151" i="1"/>
  <c r="AD2155" i="1"/>
  <c r="AD2159" i="1"/>
  <c r="AD2168" i="1"/>
  <c r="AD2172" i="1"/>
  <c r="AD2224" i="1"/>
  <c r="AD2228" i="1"/>
  <c r="AD2232" i="1"/>
  <c r="AD2236" i="1"/>
  <c r="AD2853" i="1"/>
  <c r="AD2244" i="1"/>
  <c r="AD2248" i="1"/>
  <c r="AD2252" i="1"/>
  <c r="AD2259" i="1"/>
  <c r="AD2262" i="1"/>
  <c r="AD2265" i="1"/>
  <c r="AD2270" i="1"/>
  <c r="AD2273" i="1"/>
  <c r="AD2276" i="1"/>
  <c r="AD2289" i="1"/>
  <c r="AD2333" i="1"/>
  <c r="AD2349" i="1"/>
  <c r="AD2357" i="1"/>
  <c r="AD2361" i="1"/>
  <c r="AD2365" i="1"/>
  <c r="AD2370" i="1"/>
  <c r="AD2375" i="1"/>
  <c r="AD2379" i="1"/>
  <c r="AD2383" i="1"/>
  <c r="AD2386" i="1"/>
  <c r="AD2391" i="1"/>
  <c r="AD2395" i="1"/>
  <c r="AD2398" i="1"/>
  <c r="AD2401" i="1"/>
  <c r="AD2405" i="1"/>
  <c r="AD2409" i="1"/>
  <c r="AD2413" i="1"/>
  <c r="AD2417" i="1"/>
  <c r="AD2421" i="1"/>
  <c r="AD2424" i="1"/>
  <c r="AD2428" i="1"/>
  <c r="AD2431" i="1"/>
  <c r="AD2434" i="1"/>
  <c r="AD2437" i="1"/>
  <c r="AD2445" i="1"/>
  <c r="AD2451" i="1"/>
  <c r="AD2456" i="1"/>
  <c r="AD2461" i="1"/>
  <c r="AD2465" i="1"/>
  <c r="AD2469" i="1"/>
  <c r="AD2473" i="1"/>
  <c r="AD2477" i="1"/>
  <c r="AD2482" i="1"/>
  <c r="AD2486" i="1"/>
  <c r="AD2490" i="1"/>
  <c r="AD2494" i="1"/>
  <c r="AD2498" i="1"/>
  <c r="AD2500" i="1"/>
  <c r="AD2503" i="1"/>
  <c r="AD294" i="1"/>
  <c r="AD335" i="1"/>
  <c r="AD339" i="1"/>
  <c r="AD344" i="1"/>
  <c r="AD348" i="1"/>
  <c r="AD353" i="1"/>
  <c r="AD360" i="1"/>
  <c r="AD364" i="1"/>
  <c r="AD371" i="1"/>
  <c r="AD386" i="1"/>
  <c r="AD390" i="1"/>
  <c r="AD397" i="1"/>
  <c r="AD404" i="1"/>
  <c r="AD21" i="1"/>
  <c r="AD423" i="1"/>
  <c r="AD427" i="1"/>
  <c r="AD431" i="1"/>
  <c r="AD435" i="1"/>
  <c r="AD439" i="1"/>
  <c r="AD442" i="1"/>
  <c r="AD467" i="1"/>
  <c r="AD470" i="1"/>
  <c r="AD473" i="1"/>
  <c r="AD504" i="1"/>
  <c r="AD524" i="1"/>
  <c r="AD534" i="1"/>
  <c r="AD535" i="1"/>
  <c r="AD538" i="1"/>
  <c r="AD545" i="1"/>
  <c r="AD551" i="1"/>
  <c r="AD574" i="1"/>
  <c r="AD575" i="1"/>
  <c r="AD580" i="1"/>
  <c r="AD581" i="1"/>
  <c r="AD583" i="1"/>
  <c r="AD2601" i="1"/>
  <c r="AD2618" i="1"/>
  <c r="AD271" i="1"/>
  <c r="AD273" i="1"/>
  <c r="AD275" i="1"/>
  <c r="AD279" i="1"/>
  <c r="AD482" i="1"/>
  <c r="AD284" i="1"/>
  <c r="AD288" i="1"/>
  <c r="AD290" i="1"/>
  <c r="AD485" i="1"/>
  <c r="AD488" i="1"/>
  <c r="AD491" i="1"/>
  <c r="AD536" i="1"/>
  <c r="AD454" i="1"/>
  <c r="AD462" i="1"/>
  <c r="AD540" i="1"/>
  <c r="AD543" i="1"/>
  <c r="AD542" i="1"/>
  <c r="AD544" i="1"/>
  <c r="AD546" i="1"/>
  <c r="AD547" i="1"/>
  <c r="AD548" i="1"/>
  <c r="AD549" i="1"/>
  <c r="AD550" i="1"/>
  <c r="AD552" i="1"/>
  <c r="AD553" i="1"/>
  <c r="AD554" i="1"/>
  <c r="AD555" i="1"/>
  <c r="AD556" i="1"/>
  <c r="AD557" i="1"/>
  <c r="AD558" i="1"/>
  <c r="AD559" i="1"/>
  <c r="AD560" i="1"/>
  <c r="AD562" i="1"/>
  <c r="AD571" i="1"/>
  <c r="AD572" i="1"/>
  <c r="AD573" i="1"/>
  <c r="AD576" i="1"/>
  <c r="AD577" i="1"/>
  <c r="AD578" i="1"/>
  <c r="AD579" i="1"/>
  <c r="AD582" i="1"/>
  <c r="AD2610" i="1"/>
  <c r="AD64" i="1"/>
  <c r="AD73" i="1"/>
  <c r="AD76" i="1"/>
  <c r="AD80" i="1"/>
  <c r="AD83" i="1"/>
  <c r="AD87" i="1"/>
  <c r="AD92" i="1"/>
  <c r="AD97" i="1"/>
  <c r="AD102" i="1"/>
  <c r="AD107" i="1"/>
  <c r="AD112" i="1"/>
  <c r="AD117" i="1"/>
  <c r="AD121" i="1"/>
  <c r="AD126" i="1"/>
  <c r="AD342" i="1"/>
  <c r="AD351" i="1"/>
  <c r="AD358" i="1"/>
  <c r="AD367" i="1"/>
  <c r="AD374" i="1"/>
  <c r="AD381" i="1"/>
  <c r="AD416" i="1"/>
  <c r="AD418" i="1"/>
  <c r="AD421" i="1"/>
  <c r="AD425" i="1"/>
  <c r="AD429" i="1"/>
  <c r="AD433" i="1"/>
  <c r="AD437" i="1"/>
  <c r="AD440" i="1"/>
  <c r="AD443" i="1"/>
  <c r="AD446" i="1"/>
  <c r="AD449" i="1"/>
  <c r="AD452" i="1"/>
  <c r="AD456" i="1"/>
  <c r="AD458" i="1"/>
  <c r="AD460" i="1"/>
  <c r="AD463" i="1"/>
  <c r="AD465" i="1"/>
  <c r="AD468" i="1"/>
  <c r="AD471" i="1"/>
  <c r="AD474" i="1"/>
  <c r="AD476" i="1"/>
  <c r="AD478" i="1"/>
  <c r="AD480" i="1"/>
  <c r="AD483" i="1"/>
  <c r="AD486" i="1"/>
  <c r="AD489" i="1"/>
  <c r="AD492" i="1"/>
  <c r="AD494" i="1"/>
  <c r="AD496" i="1"/>
  <c r="AD498" i="1"/>
  <c r="AD500" i="1"/>
  <c r="AD502" i="1"/>
  <c r="AD505" i="1"/>
  <c r="AD507" i="1"/>
  <c r="AD508" i="1"/>
  <c r="AD510" i="1"/>
  <c r="AD512" i="1"/>
  <c r="AD514" i="1"/>
  <c r="AD516" i="1"/>
  <c r="AD518" i="1"/>
  <c r="AD519" i="1"/>
  <c r="AD520" i="1"/>
  <c r="AD521" i="1"/>
  <c r="AD522" i="1"/>
  <c r="AD523" i="1"/>
  <c r="AD525" i="1"/>
  <c r="AD527" i="1"/>
  <c r="AD529" i="1"/>
  <c r="AD531" i="1"/>
  <c r="AD533" i="1"/>
  <c r="AD2864" i="1"/>
  <c r="AD2139" i="1"/>
  <c r="AD2143" i="1"/>
  <c r="AD2148" i="1"/>
  <c r="AD584" i="1"/>
  <c r="AD585" i="1"/>
  <c r="AD302" i="1"/>
  <c r="AD303" i="1"/>
  <c r="AD537" i="1"/>
  <c r="AD539" i="1"/>
  <c r="AD541" i="1"/>
  <c r="AD78" i="1"/>
  <c r="AD82" i="1"/>
  <c r="AD85" i="1"/>
  <c r="AD90" i="1"/>
  <c r="AD95" i="1"/>
  <c r="AD100" i="1"/>
  <c r="AD105" i="1"/>
  <c r="AD110" i="1"/>
  <c r="AD115" i="1"/>
  <c r="AD119" i="1"/>
  <c r="AD124" i="1"/>
  <c r="AD2581" i="1"/>
  <c r="AD2582" i="1"/>
  <c r="AD2583" i="1"/>
  <c r="AD2584" i="1"/>
  <c r="AD2585" i="1"/>
  <c r="AD2586" i="1"/>
  <c r="AD2587" i="1"/>
  <c r="AD2588" i="1"/>
  <c r="AD2589" i="1"/>
  <c r="AD2590" i="1"/>
  <c r="AD2591" i="1"/>
  <c r="AD2592" i="1"/>
  <c r="AD2593" i="1"/>
  <c r="AD2594" i="1"/>
  <c r="AD2595" i="1"/>
  <c r="AD2596" i="1"/>
  <c r="AD63" i="1"/>
  <c r="AD129" i="1"/>
  <c r="AD132" i="1"/>
  <c r="AD135" i="1"/>
  <c r="AD138" i="1"/>
  <c r="AD142" i="1"/>
  <c r="AD146" i="1"/>
  <c r="AD9" i="1"/>
  <c r="AD160" i="1"/>
  <c r="AD165" i="1"/>
  <c r="AD170" i="1"/>
  <c r="AD173" i="1"/>
  <c r="AD177" i="1"/>
  <c r="AD180" i="1"/>
  <c r="AD185" i="1"/>
  <c r="AD189" i="1"/>
  <c r="AD192" i="1"/>
  <c r="AD195" i="1"/>
  <c r="AD197" i="1"/>
  <c r="AD200" i="1"/>
  <c r="AD203" i="1"/>
  <c r="AD204" i="1"/>
  <c r="AD206" i="1"/>
  <c r="AD208" i="1"/>
  <c r="AD211" i="1"/>
  <c r="AD214" i="1"/>
  <c r="AD217" i="1"/>
  <c r="AD221" i="1"/>
  <c r="AD223" i="1"/>
  <c r="AD226" i="1"/>
  <c r="AD229" i="1"/>
  <c r="AD233" i="1"/>
  <c r="AD238" i="1"/>
  <c r="AD247" i="1"/>
  <c r="AD250" i="1"/>
  <c r="AD252" i="1"/>
  <c r="AD255" i="1"/>
  <c r="AD258" i="1"/>
  <c r="AD16" i="1"/>
  <c r="AD17" i="1"/>
  <c r="AD18" i="1"/>
  <c r="AD268" i="1"/>
  <c r="AD270" i="1"/>
  <c r="AD272" i="1"/>
  <c r="AD2772" i="1"/>
  <c r="AD276" i="1"/>
  <c r="AD280" i="1"/>
  <c r="AD283" i="1"/>
  <c r="AD285" i="1"/>
  <c r="AD2777" i="1"/>
  <c r="AD291" i="1"/>
  <c r="AD295" i="1"/>
  <c r="AD345" i="1"/>
  <c r="AD349" i="1"/>
  <c r="AD354" i="1"/>
  <c r="AD356" i="1"/>
  <c r="AD361" i="1"/>
  <c r="AD365" i="1"/>
  <c r="AD369" i="1"/>
  <c r="AD372" i="1"/>
  <c r="AD376" i="1"/>
  <c r="AD379" i="1"/>
  <c r="AD383" i="1"/>
  <c r="AD387" i="1"/>
  <c r="AD612" i="1"/>
  <c r="AD616" i="1"/>
  <c r="AD617" i="1"/>
  <c r="AD619" i="1"/>
  <c r="AD622" i="1"/>
  <c r="AD626" i="1"/>
  <c r="AD630" i="1"/>
  <c r="AD633" i="1"/>
  <c r="AD638" i="1"/>
  <c r="AD642" i="1"/>
  <c r="AD646" i="1"/>
  <c r="AD651" i="1"/>
  <c r="AD653" i="1"/>
  <c r="AD656" i="1"/>
  <c r="AD677" i="1"/>
  <c r="AD30" i="1"/>
  <c r="AD684" i="1"/>
  <c r="AD686" i="1"/>
  <c r="AD689" i="1"/>
  <c r="AD693" i="1"/>
  <c r="AD697" i="1"/>
  <c r="AD700" i="1"/>
  <c r="AD703" i="1"/>
  <c r="AD724" i="1"/>
  <c r="AD727" i="1"/>
  <c r="AD730" i="1"/>
  <c r="AD735" i="1"/>
  <c r="AD739" i="1"/>
  <c r="AD742" i="1"/>
  <c r="AD744" i="1"/>
  <c r="AD747" i="1"/>
  <c r="AD808" i="1"/>
  <c r="AD812" i="1"/>
  <c r="AD817" i="1"/>
  <c r="AD821" i="1"/>
  <c r="AD858" i="1"/>
  <c r="AD863" i="1"/>
  <c r="AD867" i="1"/>
  <c r="AD872" i="1"/>
  <c r="AD877" i="1"/>
  <c r="AD881" i="1"/>
  <c r="AD885" i="1"/>
  <c r="AD889" i="1"/>
  <c r="AD892" i="1"/>
  <c r="AD901" i="1"/>
  <c r="AD909" i="1"/>
  <c r="AD913" i="1"/>
  <c r="AD915" i="1"/>
  <c r="AD918" i="1"/>
  <c r="AD922" i="1"/>
  <c r="AD924" i="1"/>
  <c r="AD928" i="1"/>
  <c r="AD942" i="1"/>
  <c r="AD945" i="1"/>
  <c r="AD947" i="1"/>
  <c r="AD950" i="1"/>
  <c r="AD954" i="1"/>
  <c r="AD958" i="1"/>
  <c r="AD1041" i="1"/>
  <c r="AD963" i="1"/>
  <c r="AD968" i="1"/>
  <c r="AD972" i="1"/>
  <c r="AD976" i="1"/>
  <c r="AD980" i="1"/>
  <c r="AD984" i="1"/>
  <c r="AD988" i="1"/>
  <c r="AD992" i="1"/>
  <c r="AD996" i="1"/>
  <c r="AD1000" i="1"/>
  <c r="AD1004" i="1"/>
  <c r="AD1007" i="1"/>
  <c r="AD1010" i="1"/>
  <c r="AD1013" i="1"/>
  <c r="AD1016" i="1"/>
  <c r="AD1019" i="1"/>
  <c r="AD1022" i="1"/>
  <c r="AD1025" i="1"/>
  <c r="AD1027" i="1"/>
  <c r="AD1035" i="1"/>
  <c r="AD1038" i="1"/>
  <c r="AD932" i="1"/>
  <c r="AD935" i="1"/>
  <c r="AD939" i="1"/>
  <c r="AD1098" i="1"/>
  <c r="AD1102" i="1"/>
  <c r="AD1106" i="1"/>
  <c r="AD1114" i="1"/>
  <c r="AD1119" i="1"/>
  <c r="AD1124" i="1"/>
  <c r="AD1128" i="1"/>
  <c r="AD1132" i="1"/>
  <c r="AD1137" i="1"/>
  <c r="AD1145" i="1"/>
  <c r="AD1149" i="1"/>
  <c r="AD1153" i="1"/>
  <c r="AD1157" i="1"/>
  <c r="AD1161" i="1"/>
  <c r="AD1164" i="1"/>
  <c r="AD1169" i="1"/>
  <c r="AD1173" i="1"/>
  <c r="AD1177" i="1"/>
  <c r="AD1181" i="1"/>
  <c r="AD1186" i="1"/>
  <c r="AD1191" i="1"/>
  <c r="AD1198" i="1"/>
  <c r="AD1202" i="1"/>
  <c r="AD1205" i="1"/>
  <c r="AD1210" i="1"/>
  <c r="AD42" i="1"/>
  <c r="AD1239" i="1"/>
  <c r="AD1243" i="1"/>
  <c r="AD1247" i="1"/>
  <c r="AD1252" i="1"/>
  <c r="AD1257" i="1"/>
  <c r="AD1262" i="1"/>
  <c r="AD1267" i="1"/>
  <c r="AD1271" i="1"/>
  <c r="AD1276" i="1"/>
  <c r="AD1280" i="1"/>
  <c r="AD1283" i="1"/>
  <c r="AD1287" i="1"/>
  <c r="AD1292" i="1"/>
  <c r="AD1296" i="1"/>
  <c r="AD1303" i="1"/>
  <c r="AD1419" i="1"/>
  <c r="AD1426" i="1"/>
  <c r="AD1431" i="1"/>
  <c r="AD1436" i="1"/>
  <c r="AD1441" i="1"/>
  <c r="AD1445" i="1"/>
  <c r="AD1449" i="1"/>
  <c r="AD1453" i="1"/>
  <c r="AD1457" i="1"/>
  <c r="AD1466" i="1"/>
  <c r="AD1471" i="1"/>
  <c r="AD1502" i="1"/>
  <c r="AD1507" i="1"/>
  <c r="AD1511" i="1"/>
  <c r="AD1514" i="1"/>
  <c r="AD1517" i="1"/>
  <c r="AD1522" i="1"/>
  <c r="AD1716" i="1"/>
  <c r="AD1718" i="1"/>
  <c r="AD1722" i="1"/>
  <c r="AD1727" i="1"/>
  <c r="AD1730" i="1"/>
  <c r="AD1735" i="1"/>
  <c r="AD1739" i="1"/>
  <c r="AD1742" i="1"/>
  <c r="AD1745" i="1"/>
  <c r="AD55" i="1"/>
  <c r="AD1776" i="1"/>
  <c r="AD1779" i="1"/>
  <c r="AD1787" i="1"/>
  <c r="AD1791" i="1"/>
  <c r="AD1795" i="1"/>
  <c r="AD1799" i="1"/>
  <c r="AD1803" i="1"/>
  <c r="AD1807" i="1"/>
  <c r="AD1811" i="1"/>
  <c r="AD1813" i="1"/>
  <c r="AD1827" i="1"/>
  <c r="AD1773" i="1"/>
  <c r="AD1783" i="1"/>
  <c r="AD1904" i="1"/>
  <c r="AD1917" i="1"/>
  <c r="AD1921" i="1"/>
  <c r="AD1926" i="1"/>
  <c r="AD1929" i="1"/>
  <c r="AD1934" i="1"/>
  <c r="AD1938" i="1"/>
  <c r="AD1943" i="1"/>
  <c r="AD2137" i="1"/>
  <c r="AD2141" i="1"/>
  <c r="AD2146" i="1"/>
  <c r="AD2152" i="1"/>
  <c r="AD2156" i="1"/>
  <c r="AD2160" i="1"/>
  <c r="AD2164" i="1"/>
  <c r="AD2169" i="1"/>
  <c r="AD2173" i="1"/>
  <c r="AD2178" i="1"/>
  <c r="AD2182" i="1"/>
  <c r="AD2186" i="1"/>
  <c r="AD2190" i="1"/>
  <c r="AD2193" i="1"/>
  <c r="AD2196" i="1"/>
  <c r="AD2200" i="1"/>
  <c r="AD2204" i="1"/>
  <c r="AD2208" i="1"/>
  <c r="AD2211" i="1"/>
  <c r="AD2214" i="1"/>
  <c r="AD2217" i="1"/>
  <c r="AD2220" i="1"/>
  <c r="AD2225" i="1"/>
  <c r="AD2229" i="1"/>
  <c r="AD2233" i="1"/>
  <c r="AD2237" i="1"/>
  <c r="AD2241" i="1"/>
  <c r="AD2245" i="1"/>
  <c r="AD2249" i="1"/>
  <c r="AD2253" i="1"/>
  <c r="AD2256" i="1"/>
  <c r="AD2260" i="1"/>
  <c r="AD2263" i="1"/>
  <c r="AD2266" i="1"/>
  <c r="AD2268" i="1"/>
  <c r="AD2271" i="1"/>
  <c r="AD2274" i="1"/>
  <c r="AD2277" i="1"/>
  <c r="AD2278" i="1"/>
  <c r="AD2279" i="1"/>
  <c r="AD2281" i="1"/>
  <c r="AD2283" i="1"/>
  <c r="AD2286" i="1"/>
  <c r="AD2290" i="1"/>
  <c r="AD2292" i="1"/>
  <c r="AD2294" i="1"/>
  <c r="AD2296" i="1"/>
  <c r="AD2298" i="1"/>
  <c r="AD2335" i="1"/>
  <c r="AD2338" i="1"/>
  <c r="AD2341" i="1"/>
  <c r="AD2345" i="1"/>
  <c r="AD2350" i="1"/>
  <c r="AD2366" i="1"/>
  <c r="AD2371" i="1"/>
  <c r="AD2376" i="1"/>
  <c r="AD2384" i="1"/>
  <c r="AD2387" i="1"/>
  <c r="AD2392" i="1"/>
  <c r="AD2396" i="1"/>
  <c r="AD2399" i="1"/>
  <c r="AD2406" i="1"/>
  <c r="AD2414" i="1"/>
  <c r="AD2418" i="1"/>
  <c r="AD2429" i="1"/>
  <c r="AD2438" i="1"/>
  <c r="AD2440" i="1"/>
  <c r="AD2442" i="1"/>
  <c r="AD2446" i="1"/>
  <c r="AD2452" i="1"/>
  <c r="AD2457" i="1"/>
  <c r="AD2462" i="1"/>
  <c r="AD2425" i="1"/>
  <c r="AD75" i="1"/>
  <c r="AD4" i="1"/>
  <c r="AD86" i="1"/>
  <c r="AD91" i="1"/>
  <c r="AD96" i="1"/>
  <c r="AD101" i="1"/>
  <c r="AD106" i="1"/>
  <c r="AD111" i="1"/>
  <c r="AD116" i="1"/>
  <c r="AD120" i="1"/>
  <c r="AD125" i="1"/>
  <c r="AD6" i="1"/>
  <c r="AD7" i="1"/>
  <c r="AD143" i="1"/>
  <c r="AD147" i="1"/>
  <c r="AD150" i="1"/>
  <c r="AD157" i="1"/>
  <c r="AD161" i="1"/>
  <c r="AD166" i="1"/>
  <c r="AD183" i="1"/>
  <c r="AD186" i="1"/>
  <c r="AD190" i="1"/>
  <c r="AD193" i="1"/>
  <c r="AD196" i="1"/>
  <c r="AD198" i="1"/>
  <c r="AD201" i="1"/>
  <c r="AD209" i="1"/>
  <c r="AD218" i="1"/>
  <c r="AD224" i="1"/>
  <c r="AD227" i="1"/>
  <c r="AD230" i="1"/>
  <c r="AD234" i="1"/>
  <c r="AD241" i="1"/>
  <c r="AD243" i="1"/>
  <c r="AD245" i="1"/>
  <c r="AD292" i="1"/>
  <c r="AD253" i="1"/>
  <c r="AD256" i="1"/>
  <c r="AD259" i="1"/>
  <c r="AD261" i="1"/>
  <c r="AD274" i="1"/>
  <c r="AD277" i="1"/>
  <c r="AD281" i="1"/>
  <c r="AD286" i="1"/>
  <c r="AD289" i="1"/>
  <c r="AD337" i="1"/>
  <c r="AD341" i="1"/>
  <c r="AD346" i="1"/>
  <c r="AD350" i="1"/>
  <c r="AD355" i="1"/>
  <c r="AD357" i="1"/>
  <c r="AD362" i="1"/>
  <c r="AD366" i="1"/>
  <c r="AD370" i="1"/>
  <c r="AD373" i="1"/>
  <c r="AD377" i="1"/>
  <c r="AD380" i="1"/>
  <c r="AD384" i="1"/>
  <c r="AD388" i="1"/>
  <c r="AD391" i="1"/>
  <c r="AD393" i="1"/>
  <c r="AD395" i="1"/>
  <c r="AD399" i="1"/>
  <c r="AD402" i="1"/>
  <c r="AD406" i="1"/>
  <c r="AD408" i="1"/>
  <c r="AD411" i="1"/>
  <c r="AD413" i="1"/>
  <c r="AD415" i="1"/>
  <c r="AD417" i="1"/>
  <c r="AD420" i="1"/>
  <c r="AD424" i="1"/>
  <c r="AD428" i="1"/>
  <c r="AD432" i="1"/>
  <c r="AD436" i="1"/>
  <c r="AD445" i="1"/>
  <c r="AD448" i="1"/>
  <c r="AD451" i="1"/>
  <c r="AD455" i="1"/>
  <c r="AD593" i="1"/>
  <c r="AD597" i="1"/>
  <c r="AD608" i="1"/>
  <c r="AD613" i="1"/>
  <c r="AD623" i="1"/>
  <c r="AD627" i="1"/>
  <c r="AD631" i="1"/>
  <c r="AD634" i="1"/>
  <c r="AD639" i="1"/>
  <c r="AD643" i="1"/>
  <c r="AD2839" i="1"/>
  <c r="AD654" i="1"/>
  <c r="AD657" i="1"/>
  <c r="AD659" i="1"/>
  <c r="AD662" i="1"/>
  <c r="AD675" i="1"/>
  <c r="AD690" i="1"/>
  <c r="AD33" i="1"/>
  <c r="AD694" i="1"/>
  <c r="AD74" i="1"/>
  <c r="AD803" i="1"/>
  <c r="AD813" i="1"/>
  <c r="AD818" i="1"/>
  <c r="AD827" i="1"/>
  <c r="AD832" i="1"/>
  <c r="AD837" i="1"/>
  <c r="AD325" i="1"/>
  <c r="AD327" i="1"/>
  <c r="AD328" i="1"/>
  <c r="AD330" i="1"/>
  <c r="AD854" i="1"/>
  <c r="AD859" i="1"/>
  <c r="AD919" i="1"/>
  <c r="AD868" i="1"/>
  <c r="AD873" i="1"/>
  <c r="AD878" i="1"/>
  <c r="AD882" i="1"/>
  <c r="AD886" i="1"/>
  <c r="AD895" i="1"/>
  <c r="AD898" i="1"/>
  <c r="AD39" i="1"/>
  <c r="AD905" i="1"/>
  <c r="AD910" i="1"/>
  <c r="AD40" i="1"/>
  <c r="AD1337" i="1"/>
  <c r="AD1341" i="1"/>
  <c r="AD1344" i="1"/>
  <c r="AD1348" i="1"/>
  <c r="AD788" i="1"/>
  <c r="AD790" i="1"/>
  <c r="AD746" i="1"/>
  <c r="AD750" i="1"/>
  <c r="AD793" i="1"/>
  <c r="AD800" i="1"/>
  <c r="AD795" i="1"/>
  <c r="AD797" i="1"/>
  <c r="AD801" i="1"/>
  <c r="AD798" i="1"/>
  <c r="AD799" i="1"/>
  <c r="AD1312" i="1"/>
  <c r="AD1316" i="1"/>
  <c r="AD1320" i="1"/>
  <c r="AD1099" i="1"/>
  <c r="AD1103" i="1"/>
  <c r="AD1107" i="1"/>
  <c r="AD1110" i="1"/>
  <c r="AD1115" i="1"/>
  <c r="AD1120" i="1"/>
  <c r="AD1125" i="1"/>
  <c r="AD1129" i="1"/>
  <c r="AD1133" i="1"/>
  <c r="AD1138" i="1"/>
  <c r="AD1141" i="1"/>
  <c r="AD1146" i="1"/>
  <c r="AD1150" i="1"/>
  <c r="AD1154" i="1"/>
  <c r="AD1158" i="1"/>
  <c r="AD1165" i="1"/>
  <c r="AD1170" i="1"/>
  <c r="AD1174" i="1"/>
  <c r="AD1178" i="1"/>
  <c r="AD1182" i="1"/>
  <c r="AD1187" i="1"/>
  <c r="AD1192" i="1"/>
  <c r="AD1195" i="1"/>
  <c r="AD1199" i="1"/>
  <c r="AD1203" i="1"/>
  <c r="AD1206" i="1"/>
  <c r="AD1214" i="1"/>
  <c r="AD1218" i="1"/>
  <c r="AD1222" i="1"/>
  <c r="AD1225" i="1"/>
  <c r="AD1229" i="1"/>
  <c r="AD1232" i="1"/>
  <c r="AD1240" i="1"/>
  <c r="AD1244" i="1"/>
  <c r="AD1094" i="1"/>
  <c r="AD1248" i="1"/>
  <c r="AD1253" i="1"/>
  <c r="AD1258" i="1"/>
  <c r="AD1263" i="1"/>
  <c r="AD1268" i="1"/>
  <c r="AD1272" i="1"/>
  <c r="AD1277" i="1"/>
  <c r="AD1281" i="1"/>
  <c r="AD1284" i="1"/>
  <c r="AD1297" i="1"/>
  <c r="AD1300" i="1"/>
  <c r="AD1304" i="1"/>
  <c r="AD1306" i="1"/>
  <c r="AD1309" i="1"/>
  <c r="AD1313" i="1"/>
  <c r="AD1317" i="1"/>
  <c r="AD1321" i="1"/>
  <c r="AD1324" i="1"/>
  <c r="AD1327" i="1"/>
  <c r="AD1330" i="1"/>
  <c r="AD1332" i="1"/>
  <c r="AD1334" i="1"/>
  <c r="AD1338" i="1"/>
  <c r="AD1342" i="1"/>
  <c r="AD1345" i="1"/>
  <c r="AD2844" i="1"/>
  <c r="AD2845" i="1"/>
  <c r="AD2846" i="1"/>
  <c r="AD2847" i="1"/>
  <c r="AD2848" i="1"/>
  <c r="AD37" i="1"/>
  <c r="AD38" i="1"/>
  <c r="AD904" i="1"/>
  <c r="AD908" i="1"/>
  <c r="AD56" i="1"/>
  <c r="AD1420" i="1"/>
  <c r="AD1423" i="1"/>
  <c r="AD1427" i="1"/>
  <c r="AD1432" i="1"/>
  <c r="AD1437" i="1"/>
  <c r="AD1458" i="1"/>
  <c r="AD1462" i="1"/>
  <c r="AD1467" i="1"/>
  <c r="AD1472" i="1"/>
  <c r="AD1476" i="1"/>
  <c r="AD1480" i="1"/>
  <c r="AD1484" i="1"/>
  <c r="AD1488" i="1"/>
  <c r="AD1503" i="1"/>
  <c r="AD45" i="1"/>
  <c r="AD1518" i="1"/>
  <c r="AD1523" i="1"/>
  <c r="AD1536" i="1"/>
  <c r="AD1540" i="1"/>
  <c r="AD1544" i="1"/>
  <c r="AD1548" i="1"/>
  <c r="AD1553" i="1"/>
  <c r="AD1558" i="1"/>
  <c r="AD1563" i="1"/>
  <c r="AD1567" i="1"/>
  <c r="AD1569" i="1"/>
  <c r="AD1573" i="1"/>
  <c r="AD1577" i="1"/>
  <c r="AD1582" i="1"/>
  <c r="AD1586" i="1"/>
  <c r="AD1590" i="1"/>
  <c r="AD1593" i="1"/>
  <c r="AD1601" i="1"/>
  <c r="AD1605" i="1"/>
  <c r="AD1611" i="1"/>
  <c r="AD1615" i="1"/>
  <c r="AD1618" i="1"/>
  <c r="AD1717" i="1"/>
  <c r="AD1719" i="1"/>
  <c r="AD1723" i="1"/>
  <c r="AD1725" i="1"/>
  <c r="AD1728" i="1"/>
  <c r="AD1731" i="1"/>
  <c r="AD1733" i="1"/>
  <c r="AD1736" i="1"/>
  <c r="AD1740" i="1"/>
  <c r="AD1743" i="1"/>
  <c r="AD1746" i="1"/>
  <c r="AD1750" i="1"/>
  <c r="AD1753" i="1"/>
  <c r="AD1755" i="1"/>
  <c r="AD1757" i="1"/>
  <c r="AD3" i="1"/>
  <c r="AD1762" i="1"/>
  <c r="AD1764" i="1"/>
  <c r="AD1767" i="1"/>
  <c r="AD2850" i="1"/>
  <c r="AD1774" i="1"/>
  <c r="AD1777" i="1"/>
  <c r="AD1780" i="1"/>
  <c r="AD1784" i="1"/>
  <c r="AD1788" i="1"/>
  <c r="AD1792" i="1"/>
  <c r="AD1796" i="1"/>
  <c r="AD1800" i="1"/>
  <c r="AD1804" i="1"/>
  <c r="AD1808" i="1"/>
  <c r="AD1816" i="1"/>
  <c r="AD1821" i="1"/>
  <c r="AD1824" i="1"/>
  <c r="AD1831" i="1"/>
  <c r="AD1836" i="1"/>
  <c r="AD1839" i="1"/>
  <c r="AD1842" i="1"/>
  <c r="AD1846" i="1"/>
  <c r="AD1850" i="1"/>
  <c r="AD1853" i="1"/>
  <c r="AD1855" i="1"/>
  <c r="AD1858" i="1"/>
  <c r="AD2040" i="1"/>
  <c r="AD2042" i="1"/>
  <c r="AD2049" i="1"/>
  <c r="AD2051" i="1"/>
  <c r="AD1942" i="1"/>
  <c r="AD2140" i="1"/>
  <c r="AD2308" i="1"/>
  <c r="AD2310" i="1"/>
  <c r="AD2312" i="1"/>
  <c r="AD2163" i="1"/>
  <c r="AD2177" i="1"/>
  <c r="AD2328" i="1"/>
  <c r="AD2324" i="1"/>
  <c r="AD2323" i="1"/>
  <c r="AD2317" i="1"/>
  <c r="AD2319" i="1"/>
  <c r="AD2321" i="1"/>
  <c r="AD2322" i="1"/>
  <c r="AD2315" i="1"/>
  <c r="AD2854" i="1"/>
  <c r="AD2267" i="1"/>
  <c r="AD2325" i="1"/>
  <c r="AD2326" i="1"/>
  <c r="AD2255" i="1"/>
  <c r="AD2330" i="1"/>
  <c r="AD1939" i="1"/>
  <c r="AD1944" i="1"/>
  <c r="AD1947" i="1"/>
  <c r="AD1951" i="1"/>
  <c r="AD1954" i="1"/>
  <c r="AD1958" i="1"/>
  <c r="AD1961" i="1"/>
  <c r="AD1965" i="1"/>
  <c r="AD1970" i="1"/>
  <c r="AD1977" i="1"/>
  <c r="AD1981" i="1"/>
  <c r="AD1985" i="1"/>
  <c r="AD1989" i="1"/>
  <c r="AD1993" i="1"/>
  <c r="AD1997" i="1"/>
  <c r="AD2003" i="1"/>
  <c r="AD2006" i="1"/>
  <c r="AD2009" i="1"/>
  <c r="AD2015" i="1"/>
  <c r="AD2021" i="1"/>
  <c r="AD2030" i="1"/>
  <c r="AD2032" i="1"/>
  <c r="AD2034" i="1"/>
  <c r="AD2138" i="1"/>
  <c r="AD2142" i="1"/>
  <c r="AD2147" i="1"/>
  <c r="AD2153" i="1"/>
  <c r="AD2157" i="1"/>
  <c r="AD2161" i="1"/>
  <c r="AD2165" i="1"/>
  <c r="AD2174" i="1"/>
  <c r="AD2179" i="1"/>
  <c r="AD2183" i="1"/>
  <c r="AD2187" i="1"/>
  <c r="AD2191" i="1"/>
  <c r="AD2194" i="1"/>
  <c r="AD2197" i="1"/>
  <c r="AD2201" i="1"/>
  <c r="AD2205" i="1"/>
  <c r="AD2209" i="1"/>
  <c r="AD2212" i="1"/>
  <c r="AD2215" i="1"/>
  <c r="AD2218" i="1"/>
  <c r="AD2221" i="1"/>
  <c r="AD2226" i="1"/>
  <c r="AD1679" i="1"/>
  <c r="AD1680" i="1"/>
  <c r="AD1681" i="1"/>
  <c r="AD1705" i="1"/>
  <c r="AD1604" i="1"/>
  <c r="AD1607" i="1"/>
  <c r="AD1608" i="1"/>
  <c r="AD1610" i="1"/>
  <c r="AD1614" i="1"/>
  <c r="AD1617" i="1"/>
  <c r="AD1620" i="1"/>
  <c r="AD1622" i="1"/>
  <c r="AD1624" i="1"/>
  <c r="AD1627" i="1"/>
  <c r="AD1682" i="1"/>
  <c r="AD1683" i="1"/>
  <c r="AD1684" i="1"/>
  <c r="AD1638" i="1"/>
  <c r="AD1707" i="1"/>
  <c r="AD1685" i="1"/>
  <c r="AD1686" i="1"/>
  <c r="AD1687" i="1"/>
  <c r="AD1688" i="1"/>
  <c r="AD1689" i="1"/>
  <c r="AD1690" i="1"/>
  <c r="AD1706" i="1"/>
  <c r="AD1653" i="1"/>
  <c r="AD1691" i="1"/>
  <c r="AD1692" i="1"/>
  <c r="AD1693" i="1"/>
  <c r="AD1694" i="1"/>
  <c r="AD1695" i="1"/>
  <c r="AD1696" i="1"/>
  <c r="AD1697" i="1"/>
  <c r="AD1698" i="1"/>
  <c r="AD1699" i="1"/>
  <c r="AD1701" i="1"/>
  <c r="AD1702" i="1"/>
  <c r="AD1703" i="1"/>
  <c r="AD1704" i="1"/>
  <c r="AD2663" i="1"/>
  <c r="AD2669" i="1"/>
  <c r="AD2666" i="1"/>
  <c r="AD2672" i="1"/>
  <c r="AD2675" i="1"/>
  <c r="AD2678" i="1"/>
  <c r="AD2681" i="1"/>
  <c r="AD2684" i="1"/>
  <c r="AD2690" i="1"/>
  <c r="AD2693" i="1"/>
  <c r="AD2720" i="1"/>
  <c r="AD2687" i="1"/>
  <c r="AD2721" i="1"/>
  <c r="AD2714" i="1"/>
  <c r="AD2716" i="1"/>
  <c r="AD2719" i="1"/>
  <c r="AD1700" i="1"/>
  <c r="AD2602" i="1"/>
  <c r="AD2606" i="1"/>
  <c r="AD2635" i="1"/>
  <c r="AD2614" i="1"/>
  <c r="AD2619" i="1"/>
  <c r="AD2624" i="1"/>
  <c r="AD2639" i="1"/>
  <c r="AD2649" i="1"/>
  <c r="AD2643" i="1"/>
  <c r="AD2547" i="1"/>
  <c r="AD2513" i="1"/>
  <c r="AD2517" i="1"/>
  <c r="AD2521" i="1"/>
  <c r="AD2524" i="1"/>
  <c r="AD2526" i="1"/>
  <c r="AD2555" i="1"/>
  <c r="AD2533" i="1"/>
  <c r="AD2550" i="1"/>
  <c r="AD2552" i="1"/>
  <c r="AD2536" i="1"/>
  <c r="AD2539" i="1"/>
  <c r="AD2542" i="1"/>
  <c r="AD2506" i="1"/>
  <c r="AD2510" i="1"/>
  <c r="AD62" i="1"/>
  <c r="AD2342" i="1"/>
  <c r="AD2346" i="1"/>
  <c r="AD2351" i="1"/>
  <c r="AD2354" i="1"/>
  <c r="AD2358" i="1"/>
  <c r="AD2362" i="1"/>
  <c r="AD2367" i="1"/>
  <c r="AD2372" i="1"/>
  <c r="AD2380" i="1"/>
  <c r="AD2388" i="1"/>
  <c r="AD2393" i="1"/>
  <c r="AD2403" i="1"/>
  <c r="AD2407" i="1"/>
  <c r="AD2411" i="1"/>
  <c r="AD2415" i="1"/>
  <c r="AD2419" i="1"/>
  <c r="AD2422" i="1"/>
  <c r="AD2426" i="1"/>
  <c r="AD2430" i="1"/>
  <c r="AD2432" i="1"/>
  <c r="AD2435" i="1"/>
  <c r="AD2443" i="1"/>
  <c r="AD2447" i="1"/>
  <c r="AD2448" i="1"/>
  <c r="AD2453" i="1"/>
  <c r="AD2458" i="1"/>
  <c r="AD2463" i="1"/>
  <c r="AD2466" i="1"/>
  <c r="AD2471" i="1"/>
  <c r="AD2479" i="1"/>
  <c r="AD2487" i="1"/>
  <c r="AD2495" i="1"/>
  <c r="AD2501" i="1"/>
  <c r="AD2507" i="1"/>
  <c r="AD2515" i="1"/>
  <c r="AD2522" i="1"/>
  <c r="AD2525" i="1"/>
  <c r="AD2527" i="1"/>
  <c r="AD2528" i="1"/>
  <c r="AD2529" i="1"/>
  <c r="AD2531" i="1"/>
  <c r="AD2534" i="1"/>
  <c r="AD2537" i="1"/>
  <c r="AD2540" i="1"/>
  <c r="AD2543" i="1"/>
  <c r="AD2548" i="1"/>
  <c r="AD2553" i="1"/>
  <c r="AD2556" i="1"/>
  <c r="AD2557" i="1"/>
  <c r="AD2559" i="1"/>
  <c r="AD2562" i="1"/>
  <c r="AD2565" i="1"/>
  <c r="AD2567" i="1"/>
  <c r="AD2568" i="1"/>
  <c r="AD133" i="1"/>
  <c r="AD136" i="1"/>
  <c r="AD139" i="1"/>
  <c r="AD144" i="1"/>
  <c r="AD148" i="1"/>
  <c r="AD151" i="1"/>
  <c r="AD153" i="1"/>
  <c r="AD155" i="1"/>
  <c r="AD158" i="1"/>
  <c r="AD162" i="1"/>
  <c r="AD167" i="1"/>
  <c r="AD171" i="1"/>
  <c r="AD174" i="1"/>
  <c r="AD178" i="1"/>
  <c r="AD181" i="1"/>
  <c r="AD187" i="1"/>
  <c r="AD194" i="1"/>
  <c r="AD199" i="1"/>
  <c r="AD202" i="1"/>
  <c r="AD205" i="1"/>
  <c r="AD212" i="1"/>
  <c r="AD215" i="1"/>
  <c r="AD219" i="1"/>
  <c r="AD11" i="1"/>
  <c r="AD12" i="1"/>
  <c r="AD13" i="1"/>
  <c r="AD231" i="1"/>
  <c r="AD236" i="1"/>
  <c r="AD239" i="1"/>
  <c r="AD264" i="1"/>
  <c r="AD248" i="1"/>
  <c r="AD262" i="1"/>
  <c r="AD698" i="1"/>
  <c r="AD701" i="1"/>
  <c r="AD704" i="1"/>
  <c r="AD705" i="1"/>
  <c r="AD708" i="1"/>
  <c r="AD711" i="1"/>
  <c r="AD714" i="1"/>
  <c r="AD717" i="1"/>
  <c r="AD719" i="1"/>
  <c r="AD336" i="1"/>
  <c r="AD340" i="1"/>
  <c r="AD398" i="1"/>
  <c r="AD401" i="1"/>
  <c r="AD405" i="1"/>
  <c r="AD586" i="1"/>
  <c r="AD587" i="1"/>
  <c r="AD588" i="1"/>
  <c r="AD589" i="1"/>
  <c r="AD590" i="1"/>
  <c r="AD591" i="1"/>
  <c r="AD598" i="1"/>
  <c r="AD601" i="1"/>
  <c r="AD605" i="1"/>
  <c r="AD609" i="1"/>
  <c r="AD624" i="1"/>
  <c r="AD628" i="1"/>
  <c r="AD635" i="1"/>
  <c r="AD649" i="1"/>
  <c r="AD27" i="1"/>
  <c r="AD660" i="1"/>
  <c r="AD663" i="1"/>
  <c r="AD666" i="1"/>
  <c r="AD669" i="1"/>
  <c r="AD672" i="1"/>
  <c r="AD680" i="1"/>
  <c r="AD682" i="1"/>
  <c r="AD31" i="1"/>
  <c r="AD687" i="1"/>
  <c r="AD32" i="1"/>
  <c r="AD695" i="1"/>
  <c r="AD50" i="1"/>
  <c r="AD722" i="1"/>
  <c r="AD745" i="1"/>
  <c r="AD748" i="1"/>
  <c r="AD752" i="1"/>
  <c r="AD725" i="1"/>
  <c r="AD728" i="1"/>
  <c r="AD731" i="1"/>
  <c r="AD732" i="1"/>
  <c r="AD34" i="1"/>
  <c r="AD740" i="1"/>
  <c r="AD743" i="1"/>
  <c r="AD804" i="1"/>
  <c r="AD806" i="1"/>
  <c r="AD809" i="1"/>
  <c r="AD814" i="1"/>
  <c r="AD819" i="1"/>
  <c r="AD823" i="1"/>
  <c r="AD828" i="1"/>
  <c r="AD833" i="1"/>
  <c r="AD838" i="1"/>
  <c r="AD846" i="1"/>
  <c r="AD850" i="1"/>
  <c r="AD855" i="1"/>
  <c r="AD860" i="1"/>
  <c r="AD864" i="1"/>
  <c r="AD869" i="1"/>
  <c r="AD874" i="1"/>
  <c r="AD879" i="1"/>
  <c r="AD883" i="1"/>
  <c r="AD887" i="1"/>
  <c r="AD890" i="1"/>
  <c r="AD893" i="1"/>
  <c r="AD896" i="1"/>
  <c r="AD899" i="1"/>
  <c r="AD902" i="1"/>
  <c r="AD903" i="1"/>
  <c r="AD906" i="1"/>
  <c r="AD911" i="1"/>
  <c r="AD914" i="1"/>
  <c r="AD916" i="1"/>
  <c r="AD920" i="1"/>
  <c r="AD923" i="1"/>
  <c r="AD926" i="1"/>
  <c r="AD930" i="1"/>
  <c r="AD933" i="1"/>
  <c r="AD937" i="1"/>
  <c r="AD940" i="1"/>
  <c r="AD943" i="1"/>
  <c r="AD946" i="1"/>
  <c r="AD948" i="1"/>
  <c r="AD952" i="1"/>
  <c r="AD956" i="1"/>
  <c r="AD959" i="1"/>
  <c r="AD961" i="1"/>
  <c r="AD966" i="1"/>
  <c r="AD970" i="1"/>
  <c r="AD974" i="1"/>
  <c r="AD978" i="1"/>
  <c r="AD982" i="1"/>
  <c r="AD986" i="1"/>
  <c r="AD990" i="1"/>
  <c r="AD994" i="1"/>
  <c r="AD998" i="1"/>
  <c r="AD1002" i="1"/>
  <c r="AD1005" i="1"/>
  <c r="AD1008" i="1"/>
  <c r="AD1011" i="1"/>
  <c r="AD1014" i="1"/>
  <c r="AD1017" i="1"/>
  <c r="AD1020" i="1"/>
  <c r="AD1023" i="1"/>
  <c r="AD1026" i="1"/>
  <c r="AD1028" i="1"/>
  <c r="AD1030" i="1"/>
  <c r="AD1032" i="1"/>
  <c r="AD1033" i="1"/>
  <c r="AD1036" i="1"/>
  <c r="AD1039" i="1"/>
  <c r="AD1042" i="1"/>
  <c r="AD1044" i="1"/>
  <c r="AD1046" i="1"/>
  <c r="AD1048" i="1"/>
  <c r="AD1050" i="1"/>
  <c r="AD1052" i="1"/>
  <c r="AD1054" i="1"/>
  <c r="AD1056" i="1"/>
  <c r="AD1063" i="1"/>
  <c r="AD1068" i="1"/>
  <c r="AD1070" i="1"/>
  <c r="AD1074" i="1"/>
  <c r="AD1076" i="1"/>
  <c r="AD1077" i="1"/>
  <c r="AD1079" i="1"/>
  <c r="AD1081" i="1"/>
  <c r="AD1082" i="1"/>
  <c r="AD1084" i="1"/>
  <c r="AD1085" i="1"/>
  <c r="AD1087" i="1"/>
  <c r="AD1095" i="1"/>
  <c r="AD1100" i="1"/>
  <c r="AD1104" i="1"/>
  <c r="AD1111" i="1"/>
  <c r="AD1116" i="1"/>
  <c r="AD1121" i="1"/>
  <c r="AD1126" i="1"/>
  <c r="AD1134" i="1"/>
  <c r="AD1142" i="1"/>
  <c r="AD1183" i="1"/>
  <c r="AD1188" i="1"/>
  <c r="AD1215" i="1"/>
  <c r="AD1219" i="1"/>
  <c r="AD1223" i="1"/>
  <c r="AD1226" i="1"/>
  <c r="AD1241" i="1"/>
  <c r="AD1245" i="1"/>
  <c r="AD1249" i="1"/>
  <c r="AD1254" i="1"/>
  <c r="AD1259" i="1"/>
  <c r="AD1264" i="1"/>
  <c r="AD1269" i="1"/>
  <c r="AD1273" i="1"/>
  <c r="AD43" i="1"/>
  <c r="AD1289" i="1"/>
  <c r="AD1294" i="1"/>
  <c r="AD1298" i="1"/>
  <c r="AD1301" i="1"/>
  <c r="AD1428" i="1"/>
  <c r="AD1433" i="1"/>
  <c r="AD1438" i="1"/>
  <c r="AD1442" i="1"/>
  <c r="AD1446" i="1"/>
  <c r="AD1450" i="1"/>
  <c r="AD1454" i="1"/>
  <c r="AD1459" i="1"/>
  <c r="AD1463" i="1"/>
  <c r="AD1468" i="1"/>
  <c r="AD1473" i="1"/>
  <c r="AD1477" i="1"/>
  <c r="AD1481" i="1"/>
  <c r="AD1485" i="1"/>
  <c r="AD1489" i="1"/>
  <c r="AD1492" i="1"/>
  <c r="AD1508" i="1"/>
  <c r="AD2858" i="1"/>
  <c r="AD1519" i="1"/>
  <c r="AD1524" i="1"/>
  <c r="AD1527" i="1"/>
  <c r="AD1529" i="1"/>
  <c r="AD1533" i="1"/>
  <c r="AD1537" i="1"/>
  <c r="AD1541" i="1"/>
  <c r="AD1545" i="1"/>
  <c r="AD1549" i="1"/>
  <c r="AD1554" i="1"/>
  <c r="AD1559" i="1"/>
  <c r="AD1564" i="1"/>
  <c r="AD1570" i="1"/>
  <c r="AD1574" i="1"/>
  <c r="AD1578" i="1"/>
  <c r="AD1583" i="1"/>
  <c r="AD1587" i="1"/>
  <c r="AD1591" i="1"/>
  <c r="AD1594" i="1"/>
  <c r="AD1596" i="1"/>
  <c r="AD1599" i="1"/>
  <c r="AD1602" i="1"/>
  <c r="AD2603" i="1"/>
  <c r="AD2607" i="1"/>
  <c r="AD2611" i="1"/>
  <c r="AD2615" i="1"/>
  <c r="AD2627" i="1"/>
  <c r="AD2620" i="1"/>
  <c r="AD2622" i="1"/>
  <c r="AD2625" i="1"/>
  <c r="AD2630" i="1"/>
  <c r="AD2632" i="1"/>
  <c r="AD2636" i="1"/>
  <c r="AD2640" i="1"/>
  <c r="AD2644" i="1"/>
  <c r="AD67" i="1"/>
  <c r="AD841" i="1"/>
  <c r="AD925" i="1"/>
  <c r="AD929" i="1"/>
  <c r="AD936" i="1"/>
  <c r="AD36" i="1"/>
  <c r="AD2149" i="1"/>
  <c r="AD2154" i="1"/>
  <c r="AD2158" i="1"/>
  <c r="AD2162" i="1"/>
  <c r="AD2166" i="1"/>
  <c r="AD2170" i="1"/>
  <c r="AD2175" i="1"/>
  <c r="AD2180" i="1"/>
  <c r="AD2184" i="1"/>
  <c r="AD2188" i="1"/>
  <c r="AD2192" i="1"/>
  <c r="AD2195" i="1"/>
  <c r="AD2198" i="1"/>
  <c r="AD2202" i="1"/>
  <c r="AD2206" i="1"/>
  <c r="AD2210" i="1"/>
  <c r="AD2213" i="1"/>
  <c r="AD2216" i="1"/>
  <c r="AD2222" i="1"/>
  <c r="AD2227" i="1"/>
  <c r="AD2231" i="1"/>
  <c r="AD2235" i="1"/>
  <c r="AD2239" i="1"/>
  <c r="AD2247" i="1"/>
  <c r="AD2258" i="1"/>
  <c r="AD2261" i="1"/>
  <c r="AD2264" i="1"/>
  <c r="AD2269" i="1"/>
  <c r="AD2272" i="1"/>
  <c r="AD2275" i="1"/>
  <c r="AD2285" i="1"/>
  <c r="AD2288" i="1"/>
  <c r="AD2291" i="1"/>
  <c r="AD2293" i="1"/>
  <c r="AD2295" i="1"/>
  <c r="AD2297" i="1"/>
  <c r="AD2299" i="1"/>
  <c r="AD2300" i="1"/>
  <c r="AD2302" i="1"/>
  <c r="AD2304" i="1"/>
  <c r="AD1724" i="1"/>
  <c r="AD1726" i="1"/>
  <c r="AD1729" i="1"/>
  <c r="AD1732" i="1"/>
  <c r="AD1734" i="1"/>
  <c r="AD1737" i="1"/>
  <c r="AD1741" i="1"/>
  <c r="AD1744" i="1"/>
  <c r="AD1747" i="1"/>
  <c r="AD1751" i="1"/>
  <c r="AD1754" i="1"/>
  <c r="AD1756" i="1"/>
  <c r="AD1758" i="1"/>
  <c r="AD1760" i="1"/>
  <c r="AD1763" i="1"/>
  <c r="AD1765" i="1"/>
  <c r="AD1768" i="1"/>
  <c r="AD1770" i="1"/>
  <c r="AD1775" i="1"/>
  <c r="AD1778" i="1"/>
  <c r="AD1781" i="1"/>
  <c r="AD1785" i="1"/>
  <c r="AD1789" i="1"/>
  <c r="AD1793" i="1"/>
  <c r="AD1797" i="1"/>
  <c r="AD1801" i="1"/>
  <c r="AD1805" i="1"/>
  <c r="AD1809" i="1"/>
  <c r="AD1812" i="1"/>
  <c r="AD1814" i="1"/>
  <c r="AD1815" i="1"/>
  <c r="AD1817" i="1"/>
  <c r="AD1822" i="1"/>
  <c r="AD1825" i="1"/>
  <c r="AD1828" i="1"/>
  <c r="AD1843" i="1"/>
  <c r="AD1847" i="1"/>
  <c r="AD2336" i="1"/>
  <c r="AD2339" i="1"/>
  <c r="AD2343" i="1"/>
  <c r="AD2347" i="1"/>
  <c r="AD2352" i="1"/>
  <c r="AD2355" i="1"/>
  <c r="AD2359" i="1"/>
  <c r="AD2363" i="1"/>
  <c r="AD2368" i="1"/>
  <c r="AD2373" i="1"/>
  <c r="AD2377" i="1"/>
  <c r="AD2381" i="1"/>
  <c r="AD2389" i="1"/>
  <c r="AD2404" i="1"/>
  <c r="AD2449" i="1"/>
  <c r="AD2454" i="1"/>
  <c r="AD2459" i="1"/>
  <c r="AD2464" i="1"/>
  <c r="AD2467" i="1"/>
  <c r="AD2472" i="1"/>
  <c r="AD2475" i="1"/>
  <c r="AD2480" i="1"/>
  <c r="AD2484" i="1"/>
  <c r="AD2488" i="1"/>
  <c r="AD2492" i="1"/>
  <c r="AD2496" i="1"/>
  <c r="AD2499" i="1"/>
  <c r="AD2502" i="1"/>
  <c r="AD2504" i="1"/>
  <c r="AD2508" i="1"/>
  <c r="AD2511" i="1"/>
  <c r="AD2516" i="1"/>
  <c r="AD2532" i="1"/>
  <c r="AD314" i="1"/>
  <c r="AD304" i="1"/>
  <c r="AD307" i="1"/>
  <c r="AD1902" i="1"/>
  <c r="AD1905" i="1"/>
  <c r="AD1907" i="1"/>
  <c r="AD1909" i="1"/>
  <c r="AD1911" i="1"/>
  <c r="AD1914" i="1"/>
  <c r="AD1918" i="1"/>
  <c r="AD1922" i="1"/>
  <c r="AD1924" i="1"/>
  <c r="AD1927" i="1"/>
  <c r="AD1930" i="1"/>
  <c r="AD1932" i="1"/>
  <c r="AD1935" i="1"/>
  <c r="AD1940" i="1"/>
  <c r="AD1945" i="1"/>
  <c r="AD1948" i="1"/>
  <c r="AD1952" i="1"/>
  <c r="AD1955" i="1"/>
  <c r="AD1959" i="1"/>
  <c r="AD1962" i="1"/>
  <c r="AD1966" i="1"/>
  <c r="AD1971" i="1"/>
  <c r="AD1974" i="1"/>
  <c r="AD1978" i="1"/>
  <c r="AD1982" i="1"/>
  <c r="AD1986" i="1"/>
  <c r="AD1990" i="1"/>
  <c r="AD1994" i="1"/>
  <c r="AD2000" i="1"/>
  <c r="AD2004" i="1"/>
  <c r="AD2007" i="1"/>
  <c r="AD2010" i="1"/>
  <c r="AD2012" i="1"/>
  <c r="AD2014" i="1"/>
  <c r="AD2016" i="1"/>
  <c r="AD2017" i="1"/>
  <c r="AD2019" i="1"/>
  <c r="AD2020" i="1"/>
  <c r="AD2022" i="1"/>
  <c r="AD2024" i="1"/>
  <c r="AD2025" i="1"/>
  <c r="AD2026" i="1"/>
  <c r="AD2027" i="1"/>
  <c r="AD2028" i="1"/>
  <c r="AD2029" i="1"/>
  <c r="AD2031" i="1"/>
  <c r="AD2033" i="1"/>
  <c r="AD2035" i="1"/>
  <c r="AD2036" i="1"/>
  <c r="AD2038" i="1"/>
  <c r="AD2039" i="1"/>
  <c r="AD2041" i="1"/>
  <c r="AD2044" i="1"/>
  <c r="AD2046" i="1"/>
  <c r="AD2048" i="1"/>
  <c r="AD2050" i="1"/>
  <c r="AD2052" i="1"/>
  <c r="AD2054" i="1"/>
  <c r="AD2057" i="1"/>
  <c r="AD2060" i="1"/>
  <c r="AD2063" i="1"/>
  <c r="AD2066" i="1"/>
  <c r="AD2068" i="1"/>
  <c r="AD2069" i="1"/>
  <c r="AD2070" i="1"/>
  <c r="AD2072" i="1"/>
  <c r="AD2074" i="1"/>
  <c r="AD2076" i="1"/>
  <c r="AD2078" i="1"/>
  <c r="AD2079" i="1"/>
  <c r="AD2081" i="1"/>
  <c r="AD2083" i="1"/>
  <c r="AD2085" i="1"/>
  <c r="AD2087" i="1"/>
  <c r="AD2089" i="1"/>
  <c r="AD2091" i="1"/>
  <c r="AD2093" i="1"/>
  <c r="AD2095" i="1"/>
  <c r="AD2097" i="1"/>
  <c r="AD2099" i="1"/>
  <c r="AD2101" i="1"/>
  <c r="AD2103" i="1"/>
  <c r="AD2105" i="1"/>
  <c r="AD2107" i="1"/>
  <c r="AD2109" i="1"/>
  <c r="AD2110" i="1"/>
  <c r="AD2111" i="1"/>
  <c r="AD2112" i="1"/>
  <c r="AD2113" i="1"/>
  <c r="AD2114" i="1"/>
  <c r="AD2115" i="1"/>
  <c r="AD2116" i="1"/>
  <c r="AD2117" i="1"/>
  <c r="AD2118" i="1"/>
  <c r="AD2119" i="1"/>
  <c r="AD2120" i="1"/>
  <c r="AD2121" i="1"/>
  <c r="AD2122" i="1"/>
  <c r="AD2123" i="1"/>
  <c r="AD2124" i="1"/>
  <c r="AD2125" i="1"/>
  <c r="AD321" i="1"/>
  <c r="AD317" i="1"/>
  <c r="AD319" i="1"/>
  <c r="AD323" i="1"/>
  <c r="AD324" i="1"/>
  <c r="AD312" i="1"/>
  <c r="AD326" i="1"/>
  <c r="AD332" i="1"/>
  <c r="AD331" i="1"/>
  <c r="AD329" i="1"/>
  <c r="AD1969" i="1"/>
  <c r="AD1973" i="1"/>
  <c r="AD599" i="1"/>
  <c r="AD602" i="1"/>
  <c r="AD606" i="1"/>
  <c r="AD610" i="1"/>
  <c r="AD614" i="1"/>
  <c r="AD22" i="1"/>
  <c r="AD23" i="1"/>
  <c r="AD620" i="1"/>
  <c r="AD24" i="1"/>
  <c r="AD25" i="1"/>
  <c r="AD26" i="1"/>
  <c r="AD636" i="1"/>
  <c r="AD640" i="1"/>
  <c r="AD644" i="1"/>
  <c r="AD28" i="1"/>
  <c r="AD664" i="1"/>
  <c r="AD667" i="1"/>
  <c r="AD670" i="1"/>
  <c r="AD673" i="1"/>
  <c r="AD2474" i="1"/>
  <c r="AD2514" i="1"/>
  <c r="AD2518" i="1"/>
  <c r="AD2470" i="1"/>
  <c r="AD2483" i="1"/>
  <c r="AD2402" i="1"/>
  <c r="AD2410" i="1"/>
  <c r="AD60" i="1"/>
  <c r="AD807" i="1"/>
  <c r="AD810" i="1"/>
  <c r="AD815" i="1"/>
  <c r="AD820" i="1"/>
  <c r="AD822" i="1"/>
  <c r="AD824" i="1"/>
  <c r="AD829" i="1"/>
  <c r="AD834" i="1"/>
  <c r="AD839" i="1"/>
  <c r="AD843" i="1"/>
  <c r="AD847" i="1"/>
  <c r="AD851" i="1"/>
  <c r="AD856" i="1"/>
  <c r="AD861" i="1"/>
  <c r="AD865" i="1"/>
  <c r="AD870" i="1"/>
  <c r="AD875" i="1"/>
  <c r="AD880" i="1"/>
  <c r="AD884" i="1"/>
  <c r="AD888" i="1"/>
  <c r="AD894" i="1"/>
  <c r="AD897" i="1"/>
  <c r="AD900" i="1"/>
  <c r="AD907" i="1"/>
  <c r="AD912" i="1"/>
  <c r="AD917" i="1"/>
  <c r="AD921" i="1"/>
  <c r="AD931" i="1"/>
  <c r="AD934" i="1"/>
  <c r="AD938" i="1"/>
  <c r="AD941" i="1"/>
  <c r="AD944" i="1"/>
  <c r="AD949" i="1"/>
  <c r="AD953" i="1"/>
  <c r="AD957" i="1"/>
  <c r="AD960" i="1"/>
  <c r="AD962" i="1"/>
  <c r="AD967" i="1"/>
  <c r="AD971" i="1"/>
  <c r="AD975" i="1"/>
  <c r="AD979" i="1"/>
  <c r="AD983" i="1"/>
  <c r="AD987" i="1"/>
  <c r="AD991" i="1"/>
  <c r="AD995" i="1"/>
  <c r="AD999" i="1"/>
  <c r="AD1003" i="1"/>
  <c r="AD1006" i="1"/>
  <c r="AD1009" i="1"/>
  <c r="AD1012" i="1"/>
  <c r="AD1015" i="1"/>
  <c r="AD1018" i="1"/>
  <c r="AD1021" i="1"/>
  <c r="AD1024" i="1"/>
  <c r="AD1029" i="1"/>
  <c r="AD1031" i="1"/>
  <c r="AD1034" i="1"/>
  <c r="AD1037" i="1"/>
  <c r="AD1040" i="1"/>
  <c r="AD1043" i="1"/>
  <c r="AD1045" i="1"/>
  <c r="AD1047" i="1"/>
  <c r="AD1049" i="1"/>
  <c r="AD1051" i="1"/>
  <c r="AD1053" i="1"/>
  <c r="AD1055" i="1"/>
  <c r="AD1057" i="1"/>
  <c r="AD1058" i="1"/>
  <c r="AD1059" i="1"/>
  <c r="AD1060" i="1"/>
  <c r="AD1064" i="1"/>
  <c r="AD1066" i="1"/>
  <c r="AD1069" i="1"/>
  <c r="AD1071" i="1"/>
  <c r="AD1072" i="1"/>
  <c r="AD1075" i="1"/>
  <c r="AD1080" i="1"/>
  <c r="AD2843" i="1"/>
  <c r="AD1083" i="1"/>
  <c r="AD1086" i="1"/>
  <c r="AD1088" i="1"/>
  <c r="AD1089" i="1"/>
  <c r="AD1090" i="1"/>
  <c r="AD2491" i="1"/>
  <c r="AD2478" i="1"/>
  <c r="AD2656" i="1"/>
  <c r="AD2659" i="1"/>
  <c r="AD2664" i="1"/>
  <c r="AD309" i="1"/>
  <c r="AD1096" i="1"/>
  <c r="AD1112" i="1"/>
  <c r="AD1117" i="1"/>
  <c r="AD1122" i="1"/>
  <c r="AD1130" i="1"/>
  <c r="AD1135" i="1"/>
  <c r="AD1139" i="1"/>
  <c r="AD1143" i="1"/>
  <c r="AD1147" i="1"/>
  <c r="AD1151" i="1"/>
  <c r="AD1155" i="1"/>
  <c r="AD1159" i="1"/>
  <c r="AD1162" i="1"/>
  <c r="AD1167" i="1"/>
  <c r="AD1171" i="1"/>
  <c r="AD1175" i="1"/>
  <c r="AD1179" i="1"/>
  <c r="AD1184" i="1"/>
  <c r="AD1189" i="1"/>
  <c r="AD1193" i="1"/>
  <c r="AD1196" i="1"/>
  <c r="AD1200" i="1"/>
  <c r="AD1204" i="1"/>
  <c r="AD1208" i="1"/>
  <c r="AD1212" i="1"/>
  <c r="AD1216" i="1"/>
  <c r="AD1220" i="1"/>
  <c r="AD1227" i="1"/>
  <c r="AD1230" i="1"/>
  <c r="AD1234" i="1"/>
  <c r="AD1250" i="1"/>
  <c r="AD1255" i="1"/>
  <c r="AD1260" i="1"/>
  <c r="AD1265" i="1"/>
  <c r="AD1270" i="1"/>
  <c r="AD1274" i="1"/>
  <c r="AD1278" i="1"/>
  <c r="AD1282" i="1"/>
  <c r="AD1285" i="1"/>
  <c r="AD1290" i="1"/>
  <c r="AD1295" i="1"/>
  <c r="AD1299" i="1"/>
  <c r="AD1302" i="1"/>
  <c r="AD1305" i="1"/>
  <c r="AD1308" i="1"/>
  <c r="AD1311" i="1"/>
  <c r="AD1315" i="1"/>
  <c r="AD1319" i="1"/>
  <c r="AD1323" i="1"/>
  <c r="AD1326" i="1"/>
  <c r="AD1329" i="1"/>
  <c r="AD1331" i="1"/>
  <c r="AD1333" i="1"/>
  <c r="AD1336" i="1"/>
  <c r="AD1340" i="1"/>
  <c r="AD1343" i="1"/>
  <c r="AD1350" i="1"/>
  <c r="AD1352" i="1"/>
  <c r="AD1356" i="1"/>
  <c r="AD1360" i="1"/>
  <c r="AD1363" i="1"/>
  <c r="AD1367" i="1"/>
  <c r="AD1371" i="1"/>
  <c r="AD1375" i="1"/>
  <c r="AD1378" i="1"/>
  <c r="AD1381" i="1"/>
  <c r="AD1384" i="1"/>
  <c r="AD1387"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2861" i="1"/>
  <c r="AD1738" i="1"/>
  <c r="AD1748" i="1"/>
  <c r="AD1752" i="1"/>
  <c r="AD1766" i="1"/>
  <c r="AD1769" i="1"/>
  <c r="AD1771" i="1"/>
  <c r="AD1786" i="1"/>
  <c r="AD1806" i="1"/>
  <c r="AD1810" i="1"/>
  <c r="AD1820" i="1"/>
  <c r="AD1823" i="1"/>
  <c r="AD1826" i="1"/>
  <c r="AD1829" i="1"/>
  <c r="AD1832" i="1"/>
  <c r="AD1834" i="1"/>
  <c r="AD1837" i="1"/>
  <c r="AD1838" i="1"/>
  <c r="AD1840" i="1"/>
  <c r="AD1844" i="1"/>
  <c r="AD1848" i="1"/>
  <c r="AD1851" i="1"/>
  <c r="AD1854" i="1"/>
  <c r="AD1857" i="1"/>
  <c r="AD1860" i="1"/>
  <c r="AD1862" i="1"/>
  <c r="AD1864" i="1"/>
  <c r="AD1866" i="1"/>
  <c r="AD1868" i="1"/>
  <c r="AD1870" i="1"/>
  <c r="AD1872" i="1"/>
  <c r="AD1874" i="1"/>
  <c r="AD1877" i="1"/>
  <c r="AD1878" i="1"/>
  <c r="AD1879" i="1"/>
  <c r="AD1881" i="1"/>
  <c r="AD1882" i="1"/>
  <c r="AD1884" i="1"/>
  <c r="AD1886" i="1"/>
  <c r="AD1887" i="1"/>
  <c r="AD1889" i="1"/>
  <c r="AD1891" i="1"/>
  <c r="AD1892" i="1"/>
  <c r="AD1894" i="1"/>
  <c r="AD2862" i="1"/>
  <c r="AD2144" i="1"/>
  <c r="AD2150" i="1"/>
  <c r="AD2167" i="1"/>
  <c r="AD2171" i="1"/>
  <c r="AD2176" i="1"/>
  <c r="AD2181" i="1"/>
  <c r="AD2185" i="1"/>
  <c r="AD2189" i="1"/>
  <c r="AD2199" i="1"/>
  <c r="AD2203" i="1"/>
  <c r="AD2207" i="1"/>
  <c r="AD2219" i="1"/>
  <c r="AD2223" i="1"/>
  <c r="AD596" i="1"/>
  <c r="AD604" i="1"/>
  <c r="AD2334" i="1"/>
  <c r="AD2337" i="1"/>
  <c r="AD2340" i="1"/>
  <c r="AD2344" i="1"/>
  <c r="AD2348" i="1"/>
  <c r="AD2353" i="1"/>
  <c r="AD2356" i="1"/>
  <c r="AD2360" i="1"/>
  <c r="AD2364" i="1"/>
  <c r="AD2369" i="1"/>
  <c r="AD2374" i="1"/>
  <c r="AD2378" i="1"/>
  <c r="AD2382" i="1"/>
  <c r="AD2385" i="1"/>
  <c r="AD2390" i="1"/>
  <c r="AD2394" i="1"/>
  <c r="AD2397" i="1"/>
  <c r="AD2400" i="1"/>
  <c r="AD2408" i="1"/>
  <c r="AD2412" i="1"/>
  <c r="AD2416" i="1"/>
  <c r="AD2420" i="1"/>
  <c r="AD2423" i="1"/>
  <c r="AD2439" i="1"/>
  <c r="AD2441" i="1"/>
  <c r="AD2450" i="1"/>
  <c r="AD2455" i="1"/>
  <c r="AD2460" i="1"/>
  <c r="AD2468" i="1"/>
  <c r="AD2476" i="1"/>
  <c r="AD2481" i="1"/>
  <c r="AD2485" i="1"/>
  <c r="AD2489" i="1"/>
  <c r="AD2493" i="1"/>
  <c r="AD2497" i="1"/>
  <c r="AD757" i="1"/>
  <c r="AD679" i="1"/>
  <c r="AD777" i="1"/>
  <c r="AD779" i="1"/>
  <c r="AD781" i="1"/>
  <c r="AD783" i="1"/>
  <c r="AD721" i="1"/>
  <c r="AD751" i="1"/>
  <c r="AD1720" i="1"/>
  <c r="AD1841" i="1"/>
  <c r="AD1845" i="1"/>
  <c r="AD1849" i="1"/>
  <c r="AD1852" i="1"/>
  <c r="AD1830" i="1"/>
  <c r="AD1833" i="1"/>
  <c r="AD1835" i="1"/>
  <c r="AD2667" i="1"/>
  <c r="AD2670" i="1"/>
  <c r="AD2673" i="1"/>
  <c r="AD2676" i="1"/>
  <c r="AD2679" i="1"/>
  <c r="AD2682" i="1"/>
  <c r="AD1353" i="1"/>
  <c r="AD1361" i="1"/>
  <c r="AD1364" i="1"/>
  <c r="AD1368" i="1"/>
  <c r="AD1372" i="1"/>
  <c r="AD1376" i="1"/>
  <c r="AD1379" i="1"/>
  <c r="AD1388" i="1"/>
  <c r="AD1382" i="1"/>
  <c r="AD1385" i="1"/>
  <c r="AD2688" i="1"/>
  <c r="AD805" i="1"/>
  <c r="AD826" i="1"/>
  <c r="AD831" i="1"/>
  <c r="AD836" i="1"/>
  <c r="AD845" i="1"/>
  <c r="AD849" i="1"/>
  <c r="AD853" i="1"/>
  <c r="AD1067" i="1"/>
  <c r="AD1061" i="1"/>
  <c r="AD1062" i="1"/>
  <c r="AD964" i="1"/>
  <c r="AD44" i="1"/>
  <c r="AD1532" i="1"/>
  <c r="AD1535" i="1"/>
  <c r="AD1539" i="1"/>
  <c r="AD1543" i="1"/>
  <c r="AD1547" i="1"/>
  <c r="AD1552" i="1"/>
  <c r="AD1557" i="1"/>
  <c r="AD1499" i="1"/>
  <c r="AD1562" i="1"/>
  <c r="AD2053" i="1"/>
  <c r="AD2055" i="1"/>
  <c r="AD2058" i="1"/>
  <c r="AD2061" i="1"/>
  <c r="AD2307" i="1"/>
  <c r="AD2301" i="1"/>
  <c r="AD2303" i="1"/>
  <c r="AD2305" i="1"/>
  <c r="AD2309" i="1"/>
  <c r="AD965" i="1"/>
  <c r="AD969" i="1"/>
  <c r="AD973" i="1"/>
  <c r="AD977" i="1"/>
  <c r="AD981" i="1"/>
  <c r="AD985" i="1"/>
  <c r="AD989" i="1"/>
  <c r="AD2661" i="1"/>
  <c r="AD2723" i="1"/>
  <c r="AD2685" i="1"/>
  <c r="AD2691" i="1"/>
  <c r="AD2694" i="1"/>
  <c r="AD2696" i="1"/>
  <c r="AD2725" i="1"/>
  <c r="AD2726" i="1"/>
  <c r="AD1903" i="1"/>
  <c r="AD1906" i="1"/>
  <c r="AD1908" i="1"/>
  <c r="AD1910" i="1"/>
  <c r="AD1912" i="1"/>
  <c r="AD1915" i="1"/>
  <c r="AD1919" i="1"/>
  <c r="AD1923" i="1"/>
  <c r="AD1925" i="1"/>
  <c r="AD1928" i="1"/>
  <c r="AD1931" i="1"/>
  <c r="AD1933" i="1"/>
  <c r="AD1936" i="1"/>
  <c r="AD1941" i="1"/>
  <c r="AD1946" i="1"/>
  <c r="AD1949" i="1"/>
  <c r="AD1953" i="1"/>
  <c r="AD1956" i="1"/>
  <c r="AD2863" i="1"/>
  <c r="AD1963" i="1"/>
  <c r="AD1967" i="1"/>
  <c r="AD1975" i="1"/>
  <c r="AD1421" i="1"/>
  <c r="AD1424" i="1"/>
  <c r="AD1429" i="1"/>
  <c r="AD1434" i="1"/>
  <c r="AD1439" i="1"/>
  <c r="AD1443" i="1"/>
  <c r="AD1447" i="1"/>
  <c r="AD1451" i="1"/>
  <c r="AD1455" i="1"/>
  <c r="AD1460" i="1"/>
  <c r="AD1464" i="1"/>
  <c r="AD1469" i="1"/>
  <c r="AD1474" i="1"/>
  <c r="AD1478" i="1"/>
  <c r="AD1482" i="1"/>
  <c r="AD1486" i="1"/>
  <c r="AD1490" i="1"/>
  <c r="AD1493" i="1"/>
  <c r="AD1495" i="1"/>
  <c r="AD1497" i="1"/>
  <c r="AD1500" i="1"/>
  <c r="AD1505" i="1"/>
  <c r="AD1509" i="1"/>
  <c r="AD1512" i="1"/>
  <c r="AD1515" i="1"/>
  <c r="AD1520" i="1"/>
  <c r="AD1525" i="1"/>
  <c r="AD1528" i="1"/>
  <c r="AD1530" i="1"/>
  <c r="AD1538" i="1"/>
  <c r="AD46" i="1"/>
  <c r="AD1550" i="1"/>
  <c r="AD1555" i="1"/>
  <c r="AD1560" i="1"/>
  <c r="AD1565" i="1"/>
  <c r="AD1571" i="1"/>
  <c r="AD47" i="1"/>
  <c r="AD1579" i="1"/>
  <c r="AD1597" i="1"/>
  <c r="AD1600" i="1"/>
  <c r="AD1603" i="1"/>
  <c r="AD1606" i="1"/>
  <c r="AD1613" i="1"/>
  <c r="AD1616" i="1"/>
  <c r="AD1619" i="1"/>
  <c r="AD1621" i="1"/>
  <c r="AD1623" i="1"/>
  <c r="AD1626" i="1"/>
  <c r="AD1629" i="1"/>
  <c r="AD1632" i="1"/>
  <c r="AD1637" i="1"/>
  <c r="AD1639" i="1"/>
  <c r="AD1641" i="1"/>
  <c r="AD1644" i="1"/>
  <c r="AD1646" i="1"/>
  <c r="AD1648" i="1"/>
  <c r="AD1650" i="1"/>
  <c r="AD1655" i="1"/>
  <c r="AD1657" i="1"/>
  <c r="AD1659" i="1"/>
  <c r="AD1660" i="1"/>
  <c r="AD1662" i="1"/>
  <c r="AD1664" i="1"/>
  <c r="AD1666" i="1"/>
  <c r="AD1668" i="1"/>
  <c r="AD1670" i="1"/>
  <c r="AD1671" i="1"/>
  <c r="AD1673" i="1"/>
  <c r="AD1674" i="1"/>
  <c r="AD1675" i="1"/>
  <c r="AD1676" i="1"/>
  <c r="AD1678" i="1"/>
  <c r="AD52" i="1"/>
  <c r="AD1568" i="1"/>
  <c r="AD130" i="1"/>
  <c r="AD299" i="1"/>
  <c r="AD318" i="1"/>
  <c r="AD320" i="1"/>
  <c r="AD322" i="1"/>
  <c r="AD10" i="1"/>
  <c r="AD20" i="1"/>
  <c r="AD306" i="1"/>
  <c r="AD308" i="1"/>
  <c r="AD235" i="1"/>
  <c r="AD310" i="1"/>
  <c r="AD14" i="1"/>
  <c r="AD269" i="1"/>
  <c r="AD316" i="1"/>
  <c r="AD1572" i="1"/>
  <c r="AD1576" i="1"/>
  <c r="AD1108" i="1"/>
  <c r="AD1354" i="1"/>
  <c r="AD1236" i="1"/>
  <c r="AD1288" i="1"/>
  <c r="AD1293" i="1"/>
  <c r="AD1357" i="1"/>
  <c r="AD1358" i="1"/>
  <c r="AD1362" i="1"/>
  <c r="AD1365" i="1"/>
  <c r="AD1369" i="1"/>
  <c r="AD1373" i="1"/>
  <c r="AD1377" i="1"/>
  <c r="AD1383" i="1"/>
  <c r="AD1380" i="1"/>
  <c r="AD1386" i="1"/>
  <c r="AD1628" i="1"/>
  <c r="AD1625" i="1"/>
  <c r="AD951" i="1"/>
  <c r="AD955" i="1"/>
  <c r="AD1883" i="1"/>
  <c r="AD1885" i="1"/>
  <c r="AD1865" i="1"/>
  <c r="AD57" i="1"/>
  <c r="AD1875" i="1"/>
  <c r="AD1880" i="1"/>
  <c r="AD1581" i="1"/>
  <c r="AD1585" i="1"/>
  <c r="AD2787" i="1"/>
  <c r="AD2790" i="1"/>
  <c r="AD2734" i="1"/>
  <c r="AD2782" i="1"/>
  <c r="AD2778" i="1"/>
  <c r="AD1631" i="1"/>
  <c r="AD1634" i="1"/>
  <c r="AD2037" i="1"/>
  <c r="AD2065" i="1"/>
  <c r="AD2067" i="1"/>
  <c r="AD2043" i="1"/>
  <c r="AD2045" i="1"/>
  <c r="AD2047" i="1"/>
  <c r="AD2018" i="1"/>
  <c r="AD2080" i="1"/>
  <c r="AD2082" i="1"/>
  <c r="AD2084" i="1"/>
  <c r="AD2086" i="1"/>
  <c r="AD2023" i="1"/>
  <c r="AD2071" i="1"/>
  <c r="AD2073" i="1"/>
  <c r="AD2075" i="1"/>
  <c r="AD2077" i="1"/>
  <c r="AD2056" i="1"/>
  <c r="AD2059" i="1"/>
  <c r="AD2062" i="1"/>
  <c r="AD2230" i="1"/>
  <c r="AD2234" i="1"/>
  <c r="AD2242" i="1"/>
  <c r="AD2238" i="1"/>
  <c r="AD2246" i="1"/>
  <c r="AD2250" i="1"/>
  <c r="AD2282" i="1"/>
  <c r="AD2284" i="1"/>
  <c r="AD2254" i="1"/>
  <c r="AD2569" i="1"/>
  <c r="AD2570" i="1"/>
  <c r="AD2574" i="1"/>
  <c r="AD2575" i="1"/>
  <c r="AD2576" i="1"/>
  <c r="AD2577" i="1"/>
  <c r="AD2578" i="1"/>
  <c r="AD2579" i="1"/>
  <c r="AD2580" i="1"/>
  <c r="AD2571" i="1"/>
  <c r="AD2572" i="1"/>
  <c r="AD2573" i="1"/>
  <c r="AD2257" i="1"/>
  <c r="AD2287" i="1"/>
  <c r="AD2851" i="1"/>
  <c r="AD1888" i="1"/>
  <c r="AD1890" i="1"/>
  <c r="AD293" i="1"/>
  <c r="AD296" i="1"/>
  <c r="AD297" i="1"/>
  <c r="AD298" i="1"/>
  <c r="AD300" i="1"/>
  <c r="AD301" i="1"/>
  <c r="AD305" i="1"/>
  <c r="AD19" i="1"/>
  <c r="AD311" i="1"/>
  <c r="AD15" i="1"/>
  <c r="AD278" i="1"/>
  <c r="AD282" i="1"/>
  <c r="AD287" i="1"/>
  <c r="AD2674" i="1"/>
  <c r="AD2677" i="1"/>
  <c r="AD2680" i="1"/>
  <c r="AD2683" i="1"/>
  <c r="AD2686" i="1"/>
  <c r="AD2689" i="1"/>
  <c r="AD2692" i="1"/>
  <c r="AD2695" i="1"/>
  <c r="AD2697" i="1"/>
  <c r="AD2650" i="1"/>
  <c r="AD2699" i="1"/>
  <c r="AD2701" i="1"/>
  <c r="AD2703" i="1"/>
  <c r="AD2707" i="1"/>
  <c r="AD2653" i="1"/>
  <c r="AD2657" i="1"/>
  <c r="AD2665" i="1"/>
  <c r="AD2668" i="1"/>
  <c r="AD2671" i="1"/>
  <c r="AD2092" i="1"/>
  <c r="AD2094" i="1"/>
  <c r="AD2096" i="1"/>
  <c r="AD2098" i="1"/>
  <c r="AD2100" i="1"/>
  <c r="AD2102" i="1"/>
  <c r="AD2104" i="1"/>
  <c r="AD2727" i="1"/>
  <c r="AD2728" i="1"/>
  <c r="AD2746" i="1"/>
  <c r="AD2751" i="1"/>
  <c r="AD2763" i="1"/>
  <c r="AD2768" i="1"/>
  <c r="AD2773" i="1"/>
  <c r="AD2088" i="1"/>
  <c r="AD2090" i="1"/>
  <c r="AD2106" i="1"/>
  <c r="AD2108" i="1"/>
  <c r="AD706" i="1"/>
  <c r="AD709" i="1"/>
  <c r="AD712" i="1"/>
  <c r="AD715" i="1"/>
  <c r="AD718" i="1"/>
  <c r="AD720" i="1"/>
  <c r="AD723" i="1"/>
  <c r="AD726" i="1"/>
  <c r="AD729" i="1"/>
  <c r="AD35" i="1"/>
  <c r="AD749" i="1"/>
  <c r="AD753" i="1"/>
  <c r="AD754" i="1"/>
  <c r="AD755" i="1"/>
  <c r="AD759" i="1"/>
  <c r="AD762" i="1"/>
  <c r="AD765" i="1"/>
  <c r="AD313" i="1"/>
  <c r="AD315" i="1"/>
  <c r="AD2729" i="1"/>
  <c r="AD2730" i="1"/>
  <c r="AD2731" i="1"/>
  <c r="AD2732" i="1"/>
  <c r="AD2733" i="1"/>
  <c r="AD842" i="1"/>
  <c r="AD1092" i="1"/>
  <c r="AD1065" i="1"/>
  <c r="AD1091" i="1"/>
  <c r="AD410" i="1"/>
  <c r="AD333" i="1"/>
  <c r="AD2597" i="1"/>
  <c r="AD785" i="1"/>
  <c r="AD786" i="1"/>
  <c r="AD787" i="1"/>
  <c r="AD789" i="1"/>
  <c r="AD791" i="1"/>
  <c r="AD792" i="1"/>
  <c r="AD794" i="1"/>
  <c r="AD796" i="1"/>
  <c r="AD2598" i="1"/>
  <c r="AD2599" i="1"/>
  <c r="AD2600" i="1"/>
  <c r="AD1366" i="1"/>
  <c r="AD1322" i="1"/>
  <c r="AD1325" i="1"/>
  <c r="AD1328" i="1"/>
  <c r="AD1335" i="1"/>
  <c r="AD1339" i="1"/>
  <c r="AD1166" i="1"/>
  <c r="AD1346" i="1"/>
  <c r="AD1307" i="1"/>
  <c r="AD1310" i="1"/>
  <c r="AD1314" i="1"/>
  <c r="AD1318" i="1"/>
  <c r="AD1207" i="1"/>
  <c r="AD1211" i="1"/>
  <c r="AD1233" i="1"/>
  <c r="AD1349" i="1"/>
  <c r="AD1351" i="1"/>
  <c r="AD1355" i="1"/>
  <c r="AD1370" i="1"/>
  <c r="AD1374" i="1"/>
  <c r="AD1237" i="1"/>
  <c r="AD1359" i="1"/>
  <c r="AD1504" i="1"/>
  <c r="AD2859" i="1"/>
  <c r="AD1609" i="1"/>
  <c r="AD70" i="1"/>
  <c r="AD2838" i="1"/>
  <c r="AD2126" i="1"/>
  <c r="AD2127" i="1"/>
  <c r="AD2128" i="1"/>
  <c r="AD2129" i="1"/>
  <c r="AD2130" i="1"/>
  <c r="AD2131" i="1"/>
  <c r="AD2132" i="1"/>
  <c r="AD2133" i="1"/>
  <c r="AD1589" i="1"/>
  <c r="AD1867" i="1"/>
  <c r="AD1869" i="1"/>
  <c r="AD1871" i="1"/>
  <c r="AD1873" i="1"/>
  <c r="AD2134" i="1"/>
  <c r="AD2135" i="1"/>
  <c r="AD1708" i="1"/>
  <c r="AD1709" i="1"/>
  <c r="AD1710" i="1"/>
  <c r="AD1711" i="1"/>
  <c r="AD1712" i="1"/>
  <c r="AD1713" i="1"/>
  <c r="AD1714" i="1"/>
  <c r="AD2759" i="1"/>
  <c r="AD2735" i="1"/>
  <c r="AD2738" i="1"/>
  <c r="AD2764" i="1"/>
  <c r="AD2769" i="1"/>
  <c r="AD2774" i="1"/>
  <c r="AD2779" i="1"/>
  <c r="AD2558" i="1"/>
  <c r="AD2561" i="1"/>
  <c r="AD2564" i="1"/>
  <c r="AD2566" i="1"/>
  <c r="AD2722" i="1"/>
  <c r="AD2724" i="1"/>
  <c r="AD768" i="1"/>
  <c r="AD771" i="1"/>
  <c r="AD2" i="1"/>
  <c r="AD2783" i="1"/>
  <c r="AD71" i="1"/>
  <c r="AD758" i="1"/>
  <c r="AD761" i="1"/>
  <c r="AD764" i="1"/>
  <c r="AD774" i="1"/>
  <c r="AD767" i="1"/>
  <c r="AD770" i="1"/>
  <c r="AD773" i="1"/>
  <c r="AD993" i="1"/>
  <c r="AD997" i="1"/>
  <c r="AD1001" i="1"/>
  <c r="AD1721" i="1"/>
  <c r="AD1819" i="1"/>
  <c r="AD1876" i="1"/>
  <c r="AD1856" i="1"/>
  <c r="AD1859" i="1"/>
  <c r="AD1861" i="1"/>
  <c r="AD1863" i="1"/>
  <c r="AD2306" i="1"/>
  <c r="AD2313" i="1"/>
  <c r="AD2314" i="1"/>
  <c r="AD2311" i="1"/>
  <c r="AD2280" i="1"/>
  <c r="AD2251" i="1"/>
  <c r="AD2316" i="1"/>
  <c r="AD2318" i="1"/>
  <c r="AD2320" i="1"/>
  <c r="AD2544" i="1"/>
  <c r="AD2545" i="1"/>
  <c r="AD2546" i="1"/>
  <c r="AD2549" i="1"/>
  <c r="AD2551" i="1"/>
  <c r="AD2554" i="1"/>
  <c r="AD2519" i="1"/>
  <c r="AD61" i="1"/>
  <c r="AD2530" i="1"/>
  <c r="AD2535" i="1"/>
  <c r="AD2538" i="1"/>
  <c r="AD2560" i="1"/>
  <c r="AD2563" i="1"/>
  <c r="AD2541" i="1"/>
  <c r="AD81" i="1"/>
  <c r="AD84" i="1"/>
  <c r="AD88" i="1"/>
  <c r="AD93" i="1"/>
  <c r="AD98" i="1"/>
  <c r="AD103" i="1"/>
  <c r="AD108" i="1"/>
  <c r="AD113" i="1"/>
  <c r="AD5" i="1"/>
  <c r="AD122" i="1"/>
  <c r="AD127" i="1"/>
  <c r="AD140" i="1"/>
  <c r="AD8" i="1"/>
  <c r="AD159" i="1"/>
  <c r="AD163" i="1"/>
  <c r="AD168" i="1"/>
  <c r="AD2857" i="1"/>
  <c r="AD175" i="1"/>
  <c r="AD2634" i="1"/>
  <c r="AD2638" i="1"/>
  <c r="AD2642" i="1"/>
  <c r="AD2646" i="1"/>
  <c r="AD2648" i="1"/>
  <c r="AD2652" i="1"/>
  <c r="AD2655" i="1"/>
  <c r="AD338" i="1"/>
  <c r="AD343" i="1"/>
  <c r="AD347" i="1"/>
  <c r="AD352" i="1"/>
  <c r="AD561" i="1"/>
  <c r="AD359" i="1"/>
  <c r="AD363" i="1"/>
  <c r="AD368" i="1"/>
  <c r="AD563" i="1"/>
  <c r="AD375" i="1"/>
  <c r="AD378" i="1"/>
  <c r="AD382" i="1"/>
  <c r="AD385" i="1"/>
  <c r="AD389" i="1"/>
  <c r="AD392" i="1"/>
  <c r="AD394" i="1"/>
  <c r="AD396" i="1"/>
  <c r="AD400" i="1"/>
  <c r="AD403" i="1"/>
  <c r="AD407" i="1"/>
  <c r="AD409" i="1"/>
  <c r="AD412" i="1"/>
  <c r="AD414" i="1"/>
  <c r="AD564" i="1"/>
  <c r="AD419" i="1"/>
  <c r="AD422" i="1"/>
  <c r="AD426" i="1"/>
  <c r="AD430" i="1"/>
  <c r="AD434" i="1"/>
  <c r="AD438" i="1"/>
  <c r="AD441" i="1"/>
  <c r="AD444" i="1"/>
  <c r="AD447" i="1"/>
  <c r="AD450" i="1"/>
  <c r="AD453" i="1"/>
  <c r="AD457" i="1"/>
  <c r="AD459" i="1"/>
  <c r="AD461" i="1"/>
  <c r="AD464" i="1"/>
  <c r="AD466" i="1"/>
  <c r="AD469" i="1"/>
  <c r="AD472" i="1"/>
  <c r="AD475" i="1"/>
  <c r="AD477" i="1"/>
  <c r="AD479" i="1"/>
  <c r="AD481" i="1"/>
  <c r="AD484" i="1"/>
  <c r="AD499" i="1"/>
  <c r="AD501" i="1"/>
  <c r="AD503" i="1"/>
  <c r="AD506" i="1"/>
  <c r="AD509" i="1"/>
  <c r="AD565" i="1"/>
  <c r="AD487" i="1"/>
  <c r="AD490" i="1"/>
  <c r="AD493" i="1"/>
  <c r="AD495" i="1"/>
  <c r="AD497" i="1"/>
  <c r="AD511" i="1"/>
  <c r="AD513" i="1"/>
  <c r="AD515" i="1"/>
  <c r="AD517" i="1"/>
  <c r="AD566" i="1"/>
  <c r="AD526" i="1"/>
  <c r="AD567" i="1"/>
  <c r="AD528" i="1"/>
  <c r="AD530" i="1"/>
  <c r="AD532" i="1"/>
  <c r="AD568" i="1"/>
  <c r="AD569" i="1"/>
  <c r="AD570" i="1"/>
  <c r="AD1893" i="1"/>
  <c r="AD1895" i="1"/>
  <c r="AD2742" i="1"/>
  <c r="AD2747" i="1"/>
  <c r="AD2752" i="1"/>
  <c r="AD2791" i="1"/>
  <c r="AD2794" i="1"/>
  <c r="AD2797" i="1"/>
  <c r="AD2801" i="1"/>
  <c r="AD2805" i="1"/>
  <c r="AD2808" i="1"/>
  <c r="AD2756" i="1"/>
  <c r="AD2812" i="1"/>
  <c r="AD2815" i="1"/>
  <c r="AD2855" i="1"/>
  <c r="AD2612" i="1"/>
  <c r="AD2616" i="1"/>
  <c r="AD2604" i="1"/>
  <c r="AD2608" i="1"/>
  <c r="AD2621" i="1"/>
  <c r="AD2623" i="1"/>
  <c r="AD2626" i="1"/>
  <c r="AD2628" i="1"/>
  <c r="AD2633" i="1"/>
  <c r="AD2637" i="1"/>
  <c r="AD2641" i="1"/>
  <c r="AD2645" i="1"/>
  <c r="AD2647" i="1"/>
  <c r="AD2651" i="1"/>
  <c r="AD2654" i="1"/>
  <c r="AD2658" i="1"/>
  <c r="AD2660" i="1"/>
  <c r="AD2662" i="1"/>
  <c r="AD594" i="1"/>
  <c r="AD29" i="1"/>
  <c r="AD891" i="1"/>
  <c r="AD1416" i="1"/>
  <c r="AD1417" i="1"/>
  <c r="AD927" i="1"/>
  <c r="AD1093" i="1"/>
  <c r="AD41" i="1"/>
  <c r="AD1078" i="1"/>
  <c r="AD1411" i="1"/>
  <c r="AD1412" i="1"/>
  <c r="AD1413" i="1"/>
  <c r="AD1414" i="1"/>
  <c r="AD2849" i="1"/>
  <c r="AD48" i="1"/>
  <c r="AD54" i="1"/>
  <c r="AD2860" i="1"/>
  <c r="AD53" i="1"/>
  <c r="AD1782" i="1"/>
  <c r="AD1790" i="1"/>
  <c r="AD1794" i="1"/>
  <c r="AD1798" i="1"/>
  <c r="AD1802" i="1"/>
  <c r="AD1818" i="1"/>
  <c r="AD1897" i="1"/>
  <c r="AD1898" i="1"/>
  <c r="AD1896" i="1"/>
  <c r="AD1979" i="1"/>
  <c r="AD1983" i="1"/>
  <c r="AD1987" i="1"/>
  <c r="AD1991" i="1"/>
  <c r="AD1995" i="1"/>
  <c r="AD2001" i="1"/>
  <c r="AD1998" i="1"/>
  <c r="AD2736" i="1"/>
  <c r="AD2739" i="1"/>
  <c r="AD2743" i="1"/>
  <c r="AD58" i="1"/>
  <c r="AD2505" i="1"/>
  <c r="AD2243" i="1"/>
  <c r="AD2240" i="1"/>
  <c r="AD2509" i="1"/>
  <c r="AD2512" i="1"/>
  <c r="AD2427" i="1"/>
  <c r="AD59" i="1"/>
  <c r="AD2433" i="1"/>
  <c r="AD2436" i="1"/>
  <c r="AD2444" i="1"/>
  <c r="AD2520" i="1"/>
  <c r="AD2523" i="1"/>
  <c r="AD2327" i="1"/>
  <c r="AD2329" i="1"/>
  <c r="AD2331" i="1"/>
  <c r="AD2332" i="1"/>
  <c r="AD2748" i="1"/>
  <c r="AD2753" i="1"/>
  <c r="AD2757" i="1"/>
  <c r="AD2775" i="1"/>
  <c r="AD2780" i="1"/>
  <c r="AD2784" i="1"/>
  <c r="AD2760" i="1"/>
  <c r="AD2765" i="1"/>
  <c r="AD2770" i="1"/>
  <c r="AD2809" i="1"/>
  <c r="AD2813" i="1"/>
  <c r="AD2816" i="1"/>
  <c r="AD2818" i="1"/>
  <c r="AD2820" i="1"/>
  <c r="AD2822" i="1"/>
  <c r="AD2824" i="1"/>
  <c r="AD2826" i="1"/>
  <c r="AD2828" i="1"/>
  <c r="AD2830" i="1"/>
  <c r="AD2605" i="1"/>
  <c r="AD2609" i="1"/>
  <c r="AD2613" i="1"/>
  <c r="AD2617" i="1"/>
  <c r="AD65" i="1"/>
  <c r="AD66" i="1"/>
  <c r="AD2629" i="1"/>
  <c r="AD2631" i="1"/>
  <c r="AD2831" i="1"/>
  <c r="AD2832" i="1"/>
  <c r="AD2833" i="1"/>
  <c r="AD2834" i="1"/>
  <c r="AD2835" i="1"/>
  <c r="AD2836" i="1"/>
  <c r="AD2698" i="1"/>
  <c r="AD2700" i="1"/>
  <c r="AD2702" i="1"/>
  <c r="AD2706" i="1"/>
  <c r="AD2709" i="1"/>
  <c r="AD2710" i="1"/>
  <c r="AD2711" i="1"/>
  <c r="AD2712" i="1"/>
  <c r="AD2713" i="1"/>
  <c r="AD2715" i="1"/>
  <c r="AD2717" i="1"/>
  <c r="AD2718" i="1"/>
  <c r="AD1612" i="1"/>
  <c r="AD2852" i="1"/>
  <c r="AD1415" i="1"/>
  <c r="AD1347" i="1"/>
  <c r="AD2737" i="1"/>
  <c r="AD2740" i="1"/>
  <c r="AD2744" i="1"/>
  <c r="AD1899" i="1"/>
  <c r="AD1900" i="1"/>
  <c r="AD2749" i="1"/>
  <c r="AD2754" i="1"/>
  <c r="AD2758" i="1"/>
  <c r="AD2761" i="1"/>
  <c r="AD334" i="1"/>
  <c r="AD1715" i="1"/>
  <c r="AD2788" i="1"/>
  <c r="AD2792" i="1"/>
  <c r="AD2795" i="1"/>
  <c r="AD2766" i="1"/>
  <c r="AD2771" i="1"/>
  <c r="AD2776" i="1"/>
  <c r="AD2781" i="1"/>
  <c r="AD2785" i="1"/>
  <c r="AD2798" i="1"/>
  <c r="AD1073" i="1"/>
  <c r="AD2800" i="1"/>
  <c r="AD2804" i="1"/>
  <c r="AD2807" i="1"/>
  <c r="AD2811" i="1"/>
  <c r="AD2741" i="1"/>
  <c r="AD2745" i="1"/>
  <c r="AD2750" i="1"/>
  <c r="AD2755" i="1"/>
  <c r="AD69" i="1"/>
  <c r="AD68" i="1"/>
  <c r="AD2837" i="1"/>
  <c r="AD72" i="1"/>
  <c r="AD2762" i="1"/>
  <c r="AD2786" i="1"/>
  <c r="AD2789" i="1"/>
  <c r="AD2793" i="1"/>
  <c r="AD2796" i="1"/>
  <c r="AD2799" i="1"/>
  <c r="AD2802" i="1"/>
  <c r="AD2064" i="1"/>
  <c r="AD2767" i="1"/>
  <c r="AD2821" i="1"/>
  <c r="AD2823" i="1"/>
  <c r="AD2825" i="1"/>
  <c r="AD2803" i="1"/>
  <c r="AD2806" i="1"/>
  <c r="AD2810" i="1"/>
  <c r="AD2814" i="1"/>
  <c r="AD2817" i="1"/>
  <c r="AD2819" i="1"/>
  <c r="AD2827" i="1"/>
  <c r="AD2829" i="1"/>
  <c r="AD2704" i="1"/>
  <c r="AD2708" i="1"/>
  <c r="AD2705" i="1"/>
  <c r="X2705" i="1"/>
  <c r="Z2705" i="1" s="1"/>
  <c r="X1073" i="1"/>
  <c r="Z1073" i="1" s="1"/>
  <c r="X1715" i="1"/>
  <c r="Z1715" i="1" s="1"/>
  <c r="X2558" i="1"/>
  <c r="X2561" i="1"/>
  <c r="X2564" i="1"/>
  <c r="X2566" i="1"/>
  <c r="X2722" i="1"/>
  <c r="X2724" i="1"/>
  <c r="X768" i="1"/>
  <c r="Z768" i="1" s="1"/>
  <c r="X771" i="1"/>
  <c r="Z771" i="1" s="1"/>
  <c r="X2" i="1"/>
  <c r="X2783" i="1"/>
  <c r="Z2783" i="1" s="1"/>
  <c r="X71" i="1"/>
  <c r="Z71" i="1" s="1"/>
  <c r="X758" i="1"/>
  <c r="X761" i="1"/>
  <c r="X764" i="1"/>
  <c r="X774" i="1"/>
  <c r="X767" i="1"/>
  <c r="X770" i="1"/>
  <c r="X773" i="1"/>
  <c r="X993" i="1"/>
  <c r="X997" i="1"/>
  <c r="X1001" i="1"/>
  <c r="X1721" i="1"/>
  <c r="Z1721" i="1" s="1"/>
  <c r="X1819" i="1"/>
  <c r="Z1819" i="1" s="1"/>
  <c r="X1876" i="1"/>
  <c r="Z1876" i="1" s="1"/>
  <c r="X1856" i="1"/>
  <c r="Z1856" i="1" s="1"/>
  <c r="X1859" i="1"/>
  <c r="Z1859" i="1" s="1"/>
  <c r="X1861" i="1"/>
  <c r="Z1861" i="1" s="1"/>
  <c r="X1863" i="1"/>
  <c r="Z1863" i="1" s="1"/>
  <c r="X2306" i="1"/>
  <c r="Z2306" i="1" s="1"/>
  <c r="X2313" i="1"/>
  <c r="Z2313" i="1" s="1"/>
  <c r="X2314" i="1"/>
  <c r="Z2314" i="1" s="1"/>
  <c r="X2311" i="1"/>
  <c r="X2280" i="1"/>
  <c r="Z2280" i="1" s="1"/>
  <c r="X2251" i="1"/>
  <c r="Z2251" i="1" s="1"/>
  <c r="X2316" i="1"/>
  <c r="Z2316" i="1" s="1"/>
  <c r="X2318" i="1"/>
  <c r="Z2318" i="1" s="1"/>
  <c r="X2320" i="1"/>
  <c r="Z2320" i="1" s="1"/>
  <c r="X2544" i="1"/>
  <c r="Z2544" i="1" s="1"/>
  <c r="X2545" i="1"/>
  <c r="Z2545" i="1" s="1"/>
  <c r="X2546" i="1"/>
  <c r="Z2546" i="1" s="1"/>
  <c r="X2549" i="1"/>
  <c r="Z2549" i="1" s="1"/>
  <c r="X2551" i="1"/>
  <c r="Z2551" i="1" s="1"/>
  <c r="X2554" i="1"/>
  <c r="Z2554" i="1" s="1"/>
  <c r="X2519" i="1"/>
  <c r="Z2519" i="1" s="1"/>
  <c r="X61" i="1"/>
  <c r="Z61" i="1" s="1"/>
  <c r="X2530" i="1"/>
  <c r="X2535" i="1"/>
  <c r="X2538" i="1"/>
  <c r="X2560" i="1"/>
  <c r="X2563" i="1"/>
  <c r="X2541" i="1"/>
  <c r="Z2541" i="1" s="1"/>
  <c r="X81" i="1"/>
  <c r="Z81" i="1" s="1"/>
  <c r="X84" i="1"/>
  <c r="X88" i="1"/>
  <c r="X93" i="1"/>
  <c r="X98" i="1"/>
  <c r="X103" i="1"/>
  <c r="X108" i="1"/>
  <c r="Z108" i="1" s="1"/>
  <c r="X113" i="1"/>
  <c r="Z113" i="1" s="1"/>
  <c r="X5" i="1"/>
  <c r="Z5" i="1" s="1"/>
  <c r="X122" i="1"/>
  <c r="Z122" i="1" s="1"/>
  <c r="X127" i="1"/>
  <c r="Z127" i="1" s="1"/>
  <c r="X140" i="1"/>
  <c r="Z140" i="1" s="1"/>
  <c r="X8" i="1"/>
  <c r="Z8" i="1" s="1"/>
  <c r="X159" i="1"/>
  <c r="X163" i="1"/>
  <c r="X168" i="1"/>
  <c r="Z168" i="1" s="1"/>
  <c r="X2857" i="1"/>
  <c r="Z2857" i="1" s="1"/>
  <c r="X175" i="1"/>
  <c r="X2634" i="1"/>
  <c r="Z2634" i="1" s="1"/>
  <c r="X2638" i="1"/>
  <c r="Z2638" i="1" s="1"/>
  <c r="X2642" i="1"/>
  <c r="Z2642" i="1" s="1"/>
  <c r="X2646" i="1"/>
  <c r="Z2646" i="1" s="1"/>
  <c r="X2648" i="1"/>
  <c r="Z2648" i="1" s="1"/>
  <c r="X2652" i="1"/>
  <c r="Z2652" i="1" s="1"/>
  <c r="X2655" i="1"/>
  <c r="Z2655" i="1" s="1"/>
  <c r="X338" i="1"/>
  <c r="Z338" i="1" s="1"/>
  <c r="X343" i="1"/>
  <c r="Z343" i="1" s="1"/>
  <c r="X347" i="1"/>
  <c r="Z347" i="1" s="1"/>
  <c r="X352" i="1"/>
  <c r="Z352" i="1" s="1"/>
  <c r="X561" i="1"/>
  <c r="Z561" i="1" s="1"/>
  <c r="X359" i="1"/>
  <c r="Z359" i="1" s="1"/>
  <c r="X363" i="1"/>
  <c r="Z363" i="1" s="1"/>
  <c r="X368" i="1"/>
  <c r="Z368" i="1" s="1"/>
  <c r="X563" i="1"/>
  <c r="Z563" i="1" s="1"/>
  <c r="X375" i="1"/>
  <c r="Z375" i="1" s="1"/>
  <c r="X378" i="1"/>
  <c r="Z378" i="1" s="1"/>
  <c r="X382" i="1"/>
  <c r="Z382" i="1" s="1"/>
  <c r="X385" i="1"/>
  <c r="Z385" i="1" s="1"/>
  <c r="X389" i="1"/>
  <c r="Z389" i="1" s="1"/>
  <c r="X392" i="1"/>
  <c r="Z392" i="1" s="1"/>
  <c r="X394" i="1"/>
  <c r="Z394" i="1" s="1"/>
  <c r="X396" i="1"/>
  <c r="Z396" i="1" s="1"/>
  <c r="X400" i="1"/>
  <c r="Z400" i="1" s="1"/>
  <c r="X403" i="1"/>
  <c r="Z403" i="1" s="1"/>
  <c r="X407" i="1"/>
  <c r="Z407" i="1" s="1"/>
  <c r="X409" i="1"/>
  <c r="Z409" i="1" s="1"/>
  <c r="X412" i="1"/>
  <c r="Z412" i="1" s="1"/>
  <c r="X414" i="1"/>
  <c r="Z414" i="1" s="1"/>
  <c r="X564" i="1"/>
  <c r="Z564" i="1" s="1"/>
  <c r="X419" i="1"/>
  <c r="Z419" i="1" s="1"/>
  <c r="X422" i="1"/>
  <c r="Z422" i="1" s="1"/>
  <c r="X426" i="1"/>
  <c r="Z426" i="1" s="1"/>
  <c r="X430" i="1"/>
  <c r="Z430" i="1" s="1"/>
  <c r="X434" i="1"/>
  <c r="Z434" i="1" s="1"/>
  <c r="X438" i="1"/>
  <c r="Z438" i="1" s="1"/>
  <c r="X441" i="1"/>
  <c r="Z441" i="1" s="1"/>
  <c r="X444" i="1"/>
  <c r="Z444" i="1" s="1"/>
  <c r="X447" i="1"/>
  <c r="Z447" i="1" s="1"/>
  <c r="X450" i="1"/>
  <c r="Z450" i="1" s="1"/>
  <c r="X453" i="1"/>
  <c r="Z453" i="1" s="1"/>
  <c r="X457" i="1"/>
  <c r="Z457" i="1" s="1"/>
  <c r="X459" i="1"/>
  <c r="Z459" i="1" s="1"/>
  <c r="X461" i="1"/>
  <c r="Z461" i="1" s="1"/>
  <c r="X464" i="1"/>
  <c r="Z464" i="1" s="1"/>
  <c r="X466" i="1"/>
  <c r="Z466" i="1" s="1"/>
  <c r="X469" i="1"/>
  <c r="Z469" i="1" s="1"/>
  <c r="X472" i="1"/>
  <c r="Z472" i="1" s="1"/>
  <c r="X475" i="1"/>
  <c r="Z475" i="1" s="1"/>
  <c r="X477" i="1"/>
  <c r="Z477" i="1" s="1"/>
  <c r="X479" i="1"/>
  <c r="Z479" i="1" s="1"/>
  <c r="X481" i="1"/>
  <c r="Z481" i="1" s="1"/>
  <c r="X484" i="1"/>
  <c r="Z484" i="1" s="1"/>
  <c r="X499" i="1"/>
  <c r="Z499" i="1" s="1"/>
  <c r="X501" i="1"/>
  <c r="Z501" i="1" s="1"/>
  <c r="X503" i="1"/>
  <c r="Z503" i="1" s="1"/>
  <c r="X506" i="1"/>
  <c r="Z506" i="1" s="1"/>
  <c r="X509" i="1"/>
  <c r="Z509" i="1" s="1"/>
  <c r="X565" i="1"/>
  <c r="Z565" i="1" s="1"/>
  <c r="X487" i="1"/>
  <c r="Z487" i="1" s="1"/>
  <c r="X490" i="1"/>
  <c r="X493" i="1"/>
  <c r="X495" i="1"/>
  <c r="X497" i="1"/>
  <c r="X511" i="1"/>
  <c r="Z511" i="1" s="1"/>
  <c r="X513" i="1"/>
  <c r="Z513" i="1" s="1"/>
  <c r="X515" i="1"/>
  <c r="Z515" i="1" s="1"/>
  <c r="X517" i="1"/>
  <c r="Z517" i="1" s="1"/>
  <c r="X566" i="1"/>
  <c r="Z566" i="1" s="1"/>
  <c r="X526" i="1"/>
  <c r="Z526" i="1" s="1"/>
  <c r="X567" i="1"/>
  <c r="Z567" i="1" s="1"/>
  <c r="X528" i="1"/>
  <c r="Z528" i="1" s="1"/>
  <c r="X530" i="1"/>
  <c r="Z530" i="1" s="1"/>
  <c r="X532" i="1"/>
  <c r="Z532" i="1" s="1"/>
  <c r="X568" i="1"/>
  <c r="Z568" i="1" s="1"/>
  <c r="X569" i="1"/>
  <c r="Z569" i="1" s="1"/>
  <c r="X570" i="1"/>
  <c r="Z570" i="1" s="1"/>
  <c r="X1893" i="1"/>
  <c r="X1895" i="1"/>
  <c r="X2742" i="1"/>
  <c r="Z2742" i="1" s="1"/>
  <c r="X2747" i="1"/>
  <c r="Z2747" i="1" s="1"/>
  <c r="X2752" i="1"/>
  <c r="Z2752" i="1" s="1"/>
  <c r="X2791" i="1"/>
  <c r="Z2791" i="1" s="1"/>
  <c r="X2794" i="1"/>
  <c r="Z2794" i="1" s="1"/>
  <c r="X2797" i="1"/>
  <c r="Z2797" i="1" s="1"/>
  <c r="X2801" i="1"/>
  <c r="Z2801" i="1" s="1"/>
  <c r="X2805" i="1"/>
  <c r="Z2805" i="1" s="1"/>
  <c r="X2808" i="1"/>
  <c r="Z2808" i="1" s="1"/>
  <c r="X2756" i="1"/>
  <c r="Z2756" i="1" s="1"/>
  <c r="X2812" i="1"/>
  <c r="Z2812" i="1" s="1"/>
  <c r="X2815" i="1"/>
  <c r="Z2815" i="1" s="1"/>
  <c r="X2855" i="1"/>
  <c r="Z2855" i="1" s="1"/>
  <c r="X2612" i="1"/>
  <c r="X2616" i="1"/>
  <c r="X2604" i="1"/>
  <c r="Z2604" i="1" s="1"/>
  <c r="X2608" i="1"/>
  <c r="Z2608" i="1" s="1"/>
  <c r="X2621" i="1"/>
  <c r="Z2621" i="1" s="1"/>
  <c r="X2623" i="1"/>
  <c r="Z2623" i="1" s="1"/>
  <c r="X2626" i="1"/>
  <c r="Z2626" i="1" s="1"/>
  <c r="X2628" i="1"/>
  <c r="Z2628" i="1" s="1"/>
  <c r="X2633" i="1"/>
  <c r="Z2633" i="1" s="1"/>
  <c r="X2637" i="1"/>
  <c r="Z2637" i="1" s="1"/>
  <c r="X2641" i="1"/>
  <c r="Z2641" i="1" s="1"/>
  <c r="X2645" i="1"/>
  <c r="Z2645" i="1" s="1"/>
  <c r="X2647" i="1"/>
  <c r="Z2647" i="1" s="1"/>
  <c r="X2651" i="1"/>
  <c r="Z2651" i="1" s="1"/>
  <c r="X2654" i="1"/>
  <c r="Z2654" i="1" s="1"/>
  <c r="X2658" i="1"/>
  <c r="X2660" i="1"/>
  <c r="Z2660" i="1" s="1"/>
  <c r="X2662" i="1"/>
  <c r="X594" i="1"/>
  <c r="Z594" i="1" s="1"/>
  <c r="X29" i="1"/>
  <c r="Z29" i="1" s="1"/>
  <c r="X891" i="1"/>
  <c r="Z891" i="1" s="1"/>
  <c r="X1416" i="1"/>
  <c r="Z1416" i="1" s="1"/>
  <c r="X1417" i="1"/>
  <c r="Z1417" i="1" s="1"/>
  <c r="X927" i="1"/>
  <c r="Z927" i="1" s="1"/>
  <c r="X1093" i="1"/>
  <c r="Z1093" i="1" s="1"/>
  <c r="X41" i="1"/>
  <c r="Z41" i="1" s="1"/>
  <c r="X1078" i="1"/>
  <c r="Z1078" i="1" s="1"/>
  <c r="X1411" i="1"/>
  <c r="Z1411" i="1" s="1"/>
  <c r="X1412" i="1"/>
  <c r="Z1412" i="1" s="1"/>
  <c r="X1413" i="1"/>
  <c r="Z1413" i="1" s="1"/>
  <c r="X1414" i="1"/>
  <c r="Z1414" i="1" s="1"/>
  <c r="X2849" i="1"/>
  <c r="X48" i="1"/>
  <c r="Z48" i="1" s="1"/>
  <c r="X54" i="1"/>
  <c r="Z54" i="1" s="1"/>
  <c r="X2860" i="1"/>
  <c r="Z2860" i="1" s="1"/>
  <c r="X53" i="1"/>
  <c r="Z53" i="1" s="1"/>
  <c r="X1782" i="1"/>
  <c r="Z1782" i="1" s="1"/>
  <c r="X1790" i="1"/>
  <c r="Z1790" i="1" s="1"/>
  <c r="X1794" i="1"/>
  <c r="Z1794" i="1" s="1"/>
  <c r="X1798" i="1"/>
  <c r="Z1798" i="1" s="1"/>
  <c r="X1802" i="1"/>
  <c r="Z1802" i="1" s="1"/>
  <c r="X1818" i="1"/>
  <c r="Z1818" i="1" s="1"/>
  <c r="X1897" i="1"/>
  <c r="Z1897" i="1" s="1"/>
  <c r="X1898" i="1"/>
  <c r="Z1898" i="1" s="1"/>
  <c r="X1896" i="1"/>
  <c r="Z1896" i="1" s="1"/>
  <c r="X1979" i="1"/>
  <c r="Z1979" i="1" s="1"/>
  <c r="X1983" i="1"/>
  <c r="Z1983" i="1" s="1"/>
  <c r="X1987" i="1"/>
  <c r="Z1987" i="1" s="1"/>
  <c r="X1991" i="1"/>
  <c r="Z1991" i="1" s="1"/>
  <c r="X1995" i="1"/>
  <c r="Z1995" i="1" s="1"/>
  <c r="X2001" i="1"/>
  <c r="Z2001" i="1" s="1"/>
  <c r="X1998" i="1"/>
  <c r="Z1998" i="1" s="1"/>
  <c r="X2736" i="1"/>
  <c r="Z2736" i="1" s="1"/>
  <c r="X2739" i="1"/>
  <c r="Z2739" i="1" s="1"/>
  <c r="X2743" i="1"/>
  <c r="Z2743" i="1" s="1"/>
  <c r="X58" i="1"/>
  <c r="Z58" i="1" s="1"/>
  <c r="X2505" i="1"/>
  <c r="Z2505" i="1" s="1"/>
  <c r="X2243" i="1"/>
  <c r="Z2243" i="1" s="1"/>
  <c r="X2240" i="1"/>
  <c r="Z2240" i="1" s="1"/>
  <c r="X2509" i="1"/>
  <c r="X2512" i="1"/>
  <c r="X2427" i="1"/>
  <c r="Z2427" i="1" s="1"/>
  <c r="X59" i="1"/>
  <c r="Z59" i="1" s="1"/>
  <c r="X2433" i="1"/>
  <c r="Z2433" i="1" s="1"/>
  <c r="X2436" i="1"/>
  <c r="Z2436" i="1" s="1"/>
  <c r="X2444" i="1"/>
  <c r="Z2444" i="1" s="1"/>
  <c r="X2520" i="1"/>
  <c r="Z2520" i="1" s="1"/>
  <c r="X2523" i="1"/>
  <c r="Z2523" i="1" s="1"/>
  <c r="X2327" i="1"/>
  <c r="Z2327" i="1" s="1"/>
  <c r="X2329" i="1"/>
  <c r="Z2329" i="1" s="1"/>
  <c r="X2331" i="1"/>
  <c r="Z2331" i="1" s="1"/>
  <c r="X2332" i="1"/>
  <c r="Z2332" i="1" s="1"/>
  <c r="X2748" i="1"/>
  <c r="Z2748" i="1" s="1"/>
  <c r="X2753" i="1"/>
  <c r="Z2753" i="1" s="1"/>
  <c r="X2757" i="1"/>
  <c r="Z2757" i="1" s="1"/>
  <c r="X2775" i="1"/>
  <c r="Z2775" i="1" s="1"/>
  <c r="X2780" i="1"/>
  <c r="Z2780" i="1" s="1"/>
  <c r="X2784" i="1"/>
  <c r="Z2784" i="1" s="1"/>
  <c r="X2760" i="1"/>
  <c r="Z2760" i="1" s="1"/>
  <c r="X2765" i="1"/>
  <c r="Z2765" i="1" s="1"/>
  <c r="X2770" i="1"/>
  <c r="Z2770" i="1" s="1"/>
  <c r="X2809" i="1"/>
  <c r="Z2809" i="1" s="1"/>
  <c r="X2813" i="1"/>
  <c r="Z2813" i="1" s="1"/>
  <c r="X2816" i="1"/>
  <c r="Z2816" i="1" s="1"/>
  <c r="X2818" i="1"/>
  <c r="Z2818" i="1" s="1"/>
  <c r="X2820" i="1"/>
  <c r="Z2820" i="1" s="1"/>
  <c r="X2822" i="1"/>
  <c r="Z2822" i="1" s="1"/>
  <c r="X2824" i="1"/>
  <c r="X2826" i="1"/>
  <c r="Z2826" i="1" s="1"/>
  <c r="X2828" i="1"/>
  <c r="Z2828" i="1" s="1"/>
  <c r="X2830" i="1"/>
  <c r="X2605" i="1"/>
  <c r="Z2605" i="1" s="1"/>
  <c r="X2609" i="1"/>
  <c r="Z2609" i="1" s="1"/>
  <c r="X2613" i="1"/>
  <c r="Z2613" i="1" s="1"/>
  <c r="X2617" i="1"/>
  <c r="Z2617" i="1" s="1"/>
  <c r="X65" i="1"/>
  <c r="Z65" i="1" s="1"/>
  <c r="X66" i="1"/>
  <c r="Z66" i="1" s="1"/>
  <c r="X2629" i="1"/>
  <c r="Z2629" i="1" s="1"/>
  <c r="X2631" i="1"/>
  <c r="Z2631" i="1" s="1"/>
  <c r="X2831" i="1"/>
  <c r="X2832" i="1"/>
  <c r="X2833" i="1"/>
  <c r="X2834" i="1"/>
  <c r="X2835" i="1"/>
  <c r="X2836" i="1"/>
  <c r="X2698" i="1"/>
  <c r="Z2698" i="1" s="1"/>
  <c r="X2700" i="1"/>
  <c r="Z2700" i="1" s="1"/>
  <c r="X2702" i="1"/>
  <c r="Z2702" i="1" s="1"/>
  <c r="X2706" i="1"/>
  <c r="Z2706" i="1" s="1"/>
  <c r="X2709" i="1"/>
  <c r="Z2709" i="1" s="1"/>
  <c r="X2710" i="1"/>
  <c r="Z2710" i="1" s="1"/>
  <c r="X2711" i="1"/>
  <c r="Z2711" i="1" s="1"/>
  <c r="X2712" i="1"/>
  <c r="Z2712" i="1" s="1"/>
  <c r="X2713" i="1"/>
  <c r="Z2713" i="1" s="1"/>
  <c r="X2715" i="1"/>
  <c r="Z2715" i="1" s="1"/>
  <c r="X2717" i="1"/>
  <c r="Z2717" i="1" s="1"/>
  <c r="X2718" i="1"/>
  <c r="Z2718" i="1" s="1"/>
  <c r="X1612" i="1"/>
  <c r="Z1612" i="1" s="1"/>
  <c r="X2852" i="1"/>
  <c r="X1415" i="1"/>
  <c r="Z1415" i="1" s="1"/>
  <c r="X1347" i="1"/>
  <c r="Z1347" i="1" s="1"/>
  <c r="X2737" i="1"/>
  <c r="Z2737" i="1" s="1"/>
  <c r="X2740" i="1"/>
  <c r="Z2740" i="1" s="1"/>
  <c r="X2744" i="1"/>
  <c r="Z2744" i="1" s="1"/>
  <c r="X1899" i="1"/>
  <c r="Z1899" i="1" s="1"/>
  <c r="X1900" i="1"/>
  <c r="Z1900" i="1" s="1"/>
  <c r="X2749" i="1"/>
  <c r="Z2749" i="1" s="1"/>
  <c r="X2754" i="1"/>
  <c r="Z2754" i="1" s="1"/>
  <c r="X2758" i="1"/>
  <c r="Z2758" i="1" s="1"/>
  <c r="X2761" i="1"/>
  <c r="Z2761" i="1" s="1"/>
  <c r="Z334" i="1"/>
  <c r="X2788" i="1"/>
  <c r="Z2788" i="1" s="1"/>
  <c r="X2792" i="1"/>
  <c r="Z2792" i="1" s="1"/>
  <c r="X2795" i="1"/>
  <c r="Z2795" i="1" s="1"/>
  <c r="X2766" i="1"/>
  <c r="Z2766" i="1" s="1"/>
  <c r="X2771" i="1"/>
  <c r="Z2771" i="1" s="1"/>
  <c r="X2776" i="1"/>
  <c r="Z2776" i="1" s="1"/>
  <c r="X2781" i="1"/>
  <c r="Z2781" i="1" s="1"/>
  <c r="X2785" i="1"/>
  <c r="Z2785" i="1" s="1"/>
  <c r="X2798" i="1"/>
  <c r="Z2798" i="1" s="1"/>
  <c r="X2800" i="1"/>
  <c r="Z2800" i="1" s="1"/>
  <c r="X2804" i="1"/>
  <c r="Z2804" i="1" s="1"/>
  <c r="X2807" i="1"/>
  <c r="Z2807" i="1" s="1"/>
  <c r="X2811" i="1"/>
  <c r="Z2811" i="1" s="1"/>
  <c r="X2741" i="1"/>
  <c r="Z2741" i="1" s="1"/>
  <c r="X2745" i="1"/>
  <c r="Z2745" i="1" s="1"/>
  <c r="X2750" i="1"/>
  <c r="Z2750" i="1" s="1"/>
  <c r="X2755" i="1"/>
  <c r="Z2755" i="1" s="1"/>
  <c r="X69" i="1"/>
  <c r="Z69" i="1" s="1"/>
  <c r="X68" i="1"/>
  <c r="Z68" i="1" s="1"/>
  <c r="X2837" i="1"/>
  <c r="X72" i="1"/>
  <c r="Z72" i="1" s="1"/>
  <c r="X2762" i="1"/>
  <c r="Z2762" i="1" s="1"/>
  <c r="X2786" i="1"/>
  <c r="Z2786" i="1" s="1"/>
  <c r="X2789" i="1"/>
  <c r="Z2789" i="1" s="1"/>
  <c r="X2793" i="1"/>
  <c r="Z2793" i="1" s="1"/>
  <c r="X2796" i="1"/>
  <c r="Z2796" i="1" s="1"/>
  <c r="X2799" i="1"/>
  <c r="Z2799" i="1" s="1"/>
  <c r="X2802" i="1"/>
  <c r="Z2802" i="1" s="1"/>
  <c r="X2064" i="1"/>
  <c r="Z2064" i="1" s="1"/>
  <c r="X2767" i="1"/>
  <c r="Z2767" i="1" s="1"/>
  <c r="X2821" i="1"/>
  <c r="Z2821" i="1" s="1"/>
  <c r="X2823" i="1"/>
  <c r="Z2823" i="1" s="1"/>
  <c r="X2825" i="1"/>
  <c r="Z2825" i="1" s="1"/>
  <c r="X2803" i="1"/>
  <c r="Z2803" i="1" s="1"/>
  <c r="X2806" i="1"/>
  <c r="Z2806" i="1" s="1"/>
  <c r="X2810" i="1"/>
  <c r="Z2810" i="1" s="1"/>
  <c r="X2814" i="1"/>
  <c r="Z2814" i="1" s="1"/>
  <c r="X2817" i="1"/>
  <c r="Z2817" i="1" s="1"/>
  <c r="X2819" i="1"/>
  <c r="Z2819" i="1" s="1"/>
  <c r="X2827" i="1"/>
  <c r="Z2827" i="1" s="1"/>
  <c r="X2829" i="1"/>
  <c r="Z2829" i="1" s="1"/>
  <c r="X2704" i="1"/>
  <c r="X2708" i="1"/>
  <c r="X2859" i="1"/>
  <c r="Z2859" i="1" s="1"/>
  <c r="X1609" i="1"/>
  <c r="Z1609" i="1" s="1"/>
  <c r="X70" i="1"/>
  <c r="Z70" i="1" s="1"/>
  <c r="X2838" i="1"/>
  <c r="Z2838" i="1" s="1"/>
  <c r="X2126" i="1"/>
  <c r="X2127" i="1"/>
  <c r="X2128" i="1"/>
  <c r="Z2128" i="1" s="1"/>
  <c r="X2129" i="1"/>
  <c r="Z2129" i="1" s="1"/>
  <c r="X2130" i="1"/>
  <c r="Z2130" i="1" s="1"/>
  <c r="X2131" i="1"/>
  <c r="Z2131" i="1" s="1"/>
  <c r="X2132" i="1"/>
  <c r="Z2132" i="1" s="1"/>
  <c r="X2133" i="1"/>
  <c r="Z2133" i="1" s="1"/>
  <c r="X1589" i="1"/>
  <c r="Z1589" i="1" s="1"/>
  <c r="X1867" i="1"/>
  <c r="X1869" i="1"/>
  <c r="X1871" i="1"/>
  <c r="X1873" i="1"/>
  <c r="X2134" i="1"/>
  <c r="Z2134" i="1" s="1"/>
  <c r="X2135" i="1"/>
  <c r="Z2135" i="1" s="1"/>
  <c r="X1708" i="1"/>
  <c r="X1709" i="1"/>
  <c r="X1710" i="1"/>
  <c r="X1711" i="1"/>
  <c r="X1712" i="1"/>
  <c r="X1713" i="1"/>
  <c r="X1714" i="1"/>
  <c r="X2759" i="1"/>
  <c r="Z2759" i="1" s="1"/>
  <c r="X2735" i="1"/>
  <c r="Z2735" i="1" s="1"/>
  <c r="X2738" i="1"/>
  <c r="Z2738" i="1" s="1"/>
  <c r="X2764" i="1"/>
  <c r="X2769" i="1"/>
  <c r="X2774" i="1"/>
  <c r="X2779" i="1"/>
  <c r="X1543" i="1"/>
  <c r="X805" i="1"/>
  <c r="X604" i="1"/>
  <c r="X596" i="1"/>
  <c r="X321" i="1" l="1"/>
  <c r="Z321" i="1" s="1"/>
  <c r="X317" i="1"/>
  <c r="Z317" i="1" s="1"/>
  <c r="X319" i="1"/>
  <c r="Z319" i="1" s="1"/>
  <c r="X323" i="1"/>
  <c r="Z323" i="1" s="1"/>
  <c r="X324" i="1"/>
  <c r="Z324" i="1" s="1"/>
  <c r="X312" i="1"/>
  <c r="Z312" i="1" s="1"/>
  <c r="X326" i="1"/>
  <c r="Z326" i="1" s="1"/>
  <c r="X332" i="1"/>
  <c r="Z332" i="1" s="1"/>
  <c r="X331" i="1"/>
  <c r="X329" i="1"/>
  <c r="X1969" i="1"/>
  <c r="X1973" i="1"/>
  <c r="Z1973" i="1" s="1"/>
  <c r="X599" i="1"/>
  <c r="Z599" i="1" s="1"/>
  <c r="X602" i="1"/>
  <c r="Z602" i="1" s="1"/>
  <c r="X606" i="1"/>
  <c r="X610" i="1"/>
  <c r="Z610" i="1" s="1"/>
  <c r="X614" i="1"/>
  <c r="Z614" i="1" s="1"/>
  <c r="X22" i="1"/>
  <c r="Z22" i="1" s="1"/>
  <c r="X23" i="1"/>
  <c r="Z23" i="1" s="1"/>
  <c r="X620" i="1"/>
  <c r="Z620" i="1" s="1"/>
  <c r="X24" i="1"/>
  <c r="Z24" i="1" s="1"/>
  <c r="X25" i="1"/>
  <c r="Z25" i="1" s="1"/>
  <c r="X26" i="1"/>
  <c r="Z26" i="1" s="1"/>
  <c r="X636" i="1"/>
  <c r="Z636" i="1" s="1"/>
  <c r="X640" i="1"/>
  <c r="Z640" i="1" s="1"/>
  <c r="X644" i="1"/>
  <c r="Z644" i="1" s="1"/>
  <c r="X28" i="1"/>
  <c r="Z28" i="1" s="1"/>
  <c r="X664" i="1"/>
  <c r="Z664" i="1" s="1"/>
  <c r="X667" i="1"/>
  <c r="Z667" i="1" s="1"/>
  <c r="X670" i="1"/>
  <c r="Z670" i="1" s="1"/>
  <c r="X673" i="1"/>
  <c r="Z673" i="1" s="1"/>
  <c r="X2474" i="1"/>
  <c r="Z2474" i="1" s="1"/>
  <c r="X2514" i="1"/>
  <c r="Z2514" i="1" s="1"/>
  <c r="X2518" i="1"/>
  <c r="Z2518" i="1" s="1"/>
  <c r="X2470" i="1"/>
  <c r="Z2470" i="1" s="1"/>
  <c r="X2483" i="1"/>
  <c r="Z2483" i="1" s="1"/>
  <c r="X2402" i="1"/>
  <c r="Z2402" i="1" s="1"/>
  <c r="X2410" i="1"/>
  <c r="Z2410" i="1" s="1"/>
  <c r="X60" i="1"/>
  <c r="Z60" i="1" s="1"/>
  <c r="X807" i="1"/>
  <c r="Z807" i="1" s="1"/>
  <c r="X810" i="1"/>
  <c r="Z810" i="1" s="1"/>
  <c r="X815" i="1"/>
  <c r="Z815" i="1" s="1"/>
  <c r="X820" i="1"/>
  <c r="Z820" i="1" s="1"/>
  <c r="X822" i="1"/>
  <c r="Z822" i="1" s="1"/>
  <c r="X824" i="1"/>
  <c r="Z824" i="1" s="1"/>
  <c r="X829" i="1"/>
  <c r="Z829" i="1" s="1"/>
  <c r="X834" i="1"/>
  <c r="Z834" i="1" s="1"/>
  <c r="X839" i="1"/>
  <c r="Z839" i="1" s="1"/>
  <c r="X843" i="1"/>
  <c r="Z843" i="1" s="1"/>
  <c r="X847" i="1"/>
  <c r="Z847" i="1" s="1"/>
  <c r="X851" i="1"/>
  <c r="Z851" i="1" s="1"/>
  <c r="X856" i="1"/>
  <c r="Z856" i="1" s="1"/>
  <c r="X861" i="1"/>
  <c r="Z861" i="1" s="1"/>
  <c r="X865" i="1"/>
  <c r="Z865" i="1" s="1"/>
  <c r="X870" i="1"/>
  <c r="Z870" i="1" s="1"/>
  <c r="X875" i="1"/>
  <c r="Z875" i="1" s="1"/>
  <c r="X880" i="1"/>
  <c r="Z880" i="1" s="1"/>
  <c r="X884" i="1"/>
  <c r="Z884" i="1" s="1"/>
  <c r="X888" i="1"/>
  <c r="Z888" i="1" s="1"/>
  <c r="X894" i="1"/>
  <c r="Z894" i="1" s="1"/>
  <c r="X897" i="1"/>
  <c r="Z897" i="1" s="1"/>
  <c r="X900" i="1"/>
  <c r="Z900" i="1" s="1"/>
  <c r="X907" i="1"/>
  <c r="Z907" i="1" s="1"/>
  <c r="X912" i="1"/>
  <c r="Z912" i="1" s="1"/>
  <c r="X917" i="1"/>
  <c r="Z917" i="1" s="1"/>
  <c r="X921" i="1"/>
  <c r="Z921" i="1" s="1"/>
  <c r="X931" i="1"/>
  <c r="Z931" i="1" s="1"/>
  <c r="X934" i="1"/>
  <c r="Z934" i="1" s="1"/>
  <c r="X938" i="1"/>
  <c r="Z938" i="1" s="1"/>
  <c r="X941" i="1"/>
  <c r="Z941" i="1" s="1"/>
  <c r="X944" i="1"/>
  <c r="Z944" i="1" s="1"/>
  <c r="X949" i="1"/>
  <c r="Z949" i="1" s="1"/>
  <c r="X953" i="1"/>
  <c r="Z953" i="1" s="1"/>
  <c r="X957" i="1"/>
  <c r="Z957" i="1" s="1"/>
  <c r="X960" i="1"/>
  <c r="Z960" i="1" s="1"/>
  <c r="X962" i="1"/>
  <c r="Z962" i="1" s="1"/>
  <c r="X967" i="1"/>
  <c r="Z967" i="1" s="1"/>
  <c r="X971" i="1"/>
  <c r="Z971" i="1" s="1"/>
  <c r="X975" i="1"/>
  <c r="Z975" i="1" s="1"/>
  <c r="X979" i="1"/>
  <c r="Z979" i="1" s="1"/>
  <c r="X983" i="1"/>
  <c r="Z983" i="1" s="1"/>
  <c r="X987" i="1"/>
  <c r="Z987" i="1" s="1"/>
  <c r="X991" i="1"/>
  <c r="Z991" i="1" s="1"/>
  <c r="X995" i="1"/>
  <c r="Z995" i="1" s="1"/>
  <c r="X999" i="1"/>
  <c r="Z999" i="1" s="1"/>
  <c r="X1003" i="1"/>
  <c r="Z1003" i="1" s="1"/>
  <c r="X1006" i="1"/>
  <c r="Z1006" i="1" s="1"/>
  <c r="X1009" i="1"/>
  <c r="Z1009" i="1" s="1"/>
  <c r="X1012" i="1"/>
  <c r="Z1012" i="1" s="1"/>
  <c r="X1015" i="1"/>
  <c r="Z1015" i="1" s="1"/>
  <c r="X1018" i="1"/>
  <c r="Z1018" i="1" s="1"/>
  <c r="X1021" i="1"/>
  <c r="Z1021" i="1" s="1"/>
  <c r="X1024" i="1"/>
  <c r="Z1024" i="1" s="1"/>
  <c r="X1029" i="1"/>
  <c r="Z1029" i="1" s="1"/>
  <c r="X1031" i="1"/>
  <c r="Z1031" i="1" s="1"/>
  <c r="X1034" i="1"/>
  <c r="Z1034" i="1" s="1"/>
  <c r="X1037" i="1"/>
  <c r="Z1037" i="1" s="1"/>
  <c r="X1040" i="1"/>
  <c r="Z1040" i="1" s="1"/>
  <c r="X1043" i="1"/>
  <c r="Z1043" i="1" s="1"/>
  <c r="X1045" i="1"/>
  <c r="Z1045" i="1" s="1"/>
  <c r="X1047" i="1"/>
  <c r="Z1047" i="1" s="1"/>
  <c r="X1049" i="1"/>
  <c r="Z1049" i="1" s="1"/>
  <c r="X1051" i="1"/>
  <c r="Z1051" i="1" s="1"/>
  <c r="X1053" i="1"/>
  <c r="Z1053" i="1" s="1"/>
  <c r="X1055" i="1"/>
  <c r="Z1055" i="1" s="1"/>
  <c r="X1057" i="1"/>
  <c r="Z1057" i="1" s="1"/>
  <c r="X1058" i="1"/>
  <c r="Z1058" i="1" s="1"/>
  <c r="X1059" i="1"/>
  <c r="Z1059" i="1" s="1"/>
  <c r="X1060" i="1"/>
  <c r="Z1060" i="1" s="1"/>
  <c r="X1064" i="1"/>
  <c r="Z1064" i="1" s="1"/>
  <c r="X1066" i="1"/>
  <c r="Z1066" i="1" s="1"/>
  <c r="X1069" i="1"/>
  <c r="Z1069" i="1" s="1"/>
  <c r="X1071" i="1"/>
  <c r="Z1071" i="1" s="1"/>
  <c r="X1072" i="1"/>
  <c r="Z1072" i="1" s="1"/>
  <c r="X1075" i="1"/>
  <c r="Z1075" i="1" s="1"/>
  <c r="X1080" i="1"/>
  <c r="Z1080" i="1" s="1"/>
  <c r="X2843" i="1"/>
  <c r="X1083" i="1"/>
  <c r="Z1083" i="1" s="1"/>
  <c r="X1086" i="1"/>
  <c r="Z1086" i="1" s="1"/>
  <c r="X1088" i="1"/>
  <c r="Z1088" i="1" s="1"/>
  <c r="X1089" i="1"/>
  <c r="Z1089" i="1" s="1"/>
  <c r="X1090" i="1"/>
  <c r="Z1090" i="1" s="1"/>
  <c r="X2491" i="1"/>
  <c r="Z2491" i="1" s="1"/>
  <c r="X2478" i="1"/>
  <c r="X2656" i="1"/>
  <c r="Z2656" i="1" s="1"/>
  <c r="X2659" i="1"/>
  <c r="Z2659" i="1" s="1"/>
  <c r="X2664" i="1"/>
  <c r="Z2664" i="1" s="1"/>
  <c r="X309" i="1"/>
  <c r="Z309" i="1" s="1"/>
  <c r="X1096" i="1"/>
  <c r="Z1096" i="1" s="1"/>
  <c r="X1112" i="1"/>
  <c r="Z1112" i="1" s="1"/>
  <c r="X1117" i="1"/>
  <c r="Z1117" i="1" s="1"/>
  <c r="X1122" i="1"/>
  <c r="Z1122" i="1" s="1"/>
  <c r="X1130" i="1"/>
  <c r="Z1130" i="1" s="1"/>
  <c r="X1135" i="1"/>
  <c r="Z1135" i="1" s="1"/>
  <c r="X1139" i="1"/>
  <c r="Z1139" i="1" s="1"/>
  <c r="X1143" i="1"/>
  <c r="Z1143" i="1" s="1"/>
  <c r="X1147" i="1"/>
  <c r="Z1147" i="1" s="1"/>
  <c r="X1151" i="1"/>
  <c r="Z1151" i="1" s="1"/>
  <c r="X1155" i="1"/>
  <c r="Z1155" i="1" s="1"/>
  <c r="X1159" i="1"/>
  <c r="Z1159" i="1" s="1"/>
  <c r="X1162" i="1"/>
  <c r="Z1162" i="1" s="1"/>
  <c r="X1167" i="1"/>
  <c r="Z1167" i="1" s="1"/>
  <c r="X1171" i="1"/>
  <c r="Z1171" i="1" s="1"/>
  <c r="X1175" i="1"/>
  <c r="Z1175" i="1" s="1"/>
  <c r="X1179" i="1"/>
  <c r="Z1179" i="1" s="1"/>
  <c r="X1184" i="1"/>
  <c r="Z1184" i="1" s="1"/>
  <c r="X1189" i="1"/>
  <c r="Z1189" i="1" s="1"/>
  <c r="X1193" i="1"/>
  <c r="Z1193" i="1" s="1"/>
  <c r="X1196" i="1"/>
  <c r="Z1196" i="1" s="1"/>
  <c r="X1200" i="1"/>
  <c r="Z1200" i="1" s="1"/>
  <c r="X1204" i="1"/>
  <c r="Z1204" i="1" s="1"/>
  <c r="X1208" i="1"/>
  <c r="Z1208" i="1" s="1"/>
  <c r="X1212" i="1"/>
  <c r="Z1212" i="1" s="1"/>
  <c r="X1216" i="1"/>
  <c r="Z1216" i="1" s="1"/>
  <c r="X1220" i="1"/>
  <c r="Z1220" i="1" s="1"/>
  <c r="X1227" i="1"/>
  <c r="Z1227" i="1" s="1"/>
  <c r="X1230" i="1"/>
  <c r="Z1230" i="1" s="1"/>
  <c r="X1234" i="1"/>
  <c r="Z1234" i="1" s="1"/>
  <c r="X1250" i="1"/>
  <c r="Z1250" i="1" s="1"/>
  <c r="X1255" i="1"/>
  <c r="Z1255" i="1" s="1"/>
  <c r="X1260" i="1"/>
  <c r="Z1260" i="1" s="1"/>
  <c r="X1265" i="1"/>
  <c r="Z1265" i="1" s="1"/>
  <c r="X1270" i="1"/>
  <c r="Z1270" i="1" s="1"/>
  <c r="X1274" i="1"/>
  <c r="Z1274" i="1" s="1"/>
  <c r="X1278" i="1"/>
  <c r="Z1278" i="1" s="1"/>
  <c r="X1282" i="1"/>
  <c r="Z1282" i="1" s="1"/>
  <c r="X1285" i="1"/>
  <c r="Z1285" i="1" s="1"/>
  <c r="X1290" i="1"/>
  <c r="Z1290" i="1" s="1"/>
  <c r="X1295" i="1"/>
  <c r="Z1295" i="1" s="1"/>
  <c r="X1299" i="1"/>
  <c r="Z1299" i="1" s="1"/>
  <c r="X1302" i="1"/>
  <c r="Z1302" i="1" s="1"/>
  <c r="X1305" i="1"/>
  <c r="Z1305" i="1" s="1"/>
  <c r="X1308" i="1"/>
  <c r="Z1308" i="1" s="1"/>
  <c r="X1311" i="1"/>
  <c r="Z1311" i="1" s="1"/>
  <c r="X1315" i="1"/>
  <c r="Z1315" i="1" s="1"/>
  <c r="X1319" i="1"/>
  <c r="Z1319" i="1" s="1"/>
  <c r="X1323" i="1"/>
  <c r="Z1323" i="1" s="1"/>
  <c r="X1326" i="1"/>
  <c r="Z1326" i="1" s="1"/>
  <c r="X1329" i="1"/>
  <c r="Z1329" i="1" s="1"/>
  <c r="X1331" i="1"/>
  <c r="Z1331" i="1" s="1"/>
  <c r="X1333" i="1"/>
  <c r="Z1333" i="1" s="1"/>
  <c r="X1336" i="1"/>
  <c r="Z1336" i="1" s="1"/>
  <c r="X1340" i="1"/>
  <c r="Z1340" i="1" s="1"/>
  <c r="X1343" i="1"/>
  <c r="Z1343" i="1" s="1"/>
  <c r="X1350" i="1"/>
  <c r="Z1350" i="1" s="1"/>
  <c r="X1352" i="1"/>
  <c r="Z1352" i="1" s="1"/>
  <c r="X1356" i="1"/>
  <c r="Z1356" i="1" s="1"/>
  <c r="X1360" i="1"/>
  <c r="Z1360" i="1" s="1"/>
  <c r="X1363" i="1"/>
  <c r="Z1363" i="1" s="1"/>
  <c r="X1367" i="1"/>
  <c r="Z1367" i="1" s="1"/>
  <c r="X1371" i="1"/>
  <c r="Z1371" i="1" s="1"/>
  <c r="X1375" i="1"/>
  <c r="Z1375" i="1" s="1"/>
  <c r="X1378" i="1"/>
  <c r="Z1378" i="1" s="1"/>
  <c r="X1381" i="1"/>
  <c r="Z1381" i="1" s="1"/>
  <c r="X1384" i="1"/>
  <c r="Z1384" i="1" s="1"/>
  <c r="X1387" i="1"/>
  <c r="Z1387" i="1" s="1"/>
  <c r="X1389" i="1"/>
  <c r="Z1389" i="1" s="1"/>
  <c r="X1390" i="1"/>
  <c r="Z1390" i="1" s="1"/>
  <c r="X1391" i="1"/>
  <c r="Z1391" i="1" s="1"/>
  <c r="X1392" i="1"/>
  <c r="Z1392" i="1" s="1"/>
  <c r="X1393" i="1"/>
  <c r="Z1393" i="1" s="1"/>
  <c r="X1394" i="1"/>
  <c r="Z1394" i="1" s="1"/>
  <c r="X1395" i="1"/>
  <c r="Z1395" i="1" s="1"/>
  <c r="X1396" i="1"/>
  <c r="Z1396" i="1" s="1"/>
  <c r="X1397" i="1"/>
  <c r="Z1397" i="1" s="1"/>
  <c r="X1398" i="1"/>
  <c r="Z1398" i="1" s="1"/>
  <c r="X1399" i="1"/>
  <c r="Z1399" i="1" s="1"/>
  <c r="X1400" i="1"/>
  <c r="Z1400" i="1" s="1"/>
  <c r="X1401" i="1"/>
  <c r="Z1401" i="1" s="1"/>
  <c r="X1402" i="1"/>
  <c r="Z1402" i="1" s="1"/>
  <c r="X1403" i="1"/>
  <c r="Z1403" i="1" s="1"/>
  <c r="X1404" i="1"/>
  <c r="Z1404" i="1" s="1"/>
  <c r="X1405" i="1"/>
  <c r="Z1405" i="1" s="1"/>
  <c r="X1406" i="1"/>
  <c r="Z1406" i="1" s="1"/>
  <c r="X1407" i="1"/>
  <c r="Z1407" i="1" s="1"/>
  <c r="X1408" i="1"/>
  <c r="Z1408" i="1" s="1"/>
  <c r="X1409" i="1"/>
  <c r="Z1409" i="1" s="1"/>
  <c r="X1410" i="1"/>
  <c r="Z1410" i="1" s="1"/>
  <c r="X2861" i="1"/>
  <c r="Z2861" i="1" s="1"/>
  <c r="X1738" i="1"/>
  <c r="Z1738" i="1" s="1"/>
  <c r="X1748" i="1"/>
  <c r="Z1748" i="1" s="1"/>
  <c r="X1752" i="1"/>
  <c r="Z1752" i="1" s="1"/>
  <c r="X1766" i="1"/>
  <c r="Z1766" i="1" s="1"/>
  <c r="X1769" i="1"/>
  <c r="Z1769" i="1" s="1"/>
  <c r="X1771" i="1"/>
  <c r="Z1771" i="1" s="1"/>
  <c r="X1786" i="1"/>
  <c r="Z1786" i="1" s="1"/>
  <c r="X1806" i="1"/>
  <c r="Z1806" i="1" s="1"/>
  <c r="X1810" i="1"/>
  <c r="Z1810" i="1" s="1"/>
  <c r="X1820" i="1"/>
  <c r="Z1820" i="1" s="1"/>
  <c r="X1823" i="1"/>
  <c r="Z1823" i="1" s="1"/>
  <c r="X1826" i="1"/>
  <c r="Z1826" i="1" s="1"/>
  <c r="X1829" i="1"/>
  <c r="Z1829" i="1" s="1"/>
  <c r="X1832" i="1"/>
  <c r="Z1832" i="1" s="1"/>
  <c r="X1834" i="1"/>
  <c r="Z1834" i="1" s="1"/>
  <c r="X1837" i="1"/>
  <c r="Z1837" i="1" s="1"/>
  <c r="X1838" i="1"/>
  <c r="Z1838" i="1" s="1"/>
  <c r="X1840" i="1"/>
  <c r="Z1840" i="1" s="1"/>
  <c r="X1844" i="1"/>
  <c r="Z1844" i="1" s="1"/>
  <c r="X1848" i="1"/>
  <c r="Z1848" i="1" s="1"/>
  <c r="X1851" i="1"/>
  <c r="Z1851" i="1" s="1"/>
  <c r="X1854" i="1"/>
  <c r="Z1854" i="1" s="1"/>
  <c r="X1857" i="1"/>
  <c r="Z1857" i="1" s="1"/>
  <c r="X1860" i="1"/>
  <c r="Z1860" i="1" s="1"/>
  <c r="X1862" i="1"/>
  <c r="Z1862" i="1" s="1"/>
  <c r="X1864" i="1"/>
  <c r="Z1864" i="1" s="1"/>
  <c r="X1866" i="1"/>
  <c r="Z1866" i="1" s="1"/>
  <c r="X1868" i="1"/>
  <c r="Z1868" i="1" s="1"/>
  <c r="X1870" i="1"/>
  <c r="Z1870" i="1" s="1"/>
  <c r="X1872" i="1"/>
  <c r="Z1872" i="1" s="1"/>
  <c r="X1874" i="1"/>
  <c r="Z1874" i="1" s="1"/>
  <c r="X1877" i="1"/>
  <c r="Z1877" i="1" s="1"/>
  <c r="X1878" i="1"/>
  <c r="Z1878" i="1" s="1"/>
  <c r="X1879" i="1"/>
  <c r="Z1879" i="1" s="1"/>
  <c r="X1881" i="1"/>
  <c r="Z1881" i="1" s="1"/>
  <c r="X1882" i="1"/>
  <c r="Z1882" i="1" s="1"/>
  <c r="X1884" i="1"/>
  <c r="Z1884" i="1" s="1"/>
  <c r="X1886" i="1"/>
  <c r="Z1886" i="1" s="1"/>
  <c r="X1887" i="1"/>
  <c r="Z1887" i="1" s="1"/>
  <c r="X1889" i="1"/>
  <c r="Z1889" i="1" s="1"/>
  <c r="X1891" i="1"/>
  <c r="Z1891" i="1" s="1"/>
  <c r="X1892" i="1"/>
  <c r="Z1892" i="1" s="1"/>
  <c r="X1894" i="1"/>
  <c r="Z1894" i="1" s="1"/>
  <c r="X2862" i="1"/>
  <c r="Z2862" i="1" s="1"/>
  <c r="X2144" i="1"/>
  <c r="Z2144" i="1" s="1"/>
  <c r="X2150" i="1"/>
  <c r="Z2150" i="1" s="1"/>
  <c r="X2167" i="1"/>
  <c r="X2171" i="1"/>
  <c r="X2176" i="1"/>
  <c r="X2181" i="1"/>
  <c r="Z2181" i="1" s="1"/>
  <c r="X2185" i="1"/>
  <c r="Z2185" i="1" s="1"/>
  <c r="X2189" i="1"/>
  <c r="Z2189" i="1" s="1"/>
  <c r="X2199" i="1"/>
  <c r="Z2199" i="1" s="1"/>
  <c r="X2203" i="1"/>
  <c r="Z2203" i="1" s="1"/>
  <c r="X2207" i="1"/>
  <c r="Z2207" i="1" s="1"/>
  <c r="X2219" i="1"/>
  <c r="X2223" i="1"/>
  <c r="Z2223" i="1" s="1"/>
  <c r="Z596" i="1"/>
  <c r="X2334" i="1"/>
  <c r="Z2334" i="1" s="1"/>
  <c r="X2337" i="1"/>
  <c r="Z2337" i="1" s="1"/>
  <c r="X2340" i="1"/>
  <c r="Z2340" i="1" s="1"/>
  <c r="X2344" i="1"/>
  <c r="Z2344" i="1" s="1"/>
  <c r="X2348" i="1"/>
  <c r="Z2348" i="1" s="1"/>
  <c r="X2353" i="1"/>
  <c r="Z2353" i="1" s="1"/>
  <c r="X2356" i="1"/>
  <c r="Z2356" i="1" s="1"/>
  <c r="X2360" i="1"/>
  <c r="Z2360" i="1" s="1"/>
  <c r="X2364" i="1"/>
  <c r="Z2364" i="1" s="1"/>
  <c r="X2369" i="1"/>
  <c r="Z2369" i="1" s="1"/>
  <c r="X2374" i="1"/>
  <c r="Z2374" i="1" s="1"/>
  <c r="X2378" i="1"/>
  <c r="Z2378" i="1" s="1"/>
  <c r="X2382" i="1"/>
  <c r="Z2382" i="1" s="1"/>
  <c r="X2385" i="1"/>
  <c r="Z2385" i="1" s="1"/>
  <c r="X2390" i="1"/>
  <c r="Z2390" i="1" s="1"/>
  <c r="X2394" i="1"/>
  <c r="Z2394" i="1" s="1"/>
  <c r="X2397" i="1"/>
  <c r="Z2397" i="1" s="1"/>
  <c r="X2400" i="1"/>
  <c r="Z2400" i="1" s="1"/>
  <c r="X2408" i="1"/>
  <c r="Z2408" i="1" s="1"/>
  <c r="X2412" i="1"/>
  <c r="Z2412" i="1" s="1"/>
  <c r="X2416" i="1"/>
  <c r="Z2416" i="1" s="1"/>
  <c r="X2420" i="1"/>
  <c r="Z2420" i="1" s="1"/>
  <c r="X2423" i="1"/>
  <c r="Z2423" i="1" s="1"/>
  <c r="X2439" i="1"/>
  <c r="Z2439" i="1" s="1"/>
  <c r="X2441" i="1"/>
  <c r="Z2441" i="1" s="1"/>
  <c r="X2450" i="1"/>
  <c r="X2455" i="1"/>
  <c r="X2460" i="1"/>
  <c r="X2468" i="1"/>
  <c r="Z2468" i="1" s="1"/>
  <c r="X2476" i="1"/>
  <c r="Z2476" i="1" s="1"/>
  <c r="X2481" i="1"/>
  <c r="Z2481" i="1" s="1"/>
  <c r="X2485" i="1"/>
  <c r="Z2485" i="1" s="1"/>
  <c r="X2489" i="1"/>
  <c r="Z2489" i="1" s="1"/>
  <c r="X2493" i="1"/>
  <c r="X2497" i="1"/>
  <c r="X757" i="1"/>
  <c r="Z757" i="1" s="1"/>
  <c r="X679" i="1"/>
  <c r="X777" i="1"/>
  <c r="Z777" i="1" s="1"/>
  <c r="X779" i="1"/>
  <c r="Z779" i="1" s="1"/>
  <c r="X781" i="1"/>
  <c r="Z781" i="1" s="1"/>
  <c r="X783" i="1"/>
  <c r="Z783" i="1" s="1"/>
  <c r="X721" i="1"/>
  <c r="X751" i="1"/>
  <c r="Z751" i="1" s="1"/>
  <c r="X1720" i="1"/>
  <c r="Z1720" i="1" s="1"/>
  <c r="X1841" i="1"/>
  <c r="Z1841" i="1" s="1"/>
  <c r="X1845" i="1"/>
  <c r="Z1845" i="1" s="1"/>
  <c r="X1849" i="1"/>
  <c r="Z1849" i="1" s="1"/>
  <c r="X1852" i="1"/>
  <c r="Z1852" i="1" s="1"/>
  <c r="X1830" i="1"/>
  <c r="Z1830" i="1" s="1"/>
  <c r="X1833" i="1"/>
  <c r="Z1833" i="1" s="1"/>
  <c r="X1835" i="1"/>
  <c r="Z1835" i="1" s="1"/>
  <c r="X2667" i="1"/>
  <c r="Z2667" i="1" s="1"/>
  <c r="X2670" i="1"/>
  <c r="Z2670" i="1" s="1"/>
  <c r="X2673" i="1"/>
  <c r="Z2673" i="1" s="1"/>
  <c r="X2676" i="1"/>
  <c r="Z2676" i="1" s="1"/>
  <c r="X2679" i="1"/>
  <c r="Z2679" i="1" s="1"/>
  <c r="X2682" i="1"/>
  <c r="Z2682" i="1" s="1"/>
  <c r="X1353" i="1"/>
  <c r="Z1353" i="1" s="1"/>
  <c r="X1361" i="1"/>
  <c r="Z1361" i="1" s="1"/>
  <c r="X1364" i="1"/>
  <c r="Z1364" i="1" s="1"/>
  <c r="X1368" i="1"/>
  <c r="Z1368" i="1" s="1"/>
  <c r="X1372" i="1"/>
  <c r="Z1372" i="1" s="1"/>
  <c r="X1376" i="1"/>
  <c r="Z1376" i="1" s="1"/>
  <c r="X1379" i="1"/>
  <c r="Z1379" i="1" s="1"/>
  <c r="X1388" i="1"/>
  <c r="Z1388" i="1" s="1"/>
  <c r="X1382" i="1"/>
  <c r="Z1382" i="1" s="1"/>
  <c r="X1385" i="1"/>
  <c r="Z1385" i="1" s="1"/>
  <c r="X2688" i="1"/>
  <c r="Z2688" i="1" s="1"/>
  <c r="X826" i="1"/>
  <c r="Z826" i="1" s="1"/>
  <c r="X831" i="1"/>
  <c r="Z831" i="1" s="1"/>
  <c r="X836" i="1"/>
  <c r="Z836" i="1" s="1"/>
  <c r="X845" i="1"/>
  <c r="Z845" i="1" s="1"/>
  <c r="X849" i="1"/>
  <c r="Z849" i="1" s="1"/>
  <c r="X853" i="1"/>
  <c r="Z853" i="1" s="1"/>
  <c r="X1067" i="1"/>
  <c r="Z1067" i="1" s="1"/>
  <c r="X1061" i="1"/>
  <c r="Z1061" i="1" s="1"/>
  <c r="X1062" i="1"/>
  <c r="Z1062" i="1" s="1"/>
  <c r="X964" i="1"/>
  <c r="X44" i="1"/>
  <c r="Z44" i="1" s="1"/>
  <c r="X1532" i="1"/>
  <c r="Z1532" i="1" s="1"/>
  <c r="X1535" i="1"/>
  <c r="Z1535" i="1" s="1"/>
  <c r="X1539" i="1"/>
  <c r="Z1539" i="1" s="1"/>
  <c r="X1547" i="1"/>
  <c r="Z1547" i="1" s="1"/>
  <c r="X1552" i="1"/>
  <c r="Z1552" i="1" s="1"/>
  <c r="X1557" i="1"/>
  <c r="Z1557" i="1" s="1"/>
  <c r="X1499" i="1"/>
  <c r="Z1499" i="1" s="1"/>
  <c r="X1562" i="1"/>
  <c r="Z1562" i="1" s="1"/>
  <c r="X2053" i="1"/>
  <c r="Z2053" i="1" s="1"/>
  <c r="X2055" i="1"/>
  <c r="Z2055" i="1" s="1"/>
  <c r="X2058" i="1"/>
  <c r="Z2058" i="1" s="1"/>
  <c r="X2061" i="1"/>
  <c r="Z2061" i="1" s="1"/>
  <c r="X2307" i="1"/>
  <c r="Z2307" i="1" s="1"/>
  <c r="X2301" i="1"/>
  <c r="Z2301" i="1" s="1"/>
  <c r="X2303" i="1"/>
  <c r="Z2303" i="1" s="1"/>
  <c r="X2305" i="1"/>
  <c r="Z2305" i="1" s="1"/>
  <c r="X2309" i="1"/>
  <c r="Z2309" i="1" s="1"/>
  <c r="X965" i="1"/>
  <c r="Z965" i="1" s="1"/>
  <c r="X969" i="1"/>
  <c r="Z969" i="1" s="1"/>
  <c r="X973" i="1"/>
  <c r="Z973" i="1" s="1"/>
  <c r="X977" i="1"/>
  <c r="Z977" i="1" s="1"/>
  <c r="X981" i="1"/>
  <c r="Z981" i="1" s="1"/>
  <c r="X985" i="1"/>
  <c r="Z985" i="1" s="1"/>
  <c r="X989" i="1"/>
  <c r="Z989" i="1" s="1"/>
  <c r="X2661" i="1"/>
  <c r="X2723" i="1"/>
  <c r="X2685" i="1"/>
  <c r="Z2685" i="1" s="1"/>
  <c r="X2691" i="1"/>
  <c r="X2694" i="1"/>
  <c r="X2696" i="1"/>
  <c r="Z2696" i="1" s="1"/>
  <c r="X2725" i="1"/>
  <c r="Z2725" i="1" s="1"/>
  <c r="X2726" i="1"/>
  <c r="Z2726" i="1" s="1"/>
  <c r="X1903" i="1"/>
  <c r="Z1903" i="1" s="1"/>
  <c r="X1906" i="1"/>
  <c r="Z1906" i="1" s="1"/>
  <c r="X1908" i="1"/>
  <c r="Z1908" i="1" s="1"/>
  <c r="X1910" i="1"/>
  <c r="Z1910" i="1" s="1"/>
  <c r="X1912" i="1"/>
  <c r="Z1912" i="1" s="1"/>
  <c r="X1915" i="1"/>
  <c r="Z1915" i="1" s="1"/>
  <c r="X1919" i="1"/>
  <c r="Z1919" i="1" s="1"/>
  <c r="X1923" i="1"/>
  <c r="Z1923" i="1" s="1"/>
  <c r="X1925" i="1"/>
  <c r="Z1925" i="1" s="1"/>
  <c r="X1928" i="1"/>
  <c r="Z1928" i="1" s="1"/>
  <c r="X1931" i="1"/>
  <c r="Z1931" i="1" s="1"/>
  <c r="X1933" i="1"/>
  <c r="Z1933" i="1" s="1"/>
  <c r="X1936" i="1"/>
  <c r="Z1936" i="1" s="1"/>
  <c r="X1941" i="1"/>
  <c r="Z1941" i="1" s="1"/>
  <c r="X1946" i="1"/>
  <c r="Z1946" i="1" s="1"/>
  <c r="X1949" i="1"/>
  <c r="Z1949" i="1" s="1"/>
  <c r="X1953" i="1"/>
  <c r="Z1953" i="1" s="1"/>
  <c r="X1956" i="1"/>
  <c r="Z1956" i="1" s="1"/>
  <c r="X2863" i="1"/>
  <c r="Z2863" i="1" s="1"/>
  <c r="X1963" i="1"/>
  <c r="Z1963" i="1" s="1"/>
  <c r="X1967" i="1"/>
  <c r="Z1967" i="1" s="1"/>
  <c r="X1975" i="1"/>
  <c r="Z1975" i="1" s="1"/>
  <c r="X1421" i="1"/>
  <c r="Z1421" i="1" s="1"/>
  <c r="X1424" i="1"/>
  <c r="Z1424" i="1" s="1"/>
  <c r="X1429" i="1"/>
  <c r="Z1429" i="1" s="1"/>
  <c r="X1434" i="1"/>
  <c r="Z1434" i="1" s="1"/>
  <c r="X1439" i="1"/>
  <c r="Z1439" i="1" s="1"/>
  <c r="X1443" i="1"/>
  <c r="Z1443" i="1" s="1"/>
  <c r="X1447" i="1"/>
  <c r="Z1447" i="1" s="1"/>
  <c r="X1451" i="1"/>
  <c r="Z1451" i="1" s="1"/>
  <c r="X1455" i="1"/>
  <c r="Z1455" i="1" s="1"/>
  <c r="X1460" i="1"/>
  <c r="Z1460" i="1" s="1"/>
  <c r="X1464" i="1"/>
  <c r="Z1464" i="1" s="1"/>
  <c r="X1469" i="1"/>
  <c r="Z1469" i="1" s="1"/>
  <c r="X1474" i="1"/>
  <c r="Z1474" i="1" s="1"/>
  <c r="X1478" i="1"/>
  <c r="Z1478" i="1" s="1"/>
  <c r="X1482" i="1"/>
  <c r="Z1482" i="1" s="1"/>
  <c r="X1486" i="1"/>
  <c r="Z1486" i="1" s="1"/>
  <c r="X1490" i="1"/>
  <c r="Z1490" i="1" s="1"/>
  <c r="X1493" i="1"/>
  <c r="Z1493" i="1" s="1"/>
  <c r="X1495" i="1"/>
  <c r="Z1495" i="1" s="1"/>
  <c r="X1497" i="1"/>
  <c r="Z1497" i="1" s="1"/>
  <c r="X1500" i="1"/>
  <c r="Z1500" i="1" s="1"/>
  <c r="X1505" i="1"/>
  <c r="Z1505" i="1" s="1"/>
  <c r="X1509" i="1"/>
  <c r="Z1509" i="1" s="1"/>
  <c r="X1512" i="1"/>
  <c r="Z1512" i="1" s="1"/>
  <c r="X1515" i="1"/>
  <c r="Z1515" i="1" s="1"/>
  <c r="X1520" i="1"/>
  <c r="Z1520" i="1" s="1"/>
  <c r="X1525" i="1"/>
  <c r="Z1525" i="1" s="1"/>
  <c r="X1528" i="1"/>
  <c r="Z1528" i="1" s="1"/>
  <c r="X1530" i="1"/>
  <c r="Z1530" i="1" s="1"/>
  <c r="X1538" i="1"/>
  <c r="Z1538" i="1" s="1"/>
  <c r="X46" i="1"/>
  <c r="Z46" i="1" s="1"/>
  <c r="X1550" i="1"/>
  <c r="Z1550" i="1" s="1"/>
  <c r="X1555" i="1"/>
  <c r="X1560" i="1"/>
  <c r="Z1560" i="1" s="1"/>
  <c r="X1565" i="1"/>
  <c r="Z1565" i="1" s="1"/>
  <c r="X1571" i="1"/>
  <c r="Z1571" i="1" s="1"/>
  <c r="X47" i="1"/>
  <c r="Z47" i="1" s="1"/>
  <c r="X1579" i="1"/>
  <c r="Z1579" i="1" s="1"/>
  <c r="X1597" i="1"/>
  <c r="Z1597" i="1" s="1"/>
  <c r="X1600" i="1"/>
  <c r="Z1600" i="1" s="1"/>
  <c r="X1603" i="1"/>
  <c r="Z1603" i="1" s="1"/>
  <c r="X1606" i="1"/>
  <c r="Z1606" i="1" s="1"/>
  <c r="X1613" i="1"/>
  <c r="X1616" i="1"/>
  <c r="X1619" i="1"/>
  <c r="Z1619" i="1" s="1"/>
  <c r="X1621" i="1"/>
  <c r="Z1621" i="1" s="1"/>
  <c r="X1623" i="1"/>
  <c r="Z1623" i="1" s="1"/>
  <c r="X1626" i="1"/>
  <c r="Z1626" i="1" s="1"/>
  <c r="X1629" i="1"/>
  <c r="Z1629" i="1" s="1"/>
  <c r="X1632" i="1"/>
  <c r="X1637" i="1"/>
  <c r="Z1637" i="1" s="1"/>
  <c r="X1639" i="1"/>
  <c r="Z1639" i="1" s="1"/>
  <c r="X1641" i="1"/>
  <c r="Z1641" i="1" s="1"/>
  <c r="X1644" i="1"/>
  <c r="X1646" i="1"/>
  <c r="Z1646" i="1" s="1"/>
  <c r="X1648" i="1"/>
  <c r="Z1648" i="1" s="1"/>
  <c r="X1650" i="1"/>
  <c r="Z1650" i="1" s="1"/>
  <c r="X1655" i="1"/>
  <c r="Z1655" i="1" s="1"/>
  <c r="X1657" i="1"/>
  <c r="Z1657" i="1" s="1"/>
  <c r="X1659" i="1"/>
  <c r="Z1659" i="1" s="1"/>
  <c r="X1660" i="1"/>
  <c r="Z1660" i="1" s="1"/>
  <c r="X1662" i="1"/>
  <c r="Z1662" i="1" s="1"/>
  <c r="X1664" i="1"/>
  <c r="Z1664" i="1" s="1"/>
  <c r="X1666" i="1"/>
  <c r="Z1666" i="1" s="1"/>
  <c r="X1668" i="1"/>
  <c r="Z1668" i="1" s="1"/>
  <c r="X1670" i="1"/>
  <c r="Z1670" i="1" s="1"/>
  <c r="X1671" i="1"/>
  <c r="Z1671" i="1" s="1"/>
  <c r="X1673" i="1"/>
  <c r="Z1673" i="1" s="1"/>
  <c r="X1674" i="1"/>
  <c r="Z1674" i="1" s="1"/>
  <c r="X1675" i="1"/>
  <c r="Z1675" i="1" s="1"/>
  <c r="X1676" i="1"/>
  <c r="Z1676" i="1" s="1"/>
  <c r="X1678" i="1"/>
  <c r="Z1678" i="1" s="1"/>
  <c r="X52" i="1"/>
  <c r="Z52" i="1" s="1"/>
  <c r="X1568" i="1"/>
  <c r="Z1568" i="1" s="1"/>
  <c r="X130" i="1"/>
  <c r="Z130" i="1" s="1"/>
  <c r="X299" i="1"/>
  <c r="Z299" i="1" s="1"/>
  <c r="X318" i="1"/>
  <c r="Z318" i="1" s="1"/>
  <c r="X320" i="1"/>
  <c r="Z320" i="1" s="1"/>
  <c r="X322" i="1"/>
  <c r="Z322" i="1" s="1"/>
  <c r="X10" i="1"/>
  <c r="Z10" i="1" s="1"/>
  <c r="X20" i="1"/>
  <c r="Z20" i="1" s="1"/>
  <c r="X306" i="1"/>
  <c r="X308" i="1"/>
  <c r="X235" i="1"/>
  <c r="Z235" i="1" s="1"/>
  <c r="X310" i="1"/>
  <c r="Z310" i="1" s="1"/>
  <c r="X14" i="1"/>
  <c r="Z14" i="1" s="1"/>
  <c r="X269" i="1"/>
  <c r="Z269" i="1" s="1"/>
  <c r="X316" i="1"/>
  <c r="X1572" i="1"/>
  <c r="Z1572" i="1" s="1"/>
  <c r="X1576" i="1"/>
  <c r="Z1576" i="1" s="1"/>
  <c r="X1108" i="1"/>
  <c r="Z1108" i="1" s="1"/>
  <c r="X1354" i="1"/>
  <c r="Z1354" i="1" s="1"/>
  <c r="X1236" i="1"/>
  <c r="Z1236" i="1" s="1"/>
  <c r="X1288" i="1"/>
  <c r="Z1288" i="1" s="1"/>
  <c r="X1293" i="1"/>
  <c r="Z1293" i="1" s="1"/>
  <c r="X1357" i="1"/>
  <c r="Z1357" i="1" s="1"/>
  <c r="X1358" i="1"/>
  <c r="Z1358" i="1" s="1"/>
  <c r="X1362" i="1"/>
  <c r="Z1362" i="1" s="1"/>
  <c r="X1365" i="1"/>
  <c r="Z1365" i="1" s="1"/>
  <c r="X1369" i="1"/>
  <c r="Z1369" i="1" s="1"/>
  <c r="X1373" i="1"/>
  <c r="Z1373" i="1" s="1"/>
  <c r="X1377" i="1"/>
  <c r="Z1377" i="1" s="1"/>
  <c r="X1383" i="1"/>
  <c r="Z1383" i="1" s="1"/>
  <c r="X1380" i="1"/>
  <c r="Z1380" i="1" s="1"/>
  <c r="X1386" i="1"/>
  <c r="Z1386" i="1" s="1"/>
  <c r="X1628" i="1"/>
  <c r="Z1628" i="1" s="1"/>
  <c r="X1625" i="1"/>
  <c r="Z1625" i="1" s="1"/>
  <c r="X951" i="1"/>
  <c r="Z951" i="1" s="1"/>
  <c r="X955" i="1"/>
  <c r="X1883" i="1"/>
  <c r="Z1883" i="1" s="1"/>
  <c r="X1885" i="1"/>
  <c r="Z1885" i="1" s="1"/>
  <c r="X1865" i="1"/>
  <c r="Z1865" i="1" s="1"/>
  <c r="X57" i="1"/>
  <c r="Z57" i="1" s="1"/>
  <c r="X1875" i="1"/>
  <c r="X1880" i="1"/>
  <c r="X1581" i="1"/>
  <c r="X1585" i="1"/>
  <c r="X2787" i="1"/>
  <c r="Z2787" i="1" s="1"/>
  <c r="X2790" i="1"/>
  <c r="Z2790" i="1" s="1"/>
  <c r="X2734" i="1"/>
  <c r="Z2734" i="1" s="1"/>
  <c r="X2782" i="1"/>
  <c r="Z2782" i="1" s="1"/>
  <c r="X2778" i="1"/>
  <c r="Z2778" i="1" s="1"/>
  <c r="X1631" i="1"/>
  <c r="Z1631" i="1" s="1"/>
  <c r="X1634" i="1"/>
  <c r="Z1634" i="1" s="1"/>
  <c r="X2037" i="1"/>
  <c r="Z2037" i="1" s="1"/>
  <c r="X2065" i="1"/>
  <c r="Z2065" i="1" s="1"/>
  <c r="X2067" i="1"/>
  <c r="Z2067" i="1" s="1"/>
  <c r="X2043" i="1"/>
  <c r="X2045" i="1"/>
  <c r="X2047" i="1"/>
  <c r="X2018" i="1"/>
  <c r="Z2018" i="1" s="1"/>
  <c r="X2080" i="1"/>
  <c r="X2082" i="1"/>
  <c r="X2084" i="1"/>
  <c r="X2086" i="1"/>
  <c r="X2023" i="1"/>
  <c r="X2071" i="1"/>
  <c r="X2073" i="1"/>
  <c r="X2075" i="1"/>
  <c r="X2077" i="1"/>
  <c r="X2056" i="1"/>
  <c r="X2059" i="1"/>
  <c r="X2062" i="1"/>
  <c r="X2230" i="1"/>
  <c r="Z2230" i="1" s="1"/>
  <c r="X2234" i="1"/>
  <c r="Z2234" i="1" s="1"/>
  <c r="X2242" i="1"/>
  <c r="Z2242" i="1" s="1"/>
  <c r="X2238" i="1"/>
  <c r="Z2238" i="1" s="1"/>
  <c r="X2246" i="1"/>
  <c r="Z2246" i="1" s="1"/>
  <c r="X2250" i="1"/>
  <c r="Z2250" i="1" s="1"/>
  <c r="X2282" i="1"/>
  <c r="Z2282" i="1" s="1"/>
  <c r="X2284" i="1"/>
  <c r="Z2284" i="1" s="1"/>
  <c r="X2254" i="1"/>
  <c r="Z2254" i="1" s="1"/>
  <c r="X2569" i="1"/>
  <c r="Z2569" i="1" s="1"/>
  <c r="X2570" i="1"/>
  <c r="Z2570" i="1" s="1"/>
  <c r="X2574" i="1"/>
  <c r="Z2574" i="1" s="1"/>
  <c r="X2575" i="1"/>
  <c r="Z2575" i="1" s="1"/>
  <c r="X2576" i="1"/>
  <c r="Z2576" i="1" s="1"/>
  <c r="X2577" i="1"/>
  <c r="Z2577" i="1" s="1"/>
  <c r="X2578" i="1"/>
  <c r="Z2578" i="1" s="1"/>
  <c r="X2579" i="1"/>
  <c r="Z2579" i="1" s="1"/>
  <c r="X2580" i="1"/>
  <c r="Z2580" i="1" s="1"/>
  <c r="X2571" i="1"/>
  <c r="X2572" i="1"/>
  <c r="X2573" i="1"/>
  <c r="Z2573" i="1" s="1"/>
  <c r="X2257" i="1"/>
  <c r="Z2257" i="1" s="1"/>
  <c r="X2287" i="1"/>
  <c r="Z2287" i="1" s="1"/>
  <c r="X2851" i="1"/>
  <c r="X1888" i="1"/>
  <c r="Z1888" i="1" s="1"/>
  <c r="X1890" i="1"/>
  <c r="Z1890" i="1" s="1"/>
  <c r="X293" i="1"/>
  <c r="X296" i="1"/>
  <c r="X297" i="1"/>
  <c r="X298" i="1"/>
  <c r="X300" i="1"/>
  <c r="X301" i="1"/>
  <c r="X305" i="1"/>
  <c r="Z305" i="1" s="1"/>
  <c r="X19" i="1"/>
  <c r="Z19" i="1" s="1"/>
  <c r="X311" i="1"/>
  <c r="X15" i="1"/>
  <c r="Z15" i="1" s="1"/>
  <c r="X278" i="1"/>
  <c r="X282" i="1"/>
  <c r="X287" i="1"/>
  <c r="X2674" i="1"/>
  <c r="X2677" i="1"/>
  <c r="X2680" i="1"/>
  <c r="Z2680" i="1" s="1"/>
  <c r="X2683" i="1"/>
  <c r="Z2683" i="1" s="1"/>
  <c r="X2686" i="1"/>
  <c r="Z2686" i="1" s="1"/>
  <c r="X2689" i="1"/>
  <c r="Z2689" i="1" s="1"/>
  <c r="X2692" i="1"/>
  <c r="Z2692" i="1" s="1"/>
  <c r="X2695" i="1"/>
  <c r="Z2695" i="1" s="1"/>
  <c r="X2697" i="1"/>
  <c r="Z2697" i="1" s="1"/>
  <c r="X2650" i="1"/>
  <c r="Z2650" i="1" s="1"/>
  <c r="X2699" i="1"/>
  <c r="Z2699" i="1" s="1"/>
  <c r="X2701" i="1"/>
  <c r="Z2701" i="1" s="1"/>
  <c r="X2703" i="1"/>
  <c r="Z2703" i="1" s="1"/>
  <c r="X2707" i="1"/>
  <c r="Z2707" i="1" s="1"/>
  <c r="X2653" i="1"/>
  <c r="Z2653" i="1" s="1"/>
  <c r="X2657" i="1"/>
  <c r="Z2657" i="1" s="1"/>
  <c r="X2665" i="1"/>
  <c r="Z2665" i="1" s="1"/>
  <c r="X2668" i="1"/>
  <c r="Z2668" i="1" s="1"/>
  <c r="X2671" i="1"/>
  <c r="Z2671" i="1" s="1"/>
  <c r="X2092" i="1"/>
  <c r="Z2092" i="1" s="1"/>
  <c r="X2094" i="1"/>
  <c r="Z2094" i="1" s="1"/>
  <c r="X2096" i="1"/>
  <c r="Z2096" i="1" s="1"/>
  <c r="X2098" i="1"/>
  <c r="X2100" i="1"/>
  <c r="X2102" i="1"/>
  <c r="X2104" i="1"/>
  <c r="X2727" i="1"/>
  <c r="X2728" i="1"/>
  <c r="Z2728" i="1" s="1"/>
  <c r="X2746" i="1"/>
  <c r="Z2746" i="1" s="1"/>
  <c r="X2751" i="1"/>
  <c r="Z2751" i="1" s="1"/>
  <c r="X2763" i="1"/>
  <c r="Z2763" i="1" s="1"/>
  <c r="X2768" i="1"/>
  <c r="Z2768" i="1" s="1"/>
  <c r="X2773" i="1"/>
  <c r="Z2773" i="1" s="1"/>
  <c r="X2088" i="1"/>
  <c r="Z2088" i="1" s="1"/>
  <c r="X2090" i="1"/>
  <c r="Z2090" i="1" s="1"/>
  <c r="X2106" i="1"/>
  <c r="Z2106" i="1" s="1"/>
  <c r="X2108" i="1"/>
  <c r="Z2108" i="1" s="1"/>
  <c r="X706" i="1"/>
  <c r="X709" i="1"/>
  <c r="X712" i="1"/>
  <c r="X715" i="1"/>
  <c r="X718" i="1"/>
  <c r="X720" i="1"/>
  <c r="X723" i="1"/>
  <c r="X726" i="1"/>
  <c r="X729" i="1"/>
  <c r="X35" i="1"/>
  <c r="Z35" i="1" s="1"/>
  <c r="X749" i="1"/>
  <c r="X753" i="1"/>
  <c r="X754" i="1"/>
  <c r="X755" i="1"/>
  <c r="X759" i="1"/>
  <c r="X762" i="1"/>
  <c r="X765" i="1"/>
  <c r="X313" i="1"/>
  <c r="Z313" i="1" s="1"/>
  <c r="X315" i="1"/>
  <c r="Z315" i="1" s="1"/>
  <c r="X2729" i="1"/>
  <c r="Z2729" i="1" s="1"/>
  <c r="X2730" i="1"/>
  <c r="Z2730" i="1" s="1"/>
  <c r="X2731" i="1"/>
  <c r="X2732" i="1"/>
  <c r="Z2732" i="1" s="1"/>
  <c r="X2733" i="1"/>
  <c r="Z2733" i="1" s="1"/>
  <c r="X842" i="1"/>
  <c r="Z842" i="1" s="1"/>
  <c r="X1092" i="1"/>
  <c r="Z1092" i="1" s="1"/>
  <c r="X1065" i="1"/>
  <c r="Z1065" i="1" s="1"/>
  <c r="X1091" i="1"/>
  <c r="Z1091" i="1" s="1"/>
  <c r="X410" i="1"/>
  <c r="Z410" i="1" s="1"/>
  <c r="X333" i="1"/>
  <c r="Z333" i="1" s="1"/>
  <c r="X2597" i="1"/>
  <c r="X785" i="1"/>
  <c r="X786" i="1"/>
  <c r="X787" i="1"/>
  <c r="X789" i="1"/>
  <c r="X791" i="1"/>
  <c r="X792" i="1"/>
  <c r="X794" i="1"/>
  <c r="X796" i="1"/>
  <c r="X2598" i="1"/>
  <c r="Z2598" i="1" s="1"/>
  <c r="X2599" i="1"/>
  <c r="Z2599" i="1" s="1"/>
  <c r="X2600" i="1"/>
  <c r="Z2600" i="1" s="1"/>
  <c r="X1366" i="1"/>
  <c r="Z1366" i="1" s="1"/>
  <c r="X1322" i="1"/>
  <c r="Z1322" i="1" s="1"/>
  <c r="X1325" i="1"/>
  <c r="Z1325" i="1" s="1"/>
  <c r="X1328" i="1"/>
  <c r="X1335" i="1"/>
  <c r="X1339" i="1"/>
  <c r="X1166" i="1"/>
  <c r="Z1166" i="1" s="1"/>
  <c r="X1346" i="1"/>
  <c r="Z1346" i="1" s="1"/>
  <c r="X1307" i="1"/>
  <c r="Z1307" i="1" s="1"/>
  <c r="X1310" i="1"/>
  <c r="Z1310" i="1" s="1"/>
  <c r="X1314" i="1"/>
  <c r="Z1314" i="1" s="1"/>
  <c r="X1318" i="1"/>
  <c r="Z1318" i="1" s="1"/>
  <c r="X1207" i="1"/>
  <c r="X1211" i="1"/>
  <c r="Z1211" i="1" s="1"/>
  <c r="X1233" i="1"/>
  <c r="Z1233" i="1" s="1"/>
  <c r="X1349" i="1"/>
  <c r="X1351" i="1"/>
  <c r="X1355" i="1"/>
  <c r="X1370" i="1"/>
  <c r="X1374" i="1"/>
  <c r="X1237" i="1"/>
  <c r="Z1237" i="1" s="1"/>
  <c r="X1359" i="1"/>
  <c r="Z1359" i="1" s="1"/>
  <c r="X1504" i="1"/>
  <c r="Z1504" i="1" s="1"/>
  <c r="X356" i="1"/>
  <c r="Z356" i="1" s="1"/>
  <c r="X258" i="1"/>
  <c r="Z258" i="1" s="1"/>
  <c r="X119" i="1"/>
  <c r="Z119" i="1" s="1"/>
  <c r="X124" i="1"/>
  <c r="Z124" i="1" s="1"/>
  <c r="X2581" i="1"/>
  <c r="Z2581" i="1" s="1"/>
  <c r="X2582" i="1"/>
  <c r="Z2582" i="1" s="1"/>
  <c r="X2583" i="1"/>
  <c r="Z2583" i="1" s="1"/>
  <c r="X2584" i="1"/>
  <c r="Z2584" i="1" s="1"/>
  <c r="X2585" i="1"/>
  <c r="Z2585" i="1" s="1"/>
  <c r="X2586" i="1"/>
  <c r="Z2586" i="1" s="1"/>
  <c r="X2587" i="1"/>
  <c r="Z2587" i="1" s="1"/>
  <c r="X2588" i="1"/>
  <c r="Z2588" i="1" s="1"/>
  <c r="X2589" i="1"/>
  <c r="Z2589" i="1" s="1"/>
  <c r="X2590" i="1"/>
  <c r="Z2590" i="1" s="1"/>
  <c r="X2591" i="1"/>
  <c r="Z2591" i="1" s="1"/>
  <c r="X2592" i="1"/>
  <c r="Z2592" i="1" s="1"/>
  <c r="X2593" i="1"/>
  <c r="Z2593" i="1" s="1"/>
  <c r="X2594" i="1"/>
  <c r="Z2594" i="1" s="1"/>
  <c r="X2595" i="1"/>
  <c r="Z2595" i="1" s="1"/>
  <c r="X2596" i="1"/>
  <c r="Z2596" i="1" s="1"/>
  <c r="X63" i="1"/>
  <c r="Z63" i="1" s="1"/>
  <c r="X129" i="1"/>
  <c r="X132" i="1"/>
  <c r="X135" i="1"/>
  <c r="X138" i="1"/>
  <c r="X142" i="1"/>
  <c r="X146" i="1"/>
  <c r="X9" i="1"/>
  <c r="Z9" i="1" s="1"/>
  <c r="X160" i="1"/>
  <c r="Z160" i="1" s="1"/>
  <c r="X165" i="1"/>
  <c r="Z165" i="1" s="1"/>
  <c r="X170" i="1"/>
  <c r="Z170" i="1" s="1"/>
  <c r="X173" i="1"/>
  <c r="Z173" i="1" s="1"/>
  <c r="X177" i="1"/>
  <c r="Z177" i="1" s="1"/>
  <c r="X180" i="1"/>
  <c r="Z180" i="1" s="1"/>
  <c r="X185" i="1"/>
  <c r="Z185" i="1" s="1"/>
  <c r="X189" i="1"/>
  <c r="Z189" i="1" s="1"/>
  <c r="X192" i="1"/>
  <c r="Z192" i="1" s="1"/>
  <c r="X195" i="1"/>
  <c r="X197" i="1"/>
  <c r="X200" i="1"/>
  <c r="X203" i="1"/>
  <c r="X204" i="1"/>
  <c r="X206" i="1"/>
  <c r="X208" i="1"/>
  <c r="X211" i="1"/>
  <c r="X214" i="1"/>
  <c r="X217" i="1"/>
  <c r="X221" i="1"/>
  <c r="X223" i="1"/>
  <c r="X226" i="1"/>
  <c r="X229" i="1"/>
  <c r="X233" i="1"/>
  <c r="Z233" i="1" s="1"/>
  <c r="X238" i="1"/>
  <c r="Z238" i="1" s="1"/>
  <c r="X247" i="1"/>
  <c r="Z247" i="1" s="1"/>
  <c r="X250" i="1"/>
  <c r="Z250" i="1" s="1"/>
  <c r="X252" i="1"/>
  <c r="Z252" i="1" s="1"/>
  <c r="X255" i="1"/>
  <c r="Z255" i="1" s="1"/>
  <c r="X16" i="1"/>
  <c r="Z16" i="1" s="1"/>
  <c r="X17" i="1"/>
  <c r="Z17" i="1" s="1"/>
  <c r="X18" i="1"/>
  <c r="Z18" i="1" s="1"/>
  <c r="X268" i="1"/>
  <c r="Z268" i="1" s="1"/>
  <c r="X270" i="1"/>
  <c r="X272" i="1"/>
  <c r="Z272" i="1" s="1"/>
  <c r="X2772" i="1"/>
  <c r="Z2772" i="1" s="1"/>
  <c r="X276" i="1"/>
  <c r="Z276" i="1" s="1"/>
  <c r="X280" i="1"/>
  <c r="Z280" i="1" s="1"/>
  <c r="X283" i="1"/>
  <c r="Z283" i="1" s="1"/>
  <c r="X285" i="1"/>
  <c r="Z285" i="1" s="1"/>
  <c r="X2777" i="1"/>
  <c r="Z2777" i="1" s="1"/>
  <c r="X291" i="1"/>
  <c r="Z291" i="1" s="1"/>
  <c r="X295" i="1"/>
  <c r="Z295" i="1" s="1"/>
  <c r="X345" i="1"/>
  <c r="Z345" i="1" s="1"/>
  <c r="X369" i="1"/>
  <c r="Z369" i="1" s="1"/>
  <c r="X372" i="1"/>
  <c r="Z372" i="1" s="1"/>
  <c r="X379" i="1"/>
  <c r="Z379" i="1" s="1"/>
  <c r="X383" i="1"/>
  <c r="Z383" i="1" s="1"/>
  <c r="X387" i="1"/>
  <c r="Z387" i="1" s="1"/>
  <c r="X612" i="1"/>
  <c r="Z612" i="1" s="1"/>
  <c r="X616" i="1"/>
  <c r="X617" i="1"/>
  <c r="X619" i="1"/>
  <c r="X622" i="1"/>
  <c r="Z622" i="1" s="1"/>
  <c r="X626" i="1"/>
  <c r="Z626" i="1" s="1"/>
  <c r="X630" i="1"/>
  <c r="Z630" i="1" s="1"/>
  <c r="X633" i="1"/>
  <c r="Z633" i="1" s="1"/>
  <c r="X638" i="1"/>
  <c r="X642" i="1"/>
  <c r="X646" i="1"/>
  <c r="X651" i="1"/>
  <c r="X653" i="1"/>
  <c r="Z653" i="1" s="1"/>
  <c r="X656" i="1"/>
  <c r="Z656" i="1" s="1"/>
  <c r="X677" i="1"/>
  <c r="Z677" i="1" s="1"/>
  <c r="X30" i="1"/>
  <c r="Z30" i="1" s="1"/>
  <c r="X684" i="1"/>
  <c r="Z684" i="1" s="1"/>
  <c r="X686" i="1"/>
  <c r="Z686" i="1" s="1"/>
  <c r="X689" i="1"/>
  <c r="Z689" i="1" s="1"/>
  <c r="X693" i="1"/>
  <c r="X697" i="1"/>
  <c r="X700" i="1"/>
  <c r="X703" i="1"/>
  <c r="X724" i="1"/>
  <c r="X727" i="1"/>
  <c r="X730" i="1"/>
  <c r="Z730" i="1" s="1"/>
  <c r="X735" i="1"/>
  <c r="X739" i="1"/>
  <c r="Z739" i="1" s="1"/>
  <c r="X742" i="1"/>
  <c r="X744" i="1"/>
  <c r="X747" i="1"/>
  <c r="X808" i="1"/>
  <c r="X812" i="1"/>
  <c r="Z812" i="1" s="1"/>
  <c r="X817" i="1"/>
  <c r="Z817" i="1" s="1"/>
  <c r="X821" i="1"/>
  <c r="Z821" i="1" s="1"/>
  <c r="X858" i="1"/>
  <c r="X863" i="1"/>
  <c r="X867" i="1"/>
  <c r="X872" i="1"/>
  <c r="X877" i="1"/>
  <c r="X881" i="1"/>
  <c r="X885" i="1"/>
  <c r="X889" i="1"/>
  <c r="X892" i="1"/>
  <c r="X901" i="1"/>
  <c r="Z901" i="1" s="1"/>
  <c r="X909" i="1"/>
  <c r="X913" i="1"/>
  <c r="X915" i="1"/>
  <c r="X918" i="1"/>
  <c r="Z918" i="1" s="1"/>
  <c r="X922" i="1"/>
  <c r="Z922" i="1" s="1"/>
  <c r="X924" i="1"/>
  <c r="X928" i="1"/>
  <c r="Z928" i="1" s="1"/>
  <c r="X942" i="1"/>
  <c r="Z942" i="1" s="1"/>
  <c r="X945" i="1"/>
  <c r="Z945" i="1" s="1"/>
  <c r="X947" i="1"/>
  <c r="Z947" i="1" s="1"/>
  <c r="X950" i="1"/>
  <c r="Z950" i="1" s="1"/>
  <c r="X954" i="1"/>
  <c r="Z954" i="1" s="1"/>
  <c r="X958" i="1"/>
  <c r="X1041" i="1"/>
  <c r="Z1041" i="1" s="1"/>
  <c r="X963" i="1"/>
  <c r="Z963" i="1" s="1"/>
  <c r="X968" i="1"/>
  <c r="X972" i="1"/>
  <c r="Z972" i="1" s="1"/>
  <c r="X976" i="1"/>
  <c r="X980" i="1"/>
  <c r="X984" i="1"/>
  <c r="Z984" i="1" s="1"/>
  <c r="X988" i="1"/>
  <c r="Z988" i="1" s="1"/>
  <c r="X992" i="1"/>
  <c r="Z992" i="1" s="1"/>
  <c r="X996" i="1"/>
  <c r="Z996" i="1" s="1"/>
  <c r="X1000" i="1"/>
  <c r="Z1000" i="1" s="1"/>
  <c r="X1004" i="1"/>
  <c r="Z1004" i="1" s="1"/>
  <c r="X1007" i="1"/>
  <c r="Z1007" i="1" s="1"/>
  <c r="X1010" i="1"/>
  <c r="X1013" i="1"/>
  <c r="X1016" i="1"/>
  <c r="X1019" i="1"/>
  <c r="Z1019" i="1" s="1"/>
  <c r="X1022" i="1"/>
  <c r="Z1022" i="1" s="1"/>
  <c r="X1025" i="1"/>
  <c r="Z1025" i="1" s="1"/>
  <c r="X1027" i="1"/>
  <c r="Z1027" i="1" s="1"/>
  <c r="X1035" i="1"/>
  <c r="Z1035" i="1" s="1"/>
  <c r="X1038" i="1"/>
  <c r="Z1038" i="1" s="1"/>
  <c r="X932" i="1"/>
  <c r="Z932" i="1" s="1"/>
  <c r="X935" i="1"/>
  <c r="Z935" i="1" s="1"/>
  <c r="X939" i="1"/>
  <c r="Z939" i="1" s="1"/>
  <c r="X1098" i="1"/>
  <c r="Z1098" i="1" s="1"/>
  <c r="X1102" i="1"/>
  <c r="Z1102" i="1" s="1"/>
  <c r="X1106" i="1"/>
  <c r="Z1106" i="1" s="1"/>
  <c r="X1114" i="1"/>
  <c r="Z1114" i="1" s="1"/>
  <c r="X1119" i="1"/>
  <c r="Z1119" i="1" s="1"/>
  <c r="X1124" i="1"/>
  <c r="Z1124" i="1" s="1"/>
  <c r="X1128" i="1"/>
  <c r="Z1128" i="1" s="1"/>
  <c r="X1132" i="1"/>
  <c r="Z1132" i="1" s="1"/>
  <c r="X1137" i="1"/>
  <c r="Z1137" i="1" s="1"/>
  <c r="X1145" i="1"/>
  <c r="Z1145" i="1" s="1"/>
  <c r="X1149" i="1"/>
  <c r="Z1149" i="1" s="1"/>
  <c r="X1153" i="1"/>
  <c r="Z1153" i="1" s="1"/>
  <c r="X1157" i="1"/>
  <c r="Z1157" i="1" s="1"/>
  <c r="X1161" i="1"/>
  <c r="Z1161" i="1" s="1"/>
  <c r="X1164" i="1"/>
  <c r="Z1164" i="1" s="1"/>
  <c r="X1169" i="1"/>
  <c r="Z1169" i="1" s="1"/>
  <c r="X1173" i="1"/>
  <c r="Z1173" i="1" s="1"/>
  <c r="X1177" i="1"/>
  <c r="Z1177" i="1" s="1"/>
  <c r="X1181" i="1"/>
  <c r="Z1181" i="1" s="1"/>
  <c r="X1186" i="1"/>
  <c r="Z1186" i="1" s="1"/>
  <c r="X1191" i="1"/>
  <c r="Z1191" i="1" s="1"/>
  <c r="X1198" i="1"/>
  <c r="Z1198" i="1" s="1"/>
  <c r="X1202" i="1"/>
  <c r="Z1202" i="1" s="1"/>
  <c r="X1205" i="1"/>
  <c r="Z1205" i="1" s="1"/>
  <c r="X1210" i="1"/>
  <c r="Z1210" i="1" s="1"/>
  <c r="X42" i="1"/>
  <c r="Z42" i="1" s="1"/>
  <c r="X1239" i="1"/>
  <c r="Z1239" i="1" s="1"/>
  <c r="X1243" i="1"/>
  <c r="Z1243" i="1" s="1"/>
  <c r="X1247" i="1"/>
  <c r="Z1247" i="1" s="1"/>
  <c r="X1252" i="1"/>
  <c r="Z1252" i="1" s="1"/>
  <c r="X1257" i="1"/>
  <c r="Z1257" i="1" s="1"/>
  <c r="X1262" i="1"/>
  <c r="Z1262" i="1" s="1"/>
  <c r="X1267" i="1"/>
  <c r="Z1267" i="1" s="1"/>
  <c r="X1271" i="1"/>
  <c r="Z1271" i="1" s="1"/>
  <c r="X1276" i="1"/>
  <c r="Z1276" i="1" s="1"/>
  <c r="X1280" i="1"/>
  <c r="Z1280" i="1" s="1"/>
  <c r="X1283" i="1"/>
  <c r="Z1283" i="1" s="1"/>
  <c r="X1287" i="1"/>
  <c r="Z1287" i="1" s="1"/>
  <c r="X1292" i="1"/>
  <c r="Z1292" i="1" s="1"/>
  <c r="X1296" i="1"/>
  <c r="Z1296" i="1" s="1"/>
  <c r="X1303" i="1"/>
  <c r="Z1303" i="1" s="1"/>
  <c r="X1419" i="1"/>
  <c r="X1426" i="1"/>
  <c r="X1431" i="1"/>
  <c r="X1436" i="1"/>
  <c r="X1441" i="1"/>
  <c r="X1445" i="1"/>
  <c r="X1449" i="1"/>
  <c r="X1453" i="1"/>
  <c r="Z1453" i="1" s="1"/>
  <c r="X1457" i="1"/>
  <c r="Z1457" i="1" s="1"/>
  <c r="X1466" i="1"/>
  <c r="Z1466" i="1" s="1"/>
  <c r="X1471" i="1"/>
  <c r="Z1471" i="1" s="1"/>
  <c r="X1502" i="1"/>
  <c r="Z1502" i="1" s="1"/>
  <c r="X1507" i="1"/>
  <c r="X1511" i="1"/>
  <c r="X1514" i="1"/>
  <c r="X1517" i="1"/>
  <c r="X1522" i="1"/>
  <c r="Z1522" i="1" s="1"/>
  <c r="X1716" i="1"/>
  <c r="X1718" i="1"/>
  <c r="X1722" i="1"/>
  <c r="X1727" i="1"/>
  <c r="Z1727" i="1" s="1"/>
  <c r="X1730" i="1"/>
  <c r="Z1730" i="1" s="1"/>
  <c r="X1735" i="1"/>
  <c r="X1739" i="1"/>
  <c r="X1742" i="1"/>
  <c r="X1745" i="1"/>
  <c r="X55" i="1"/>
  <c r="Z55" i="1" s="1"/>
  <c r="X1776" i="1"/>
  <c r="X1779" i="1"/>
  <c r="X1787" i="1"/>
  <c r="Z1787" i="1" s="1"/>
  <c r="X1791" i="1"/>
  <c r="X1795" i="1"/>
  <c r="X1799" i="1"/>
  <c r="X1803" i="1"/>
  <c r="X1807" i="1"/>
  <c r="Z1807" i="1" s="1"/>
  <c r="X1811" i="1"/>
  <c r="Z1811" i="1" s="1"/>
  <c r="X1813" i="1"/>
  <c r="Z1813" i="1" s="1"/>
  <c r="X1827" i="1"/>
  <c r="Z1827" i="1" s="1"/>
  <c r="X1773" i="1"/>
  <c r="Z1773" i="1" s="1"/>
  <c r="X1783" i="1"/>
  <c r="Z1783" i="1" s="1"/>
  <c r="X1904" i="1"/>
  <c r="Z1904" i="1" s="1"/>
  <c r="X1917" i="1"/>
  <c r="X1921" i="1"/>
  <c r="X1926" i="1"/>
  <c r="Z1926" i="1" s="1"/>
  <c r="X1929" i="1"/>
  <c r="Z1929" i="1" s="1"/>
  <c r="X1934" i="1"/>
  <c r="Z1934" i="1" s="1"/>
  <c r="X1938" i="1"/>
  <c r="Z1938" i="1" s="1"/>
  <c r="X1943" i="1"/>
  <c r="Z1943" i="1" s="1"/>
  <c r="X2137" i="1"/>
  <c r="Z2137" i="1" s="1"/>
  <c r="X2141" i="1"/>
  <c r="Z2141" i="1" s="1"/>
  <c r="X2146" i="1"/>
  <c r="Z2146" i="1" s="1"/>
  <c r="X2152" i="1"/>
  <c r="Z2152" i="1" s="1"/>
  <c r="X2156" i="1"/>
  <c r="Z2156" i="1" s="1"/>
  <c r="X2160" i="1"/>
  <c r="Z2160" i="1" s="1"/>
  <c r="X2164" i="1"/>
  <c r="Z2164" i="1" s="1"/>
  <c r="X2169" i="1"/>
  <c r="Z2169" i="1" s="1"/>
  <c r="X2173" i="1"/>
  <c r="Z2173" i="1" s="1"/>
  <c r="X2178" i="1"/>
  <c r="Z2178" i="1" s="1"/>
  <c r="X2182" i="1"/>
  <c r="Z2182" i="1" s="1"/>
  <c r="X2186" i="1"/>
  <c r="Z2186" i="1" s="1"/>
  <c r="X2190" i="1"/>
  <c r="Z2190" i="1" s="1"/>
  <c r="X2193" i="1"/>
  <c r="Z2193" i="1" s="1"/>
  <c r="X2196" i="1"/>
  <c r="Z2196" i="1" s="1"/>
  <c r="X2200" i="1"/>
  <c r="Z2200" i="1" s="1"/>
  <c r="X2204" i="1"/>
  <c r="Z2204" i="1" s="1"/>
  <c r="X2208" i="1"/>
  <c r="X2211" i="1"/>
  <c r="X2214" i="1"/>
  <c r="X2217" i="1"/>
  <c r="X2220" i="1"/>
  <c r="Z2220" i="1" s="1"/>
  <c r="X2225" i="1"/>
  <c r="Z2225" i="1" s="1"/>
  <c r="X2229" i="1"/>
  <c r="Z2229" i="1" s="1"/>
  <c r="X2233" i="1"/>
  <c r="Z2233" i="1" s="1"/>
  <c r="X2237" i="1"/>
  <c r="Z2237" i="1" s="1"/>
  <c r="X2241" i="1"/>
  <c r="Z2241" i="1" s="1"/>
  <c r="X2245" i="1"/>
  <c r="Z2245" i="1" s="1"/>
  <c r="X2249" i="1"/>
  <c r="Z2249" i="1" s="1"/>
  <c r="X2253" i="1"/>
  <c r="Z2253" i="1" s="1"/>
  <c r="X2256" i="1"/>
  <c r="Z2256" i="1" s="1"/>
  <c r="X2260" i="1"/>
  <c r="Z2260" i="1" s="1"/>
  <c r="X2263" i="1"/>
  <c r="Z2263" i="1" s="1"/>
  <c r="X2266" i="1"/>
  <c r="Z2266" i="1" s="1"/>
  <c r="X2268" i="1"/>
  <c r="Z2268" i="1" s="1"/>
  <c r="X2271" i="1"/>
  <c r="Z2271" i="1" s="1"/>
  <c r="X2274" i="1"/>
  <c r="Z2274" i="1" s="1"/>
  <c r="X2277" i="1"/>
  <c r="Z2277" i="1" s="1"/>
  <c r="X2278" i="1"/>
  <c r="Z2278" i="1" s="1"/>
  <c r="X2279" i="1"/>
  <c r="Z2279" i="1" s="1"/>
  <c r="X2281" i="1"/>
  <c r="X2283" i="1"/>
  <c r="Z2283" i="1" s="1"/>
  <c r="X2286" i="1"/>
  <c r="Z2286" i="1" s="1"/>
  <c r="X2290" i="1"/>
  <c r="Z2290" i="1" s="1"/>
  <c r="X2292" i="1"/>
  <c r="Z2292" i="1" s="1"/>
  <c r="X2294" i="1"/>
  <c r="Z2294" i="1" s="1"/>
  <c r="X2296" i="1"/>
  <c r="Z2296" i="1" s="1"/>
  <c r="X2298" i="1"/>
  <c r="Z2298" i="1" s="1"/>
  <c r="X2335" i="1"/>
  <c r="Z2335" i="1" s="1"/>
  <c r="X2338" i="1"/>
  <c r="Z2338" i="1" s="1"/>
  <c r="X2341" i="1"/>
  <c r="Z2341" i="1" s="1"/>
  <c r="X2345" i="1"/>
  <c r="Z2345" i="1" s="1"/>
  <c r="X2350" i="1"/>
  <c r="Z2350" i="1" s="1"/>
  <c r="X2366" i="1"/>
  <c r="Z2366" i="1" s="1"/>
  <c r="X2371" i="1"/>
  <c r="Z2371" i="1" s="1"/>
  <c r="X2376" i="1"/>
  <c r="Z2376" i="1" s="1"/>
  <c r="X2384" i="1"/>
  <c r="Z2384" i="1" s="1"/>
  <c r="X2387" i="1"/>
  <c r="Z2387" i="1" s="1"/>
  <c r="X2392" i="1"/>
  <c r="Z2392" i="1" s="1"/>
  <c r="X2396" i="1"/>
  <c r="Z2396" i="1" s="1"/>
  <c r="X2399" i="1"/>
  <c r="Z2399" i="1" s="1"/>
  <c r="X2406" i="1"/>
  <c r="Z2406" i="1" s="1"/>
  <c r="X2414" i="1"/>
  <c r="Z2414" i="1" s="1"/>
  <c r="X2418" i="1"/>
  <c r="X2429" i="1"/>
  <c r="Z2429" i="1" s="1"/>
  <c r="X2438" i="1"/>
  <c r="X2440" i="1"/>
  <c r="X2442" i="1"/>
  <c r="Z2442" i="1" s="1"/>
  <c r="X2446" i="1"/>
  <c r="Z2446" i="1" s="1"/>
  <c r="X2452" i="1"/>
  <c r="Z2452" i="1" s="1"/>
  <c r="X2457" i="1"/>
  <c r="Z2457" i="1" s="1"/>
  <c r="X2462" i="1"/>
  <c r="X2425" i="1"/>
  <c r="X75" i="1"/>
  <c r="Z75" i="1" s="1"/>
  <c r="X4" i="1"/>
  <c r="Z4" i="1" s="1"/>
  <c r="X86" i="1"/>
  <c r="Z86" i="1" s="1"/>
  <c r="X91" i="1"/>
  <c r="Z91" i="1" s="1"/>
  <c r="X96" i="1"/>
  <c r="Z96" i="1" s="1"/>
  <c r="X101" i="1"/>
  <c r="Z101" i="1" s="1"/>
  <c r="X106" i="1"/>
  <c r="Z106" i="1" s="1"/>
  <c r="X111" i="1"/>
  <c r="Z111" i="1" s="1"/>
  <c r="X116" i="1"/>
  <c r="Z116" i="1" s="1"/>
  <c r="X120" i="1"/>
  <c r="Z120" i="1" s="1"/>
  <c r="X125" i="1"/>
  <c r="Z125" i="1" s="1"/>
  <c r="X6" i="1"/>
  <c r="Z6" i="1" s="1"/>
  <c r="X7" i="1"/>
  <c r="Z7" i="1" s="1"/>
  <c r="X143" i="1"/>
  <c r="X147" i="1"/>
  <c r="X150" i="1"/>
  <c r="X157" i="1"/>
  <c r="X161" i="1"/>
  <c r="X166" i="1"/>
  <c r="X183" i="1"/>
  <c r="X186" i="1"/>
  <c r="X190" i="1"/>
  <c r="X193" i="1"/>
  <c r="X196" i="1"/>
  <c r="X198" i="1"/>
  <c r="X201" i="1"/>
  <c r="Z201" i="1" s="1"/>
  <c r="X209" i="1"/>
  <c r="X218" i="1"/>
  <c r="Z218" i="1" s="1"/>
  <c r="X224" i="1"/>
  <c r="Z224" i="1" s="1"/>
  <c r="X227" i="1"/>
  <c r="Z227" i="1" s="1"/>
  <c r="X230" i="1"/>
  <c r="Z230" i="1" s="1"/>
  <c r="X234" i="1"/>
  <c r="Z234" i="1" s="1"/>
  <c r="X241" i="1"/>
  <c r="Z241" i="1" s="1"/>
  <c r="X243" i="1"/>
  <c r="Z243" i="1" s="1"/>
  <c r="X245" i="1"/>
  <c r="Z245" i="1" s="1"/>
  <c r="X292" i="1"/>
  <c r="X253" i="1"/>
  <c r="X256" i="1"/>
  <c r="X259" i="1"/>
  <c r="Z259" i="1" s="1"/>
  <c r="X261" i="1"/>
  <c r="X274" i="1"/>
  <c r="Z274" i="1" s="1"/>
  <c r="X277" i="1"/>
  <c r="Z277" i="1" s="1"/>
  <c r="X281" i="1"/>
  <c r="Z281" i="1" s="1"/>
  <c r="X286" i="1"/>
  <c r="Z286" i="1" s="1"/>
  <c r="X289" i="1"/>
  <c r="Z289" i="1" s="1"/>
  <c r="X337" i="1"/>
  <c r="Z337" i="1" s="1"/>
  <c r="X341" i="1"/>
  <c r="X346" i="1"/>
  <c r="X350" i="1"/>
  <c r="X355" i="1"/>
  <c r="X357" i="1"/>
  <c r="X362" i="1"/>
  <c r="X366" i="1"/>
  <c r="Z366" i="1" s="1"/>
  <c r="X370" i="1"/>
  <c r="Z370" i="1" s="1"/>
  <c r="X373" i="1"/>
  <c r="Z373" i="1" s="1"/>
  <c r="X377" i="1"/>
  <c r="Z377" i="1" s="1"/>
  <c r="X380" i="1"/>
  <c r="Z380" i="1" s="1"/>
  <c r="X384" i="1"/>
  <c r="Z384" i="1" s="1"/>
  <c r="X388" i="1"/>
  <c r="Z388" i="1" s="1"/>
  <c r="X391" i="1"/>
  <c r="Z391" i="1" s="1"/>
  <c r="X393" i="1"/>
  <c r="Z393" i="1" s="1"/>
  <c r="X395" i="1"/>
  <c r="Z395" i="1" s="1"/>
  <c r="X399" i="1"/>
  <c r="Z399" i="1" s="1"/>
  <c r="X402" i="1"/>
  <c r="Z402" i="1" s="1"/>
  <c r="X406" i="1"/>
  <c r="Z406" i="1" s="1"/>
  <c r="X408" i="1"/>
  <c r="Z408" i="1" s="1"/>
  <c r="X411" i="1"/>
  <c r="Z411" i="1" s="1"/>
  <c r="X413" i="1"/>
  <c r="Z413" i="1" s="1"/>
  <c r="X415" i="1"/>
  <c r="X417" i="1"/>
  <c r="Z417" i="1" s="1"/>
  <c r="X420" i="1"/>
  <c r="Z420" i="1" s="1"/>
  <c r="X424" i="1"/>
  <c r="Z424" i="1" s="1"/>
  <c r="X428" i="1"/>
  <c r="Z428" i="1" s="1"/>
  <c r="X432" i="1"/>
  <c r="Z432" i="1" s="1"/>
  <c r="X436" i="1"/>
  <c r="Z436" i="1" s="1"/>
  <c r="X445" i="1"/>
  <c r="Z445" i="1" s="1"/>
  <c r="X448" i="1"/>
  <c r="Z448" i="1" s="1"/>
  <c r="X451" i="1"/>
  <c r="Z451" i="1" s="1"/>
  <c r="X455" i="1"/>
  <c r="Z455" i="1" s="1"/>
  <c r="X593" i="1"/>
  <c r="Z593" i="1" s="1"/>
  <c r="X597" i="1"/>
  <c r="Z597" i="1" s="1"/>
  <c r="X608" i="1"/>
  <c r="Z608" i="1" s="1"/>
  <c r="X613" i="1"/>
  <c r="Z613" i="1" s="1"/>
  <c r="X623" i="1"/>
  <c r="Z623" i="1" s="1"/>
  <c r="X627" i="1"/>
  <c r="Z627" i="1" s="1"/>
  <c r="X631" i="1"/>
  <c r="X634" i="1"/>
  <c r="X639" i="1"/>
  <c r="X643" i="1"/>
  <c r="X2839" i="1"/>
  <c r="X654" i="1"/>
  <c r="X657" i="1"/>
  <c r="X659" i="1"/>
  <c r="X662" i="1"/>
  <c r="X675" i="1"/>
  <c r="X690" i="1"/>
  <c r="X33" i="1"/>
  <c r="Z33" i="1" s="1"/>
  <c r="X694" i="1"/>
  <c r="Z694" i="1" s="1"/>
  <c r="X74" i="1"/>
  <c r="Z74" i="1" s="1"/>
  <c r="X803" i="1"/>
  <c r="Z803" i="1" s="1"/>
  <c r="X813" i="1"/>
  <c r="Z813" i="1" s="1"/>
  <c r="X818" i="1"/>
  <c r="Z818" i="1" s="1"/>
  <c r="X827" i="1"/>
  <c r="Z827" i="1" s="1"/>
  <c r="X832" i="1"/>
  <c r="Z832" i="1" s="1"/>
  <c r="X837" i="1"/>
  <c r="Z837" i="1" s="1"/>
  <c r="X325" i="1"/>
  <c r="Z325" i="1" s="1"/>
  <c r="X327" i="1"/>
  <c r="Z327" i="1" s="1"/>
  <c r="X328" i="1"/>
  <c r="Z328" i="1" s="1"/>
  <c r="X330" i="1"/>
  <c r="Z330" i="1" s="1"/>
  <c r="X854" i="1"/>
  <c r="Z854" i="1" s="1"/>
  <c r="X859" i="1"/>
  <c r="Z859" i="1" s="1"/>
  <c r="X919" i="1"/>
  <c r="Z919" i="1" s="1"/>
  <c r="X868" i="1"/>
  <c r="X873" i="1"/>
  <c r="X878" i="1"/>
  <c r="X882" i="1"/>
  <c r="Z882" i="1" s="1"/>
  <c r="X886" i="1"/>
  <c r="Z886" i="1" s="1"/>
  <c r="X895" i="1"/>
  <c r="Z895" i="1" s="1"/>
  <c r="X898" i="1"/>
  <c r="Z898" i="1" s="1"/>
  <c r="X39" i="1"/>
  <c r="Z39" i="1" s="1"/>
  <c r="X905" i="1"/>
  <c r="Z905" i="1" s="1"/>
  <c r="X910" i="1"/>
  <c r="Z910" i="1" s="1"/>
  <c r="X40" i="1"/>
  <c r="Z40" i="1" s="1"/>
  <c r="X1337" i="1"/>
  <c r="Z1337" i="1" s="1"/>
  <c r="X1341" i="1"/>
  <c r="Z1341" i="1" s="1"/>
  <c r="X1344" i="1"/>
  <c r="Z1344" i="1" s="1"/>
  <c r="X1348" i="1"/>
  <c r="Z1348" i="1" s="1"/>
  <c r="X788" i="1"/>
  <c r="Z788" i="1" s="1"/>
  <c r="X790" i="1"/>
  <c r="Z790" i="1" s="1"/>
  <c r="X746" i="1"/>
  <c r="Z746" i="1" s="1"/>
  <c r="X750" i="1"/>
  <c r="Z750" i="1" s="1"/>
  <c r="X793" i="1"/>
  <c r="X800" i="1"/>
  <c r="Z800" i="1" s="1"/>
  <c r="X795" i="1"/>
  <c r="Z795" i="1" s="1"/>
  <c r="X797" i="1"/>
  <c r="Z797" i="1" s="1"/>
  <c r="X801" i="1"/>
  <c r="Z801" i="1" s="1"/>
  <c r="X798" i="1"/>
  <c r="Z798" i="1" s="1"/>
  <c r="X799" i="1"/>
  <c r="Z799" i="1" s="1"/>
  <c r="X1312" i="1"/>
  <c r="Z1312" i="1" s="1"/>
  <c r="X1316" i="1"/>
  <c r="Z1316" i="1" s="1"/>
  <c r="X1320" i="1"/>
  <c r="Z1320" i="1" s="1"/>
  <c r="X1099" i="1"/>
  <c r="Z1099" i="1" s="1"/>
  <c r="X1103" i="1"/>
  <c r="Z1103" i="1" s="1"/>
  <c r="X1107" i="1"/>
  <c r="Z1107" i="1" s="1"/>
  <c r="X1110" i="1"/>
  <c r="Z1110" i="1" s="1"/>
  <c r="X1115" i="1"/>
  <c r="Z1115" i="1" s="1"/>
  <c r="X1120" i="1"/>
  <c r="Z1120" i="1" s="1"/>
  <c r="X1125" i="1"/>
  <c r="Z1125" i="1" s="1"/>
  <c r="X1129" i="1"/>
  <c r="Z1129" i="1" s="1"/>
  <c r="X1133" i="1"/>
  <c r="Z1133" i="1" s="1"/>
  <c r="X1138" i="1"/>
  <c r="Z1138" i="1" s="1"/>
  <c r="X1141" i="1"/>
  <c r="Z1141" i="1" s="1"/>
  <c r="X1146" i="1"/>
  <c r="Z1146" i="1" s="1"/>
  <c r="X1150" i="1"/>
  <c r="Z1150" i="1" s="1"/>
  <c r="X1154" i="1"/>
  <c r="Z1154" i="1" s="1"/>
  <c r="X1158" i="1"/>
  <c r="Z1158" i="1" s="1"/>
  <c r="X1165" i="1"/>
  <c r="Z1165" i="1" s="1"/>
  <c r="X1170" i="1"/>
  <c r="Z1170" i="1" s="1"/>
  <c r="X1174" i="1"/>
  <c r="Z1174" i="1" s="1"/>
  <c r="X1178" i="1"/>
  <c r="Z1178" i="1" s="1"/>
  <c r="X1182" i="1"/>
  <c r="Z1182" i="1" s="1"/>
  <c r="X1187" i="1"/>
  <c r="Z1187" i="1" s="1"/>
  <c r="X1192" i="1"/>
  <c r="Z1192" i="1" s="1"/>
  <c r="X1195" i="1"/>
  <c r="Z1195" i="1" s="1"/>
  <c r="X1199" i="1"/>
  <c r="Z1199" i="1" s="1"/>
  <c r="X1203" i="1"/>
  <c r="Z1203" i="1" s="1"/>
  <c r="X1206" i="1"/>
  <c r="Z1206" i="1" s="1"/>
  <c r="X1214" i="1"/>
  <c r="X1218" i="1"/>
  <c r="Z1218" i="1" s="1"/>
  <c r="X1222" i="1"/>
  <c r="Z1222" i="1" s="1"/>
  <c r="X1225" i="1"/>
  <c r="Z1225" i="1" s="1"/>
  <c r="X1229" i="1"/>
  <c r="Z1229" i="1" s="1"/>
  <c r="X1232" i="1"/>
  <c r="X1240" i="1"/>
  <c r="X1244" i="1"/>
  <c r="X1094" i="1"/>
  <c r="Z1094" i="1" s="1"/>
  <c r="X1248" i="1"/>
  <c r="X1253" i="1"/>
  <c r="X1258" i="1"/>
  <c r="X1263" i="1"/>
  <c r="X1268" i="1"/>
  <c r="X1272" i="1"/>
  <c r="X1277" i="1"/>
  <c r="Z1277" i="1" s="1"/>
  <c r="X1281" i="1"/>
  <c r="Z1281" i="1" s="1"/>
  <c r="X1284" i="1"/>
  <c r="Z1284" i="1" s="1"/>
  <c r="X1297" i="1"/>
  <c r="Z1297" i="1" s="1"/>
  <c r="X1300" i="1"/>
  <c r="Z1300" i="1" s="1"/>
  <c r="X1304" i="1"/>
  <c r="X1306" i="1"/>
  <c r="Z1306" i="1" s="1"/>
  <c r="X1309" i="1"/>
  <c r="Z1309" i="1" s="1"/>
  <c r="X1313" i="1"/>
  <c r="X1317" i="1"/>
  <c r="Z1317" i="1" s="1"/>
  <c r="X1321" i="1"/>
  <c r="Z1321" i="1" s="1"/>
  <c r="X1324" i="1"/>
  <c r="Z1324" i="1" s="1"/>
  <c r="X1327" i="1"/>
  <c r="Z1327" i="1" s="1"/>
  <c r="X1330" i="1"/>
  <c r="Z1330" i="1" s="1"/>
  <c r="X1332" i="1"/>
  <c r="Z1332" i="1" s="1"/>
  <c r="X1334" i="1"/>
  <c r="Z1334" i="1" s="1"/>
  <c r="X1338" i="1"/>
  <c r="Z1338" i="1" s="1"/>
  <c r="X1342" i="1"/>
  <c r="Z1342" i="1" s="1"/>
  <c r="X1345" i="1"/>
  <c r="Z1345" i="1" s="1"/>
  <c r="X2844" i="1"/>
  <c r="Z2844" i="1" s="1"/>
  <c r="X2845" i="1"/>
  <c r="Z2845" i="1" s="1"/>
  <c r="X2846" i="1"/>
  <c r="Z2846" i="1" s="1"/>
  <c r="X2847" i="1"/>
  <c r="Z2847" i="1" s="1"/>
  <c r="X2848" i="1"/>
  <c r="Z2848" i="1" s="1"/>
  <c r="X37" i="1"/>
  <c r="Z37" i="1" s="1"/>
  <c r="X38" i="1"/>
  <c r="Z38" i="1" s="1"/>
  <c r="X904" i="1"/>
  <c r="Z904" i="1" s="1"/>
  <c r="X908" i="1"/>
  <c r="Z908" i="1" s="1"/>
  <c r="X56" i="1"/>
  <c r="Z56" i="1" s="1"/>
  <c r="X1420" i="1"/>
  <c r="Z1420" i="1" s="1"/>
  <c r="X1423" i="1"/>
  <c r="Z1423" i="1" s="1"/>
  <c r="X1427" i="1"/>
  <c r="Z1427" i="1" s="1"/>
  <c r="X1432" i="1"/>
  <c r="X1437" i="1"/>
  <c r="X1458" i="1"/>
  <c r="Z1458" i="1" s="1"/>
  <c r="X1462" i="1"/>
  <c r="Z1462" i="1" s="1"/>
  <c r="X1467" i="1"/>
  <c r="Z1467" i="1" s="1"/>
  <c r="X1472" i="1"/>
  <c r="Z1472" i="1" s="1"/>
  <c r="X1476" i="1"/>
  <c r="X1480" i="1"/>
  <c r="X1484" i="1"/>
  <c r="X1488" i="1"/>
  <c r="X1503" i="1"/>
  <c r="Z1503" i="1" s="1"/>
  <c r="X45" i="1"/>
  <c r="Z45" i="1" s="1"/>
  <c r="X1518" i="1"/>
  <c r="Z1518" i="1" s="1"/>
  <c r="X1523" i="1"/>
  <c r="X1536" i="1"/>
  <c r="X1540" i="1"/>
  <c r="X1544" i="1"/>
  <c r="X1548" i="1"/>
  <c r="X1553" i="1"/>
  <c r="X1558" i="1"/>
  <c r="X1563" i="1"/>
  <c r="X1567" i="1"/>
  <c r="X1569" i="1"/>
  <c r="Z1569" i="1" s="1"/>
  <c r="X1573" i="1"/>
  <c r="Z1573" i="1" s="1"/>
  <c r="X1577" i="1"/>
  <c r="Z1577" i="1" s="1"/>
  <c r="X1582" i="1"/>
  <c r="Z1582" i="1" s="1"/>
  <c r="X1586" i="1"/>
  <c r="Z1586" i="1" s="1"/>
  <c r="X1590" i="1"/>
  <c r="Z1590" i="1" s="1"/>
  <c r="X1593" i="1"/>
  <c r="Z1593" i="1" s="1"/>
  <c r="X1601" i="1"/>
  <c r="Z1601" i="1" s="1"/>
  <c r="X1605" i="1"/>
  <c r="Z1605" i="1" s="1"/>
  <c r="X1611" i="1"/>
  <c r="X1615" i="1"/>
  <c r="X1618" i="1"/>
  <c r="X1717" i="1"/>
  <c r="Z1717" i="1" s="1"/>
  <c r="X1719" i="1"/>
  <c r="Z1719" i="1" s="1"/>
  <c r="X1723" i="1"/>
  <c r="Z1723" i="1" s="1"/>
  <c r="X1725" i="1"/>
  <c r="Z1725" i="1" s="1"/>
  <c r="X1728" i="1"/>
  <c r="Z1728" i="1" s="1"/>
  <c r="X1731" i="1"/>
  <c r="Z1731" i="1" s="1"/>
  <c r="X1733" i="1"/>
  <c r="Z1733" i="1" s="1"/>
  <c r="X1736" i="1"/>
  <c r="Z1736" i="1" s="1"/>
  <c r="X1740" i="1"/>
  <c r="Z1740" i="1" s="1"/>
  <c r="X1743" i="1"/>
  <c r="Z1743" i="1" s="1"/>
  <c r="X1746" i="1"/>
  <c r="Z1746" i="1" s="1"/>
  <c r="X1750" i="1"/>
  <c r="Z1750" i="1" s="1"/>
  <c r="X1753" i="1"/>
  <c r="Z1753" i="1" s="1"/>
  <c r="X1755" i="1"/>
  <c r="Z1755" i="1" s="1"/>
  <c r="X1757" i="1"/>
  <c r="Z1757" i="1" s="1"/>
  <c r="X3" i="1"/>
  <c r="Z3" i="1" s="1"/>
  <c r="X1762" i="1"/>
  <c r="Z1762" i="1" s="1"/>
  <c r="X1764" i="1"/>
  <c r="Z1764" i="1" s="1"/>
  <c r="X1767" i="1"/>
  <c r="Z1767" i="1" s="1"/>
  <c r="X2850" i="1"/>
  <c r="Z2850" i="1" s="1"/>
  <c r="X1774" i="1"/>
  <c r="X1777" i="1"/>
  <c r="Z1777" i="1" s="1"/>
  <c r="X1780" i="1"/>
  <c r="Z1780" i="1" s="1"/>
  <c r="X1784" i="1"/>
  <c r="Z1784" i="1" s="1"/>
  <c r="X1788" i="1"/>
  <c r="Z1788" i="1" s="1"/>
  <c r="X1792" i="1"/>
  <c r="Z1792" i="1" s="1"/>
  <c r="X1796" i="1"/>
  <c r="Z1796" i="1" s="1"/>
  <c r="X1800" i="1"/>
  <c r="Z1800" i="1" s="1"/>
  <c r="X1804" i="1"/>
  <c r="Z1804" i="1" s="1"/>
  <c r="X1808" i="1"/>
  <c r="Z1808" i="1" s="1"/>
  <c r="X1816" i="1"/>
  <c r="Z1816" i="1" s="1"/>
  <c r="X1821" i="1"/>
  <c r="X1824" i="1"/>
  <c r="X1831" i="1"/>
  <c r="Z1831" i="1" s="1"/>
  <c r="X1836" i="1"/>
  <c r="Z1836" i="1" s="1"/>
  <c r="X1839" i="1"/>
  <c r="Z1839" i="1" s="1"/>
  <c r="X1842" i="1"/>
  <c r="Z1842" i="1" s="1"/>
  <c r="X1846" i="1"/>
  <c r="Z1846" i="1" s="1"/>
  <c r="X1850" i="1"/>
  <c r="Z1850" i="1" s="1"/>
  <c r="X1853" i="1"/>
  <c r="Z1853" i="1" s="1"/>
  <c r="X1855" i="1"/>
  <c r="Z1855" i="1" s="1"/>
  <c r="X1858" i="1"/>
  <c r="Z1858" i="1" s="1"/>
  <c r="X2040" i="1"/>
  <c r="Z2040" i="1" s="1"/>
  <c r="X2042" i="1"/>
  <c r="Z2042" i="1" s="1"/>
  <c r="X2049" i="1"/>
  <c r="Z2049" i="1" s="1"/>
  <c r="X2051" i="1"/>
  <c r="Z2051" i="1" s="1"/>
  <c r="X1942" i="1"/>
  <c r="Z1942" i="1" s="1"/>
  <c r="X2140" i="1"/>
  <c r="Z2140" i="1" s="1"/>
  <c r="X2308" i="1"/>
  <c r="X2310" i="1"/>
  <c r="X2312" i="1"/>
  <c r="Z2312" i="1" s="1"/>
  <c r="X2163" i="1"/>
  <c r="X2177" i="1"/>
  <c r="X2328" i="1"/>
  <c r="Z2328" i="1" s="1"/>
  <c r="X2324" i="1"/>
  <c r="Z2324" i="1" s="1"/>
  <c r="X2323" i="1"/>
  <c r="Z2323" i="1" s="1"/>
  <c r="X2317" i="1"/>
  <c r="Z2317" i="1" s="1"/>
  <c r="X2319" i="1"/>
  <c r="Z2319" i="1" s="1"/>
  <c r="X2321" i="1"/>
  <c r="Z2321" i="1" s="1"/>
  <c r="X2322" i="1"/>
  <c r="Z2322" i="1" s="1"/>
  <c r="X2315" i="1"/>
  <c r="Z2315" i="1" s="1"/>
  <c r="X2854" i="1"/>
  <c r="Z2854" i="1" s="1"/>
  <c r="X2267" i="1"/>
  <c r="Z2267" i="1" s="1"/>
  <c r="X2325" i="1"/>
  <c r="X2326" i="1"/>
  <c r="X2255" i="1"/>
  <c r="Z2255" i="1" s="1"/>
  <c r="X2330" i="1"/>
  <c r="X1939" i="1"/>
  <c r="Z1939" i="1" s="1"/>
  <c r="X1944" i="1"/>
  <c r="Z1944" i="1" s="1"/>
  <c r="X1947" i="1"/>
  <c r="Z1947" i="1" s="1"/>
  <c r="X1951" i="1"/>
  <c r="X1954" i="1"/>
  <c r="X1958" i="1"/>
  <c r="X1961" i="1"/>
  <c r="X1965" i="1"/>
  <c r="X1970" i="1"/>
  <c r="Z1970" i="1" s="1"/>
  <c r="X1977" i="1"/>
  <c r="Z1977" i="1" s="1"/>
  <c r="X1981" i="1"/>
  <c r="Z1981" i="1" s="1"/>
  <c r="X1985" i="1"/>
  <c r="X1989" i="1"/>
  <c r="X1993" i="1"/>
  <c r="X1997" i="1"/>
  <c r="Z1997" i="1" s="1"/>
  <c r="X2003" i="1"/>
  <c r="Z2003" i="1" s="1"/>
  <c r="X2006" i="1"/>
  <c r="Z2006" i="1" s="1"/>
  <c r="X2009" i="1"/>
  <c r="Z2009" i="1" s="1"/>
  <c r="X2015" i="1"/>
  <c r="X2021" i="1"/>
  <c r="Z2021" i="1" s="1"/>
  <c r="X2030" i="1"/>
  <c r="Z2030" i="1" s="1"/>
  <c r="X2032" i="1"/>
  <c r="Z2032" i="1" s="1"/>
  <c r="X2034" i="1"/>
  <c r="Z2034" i="1" s="1"/>
  <c r="X2138" i="1"/>
  <c r="Z2138" i="1" s="1"/>
  <c r="X2142" i="1"/>
  <c r="Z2142" i="1" s="1"/>
  <c r="X2147" i="1"/>
  <c r="Z2147" i="1" s="1"/>
  <c r="X2153" i="1"/>
  <c r="Z2153" i="1" s="1"/>
  <c r="X2157" i="1"/>
  <c r="Z2157" i="1" s="1"/>
  <c r="X2161" i="1"/>
  <c r="Z2161" i="1" s="1"/>
  <c r="X2165" i="1"/>
  <c r="Z2165" i="1" s="1"/>
  <c r="X2174" i="1"/>
  <c r="X2179" i="1"/>
  <c r="Z2179" i="1" s="1"/>
  <c r="X2183" i="1"/>
  <c r="Z2183" i="1" s="1"/>
  <c r="X2187" i="1"/>
  <c r="Z2187" i="1" s="1"/>
  <c r="X2191" i="1"/>
  <c r="Z2191" i="1" s="1"/>
  <c r="X2194" i="1"/>
  <c r="Z2194" i="1" s="1"/>
  <c r="X2197" i="1"/>
  <c r="X2201" i="1"/>
  <c r="X2205" i="1"/>
  <c r="Z2205" i="1" s="1"/>
  <c r="X2209" i="1"/>
  <c r="Z2209" i="1" s="1"/>
  <c r="X2212" i="1"/>
  <c r="Z2212" i="1" s="1"/>
  <c r="X2215" i="1"/>
  <c r="X2218" i="1"/>
  <c r="Z2218" i="1" s="1"/>
  <c r="X2221" i="1"/>
  <c r="Z2221" i="1" s="1"/>
  <c r="X2226" i="1"/>
  <c r="Z2226" i="1" s="1"/>
  <c r="X1679" i="1"/>
  <c r="Z1679" i="1" s="1"/>
  <c r="X1680" i="1"/>
  <c r="Z1680" i="1" s="1"/>
  <c r="X1681" i="1"/>
  <c r="X1705" i="1"/>
  <c r="X1604" i="1"/>
  <c r="X1607" i="1"/>
  <c r="X1608" i="1"/>
  <c r="X1610" i="1"/>
  <c r="X1614" i="1"/>
  <c r="X1617" i="1"/>
  <c r="X1620" i="1"/>
  <c r="Z1620" i="1" s="1"/>
  <c r="X1622" i="1"/>
  <c r="Z1622" i="1" s="1"/>
  <c r="X1624" i="1"/>
  <c r="Z1624" i="1" s="1"/>
  <c r="X1627" i="1"/>
  <c r="Z1627" i="1" s="1"/>
  <c r="X1682" i="1"/>
  <c r="X1683" i="1"/>
  <c r="X1684" i="1"/>
  <c r="X1638" i="1"/>
  <c r="X1707" i="1"/>
  <c r="Z1707" i="1" s="1"/>
  <c r="X1685" i="1"/>
  <c r="Z1685" i="1" s="1"/>
  <c r="X1686" i="1"/>
  <c r="Z1686" i="1" s="1"/>
  <c r="X1687" i="1"/>
  <c r="Z1687" i="1" s="1"/>
  <c r="X1688" i="1"/>
  <c r="Z1688" i="1" s="1"/>
  <c r="X1689" i="1"/>
  <c r="Z1689" i="1" s="1"/>
  <c r="X1690" i="1"/>
  <c r="Z1690" i="1" s="1"/>
  <c r="X1706" i="1"/>
  <c r="X1653" i="1"/>
  <c r="Z1653" i="1" s="1"/>
  <c r="X1691" i="1"/>
  <c r="Z1691" i="1" s="1"/>
  <c r="X1692" i="1"/>
  <c r="Z1692" i="1" s="1"/>
  <c r="X1693" i="1"/>
  <c r="Z1693" i="1" s="1"/>
  <c r="X1694" i="1"/>
  <c r="Z1694" i="1" s="1"/>
  <c r="X1695" i="1"/>
  <c r="Z1695" i="1" s="1"/>
  <c r="X1696" i="1"/>
  <c r="Z1696" i="1" s="1"/>
  <c r="X1697" i="1"/>
  <c r="Z1697" i="1" s="1"/>
  <c r="X1698" i="1"/>
  <c r="Z1698" i="1" s="1"/>
  <c r="X1699" i="1"/>
  <c r="Z1699" i="1" s="1"/>
  <c r="X1701" i="1"/>
  <c r="X1702" i="1"/>
  <c r="X1703" i="1"/>
  <c r="Z1703" i="1" s="1"/>
  <c r="X1704" i="1"/>
  <c r="Z1704" i="1" s="1"/>
  <c r="X2663" i="1"/>
  <c r="Z2663" i="1" s="1"/>
  <c r="X2669" i="1"/>
  <c r="Z2669" i="1" s="1"/>
  <c r="X2666" i="1"/>
  <c r="Z2666" i="1" s="1"/>
  <c r="X2672" i="1"/>
  <c r="X2675" i="1"/>
  <c r="X2678" i="1"/>
  <c r="X2681" i="1"/>
  <c r="X2684" i="1"/>
  <c r="Z2684" i="1" s="1"/>
  <c r="X2690" i="1"/>
  <c r="Z2690" i="1" s="1"/>
  <c r="X2693" i="1"/>
  <c r="Z2693" i="1" s="1"/>
  <c r="X2720" i="1"/>
  <c r="Z2720" i="1" s="1"/>
  <c r="X2687" i="1"/>
  <c r="Z2687" i="1" s="1"/>
  <c r="X2721" i="1"/>
  <c r="Z2721" i="1" s="1"/>
  <c r="X2714" i="1"/>
  <c r="Z2714" i="1" s="1"/>
  <c r="X2716" i="1"/>
  <c r="Z2716" i="1" s="1"/>
  <c r="X2719" i="1"/>
  <c r="Z2719" i="1" s="1"/>
  <c r="X1700" i="1"/>
  <c r="Z1700" i="1" s="1"/>
  <c r="X2602" i="1"/>
  <c r="Z2602" i="1" s="1"/>
  <c r="X2606" i="1"/>
  <c r="Z2606" i="1" s="1"/>
  <c r="X2635" i="1"/>
  <c r="Z2635" i="1" s="1"/>
  <c r="X2614" i="1"/>
  <c r="Z2614" i="1" s="1"/>
  <c r="X2619" i="1"/>
  <c r="Z2619" i="1" s="1"/>
  <c r="X2624" i="1"/>
  <c r="Z2624" i="1" s="1"/>
  <c r="X2639" i="1"/>
  <c r="Z2639" i="1" s="1"/>
  <c r="X2649" i="1"/>
  <c r="Z2649" i="1" s="1"/>
  <c r="X2643" i="1"/>
  <c r="Z2643" i="1" s="1"/>
  <c r="X2547" i="1"/>
  <c r="Z2547" i="1" s="1"/>
  <c r="X2513" i="1"/>
  <c r="X2517" i="1"/>
  <c r="X2521" i="1"/>
  <c r="X2524" i="1"/>
  <c r="X2526" i="1"/>
  <c r="X2555" i="1"/>
  <c r="Z2555" i="1" s="1"/>
  <c r="X2533" i="1"/>
  <c r="X2550" i="1"/>
  <c r="Z2550" i="1" s="1"/>
  <c r="X2552" i="1"/>
  <c r="Z2552" i="1" s="1"/>
  <c r="X2536" i="1"/>
  <c r="X2539" i="1"/>
  <c r="X2542" i="1"/>
  <c r="Z2542" i="1" s="1"/>
  <c r="X2506" i="1"/>
  <c r="Z2506" i="1" s="1"/>
  <c r="X2510" i="1"/>
  <c r="Z2510" i="1" s="1"/>
  <c r="X62" i="1"/>
  <c r="Z62" i="1" s="1"/>
  <c r="X2342" i="1"/>
  <c r="Z2342" i="1" s="1"/>
  <c r="X2346" i="1"/>
  <c r="X2351" i="1"/>
  <c r="Z2351" i="1" s="1"/>
  <c r="X2354" i="1"/>
  <c r="Z2354" i="1" s="1"/>
  <c r="X2358" i="1"/>
  <c r="Z2358" i="1" s="1"/>
  <c r="X2362" i="1"/>
  <c r="Z2362" i="1" s="1"/>
  <c r="X2367" i="1"/>
  <c r="X2372" i="1"/>
  <c r="Z2372" i="1" s="1"/>
  <c r="X2380" i="1"/>
  <c r="Z2380" i="1" s="1"/>
  <c r="X2388" i="1"/>
  <c r="X2393" i="1"/>
  <c r="X2403" i="1"/>
  <c r="Z2403" i="1" s="1"/>
  <c r="X2407" i="1"/>
  <c r="Z2407" i="1" s="1"/>
  <c r="X2411" i="1"/>
  <c r="Z2411" i="1" s="1"/>
  <c r="X2415" i="1"/>
  <c r="Z2415" i="1" s="1"/>
  <c r="X2419" i="1"/>
  <c r="Z2419" i="1" s="1"/>
  <c r="X2422" i="1"/>
  <c r="Z2422" i="1" s="1"/>
  <c r="X2426" i="1"/>
  <c r="Z2426" i="1" s="1"/>
  <c r="X2430" i="1"/>
  <c r="Z2430" i="1" s="1"/>
  <c r="X2432" i="1"/>
  <c r="Z2432" i="1" s="1"/>
  <c r="X2435" i="1"/>
  <c r="Z2435" i="1" s="1"/>
  <c r="X2443" i="1"/>
  <c r="X2447" i="1"/>
  <c r="Z2447" i="1" s="1"/>
  <c r="X2448" i="1"/>
  <c r="Z2448" i="1" s="1"/>
  <c r="X2453" i="1"/>
  <c r="Z2453" i="1" s="1"/>
  <c r="X2458" i="1"/>
  <c r="Z2458" i="1" s="1"/>
  <c r="X2463" i="1"/>
  <c r="Z2463" i="1" s="1"/>
  <c r="X2466" i="1"/>
  <c r="Z2466" i="1" s="1"/>
  <c r="X2471" i="1"/>
  <c r="Z2471" i="1" s="1"/>
  <c r="X2479" i="1"/>
  <c r="Z2479" i="1" s="1"/>
  <c r="X2487" i="1"/>
  <c r="Z2487" i="1" s="1"/>
  <c r="X2495" i="1"/>
  <c r="Z2495" i="1" s="1"/>
  <c r="X2501" i="1"/>
  <c r="Z2501" i="1" s="1"/>
  <c r="X2507" i="1"/>
  <c r="Z2507" i="1" s="1"/>
  <c r="X2515" i="1"/>
  <c r="Z2515" i="1" s="1"/>
  <c r="X2522" i="1"/>
  <c r="Z2522" i="1" s="1"/>
  <c r="X2525" i="1"/>
  <c r="Z2525" i="1" s="1"/>
  <c r="X2527" i="1"/>
  <c r="Z2527" i="1" s="1"/>
  <c r="X2528" i="1"/>
  <c r="Z2528" i="1" s="1"/>
  <c r="X2529" i="1"/>
  <c r="Z2529" i="1" s="1"/>
  <c r="X2531" i="1"/>
  <c r="Z2531" i="1" s="1"/>
  <c r="X2534" i="1"/>
  <c r="Z2534" i="1" s="1"/>
  <c r="X2537" i="1"/>
  <c r="Z2537" i="1" s="1"/>
  <c r="X2540" i="1"/>
  <c r="Z2540" i="1" s="1"/>
  <c r="X2543" i="1"/>
  <c r="Z2543" i="1" s="1"/>
  <c r="X2548" i="1"/>
  <c r="Z2548" i="1" s="1"/>
  <c r="X2553" i="1"/>
  <c r="Z2553" i="1" s="1"/>
  <c r="X2556" i="1"/>
  <c r="Z2556" i="1" s="1"/>
  <c r="X2557" i="1"/>
  <c r="X2559" i="1"/>
  <c r="Z2559" i="1" s="1"/>
  <c r="X2562" i="1"/>
  <c r="Z2562" i="1" s="1"/>
  <c r="X2565" i="1"/>
  <c r="Z2565" i="1" s="1"/>
  <c r="X2567" i="1"/>
  <c r="Z2567" i="1" s="1"/>
  <c r="X2568" i="1"/>
  <c r="Z2568" i="1" s="1"/>
  <c r="X133" i="1"/>
  <c r="Z133" i="1" s="1"/>
  <c r="X136" i="1"/>
  <c r="Z136" i="1" s="1"/>
  <c r="X139" i="1"/>
  <c r="Z139" i="1" s="1"/>
  <c r="X144" i="1"/>
  <c r="Z144" i="1" s="1"/>
  <c r="X148" i="1"/>
  <c r="Z148" i="1" s="1"/>
  <c r="X151" i="1"/>
  <c r="Z151" i="1" s="1"/>
  <c r="X153" i="1"/>
  <c r="Z153" i="1" s="1"/>
  <c r="X155" i="1"/>
  <c r="Z155" i="1" s="1"/>
  <c r="X158" i="1"/>
  <c r="Z158" i="1" s="1"/>
  <c r="X162" i="1"/>
  <c r="Z162" i="1" s="1"/>
  <c r="X167" i="1"/>
  <c r="Z167" i="1" s="1"/>
  <c r="X171" i="1"/>
  <c r="Z171" i="1" s="1"/>
  <c r="X174" i="1"/>
  <c r="Z174" i="1" s="1"/>
  <c r="X178" i="1"/>
  <c r="Z178" i="1" s="1"/>
  <c r="X181" i="1"/>
  <c r="Z181" i="1" s="1"/>
  <c r="X187" i="1"/>
  <c r="Z187" i="1" s="1"/>
  <c r="X194" i="1"/>
  <c r="Z194" i="1" s="1"/>
  <c r="X199" i="1"/>
  <c r="Z199" i="1" s="1"/>
  <c r="X202" i="1"/>
  <c r="Z202" i="1" s="1"/>
  <c r="X205" i="1"/>
  <c r="X212" i="1"/>
  <c r="Z212" i="1" s="1"/>
  <c r="X215" i="1"/>
  <c r="Z215" i="1" s="1"/>
  <c r="X219" i="1"/>
  <c r="Z219" i="1" s="1"/>
  <c r="X11" i="1"/>
  <c r="Z11" i="1" s="1"/>
  <c r="X12" i="1"/>
  <c r="Z12" i="1" s="1"/>
  <c r="X13" i="1"/>
  <c r="Z13" i="1" s="1"/>
  <c r="X231" i="1"/>
  <c r="Z231" i="1" s="1"/>
  <c r="X236" i="1"/>
  <c r="Z236" i="1" s="1"/>
  <c r="X239" i="1"/>
  <c r="Z239" i="1" s="1"/>
  <c r="X264" i="1"/>
  <c r="Z264" i="1" s="1"/>
  <c r="X248" i="1"/>
  <c r="Z248" i="1" s="1"/>
  <c r="X262" i="1"/>
  <c r="X698" i="1"/>
  <c r="Z698" i="1" s="1"/>
  <c r="X701" i="1"/>
  <c r="Z701" i="1" s="1"/>
  <c r="X704" i="1"/>
  <c r="X705" i="1"/>
  <c r="Z705" i="1" s="1"/>
  <c r="X708" i="1"/>
  <c r="Z708" i="1" s="1"/>
  <c r="X711" i="1"/>
  <c r="Z711" i="1" s="1"/>
  <c r="X714" i="1"/>
  <c r="Z714" i="1" s="1"/>
  <c r="X717" i="1"/>
  <c r="Z717" i="1" s="1"/>
  <c r="X719" i="1"/>
  <c r="Z719" i="1" s="1"/>
  <c r="X336" i="1"/>
  <c r="Z336" i="1" s="1"/>
  <c r="X340" i="1"/>
  <c r="Z340" i="1" s="1"/>
  <c r="X398" i="1"/>
  <c r="Z398" i="1" s="1"/>
  <c r="X401" i="1"/>
  <c r="Z401" i="1" s="1"/>
  <c r="X405" i="1"/>
  <c r="Z405" i="1" s="1"/>
  <c r="X586" i="1"/>
  <c r="Z586" i="1" s="1"/>
  <c r="X587" i="1"/>
  <c r="Z587" i="1" s="1"/>
  <c r="X588" i="1"/>
  <c r="Z588" i="1" s="1"/>
  <c r="X589" i="1"/>
  <c r="Z589" i="1" s="1"/>
  <c r="X590" i="1"/>
  <c r="Z590" i="1" s="1"/>
  <c r="X591" i="1"/>
  <c r="Z591" i="1" s="1"/>
  <c r="X598" i="1"/>
  <c r="X601" i="1"/>
  <c r="X605" i="1"/>
  <c r="X609" i="1"/>
  <c r="X624" i="1"/>
  <c r="Z624" i="1" s="1"/>
  <c r="X628" i="1"/>
  <c r="Z628" i="1" s="1"/>
  <c r="X635" i="1"/>
  <c r="Z635" i="1" s="1"/>
  <c r="X649" i="1"/>
  <c r="X27" i="1"/>
  <c r="Z27" i="1" s="1"/>
  <c r="X660" i="1"/>
  <c r="Z660" i="1" s="1"/>
  <c r="X663" i="1"/>
  <c r="Z663" i="1" s="1"/>
  <c r="X666" i="1"/>
  <c r="Z666" i="1" s="1"/>
  <c r="X669" i="1"/>
  <c r="Z669" i="1" s="1"/>
  <c r="X672" i="1"/>
  <c r="X680" i="1"/>
  <c r="Z680" i="1" s="1"/>
  <c r="X682" i="1"/>
  <c r="X31" i="1"/>
  <c r="Z31" i="1" s="1"/>
  <c r="X687" i="1"/>
  <c r="Z687" i="1" s="1"/>
  <c r="X32" i="1"/>
  <c r="Z32" i="1" s="1"/>
  <c r="X695" i="1"/>
  <c r="X50" i="1"/>
  <c r="Z50" i="1" s="1"/>
  <c r="X722" i="1"/>
  <c r="Z722" i="1" s="1"/>
  <c r="X745" i="1"/>
  <c r="X748" i="1"/>
  <c r="X752" i="1"/>
  <c r="X725" i="1"/>
  <c r="Z725" i="1" s="1"/>
  <c r="X728" i="1"/>
  <c r="Z728" i="1" s="1"/>
  <c r="X731" i="1"/>
  <c r="Z731" i="1" s="1"/>
  <c r="X732" i="1"/>
  <c r="Z732" i="1" s="1"/>
  <c r="X34" i="1"/>
  <c r="Z34" i="1" s="1"/>
  <c r="X740" i="1"/>
  <c r="Z740" i="1" s="1"/>
  <c r="X743" i="1"/>
  <c r="X804" i="1"/>
  <c r="Z804" i="1" s="1"/>
  <c r="X806" i="1"/>
  <c r="Z806" i="1" s="1"/>
  <c r="X809" i="1"/>
  <c r="Z809" i="1" s="1"/>
  <c r="X814" i="1"/>
  <c r="Z814" i="1" s="1"/>
  <c r="X819" i="1"/>
  <c r="Z819" i="1" s="1"/>
  <c r="X823" i="1"/>
  <c r="Z823" i="1" s="1"/>
  <c r="X828" i="1"/>
  <c r="Z828" i="1" s="1"/>
  <c r="X833" i="1"/>
  <c r="Z833" i="1" s="1"/>
  <c r="X838" i="1"/>
  <c r="Z838" i="1" s="1"/>
  <c r="X846" i="1"/>
  <c r="Z846" i="1" s="1"/>
  <c r="X850" i="1"/>
  <c r="Z850" i="1" s="1"/>
  <c r="X855" i="1"/>
  <c r="Z855" i="1" s="1"/>
  <c r="X860" i="1"/>
  <c r="Z860" i="1" s="1"/>
  <c r="X864" i="1"/>
  <c r="Z864" i="1" s="1"/>
  <c r="X869" i="1"/>
  <c r="Z869" i="1" s="1"/>
  <c r="X874" i="1"/>
  <c r="Z874" i="1" s="1"/>
  <c r="X879" i="1"/>
  <c r="Z879" i="1" s="1"/>
  <c r="X883" i="1"/>
  <c r="Z883" i="1" s="1"/>
  <c r="X887" i="1"/>
  <c r="Z887" i="1" s="1"/>
  <c r="X890" i="1"/>
  <c r="Z890" i="1" s="1"/>
  <c r="X893" i="1"/>
  <c r="Z893" i="1" s="1"/>
  <c r="X896" i="1"/>
  <c r="Z896" i="1" s="1"/>
  <c r="X899" i="1"/>
  <c r="Z899" i="1" s="1"/>
  <c r="X902" i="1"/>
  <c r="Z902" i="1" s="1"/>
  <c r="X903" i="1"/>
  <c r="Z903" i="1" s="1"/>
  <c r="X906" i="1"/>
  <c r="Z906" i="1" s="1"/>
  <c r="X911" i="1"/>
  <c r="Z911" i="1" s="1"/>
  <c r="X914" i="1"/>
  <c r="Z914" i="1" s="1"/>
  <c r="X916" i="1"/>
  <c r="Z916" i="1" s="1"/>
  <c r="X920" i="1"/>
  <c r="Z920" i="1" s="1"/>
  <c r="X923" i="1"/>
  <c r="Z923" i="1" s="1"/>
  <c r="X926" i="1"/>
  <c r="Z926" i="1" s="1"/>
  <c r="X930" i="1"/>
  <c r="Z930" i="1" s="1"/>
  <c r="X933" i="1"/>
  <c r="Z933" i="1" s="1"/>
  <c r="X937" i="1"/>
  <c r="Z937" i="1" s="1"/>
  <c r="X940" i="1"/>
  <c r="Z940" i="1" s="1"/>
  <c r="X943" i="1"/>
  <c r="Z943" i="1" s="1"/>
  <c r="X946" i="1"/>
  <c r="Z946" i="1" s="1"/>
  <c r="X948" i="1"/>
  <c r="Z948" i="1" s="1"/>
  <c r="X952" i="1"/>
  <c r="Z952" i="1" s="1"/>
  <c r="X956" i="1"/>
  <c r="Z956" i="1" s="1"/>
  <c r="X959" i="1"/>
  <c r="Z959" i="1" s="1"/>
  <c r="X961" i="1"/>
  <c r="Z961" i="1" s="1"/>
  <c r="X966" i="1"/>
  <c r="Z966" i="1" s="1"/>
  <c r="X970" i="1"/>
  <c r="Z970" i="1" s="1"/>
  <c r="X974" i="1"/>
  <c r="Z974" i="1" s="1"/>
  <c r="X978" i="1"/>
  <c r="Z978" i="1" s="1"/>
  <c r="X982" i="1"/>
  <c r="Z982" i="1" s="1"/>
  <c r="X986" i="1"/>
  <c r="Z986" i="1" s="1"/>
  <c r="X990" i="1"/>
  <c r="Z990" i="1" s="1"/>
  <c r="X994" i="1"/>
  <c r="Z994" i="1" s="1"/>
  <c r="X998" i="1"/>
  <c r="Z998" i="1" s="1"/>
  <c r="X1002" i="1"/>
  <c r="X1005" i="1"/>
  <c r="X1008" i="1"/>
  <c r="Z1008" i="1" s="1"/>
  <c r="X1011" i="1"/>
  <c r="Z1011" i="1" s="1"/>
  <c r="X1014" i="1"/>
  <c r="Z1014" i="1" s="1"/>
  <c r="X1017" i="1"/>
  <c r="Z1017" i="1" s="1"/>
  <c r="X1020" i="1"/>
  <c r="Z1020" i="1" s="1"/>
  <c r="X1023" i="1"/>
  <c r="Z1023" i="1" s="1"/>
  <c r="X1026" i="1"/>
  <c r="Z1026" i="1" s="1"/>
  <c r="X1028" i="1"/>
  <c r="Z1028" i="1" s="1"/>
  <c r="X1030" i="1"/>
  <c r="Z1030" i="1" s="1"/>
  <c r="X1032" i="1"/>
  <c r="Z1032" i="1" s="1"/>
  <c r="X1033" i="1"/>
  <c r="Z1033" i="1" s="1"/>
  <c r="X1036" i="1"/>
  <c r="Z1036" i="1" s="1"/>
  <c r="X1039" i="1"/>
  <c r="Z1039" i="1" s="1"/>
  <c r="X1042" i="1"/>
  <c r="Z1042" i="1" s="1"/>
  <c r="X1044" i="1"/>
  <c r="Z1044" i="1" s="1"/>
  <c r="X1046" i="1"/>
  <c r="Z1046" i="1" s="1"/>
  <c r="X1048" i="1"/>
  <c r="Z1048" i="1" s="1"/>
  <c r="X1050" i="1"/>
  <c r="Z1050" i="1" s="1"/>
  <c r="X1052" i="1"/>
  <c r="Z1052" i="1" s="1"/>
  <c r="X1054" i="1"/>
  <c r="Z1054" i="1" s="1"/>
  <c r="X1056" i="1"/>
  <c r="Z1056" i="1" s="1"/>
  <c r="X1063" i="1"/>
  <c r="Z1063" i="1" s="1"/>
  <c r="X1068" i="1"/>
  <c r="Z1068" i="1" s="1"/>
  <c r="X1070" i="1"/>
  <c r="Z1070" i="1" s="1"/>
  <c r="X1074" i="1"/>
  <c r="Z1074" i="1" s="1"/>
  <c r="X1076" i="1"/>
  <c r="Z1076" i="1" s="1"/>
  <c r="X1077" i="1"/>
  <c r="Z1077" i="1" s="1"/>
  <c r="X1079" i="1"/>
  <c r="Z1079" i="1" s="1"/>
  <c r="X1081" i="1"/>
  <c r="Z1081" i="1" s="1"/>
  <c r="X1082" i="1"/>
  <c r="Z1082" i="1" s="1"/>
  <c r="X1084" i="1"/>
  <c r="Z1084" i="1" s="1"/>
  <c r="X1085" i="1"/>
  <c r="Z1085" i="1" s="1"/>
  <c r="X1087" i="1"/>
  <c r="Z1087" i="1" s="1"/>
  <c r="X1095" i="1"/>
  <c r="Z1095" i="1" s="1"/>
  <c r="X1100" i="1"/>
  <c r="X1104" i="1"/>
  <c r="X1111" i="1"/>
  <c r="Z1111" i="1" s="1"/>
  <c r="X1116" i="1"/>
  <c r="Z1116" i="1" s="1"/>
  <c r="X1121" i="1"/>
  <c r="Z1121" i="1" s="1"/>
  <c r="X1126" i="1"/>
  <c r="Z1126" i="1" s="1"/>
  <c r="X1134" i="1"/>
  <c r="Z1134" i="1" s="1"/>
  <c r="X1142" i="1"/>
  <c r="Z1142" i="1" s="1"/>
  <c r="X1183" i="1"/>
  <c r="Z1183" i="1" s="1"/>
  <c r="X1188" i="1"/>
  <c r="Z1188" i="1" s="1"/>
  <c r="X1215" i="1"/>
  <c r="Z1215" i="1" s="1"/>
  <c r="X1219" i="1"/>
  <c r="Z1219" i="1" s="1"/>
  <c r="X1223" i="1"/>
  <c r="Z1223" i="1" s="1"/>
  <c r="X1226" i="1"/>
  <c r="Z1226" i="1" s="1"/>
  <c r="X1241" i="1"/>
  <c r="Z1241" i="1" s="1"/>
  <c r="X1245" i="1"/>
  <c r="Z1245" i="1" s="1"/>
  <c r="X1249" i="1"/>
  <c r="Z1249" i="1" s="1"/>
  <c r="X1254" i="1"/>
  <c r="Z1254" i="1" s="1"/>
  <c r="X1259" i="1"/>
  <c r="Z1259" i="1" s="1"/>
  <c r="X1264" i="1"/>
  <c r="Z1264" i="1" s="1"/>
  <c r="X1269" i="1"/>
  <c r="Z1269" i="1" s="1"/>
  <c r="X1273" i="1"/>
  <c r="X43" i="1"/>
  <c r="Z43" i="1" s="1"/>
  <c r="X1289" i="1"/>
  <c r="Z1289" i="1" s="1"/>
  <c r="X1294" i="1"/>
  <c r="Z1294" i="1" s="1"/>
  <c r="X1298" i="1"/>
  <c r="Z1298" i="1" s="1"/>
  <c r="X1301" i="1"/>
  <c r="Z1301" i="1" s="1"/>
  <c r="X1428" i="1"/>
  <c r="X1433" i="1"/>
  <c r="Z1433" i="1" s="1"/>
  <c r="X1438" i="1"/>
  <c r="Z1438" i="1" s="1"/>
  <c r="X1442" i="1"/>
  <c r="Z1442" i="1" s="1"/>
  <c r="X1446" i="1"/>
  <c r="Z1446" i="1" s="1"/>
  <c r="X1450" i="1"/>
  <c r="X1454" i="1"/>
  <c r="X1459" i="1"/>
  <c r="X1463" i="1"/>
  <c r="Z1463" i="1" s="1"/>
  <c r="X1468" i="1"/>
  <c r="Z1468" i="1" s="1"/>
  <c r="X1473" i="1"/>
  <c r="Z1473" i="1" s="1"/>
  <c r="X1477" i="1"/>
  <c r="Z1477" i="1" s="1"/>
  <c r="X1481" i="1"/>
  <c r="Z1481" i="1" s="1"/>
  <c r="X1485" i="1"/>
  <c r="Z1485" i="1" s="1"/>
  <c r="X1489" i="1"/>
  <c r="Z1489" i="1" s="1"/>
  <c r="X1492" i="1"/>
  <c r="Z1492" i="1" s="1"/>
  <c r="X1508" i="1"/>
  <c r="Z1508" i="1" s="1"/>
  <c r="X2858" i="1"/>
  <c r="Z2858" i="1" s="1"/>
  <c r="X1519" i="1"/>
  <c r="Z1519" i="1" s="1"/>
  <c r="X1524" i="1"/>
  <c r="Z1524" i="1" s="1"/>
  <c r="X1527" i="1"/>
  <c r="Z1527" i="1" s="1"/>
  <c r="X1529" i="1"/>
  <c r="X1533" i="1"/>
  <c r="X1537" i="1"/>
  <c r="X1541" i="1"/>
  <c r="X1545" i="1"/>
  <c r="X1549" i="1"/>
  <c r="X1554" i="1"/>
  <c r="Z1554" i="1" s="1"/>
  <c r="X1559" i="1"/>
  <c r="Z1559" i="1" s="1"/>
  <c r="X1564" i="1"/>
  <c r="Z1564" i="1" s="1"/>
  <c r="X1570" i="1"/>
  <c r="Z1570" i="1" s="1"/>
  <c r="X1574" i="1"/>
  <c r="Z1574" i="1" s="1"/>
  <c r="X1578" i="1"/>
  <c r="Z1578" i="1" s="1"/>
  <c r="X1583" i="1"/>
  <c r="Z1583" i="1" s="1"/>
  <c r="X1587" i="1"/>
  <c r="Z1587" i="1" s="1"/>
  <c r="X1591" i="1"/>
  <c r="Z1591" i="1" s="1"/>
  <c r="X1594" i="1"/>
  <c r="Z1594" i="1" s="1"/>
  <c r="X1596" i="1"/>
  <c r="Z1596" i="1" s="1"/>
  <c r="X1599" i="1"/>
  <c r="Z1599" i="1" s="1"/>
  <c r="X1602" i="1"/>
  <c r="Z1602" i="1" s="1"/>
  <c r="X2603" i="1"/>
  <c r="X2607" i="1"/>
  <c r="X2611" i="1"/>
  <c r="X2615" i="1"/>
  <c r="Z2615" i="1" s="1"/>
  <c r="X2627" i="1"/>
  <c r="Z2627" i="1" s="1"/>
  <c r="X2620" i="1"/>
  <c r="X2622" i="1"/>
  <c r="X2625" i="1"/>
  <c r="X2630" i="1"/>
  <c r="X2632" i="1"/>
  <c r="X2636" i="1"/>
  <c r="X2640" i="1"/>
  <c r="X2644" i="1"/>
  <c r="X67" i="1"/>
  <c r="Z67" i="1" s="1"/>
  <c r="X841" i="1"/>
  <c r="X925" i="1"/>
  <c r="X929" i="1"/>
  <c r="X936" i="1"/>
  <c r="Z936" i="1" s="1"/>
  <c r="X36" i="1"/>
  <c r="Z36" i="1" s="1"/>
  <c r="X2149" i="1"/>
  <c r="Z2149" i="1" s="1"/>
  <c r="X2154" i="1"/>
  <c r="Z2154" i="1" s="1"/>
  <c r="X2158" i="1"/>
  <c r="Z2158" i="1" s="1"/>
  <c r="X2162" i="1"/>
  <c r="Z2162" i="1" s="1"/>
  <c r="X2166" i="1"/>
  <c r="Z2166" i="1" s="1"/>
  <c r="X2170" i="1"/>
  <c r="Z2170" i="1" s="1"/>
  <c r="X2175" i="1"/>
  <c r="Z2175" i="1" s="1"/>
  <c r="X2180" i="1"/>
  <c r="Z2180" i="1" s="1"/>
  <c r="X2184" i="1"/>
  <c r="Z2184" i="1" s="1"/>
  <c r="X2188" i="1"/>
  <c r="Z2188" i="1" s="1"/>
  <c r="X2192" i="1"/>
  <c r="Z2192" i="1" s="1"/>
  <c r="X2195" i="1"/>
  <c r="Z2195" i="1" s="1"/>
  <c r="X2198" i="1"/>
  <c r="Z2198" i="1" s="1"/>
  <c r="X2202" i="1"/>
  <c r="Z2202" i="1" s="1"/>
  <c r="X2206" i="1"/>
  <c r="Z2206" i="1" s="1"/>
  <c r="X2210" i="1"/>
  <c r="Z2210" i="1" s="1"/>
  <c r="X2213" i="1"/>
  <c r="Z2213" i="1" s="1"/>
  <c r="X2216" i="1"/>
  <c r="Z2216" i="1" s="1"/>
  <c r="X2222" i="1"/>
  <c r="Z2222" i="1" s="1"/>
  <c r="X2227" i="1"/>
  <c r="Z2227" i="1" s="1"/>
  <c r="X2231" i="1"/>
  <c r="Z2231" i="1" s="1"/>
  <c r="X2235" i="1"/>
  <c r="Z2235" i="1" s="1"/>
  <c r="X2239" i="1"/>
  <c r="Z2239" i="1" s="1"/>
  <c r="X2247" i="1"/>
  <c r="Z2247" i="1" s="1"/>
  <c r="X2258" i="1"/>
  <c r="Z2258" i="1" s="1"/>
  <c r="X2261" i="1"/>
  <c r="Z2261" i="1" s="1"/>
  <c r="X2264" i="1"/>
  <c r="Z2264" i="1" s="1"/>
  <c r="X2269" i="1"/>
  <c r="Z2269" i="1" s="1"/>
  <c r="X2272" i="1"/>
  <c r="Z2272" i="1" s="1"/>
  <c r="X2275" i="1"/>
  <c r="Z2275" i="1" s="1"/>
  <c r="X2285" i="1"/>
  <c r="Z2285" i="1" s="1"/>
  <c r="X2288" i="1"/>
  <c r="Z2288" i="1" s="1"/>
  <c r="X2291" i="1"/>
  <c r="Z2291" i="1" s="1"/>
  <c r="X2293" i="1"/>
  <c r="Z2293" i="1" s="1"/>
  <c r="X2295" i="1"/>
  <c r="Z2295" i="1" s="1"/>
  <c r="X2297" i="1"/>
  <c r="Z2297" i="1" s="1"/>
  <c r="X2299" i="1"/>
  <c r="Z2299" i="1" s="1"/>
  <c r="X2300" i="1"/>
  <c r="Z2300" i="1" s="1"/>
  <c r="X2302" i="1"/>
  <c r="Z2302" i="1" s="1"/>
  <c r="X2304" i="1"/>
  <c r="Z2304" i="1" s="1"/>
  <c r="X1724" i="1"/>
  <c r="Z1724" i="1" s="1"/>
  <c r="X1726" i="1"/>
  <c r="Z1726" i="1" s="1"/>
  <c r="X1729" i="1"/>
  <c r="Z1729" i="1" s="1"/>
  <c r="X1732" i="1"/>
  <c r="Z1732" i="1" s="1"/>
  <c r="X1734" i="1"/>
  <c r="Z1734" i="1" s="1"/>
  <c r="X1737" i="1"/>
  <c r="Z1737" i="1" s="1"/>
  <c r="X1741" i="1"/>
  <c r="Z1741" i="1" s="1"/>
  <c r="X1744" i="1"/>
  <c r="Z1744" i="1" s="1"/>
  <c r="X1747" i="1"/>
  <c r="Z1747" i="1" s="1"/>
  <c r="X1751" i="1"/>
  <c r="Z1751" i="1" s="1"/>
  <c r="X1754" i="1"/>
  <c r="Z1754" i="1" s="1"/>
  <c r="X1756" i="1"/>
  <c r="Z1756" i="1" s="1"/>
  <c r="X1758" i="1"/>
  <c r="Z1758" i="1" s="1"/>
  <c r="X1760" i="1"/>
  <c r="Z1760" i="1" s="1"/>
  <c r="X1763" i="1"/>
  <c r="Z1763" i="1" s="1"/>
  <c r="X1765" i="1"/>
  <c r="Z1765" i="1" s="1"/>
  <c r="X1768" i="1"/>
  <c r="Z1768" i="1" s="1"/>
  <c r="X1770" i="1"/>
  <c r="Z1770" i="1" s="1"/>
  <c r="X1775" i="1"/>
  <c r="Z1775" i="1" s="1"/>
  <c r="X1778" i="1"/>
  <c r="Z1778" i="1" s="1"/>
  <c r="X1781" i="1"/>
  <c r="Z1781" i="1" s="1"/>
  <c r="X1785" i="1"/>
  <c r="Z1785" i="1" s="1"/>
  <c r="X1789" i="1"/>
  <c r="Z1789" i="1" s="1"/>
  <c r="X1793" i="1"/>
  <c r="Z1793" i="1" s="1"/>
  <c r="X1797" i="1"/>
  <c r="Z1797" i="1" s="1"/>
  <c r="X1801" i="1"/>
  <c r="Z1801" i="1" s="1"/>
  <c r="X1805" i="1"/>
  <c r="Z1805" i="1" s="1"/>
  <c r="X1809" i="1"/>
  <c r="Z1809" i="1" s="1"/>
  <c r="X1812" i="1"/>
  <c r="Z1812" i="1" s="1"/>
  <c r="X1814" i="1"/>
  <c r="Z1814" i="1" s="1"/>
  <c r="X1815" i="1"/>
  <c r="Z1815" i="1" s="1"/>
  <c r="X1817" i="1"/>
  <c r="Z1817" i="1" s="1"/>
  <c r="X1822" i="1"/>
  <c r="Z1822" i="1" s="1"/>
  <c r="X1825" i="1"/>
  <c r="Z1825" i="1" s="1"/>
  <c r="X1828" i="1"/>
  <c r="Z1828" i="1" s="1"/>
  <c r="X1843" i="1"/>
  <c r="Z1843" i="1" s="1"/>
  <c r="X1847" i="1"/>
  <c r="Z1847" i="1" s="1"/>
  <c r="X2336" i="1"/>
  <c r="Z2336" i="1" s="1"/>
  <c r="X2339" i="1"/>
  <c r="Z2339" i="1" s="1"/>
  <c r="X2343" i="1"/>
  <c r="Z2343" i="1" s="1"/>
  <c r="X2347" i="1"/>
  <c r="Z2347" i="1" s="1"/>
  <c r="X2352" i="1"/>
  <c r="Z2352" i="1" s="1"/>
  <c r="X2355" i="1"/>
  <c r="Z2355" i="1" s="1"/>
  <c r="X2359" i="1"/>
  <c r="Z2359" i="1" s="1"/>
  <c r="X2363" i="1"/>
  <c r="Z2363" i="1" s="1"/>
  <c r="X2368" i="1"/>
  <c r="Z2368" i="1" s="1"/>
  <c r="X2373" i="1"/>
  <c r="X2377" i="1"/>
  <c r="X2381" i="1"/>
  <c r="X2389" i="1"/>
  <c r="X2404" i="1"/>
  <c r="Z2404" i="1" s="1"/>
  <c r="X2449" i="1"/>
  <c r="Z2449" i="1" s="1"/>
  <c r="X2454" i="1"/>
  <c r="Z2454" i="1" s="1"/>
  <c r="X2459" i="1"/>
  <c r="X2464" i="1"/>
  <c r="X2467" i="1"/>
  <c r="X2472" i="1"/>
  <c r="X2475" i="1"/>
  <c r="X2480" i="1"/>
  <c r="X2484" i="1"/>
  <c r="X2488" i="1"/>
  <c r="Z2488" i="1" s="1"/>
  <c r="X2492" i="1"/>
  <c r="X2496" i="1"/>
  <c r="X2499" i="1"/>
  <c r="X2502" i="1"/>
  <c r="Z2502" i="1" s="1"/>
  <c r="X2504" i="1"/>
  <c r="X2508" i="1"/>
  <c r="Z2508" i="1" s="1"/>
  <c r="X2511" i="1"/>
  <c r="Z2511" i="1" s="1"/>
  <c r="X2516" i="1"/>
  <c r="Z2516" i="1" s="1"/>
  <c r="X2532" i="1"/>
  <c r="Z2532" i="1" s="1"/>
  <c r="X314" i="1"/>
  <c r="Z314" i="1" s="1"/>
  <c r="X304" i="1"/>
  <c r="Z304" i="1" s="1"/>
  <c r="X307" i="1"/>
  <c r="X1902" i="1"/>
  <c r="Z1902" i="1" s="1"/>
  <c r="X1905" i="1"/>
  <c r="Z1905" i="1" s="1"/>
  <c r="X1907" i="1"/>
  <c r="Z1907" i="1" s="1"/>
  <c r="X1909" i="1"/>
  <c r="Z1909" i="1" s="1"/>
  <c r="X1911" i="1"/>
  <c r="Z1911" i="1" s="1"/>
  <c r="X1914" i="1"/>
  <c r="Z1914" i="1" s="1"/>
  <c r="X1918" i="1"/>
  <c r="Z1918" i="1" s="1"/>
  <c r="X1922" i="1"/>
  <c r="Z1922" i="1" s="1"/>
  <c r="X1924" i="1"/>
  <c r="Z1924" i="1" s="1"/>
  <c r="X1927" i="1"/>
  <c r="Z1927" i="1" s="1"/>
  <c r="X1930" i="1"/>
  <c r="Z1930" i="1" s="1"/>
  <c r="X1932" i="1"/>
  <c r="Z1932" i="1" s="1"/>
  <c r="X1935" i="1"/>
  <c r="Z1935" i="1" s="1"/>
  <c r="X1940" i="1"/>
  <c r="Z1940" i="1" s="1"/>
  <c r="X1945" i="1"/>
  <c r="Z1945" i="1" s="1"/>
  <c r="X1948" i="1"/>
  <c r="Z1948" i="1" s="1"/>
  <c r="X1952" i="1"/>
  <c r="Z1952" i="1" s="1"/>
  <c r="X1955" i="1"/>
  <c r="Z1955" i="1" s="1"/>
  <c r="X1959" i="1"/>
  <c r="Z1959" i="1" s="1"/>
  <c r="X1962" i="1"/>
  <c r="Z1962" i="1" s="1"/>
  <c r="X1966" i="1"/>
  <c r="Z1966" i="1" s="1"/>
  <c r="X1971" i="1"/>
  <c r="Z1971" i="1" s="1"/>
  <c r="X1974" i="1"/>
  <c r="Z1974" i="1" s="1"/>
  <c r="X1978" i="1"/>
  <c r="Z1978" i="1" s="1"/>
  <c r="X1982" i="1"/>
  <c r="Z1982" i="1" s="1"/>
  <c r="X1986" i="1"/>
  <c r="Z1986" i="1" s="1"/>
  <c r="X1990" i="1"/>
  <c r="Z1990" i="1" s="1"/>
  <c r="X1994" i="1"/>
  <c r="Z1994" i="1" s="1"/>
  <c r="X2000" i="1"/>
  <c r="Z2000" i="1" s="1"/>
  <c r="X2004" i="1"/>
  <c r="Z2004" i="1" s="1"/>
  <c r="X2007" i="1"/>
  <c r="Z2007" i="1" s="1"/>
  <c r="X2010" i="1"/>
  <c r="Z2010" i="1" s="1"/>
  <c r="X2012" i="1"/>
  <c r="Z2012" i="1" s="1"/>
  <c r="X2014" i="1"/>
  <c r="Z2014" i="1" s="1"/>
  <c r="X2016" i="1"/>
  <c r="Z2016" i="1" s="1"/>
  <c r="X2017" i="1"/>
  <c r="Z2017" i="1" s="1"/>
  <c r="X2019" i="1"/>
  <c r="Z2019" i="1" s="1"/>
  <c r="X2020" i="1"/>
  <c r="Z2020" i="1" s="1"/>
  <c r="X2022" i="1"/>
  <c r="Z2022" i="1" s="1"/>
  <c r="X2024" i="1"/>
  <c r="Z2024" i="1" s="1"/>
  <c r="X2025" i="1"/>
  <c r="Z2025" i="1" s="1"/>
  <c r="X2026" i="1"/>
  <c r="Z2026" i="1" s="1"/>
  <c r="X2027" i="1"/>
  <c r="Z2027" i="1" s="1"/>
  <c r="X2028" i="1"/>
  <c r="Z2028" i="1" s="1"/>
  <c r="X2029" i="1"/>
  <c r="Z2029" i="1" s="1"/>
  <c r="X2031" i="1"/>
  <c r="Z2031" i="1" s="1"/>
  <c r="X2033" i="1"/>
  <c r="Z2033" i="1" s="1"/>
  <c r="X2035" i="1"/>
  <c r="Z2035" i="1" s="1"/>
  <c r="X2036" i="1"/>
  <c r="Z2036" i="1" s="1"/>
  <c r="X2038" i="1"/>
  <c r="Z2038" i="1" s="1"/>
  <c r="X2039" i="1"/>
  <c r="Z2039" i="1" s="1"/>
  <c r="X2041" i="1"/>
  <c r="Z2041" i="1" s="1"/>
  <c r="X2044" i="1"/>
  <c r="Z2044" i="1" s="1"/>
  <c r="X2046" i="1"/>
  <c r="Z2046" i="1" s="1"/>
  <c r="X2048" i="1"/>
  <c r="Z2048" i="1" s="1"/>
  <c r="X2050" i="1"/>
  <c r="Z2050" i="1" s="1"/>
  <c r="X2052" i="1"/>
  <c r="Z2052" i="1" s="1"/>
  <c r="X2054" i="1"/>
  <c r="Z2054" i="1" s="1"/>
  <c r="X2057" i="1"/>
  <c r="Z2057" i="1" s="1"/>
  <c r="X2060" i="1"/>
  <c r="Z2060" i="1" s="1"/>
  <c r="X2063" i="1"/>
  <c r="Z2063" i="1" s="1"/>
  <c r="X2066" i="1"/>
  <c r="Z2066" i="1" s="1"/>
  <c r="X2068" i="1"/>
  <c r="Z2068" i="1" s="1"/>
  <c r="X2069" i="1"/>
  <c r="Z2069" i="1" s="1"/>
  <c r="X2070" i="1"/>
  <c r="Z2070" i="1" s="1"/>
  <c r="X2072" i="1"/>
  <c r="Z2072" i="1" s="1"/>
  <c r="X2074" i="1"/>
  <c r="Z2074" i="1" s="1"/>
  <c r="X2076" i="1"/>
  <c r="Z2076" i="1" s="1"/>
  <c r="X2078" i="1"/>
  <c r="Z2078" i="1" s="1"/>
  <c r="X2079" i="1"/>
  <c r="Z2079" i="1" s="1"/>
  <c r="X2081" i="1"/>
  <c r="Z2081" i="1" s="1"/>
  <c r="X2083" i="1"/>
  <c r="Z2083" i="1" s="1"/>
  <c r="X2085" i="1"/>
  <c r="Z2085" i="1" s="1"/>
  <c r="X2087" i="1"/>
  <c r="Z2087" i="1" s="1"/>
  <c r="X2089" i="1"/>
  <c r="Z2089" i="1" s="1"/>
  <c r="X2091" i="1"/>
  <c r="Z2091" i="1" s="1"/>
  <c r="X2093" i="1"/>
  <c r="Z2093" i="1" s="1"/>
  <c r="X2095" i="1"/>
  <c r="Z2095" i="1" s="1"/>
  <c r="X2097" i="1"/>
  <c r="Z2097" i="1" s="1"/>
  <c r="X2099" i="1"/>
  <c r="Z2099" i="1" s="1"/>
  <c r="X2101" i="1"/>
  <c r="Z2101" i="1" s="1"/>
  <c r="X2103" i="1"/>
  <c r="Z2103" i="1" s="1"/>
  <c r="X2105" i="1"/>
  <c r="Z2105" i="1" s="1"/>
  <c r="X2107" i="1"/>
  <c r="Z2107" i="1" s="1"/>
  <c r="X2109" i="1"/>
  <c r="X2110" i="1"/>
  <c r="Z2110" i="1" s="1"/>
  <c r="X2111" i="1"/>
  <c r="Z2111" i="1" s="1"/>
  <c r="X2112" i="1"/>
  <c r="Z2112" i="1" s="1"/>
  <c r="X2113" i="1"/>
  <c r="Z2113" i="1" s="1"/>
  <c r="X2114" i="1"/>
  <c r="Z2114" i="1" s="1"/>
  <c r="X2115" i="1"/>
  <c r="Z2115" i="1" s="1"/>
  <c r="X2116" i="1"/>
  <c r="Z2116" i="1" s="1"/>
  <c r="X2117" i="1"/>
  <c r="Z2117" i="1" s="1"/>
  <c r="X2118" i="1"/>
  <c r="Z2118" i="1" s="1"/>
  <c r="X2119" i="1"/>
  <c r="Z2119" i="1" s="1"/>
  <c r="X2120" i="1"/>
  <c r="Z2120" i="1" s="1"/>
  <c r="X2121" i="1"/>
  <c r="Z2121" i="1" s="1"/>
  <c r="X2122" i="1"/>
  <c r="Z2122" i="1" s="1"/>
  <c r="X2123" i="1"/>
  <c r="Z2123" i="1" s="1"/>
  <c r="X2124" i="1"/>
  <c r="Z2124" i="1" s="1"/>
  <c r="X2125" i="1"/>
  <c r="Z2125" i="1" s="1"/>
  <c r="X354" i="1" l="1"/>
  <c r="Z354" i="1" s="1"/>
  <c r="X365" i="1"/>
  <c r="Z365" i="1" s="1"/>
  <c r="X349" i="1"/>
  <c r="Z349" i="1" s="1"/>
  <c r="X361" i="1"/>
  <c r="Z361" i="1" s="1"/>
  <c r="X376" i="1"/>
  <c r="Z376" i="1" s="1"/>
  <c r="X115" i="1"/>
  <c r="Z115" i="1" s="1"/>
  <c r="X110" i="1"/>
  <c r="Z110" i="1" s="1"/>
  <c r="X105" i="1"/>
  <c r="Z105" i="1" s="1"/>
  <c r="X100" i="1"/>
  <c r="Z100" i="1" s="1"/>
  <c r="X95" i="1"/>
  <c r="Z95" i="1" s="1"/>
  <c r="X90" i="1"/>
  <c r="Z90" i="1" s="1"/>
  <c r="X85" i="1"/>
  <c r="Z85" i="1" s="1"/>
  <c r="X82" i="1"/>
  <c r="Z82" i="1" s="1"/>
  <c r="X78" i="1"/>
  <c r="Z78" i="1" s="1"/>
  <c r="X541" i="1"/>
  <c r="Z541" i="1" s="1"/>
  <c r="X539" i="1"/>
  <c r="X537" i="1"/>
  <c r="X303" i="1"/>
  <c r="Z303" i="1" s="1"/>
  <c r="X302" i="1"/>
  <c r="Z302" i="1" s="1"/>
  <c r="X585" i="1"/>
  <c r="Z585" i="1" s="1"/>
  <c r="X584" i="1"/>
  <c r="Z584" i="1" s="1"/>
  <c r="X2148" i="1"/>
  <c r="Z2148" i="1" s="1"/>
  <c r="X2143" i="1"/>
  <c r="Z2143" i="1" s="1"/>
  <c r="X2139" i="1"/>
  <c r="Z2139" i="1" s="1"/>
  <c r="X2864" i="1"/>
  <c r="Z2864" i="1" s="1"/>
  <c r="X533" i="1"/>
  <c r="Z533" i="1" s="1"/>
  <c r="X531" i="1"/>
  <c r="Z531" i="1" s="1"/>
  <c r="X529" i="1"/>
  <c r="Z529" i="1" s="1"/>
  <c r="X527" i="1"/>
  <c r="Z527" i="1" s="1"/>
  <c r="X525" i="1"/>
  <c r="Z525" i="1" s="1"/>
  <c r="X523" i="1"/>
  <c r="Z523" i="1" s="1"/>
  <c r="X522" i="1"/>
  <c r="Z522" i="1" s="1"/>
  <c r="X521" i="1"/>
  <c r="Z521" i="1" s="1"/>
  <c r="X520" i="1"/>
  <c r="Z520" i="1" s="1"/>
  <c r="X519" i="1"/>
  <c r="Z519" i="1" s="1"/>
  <c r="X518" i="1"/>
  <c r="Z518" i="1" s="1"/>
  <c r="X516" i="1"/>
  <c r="Z516" i="1" s="1"/>
  <c r="X514" i="1"/>
  <c r="Z514" i="1" s="1"/>
  <c r="X512" i="1"/>
  <c r="Z512" i="1" s="1"/>
  <c r="X510" i="1"/>
  <c r="Z510" i="1" s="1"/>
  <c r="X508" i="1"/>
  <c r="Z508" i="1" s="1"/>
  <c r="X507" i="1"/>
  <c r="Z507" i="1" s="1"/>
  <c r="X505" i="1"/>
  <c r="Z505" i="1" s="1"/>
  <c r="X502" i="1"/>
  <c r="Z502" i="1" s="1"/>
  <c r="X500" i="1"/>
  <c r="Z500" i="1" s="1"/>
  <c r="X498" i="1"/>
  <c r="Z498" i="1" s="1"/>
  <c r="X496" i="1"/>
  <c r="Z496" i="1" s="1"/>
  <c r="X494" i="1"/>
  <c r="Z494" i="1" s="1"/>
  <c r="X492" i="1"/>
  <c r="Z492" i="1" s="1"/>
  <c r="X489" i="1"/>
  <c r="Z489" i="1" s="1"/>
  <c r="X486" i="1"/>
  <c r="Z486" i="1" s="1"/>
  <c r="X483" i="1"/>
  <c r="Z483" i="1" s="1"/>
  <c r="X480" i="1"/>
  <c r="Z480" i="1" s="1"/>
  <c r="X478" i="1"/>
  <c r="Z478" i="1" s="1"/>
  <c r="X476" i="1"/>
  <c r="Z476" i="1" s="1"/>
  <c r="X474" i="1"/>
  <c r="Z474" i="1" s="1"/>
  <c r="X471" i="1"/>
  <c r="Z471" i="1" s="1"/>
  <c r="X468" i="1"/>
  <c r="Z468" i="1" s="1"/>
  <c r="X465" i="1"/>
  <c r="Z465" i="1" s="1"/>
  <c r="X463" i="1"/>
  <c r="Z463" i="1" s="1"/>
  <c r="X460" i="1"/>
  <c r="Z460" i="1" s="1"/>
  <c r="X458" i="1"/>
  <c r="Z458" i="1" s="1"/>
  <c r="X456" i="1"/>
  <c r="Z456" i="1" s="1"/>
  <c r="X452" i="1"/>
  <c r="Z452" i="1" s="1"/>
  <c r="X449" i="1"/>
  <c r="Z449" i="1" s="1"/>
  <c r="X446" i="1"/>
  <c r="Z446" i="1" s="1"/>
  <c r="X443" i="1"/>
  <c r="Z443" i="1" s="1"/>
  <c r="X440" i="1"/>
  <c r="Z440" i="1" s="1"/>
  <c r="X437" i="1"/>
  <c r="Z437" i="1" s="1"/>
  <c r="X433" i="1"/>
  <c r="Z433" i="1" s="1"/>
  <c r="X429" i="1"/>
  <c r="Z429" i="1" s="1"/>
  <c r="X425" i="1"/>
  <c r="Z425" i="1" s="1"/>
  <c r="X421" i="1"/>
  <c r="Z421" i="1" s="1"/>
  <c r="X418" i="1"/>
  <c r="Z418" i="1" s="1"/>
  <c r="X416" i="1"/>
  <c r="Z416" i="1" s="1"/>
  <c r="X381" i="1"/>
  <c r="Z381" i="1" s="1"/>
  <c r="X374" i="1"/>
  <c r="Z374" i="1" s="1"/>
  <c r="X367" i="1"/>
  <c r="Z367" i="1" s="1"/>
  <c r="X358" i="1"/>
  <c r="Z358" i="1" s="1"/>
  <c r="X351" i="1"/>
  <c r="Z351" i="1" s="1"/>
  <c r="X342" i="1"/>
  <c r="Z342" i="1" s="1"/>
  <c r="X126" i="1"/>
  <c r="Z126" i="1" s="1"/>
  <c r="X121" i="1"/>
  <c r="Z121" i="1" s="1"/>
  <c r="X117" i="1"/>
  <c r="Z117" i="1" s="1"/>
  <c r="X112" i="1"/>
  <c r="Z112" i="1" s="1"/>
  <c r="X107" i="1"/>
  <c r="Z107" i="1" s="1"/>
  <c r="X102" i="1"/>
  <c r="Z102" i="1" s="1"/>
  <c r="X97" i="1"/>
  <c r="Z97" i="1" s="1"/>
  <c r="X92" i="1"/>
  <c r="Z92" i="1" s="1"/>
  <c r="X87" i="1"/>
  <c r="Z87" i="1" s="1"/>
  <c r="X83" i="1"/>
  <c r="Z83" i="1" s="1"/>
  <c r="X80" i="1"/>
  <c r="Z80" i="1" s="1"/>
  <c r="X76" i="1"/>
  <c r="Z76" i="1" s="1"/>
  <c r="X73" i="1"/>
  <c r="Z73" i="1" s="1"/>
  <c r="X64" i="1"/>
  <c r="Z64" i="1" s="1"/>
  <c r="X2610" i="1"/>
  <c r="Z2610" i="1" s="1"/>
  <c r="X582" i="1"/>
  <c r="Z582" i="1" s="1"/>
  <c r="X579" i="1"/>
  <c r="Z579" i="1" s="1"/>
  <c r="X578" i="1"/>
  <c r="Z578" i="1" s="1"/>
  <c r="X577" i="1"/>
  <c r="Z577" i="1" s="1"/>
  <c r="X576" i="1"/>
  <c r="Z576" i="1" s="1"/>
  <c r="X573" i="1"/>
  <c r="Z573" i="1" s="1"/>
  <c r="X572" i="1"/>
  <c r="Z572" i="1" s="1"/>
  <c r="X571" i="1"/>
  <c r="Z571" i="1" s="1"/>
  <c r="X562" i="1"/>
  <c r="Z562" i="1" s="1"/>
  <c r="X560" i="1"/>
  <c r="Z560" i="1" s="1"/>
  <c r="X559" i="1"/>
  <c r="Z559" i="1" s="1"/>
  <c r="X558" i="1"/>
  <c r="Z558" i="1" s="1"/>
  <c r="X557" i="1"/>
  <c r="Z557" i="1" s="1"/>
  <c r="X556" i="1"/>
  <c r="Z556" i="1" s="1"/>
  <c r="X555" i="1"/>
  <c r="Z555" i="1" s="1"/>
  <c r="X554" i="1"/>
  <c r="Z554" i="1" s="1"/>
  <c r="X553" i="1"/>
  <c r="Z553" i="1" s="1"/>
  <c r="X552" i="1"/>
  <c r="Z552" i="1" s="1"/>
  <c r="X550" i="1"/>
  <c r="Z550" i="1" s="1"/>
  <c r="X549" i="1"/>
  <c r="Z549" i="1" s="1"/>
  <c r="X548" i="1"/>
  <c r="Z548" i="1" s="1"/>
  <c r="X547" i="1"/>
  <c r="Z547" i="1" s="1"/>
  <c r="X546" i="1"/>
  <c r="Z546" i="1" s="1"/>
  <c r="X544" i="1"/>
  <c r="Z544" i="1" s="1"/>
  <c r="X542" i="1"/>
  <c r="Z542" i="1" s="1"/>
  <c r="X543" i="1"/>
  <c r="Z543" i="1" s="1"/>
  <c r="X540" i="1"/>
  <c r="Z540" i="1" s="1"/>
  <c r="X462" i="1"/>
  <c r="Z462" i="1" s="1"/>
  <c r="X454" i="1"/>
  <c r="Z454" i="1" s="1"/>
  <c r="X536" i="1"/>
  <c r="Z536" i="1" s="1"/>
  <c r="X491" i="1"/>
  <c r="Z491" i="1" s="1"/>
  <c r="X488" i="1"/>
  <c r="Z488" i="1" s="1"/>
  <c r="X485" i="1"/>
  <c r="Z485" i="1" s="1"/>
  <c r="X290" i="1"/>
  <c r="Z290" i="1" s="1"/>
  <c r="X288" i="1"/>
  <c r="Z288" i="1" s="1"/>
  <c r="X284" i="1"/>
  <c r="Z284" i="1" s="1"/>
  <c r="X482" i="1"/>
  <c r="Z482" i="1" s="1"/>
  <c r="X279" i="1"/>
  <c r="X275" i="1"/>
  <c r="Z275" i="1" s="1"/>
  <c r="X273" i="1"/>
  <c r="Z273" i="1" s="1"/>
  <c r="X271" i="1"/>
  <c r="Z271" i="1" s="1"/>
  <c r="X2618" i="1"/>
  <c r="Z2618" i="1" s="1"/>
  <c r="X2601" i="1"/>
  <c r="Z2601" i="1" s="1"/>
  <c r="X583" i="1"/>
  <c r="Z583" i="1" s="1"/>
  <c r="X581" i="1"/>
  <c r="Z581" i="1" s="1"/>
  <c r="X580" i="1"/>
  <c r="Z580" i="1" s="1"/>
  <c r="X575" i="1"/>
  <c r="Z575" i="1" s="1"/>
  <c r="X574" i="1"/>
  <c r="Z574" i="1" s="1"/>
  <c r="X551" i="1"/>
  <c r="Z551" i="1" s="1"/>
  <c r="X545" i="1"/>
  <c r="Z545" i="1" s="1"/>
  <c r="X538" i="1"/>
  <c r="Z538" i="1" s="1"/>
  <c r="X535" i="1"/>
  <c r="Z535" i="1" s="1"/>
  <c r="X534" i="1"/>
  <c r="Z534" i="1" s="1"/>
  <c r="X524" i="1"/>
  <c r="Z524" i="1" s="1"/>
  <c r="X504" i="1"/>
  <c r="Z504" i="1" s="1"/>
  <c r="X473" i="1"/>
  <c r="Z473" i="1" s="1"/>
  <c r="X470" i="1"/>
  <c r="Z470" i="1" s="1"/>
  <c r="X467" i="1"/>
  <c r="Z467" i="1" s="1"/>
  <c r="X442" i="1"/>
  <c r="Z442" i="1" s="1"/>
  <c r="X439" i="1"/>
  <c r="Z439" i="1" s="1"/>
  <c r="X435" i="1"/>
  <c r="Z435" i="1" s="1"/>
  <c r="X431" i="1"/>
  <c r="Z431" i="1" s="1"/>
  <c r="X427" i="1"/>
  <c r="Z427" i="1" s="1"/>
  <c r="X423" i="1"/>
  <c r="Z423" i="1" s="1"/>
  <c r="X21" i="1"/>
  <c r="Z21" i="1" s="1"/>
  <c r="X404" i="1"/>
  <c r="Z404" i="1" s="1"/>
  <c r="X397" i="1"/>
  <c r="Z397" i="1" s="1"/>
  <c r="X390" i="1"/>
  <c r="Z390" i="1" s="1"/>
  <c r="X386" i="1"/>
  <c r="Z386" i="1" s="1"/>
  <c r="X371" i="1"/>
  <c r="Z371" i="1" s="1"/>
  <c r="X364" i="1"/>
  <c r="Z364" i="1" s="1"/>
  <c r="X360" i="1"/>
  <c r="Z360" i="1" s="1"/>
  <c r="X353" i="1"/>
  <c r="Z353" i="1" s="1"/>
  <c r="X348" i="1"/>
  <c r="X344" i="1"/>
  <c r="X339" i="1"/>
  <c r="Z339" i="1" s="1"/>
  <c r="X335" i="1"/>
  <c r="Z335" i="1" s="1"/>
  <c r="X294" i="1"/>
  <c r="Z294" i="1" s="1"/>
  <c r="X2503" i="1"/>
  <c r="Z2503" i="1" s="1"/>
  <c r="X2500" i="1"/>
  <c r="Z2500" i="1" s="1"/>
  <c r="X2498" i="1"/>
  <c r="Z2498" i="1" s="1"/>
  <c r="X2494" i="1"/>
  <c r="Z2494" i="1" s="1"/>
  <c r="X2490" i="1"/>
  <c r="Z2490" i="1" s="1"/>
  <c r="X2486" i="1"/>
  <c r="Z2486" i="1" s="1"/>
  <c r="X2482" i="1"/>
  <c r="X2477" i="1"/>
  <c r="X2473" i="1"/>
  <c r="Z2473" i="1" s="1"/>
  <c r="X2469" i="1"/>
  <c r="X2465" i="1"/>
  <c r="X2461" i="1"/>
  <c r="X2456" i="1"/>
  <c r="X2451" i="1"/>
  <c r="X2445" i="1"/>
  <c r="Z2445" i="1" s="1"/>
  <c r="X2437" i="1"/>
  <c r="Z2437" i="1" s="1"/>
  <c r="X2434" i="1"/>
  <c r="X2431" i="1"/>
  <c r="X2428" i="1"/>
  <c r="X2424" i="1"/>
  <c r="Z2424" i="1" s="1"/>
  <c r="X2421" i="1"/>
  <c r="Z2421" i="1" s="1"/>
  <c r="X2417" i="1"/>
  <c r="Z2417" i="1" s="1"/>
  <c r="X2413" i="1"/>
  <c r="X2409" i="1"/>
  <c r="X2405" i="1"/>
  <c r="X2401" i="1"/>
  <c r="X2398" i="1"/>
  <c r="X2395" i="1"/>
  <c r="X2391" i="1"/>
  <c r="X2386" i="1"/>
  <c r="X2383" i="1"/>
  <c r="X2379" i="1"/>
  <c r="X2375" i="1"/>
  <c r="X2370" i="1"/>
  <c r="X2365" i="1"/>
  <c r="X2361" i="1"/>
  <c r="X2357" i="1"/>
  <c r="Z2357" i="1" s="1"/>
  <c r="X2349" i="1"/>
  <c r="Z2349" i="1" s="1"/>
  <c r="X2333" i="1"/>
  <c r="Z2333" i="1" s="1"/>
  <c r="X2289" i="1"/>
  <c r="Z2289" i="1" s="1"/>
  <c r="X2276" i="1"/>
  <c r="Z2276" i="1" s="1"/>
  <c r="X2273" i="1"/>
  <c r="Z2273" i="1" s="1"/>
  <c r="X2270" i="1"/>
  <c r="Z2270" i="1" s="1"/>
  <c r="X2265" i="1"/>
  <c r="X2262" i="1"/>
  <c r="X2259" i="1"/>
  <c r="X2252" i="1"/>
  <c r="Z2252" i="1" s="1"/>
  <c r="X2248" i="1"/>
  <c r="Z2248" i="1" s="1"/>
  <c r="X2244" i="1"/>
  <c r="Z2244" i="1" s="1"/>
  <c r="X2853" i="1"/>
  <c r="Z2853" i="1" s="1"/>
  <c r="X2236" i="1"/>
  <c r="Z2236" i="1" s="1"/>
  <c r="X2232" i="1"/>
  <c r="Z2232" i="1" s="1"/>
  <c r="X2228" i="1"/>
  <c r="Z2228" i="1" s="1"/>
  <c r="X2224" i="1"/>
  <c r="Z2224" i="1" s="1"/>
  <c r="X2172" i="1"/>
  <c r="Z2172" i="1" s="1"/>
  <c r="X2168" i="1"/>
  <c r="Z2168" i="1" s="1"/>
  <c r="X2159" i="1"/>
  <c r="Z2159" i="1" s="1"/>
  <c r="X2155" i="1"/>
  <c r="Z2155" i="1" s="1"/>
  <c r="X2151" i="1"/>
  <c r="X2145" i="1"/>
  <c r="Z2145" i="1" s="1"/>
  <c r="X2136" i="1"/>
  <c r="Z2136" i="1" s="1"/>
  <c r="X2013" i="1"/>
  <c r="Z2013" i="1" s="1"/>
  <c r="X2011" i="1"/>
  <c r="Z2011" i="1" s="1"/>
  <c r="X2008" i="1"/>
  <c r="Z2008" i="1" s="1"/>
  <c r="X2005" i="1"/>
  <c r="Z2005" i="1" s="1"/>
  <c r="X2002" i="1"/>
  <c r="Z2002" i="1" s="1"/>
  <c r="X1999" i="1"/>
  <c r="Z1999" i="1" s="1"/>
  <c r="X1996" i="1"/>
  <c r="Z1996" i="1" s="1"/>
  <c r="X1992" i="1"/>
  <c r="Z1992" i="1" s="1"/>
  <c r="X1988" i="1"/>
  <c r="Z1988" i="1" s="1"/>
  <c r="X1984" i="1"/>
  <c r="Z1984" i="1" s="1"/>
  <c r="X1980" i="1"/>
  <c r="Z1980" i="1" s="1"/>
  <c r="X1976" i="1"/>
  <c r="Z1976" i="1" s="1"/>
  <c r="X1972" i="1"/>
  <c r="Z1972" i="1" s="1"/>
  <c r="X1968" i="1"/>
  <c r="Z1968" i="1" s="1"/>
  <c r="X1964" i="1"/>
  <c r="Z1964" i="1" s="1"/>
  <c r="X1960" i="1"/>
  <c r="Z1960" i="1" s="1"/>
  <c r="X1957" i="1"/>
  <c r="Z1957" i="1" s="1"/>
  <c r="X1950" i="1"/>
  <c r="Z1950" i="1" s="1"/>
  <c r="X2856" i="1"/>
  <c r="Z2856" i="1" s="1"/>
  <c r="X1937" i="1"/>
  <c r="Z1937" i="1" s="1"/>
  <c r="X1920" i="1"/>
  <c r="X1916" i="1"/>
  <c r="Z1916" i="1" s="1"/>
  <c r="X1913" i="1"/>
  <c r="Z1913" i="1" s="1"/>
  <c r="X1901" i="1"/>
  <c r="X1772" i="1"/>
  <c r="Z1772" i="1" s="1"/>
  <c r="X1761" i="1"/>
  <c r="Z1761" i="1" s="1"/>
  <c r="X1759" i="1"/>
  <c r="Z1759" i="1" s="1"/>
  <c r="X1749" i="1"/>
  <c r="Z1749" i="1" s="1"/>
  <c r="X51" i="1"/>
  <c r="Z51" i="1" s="1"/>
  <c r="X1677" i="1"/>
  <c r="Z1677" i="1" s="1"/>
  <c r="X1672" i="1"/>
  <c r="Z1672" i="1" s="1"/>
  <c r="X49" i="1"/>
  <c r="Z49" i="1" s="1"/>
  <c r="X1669" i="1"/>
  <c r="Z1669" i="1" s="1"/>
  <c r="X1667" i="1"/>
  <c r="Z1667" i="1" s="1"/>
  <c r="X1665" i="1"/>
  <c r="Z1665" i="1" s="1"/>
  <c r="X1663" i="1"/>
  <c r="Z1663" i="1" s="1"/>
  <c r="X1661" i="1"/>
  <c r="Z1661" i="1" s="1"/>
  <c r="X1658" i="1"/>
  <c r="Z1658" i="1" s="1"/>
  <c r="X1656" i="1"/>
  <c r="Z1656" i="1" s="1"/>
  <c r="X1654" i="1"/>
  <c r="Z1654" i="1" s="1"/>
  <c r="X1652" i="1"/>
  <c r="Z1652" i="1" s="1"/>
  <c r="X1651" i="1"/>
  <c r="Z1651" i="1" s="1"/>
  <c r="X1649" i="1"/>
  <c r="Z1649" i="1" s="1"/>
  <c r="X1647" i="1"/>
  <c r="Z1647" i="1" s="1"/>
  <c r="X1645" i="1"/>
  <c r="Z1645" i="1" s="1"/>
  <c r="X1643" i="1"/>
  <c r="Z1643" i="1" s="1"/>
  <c r="X1642" i="1"/>
  <c r="Z1642" i="1" s="1"/>
  <c r="X1640" i="1"/>
  <c r="Z1640" i="1" s="1"/>
  <c r="X1636" i="1"/>
  <c r="Z1636" i="1" s="1"/>
  <c r="X1635" i="1"/>
  <c r="Z1635" i="1" s="1"/>
  <c r="X1633" i="1"/>
  <c r="Z1633" i="1" s="1"/>
  <c r="X1630" i="1"/>
  <c r="Z1630" i="1" s="1"/>
  <c r="X1598" i="1"/>
  <c r="Z1598" i="1" s="1"/>
  <c r="X1595" i="1"/>
  <c r="Z1595" i="1" s="1"/>
  <c r="X1592" i="1"/>
  <c r="Z1592" i="1" s="1"/>
  <c r="X1588" i="1"/>
  <c r="Z1588" i="1" s="1"/>
  <c r="X1584" i="1"/>
  <c r="Z1584" i="1" s="1"/>
  <c r="X1580" i="1"/>
  <c r="Z1580" i="1" s="1"/>
  <c r="X1575" i="1"/>
  <c r="X1566" i="1"/>
  <c r="Z1566" i="1" s="1"/>
  <c r="X1561" i="1"/>
  <c r="Z1561" i="1" s="1"/>
  <c r="X1556" i="1"/>
  <c r="X1551" i="1"/>
  <c r="Z1551" i="1" s="1"/>
  <c r="X1546" i="1"/>
  <c r="X1542" i="1"/>
  <c r="X1534" i="1"/>
  <c r="Z1534" i="1" s="1"/>
  <c r="X1531" i="1"/>
  <c r="Z1531" i="1" s="1"/>
  <c r="X1526" i="1"/>
  <c r="Z1526" i="1" s="1"/>
  <c r="X1521" i="1"/>
  <c r="Z1521" i="1" s="1"/>
  <c r="X1516" i="1"/>
  <c r="Z1516" i="1" s="1"/>
  <c r="X1513" i="1"/>
  <c r="Z1513" i="1" s="1"/>
  <c r="X1510" i="1"/>
  <c r="Z1510" i="1" s="1"/>
  <c r="X1506" i="1"/>
  <c r="Z1506" i="1" s="1"/>
  <c r="X1501" i="1"/>
  <c r="Z1501" i="1" s="1"/>
  <c r="X1498" i="1"/>
  <c r="Z1498" i="1" s="1"/>
  <c r="X1496" i="1"/>
  <c r="Z1496" i="1" s="1"/>
  <c r="X1494" i="1"/>
  <c r="Z1494" i="1" s="1"/>
  <c r="X1491" i="1"/>
  <c r="Z1491" i="1" s="1"/>
  <c r="X1487" i="1"/>
  <c r="Z1487" i="1" s="1"/>
  <c r="X1483" i="1"/>
  <c r="Z1483" i="1" s="1"/>
  <c r="X1479" i="1"/>
  <c r="Z1479" i="1" s="1"/>
  <c r="X1475" i="1"/>
  <c r="Z1475" i="1" s="1"/>
  <c r="X1470" i="1"/>
  <c r="Z1470" i="1" s="1"/>
  <c r="X1465" i="1"/>
  <c r="Z1465" i="1" s="1"/>
  <c r="X1461" i="1"/>
  <c r="Z1461" i="1" s="1"/>
  <c r="X1456" i="1"/>
  <c r="Z1456" i="1" s="1"/>
  <c r="X1452" i="1"/>
  <c r="Z1452" i="1" s="1"/>
  <c r="X1448" i="1"/>
  <c r="Z1448" i="1" s="1"/>
  <c r="X1444" i="1"/>
  <c r="Z1444" i="1" s="1"/>
  <c r="X1440" i="1"/>
  <c r="Z1440" i="1" s="1"/>
  <c r="X1435" i="1"/>
  <c r="Z1435" i="1" s="1"/>
  <c r="X1430" i="1"/>
  <c r="Z1430" i="1" s="1"/>
  <c r="X1425" i="1"/>
  <c r="Z1425" i="1" s="1"/>
  <c r="X1422" i="1"/>
  <c r="Z1422" i="1" s="1"/>
  <c r="X1418" i="1"/>
  <c r="Z1418" i="1" s="1"/>
  <c r="X784" i="1"/>
  <c r="Z784" i="1" s="1"/>
  <c r="X782" i="1"/>
  <c r="Z782" i="1" s="1"/>
  <c r="X780" i="1"/>
  <c r="Z780" i="1" s="1"/>
  <c r="X778" i="1"/>
  <c r="Z778" i="1" s="1"/>
  <c r="X776" i="1"/>
  <c r="Z776" i="1" s="1"/>
  <c r="X775" i="1"/>
  <c r="Z775" i="1" s="1"/>
  <c r="X772" i="1"/>
  <c r="Z772" i="1" s="1"/>
  <c r="X769" i="1"/>
  <c r="Z769" i="1" s="1"/>
  <c r="X766" i="1"/>
  <c r="Z766" i="1" s="1"/>
  <c r="X763" i="1"/>
  <c r="Z763" i="1" s="1"/>
  <c r="X760" i="1"/>
  <c r="Z760" i="1" s="1"/>
  <c r="X756" i="1"/>
  <c r="Z756" i="1" s="1"/>
  <c r="X741" i="1"/>
  <c r="Z741" i="1" s="1"/>
  <c r="X738" i="1"/>
  <c r="Z738" i="1" s="1"/>
  <c r="X737" i="1"/>
  <c r="Z737" i="1" s="1"/>
  <c r="X736" i="1"/>
  <c r="Z736" i="1" s="1"/>
  <c r="X734" i="1"/>
  <c r="Z734" i="1" s="1"/>
  <c r="X733" i="1"/>
  <c r="Z733" i="1" s="1"/>
  <c r="X2842" i="1"/>
  <c r="Z2842" i="1" s="1"/>
  <c r="X2841" i="1"/>
  <c r="Z2841" i="1" s="1"/>
  <c r="X2840" i="1"/>
  <c r="Z2840" i="1" s="1"/>
  <c r="X716" i="1"/>
  <c r="Z716" i="1" s="1"/>
  <c r="X713" i="1"/>
  <c r="Z713" i="1" s="1"/>
  <c r="X710" i="1"/>
  <c r="Z710" i="1" s="1"/>
  <c r="X707" i="1"/>
  <c r="Z707" i="1" s="1"/>
  <c r="X702" i="1"/>
  <c r="X699" i="1"/>
  <c r="Z699" i="1" s="1"/>
  <c r="X696" i="1"/>
  <c r="Z696" i="1" s="1"/>
  <c r="X692" i="1"/>
  <c r="Z692" i="1" s="1"/>
  <c r="X691" i="1"/>
  <c r="Z691" i="1" s="1"/>
  <c r="X688" i="1"/>
  <c r="Z688" i="1" s="1"/>
  <c r="X685" i="1"/>
  <c r="Z685" i="1" s="1"/>
  <c r="X683" i="1"/>
  <c r="Z683" i="1" s="1"/>
  <c r="X681" i="1"/>
  <c r="Z681" i="1" s="1"/>
  <c r="X678" i="1"/>
  <c r="Z678" i="1" s="1"/>
  <c r="X676" i="1"/>
  <c r="Z676" i="1" s="1"/>
  <c r="X674" i="1"/>
  <c r="Z674" i="1" s="1"/>
  <c r="X671" i="1"/>
  <c r="Z671" i="1" s="1"/>
  <c r="X668" i="1"/>
  <c r="Z668" i="1" s="1"/>
  <c r="X665" i="1"/>
  <c r="Z665" i="1" s="1"/>
  <c r="X661" i="1"/>
  <c r="X658" i="1"/>
  <c r="X655" i="1"/>
  <c r="Z655" i="1" s="1"/>
  <c r="X652" i="1"/>
  <c r="Z652" i="1" s="1"/>
  <c r="X650" i="1"/>
  <c r="Z650" i="1" s="1"/>
  <c r="X648" i="1"/>
  <c r="Z648" i="1" s="1"/>
  <c r="X647" i="1"/>
  <c r="Z647" i="1" s="1"/>
  <c r="X645" i="1"/>
  <c r="Z645" i="1" s="1"/>
  <c r="X641" i="1"/>
  <c r="Z641" i="1" s="1"/>
  <c r="X637" i="1"/>
  <c r="Z637" i="1" s="1"/>
  <c r="X632" i="1"/>
  <c r="Z632" i="1" s="1"/>
  <c r="X629" i="1"/>
  <c r="Z629" i="1" s="1"/>
  <c r="X625" i="1"/>
  <c r="Z625" i="1" s="1"/>
  <c r="X621" i="1"/>
  <c r="Z621" i="1" s="1"/>
  <c r="X618" i="1"/>
  <c r="Z618" i="1" s="1"/>
  <c r="X615" i="1"/>
  <c r="Z615" i="1" s="1"/>
  <c r="X611" i="1"/>
  <c r="X607" i="1"/>
  <c r="Z607" i="1" s="1"/>
  <c r="X603" i="1"/>
  <c r="Z603" i="1" s="1"/>
  <c r="X600" i="1"/>
  <c r="Z600" i="1" s="1"/>
  <c r="X595" i="1"/>
  <c r="Z595" i="1" s="1"/>
  <c r="X592" i="1"/>
  <c r="Z592" i="1" s="1"/>
  <c r="X1291" i="1"/>
  <c r="Z1291" i="1" s="1"/>
  <c r="X1286" i="1"/>
  <c r="Z1286" i="1" s="1"/>
  <c r="X1279" i="1"/>
  <c r="Z1279" i="1" s="1"/>
  <c r="X1275" i="1"/>
  <c r="Z1275" i="1" s="1"/>
  <c r="X1266" i="1"/>
  <c r="Z1266" i="1" s="1"/>
  <c r="X1261" i="1"/>
  <c r="Z1261" i="1" s="1"/>
  <c r="X1256" i="1"/>
  <c r="Z1256" i="1" s="1"/>
  <c r="X1251" i="1"/>
  <c r="Z1251" i="1" s="1"/>
  <c r="X1246" i="1"/>
  <c r="Z1246" i="1" s="1"/>
  <c r="X1242" i="1"/>
  <c r="Z1242" i="1" s="1"/>
  <c r="X1238" i="1"/>
  <c r="Z1238" i="1" s="1"/>
  <c r="X1235" i="1"/>
  <c r="Z1235" i="1" s="1"/>
  <c r="X1231" i="1"/>
  <c r="Z1231" i="1" s="1"/>
  <c r="X1228" i="1"/>
  <c r="Z1228" i="1" s="1"/>
  <c r="X1224" i="1"/>
  <c r="Z1224" i="1" s="1"/>
  <c r="X1221" i="1"/>
  <c r="Z1221" i="1" s="1"/>
  <c r="X1217" i="1"/>
  <c r="Z1217" i="1" s="1"/>
  <c r="X1213" i="1"/>
  <c r="Z1213" i="1" s="1"/>
  <c r="X1209" i="1"/>
  <c r="Z1209" i="1" s="1"/>
  <c r="X1201" i="1"/>
  <c r="Z1201" i="1" s="1"/>
  <c r="X1197" i="1"/>
  <c r="Z1197" i="1" s="1"/>
  <c r="X1194" i="1"/>
  <c r="Z1194" i="1" s="1"/>
  <c r="X1190" i="1"/>
  <c r="Z1190" i="1" s="1"/>
  <c r="X1185" i="1"/>
  <c r="Z1185" i="1" s="1"/>
  <c r="X1180" i="1"/>
  <c r="Z1180" i="1" s="1"/>
  <c r="X1176" i="1"/>
  <c r="Z1176" i="1" s="1"/>
  <c r="X1172" i="1"/>
  <c r="Z1172" i="1" s="1"/>
  <c r="X1168" i="1"/>
  <c r="Z1168" i="1" s="1"/>
  <c r="X1163" i="1"/>
  <c r="Z1163" i="1" s="1"/>
  <c r="X1160" i="1"/>
  <c r="Z1160" i="1" s="1"/>
  <c r="X1156" i="1"/>
  <c r="Z1156" i="1" s="1"/>
  <c r="X1152" i="1"/>
  <c r="Z1152" i="1" s="1"/>
  <c r="X1148" i="1"/>
  <c r="Z1148" i="1" s="1"/>
  <c r="X1144" i="1"/>
  <c r="Z1144" i="1" s="1"/>
  <c r="X1140" i="1"/>
  <c r="Z1140" i="1" s="1"/>
  <c r="X1136" i="1"/>
  <c r="Z1136" i="1" s="1"/>
  <c r="X1131" i="1"/>
  <c r="Z1131" i="1" s="1"/>
  <c r="X1127" i="1"/>
  <c r="Z1127" i="1" s="1"/>
  <c r="X1123" i="1"/>
  <c r="Z1123" i="1" s="1"/>
  <c r="X1118" i="1"/>
  <c r="Z1118" i="1" s="1"/>
  <c r="X1113" i="1"/>
  <c r="Z1113" i="1" s="1"/>
  <c r="X1109" i="1"/>
  <c r="Z1109" i="1" s="1"/>
  <c r="X1105" i="1"/>
  <c r="Z1105" i="1" s="1"/>
  <c r="X1101" i="1"/>
  <c r="Z1101" i="1" s="1"/>
  <c r="X1097" i="1"/>
  <c r="Z1097" i="1" s="1"/>
  <c r="X871" i="1"/>
  <c r="Z871" i="1" s="1"/>
  <c r="X866" i="1"/>
  <c r="Z866" i="1" s="1"/>
  <c r="X862" i="1"/>
  <c r="Z862" i="1" s="1"/>
  <c r="X857" i="1"/>
  <c r="Z857" i="1" s="1"/>
  <c r="X852" i="1"/>
  <c r="Z852" i="1" s="1"/>
  <c r="X848" i="1"/>
  <c r="Z848" i="1" s="1"/>
  <c r="X844" i="1"/>
  <c r="Z844" i="1" s="1"/>
  <c r="X840" i="1"/>
  <c r="Z840" i="1" s="1"/>
  <c r="X835" i="1"/>
  <c r="Z835" i="1" s="1"/>
  <c r="X876" i="1"/>
  <c r="Z876" i="1" s="1"/>
  <c r="X830" i="1"/>
  <c r="Z830" i="1" s="1"/>
  <c r="X825" i="1"/>
  <c r="Z825" i="1" s="1"/>
  <c r="X816" i="1"/>
  <c r="Z816" i="1" s="1"/>
  <c r="X811" i="1"/>
  <c r="Z811" i="1" s="1"/>
  <c r="X802" i="1"/>
  <c r="X267" i="1"/>
  <c r="Z267" i="1" s="1"/>
  <c r="X228" i="1"/>
  <c r="Z228" i="1" s="1"/>
  <c r="X225" i="1"/>
  <c r="Z225" i="1" s="1"/>
  <c r="X222" i="1"/>
  <c r="Z222" i="1" s="1"/>
  <c r="X220" i="1"/>
  <c r="Z220" i="1" s="1"/>
  <c r="X266" i="1"/>
  <c r="Z266" i="1" s="1"/>
  <c r="X265" i="1"/>
  <c r="Z265" i="1" s="1"/>
  <c r="X263" i="1"/>
  <c r="Z263" i="1" s="1"/>
  <c r="X260" i="1"/>
  <c r="Z260" i="1" s="1"/>
  <c r="X257" i="1"/>
  <c r="Z257" i="1" s="1"/>
  <c r="X254" i="1"/>
  <c r="Z254" i="1" s="1"/>
  <c r="X251" i="1"/>
  <c r="Z251" i="1" s="1"/>
  <c r="X249" i="1"/>
  <c r="Z249" i="1" s="1"/>
  <c r="X246" i="1"/>
  <c r="Z246" i="1" s="1"/>
  <c r="X244" i="1"/>
  <c r="Z244" i="1" s="1"/>
  <c r="X242" i="1"/>
  <c r="Z242" i="1" s="1"/>
  <c r="X240" i="1"/>
  <c r="Z240" i="1" s="1"/>
  <c r="X237" i="1"/>
  <c r="Z237" i="1" s="1"/>
  <c r="X232" i="1"/>
  <c r="Z232" i="1" s="1"/>
  <c r="X216" i="1"/>
  <c r="Z216" i="1" s="1"/>
  <c r="X213" i="1"/>
  <c r="Z213" i="1" s="1"/>
  <c r="X210" i="1"/>
  <c r="Z210" i="1" s="1"/>
  <c r="X207" i="1"/>
  <c r="Z207" i="1" s="1"/>
  <c r="X191" i="1"/>
  <c r="Z191" i="1" s="1"/>
  <c r="X188" i="1"/>
  <c r="Z188" i="1" s="1"/>
  <c r="X184" i="1"/>
  <c r="Z184" i="1" s="1"/>
  <c r="X182" i="1"/>
  <c r="Z182" i="1" s="1"/>
  <c r="X179" i="1"/>
  <c r="Z179" i="1" s="1"/>
  <c r="X176" i="1"/>
  <c r="Z176" i="1" s="1"/>
  <c r="X172" i="1"/>
  <c r="Z172" i="1" s="1"/>
  <c r="X169" i="1"/>
  <c r="Z169" i="1" s="1"/>
  <c r="X164" i="1"/>
  <c r="Z164" i="1" s="1"/>
  <c r="X156" i="1"/>
  <c r="Z156" i="1" s="1"/>
  <c r="X154" i="1"/>
  <c r="Z154" i="1" s="1"/>
  <c r="X152" i="1"/>
  <c r="Z152" i="1" s="1"/>
  <c r="X149" i="1"/>
  <c r="Z149" i="1" s="1"/>
  <c r="X145" i="1"/>
  <c r="Z145" i="1" s="1"/>
  <c r="X141" i="1"/>
  <c r="Z141" i="1" s="1"/>
  <c r="X137" i="1"/>
  <c r="Z137" i="1" s="1"/>
  <c r="X134" i="1"/>
  <c r="Z134" i="1" s="1"/>
  <c r="X131" i="1"/>
  <c r="Z131" i="1" s="1"/>
  <c r="X128" i="1"/>
  <c r="Z128" i="1" s="1"/>
  <c r="X123" i="1"/>
  <c r="Z123" i="1" s="1"/>
  <c r="X118" i="1"/>
  <c r="Z118" i="1" s="1"/>
  <c r="X114" i="1"/>
  <c r="Z114" i="1" s="1"/>
  <c r="X109" i="1"/>
  <c r="Z109" i="1" s="1"/>
  <c r="X104" i="1"/>
  <c r="Z104" i="1" s="1"/>
  <c r="X99" i="1"/>
  <c r="Z99" i="1" s="1"/>
  <c r="X94" i="1"/>
  <c r="Z94" i="1" s="1"/>
  <c r="X89" i="1"/>
  <c r="Z89" i="1" s="1"/>
  <c r="X79" i="1"/>
  <c r="Z79" i="1" s="1"/>
  <c r="X77" i="1"/>
  <c r="Z7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0D708146-AC5F-44A9-8AAF-03D14F1E611E}">
      <text>
        <r>
          <rPr>
            <sz val="9"/>
            <color indexed="81"/>
            <rFont val="Segoe UI"/>
            <family val="2"/>
          </rPr>
          <t xml:space="preserve">Sequência numérica acompanhada do código que identifica a obra.
</t>
        </r>
      </text>
    </comment>
    <comment ref="B1" authorId="0" shapeId="0" xr:uid="{FC9A1CC4-35E5-4FD6-934F-60E43594C224}">
      <text>
        <r>
          <rPr>
            <sz val="9"/>
            <color indexed="81"/>
            <rFont val="Segoe UI"/>
            <family val="2"/>
          </rPr>
          <t>Selecione na lista suspensa em cada célula o status da ilustração.</t>
        </r>
      </text>
    </comment>
    <comment ref="C1" authorId="0" shapeId="0" xr:uid="{7A935536-BEE9-41DB-81D5-93689D137ED0}">
      <text>
        <r>
          <rPr>
            <sz val="9"/>
            <color indexed="81"/>
            <rFont val="Segoe UI"/>
            <family val="2"/>
          </rPr>
          <t>Selecione na lista suspensa em cada célula o status da ilustração.</t>
        </r>
      </text>
    </comment>
    <comment ref="D1" authorId="0" shapeId="0" xr:uid="{3BF5B982-AE6A-49B4-BCC3-B687FB8ED3DB}">
      <text>
        <r>
          <rPr>
            <sz val="9"/>
            <color indexed="81"/>
            <rFont val="Segoe UI"/>
            <family val="2"/>
          </rPr>
          <t>Selecione na lista suspensa em cada célula o status da ilustração.</t>
        </r>
      </text>
    </comment>
    <comment ref="E1" authorId="0" shapeId="0" xr:uid="{6BE8EDD5-EC21-4AD1-B345-B454B9C3537E}">
      <text>
        <r>
          <rPr>
            <sz val="9"/>
            <color indexed="81"/>
            <rFont val="Segoe UI"/>
            <family val="2"/>
          </rPr>
          <t>Preencher estes campos com números 
de páginas.</t>
        </r>
      </text>
    </comment>
    <comment ref="F1" authorId="0" shapeId="0" xr:uid="{F599E60F-2068-4017-A95D-E954EFC1F7BA}">
      <text>
        <r>
          <rPr>
            <sz val="9"/>
            <color indexed="81"/>
            <rFont val="Segoe UI"/>
            <family val="2"/>
          </rPr>
          <t>Preencher estes campos com números 
de páginas.</t>
        </r>
      </text>
    </comment>
    <comment ref="G1" authorId="0" shapeId="0" xr:uid="{2928EA7E-E139-4219-90CA-049BE2ECCAFE}">
      <text>
        <r>
          <rPr>
            <sz val="9"/>
            <color indexed="81"/>
            <rFont val="Segoe UI"/>
            <family val="2"/>
          </rPr>
          <t>Preencher este campo com o número do capítulo ou nome da seção.</t>
        </r>
      </text>
    </comment>
    <comment ref="H1" authorId="0" shapeId="0" xr:uid="{4DC05ADD-7287-4EA7-AA8E-468208F5010F}">
      <text>
        <r>
          <rPr>
            <sz val="9"/>
            <color indexed="81"/>
            <rFont val="Segoe UI"/>
            <family val="2"/>
          </rPr>
          <t xml:space="preserve">Preencher estes campos com números do capítulos ou os nomes padronizados das seções.
</t>
        </r>
      </text>
    </comment>
    <comment ref="I1" authorId="0" shapeId="0" xr:uid="{256E817A-942E-453B-9CBE-806CD081428B}">
      <text>
        <r>
          <rPr>
            <sz val="9"/>
            <color indexed="81"/>
            <rFont val="Segoe UI"/>
            <family val="2"/>
          </rPr>
          <t xml:space="preserve">Preencher estes campos com números do capítulos ou os nomes padronizados das seções.
</t>
        </r>
      </text>
    </comment>
    <comment ref="J1" authorId="0" shapeId="0" xr:uid="{04CDC9D6-9F9B-4ABF-8644-EE0800151C6B}">
      <text>
        <r>
          <rPr>
            <sz val="9"/>
            <color indexed="81"/>
            <rFont val="Segoe UI"/>
            <family val="2"/>
          </rPr>
          <t xml:space="preserve">Se o tipo de imagem escolhida for RESGATE ou AJUSTE, coloque aqui o nome da obra de origem.
</t>
        </r>
      </text>
    </comment>
    <comment ref="K1" authorId="0" shapeId="0" xr:uid="{45612A5D-D964-4CB5-A7AA-0E162B963047}">
      <text>
        <r>
          <rPr>
            <sz val="9"/>
            <color indexed="81"/>
            <rFont val="Segoe UI"/>
            <family val="2"/>
          </rPr>
          <t xml:space="preserve">Se o tipo de imagem escolhida for RESGATE ou AJUSTE, coloque aqui apenas o número da página da obra de origem.
</t>
        </r>
      </text>
    </comment>
    <comment ref="L1" authorId="0" shapeId="0" xr:uid="{1ED55DBE-EFED-4BC4-87B2-0D29B3D57CE4}">
      <text>
        <r>
          <rPr>
            <sz val="9"/>
            <color indexed="81"/>
            <rFont val="Segoe UI"/>
            <family val="2"/>
          </rPr>
          <t>Se o tipo de imagem escolhida for RESGATE ou AJUSTE, coloque aqui apenas o número do volume da obra de origem.</t>
        </r>
      </text>
    </comment>
    <comment ref="M1" authorId="0" shapeId="0" xr:uid="{2FEB2965-C355-449D-943F-E6D1BDC42C88}">
      <text>
        <r>
          <rPr>
            <sz val="9"/>
            <color indexed="81"/>
            <rFont val="Segoe UI"/>
            <family val="2"/>
          </rPr>
          <t xml:space="preserve">
Se o tipo de imagem escolhida for RESGATE ou AJUSTE, coloque aqui apenas o número do volume da obra de origem.</t>
        </r>
      </text>
    </comment>
    <comment ref="N1" authorId="0" shapeId="0" xr:uid="{AE8A3559-CE90-4C73-BE31-C62D866D08C3}">
      <text>
        <r>
          <rPr>
            <sz val="9"/>
            <color indexed="81"/>
            <rFont val="Segoe UI"/>
            <family val="2"/>
          </rPr>
          <t>Qual editora possui o direito de uso da ilustração.</t>
        </r>
      </text>
    </comment>
    <comment ref="O1" authorId="0" shapeId="0" xr:uid="{F09DF4D7-C5DF-4B1F-A852-5CAC106A24A2}">
      <text>
        <r>
          <rPr>
            <sz val="9"/>
            <color indexed="81"/>
            <rFont val="Segoe UI"/>
            <family val="2"/>
          </rPr>
          <t xml:space="preserve">Descrição da imagem detalhada de acordo com a edição.
</t>
        </r>
      </text>
    </comment>
    <comment ref="P1" authorId="0" shapeId="0" xr:uid="{2A319FEA-3F1D-4A2F-8C4C-5C2ADDCB46C6}">
      <text>
        <r>
          <rPr>
            <sz val="9"/>
            <color indexed="81"/>
            <rFont val="Segoe UI"/>
            <family val="2"/>
          </rPr>
          <t>Anotações gerais/adicionais da equipe/núcleo sobre a produção da imagem.</t>
        </r>
      </text>
    </comment>
    <comment ref="Q1" authorId="0" shapeId="0" xr:uid="{1568BDDC-E62A-4AA6-A0F4-BF5F7F6809FA}">
      <text>
        <r>
          <rPr>
            <sz val="9"/>
            <color indexed="81"/>
            <rFont val="Segoe UI"/>
            <family val="2"/>
          </rPr>
          <t xml:space="preserve">Número do lote de acordo com a data de liberação para arte.
</t>
        </r>
      </text>
    </comment>
    <comment ref="R1" authorId="0" shapeId="0" xr:uid="{D4FED14C-2B2C-4599-9F9B-1DCFC0BA7A6B}">
      <text>
        <r>
          <rPr>
            <sz val="9"/>
            <color indexed="81"/>
            <rFont val="Segoe UI"/>
            <family val="2"/>
          </rPr>
          <t xml:space="preserve">Data que o lote foi liberado para edição de arte.
</t>
        </r>
      </text>
    </comment>
    <comment ref="S1" authorId="0" shapeId="0" xr:uid="{3329FB5E-B4E6-48C2-8D60-44A092FFFB12}">
      <text>
        <r>
          <rPr>
            <sz val="9"/>
            <color indexed="81"/>
            <rFont val="Segoe UI"/>
            <family val="2"/>
          </rPr>
          <t>Data de envio da edição de arte para o ilustrador.</t>
        </r>
      </text>
    </comment>
    <comment ref="T1" authorId="0" shapeId="0" xr:uid="{4C29D3C3-1CED-4409-B624-03F904146C14}">
      <text>
        <r>
          <rPr>
            <sz val="9"/>
            <color indexed="81"/>
            <rFont val="Segoe UI"/>
            <family val="2"/>
          </rPr>
          <t xml:space="preserve">Data de recebimento 
do rafe do ilustrador.
</t>
        </r>
      </text>
    </comment>
    <comment ref="U1" authorId="0" shapeId="0" xr:uid="{65CB0C53-4C29-40F5-B69D-D78C7E2DB8B9}">
      <text>
        <r>
          <rPr>
            <sz val="9"/>
            <color indexed="81"/>
            <rFont val="Segoe UI"/>
            <family val="2"/>
          </rPr>
          <t xml:space="preserve">Data de envio para finalizar a ilustração.
</t>
        </r>
      </text>
    </comment>
    <comment ref="V1" authorId="0" shapeId="0" xr:uid="{A49C9AB6-1836-440F-90CA-C4A5C4DD2CBC}">
      <text>
        <r>
          <rPr>
            <sz val="9"/>
            <color indexed="81"/>
            <rFont val="Segoe UI"/>
            <family val="2"/>
          </rPr>
          <t>Data de retorno da ilustração finalizada pelo ilustrador.</t>
        </r>
      </text>
    </comment>
    <comment ref="W1" authorId="0" shapeId="0" xr:uid="{56352DED-2BC6-4AAA-AD46-4F4F052AFF74}">
      <text>
        <r>
          <rPr>
            <sz val="9"/>
            <color indexed="81"/>
            <rFont val="Segoe UI"/>
            <family val="2"/>
          </rPr>
          <t>Data de retorno da ilustração finalizada pelo ilustrador.</t>
        </r>
      </text>
    </comment>
    <comment ref="X1" authorId="0" shapeId="0" xr:uid="{7751AF1E-FB91-4046-B7D0-0DE33A28935F}">
      <text>
        <r>
          <rPr>
            <sz val="9"/>
            <color indexed="81"/>
            <rFont val="Segoe UI"/>
            <family val="2"/>
          </rPr>
          <t>Nome do ilustrador que produziu ou produzirá a ilustração ou o nome do criador da ilustração do padrão.
Coluna bloqueada para edição manual.</t>
        </r>
      </text>
    </comment>
    <comment ref="Y1" authorId="0" shapeId="0" xr:uid="{73174976-587F-4CF1-BBA5-3685D2E6A0E0}">
      <text>
        <r>
          <rPr>
            <sz val="9"/>
            <color indexed="81"/>
            <rFont val="Segoe UI"/>
            <family val="2"/>
          </rPr>
          <t>Nome de quem ajustou ou coloriu a ilustração.</t>
        </r>
      </text>
    </comment>
    <comment ref="Z1" authorId="0" shapeId="0" xr:uid="{254B5E88-C179-4022-B9F3-312DEB7E7A8E}">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DD322DBB-FECF-4CD9-B06D-83771D660538}">
      <text>
        <r>
          <rPr>
            <sz val="9"/>
            <color indexed="81"/>
            <rFont val="Segoe UI"/>
            <family val="2"/>
          </rPr>
          <t xml:space="preserve">Selecione na lista suspensa em cada célula a classificação da ilustração.
</t>
        </r>
      </text>
    </comment>
    <comment ref="AB1" authorId="0" shapeId="0" xr:uid="{0FA6ECAA-F422-431B-8E46-B1CA0BECE42A}">
      <text>
        <r>
          <rPr>
            <sz val="9"/>
            <color indexed="81"/>
            <rFont val="Segoe UI"/>
            <family val="2"/>
          </rPr>
          <t>Anotações gerais/adicionais do designer sobre a produção da imagem.</t>
        </r>
      </text>
    </comment>
    <comment ref="AC1" authorId="0" shapeId="0" xr:uid="{2143A7DA-2644-4CFE-B295-900B6C560409}">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<sst xmlns="http://schemas.openxmlformats.org/spreadsheetml/2006/main" count="25361" uniqueCount="6934">
  <si>
    <t>NOME DA OBRA
 PARA RESGATE</t>
  </si>
  <si>
    <t>PÁGINA PARA RESGATE</t>
  </si>
  <si>
    <t>VOLUME PARA RESGATE</t>
  </si>
  <si>
    <t>VERSÃO PARA RESGATE</t>
  </si>
  <si>
    <t>PROPRIEDADE</t>
  </si>
  <si>
    <t>i0103_1p011m_g27_e001</t>
  </si>
  <si>
    <t>EXCLUIDA</t>
  </si>
  <si>
    <t>ILUSTRAÇÃO</t>
  </si>
  <si>
    <t>MIOLO</t>
  </si>
  <si>
    <t>RESGATE</t>
  </si>
  <si>
    <t>Resgatar ilustração da bela adormecida junto com o principe em um quarto e uma bruxa na janela, em g23_mdn_lt_1npm_p010a020_u1, página 13, conforme referência. Código antigo: i0221za_1pmm_g19_mdn</t>
  </si>
  <si>
    <t>Excluída pela equipe.</t>
  </si>
  <si>
    <t>za</t>
  </si>
  <si>
    <t>Bruna Campos</t>
  </si>
  <si>
    <t>PREVISAO</t>
  </si>
  <si>
    <t>i0104_1p011m_g27_e001</t>
  </si>
  <si>
    <t>APLICADA</t>
  </si>
  <si>
    <t>Resgatar ilustração de um quarto cheio de brinquedos espalhados, em g23_mdn_lt_1npm_p010a020_u1, página 13, conforme referência. Código antigo: i0323za_1pmm_g19_mdn</t>
  </si>
  <si>
    <t>i0107_1p011m_g27_e001</t>
  </si>
  <si>
    <t>Resgatar ilustração de 5 crianças em fila e uma professora na frente da filha, em g23_mdn_lt_1npm_p010a020_u1, página 15, conforme referência. Código antigo: i0226sh_1pmm_g19_mdn</t>
  </si>
  <si>
    <t>sh</t>
  </si>
  <si>
    <t>i0108_1p011m_g27_e001</t>
  </si>
  <si>
    <t>Resgatar ilustração uma menina regando flores e outra dentro de uma casa, na janela, em g23_mdn_lt_1npm_p010a020_u1, página 15, conforme referência. Código antigo: i0227sh_1pmm_g19_mdn</t>
  </si>
  <si>
    <t>i0109_1p011m_g27_e001</t>
  </si>
  <si>
    <t>Resgatar ilustração de um adulto tirando foto de 4 crianças, na janela, em g23_mdn_lt_1npm_p010a020_u1, página 16, conforme referência. Código antigo: i0219za_1npm_g23_mdn_aj</t>
  </si>
  <si>
    <t>i0110_1p011m_g27_e001</t>
  </si>
  <si>
    <t>Resgatar ilustração de um lápis desenhando o cortorno de um pé direito sobre um papel, em g23_mdn_lt_1npm_p010a020_u1, página 17, conforme referência. Código antigo: i0216_1npm_g23_mdn_re</t>
  </si>
  <si>
    <t>i0111_1p011m_g27_e001</t>
  </si>
  <si>
    <t>Resgatar ilustração de duas crianças seguindo uma trilha com pegadas em g23_mdn_lt_1npm_p010a020_u1, página 17, conforme referência. Código antigo: i0217_1npm_g23_mdn_re</t>
  </si>
  <si>
    <t>i0112_1p011m_g27_e001</t>
  </si>
  <si>
    <t>Resgatar ilustração de uma sala de aula, em g23_mdn_lt_1npm_p010a020_u1, página 18, conforme referência. Código antigo: i0315so_1pmm_g19_mdn</t>
  </si>
  <si>
    <t>so</t>
  </si>
  <si>
    <t>i0113_1p011m_g27_e001</t>
  </si>
  <si>
    <t>AJUSTE</t>
  </si>
  <si>
    <t>Resgatar e ajustar ilustração de dois bombeiros apagando um fogo, em g23_mdn_lt_1npm_p010a020_u1, página 19, conforme referência. Código antigo: i0202za_1npm_g23_mdn_a
AJUSTE: ajustar ilustração fechando o grid para que não sangre conforme solicitado na leitura prévia da Arte.</t>
  </si>
  <si>
    <t>Excluída pela editora.</t>
  </si>
  <si>
    <t>FINALIZADO</t>
  </si>
  <si>
    <t>i0114_1p011m_g27_e001</t>
  </si>
  <si>
    <t>Resgatar ilustração de uma girafa e uma zebra, em g23_mdn_lt_1npm_p010a020_u1, página 20, conforme referência. Código antigo: i0202za_1pmm_g19_mdn</t>
  </si>
  <si>
    <t>i0115_1p011m_g27_e001</t>
  </si>
  <si>
    <t>Resgatar e ajustar ilustração duas crianças com cata-ventos, em g23_mdn_lt_1npm_p010a020_u1, página 20, conforme referência. Código antigo: i0203za_1pmm_g19_mdn
AJUSTE: aumentar ligeiramente o tamanho dos cata-ventos para assegurar ao estudante espaço suficiente para colorir (deixar todos os cata-ventos do mesmo tamanho). Além disso, inserir um cordão de pessoas com TEA no menino ruivo, da direita.</t>
  </si>
  <si>
    <t>resgate com ajuste</t>
  </si>
  <si>
    <t>i0116_1p011m_g27_e001</t>
  </si>
  <si>
    <t>Resgatar ilustração de um palhaço em g23_mdn_lt_1npm_p021a031_u1, página 21. Código antigo: i0206Aso_1pmm_g19_mdn</t>
  </si>
  <si>
    <t>i0117_1p011m_g27_e001</t>
  </si>
  <si>
    <t>Resgatar ilustração de duas bengalas, uma mais grossa e outra mais fina conforme referência, em g23_mdn_lt_1npm_p021a031_u1, página 21. Código antigo: i0206Dso_1pmm_g19_mdn</t>
  </si>
  <si>
    <t>i0118_1p011m_g27_e001</t>
  </si>
  <si>
    <t>Resgatar ilustração de duas cordas, uma mais grossa e outra mais fina conforme referência, em g23_mdn_lt_1npm_p021a031_u1, página 21. Código antigo: i0206Eso_1pmm_g19_mdn_ef</t>
  </si>
  <si>
    <t>i0119_1p011m_g27_e001</t>
  </si>
  <si>
    <t>Resgatar e ajustar ilustração de três escadas de tamanhos diferentes conforme referência, em g23_mdn_lt_1npm_p021a031_u1, página 21. Código antigo: i0204so_1npm_g23_mdn_aj.
AJUSTE: aumentar o espaço entre as escadas visando deixar maior o espaço para o aluno contornar e ocupar melhor a mancha.</t>
  </si>
  <si>
    <t>i0120_1p011m_g27_e001</t>
  </si>
  <si>
    <t>Resgatar ilustração de quatro bancos de diferentes tamanhos conforme referência, em g23_mdn_lt_1npm_p021a031_u1, página 21. Código antigo: i0205so_1npm_g23_mdn_aj</t>
  </si>
  <si>
    <t>i0121_1p011m_g27_e001</t>
  </si>
  <si>
    <t>Resgatar ilustração de quatro crianças em um palco conforme referência, em g23_mdn_lt_1npm_p021a031_u1, página 22. Código antigo: i0218_1npm_g23_mdn_re</t>
  </si>
  <si>
    <t>i0122_1p011m_g27_e001</t>
  </si>
  <si>
    <t>Resgatar ilustração de três cestas de fruta conforme referência, em g23_mdn_lt_1npm_p021a031_u1, página 22. Código antigo: i0218sh_1pmm_g19_mdn</t>
  </si>
  <si>
    <t>i0123_1p011m_g27_e001</t>
  </si>
  <si>
    <t>Resgatar e ajustar ilustração de um ciclista em uma ciclovia e um pedestre conforme referência, em g23_mdn_lt_1npm_p021a031_u1, página 23. Código antigo: i0320so_1pmm_g19_mdn.
AJUSTE: Ajustar a ilustração para não sangrar conforme indicado pela leitura prévia da Arte.</t>
  </si>
  <si>
    <t>i0125_1p011m_g27_e001</t>
  </si>
  <si>
    <t>Resgatar ilustração de um menino observando 5 recipientes diferentes, conforme referência, em g23_mdn_lt_1npm_p021a031_u1, página 24. Código antigo: i0220za_1pmm_g19_mdn</t>
  </si>
  <si>
    <t>i0127_1p011m_g27_e001</t>
  </si>
  <si>
    <t>Resgatar ilustração de uma menina e um menino conversando, conforme referência, em g23_mdn_lt_1npm_p021a031_u1, página 26. Código antigo: i0236sh_1pmm_g19_mdn.</t>
  </si>
  <si>
    <t>i0128_1p011m_g27_e001</t>
  </si>
  <si>
    <t>Resgatar e ajustar ilustração de uma mão com 3 botões, sendo 1 verde, 1 amarelo e 1 pink, em g23_mdn_lt_1npm_p021a031_u1, página 26. Código antigo: i0237sh_1pmm_g19_mdn_LOcopy1
AJUSTE: separar a imagem conforme referência a seguir e codificar com o código i0128_1p011m_g27_e001</t>
  </si>
  <si>
    <t>i0129_1p011m_g27_e001</t>
  </si>
  <si>
    <t>Resgatar e ajustar ilustração de uma mão com 2 botões, sendo 1 laranja e 1 verde em g23_mdn_lt_1npm_p021a031_u1, página 26. Código antigo: i0238sh_1pmm_g19_mdn_LOcopy1.
AJUSTE: separar a imagem conforme referência a seguir e codificar com o código i0129_1p011m_g27_e001.</t>
  </si>
  <si>
    <t>i0130_1p011m_g27_e001</t>
  </si>
  <si>
    <t>Resgatar e ajustar ilustração de uma mão com 1 botão rosa, em g23_mdn_lt_1npm_p021a031_u1, página 26. Código antigo: i0237sh_1pmm_g19_mdn_LOcopy2.
AJUSTE: separar a imagem conforme referência a seguir e codificar com o código i0130_1p011m_g27_e001</t>
  </si>
  <si>
    <t>i0131_1p011m_g27_e001</t>
  </si>
  <si>
    <t>Resgatar e ajustar ilustração de uma mão com 2 botões, sendo 1 botão azul e 1 botão vermelho em g23_mdn_lt_1npm_p021a031_u1, página 26. Código antigo: i0238sh_1pmm_g19_mdn_LOcopy2.
AJUSTE: separar a imagem conforme referência a seguir e codificar com o código i0131_1p011m_g27_e001</t>
  </si>
  <si>
    <t>i0132_1p011m_g27_e001</t>
  </si>
  <si>
    <t>Resgatar Ilustração de uma caixa laranja com duas bolinhas e uma caixa azul vazia, em g23_mdn_lt_1npm_p021a031_u1, página 27. Código antigo: i0239rm_1pmm_g19_mdn</t>
  </si>
  <si>
    <t>rm</t>
  </si>
  <si>
    <t>i0133_1p011m_g27_e001</t>
  </si>
  <si>
    <t>Resgatar Ilustração de uma caixa roxa com 6 bolinhas coloridas e uma caixa amarela vazia, em g23_mdn_lt_1npm_p021a031_u1, página 27. Código antigo: i0240rm_1pmm_g19_mdn</t>
  </si>
  <si>
    <t>i0134_1p011m_g27_e001</t>
  </si>
  <si>
    <t>Resgatar Ilustração de uma caixa verde com 3 bolinhas coloridas e uma caixa vermelha vazia, em g23_mdn_lt_1npm_p021a031_u1, página 27. Código antigo: i0241rm_1pmm_g19_mdn</t>
  </si>
  <si>
    <t>i0135_1p011m_g27_e001</t>
  </si>
  <si>
    <t>Resgatar e ajustar Ilustração de três crianças segurando balões, conforme referência em g23_mdn_lt_1npm_p021a031_u1, página 28. Código antigo: i0247so_1pmm_g19_mdn_ef.
AJUSTE: compor um adulto na ilustração.</t>
  </si>
  <si>
    <t>i0142_1p011m_g27_e001</t>
  </si>
  <si>
    <t>Resgatar e ajustar ilustração de várias crianças andando ao torno de 6 cadeiras em g23_mdn_lt_1npm_p021a031_u1, página 29. Código antigo: i0254so_1pmm_g19_mdn.
AJUSTE: separar a ilustração a seguir com o código i0142_1p011m_g27_e001</t>
  </si>
  <si>
    <t>i0143_1p011m_g27_e001</t>
  </si>
  <si>
    <t>Resgatar e ajustar ilustração de 6 crianças sentadas em cadeiras e outra de pé em g23_mdn_lt_1npm_p021a031_u1, página 29. Código antigo: i0254so_1pmm_g19_mdn
AJUSTE: separar a ilustração a seguir com o código i0143_1p011m_g27_e001</t>
  </si>
  <si>
    <t>i0144_1p011m_g27_e001</t>
  </si>
  <si>
    <t>Resgatar e ajustar ilustração de vagas especiais de um estacionamento em g23_mdn_lt_1npm_p021a031_u1, página 30. Código antigo: i0230so_1pmm_g19_mdn_ef.
AJUSTES: ajustar ilustração para que não sangre na página conforme indicado pela leitura da Arte. Ver referência a seguir.
Ajustar a placa de deficiente físico e de idoso para que fique conforme as referências a seguir.
Trocar a escrita de “Idoso” no chão da vaga para o símbolo atualizado conforme referência a seguir.
Arte: usar a mesma cor para todos os ajustes e deixar o símbolo de deficiente também com a mesma cor.
Referência para as placas.
Referência para escrita no chão.</t>
  </si>
  <si>
    <t>i0145_1p011m_g27_e001</t>
  </si>
  <si>
    <t>Resgatar ilustração de uma menina e um menino tirando uma ficha da caixa, em g23_mdn_lt_1npm_p0143_u6, código i1227cg_1pmm_g19_mdn</t>
  </si>
  <si>
    <t>cg</t>
  </si>
  <si>
    <t>i0150_1p011m_g27_e001</t>
  </si>
  <si>
    <t>IL TEC ARTE</t>
  </si>
  <si>
    <t>NOVA</t>
  </si>
  <si>
    <t>il. de cartão retangular com retângulo vermelho no interior</t>
  </si>
  <si>
    <t>bp</t>
  </si>
  <si>
    <t>i0151_1p011m_g27_e001</t>
  </si>
  <si>
    <t>il. de cartão retangular do mesmo tamanho do i0150_1p011m com círculo amarelo no interior</t>
  </si>
  <si>
    <t>i0152_1p011m_g27_e001</t>
  </si>
  <si>
    <t>il. de cartão retangular do mesmo tamanho do i0150_1p011m com um triângulo isósceles verde no interior</t>
  </si>
  <si>
    <t>i0153_1p011m_g27_e001</t>
  </si>
  <si>
    <t>il. de cartão retangular do mesmo tamanho do i0150_1p011m com um triângulo isósceles amarelo no interior</t>
  </si>
  <si>
    <t>i0154_1p011m_g27_e001</t>
  </si>
  <si>
    <t>il. de cartão retangular do mesmo tamanho do i0150_1p011m com retângulo verde no interior</t>
  </si>
  <si>
    <t>i0155_1p011m_g27_e001</t>
  </si>
  <si>
    <t>il. de cartão retangular do mesmo tamanho do i0150_1p011m com um triângulo isósceles vermelho no interior</t>
  </si>
  <si>
    <t>i0156_1p011m_g27_e001</t>
  </si>
  <si>
    <t>il. do mesmo triângulo isósceles amarelo que aparece na i0153_1p011m_g27_e001</t>
  </si>
  <si>
    <t>Equipe mudou a atividade, vai ser aplicada a i0153_1p011m_g27_e001 pela diagramação.</t>
  </si>
  <si>
    <t>i0157_1p011m_g27_e001</t>
  </si>
  <si>
    <t>il. de um triângulo marrom, do mesmo formato e tamanho do triângulo isósceles da i0155_1p011m_g27_e001</t>
  </si>
  <si>
    <t>i0158_1p011m_g27_e001</t>
  </si>
  <si>
    <t>il. de um círculo vermelho, do mesmo tamanho do círculo da i0151_1p011m_g27_e001</t>
  </si>
  <si>
    <t>i0159_1p011m_g27_e001</t>
  </si>
  <si>
    <t>Il. de um retângulo amarelo, mesmo formato e tamanho do que aparece na i0150_1p011m_g27_e001</t>
  </si>
  <si>
    <t>i0160_1p011m_g27_e001</t>
  </si>
  <si>
    <t>Il. do mesmo retângulo vermelho que aparece na i0150_1p011m_g27_e001</t>
  </si>
  <si>
    <t>Equipe mudou a atividade, vai ser aplicada a i0150_1p011m_g27_e001 pela diagramação</t>
  </si>
  <si>
    <t>i0161_1p011m_g27_e001</t>
  </si>
  <si>
    <t>Il. do mesmo círculo amarelo que aparece na i0151_1p011m_g27_e001</t>
  </si>
  <si>
    <t>Equipe mudou a atividade, vai ser aplicada a i0151_1p011m_g27_e001 pela diagramação</t>
  </si>
  <si>
    <t>i0162_1p011m_g27_e001</t>
  </si>
  <si>
    <t>Il. do mesmo retângulo verde que aparece na i0154_1p011m_g27_e001</t>
  </si>
  <si>
    <t>Equipe mudou a atividade, vai ser aplicada a i0154_1p011m_g27_e001 pela diagramação</t>
  </si>
  <si>
    <t>i0163_1p011m_g27_e001</t>
  </si>
  <si>
    <t>Il. do mesmo triângulo isósceles verde que aparece na i0152_1p011m_g27_e001</t>
  </si>
  <si>
    <t>i0146_1p011m_g27_e001</t>
  </si>
  <si>
    <t>Resgatar ilustração de 4 crianças lado a lado vistas de costas em g23_mdn_lt_1npm_p021a031_u1, página 31. Código antigo: i0238za_1npm_g23_mdn</t>
  </si>
  <si>
    <t>i0147_1p011m_g27_e001</t>
  </si>
  <si>
    <t>Resgatar ilustração de uma caixa com 4 brinquedos, em g23_mdn_lt_1npm_p021a031_u1, página 31. Código antigo: i0240za_1npm_g23_mdn</t>
  </si>
  <si>
    <t>i0148_1p011m_g27_e001</t>
  </si>
  <si>
    <t>Resgatar ilustração de uma caixa com 6 brinquedos, em g23_mdn_lt_1npm_p021a031_u1, página 31. Código antigo: i0241za_1npm_g23_mdn</t>
  </si>
  <si>
    <t>i0149_1p011m_g27_e001</t>
  </si>
  <si>
    <t>Resgatar ilustração de uma caixa com 4 brinquedos, em g23_mdn_lt_1npm_p021a031_u1, página 31. Código antigo: i0242za_1npm_g23_mdn</t>
  </si>
  <si>
    <t>i0164_1p011m_g27_e001</t>
  </si>
  <si>
    <t>Resgatar ilustração de uma linha verde medindo 6,5 cm, em g23_mdn_lt_1npm_p021a031_u1, página 31. Código antigo i0239ja_1npm_g23_mdn</t>
  </si>
  <si>
    <t>ja</t>
  </si>
  <si>
    <t>i0701_1p011m_g27_e001</t>
  </si>
  <si>
    <t>PRONTA</t>
  </si>
  <si>
    <t>Resgatar ilustração de balança de dois pratos com uma melancia e um melão sobre os pratos; g23_mdn_lt_1npm_p185; código antigo i1646zz_1pmm_g19_mdn</t>
  </si>
  <si>
    <t>Rogério Casagrande/Sergio L. Filho</t>
  </si>
  <si>
    <t>i0705_1p011m_g27_e001</t>
  </si>
  <si>
    <t>Resgatar e ajustar ilustração de gato laranja sobre uma balança azul com massa de 3 kg; g23_mdn_lt_1npm_p186; código antigo i1650sh_1pmm_g19_mdn_LOcopy2
AJUSTE: separar a ilustração indicada a seguir e nomear com o código i0705_1p011m_g27_e001</t>
  </si>
  <si>
    <t>Rafaela Panissa</t>
  </si>
  <si>
    <t>i0706_1p011m_g27_e001</t>
  </si>
  <si>
    <t>Resgatar e ajustar ilustração de gato cinza sobre uma balança vermelha com massa de 2 kg; g23_mdn_lt_1npm_p186; código antigo i1650sh_1pmm_g19_mdn_LOcopy2
AJUSTE: separar a ilustração indicada a seguir e nomear com o código i0706_1p011m_g27_e001</t>
  </si>
  <si>
    <t>i0709_1p011m_g27_e001</t>
  </si>
  <si>
    <t>Resgatar e ajustar ilustração de uma cozinha; g23_mdn_lt_1npm_p188; código antigo i1683so_1pmm_g19_mdn_ef_ly
AJUSTE: ajustar ilustração para não sangrar na página e separar a parte da ilustração indicada a seguir que é a geladeira e a mesa com objetos sobre ela com o código i0709_1p011m_g27_e001 como foi indicado na leitura prévia da Arte.
AJUSTE: Trocar o iogurte por bandeja de milho</t>
  </si>
  <si>
    <t>i0710_1p011m_g27_e001</t>
  </si>
  <si>
    <t>Resgatar e ajustar ilustração cozinha onde está a prateleira com caneca, balde e jarra; g23_mdn_lt_1npm_p189; código antigo i1683so_1pmm_g19_mdn_ef_ly
AJUSTE: ajustar ilustração para não sangrar na página e separar a parte da ilustração indicada a seguir que é a prateleira com caneca, balde e jarra com o código i0710_1p011m_g27_e001 como foi indicado na leitura prévia da Arte.</t>
  </si>
  <si>
    <t>i0720_1p011m_g27_e001</t>
  </si>
  <si>
    <t>Resgatar e ajustar ilustração cozinha onde está a pia; g23_mdn_lt_1npm_p189; código antigo i1683so_1pmm_g19_mdn_ef_ly
AJUSTE: ajustar ilustração para não sangrar na página e separar a parte da ilustração indicada a seguir que é a parte da pia com copo, caixa de leite e balde com o código i0720_1p011m_g27_e001 como foi indicado na leitura prévia da Arte.</t>
  </si>
  <si>
    <t>i0711_1p011m_g27_e001</t>
  </si>
  <si>
    <t>Resgatar ilustração de um recipiente graduado com capacidade para 5 L estando com líquido em 2/5 do recipiente; g23_mdn_lt_1npm_p190; código antigo i1642zz_1pmm_g19_mdn</t>
  </si>
  <si>
    <t>rr</t>
  </si>
  <si>
    <t>Keithy Mostachi</t>
  </si>
  <si>
    <t>Resgate com ajuste</t>
  </si>
  <si>
    <t>i0712_1p011m_g27_e001</t>
  </si>
  <si>
    <t>Resgatar ilustração de um recipiente graduado com capacidade para 5 L estando com líquido em 4/5 do recipiente; g23_mdn_lt_1npm_p190; código antigo i1643zz_1pmm_g19_mdn</t>
  </si>
  <si>
    <t>i0713_1p011m_g27_e001</t>
  </si>
  <si>
    <t>Resgatar ilustração de um recipiente graduado com capacidade para 5 L estando com líquido em 3/5 do recipiente; g23_mdn_lt_1npm_p190; código antigo i1644zz_1pmm_g19_mdn</t>
  </si>
  <si>
    <t>i0714_1p011m_g27_e001</t>
  </si>
  <si>
    <t>Resgatar ilustração de 4 xícaras iguais sobre um pano de mesa quadriculado; g23_mdn_lt_1npm_p190; código antigo i1645zz_1pmm_g19_mdn</t>
  </si>
  <si>
    <t>sl</t>
  </si>
  <si>
    <t>i0715_1p011m_g27_e001</t>
  </si>
  <si>
    <t>Resgatar ilustração de um relógio de ponteiros marcando 3 horas; g23_mdn_lt_1npm_p191; código antigo i3061zz_1npm_g23_mdn</t>
  </si>
  <si>
    <t>i0716_1p011m_g27_e001</t>
  </si>
  <si>
    <t>Resgatar ilustração de um relógio de ponteiros marcando 8 horas; g23_mdn_lt_1npm_p191; código antigo i3062zz_1npm_g23_mdn</t>
  </si>
  <si>
    <t>i0717_1p011m_g27_e001</t>
  </si>
  <si>
    <t>Resgatar ilustração de um relógio de ponteiros marcando 12 horas; g23_mdn_lt_1npm_p191; código antigo i3063zz_1npm_g23_mdn</t>
  </si>
  <si>
    <t>i0718_1p011m_g27_e001</t>
  </si>
  <si>
    <t>Resgatar ilustração de um pedaço de barbante com uma cota logo abaixo medindo 6 centímetros; g23_mdn_lt_1npm_p191; código antigo i2247rn_1npm_m20_mdn</t>
  </si>
  <si>
    <t>re</t>
  </si>
  <si>
    <t>i0719_1p011m_g27_e001</t>
  </si>
  <si>
    <t>Resgatar ilustração de um pedaço de barbante com uma cota logo abaixo medindo 8 centímetros; g23_mdn_lt_1npm_p191; código antigo i2246rn_1npm_m20_mdn</t>
  </si>
  <si>
    <t>i0903_1p011m_g27_e001</t>
  </si>
  <si>
    <t>Resgatar ilustração de criança sonhando recebendo presentes embalados; g23_mdn_lt_1npm_p84; código antigo i0801za_pmm_g19_mdn_ef</t>
  </si>
  <si>
    <t>i0904_1p011m_g27_e001</t>
  </si>
  <si>
    <t>Resgatar ilustração de um cubo laranja; g23_mdn_lt_1npm_p84; código antigo it0802_1pmm_g19_mdn</t>
  </si>
  <si>
    <t>i0905_1p011m_g27_e001</t>
  </si>
  <si>
    <t>Resgatar ilustração de uma pirâmide laranja; g23_mdn_lt_1npm_p84; código antigo it0805_1pmm_g19_mdn</t>
  </si>
  <si>
    <t>i0906_1p011m_g27_e001</t>
  </si>
  <si>
    <t>Resgatar ilustração de uma esfera laranja; g23_mdn_lt_1npm_p84; código antigo it0804_1pmm_g19_mdn</t>
  </si>
  <si>
    <t>i0907_1p011m_g27_e001</t>
  </si>
  <si>
    <t>Resgatar ilustração de um polígono base quadrada retangular; g23_mdn_lt_1npm_p84; código antigo it0807sl_1npm_m20_mdn_aj</t>
  </si>
  <si>
    <t>i0908_1p011m_g27_e001</t>
  </si>
  <si>
    <t>Resgatar ilustração de um cone laranja; g23_mdn_lt_1npm_p84; código antigo it0803_1pmm_g19_mdn</t>
  </si>
  <si>
    <t>i0909_1p011m_g27_e001</t>
  </si>
  <si>
    <t>Resgatar ilustração de um cilindro laranja; g23_mdn_lt_1npm_p84; código antigo it0809sl_1npm_m20_mdn_aj</t>
  </si>
  <si>
    <t>i0910_1p011m_g27_e001</t>
  </si>
  <si>
    <t>Resgatar e ajustar ilustração menino sonhando os presentes que recebeu agora sem embalagem;
g23_mdn_lt_1npm_p85; código antigo i0808za_pmm_g19_mdn_ef
AJUSTE: descer um pouco o balão do sonho do menino para liberar espaço e entrar a última
atividade (item c) na página. Ver referência a seguir.</t>
  </si>
  <si>
    <t>Vinícius Costa</t>
  </si>
  <si>
    <t>i0911_1p011m_g27_e001</t>
  </si>
  <si>
    <t>Resgatar ilustração de uma bola de futebol; g23_mdn_lt_1npm_p85; código antigo i0809za_pmm_g19_mdn_ef</t>
  </si>
  <si>
    <t>i0912_1p011m_g27_e001</t>
  </si>
  <si>
    <t>Resgatar ilustração de um tambor; g23_mdn_lt_1npm_p85; código antigo i0810za_pmm_g19_mdn_ef</t>
  </si>
  <si>
    <t>i0913_1p011m_g27_e001</t>
  </si>
  <si>
    <t>Resgatar ilustração de um cubo mágico; g23_mdn_lt_1npm_p85; código antigo i0811za_pmm_g19_mdn_ef</t>
  </si>
  <si>
    <t>i0914_1p011m_g27_e001</t>
  </si>
  <si>
    <t>Resgatar ilustração de um livro com capa verde; g23_mdn_lt_1npm_p84; código antigo i0812za_1pmm_g19_mdn_ef</t>
  </si>
  <si>
    <t>i0915_1p011m_g27_e001</t>
  </si>
  <si>
    <t>Resgatar ilustração de um presente em formato de cubo com laço verde; g23_mdn_lt_1npm_p85; código antigo i0813za_1pmm_g19_mdn_ef</t>
  </si>
  <si>
    <t>i0916_1p011m_g27_e001</t>
  </si>
  <si>
    <t>Resgatar ilustração de um presente em formato de esfera com laço rosa; g23_mdn_lt_1npm_p85; código antigo i0814za_1pmm_g19_mdn_ef</t>
  </si>
  <si>
    <t>i0917_1p011m_g27_e001</t>
  </si>
  <si>
    <t>Resgatar ilustração de um presente em formato de paralelepípedo com laço amarelo; g23_mdn_lt_1npm_p85; código antigo i0815za_1pmm_g19_mdn_ef</t>
  </si>
  <si>
    <t>i0918_1p011m_g27_e001</t>
  </si>
  <si>
    <t>Resgatar ilustração de um presente em formato de cilindro com laço laranja; g23_mdn_lt_1npm_p85; código antigo i0816za_1pmm_g19_mdn_ef</t>
  </si>
  <si>
    <t>i0919_1p011m_g27_e001</t>
  </si>
  <si>
    <t>Resgatar ilustração de um paralelepípedo vermelho; g23_mdn_lt_1npm_p86; código antigo it0857_1pmm_g19_mdn</t>
  </si>
  <si>
    <t>i0920_1p011m_g27_e001</t>
  </si>
  <si>
    <t>Resgatar ilustração de um cilindro vermelho; g23_mdn_lt_1npm_p86; código antigo it0858_1pmm_g19_mdn</t>
  </si>
  <si>
    <t>i0921_1p011m_g27_e001</t>
  </si>
  <si>
    <t>Resgatar ilustração de um cone vermelho; g23_mdn_lt_1npm_p86; código antigo it0859_1pmm_g19_mdn</t>
  </si>
  <si>
    <t>i0922_1p011m_g27_e001</t>
  </si>
  <si>
    <t>Resgatar ilustração de uma esfera vermelha; g23_mdn_lt_1npm_p86; código antigo it0860_1pmm_g19_mdn</t>
  </si>
  <si>
    <t>i0923_1p011m_g27_e001</t>
  </si>
  <si>
    <t>Resgatar ilustração de um menino, um cilindro azul e uma rampa; g23_mdn_lt_1npm_p86; código antigo i0861so_1pmm_g19_mdn</t>
  </si>
  <si>
    <t>i0924_1p011m_g27_e001</t>
  </si>
  <si>
    <t>Resgatar ilustração de um menino, um cubo amarelo e uma rampa; g23_mdn_lt_1npm_p86; código antigo i0862so_1pmm_g19_mdn</t>
  </si>
  <si>
    <t>i0925_1p011m_g27_e001</t>
  </si>
  <si>
    <t>Resgatar ilustração mão, retângulo branco e uma rampa; g23_mdn_lt_1npm_p86; código antigo i0863so_1pmm_g19_mdn</t>
  </si>
  <si>
    <t>i0926_1p011m_g27_e001</t>
  </si>
  <si>
    <t>Resgatar ilustração mão, esfera branca e uma rampa; g23_mdn_lt_1npm_p86; código antigo i0864so_1pmm_g19_mdn</t>
  </si>
  <si>
    <t>i0927_1p011m_g27_e001</t>
  </si>
  <si>
    <t>Resgatar ilustração de um cubo mágico; g23_mdn_lt_1npm_p87; código antigo i0826mk_1pmm_g19_mdn</t>
  </si>
  <si>
    <t>mk</t>
  </si>
  <si>
    <t>i0928_1p011m_g27_e001</t>
  </si>
  <si>
    <t>Resgatar ilustração de uma bola de tênis; g23_mdn_lt_1npm_p87; código antigo i0829mk_1pmm_g19_mdn</t>
  </si>
  <si>
    <t>i0930_1p011m_g27_e001</t>
  </si>
  <si>
    <t>Resgatar ilustração de uma pasta escolar retangular; g23_mdn_lt_1npm_p87; código antigo i0831mk_1pmm_g19_mdn</t>
  </si>
  <si>
    <t>i0931_1p011m_g27_e001</t>
  </si>
  <si>
    <t>Resgatar e ajustar ilustração de labirinto; g23_mdn_lt_1npm_p87; código antigo i0893rn_1pmm_g19_mdn
AJUSTE: fechar a entrada do labirinto indicada.</t>
  </si>
  <si>
    <t>rn</t>
  </si>
  <si>
    <t>i0932_1p011m_g27_e001</t>
  </si>
  <si>
    <t>Resgatar ilustração de esfera roxa; g23_mdn_lt_1npm_p87; código antigo it0822_1pmm_g19_mdn</t>
  </si>
  <si>
    <t>i0933_1p011m_g27_e001</t>
  </si>
  <si>
    <t>Resgatar ilustração de um paralelepípedo azul; g23_mdn_lt_1npm_p87; código antigo it0823_1pmm_g19_mdn</t>
  </si>
  <si>
    <t>i0934_1p011m_g27_e001</t>
  </si>
  <si>
    <t>Resgatar ilustração do cubo vermelho; g23_mdn_lt_1npm_p87; código antigo it0821_1pmm_g19_mdn</t>
  </si>
  <si>
    <t>i0935_1p011m_g27_e001</t>
  </si>
  <si>
    <t>Resgatar ilustração do cilindro verde; g23_mdn_lt_1npm_p87; código antigo it0824_1pmm_g19_mdn</t>
  </si>
  <si>
    <t>i0936_1p011m_g27_e001</t>
  </si>
  <si>
    <t>Resgatar ilustração de caixa de presente em formato de cubo azul com fita amarela; g23_mdn_lt_1npm_p87; código antigo i0830mk_1pmm_g19_mdn</t>
  </si>
  <si>
    <t>i0937_1p011m_g27_e001</t>
  </si>
  <si>
    <t>Resgatar ilustração rolo de papel; g23_mdn_lt_1npm_p87; código antigo i0828mk_1pmm_g19_mdn</t>
  </si>
  <si>
    <t>Arte</t>
  </si>
  <si>
    <t>RESGATE COM AJUSTE</t>
  </si>
  <si>
    <t>i0938_1p011m_g27_e001</t>
  </si>
  <si>
    <t>Resgatar ilustração vela amarela; g23_mdn_lt_1npm_p87; código antigo i0827mk_1pmm_g19_mdn</t>
  </si>
  <si>
    <t>i0939_1p011m_g27_e001</t>
  </si>
  <si>
    <t>Resgatar ilustração de um paralelepípedo verde; g23_mdn_lt_1npm_p88; código antigo it0817_1pmm_g19_mdn</t>
  </si>
  <si>
    <t>i0940_1p011m_g27_e001</t>
  </si>
  <si>
    <t>Resgatar ilustração de um cilindro laranja; g23_mdn_lt_1npm_p88; código antigo it0818_1pmm_g19_mdn</t>
  </si>
  <si>
    <t>i0941_1p011m_g27_e001</t>
  </si>
  <si>
    <t>Resgatar ilustração de um cone azul; g23_mdn_lt_1npm_p88; código antigo it0819_1pmm_g19_mdn</t>
  </si>
  <si>
    <t>i0942_1p011m_g27_e001</t>
  </si>
  <si>
    <t>Resgatar ilustração de uma esfera vermelha; g23_mdn_lt_1npm_p88; código antigo it0820_1pmm_g19_mdn</t>
  </si>
  <si>
    <t>i0943_1p011m_g27_e001</t>
  </si>
  <si>
    <t>Resgatar ilustração de uma esfera azul; g23_mdn_lt_1npm_p89; código antigo it1403cc_1npm_g23_mdn</t>
  </si>
  <si>
    <t>cc</t>
  </si>
  <si>
    <t>i0944_1p011m_g27_e001</t>
  </si>
  <si>
    <t>Resgatar ilustração de um cubo azul; g23_mdn_lt_1npm_p89; código antigo it1404cc_1npm_g23_mdn</t>
  </si>
  <si>
    <t>i0946_1p011m_g27_e001</t>
  </si>
  <si>
    <t>Resgatar ilustração de um cone azul; g23_mdn_lt_1npm_p89; código antigo it1405cc_1npm_g23_mdn</t>
  </si>
  <si>
    <t>i0947_1p011m_g27_e001</t>
  </si>
  <si>
    <t>Resgatar ilustração de um cilindro azul; g23_mdn_lt_1npm_p89; código antigo it1406cc_1npm_g23_mdn</t>
  </si>
  <si>
    <t>i0949_1p011m_g27_e001</t>
  </si>
  <si>
    <t>Resgatar ilustração de um paralelepípedo verde; g23_mdn_lt_1npm_p89; código antigo it1407cc_1npm_g23_mdn</t>
  </si>
  <si>
    <t>i0950_1p011m_g27_e001</t>
  </si>
  <si>
    <t>Resgatar ilustração de um paralelepípedo amarelo; g23_mdn_lt_1npm_p89; código antigo it1408cc_1npm_g23_mdn</t>
  </si>
  <si>
    <t>i0502_1p011m_g27_e001</t>
  </si>
  <si>
    <t>Resgatar e ajustar ilustração de pessoas jogando capoeira veio do g23_mdn_it_1npm_p062; código antigo i0679cg_1pmm_g19_mdn_ef. No ajuste recortar a imagem para não haver sangra; a imagem deve conter as pessoas jogando capoeira. Ver referência</t>
  </si>
  <si>
    <t>i0503_1p011m_g27_e001</t>
  </si>
  <si>
    <t>Resgatar ilustração de dado azul mostrando 2 pontos do g23_mdn_it_1npm_p063; código antigo: i0602zz_1pmm_g19_mdn.</t>
  </si>
  <si>
    <t>rd</t>
  </si>
  <si>
    <t>i0504_1p011m_g27_e001</t>
  </si>
  <si>
    <t>resgatar ilustração de dado amarelo mostrando 1 ponto do g23_mdn_it_1npm_p063; código antigo: i0603zz_1pmm_g19_mdn.</t>
  </si>
  <si>
    <t>i0505_1p011m_g27_e001</t>
  </si>
  <si>
    <t>resgatar ilustração de dado vermelho mostrando 4 pontos do g23_mdn_it_1npm_p063. código antigo: i0604zz_1pmm_g19_mdn.</t>
  </si>
  <si>
    <t>i0506_1p011m_g27_e001</t>
  </si>
  <si>
    <t>resgatar ilustração de dados lilás mostrando 3 pontos do g23_mdn_it_1npm_p063. código antigo: i0605zz_1pmm_g19_mdn.</t>
  </si>
  <si>
    <t>i0507_1p011m_g27_e001</t>
  </si>
  <si>
    <t>resgatar ilustração de dado amarelo mostrando 3 pontos do g23_mdn_it_1npm_p063; código antigo: i0606zz_1pmm_g19_mdn.</t>
  </si>
  <si>
    <t>i0508_1p011m_g27_e001</t>
  </si>
  <si>
    <t>resgatar ilustração de dado verde mostrando 3 pontos do g23_mdn_it_1npm_p063; código antigo: i0607zz_1pmm_g19_mdn</t>
  </si>
  <si>
    <t>i0510_1p011m_g27_e001</t>
  </si>
  <si>
    <t>Resgatar ilustração de mesa com sanduiches do g23_mdn_it_1npm_p064; código antigo: i0608rn_1pmm_g19_mdn.</t>
  </si>
  <si>
    <t>i0511_1p011m_g27_e001</t>
  </si>
  <si>
    <t>Resgatar ilustração de colmeia do g23_mdn_it_1npm_p065; código antigo: i0609sh_1pmm_g19_mdn</t>
  </si>
  <si>
    <t>i0512_1p011m_g27_e001</t>
  </si>
  <si>
    <t>Resgatar ilustração de colmeia do g23_mdn_it_1npm_p065 código antigo: i0610sh_1pmm_g19_mdn.</t>
  </si>
  <si>
    <t>i0513_1p011m_g27_e001</t>
  </si>
  <si>
    <t>Resgatar ilustração de bolinha vermelha do g23_mdn_it_1npm_p066; código antigo: i0615rn_1pmm_g19_mdn.</t>
  </si>
  <si>
    <t>i0514_1p011m_g27_e001</t>
  </si>
  <si>
    <t>Resgatar ilustração de bolinha vermelha, azul e verde do g23_mdn_it_1npm_p066; código antigo: i0616rn_1pmm_g19_mdn.</t>
  </si>
  <si>
    <t>i0515_1p011m_g27_e001</t>
  </si>
  <si>
    <t>Resgatar ilustração de arvores com frutos branco do g23_mdn_it_1npm_p066; código antigo: i1008za_1npm_g23_mdn_aj. AJUSTE: Cropar a imagem para que não haja sangra. Ver referência do layout montada na pré-leitura plástica.</t>
  </si>
  <si>
    <t>i0516_1p011m_g27_e001</t>
  </si>
  <si>
    <t>Resgatar ilustração de balões do g23_mdn_it_1npm_p067; código antigo: i0684rn_1pmm_g19_mdn. AJUSTE: excluir os balões em cor resposta</t>
  </si>
  <si>
    <t>i0517_1p011m_g27_e001</t>
  </si>
  <si>
    <t>Resgatar ilustração de peões g23_mdn_it_1npm_p067; código antigo: i0622rn_1pmm_g19_mdn. AJUSTE: excluir os pinos em cor resposta</t>
  </si>
  <si>
    <t>i0518_1p011m_g27_e001</t>
  </si>
  <si>
    <t>Resgatar ilustração de quatro chapéus do g23_mdn_it_1npm_p067; código antigo: i0621rn_1pmm_g19_mdn. AJUSTE: excluir chapéus em cor resposta</t>
  </si>
  <si>
    <t>i0519_1p011m_g27_e001</t>
  </si>
  <si>
    <t>Resgatar ilustração de nove bandeirinhas do g23_mdn_it_1npm_p067; código antigo: i0623rn_1pmm_g19_mdn. AJUSTE: excluir bandeirinhas em cor resposta</t>
  </si>
  <si>
    <t>i0520_1p011m_g27_e001</t>
  </si>
  <si>
    <t>Resgatar ilustração de várias bolinhas com cores distintas em g23_mdn_it_1npm_p067; código antigo: i1015so_1npm_g23_mdn.</t>
  </si>
  <si>
    <t>i0521_1p011m_g27_e001</t>
  </si>
  <si>
    <t>Resgatar ilustração de professora no quadro negro g23_mdn_it_1npm_p068; código antigo: i1016so_1npm_g23_mdn.</t>
  </si>
  <si>
    <t>i0522_1p011m_g27_e001</t>
  </si>
  <si>
    <t>Ilustrar 6 abóboras para colorir uma ao lado da outra. Referência:</t>
  </si>
  <si>
    <t>f: 17/03</t>
  </si>
  <si>
    <t>PAGO</t>
  </si>
  <si>
    <t>i0523_1p011m_g27_e001</t>
  </si>
  <si>
    <t>resgatar ilustração de oito frutas distintas em g23_mdn_it_1npm_p068; código antigo: i1018so_1npm_g23_mdn.</t>
  </si>
  <si>
    <t>i0524_1p011m_g27_e001</t>
  </si>
  <si>
    <t>Resgatar ilustração de duas frutas em g23_mdn_it_1npm_p068; código antigo: i1019so_1npm_g23_mdn.</t>
  </si>
  <si>
    <t>i0525_1p011m_g27_e001</t>
  </si>
  <si>
    <t>resgatar ilustração de quatro frutas distintas em g23_mdn_it_1npm_p068; código antigo: i1020so_1npm_g23_mdn.</t>
  </si>
  <si>
    <t>i0526_1p011m_g27_e001</t>
  </si>
  <si>
    <t>resgatar ilustração de carros parados no semáforo em g23_mdn_it_1npm_p069; código antigo: i0624za_1pmm_g19_mdn.</t>
  </si>
  <si>
    <t>i0527_1p011m_g27_e001</t>
  </si>
  <si>
    <t>resgatar ilustração de carros parados no semáforo e alguns carros aproximando em g23_mdn_it_1npm_p069 código i5224za_1m2sem_m20_stl_re.</t>
  </si>
  <si>
    <t>i0528_1p011m_g27_e001</t>
  </si>
  <si>
    <t>resgatar ilustração de boneca, peteca, corda e bola em g23_mdn_it_1npm_p070 código i0626rn_1pmm_g19_mdn</t>
  </si>
  <si>
    <t>i0529_1p011m_g27_e001</t>
  </si>
  <si>
    <t>resgatar ilustração de carro, peão, corda e eletrônico em g23_mdn_it_1npm_p070 código i0630rn_1pmm_g19_mdn.</t>
  </si>
  <si>
    <t>i0530_1p011m_g27_e001</t>
  </si>
  <si>
    <t>resgatar ilustração de carro, peão, corda e eletrônico em g23_mdn_it_1npm_p070 código i0633rl_1pmm_g19_mdn.</t>
  </si>
  <si>
    <t>rl</t>
  </si>
  <si>
    <t>i0531_1p011m_g27_e001</t>
  </si>
  <si>
    <t>resgatar ilustração de carro, peão, corda e eletrônico em g23_mdn_it_1npm_p070 código i0634rl_1pmm_g19_mdn.</t>
  </si>
  <si>
    <t>i0532_1p011m_g27_e001</t>
  </si>
  <si>
    <t>Resgatar ilustração de régua que representa 4+3 em g23_mdn_it_1npm_p071; código antigo: i0635zz_1pmm_g19_mdn.</t>
  </si>
  <si>
    <t>ck</t>
  </si>
  <si>
    <t>i0533_1p011m_g27_e001</t>
  </si>
  <si>
    <t>Resgatar ilustração de régua que representa 3+2 em g23_mdn_it_1npm_p071; código antigo: i0685zz_1pmm_g19_mdn.</t>
  </si>
  <si>
    <t>i0534_1p011m_g27_e001</t>
  </si>
  <si>
    <t>Resgatar ilustração de régua que representa 4+5 em g23_mdn_it_1npm_p071; código antigo: i0686zz_1pmm_g19_mdn.</t>
  </si>
  <si>
    <t>i0535_1p011m_g27_e001</t>
  </si>
  <si>
    <t>Resgatar ilustração de régua que representa 3+7 em g23_mdn_it_1npm_p071; código: antigo: i0687zz_1pmm_g19_mdn.</t>
  </si>
  <si>
    <t>i0536_1p011m_g27_e001</t>
  </si>
  <si>
    <t>Resgatar ilustração de pessoas embarcando no ônibus em g23_mdn_it_1npm_p072; código antigo: i0636so_1pmm_g19_mdn.</t>
  </si>
  <si>
    <t>i0537_1p011m_g27_e001</t>
  </si>
  <si>
    <t>Resgatar ilustração de tirinha com crianças conversando, em g23_mdn_lt_1npm_p073_u3; código antigo: i1011za_1npm_g23_mdn_aj.</t>
  </si>
  <si>
    <t>i0538_1p011m_g27_e001</t>
  </si>
  <si>
    <t>Resgatar ilustração de 9 cubos empilhados, em g23_mdn_lt_1npm_p074_u3 código i1022rn_1npm_g23_mdn_aj</t>
  </si>
  <si>
    <t>i0539_1p011m_g27_e001</t>
  </si>
  <si>
    <t>Resgatar ilustração de mãos retirando 2 cubos da pilha, em g23_mdn_lt_1npm_p074_u3 código i1023rn_1npm_g23_mdn_aj.</t>
  </si>
  <si>
    <t>CAMILA CARMONA/RAFAEL L. GAION/ARQUIVO DA EDITORA</t>
  </si>
  <si>
    <t>i0541_1p011m_g27_e001</t>
  </si>
  <si>
    <t>Resgatar ilustração de ninho com 6 ovos, em g23_mdn_lt_1npm_p075_u3; código antigo: i0640rn_1pmm_g19_mdn.</t>
  </si>
  <si>
    <t>i0542_1p011m_g27_e001</t>
  </si>
  <si>
    <t>Resgatar ilustração de ninho com 6 ovos, sendo 2 chocando pintinhos, em g23_mdn_lt_1npm_p075_u3; código antigo: i0641rn_1pmm_g19_mdn.</t>
  </si>
  <si>
    <t>i0543_1p011m_g27_e001</t>
  </si>
  <si>
    <t>Resgatar ilustração de ninho com 4 ovos, em g23_mdn_lt_1npm_p075_u3; código antigo: i0642rn_1pmm_g19_mdn.</t>
  </si>
  <si>
    <t>i0544_1p011m_g27_e001</t>
  </si>
  <si>
    <t>Resgatar ilustração de quadro com traços, em g23_mdn_lt_1npm_p075_u3; código antigo: i0645zz_1pmm_g19_mdn.</t>
  </si>
  <si>
    <t>ca</t>
  </si>
  <si>
    <t>if0545_1p011m_g27_e001</t>
  </si>
  <si>
    <t>IL + FOTO</t>
  </si>
  <si>
    <t xml:space="preserve">Resgatar foto de menino com camiseta vermelha e resgatar ilustração de quatro bonés, em g23_mdn_lt_1npm_p076_u3. códigos antigos: f0647_1pmm_g19_mdn e i0649rn_1pmm_g19_mdn. 
AJUSTE: Agrupar a foto da criança, as ils dos bonés e o fundo cor em um arquivo como no print a seguir
</t>
  </si>
  <si>
    <t>if0546_1p011m_g27_e001</t>
  </si>
  <si>
    <t>Resgatar foto de menino com camista azul e ilustração de dois bonés, em g23_mdn_lt_1npm_p076_u3 códigos antigos: f0646_1pmm_g19_mdn i0650rn_1pmm_g19_mdn. AJUSTE: Agrupar a foto da criança, as ils dos bonés e o fundo cor em um arquivo como no print a seguir</t>
  </si>
  <si>
    <t>if0547_1p011m_g27_e001</t>
  </si>
  <si>
    <t>Resgatar foto de menina com camiseta branca e resgatar ilustração de 5 bonés, em g23_mdn_lt_1npm_p076_u3 códigos antigos: f1014_1npm_g23_mdn e i0651rn_1pmm_g19_mdn. AJUSTE: Agrupar a foto da criança, as ils dos bonés e o fundo cor em um arquivo como no print a seguir</t>
  </si>
  <si>
    <t>i0551_1p011m_g27_e001</t>
  </si>
  <si>
    <t>Resgatar ilustração de sete bolinhas azuis, em g23_mdn_lt_1npm_p077_u3 código antigo: i0652rn_1pmm_g19_mdn.</t>
  </si>
  <si>
    <t>i0552_1p011m_g27_e001</t>
  </si>
  <si>
    <t>Resgatar ilustração de oito bolinhas azuis, em g23_mdn_lt_1npm_p077_u3 código i0655rn_1pmm_g19_mdn</t>
  </si>
  <si>
    <t>i0553_1p011m_g27_e001</t>
  </si>
  <si>
    <t>Ilustrar uma bandeja com 9 maçãs. Não deve haver maçãs empilhadas e escondidas. Referência de ponto de vista:</t>
  </si>
  <si>
    <t>i0554_1p011m_g27_e001</t>
  </si>
  <si>
    <t>Ilustrar uma bandeja com 6 maçãs. Não deve haver maçãs empilhadas e escondidas. Referência de ponto de vista</t>
  </si>
  <si>
    <t>i0555_1p011m_g27_e001</t>
  </si>
  <si>
    <t>Ilustrar 5 barquinhos simples como se tivessem sido desenhados a mão. Os barquinhos devem ser coloridos.A ilustração não deve ocupar toda mancha, pois os estudantes devem desenhar 4 barquinhos. Referência:</t>
  </si>
  <si>
    <t>i0556_1p011m_g27_e001</t>
  </si>
  <si>
    <t>Resgatar ilustração de uma peça de dominó com quatro pontos, em g23_mdn_lt_1npm_p078_u3 código i0665zz_1pmm_g19_mdn.</t>
  </si>
  <si>
    <t>es</t>
  </si>
  <si>
    <t>i0562_1p011m_g27_e001</t>
  </si>
  <si>
    <t>Resgatar ilustração de uma régua com as setas verde e laranja, em g23_mdn_lt_1npm_p080_u3 código i0671zz_1pmm_g19_mdn.</t>
  </si>
  <si>
    <t>i0563_1p011m_g27_e001</t>
  </si>
  <si>
    <t>Resgatar ilustração dos setes anões e a branca de neve, em g23_mdn_lt_1npm_p080_u3 código antigo: i0672so_1pmm_g19_mdn_ef</t>
  </si>
  <si>
    <t>i0564_1p011m_g27_e001</t>
  </si>
  <si>
    <t>Resgatar ilustração de 5 frutas vermelhas, em g23_mdn_lt_1npm_p081_u3; código antigo: i0612za_1npm_m20_mdn_re
AJUSTE: Converter o arquivo enviado em PDF para PSD (já visto com a tati) e deixar apenas 1 fruta no arquivo</t>
  </si>
  <si>
    <t>i0565_1p011m_g27_e001</t>
  </si>
  <si>
    <t>Resgatar ilustração de aquário com três peixes azul e cinco peixes vermelhos, em g23_mdn_lt_1npm_p081_u3 código i1024rn_1npm_g23_mdn_aj</t>
  </si>
  <si>
    <t>i0566_1p011m_g27_e001</t>
  </si>
  <si>
    <t>Resgatar ilustração de aquário com cinco peixes azul e um peixes vermelho, em g23_mdn_lt_1npm_p081_u3 código i1021rn_1npm_g23_mdn</t>
  </si>
  <si>
    <t>i0567_1p011m_g27_e001</t>
  </si>
  <si>
    <t>Resgatar ilustração de uma cardeneta com alguns nomes, em g23_mdn_lt_1npm_p0135_u6, código antigo: i1217_1pmm_g19_mdn</t>
  </si>
  <si>
    <t>i0569_1p011m_g27_e001</t>
  </si>
  <si>
    <t>Resgatar ilustração de duas crianças em frente a uma mesa com várias frutas, em g23_mdn_lt_1npm_p0136_u6, código i2218cg_1npm_g23_mdn_aj.</t>
  </si>
  <si>
    <t>i0570_1p011m_g27_e001</t>
  </si>
  <si>
    <t>Resgatar ilustração de uma fatia de melancia, em g23_mdn_lt_1npm_p0136_u6, código antigo: i1223rm_1pmm_g19_mdn.</t>
  </si>
  <si>
    <t>i0571_1p011m_g27_e001</t>
  </si>
  <si>
    <t>Resgatar ilustração de uma pera, em g23_mdn_lt_1npm_p0136_u6, código antigo: i1221rm_1pmm_g19_mdn.</t>
  </si>
  <si>
    <t>i0572_1p011m_g27_e001</t>
  </si>
  <si>
    <t>Resgatar ilustração de uma maçã, em g23_mdn_lt_1npm_p0136_u6, código antigo: i1222rm_1pmm_g19_mdn.</t>
  </si>
  <si>
    <t>i0573_1p011m_g27_e001</t>
  </si>
  <si>
    <t>Resgatar ilustração de uma banana, em g23_mdn_lt_1npm_p0136_u6, código i1220rm_1pmm_g19_mdn_ef.</t>
  </si>
  <si>
    <t>i0574_1p011m_g27_e001</t>
  </si>
  <si>
    <t>Resgatar ilustração de um morango, em g23_mdn_lt_1npm_p0136_u6, código i1224rm_1pmm_g19_mdn.</t>
  </si>
  <si>
    <t>i1102_1p011m_g27_e001</t>
  </si>
  <si>
    <t>Resgatar ilustração 1 livro capa verde; g23_mdn_lt_1npm_p100; código antigo i1002rn_1pmm_g19_mdn</t>
  </si>
  <si>
    <t>i1103_1p011m_g27_e001</t>
  </si>
  <si>
    <t>Resgatar ilustração 2 livros capa verde; g23_mdn_lt_1npm_p100; código antigo i1003rn_1pmm_g19_mdn 
AJUSTE: em ordem, de baixo para cima, as cores dos livros devem ser: verde, azul claro</t>
  </si>
  <si>
    <t>i1104_1p011m_g27_e001</t>
  </si>
  <si>
    <t xml:space="preserve">Resgatar ilustração 3 livros capa verde; g23_mdn_lt_1npm_p100; código antigo i1004rn_1pmm_g19_mdn 
AJUSTE: em ordem, de baixo para cima, as cores dos livros devem ser: verde, azul claro, vermelho </t>
  </si>
  <si>
    <t>i1105_1p011m_g27_e001</t>
  </si>
  <si>
    <t xml:space="preserve">Resgatar ilustração 4 livros capa verde; g23_mdn_lt_1npm_p100; código antigo i1005rn_1pmm_g19_mdn 
AJUSTE: em ordem, de baixo para cima, as cores dos livros devem ser: verde, azul claro, vermelho, amarelo 
 </t>
  </si>
  <si>
    <t>i1106_1p011m_g27_e001</t>
  </si>
  <si>
    <t xml:space="preserve">Resgatar ilustração 5 livros capa verde; g23_mdn_lt_1npm_p100; código antigo i1006rn_1pmm_g19_mdn 
AJUSTE: em ordem, de baixo para cima, as cores dos livros devem ser: verde, azul claro, vermelho, amarelo, rosa </t>
  </si>
  <si>
    <t>i1107_1p011m_g27_e001</t>
  </si>
  <si>
    <t xml:space="preserve">Resgatar ilustração 6 livros capa verde; g23_mdn_lt_1npm_p100; código antigo i1007rn_1pmm_g19_mdn 
AJUSTE: em ordem, de baixo para cima, as cores dos livros devem ser: verde, azul claro, vermelho, amarelo, rosa, preto </t>
  </si>
  <si>
    <t>i1108_1p011m_g27_e001</t>
  </si>
  <si>
    <t xml:space="preserve">Resgatar ilustração 7 livros capa verde; g23_mdn_lt_1npm_p100; código antigo i1008rn_1pmm_g19_mdn 
AJUSTE: em ordem, de baixo para cima, as cores dos livros devem ser: verde, azul claro, vermelho, amarelo, rosa, preto, roxo </t>
  </si>
  <si>
    <t>i1109_1p011m_g27_e001</t>
  </si>
  <si>
    <t xml:space="preserve">Resgatar ilustração 8 livros capa verde; g23_mdn_lt_1npm_p100; código antigo i1009rn_1pmm_g19_mdn 
AJUSTE: em ordem, de baixo para cima, as cores dos livros devem ser: verde, azul claro, vermelho, amarelo, rosa, preto, roxo, laranja </t>
  </si>
  <si>
    <t>i1110_1p011m_g27_e001</t>
  </si>
  <si>
    <t xml:space="preserve">Resgatar ilustração 9 livros capa verde; g23_mdn_lt_1npm_p100; código antigo i1010rn_1pmm_g19_mdn 
AJUSTE: em ordem, de baixo para cima, as cores dos livros devem ser: verde, azul claro, vermelho, amarelo, rosa, preto, roxo, laranja, marrom </t>
  </si>
  <si>
    <t>i1111_1p011m_g27_e001</t>
  </si>
  <si>
    <t xml:space="preserve">Resgatar ilustração 10 livros capa verde; g23_mdn_lt_1npm_p100; código antigo i1011rn_1pmm_g19_mdn 
AJUSTE: em ordem, de baixo para cima, as cores dos livros devem ser: verde, azul claro, vermelho, amarelo, rosa, preto, roxo, laranja, marrom, azul escuro </t>
  </si>
  <si>
    <t>i1112_1p011m_g27_e001</t>
  </si>
  <si>
    <t>Resgatar ilustração de 1 maçã do g23_mdn_lt_1npm_p136; código antigo i1222rm_1pmm_g19_mdn</t>
  </si>
  <si>
    <t>i1113_1p011m_g27_e001</t>
  </si>
  <si>
    <t xml:space="preserve">Resgatar ilustração de 5 emojis na primeira fileira e de 2 emojis na segunda fileira e nessa mesma fileira 3 espaços para o estudante desenhar emojis; g23_mdn_lt_1npm_p101; código antigo i1119zz_1pmm_g19_mdn  
AJUSTE: excluir círculos vazios em que o estudante iria desenhar dentro </t>
  </si>
  <si>
    <t>ba</t>
  </si>
  <si>
    <t>i1114_1p011m_g27_e001</t>
  </si>
  <si>
    <t>Resgatar ilustração 8 cubinhos do material dourado; g23_mdn_lt_1npm_p101; código antigo i1014zz_1pmm_g19_mdn</t>
  </si>
  <si>
    <t>tr</t>
  </si>
  <si>
    <t>i1115_1p011m_g27_e001</t>
  </si>
  <si>
    <t>Resgatar ilustração 9 cubinhos do material dourado; g23_mdn_lt_1npm_p101; código antigo i1134zz_1pmm_g19_mdn</t>
  </si>
  <si>
    <t>i1116_1p011m_g27_e001</t>
  </si>
  <si>
    <t>Resgatar e ajustar ilustração 10 cubinhos e 1 barra do material dourado; g23_mdn_lt_1npm_p101; código antigo i1015zz_1pmm_g19_mdn
AJUSTE: separar os 10 cubinhos do material dourado conforme referência a seguir com o código i1116_1p011m_g27_e001</t>
  </si>
  <si>
    <t>Maryane Vioto Silva</t>
  </si>
  <si>
    <t>i1117_1p011m_g27_e001</t>
  </si>
  <si>
    <t>Resgatar e ajustar ilustração 10 cubinhos e 1 barra do material dourado; g23_mdn_lt_1npm_p101; código antigo i1015zz_1pmm_g19_mdn
AJUSTE: separar 1 barra do material dourado conforme referência a seguir com o código i1117_1p011m_g27_e001</t>
  </si>
  <si>
    <t>i1118_1p011m_g27_e001</t>
  </si>
  <si>
    <t>Resgatar ilustração de um cubinho do material dourado; g23_mdn_lt_1npm_p101; código antigo i1135zz_1pmm_g19_mdn</t>
  </si>
  <si>
    <t>i1119_1p011m_g27_e001</t>
  </si>
  <si>
    <t>Resgatar ilustração de uma barra do material dourado; g23_mdn_lt_1npm_p101; código antigo i1136zz_1pmm_g19_mdn</t>
  </si>
  <si>
    <t>i1120_1p011m_g27_e001</t>
  </si>
  <si>
    <t>Resgatar ilustração menino colocando 1 bandeirinha e 10 bandeirinhas já colocadas, totalizando 11 bandeirinhas; g23_mdn_lt_1npm_p102; código antigo i1821cg_1npm_g23_mdn_re</t>
  </si>
  <si>
    <t>i1121_1p011m_g27_e001</t>
  </si>
  <si>
    <t>Resgatar ilustração menina colocando 1 bandeirinha e 10 bandeirinhas já colocadas, totalizando 12 bandeirinhas; g23_mdn_lt_1npm_p102; código antigo i1822cg_1npm_g23_mdn_re</t>
  </si>
  <si>
    <t>i1122_1p011m_g27_e001</t>
  </si>
  <si>
    <t>Resgatar ilustração menino olhando para mais 1 bandeirinha que colocou e 10 bandeirinhas já colocadas, totalizando 13 bandeirinhas; g23_mdn_lt_1npm_p102; código antigo i1823cg_1npm_g23_mdn_re</t>
  </si>
  <si>
    <t>i1123_1p011m_g27_e001</t>
  </si>
  <si>
    <t>Resgatar ilustração menina olhando para mais 1 bandeirinha que colocou e 10 bandeirinhas já colocadas, totalizando 14 bandeirinhas; g23_mdn_lt_1npm_p103; código antigo i1824cg_1npm_g23_mdn_aj</t>
  </si>
  <si>
    <t>i1124_1p011m_g27_e001</t>
  </si>
  <si>
    <t>Resgatar ilustração menino olhando para mais 1 bandeirinha que colocou e 10 bandeirinhas já colocadas, totalizando 15 bandeirinhas; g23_mdn_lt_1npm_p103; código antigo i1825cg_1npm_g23_mdn_re</t>
  </si>
  <si>
    <t>i1125_1p011m_g27_e001</t>
  </si>
  <si>
    <t>Resgatar ilustração menina olhando para mais 1 bandeirinha que colocou e 10 bandeirinhas já colocadas, totalizando 16 bandeirinhas; g23_mdn_lt_1npm_p103; código antigo i1826cg_1npm_g23_mdn_re</t>
  </si>
  <si>
    <t>i1126_1p011m_g27_e001</t>
  </si>
  <si>
    <t>Resgatar ilustração menina olhando para mais 1 bandeirinha que colocou e 10 bandeirinhas já colocadas, totalizando 17 bandeirinhas; g23_mdn_lt_1npm_p104; código antigo i1827cg_1npm_g23_mdn_re</t>
  </si>
  <si>
    <t>i1127_1p011m_g27_e001</t>
  </si>
  <si>
    <t>Resgatar ilustração menino olhando para mais 1 bandeirinha que colocou e 10 bandeirinhas já colocadas, totalizando 18 bandeirinhas; g23_mdn_lt_1npm_p104; código antigo i1828cg_1npm_g23_mdn_aj</t>
  </si>
  <si>
    <t>i1128_1p011m_g27_e001</t>
  </si>
  <si>
    <t>Resgatar ilustração menino olhando para mais 1 bandeirinha que colocou e 10 bandeirinhas já colocadas, totalizando 19 bandeirinhas; g23_mdn_lt_1npm_p104; código antigo i1829cg_1npm_g23_mdn_re  
AJUSTE: Mudar o cabelo do menino, ficou estranho esses fios soltos. Compor que o menino tenha um cabelo curtinho/raspado, em que esteja visível a marca do cabelo</t>
  </si>
  <si>
    <t>i1129_1p011m_g27_e001</t>
  </si>
  <si>
    <t xml:space="preserve">Resgatar ilustração de cena em floresta com 13 flores, 15 abelhas, 11 borboletas e 14 formigas; g23_mdn_lt_1npm_p105; código antigo i1830cz_1npm_g23_mdn_re 
AJUSTE: Excluir as formigas e o formigueiro </t>
  </si>
  <si>
    <t>cz</t>
  </si>
  <si>
    <t>i1131_1p011m_g27_e001</t>
  </si>
  <si>
    <t>Resgatar ilustração ábaco com o número 15; g23_mdn_lt_1npm_p106; código antigo i1117zz_1pmm_g19_mdn</t>
  </si>
  <si>
    <t>i1132_1p011m_g27_e001</t>
  </si>
  <si>
    <t>Resgatar ilustração ábaco com o número 18; g23_mdn_lt_1npm_p106; código antigo i1118zz_1pmm_g19_mdn</t>
  </si>
  <si>
    <t>Excluída pela equipe</t>
  </si>
  <si>
    <t>i1134_1p011m_g27_e001</t>
  </si>
  <si>
    <t>Resgatar ilustração ábaco com o número 10; g23_mdn_lt_1npm_p106; código antigo i1029zz_1pmm_g19_mdn</t>
  </si>
  <si>
    <t>zz</t>
  </si>
  <si>
    <t>BÁRBARA SARZI/ARQUIVO DA EDITORA</t>
  </si>
  <si>
    <t>i1135_1p011m_g27_e001</t>
  </si>
  <si>
    <t>Resgatar ilustração ábaco com o número 19; g23_mdn_lt_1npm_p106; código antigo i1032zz_1pmm_g19_mdn</t>
  </si>
  <si>
    <t>i1136_1p011m_g27_e001</t>
  </si>
  <si>
    <t>Resgatar ilustração ábaco com o número 14; g23_mdn_lt_1npm_p106; código antigo i1031zz_1pmm_g19_mdn</t>
  </si>
  <si>
    <t>i1137_1p011m_g27_e001</t>
  </si>
  <si>
    <t>Resgatar ilustração ábaco com o número 10; g23_mdn_lt_1npm_p106; código aberto i1121zz_1pmm_g19_mdn</t>
  </si>
  <si>
    <t>i1138_1p011m_g27_e001</t>
  </si>
  <si>
    <t>Resgatar e ajustar a ilustração de uma galinha branca e uma marrom, e pintinhos; g23_mdn_lt_1npm_p107; código antigo i1033cz_1pmm_g19_mdn
AJUSTE: ajustar a ilustração para fechar o grid conforme feito na leitura prévia da Arte. Ver referência a seguir.</t>
  </si>
  <si>
    <t>i1139_1p011m_g27_e001</t>
  </si>
  <si>
    <t>Resgatar e ajustar ilustração galinha marrom e pintinho; g23_mdn_lt_1npm_p108; código antigo i1036cz_1pmm_g19_mdn
AJUSTE: reduzir um pouco a ilustração ou cropar para não sangrar à página, porém manter o tamanho da galinha, do ninho e dos pintinhos como na i1138_1p011m_g27_e001.</t>
  </si>
  <si>
    <t>i1142_1p011m_g27_e001</t>
  </si>
  <si>
    <t>Ilustração do calendário do mês de fevereiro de 2027 do padrão de ilustrações.
Ver ideia a seguir, porém é só uma referência; o calendário deve ser o do padrão novo e referente ao ano de 2027.</t>
  </si>
  <si>
    <t>CAMILA CARMONA/ARQUIVO DA EDITORA</t>
  </si>
  <si>
    <t>i1143_1p011m_g27_e001</t>
  </si>
  <si>
    <t>Resgatar ilustração de dois meninos organizando carrinhos de brinquedo; g23_mdn_lt_1npm_p110; código antigo i1040cz_1pmm_g19_mdn</t>
  </si>
  <si>
    <t>i1144_1p011m_g27_e001</t>
  </si>
  <si>
    <t>Resgatar ilustração 10 tijolos; g23_mdn_lt_1npm_p111; código antigo i1041rn_1pmm_g19_mdn</t>
  </si>
  <si>
    <t>i1145_1p011m_g27_e001</t>
  </si>
  <si>
    <t>Resgatar ilustração 20 tijolos; g23_mdn_lt_1npm_p111; código antigo i1042rn_1pmm_g19_mdn</t>
  </si>
  <si>
    <t>i1146_1p011m_g27_e001</t>
  </si>
  <si>
    <t>Resgatar ilustração 30 tijolos; g23_mdn_lt_1npm_p111; código antigo i1043rn_1pmm_g19_mdn</t>
  </si>
  <si>
    <t>i1147_1p011m_g27_e001</t>
  </si>
  <si>
    <t>Resgatar ilustração 40 tijolos; g23_mdn_lt_1npm_p111; código antigo i1044rn_1pmm_g19_mdn</t>
  </si>
  <si>
    <t>i1148_1p011m_g27_e001</t>
  </si>
  <si>
    <t>Resgatar ilustração 50 tijolos; g23_mdn_lt_1npm_p111; código antigo i1045rn_1pmm_g19_mdn</t>
  </si>
  <si>
    <t>i1160_1p011m_g27_e001</t>
  </si>
  <si>
    <t>Resgatar ilustração de 6 barras e 5 cubinhos do material dourado representando o número 65; g23_mdn_lt_1npm_p113; código antigo i1050zz_1pmm_g19_mdn</t>
  </si>
  <si>
    <t>i1161_1p011m_g27_e001</t>
  </si>
  <si>
    <t>Resgatar ilustração de 8 barras e 2 cubinhos do material dourado representando o número 82; g23_mdn_lt_1npm_p113; código antigo i1051zz_1pmm_g19_mdn</t>
  </si>
  <si>
    <t>i1162_1p011m_g27_e001</t>
  </si>
  <si>
    <t xml:space="preserve">Resgatar ilustração de 7 barras e 1 cubinho do material dourado representando o número 71;g23_mdn_lt_1npm_p113; código antigo i1052zz_1pmm_g19_mdn 
AJUSTE: Adicionar mais duas unidades (cubinhos) </t>
  </si>
  <si>
    <t>i1163_1p011m_g27_e001</t>
  </si>
  <si>
    <t>Resgatar ilustração de 9 barras e 4 cubinhos do material dourado representando o número 94; g23_mdn_lt_1npm_p113; código antigo i1053zz_1pmm_g19_mdn</t>
  </si>
  <si>
    <t>i1166_1p011m_g27_e001</t>
  </si>
  <si>
    <t>Resgatar ilustração de um celular com jogo de bolinhas coloridas com 99 bolinhas; g23_mdn_lt_1npm_p115; código antigo i1124rn_1pmm_g19_mdn</t>
  </si>
  <si>
    <t>i1167_1p011m_g27_e001</t>
  </si>
  <si>
    <t>Resgatar ilustração de ilustração de um celular com jogo de bolinhas coloridas com 100 bolinhas; g23_mdn_lt_1npm_p115; código antigo i1125rn_1pmm_g19_mdn</t>
  </si>
  <si>
    <t>i1168_1p011m_g27_e001</t>
  </si>
  <si>
    <t>Resgatar ilustração de ábaco com o número 100; g23_mdn_lt_1npm_p116; código antigo i1068zz_1pmm_g19_mdn</t>
  </si>
  <si>
    <t>i1169_1p011m_g27_e001</t>
  </si>
  <si>
    <t>Resgatar ilustração de 10 cubinhos do material dourado; g23_mdn_lt_1npm_p116; código antigo i1069zz_1pmm_g19_mdn</t>
  </si>
  <si>
    <t>i1170_1p011m_g27_e001</t>
  </si>
  <si>
    <t>Resgatar ilustração de 1 barra do material dourado; g23_mdn_lt_1npm_p116; código antigo i1070zz_1pmm_g19_mdn</t>
  </si>
  <si>
    <t>i1171_1p011m_g27_e001</t>
  </si>
  <si>
    <t>Resgatar ilustração de 10 barras do material dourado; g23_mdn_lt_1npm_p116; código antigo i1071zz_1pmm_g19_mdn</t>
  </si>
  <si>
    <t>i1172_1p011m_g27_e001</t>
  </si>
  <si>
    <t>Resgatar ilustração de 1 placa do material dourado; g23_mdn_lt_1npm_p116; código antigo i1072zz_1pmm_g19_mdn</t>
  </si>
  <si>
    <t>i1173_1p011m_g27_e001</t>
  </si>
  <si>
    <t>Resgatar ilustração labirinto e exploradores e baú do tesouro; g23_mdn_lt_1npm_p117; código antigo i1132cz_1pmm_g19_mdn_ef</t>
  </si>
  <si>
    <t>i1175_1p011m_g27_e001</t>
  </si>
  <si>
    <t>Resgatar ilustração de pódio vazio; g23_mdn_lt_1npm_p119; código antigo i0202rm_1npm_g19_mdn_re</t>
  </si>
  <si>
    <t>i1176_1p011m_g27_e001</t>
  </si>
  <si>
    <t>AVALIANDO</t>
  </si>
  <si>
    <t>Resgatar ilustração de pacote de figurinhas; g23_mdn_lt_1npm_p119; código antigo i0201rm_1npm_g19_mdn_re</t>
  </si>
  <si>
    <t xml:space="preserve">Rafaela Panissa </t>
  </si>
  <si>
    <t>Resgate ajuste</t>
  </si>
  <si>
    <t>i1177_1p011m_g27_e001</t>
  </si>
  <si>
    <t xml:space="preserve">Resgatar ilustração de telefone celular no contato com o nome LARA DA SILVA; g23_mdn_lt_1npm_p119; código antigo i0203rm_1npm_g19_mdn_re 
AJUSTE: Retirar o celular e manter apenas o número de telefone como foi feito anteriormente com o zoom. Ver referência </t>
  </si>
  <si>
    <t>i1179_1p011m_g27_e001</t>
  </si>
  <si>
    <t xml:space="preserve">Resgatar ilustração de caixa de suco de laranja; g23_mdn_lt_1npm_p119; código antigo i0204rm_1npm_g19_mdn_re 
AJUSTE: Retirar a caixa de suco e manter apenas o código de barras como foi feito anteriormente com o zoom. Ver referência. </t>
  </si>
  <si>
    <t>i1181_1p011m_g27_e001</t>
  </si>
  <si>
    <t>Resgatar e ajustar ilustração de caixa de bolinhas de um menino e duas caixas vazias; g23_mdn_lt_1npm_p120; código antigo i1077cz_1pmm_g19_mdn
AJUSTE: separar a ilustração do menino com a caixa com bolinhas no código i1181A_1p011m_g27_e001, a caixa verde no código i1181B_1p011m_g27_e001 e a caixa vermelha com o código i1181C_1p011m_g27_e001</t>
  </si>
  <si>
    <t>Ilustração dividida em A, B e C. (Mary)</t>
  </si>
  <si>
    <t>i1182_1p011m_g27_e001</t>
  </si>
  <si>
    <t>Resgatar ilustração dois vasos contorno azul de flor; g23_mdn_lt_1npm_p121; código antigo i1080rn_1pmm_g19_mdn</t>
  </si>
  <si>
    <t>i1183_1p011m_g27_e001</t>
  </si>
  <si>
    <t>Resgatar ilustração de reta numérica do número 0 a 19; g23_mdn_lt_1npm_p121; código antigo it1804sl_1npm_g23_mdn_aj</t>
  </si>
  <si>
    <t>i1184_1p011m_g27_e001</t>
  </si>
  <si>
    <t>Resgatar ilustração de reta numérica do número 0 a 19; g23_mdn_lt_1npm_p122; código antigo it1807sl_1npm_g23_mdn_aj</t>
  </si>
  <si>
    <t>g1185_1p011m_g27_e001</t>
  </si>
  <si>
    <t>GRÁFICO</t>
  </si>
  <si>
    <t xml:space="preserve">Resgatar ilustração de gráfico de barras sobre quantidade de figurinhas dos amigos de José, em g23_mdn_lt_1npm_p0140_u6, código gt1230_1pmm_g19_mdn. 
AJUSTE: Mantendo a mesma escala de 1 em 1, aumentar o eixo vertical até 15. Além disso, ajsutar os valores de cada barra com as seguintes informações: 
CAIO: 15 
FÁTIMA: 13 
CRISTIANO: 11 
BRENO: 8 
BRUNA: 11 </t>
  </si>
  <si>
    <t>i1186_1p011m_g27_e001</t>
  </si>
  <si>
    <t>Resgatar ilustração de diferentes figurinhas, em g23_mdn_lt_1npm_p0140_u6, código i1237rm_1pmm_g19_mdn</t>
  </si>
  <si>
    <t>i1190_1p011m_g27_e001</t>
  </si>
  <si>
    <t>Resgatar ilustração de um menino tirando uma bolinha no globo, em g23_mdn_lt_1npm_p0144_u6, código i1228gn_1pmm_g19_mdn</t>
  </si>
  <si>
    <t>gn</t>
  </si>
  <si>
    <t>g1191_1p011m_g27_e001</t>
  </si>
  <si>
    <t>Resgatar ilustração de um gráfico de barras sobre dia preferido na semana pelos amigos de Amanda, em g23_mdn_lt_1npm_p0145_u6, código gt2217sl_1npm_g23_mdn</t>
  </si>
  <si>
    <t>i1314_1p011m_g27_e001</t>
  </si>
  <si>
    <t>Resgatar ilustração de um cofrinho vermelho em formato de porco; g23_mdn_lt_1npm_p126; código antigo i1081rn_1pmm_g19_mdn</t>
  </si>
  <si>
    <t>i1318_1p011m_g27_e001</t>
  </si>
  <si>
    <t>Resgatar ilustração de uma bandeja de iogurte; g23_mdn_lt_1npm_p128; código antigo i1095rn_1pmm_g19_mdn</t>
  </si>
  <si>
    <t>i1319_1p011m_g27_e001</t>
  </si>
  <si>
    <t>Resgatar ilustração de menino mostrando quatro dedos; g23_mdn_lt_1npm_p128; código antigo i1096rl_1pmm_g19_mdn</t>
  </si>
  <si>
    <t>i1323_1p011m_g27_e001</t>
  </si>
  <si>
    <t>Resgatar ilustração 24 tampinhas sortidas; g23_mdn_lt_1npm_p129; código antigo i1834sl_1npm_g23_mdn</t>
  </si>
  <si>
    <t>i1502_1p011m_g27_e001</t>
  </si>
  <si>
    <t xml:space="preserve">Resgatar e ajustar ilustração do desenho do quadrado utilizando o cubo; g23_mdn_lt_1npm_p90; código antigo i5318zz_1m3sem_m20_stl_aj
AJUSTE: separar em A e C.                                                                                  </t>
  </si>
  <si>
    <t>i1502B_1p011m foi excluída pela equipe.</t>
  </si>
  <si>
    <t>CAMILA CARMONA/SERGIO LIMA/ARQUIVO DA EDITORA</t>
  </si>
  <si>
    <t>i1507_1p011m_g27_e001</t>
  </si>
  <si>
    <t>Resgatar ilustração de ilusão de óptica com quadradinhos pretos; g23_mdn_lt_1npm_p90; código antigo i0894sl_1pmm_g19_mdn</t>
  </si>
  <si>
    <t>i1508_1p011m_g27_e001</t>
  </si>
  <si>
    <t>Resgatar ilustração de ilusão de óptica com quadradinhos azuis; g23_mdn_lt_1npm_p90; código antigo i0895sl_1pmm_g19_mdn</t>
  </si>
  <si>
    <t>i1509_1p011m_g27_e001</t>
  </si>
  <si>
    <t xml:space="preserve">Resgatar e ajustar ilustração de o desenho de um retângulo utilizando um paralelepípedo; g23_mdn_lt_1npm_p91; código antigo i5319zz_1m3sem_m20_stl_aj
AJUSTE: separar em Ae C.                                                                              </t>
  </si>
  <si>
    <t>Obs.:  a il  i1509B_1p011m_g27_e001 foi excluída pela equipe</t>
  </si>
  <si>
    <t>i1515_1p011m_g27_e001</t>
  </si>
  <si>
    <t>Resgatar ilustração de um triângulo verde; g23_mdn_lt_1npm_p92; código antigo it0852_1pmm_g19_mdn</t>
  </si>
  <si>
    <t>it1517_1p011m_g27_e001</t>
  </si>
  <si>
    <t>Resgatar ilustração do círculo azul; g23_mdn_lt_1npm_p93; código antigo it0855_1pmm_g19_mdn</t>
  </si>
  <si>
    <t>i1518_1p011m_g27_e001</t>
  </si>
  <si>
    <t>Resgatar ilustração de duas meninas desenhando; g23_mdn_lt_1npm_p93; código antigo i0854so_1pmm_g19_mdn_ef</t>
  </si>
  <si>
    <t>i1520_1p011m_g27_e001</t>
  </si>
  <si>
    <t>Resgatar ilustração de um robô; g23_mdn_lt_1npm_p94; código antigo i0865zz_1pmm_g19_mdn</t>
  </si>
  <si>
    <t>i1521_1p011m_g27_e001</t>
  </si>
  <si>
    <t>Resgatar ilustração de um trem; g23_mdn_lt_1npm_p94; código antigo i0902sl_1pmm_g19_mdn</t>
  </si>
  <si>
    <t>i1522_1p011m_g27_e001</t>
  </si>
  <si>
    <t>Resgatar ilustração quadrado azul; g23_mdn_lt_1npm_p94; código antigo it0866_1pmm_g19_mdn</t>
  </si>
  <si>
    <t>i1523_1p011m_g27_e001</t>
  </si>
  <si>
    <t>Resgatar ilustração retângulo azul; g23_mdn_lt_1npm_p94; código antigo it0867_1pmm_g19_mdn</t>
  </si>
  <si>
    <t>i1524_1p011m_g27_e001</t>
  </si>
  <si>
    <t>Resgatar ilustração triângulo azul; g23_mdn_lt_1npm_p94; código antigo it0868_1pmm_g19_mdn</t>
  </si>
  <si>
    <t>i1525_1p011m_g27_e001</t>
  </si>
  <si>
    <t>Resgatar ilustração círculo azul; g23_mdn_lt_1npm_p94; código antigo it0869_1pmm_g19_mdn</t>
  </si>
  <si>
    <t>i1526_1p011m_g27_e001</t>
  </si>
  <si>
    <t>Resgatar ilustração espuma cubo; g23_mdn_lt_1npm_p95; código antigo i0903rn_1pmm_g19_mdn</t>
  </si>
  <si>
    <t>i1527_1p011m_g27_e001</t>
  </si>
  <si>
    <t>Resgatar ilustração espuma paralelepípedo; g23_mdn_lt_1npm_p95; código antigo i0904rn_1pmm_g19_mdn</t>
  </si>
  <si>
    <t>i1528_1p011m_g27_e001</t>
  </si>
  <si>
    <t>Resgatar ilustração espuma prisma de base triangular; g23_mdn_lt_1npm_p95; código antigo i0905rn_1pmm_g19_mdn</t>
  </si>
  <si>
    <t>i1529_1p011m_g27_e001</t>
  </si>
  <si>
    <t>Resgatar ilustração espuma cilindro; g23_mdn_lt_1npm_p95; código antigo i0906rn_1pmm_g19_mdn</t>
  </si>
  <si>
    <t>i1530_1p011m_g27_e001</t>
  </si>
  <si>
    <t>Resgatar mancha de tinta retangular; g23_mdn_lt_1npm_p95; código antigo i1436rn_1npm_g23_mdn_aj</t>
  </si>
  <si>
    <t>i1531_1p011m_g27_e001</t>
  </si>
  <si>
    <t>Resgatar ilustração mancha de tinta circular; g23_mdn_lt_1npm_p95; código antigo i0908rn_1pmm_g19_mdn</t>
  </si>
  <si>
    <t>i1532_1p011m_g27_e001</t>
  </si>
  <si>
    <t>Resgatar ilustração mancha de tinta quadrada; g23_mdn_lt_1npm_p95; código antigo i1437rn_1npm_g23_mdn_aj</t>
  </si>
  <si>
    <t>i1533_1p011m_g27_e001</t>
  </si>
  <si>
    <t>Resgatar ilustração mancha de tinta triangular; g23_mdn_lt_1npm_p95; código antigo i1438rn_1npm_g23_mdn_aj</t>
  </si>
  <si>
    <t>i1534_1p011m_g27_e001</t>
  </si>
  <si>
    <t>Resgatar ilustração círculo amarelo; g23_mdn_lt_1npm_p95; código antigo it0874_1pmm_g19_mdn</t>
  </si>
  <si>
    <t>i1535_1p011m_g27_e001</t>
  </si>
  <si>
    <t>Resgatar ilustração quadrado azul; g23_mdn_lt_1npm_p95; código antigo it0875_1pmm_g19_mdn</t>
  </si>
  <si>
    <t>i1536_1p011m_g27_e001</t>
  </si>
  <si>
    <t>Resgatar ilustração triângulo vermelho; g23_mdn_lt_1npm_p95; código antigo it0877_1pmm_g19_mdn</t>
  </si>
  <si>
    <t>i1702_1p011m_g27_e001</t>
  </si>
  <si>
    <t>Resgatar e ajustar ilustração rotina de uma mulher: acordar, comer, estudar; g23_mdn_lt_1npm_p168; código antigo i1655cz_1pmm_g19_mdn
AJUSTE: separar as cenas em A, B e C.</t>
  </si>
  <si>
    <t>i1704_1p011m_g27_e001</t>
  </si>
  <si>
    <t>Resgatar ilustração régua azul clara; g23_mdn_lt_1npm_p170; código antigo i1602zz_1pmm_g19_mdn</t>
  </si>
  <si>
    <t>i1705_1p011m_g27_e001</t>
  </si>
  <si>
    <t>Ilustração de calendário do padrão de ilustrações do mês de JUNHO/2027. Ver ideia a seguir</t>
  </si>
  <si>
    <t>Camila Carmona</t>
  </si>
  <si>
    <t>i1706_1p011m_g27_e001</t>
  </si>
  <si>
    <t>Resgatar ilustração de relógio de ponteiros marcando 2 horas do 1NPM; g23_mdn_lt_1npm_p170; código antigo i3069zz_1npm_g23_mdn_aj</t>
  </si>
  <si>
    <t>i1707_1p011m_g27_e001</t>
  </si>
  <si>
    <t>Resgatar ilustração de relógio de ponteiros marcando 7 horas do 1NPM; g23_mdn_lt_1npm_p170; código antigo i3070zz_1npm_g23_mdn_aj</t>
  </si>
  <si>
    <t>i1709_1p011m_g27_e001</t>
  </si>
  <si>
    <t>Resgatar ilustração de etapa de construção de um relógio com relógio já recortado e um lápis fazendo um furo no centro do relógio; g23_mdn_lt_1npm_p171; código antigo i1658zz_1pmm_g19_mdn</t>
  </si>
  <si>
    <t>i1710_1p011m_g27_e001</t>
  </si>
  <si>
    <t>Resgatar ilustração de etapa de construção de um relógio de ponteiros com os ponteiros e encaixe para segurar os ponteiros sendo colocado; g23_mdn_lt_1npm_p171; código antigo i1659zz_1pmm_g19_mdn</t>
  </si>
  <si>
    <t>i1724_1p011m_g27_e001</t>
  </si>
  <si>
    <t>Resgatar ilustração de relógio de ponteiros marcando 4 horas; g23_mdn_lt_1npm_p174; código antigo i3071zz_1npm_g23_mdn_aj</t>
  </si>
  <si>
    <t>i1725_1p011m_g27_e001</t>
  </si>
  <si>
    <t>Resgatar ilustração de relógio de ponteiros marcando 10 horas; g23_mdn_lt_1npm_p174; código antigo i3072zz_1npm_g23_mdn_aj</t>
  </si>
  <si>
    <t>i1726_1p011m_g27_e001</t>
  </si>
  <si>
    <t>Resgatar ilustração de relógio de ponteiros marcando 12 horas; g23_mdn_lt_1npm_p174; código antigo i3073zz_1npm_g23_mdn_aj</t>
  </si>
  <si>
    <t>i1727_1p011m_g27_e001</t>
  </si>
  <si>
    <t>Resgatar ilustração de relógio sem ponteiros com fundo branco para o aluno desenhar os ponteiros de acordo com o horário de suas atividades; g23_mdn_lt_1npm_p174; código antigo i1622zz_1pmm_g19_mdn</t>
  </si>
  <si>
    <t>if1728_1p011m_g27_e001</t>
  </si>
  <si>
    <t>Resgatar e ajustar ilustração+foto de mão segurando um celular com e na tela dele a previsão do tempo.; g23_mdn_lt_1npm_p175. Código antigo if1682rn_1pmm_g19_mdn.
AJUSTE: enviar para tratamento de foto adicionando um fundo cor para tirar o acabamento "decepado" da mão, conforme indicado na leitura prévia da Arte. A foto não pode sangrar na página.
Compor a foto da mão segurando o celular e a ilustração da previsão do tempo no mesmo código if1728_1p011m_g27_e001.       Virou i apenas novo código: i1769_1p011m_g27_e001</t>
  </si>
  <si>
    <t>i1729_1p011m_g27_e001</t>
  </si>
  <si>
    <t>Resgatar ilustração de sol representando um dia ensolarado; g23_mdn_lt_1npm_p175; código antigo i1667rn_1pmm_g19_mdn</t>
  </si>
  <si>
    <t>i1730_1p011m_g27_e001</t>
  </si>
  <si>
    <t>Resgatar ilustração de sol entre nuvens representando um dia com sol entre nuvens; g23_mdn_lt_1npm_p175; código antigo i1668rn_1pmm_g19_mdn</t>
  </si>
  <si>
    <t>i1731_1p011m_g27_e001</t>
  </si>
  <si>
    <t>Resgatar ilustração de nuvem com chuva representando um dia chuvoso; g23_mdn_lt_1npm_p175; código antigo i1669rn_1pmm_g19_mdn</t>
  </si>
  <si>
    <t>i1733_1p011m_g27_e001</t>
  </si>
  <si>
    <t>Ilustração de calendário do padrão de ilustrações atual do mês de JULHO/2027. Ver ideia a seguir.</t>
  </si>
  <si>
    <t>i1734_1p011m_g27_e001</t>
  </si>
  <si>
    <t>Ilustração do calendário do padrão de ilustração atual do mês de JANEIRO/2027 com o dia 20 contornado. Ver ideia a seguir.</t>
  </si>
  <si>
    <t>i1735_1p011m_g27_e001</t>
  </si>
  <si>
    <t>Ilustração do calendário do padrão de ilustração atual com todos os meses de 2027. Ver ideia a seguir.</t>
  </si>
  <si>
    <t>i1737_1p011m_g27_e001</t>
  </si>
  <si>
    <t>Resgatar ilustração de menino no parque dando 7 passos até o banco; g23_mdn_lt_1npm_p182; código antigo i3028_1npm_g23_mdn_re</t>
  </si>
  <si>
    <t>i1738_1p011m_g27_e001</t>
  </si>
  <si>
    <t>Resgatar ilustração de menino no parque dando 10 passos até o banco; g23_mdn_lt_1npm_p182; código antigo i3029_1npm_g23_mdn_re</t>
  </si>
  <si>
    <t>i1739_1p011m_g27_e001</t>
  </si>
  <si>
    <t>Resgatar ilustração de menina no parque dando 9 passos até o banco; g23_mdn_lt_1npm_p182; código antigo i3030_1npm_g23_mdn_re</t>
  </si>
  <si>
    <t>i1745_1p011m_g27_e001</t>
  </si>
  <si>
    <t>Resgatar ilustração de uma régua; g23_mdn_lt_1npm_p184; código antigo i1624zz_1pmm_g19_mdn</t>
  </si>
  <si>
    <t>i1901_1p011m_g27_e001</t>
  </si>
  <si>
    <t>Resgatar ilustração de duas crianças conversando e uma delas com uma prancheta na mão, em g23_mdn_lt_1npm_p0139_u6, código i1225gn_1pmm_g19_mdn.</t>
  </si>
  <si>
    <t>i1906_1p011m_g27_e001</t>
  </si>
  <si>
    <t>Resgatar ilustração dos meninos com bolinhas de gude do g23_mdn_lt_1npm_p148 código antigo i5301so_1m3sem_m20_stl_aj</t>
  </si>
  <si>
    <t>i1908_1p011m_g27_e001</t>
  </si>
  <si>
    <t>Resgatar ilustração dos passarinhos azuis e vermelhos do g23_mdn_lt_1npm_p150 código antigo i1408so_1pmm_g19_mdn_ef</t>
  </si>
  <si>
    <t>i1909_1p011m_g27_e001</t>
  </si>
  <si>
    <t>Resgatar ilustração de 1 barra e 2 cubinhos do g23_mdn_lt_1npm_p150 código antigo i1441zz_1pmm_g19_mdn</t>
  </si>
  <si>
    <t>TAMIRES AZEVEDO/ARQUIVO DA EDITORA</t>
  </si>
  <si>
    <t>i1910_1p011m_g27_e001</t>
  </si>
  <si>
    <t>Resgatar ilustração de 7 cubinhos do g23_mdn_lt_1npm_p150 código antigo i1442zz_1pmm_g19_mdn</t>
  </si>
  <si>
    <t>i1911_1p011m_g27_e001</t>
  </si>
  <si>
    <t>Resgatar ilustração de 1 barra e 9 cubinhos do g23_mdn_lt_1npm_p150 código antigo i1443zz_1pmm_g19_mdn</t>
  </si>
  <si>
    <t>i1912_1p011m_g27_e001</t>
  </si>
  <si>
    <t>Resgatar ilustração de 1 barra e 3 cubinhos do g23_mdn_lt_1npm_p151 código antigo i1444zz_1pmm_g19_mdn</t>
  </si>
  <si>
    <t>i1913_1p011m_g27_e001</t>
  </si>
  <si>
    <t>Resgatar ilustração de 5 cubinhos do g23_mdn_lt_1npm_p151 código antigo i1445zz_1pmm_g19_mdn</t>
  </si>
  <si>
    <t>i1914_1p011m_g27_e001</t>
  </si>
  <si>
    <t>Resgatar ilustração de 1 barra e 8 cubinhos do g23_mdn_lt_1npm_p150 código antigo i1446zz_1pmm_g19_mdn</t>
  </si>
  <si>
    <t>i1915_1p011m_g27_e001</t>
  </si>
  <si>
    <t>Resgatar ilustração de 1 barra e 1 cubinho do g23_mdn_lt_1npm_p150 código antigo i1447zz_1pmm_g19_mdn</t>
  </si>
  <si>
    <t>i1916_1p011m_g27_e001</t>
  </si>
  <si>
    <t>Resgatar ilustração de 4 cubinhos do g23_mdn_lt_1npm_p150 código antigo i1448zz_1pmm_g19_mdn</t>
  </si>
  <si>
    <t>i1917_1p011m_g27_e001</t>
  </si>
  <si>
    <t>Resgatar ilustração de 1 barra e 5 cubinhos do g23_mdn_lt_1npm_p150 código antigo i1449zz_1pmm_g19_mdn</t>
  </si>
  <si>
    <t>i1918_1p011m_g27_e001</t>
  </si>
  <si>
    <t>Resgatar ilustração de 1 barra e 4 cubinhos do g23_mdn_lt_1npm_p150 código antigo i1450zz_1pmm_g19_mdn</t>
  </si>
  <si>
    <t>i1919_1p011m_g27_e001</t>
  </si>
  <si>
    <t>Resgatar ilustração de 3 cubinhos do g23_mdn_lt_1npm_p150 código antigo i1451zz_1pmm_g19_mdn</t>
  </si>
  <si>
    <t>i1920_1p011m_g27_e001</t>
  </si>
  <si>
    <t>Resgatar ilustração de 1 barra e 7 cubinhos do g23_mdn_lt_1npm_p150 código antigo i1452zz_1pmm_g19_mdn</t>
  </si>
  <si>
    <t>i1921_1p011m_g27_e001</t>
  </si>
  <si>
    <t>Resgatar a ilustração da régua mostrando o cálculo 7+4 do g23_mdn_lt_1npm_p151 código antigo i1414zz_1npm_m20_mdn_re</t>
  </si>
  <si>
    <t>CYNTHIA SEKIGUCHI/ARQUIVO DA EDITORA</t>
  </si>
  <si>
    <t>i1922_1p011m_g27_e001</t>
  </si>
  <si>
    <t>Resgatar ilustração de 11 palitos amarelos do g23_mdn_lt_1npm_p153 código antigo i1409zz_1pmm_g19_mdn. AJUSTE: excluir os palitinhos em cor resposta</t>
  </si>
  <si>
    <t>SERGIO LIMA/ARQUIVO DA EDITORA</t>
  </si>
  <si>
    <t>i1923_1p011m_g27_e001</t>
  </si>
  <si>
    <t>Resgatar ilustração dos gatinhos brincando do g23_mdn_lt_1npm_p153 código antigo i1410za_1pmm_g19_mdn</t>
  </si>
  <si>
    <t>i1924_1p011m_g27_e001</t>
  </si>
  <si>
    <t>Resgatar ilustração dos gatinhos brincando e chegando mais 3 gatinhos do g23_mdn_lt_1npm_p153 código antigo i1411za_1pmm_g19_mdn</t>
  </si>
  <si>
    <t>i1925_1p011m_g27_e001</t>
  </si>
  <si>
    <t>Resgatar ilustração de menina elaborando convite de aniversário do g23_mdn_lt_1npm_p154 código antigo i1430rl_1pmm_g18_mdn</t>
  </si>
  <si>
    <t>Gabriella Imai</t>
  </si>
  <si>
    <t>i1926_1p011m_g27_e001</t>
  </si>
  <si>
    <t>Resgatar ilustração de 1 barra e 3 cubinhos do g23_mdn_lt_1npm_p154 código antigo i1421zz_1pmm_g19_mdn</t>
  </si>
  <si>
    <t>i1927_1p011m_g27_e001</t>
  </si>
  <si>
    <t>Resgatar ilustração de 1 barra e 1 cubinho do g23_mdn_lt_1npm_p154 código antigo i1422zz_1pmm_g19_mdn</t>
  </si>
  <si>
    <t>i1928_1p011m_g27_e001</t>
  </si>
  <si>
    <t>Resgatar ilustração de 2 barras e 4 cubinhos do g23_mdn_lt_1npm_p154 código antigo i1423zz_1pmm_g19_mdn</t>
  </si>
  <si>
    <t>i1929_1p011m_g27_e001</t>
  </si>
  <si>
    <t>Resgatar ilustração de cubos vermelhos e amarelos do g23_mdn_lt_1npm_p155 código antigo it1412_1pmm_g19_mdn</t>
  </si>
  <si>
    <t>i1932_1p011m_g27_e001</t>
  </si>
  <si>
    <t>Resgatar ilustração do senhor vendendo pães integrais do g23_mdn_lt_1nmp_p158 código antigo i1416sh_1pmm_g19_mdn</t>
  </si>
  <si>
    <t>i1933_1p011m_g27_e001</t>
  </si>
  <si>
    <t>Resgatar ilustração de 1 barra e 7 cubinhos do g23_mdn_lt_1npm_p159 código antigo i1453zz_1pmm_g19_mdn</t>
  </si>
  <si>
    <t>i1934_1p011m_g27_e001</t>
  </si>
  <si>
    <t>Resgatar ilustração de 1 barra, 7 cubinhos, sendo 3 riscados do g23_mdn_lt_1npm_p159 código antigo i2611zz_1npm_g23_mdn_aj</t>
  </si>
  <si>
    <t>i1935_1p011m_g27_e001</t>
  </si>
  <si>
    <t>Resgatar ilustração de 1 barra, 9 cubinhos sendo 8 riscados do g23_mdn_lt_1npm_p159 código antigo i2612zz_1npm_g23_mdn_aj</t>
  </si>
  <si>
    <t>i1936_1p011m_g27_e001</t>
  </si>
  <si>
    <t>Resgatar ilustração de 1 barra, 3 cubinhos sendo 2 riscados do g23_mdn_lt_1npm_p159 código antigo i2613zz_1npm_g23_mdn_aj</t>
  </si>
  <si>
    <t>i1937_1p011m_g27_e001</t>
  </si>
  <si>
    <t>Resgatar ilustração de 2 barras e 5 cubinhos sendo 4 riscados do g23_mdn_lt_1npm_p159 código antigo i2614zz_1npm_g23_mdn_aj</t>
  </si>
  <si>
    <t>i1938_1p011m_g27_e001</t>
  </si>
  <si>
    <t>Resgatar ilustração de estante com 8 bonecas do g23_mdn_lt_1npm_p159 código antigo i1418so_1pmm_g19_mdn</t>
  </si>
  <si>
    <t>i1939_1p011m_g27_e001</t>
  </si>
  <si>
    <t>Resgatar ilustração de 2 barras e 9 cubinhos do g23_mdn_lt_1npm_p162 código antigo i1427zz_1pmm_g19_mdn</t>
  </si>
  <si>
    <t>i1940_1p011m_g27_e001</t>
  </si>
  <si>
    <t>Resgatar ilustração de 2 barras e 9 cubinhos, sendo 1 barra e 5 cubinhos riscados. Veio do g23_mdn_lt_1npm_p162 código antigo i1428zz_1pmm_g19_mdn</t>
  </si>
  <si>
    <t>i1941_1p011m_g27_e001</t>
  </si>
  <si>
    <t>Resgatar ilustração das meninas colhendo jabuticabas do g23_mdn_lt_1npm_p162 código antigo i1426so_1pmm_g19_mdn
Ajustar a il para não vazar na página conforme sugerido na leitura da arte</t>
  </si>
  <si>
    <t>i1942_1p011m_g27_e001</t>
  </si>
  <si>
    <t>Resgatar ilustração de copos em uma bandeja do g23_mdn_lt_1npm_p163 código antigo i1424so_1pmm_g19_mdn</t>
  </si>
  <si>
    <t>i1943_1p011m_g27_e001</t>
  </si>
  <si>
    <t>Resgatar ilustração de álbum de fotos do g23_mdn_lt_1npm_p163 código antigo i1425so_1pmm_g19_mdn</t>
  </si>
  <si>
    <t>i1944_1p011m_g27_e001</t>
  </si>
  <si>
    <t>Resgatar ilustração de homem com bacia com ovos do g23_mdn_lt_1npm_p163 código antigo i1436cg_1pmm_g19_mdn</t>
  </si>
  <si>
    <t>i1945_1p011m_g27_e001</t>
  </si>
  <si>
    <t>Resgatar il de 25 estrelas amarelas do g23_mdn_lt_1npm_p165 código antigo i2608sl_1npm_g23_mdn</t>
  </si>
  <si>
    <t>i1946_1p011m_g27_e001</t>
  </si>
  <si>
    <t>Resgatar il de 13 estrelas amarelas do g23_mdn_lt_1npm_p165 código antigo i2609sl_1npm_g23_mdn</t>
  </si>
  <si>
    <t>i0174_1p011m_g27_e001</t>
  </si>
  <si>
    <t>o que ja sabe</t>
  </si>
  <si>
    <t xml:space="preserve">Resgatar e ajustar ilustração de uma sequência com 6 triângulos, sendo 3 verdes e 3 vermelhos intercalando as cores, na página 8 do g23_mdn_lt_1npm_p006a009_o_que_vc_ja_sabe código antigo it0227ja_1npm_g23_mdn.
AJUSTE: O ajuste consiste em excluir as setas, aproximar as figuras e adicionar (3 pontinhos) ... após a última figura, conforme referência a seguir.
</t>
  </si>
  <si>
    <t>Felipe Grigoli</t>
  </si>
  <si>
    <t>i0302_1p011m_g27_e001</t>
  </si>
  <si>
    <t>Ilustração de um pastor de ovelhas observando 5 ovelhas ao fundo. Esse pastor deve estar utilizando pedras para representar a quantidade de ovelhas que ele tem, nesse caso, 5. Ele pode estar abaixado colocando a 5ª pedra (as 4 outras pedras podem estar dispostas no chão alinhadas). Deve ser possível contar as pedras. Ver ideia a seguir.</t>
  </si>
  <si>
    <t>R: 20/03  F: 26/03</t>
  </si>
  <si>
    <t>i0303_1p011m_g27_e001</t>
  </si>
  <si>
    <t xml:space="preserve">Ilustração de uma embalagem com 4 carrinhos de maneira que seja possível contar os 4 carrinhos. </t>
  </si>
  <si>
    <t>A leitura transversal solicitou um ajuste, como ainda não foi liberada para produzir, vou liberar novamente com outro código (i0428_1p011m_g27_e001)</t>
  </si>
  <si>
    <t>i0304_1p011m_g27_e001</t>
  </si>
  <si>
    <t>Ilustração de 4 palitos de sorvete (ver padrão de ilustrações). Ver ideia a seguir.</t>
  </si>
  <si>
    <t>PADRÃO</t>
  </si>
  <si>
    <t>i0305_1p011m_g27_e001</t>
  </si>
  <si>
    <t>Ilustração de três cubinhos do material dourado (ver padrão de ilustrações). Ver ideia a seguir.</t>
  </si>
  <si>
    <t>i0306_1p011m_g27_e001</t>
  </si>
  <si>
    <t>Ilustração de 6 botões coloridos. Ver ideia a seguir.</t>
  </si>
  <si>
    <t>fg</t>
  </si>
  <si>
    <t>i0308_1p011m_g27_e001</t>
  </si>
  <si>
    <t>Resgatar e ajustar ilustração de um cachorro com sua casinha ao fundo, em g23_mdn_lt_1npm_p34; código antigo i0642_1npm_g23_mdn_re
AJUSTE: Não sangrar ilustração na página, fechar no grid, conforme solicitado na leitura prévia da Arte.</t>
  </si>
  <si>
    <t>i0309_1p011m_g27_e001</t>
  </si>
  <si>
    <t xml:space="preserve">Resgatar e ajustar ilustração de três casinhas de cachorro em g23_mdn_lt_1npm_p34; código antigo i0603so_1npm_g23_mdn.
AJUSTE: O ajuste consiste em melhorar o espaçameto entre as casinhas, deixá-las um pouco mais distantes.
</t>
  </si>
  <si>
    <t>i0311_1p011m_g27_e001</t>
  </si>
  <si>
    <t>ilustração de duas meninas brincanco com bonecas dentro de um quarto, não fazer muitos elementos em volta delas, somente algo que de para reconhecer que é um quarto, uma das meninas deve ter traços de sindrome de down e necessariamente na cena, deve ter uma boneca perto de uma das meninas e uma outra boneca na mão de uma delas, tipo abraçando. somente duas bonecas e duas meninas (é o objetivo da atividade contar as crianças e as bonecas, por isso não fazer muitos elementos para não confundir o aluno)</t>
  </si>
  <si>
    <t>jn</t>
  </si>
  <si>
    <t>R: 25/03  F: 31/03</t>
  </si>
  <si>
    <t>i0315_1p011m_g27_e001</t>
  </si>
  <si>
    <t xml:space="preserve">Ilustração de 4 petecas em fio preto para que o estudante possa pintar.
Ver referência a seguir, porém não fazer igual, é só para ter uma ideia de como deve ser.
</t>
  </si>
  <si>
    <t>pn</t>
  </si>
  <si>
    <t>i0316_1p011m_g27_e001</t>
  </si>
  <si>
    <t xml:space="preserve">Resgatar e ajustar ilustração de 4 crianças comendo em uma mesa, em g23_mdn_lt_1npm_p037; código antigo i0408za_1pmm_g19_mdn. 
AJUSTES: O ajuste consiste em cropar um pouco a parte superior e inferiror da imagem, a fim de ganharmos espaço vertical, e a criança com faixa na cabeça no canto da mesa deve usar cadeira de rodas.
</t>
  </si>
  <si>
    <t>i0319_1p011m_g27_e001</t>
  </si>
  <si>
    <t xml:space="preserve">Resgatar e ajustar ilustração de uma caixa com duas bolinhas, em g23_mdn_lt_1npm_p038; código antigo i0413rm_1pmm_g19_mdn
AJUSTES: Retirar as bolinhas em cor resposta da imagem.
Reduzir a caixa na altura e deixar mais horizontal. Ver ideia de como deve ficar a caixa a seguir.
</t>
  </si>
  <si>
    <t>i0321_1p011m_g27_e001</t>
  </si>
  <si>
    <t xml:space="preserve">Il. fichas com os números de 1 a 5, na ordem 3, 1, 4, 5, 2. Conforme referência.
Arte: separar em A, B, C, D e E.
OBS: fazer os números no formato da referência a seguir.
</t>
  </si>
  <si>
    <t>g0327_1p011m_g27_e001</t>
  </si>
  <si>
    <t xml:space="preserve">Il. de gráfico de barras verticais com os eixos “QUANTIDADE DE CACHORROS” e “FOTO”. No eixo horizontal deve estar a indicação para cada coluna: FOTO 1; FOTO 2; FOTO 3; FOTO 4. Cada coluna deve ter uma barra com 7 quadradinhos cada.
ARTE: usar a base da il gt4022sl_1bam_g23_ftd pegar essa só de exemplo para compor o gráfico, deixar os espaços mais quadradinhos e não tão retangulares, fazer conforme a referência. 
</t>
  </si>
  <si>
    <t>i0328_1p011m_g27_e001</t>
  </si>
  <si>
    <t xml:space="preserve">Ilustração de um menino segurando balões. Ele deve estar de costas para o leitor. Na mão esquerda, ele deve ter 3 balões e na direita, 1. Compor um chão para o menino. Compor o menino com os dois pés no chão.
Ver ideia a seguir.
</t>
  </si>
  <si>
    <t>i0329_1p011m_g27_e001</t>
  </si>
  <si>
    <t>Ilustração de três giz de cera do padrão de imagens, dispostos conforme referência a seguir.</t>
  </si>
  <si>
    <t>i0330_1p011m_g27_e001</t>
  </si>
  <si>
    <t>Ilustração de 5 óculos coloridos e variados, conforme referência a seguir resgatar e ajustar o oculos usado no 2npp  codigo antigo i0716rm_2npp_ca_m20_mdn_re</t>
  </si>
  <si>
    <t>i0331_1p011m_g27_e001</t>
  </si>
  <si>
    <t xml:space="preserve">Ilustração de um triângulo equilátero. Não colorir seu interior.
ARTE: a cota e a escrita LADO será inserida na diagramação, não colocar na imagem.
</t>
  </si>
  <si>
    <t>i0332_1p011m_g27_e001</t>
  </si>
  <si>
    <t xml:space="preserve">Ilustração de um quadrado. Não colorir seu interior.
ARTE: a cota e a escrita LADO será inserida na diagramação, não colocar na imagem.
</t>
  </si>
  <si>
    <t>i0333_1p011m_g27_e001</t>
  </si>
  <si>
    <t xml:space="preserve">Resgatar e ajustar ilustração de formigas como se estivessem segurando feijões. Veio do g23_mdn_lt_1npm_p039; código antigo i0641za_1npm_g23_mdn_aj
AJUSTE: Dividir as formigas em duas linhas (umas indo e outras voltando), conforme referência a seguir.
</t>
  </si>
  <si>
    <t>i0342_1p011m_g27_e001</t>
  </si>
  <si>
    <t xml:space="preserve">Il. de um quadradinho de 1 cm da malha quadriculada </t>
  </si>
  <si>
    <t>i0343_1p011m_g27_e001</t>
  </si>
  <si>
    <t>Il. de uma malha quadriculada com quadradinhos de 1 cm. Deixar com 52 quadradinhos (4x13)</t>
  </si>
  <si>
    <t>i0344_1p011m_g27_e001</t>
  </si>
  <si>
    <t xml:space="preserve">Il. fichas com os números de 5 a 9, na ordem 9, 6, 5, 7 e 8. Conforme referência.
Arte: separar em A, B, C, D e E.
OBS: fazer os números no formato da referência a seguir.
</t>
  </si>
  <si>
    <t>i0357_1p011m_g27_e001</t>
  </si>
  <si>
    <t xml:space="preserve">Ilustração bolo de aniversário. Resgatar do g23_mdn_lt_1npm_p46; código antigo i0450rm_1pmm_g19_mdn
AJUSTE: Excluir as ilustrações das velas em magenta, retirar os pratinhos para aumentar o bolo horizontalmente, a fim de aumentar o espaço para o estudante desenhar.
</t>
  </si>
  <si>
    <t>i0370_1p011m_g27_e001</t>
  </si>
  <si>
    <t xml:space="preserve">Resgatar ilustração artistas e frutas; g23_mdn_lt_1npm_p48; código antigo i0464so_1pmm_g19_mdn
AJUSTAR: dar espaço entre os personagens para que possa ser inserida uma legenda com o nome para cada um.
</t>
  </si>
  <si>
    <t>i0377_1p011m_g27_e001</t>
  </si>
  <si>
    <t xml:space="preserve">Resgatar ilustração caixa com 5 bolinhas; g23_mdn_lt_1npm_p49; código antigo i0477rm_1pmm_g19_mdn
AJUSTE: retirar os contornos de bolinhas em cor resposta.
</t>
  </si>
  <si>
    <t>i0378_1p011m_g27_e001</t>
  </si>
  <si>
    <t xml:space="preserve">Resgatar ilustração caixa com 6 bolinhas; g23_mdn_lt_1npm_p49; código antigo i0478rm_1pmm_g19_mdn
AJUSTE: retirar os contornos de bolinhas em cor resposta.
</t>
  </si>
  <si>
    <t>i0380_1p011m_g27_e001</t>
  </si>
  <si>
    <t xml:space="preserve">Resgatar ilustração de crianças em uma festa de aniversário; g23_mdn_lt_1npm_p50; código antigo i0480so_1pmm_g19_mdn_ef
AJUSTE: colocar um colar de autismo em uma das crianças, conforme referência
</t>
  </si>
  <si>
    <t>A leitura transversal solicitou retirar o cordão de autismo por ser uma situação de barulho. Assim, vou pedir resgate com outro código (i0429_1p011m_g27_e001)</t>
  </si>
  <si>
    <t>i0385_1p011m_g27_e001</t>
  </si>
  <si>
    <t>Il. de um acarajé com vatapá, um com camarão e outro com vinagrete.</t>
  </si>
  <si>
    <t>R:21/03   F:26/03</t>
  </si>
  <si>
    <t>i0391_1p011m_g27_e001</t>
  </si>
  <si>
    <t xml:space="preserve">Il. de um menino e uma menina brincando com fichas e um dado em uma mesa.
Resgatar il. do Novo Pitanguá Matemática p. 60 versão Mercado-2020  código antigo i0523mm_1npm_m20_mdn_ef
AJUSTE: Inserir um gesso no braço da menina.
</t>
  </si>
  <si>
    <t>mm</t>
  </si>
  <si>
    <t>i0415_1p011m_g27_e001</t>
  </si>
  <si>
    <t xml:space="preserve">Resgatar ilustração crianças brincando amarelinha; g23_mdn_lt_1npm_p54; código antigo i0553za_1pmm_g18_mdn
AJUSTES: Cortar a imagem, retirando a parte amarela do fim da página. 
Ajustar a cor de uma das crianças para que seja negra.
além disso acrescentar um adulto na cena
sugestão da arte ao lado
</t>
  </si>
  <si>
    <t>i0416_1p011m_g27_e001</t>
  </si>
  <si>
    <t xml:space="preserve">Resgatar ilustração borboletas no céu; g23_mdn_lt_1npm_p56; código antigo i0549so_1pmm_g19_mdn
Ajuste: colorir as borboletas de cores diferentes: a 1ª ajustar a cor para laranja, a 2ª de azul, a 3ª de verde, a 4ª de vermelho e a 5ª de roxo. 
</t>
  </si>
  <si>
    <t>i0421_1p011m_g27_e001</t>
  </si>
  <si>
    <t xml:space="preserve">Resgatar ilustração trem com números nos vagões; g23_mdn_lt_1npm_p58; código antigo i0536mk_1pmm_g19_mdn
AJUSTE: excluir as respostas dos quadrinhos
</t>
  </si>
  <si>
    <t>Tatiane Galheiro</t>
  </si>
  <si>
    <t>i0422_1p011m_g27_e001</t>
  </si>
  <si>
    <t xml:space="preserve">Resgatar ilustração tirinha mostrando rotina de um menino; g23_mdn_lt_1npm_p55; código antigo i0513za_1pmm_g19_mdn
AJUSTE: separar a il de A a F
</t>
  </si>
  <si>
    <t>i0427_1p011m_g27_e001</t>
  </si>
  <si>
    <t xml:space="preserve">Il. de fichas com os números 3, 9, 0, 4 e 7. Resgatar da p. 59 do g23_mdn_lt_1npm_p59 código antigo i0236ja_1npm_g23_mdn
Arte: separar em A, B, C, D e E.
</t>
  </si>
  <si>
    <t>i6101_1p011m_g27_e001</t>
  </si>
  <si>
    <t>o que estudou</t>
  </si>
  <si>
    <t xml:space="preserve">Resgatar ilustrações crianças no parque; g23_mdn_lt_1npm_p196 código antigo i3036so_1npm_g23_mdn_re
AJUSTE: Ajustar a ilustração no grid da página 
</t>
  </si>
  <si>
    <t>i6105_1p011m_g27_e001</t>
  </si>
  <si>
    <t xml:space="preserve">Resgatar ilustração círculos verdes, quadrados azuis, círculos amarelos, separados por setas; g23_mdn_lt_1npm_p198; código antigo it3038ja_1npm_g23_mdn
AJUSTE: retirar as setas entre as imagens para que elas fiquem em uma linha e acrescentar reticências ao final
</t>
  </si>
  <si>
    <t>i0166_1p011m_g27_e001</t>
  </si>
  <si>
    <t>Resgatar ilustração de um quarto com vários objetos, na página 6 do g23_mdn_lt_1npm_p006a009_o_que_vc_ja_sabe código antigo i0220za_1npm_g23_mdn_aj</t>
  </si>
  <si>
    <t>i0167_1p011m_g27_e001</t>
  </si>
  <si>
    <t>Resgatar ilustração de várias crianças em fila atrás de uma mulher adulta, na página 6 do g23_mdn_lt_1npm_p006a009_o_que_vc_ja_sabe. Código antigo i0524so_1npm_m20_mdn</t>
  </si>
  <si>
    <t>i0168_1p011m_g27_e001</t>
  </si>
  <si>
    <t>Resgatar ilustração de 7 carrinhos enfileirados, na página 7 do g23_mdn_lt_1npm_p006a009_o_que_vc_ja_sabe código antigo i0222rm_1npm_g23_mdn</t>
  </si>
  <si>
    <t>i0169_1p011m_g27_e001</t>
  </si>
  <si>
    <t>Resgatar ilustração de 5 bananas, na página 7 do g23_mdn_lt_1npm_p006a009 código antigo i0223rm_1npm_g23_mdn</t>
  </si>
  <si>
    <t>HELOÍSA PINTARELLI/ARQUIVO DA EDITORA</t>
  </si>
  <si>
    <t>i0348_1p011m_g27_e001</t>
  </si>
  <si>
    <t>Resgatar ilustração 7 figurinhas de animais; g23_mdn_lt_1npm_p43; código antigo i0446rm_1pmm_g19_mdn</t>
  </si>
  <si>
    <t>i0171_1p011m_g27_e001</t>
  </si>
  <si>
    <t>Resgatar ilustração de uma esfera, na página 8 do g23_mdn_lt_1npm_p006a009_o_que_vc_ja_sabe código antigo it0860_1pmm_g19_mdn</t>
  </si>
  <si>
    <t>i0172_1p011m_g27_e001</t>
  </si>
  <si>
    <t>Resgatar ilustração de um cilindro, na página 8 do g23_mdn_lt_1npm_p006a009_o_que_vc_ja_sabe código antigo it0858_1pmm_g19_mdn</t>
  </si>
  <si>
    <t>i0173_1p011m_g27_e001</t>
  </si>
  <si>
    <t>Resgatar ilustração de um cone reto, na página 53 do g23_mdn_lt_4npm. Código antigo it0626_4pmm_g19_mdn</t>
  </si>
  <si>
    <t>i0349_1p011m_g27_e001</t>
  </si>
  <si>
    <t>Resgatar ilustração 8 figurinhas de animais; g23_mdn_lt_1npm_p43; código antigo i0447rm_1pmm_g19_mdn</t>
  </si>
  <si>
    <t>i0350_1p011m_g27_e001</t>
  </si>
  <si>
    <t>Resgatar ilustração 9 figurinhas de animais; g23_mdn_lt_1npm_p43; código antigo i0445rm_1pmm_g19_mdn</t>
  </si>
  <si>
    <t>i0351_1p011m_g27_e001</t>
  </si>
  <si>
    <t>Resgatar ilustração flores vermelhas, brancas e lilás; g23_mdn_lt_1npm_p44; código antigo i0538sh_1pmm_g19_mdn</t>
  </si>
  <si>
    <t>i0379_1p011m_g27_e001</t>
  </si>
  <si>
    <t>Resgatar ilustração caixa com 8 bolinhas; g23_mdn_lt_1npm_p49; código antigo i0479rm_1pmm_g19_mdn</t>
  </si>
  <si>
    <t>i0337_1p011m_g27_e001</t>
  </si>
  <si>
    <t>Resgatar ilustração dos planetas e do sol, em g23_mdn_lt_1npm_p041; código antigo i0424so_1pmm_g19_mdn_ef</t>
  </si>
  <si>
    <t>i0340_1p011m_g27_e001</t>
  </si>
  <si>
    <t>Resgatar ilustração cacho de uva; g23_mdn_lt_1npm_p42; código antigo i0427rm_1pmm_g19_mdn</t>
  </si>
  <si>
    <t>i0381_1p011m_g27_e001</t>
  </si>
  <si>
    <t>Resgatar IL. De 6 estrelas. Resgatar da p. 59 do 1º ano do Pitanguá Matemática, versão MERCADO 2020 código antigo i0516sl_1npm_m20_mdn</t>
  </si>
  <si>
    <t>i0383_1p011m_g27_e001</t>
  </si>
  <si>
    <t>resgatar IL. De 4 estrelas. Resgatar da p.59 do 1º ano do Pitanguá Matemática, versão MERCADO 2020 código antigo i0517sl_1npm_m20_mdn</t>
  </si>
  <si>
    <t>i0382_1p011m_g27_e001</t>
  </si>
  <si>
    <t>resgatar IL. De 9 estrelas. Resgatar da p. 59 do 1º ano do Pitanguá Matemática, versão MERCADO 2020 codigo antigo i0518sl_1npm_m20_mdn</t>
  </si>
  <si>
    <t>i0384_1p011m_g27_e001</t>
  </si>
  <si>
    <t>resgatar IL. De 6 estrelas. Resgatar da p.59 do 1º ano do Pitanguá Matemática, versão MERCADO 2020 código antigo i0519sl_1npm_m20_mdn</t>
  </si>
  <si>
    <t>i0386_1p011m_g27_e001</t>
  </si>
  <si>
    <t>Resgatar ilustração de menina brincando com objetos em formato de poliedros, em g23_mdn_lt_1npm_p0133_u6, código i2202cg_1npm_g23_mdn_aj</t>
  </si>
  <si>
    <t>i0387_1p011m_g27_e001</t>
  </si>
  <si>
    <t>Resgatar ilustração de um cubo com cor amarelo, em g23_mdn_lt_1npm_p0133_u6, código i1208cg_1pmm_g19_mdn</t>
  </si>
  <si>
    <t>i0388_1p011m_g27_e001</t>
  </si>
  <si>
    <t>Resgatar ilustração de um retangulo com cor vermelho, em g23_mdn_lt_1npm_p0133_u6, código i1209cg_1pmm_g19_mdn</t>
  </si>
  <si>
    <t>i0389_1p011m_g27_e001</t>
  </si>
  <si>
    <t>Resgatar ilustração de uma esfera com cor azul, em g23_mdn_lt_1npm_p0133_u6, código i1210cg_1pmm_g19_mdn</t>
  </si>
  <si>
    <t>i0390_1p011m_g27_e001</t>
  </si>
  <si>
    <t>Resgatar ilustração de um cilindro com cor lilás, em g23_mdn_lt_1npm_p0133_u6, código i1211cg_1pmm_g19_mdn</t>
  </si>
  <si>
    <t>i0392_1p011m_g27_e001</t>
  </si>
  <si>
    <t>Resgatar ilustração desenho 1 bolinha; g23_mdn_lt_1npm_p51; código antigo i0482mk_1pmm_g19_mdn</t>
  </si>
  <si>
    <t>i0393_1p011m_g27_e001</t>
  </si>
  <si>
    <t>Resgatar ilustração desenho 2 bolinhas; g23+mdn_lt_1npm_p51; código antigo i0483mk_1pmm_g19_mdn</t>
  </si>
  <si>
    <t>i0394_1p011m_g27_e001</t>
  </si>
  <si>
    <t>Resgatar ilustração desenho 3 bolinhas; g23_mdn_lt_1npm_p51; código antigo i0484mk_1pmm_g19_mdn</t>
  </si>
  <si>
    <t>i0395_1p011m_g27_e001</t>
  </si>
  <si>
    <t>Resgatar ilustração desenho 4 bolinhas; g23_mdn_lt_1npm_p51; código antigo i0485mk_1pmm_g19_mdn</t>
  </si>
  <si>
    <t>i0396_1p011m_g27_e001</t>
  </si>
  <si>
    <t>Resgatar ilustração desenho 5 bolinhas; g23_mdn_lt_1npm_p51; código antigo i0486mk_1pmm_g19_mdn</t>
  </si>
  <si>
    <t>Ingridhi Borges</t>
  </si>
  <si>
    <t>i0397_1p011m_g27_e001</t>
  </si>
  <si>
    <t>Resgatar ilustração desenho 6 bolinhas; g23_mdn_lt_1npm_p51; código antigo i0487mk_1pmm_g19_mdn</t>
  </si>
  <si>
    <t>i0398_1p011m_g27_e001</t>
  </si>
  <si>
    <t>Resgatar ilustração desenho 7 bolinhas; g23_mdn_lt_1npm_p51; código antigo i0488mk_1pmm_g19_mdn</t>
  </si>
  <si>
    <t>i0399_1p011m_g27_e001</t>
  </si>
  <si>
    <t>Resgatar ilustração 8 bolinhas; g23_mdn_lt_1npm_p51; código antigo i0489mk_1pmm_g19_mdn</t>
  </si>
  <si>
    <t>i0400_1p011m_g27_e001</t>
  </si>
  <si>
    <t>Resgatar ilustração 9 bolinhas; g23_mdn_lt_1npm_p51; código antigo i0490mk_1pmm_g19_mdn</t>
  </si>
  <si>
    <t>i0401_1p011m_g27_e001</t>
  </si>
  <si>
    <t>Resgatar ilustração 10 bolinhas; g23_mdn_lt_1npm_p51; código antigo i0491mk_1pmm_g19_mdn</t>
  </si>
  <si>
    <t>i0412_1p011m_g27_e001</t>
  </si>
  <si>
    <t>Resgatar ilustração 2 gatos e jogo da velha; g23_mdn_lt_1npm_p52; código antigo i0512za_1pmm_g19_mdn</t>
  </si>
  <si>
    <t>i0413_1p011m_g27_e001</t>
  </si>
  <si>
    <t>Resgatar ilustração reta métrica; g23_mdn_lt_1npm_p53; código antigo it0636sl_1npm_g23_mdn_aj</t>
  </si>
  <si>
    <t>i0414_1p011m_g27_e001</t>
  </si>
  <si>
    <t>Resgatar ilustração professora; g23_mdn_lt_1npm_p53; código antigo i6251so_1m1sem_m20_stl_re</t>
  </si>
  <si>
    <t>i0417_1p011m_g27_e001</t>
  </si>
  <si>
    <t>Resgatar ilustração piscina olímpica; g23_mdn_lt_1npm_p57; código antigo i0522so_1pmm_g19_mdn</t>
  </si>
  <si>
    <t>i0418_1p011m_g27_e001</t>
  </si>
  <si>
    <t>Resgatar ilustração pódio medalhista; g23_mdn_lt_1npm_p57; código antigo i0523so_1pmm_g19_mdn</t>
  </si>
  <si>
    <t>i0419_1p011m_g27_e001</t>
  </si>
  <si>
    <t>Resgatar ilustração 5 velas azuis apagadas; g23_mdn_lt_1npm_p57; código antigo i0637mk_1npm_g23_mdn_aj</t>
  </si>
  <si>
    <t>i0420_1p011m_g27_e001</t>
  </si>
  <si>
    <t>Resgatar ilustração 5 velas azuis acesas; g23_mdn_lt_1npm_p58; código antigo i0638mk_1npm_g23_mdn_aj</t>
  </si>
  <si>
    <t>i0426_1p011m_g27_e001</t>
  </si>
  <si>
    <t>Resgatar ilustração 10 estrelinhas amarelas; g23_mdn_lt_1npm_p59; código antigo i0235ja_1npm_g23_mdn</t>
  </si>
  <si>
    <t>i6103_1p011m_g27_e001</t>
  </si>
  <si>
    <t>Resgatar ilustração esferas verdes, vermelhas, azuis e amarelas; g23_mdn_lt_1npm_p198; código antigo i3042ja_1npm_g23_mdn</t>
  </si>
  <si>
    <t>g6102_1p011m_g27_e001</t>
  </si>
  <si>
    <t>Resgatar gráfico da quantia em reais, poupada pelas irmãs em MARÇO/2022; g23_mdn_lt_1npm_p199; código antigo gt3043_1npm_g23_mdn</t>
  </si>
  <si>
    <t>i0101_4p011m_g27_e001</t>
  </si>
  <si>
    <t xml:space="preserve">Resgatar ilustração da reta numérica do g23_mdn_lt_4npm_p006 código antigo it0310_3npm_m20_mdn
AJUSTE: Retirar as respostas
</t>
  </si>
  <si>
    <t>i0102_4p011m_g27_e001</t>
  </si>
  <si>
    <t>Resgatar ilustração da planificação do g23_mdn_lt_4npm_p006 código antigo it0221sl_4npm_g23_mdn</t>
  </si>
  <si>
    <t>i0104_4p011m_g27_e001</t>
  </si>
  <si>
    <t>Resgatar ilustração da malha quadriculada do g23_mdn_lt_4npm_p007 código antigo i0955zz_3npm_m20_mdn</t>
  </si>
  <si>
    <t>resgate c ajuste</t>
  </si>
  <si>
    <t>i0105_4p011m_g27_e001</t>
  </si>
  <si>
    <t>Resgatar ilustração do esquema do g23_mdn_lt_4npm_p007 código antigo i0224_4npm_g23_mdn_re</t>
  </si>
  <si>
    <t>i0106_4p011m_g27_e001</t>
  </si>
  <si>
    <t>Resgatar ilustração do relógio do g23_mdn_lt_4npm_p009 código antigo i0225zz_4npm_g23_mdn_aj</t>
  </si>
  <si>
    <t>i0107_4p011m_g27_e001</t>
  </si>
  <si>
    <t>Resgatar ilustração do relógio do g23_mdn_lt_4npm_p009 código antigo i0226zz_4npm_g23_mdn_aj</t>
  </si>
  <si>
    <t>i0108_4p011m_g27_e001</t>
  </si>
  <si>
    <t>Resgatar ilustração do relógio do g23_mdn_lt_4npm_p009 código antigo i0227zz_4npm_g23_mdn_aj</t>
  </si>
  <si>
    <t>i0109_4p011m_g27_e001</t>
  </si>
  <si>
    <t>Resgatar ilustração do relógio do g23_mdn_lt_4npm_p009 código antigo i0228zz_4npm_g23_mdn_aj</t>
  </si>
  <si>
    <t>i0110_4p011m_g27_e001</t>
  </si>
  <si>
    <t>Resgatar ilustração do relógio do g23_mdn_lt_4npm_p009 código antigo i0229_4npm_g23_mdn_re</t>
  </si>
  <si>
    <t>i0111_4p011m_g27_e001</t>
  </si>
  <si>
    <t>Resgatar ilustração do relógio do g23_mdn_lt_4npm_p009 código antigo i0230_4npm_g23_mdn_re</t>
  </si>
  <si>
    <t>i0112_4p011m_g27_e001</t>
  </si>
  <si>
    <t>Resgatar ilustração do relógio do g23_mdn_lt_4npm_p009 código antigo i0231_4npm_g23_mdn_re</t>
  </si>
  <si>
    <t>i0113_4p011m_g27_e001</t>
  </si>
  <si>
    <t>Resgatar ilustração do relógio do g23_mdn_lt_4npm_p009 código antigo i0232_4npm_g23_mdn_re</t>
  </si>
  <si>
    <t>i0114_4p011m_g27_e001</t>
  </si>
  <si>
    <t xml:space="preserve">Resgatar ilustração de xampus do g23_mdn_lt_4npm_p009 código antigo i0233_4npm_g23_mdn_re
AJUSTE: ajustar os preços para 11 reais, 17 reais, 29 reais e 35 reais, respectivamente. 
AJUSTE 2: Ajustar a letra l para L
</t>
  </si>
  <si>
    <t>i0303_4p011m_g27_e001</t>
  </si>
  <si>
    <t>Resgatar ilustração pirâmide amarela; g23_mdn_lt_4npm_p50; código antigo it0610_4pmm_g19_mdn</t>
  </si>
  <si>
    <t>ri</t>
  </si>
  <si>
    <t>i0305_4p011m_g27_e001</t>
  </si>
  <si>
    <t>Resgatar ilustração cilindro amarelo; g23_mdn_lt_4npm_p50; código antigo it0615_4pmm_g19_mdn</t>
  </si>
  <si>
    <t>i0307_4p011m_g27_e001</t>
  </si>
  <si>
    <t>Resgatar ilustração paralelepípedo amarelo; g23_mdn_lt_4npm_p50; código antigo it0611_4pmm_g19_mdn</t>
  </si>
  <si>
    <t>i0309_4p011m_g27_e001</t>
  </si>
  <si>
    <t>Resgatar ilustração cone amarelo; g23_mdn_lt_4npm_p50; código antigo it0612_4pmm_g19_mdn</t>
  </si>
  <si>
    <t>i0311_4p011m_g27_e001</t>
  </si>
  <si>
    <t>Resgatar ilustração esfera amarela; g23_mdn_lt_4npm_p51; código antigo it0614_4pmm_g19_mdn</t>
  </si>
  <si>
    <t>i0313_4p011m_g27_e001</t>
  </si>
  <si>
    <t>Resgatar ilustração cubo amarelo; g23_mdn_lt_4npm_p51; código antigo it0613_4pmm_g19_mdn</t>
  </si>
  <si>
    <t>i0325_4p011m_g27_e001</t>
  </si>
  <si>
    <t>Resgatar Ilustração de um jogo da memória com fichas de formas geométricas, da página 46 do g23_mdn_lt_3npm_p038a047_u2. Código antigo it0606sl_3npm_g23_mdn_aj</t>
  </si>
  <si>
    <t>gabriella imai</t>
  </si>
  <si>
    <t>arte</t>
  </si>
  <si>
    <t>i0326_4p011m_g27_e001</t>
  </si>
  <si>
    <t xml:space="preserve">Resgatar Ilustração de dois personagens jogando o jogo da memória com fichas de formas geométricas, da página 46 do g23_mdn_lt_3npm_p038a047_u2. Código antigo i0604cg_3npm_g23_mdn_aj
AJUSTE 1: Inserir um aparelho auditivo em uma das crianças.
Ajuste 2: Atualizar o verso do cartonado para o novo do projeto gráfico
</t>
  </si>
  <si>
    <t>i0327_4p011m_g27_e001</t>
  </si>
  <si>
    <t xml:space="preserve">Resgatar ilustração pirâmide amarela base quadrada; g23_mdn_lt_4npm_p56; código antigo it0639_4pmm_g19_mdn </t>
  </si>
  <si>
    <t>i0328_4p011m_g27_e001</t>
  </si>
  <si>
    <t xml:space="preserve">Resgatar e ajustar do 4º ano do Novo Pitanguá matemática, Mercado 2020, p. 59. 
O ajuste consiste em trocar a caixa de fósforo por uma caixa de sabonete (manter o mesmo tamanho); trocar as canetinhas amarela e azul por uma preta; as embalagens de tinta por uma embalagem de tinta branca; e adicionar um pincel. Além disso, ajustar disposição dos elementos para que a imagem fique mais horizontal.  código antigo i0669Aso_4npm_m20_mdn
</t>
  </si>
  <si>
    <t>i0329_4p011m_g27_e001</t>
  </si>
  <si>
    <t xml:space="preserve">Il. De duas crianças montando uma escultura.
Resgatar e ajustar do 4º ano do Novo Pitanguá matemática, Mercado 2020, p. 59. O ajuste consiste em deixar a imagem mais horizontal.
código antigo i0669Dso_4npm_m20_mdn
</t>
  </si>
  <si>
    <t>i0330_4p011m_g27_e001</t>
  </si>
  <si>
    <t>Il. De uma escultura montada com materiais recicláveis. 
Resgatar do 4º ano do Novo Pitanguá matemática, Mercado 2020, p. 59. código antigo i0669Bso_4npm_m20_mdn</t>
  </si>
  <si>
    <t>i0331_4p011m_g27_e001</t>
  </si>
  <si>
    <t>Resgatar ilustração pirâmide verde; g23_mdn_lt_4npm_p53; código antigo it0622_4pmm_g19_mdn</t>
  </si>
  <si>
    <t>i0332_4p011m_g27_e001</t>
  </si>
  <si>
    <t>Resgatar ilustração prisma de base pentagonal; g23_mdn_lt_4npm_p53; código antigo it1018sl_4npm_g23_mdn</t>
  </si>
  <si>
    <t>i0333_4p011m_g27_e001</t>
  </si>
  <si>
    <t>Resgatar ilustração cubo verde; g23_mdn_lt_4npm_p53; código antigo it0624_4pmm_g19_mdn</t>
  </si>
  <si>
    <t>i0334_4p011m_g27_e001</t>
  </si>
  <si>
    <t>Resgatar ilustração esfera vermelha; g23_mdn_lt_4npm_p53; código antigo it0625_4pmm_g19_mdn</t>
  </si>
  <si>
    <t>i0335_4p011m_g27_e001</t>
  </si>
  <si>
    <t>Resgatar ilustração cilindro vermelho; g23_mdn_lt_4npm_p53; código antigo it0627_4pmm_g19_mdn_ef</t>
  </si>
  <si>
    <t>i0336_4p011m_g27_e001</t>
  </si>
  <si>
    <t>Resgatar ilustração cone vermelho; g23_mdn_lt_4npm_p53; código antigo it0626_4pmm_g19_mdn</t>
  </si>
  <si>
    <t>i0337_4p011m_g27_e001</t>
  </si>
  <si>
    <t>Resgatar ilustração troco de pirâmide; g23_mdn_lt_4npm_p53; código antigo it0656_4pmm_g19_mdn</t>
  </si>
  <si>
    <t>i0338_4p011m_g27_e001</t>
  </si>
  <si>
    <t>Resgatar ilustração tronco de cone; g23_mdn_lt_4npm_p53; código antigo it0657_4pmm_g19_mdn</t>
  </si>
  <si>
    <t>i0339_4p011m_g27_e001</t>
  </si>
  <si>
    <t>Resgatar ilustração semiesfera azul; g23_mdn_lt_4npm_p53</t>
  </si>
  <si>
    <t>i0340_4p011m_g27_e001</t>
  </si>
  <si>
    <t>Resgatar ilustração pirâmide amarela de base quadrada; g23_mdn_lt_4npm_p54; código antigo it0610_4pmm_g19_mdn</t>
  </si>
  <si>
    <t>i0341_4p011m_g27_e001</t>
  </si>
  <si>
    <t xml:space="preserve">Resgatar ilustração figuras geométricas espaciais; g23_mdn_lt_4npm_p54; código antigo it0669_4pmm_g19_mdn
AJUSTE 1 Deixar apenas o prisma de base pentagonal, o cone, o cilindro e a pirâmide de base triangular conforme a referencia
AJUSTE 2: Separar em A B C D
</t>
  </si>
  <si>
    <t>i0342_4p011m_g27_e001</t>
  </si>
  <si>
    <t>Resgatar ilustração cubo laranja; g23_mdn_lt_4npm_p55; código antigo it1019sl_4npm_g23_mdn</t>
  </si>
  <si>
    <t>i0343_4p011m_g27_e001</t>
  </si>
  <si>
    <t>Resgatar ilustração pirâmide laranja de base hexagonal; g23_mdn_lt_4npm_p55; código antigo it0633_4pmm_g19_mdn</t>
  </si>
  <si>
    <t>i0344_4p011m_g27_e001</t>
  </si>
  <si>
    <t>Resgatar ilustração prisma pentagonal laranja; g23_mdn_lt_4npm_p55; código antigo it0635_4pmm_g19_mdn</t>
  </si>
  <si>
    <t>i0345_4p011m_g27_e001</t>
  </si>
  <si>
    <t>Resgatar ilustração prisma triangular azul; g23_mdn_lt_4npm_p56; código antigo it0638_4pmm_g19_mdn</t>
  </si>
  <si>
    <t>i0346_4p011m_g27_e001</t>
  </si>
  <si>
    <t>Resgatar ilustração pirâmide amarela base quadrada; g23_mdn_lt_4npm_p56; código antigo it0639_4pmm_g19_mdn</t>
  </si>
  <si>
    <t>i0347_4p011m_g27_e001</t>
  </si>
  <si>
    <t>Ilustrar a sequência das figuras: cubo verde, paralelepípedo amarelo , pirâmide de base pentagonal laranja, prisma de base pentagonal roxo. ver referencia</t>
  </si>
  <si>
    <t>vc</t>
  </si>
  <si>
    <t>i0348_4p011m_g27_e001</t>
  </si>
  <si>
    <t>Ilustrar a sequência das figuras: Paralelepípedo amarelo, prisma de base triangular verde, pirâmide de base quadrada azul, prisma de base pentagonal roxo.</t>
  </si>
  <si>
    <t>i0349_4p011m_g27_e001</t>
  </si>
  <si>
    <t xml:space="preserve">Ilustrar a sequência das figuras: cilindro azul, prisma de base triangular verde, cone vermelho, pirâmide de base pentagonal laranja.
ver referencia
</t>
  </si>
  <si>
    <t>i0350_4p011m_g27_e001</t>
  </si>
  <si>
    <t>Resgatar ilustração planificação de um prisma triangular rosa; g23_mdn_lt_4npm_p57; código antigo it1023sl_4npm_g23_mdn</t>
  </si>
  <si>
    <t>i0351_4p011m_g27_e001</t>
  </si>
  <si>
    <t>Resgatar ilustração planificação de um paralelepípedo ciano; g23_mdn_lt_4npm_p57; código antigo it0674_4pmm_g19_mdn_ef</t>
  </si>
  <si>
    <t>i0352_4p011m_g27_e001</t>
  </si>
  <si>
    <t>Resgatar ilustração planificação de uma pirâmide roxa de base pentagonal; g23_mdn_lt_4npm_p57; código antigo it0673_4pmm_g19_mdn_ef</t>
  </si>
  <si>
    <t>i0353_4p011m_g27_e001</t>
  </si>
  <si>
    <t>Il. Da planificação de um prisma de base heptagonal ver referência, mas não fazer as abinhas da referência, seguir a mesma ideia das outras da página, fazer colorida, por exemplo laranja</t>
  </si>
  <si>
    <t>i0354_4p011m_g27_e001</t>
  </si>
  <si>
    <t>Resgatar ilustração planificação prisma triangular rosa; g23_mdn_lt_4npm_p57; código antigo it1027sl_4npm_g23_mdn</t>
  </si>
  <si>
    <t>i0355_4p011m_g27_e001</t>
  </si>
  <si>
    <t>Resgatar ilustração planificação pirâmide verde de base hexagonal; g23_mdn_lt_4npm_p57; código antigo it1030sl_4npm_g23_mdn</t>
  </si>
  <si>
    <t>i0356_4p011m_g27_e001</t>
  </si>
  <si>
    <t>Resgatar ilustração planificação pirâmide roxa de base octogonal; g23_mdn_lt_$npm_p57; código antigo it1028sl_4npm_g23_mdn</t>
  </si>
  <si>
    <t>i0357_4p011m_g27_e001</t>
  </si>
  <si>
    <t>Resgatar ilustração planificação prisma hexagonal laranja; g23_mdn_lt_4npm_p57; código antigo it1031sl_4npm_g23_mdn</t>
  </si>
  <si>
    <t>i0358_4p011m_g27_e001</t>
  </si>
  <si>
    <t>Resgatar ilustração planificação prisma azul de base octogonal; g23_mdn_lt_4npm_p57; código antigo it1029sl_4npm_g23_mdn</t>
  </si>
  <si>
    <t>i0359_4p011m_g27_e001</t>
  </si>
  <si>
    <t>Resgatar ilustração planificação pirâmide amarela de base triangular; g23_mdn_lt_4npm_p57; código antigo it1032sl_4npm_g23_mdn</t>
  </si>
  <si>
    <t>i0360_4p011m_g27_e001</t>
  </si>
  <si>
    <t>Resgatar ilustração planificação cubo; g23_mdn_lt_4npm_p58; código antigo it0630_4pmm_g19_mdn</t>
  </si>
  <si>
    <t>i0361_4p011m_g27_e001</t>
  </si>
  <si>
    <t>Resgatar ilustração planificação forma geométrica; g23_mdn_lt_4npm_p58; código antigo it0631_4pmm_g19_mdn</t>
  </si>
  <si>
    <t>i0362_4p011m_g27_e001</t>
  </si>
  <si>
    <t>Resgatar ilustração planificação cubo; g23_mdn_lt_4npm_p58; código antigo it0632_4pmm_g19_mdn</t>
  </si>
  <si>
    <t>i0363_4p011m_g27_e001</t>
  </si>
  <si>
    <t>Resgatar ilustração prisma triangular; g23_mdn_lt_4npm_p58; código antigo it0648_4pmm_g19_mdn</t>
  </si>
  <si>
    <t>i0364_4p011m_g27_e001</t>
  </si>
  <si>
    <t>Resgatar ilustração pirâmide de base quadrada; g23_mdn_lt_4npm_p58; código antigo it0649_4pmm_g19_mdn</t>
  </si>
  <si>
    <t>i0365_4p011m_g27_e001</t>
  </si>
  <si>
    <t>Resgatar ilustração pirâmide de base hexagonal; g23_mdn_lt_4npm_p58; código antigo it0651_4pmm_g19_mdn</t>
  </si>
  <si>
    <t>i0366_4p011m_g27_e001</t>
  </si>
  <si>
    <t>Resgatar ilustração planificação pirâmide verde de base quadrada; g23_mdn_lt_4npm_p58; código antigo it0652_4pmm_g19_mdn</t>
  </si>
  <si>
    <t>i0367_4p011m_g27_e001</t>
  </si>
  <si>
    <t>Resgatar ilustração planificação pirâmide verde de base hexagonal; g23_mdn_lt_4npm_p58; código antigo it0655_4pmm_g19_mdn</t>
  </si>
  <si>
    <t>i0368_4p011m_g27_e001</t>
  </si>
  <si>
    <t>Resgatar ilustração planificação prisma triangular verde; g23_mdn_lt_4npm_p58; código antigo it0654_4pmm_g19_mdn</t>
  </si>
  <si>
    <t>i0369_4p011m_g27_e001</t>
  </si>
  <si>
    <t>Resgatar ilustração esfera azul; g23_mdn_lt_4npm_p59; código antigo it2557rn_4npm_m20_mdn</t>
  </si>
  <si>
    <t>i0370_4p011m_g27_e001</t>
  </si>
  <si>
    <t>Resgatar ilustração paralelepípedo verde; g23_mdn_lt_4npm_p59; código antigo it2560rn_4npm_m20_mdn</t>
  </si>
  <si>
    <t>i0371_4p011m_g27_e001</t>
  </si>
  <si>
    <t>Resgatar ilustração cilindro vermelho; g23_mdn_lt_4npm_p59; código antigo it2559rn_4npm_m20_mdn</t>
  </si>
  <si>
    <t>i0372_4p011m_g27_e001</t>
  </si>
  <si>
    <t>Resgatar ilustração planificação prisma triangular azul; g23_mdn_lt_4npm_p59; código antigo it2582rn_4npm_m20_mdn</t>
  </si>
  <si>
    <t>i0373_4p011m_g27_e001</t>
  </si>
  <si>
    <t>Resgatar ilustração planificação pirâmide laranja de base hexagonal; g23_mdn_lt_4npm_p59; código antigo it2583rn_4npm_m20_mdn</t>
  </si>
  <si>
    <t>i0374_4p011m_g27_e001</t>
  </si>
  <si>
    <t>Resgatar ilustração planificação cilindro vermelho; g23_mdn_lt_4npm_p59; código antigo it2584rn_4npm_m20_mdn</t>
  </si>
  <si>
    <t>m1701_4p011m_g27_e001</t>
  </si>
  <si>
    <t>MAPA</t>
  </si>
  <si>
    <t xml:space="preserve">Il. de parte do mapa da Comunidade Caiçara da Ilha do Algodão – Rio de Janeiro, apresentada no livro Projeto Povos: Território, identidade e tradição. Territórios tradicionais da Baía de Paraty, p. 202. Esse livro se encontra no link: Territorios_baia_paraty.pdf (o pdf vai ser enviado junto no lote)
Reilustrar o mais parecido possível, vamos usar apenas a parte que indica “Detalhe do centro da ilha” (mas não deve aparecer esse texto na imagem). 
Ajustar a legenda para que apareçam apenas os itens desse detalhe: Áreas de uso e ocupação tradicional e histórica (Ruína, Rancho de pesca, Casa de caiçara, Bananal, Extrativismo, Trilha), Turismo e comércio local (Restaurante), Infraestrutura e serviços públicos (Porto), ver na referencia a ideia da legenda dos itens que vão permanecer
inserir o mapa de localização conforme a referência
</t>
  </si>
  <si>
    <t>Em conversa com a Milena, ela orientou não usar e que o mais adequado seria pedir autorização.</t>
  </si>
  <si>
    <t>i1702_4p011m_g27_e001</t>
  </si>
  <si>
    <t>Recorte da il da casinha marrom (a mesma que for usada na legenda da imagem)</t>
  </si>
  <si>
    <t>i1703_4p011m_g27_e001</t>
  </si>
  <si>
    <t>Recorte da il da casinha laranja (a mesma que for usada na legenda da imagem)</t>
  </si>
  <si>
    <t>i1704_4p011m_g27_e001</t>
  </si>
  <si>
    <t>il de uma casinha parecendo uma igreja amarela tem que ser um pouco diferente da il i1703</t>
  </si>
  <si>
    <t>i0428_1p011m_g27_e001</t>
  </si>
  <si>
    <t>Ilustração de quatro carrinhos em uma prateleira, como se fosse em uma loja (deve aparecer apenas os 4 carrinhos)</t>
  </si>
  <si>
    <t>F: 25/03</t>
  </si>
  <si>
    <t>i0429_1p011m_g27_e001</t>
  </si>
  <si>
    <t>Resgatar ilustração de crianças em uma festa de aniversário; g23_mdn_lt_1npm_p50; código antigo i0480so_1pmm_g19_mdn_ef</t>
  </si>
  <si>
    <t>i0179_1p011m_g27_e001</t>
  </si>
  <si>
    <t>O que você
estudou?</t>
  </si>
  <si>
    <t>Ilustração de cartas com a escrita do número por extenso (em caixa alta) e com algarismo, de 0 a 10. Inserir, nas cartas, as bolinhas de gude coloridas, como as das i0392_1p011m_g27_e001 a i0401_1p011m_g27_e001 (códigos antigo que tem todas as bolinhas i0491mk_1pmm_g19_mdn, enviada na pasta), de acordo com a quantidade indicada em cada carta a seguir. Ver ideia das cartas.</t>
  </si>
  <si>
    <t>i0180_1p011m_g27_e001</t>
  </si>
  <si>
    <t>i0379_4p011m_g27_e001</t>
  </si>
  <si>
    <t>Il. de uma pirâmide de base pentagonal.
ARTE: pegar do padrão de ilustrações.</t>
  </si>
  <si>
    <t>RAFAELA PANISSA/ARQUIVO DA EDITORA</t>
  </si>
  <si>
    <t>i0380_4p011m_g27_e001</t>
  </si>
  <si>
    <t>Il. de um prisma de base hexagonal.
ARTE: pegar do padrão de ilustrações.</t>
  </si>
  <si>
    <t>i0381_4p011m_g27_e001</t>
  </si>
  <si>
    <t>i0103_2p011m_g27_e001</t>
  </si>
  <si>
    <t xml:space="preserve">Resgatar ilustração de cenário do fundo do mar, na página 12 do g23_mdn_lt_2npm_p010a017_u1
i0278gn_2pmm_g19_mdn
</t>
  </si>
  <si>
    <t>i0105_2p011m_g27_e001</t>
  </si>
  <si>
    <t xml:space="preserve">Resgatar ilustração de caixa vazia, na página 13 do g23_mdn_lt_2npm_p010a017_u1
i0205mk_2pmm_g19_mdn
</t>
  </si>
  <si>
    <t>i0106_2p011m_g27_e001</t>
  </si>
  <si>
    <t xml:space="preserve">Resgatar ilustração de caixa com uma bolinha, na página 13 do g23_mdn_lt_2npm_p010a017_u1
i0206mk_2pmm_g19_mdn
</t>
  </si>
  <si>
    <t>i0107_2p011m_g27_e001</t>
  </si>
  <si>
    <t xml:space="preserve">Resgatar ilustração de caixa com duas bolinhas, na página 13 do g23_mdn_lt_2npm_p010a017_u1
i0207mk_2pmm_g19_mdn
</t>
  </si>
  <si>
    <t>i0108_2p011m_g27_e001</t>
  </si>
  <si>
    <t xml:space="preserve">Resgatar ilustração de caixa com três bolinhas, na página 13 do g23_mdn_lt_2npm_p010a017_u1
i0208mk_2pmm_g19_mdn
</t>
  </si>
  <si>
    <t>i0109_2p011m_g27_e001</t>
  </si>
  <si>
    <t xml:space="preserve">Resgatar ilustração de caixa com cinco bolinhas, na página 13 do g23_mdn_lt_2npm_p010a017_u1
i0210mk_2pmm_g19_mdn
</t>
  </si>
  <si>
    <t>i0110_2p011m_g27_e001</t>
  </si>
  <si>
    <t xml:space="preserve">Resgatar ilustração de caixa com sete bolinhas, na página 13 do g23_mdn_lt_2npm_p010a017_u1
i0212mk_2pmm_g19_mdn
</t>
  </si>
  <si>
    <t>i0111_2p011m_g27_e001</t>
  </si>
  <si>
    <t xml:space="preserve">Resgatar ilustração de caixa com nove bolinhas, na página 13 do g23_mdn_lt_2npm_p010a017_u1
i0214mk_2pmm_g19_mdn
</t>
  </si>
  <si>
    <t>i0112_2p011m_g27_e001</t>
  </si>
  <si>
    <t xml:space="preserve">Resgatar ilustração de menino brincando com vários carrinhos, na página 16 do g23_mdn_lt_2npm_p010a017_u1
i0279cz_2pmm_g19_mdn
</t>
  </si>
  <si>
    <t>i0113_2p011m_g27_e001</t>
  </si>
  <si>
    <t xml:space="preserve">Resgatar ilustração um abaco com o valor de 11, na página 17 do g23_mdn_lt_2npm_p010a017_u1
Código antigo i0280zz_2pmm_g19_mdn
</t>
  </si>
  <si>
    <t>i0114_2p011m_g27_e001</t>
  </si>
  <si>
    <t xml:space="preserve">Resgatar e ajustar ilustração um abaco com o valor de 12, na página 17 do g23_mdn_lt_2npm_p010a017_u1
Código antigo i0281zz_2pmm_g19_mdn
Ajuste: retirar bolinhas em cor resposta
</t>
  </si>
  <si>
    <t>i2101_4p011m_g27_e001</t>
  </si>
  <si>
    <t>O que você
já aprendeu?</t>
  </si>
  <si>
    <t>Resgatar ilustração termômetro marcando 15°C; g23_mdn_lt_4npm_p243; código antigo i3837zz_4npm_g23_mdn</t>
  </si>
  <si>
    <t>i2102_4p011m_g27_e001</t>
  </si>
  <si>
    <t>Resgatar ilustração termômetro marcando 7°C; g23_mdn_lt_4npm_p243; código antigo i3838zz_4npm_g23_mdn</t>
  </si>
  <si>
    <t>i2103_4p011m_g27_e001</t>
  </si>
  <si>
    <t>Resgatar ilustração termômetro marcando 23°C; g23_mdn_lt_4npm_p243; código antigo i3839zz_4npm_g23_mdn</t>
  </si>
  <si>
    <t>i2104_4p011m_g27_e001</t>
  </si>
  <si>
    <t>Resgatar e ajustar ilustração prisma de base triangular; g23_mdn_lt_4npm_p240; código antigo it3822_4npm_g23_mdn_re</t>
  </si>
  <si>
    <t>i2105_4p011m_g27_e001</t>
  </si>
  <si>
    <t>Resgatar e ajustar ilustração pirâmide de base pentagonal; g23_mdn_lt_4npm_p240; código antigo it3825_4npm_g23_mdn_re
AJUSTE: Colorir a figura da mesma cor da i2104_4p011m_g27_e001</t>
  </si>
  <si>
    <t>i2106_4p011m_g27_e001</t>
  </si>
  <si>
    <t>Resgatar e ajustar ilustração pirâmide de base triangular; g23_mdn_lt_4npm_p240; código antigo it3823_4npm_g23_mdn_re
AJUSTE: Colorir a figura da mesma cor da i2104_4p011m_g27_e001</t>
  </si>
  <si>
    <t>i2107_4p011m_g27_e001</t>
  </si>
  <si>
    <t>Resgatar e ajustar ilustração paralelepípedo; g23_mdn_lt_4npm_p240; código antigo it3826_4npm_g23_mdn_re
AJUSTE: Colorir a figura da mesma cor da i2104_4p011m_g27_e001</t>
  </si>
  <si>
    <t>i2108_4p011m_g27_e001</t>
  </si>
  <si>
    <t>Resgatar e ajustar ilustração do prisma de base pentagonal; g23_mdn_lt_4npm_p240; código antigo it3824_4npm_g23_mdn_re
AJUSTE: Colorir a figura da mesma cor da i2104_4p011m_g27_e001</t>
  </si>
  <si>
    <t>i2109_4p011m_g27_e001</t>
  </si>
  <si>
    <t>Resgatar e ajustar ilustração da pirâmide de base quadrada; g23_mdn_lt_4npm_p240; código antigo it3827_4npm_g23_mdn_re
AJUSTE: Colorir a figura da mesma cor da i2104_4p011m_g27_e001</t>
  </si>
  <si>
    <t>i2110_4p011m_g27_e001</t>
  </si>
  <si>
    <t>Resgatar ilustração caixa com bolinhas coloridas; g23_mdn_lt_4npm_p241; código antigo i3828_4npm_g23_mdn_re</t>
  </si>
  <si>
    <t>i2111_4p011m_g27_e001</t>
  </si>
  <si>
    <t>Resgatar ilustração menino de boné verde e camiseta azul falando; g23_mdn_lt_4npm_p241; código antigo i3829_4npm_g23_mdn_re</t>
  </si>
  <si>
    <t>i2112_4p011m_g27_e001</t>
  </si>
  <si>
    <t>Resgatar ilustração percurso realizado pelo pai e filho da casa até o parque representado em uma malha quadriculada; g23_mdn_lt_4npm_p241; código antigo it3830_4npm_g23_mdn_re</t>
  </si>
  <si>
    <t>Ajuste solicitado direto pela diagramação na hora de montar a amostra, o fio estava em cor resposta, já temos o pdf dessa imagem certo na pasta de aplicada.</t>
  </si>
  <si>
    <t>i2113_4p011m_g27_e001</t>
  </si>
  <si>
    <t>Resgatar ilustração formas geométricas representadas em uma malha quadriculada; g23_mdn_lt_4npm_p242; código antigo it3832_4npm_g23_mdn_re</t>
  </si>
  <si>
    <t>i2114_4p011m_g27_e001</t>
  </si>
  <si>
    <t>Resgatar ilustração formas geométricas representadas em uma malha quadriculada; g23_mdn_lt_4npm_p242; código antigo it3832b_4npm_g23_mdn_re</t>
  </si>
  <si>
    <t>i2115_4p011m_g27_e001</t>
  </si>
  <si>
    <t>Resgatar ilustração ábaco 9451; g23_mdn_lt_4npm_p240; código antigo i3821_4npm_g23_mdn_re</t>
  </si>
  <si>
    <t>i2116_4p011m_g27_e001</t>
  </si>
  <si>
    <t>Resgatar ilustração 3 formas geométricas representados em uma malha quadriculada; g23_mdn_lt_4npm_p242; código antigo it3831ae_4npm_g23_mdn_aj
Ajuste: Inserir mais uma imagem na malha, conforme formato e quantidade de quadradinhos da referência a seguir.</t>
  </si>
  <si>
    <t>ae</t>
  </si>
  <si>
    <t>g2117_4p011m_g27_e001</t>
  </si>
  <si>
    <t>EDICAO_ARTE</t>
  </si>
  <si>
    <t>Resgatar gráfico pesquisa sobre os animais de estimação preferidos; g23_mdn_lt_4npm_p243; código antigo gt3842_4npm_g23_mdn_re</t>
  </si>
  <si>
    <t>Tamires Azevedo</t>
  </si>
  <si>
    <t>i0115_2p011m_g27_e001</t>
  </si>
  <si>
    <t>Resgatar ilustração de palito, na página 18 do g23_mdn_lt_2npm_p018a026_u1 Código i0287zz_2pmm_g19_mdn</t>
  </si>
  <si>
    <t>i0116_2p011m_g27_e001</t>
  </si>
  <si>
    <t>Resgatar ilustração de palitos, na página 18 do g23_mdn_lt_2npm_p018a026_u1 Código i0288zz_2pmm_g19_mdn</t>
  </si>
  <si>
    <t>i0117_2p011m_g27_e001</t>
  </si>
  <si>
    <t>Resgatar ilustração de palitos item A, na página 18 do g23_mdn_lt_2npm_p018a026_u1 Código i0301zz_2pmm_g19_mdn</t>
  </si>
  <si>
    <t>i0118_2p011m_g27_e001</t>
  </si>
  <si>
    <t>Resgatar ilustração de palitos item B, na página 18 do g23_mdn_lt_2npm_p018a026_u1 Código i0289zz_2pmm_g19_mdn</t>
  </si>
  <si>
    <t>i0119_2p011m_g27_e001</t>
  </si>
  <si>
    <t>Resgatar ilustração de palitos item C, na página 18 do g23_mdn_lt_2npm_p018a026_u1 Código i0290zz_2pmm_g19_mdn</t>
  </si>
  <si>
    <t>i0120_2p011m_g27_e001</t>
  </si>
  <si>
    <t xml:space="preserve">Resgatar ilustração de palitos item D, na página 18 do g23_mdn_lt_2npm_p018a026_u1
Código i0291zz_2pmm_g19_mdn
</t>
  </si>
  <si>
    <t>g0125_2p011m_g27_e001</t>
  </si>
  <si>
    <t xml:space="preserve">Resgatar e ajustar gráfico sobre Filhotes que aparecem nas fotos, da página 134 do g23_mdn_lt_2npm_p128a135_u6; código antigo gt1206_2pmm_g19_mdn
Ajuste: retirar barras em cor resposta
</t>
  </si>
  <si>
    <t>i0126_2p011m_g27_e001</t>
  </si>
  <si>
    <t xml:space="preserve">Resgatar ilustração de menino com figurinhas item A, na página 19 do g23_mdn_lt_2npm_p018a026_u1
Código i0216Acz_2pmm_g19_mdn
</t>
  </si>
  <si>
    <t>i0127_2p011m_g27_e001</t>
  </si>
  <si>
    <t xml:space="preserve">Resgatar ilustração de menino com figurinhas item B, na página 19 do g23_mdn_lt_2npm_p018a026_u1
Código i0216Bcz_2pmm_g19_mdn
</t>
  </si>
  <si>
    <t>i0128_2p011m_g27_e001</t>
  </si>
  <si>
    <t xml:space="preserve">Resgatar ilustração de menino com figurinhas item C, na página 19 do g23_mdn_lt_2npm_p018a026_u1
Código i0216Ccz_2pmm_g19_mdn
</t>
  </si>
  <si>
    <t>i0129_2p011m_g27_e001</t>
  </si>
  <si>
    <t>Resgatar ilustração de vários clipes item A, na página 20 do g23_mdn_lt_2npm_p018a026_u1, código antigo: i0219_2pmm_g19_mdn</t>
  </si>
  <si>
    <t>i0130_2p011m_g27_e001</t>
  </si>
  <si>
    <t>Resgatar ilustração de várias chaves item B, na página 20 do g23_mdn_lt_2npm_p018a026_u1, código antigo: i0220mk_2pmm_g19_mdn</t>
  </si>
  <si>
    <t>i0131_2p011m_g27_e001</t>
  </si>
  <si>
    <t>Resgatar ilustração de vários apontadores item C, na página 20 do g23_mdn_lt_2npm_p018a026_u1, código antigo: i0221_2pmm_g19_mdn</t>
  </si>
  <si>
    <t>i0133_2p011m_g27_e001</t>
  </si>
  <si>
    <t>Resgatar ilustração de caixas com maçãs, na página 22 do g23_mdn_lt_2npm_p018a026_u1, código antigo: i0223mk_2pmm_g19_mdn</t>
  </si>
  <si>
    <t>i0134_2p011m_g27_e001</t>
  </si>
  <si>
    <t>Resgatar ilustração de bolinhas, na página 22 do g23_mdn_lt_2npm_p018a026_u1, código antigo: i0201_2npm_g19_mdn</t>
  </si>
  <si>
    <t>i0135_2p011m_g27_e001</t>
  </si>
  <si>
    <t>Resgatar e ajustar ilustração de vista aérea interna de ônibus com várias crianças sentadas, na
página 23 do g23_mdn_lt_2npm_p018a026_u1, código antigo: i0204cz_2npm_g23_mdn_aj
AJUSTE: Diminuir o contraste da imagem, deixando os assentos e o piso "mais claro" para que o
estudante consiga desenhar sobre eles.</t>
  </si>
  <si>
    <t>i0136_2p011m_g27_e001</t>
  </si>
  <si>
    <t xml:space="preserve">Resgatar e ajustar ilustração de ábaco representando o valor de 19, na página 23 do g23_mdn_lt_2npm_p018a026_u1, código antigo: i0241_2pmm_g19_mdn
Ajuste: retirar bolinhas em cor resposta
</t>
  </si>
  <si>
    <t>i0137_2p011m_g27_e001</t>
  </si>
  <si>
    <t>Resgatar ilustração de um cubinho, na página 24 do g23_mdn_lt_2npm_p018a026_u1, código antigo: i0276_2pmm_g19_mdn</t>
  </si>
  <si>
    <t>i0138_2p011m_g27_e001</t>
  </si>
  <si>
    <t>Resgatar ilustração de uma dezena em cubinhos, na página 24 do g23_mdn_lt_2npm_p018a026_u1, código antigo: i0277_2pmm_g19_mdn</t>
  </si>
  <si>
    <t>i0139_2p011m_g27_e001</t>
  </si>
  <si>
    <t>Resgatar ilustração de 2 dezenas e 1 unidade em cubinhos, na página 24 do g23_mdn_lt_2npm_p018a026_u1,
código antigo: i0229_2pmm_g19_mdn</t>
  </si>
  <si>
    <t>i0140_2p011m_g27_e001</t>
  </si>
  <si>
    <t>Resgatar ilustração de 2 dezenas e 2 unidades em cubinhos, na página 24 do g23_mdn_lt_2npm_p018a026_u1,
código antigo: i0230_2pmm_g19_mdn</t>
  </si>
  <si>
    <t>i0141_2p011m_g27_e001</t>
  </si>
  <si>
    <t>Resgatar ilustração de 2 dezenas e 3 unidades em cubinhos, na página 24 do g23_mdn_lt_2npm_p018a026_u1,
código antigo: i0231_2pmm_g19_mdn</t>
  </si>
  <si>
    <t>i0142_2p011m_g27_e001</t>
  </si>
  <si>
    <t>Resgatar ilustração de 2 dezenas e 4 unidades em cubinhos, na página 24 do g23_mdn_lt_2npm_p018a026_u1
Código antigo: i0228_2pmm_g19_mdn</t>
  </si>
  <si>
    <t>i0143_2p011m_g27_e001</t>
  </si>
  <si>
    <t>Resgatar ilustração de 2 dezenas e 5 unidades em cubinhos, na página 24 do g23_mdn_lt_2npm_p018a026_u1
Código antigo: i0227_2pmm_g19_mdn</t>
  </si>
  <si>
    <t>i0144_2p011m_g27_e001</t>
  </si>
  <si>
    <t>Resgatar ilustração de ábaco representando o valor de 28, na página 25 do g23_mdn_lt_2npm_p018a026_u1
Código antigo i0234_2pmm_g19_mdn</t>
  </si>
  <si>
    <t>i0145_2p011m_g27_e001</t>
  </si>
  <si>
    <t>Resgatar ilustração de ábaco representando o valor de 29, na página 25 do g23_mdn_lt_2npm_p018a026_u1
Código i0235_2pmm_g19_mdn</t>
  </si>
  <si>
    <t>i0146_2p011m_g27_e001</t>
  </si>
  <si>
    <t>Resgatar ilustração de ábaco representando o valor de 30, na página 25 do g23_mdn_lt_2npm_p018a026_u1
Código i0236zz_2pmm_g19_mdn</t>
  </si>
  <si>
    <t>i0147_2p011m_g27_e001</t>
  </si>
  <si>
    <t>Resgatar ilustração de ábaco representando o valor de 31, na página 25 do g23_mdn_lt_2npm_p018a026_u1
Código i0237_2pmm_g19_mdn</t>
  </si>
  <si>
    <t>i0148_2p011m_g27_e001</t>
  </si>
  <si>
    <t>Resgatar ilustração de ábaco representando o valor de 32, na página 25 do g23_mdn_lt_2npm_p018a026_u1
Código i0238_2pmm_g19_mdn</t>
  </si>
  <si>
    <t>i0149_2p011m_g27_e001</t>
  </si>
  <si>
    <t>Resgatar ilustração de ábaco representando o valor de 33, na página 25 do g23_mdn_lt_2npm_p018a026_u1
Código i0239_2pmm_g19_mdn</t>
  </si>
  <si>
    <t>i0150_2p011m_g27_e001</t>
  </si>
  <si>
    <t>Resgatar ilustração de estrelas, na página 26 do g23_mdn_lt_2npm_p018a026_u1
Código i0243mk_2pmm_g19_mdn</t>
  </si>
  <si>
    <t>i0151_2p011m_g27_e001</t>
  </si>
  <si>
    <t>Resgatar e ajustar ilustração de um calendário de 2024 do mês de fevereiro, do g23_mdn_lt_2npm_p196_u9 código antigo i3429ca_2npm_g23_mdn
Ajuste: atualizar para fevereiro de 2028</t>
  </si>
  <si>
    <t>i0155_2p011m_g27_e001</t>
  </si>
  <si>
    <t>Resgatar gráfico de colunas com espaços em a serem preenchidos, da página 137 do g23_mdn_lt_2npm_p136a143_u6; código antigo gt2221_2npm_g23_mdn_aj</t>
  </si>
  <si>
    <t>i0156_2p011m_g27_e001</t>
  </si>
  <si>
    <t>Resgatar e ajustar ilustração de 16 carros parados em um semáforo, na página 27 do g23_mdn_lt_2npm_p027a041_u1; código antigo i0249mk_2pmm_g19_mdn
AJUSTE: Alinhar os carros da ilustração e inserir a linha de sinalização da que separam as pistas, todas no mesmo sentido. Ver ideia a seguir.</t>
  </si>
  <si>
    <t>i0157_2p011m_g27_e001</t>
  </si>
  <si>
    <t>Resgatar e ajustar ilustração de 13 carros parados em um semáforo, na página 27 do g23_mdn_lt_2npm_p027a041_u1; código antigo i0250mk_2pmm_g19_mdn 
AJUSTE: Alinhar os carros da ilustração e inserir a linha de sinalização da que separam as pistas, todas no mesmo sentido, igual da i0156_2p011m_g27_e001</t>
  </si>
  <si>
    <t>i0158_2p011m_g27_e001</t>
  </si>
  <si>
    <t xml:space="preserve">Resgatar e ajustar ilustração com um esquema numerado que mostra o trajeto que o carro deve seguir até a bandeira, na página 29 do g23_mdn_lt_2npm_p027a041_u1; código antigo i0208_2npm_g23_mdn_re
Ajuste: retirar caminho em cor resposta
</t>
  </si>
  <si>
    <t>nb</t>
  </si>
  <si>
    <t>i0159_2p011m_g27_e001</t>
  </si>
  <si>
    <t>Resgatar ilustração que representa o sorteio de fichas, com duas crianças: uma menina segurando fichas azuis e vermelhas, e um menino escolhendo uma ficha, da página 142 do g23_mdn_lt_2npm_p136a143_u6; código antigo i1223sh_2pmm_g19_mdn</t>
  </si>
  <si>
    <t>g0160_2p011m_g27_e001</t>
  </si>
  <si>
    <t>Resgatar e ajustar gráfico com a Quantidade de bolinhas colocadas na caixa, da página 143 do g23_mdn_lt_2npm_p136a143_u6; código antigo gt2226km_2npm_g23_mdn
AJUSTE 1: Ajustar o texto para CxAA e ajustar o gráfico para um gráfico na vertical. Além disso, após ajustar o gráfico na vertical, retirar os fios verticais e manter apenas os fios horizontais, ficando as barras por cima dos fios.
AJUSTE 2: Ajustar também a cor das barras. Deixar uma única cor, diferente de roxo e azul. Aumentar também a quantidade de bolinhas correspondente a cor Roxa, devem ser 25 bolinhas. Se necessário, ajustar a escala do gráfico para fechar a página.</t>
  </si>
  <si>
    <t>km</t>
  </si>
  <si>
    <t>g0161_2p011m_g27_e001</t>
  </si>
  <si>
    <t>Resgatar e ajustar gráfico sobre Quantidade de copos de suco vendidos no dia 15 de outubro de 2022, de acordo com o sabor, da página 135 do g23_mdn_lt_2npm_p128a135_u6; código antigo gt2218_2npm_g23_mdn_re.
AJUSTE: Ajustar o texto do gráfico para que fique em CxAA. Além disso, retirar os fios horizontais do gráfico e não separar as barras em quadradinhos, ficando as barras por cima dos fios.</t>
  </si>
  <si>
    <t>g0163_2p011m_g27_e001</t>
  </si>
  <si>
    <t>Resgatar e ajustar gráfico com a Quantidade de gols marcados por alguns jogadores do campeonato de futebol da escola, em 2022, da página 138 do g23_mdn_lt_2npm_p136a143_u6; código antigo gt1210_2pmm_g19_mdn.
AJUSTE: Ajustar texto do gráfico em CxAA, e retirar as linhas para o estudante completar. No lugar delas entrará com nomes visíveis para o estudante. Na primeira coluna terá o nome "MÁRCIO.", na segunda "CAIO.", na terceira "JÚLIO." e na quarta "FABRÍCIO", conforme referência a seguir.</t>
  </si>
  <si>
    <t>i0164_2p011m_g27_e001</t>
  </si>
  <si>
    <t>Resgatar ilustração de personagem organizando caixas de sapatos, na página 32 do g23_mdn_lt_2npm_p027a041_u1; código antigo i0244cg_2pmm_g19_mdn_ef</t>
  </si>
  <si>
    <t>i0165_2p011m_g27_e001</t>
  </si>
  <si>
    <t>Resgatar ilustração de ábaco representando 1 centena, na página 32 do g23_mdn_lt_2npm_p027a041_u1; código antigo i0245_2pmm_g19_mdn</t>
  </si>
  <si>
    <t>i0166_2p011m_g27_e001</t>
  </si>
  <si>
    <t xml:space="preserve">Resgatar e ajustar Ilustração de um quarto vista de cima, destacando camisetas espalhadas sobre a cama, na página 34 do g23_mdn_lt_2npm_p027a041_u1; código antigo i0304gn_2pmm_g19_mdn_ef_ly
AJUSTE: cropar a ilustração deixando apenas a cama om as roupas
</t>
  </si>
  <si>
    <t>i6211_5p011m_g27_e001</t>
  </si>
  <si>
    <t>MP-E</t>
  </si>
  <si>
    <t>Resgatar reta numérica do g23_mdn_lt_5npm_p062a067_u4, código antigo it1411ca_5npm_g23_mdn_aj.
AJUSTE: trocar a cor resposta, deixar as frações em cor para o aluno conforme referência</t>
  </si>
  <si>
    <t>i0168_2p011m_g27_e001</t>
  </si>
  <si>
    <t>Resgatar e ajustar ilustração de 16 tubos de cola, na página 36 do g23_mdn_lt_2npm_p027a041_u1; código antigo i0263mk_2pmm_g19_mdn
AJUSTE: Organizar os tubos de colas em uma única linha, com a mesma distância entre eles, de modo que o estudante consiga contorná-los.</t>
  </si>
  <si>
    <t>i0169_2p011m_g27_e001</t>
  </si>
  <si>
    <t>Resgatar e ajustar ilustração de 19 réguas, na página 36 do g23_mdn_lt_2npm_p027a041_u1; código antigo i0264mk_2pmm_g19_mdn
AJUSTE: Organizar as réguas para aproveitar melhor a mancha horizontal e ocupar menos a mancha vertical. Tentar deixar em uma ou duas linhas, de modo que o estudante consiga contorná-las.</t>
  </si>
  <si>
    <t>i0170_2p011m_g27_e001</t>
  </si>
  <si>
    <t>Resgatar e ajustar Ilustração da linha de chegada de uma corrida com personagens em suas posições, destacando a primeira competidora, na página 37 do g23_mdn_lt_2npm_p027a041_u1; código antigo i0266so_2pmm_g19_mdn
AJUSTE: não sangrar a ilustração, fechar no grid.</t>
  </si>
  <si>
    <t>i0171_2p011m_g27_e001</t>
  </si>
  <si>
    <t xml:space="preserve">Resgatar e ajustar Ilustração de cenário de natureza com árvores, na página 38 do g23_mdn_lt_2npm_p027a041_u1; código antigo i0222so_2npm_g23_mdn_aj
AJUSTE: cropar a ilustração na metade da arvore do lado esquerdo
</t>
  </si>
  <si>
    <t>A equipe solicitou um ajuste que será mais fácil resgatar e ajustar.</t>
  </si>
  <si>
    <t>i6212_5p011m_g27_e001</t>
  </si>
  <si>
    <t>Resgatar reta numérica do g23_mdn_lt_5npm_p062a067_u4, código antigo it1412ca_5npm_g23_mdn_aj.
AJUSTE: trocar a cor resposta, deixar as frações em cor para o aluno conforme referência</t>
  </si>
  <si>
    <t>i0173_2p011m_g27_e001</t>
  </si>
  <si>
    <t xml:space="preserve">Resgatar Ilustração de posição dos carros na largada de uma competição de automobilismo, na página 40 do g23_mdn_lt_2npm_p027a041_u1; código antigo i0205_2npm_g23_mdn_re
AJUSTE: retirar respostas magenta da ilustração
</t>
  </si>
  <si>
    <t>i0174_2p011m_g27_e001</t>
  </si>
  <si>
    <t>Resgatar Ilustração de botões variados, apresentando diferentes tamanhos e cores, na página 41 do g23_mdn_lt_2npm_p027a041_u1; código antigo i0220rm_2npm_g23_mdn</t>
  </si>
  <si>
    <t xml:space="preserve">i0304_2p011m_g27_e001 </t>
  </si>
  <si>
    <t>Resgatar ilustração da planta baixa de uma casa. Veio do: g23_mdn_lt_2npm_p148. Código antigo: i1414za_2pmm_g19_mdn</t>
  </si>
  <si>
    <t xml:space="preserve">i0305_2p011m_g27_e001 </t>
  </si>
  <si>
    <t xml:space="preserve">Resgatar ilustração de uma malha quadriculada representando o caminho de uma joaninha à flor amarela. Veio de: g23_mdn_lt_2npm_p149. Código antigo: i2605_2npm_g23_mdn_re </t>
  </si>
  <si>
    <t xml:space="preserve">i0306_2p011m_g27_e001 </t>
  </si>
  <si>
    <t xml:space="preserve">Resgatar ilustração de uma malha quadriculada representando o caminho de uma joaninha à flor amarela. Veio de: g23_mdn_lt_2npm_p149. Código antigo: i2606_2npm_g23_mdn_re </t>
  </si>
  <si>
    <t xml:space="preserve">i0307_2p011m_g27_e001 </t>
  </si>
  <si>
    <t xml:space="preserve">Resgatar ilustração de uma malha quadriculada representando o caminho de uma joaninha à flor amarela. Veio de: g23_mdn_lt_2npm_p149. Código antigo: i2607_2npm_g23_mdn_re </t>
  </si>
  <si>
    <t xml:space="preserve">i0308_2p011m_g27_e001 </t>
  </si>
  <si>
    <t xml:space="preserve">Resgatar ilustração de uma malha quadriculada representando o caminho de uma joaninha à flor amarela. Veio de: g23_mdn_lt_2npm_p149. Código antigo: i2608_2npm_g23_mdn_re </t>
  </si>
  <si>
    <t xml:space="preserve">i0309_2p011m_g27_e001 </t>
  </si>
  <si>
    <t xml:space="preserve">
Resgatar ilustração de uma malha quadriculada que representa o caminho percorrido por uma tartaruga até a couve. Veio de: g23_mdn_lt_2npm_p150. Código antigo: i2609_2npm_g23_mdn_re 
Ajuste: retirar caminho em cor resposta </t>
  </si>
  <si>
    <t xml:space="preserve">i0310_2p011m_g27_e001 </t>
  </si>
  <si>
    <t xml:space="preserve">Resgatar ilustração da letra J representada na malha quadriculada. Veio de: g23_mdn_lt_2npm_p150. Código antigo: i1407zz_2pmm_g19_mdn </t>
  </si>
  <si>
    <t xml:space="preserve">i0311_2p011m_g27_e001 </t>
  </si>
  <si>
    <t xml:space="preserve">Resgatar ilustração da representação da letra P na malha quadriculada. Veio de: g23_mdn_lt_2npm_p150. Código antigo: i1408zz_2pmm_g19_mdn 
Ajuste: retirar cor quadrinhos em cor resposta </t>
  </si>
  <si>
    <t xml:space="preserve">i0312_2p011m_g27_e001 </t>
  </si>
  <si>
    <t xml:space="preserve">Resgatar ilustração da vista de cima de um bairro com a indicação do caminho da casa à escola. Veio de: g23_mdn_lt_2npm_p151. Código antigo: i2610_2npm_g23_mdn_re </t>
  </si>
  <si>
    <t xml:space="preserve">i0313_2p011m_g27_e001 </t>
  </si>
  <si>
    <t xml:space="preserve">Resgatar ilustração de um bairro com a representação do caminho da casa para a escola. Veio de: g23_mdn_lt_2npm_p152. Código antigo: i1410za_2pmm_g19_mdn_ef </t>
  </si>
  <si>
    <t xml:space="preserve">i0314_2p011m_g27_e001 </t>
  </si>
  <si>
    <t xml:space="preserve">Resgatar ilustração de um quarto com medalhas e troféus. Veio de: g23_mdn_lt_2npm_p153. Código antigo: i2611za_2npm_g23_mdn_ef </t>
  </si>
  <si>
    <t xml:space="preserve">i0315_2p011m_g27_e001 </t>
  </si>
  <si>
    <t xml:space="preserve">Resgatar ilustração de um smartphone na horizontal com a tela ligada em um jogo de malha quadriculada para ligar o barco até o quadradinho A. Veio de: g23_mdn_lt_2npm_p153. Código antigo: i2612za_2npm_g23_mdn </t>
  </si>
  <si>
    <t xml:space="preserve">i0507_2p011m_g27_e001 </t>
  </si>
  <si>
    <t xml:space="preserve">Resgatar Ilustração de uma cena com pessoas em uma loja de bicicletas, na página 46 do g23_mdn_lt_2npm_p042a051_u2 Código antigo i0404cg_2pmm_g19_mdn_ef.
AJUSTE: Retirar a criança da ilustração e ajustar a posição do braço do personagem que era pai dela. </t>
  </si>
  <si>
    <t xml:space="preserve">i0508_2p011m_g27_e001 </t>
  </si>
  <si>
    <t xml:space="preserve">Resgatar Ilustração de 1 barra e 4 cubinhos, na página 46 do g23_mdn_lt_2npm_p042a051_u2 
Código antigo i0405_2pmm_g19_mdn. </t>
  </si>
  <si>
    <t xml:space="preserve">i0509_2p011m_g27_e001 </t>
  </si>
  <si>
    <t xml:space="preserve">Resgatar Ilustração de 1 barra e 2 cubinhos, na página 46 do g23_mdn_lt_2npm_p042a051_u2 
Código antigo i0406_2pmm_g19_mdn. </t>
  </si>
  <si>
    <t xml:space="preserve">i0510_2p011m_g27_e001 </t>
  </si>
  <si>
    <t xml:space="preserve">Resgatar Ilustração de 2 barras e 6 cubinhos, na página 47 do g23_mdn_lt_2npm_p042a051_u2 
Código antigo i0407_2pmm_g19_mdn. </t>
  </si>
  <si>
    <t xml:space="preserve">i0511_2p011m_g27_e001 </t>
  </si>
  <si>
    <t xml:space="preserve">Resgatar Ilustração de mosaico com vários cálculos matemáticos, na página 47 do g23_mdn_lt_2npm_p042a051_u2 
Código antigo i0623ri_2npm_g23_mdn_aj. </t>
  </si>
  <si>
    <t xml:space="preserve">i0512_2p011m_g27_e001 </t>
  </si>
  <si>
    <t xml:space="preserve">Resgatar Ilustração de ábaco representando o valor de 31+15, na página 49 do g23_mdn_lt_2npm_p042a051_u2 
Código antigo i0413_2pmm_g19_mdn. </t>
  </si>
  <si>
    <t xml:space="preserve">i0513_2p011m_g27_e001 </t>
  </si>
  <si>
    <t xml:space="preserve">Resgatar Ilustração de ábaco representando o valor de 46, na página 49 do g23_mdn_lt_2npm_p042a051_u2 
Código antigo i0414_2pmm_g19_mdn. </t>
  </si>
  <si>
    <t xml:space="preserve">i0514_2p011m_g27_e001 </t>
  </si>
  <si>
    <t xml:space="preserve">Resgatar Ilustração de ábaco representando o valor de 27 + 11, na página 49 do g23_mdn_lt_2npm_p042a051_u2 
Código antigo i0415_2pmm_g19_mdn. 
Ajuste: retirar as bolinhas em cor resposta </t>
  </si>
  <si>
    <t xml:space="preserve">i0515_2p011m_g27_e001 </t>
  </si>
  <si>
    <t xml:space="preserve">Resgatar Ilustração de 1 barra e 2 cubinhos, na página 50 do g23_mdn_lt_2npm_p042a051_u2 
Código antigo i0425_2pmm_g19_mdn. </t>
  </si>
  <si>
    <t xml:space="preserve">i0516_2p011m_g27_e001 </t>
  </si>
  <si>
    <t xml:space="preserve">Resgatar Ilustração de 1 barra e 9 cubinhos, na página 50 do g23_mdn_lt_2npm_p042a051_u2 
Código antigo i0426_2pmm_g19_mdn. </t>
  </si>
  <si>
    <t xml:space="preserve">i0517_2p011m_g27_e001 </t>
  </si>
  <si>
    <t xml:space="preserve">Resgatar Ilustração de 5 barras e 12 cubinhos, na página 50 do g23_mdn_lt_2npm_p042a051_u2 
Código antigo i0427zz_2pmm_g19_mdn. </t>
  </si>
  <si>
    <t xml:space="preserve">i0520_2p011m_g27_e001 </t>
  </si>
  <si>
    <t xml:space="preserve">Resgatar ilustração de calculadora, na página 53 do g23_mdn_lt_2npm_p052a062_u2 
Código antigo i0417_2pmm_g19_mdn </t>
  </si>
  <si>
    <t xml:space="preserve">i0521_2p011m_g27_e001 </t>
  </si>
  <si>
    <t>Resgatar ilustração de esquema de triângulo com numeros, na página 54 do g23_mdn_lt_2npm_p052a062_u2 
Codigo antigo i0428mk_2pmm_g19_mdn 
Ajuste: retirar a cor magenta dos números e colocar em cor preta.</t>
  </si>
  <si>
    <t>Foi levado para o MP.</t>
  </si>
  <si>
    <t xml:space="preserve">i0522_2p011m_g27_e001 </t>
  </si>
  <si>
    <t xml:space="preserve">Resgatar ilustração de esquema de bolinhas com numeros, na página 54 do g23_mdn_lt_2npm_p052a062_u2 
Codigoantigo i0429mk_2pmm_g19_mdn </t>
  </si>
  <si>
    <t xml:space="preserve">i0529_2p011m_g27_e001 </t>
  </si>
  <si>
    <t>xx</t>
  </si>
  <si>
    <t>Resgatar e ajustar ilustração representando Gilberto registrando a quantidade de brinquedos, da página 133 do g23_mdn_lt_2npm_p128a135_u6; código antigo i1225rl_2pmm_g19_mdn
AJUSTE: deixar a fonte das letras em manuscrito em caixa alta alta na fonte padrão da obra e fazer o mesmo ajuste da i0530_2p011m_g27_e001</t>
  </si>
  <si>
    <t>Ajuste de arte</t>
  </si>
  <si>
    <t xml:space="preserve">g0531_2p011m_g27_e001 </t>
  </si>
  <si>
    <t>Resgatar gráfico sobre Brinquedos vendidos no dia 4 de julho de 2022, da página 133 do g23_mdn_lt_2npm_p128a135_u6; código antigo gt2217_2npm_g23_mdn_re
AJUSTE: inserir até o número 13 no eixo “Quantidade vendida” e ajustar o gráfico para 10 bolas de futebol, 5 bonecas, 12 pipas e 4 ursos de pelúcia e deixar todo o texto em caixa alta alta.</t>
  </si>
  <si>
    <t xml:space="preserve">i0532_2p011m_g27_e001 </t>
  </si>
  <si>
    <t xml:space="preserve">Resgatar ilustração de 5 gatos tomando leite no prato, na página 56 do g23_mdn_lt_2npm_p052a062_u2_código_i0435so_2pmm_g19_mdn </t>
  </si>
  <si>
    <t xml:space="preserve">i0533_2p011m_g27_e001 </t>
  </si>
  <si>
    <t xml:space="preserve">Resgatar ilustração de 3 gatos tomando leite no prato e 2 gatos se afastando do prato, na página 56 do g23_mdn_lt_2npm_p052a062_u2 
Codigo antigo i0436so_2pmm_g19_mdn </t>
  </si>
  <si>
    <t xml:space="preserve">i0534_2p011m_g27_e001 </t>
  </si>
  <si>
    <t xml:space="preserve">Resgatar ilustração de 3 gatos tomando leite no prato, na página 56 do g23_mdn_lt_2npm_p052a062_u2 
Codigo antigo i0437so_2pmm_g19_mdn </t>
  </si>
  <si>
    <t xml:space="preserve">i0536_2p011m_g27_e001 </t>
  </si>
  <si>
    <t xml:space="preserve">Resgatar ilustração de quadradinhos verdes, na página 57 do g23_mdn_lt_2npm_p052a062_u2 
Codigo antigo i0452zz_2pmm_g19_mdn </t>
  </si>
  <si>
    <t xml:space="preserve">i0537_2p011m_g27_e001 </t>
  </si>
  <si>
    <t xml:space="preserve">Resgatar ilustração de quadradinhos azuis, na página 57 do g23_mdn_lt_2npm_p052a062_u2 
Codigo antigo i0453zz_2pmm_g19_mdn </t>
  </si>
  <si>
    <t xml:space="preserve">i0538_2p011m_g27_e001 </t>
  </si>
  <si>
    <t xml:space="preserve">Resgatar ilustração de bolinhas amarelas, na página 57 do g23_mdn_lt_2npm_p052a062_u2 
Codigo antigo i0454zz_2pmm_g19_mdn </t>
  </si>
  <si>
    <t xml:space="preserve">i0539_2p011m_g27_e001 </t>
  </si>
  <si>
    <t xml:space="preserve">Resgatar ilustração de bolinhas laranjas, na página 57 do g23_mdn_lt_2npm_p052a062_u2 
Codigo antigo i0455zz_2pmm_g19_mdn </t>
  </si>
  <si>
    <t xml:space="preserve">i0547_2p011m_g27_e001 </t>
  </si>
  <si>
    <t xml:space="preserve">Resgatar ilustração representamos o número 58 com cubinhos e barras, na página 60 do g23_mdn_lt_2npm_p052a062_u2 
Codigo antigo i0444_2pmm_g19_mdn </t>
  </si>
  <si>
    <t xml:space="preserve">i0548_2p011m_g27_e001 </t>
  </si>
  <si>
    <t xml:space="preserve">Resgatar ilustração contendo 5 barras e 8 cubinhos, com 4 das barras e 5 dos cubinhos riscadas, na página 60 do g23_mdn_lt_2npm_p052a062_u2 
Codigo antigo i0445_2pmm_g19_mdn </t>
  </si>
  <si>
    <t xml:space="preserve">i0549_2p011m_g27_e001 </t>
  </si>
  <si>
    <t xml:space="preserve">Resgatar ilustração de lápis de cor, na página 61 do g23_mdn_lt_2npm_p052a062_u2 
Codigo antigo i0446rn_2pmm_g19_mdn </t>
  </si>
  <si>
    <t xml:space="preserve">i0552_2p011m_g27_e001 </t>
  </si>
  <si>
    <t xml:space="preserve">Resgatar ilustração de alvo com os dardos, na página 63 do g23_mdn_lt_2npm_p063a069_u2 
Código antigo i0456zz_2pmm_g19_mdn.png </t>
  </si>
  <si>
    <t>ROGÉRIO CASAGRANDE/ARQUIVO DA EDITORA</t>
  </si>
  <si>
    <t xml:space="preserve">i0555_2p011m_g27_e001 </t>
  </si>
  <si>
    <t xml:space="preserve">Resgatar ilustrações Carina (uma mulher perto de um forno), na página 65 do g23_mdn_lt_2npm_p063a069_u2 
Código antigo i0457cg_2pmm_g19_mdn </t>
  </si>
  <si>
    <t xml:space="preserve">i0556_2p011m_g27_e001 </t>
  </si>
  <si>
    <t>Resgatar ilustrações representando o número 45 com cubinhos e barras., na página 65 do g23_mdn_lt_2npm_p063a069_u2 
Código antigo i0458zz_2pmm_g19_mdn.png</t>
  </si>
  <si>
    <t xml:space="preserve">i0557_2p011m_g27_e001 </t>
  </si>
  <si>
    <t xml:space="preserve">Resgatar ilustrações representando o número 3 barras e 15 cubinhos., na página 65 do g23_mdn_lt_2npm_p063a069_u2 
Código antigo i0459zz_2pmm_g19_mdn.png </t>
  </si>
  <si>
    <t xml:space="preserve">i0558_2p011m_g27_e001 </t>
  </si>
  <si>
    <t xml:space="preserve">Resgatar ilustrações representando o número 3 barras e 15 cubinhos, sendo 2 barras e 8 cubinhos riscados, na página 65 do g23_mdn_lt_2npm_p063a069_u2 
Código antigo i0460zz_2pmm_g19_mdn.png </t>
  </si>
  <si>
    <t xml:space="preserve">i0704_2p011m_g27_e001 </t>
  </si>
  <si>
    <t xml:space="preserve">Resgatar ilustração de calendário, do g23_mdn_lt_2npm_p194_u9 Código antigo i3428ca_2npm_g23_mdn_aj 
Ajuste: atualizar para o mês de dezembro de 2027 </t>
  </si>
  <si>
    <t xml:space="preserve">i0705_2p011m_g27_e001 </t>
  </si>
  <si>
    <t>Resgatar ilustração menino segurando uma agenda, do g23_mdn_lt_2npm_p196_u9 código antigo i3426_2npm_g23_mdn_re</t>
  </si>
  <si>
    <t xml:space="preserve">i0706_2p011m_g27_e001 </t>
  </si>
  <si>
    <t xml:space="preserve">Resgatar Ilustração de uma escola por dentro, destacando crianças e profissionais em suas rotinas diárias, do g23_mdn_lt_2npm_p197_u9 código antigo i1890Aso_2pmm_g19_mdn_ef </t>
  </si>
  <si>
    <t>ficou como ajuste no código i0785_1p011m_g27_e001</t>
  </si>
  <si>
    <t xml:space="preserve">i0707_2p011m_g27_e001 </t>
  </si>
  <si>
    <t xml:space="preserve">Resgatar ilustração de um calendário de 1990 do mês de julho, do g23_mdn_lt_2npm_p197_u9 código antigo i1890Bso_2pmm_g19_mdn </t>
  </si>
  <si>
    <t xml:space="preserve">ficou como resgate no código i0782_2p011m_g27_e001 </t>
  </si>
  <si>
    <t>i0716_2p011m_g27_e001</t>
  </si>
  <si>
    <t xml:space="preserve">Resgatar ilustração do relógio do g23_mdn_lt_2npm_p200 código antigo i3437zz_2npm_g23_mdn_aj </t>
  </si>
  <si>
    <t xml:space="preserve">i0717_2p011m_g27_e001 </t>
  </si>
  <si>
    <t xml:space="preserve">Resgatar ilustração do relógio do g23_mdn_lt_2npm_p200 código antigo i1825zz_2pmm_g19_mdn </t>
  </si>
  <si>
    <t xml:space="preserve">i0718_2p011m_g27_e001 </t>
  </si>
  <si>
    <t xml:space="preserve">Resgatar ilustração do relógio do g23_mdn_lt_2npm_p200 código antigo i1826zz_2pmm_g19_mdn </t>
  </si>
  <si>
    <t xml:space="preserve">i0719_2p011m_g27_e001 </t>
  </si>
  <si>
    <t xml:space="preserve">Resgatar ilustração do relógio do g23_mdn_lt_2npm_p200 código antigo i1827zz_2pmm_g19_mdn </t>
  </si>
  <si>
    <t xml:space="preserve">i0720_2p011m_g27_e001 </t>
  </si>
  <si>
    <t xml:space="preserve">i0721_2p011m_g27_e001 </t>
  </si>
  <si>
    <t>Resgatar ilustração do relógio do g23_mdn_lt_2npm_p200 código antigo i1826zz_2pmm_g19_mdn</t>
  </si>
  <si>
    <t>i0722_2p011m_g27_e001</t>
  </si>
  <si>
    <t xml:space="preserve">i0723_2p011m_g27_e001 </t>
  </si>
  <si>
    <t xml:space="preserve">Resgatar ilustração do relógio do g23_mdn_lt_2npm_p200 código antigo i3438zz_2pmm_g23_mdn_aj </t>
  </si>
  <si>
    <t>i0724_2p011m_g27_e001</t>
  </si>
  <si>
    <t xml:space="preserve">Resgatar ilustração do relógio do g23_mdn_lt_2npm_p201 código antigo i3439zz_2pmm_g23_mdn_aj </t>
  </si>
  <si>
    <t xml:space="preserve">i0727_2p011m_g27_e001 </t>
  </si>
  <si>
    <t xml:space="preserve">Resgatar ilustração do relógio do g23_mdn_lt_2npm_p201 código antigo i3440zz_2npm_g23_mdn_aj </t>
  </si>
  <si>
    <t xml:space="preserve">i0730_2p011m_g27_e001 </t>
  </si>
  <si>
    <t xml:space="preserve">Resgatar ilustração do relógio do g23_mdn_lt_2npm_p201 código antigo i3441zz_2npm_g23_mdn_aj </t>
  </si>
  <si>
    <t xml:space="preserve">i0731_2p011m_g27_e001 </t>
  </si>
  <si>
    <t xml:space="preserve">Resgatar ilustração do relógio do g23_mdn_lt_2npm_p201 código antigo i3442zz_2npm_g23_mdn_aj </t>
  </si>
  <si>
    <t xml:space="preserve">i0732_2p011m_g27_e001 </t>
  </si>
  <si>
    <t xml:space="preserve">Resgatar ilustração do relógio do g23_mdn_lt_2npm_p201 código antigo i3443zz_2npm_g23_mdn_aj </t>
  </si>
  <si>
    <t xml:space="preserve">i0733_2p011m_g27_e001 </t>
  </si>
  <si>
    <t xml:space="preserve">Resgatar ilustração de um ingresso do g23_mdn_lt_2npm_p202 código antigo i3430sl_2npm_g23_mdn_aj 
Ajuste: ajustar data da sessão para para o ano 2026 </t>
  </si>
  <si>
    <t xml:space="preserve">i0734_2p011m_g27_e001 </t>
  </si>
  <si>
    <t xml:space="preserve">Resgatar ilustração do relógio do g23_mdn_lt_2npm_p202 código antigo i3444sl_2npm_g23_mdn_aj 
AJUSTE: 	Retirar ponteiros em cor resposta </t>
  </si>
  <si>
    <t xml:space="preserve">i0735_2p011m_g27_e001 </t>
  </si>
  <si>
    <t xml:space="preserve">Resgatar ilustração doS relógioS do g23_mdn_lt_2npm_p202 código antigo i1842zz_2pmm_g19_mdn 
Ajuste: separar código em A, B e C </t>
  </si>
  <si>
    <t xml:space="preserve">i0736_2p011m_g27_e001 </t>
  </si>
  <si>
    <t xml:space="preserve">Resgatar ilustração de agenda de um celular do g23_mdn_lt_2npm_p203 código antigo i3431cg_2npm_g23_mdn_aj </t>
  </si>
  <si>
    <t xml:space="preserve">i0740_2p011m_g27_e001 </t>
  </si>
  <si>
    <t xml:space="preserve">Resgatar ilustração de Palmo, do g23_mdn_lt_2npm_p183_u9 código antigo i1886gn_2pmm_g19_mdn </t>
  </si>
  <si>
    <t xml:space="preserve">i0741_2p011m_g27_e001 </t>
  </si>
  <si>
    <t xml:space="preserve">Resgatar ilustração de Pé, do g23_mdn_lt_2npm_p183_u9 código antigo i1854gn_2pmm_g19_mdn </t>
  </si>
  <si>
    <t xml:space="preserve">i0742_2p011m_g27_e001 </t>
  </si>
  <si>
    <t xml:space="preserve">Resgatar ilustração de Passo, do g23_mdn_lt_2npm_p183_u9 código antigo i1855gn_2pmm_g19_mdn_ef </t>
  </si>
  <si>
    <t xml:space="preserve">i0743_2p011m_g27_e001 </t>
  </si>
  <si>
    <t xml:space="preserve">Resgatar ilustração de estudante medindo sala de aula com Passos, do g23_mdn_lt_2npm_p183_u9 código antigo i1856gn_2pmm_g19_mdn </t>
  </si>
  <si>
    <t xml:space="preserve">i0744_2p011m_g27_e001 </t>
  </si>
  <si>
    <t xml:space="preserve">Resgatar Ilustração de uma aluna medindo com as mãos, do g23_mdn_lt_2npm_p183_u9 código antigo i1857gn_2pmm_g19_mdn_ef </t>
  </si>
  <si>
    <t xml:space="preserve">i0745_2p011m_g27_e001 </t>
  </si>
  <si>
    <t xml:space="preserve">Resgatar Ilustração de 3 figuras geométricas, da página 184 do g23_mdn_lt_2npm_p184_u9 código antigo i1858zz_2pmm_g19_mdn </t>
  </si>
  <si>
    <t xml:space="preserve">i0771_2p011m_g27_e001 </t>
  </si>
  <si>
    <t>XX</t>
  </si>
  <si>
    <t xml:space="preserve">Resgatar ilustração de cena de corrida entre lebre e a tartaruga, da página 139 do g23_mdn_lt_2npm_p136a143_u6; código antigo i1222sh_2pmm_g19_mdn </t>
  </si>
  <si>
    <t xml:space="preserve">i0747_2p011m_g27_e001 </t>
  </si>
  <si>
    <t xml:space="preserve">Resgatar ilustração de representação da medida de 1 cm em régua, do g23_mdn_lt_2npm_p185_u9 código antigo i1881rn_2pmm_g19_mdn </t>
  </si>
  <si>
    <t>Ficou cadastrada duas vezes, correto é a que foi pra ajuste.</t>
  </si>
  <si>
    <t xml:space="preserve">i0748_2p011m_g27_e001 </t>
  </si>
  <si>
    <t xml:space="preserve">Resgatar ilustração da representação de um lápis em uma régua, do g23_mdn_lt_2npm_p185_u9 código antigo i1882rn_2pmm_g19_mdn </t>
  </si>
  <si>
    <t xml:space="preserve">i0749_2p011m_g27_e001 </t>
  </si>
  <si>
    <t>Resgatar ilustração de representação de uma chave em uma régua, do g23_mdn_lt_2npm_p185_u9 código antigo i1883rn_2pmm_g19_mdn</t>
  </si>
  <si>
    <t xml:space="preserve">i0750_2p011m_g27_e001 </t>
  </si>
  <si>
    <t xml:space="preserve">Resgatar ilustração de representação de um dado em uma régua, do g23_mdn_lt_2npm_p186_u9 código antigo i1859zz_2pmm_g19_mdn </t>
  </si>
  <si>
    <t>CYNTHIA SEKIGUCHI/RAFAEL SILVA/ARQUIVO DA EDITORA</t>
  </si>
  <si>
    <t xml:space="preserve">i0751_2p011m_g27_e001 </t>
  </si>
  <si>
    <t>Resgatar ilustração de representação da medida de 3 dados, do g23_mdn_lt_2npm_p186_u9 código antigo i1860zz_2pmm_g19_mdn</t>
  </si>
  <si>
    <t>RAFAEL SILVA/ARQUIVO DA EDITORA</t>
  </si>
  <si>
    <t xml:space="preserve">i0752_2p011m_g27_e001 </t>
  </si>
  <si>
    <t>Resgatar e ajustar ilustração de vários tamanhos e cores de linhas, do g23_mdn_lt_2npm_p186_u9 código antigo i1861sl_2pmm_g19_mdn
AJUSTE: ajustar a posição das linhas conforme print a seguir para fechar a página na diagramação, porém não alterar o tamanho das linhas.</t>
  </si>
  <si>
    <t xml:space="preserve">i0753_2p011m_g27_e001 </t>
  </si>
  <si>
    <t xml:space="preserve">Resgatar ilustração representando a cor azul, do g23_mdn_lt_2npm_p186_u9 código antigo i1864sl_2pmm_g19_mdn 
 </t>
  </si>
  <si>
    <t xml:space="preserve">i0754_2p011m_g27_e001 </t>
  </si>
  <si>
    <t xml:space="preserve">Resgatar ilustração representando a cor verde, do g23_mdn_lt_2npm_p186_u9 código antigo i1862sl_2pmm_g19_mdn </t>
  </si>
  <si>
    <t>i0755_2p011m_g27_e001</t>
  </si>
  <si>
    <t xml:space="preserve">Resgatar ilustração representando a cor amarelo do g23_mdn_lt_2npm_p186_u9 código antigo i1867sl_2pmm_g19_mdn </t>
  </si>
  <si>
    <t xml:space="preserve">i0756_2p011m_g27_e001 </t>
  </si>
  <si>
    <t>Resgatar ilustração representando a cor roxa, do g23_mdn_lt_2npm_p186_u9 código antigo i1866sl_2pmm_g19_mdn</t>
  </si>
  <si>
    <t xml:space="preserve">i0757_2p011m_g27_e001 </t>
  </si>
  <si>
    <t xml:space="preserve">Resgatar ilustração representando a cor vermelha, do g23_mdn_lt_2npm_p186_u9 código antigo i1863sl_2pmm_g19_mdn </t>
  </si>
  <si>
    <t xml:space="preserve">i0758_2p011m_g27_e001 </t>
  </si>
  <si>
    <t xml:space="preserve">Resgatar ilustração representando a cor laranja, do g23_mdn_lt_2npm_p186_u9 código antigo i1865sl_2pmm_g19_mdn </t>
  </si>
  <si>
    <t xml:space="preserve">i0759_2p011m_g27_e001 </t>
  </si>
  <si>
    <t xml:space="preserve">Resgatar ilustração de representação de um clipe em uma régua, do g23_mdn_lt_2npm_p187_u9 código antigo i1868sl_2pmm_g19_mdn </t>
  </si>
  <si>
    <t>CYNTHIA SEKIGUCHI/SERGIO LIMA/ARQUIVO DA EDITORA</t>
  </si>
  <si>
    <t>i0760_2p011m_g27_e001</t>
  </si>
  <si>
    <t xml:space="preserve">Resgatar ilustração de representação de 1 mm em uma régua, do g23_mdn_lt_2npm_p187_u9 código antigo i1869zz_2pmm_g19_mdn     Ajustar: “mm” para “MM” (cxAA) e cropar conforme indicado a seguir </t>
  </si>
  <si>
    <t>Ajuste de Arte</t>
  </si>
  <si>
    <t xml:space="preserve">i0761_2p011m_g27_e001 </t>
  </si>
  <si>
    <t xml:space="preserve">Resgatar ilustração de uma borracha em uma régua, do g23_mdn_lt_2npm_p187_u9 código antigo i1870zz_2pmm_g19_mdn </t>
  </si>
  <si>
    <t>ROGÉRIO CASAGRANDE/CYNTHIA SEKIGUCHI/ARQUIVO DA EDITORA</t>
  </si>
  <si>
    <t>RESGATE COM AJSUTE</t>
  </si>
  <si>
    <t xml:space="preserve">i0762_2p011m_g27_e001 </t>
  </si>
  <si>
    <t xml:space="preserve">Resgatar ilustração de triângulo, do g23_mdn_lt_2npm_p187_u9 código antigo it1871_2pmm_g19_mdn </t>
  </si>
  <si>
    <t xml:space="preserve">i0763_2p011m_g27_e001 </t>
  </si>
  <si>
    <t xml:space="preserve">Resgatar ilustração de quadrado, do g23_mdn_lt_2npm_p187_u9 código antigo it1872_2pmm_g19_mdn </t>
  </si>
  <si>
    <t xml:space="preserve">i0764_2p011m_g27_e001 </t>
  </si>
  <si>
    <t xml:space="preserve">Resgatar ilustração de octógono, do g23_mdn_lt_2npm_p187_u9 códgio antigo it1873_2pmm_g19_mdn </t>
  </si>
  <si>
    <t xml:space="preserve">i0765_2p011m_g27_e001 </t>
  </si>
  <si>
    <t xml:space="preserve">Resgatar ilustração de hexagono, do g23_mdn_lt_2npm_p187_u9 código antigo it1874_2pmm_g19_mdn </t>
  </si>
  <si>
    <t xml:space="preserve">i0769_2p011m_g27_e001 </t>
  </si>
  <si>
    <t xml:space="preserve">Resgatar ilustração de uma professora, do g23_mdn_lt_2npm_p188_u9 código antigo i1879gn_2pmm_g19_mdn </t>
  </si>
  <si>
    <t xml:space="preserve">i0770_2p011m_g27_e001 </t>
  </si>
  <si>
    <t xml:space="preserve">Resgatar ilustração de crianças sendo medida em altura, do g23_mdn_lt_2npm_p189_u9 código antigo i3424_2npm_g23_mdn_re </t>
  </si>
  <si>
    <t xml:space="preserve">i0737_2p011m_g27_e001 </t>
  </si>
  <si>
    <t>Resgatar ilustração do triângulo azul do g23_mdn_lt_2npm_p205 código antigo i3434sl_2npm_g23_mdn</t>
  </si>
  <si>
    <t xml:space="preserve">i0738_2p011m_g27_e001 </t>
  </si>
  <si>
    <t xml:space="preserve">Resgatar ilustração do relógio marcando 6 horas do g23_mdn_lt_2npm_p205 código antigo i3435zz_2npm_g23_mdn </t>
  </si>
  <si>
    <t xml:space="preserve">i0739_2p011m_g27_e001 </t>
  </si>
  <si>
    <t xml:space="preserve">Resgatar ilustração do relógio marcando 7 horas do g23_mdn_lt_2npm_p205 código antigo i3436zz_2npm_g23_mdn </t>
  </si>
  <si>
    <t xml:space="preserve">i0903_2p011m_g27_e001 </t>
  </si>
  <si>
    <t xml:space="preserve">Resgatar ilustração de cubo, na página 72 do g23_mdn_lt_2npm_p070a078_u3; código antigo it0608_2pmm_g19_mdn </t>
  </si>
  <si>
    <t xml:space="preserve">i0904_2p011m_g27_e001 </t>
  </si>
  <si>
    <t xml:space="preserve">Resgatar ilustração de Esfera, na página 72 do g23_mdn_lt_2npm_p070a078_u3; código antigo it0609_2pmm_g19_mdn </t>
  </si>
  <si>
    <t xml:space="preserve">i0905_2p011m_g27_e001 </t>
  </si>
  <si>
    <t xml:space="preserve">Resgatar ilustração de Paralelepípedo, na página 72 do g23_mdn_lt_2npm_p070a078_u3; código antigo it0610_2pmm_g19_mdn </t>
  </si>
  <si>
    <t xml:space="preserve">i0907_2p011m_g27_e001 </t>
  </si>
  <si>
    <t xml:space="preserve">Resgatar ilustração de Cilindro, na página 73 do g23_mdn_lt_2npm_p070a078_u3; código antigo it0611_2pmm_g19_mdn </t>
  </si>
  <si>
    <t xml:space="preserve">i0908_2p011m_g27_e001 </t>
  </si>
  <si>
    <t xml:space="preserve">Resgatar ilustração de Cone, na página 73 do g23_mdn_lt_2npm_p070a078_u3; código antigo it0612_2pmm_g19_mdn </t>
  </si>
  <si>
    <t xml:space="preserve">i0909_2p011m_g27_e001 </t>
  </si>
  <si>
    <t xml:space="preserve">Resgatar ilustração de Pirâmide, na página 73 do g23_mdn_lt_2npm_p070a078_u3; código antigo it0613_2pmm_g19_mdn </t>
  </si>
  <si>
    <t xml:space="preserve">i0910_2p011m_g27_e001 </t>
  </si>
  <si>
    <t xml:space="preserve">Resgatar ilustração de cubo, na página 73 do g23_mdn_lt_2npm_p070a078_u3; código antigo it0736_2pmm_g19_mdn </t>
  </si>
  <si>
    <t xml:space="preserve">i0911_2p011m_g27_e001 </t>
  </si>
  <si>
    <t>Resgatar ilustração de Cone, na página 73 do g23_mdn_lt_2npm_p070a078_u3; código antigo it0737_2pmm_g19_mdn</t>
  </si>
  <si>
    <t xml:space="preserve">i0912_2p011m_g27_e001 </t>
  </si>
  <si>
    <t xml:space="preserve">Resgatar ilustração de Cilindro, na página 73 do g23_mdn_lt_2npm_p070a078_u3; código antigo it0738_2pmm_g19_mdn </t>
  </si>
  <si>
    <t xml:space="preserve">i0914_2p011m_g27_e001 </t>
  </si>
  <si>
    <t xml:space="preserve">Resgatar ilustração de pintura na cor azul, na página 74 do g23_mdn_lt_2npm_p070a078_u3; código antigo i0614rn_2pmm_g19_mdn </t>
  </si>
  <si>
    <t xml:space="preserve">i0915_2p011m_g27_e001 </t>
  </si>
  <si>
    <t xml:space="preserve">Resgatar ilustração de pintura na cor vermelho, na página 74 do g23_mdn_lt_2npm_p070a078_u3; código antigo i0615rn_2pmm_g19_mdn </t>
  </si>
  <si>
    <t xml:space="preserve">i0916_2p011m_g27_e001 </t>
  </si>
  <si>
    <t xml:space="preserve">Resgatar ilustração de pintura na cor amarelo, na página 74 do g23_mdn_lt_2npm_p070a078_u3; código antigo i0616rn_2pmm_g19_mdn </t>
  </si>
  <si>
    <t xml:space="preserve">i0917_2p011m_g27_e001 </t>
  </si>
  <si>
    <t xml:space="preserve">Resgatar ilustração de pintura na cor cinza, na página 74 do g23_mdn_lt_2npm_p070a078_u3; código antigo i0618rn_2pmm_g19_mdn </t>
  </si>
  <si>
    <t>i0918_2p011m_g27_e001</t>
  </si>
  <si>
    <t xml:space="preserve">Resgatar ilustração de pintura na cor marrom, na página 74 do g23_mdn_lt_2npm_p070a078_u3; código antigo i0619rn_2pmm_g19_mdn </t>
  </si>
  <si>
    <t xml:space="preserve">i0919_2p011m_g27_e001 </t>
  </si>
  <si>
    <t xml:space="preserve">Resgatar ilustração de trenzinho, na página 74 do g23_mdn_lt_2npm_p070a078_u3. código antigo i0620rn_2pmm_g19_mdn </t>
  </si>
  <si>
    <t xml:space="preserve">i0920_2p011m_g27_e001 </t>
  </si>
  <si>
    <t xml:space="preserve">Resgatar ilustração de cubinhos que forma a letra C, na página 74 do g23_mdn_lt_2npm_p070a078_u3; código antigo it0621_2pmm_g19_mdn_1 </t>
  </si>
  <si>
    <t xml:space="preserve">i0921_2p011m_g27_e001 </t>
  </si>
  <si>
    <t xml:space="preserve">Resgatar ilustração de cubinhos que forma a letra F, na página 74 do g23_mdn_lt_2npm_p070a078_u3; código antigo it0622_2pmm_g19_mdn </t>
  </si>
  <si>
    <t xml:space="preserve">i0922_2p011m_g27_e001 </t>
  </si>
  <si>
    <t xml:space="preserve">Resgatar ilustração de cubinhos que forma a letra L, na página 74 do g23_mdn_lt_2npm_p070a078_u3; código antigo it0623_2pmm_g19_mdn </t>
  </si>
  <si>
    <t>i0923_2p011m_g27_e001</t>
  </si>
  <si>
    <t xml:space="preserve">Resgatar ilustração de cubinhos que forma a letra T, na página 74 do g23_mdn_lt_2npm_p070a078_u3; código antigo it0624_2pmm_g19_mdn </t>
  </si>
  <si>
    <t xml:space="preserve">i0924_2p011m_g27_e001 </t>
  </si>
  <si>
    <t xml:space="preserve">Resgatar ilustração de mesa com alguns blocos de madeira, na página 75 do g23_mdn_lt_2npm_p070a078_u3; código antigo i0673sl_2pmm_g19_mdn </t>
  </si>
  <si>
    <t xml:space="preserve">i0925_2p011m_g27_e001 </t>
  </si>
  <si>
    <t xml:space="preserve">Resgatar ilustração de Cubo, na página 75 do g23_mdn_lt_2npm_p070a078_u3; código antigo i0674sl_2pmm_g19_mdn </t>
  </si>
  <si>
    <t xml:space="preserve">i0927_2p011m_g27_e001 </t>
  </si>
  <si>
    <t xml:space="preserve">Resgatar ilustração de Cilindro, na página 75 do g23_mdn_lt_2npm_p070a078_u3; código antigo i0676sl_2pmm_g19_mdn </t>
  </si>
  <si>
    <t xml:space="preserve">i0928_2p011m_g27_e001 </t>
  </si>
  <si>
    <t xml:space="preserve">Resgatar ilustração de Esfera, na página 75 do g23_mdn_lt_2npm_p070a078_u3; código antigo i0677sl_2pmm_g19_mdn </t>
  </si>
  <si>
    <t xml:space="preserve">i0929_2p011m_g27_e001 </t>
  </si>
  <si>
    <t>Resgatar ilustração de Cone, na página 75 do g23_mdn_lt_2npm_p070a078_u3; código antigo i0678sl_2pmm_g19_mdn</t>
  </si>
  <si>
    <t>i0930_2p011m_g27_e001</t>
  </si>
  <si>
    <t>Resgatar ilustração de Pirâmide, na página 75 do g23_mdn_lt_2npm_p070a078_u3; código antigo i0679sl_2pmm_g19_mdn</t>
  </si>
  <si>
    <t xml:space="preserve">g0931_2p011m_g27_e001 </t>
  </si>
  <si>
    <t>Resgatar grafico de barras, na página 75 do g23_mdn_lt_2npm_p070a078_u3; código antigo gt1005sl_2npm_g23_mdn_aj 
AJUSTE: retirar barras em cor resposta</t>
  </si>
  <si>
    <t>resgate ajuste</t>
  </si>
  <si>
    <t xml:space="preserve">i0938_2p011m_g27_e001 </t>
  </si>
  <si>
    <t xml:space="preserve">Resgatar ilustração de representação de um molde de um cubo sendo montado, na página 76 do g23_mdn_lt_2npm_p070a078_u3; código antigo i1014zz_2npm_g23_mdn_aj 
AJUSTAR o fundo do material complementar. </t>
  </si>
  <si>
    <t>Rebecca Baniski</t>
  </si>
  <si>
    <t>i0939_2p011m_g27_e001</t>
  </si>
  <si>
    <t xml:space="preserve">Resgatar ilustração de representação de um molde de um cubo sendo finalizado, na página 76 do g23_mdn_lt_2npm_p070a078_u3; código antigo i0627_2pmm_g19_mdn </t>
  </si>
  <si>
    <t xml:space="preserve">i0940_2p011m_g27_e001 </t>
  </si>
  <si>
    <t xml:space="preserve">Resgatar ilustração de representação de um cubo, na página 76 do g23_mdn_lt_2npm_p070a078_u3; código antigo i0628_2pmm_g19_mdn </t>
  </si>
  <si>
    <t xml:space="preserve">i0941_2p011m_g27_e001 </t>
  </si>
  <si>
    <t>Resgatar ilustração de cubo com a face frontal na cor laranja, na página 76 do g23_mdn_lt_2npm_p070a078_u3; código antigo i0629_2pmm_g19_mdn</t>
  </si>
  <si>
    <t xml:space="preserve">i0942_2p011m_g27_e001 </t>
  </si>
  <si>
    <t xml:space="preserve">Resgatar ilustração de cubo com a face frontal na cor roxa, na página 76 do g23_mdn_lt_2npm_p070a078_u3; código antigo i0630_2pmm_g19_mdn </t>
  </si>
  <si>
    <t xml:space="preserve">i0943_2p011m_g27_e001 </t>
  </si>
  <si>
    <t xml:space="preserve">Resgatar ilustração de cubo com a face frontal na cor amarela, na página 76 do g23_mdn_lt_2npm_p070a078_u3; código antigo i0631_2pmm_g19_mdn </t>
  </si>
  <si>
    <t xml:space="preserve">i0944_2p011m_g27_e001 </t>
  </si>
  <si>
    <t xml:space="preserve">Resgatar ilustração de cubo que menciona as faces, na página 76 do g23_mdn_lt_2npm_p070a078_u3; código antigo i1006zz_2npm_g23_mdn_aj </t>
  </si>
  <si>
    <t>i0945_2p011m_g27_e001</t>
  </si>
  <si>
    <t xml:space="preserve">Resgatar ilustração de cubo que menciona as arestas, na página 76 do g23_mdn_lt_2npm_p070a078_u3; código antigo i1007zz_2npm_g23_mdn_aj </t>
  </si>
  <si>
    <t>i0946_2p011m_g27_e001</t>
  </si>
  <si>
    <t xml:space="preserve">Resgatar ilustração de cubo que menciona os vértices, na página 76 do g23_mdn_lt_2npm_p070a078_u3; código antigo i1008zz_2npm_g23_mdn_aj </t>
  </si>
  <si>
    <t xml:space="preserve">i0947_2p011m_g27_e001 </t>
  </si>
  <si>
    <t xml:space="preserve">Resgatar ilustração de imagem com vários cubos, na página 77 do g23_mdn_lt_2npm_p070a078_u3; código antigo it0635_2pmm_g19_mdn </t>
  </si>
  <si>
    <t xml:space="preserve">i0948_2p011m_g27_e001 </t>
  </si>
  <si>
    <t xml:space="preserve">Resgatar ilustração com sequência formada por algumas figuras geométricas espaciais, na página 77 do g23_mdn_lt_2npm_p070a078_u3; código antigo it0682_2pmm_g19_mdn </t>
  </si>
  <si>
    <t xml:space="preserve">i0949_2p011m_g27_e001 </t>
  </si>
  <si>
    <t xml:space="preserve">Resgatar ilustração formada por cubo, cilindro e esfera, na página 77 do g23_mdn_lt_2npm_p070a078_u3; código antigo it0692_2pmm_g19_mdn 
 </t>
  </si>
  <si>
    <t>Resgate como ajuste</t>
  </si>
  <si>
    <t xml:space="preserve">i0950_2p011m_g27_e001 </t>
  </si>
  <si>
    <t>Resgatar ilustração formada por cubo, paralelepípedo e pirâmide, na página 78 do g23_mdn_lt_2npm_p070a078_u3; código antigo it0739_2pmm_g19_mdn</t>
  </si>
  <si>
    <t xml:space="preserve">i0951_2p011m_g27_e001 </t>
  </si>
  <si>
    <t>Resgatar ilustração formada por esfera, cilindro e cone, na página 78 do g23_mdn_lt_2npm_p070a078_u3; código antigo it0740_2pmm_g19_mdn</t>
  </si>
  <si>
    <t xml:space="preserve">i0953_2p011m_g27_e001 </t>
  </si>
  <si>
    <t xml:space="preserve">Resgatar ilustração de oca indígena (ilustração está sendo usada de fundo na página), da página 140 do g23_mdn_lt_2npm_p136a143_u6; código antigo i2224so_2npm_g23_mdn_aj </t>
  </si>
  <si>
    <t xml:space="preserve">i1102_2p011m_g27_e001 </t>
  </si>
  <si>
    <t xml:space="preserve">Resgatar ilustração de barras, placas com cubinhos representando o número 158, na página 92 do g23_mdn_lt_2npm_p090a095_u4; código antigo i0826_2pmm_g19_mdn </t>
  </si>
  <si>
    <t xml:space="preserve">i1104_2p011m_g27_e001 </t>
  </si>
  <si>
    <t xml:space="preserve">Resgatar ilustração de barras, placas com cubinhos representando o número 237, na página 93 do g23_mdn_lt_2npm_p090a095_u4; código antigo i0801_2pmm_g19_mdn </t>
  </si>
  <si>
    <t xml:space="preserve">i1105_2p011m_g27_e001 </t>
  </si>
  <si>
    <t xml:space="preserve">Resgatar ilustração de barras, placas com cubinhos representando o número 375, na página 93 do g23_mdn_lt_2npm_p090a095_u4; código antigoi0802_2pmm_g19_mdn </t>
  </si>
  <si>
    <t xml:space="preserve">i1106_2p011m_g27_e001 </t>
  </si>
  <si>
    <t>Resgatar ilustração de ábaco que representa o número 176, na página 94 do g23_mdn_lt_2npm_p090a095_u4; código antigo i0803_2pmm_g19_mdn</t>
  </si>
  <si>
    <t xml:space="preserve">i1107_2p011m_g27_e001 </t>
  </si>
  <si>
    <t xml:space="preserve">Resgatar ilustração de ábaco que representa o número 152, na página 94 do g23_mdn_lt_2npm_p090a095_u4; código antigo i0804_2pmm_g19_mdn </t>
  </si>
  <si>
    <t xml:space="preserve">i1108_2p011m_g27_e001 </t>
  </si>
  <si>
    <t xml:space="preserve">Resgatar ilustração de ábaco que representa o número 186, na página 94 do g23_mdn_lt_2npm_p090a095_u4; código antigo i0805_2pmm_g19_mdn </t>
  </si>
  <si>
    <t xml:space="preserve">i1109_2p011m_g27_e001 </t>
  </si>
  <si>
    <t xml:space="preserve">Resgatar ilustração de ábaco que representa o número 104, na página 94 do g23_mdn_lt_2npm_p090a095_u4; código antigo i0806_2pmm_g19_mdn </t>
  </si>
  <si>
    <t xml:space="preserve">i1110_2p011m_g27_e001 </t>
  </si>
  <si>
    <t xml:space="preserve">Resgatar foto de mosaico usando peças de azulejo, na página 96 do g23_mdn_lt_2npm_p096a101_u4q; código antigo i0202rn_2npm_g19_mdn </t>
  </si>
  <si>
    <t xml:space="preserve">i1111_2p011m_g27_e001 </t>
  </si>
  <si>
    <t xml:space="preserve">Resgatar ilustração de um comerciante quer abrir seu cofre, na página 96 do g23_mdn_lt_2npm_p096a101_u4 
i0811so_2pmm_g19_mdn.png </t>
  </si>
  <si>
    <t xml:space="preserve">i1113_2p011m_g27_e001 </t>
  </si>
  <si>
    <t xml:space="preserve">Resgatar ilustração espelho de cena de trânsito com pedestres, ciclita e veículo, na página 98 do g23_mdn_lt_2npm_p096a101_u4; código antigo i0844gn_2pmm_g19_mdn_ef 
AJUSTE: ajustar ilustração na mancha e não sangrar. Conforme indicado na leitura prévia da ARTE. 
Ver paperclip (g23_mdn_lt_2npm_p096.pdf) como a seguir: </t>
  </si>
  <si>
    <t xml:space="preserve">i1114_2p011m_g27_e001 </t>
  </si>
  <si>
    <t xml:space="preserve">Resgatar ilustração espelho de cena de trânsito com pedestres, ciclita e veículo, na página 99 do g23_mdn_lt_2npm_p096a101_u4; código antigo i0844gn_2pmm_g19_mdn_ef1 
AJUSTE: ajustar ilustração na mancha e não sangrar. Conforme indicado na leitura prévia da ARTE. 
Ver paperclip (g23_mdn_lt_2npm_p096.pdf)  </t>
  </si>
  <si>
    <t xml:space="preserve">i1123_2p011m_g27_e001 </t>
  </si>
  <si>
    <t xml:space="preserve">Resgatar ilustração de agricultor carregando mudas de café ao lado de um caminhão carregado de mudas, na página 100 do g23_mdn_lt_2npm_p096a101_u4; código antigo i0834gn_2pmm_g19_mdn_ef </t>
  </si>
  <si>
    <t xml:space="preserve">i1124_2p011m_g27_e001 </t>
  </si>
  <si>
    <t xml:space="preserve">Resgatar ilustração de ábaco representando o número 1 000, na página 100 do g23_mdn_lt_2npm_p096a101_u4; código antigo i0835zz_2pmm_g19_mdn </t>
  </si>
  <si>
    <t xml:space="preserve">i1125_2p011m_g27_e001 </t>
  </si>
  <si>
    <t xml:space="preserve">Resgatar ilustração de barras, placas com cubinhos representando o número 1 000, na página 101 do g23_mdn_lt_2npm_p090a095_u4; código antigo i0836zz_2pmm_g19_mdn </t>
  </si>
  <si>
    <t>i1126_2p011m_g27_e001</t>
  </si>
  <si>
    <t xml:space="preserve">Resgatar ilustração de 1 cubinho, na página 101 do g23_mdn_lt_2npm_p090a095_u4; código antigo i0837zz_2pmm_g19_mdn </t>
  </si>
  <si>
    <t xml:space="preserve">i1127_2p011m_g27_e001 </t>
  </si>
  <si>
    <t xml:space="preserve">Resgatar ilustração de cubo representando o número 1 000, na página 101 do g23_mdn_lt_2npm_p090a095_u4; código antigo i0838zz_2pmm_g19_mdn </t>
  </si>
  <si>
    <t xml:space="preserve">i1128_2p011m_g27_e001 </t>
  </si>
  <si>
    <t xml:space="preserve">Resgatar ilustração reta de escala 100, com quadrinhos em branco; g23_mdn_lt_2npm_p101; código antigo it1412sl_2npm_g23_mdn_aj </t>
  </si>
  <si>
    <t xml:space="preserve">i1302_2p011m_g27_e001 </t>
  </si>
  <si>
    <t>Resgatar ilustração  representando cubinhos, barras e placas os números 124, da página 110 do g23_mdn_lt_2npm_p108a117_u5 codigo i1001zz_2pmm_g19_mdn</t>
  </si>
  <si>
    <t xml:space="preserve">i1303_2p011m_g27_e001 </t>
  </si>
  <si>
    <t xml:space="preserve">Resgatar ilustração  representando cubinhos, barras e placas os números 213, da página 110 do g23_mdn_lt_2npm_p108a117_u5 codigo i1002zz_2pmm_g19_mdn </t>
  </si>
  <si>
    <t xml:space="preserve">i1305_2p011m_g27_e001 </t>
  </si>
  <si>
    <t xml:space="preserve">Resgatar ilustração  representando cubinhos, barras e placas os números 337, da página 111 do g23_mdn_lt_2npm_p108a117_u5 codigo i1003zz_2pmm_g19_mdn </t>
  </si>
  <si>
    <t xml:space="preserve">i1307_2p011m_g27_e001 </t>
  </si>
  <si>
    <t xml:space="preserve">Resgatar ilustração  de cartaz de loja 1 ofertando bicicleta e patins, da página 112 do g23_mdn_lt_2npm_p108a117_u5 codigo i1024rn_2pmm_g19_mdn </t>
  </si>
  <si>
    <t xml:space="preserve">i1308_2p011m_g27_e001 </t>
  </si>
  <si>
    <t xml:space="preserve">Resgatar ilustração  de cartaz de loja 2 ofertando bicicleta e patins, da página 112 do g23_mdn_lt_2npm_p108a117_u5 codigo i1023rn_2pmm_g19_mdn </t>
  </si>
  <si>
    <t xml:space="preserve">i1310_2p011m_g27_e001 </t>
  </si>
  <si>
    <t xml:space="preserve">Resgatar ilustração  representando cubinhos, barras e placas os números 174, da página 113 do g23_mdn_lt_2npm_p108a117_u5 codigo i1025zz_2pmm_g19_mdn </t>
  </si>
  <si>
    <t xml:space="preserve">i1311_2p011m_g27_e001 </t>
  </si>
  <si>
    <t>Resgatar ilustração  representando cubinhos, barras e placas os números 187, da página 113 do g23_mdn_lt_2npm_p108a117_u5 codigo i1026zz_2pmm_g19_mdn</t>
  </si>
  <si>
    <t xml:space="preserve">i1312_2p011m_g27_e001 </t>
  </si>
  <si>
    <t xml:space="preserve">Resgatar ilustração  representando cubinhos, barras e placas os números 174 + 187, da página 114 do g23_mdn_lt_2npm_p108a117_u5 codigo i1028zz_2pmm_g19_mdn </t>
  </si>
  <si>
    <t xml:space="preserve">i1313_2p011m_g27_e001 </t>
  </si>
  <si>
    <t xml:space="preserve">Resgatar ilustração  representando cubinhos, barras e placas os números 300 + 60 + 1 = 361, da página 114 do g23_mdn_lt_2npm_p108a117_u5 codigo i1029zz_2pmm_g19_mdn </t>
  </si>
  <si>
    <t xml:space="preserve">g1320_2p011m_g27_e001 </t>
  </si>
  <si>
    <t>Resgatar gráfico de barras sobre a Eleição para a presidência da associação do bairro, em 2022, da página 116 do g23_mdn_lt_2npm_p108a117_u5 codigo gt1009_2pmm_g19_mdn
AJUSTE: compor fio contorno preto nas barras de acordo com novo padrão.</t>
  </si>
  <si>
    <t xml:space="preserve">i1324_2p011m_g27_e001 </t>
  </si>
  <si>
    <t xml:space="preserve">Resgatar ilustração  representando cubinhos, barras e placas os números 385, da página 118 do g23_mdn_lt_2npm_p118a127_u5 código i1033zz_2pmm_g19_mdn </t>
  </si>
  <si>
    <t xml:space="preserve">i1325_2p011m_g27_e001 </t>
  </si>
  <si>
    <t xml:space="preserve">Resgatar ilustração  representando cubinhos, barras e placas os números  385−143=242, da página 118 do g23_mdn_lt_2npm_p118a127_u5 codigo i1013zz_2pmm_g19_mdn </t>
  </si>
  <si>
    <t xml:space="preserve">i1327_2p011m_g27_e001 </t>
  </si>
  <si>
    <t xml:space="preserve">Resgatar ilustração  tela de computador mostrando artigos esportivos e seus preços, da página 121 do g23_mdn_lt_2npm_p118a127_u5 codigo i1035cg_2pmm_g19_mdn 
AJUSTE: Deixar apenas o monitor na ilustração: excluir mão e mouse + fio. </t>
  </si>
  <si>
    <t xml:space="preserve">i1328_2p011m_g27_e001 </t>
  </si>
  <si>
    <t xml:space="preserve">Resgatar ilustração  representando cubinhos, barras e placas os números 238, da página 121 do g23_mdn_lt_2npm_p118a127_u5 codigo i1014zz_2pmm_g19_mdn </t>
  </si>
  <si>
    <t xml:space="preserve">i1329_2p011m_g27_e001 </t>
  </si>
  <si>
    <t xml:space="preserve">Resgatar ilustração  representando cubinhos, barras e placas os números 238−7=231, da página 121 do g23_mdn_lt_2npm_p118a127_u5 codigo i1015zz_2pmm_g19_mdn </t>
  </si>
  <si>
    <t xml:space="preserve">i1330_2p011m_g27_e001 </t>
  </si>
  <si>
    <t xml:space="preserve">Resgatar ilustração  representando cubinhos, barras e placas os números 238−57=181, da página 121 do g23_mdn_lt_2npm_p118a127_u5 codigo i1016zz_2pmm_g19_mdn </t>
  </si>
  <si>
    <t xml:space="preserve">i1331_2p011m_g27_e001 </t>
  </si>
  <si>
    <t xml:space="preserve">Resgatar ilustração  representando cubinhos, barras e placas os números 238−157=81, da página 122 do g23_mdn_lt_2npm_p118a127_u5 codigo i1017zz_2pmm_g19_mdn </t>
  </si>
  <si>
    <t xml:space="preserve">i1332_2p011m_g27_e001 </t>
  </si>
  <si>
    <t xml:space="preserve">Resgatar ilustração  de cinema, da página 124 do g23_mdn_lt_2npm_p118a127_u5 codigo i1018rl_2pmm_g19_mdn </t>
  </si>
  <si>
    <t xml:space="preserve">i1333_2p011m_g27_e001 </t>
  </si>
  <si>
    <t xml:space="preserve">Resgatar ilustração  de pessoa, escada, caixas no estoque, da página 124 do g23_mdn_lt_2npm_p118a127_u5 codigo i1019rl_2pmm_g19_mdn_ef </t>
  </si>
  <si>
    <t xml:space="preserve">i1334_2p011m_g27_e001 </t>
  </si>
  <si>
    <t xml:space="preserve">Resgatar ilustração  de menino lendo, da página 124 do g23_mdn_lt_2npm_p118a127_u5 codigo i1020rl_2pmm_g19_mdn_ef </t>
  </si>
  <si>
    <t xml:space="preserve">i1340_2p011m_g27_e001 </t>
  </si>
  <si>
    <t xml:space="preserve">Resgatar ilustração de monitor de computador representando o preço de alguns produtos em duas lojas, da página 127 do g23_mdn_lt_2npm_p118a127_u5 codigo i1819km_2npm_g23_mdn </t>
  </si>
  <si>
    <t xml:space="preserve">i1323_2p011m_g27_e001 </t>
  </si>
  <si>
    <t xml:space="preserve">Resgatar ilustração  de menino com briquedo de encaixe montando um castelo, da página 118 do g23_mdn_lt_2npm_p118a127_u5 codigo i1032cg_2pmm_g19_mdn </t>
  </si>
  <si>
    <t xml:space="preserve">i1326_2p011m_g27_e001 </t>
  </si>
  <si>
    <t xml:space="preserve">Resgatar ilustração  representando uma pessoa construindo um muro, da página 120 do g23_mdn_lt_2npm_p118a127_u5 codigo i1012gn_2pmm_g19_mdn_ef </t>
  </si>
  <si>
    <t xml:space="preserve">i1503_2p011m_g27_e001 </t>
  </si>
  <si>
    <t xml:space="preserve">Resgatar ilustração de estudantes no laboratório da escola, do g23_mdn_lt_2npm_p178a179 códgo antigo i1815so_2pmm_g19_mdn_ly 
AJUSTE: separar a imagem a seguir com o código acima, conforme feito na leitura prévia da Arte.  (A, B, D e D) </t>
  </si>
  <si>
    <t>Obs: a i1503B_2p011m_g27_e001 foi excluída pela equipe.</t>
  </si>
  <si>
    <t xml:space="preserve">i1508_2p011m_g27_e001 </t>
  </si>
  <si>
    <t xml:space="preserve">Resgatar foto de balança com o 1º prato com cesto vazio e o 2º prato peso de 500 g, do g23_mdn_lt_2npm_p176a182_u9 
i1812zz_2pmm_g19_mdn </t>
  </si>
  <si>
    <t>ROGÉRIO CASAGRANDE/SERGIO LIMA/ARQUIVO DA EDITORA</t>
  </si>
  <si>
    <t xml:space="preserve">i1509_2p011m_g27_e001 </t>
  </si>
  <si>
    <t xml:space="preserve">Resgatar foto de balança com o 1º prato com cesto com frutas e o 2º prato com pesos de 2 de 2 kg, 1 kg e 500 g, do g23_mdn_lt_2npm_p181_u9 
i1813zz_2pmm_g19_mdn. </t>
  </si>
  <si>
    <t xml:space="preserve">i1511_2p011m_g27_e001 </t>
  </si>
  <si>
    <t xml:space="preserve">Resgatar ilustração que mostra duas cenas de um menino, do g23_mdn_lt_2npm_p182 código antigo i1814gn_2pmm_g19_mdn </t>
  </si>
  <si>
    <t>i1512_2p011m_g27_e001</t>
  </si>
  <si>
    <t xml:space="preserve">Resgatar ilustração de uma família  em uma lanchonete, do g23_mdn_lt_2npm_p191_u9 código antigo i1801cz_2pmm_g19_mdn_ef_ly1 
Ajuste (atenção, il em espelho): Ajustar ilustração, não sangrar.Ver sugestão no paperclip (g23_mdn_lt_2npm_p190e191.pdf) </t>
  </si>
  <si>
    <t>Obs: a i1512Bcz_2p011m_g27_e001_aj_ly foi excluída pela equipe.</t>
  </si>
  <si>
    <t>i1514_2p011m_g27_e001</t>
  </si>
  <si>
    <t>Resgatar e ajustar ilustração produtos em litro ou mililitro, da página 192 do g23_mdn_lt_2npm_p188a197_u9 código antigo i1802sl_2pmm_g19_mdn
AJUSTE: em todas as imagens trocar a letra “L” cursiva pela letra “L” em caixa alta; manter espaço entre o número e a letra.</t>
  </si>
  <si>
    <t xml:space="preserve">i1515_2p011m_g27_e001 </t>
  </si>
  <si>
    <t>Resgatar e ajustar ilustração de embalagens de água mineral, do g23_mdn_lt_2npm_p192_u9 Código antigo i3425_2npm_g23_mdn_re
AJUSTE: em todas as imagens trocar a letra “L” cursiva pela letra “L” em caixa alta; manter espaço entre o número e a letra.</t>
  </si>
  <si>
    <t xml:space="preserve">i1516_2p011m_g27_e001 </t>
  </si>
  <si>
    <t>Resgatar e ajustar ilustração de personagem escolhendo refil de amaciante de roupas, da página 192 do g23_mdn_lt_2npm_p188a197_u9 Código antigo: i1807gn_2pmm_g19_mdn_ef
AJUSTE: em todas as imagens trocar a letra “L” cursiva pela letra “L” em caixa alta; manter espaço entre o número e a letra e mL junto.</t>
  </si>
  <si>
    <t xml:space="preserve">i1702_2p011m_g27_e001 </t>
  </si>
  <si>
    <t xml:space="preserve">Resgatar ilustração de Curva acentuada à esquerda, na página 79 do g23_mdn_lt_2npm_p079a089_u3; código antigo i0685sl_2pmm_g19_mdn </t>
  </si>
  <si>
    <t xml:space="preserve">i1703_2p011m_g27_e001 </t>
  </si>
  <si>
    <t xml:space="preserve">Resgatar ilustração dê a preferência, na página 79 do g23_mdn_lt_2npm_p079a089_u3; código antigo I0684sl_2pmm_g19_mdn </t>
  </si>
  <si>
    <t xml:space="preserve">i1704_2p011m_g27_e001 </t>
  </si>
  <si>
    <t xml:space="preserve">Resgatar ilustração de Estacionamento regulamentado, na página 79 do g23_mdn_lt_2npm_p079a089_u3; código antigo i1010_2npm_g23_mdn </t>
  </si>
  <si>
    <t xml:space="preserve">i1705_2p011m_g27_e001 </t>
  </si>
  <si>
    <t xml:space="preserve">Resgatar ilustração de Restaurante, na página 79 do 
g23_mdn_lt_2npm_p079a089_u3; código antigo i0686sl_2pmm_g19_mdn </t>
  </si>
  <si>
    <t xml:space="preserve">i1706_2p011m_g27_e001 </t>
  </si>
  <si>
    <t xml:space="preserve">Resgatar ilustração de Triângulo, na página 79 do g23_mdn_lt_2npm_p079a089_u3; código antigo it0687_2pmm_g19_mdn </t>
  </si>
  <si>
    <t xml:space="preserve">i1707_2p011m_g27_e001 </t>
  </si>
  <si>
    <t xml:space="preserve">Resgatar ilustração de Quadrado, na página 79 do g23_mdn_lt_2npm_p079a089_u3; código antigo it0688_2pmm_g19_mdn.png </t>
  </si>
  <si>
    <t xml:space="preserve">i1708_2p011m_g27_e001 </t>
  </si>
  <si>
    <t xml:space="preserve">Resgatar ilustração de Retângulo, na página 79 do g23_mdn_lt_2npm_p079a089_u3; código antigo it0689_2pmm_g19_mdn </t>
  </si>
  <si>
    <t xml:space="preserve">i1709_2p011m_g27_e001 </t>
  </si>
  <si>
    <t xml:space="preserve">Resgatar ilustração de Círculo, na página 79 do g23_mdn_lt_2npm_p079a089_u3; código antigo it0690_2pmm_g19_mdn </t>
  </si>
  <si>
    <t xml:space="preserve">i1710_2p011m_g27_e001 </t>
  </si>
  <si>
    <t xml:space="preserve">Resgatar ilustração de Redobrar a atenção ao atravessar, na página 79 do g23_mdn_lt_2npm_p079a089_u3; código antigo i0723sl_2pmm_g19_mdn </t>
  </si>
  <si>
    <t xml:space="preserve">i1711_2p011m_g27_e001 </t>
  </si>
  <si>
    <t xml:space="preserve">Resgatar ilustração de Andar pelo lado esquerdo da via, na página 79 do g23_mdn_lt_2npm_p079a089_u3; código antigo i0724sl_2pmm_g19_mdn </t>
  </si>
  <si>
    <t xml:space="preserve">i1712_2p011m_g27_e001 </t>
  </si>
  <si>
    <t>Resgatar ilustração de Atravessar pela faixa, na página 79 do g23_mdn_lt_2npm_p079a089_u3; código antigo i0725sl_2pmm_g19_mdn</t>
  </si>
  <si>
    <t xml:space="preserve">i1713_2p011m_g27_e001 </t>
  </si>
  <si>
    <t xml:space="preserve">Resgatar ilustração de Planificação do cubo, na página 80 do g23_mdn_lt_2npm_p079a089_u3; código antigo it0641_2pmm_g19_mdn </t>
  </si>
  <si>
    <t xml:space="preserve">i1714_2p011m_g27_e001 </t>
  </si>
  <si>
    <t xml:space="preserve">Resgatar ilustração de Cubo, na página 80 do g23_mdn_lt_2npm_p079a089_u3; código antigo it0642_2pmm_g19_mdn </t>
  </si>
  <si>
    <t xml:space="preserve">i1715_2p011m_g27_e001 </t>
  </si>
  <si>
    <t xml:space="preserve">Resgatar ilustração de Planificação do paralelepípedo, na página 80 do g23_mdn_lt_2npm_p079a089_u3; código antigo; código antigo it0643_2pmm_g19_mdn </t>
  </si>
  <si>
    <t xml:space="preserve">i1716_2p011m_g27_e001 </t>
  </si>
  <si>
    <t xml:space="preserve">Resgatar ilustração de Paralelepípedo, na página 80 do g23_mdn_lt_2npm_p079a089_u3; código antigo it0644_2pmm_g19_mdn </t>
  </si>
  <si>
    <t xml:space="preserve">i1717_2p011m_g27_e001 </t>
  </si>
  <si>
    <t xml:space="preserve">Resgatar ilustração de Planificação da pirâmide, na página 80 do g23_mdn_lt_2npm_p079a089_u3; código antigo it0645_2pmm_g19_mdn </t>
  </si>
  <si>
    <t xml:space="preserve">i1718_2p011m_g27_e001 </t>
  </si>
  <si>
    <t xml:space="preserve">Resgatar ilustração de Pirâmide, na página 80 do g23_mdn_lt_2npm_p079a089_u3; código antigo it0646_2pmm_g19_mdn </t>
  </si>
  <si>
    <t xml:space="preserve">i1719_2p011m_g27_e001 </t>
  </si>
  <si>
    <t xml:space="preserve">Resgatar ilustração de Triângulo, na página 81 do g23_mdn_lt_2npm_p079a089_u3; código antigo it0664_2pmm_g19_mdn 
AJUSTE: retirar preenchimento em cor resposta </t>
  </si>
  <si>
    <t>RONALDO LUCENA/ARQUIVO DA EDITORA</t>
  </si>
  <si>
    <t xml:space="preserve">i1720_2p011m_g27_e001 </t>
  </si>
  <si>
    <t xml:space="preserve">Resgatar ilustração de Quadrado, na página 81 do g23_mdn_lt_2npm_p079a089_u3; código antigo it0665_2pmm_g19_mdn 
AJUSTE: retirar preenchimento em cor resposta </t>
  </si>
  <si>
    <t xml:space="preserve">i1721_2p011m_g27_e001 </t>
  </si>
  <si>
    <t xml:space="preserve">Resgatar ilustração de Retângulo, na página 81 do g23_mdn_lt_2npm_p079a089_u3; código antigo it0666_2pmm_g19_mdn 
AJUSTE: retirar preenchimento em cor resposta </t>
  </si>
  <si>
    <t xml:space="preserve">i1722_2p011m_g27_e001 </t>
  </si>
  <si>
    <t xml:space="preserve">Resgatar ilustração de palitos de representação de um quadrado, na página 81 do g23_mdn_lt_2npm_p079a089_u3 
Código antigo i0667_2pmm_g19_mdn.png </t>
  </si>
  <si>
    <t xml:space="preserve">i1723_2p011m_g27_e001 </t>
  </si>
  <si>
    <t xml:space="preserve">Resgatar ilustração de 4 etapas de um desenho feito em um papel, lápis e lata com formato de cilindro contornando uma de suas partes, na página 81 do g23_mdn_lt_2npm_p079a089_u3; código antigo i0647za_2pmm_g19_mdn_ef 
AJUSTE: separar em 4 códigos, i1723A (traçando com lápis), i1723B (erguendo o recipiente), i1723C (pintando com lápis) e i1723D (círculo vermelho completo). </t>
  </si>
  <si>
    <t xml:space="preserve">i1724_2p011m_g27_e001 </t>
  </si>
  <si>
    <t xml:space="preserve">Resgatar ilustração de pintura na cor amarelo, na página 83 do g23_mdn_lt_2npm_p079a089_u3; código antigo i0693sl_2pmm_g19_mdn </t>
  </si>
  <si>
    <t xml:space="preserve">i1725_2p011m_g27_e001 </t>
  </si>
  <si>
    <t xml:space="preserve">Resgatar ilustração de pintura na cor vermelho, na página 83 do g23_mdn_lt_2npm_p079a089_u3; codigo antigo i0695sl_2pmm_g19_mdn </t>
  </si>
  <si>
    <t xml:space="preserve">i1726_2p011m_g27_e001 </t>
  </si>
  <si>
    <t xml:space="preserve">Resgatar ilustração de pintura na cor verde, na página 83 do g23_mdn_lt_2npm_p079a089_u3; código antigo i0696sl_2pmm_g19_mdn </t>
  </si>
  <si>
    <t xml:space="preserve">i1727_2p011m_g27_e001 </t>
  </si>
  <si>
    <t xml:space="preserve">Resgatar ilustração de figuras geométricas em preto e branco, na página 83 do g23_mdn_lt_2npm_p079a089_u3; código antigo i1027sl_2npm_g23_mdn_aj </t>
  </si>
  <si>
    <t xml:space="preserve">i1728_2p011m_g27_e001 </t>
  </si>
  <si>
    <t>Resgatar ilustração de figuras geométricas coloridas, na página 83 do g23_mdn_lt_2npm_p079a089_u3; código antigo it0663_2pmm_g19_mdn</t>
  </si>
  <si>
    <t xml:space="preserve">i1729_2p011m_g27_e001 </t>
  </si>
  <si>
    <t xml:space="preserve">Resgatar ilustração de mosaico com formas geométricas Quadrado, retângulo e triângulo, na página 84 do g23_mdn_lt_2npm_p079a089_u3; código antigo it0670_2pmm_g19_mdn </t>
  </si>
  <si>
    <t xml:space="preserve">i1730_2p011m_g27_e001 </t>
  </si>
  <si>
    <t xml:space="preserve">Resgatar ilustração de mosaico com formas geométricas de triângulos, na página 84 do g23_mdn_lt_2npm_p079a089_u3 
it0671_2pmm_g19_mdn </t>
  </si>
  <si>
    <t xml:space="preserve">i1731_2p011m_g27_e001 </t>
  </si>
  <si>
    <t xml:space="preserve">Resgatar ilustração formas geométricas de triângulos, na página 84 do g23_mdn_lt_2npm_p079a089_u3; it0672_2pmm_g19_mdn 
AJUSTE: remover as imagens e texto em cor resposta </t>
  </si>
  <si>
    <t xml:space="preserve">i1732_2p011m_g27_e001 </t>
  </si>
  <si>
    <t>Resgatar e ajustar ilustração de Tangram formando a figura de um Ganso, na página 85 do g23_mdn_lt_2npm_p079a089_u3; código antigo i0698sl_2pmm_g19_mdn
AJUSTE: retirar fios em cor resposta.</t>
  </si>
  <si>
    <t>i1733_2p011m_g27_e001</t>
  </si>
  <si>
    <t>Resgatar e ajustar ilustração de Tangram formando a figura de um Coelho, na página 85 do g23_mdn_lt_2npm_p079a089_u3; código antigo i0699sl_2pmm_g19_mdn
AJUSTE: retirar fios em cor resposta.</t>
  </si>
  <si>
    <t xml:space="preserve">i1734_2p011m_g27_e001 </t>
  </si>
  <si>
    <t>Resgatar e ajustar ilustração de Tangram formando a figura de um Barco, na página 85 do g23_mdn_lt_2npm_p079a089_u3; código antigo i0700sl_2pmm_g19_mdn
AJUSTE: retirar fios em cor resposta.</t>
  </si>
  <si>
    <t xml:space="preserve">i1735_2p011m_g27_e001 </t>
  </si>
  <si>
    <t>Resgatar e ajustar ilustração de Tangram formando a figura de um Homem, na página 85 do g23_mdn_lt_2npm_p079a089_u3; código antigo i0701sl_2pmm_g19_mdn
AJUSTE: retirar fios em cor resposta.</t>
  </si>
  <si>
    <t xml:space="preserve">i1736_2p011m_g27_e001 </t>
  </si>
  <si>
    <t>Resgatar e ajustar ilustração de Tangram formando a figura de um Vela, na página 85 do g23_mdn_lt_2npm_p079a089_u3; código antigo i0702sl_2pmm_g19_mdn
AJUSTE: retirar fios em cor resposta.</t>
  </si>
  <si>
    <t xml:space="preserve">i1737_2p011m_g27_e001 </t>
  </si>
  <si>
    <t xml:space="preserve">Resgatar ilustração de Retângulo, na página 86 do g23_mdn_lt_2npm_p079a089_u3; código antigo it0704_2pmm_g19_mdn </t>
  </si>
  <si>
    <t xml:space="preserve">i1738_2p011m_g27_e001 </t>
  </si>
  <si>
    <t xml:space="preserve">Resgatar ilustração de Quadrado, na página 86 do g23_mdn_lt_2npm_p079a089_u3; código antigo it0705_2pmm_g19_mdn </t>
  </si>
  <si>
    <t xml:space="preserve">i1739_2p011m_g27_e001 </t>
  </si>
  <si>
    <t xml:space="preserve">Resgatar ilustração de Triângulo, na página 86 do g23_mdn_lt_2npm_p079a089_u3; código antigo it0706_2pmm_g19_mdn </t>
  </si>
  <si>
    <t xml:space="preserve">i1740_2p011m_g27_e001 </t>
  </si>
  <si>
    <t xml:space="preserve">Resgatar a ilustração de um jogo com figuras geométricas planas que traça um percurso para cada brinquedo (bola, carrinho, trator, quebra-cabeça e Cubo mágico). O personagem principal, Paulo, é um menino branco, cabelos castanhos de óculos, com a expressão de duvida. na página 86 do g23_mdn_lt_2npm_p079a089_u3; código antigo i0707gn_2pmm_g19_mdn </t>
  </si>
  <si>
    <t xml:space="preserve">i1741_2p011m_g27_e001 </t>
  </si>
  <si>
    <t xml:space="preserve">Resgatar ilustração de figuras geométricas  planas, na página 87 do g23_mdn_lt_2npm_p079a089_u3; código antigo it0708_2pmm_g19_mdn </t>
  </si>
  <si>
    <t xml:space="preserve">i1742_2p011m_g27_e001 </t>
  </si>
  <si>
    <t xml:space="preserve">Resgatar ilustração de malha pontilhada um quadrado, dois retângulos e um triângulo, na página 87 do g23_mdn_lt_2npm_p079a089_u3; código antigo i0709zz_2pmm_g19_mdna 
AJUSTE: retirar figuras em cor resposta </t>
  </si>
  <si>
    <t xml:space="preserve">i1743_2p011m_g27_e001 </t>
  </si>
  <si>
    <t xml:space="preserve">Resgatar ilustração de Dominó geométrico, na página 88 do g23_mdn_lt_2npm_p079a089_u3; código antigo i0714cz_2pmm_g19_mdn </t>
  </si>
  <si>
    <t xml:space="preserve">i1744_2p011m_g27_e001 </t>
  </si>
  <si>
    <t>Resgatar e ajustar ilustração de duas crianças brincado com o Dominó geométrico, na página 88 do g23_mdn_lt_2npm_p079a089_u3; código antigo i1015cz_2npm_g23_mdn_aj
AJUSTE: aplicar novo padrão de verso do Material complementar nas fichas do jogo que estão com o fundo do Material complementar da versão passada.</t>
  </si>
  <si>
    <t xml:space="preserve">i1745_2p011m_g27_e001 </t>
  </si>
  <si>
    <t xml:space="preserve">Resgatar ilustração de figuras geométrica plana (retângulo), na página 89 do g23_mdn_lt_2npm_p079a089_u3; código antigo it1022ct_2npm_g23_mdn </t>
  </si>
  <si>
    <t>ct</t>
  </si>
  <si>
    <t xml:space="preserve">i1746_2p011m_g27_e001 </t>
  </si>
  <si>
    <t xml:space="preserve">Resgatar ilustração de figuras geométrica plana (triângulo escaleno), na página 89 do g23_mdn_lt_2npm_p079a089_u3; código antigo it1026ct_2npm_g23_mdn </t>
  </si>
  <si>
    <t xml:space="preserve">i1747_2p011m_g27_e001 </t>
  </si>
  <si>
    <t xml:space="preserve">Resgatar ilustração de figuras geométrica plana (círculo), na página 89 do g23_mdn_lt_2npm_p079a089_u3 
it1023ct_2npm_g23_mdn </t>
  </si>
  <si>
    <t xml:space="preserve">i1748_2p011m_g27_e001 </t>
  </si>
  <si>
    <t xml:space="preserve">Resgatar ilustração de figuras geométrica plana (triângulo), na página 89 do g23_mdn_lt_2npm_p079a089_u3; código antigo it1024ct_2npm_g23_mdn </t>
  </si>
  <si>
    <t xml:space="preserve">i1749_2p011m_g27_e001 </t>
  </si>
  <si>
    <t xml:space="preserve">Resgatar ilustração de figuras geométrica plana (losango), na página 89 do g23_mdn_lt_2npm_p079a089_u3; código antigo it1025ct_2npm_g23_mdn </t>
  </si>
  <si>
    <t xml:space="preserve">i1902_2p011m_g27_e001 </t>
  </si>
  <si>
    <t xml:space="preserve">Resgatar ilustração dos meninos com figurinhas do g23_mdn_lt_2npm_p156 código antigo i1601cz_2pmm_g19_mdn_ef </t>
  </si>
  <si>
    <t xml:space="preserve">i1903_2p011m_g27_e001 </t>
  </si>
  <si>
    <t xml:space="preserve">Resgatar ilustração de carrinhos do g23_mdn_lt_2npm_p157; código antigo i1645rn_2pmm_g19_mdn </t>
  </si>
  <si>
    <t>i1904_2p011m_g27_e001</t>
  </si>
  <si>
    <t xml:space="preserve">Resgatar ilustração dos carrinhos do g23_mdn_lt_2npm_p157; código antigo i1646rn_2pmm_g19_mdn </t>
  </si>
  <si>
    <t xml:space="preserve">i1905_2p011m_g27_e001 </t>
  </si>
  <si>
    <t xml:space="preserve">Resgatar ilustração dos carrinhos do g23_mdn_lt_2npm_p157; código antigo i1647rn_2pmm_g19_mdn </t>
  </si>
  <si>
    <t xml:space="preserve">i1906_2p011m_g27_e001 </t>
  </si>
  <si>
    <t xml:space="preserve">Resgatar ilustração de uma representação de uma sala do g23_mdn_lt_2npm_p157; código antigo i1605rn_2pmm_g19_mdn </t>
  </si>
  <si>
    <t xml:space="preserve">i1910_2p011m_g27_e001 </t>
  </si>
  <si>
    <t>Resgatar ilustração de 3 pilhas de livros do g23_mdn_lt_2npm_p159; código antigo i1616rn_2npm_g19_mdn</t>
  </si>
  <si>
    <t xml:space="preserve">i1911_2p011m_g27_e001 </t>
  </si>
  <si>
    <t xml:space="preserve">Resgatar ilustração de livros empilhados do g23_mdn_lt_2npm_p159; código antigo i1618rn_2pmm_g19_mdn </t>
  </si>
  <si>
    <t xml:space="preserve">i1912_2p011m_g27_e001 </t>
  </si>
  <si>
    <t xml:space="preserve">Resgatar ilustração de livros empilhados do g23_mdn_lt_2npm_p159; código antigo i1619rn_2pmm_g19_mdn </t>
  </si>
  <si>
    <t xml:space="preserve">i1914_2p011m_g27_e001 </t>
  </si>
  <si>
    <t xml:space="preserve">Resgatar ilustração de frutas do g23_mdn_lt_2npm_p161; código antigo i1620rn_2pmm_g19_mdn </t>
  </si>
  <si>
    <t xml:space="preserve">i1915_2p011m_g27_e001 </t>
  </si>
  <si>
    <t xml:space="preserve">Resgatar ilustração de frutas do g23_mdn_lt_2npm_p161; código antigo i1621rn_2pmm_g19_mdn </t>
  </si>
  <si>
    <t xml:space="preserve">i1916_2p011m_g27_e001 </t>
  </si>
  <si>
    <t>Resgatar e ajustar ilustração de estacionamento do g23_mdn_lt_2npm_p161; código antigo i1622za_2pmm_g19_mdn
AJUSTE: mudar o preço do estacionamento para 6 reais a hora.</t>
  </si>
  <si>
    <t>Resgtae com ajuste</t>
  </si>
  <si>
    <t xml:space="preserve">i1917_2p011m_g27_e001 </t>
  </si>
  <si>
    <t xml:space="preserve">Resgatar ilustração de uma avó e seus netos do g23_mdn_lt_2npm_p164; código antigo i3019za_2npm_g23_mdn </t>
  </si>
  <si>
    <t xml:space="preserve">i1918_2p011m_g27_e001 </t>
  </si>
  <si>
    <t xml:space="preserve">Resgatar ilustração de uma menina com duas caixas para guardar seus brinquedos espalhados no chão. Veio de: g23_mdn_lt_2npm_p166. Código antigo: i1628so_2pmm_g19_mdn </t>
  </si>
  <si>
    <t xml:space="preserve">i1920_2p011m_g27_e001 </t>
  </si>
  <si>
    <t xml:space="preserve">Resgatar ilustração de duas crianças conversando. Veio de: g23_mdn_lt_2npm_p167. Código antigo: i3015so_2npm_g23_mdn_re </t>
  </si>
  <si>
    <t xml:space="preserve">i1922_2p011m_g27_e001 </t>
  </si>
  <si>
    <t>Resgatar ilustração de uma mulher fazendo bolo de banana. Veio de: g23_mdn_lt_2npm_p168. Código antigo: i1651sh_2pmm_g19_mdn</t>
  </si>
  <si>
    <t xml:space="preserve">i1923_2p011m_g27_e001 </t>
  </si>
  <si>
    <t xml:space="preserve">Resgatar ilustração de uma régua com saltos de 3 em 3. Veio de: g23_mdn_lt_2npm_p169. Código antigo: i1632zz_2pmm_g19_mdn </t>
  </si>
  <si>
    <t xml:space="preserve">i1926_2p011m_g27_e001 </t>
  </si>
  <si>
    <t xml:space="preserve">Resgatar ilustração de um menino organizando diversas canecas na mesa. Veio de: g23_mdn_lt_2npm_p171. Código antigo: 
i1659rl_2pmm_g19_mdn_ef </t>
  </si>
  <si>
    <t xml:space="preserve">i1929_2p011m_g27_e001 </t>
  </si>
  <si>
    <t xml:space="preserve">Resgatar ilustração de uma régua com saltos de 3 em 3. Veio de: g23_mdn_lt_2npm_p173. Código antigo: i1624zz_2pmm_g19_mdn </t>
  </si>
  <si>
    <t xml:space="preserve">i1930_2p011m_g27_e001 </t>
  </si>
  <si>
    <t xml:space="preserve">Resgatar ilustração de três retângulos desenhados em uma malha quadriculada. Veio de: g23_mdn_lt_2npm_p173. Código antigo: i3028zz_2npm_g23_mdn_aj </t>
  </si>
  <si>
    <t xml:space="preserve">i1931_2p011m_g27_e001 </t>
  </si>
  <si>
    <t xml:space="preserve">Resgatar e ajustar ilustração de uma mulher com uma cesta fazendo compras no mercado. Veio de: g23_mdn_lt_2npm_p174. Código antigo: i1650rl_2pmm_g19_mdn 
AJUSTE: Trocar mulher por homem na ilustração. Nela, deve aparecer um homem fazendo compras no mercado.  </t>
  </si>
  <si>
    <t>Ajuste arte</t>
  </si>
  <si>
    <t xml:space="preserve">i1932_2p011m_g27_e001 </t>
  </si>
  <si>
    <t xml:space="preserve">Resgatar e ajustar ilustração de um homem olhando ferramentas de trabalho sobre uma mesa. Veio de: g23_mdn_lt_2npm_p174. Código antigo: i3029rl_2npm_g23_mdn_aj 
AJUSTE: Trocar homem por mulher na ilustração. Nela, deve aparecer uma mulher olhando para ferramentas de trabalho sobre uma mesa. </t>
  </si>
  <si>
    <t xml:space="preserve">i1933_2p011m_g27_e001 </t>
  </si>
  <si>
    <t xml:space="preserve">Resgatar ilustração da batalha entre dois personagens de um jogo online. Veio de: g23_mdn_lt_2npm_p175. Código antigo: i3023za_2npm_g23_mdn </t>
  </si>
  <si>
    <t>Excluída pela equiqe.</t>
  </si>
  <si>
    <t xml:space="preserve">i1934_2p011m_g27_e001 </t>
  </si>
  <si>
    <t xml:space="preserve">Resgatar ilustração de brinquedos infantis. Veio de: g23_mdn_lt_2npm_p175. Código antigo: i3024za_2npm_g23_mdn </t>
  </si>
  <si>
    <t xml:space="preserve">i1935_2p011m_g27_e001 </t>
  </si>
  <si>
    <t xml:space="preserve">Resgatar ilustração de várias carinhas amarelas. Veio de: g23_mdn_lt_2npm_p175. Código antigo: i3026zz_2npm_g23_mdn </t>
  </si>
  <si>
    <t xml:space="preserve">i1925_2p011m_g27_e001 </t>
  </si>
  <si>
    <t xml:space="preserve">Resgatar ilustração de um pedaço de papel retangular de 16cm. Veio de: g23_mdn_lt_2npm_p170. Código antigo: i1634zz_2pmm_g19_mdn 
AJUSTE: retirar traços em cor resposta </t>
  </si>
  <si>
    <t>i0102_3p011m_g27_e001</t>
  </si>
  <si>
    <t xml:space="preserve">resgatar ilustração de pessoas numa praia em espelho veio do g23_mdn_lt_3npm_p012 codigo antigo i0236ci_3pmm_g19_mdn_ef_ly 
AJUSTE:  Na ilustração, cropar conforme o print a seguir. Além disso, trocar carrinho de sorvete por carrinho do milho. </t>
  </si>
  <si>
    <t>ci</t>
  </si>
  <si>
    <t xml:space="preserve">g0104_3p011m_g27_e001 </t>
  </si>
  <si>
    <t xml:space="preserve">resgatar gráfico com a cor preferida dos estudantes do g23_mdn_lt_3npm_p014 código antigo gt0209sl_3pmm_g19_mdn AJUSTE: No gráfico, trocar "Quantidade de alunos" por "Quantidade de estudantes". Inserir fio contorno preto nas barras do grafico. </t>
  </si>
  <si>
    <t xml:space="preserve">i0106_3p011m_g27_e001 </t>
  </si>
  <si>
    <t xml:space="preserve">resgatar il de menino medindo sua mao veio do g23_mdn_lt_3npm_p015 código antigo i0211cz_3pmm_g19_mdn </t>
  </si>
  <si>
    <t xml:space="preserve">i0107_3p011m_g27_e001 </t>
  </si>
  <si>
    <t xml:space="preserve">resgatar il de menino vendo calendário veio do g23_mdn_lt_3npm_p015 código antigo i0212cz_3pmm_g19_mdn </t>
  </si>
  <si>
    <t xml:space="preserve">i0108_3p011m_g27_e001 </t>
  </si>
  <si>
    <t>resgatar il de mulher falando com o balconista veio do g23_mdn_lt_3npm_p015 código antigo i0213cz_3pmm_g19_mdn</t>
  </si>
  <si>
    <t xml:space="preserve">i0109_3p011m_g27_e001 </t>
  </si>
  <si>
    <t xml:space="preserve">resgatar il de pessoas numa fila veio do g23_mdn_lt_3npm_p016 código antigo i0237cz_3pmm_g19_mdn  AJUSTE. Trocara alunos para estudantes no eixo vertical e inserir fio contorno preto nas barras do grafico. </t>
  </si>
  <si>
    <t xml:space="preserve">i0110_3p011m_g27_e001 </t>
  </si>
  <si>
    <t xml:space="preserve">resgatar cena de menina embrulhando presente veio do g23_mdn_lt_3npm_p016 código antigo i0210cz_3pmm_g19_mdn    AJUSTE: ajustar a imagem de maneira que ocupe melhor o espaço horizontal. Quando for fazer o ajuste, considerar que ao lado entrará outra </t>
  </si>
  <si>
    <t xml:space="preserve">i0111_3p011m_g27_e001 </t>
  </si>
  <si>
    <t xml:space="preserve">resgatar cena de menina fazendo laço de um presente, veio do g23_mdn_lt_3npm_p016 código antigo i0214cz_3pmm_g19_mdn </t>
  </si>
  <si>
    <t xml:space="preserve">i0112_3p011m_g27_e001 </t>
  </si>
  <si>
    <t xml:space="preserve">resgatar cena de menina embrulhando presente veio do g23_mdn_lt_3npm_p016 código antigo i0213cz_3pmm_g19_mdn    AJUSTE: ajustar a imagem de maneira que ocupe melhor o espaço horizontal. Quando for fazer o ajuste, considerar que ao lado entrará outra </t>
  </si>
  <si>
    <t xml:space="preserve">i0113_3p011m_g27_e001 </t>
  </si>
  <si>
    <t xml:space="preserve">resgatar cena de menina segurando caixa de presente desembrulhada, veio do g23_mdn_lt_3npm_p016 código antigo i0212cz_3pmm_g19_mdn     AJUSTE: ajustar a imagem de maneira que ocupe melhor o espaço horizontal. Quando for fazer o ajuste, considerar que ao lado entrará outra AJUSTE: ajustar a imagem de maneira que ocupe melhor o espaço horizontal. Quando for fazer o ajuste, considerar que ao lado entrará outra </t>
  </si>
  <si>
    <t xml:space="preserve">i0114_3p011m_g27_e001 </t>
  </si>
  <si>
    <t xml:space="preserve">resgatar il do cartaz do restaurante veio do g23_mdn_lt_3npm_p017 código antigo i0239rn_3pmm_g19_mdn 
AJUSTE: Ajustar cor da il para melhorar o contraste com a página. </t>
  </si>
  <si>
    <t xml:space="preserve">g0116_3p011m_g27_e001 </t>
  </si>
  <si>
    <t xml:space="preserve">Resgatar gráfico/ilustração pesquisa dos estudantes; g23_mdn_lt_3npm_p194; código antigo gt3413sl_3npm_g23_mdn_aj  AJUSTE. Trocara alunos para estudantes no eixo vertical e inserir fio contorno preto nas barras do grafico. </t>
  </si>
  <si>
    <t xml:space="preserve">g0118_3p011m_g27_e001 </t>
  </si>
  <si>
    <t xml:space="preserve">Resgatar gráfico/ilustração de moradores por quantidade de residências; g23_mdn_lt_3npm_p197; código antigo gt3415sl_3npm_g23_mdn_aj </t>
  </si>
  <si>
    <t xml:space="preserve">i0119_3p011m_g27_e001 </t>
  </si>
  <si>
    <t xml:space="preserve">Resgatar ilustração de um cubinho do material dourado. Veio de: g23_mdn_lt_3npm_p18. Código antigo: i0218rn_3pmm_g19_mdn </t>
  </si>
  <si>
    <t xml:space="preserve">i0120_3p011m_g27_e001 </t>
  </si>
  <si>
    <t>Resgatar ilustração de uma barrinha do material dourado. Veio de: g23_mdn_lt_3npm_p18. Código antigo: i0219rn_3pmm_g19_mdn</t>
  </si>
  <si>
    <t xml:space="preserve">i0121_3p011m_g27_e001 </t>
  </si>
  <si>
    <t xml:space="preserve">Resgatar ilustração da representação de uma centena no material dourado. Veio de: g23_mdn_lt_3npm_p18. Código antigo: i0220rn_3pmm_g19_mdn </t>
  </si>
  <si>
    <t xml:space="preserve">i0125_3p011m_g27_e001 </t>
  </si>
  <si>
    <t xml:space="preserve">Resgatar ilustração de material dourado. Veio de: g23_mdn_lt_3npm_p19. Código antigo: i0275zz_3pmm_g19_esm </t>
  </si>
  <si>
    <t xml:space="preserve">i0126_3p011m_g27_e001 </t>
  </si>
  <si>
    <t xml:space="preserve">Resgatar ilustração de material dourado. Veio de: g23_mdn_lt_3npm_p19. Código antigo: i0276zz_3pmm_g19_esm </t>
  </si>
  <si>
    <t xml:space="preserve">i0127_3p011m_g27_e001 </t>
  </si>
  <si>
    <t xml:space="preserve">Resgatar ilustração de material dourado. Veio de: g23_mdn_lt_3npm_p19. Código antigo: i0215zz_3npm_g23_mdn_aj </t>
  </si>
  <si>
    <t xml:space="preserve">i0132_3p011m_g27_e001 </t>
  </si>
  <si>
    <t xml:space="preserve">Resgatar ilustração de material dourado. Veio de: g23_mdn_lt_3npm_p20. Código antigo: i0221rn_3pmm_g19_mdn </t>
  </si>
  <si>
    <t xml:space="preserve">i0133_3p011m_g27_e001 </t>
  </si>
  <si>
    <t xml:space="preserve">Resgatar ilustração de material dourado. Veio de: g23_mdn_lt_3npm_p20. Código antigo: i0222rn_3pmm_g19_mdn </t>
  </si>
  <si>
    <t xml:space="preserve">i0134_3p011m_g27_e001 </t>
  </si>
  <si>
    <t>Resgatar ilustração de uma reta numérica com intervalos de 100 em 100. Veio de: g23_mdn_lt_3npm_p22. Código antigo: it0240_3pmm_g19_mdn</t>
  </si>
  <si>
    <t xml:space="preserve">i0135_3p011m_g27_e001 </t>
  </si>
  <si>
    <t xml:space="preserve">Resgatar ilustração de dardos em tiro ao alvo. Veio de: g23_mdn_lt_3npm_p22. Código antigo: i0241rn_3pmm_g19_mdn </t>
  </si>
  <si>
    <t xml:space="preserve">i0136_3p011m_g27_e001 </t>
  </si>
  <si>
    <t xml:space="preserve">Resgatar ilustração de dardos em tiro ao alvo. Veio de: g23_mdn_lt_3npm_p22. Código antigo: i0242rn_3pmm_g19_mdn </t>
  </si>
  <si>
    <t xml:space="preserve">i0137_3p011m_g27_e001 </t>
  </si>
  <si>
    <t xml:space="preserve">Resgatar ilustração de dardos em tiro ao alvo. Veio de: g23_mdn_lt_3npm_p22. Código antigo: i0243rn_3pmm_g19_mdn </t>
  </si>
  <si>
    <t xml:space="preserve">i0138_3p011m_g27_e001 </t>
  </si>
  <si>
    <t xml:space="preserve">Resgatar ilustração de uma prateleira de livros. Veio de: g23_mdn_lt_3npm_p23. Código antigo: i0245cz_3pmm_g19_mdn </t>
  </si>
  <si>
    <t xml:space="preserve">i0142_3p011m_g27_e001 </t>
  </si>
  <si>
    <t xml:space="preserve">Resgatar ilustração de diversos lápis de cor. Veio de: g23_mdn_lt_3npm_p25. Código antigo: i0267zz_3pmm_g19_mdn </t>
  </si>
  <si>
    <t xml:space="preserve">i0145_3p011m_g27_e001 </t>
  </si>
  <si>
    <t xml:space="preserve">Resgatar ilustração menina escrevendo anotações em uma caderneta; g23_mdn_lt_3npm_p190; código antigo i1805cz_3pmm_g19_mdn_ef </t>
  </si>
  <si>
    <t xml:space="preserve">i0147_3p011m_g27_e001 </t>
  </si>
  <si>
    <t xml:space="preserve">Resgatar ilustração menina dormindo com balão de sonho; g23_mdn_lt_3npm_p196; código antigo i1811cz_3pmm_g19_mdn </t>
  </si>
  <si>
    <t>Excluida pela equipe.</t>
  </si>
  <si>
    <t xml:space="preserve">i0148_3p011m_g27_e001 </t>
  </si>
  <si>
    <t xml:space="preserve">Resgatar ilustração monitor de computador exibindo planilha eletrônica; g23_mdn_lt_3npm_p198; código antigo i3416zz_3npm_g23_mdn_aj </t>
  </si>
  <si>
    <t xml:space="preserve">i0149_3p011m_g27_e001 </t>
  </si>
  <si>
    <t>Resgatar ilustração monitor de computador exibindo planilha eletrônica e gráfico montado; g23_mdn_lt_3npm_p198; código antigo i3410sl_3npm_g23_mdn_aj 
Ajuste: retira barras em cor resposta</t>
  </si>
  <si>
    <t xml:space="preserve">i0150_3p011m_g27_e001 </t>
  </si>
  <si>
    <t xml:space="preserve">Resgatar ilustração mulher oradora; g23_mdn_lt_3npm_p199; código antigo i1817cg_3pmm_g19_mdn_ef_ly </t>
  </si>
  <si>
    <t>Foi cadastrada duas vezes, mantive a que foi pra ajuste.</t>
  </si>
  <si>
    <t xml:space="preserve">i0152_3p011m_g27_e001 </t>
  </si>
  <si>
    <t>Resgatar ilustração professora sorrindo, sorteando; g23_mdn_lt_3npm_p200; código antigo i1819ci_3pmm_g19_mdn</t>
  </si>
  <si>
    <t xml:space="preserve">i0153_3p011m_g27_e001 </t>
  </si>
  <si>
    <t xml:space="preserve">Resgatar ilustração números dentro de fichas laranjas circulares; g23_mdn_lt_3npm_p200; código antigo i1820ci_3pmm_g19_mdn </t>
  </si>
  <si>
    <t xml:space="preserve">i0154_3p011m_g27_e001 </t>
  </si>
  <si>
    <t xml:space="preserve">Resgatar ilustração crianças brincando de cara ou coroa; g23_mdn_lt_3npm_p201; código antigo i1821ci_3pmm_g19_mdn </t>
  </si>
  <si>
    <t>i0173_3p011m_g27_e001</t>
  </si>
  <si>
    <t xml:space="preserve">resgatar il de material dourado representando 145 veio do g23_mdn_lt_3npm_p037 código antigo it0333zz_3npm_m20_mdn </t>
  </si>
  <si>
    <t xml:space="preserve">i0157_3p011m_g27_e001 </t>
  </si>
  <si>
    <t xml:space="preserve">resgatar ilus de barras e cubo de material dourado g23_mdn_lt_3npm_p026 código antigo i0226rn_3pmm_g19_mdn 
AJUSTE: separar, deixar esse código com as 10 placas </t>
  </si>
  <si>
    <t>i0158_3p011m_g27_e001</t>
  </si>
  <si>
    <t xml:space="preserve">resgatar ilus de barras e cubo de material dourado g23_mdn_lt_3npm_p026 código antigo i0226rn_3pmm_g19_mdn 
AJUSTE: separar, deixar esse código com o cubo inteiro </t>
  </si>
  <si>
    <t xml:space="preserve">i0159_3p011m_g27_e001 </t>
  </si>
  <si>
    <t xml:space="preserve">resgatar il de reta numérica g23_mdn_lt_3npm_p026 código antigo it0285_3pmm_g19_mdn </t>
  </si>
  <si>
    <t xml:space="preserve">i0160_3p011m_g27_e001 </t>
  </si>
  <si>
    <t xml:space="preserve">resgatar il de material dourado representando 1000 unidades g23_mdn_lt_3npm_p027 código antigo i0250zz_3npm_g23_mdn_aj </t>
  </si>
  <si>
    <t xml:space="preserve">i0167_3p011m_g27_e001 </t>
  </si>
  <si>
    <t xml:space="preserve">resgatar cena de professora e estudantes veio do g23_mdn_lt_3npm_p032 código antigo i0260so_3pmm_g19_mdn 
AJUSTE: separar a il, deixar a cena com o menino levantando a mão (cena de cima) </t>
  </si>
  <si>
    <t xml:space="preserve">i0168_3p011m_g27_e001 </t>
  </si>
  <si>
    <t xml:space="preserve">resgatar cena de professora e estudantes veio do g23_mdn_lt_3npm_p032 código antigo i0260so_3pmm_g19_mdn 
AJUSTE: separar a il, deixar a cena com a menina levantando a mão (cena de baixo) </t>
  </si>
  <si>
    <t xml:space="preserve">i0169_3p011m_g27_e001 </t>
  </si>
  <si>
    <t xml:space="preserve">resgatar il de reta numérica veio do g23_mdn_lt_3npm_p034 código antigo it0262_3pmm_g19_mdn </t>
  </si>
  <si>
    <t xml:space="preserve">i0171_3p011m_g27_e001 </t>
  </si>
  <si>
    <t xml:space="preserve">resgatar ilustração de varias fichas veio do g23_mdn_lt_3npm_p036 código antigo i0263sl_3pmm_g19_mdn </t>
  </si>
  <si>
    <t xml:space="preserve">i0172_3p011m_g27_e001 </t>
  </si>
  <si>
    <t xml:space="preserve">resgatar ilustração de crianças jogando veio do g23_mdn_lt_3npm_p036 código antigo i0227cz_3npm_g23_mdn_aj </t>
  </si>
  <si>
    <t xml:space="preserve">i0302_3p011m_g27_e001 </t>
  </si>
  <si>
    <t xml:space="preserve">Resgatar ilustração de professora em sala de aula com alguns objetos que se parecem com figuras geométricas espaciais, da página 40 do g23_mdn_lt_3npm_p038a047_u2. Código antigo i0611so_3npm_g23_mdn_aj 
AJUSTE: juntar os objetos do grupo A e B em apenas uma mesa, e compor destaque para a professora, conforme referência </t>
  </si>
  <si>
    <t xml:space="preserve">i0303_3p011m_g27_e001 </t>
  </si>
  <si>
    <t xml:space="preserve">Resgatar ilustração de Paralelepípedo, da página 40 do g23_mdn_lt_3npm_p038a047_u2. Código antigo it0435zz_3pmm_g19_mdn </t>
  </si>
  <si>
    <t>i0304_3p011m_g27_e001</t>
  </si>
  <si>
    <t>resgatar ilustração de Pirâmide, da página 40 do g23_mdn_lt_3npm_p038a047_u2. Código antigo it0436zz_3pmm_g19_mdn</t>
  </si>
  <si>
    <t xml:space="preserve">i0305_3p011m_g27_e001 </t>
  </si>
  <si>
    <t xml:space="preserve">Resgatar ilustração de Cubo, da página 40 do g23_mdn_lt_3npm_p038a047_u2. Código antigo it0437zz_3pmm_g19_mdn </t>
  </si>
  <si>
    <t xml:space="preserve">i0306_3p011m_g27_e001 </t>
  </si>
  <si>
    <t xml:space="preserve">Resgatar ilustração de Esfera, da página 41 do g23_mdn_lt_3npm_p038a047_u2. Código antigo it0439zz_3pmm_g19_mdn </t>
  </si>
  <si>
    <t xml:space="preserve">i0307_3p011m_g27_e001 </t>
  </si>
  <si>
    <t xml:space="preserve">Resgatar ilustração de Cone, da página 41 do g23_mdn_lt_3npm_p038a047_u2. Código antigo it0438zz_3pmm_g19_mdn </t>
  </si>
  <si>
    <t xml:space="preserve">i0308_3p011m_g27_e001 </t>
  </si>
  <si>
    <t xml:space="preserve">Resgatar ilustração de Cilindro, da página 41 do g23_mdn_lt_3npm_p038a047_u2. Código antigo it0440zz_3pmm_g19_mdn </t>
  </si>
  <si>
    <t xml:space="preserve">i0309_3p011m_g27_e001 </t>
  </si>
  <si>
    <t xml:space="preserve">Resgatar ilustração de professora em sala de aula com alguns objetos que se parecem com figuras geométricas espaciais, da página 40 do g23_mdn_lt_3npm_p038a047_u2. Código antigo i0611so_3npm_g23_mdn_aj 
AJUSTE: juntar os objetos do grupo A e B em apenas uma mesa, deixar a professora ao lado dessa mesa, lousa ao fundo e a mesa com objetos e o aluno sentado, conforme referência </t>
  </si>
  <si>
    <t>i0310_3p011m_g27_e001</t>
  </si>
  <si>
    <t xml:space="preserve">Resgatar ilustração de cubo, da página 42 do g23_mdn_lt_3npm_p038a047_u2. Código antigo it0423_3pmm_g19_mdn </t>
  </si>
  <si>
    <t xml:space="preserve">i0311_3p011m_g27_e001 </t>
  </si>
  <si>
    <t xml:space="preserve">Resgatar ilustração de mosaico com sete cubos ocultos, da página 42 do g23_mdn_lt_3npm_p038a047_u2. Código antigo it0443_3pmm_g19_mdn 
AJUSTE: retirar figuras em cor resposta </t>
  </si>
  <si>
    <t xml:space="preserve">i0312_3p011m_g27_e001 </t>
  </si>
  <si>
    <t xml:space="preserve">Resgatar ilustração de um cubo a partir de seu molde aberto, da página 42 do g23_mdn_lt_3npm_p038a047_u2. Código antigo it0409_3pmm_g19_mdn </t>
  </si>
  <si>
    <t xml:space="preserve">i0313_3p011m_g27_e001 </t>
  </si>
  <si>
    <t xml:space="preserve">Resgatar ilustração de molde de cubo sendo montado, da página 42 do g23_mdn_lt_3npm_p038a047_u2. Código antigo i0603zz_3npm_g23_mdn_aj </t>
  </si>
  <si>
    <t xml:space="preserve">i0314_3p011m_g27_e001 </t>
  </si>
  <si>
    <t xml:space="preserve">Resgatar ilustração de cubo montado, da página 42 do g23_mdn_lt_3npm_p038a047_u2. Código antigo it0411_3pmm_g19_mdn </t>
  </si>
  <si>
    <t>i0315_3p011m_g27_e001</t>
  </si>
  <si>
    <t xml:space="preserve">Resgatar Ilustração de peças que, ao serem encaixadas, formam a representação de um cubo, da página 43 do g23_mdn_lt_3npm_p038a047_u2. Código antigo it0408_3pmm_g19_mdn 
AJUSTE: separar as ils de i0315a até i0315h, conforme referência </t>
  </si>
  <si>
    <t xml:space="preserve">i0316_3p011m_g27_e001 </t>
  </si>
  <si>
    <t xml:space="preserve">Resgatar Ilustração de um molde de caixa de creme dental sendo aberta, da página 43 do g23_mdn_lt_3npm_p038a047_u2. Código antigo i0413sl_3pmm_g19_mdn </t>
  </si>
  <si>
    <t>i0317_3p011m_g27_e001</t>
  </si>
  <si>
    <t xml:space="preserve">i0318_3p011m_g27_e001 </t>
  </si>
  <si>
    <t xml:space="preserve">Resgatar Ilustração de um molde de caixa de creme dental com o interior aberto, da página 43 do g23_mdn_lt_3npm_p038a047_u2. Código antigo it0415_3pmm_g19_mdn </t>
  </si>
  <si>
    <t xml:space="preserve">i0319_3p011m_g27_e001 </t>
  </si>
  <si>
    <t xml:space="preserve">Resgatar Ilustração de caixa de sabonete, da página 44 do g23_mdn_lt_3npm_p038a047_u2. Código antigo i0416sl_3pmm_g19_mdn </t>
  </si>
  <si>
    <t xml:space="preserve">i0320_3p011m_g27_e001 </t>
  </si>
  <si>
    <t xml:space="preserve">AJUSTE 
Resgatar Ilustração de MOLDE A, da página 44 do g23_mdn_lt_3npm_p038a047_u2. Código antigo it0417_3pmm_g19_mdn 
AJUSTE: Retirar cor resposta </t>
  </si>
  <si>
    <t xml:space="preserve">i0321_3p011m_g27_e001 </t>
  </si>
  <si>
    <t xml:space="preserve">Resgatar Ilustração de MOLDE B, da página 44 do g23_mdn_lt_3npm_p038a047_u2. Código antigo it0418_3pmm_g19_mdn </t>
  </si>
  <si>
    <t xml:space="preserve">i0322_3p011m_g27_e001 </t>
  </si>
  <si>
    <t xml:space="preserve">Resgatar Ilustração de MOLDE C, da página 44 do g23_mdn_lt_3npm_p038a047_u2. Código antigo it0419_3pmm_g19_mdn </t>
  </si>
  <si>
    <t xml:space="preserve">i0323_3p011m_g27_e001 </t>
  </si>
  <si>
    <t xml:space="preserve">Resgatar Ilustração de personagem com massa de modelar utilizando uma das faces da representação de uma pirâmide, da página 44 do g23_mdn_lt_3npm_p038a047_u2. Código antigo i0428so_3pmm_g19_mdn </t>
  </si>
  <si>
    <t xml:space="preserve">i0324_3p011m_g27_e001 </t>
  </si>
  <si>
    <t xml:space="preserve">Resgatar Ilustração de figuras geométricas (cubo, cilindro e paralelepípedo) e das marcas correspondentes deixadas na massa de modelar, da página 44 do g23_mdn_lt_3npm_p038a047_u2. Código antigo i0429so_3pmm_g19_mdn 
AJUSTE: separar as ils de A a F conforme indicado  </t>
  </si>
  <si>
    <t xml:space="preserve">i0325_3p011m_g27_e001 </t>
  </si>
  <si>
    <t xml:space="preserve">Resgatar Ilustração de montagem de uma pirâmide, da página 45 do g23_mdn_lt_3npm_p038a047_u2. Código antigo i0430zz_3pmm_g19_mdn 
AJUSTE: separar as ils em i0325A (molde), i0325B (montagem), i0325C (pirâmide pronta) </t>
  </si>
  <si>
    <t>CAMILA CARMONA E ROGÉRIO CASAGRANDE/ARQUIVO DA EDITORA</t>
  </si>
  <si>
    <t xml:space="preserve">i0326_3p011m_g27_e001 </t>
  </si>
  <si>
    <t xml:space="preserve">Resgatar Ilustração de um Cilindro, da página 45 do g23_mdn_lt_3npm_p038a047_u2. Código antigo it0425_3pmm_g19_mdn </t>
  </si>
  <si>
    <t xml:space="preserve">i0327_3p011m_g27_e001 </t>
  </si>
  <si>
    <t xml:space="preserve">
Resgatar Ilustração de um Paralelepípedo, da página 45 do g23_mdn_lt_3npm_p038a047_u2. Código antigo it0444_3pmm_g19_mdn </t>
  </si>
  <si>
    <t xml:space="preserve">i0328_3p011m_g27_e001 </t>
  </si>
  <si>
    <t>Resgatar Ilustração de um Cone, da página 45 do g23_mdn_lt_3npm_p038a047_u2. Código antigo it0427_3pmm_g19_mdn</t>
  </si>
  <si>
    <t xml:space="preserve">i0329_3p011m_g27_e001 </t>
  </si>
  <si>
    <t xml:space="preserve">Resgatar Ilustração de um molde de Cone, da página 45 do g23_mdn_lt_3npm_p038a047_u2. Código antigo it0426_3pmm_g19_mdn </t>
  </si>
  <si>
    <t xml:space="preserve">i0330_3p011m_g27_e001 </t>
  </si>
  <si>
    <t xml:space="preserve">Resgatar Ilustração de um molde de Cilindro, da página 45 do g23_mdn_lt_3npm_p038a047_u2. Código antigo it0424_3pmm_g19_mdn </t>
  </si>
  <si>
    <t xml:space="preserve">i0331_3p011m_g27_e001 </t>
  </si>
  <si>
    <t xml:space="preserve">Resgatar Ilustração de um molde de Paralelepípedo, da página 45 do g23_mdn_lt_3npm_p038a047_u2. Código antigo it0445_3pmm_g19_mdn </t>
  </si>
  <si>
    <t xml:space="preserve">i0334_3p011m_g27_e001 </t>
  </si>
  <si>
    <t xml:space="preserve">Resgatar Ilustração de um quarto contendo vários objetos com formas geométricas, da página 47 do g23_mdn_lt_3npm_p038a047_u2. Código antigo i0458mm_3npm_m20_mdn_ef </t>
  </si>
  <si>
    <t xml:space="preserve">i0335_3p011m_g27_e001 </t>
  </si>
  <si>
    <t xml:space="preserve">Resgatar Ilustração de uma esfera, da página 47 do g23_mdn_lt_3npm_p038a047_u2. Código antigo it0459_3npm_m20_mdn </t>
  </si>
  <si>
    <t xml:space="preserve">i0336_3p011m_g27_e001 </t>
  </si>
  <si>
    <t>Resgatar Ilustração de uma Pirâmide, da página 47 do g23_mdn_lt_3npm_p038a047_u2. Código antigo it0460_3npm_m20_mdn</t>
  </si>
  <si>
    <t xml:space="preserve">i0337_3p011m_g27_e001 </t>
  </si>
  <si>
    <t xml:space="preserve">Resgatar Ilustração de um Paralelepípedo, da página 47 do g23_mdn_lt_3npm_p038a047_u2. Código antigo it0461_3npm_m20_mdn </t>
  </si>
  <si>
    <t xml:space="preserve">i0502_3p011m_g27_e001 </t>
  </si>
  <si>
    <t>Resgatar e ajustar ilustração de copos de iogurte do g23_mdn_lt_3npm_p50. Código antigo i0630rn_3pmm_g19_mdn
AJUSTE: trocar iogurte dos copos por morangos picados.</t>
  </si>
  <si>
    <t xml:space="preserve">i0503_3p011m_g27_e001 </t>
  </si>
  <si>
    <t>Resgatar e ajustar ilustração de copos de iogurte do g23_mdn_lt_3npm_p50. Código antigo i0631rn_3pmm_g19_mdn
AJUSTE: trocar iogurte dos copos por morangos picados.</t>
  </si>
  <si>
    <t xml:space="preserve">i0506_3p011m_g27_e001 </t>
  </si>
  <si>
    <t xml:space="preserve">Resgatar ilustração de reta numérica do g23_mdn_lt_3npm_p51. Código antigo i1019sl_3npm_g23_mdn_aj </t>
  </si>
  <si>
    <t>i0507_3p011m_g27_e001</t>
  </si>
  <si>
    <t>Resgatar ilustração da reta numérica do g23_mdn_lt_3npm_p51. Código antigo i1020sl_3npm_g23_mdn_aj 
AJUSTE: retirar setas e ponto em cor resposta</t>
  </si>
  <si>
    <t>i0511_3p011m_g27_e001</t>
  </si>
  <si>
    <t xml:space="preserve">Resgatar ilustração da menina com sacolas do g23_mdn_lt_3npm_p52. Código antigo i0625sh_3pmm_g19_mdn_ef </t>
  </si>
  <si>
    <t xml:space="preserve">i0512_3p011m_g27_e001 </t>
  </si>
  <si>
    <t>Resgatar bolinha de ábaco. Veio de g23_mdn_lt_3npm_p53. Código antigo: i0661zz_3pmm_g19_mdn</t>
  </si>
  <si>
    <t xml:space="preserve">i0513_3p011m_g27_e001 </t>
  </si>
  <si>
    <t xml:space="preserve">Resgatar ilustração do ábaco do g23_mdn_lt_3npm_p53. Código antigo i0605rn_3pmm_g19_mdn </t>
  </si>
  <si>
    <t xml:space="preserve">i0514_3p011m_g27_e001 </t>
  </si>
  <si>
    <t xml:space="preserve">Resgatar ilustração do ábaco do g23_mdn_lt_3npm_p53. Código antigo i0606rn_3pmm_g19_mdn </t>
  </si>
  <si>
    <t xml:space="preserve">i0515_3p011m_g27_e001 </t>
  </si>
  <si>
    <t xml:space="preserve">Resgatar ilustração do ábaco do g23_mdn_lt_3npm_p53. Código antigo i0607rn_3pmm_g19_mdn 
Ajuste: separar em A e B </t>
  </si>
  <si>
    <t>Obs: a imagem foi separada em A e B, porém a A foi excluída pela equipe, será usada somente a B.</t>
  </si>
  <si>
    <t xml:space="preserve">i0516_3p011m_g27_e001 </t>
  </si>
  <si>
    <t xml:space="preserve">Resgatar ilustração do ábaco do g23_mdn_lt_3npm_p53. Código antigo i0608rn_3pmm_g19_mdn 
AJUSTE: retirar bolinhas em cor resposta </t>
  </si>
  <si>
    <t xml:space="preserve">if0519_3p011m_g27_e001 </t>
  </si>
  <si>
    <t>Resgatar ilustração+ foto de jogos e brincadeiras do g23_mdn_lt_3npm_p55. Código antigo if0626rn_3pmm_g19_mdn_ef 
Ajuste: ajustar grid conforme ref acima</t>
  </si>
  <si>
    <t>ILUSTRAÇÃO DE CÁTIA GERMANI/ARQUIVO DA EDITORA. FOTO: BESTIARY/SHUTTERSTOCK</t>
  </si>
  <si>
    <t xml:space="preserve">i0521_3p011m_g27_e001 </t>
  </si>
  <si>
    <t xml:space="preserve">Resgatar ilustração de material dourado. veio de: g23_mdn_lt_3npm_p56. Código antigo: i0632zz_3pmm_g19_mdn </t>
  </si>
  <si>
    <t xml:space="preserve">i0522_3p011m_g27_e001 </t>
  </si>
  <si>
    <t xml:space="preserve">Resgatar ilustração de material dourado. veio de: g23_mdn_lt_3npm_p56. Código antigo: i0633zz_3pmm_g19_mdn </t>
  </si>
  <si>
    <t xml:space="preserve">i0523_3p011m_g27_e001 </t>
  </si>
  <si>
    <t xml:space="preserve">Resgatar ilustração de material dourado. veio de: g23_mdn_lt_3npm_p57. Código antigo: i0635zz_3pmm_g19_mdn 
AJUSTE: separar, deixar nesse código a parte esquerda que contém duas placas, três barras e 12 cubinhos. </t>
  </si>
  <si>
    <t xml:space="preserve">i0524_3p011m_g27_e001 </t>
  </si>
  <si>
    <t xml:space="preserve">Resgatar ilustração de material dourado. veio de: g23_mdn_lt_3npm_p57. Código antigo: i0635zz_3pmm_g19_mdn 
AJUSTE: separar, deixar nesse código a parte direita que contém duas placas, quatro barras e 2 cubinhos. </t>
  </si>
  <si>
    <t xml:space="preserve">i0528_3p011m_g27_e001 </t>
  </si>
  <si>
    <t xml:space="preserve">Resgatar ilustração do visor de uma calculadora. Veio de: g23_mdn_lt_3npm_p61. Código antigo i0638zz_3pmm_g19_mdn </t>
  </si>
  <si>
    <t xml:space="preserve">i0534_3p011m_g27_e001 </t>
  </si>
  <si>
    <t xml:space="preserve">Resgatar ilustração de contas de soma na lousa. Veio de: g23_mdn_lt_3npm_p63. Código antigo: i1032zz_3npm_g23_mdn_aj </t>
  </si>
  <si>
    <t>g0535_3p011m_g27_e001</t>
  </si>
  <si>
    <t xml:space="preserve">Resgatar ilustração gráfico pesquisa dos estudantes aniversários; g23_mdn_lt_3npm_p195; código antigo gt3414sl_3npm_g23_mdn_aj </t>
  </si>
  <si>
    <t xml:space="preserve">i0536_3p011m_g27_e001 </t>
  </si>
  <si>
    <t xml:space="preserve">Resgatar ilustração placas de cada mês do ano; g23_mdn_lt_3npm_p195; código antigo i1827ca_3pmm_g19_mdn </t>
  </si>
  <si>
    <t>i0102_1p011m_g27_e001</t>
  </si>
  <si>
    <t>Resgatar e ajustar ilustração de crianças brincando em um pátio, em g23_mdn_lt_1npm_p010a020_u1, página 12. Código antigo: i0324za_1pmm_g19_mdn
AJUSTE 1: Ajustar a sangra fechando o grid da página feita como feito na leitura prévia da Arte. (Ver referência).
AJUSTE 2: Trocar o tom da cor da pele da menina que está embaixo da mesa. Ela deve ser negra.
AJUSTE 3: Inserir um adulto na cena.</t>
  </si>
  <si>
    <t>i0701_3p011m_g27_e001</t>
  </si>
  <si>
    <t>Resgatar ilustração de 9 canetas azuis e 7 canetas vermelhas, da página 64 do g23_mdn_lt_3npm_p064a069_u3. Código antigo i0613rn_3pmm_g19_mdn</t>
  </si>
  <si>
    <t xml:space="preserve">i0705_3p011m_g27_e001 </t>
  </si>
  <si>
    <t xml:space="preserve">Resgatar ilustração de reta numérica que representa 7−3=4, da página 65 do g23_mdn_lt_3npm_p064a069_u3. Código antigo i1022sl_3npm_g23_mdn_aj </t>
  </si>
  <si>
    <t xml:space="preserve">i0706_3p011m_g27_e001 </t>
  </si>
  <si>
    <t xml:space="preserve">Resgatar ilustração de reta numérica que representa 
9−6=3, da página 65 do g23_mdn_lt_3npm_p064a069_u3. Código antigo i1023sl_3npm_g23_mdn_aj 
AJUSTE: retirar os elementos em cor resposta </t>
  </si>
  <si>
    <t xml:space="preserve">i0709_3p011m_g27_e001 </t>
  </si>
  <si>
    <t xml:space="preserve">Resgatar ilustração da palavra BRASIL, da página 65 do g23_mdn_lt_3npm_p064a069_u3. Código antigo i0629rn_3pmm_g19_mdn . AJUSTE: Remover letras em cor resposta. </t>
  </si>
  <si>
    <t xml:space="preserve">i0710_3p011m_g27_e001 </t>
  </si>
  <si>
    <t>Resgatar Ilustração de dois personagens, um menino e uma menina, cada um com várias conchas, da página 66 do g23_mdn_lt_3npm_p064a069_u3. Código antigo i0646sh_3pmm_g19_mdn</t>
  </si>
  <si>
    <t xml:space="preserve">i0711_3p011m_g27_e001 </t>
  </si>
  <si>
    <t xml:space="preserve">Resgatar Ilustração de caixas em duas pilhas, da página 67 do g23_mdn_lt_3npm_p064a069_u3. Código antigo i1039rm_3npm_g23_mdn_aj </t>
  </si>
  <si>
    <t>i0196_1p011m_g27_e001</t>
  </si>
  <si>
    <t xml:space="preserve">Ilustração de um ícone em manuscrito para dar a entender que o estudante fez de um mapa; ver ideia a seguir, não fazer igual.
</t>
  </si>
  <si>
    <t>F: 09/04</t>
  </si>
  <si>
    <t>i0197_1p011m_g27_e001</t>
  </si>
  <si>
    <t xml:space="preserve">Ilustração de um ícone em manuscrito para dar a entender que o estudante fez de uma balança; ver ideia a seguir, não fazer igual.
 </t>
  </si>
  <si>
    <t>i0198_1p011m_g27_e001</t>
  </si>
  <si>
    <t xml:space="preserve">Ilustração de um ícone em manuscrito para dar a entender que o estudante fez com dois copos e com lápis dentro deles, no primeiro copo terá 1 lápis e no segundo terá 3 lápis; ver ideia a seguir, não fazer igual.
</t>
  </si>
  <si>
    <t>i0199_1p011m_g27_e001</t>
  </si>
  <si>
    <t xml:space="preserve">Ilustração de um ícone em manuscrito para dar a entender que o estudante fez de uma urna, sendo uma caixa com um buraco circular na parte de cima; ver ideia a seguir, não fazer igual.
</t>
  </si>
  <si>
    <t xml:space="preserve">i0715_3p011m_g27_e001 </t>
  </si>
  <si>
    <t xml:space="preserve">Resgatar ilustração de placar de uma partida de basquete em determinado momento do jogo, da página 69 do g23_mdn_lt_3npm_p064a069_u3. Código antigo i0620rm_3pmm_g19_mdn 
 </t>
  </si>
  <si>
    <t xml:space="preserve">i0716_3p011m_g27_e001 </t>
  </si>
  <si>
    <t xml:space="preserve">Resgatar gráfico sobre pesquisa sobre o uso do computador no dia a dia dos estudantes, da página 69 do g23_mdn_lt_3npm_p064a069_u3. Código antigo i0621rm_3pmm_g19_mdn </t>
  </si>
  <si>
    <t>Está no código g0716</t>
  </si>
  <si>
    <t xml:space="preserve">i0733_3p011m_g27_e001 </t>
  </si>
  <si>
    <t xml:space="preserve">Resgatar ilustração de pictograma que representa um estudante, da página 69 do g23_mdn_lt_3npm_p064a069_u3. Código antigo i0678rn_3pmm_g19_mdn </t>
  </si>
  <si>
    <t xml:space="preserve">i0718_3p011m_g27_e001 </t>
  </si>
  <si>
    <t xml:space="preserve">Resgatar ilustração de material dourado. Veio de: g23_mdn_lt_3npm_p070. Código antigo: i0648zz_3pmm_g19_mdn </t>
  </si>
  <si>
    <t xml:space="preserve">i0719_3p011m_g27_e001 </t>
  </si>
  <si>
    <t>Resgatar ilustração de material dourado. Veio de: g23_mdn_lt_3npm_p070. Código antigo: i0650zz_3pmm_g19_mdn</t>
  </si>
  <si>
    <t xml:space="preserve">i0720_3p011m_g27_e001 </t>
  </si>
  <si>
    <t xml:space="preserve">Resgatar ilustração de operação subtração com material dourado. Veio de g23_mdn_lt_3npm_p72. Código antigo: i0651zz_3pmm_g19_mdn 
AJUSTE: separar as ils em A e B, sendo i0720_3p011m_g27_e001 
  a parte esquerda com 1 placa, 4 barras e 5 cubinhos, e a parte direita com 1 placa, 3 barras, e 15 cubinhos. </t>
  </si>
  <si>
    <t xml:space="preserve">i0721_3p011m_g27_e001 </t>
  </si>
  <si>
    <t xml:space="preserve">Resgatar ilustração de uma criança lendo às 3h. Veio de: g23_mdn_lt_3npm_p72. Código antigo:  i0652cg_3pmm_g19_mdn </t>
  </si>
  <si>
    <t>AJUSTE ARTE</t>
  </si>
  <si>
    <t xml:space="preserve">i0722_3p011m_g27_e001 </t>
  </si>
  <si>
    <t xml:space="preserve">Resgatar ilustração de uma criança pensativa lendo um livro às 4h. Veio de: g23_mdn_lt_3npm_p72. Código antigo: i0653cg_3pmm_g19_mdn </t>
  </si>
  <si>
    <t>i0725_3p011m_g27_e001</t>
  </si>
  <si>
    <t xml:space="preserve">Resgatar lustração de uma menina representando o número 9 nas mãos. Veio de: g23_mdn_lt_3npm_p075. Código antigo: i0679rl_3pmm_g19_mdn </t>
  </si>
  <si>
    <t xml:space="preserve">i0726_3p011m_g27_e001 </t>
  </si>
  <si>
    <t xml:space="preserve">Resgatar ilustração de um homem vendo ofertas de eletrodomésticos da vitrine de uma loja. Veio de: g23_mdn_lt_3npm_p076 Código antigo: i0657sh_3pmm_g19_mdn_ef </t>
  </si>
  <si>
    <t xml:space="preserve">g0728_3p011m_g27_e001 </t>
  </si>
  <si>
    <t>Resgatar e ajustar gráfico de quantidade de livros vendidos. Veio de: g23_mdn_lt_3npm_p077.Ccódigo antigo: gt1037zz_3npm_g23_mdn_aj
AJUSTE: compor fio contorno preto do padrão da obra em torno das barras do gráfico.</t>
  </si>
  <si>
    <t xml:space="preserve">i0729_3p011m_g27_e001 </t>
  </si>
  <si>
    <t xml:space="preserve">Resgatar ilustração de uma família cuidando da casa. Veio de: g23_mdn_lt_3npm_p078. Código antigo: i0668so_3pmm_g19_mdn_ly_ef 
AJUSTE: Ajustar ao grid da página conforme referência acima. </t>
  </si>
  <si>
    <t xml:space="preserve">i0730_3p011m_g27_e001 </t>
  </si>
  <si>
    <t xml:space="preserve">Resgatar ilustração professora fazendo pesquisa sobre histórias infantis; g23_mdn_lt_3npm_p192; código antigo i5202so_3m3sem_m20_stl_aj </t>
  </si>
  <si>
    <t xml:space="preserve">g0731_3p011m_g27_e001 </t>
  </si>
  <si>
    <t xml:space="preserve">Resgatar gráfico/ilustração quantidade de estudantes; g23_mdn_lt_3npm_p193; código antigo gt1806_3pmm_g19_mdn 
AJUSTE: retirar barras em cor resposta </t>
  </si>
  <si>
    <t>i0964_1p011m_g27_e001</t>
  </si>
  <si>
    <t>Resgatar e ajustar ilustração do cone vermelho; g23_mdn_lt_1npm_p86; código antigo it0859_1pmm_g19_mdn
AJUSTE: ajustar para a cor roxa do padrão.</t>
  </si>
  <si>
    <t>i0965_1p011m_g27_e001</t>
  </si>
  <si>
    <t>Resgatar e ajustar ilustração de uma esfera vermelha; g23_mdn_lt_1npm_p86; código antigo it0860_1pmm_g19_mdn
AJUSTE: ajustar para a cor roxa do padrão.</t>
  </si>
  <si>
    <t>i0966_1p011m_g27_e001</t>
  </si>
  <si>
    <t>Resgatar e ajustar ilustração de um cilindro vermelho; g23_mdn_lt_1npm_p86; código antigo it0858_1pmm_g19_mdn
AJUSTE: ajustar para a cor roxa do padrão.</t>
  </si>
  <si>
    <t>i0967_1p011m_g27_e001</t>
  </si>
  <si>
    <t>Resgatar e ajustar ilustração de um paralelepípedo vermelho; g23_mdn_lt_1npm_p86; código antigo it0857_1pmm_g19_mdn
AJUSTE: ajustar para a cor roxa do padrão.</t>
  </si>
  <si>
    <t>i0581_1p011m_g27_e001</t>
  </si>
  <si>
    <t>Ilustração de um vaso de flores coloridas. Esse vaso deve conter 7 flores e ele deve estar sobre uma mesa. Na ilustração deve ser possível contar as 7 flores e é de suma importância que o estudante consiga identificar que há exatamente 7 flores.</t>
  </si>
  <si>
    <t>FINALIZADA</t>
  </si>
  <si>
    <t>i0582_1p011m_g27_e001</t>
  </si>
  <si>
    <t>Ilustração da mesma cena da i0581_1p011m, porém, 3 das 7 flores que estavam no vaso devem estar sobre a mesa. É de suma importância que seja possível contar as 3 flores sobre a mesa, assim como as 4 que sobraram no vaso.</t>
  </si>
  <si>
    <t>i0558_1p011m_g27_e001</t>
  </si>
  <si>
    <t>Resgatar ilustração de uma menina com a mão mostrando cinco dedos  levantada, em g23_mdn_lt_1npm_p079_u3 código antigo i0667sh_1pmm_g19_mdn</t>
  </si>
  <si>
    <t>i0559_1p011m_g27_e001</t>
  </si>
  <si>
    <t>Resgatar ilustração de uma menina com a mão mostrando tres dedos, em g23_mdn_lt_1npm_p079_u3 código i0668sh_1pmm_g19_mdn</t>
  </si>
  <si>
    <t>i0584_1p011m_g27_e001</t>
  </si>
  <si>
    <t>Ilustração de 10 lápis de cor coloridos do padrão de ilustrações.</t>
  </si>
  <si>
    <t>i0589_1p011m_g27_e001</t>
  </si>
  <si>
    <t>Ilustração de três tracinhos e mais dois tracinhos para que o estudante possa realizar a soma. Ver referência a seguir.</t>
  </si>
  <si>
    <t>ARTE</t>
  </si>
  <si>
    <t>i0585_1p011m_g27_e001</t>
  </si>
  <si>
    <t>Resgatar e ajustar ilustração do menino com 3 dedos levantados do g23_mdn_it_1npm_p070 código i0633rl_1pmm_g19_mdn. 
Ajuste: deixar o menino com 4 dedos na mão levantados.
Arte: tem também a i0634rl_1pmm_g19_mdn com o menino mostrando 5 dedos, aí teria que deixar o dedão para dentro, como se estivesse 4 dedos levantados, ver qual é mais fácil de usar.
Deixar mesmo fundo cor nessa e na i0587_1p011m igual.</t>
  </si>
  <si>
    <t>i0586_1p011m_g27_e001</t>
  </si>
  <si>
    <t>Resgatar e ajustar ilustração de uma régua com as setas verde e laranja, em g23_mdn_lt_1npm_p071_u3 código i0635zz_1pmm_g19_mdn.
AJUSTE: ir até o algarismo 5 e somar mais 2, como na referência a seguir.</t>
  </si>
  <si>
    <t>i0590_1p011m_g27_e001</t>
  </si>
  <si>
    <t>Ilustração de 6 tracinhos com 5 deles cortados, como na referência a seguir.</t>
  </si>
  <si>
    <t>i0587_1p011m_g27_e001</t>
  </si>
  <si>
    <t>Resgatar ilustração do menino com 3 dedos levantados do g23_mdn_it_1npm_p070 código i0633rl_1pmm_g19_mdn.</t>
  </si>
  <si>
    <t>i0588_1p011m_g27_e001</t>
  </si>
  <si>
    <t>Resgatar e ajustar ilustração de uma régua com as setas verde e laranja, em g23_mdn_lt_1npm_p080_u3 código i0671zz_1pmm_g19_mdn.
AJUSTE: ir até o algarismo 9 e subtrair 6, como na referência a seguir.</t>
  </si>
  <si>
    <t>i0956_1p011m_g27_e001</t>
  </si>
  <si>
    <t>Ilustração de cena de sala de aula ao fundo. Em destaque uma mesa com representações de figuras geométricas espaciais sobre ela. Não é necessário aparecer a sala de aula, o foco deve ser a mesa. Os estudantes vão contar as figuras que estão sobre a mesa. 
Sobre a mesa deve haver: 7 cones, 3 cilindros, 4 paralelepípedos e 5 esferas. Não devem ter tracejados, ser maciças. Eles não devem estar agrupados por formato, mas sim misturado. É de suma importância que os estudantes consigam ver e contar todas as figuras.
OBS: As representações não precisam ser idênticas. Elas podem variar em tamanho e cor e as figuras têm que ser semelhantes as do padrão de ilustrações, porém sem tracejado.</t>
  </si>
  <si>
    <t>F:10/04</t>
  </si>
  <si>
    <t>i0957_1p011m_g27_e001</t>
  </si>
  <si>
    <t>Ilustração de uma sequência de figuras geométricas espaciais no padrão da obra. A sequência será organizada com as figuras geométricas na seguinte ordem: paralelepípedo, paralelepípedo, esfera, paralelepípedo, esfera e esfera. Compor sequência em uma única linha, como na referência.</t>
  </si>
  <si>
    <t>i0958_1p011m_g27_e001</t>
  </si>
  <si>
    <t>Ilustração de uma sequência de figuras geométricas espaciais no padrão da obra. A sequência será organizada com as figuras geométricas na seguinte ordem: cilindro, cone, cilindro, cone, cilindro e cilindro. Compor a sequência em uma única linha, como na referência.</t>
  </si>
  <si>
    <t xml:space="preserve">i0903_3p011m_g27_e001 </t>
  </si>
  <si>
    <t>Resgatar ilustração de trem e uma ponte ferroviária, da página 82 do g23_mdn_lt_3npm_p080a089_u4. Código antigo i0828Aci_3pmm_g19_mdn
AJUSTE: Cropar a imagem conforme referência a seguir</t>
  </si>
  <si>
    <t xml:space="preserve">i0904_3p011m_g27_e001 </t>
  </si>
  <si>
    <t xml:space="preserve">Resgatar ilustração de linha reta, da página 82 do g23_mdn_lt_3npm_p080a089_u4. Código antigo it0829_3pmm_g19_mdn  AJUSTE: Cropar a imagem conforme referência a seguir, para que o foco seja no trilho e no trem, e que a imagem não sangre. </t>
  </si>
  <si>
    <t xml:space="preserve">i0905_3p011m_g27_e001 </t>
  </si>
  <si>
    <t xml:space="preserve">Resgatar ilustração de linha de trem, da página 83 do g23_mdn_lt_3npm_p080a089_u4. Código antigo i0828Bci_3pmm_g19_mdn
AJUSTE: girar imagem conforme referência a seguir.
</t>
  </si>
  <si>
    <t>foi planilhada duas vezes</t>
  </si>
  <si>
    <t xml:space="preserve">i0906_3p011m_g27_e001 </t>
  </si>
  <si>
    <t xml:space="preserve">Resgatar ilustração de linha de retas paralelas s e r, da página 83 do g23_mdn_lt_3npm_p080a089_u4. Código antigo it0806_3npm_m20_mdn_aj </t>
  </si>
  <si>
    <t xml:space="preserve">i0907_3p011m_g27_e001 </t>
  </si>
  <si>
    <t xml:space="preserve">Resgatar ilustração de linha de retas u e v, da página 83 do g23_mdn_lt_3npm_p080a089_u4. Código antigo it0831_3pmm_g19_mdn </t>
  </si>
  <si>
    <t xml:space="preserve">i0908_3p011m_g27_e001 </t>
  </si>
  <si>
    <t>Resgatar ilustração de linha de retas m e n, da página 83 do g23_mdn_lt_3npm_p080a089_u4. Código antigo it0832_3pmm_g19_mdn</t>
  </si>
  <si>
    <t xml:space="preserve">i0909_3p011m_g27_e001 </t>
  </si>
  <si>
    <t xml:space="preserve">Resgatar ilustração de linha de retas t e r, da página 83 do g23_mdn_lt_3npm_p080a089_u4. Código antigo it0833_3pmm_g19_mdn </t>
  </si>
  <si>
    <t xml:space="preserve">i0910_3p011m_g27_e001 </t>
  </si>
  <si>
    <t xml:space="preserve">Resgatar Ilustração de um cenário de ateliê com tintas e objetos que evocam figuras geométricas espaciais, da página 84 do g23_mdn_lt_3npm_p080a089_u4. Código antigo i0872Agn_3pmm_g19_mdn_ef 
AJUSTE: separar a il conforme referência, para que ela fique adequada a página espelhada </t>
  </si>
  <si>
    <t xml:space="preserve">i0911_3p011m_g27_e001 </t>
  </si>
  <si>
    <t xml:space="preserve">Resgatar Ilustração de figuras verdes são retângulos e as azuis, pentágonos, da página 84 do g23_mdn_lt_3npm_p080a089_u4. Código antigo i0872Bgn_3pmm_g19_mdn_ef    AJUSTE: Ajustar disposição das figuras da ilustração para que eles fiquem em duas linhas, conforme ref: </t>
  </si>
  <si>
    <t xml:space="preserve">i0912_3p011m_g27_e001 </t>
  </si>
  <si>
    <t xml:space="preserve">Resgatar Ilustração de figuras alaranjadas são retângulos e as amarelas, hexágonos, da página 84 do g23_mdn_lt_3npm_p080a089_u4. Código antigo i0810Cgn_3npm_m20_mdn_aj    AJUSTE: Ajustar disposição das figuras da ilustração para que eles fiquem em duas linhas, conforme ref: </t>
  </si>
  <si>
    <t xml:space="preserve">i0913_3p011m_g27_e001 </t>
  </si>
  <si>
    <t xml:space="preserve">Resgatar Ilustração de um cenário de ateliê com personagem, tintas e objetos que evocam figuras geométricas espaciais, da página 85 do g23_mdn_lt_3npm_p080a089_u4. Código antigo 0872Agn_3pmm_g19_mdn_ef1 
AJUSTE: separar a il conforme referência, para que ela fique adequada a página espelhada </t>
  </si>
  <si>
    <t>i0914_3p011m_g27_e001</t>
  </si>
  <si>
    <t xml:space="preserve">Resgatar Ilustração de figuras vermelhas são triângulos e a roxa é um quadrado, da página 85 do g23_mdn_lt_3npm_p080a089_u4. Código antigo 0872Dgn_3pmm_g19_mdn_ef    AJUSTE: As figuras planas devem ter sido desenhadas em folhas de papel (não pode ser folha branca por conta do fundo da página). Além disso, o ajuste também consiste em mover o quadrado roxo para o lado direito do triângulo que se encontra na 1ª linha e 2ª coluna. </t>
  </si>
  <si>
    <t xml:space="preserve">i0915_3p011m_g27_e001 </t>
  </si>
  <si>
    <t xml:space="preserve">Resgatar Ilustração de menino está desenhando um círculo., da página 86 do g23_mdn_lt_3npm_p080a089_u4. Código antigo i6201cg_3m3sem_m20_stl_aj </t>
  </si>
  <si>
    <t xml:space="preserve">i0916_3p011m_g27_e001 </t>
  </si>
  <si>
    <t xml:space="preserve">Resgatar Ilustração de menino está pintando um círculo na cor azul, da página 86 do g23_mdn_lt_3npm_p080a089_u4. Código antigo i6202cg_3m3sem_m20_stl_aj </t>
  </si>
  <si>
    <t xml:space="preserve">i0917_3p011m_g27_e001 </t>
  </si>
  <si>
    <t xml:space="preserve">Resgatar Ilustração de menino mostrando o círculo na cor azul, da página 86 do g23_mdn_lt_3npm_p080a089_u4. Código antigo i6203cg_3m3sem_m20_stl_aj </t>
  </si>
  <si>
    <t xml:space="preserve">i0919_3p011m_g27_e001 </t>
  </si>
  <si>
    <t xml:space="preserve">Resgatar Ilustração de uma folha de papel sulfite com marcações indicando os pontos de dobra, da página 87 do g23_mdn_lt_3npm_p080a089_u4. Código antigo it0815_3pmm_g19_mdn </t>
  </si>
  <si>
    <t xml:space="preserve">i0920_3p011m_g27_e001 </t>
  </si>
  <si>
    <t xml:space="preserve">Resgatar Ilustração de uma folha de papel sulfite dobrada, com uma linha sendo traçada ao lado da dobra, da página 87 do g23_mdn_lt_3npm_p080a089_u4. Código antigo it0816_3pmm_g19_mdn </t>
  </si>
  <si>
    <t xml:space="preserve">i0921_3p011m_g27_e001 </t>
  </si>
  <si>
    <t xml:space="preserve">Resgatar Ilustração de uma folha de papel sulfite com marcações indicando os pontos de dobra e os locais onde deve ser cortada, da página 87 do g23_mdn_lt_3npm_p080a089_u4. Código antigo it0817_3pmm_g19_mdn </t>
  </si>
  <si>
    <t>i0922_3p011m_g27_e001</t>
  </si>
  <si>
    <t xml:space="preserve">Resgatar Ilustração de uma folha de papel sulfite cortada, agora representando a forma de um quadrado, da página 87 do g23_mdn_lt_3npm_p080a089_u4. Código antigo it0818_3pmm_g19_mdn </t>
  </si>
  <si>
    <t xml:space="preserve">i0923_3p011m_g27_e001 </t>
  </si>
  <si>
    <t xml:space="preserve">Resgatar Ilustração de uma folha de papel sulfite em forma de quadrado, com marcações indicando os pontos de corte, da página 87 do g23_mdn_lt_3npm_p080a089_u4. Código antigo it0819_3pmm_g19_mdn </t>
  </si>
  <si>
    <t xml:space="preserve">i0924_3p011m_g27_e001 </t>
  </si>
  <si>
    <t xml:space="preserve">Resgatar Ilustração de uma folha de papel sulfite cortada em duas partes, representando dois triângulos, da página 87 do g23_mdn_lt_3npm_p080a089_u4. Código antigo it0820_3pmm_g19_mdn </t>
  </si>
  <si>
    <t xml:space="preserve">i0925_3p011m_g27_e001 </t>
  </si>
  <si>
    <t xml:space="preserve">Resgatar Ilustração de peças do tangram, representando triângulo, da página 88 do g23_mdn_lt_3npm_p080a089_u4. Código antigo i0840sl_3pmm_g19_mdn </t>
  </si>
  <si>
    <t>i0926_3p011m_g27_e001</t>
  </si>
  <si>
    <t xml:space="preserve">Resgatar Ilustração de peças do tangram, representando quadrado, da página 88 do g23_mdn_lt_3npm_p080a089_u4. Código antigo i0841sl_3pmm_g19_mdn </t>
  </si>
  <si>
    <t xml:space="preserve">i0927_3p011m_g27_e001 </t>
  </si>
  <si>
    <t xml:space="preserve">Resgatar Ilustração de peças do tangram, representando retângulo, da página 88 do g23_mdn_lt_3npm_p080a089_u4. Código antigo i0842sl_3pmm_g19_mdn </t>
  </si>
  <si>
    <t xml:space="preserve">i0928_3p011m_g27_e001 </t>
  </si>
  <si>
    <t xml:space="preserve">Resgatar Ilustração de dois tipos de bandeirinhas feitas de papel colorido, com vários papéis coloridos e uma tesoura ao lado, da página 89 do g23_mdn_lt_3npm_p080a089_u4. Código antigo i0848sl_3pmm_g19_mdn    AJUSTE: EXCLUIR os vários papeis coloridos e a tesoura que aparecem ao lado das bandeirinhas sobre o fundo cor. </t>
  </si>
  <si>
    <t xml:space="preserve">i0929_3p011m_g27_e001 </t>
  </si>
  <si>
    <t xml:space="preserve">Resgatar Ilustração de dois tipos de bandeirinhas feitas de papel verde, com três tamanhos diferentes ao lado, da página 89 do g23_mdn_lt_3npm_p080a089_u4. Código antigo i0849sl_3pmm_g19_mdn    AJUSTE: Espaçar as 3 banderinhas da direita da ilustração, pois nessas banderinhas entrará marcadores. </t>
  </si>
  <si>
    <t>i0931_3p011m_g27_e001</t>
  </si>
  <si>
    <t>Resgatar ilustração de quadradinhos pintados em uma malha que forma figuras geométricas, da página 90 do g23_mdn_lt_3npm_p090a099_u4. Código antigo i0851zz_3pmm_g19_mdn</t>
  </si>
  <si>
    <t>i0932_3p011m_g27_e001</t>
  </si>
  <si>
    <t>Resgatar Ilustração de caixas coloridas em várias formas geométricas, da página 90 do g23_mdn_lt_3npm_p090a099_u4. Código antigo i0852sl_3pmm_g19_mdn</t>
  </si>
  <si>
    <t>i0933_3p011m_g27_e001</t>
  </si>
  <si>
    <t>Resgatar Ilustração de uma seta com 4 quadrinhos, onde o 1º quadrinho indica a menor quantidade de papel e o 4º quadrinho indica a maior quantidade de papel, da página 90 do g23_mdn_lt_3npm_p090a099_u4. Código antigo i0853sl_3pmm_g19_mdn</t>
  </si>
  <si>
    <t>i0934_3p011m_g27_e001</t>
  </si>
  <si>
    <t>Resgatar Ilustração de forma geométrica representando um retângulo, da página 91 do g23_mdn_lt_3npm_p090a099_u4. Código antigo it0854_3pmm_g19_mdn</t>
  </si>
  <si>
    <t>i0935_3p011m_g27_e001</t>
  </si>
  <si>
    <t>Resgatar Ilustração de forma geométrica representando um quadrado, da página 91 do g23_mdn_lt_3npm_p090a099_u4. Código antigo it0855_3pmm_g19_mdn</t>
  </si>
  <si>
    <t>i0936_3p011m_g27_e001</t>
  </si>
  <si>
    <t>Resgatar Ilustração de forma geométrica representando um triângulo, da página 91 do g23_mdn_lt_3npm_p090a099_u4. Código antigo it0856_3pmm_g19_mdn</t>
  </si>
  <si>
    <t>i0938_3p011m_g27_e001</t>
  </si>
  <si>
    <t>Resgatar Ilustração de figuras geométricas representadas na malha quadriculada, da página 92 do g23_mdn_lt_3npm_p090a099_u4. Código antigo i0822zz_3pmm_g19_mdn</t>
  </si>
  <si>
    <t>i0939_3p011m_g27_e001</t>
  </si>
  <si>
    <t xml:space="preserve">Resgatar Ilustração de figuras geométricas representadas na malha quadriculada (Paralelogramo, Retângulo, Quadrado e Trapézio), da página 93 do g23_mdn_lt_3npm_p090a099_u4. Código antigo i0875zz_3pmm_g19_mdn
Ajuste: deixar mais espaço entre as figuras para caber a cota dos seus respectivos nomes.
</t>
  </si>
  <si>
    <t>i0901_3p011m_g27_e001</t>
  </si>
  <si>
    <t xml:space="preserve">Resgatar Ilustração de figuras geométricas representadas em uma malha quadriculada, incluindo figuras com um par de lados paralelos, dois pares de lados paralelos e figuras sem pares de lados paralelos, da página 93 do g23_mdn_lt_3npm_p090a099_u4. Código antigo it0827_3pmm_g19_mdn
</t>
  </si>
  <si>
    <t>i0940_3p011m_g27_e001</t>
  </si>
  <si>
    <t>Resgatar Ilustração da 1ª etapa, esquadro sobre a reta r, da página 94 do g23_mdn_lt_3npm_p090a099_u4. Código antigo i0801zz_3pmm_g19_mdn</t>
  </si>
  <si>
    <t>CAMILA CARMONA/CYNTHIA SEKIGUCHI/ARQUIVO DA EDITORA</t>
  </si>
  <si>
    <t>i0941_3p011m_g27_e001</t>
  </si>
  <si>
    <t>Resgatar Ilustração da 2ª etapa, de um esquadro sobre as retas r e s, com uma régua encostada em um dos lados do esquadro, da página 94 do g23_mdn_lt_3npm_p090a099_u4. Código antigo i0802zz_3pmm_g19_mdn</t>
  </si>
  <si>
    <t>i0942_3p011m_g27_e001</t>
  </si>
  <si>
    <t>Resgatar Ilustração da 3ª etapa, de um esquadro sobre as retas r e s, concluindo que as retas r e s são paralelas, da página 94 do g23_mdn_lt_3npm_p090a099_u4. Código antigo i0803zz_3pmm_g19_mdn   AJUSTE: Ajuste: compor uma mão apoiando a régua, como na imagem anterior, como na ref.</t>
  </si>
  <si>
    <t>i0943_3p011m_g27_e001</t>
  </si>
  <si>
    <t>Resgatar Ilustração da 1ª etapa, esquadro sobre a reta t, da página 94 do g23_mdn_lt_3npm_p090a099_u4. Código antigo i0804zz_3pmm_g19_mdn</t>
  </si>
  <si>
    <t>i0944_3p011m_g27_e001</t>
  </si>
  <si>
    <t>Resgatar Ilustração da 2ª etapa, de um esquadro sobre as retas t e u, com uma régua encostada em um dos lados do esquadro, da página 94 do g23_mdn_lt_3npm_p090a099_u4. Código antigo i0805zz_3pmm_g19_mdn</t>
  </si>
  <si>
    <t>i0945_3p011m_g27_e001</t>
  </si>
  <si>
    <t>Resgatar Ilustração da 3ª etapa, de um esquadro sobre as retas t e u, concluindo que as retas t e u não são paralelas, da página 94 do g23_mdn_lt_3npm_p090a099_u4. Código antigo i0806zz_3pmm_g19_mdn</t>
  </si>
  <si>
    <t>i0946_3p011m_g27_e001</t>
  </si>
  <si>
    <t xml:space="preserve">Resgatar Ilustração retas a e b, concluindo que as retas a e b são paralelas, da página 94 do g23_mdn_lt_3npm_p090a099_u4. Código antigo it0834_3pmm_g19_mdn
</t>
  </si>
  <si>
    <t>i0947_3p011m_g27_e001</t>
  </si>
  <si>
    <t xml:space="preserve">Resgatar Ilustração retas c e d, concluindo que as retas c e d não são paralelas, da página 94 do g23_mdn_lt_3npm_p090a099_u4. Código antigo it0835_3pmm_g19_mdn
</t>
  </si>
  <si>
    <t>i0948_3p011m_g27_e001</t>
  </si>
  <si>
    <t>Resgatar Ilustração retas e e f, concluindo que as retas e e f são paralelas, da página 94 do g23_mdn_lt_3npm_p090a099_u4. Código antigo it0836_3pmm_g19_mdn</t>
  </si>
  <si>
    <t>i0951_3p011m_g27_e001</t>
  </si>
  <si>
    <t>Resgatar Ilustração de um labirinto onde o personagem deve encontrar sua mochila, seguindo um caminho que passa por figuras com pelo menos um par de lados paralelos, da página 95 do g23_mdn_lt_3npm_p090a099_u4. Código antigo i0859sh_3pmm_g19_mdn_ef</t>
  </si>
  <si>
    <t>i0952_3p011m_g27_e001</t>
  </si>
  <si>
    <t>Resgatar Ilustração de professora entregando uma folha com um pentágono desenhado e pedindo aos estudantes que desenhem outro pentágono, da página 96 do g23_mdn_lt_3npm_p090a099_u4. Código antigo i0860ci_3pmm_g19_mdn</t>
  </si>
  <si>
    <t>i0953_3p011m_g27_e001</t>
  </si>
  <si>
    <t xml:space="preserve">Resgatar Ilustração de estudante entregando uma folha com um pentágono desenhado, da página 96 do g23_mdn_lt_3npm_p090a099_u4. Código antigo i0861ci_3pmm_g19_mdn_ef
AJUSTE: separar imagens em i0953A (menina na cadeira), i0953B ( traçando com a régua) e i0953C (duas folhas com pentágonos)
</t>
  </si>
  <si>
    <t>CAMILA CARMONA/CAUÊ ZUNCHINI/SERGIO LIMA/ARQUIVO DA EDITORA</t>
  </si>
  <si>
    <t>i0954_3p011m_g27_e001</t>
  </si>
  <si>
    <t xml:space="preserve">Resgatar Ilustração de Figuras congruentes, da página 97 do g23_mdn_lt_3npm_p090a099_u4. Código antigo i0862sl_3pmm_g19_mdn
Ajuste: separar imagens em A e B.
</t>
  </si>
  <si>
    <t>i0955_3p011m_g27_e001</t>
  </si>
  <si>
    <t xml:space="preserve">Resgatar Ilustração de Figuras não congruentes, da página 97 do g23_mdn_lt_3npm_p090a099_u4. Código antigo it1417sl_3npm_g23_mdn_aj
Ajuste: separar imagens em A e B.
</t>
  </si>
  <si>
    <t>i0956_3p011m_g27_e001</t>
  </si>
  <si>
    <t xml:space="preserve">Resgatar Ilustração de malha com desenho de uma figura congruente e outro desenho na cor resposta, da página 97 do g23_mdn_lt_3npm_p090a099_u4. Código antigo i0876zz_3pmm_g19_mdn
AJUSTE: retirar figura em cor resposta
</t>
  </si>
  <si>
    <t>i0957_3p011m_g27_e001</t>
  </si>
  <si>
    <t>Resgatar Ilustração que representa a tela de um programa ou software de geometria dinâmica, mostrando uma malha com uma figura geométrica, da página 98 do g23_mdn_lt_3npm_p090a099_u4. Código antigo i0871sl_3pmm_g19_mdn</t>
  </si>
  <si>
    <t>i0958_3p011m_g27_e001</t>
  </si>
  <si>
    <t>Resgatar Ilustração que representa a tela de um programa ou software de geometria dinâmica, mostrando uma malha com duas figuras geométricas, da página 98 do g23_mdn_lt_3npm_p090a099_u4. Código antigo i0870sl_3pmm_g19_mdn</t>
  </si>
  <si>
    <t>i0959_3p011m_g27_e001</t>
  </si>
  <si>
    <t>Resgatar Ilustração retas r e s, concluindo que as retas r e s não são paralelas, da página 99 do g23_mdn_lt_3npm_p090a099_u4. Código antigo it0956_3npm_m20_mdn</t>
  </si>
  <si>
    <t>i0960_3p011m_g27_e001</t>
  </si>
  <si>
    <t>Resgatar Ilustração retas u e t, concluindo que as retas u e t não são paralelas, da página 99 do g23_mdn_lt_3npm_p090a099_u4. Código antigo it0957_3npm_m20_mdn</t>
  </si>
  <si>
    <t>i0961_3p011m_g27_e001</t>
  </si>
  <si>
    <t>Resgatar Ilustração retas v e w, concluindo que as retas v e w são paralelas, da página 99 do g23_mdn_lt_3npm_p090a099_u4. Código antigo it0958_3npm_m20_mdn</t>
  </si>
  <si>
    <t>i0962_3p011m_g27_e001</t>
  </si>
  <si>
    <t>Resgatar Ilustração de figura geométrica de um triângulo, da página 99 do g23_mdn_lt_3npm_p090a099_u4. Código antigo it0913_3npm_m20_mdn</t>
  </si>
  <si>
    <t>i0963_3p011m_g27_e001</t>
  </si>
  <si>
    <t>Resgatar Ilustração de figura geométrica de um Pentágono, da página 99 do g23_mdn_lt_3npm_p090a099_u4. Código antigo it0967_3npm_m20_mdn</t>
  </si>
  <si>
    <t>i0964_3p011m_g27_e001</t>
  </si>
  <si>
    <t>Resgatar Ilustração de figura geométrica de um Trapézio, da página 99 do g23_mdn_lt_3npm_p090a099_u4. Código antigo it0918_3npm_m20_mdn</t>
  </si>
  <si>
    <t>i0965_3p011m_g27_e001</t>
  </si>
  <si>
    <t>Resgatar Ilustração de malha com o desenho de um hexágono congruente, da página 99 do g23_mdn_lt_3npm_p090a099_u4. Código antigo i1415sl_3npm_g23_mdn</t>
  </si>
  <si>
    <t>i0966_3p011m_g27_e001</t>
  </si>
  <si>
    <t xml:space="preserve">Resgatar Ilustração de uma malha com a resposta mostrando o desenho de um hexágono congruente, da página 99 do g23_mdn_lt_3npm_p090a099_u4. Código antigo i1416sl_3npm_g23_mdn
AJUSTE: retirar figura em cor resposta, deixar somente a malha
</t>
  </si>
  <si>
    <t>if0959_1p011m_g27_e001</t>
  </si>
  <si>
    <t>Ilustração + foto de um flashcard para estudo, sem linhas, nele terá um cilindro no lado esquerdo, como se fosse um recorte e colado em cima do card. Abaixo do cilindro terá um texto escrito “CILINDRO” com fonte Chinela. No lado esquerdo superior do card, terá um texto escrito com fonte Chinela “SE PARECE COM...” e logo abaixo, ao lado do cilindro, terá duas fotografias como se fossem recortes e colados no card, um deles será um rolo de papel higiênico ou folha de papel toalha e a outra fotografia a de uma vela em formato cilíndrico, em que abaixo das fotografias terá como legenda “ROLO DE PAPEL HIGIÊNICO” e “VELA”, respectivamente. Todo o texto desse flashcard terá como fonte manuscrito CAIXA ALTA em fonte Chinela. Não fazer igual a referência.
if0959a_1p011m_g27_e001
foto da vela em formato cilíndrico em fundo branco
if0959b_1p011m_g27_e001
foto de rolo de papel higiênico ou papel toalha em formato de cilindro em fundo branco</t>
  </si>
  <si>
    <t xml:space="preserve">Essa imagem teve que ser separada, então ficou o texto na diagramação e as if0959Akm_1p011m_g27_e001, if0959Bkm_1p011m_g27_e001 e if0959Ckm_1p011m_g27_e001 aplicadas junto ao texto. </t>
  </si>
  <si>
    <t>if0960_1p011m_g27_e001</t>
  </si>
  <si>
    <t xml:space="preserve">Ilustração + foto de um flashcard para estudo assim como foi feito no pedido da if0959_1p011m, porém, em vez de um cilindro, terá um CUBO, em que abaixo dele terá um espaço para o estudante escrever a resposta. As fotografias serão de um cubo mágico e um dado, com suas respectivas legendas abaixo de cada fotografia, como na referência, tudo escrito em fonte Chinela, em caixa alta alta.
if0960a_1p011m_g27_e001
foto do cubo mágico em fundo branco
if0960b_1p011m_g27_e001
foto do dado em fundo branco. 
</t>
  </si>
  <si>
    <t xml:space="preserve">Essa imagem teve que ser separada, então ficou o texto na diagramação e as if0960Akm_1p011m_g27_e001, if0960Bkm_1p011m_g27_e001 e if0960Ckm_1p011m_g27_e001 aplicadas junto ao texto. </t>
  </si>
  <si>
    <t>if0961_1p011m_g27_e001</t>
  </si>
  <si>
    <t>Ilustração + foto de um flashcard para estudo assim como foi feito no pedido da if0959_1p011m, porém, em vez de um cilindro, terá um PARALELEPÍPEDO, em que abaixo dele terá um espaço para o estudante escrever a resposta. As fotografias serão de um tijolo (em formato de paralelepípedo) e um apagador de quadro (em formato de paralelepípedo), com suas respectivas legendas abaixo de cada fotografia, tudo escrito em fonte Chinela, em caixa alta alta.
if0961a_1p011m_g27_e001
foto de um tijolo em fundo branco em formato de paralelepípedo
if0961b_1p011m_g27_e001
foto de um apagador de quadro em fundo branco em formato de paralelepípedo.</t>
  </si>
  <si>
    <t xml:space="preserve">Essa imagem teve que ser separada, então ficou o texto na diagramação e as if0961Akm_1p011m_g27_e001, if0961Bkm_1p011m_g27_e001 e if0961Ckm_1p011m_g27_e001 aplicadas junto ao texto. </t>
  </si>
  <si>
    <t>if0962_1p011m_g27_e001</t>
  </si>
  <si>
    <t>Ilustração + foto de um flashcard para estudo assim como foi feito no pedido da if0959_1p011m, porém, em vez de um cilindro, terá uma ESFERA, em que abaixo dele terá um espaço para o estudante preencher. As fotografias serão de uma bola de basquete e uma bola de golfe, com suas respectivas legendas abaixo de cada fotografia, tudo escrito em fonte Chinela, em caixa alta alta.
if0962a_1p011m_g27_e001
foto de bola de basquete em fundo branco.
if0962b_1p011m_g27_e001
Foto de uma bola de golfe em fundo branco</t>
  </si>
  <si>
    <t xml:space="preserve">Essa imagem teve que ser separada, então ficou o texto na diagramação e as if0962Akm_1p011m_g27_e001, if0962Bkm_1p011m_g27_e001 e if0962Ckm_1p011m_g27_e001 aplicadas junto ao texto. </t>
  </si>
  <si>
    <t>if0963_1p011m_g27_e001</t>
  </si>
  <si>
    <t>Ilustração + foto de um de flashcard para estudo assim como foi feito no pedido da if0959_1p011m, porém, em vez de um cilindro, terá um CONE, em que abaixo dele terá um espaço para o estudante escrever a resposta. As fotografias serão de um chapéu de aniversário (em formato de cone) e de uma de árvore de Natal (em formato de cone), com suas respectivas legendas abaixo de cada fotografia, tudo escrito em fonte Chinela, em caixa alta alta.
if0963a_1p011m_g27_e001
foto de um chapéu de aniversário em formato de cone em fundo branco.
if0963b_1p011m_g27_e001
foto de uma árvore de Natal em formato de cone em fundo branco.</t>
  </si>
  <si>
    <t xml:space="preserve">Essa imagem teve que ser separada, então ficou o texto na diagramação e as if0963Akm_1p011m_g27_e001, if0963Bkm_1p011m_g27_e001 e if0963Ckm_1p011m_g27_e001 aplicadas junto ao texto. </t>
  </si>
  <si>
    <t>g0725_1p011m_g27_e001</t>
  </si>
  <si>
    <t>Ilustração de gráfico de barras com eixo vertical “FRUTA” e eixo horizontal “MEDIDA DE MASSA (EM QUILOGRAMAS)”. No eixo “FRUTA” é composto pelas frutas “PÊSSEGO”, “LARANJA”, “MELANCIA”, “MAÇÃ” e BANANA. A barra em frente de cada fruta será dividida em 10 quadrados iguais, conforme a referência. Pode usar como base a gt3032_1npm_g23_mdn_aj, adaptando de acordo com a descrição acima. Deixar as barras em branco para o aluno pintar.</t>
  </si>
  <si>
    <t>padrão</t>
  </si>
  <si>
    <t>g0728_1p011m_g27_e001</t>
  </si>
  <si>
    <t>Ilustração de um gráfico de barras (vertical) no padrão da obra que apresente os dados do quadro a seguir.
Fazer com base no gt1228_1npm_m20_mdn_re, adaptando conforme a referência a seguir. Ver se é preciso aproximar as barras. O eixo vertical, pode ficar até o 7.
SABOR	MEDIDA DA CAPACIDADE (EM LITROS)
LARANJA	4
UVA	5
ACEROLA	2
MARACUJÁ	2</t>
  </si>
  <si>
    <t>i0729_1p011m_g27_e001</t>
  </si>
  <si>
    <t>Ilustração de um gato em cima de uma balança, em que na balança esteja indicando 4 kg conforme a referência, pode ser qualquer tipo ou cor de gato. Não fazer igual a referência. O corpo do gato e cachorro das i0729 e i0730 devem ficar proporcionais a sua massa e as balanças devem ser iguais nas duas cenas.</t>
  </si>
  <si>
    <t>id</t>
  </si>
  <si>
    <t>F:16/04</t>
  </si>
  <si>
    <t>i0730_1p011m_g27_e001</t>
  </si>
  <si>
    <t>Ilustração de um cachorro de porte pequeno em cima de uma balança, em que na balança esteja indicando 10 kg parecido com o que foi feito na ilustração anterior. O corpo do gato e cachorro das i0729 e i0730 devem ficar proporcionais a sua massa e as balanças devem ser iguais nas duas cenas.</t>
  </si>
  <si>
    <t>g1330_1p011m_g27_e001</t>
  </si>
  <si>
    <t>Ilustração de um gráfico de barras horizontal no padrão da obra que represente as informações do quadro a seguir, sendo o eixo vertical o de PRODUTO e o eixo horizontal o de PREÇO (EM REAIS). Usar como base a gt3414sl_3npm_g23_mdn_aj, adaptando conforme indicado a seguir.
PRODUTO	PREÇO (EM REAIS)
CADERNO	15
LÁPIS	2
ESTOJO	20
BORRACHA	3</t>
  </si>
  <si>
    <t xml:space="preserve">i1102_3p011m_g27_e001 </t>
  </si>
  <si>
    <t xml:space="preserve">Resgatar ilustração crianças conversando em um campo de futebol; g23_mdn_lt_3npm_p102; código antigo i1016rl_3pmm_g19_mdn_ef </t>
  </si>
  <si>
    <t xml:space="preserve">i1103_3p011m_g27_e001 </t>
  </si>
  <si>
    <t xml:space="preserve">Resgatar ilustração mão de uma pessoa; g23_mdn_lt_3npm_p103; código antigo i5702gn_3m3sem_m20_stl_aj </t>
  </si>
  <si>
    <t>i1104_3p011m_g27_e001</t>
  </si>
  <si>
    <t xml:space="preserve">Resgatar ilustração menino com braços cruzados; g23_mdn_lt_3npm_p103; código antigo i1020rl_3pmm_g19_mdn </t>
  </si>
  <si>
    <t xml:space="preserve">i1105_3p011m_g27_e001 </t>
  </si>
  <si>
    <t xml:space="preserve">Resgatar ilustração 1 cm marcado em uma régua; g23_mdn_lt_3npm_p104; código antigo i1021_3pmm_g19_mdn </t>
  </si>
  <si>
    <t xml:space="preserve">i1106_3p011m_g27_e001 </t>
  </si>
  <si>
    <t xml:space="preserve">Resgatar ilustração medição de uma lápis de cor vermelho com uma régua; g23_mdn_lt_3npm_p104; código antigo i1001zz_3pmm_g19_mdn </t>
  </si>
  <si>
    <t xml:space="preserve">i1111_3p011m_g27_e001 </t>
  </si>
  <si>
    <t xml:space="preserve">Resgatar ilustração de um quadradinho da malha quadriculada; g23_mdn_lt_3npm_p105; código antigo i1022b_3pmm_g19_mdn </t>
  </si>
  <si>
    <t>i1112_3p011m_g27_e001</t>
  </si>
  <si>
    <t xml:space="preserve">Resgatar ilustração formas geométricas desenhadas em malha quadriculada; g23_mdn_lt_3npm_p105; código antigo i1022_3pmm_g19_mdn   AJUSTE: na mesma malha quadriculada, ilustrar mais três figuras geométricas na cor vermelha, azul e amarela, em uma malha quadriculada 3x15. </t>
  </si>
  <si>
    <t xml:space="preserve">i1113_3p011m_g27_e001 </t>
  </si>
  <si>
    <t xml:space="preserve">Resgatar ilustração traços vermelho e azul dentro de aspas francesas; g23_mdn_lt_3npm_p105; código antigo it1023_3pmm_g19_mdn </t>
  </si>
  <si>
    <t xml:space="preserve">i1114_3p011m_g27_e001 </t>
  </si>
  <si>
    <t xml:space="preserve">Resgatar ilustração segmentos de reta vermelho e azul inseridos em paralelogramos; g23_mdn_lt_3npm_p105; código antigo it1024_3pmm_g19_mdn </t>
  </si>
  <si>
    <t>Exclída pela equipe.</t>
  </si>
  <si>
    <t xml:space="preserve">i1115_3p011m_g27_e001 </t>
  </si>
  <si>
    <t xml:space="preserve">Resgatar ilustração régua marcando 1 milímetro; g23_mdn_lt_3npm_p106; código antigo i1025_3pmm_g19_mdn </t>
  </si>
  <si>
    <t xml:space="preserve">i1116_3p011m_g27_e001 </t>
  </si>
  <si>
    <t xml:space="preserve">Resgatar ilustração medição de uma cola em bastão com uma régua; g23_mdn_lt_3npm_p106; código antigo i1026rn_3pmm_g19_mdn </t>
  </si>
  <si>
    <t>CYNTHIA SEKIGUCHI/RAFAEL L. GAION/ARQUIVO DA EDITORA</t>
  </si>
  <si>
    <t xml:space="preserve">i1117_3p011m_g27_e001 </t>
  </si>
  <si>
    <t xml:space="preserve">Resgatar ilustração medição de um pen drive com uma régua; g23_mdn_lt_3npm_p106; código antigo i1027rn_3pmm_g19_mdn </t>
  </si>
  <si>
    <t xml:space="preserve">i1118_3p011m_g27_e001 </t>
  </si>
  <si>
    <t xml:space="preserve">Resgatar ilustração medição de um pincel com uma régua; g23_mdn_lt_3npm_p106; código antigo i1028rn_3pmm_g19_mdn </t>
  </si>
  <si>
    <t xml:space="preserve">i1123_3p011m_g27_e001 </t>
  </si>
  <si>
    <t xml:space="preserve">Resgatar ilustração ciclo indicando descarte correto de sobras de materiais e embalagens; g23_mdn_lt_3npm_p108; código antigo i1030rn_3pmm_g19_mdn </t>
  </si>
  <si>
    <t>RESGATE COPM AJUSTE</t>
  </si>
  <si>
    <t>g1126_3p011m_g27_e001</t>
  </si>
  <si>
    <t>Resgatar ilustração/gráfico das alturas de quatro crianças; g23_mdn_lt_3npm_p110; código antigo g1819rl_3npm_g23_mdn_aj</t>
  </si>
  <si>
    <t>i1127_3p011m_g27_e001</t>
  </si>
  <si>
    <t>Resgatar ilustração menino segurando um caderno e um lápis comparando o peso de ambos; g23_mdn_lt_3npm_p111; código antigo i1820_3npm_g23_mdn_re</t>
  </si>
  <si>
    <t>i1128_3p011m_g27_e001</t>
  </si>
  <si>
    <t>Resgatar ilustração balança com um carrinho e uma bola; g23_mdn_lt_3npm_p111; código antigo i1033_3pmm_g19_mdn</t>
  </si>
  <si>
    <t>ROGÉRIO CASAGRANDE/RONALDO LUCENA/ARQUIVO DA EDITORA</t>
  </si>
  <si>
    <t>i1132_3p011m_g27_e001</t>
  </si>
  <si>
    <t>Resgatar ilustração balança de dois pratos com um cola e 5 pesos de 10 gramas nos pratos; g23_mdn_lt_3npm_p112; código antigo i1834ri_3npm_g23_ftd_aj</t>
  </si>
  <si>
    <t>i1133_3p011m_g27_e001</t>
  </si>
  <si>
    <t>Resgatar ilustração balança de dois pratos com um pacote de feijão e pesos de 200g, 50g, 10g e 5g; g23_mdn_lt_3npm_p112; código antigo i1835ri_3npm_g23_ftd_aj</t>
  </si>
  <si>
    <t>i1134_3p011m_g27_e001</t>
  </si>
  <si>
    <t>Resgatar ilustração balança de dois pratos, com um pacote de feijão e pesos de 500g, 200g e 50g; g23_mdn_lt_3npm_p112; código antigo i1057_3pmm_g19_mdn</t>
  </si>
  <si>
    <t>i1135_3p011m_g27_e001</t>
  </si>
  <si>
    <t>i1136_3p011m_g27_e001</t>
  </si>
  <si>
    <t>Resgatar ilustração saco de laranja em cima de uma balança marcando 2kg; g23_mdn_lt_3npm_p113; código antigo i1041_3pmm_g19_mdn</t>
  </si>
  <si>
    <t>i1137_3p011m_g27_e001</t>
  </si>
  <si>
    <t>Resgatar ilustração saco de arroz em cima de uma balança marcando 5kg; g23_mdn_lt_3npm_p113; código antigo i1040_3pmm_g19_mdn</t>
  </si>
  <si>
    <t>i1138_3p011m_g27_e001</t>
  </si>
  <si>
    <t>Resgatar ilustração balança com um de 500g e um queijo; g23_mdn_lt_3npm_p113; código antigo i1042_3pmm_g19_mdn</t>
  </si>
  <si>
    <t>i1139_3p011m_g27_e001</t>
  </si>
  <si>
    <t>Resgatar ilustração balança com uns pesos de 500g, 50g e 10g e um queijo; g23_mdn_lt_3npm_p113; código antigo i1042_3pmm_g19_mdn</t>
  </si>
  <si>
    <t>i1140_3p011m_g27_e001</t>
  </si>
  <si>
    <t>Resgatar ilustração monitor, bola de basquete, peteca e caneta em cima de uma mas de madeira; g23_mdn_lt_3npm_p113; código antigo i1044so_3pmm_g19_mdn_ef</t>
  </si>
  <si>
    <t>i1141_3p011m_g27_e001</t>
  </si>
  <si>
    <t xml:space="preserve">Resgatar ilustração menino na balança marcando no visor 43kg; g23_mdn_lt_3npm_p114; código antigo i1046cg_3pmm_g19_mdn
</t>
  </si>
  <si>
    <t>i1142_3p011m_g27_e001</t>
  </si>
  <si>
    <t>Resgatar menina na balança marcando no visor 35kg; g23_mdn_lt_3npm_p114; código antigo i1827_3npm_g23_mdn_re</t>
  </si>
  <si>
    <t>i1143_3p011m_g27_e001</t>
  </si>
  <si>
    <t>Resgatar ilustração menina na balança marcando no visor 33kg; g23_mdn_lt_3npm_p114; código antigo i1048cg_3pmm_g19_mdn</t>
  </si>
  <si>
    <t>i1144_3p011m_g27_e001</t>
  </si>
  <si>
    <t>Resgatar ilustração menina na balança marcando no visor 36kg; g23_mdn_lt_3npm_p114; código antigo i1049cg_3pmm_g19_mdn</t>
  </si>
  <si>
    <t>i1145_3p011m_g27_e001</t>
  </si>
  <si>
    <t>Resgatar ilustração menino na balança marcando no visor 41kg; g23_mdn_lt_3npm_p114; código antigo i1050cg_3pmm_g19_mdn</t>
  </si>
  <si>
    <t>i1146_3p011m_g27_e001</t>
  </si>
  <si>
    <t>Resgatar ilustração mulher se servindo em um self-service; g23_mdn_lt_3npm_p115; código antigo i1059cg_3pmm_g19_mdn_ef</t>
  </si>
  <si>
    <t>i1149_3p011m_g27_e001</t>
  </si>
  <si>
    <t>Resgatar ilustração embalagem de remédio; g23_mdn_lt_3npm_p117; código antigo i1052rn_3pmm_g19_mdn</t>
  </si>
  <si>
    <t>i1150_3p011m_g27_e001</t>
  </si>
  <si>
    <t>Resgatar ilustração embalagem de iogurte; g23_mdn_lt_3npm_p117; código antigo i1053rn_3pmm_g19_mdn</t>
  </si>
  <si>
    <t>i1153_3p011m_g27_e001</t>
  </si>
  <si>
    <t>Resgatar ilustração pera em cima da balança indicando 400g; g23_mdn_lt_3npm_p119; código antigo i1831_3npm_g23_mdn_re</t>
  </si>
  <si>
    <t>i1154_3p011m_g27_e001</t>
  </si>
  <si>
    <t>Resgatar ilustração abacaxi em cima da balança indicando 1000g; g23_mdn_lt_3npm_p119; código antigo i1832_3npm_g23_mdn_re</t>
  </si>
  <si>
    <t>i1155_3p011m_g27_e001</t>
  </si>
  <si>
    <t>Resgatar ilustração pera, abacaxi e banana em cima da balança indicando 3400g; g23_mdn_lt_3npm_p119; código antigo i1833_3npm_g23_mdn_re</t>
  </si>
  <si>
    <t>i1302_3p011m_g27_e001</t>
  </si>
  <si>
    <t>Resgatar ilustração de bandeja com 4 potes de iogurte de morango, da página 134 do g23_mdn_lt_3npm. Código antigo i2626rn_3npm_g23_mdn_aj</t>
  </si>
  <si>
    <t xml:space="preserve">i1303_3p011m_g27_e001 </t>
  </si>
  <si>
    <t xml:space="preserve">Resgatar Ilustração de quatro caixas, cada uma contendo a resposta com cinco bolinhas, da página 134 do g23_mdn_lt_3npm. Código antigo i1420rn_3pmm_g19_mdn. 
AJUSTE: retirar as bolinhas em cor resposta das caixas. </t>
  </si>
  <si>
    <t xml:space="preserve">i1305_3p011m_g27_e001 </t>
  </si>
  <si>
    <t xml:space="preserve">Resgatar ilustração de pacote de arroz de 5 kg, da página 135 do g23_mdn_lt_3npm. Código antigo i1422rn_3pmm_g19_mdn 
AJUSTE: deixar nesse código o pacote de arroz de 5 kg </t>
  </si>
  <si>
    <t xml:space="preserve">i1306_3p011m_g27_e001 </t>
  </si>
  <si>
    <t xml:space="preserve">Resgatar ilustração de pacote de feijão de 2 kg, da página 135 do g23_mdn_lt_3npm. Código antigo i1422rn_3pmm_g19_mdn 
Ajuste: separar o pacote de feijão com o código i1306B </t>
  </si>
  <si>
    <t xml:space="preserve">i1307_3p011m_g27_e001 </t>
  </si>
  <si>
    <t xml:space="preserve">Resgatar ilustração de uma plantação orgânica de couve, da página 136 do g23_mdn_lt_3npm. Código antigo i1428rn_3pmm_g19_mdn </t>
  </si>
  <si>
    <t xml:space="preserve">i1308_3p011m_g27_e001 </t>
  </si>
  <si>
    <t xml:space="preserve">Resgatar ilustração de uma camiseta azul, da página 137 do g23_mdn_lt_3npm. Código antigo i1401rn_3pmm_g19_mdn </t>
  </si>
  <si>
    <t xml:space="preserve">i1309_3p011m_g27_e001 </t>
  </si>
  <si>
    <t xml:space="preserve">Resgatar ilustração de uma camiseta amarela, da página 137 do g23_mdn_lt_3npm. Código antigo i1402rn_3pmm_g19_mdn </t>
  </si>
  <si>
    <t>i1310_3p011m_g27_e001</t>
  </si>
  <si>
    <t>Resgatar ilustração de uma camiseta vermelha, da página 137 do g23_mdn_lt_3npm. Código antigo i1403rn_3pmm_g19_mdn</t>
  </si>
  <si>
    <t>i1311_3p011m_g27_e001</t>
  </si>
  <si>
    <t xml:space="preserve">Resgatar ilustração de uma camiseta amarela com faixa vermelha, da página 137 do g23_mdn_lt_3npm. Código antigo i1404rn_3pmm_g19_mdn </t>
  </si>
  <si>
    <t xml:space="preserve">i1312_3p011m_g27_e001 </t>
  </si>
  <si>
    <t xml:space="preserve">Resgatar ilustração de um short amarelo, da página 137 do g23_mdn_lt_3npm. Código antigo i1405rn_3pmm_g19_mdn </t>
  </si>
  <si>
    <t xml:space="preserve">i1313_3p011m_g27_e001 </t>
  </si>
  <si>
    <t xml:space="preserve">Resgatar ilustração de uma camiseta sem cor, com uma estrela, da página 137 do g23_mdn_lt_3npm. Código antigo i1409rn_3pmm_g19_mdn </t>
  </si>
  <si>
    <t xml:space="preserve">i1314_3p011m_g27_e001 </t>
  </si>
  <si>
    <t xml:space="preserve">Resgatar ilustração de uma camiseta sem cor, listra nas mangas, da página 137 do g23_mdn_lt_3npm. Código antigo i1410rn_3pmm_g19_mdn </t>
  </si>
  <si>
    <t xml:space="preserve">i1315_3p011m_g27_e001 </t>
  </si>
  <si>
    <t xml:space="preserve">Resgatar ilustração de uma camiseta sem cor, da página 137 do g23_mdn_lt_3npm. Código antigo i1411rn_3pmm_g19_mdn </t>
  </si>
  <si>
    <t xml:space="preserve">i1316_3p011m_g27_e001 </t>
  </si>
  <si>
    <t xml:space="preserve">Resgatar ilustração de uma camiseta sem cor, com listra e círculo na estampa, da página 137 do g23_mdn_lt_3npm. Código antigo i1412rn_3pmm_g19_mdn </t>
  </si>
  <si>
    <t xml:space="preserve">i1317_3p011m_g27_e001 </t>
  </si>
  <si>
    <t>Resgatar ilustração de um short sem cor, da página 137 do g23_mdn_lt_3npm. Código antigo 
i1407rn_3pmm_g19_mdn</t>
  </si>
  <si>
    <t>1318_3p011m_g27_e001</t>
  </si>
  <si>
    <t xml:space="preserve">Resgatar ilustração de um short azul, da página 137 do g23_mdn_lt_3npm. Código antigo i1406rn_3pmm_g19_mdn </t>
  </si>
  <si>
    <t xml:space="preserve">i1319_3p011m_g27_e001 </t>
  </si>
  <si>
    <t xml:space="preserve">Resgatar ilustração de menino e adulto em frente as catracas, da página 137 do g23_mdn_lt_3npm. Código antigo i1413ci_3pmm_g19_mdn 
AJUSTE: Ajustar il para não sangrar, ajustar ao grid. </t>
  </si>
  <si>
    <t>i1320_3p011m_g27_e001</t>
  </si>
  <si>
    <t>Resgatar ilustração de cinco fichas, da página 138 do g23_mdn_lt_3npm. Código antigo i1463sl_3pmm_g19_mdn</t>
  </si>
  <si>
    <t xml:space="preserve">i1321_3p011m_g27_e001 </t>
  </si>
  <si>
    <t xml:space="preserve">Resgatar ilustração de uma estante com quatro livros nela, da página 138 do g23_mdn_lt_3npm. Código antigo i1433rn_3pmm_g19_mdn </t>
  </si>
  <si>
    <t xml:space="preserve">if1322_3p011m_g27_e001 </t>
  </si>
  <si>
    <t xml:space="preserve">Resgatar ilustração+foto de um quebra-cabeça, da página 139 do g23_mdn_lt_3npm. Código antigo if1434ca_3pmm_g19_mdn </t>
  </si>
  <si>
    <t xml:space="preserve">i1323_3p011m_g27_e001 </t>
  </si>
  <si>
    <t xml:space="preserve">Resgatar ilustração de um caderno com um retângulo 6x4, da página 139 do g23_mdn_lt_3npm. Código antigo i1435rn_3pmm_g19_mdn </t>
  </si>
  <si>
    <t>RAFAEL L. GAION/VINÍCIUS COSTA/ARQUIVO DA EDITORA</t>
  </si>
  <si>
    <t xml:space="preserve">i1324_3p011m_g27_e001 </t>
  </si>
  <si>
    <t xml:space="preserve">Resgatar ilustração de uma formiga no início de um caminho com números e um formigueiro no final do labirintod, da página 139 do g23_mdn_lt_3npm. Código antigo i1439rn_3pmm_g19_mdn 
AJUSTE: retirar caminho em cor resposta </t>
  </si>
  <si>
    <t xml:space="preserve">i1325_3p011m_g27_e001 </t>
  </si>
  <si>
    <t xml:space="preserve">Resgatar ilustração do estacionamento do g23_mdn_lt_3npm_p140 código antigo i1457rn_3pmm_g19_mdn </t>
  </si>
  <si>
    <t xml:space="preserve">i1326_3p011m_g27_e001 </t>
  </si>
  <si>
    <t xml:space="preserve">Resgatar ilustração das crianças conversando do g23_mdn_lt_3npm_p141 código antigo i1437cz_3pmm_g19_mdn </t>
  </si>
  <si>
    <t xml:space="preserve">i1327_3p011m_g27_e001 </t>
  </si>
  <si>
    <t xml:space="preserve">Resgatar ilustração da torneira do g23_mdn_lt_3npm_p141 código antigo i1438rn_3pmm_g19_mdn </t>
  </si>
  <si>
    <t xml:space="preserve">i1328_3p011m_g27_e001 </t>
  </si>
  <si>
    <t xml:space="preserve">Resgatar ilustração das linhas do g23_mdn_lt_3npm_p142 código antigo it1416a_3pmm_g19_mdn </t>
  </si>
  <si>
    <t xml:space="preserve">i1329_3p011m_g27_e001 </t>
  </si>
  <si>
    <t xml:space="preserve">Resgatar ilustração das linhas do g23_mdn_lt_3npm_p142 código antigo it1417_3pmm_g19_mdn </t>
  </si>
  <si>
    <t xml:space="preserve">i1330_3p011m_g27_e001 </t>
  </si>
  <si>
    <t>Resgatar e ajustar ilustração das linhas azuis do g23_mdn_lt_3npm_p142 código antigo it1418_3pmm_g19_mdn
AJUSTE: Inserir mais um segmento de reta, tendo ao todo, 9 segmentos de 3 cm. Ver ideia a seguir.
Arte: verificar se as cotas é melhor inserir na Arte, se for, pode inserir.</t>
  </si>
  <si>
    <t xml:space="preserve">i1331_3p011m_g27_e001 </t>
  </si>
  <si>
    <t xml:space="preserve">Resgatar ilustração de uma embalagem de anzol do g23_mdn_lt_3npm_p142 código antigo i1440rn_3pmm_g19_mdn </t>
  </si>
  <si>
    <t xml:space="preserve">i1332_3p011m_g27_e001 </t>
  </si>
  <si>
    <t xml:space="preserve">Resgatar ilustração das cadeiras do g23_mdn_lt_3npm_p143 código antigo i1441rn_3pmm_g19_mdn </t>
  </si>
  <si>
    <t xml:space="preserve">i1336_3p011m_g27_e001 </t>
  </si>
  <si>
    <t xml:space="preserve">Resgatar ilustração da pessoa do g23_mdn_lt_3npm_p144 código antigo i1464ci_3pmm_g19_mdn </t>
  </si>
  <si>
    <t xml:space="preserve">i1338_3p011m_g27_e001 </t>
  </si>
  <si>
    <t xml:space="preserve">Resgatar ilustração da balança de 20 kg do g23_mdn_lt_3npm_p145 código antigo i2624rn_3npm_g23_mdn_aj </t>
  </si>
  <si>
    <t>RAFAEL L. GAION/ROGÉRIO CASAGRANDE/ARQUIVO DA EDITORA</t>
  </si>
  <si>
    <t xml:space="preserve">i1339_3p011m_g27_e001 </t>
  </si>
  <si>
    <t xml:space="preserve">Resgatar ilustração da balança de 30 kg do g23_mdn_lt_3npm_p145 código antigo i2625rn_3npm_g23_mdn_aj </t>
  </si>
  <si>
    <t xml:space="preserve">i1341_3p011m_g27_e001 </t>
  </si>
  <si>
    <t xml:space="preserve">Resgatar ilustração do pacote de papel sulfite do g23_mdn_lt_3npm código antigo i2627rn_3npm_g23_mdn_aj </t>
  </si>
  <si>
    <t xml:space="preserve">i1343_3p011m_g27_e001 </t>
  </si>
  <si>
    <t xml:space="preserve">Resgatar ilustração das barrinhas do g23_mdn_lt_3npm_p147 código antigo i1448rn_3pmm_g19_mdn 
AJUSTE: em dois códigos A e B, sendo i1343A_3p011m o trio de barra e cubinho da esquerda e i1343B_3p011m as 3 barras e 3 cubinhos da direita.  </t>
  </si>
  <si>
    <t>i1345_3p011m_g27_e001</t>
  </si>
  <si>
    <t>Resgatar ilustração da cartela de botões do g23_mdn_lt_3npm_p149 código antigo i2617rn_3npm_g23_mdn_aj</t>
  </si>
  <si>
    <t>i1346_3p011m_g27_e001</t>
  </si>
  <si>
    <t>Resgatar ilustração de uma pilha de caixas do g23_mdn_lt_3npm_p149 código antigo i1450rn_3pmm_g19_mdn</t>
  </si>
  <si>
    <t>i1347_3p011m_g27_e001</t>
  </si>
  <si>
    <t>Resgatar e ajustar ilustração da mulher comprando revista do g23_mdn_lt_3npm_p150 código antigo i1451gn_3pmm_g19_mdn
AJUSTE: Tirar o nome NOVIDADE da revista.</t>
  </si>
  <si>
    <t>i1348_3p011m_g27_e001</t>
  </si>
  <si>
    <t xml:space="preserve">Resgatar ilustração dos cubinhos do g23_mdn_lt_3npm_p150 código antigo i1452rn_3pmm_g19_mdn
AJUSTE: separar as ils em A e B, sendo i1348A_3p011m os cinco grupos da esquerda composto por uma barra e 3 cubinhos e i1348B_3p011m as 5 barras e os 16 cubinhos
</t>
  </si>
  <si>
    <t>i1349_3p011m_g27_e001</t>
  </si>
  <si>
    <t xml:space="preserve">Resgatar ilustração dos cubinhos do g23_mdn_lt_3npm_p150 código antigo i1453rn_3pmm_g19_mdn
AJUSTE: separar ils em A e B, sendo i1349A_3p011m as 5 barras e 15 cubinhos do lado esquerdo e i1349B_3p011m as 6 barras e 5 cubinhos do lado direito
</t>
  </si>
  <si>
    <t>i1350_3p011m_g27_e001</t>
  </si>
  <si>
    <t>Resgatar ilustração do pessoas jogando do g23_mdn_lt_3npm_p152 código antigo i1458gn_3pmm_g19_mdn</t>
  </si>
  <si>
    <t>i1351_3p011m_g27_e001</t>
  </si>
  <si>
    <t>Resgatar ilustração do as pessoas conversando do g23_mdn_lt_3npm_p154 código antigo i1454gn_3pmm_g19_mdn_ef</t>
  </si>
  <si>
    <t xml:space="preserve">i1554_1p011m_g27_e001 </t>
  </si>
  <si>
    <t xml:space="preserve">Compor ilustração de uma caixa azul com formato de paralelepípedo. É importante que suas bases não sejam quadradas. </t>
  </si>
  <si>
    <t>R:22/04 F:24/04</t>
  </si>
  <si>
    <t xml:space="preserve">i1555_1p011m_g27_e001 </t>
  </si>
  <si>
    <t xml:space="preserve">i1558_1p011m_g27_e001 </t>
  </si>
  <si>
    <t xml:space="preserve">Compor ilustração de uma caixa azul com formato de pirâmide de base quadrada. É importante o estudante identifique que a base seja quadrada. </t>
  </si>
  <si>
    <t xml:space="preserve">i1559_1p011m_g27_e001 </t>
  </si>
  <si>
    <t xml:space="preserve">Compor ilustração de uma caixa azul com formato de um cilindro. </t>
  </si>
  <si>
    <t xml:space="preserve">i1516_1p011m_g27_e001 </t>
  </si>
  <si>
    <t xml:space="preserve">Resgatar ilustração do dragão; g23_mdn_lt_1npm_p92; código antigo i1443mk_1npm_g23_mdn_aj 
Ajuste: retirar pintura em cor resposta </t>
  </si>
  <si>
    <t xml:space="preserve">i1703_1p011m_g27_e001 </t>
  </si>
  <si>
    <t xml:space="preserve">Resgatar e ajustar ilustração referente ao trava-língua do tempo com relógio e ampulheta; g23_mdn_lt_1npm_p169; código antigo i1672rl_1pmm_g19_mdn 
AJUSTE: separar em A e B. </t>
  </si>
  <si>
    <t xml:space="preserve">i1755_1p011m_g27_e001 </t>
  </si>
  <si>
    <t>Ilustração de uma balança de dois pratos em equilíbrio do padrão de ilustrações.</t>
  </si>
  <si>
    <t xml:space="preserve">i1756_1p011m_g27_e001 </t>
  </si>
  <si>
    <t xml:space="preserve">Ilustração de um termômetro digital indicando 36.1 °C do padrão de ilustrações </t>
  </si>
  <si>
    <t xml:space="preserve">i1757_1p011m_g27_e001 </t>
  </si>
  <si>
    <t xml:space="preserve">Ilustração de uma fita métrica, pode estar com a maior parte enrolada, apenas um pedaço desenrolado. </t>
  </si>
  <si>
    <t>F:17/04</t>
  </si>
  <si>
    <t xml:space="preserve">i1708_1p011m_g27_e001 </t>
  </si>
  <si>
    <t xml:space="preserve">Resgatar ilustração de relógio de ponteiros marcando 9 horas, com o ponteiro das horas com cor resposta; g23_mdn_lt_1npm_p170; código antigo i3064zz_1npm_g23_mdn_aj 
Ajuste: retirar ponteiro em cor resposta </t>
  </si>
  <si>
    <t xml:space="preserve">i1711_1p011m_g27_e001 </t>
  </si>
  <si>
    <t xml:space="preserve">Resgatar ilustração de etapa de construção de um relógio de ponteiros sendo colado no verso o encaixe que segura os ponteiros; g23_mdn_lt_1npm_p171; código antigo i3035zz_1npm_g23_mdn_aj 
AJUSTE: atualizar fundo do material complementar conforme novo padrão. </t>
  </si>
  <si>
    <t>i1769_1p011m_g27_e001</t>
  </si>
  <si>
    <t xml:space="preserve">AJUSTE: Resgatar e ajustar ilustração+foto de mão segurando um celular com e na tela dele a previsão do tempo.; g23_mdn_lt_1npm_p175. Código antigo if1682rn_1pmm_g19_mdn. . </t>
  </si>
  <si>
    <t xml:space="preserve">i1766_1p011m_g27_e001 </t>
  </si>
  <si>
    <t xml:space="preserve">Ilustração de uma mão segurando um papel. A linguagem dessa ilustração deve ser a mesma das ilustrações dessa página. No papel, deve ter o seguinte texto na fonte Chinela: 
MATERIAIS NECESSÁRIOS 
• FOLHA SULFITE COLORIDA; 
• FITA ADESIVA DUPLA FACE; 
• CANETINHAS COLORIDAS; 
• TESOURA COM PONTAS ARREDONDADAS; 
• PRENDEDORES. </t>
  </si>
  <si>
    <t>R:17/04 F:24/04</t>
  </si>
  <si>
    <t xml:space="preserve">i1765_1p011m_g27_e001 </t>
  </si>
  <si>
    <t xml:space="preserve">Resgatar ilustração de uma carteira de sala de aula, em que sobre ela tem: folhas de papel sulfite coloridas, canetinhas coloridas, fita adesiva dupla face, tesoura com pontas arredondadas e prendedores </t>
  </si>
  <si>
    <t xml:space="preserve">i1760_1p011m_g27_e001 </t>
  </si>
  <si>
    <t xml:space="preserve">Resgatar ilustração de duas crianças sentadas, manuseando materiais dispostos em cima de suas respectivas carteiras, código antigo: i1692so_1npm_m20_mdn_ef.psd </t>
  </si>
  <si>
    <t xml:space="preserve">i1761_1p011m_g27_e001 </t>
  </si>
  <si>
    <t xml:space="preserve">Resgatar ilustração de uma criança passando cola em uma das dobras de um papel azul; código antigo i1693so_1npm_m20_mdn_ef.psd </t>
  </si>
  <si>
    <t xml:space="preserve">i1762_1p011m_g27_e001 </t>
  </si>
  <si>
    <t xml:space="preserve">Resgatar ilustração de uma criança colando prendedores com fita dupla face, no topo de um calendário feito de papel azul; código antigo i1695so_1npm_m20_mdn_ef.psd </t>
  </si>
  <si>
    <t xml:space="preserve">i1763_1p011m_g27_e001 </t>
  </si>
  <si>
    <t xml:space="preserve">Resgatar ilustração de uma criança colando as fichas presas nos prendedores, em que no calendário está escrito 31 de agosto; código antigo i1696so_1npm_m20_mdn_ef.psd </t>
  </si>
  <si>
    <t xml:space="preserve">i1759_1p011m_g27_e001 </t>
  </si>
  <si>
    <t xml:space="preserve">Compor esquema, em que na primeira linha terá duas boxes que o estudante precisa completar, o primeiro “ANO:_________” e o segundo “MÊS:_________”. Abaixo disso, terão quadrinhos 7x7, em que na primeira linha terá os dias da semana abreviados, e abaixo quadrinhos em branco em que o estudante irá completar com os dias do mês. Referência. </t>
  </si>
  <si>
    <t xml:space="preserve">if1764_1p011m_27_e001 </t>
  </si>
  <si>
    <t>Fotografia de uma prancheta de madeira com uma folha em branco. Além disso, compor ilustração na folha da prancheta quadrinhos com os meses do ano e logo abaixo dele, ter um espaço para o estudante desenhar palitinhos. Os quadrinhos devem ter espaços entre si, conforme a referência. 
O tamanho da ilustração deve ser suficiente para fechar a página.</t>
  </si>
  <si>
    <t xml:space="preserve">i1736_1p011m_g27_e001 </t>
  </si>
  <si>
    <t xml:space="preserve">Resgatar ilustração duas crianças segurando o calendário do mês de JULHO/2023; g23_mdn_lt_1npm_p181; código antigo i3027za_1npm_g23_mdn_aj </t>
  </si>
  <si>
    <t xml:space="preserve">i1767_1p011m_g27_e001 </t>
  </si>
  <si>
    <t xml:space="preserve">Ilustração de um relógio no padrão da obra marcando 9 horas </t>
  </si>
  <si>
    <t xml:space="preserve">i1768_1p011m_g27_e001 </t>
  </si>
  <si>
    <t xml:space="preserve">Ilustração de um calendário FEVEREIRO/2027 do padrão da obra </t>
  </si>
  <si>
    <t xml:space="preserve">i1732_1p011m_g27_e001 </t>
  </si>
  <si>
    <t xml:space="preserve">Resgatar ilustração menina falando em cima da cama com urso de pelúcia; g23_mdn_lt_1npm_p176; código antigo i3068cg_1npm_g23_mdn_aj </t>
  </si>
  <si>
    <t xml:space="preserve">i1770_1p011m_g27_e001 </t>
  </si>
  <si>
    <t xml:space="preserve">Ilustração de uma régua no padrão da obra abaixo da borracha no padrão da obra, compondo uma cota que, junto com a régua, indica que a borracha mede 4 centímetros, em V. G. conforme referência. </t>
  </si>
  <si>
    <t xml:space="preserve">i1515_3p011m_g27_e001 </t>
  </si>
  <si>
    <t xml:space="preserve">resgatar ilustração de duas caixas verdes com marcadores acima delas, em g23_mdn_lt_3npm_p161_u8 código i1617rn_3pmm_g19_mdn </t>
  </si>
  <si>
    <t xml:space="preserve">i1516_3p011m_g27_e001 </t>
  </si>
  <si>
    <t xml:space="preserve">resgatar ilustração de duas caixas verdes com marcadores acima delas, em g23_mdn_lt_3npm_p161_u8 código i1618rn_3pmm_g19_mdn </t>
  </si>
  <si>
    <t xml:space="preserve">i1517_3p011m_g27_e001 </t>
  </si>
  <si>
    <t xml:space="preserve">resgatar ilustração de 12 livros empilhados, em g23_mdn_lt_3npm_p161_u8 código i1620rn_3pmm_g19_mdn </t>
  </si>
  <si>
    <t xml:space="preserve">i1518_3p011m_g27_e001 </t>
  </si>
  <si>
    <t xml:space="preserve">resgatar ilustração de um vaso de flor, em g23_mdn_lt_3npm_p162_u8 código i1622rn_3pmm_g19_mdn </t>
  </si>
  <si>
    <t xml:space="preserve">i1519_3p011m_g27_e001 </t>
  </si>
  <si>
    <t xml:space="preserve">resgatar ilustração de uma lata de lixo verde, em g23_mdn_lt_3npm_p162_u8 código i1623rn_3pmm_g19_mdn </t>
  </si>
  <si>
    <t xml:space="preserve">i1520_3p011m_g27_e001 </t>
  </si>
  <si>
    <t xml:space="preserve">resgatar ilustração de uma caixa d´água azul, em g23_mdn_lt_3npm_p162_u8 código i1624rn_3pmm_g19_mdn </t>
  </si>
  <si>
    <t xml:space="preserve">i1521_3p011m_g27_e001 </t>
  </si>
  <si>
    <t>resgatar ilustração de um pneu e duas garrafas, em g23_mdn_lt_3npm_p162_u8 código i1625rn_3pmm_g19_mdn</t>
  </si>
  <si>
    <t xml:space="preserve">i1522_3p011m_g27_e001 </t>
  </si>
  <si>
    <t xml:space="preserve">resgatar ilustração de uma calha no telhado com várias folhas, em g23_mdn_lt_3npm_p162_u8 código i1626rn_3pmm_g19_mdn </t>
  </si>
  <si>
    <t xml:space="preserve">i1523_3p011m_g27_e001 </t>
  </si>
  <si>
    <t xml:space="preserve">resgatar ilustração de um quadro com seis colunas com imagens de rosto em cada coluna, em g23_mdn_lt_3npm_p163_u8 código i3026so_3npm_g23_mdn_aj </t>
  </si>
  <si>
    <t xml:space="preserve">i1525_3p011m_g27_e001 </t>
  </si>
  <si>
    <t>resgatar ilustração sobre informativo sobre lixo, em g23_mdn_lt_3npm_p165_u8 código i3022_3npm_g23_mdn_re
AJUSTE: Trocar a frase “NEM TODO LIXO É LIXO” por “VAMOS RECICLAR!”
Arte: verificar contraste chekcer em escrita em negativo.</t>
  </si>
  <si>
    <t xml:space="preserve">i1526_3p011m_g27_e001 </t>
  </si>
  <si>
    <t xml:space="preserve">resgatar ilustração de uma professora e um estudante, em g23_mdn_lt_3npm_p166_u8 código i1632ci_3pmm_g19_mdn </t>
  </si>
  <si>
    <t xml:space="preserve">i1527_3p011m_g27_e001 </t>
  </si>
  <si>
    <t xml:space="preserve">resgatar ilustração de nove canetas azuis, em g23_mdn_lt_3npm_p166_u8 código i1634rn_3pmm_g19_mdn </t>
  </si>
  <si>
    <t xml:space="preserve">i1528_3p011m_g27_e001 </t>
  </si>
  <si>
    <t xml:space="preserve">resgatar ilustração de vinte apontadores amarelos, em g23_mdn_lt_3npm_p166_u8 código i1635rn_3pmm_g19_mdn </t>
  </si>
  <si>
    <t xml:space="preserve">i1529_3p011m_g27_e001 </t>
  </si>
  <si>
    <t xml:space="preserve">resgatar ilustração de doze cubos, em g23_mdn_lt_3npm_p166_u8 código i1636rn_3pmm_g19_mdn </t>
  </si>
  <si>
    <t xml:space="preserve">i1530_3p011m_g27_e001 </t>
  </si>
  <si>
    <t xml:space="preserve">resgatar ilustração de várias bolinhas azuis, em g23_mdn_lt_3npm_p166_u8 código i1637rn_3pmm_g19_mdn </t>
  </si>
  <si>
    <t xml:space="preserve">i1532_3p011m_g27_e001 </t>
  </si>
  <si>
    <t>Resgatar ilustração de uma família indo ao cinema. Veio de: g23_mdn_lt_3npm_p167. Código antigo: i1639ci_3pmm_g19_mdn
AJUSTE: Ajustar texto da placa para:
INTEIRA: 18 REAIS
MEIA-ENTRADA PARA IDOSOS, ESTUDANTES E PESSOAS COM DEFICIÊNCIA</t>
  </si>
  <si>
    <t xml:space="preserve">i1533_3p011m_g27_e001 </t>
  </si>
  <si>
    <t xml:space="preserve">Resgatar ilustração de um mural com fotos. Veio de: g23_mdn_lt_3npm_p167. Código antigo: i1640rn_3pmm_g19_mdn </t>
  </si>
  <si>
    <t xml:space="preserve">i1534_3p011m_g27_e001 </t>
  </si>
  <si>
    <t xml:space="preserve">Resgatar ilustração de uma mulher separando estrelas na mesa com caixas de diferentes capacidades. Veio de: g23_mdn_lt_3npm_p169 Código antigo: i1641so_3pmm_g19_mdn </t>
  </si>
  <si>
    <t xml:space="preserve">i1537_3p011m_g27_e001 </t>
  </si>
  <si>
    <t xml:space="preserve">Resgatar ilustração de um tabuleiro. Veio de: g23_mdn_lt_3npm_p171. Código antigo: i1602zz_3pmm_g19_mdn </t>
  </si>
  <si>
    <t xml:space="preserve">i1541_3p011m_g27_e001 </t>
  </si>
  <si>
    <t xml:space="preserve">Resgatar ilustração de uma menina com uma caixa de bolinhas coloridas. Veio de: g23_mdn_lt_3npm_p175. Código antigo: i1644aj_3pmm_g19_mdn </t>
  </si>
  <si>
    <t>aj</t>
  </si>
  <si>
    <t xml:space="preserve">i1548_3p011m_g27_e001 </t>
  </si>
  <si>
    <t xml:space="preserve">resgatar il de menino falando com carrinho na mão veio do g23_mdn_lt_3npm_p182 codigo antigo i5702za_3m4sem_m20_stl_aj </t>
  </si>
  <si>
    <t>i1549_3p011m_g27_e001</t>
  </si>
  <si>
    <t xml:space="preserve">resgatar il de menino lendo veio do g23_mdn_lt_3npm_p183 codigo antigo i1661za_3pmm_g19_mdn 
 </t>
  </si>
  <si>
    <t xml:space="preserve">i1550_3p011m_g27_e001 </t>
  </si>
  <si>
    <t xml:space="preserve">resgatar il de menino e labirinto veio do g23_mdn_lt_3npm_p184 codigo antigo i1662aj_3pmm_g19_mdn </t>
  </si>
  <si>
    <t xml:space="preserve">i1702_3p011m_g27_e001 </t>
  </si>
  <si>
    <t xml:space="preserve">Resgatar ilustração de uma sala de aula do g23_mdn_lt_3npm_p122 código antigo i5201cg_3m4sem_m20_stl_aj </t>
  </si>
  <si>
    <t xml:space="preserve">i1703_3p011m_g27_e001 </t>
  </si>
  <si>
    <t xml:space="preserve">Resgatar ilustração do menino estudando do g23_mdn_lt_3npm_p123 código antigo i5202cg_3m4sem_m20_stl_aj 
AJUSTE: Ajustar il para não sangrar, ela está sangrando na parte de baixo da página. </t>
  </si>
  <si>
    <t xml:space="preserve">i1704_3p011m_g27_e001 </t>
  </si>
  <si>
    <t xml:space="preserve">Resgatar ilustração do menino estudando do g23_mdn_lt_3npm_p123 código antigo i1208cg_3pmm_g19_mdn </t>
  </si>
  <si>
    <t xml:space="preserve">i1705_3p011m_g27_e001 </t>
  </si>
  <si>
    <t>Resgatar ilustração do menino vendo bonés go 23_mdn_lt_3npm_p124 código antigo i1209cg_3pmm_g19_mdn_ef
AJUSTE: Trocar a etnia do menino da ilustração, ele deve ser negro e de cabelos pretos cacheados.</t>
  </si>
  <si>
    <t xml:space="preserve">i1706_3p011m_g27_e001 </t>
  </si>
  <si>
    <t xml:space="preserve">Resgatar ilustração do homem mostrando um guarda volumes do g23_mdn_lt_3npm_p125 código antigo i1206cg_3npm_m20_mdn_re </t>
  </si>
  <si>
    <t xml:space="preserve">i1707_3p011m_g27_e001 </t>
  </si>
  <si>
    <t xml:space="preserve">Resgatar ilustração de 4 carrinhos do g23_mdn_lt_3npm_p125 código antigo i1211cg_3pmm_g19_mdn </t>
  </si>
  <si>
    <t xml:space="preserve">i1708_3p011m_g27_e001 </t>
  </si>
  <si>
    <t>Resgatar ilustração da Paula vendo os pontos cardeais do g23_mdn_lt_3npm_p126 código antigo i1212za_3pmm_g19_mdn</t>
  </si>
  <si>
    <t xml:space="preserve">i1710_3p011m_g27_e001 </t>
  </si>
  <si>
    <t xml:space="preserve">Resgatar ilustração de uma parte do bairro onde Bruna mora do g23_mdn_lt_3npm_p127 código antigo i1217zz_3pmm_g19_mdn 
AJUSTE: Retirar fio cor resposta  </t>
  </si>
  <si>
    <t xml:space="preserve">i1711_3p011m_g27_e001 </t>
  </si>
  <si>
    <t xml:space="preserve">Resgatar ilustração da seta para a direita do g23_mdn_lt_3npm_p128 código antigo i1225sl_3pmm_g19_mdn </t>
  </si>
  <si>
    <t xml:space="preserve">i1712_3p011m_g27_e001 </t>
  </si>
  <si>
    <t xml:space="preserve">Resgatar ilustração da seta para a esquerda do g23_mdn_lt_3npm_p128 código antigo i1227sl_3pmm_g19_mdn </t>
  </si>
  <si>
    <t>i1713_3p011m_g27_e001</t>
  </si>
  <si>
    <t xml:space="preserve">Resgatar ilustração da seta para cima do g23_mdn_lt_3npm_p128 código antigo i1226sl_3pmm_g19_mdn </t>
  </si>
  <si>
    <t>i1714_3p011m_g27_e001</t>
  </si>
  <si>
    <t xml:space="preserve">Resgatar ilustração da seta para baixo do g23_mdn_lt_3npm_p128 código antigo i1228sl_3pmm_g19_mdn </t>
  </si>
  <si>
    <t xml:space="preserve">i1715_3p011m_g27_e001 </t>
  </si>
  <si>
    <t>Resgatar ilustração das setas do g23_mdn_lt_3npm_p128 código antigo i1229sl_3pmm_g19_mdn</t>
  </si>
  <si>
    <t xml:space="preserve">i1716_3p011m_g27_e001 </t>
  </si>
  <si>
    <t>Resgatar ilustração da malha com dois pontos do g23_mdn_lt_3npm_p128 código antigo i1223zz_3pmm_g19_mdn 
AJUSTE: retirar fio resposta</t>
  </si>
  <si>
    <t xml:space="preserve">i1717_3p011m_g27_e001 </t>
  </si>
  <si>
    <t xml:space="preserve">Resgatar ilustração da malha quadriculada do g23_mdn_lt_3npm_p128 código antigo i1224zz_3pmm_g19_mdn </t>
  </si>
  <si>
    <t xml:space="preserve">i1718_3p011m_g27_e001 </t>
  </si>
  <si>
    <t xml:space="preserve">Resgatar ilustração da malha quadriculada do g23_mdn_lt_3npm_p129 código antigo i1202zz_3pmm_g19_mdn 
AJUSTE: excluir fio em cor resposta </t>
  </si>
  <si>
    <t xml:space="preserve">i1719_3p011m_g27_e001 </t>
  </si>
  <si>
    <t xml:space="preserve">Resgatar ilustração do quadrado do g23_mdn_lt_3npm_p129 código antigo it1214_3pmm_g19_mdn </t>
  </si>
  <si>
    <t xml:space="preserve">i1720_3p011m_g27_e001 </t>
  </si>
  <si>
    <t>Resgatar ilustração da matriz calculada do g23_mdn_lt_3npm_p129 código antigo i1203zz_3pmm_g19_mdn</t>
  </si>
  <si>
    <t xml:space="preserve">i1721_3p011m_g27_e001 </t>
  </si>
  <si>
    <t xml:space="preserve">Resgatar ilustração da parte da cidade em que Pedro mora do g23_mdn_lt_3npm_p130 código antigo i1215zz_3pmm_g19_mdn 
AJUSTE: excluir fio resposta da figura </t>
  </si>
  <si>
    <t xml:space="preserve">i1722_3p011m_g27_e001 </t>
  </si>
  <si>
    <t xml:space="preserve">Resgatar ilustração do menino falando do g23_mdn_lt_3npm_p130 código antigo i1216rl_3pmm_g19_mdn </t>
  </si>
  <si>
    <t xml:space="preserve">i1723_3p011m_g27_e001 </t>
  </si>
  <si>
    <t xml:space="preserve">Resgatar ilustração das casinhas do g23_mdn_lt_3npm_p131 código antigo i2211za_3npm_g23_mdn_ef </t>
  </si>
  <si>
    <t xml:space="preserve">i1724_3p011m_g27_e001 </t>
  </si>
  <si>
    <t xml:space="preserve">Resgatar ilustração da malha quadriculada do g23_mdn_lt_3npm_p131 código antigo i2212sl_3npm_g23_mdn_aj 
AJUSTE: retirar fio em cor resposta </t>
  </si>
  <si>
    <t xml:space="preserve">i1192_1p011m_g27_e001 </t>
  </si>
  <si>
    <t>Ilustrar 21 batatas e organizá-las em três linhas e sete colunas. Não fazer igual referência da guia.</t>
  </si>
  <si>
    <t>F: 07/05</t>
  </si>
  <si>
    <t xml:space="preserve">i1193_1p011m_g27_e001 </t>
  </si>
  <si>
    <t xml:space="preserve">Ilustrar 22 tomates e organizá-los em três linhas e 8 colunas. Não fazer igual referência: </t>
  </si>
  <si>
    <t>i1194_1p011m_g27_e00</t>
  </si>
  <si>
    <t>Resgatar ilustração de um ábaco representando o número 28; g23_mdn_lt_2npm_p025; código antigo i0234_2pmm_g19_mdn</t>
  </si>
  <si>
    <t xml:space="preserve">i1222_1p011m_g27_e001 </t>
  </si>
  <si>
    <t xml:space="preserve">Resgatar e ajustar ilustração de um ábaco representando o número 28; g23_mdn_lt_2npm_p025; código antigo i0234_2pmm_g19_mdn 
AJUSTE: retirar uma bolinha das Unidades de modo que o ábaco represente o número 27. </t>
  </si>
  <si>
    <t xml:space="preserve">i1150_1p011m_g27_e001 </t>
  </si>
  <si>
    <t xml:space="preserve">Resgatar ilustração de desenho ábaco com o número 47; g23_mdn_lt_1npm_p112; código antigo i1105sl_1pmm_g19_mdn 
AJUSTE: Descolorir as contas em cor resposta </t>
  </si>
  <si>
    <t xml:space="preserve">i1151_1p011m_g27_e001 </t>
  </si>
  <si>
    <t xml:space="preserve">Resgatar ilustração de desenho ábaco com o número 36; g23_mdn_lt_1npm_p112; código antigo i1833sl_1npm_g23_mdn_aj  
AJUSTE: Descolorir as contas em cor resposta </t>
  </si>
  <si>
    <t xml:space="preserve">i1152_1p011m_g27_e001 </t>
  </si>
  <si>
    <t xml:space="preserve">Resgatar ilustração de desenho ábaco com o número 44; g23_mdn_lt_1npm_p112; código antigo i1109sl_1pmm_g19_mdn 
AJUSTE: Descolorir as contas em cor resposta </t>
  </si>
  <si>
    <t xml:space="preserve">i1153_1p011m_g27_e001 </t>
  </si>
  <si>
    <t xml:space="preserve">Resgatar ilustração de desenho ábaco com o número 39; g23_mdn_lt_1npm_p112; código antigo i1106sl_1pmm_g19_mdn 
AJUSTE: Descolorir as contas em cor resposta </t>
  </si>
  <si>
    <t xml:space="preserve">i1154_1p011m_g27_e001 </t>
  </si>
  <si>
    <t xml:space="preserve">Resgatar ilustração de desenho ábaco com o número 41; g23_mdn_lt_1npm_p112; código antigo i1108sl_1pmm_g19_mdn 
AJUSTE: Descolorir as contas em cor resposta </t>
  </si>
  <si>
    <t xml:space="preserve">i1155_1p011m_g27_e001 </t>
  </si>
  <si>
    <t xml:space="preserve">Resgatar ilustração de desenho ábaco com o número 29; g23_mdn_lt_1npm_p122; código antigo i1110sl_1pmm_g19_mdn 
AJUSTE: Descolorir as contas em cor resposta </t>
  </si>
  <si>
    <t xml:space="preserve">i1156_1p011m_g27_e001 </t>
  </si>
  <si>
    <t xml:space="preserve">Resgatar ilustração 6 saquinhos de bala; g23_mdn_lt_1npm_p113; código antigo i1046rn_1pmm_g19_mdn 
AJUSTE: Trocar balas por bolinhas de gude, deixando em cada pacote 10 bolinhas de gude. 
Arte: se for melhor, fazer apenas um saquinho com as bolinhas e reaplicar os demais na quantidade e disposição que está na referência. </t>
  </si>
  <si>
    <t xml:space="preserve">i1157_1p011m_g27_e001 </t>
  </si>
  <si>
    <t xml:space="preserve">Resgatar ilustração 7 saquinhos de bala; g23_mdn_lt_1npm_p113; código antigo i1048rn_1pmm_g19_mdn 
AJUSTE: Trocar balas por bolinhas de gude, deixando em cada pacote 10 bolinhas de gude. 
Arte: se for melhor, fazer apenas um saquinho com as bolinhas e reaplicar os demais na quantidade e disposição que está na referência. </t>
  </si>
  <si>
    <t xml:space="preserve">i1158_1p011m_g27_e001 </t>
  </si>
  <si>
    <t xml:space="preserve">Resgatar ilustração 8 saquinhos de bala; g23_mdn_lt_1npm_p113; código antigo i1047rn_1pmm_g19_mdn 
AJUSTE: Trocar balas por bolinhas de gude, deixando em cada pacote 10 bolinhas de gude. 
Arte: se for melhor, fazer apenas um saquinho com as bolinhas e reaplicar os demais na quantidade e disposição que está na referência. </t>
  </si>
  <si>
    <t xml:space="preserve">i1159_1p011m_g27_e001 </t>
  </si>
  <si>
    <t xml:space="preserve">Resgatar ilustração 9 saquinhos de bala; g23_mdn_lt_1npm_p113; código antigo i1049rn_1pmm_g19_mdn 
AJUSTE: Trocar balas por bolinhas de gude, deixando em cada pacote 10 bolinhas de gude. 
Arte: se for melhor, fazer apenas um saquinho com as bolinhas e reaplicar os demais na quantidade e disposição que está na referência. </t>
  </si>
  <si>
    <t xml:space="preserve">i1195_1p011m_g27_e001 </t>
  </si>
  <si>
    <t xml:space="preserve">ilustração de 35 cubinhos do material dourado do padrão de ilustrações. </t>
  </si>
  <si>
    <t>Padrão</t>
  </si>
  <si>
    <t xml:space="preserve">i1196_1p011m_g27_e001 </t>
  </si>
  <si>
    <t>Compor ilustração de 58 cubinhos do material dourado do padrão de ilustrações</t>
  </si>
  <si>
    <t>i1197_1p011m_g27_e001</t>
  </si>
  <si>
    <t xml:space="preserve">Compor ilustração de 99 cubinhos do material dourado do padrão de ilustrações </t>
  </si>
  <si>
    <t xml:space="preserve">i1165_1p011m_g27_e001 </t>
  </si>
  <si>
    <t>Resgatar ilustração de desenho de ábaco 37; g23_mdn_lt_1npm_p114; código antigo i1123sl_1pmm_g19_mdn 
AJUSTE: No ábaco, apagar as contas em cor resposta.</t>
  </si>
  <si>
    <t xml:space="preserve">i1224_1p011m_g27_e001 </t>
  </si>
  <si>
    <t xml:space="preserve">Resgatar e ajustar ilustração de uma mão segurando um papel da página 208 da unidade 9 do 1P011M com o código i1766_1p011m_g27_e001.  
AJUSTE: inserir texto a seguir na fonte Chinela: 
MATERIAIS NECESSÁRIOS 
• CARTOLINA;  
• FOLHA SULFITE COLORIDA; 
• FITA ADESIVA DUPLA FACE; 
• CANETINHA; 
• TESOURA COM PONTAS ARREDONDADAS; 
• PRENDEDORES. </t>
  </si>
  <si>
    <t xml:space="preserve">i1198_1p011m_g27_e001 </t>
  </si>
  <si>
    <t>Ilustração de uma carteira de sala de aula com objetos dispostos sobre ela. Sobre essa carteira, deve ter cartolina, folhas sulfite coloridas, tesoura com pontas arredondadas, fita adesiva dupla face, prendedores e canetinha preta. Seguir ideia, não fazer igual referência 
ARTE: enviar para Silvia Otofuji para ficar no mesmo traço da i1224_1p011m</t>
  </si>
  <si>
    <t>R: 02/05 F: 08/05</t>
  </si>
  <si>
    <t xml:space="preserve">i1199_1p011m_g27_e001 </t>
  </si>
  <si>
    <t xml:space="preserve">ilustração de duas crianças de uniforme, em ambiente de sala de aula, sendo uma menina ruiva e um menino negro desenhando o número 9 em uma ficha feita com folhas sulfite colorida, sobre uma única carteira de sala de aula. Além disso, sobre a carteira, compor fichas com os números 0, 1, 2, 3, 4, 5, 6, 7 e 8. Deve ter duas de cada, ou seja, duas com o número 0, duas com o número 1, e assim por diante. (ver ideia a seguir) 
ARTE: enviar para Silvia Otofuji para ficar no mesmo traço da i1224_1p011m. </t>
  </si>
  <si>
    <t xml:space="preserve">i1200_1p011m_g27_e001 </t>
  </si>
  <si>
    <t xml:space="preserve">ilustração do menino negro da i1199_1p011m_g27_e001 em ambiente de sala de aula montando um quadro valor de lugar, com apenas a 1ª e 2ª ordem, em que o título do quadro será QUADRO DE ORDENS e nos títulos das colunas, estará escrito DEZENAS, na coluna da esquerda, e UNIDADES, na coluna da direita. Abaixo dos títulos das colunas deve ter espaço suficiente para que nele seja colado prendedores na parte de cima da célula, em que o estudante pendurará as fichas dos números feitos com folha sulfite (NÃO VAI TER PRENDEDORES NESSA ILUSTRAÇÃO). É importante que o quadro de ordens seja colorido e criativo, utilizando de tiras de folhas sulfites coloridas, canetinhas, fitas adesivas coloridas, e que o quadro de ordens ocupe toda a sulfite. Conferir print referência para estrutura do quadro de ordens 
ARTE: enviar para Silvia Otofuji para ficar no mesmo traço da i1224_1p011m. 
ver ideias a seguir. </t>
  </si>
  <si>
    <t xml:space="preserve">i1201_1p011m_g27_e001 </t>
  </si>
  <si>
    <t xml:space="preserve">ilustração do mesmo menino negro da i1199_1p011m_g27_e001 e i1200_1p011m_g27_e001 em ambiente de sala de aula colando prendedores nas células vazias do mesmo quadro de ordens da 1200_1p011m_g27_e001 sobre uma carteira de sala de aula (ver o primeiro print referência para ideia de onde deve ser colado os prendedores). Nessa ilustração deve ter um zoom na mão da criança colando os prendedores no quadro de ordens, conforme a ideia apresentada no segundo print referência 
ARTE: enviar para Silvia Otofuji para ficar no mesmo traço da i1224_1p011m. 
 </t>
  </si>
  <si>
    <t xml:space="preserve">i1202_1p011m_g27_e001 </t>
  </si>
  <si>
    <t xml:space="preserve">Ilustração de 99 carrinhos em um painel com capacidade máxima de 100 carrinhos. Deixar a última “casinha” do painel disponível. Fazer carrinhos diferentes, sendo 10 modelos com 10 cores diferentes. 
Arte: se for possível, usar como base a i1646rn_2pmm_g19_mdn, porém usar a descrição acima. Ver se daí o crédito ficar Rafael L. Gaion. </t>
  </si>
  <si>
    <t xml:space="preserve">i1203_1p011m_g27_e001 </t>
  </si>
  <si>
    <t xml:space="preserve">Compor mesma ilustração do i1202_1p011m_g27_e001, porém com 100 carrinhos. Ou seja, deve-se adicionar um carrinho na última “casinha” que estava disponível. </t>
  </si>
  <si>
    <t xml:space="preserve">i1223_1p011m_g27_e001 </t>
  </si>
  <si>
    <t xml:space="preserve">Resgatar ilustração de um ábaco com o número 100 representado do g23_mdn_lt_1npm_p116, código antigo i1068zz_1pmm_g19_mdn </t>
  </si>
  <si>
    <t xml:space="preserve">i1174_1p011m_g27_e001 </t>
  </si>
  <si>
    <t xml:space="preserve">Resgatar ilustração 4 crianças brincando dominó; g23_mdn_lt_1npm_p118; código antigo i1837cz_1npm_g23_mdn_aj 
AJUSTE: Ajustar verso das pecinhas de dominó para o verso do material complementar, que vai mudar </t>
  </si>
  <si>
    <t xml:space="preserve">i1205_1p011m_g27_e001 </t>
  </si>
  <si>
    <t xml:space="preserve">ilustração de 12 cubos, 10 esferas e 15 cones. As figuras devem ser coloridas e devem estar misturadas, uma ao lado da outra, com tracejados aparecendo. </t>
  </si>
  <si>
    <t xml:space="preserve">i1206_1p011m_g27_e001 </t>
  </si>
  <si>
    <t xml:space="preserve">NOVA 
Compor ilustração de um cartaz de promoção de supermercado com o seguinte texto em caixa alta alta: 
TROQUE TRÊS SELOS PROMOCIONAIS  
POR UM CARTÃO DA COPA DO MUNDO DE FUTEBOL. </t>
  </si>
  <si>
    <t xml:space="preserve">i1208_1p011m_g27_e001 </t>
  </si>
  <si>
    <t xml:space="preserve">ilustração de 24 canetinhas coloridas. As canetinhas devem ter espaço entre elas o suficiente para que o estudante consiga contorná-las. </t>
  </si>
  <si>
    <t xml:space="preserve">i1209_1p011m_g27_e001 </t>
  </si>
  <si>
    <t xml:space="preserve">ilustração de 36 tampinhas. Elas devem ser de garrafa pet, pois o personagem da atividade vai utilizá-las para construir brinquedos. </t>
  </si>
  <si>
    <t>i1210_1p011m_g27_e001</t>
  </si>
  <si>
    <t xml:space="preserve">ilustração de 16 livros de cores sortidas, distribuídas em 3x6. Os livros devem ter espaços entre eles o suficiente para que o estudante consiga contorná-las </t>
  </si>
  <si>
    <t xml:space="preserve">i1211_1p011m_g27_e001 </t>
  </si>
  <si>
    <t xml:space="preserve">ilustrações de 15 fichas amarelas. As fichas devem ser iguais. As fichas devem ter espaços entre eles o suficiente para que o estudante consiga contá-los. </t>
  </si>
  <si>
    <t xml:space="preserve">i1212_1p011m_g27_e001 </t>
  </si>
  <si>
    <t xml:space="preserve">ilustração de 20 fichas amarelas. As fichas devem ser iguais a da i1211_1p011m_g27_e001. 
As fichas devem ter espaços entre eles o suficiente para que o estudante consiga contá-los.  </t>
  </si>
  <si>
    <t xml:space="preserve">i1213_1p011m_g27_e001 </t>
  </si>
  <si>
    <t xml:space="preserve">ilustração de 42 tomates. Todos os tomates devem ser iguais. 
Os tomates devem ter espaços entre eles o suficiente para que o estudante consiga contá-los. 
ARTE: usar o mesmo tomate da i1193_1p011m_g27_e001. </t>
  </si>
  <si>
    <t>i1215_1p011m_g27_e001</t>
  </si>
  <si>
    <t xml:space="preserve">Compor cartão de promoção com o seguinte texto em caixa alta alta: 
DOE QUATRO LIVROS E GANHE UM BRINDE. 
É importante que o texto esteja bem destacado. Usar recurso necessário. </t>
  </si>
  <si>
    <t xml:space="preserve">i1218_1p011m_g27_e001 </t>
  </si>
  <si>
    <t xml:space="preserve">Resgatar ilustração de ábaco com o número 46 representado no padrão da obra do g23_mdn_lt_2npm, código antigo i0414_2pmm_g19_mdn </t>
  </si>
  <si>
    <t xml:space="preserve">i1219_1p011m_g27_e001 </t>
  </si>
  <si>
    <t xml:space="preserve">ilustração do número 46 representando em material dourado (4 barrinhas e 6 cubinhos) </t>
  </si>
  <si>
    <t xml:space="preserve">i1220_1p011m_g27_e001 </t>
  </si>
  <si>
    <t>ilustração de reta numérica no padrão da obra, do número 0 ao 100, com escala de 10 em 10</t>
  </si>
  <si>
    <t xml:space="preserve">i1221_1p011m_g27_e001 </t>
  </si>
  <si>
    <t>ilustração de um cartaz de promoção com o seguinte texto em caixa alta alta: 
TROQUE 3 CUPONS POR 1 PIÃO.</t>
  </si>
  <si>
    <t xml:space="preserve">i6120_1p011m_g27_e001 </t>
  </si>
  <si>
    <t>Material Complementar</t>
  </si>
  <si>
    <t xml:space="preserve">Resgatar ilustração 4 crianças nas carteiras; g23_mdn_lt_1npm_p201; código antigo i3065so_1npm_g23_mdn_aj </t>
  </si>
  <si>
    <t xml:space="preserve">i6122_1p011m_g27_e001 </t>
  </si>
  <si>
    <t xml:space="preserve">Resgatar e ajustar as fichas do Material complementar da versão Mercado 2020. Código antigo: i2003mm_1npm_m20_mdn_ef 
AJUSTE: Aumentar um pouquinho as fichas e espaçá-las conforme referência a seguir, para facilitar o aluno recortá-las. </t>
  </si>
  <si>
    <t xml:space="preserve">i6121_1p011m_g27_e001 </t>
  </si>
  <si>
    <t xml:space="preserve">Resgatar e ajustar o molde dado do Material complementar da versão Mercado 2020. Código antigo: i2002mm_1npm_m20_mdn_ef,  
AJUSTE: ajustar inserindo divisões conforme referência a seguir. Onde o aluno vai dobrar deve ser inserido fio contínuo e em todo o contorno deve ser fio tracejado. Retirar a sobra das laterais, pois agora como o estudante vai recortar, ela não é mais necessária. 
Aumentar um pouco o molde. </t>
  </si>
  <si>
    <t xml:space="preserve">i6123_1p011m_g27_e001 </t>
  </si>
  <si>
    <t>Ilustração de um ábaco do padrão em tamanho grande de modo que ocupe a uma página do material complementar com 2 hastes sem bolinhas, das unidades e das dezenas, em que terá as iniciais representando-as, com D na cor vermelha e U na verde. Ver referência a seguir.</t>
  </si>
  <si>
    <t>BÁBARA SARZI/ARQUIVO DA EDITORA</t>
  </si>
  <si>
    <t xml:space="preserve">i6124_1p011m_g27_e001 </t>
  </si>
  <si>
    <t>lustração de 18 contas do ábaco do padrão conforme referência a seguir, dispostas em 3 linhas e 6 colunas de modo que encaixe nas hastes do ábaco da i6123_1p011m_g27_e001. Fazer de tamanho que o estudante consiga recortar e deixá-las espaçadas para que depois a diagramação insira o tracejado de recorte.</t>
  </si>
  <si>
    <t xml:space="preserve">i6125_1p011m_g27_e001 </t>
  </si>
  <si>
    <t xml:space="preserve">Ilustração de 50 cubinhos do material dourado. Fazer de tamanho que o estudante consiga recortar e deixá-las espaçadas para que depois a diagramação insira o tracejado de recorte.  </t>
  </si>
  <si>
    <t xml:space="preserve">i6126_1p011m_g27_e001 </t>
  </si>
  <si>
    <t xml:space="preserve">Ilustração de 49 cubinhos e de 9 barras do material dourado. Fazer de tamanho que o estudante consiga recortar e deixá-las espaçadas para que depois a diagramação insira o tracejado de recorte. Fazer do mesmo tamanho da i6125_1p011m_g27_e001. </t>
  </si>
  <si>
    <t xml:space="preserve">i6127_1p011m_g27_e001 </t>
  </si>
  <si>
    <t xml:space="preserve">Ilustração de 15 selos promocionais de um mercado que ao trocá-las, ganhará um cartão da copa do mundo de futebol. Fazer de tamanho que o estudante consiga recortar e deixá-las espaçadas para que depois a diagramação insira o tracejado de recorte. Fazer na mesma linguagem da i1206_1p011m_g27_e001 do miolo. </t>
  </si>
  <si>
    <t xml:space="preserve">i6129_1p011m_g27_e001 </t>
  </si>
  <si>
    <t xml:space="preserve">Resgatar ilustração peças de dominó de números; g23_mdn_lt_1npm_p201; código antigo i3066sl_1npm_g23_mdn_aj </t>
  </si>
  <si>
    <t xml:space="preserve">i6130_1p011m_g27_e001 </t>
  </si>
  <si>
    <t xml:space="preserve">Resgatar e ajustar ilustração peças de dominó numérico; g23_mdn_lt_1npm_p203; código antigo i3067sl_1npm_g23_mdn_aj 
AJUSTE: girar a imagem 180° para que a imagem fique conforme a referência a seguir. </t>
  </si>
  <si>
    <t xml:space="preserve">i6144_1p011m_g27_e001 </t>
  </si>
  <si>
    <t xml:space="preserve">Ilustração de 15 fichas azuis com a forma de um quadrado no centro. As figuras geométricas no centro de cada cartão não devem ser brancas, colocar uma cor que dê bom contraste com o azul. Usar o padrão de ficha da i0179A_1p011m_g27_e001, porém avaliar se aqui é melhor deixar o canto quadrado por ser material que o estudante vai recortar e alterar cor e interior conforme descrição anterior. 
Fazer de tamanho que o estudante consiga recortar e deixá-las espaçadas para que depois a diagramação insira o tracejado de recorte. 
Fazer no mesmo padrão da i6128_1p011m_g27_e001. 
Essas fichas vão aparecer na ilustração i1217_1p011m do miolo. </t>
  </si>
  <si>
    <t>R:07/05 F:12/05</t>
  </si>
  <si>
    <t xml:space="preserve">i6128_1p011m_g27_e001 </t>
  </si>
  <si>
    <t xml:space="preserve">Ilustração de 5 fichas amarelas com a forma triângulo no centro e 5 fichas rosas com a forma círculo no centro. As figuras geométricas no centro de cada cartão não devem ser brancas, usar uma cor que dê bom contraste com o amarelo e com o rosa. Usar o padrão de ficha da i0179A_1p011m_g27_e001, porém avaliar se aqui é melhor deixar o canto quadrado por ser material que o estudante vai recortar e alterar cores e interior conforme descrição anterior. 
Fazer de tamanho que o estudante consiga recortar e deixá-las espaçadas para que depois a diagramação insira o tracejado de recorte. 
Fazer no mesmo padrão da i6144_1p011m_g27_e001. 
Essas fichas vão aparecer na ilustração i1217_1p011m do miolo. </t>
  </si>
  <si>
    <t xml:space="preserve">i6145_1p011m_g27_e001 </t>
  </si>
  <si>
    <t>Resgatar e ajustar ilustração de um dado comum, de 6 faces com pontos do g23_mdn_lt_1npm_p239; código antigo it2610_3pmm_g19_mdn. 
AJUSTE: ajustar faces do dado trocando os pontos por números de 1 a 6, conforme referência a seguir.</t>
  </si>
  <si>
    <t xml:space="preserve">i6140_1p011m_g27_e001 </t>
  </si>
  <si>
    <t xml:space="preserve">Ilustração de figuras geométricas planas sendo 2 círculos na cor roxa, 1 quadrado na cor azul claro, 2 retângulos mais grossos na cor cinza, 2 retângulos mais finos na cor azul escuro, 1 retângulo menor de largura na cor cinza. Fechar a página com essas figuras e deixar o tamanho dessas figuras proporcional a referência. </t>
  </si>
  <si>
    <t xml:space="preserve">i6141_1p011m_g27_e001 </t>
  </si>
  <si>
    <t xml:space="preserve">Ilustração de figuras geométricas planas sendo 6 círculos pequenos na cor amarela, 2 quadrados na cor laranja, 1 retângulo maior na cor vermelha, 2 retângulos menores na cor lilás, 2 triângulos pequenos na cor vermelha e 1 triângulo maior na cor rosa. Fechar a página com essas figuras e deixar o tamanho dessas figuras proporcional a referência. </t>
  </si>
  <si>
    <t xml:space="preserve">i6143_1p011m_g27_e001 </t>
  </si>
  <si>
    <t xml:space="preserve">Resgatar ilustração relógio com os ponteiros desmontados; g23_mdn_lt_1npm_p207; código antigo i2603zz_1pmm_g19_mdn </t>
  </si>
  <si>
    <t>i1217_1p011m_g27_e001</t>
  </si>
  <si>
    <t>Cena de 4 crianças de uniforme, sendo uma menina oriental, uma menina negra, um menino com
traços indígena e um menino mulato, em ambiente escolar, brincando de um jogo de fichas,
proposto nessa página, no estilo padrão da obra. Na ilustração terá crianças sentadas e, sobre 4
carteiras de sala de aula juntas, terá as mesmas fichas da i6144_1p011m_g27_e001 (da página 267,
material complementar) e da i6128_1p011m_g27_e001 (da página 268, material complementar) e o
mesmo dado já montado da i6145_1p011m_g27_e001 (da página 268, material complementar). Em
relação a disposição de elementos da mesa, no meio terá 3 pilhas de fichas, em que cada um será
um tipo de ficha, e que o estudante as retira dependendo do número que tira no dado, e na frente de
cada estudante terá as fichas que foram retiradas ou trocadas. Na frente de cada estudante, não
pode ter mais do que duas fichas do quadrado e do triângulo, e caso tenha, pode ter apenas uma
ficha de círculo. Fica a escolha do artista a quantidade de fichas que estará na frente de cada
estudante.
Arte: fazer na mesma linguagem das i6144_1p011m_g27_e001, i6128_1p011m_g27_e001 e
i6145_1p011m_g27_e001 do Material complementar.</t>
  </si>
  <si>
    <t xml:space="preserve">i6101_2p011m_g27_e001 </t>
  </si>
  <si>
    <t>O que você já sabe?</t>
  </si>
  <si>
    <t xml:space="preserve">Resgatar ilustração de um garoto com seu cachorro e seu gato, na página 6 do g23_mdn_lt_2npm_p006a009_o_que_vc_ja_sabe; código antigo i0209so_2npm_g23_mdn </t>
  </si>
  <si>
    <t xml:space="preserve">i6102_2p011m_g27_e001 </t>
  </si>
  <si>
    <t xml:space="preserve">Resgatar ilustração galões, na página 6 do g23_mdn_lt_2npm_p006a009_o_que_vc_ja_sabe 
i0210sl_2npm_g23_mdn_aj </t>
  </si>
  <si>
    <t>i6111_2p011m_g27_e001</t>
  </si>
  <si>
    <t>Resgatar ilustração de esquema, da página 8 do g23_mdn_lt_2npm_p006a009_o_que_vc_ja_sabe 
it0218ct_2npm_g23_mdn</t>
  </si>
  <si>
    <t xml:space="preserve">i6104_2p011m_g27_e001 </t>
  </si>
  <si>
    <t xml:space="preserve">Resgatar ilustração de figurinhas de ANA, na página 7 do g23_mdn_lt_2npm_p006a009_o_que_vc_ja_sabe; código antigo i0213rn_2npm_g23_mdn_aj </t>
  </si>
  <si>
    <t xml:space="preserve">i6105_2p011m_g27_e001 </t>
  </si>
  <si>
    <t>Resgatar ilustração de figurinhas de CAROL, na página 7 do g23_mdn_lt_2npm_p006a009_o_que_vc_ja_sabe; código antigo i2113rn_1npm_m20_mdn</t>
  </si>
  <si>
    <t xml:space="preserve">i6107_2p011m_g27_e001 </t>
  </si>
  <si>
    <t xml:space="preserve">Resgatar ilustração de PARALELEPÍPEDO, da página 8 do g23_mdn_lt_2npm_p006a009_o_que_vc_ja_sabe 
it0221sl_2npm_g23_mdn </t>
  </si>
  <si>
    <t xml:space="preserve">i6112_2p011m_g27_e001 </t>
  </si>
  <si>
    <t>O que você já aprendeu?</t>
  </si>
  <si>
    <t xml:space="preserve">Resgatar ilustração de diversas formas geométricas. Veio de: g23_mdn_lt_p211. Código antigo: it3706_2npm_g23_mdn_re </t>
  </si>
  <si>
    <t xml:space="preserve">i6115_2p011m_g27_e001 </t>
  </si>
  <si>
    <t>Resgatar imagem de um cartaz de promoção de um smartphone celular. Veio de: g23_mdn_lt_2npm_p212. Código antigo: i1047rn_2npm_m20_mdn</t>
  </si>
  <si>
    <t xml:space="preserve">i6113_2p011m_g27_e001 </t>
  </si>
  <si>
    <t>Resgatar ilustração de uma abelha com caminhos até a colmeia. Veio de: g23_mdn_lt_2npm_p213. Código antigo: i1923so_2npm_m20_mdn_ef.</t>
  </si>
  <si>
    <t xml:space="preserve">i1963_1p011m_g27_e001 </t>
  </si>
  <si>
    <t xml:space="preserve">Ilustração de 9 risquinhos, espaço e mais 5 risquinhos, conforme referência a seguir. 
Arte: os fios contorno, cotas e texto serão aplicados na diagramação. </t>
  </si>
  <si>
    <t>ib</t>
  </si>
  <si>
    <t xml:space="preserve">i1949_1p011m_g27_e001 </t>
  </si>
  <si>
    <t>ilustração do número 12 representado com material dourado do padrão de ilustrações, sendo uma barrinha e 2 cubinhos.</t>
  </si>
  <si>
    <t xml:space="preserve">i1950_1p011m_g27_e001 </t>
  </si>
  <si>
    <t xml:space="preserve">ilustração do número 6 representado com material dourado do padrão de ilustrações, sendo 6 cubinhos </t>
  </si>
  <si>
    <t>i1951_1p011m_g27_e001</t>
  </si>
  <si>
    <t>ilustração do número 18 representado com material dourado do padrão de ilustrações, sendo 1 barrinha e 8 cubinhos</t>
  </si>
  <si>
    <t xml:space="preserve">i1952_1p011m_g27_e001 </t>
  </si>
  <si>
    <t xml:space="preserve">Resgatar e ajustar ilustração do ábaco com o número 15 do g23_mdn_lt_1npm_p106 código antigo i1117zz_1pmm_g19_mdn 
AJUSTE: ajustar retirando 3 contas do ábaco para que represente o número 12 no ábaco. </t>
  </si>
  <si>
    <t xml:space="preserve">i1953_1p011m_g27_e001 </t>
  </si>
  <si>
    <t xml:space="preserve">Resgatar e ajustar ilustração do ábaco com o número 15 do g23_mdn_lt_1npm_p106 código antigo i1117zz_1pmm_g19_mdn 
AJUSTE: ajustar inserindo 2 contas do ábaco para que represente o número 17 no ábaco. </t>
  </si>
  <si>
    <t xml:space="preserve">i1966_1p011m_g27_e001 </t>
  </si>
  <si>
    <t>AJUSTANDO</t>
  </si>
  <si>
    <t xml:space="preserve">Ilustração de 14 cubos amarelos, 14 cubos vermelhos, 6 esferas vermelhas e 6 esferas amarelas. Essas figuras devem estar misturadas e todas as figuras geométricas espaciais da imagem devem estar visíveis para o estudante, fazer uma ao lado da outra. Todas devem ter fio tracejado. </t>
  </si>
  <si>
    <t xml:space="preserve">i1957_1p011m_g27_e001 </t>
  </si>
  <si>
    <t xml:space="preserve">ilustração das informações a seguir como se fosse a escrita estivesse à mão, em caixa alta alta, escritas em uma folha de papel. Ver referência a seguir. 
CAIXA DE LÁPIS DE COR 8 REAIS 
APONTADOR 3 REAIS 
TUBO DE COLA 4 REAIS CANETA 5 REAIS 
TESOURA 7 REAIS 
</t>
  </si>
  <si>
    <t>VINÍCIUS COSTA/ARQUIVO DA EDITORA</t>
  </si>
  <si>
    <t xml:space="preserve">i1964_1p011m_g27_e001 </t>
  </si>
  <si>
    <t>ilustração de 12 risquinhos lado a lado na cor preta.</t>
  </si>
  <si>
    <t xml:space="preserve">i1965_1p011m_g27_e001 </t>
  </si>
  <si>
    <t>ilustração dos mesmos 12 risquinhos lado a lado na cor preta da i1964_1p011m, agora com 7 delas cortadas por um fio preto.</t>
  </si>
  <si>
    <t xml:space="preserve">i1958_1p011m_g27_e001 </t>
  </si>
  <si>
    <t xml:space="preserve">Resgatar ilustração de ábaco do padrão com o número 15 representado do g23_mdn_lt_1npm_p106 código antigo i1117zz_1pmm_g19_mdn </t>
  </si>
  <si>
    <t xml:space="preserve">i1959_1p011m_g27_e001 </t>
  </si>
  <si>
    <t xml:space="preserve">Resgatar ilustração de ábaco do padrão com o número 11 representado do g23_mdn_lt_1npm_p106 código antigo i1029zz_1pmm_g19_mdn </t>
  </si>
  <si>
    <t xml:space="preserve">i1960_1p011m_g27_e001 </t>
  </si>
  <si>
    <t>Il. nova semelhante a apresentada. Porém, a professora deve ter 12 azulejos de altura e o menino, 7 azulejos, com os pés juntos, encostados na parede e com o corpo reto, como se estivessem medindo a altura. A professora deve ser negra e o menino, oriental.</t>
  </si>
  <si>
    <t>Foi pedido ajuste no rafe, e o ilustrador enviou novamente para a avaliação.  Equiep retornou o novo rafe avaliado em 16/05. Data da finalização mudou para 20/05</t>
  </si>
  <si>
    <t xml:space="preserve">i1947_1p011m_g27_e001 </t>
  </si>
  <si>
    <t xml:space="preserve">Ilustração de 6 crianças (3 meninos e 3 meninas de aproximadamente 8 ou 9 anos): um menino negro, um menino oriental, uma menina negra com cabelos cacheados, uma menina ruiva acima do peso, um menino loiro cadeirante e uma menina branca de cabelos pretos usando óculos. Essas crianças devem estar segurando uma faixa com a seguinte escrita: QUEREMOS UM MUNDO SEM BULLYING, sendo a palavra BULLYING em itálico. Deixar as crianças uniformizadas. </t>
  </si>
  <si>
    <t xml:space="preserve">i1948_1p011m_g27_e001 </t>
  </si>
  <si>
    <t>Compor cena com as 6 crianças, as mesmas da il. i1947_1p011m brincando no pátio escolar. Essas crianças dever estar uniformizadas (o mesmo uniforme da il. 1947). Na imagem compor palavras (como apresentado na referência). As palavras devem ser RESPEITO, AMOR, UNIÃO, AMIZADE E DIÁLOGO. Não fazer igual a referência. Utilizar as mesmas crianças da Il i1947</t>
  </si>
  <si>
    <t xml:space="preserve">g1961_1p011m_g27_e001 </t>
  </si>
  <si>
    <t xml:space="preserve">Ilustração de um gráfico de barras verticais para representar os dados do quadro a seguir. 
Usar como base a ilustração com código antigo gt1230_1pmm_g19_mdn </t>
  </si>
  <si>
    <t xml:space="preserve">i1904_3p011m_g27_e001 </t>
  </si>
  <si>
    <t xml:space="preserve">resgatar il da terra em volta do sol veio do g23_mdn_lt_3npm_p204 código antigo i2018rn_3pmm_g19_mdn </t>
  </si>
  <si>
    <t xml:space="preserve">i1905_3p011m_g27_e001 </t>
  </si>
  <si>
    <t xml:space="preserve">Il do calendário padrão completo de 2027. </t>
  </si>
  <si>
    <t>Ellen Jacob</t>
  </si>
  <si>
    <t xml:space="preserve">i1906_3p011m_g27_e001 </t>
  </si>
  <si>
    <t xml:space="preserve">Resgatar ilustração de sol e terra veio do g23_mdn_lt_3npm_p208 código antigo i2024rn_3pmm_g19_mdn </t>
  </si>
  <si>
    <t xml:space="preserve">i1907_3p011m_g27_e001 </t>
  </si>
  <si>
    <t xml:space="preserve">resgatar il de relógio marcando 8 horas e 30 min veio do g23_mdn_lt_3npm_p210 codigo antigo i3840zz_3npm_g23_mdn_aj </t>
  </si>
  <si>
    <t xml:space="preserve">i1908_3p011m_g27_e001 </t>
  </si>
  <si>
    <t xml:space="preserve">resgatar il de relógio digital marcando 5 horas e 9 min veio do g23_mdn_lt_3npm_p210 codigo antigo i2026_3pmm_g19_mdn </t>
  </si>
  <si>
    <t xml:space="preserve">i1909_3p011m_g27_e001 </t>
  </si>
  <si>
    <t xml:space="preserve">resgatar il de relógio digital marcando 3 horas e meia veio do g23_mdn_lt_3npm_p210 código antigo i2027_3pmm_g19_mdn </t>
  </si>
  <si>
    <t xml:space="preserve">i1910_3p011m_g27_e001 </t>
  </si>
  <si>
    <t xml:space="preserve">resgatar il de relógio marcando 3 horas e meia em cor resposta veio do g23_mdn_lt_3npm_p210 código antigo i3841zz_3npm_g23_mdn_aj 
AJUSTE: retirar os ponteiros em cor resposta. </t>
  </si>
  <si>
    <t xml:space="preserve">i1911_3p011m_g27_e001 </t>
  </si>
  <si>
    <t xml:space="preserve">resgatar il de relógio digital marcando 7 horas veio do g23_mdn_lt_3npm_p210 código antigo i2029_3pmm_g19_mdn </t>
  </si>
  <si>
    <t xml:space="preserve">i1913_3p011m_g27_e001 </t>
  </si>
  <si>
    <t xml:space="preserve">Resgatar il de relógio digital marcando 4 horas e meia veio do g23_mdn_lt_3npm_p210 código antigo i2031_3pmm_g19_mdn </t>
  </si>
  <si>
    <t xml:space="preserve">i1915_3p011m_g27_e001 </t>
  </si>
  <si>
    <t xml:space="preserve">Resgatar il de relógio marcando 4 horas e 40 min veio do g23_mdn_lt_3npm_p210 código antigo i3817zz_3npm_g23_mdn_aj 
AJUSTE: retirar tudo que for em cor resposta. </t>
  </si>
  <si>
    <t xml:space="preserve">i1916_3p011m_g27_e001 </t>
  </si>
  <si>
    <t>resgatar il de sequência de relógios veio do g23_mdn_lt_3npm_p211 código antigo i3844zz_3npm_g23_mdn_aj 
AJUSTE: retirar as setas e separar em códigos a, b, c, d</t>
  </si>
  <si>
    <t>ROGÉRIO CASAGANDE/ARQUIVO DA EDITORA</t>
  </si>
  <si>
    <t xml:space="preserve">i1919_3p011m_g27_e001 </t>
  </si>
  <si>
    <t>resgatar cena de duas pessoas vendo as horas veio do g23_mdn_lt_3npm_p212 código antigo i2036gn_3pmm_g19_mdn</t>
  </si>
  <si>
    <t xml:space="preserve">i1920_3p011m_g27_e001 </t>
  </si>
  <si>
    <t xml:space="preserve">Resgatar il de relógio marcando 11 horas e 45 min veio do g23_mdn_lt_3npm_p212 código antigo i3848zz_3npm_g23_mdn_aj </t>
  </si>
  <si>
    <t xml:space="preserve">i1921_3p011m_g27_e001 </t>
  </si>
  <si>
    <t xml:space="preserve">resgatar il de relógio marcando 7 horas e 50 min veio do g23_mdn_lt_3npm_p212 código antigo i3849zz_3npm_g23_mdn_aj </t>
  </si>
  <si>
    <t xml:space="preserve">i1922_3p011m_g27_e001 </t>
  </si>
  <si>
    <t xml:space="preserve">Resgatar il de menino na sala de aula veio do g23_mdn_lt_3npm_p212 código antigo i2039gn_3pmm_g19_mdn </t>
  </si>
  <si>
    <t xml:space="preserve">i1923_3p011m_g27_e001 </t>
  </si>
  <si>
    <t xml:space="preserve">Resgatar il de mulher na padaria veio do g23_mdn_lt_3npm_p213 código antigo i3865ci_3npm_g23_mdn_aj </t>
  </si>
  <si>
    <t xml:space="preserve">i1924_3p011m_g27_e001 </t>
  </si>
  <si>
    <t xml:space="preserve">Resgatar il de menina andando de bicicleta veio do g23_mdn_lt_3npm_p213 código antigo i2041ci_3pmm_g19_mdn 
AJUSTE: separar as duas ils, 1924a e 1924b </t>
  </si>
  <si>
    <t xml:space="preserve">i1925_3p011m_g27_e001 </t>
  </si>
  <si>
    <t xml:space="preserve">Resgatar il de relógio marcando 7 e 35 veio do g23_mdn_lt_3npm_p213 código antigo i1829zz_3pmm_g19_mdn </t>
  </si>
  <si>
    <t xml:space="preserve">i1926_3p011m_g27_e001 </t>
  </si>
  <si>
    <t xml:space="preserve">Resgatar il de relógio marcando 7 e 50 veio do g23_mdn_lt_3npm_p213 código antigo i1829zz_3pmm_g19_mdn </t>
  </si>
  <si>
    <t xml:space="preserve">i1927_3p011m_g27_e001 </t>
  </si>
  <si>
    <t xml:space="preserve">Resgatar il de relógio marcando 8 e 50 min veio do g23_mdn_lt_3npm_p213 código antigo i3850zz_3npm_g23_mdn_aj </t>
  </si>
  <si>
    <t xml:space="preserve">i1928_3p011m_g27_e001 </t>
  </si>
  <si>
    <t xml:space="preserve">Regatar il de relógio marcando 9 e 48 min veio do g23_mdn_lt_3npm_p213 código antigo i3870zz_3npm_g23_mdn_aj </t>
  </si>
  <si>
    <t xml:space="preserve">i1931_3p011m_g27_e001 </t>
  </si>
  <si>
    <t xml:space="preserve">Resgatar il de relógio marcando 10 horas veio do g23_mdn_lt_3npm_p214 código antigo i3852zz_3npm_g23_mdn_aj 
AJUSTE: RETIRAR PARTE ROSA DO RELÓGIO </t>
  </si>
  <si>
    <t xml:space="preserve">i1932_3p011m_g27_e001 </t>
  </si>
  <si>
    <t xml:space="preserve">Resgatar il de relógio marcando horas de 1 a 12 e de 13 a 24 veio do g23_mdn_lt_3npm_p214 código antigo i2050_3pmm_g19_mdn </t>
  </si>
  <si>
    <t xml:space="preserve">Resgatar il de relógio marcando 2 horas veio do g23_mdn_lt_3npm_p214 código antigo i3854zz_3npm_g23_mdn_aj </t>
  </si>
  <si>
    <t xml:space="preserve">i1933_3p011m_g27_e001 </t>
  </si>
  <si>
    <t xml:space="preserve">Resgatar il de relógio marcando 9 horas veio do g23_mdn_lt_3npm_p214 código antigo i3855zz_3npm_g23_mdn_aj </t>
  </si>
  <si>
    <t xml:space="preserve">i1934_3p011m_g27_e001 </t>
  </si>
  <si>
    <t xml:space="preserve">i1935_3p011m_g27_e001 </t>
  </si>
  <si>
    <t xml:space="preserve">Resgatar il de relógio marcando 1 hora veio do g23_mdn_lt_3npm_p215 código antigo i3856zz_3npm_g23_mdn_aj </t>
  </si>
  <si>
    <t>i1936_3p011m_g27_e001</t>
  </si>
  <si>
    <t xml:space="preserve">resgatar relógio digital marcando 1 hora em cor resposta veio do g23_mdn_lt_3npm_p215 código antigo i2057_3pmm_g19_mdn 
AJUSTE: retirar tudo que for em cor resposta. </t>
  </si>
  <si>
    <t xml:space="preserve">i1937_3p011m_g27_e001 </t>
  </si>
  <si>
    <t xml:space="preserve">resgatar il de relógio marcando 4 horas veio do g23_mdn_lt_3npm_p215 codigo antigo i3857zz_3npm_g23_mdn_aj </t>
  </si>
  <si>
    <t xml:space="preserve">i1939_3p011m_g27_e001 </t>
  </si>
  <si>
    <t xml:space="preserve">resgatar il de relógio marcando 11 horas veio do g23_mdn_lt_3npm_p215 codigo antigo i3858zz_3npm_g23_mdn_aj </t>
  </si>
  <si>
    <t xml:space="preserve">i1941_3p011m_g27_e001 </t>
  </si>
  <si>
    <t>compor cena com as 6 crianças, as mesmas da il. i1947_1p011m brincando no pátio escolar. Essas crianças dever estar uniformizadas (o mesmo uniforme da il. 1947). Na imagem compor palavras (como apresentado na referência). As palavras devem ser RESPEITO, A</t>
  </si>
  <si>
    <t xml:space="preserve">i1943_3p011m_g27_e001 </t>
  </si>
  <si>
    <t xml:space="preserve">resgatar il de relógio marcando 3 horas veio do g23_mdn_lt_3npm_p215 codigo antigo i3860zz_3npm_g23_mdn_aj </t>
  </si>
  <si>
    <t xml:space="preserve">i1945_3p011m_g27_e001 </t>
  </si>
  <si>
    <t xml:space="preserve">resgatar il de relógio marcando 8 horas veio do g23_mdn_lt_3npm_p215 codigo antigo i3861zz_3npm_g23_mdn_aj </t>
  </si>
  <si>
    <t xml:space="preserve">i1947_3p011m_g27_e001 </t>
  </si>
  <si>
    <t xml:space="preserve">resgatar il de relógio marcando 7 horas veio do g23_mdn_lt_3npm_p215 codigo antigo i3862zz_3npm_g23_mdn_aj </t>
  </si>
  <si>
    <t xml:space="preserve">i1949_3p011m_g27_e001 </t>
  </si>
  <si>
    <t xml:space="preserve">resgatar il de relógio marcando 11 horas veio do g23_mdn_lt_3npm_p215 codigo antigo i3863zz_3npm_g23_mdn_aj </t>
  </si>
  <si>
    <t xml:space="preserve">i1951_3p011m_g27_e001 </t>
  </si>
  <si>
    <t xml:space="preserve">Resgatar il de menino colocando água numa garrafa veio do g23_mdn_lt_3npm_p216 código antigo i2001so_3pmm_g19_mdn_ef 
AJUSTE: Ajustar ilustração para não sangrar, ficar ajustada ao grid </t>
  </si>
  <si>
    <t xml:space="preserve">i1952_3p011m_g27_e001 </t>
  </si>
  <si>
    <t xml:space="preserve">Resgatar il de menino observando jarra e garrafa veio do g23_mdn_lt_3npm_p216 código antigo i2002so_3pmm_g19_mdn </t>
  </si>
  <si>
    <t xml:space="preserve">i1953_3p011m_g27_e001 </t>
  </si>
  <si>
    <t xml:space="preserve">Resgatar ilustrações de menino em 2 situações veio do g23_mdn_lt_3npm_p216 código antigo i2003so_3pmm_g19_mdn 
AJUSTE: dividir as ils em dois códigos A e B </t>
  </si>
  <si>
    <t>i1954_3p011m_g27_e001</t>
  </si>
  <si>
    <t xml:space="preserve">Resgatar il de 4 recipientes em uma mesa veio do g23_mdn_lt_3npm_p217 código antigo i2005ri_3pmm_g19_mdn </t>
  </si>
  <si>
    <t xml:space="preserve">i1955_3p011m_g27_e001 </t>
  </si>
  <si>
    <t xml:space="preserve">Resgatar il de 3 recipientes veio do g23_mdn_lt_3npm_p217 código antigo i2006ri_3pmm_g19_mdn </t>
  </si>
  <si>
    <t xml:space="preserve">i1956_3p011m_g27_e001 </t>
  </si>
  <si>
    <t xml:space="preserve">Resgatar il de pai e filha num mercado veio do g23_mdn_lt_3npm_p218 código antigo i6204ci_3m4sem_m20_stl_aj </t>
  </si>
  <si>
    <t xml:space="preserve">i1957_3p011m_g27_e001 </t>
  </si>
  <si>
    <t>Resgatar il de recipiente com 500 ml veio do g23_mdn_lt_3npm_p219 código antigo i2008_3pmm_g19_mdn
AJUSTE: Trocar a letra "L" cursiva para "L" bastão em caixa alta alta.</t>
  </si>
  <si>
    <t>RESGATE AJUSTE</t>
  </si>
  <si>
    <t xml:space="preserve">i1958_3p011m_g27_e001 </t>
  </si>
  <si>
    <t>Resgatar il de recipiente com 600 ml veio do g23_mdn_lt_3npm_p219 código antigo i2009_3pmm_g19_mdn
AJUSTE: Trocar a letra "L" cursiva para "L" bastão em caixa alta alta.</t>
  </si>
  <si>
    <t xml:space="preserve">i1959_3p011m_g27_e001 </t>
  </si>
  <si>
    <t>Resgatar il de recipiente com 200 ml veio do g23_mdn_lt_3npm_p219 código antigo i2010_3pmm_g19_mdn
AJUSTE: Trocar a letra "L" cursiva para "L" bastão em caixa alta alta.</t>
  </si>
  <si>
    <t xml:space="preserve">i1960_3p011m_g27_e001 </t>
  </si>
  <si>
    <t>Resgatar il de recipiente com 450 ml veio do g23_mdn_lt_3npm_p219 código antigo i2011_3pmm_g19_mdn
AJUSTE: Trocar a letra "L" cursiva para "L" bastão em caixa alta alta.</t>
  </si>
  <si>
    <t xml:space="preserve">i1963_3p011m_g27_e001 </t>
  </si>
  <si>
    <t xml:space="preserve">Resgatar il de homem falando veio do g23_mdn_lt_3npm_p220 código antigo i2014cz_3pmm_g19_mdn </t>
  </si>
  <si>
    <t xml:space="preserve">i1965_3p011m_g27_e001 </t>
  </si>
  <si>
    <t xml:space="preserve">Resgatar il de relógio marcando 1:35:20 veio do g23_mdn_lt_3npm_p220 código antigo i1831zz_3pmm_g19_mdn </t>
  </si>
  <si>
    <t xml:space="preserve">i1966_3p011m_g27_e001 </t>
  </si>
  <si>
    <t xml:space="preserve">
Resgatar il de régua veio do g23_mdn_lt_3npm_p220 código antigo i1832_3pmm_g19_mdn </t>
  </si>
  <si>
    <t xml:space="preserve">i1967_3p011m_g27_e001 </t>
  </si>
  <si>
    <t xml:space="preserve">Resgatar il de calendário veio do g23_mdn_lt_3npm_p220 código antigo i3819zz_3npm_g23_mdn 
AJUSTE: atualizar mês e ano para 2027. </t>
  </si>
  <si>
    <t xml:space="preserve">i1968_3p011m_g27_e001 </t>
  </si>
  <si>
    <t xml:space="preserve">Resgatar il de trena veio do g23_mdn_lt_3npm_p220 código antigo i1834_3pmm_g19_mdn </t>
  </si>
  <si>
    <t xml:space="preserve">i1969_3p011m_g27_e001 </t>
  </si>
  <si>
    <t xml:space="preserve">Resgatar il de recipiente veio do g23_mdn_lt_3npm_p220 código antigo i1835zz_3pmm_g19_mdn </t>
  </si>
  <si>
    <t xml:space="preserve">i1970_3p011m_g27_e001 </t>
  </si>
  <si>
    <t>Resgatar il de relógio veio do g23_mdn_lt_3npm_p220 código antigo i3853zz_3npm_g23_mdn_aj</t>
  </si>
  <si>
    <t xml:space="preserve">i1971_3p011m_g27_e001 </t>
  </si>
  <si>
    <t xml:space="preserve">Resgatar ilustração bolinhas vermelhas, verdes, azuis e pretas; g23_mdn_lt_3npm_p203; código antigo i3412sl_3npm_g23_mdn </t>
  </si>
  <si>
    <t xml:space="preserve">i1973_3p011m_g27_e001 </t>
  </si>
  <si>
    <t xml:space="preserve">Resgatar il de 5 recipientes em uma mesa veio do g23_mdn_lt_3npm_p221 código antigo i2185zz_3npm_m20_mdn </t>
  </si>
  <si>
    <t xml:space="preserve">i0116_4p011m_g27_e001 </t>
  </si>
  <si>
    <t xml:space="preserve">Resgatar ilustração material dourado, cubinho, 1 unidade; g23_mdn_lt_4npm_p12; código antigo i0201zz_4pmm_g19_mdn </t>
  </si>
  <si>
    <t xml:space="preserve">i0117_4p011m_g27_e001 </t>
  </si>
  <si>
    <t xml:space="preserve">Resgatar ilustração material dourado, barra, 1 dezena; g23_mdn_lt_4npm_p12; código antigo i0202zz_4pmm_g19_mdn </t>
  </si>
  <si>
    <t xml:space="preserve">i0118_4p011m_g27_e001 </t>
  </si>
  <si>
    <t xml:space="preserve">Resgatar ilustração material dourado, placa, 1 centena; g23_mdn_lt_4npm_p12; código antigo i0203zz_4pmm_g19_mdn </t>
  </si>
  <si>
    <t xml:space="preserve">i0119_4p011m_g27_e001 </t>
  </si>
  <si>
    <t xml:space="preserve">Resgatar ilustração material dourado, cubo, 1 milhar; g23_mdn_lt_4npm_p12; código antigo i0204zz_4pmm_g19_mdn </t>
  </si>
  <si>
    <t xml:space="preserve">i0120_4p011m_g27_e001 </t>
  </si>
  <si>
    <t xml:space="preserve">Resgatar ilustração material dourado, cubo, 1 milhar; g23_mdn_lt_4npm_p12; código antigo i0205zz_4pmm_g19_mdn </t>
  </si>
  <si>
    <t xml:space="preserve">i0121_4p011m_g27_e001 </t>
  </si>
  <si>
    <t xml:space="preserve">Resgatar ilustração material dourado, 2 placas, 2 dezenas; g23_mdn_lt_4npm_p12; código antigo i0206zz_4pmm_g19_mdn </t>
  </si>
  <si>
    <t xml:space="preserve">i0122_4p011m_g27_e001 </t>
  </si>
  <si>
    <t xml:space="preserve">Resgatar ilustração material dourado, 3 barras, 3 dezenas; g23_mdn_lt_4npm_p12; código antigo i0207zz_4pmm_g19_mdn </t>
  </si>
  <si>
    <t xml:space="preserve">i0123_4p011m_g27_e001 </t>
  </si>
  <si>
    <t xml:space="preserve">Resgatar ilustração material dourado, 6 cubinhos, 6 unidades; g23_mdn_lt_4npm_p12; código antigo i0208zz_4pmm_g19_mdn </t>
  </si>
  <si>
    <t xml:space="preserve">i0125_4p011m_g27_e001 </t>
  </si>
  <si>
    <t xml:space="preserve">Resgatar ilustração material dourado, cubo, 1 milhar; g23_mdn_lt_4npm_p13; código antigo i0242rn_4pmm_g19_mdn </t>
  </si>
  <si>
    <t xml:space="preserve">i0126_4p011m_g27_e001 </t>
  </si>
  <si>
    <t xml:space="preserve">Resgatar ilustração material dourado, 2 placas, 2 centenas; g23_mdn_lt_4npm_p13; código antigo i0243rn_4pmm_g19_mdn </t>
  </si>
  <si>
    <t xml:space="preserve">i0127_4p011m_g27_e001 </t>
  </si>
  <si>
    <t xml:space="preserve">Resgatar ilustração material dourado, 8 barras, 8 dezenas; g23_mdn_lt_4npm_p13; código antigo i0244rn_4pmm_g19_mdn </t>
  </si>
  <si>
    <t xml:space="preserve">i0128_4p011m_g27_e001 </t>
  </si>
  <si>
    <t xml:space="preserve">Resgatar ilustração material dourado, cubinho, 1 unidade; g23_mdn_lt_4npm_p13; código antigo i0245rn_4pmm_g19_mdn </t>
  </si>
  <si>
    <t xml:space="preserve">i0129_4p011m_g27_e001 </t>
  </si>
  <si>
    <t xml:space="preserve">Resgatar ilustração material dourado, cubo, 1 milhar; g23_mdn_lt_4npm_p13; código antigo i0246rn_4pmm_g19_mdn </t>
  </si>
  <si>
    <t xml:space="preserve">i0130_4p011m_g27_e001 </t>
  </si>
  <si>
    <t xml:space="preserve">Resgatar ilustração material dourado, 9 barras, 9 dezenas; g23_mdn_lt_4npm_p13; código antigo i0247rn_4pmm_g19_mdn </t>
  </si>
  <si>
    <t xml:space="preserve">i0131_4p011m_g27_e001 </t>
  </si>
  <si>
    <t xml:space="preserve">Resgatar ilustração material dourado, cubinho, 1 unidade; g23_mdn_lt_4npm_p13; código antigo i0248rn_4pmm_g19_mdn </t>
  </si>
  <si>
    <t xml:space="preserve">i0133_4p011m_g27_e001 </t>
  </si>
  <si>
    <t>Resgatar ilustração ábaco 1961; g23_mdn_lt_4npm_p14; código antigo i0220zz_4pmm_g19_mdn</t>
  </si>
  <si>
    <t xml:space="preserve">i0135_4p011m_g27_e001 </t>
  </si>
  <si>
    <t>Resgatar ilustração ábaco 1969; g23_mdn_lt_4npm_p14; código antigo i0221zz_4pmm_g19_mdn</t>
  </si>
  <si>
    <t xml:space="preserve">i0137_4p011m_g27_e001 </t>
  </si>
  <si>
    <t xml:space="preserve">Resgatar ilustração homem; g23_mdn_lt_4npm_p16; código antigo i0255gn_4pmm_g19_mdn </t>
  </si>
  <si>
    <t xml:space="preserve">i0138_4p011m_g27_e001 </t>
  </si>
  <si>
    <t xml:space="preserve">Resgatar ilustração mulher; g23_mdn_lt_4npm_p16; código antigo i0256gn_4pmm_g19_mdn </t>
  </si>
  <si>
    <t xml:space="preserve">i0140_4p011m_g27_e001 </t>
  </si>
  <si>
    <t xml:space="preserve">Resgatar ilustração ábaco 88321; g23_mdn_lt_4npm_p17; código antigo i0216zz_4npm_g23_mdn_aj 
AJUSTE: retirar tudo que estiver em cor resposta. </t>
  </si>
  <si>
    <t xml:space="preserve">i0143_4p011m_g27_e001 </t>
  </si>
  <si>
    <t>Resgatar ilustração menino observando a lousa; g23_mdn_lt_4npm_p19; código antigo i0258so_4pmm_g19_mdn 
AJUSTE: Não deixar o texto da lousa falhado. Além disso, deixar o texto em letra manuscrita em caixa alta baixa.</t>
  </si>
  <si>
    <t xml:space="preserve">i0144_4p011m_g27_e001 </t>
  </si>
  <si>
    <t>Resgatar ilustração estudantes discutem sentados em suas carteiras observando a lousa; g23_mdn_lt_4npm_p20; código antigo i0253so_4pmm_g19_mdn 
AJUSTE: Ajustar a imagem para que o texto da lousa fique totalmente em branco para facilitar a leitura e deixar números em fonte manuscrita.</t>
  </si>
  <si>
    <t xml:space="preserve">i0145_4p011m_g27_e001 </t>
  </si>
  <si>
    <t xml:space="preserve">Resgatar ilustração de pontuação de futebol, voleibol e basquetebol. Veio de: g23_mdn_lt_4npm_p065. Código antigo: gt0805_4pmm_g19_mdn  </t>
  </si>
  <si>
    <t xml:space="preserve">g0146_4p011m_g27_e001 </t>
  </si>
  <si>
    <t xml:space="preserve">Resgatar gráfico de valores gastos e arrecadados. Veio de: g23_mdn_lt_4npm_p67 Código antigo: gt0806_4pmm_g19_mdn  </t>
  </si>
  <si>
    <t>ajuste de arte</t>
  </si>
  <si>
    <t xml:space="preserve">g0147_4p011m_g27_e001 </t>
  </si>
  <si>
    <t>Resgatar gráfico de tempo por nome. Veio de: g23_mdn_lt_4npm_p068. Código antigo: gt0807_4pmm_g19_mdn </t>
  </si>
  <si>
    <t xml:space="preserve">g0148_4p011m_g27_e001 </t>
  </si>
  <si>
    <t>Resgatar ilustração de um gráfico de barras tempo por nome. Veio de: g23_mdn_lt_4npm_p068. Código antigo: i1405ri_4npm_g23_mdn_aj </t>
  </si>
  <si>
    <t xml:space="preserve">i0149_4p011m_g27_e001 </t>
  </si>
  <si>
    <t xml:space="preserve">Resgatar ilustração de um monitor com uma planilha aberta. Veio de: g23_mdn_lt_4npm_p070. Código antigo: i0816_4pmm_g19_mdn  </t>
  </si>
  <si>
    <t xml:space="preserve">i0150_4p011m_g27_e001 </t>
  </si>
  <si>
    <t xml:space="preserve">Resgatar gráfico de um monitor com uma planilha e um gráfico abertos. Veio de: g23_mdn_lt_4npm_p070. Código antigo: gt1407ri_4npm_g23_mdn_aj  
AJUSTE: ajustar ano para 2027 </t>
  </si>
  <si>
    <t xml:space="preserve">i0151_4p011m_g27_e001 </t>
  </si>
  <si>
    <t xml:space="preserve">Resgatar ilustração de 10 triângulos. Veio de: g23_mdn_lt_4npm_p074. Código antigo: i0814_4pmm_g19_mdn  </t>
  </si>
  <si>
    <t xml:space="preserve">i0161_4p011m_g27_e001 </t>
  </si>
  <si>
    <t xml:space="preserve">Resgatar ilustração de uma tabela sobre esportes e um gráfico construído com dados da tabela. Veio de: g23_mdn_lt_4npm_p071. Código antigo: i1408ca_4npm_g23_mdn_aj  
AJUSTE: atualizar o ano pra 2027 </t>
  </si>
  <si>
    <t xml:space="preserve">i0155_4p011m_g27_e001 </t>
  </si>
  <si>
    <t>Resgatar ilustração reta numérica 8000 a 9000; g23_mdn_lt_4npm_p22; código antigo it0259_4pmm_g19_mdn</t>
  </si>
  <si>
    <t xml:space="preserve">i0160_4p011m_g27_e001 </t>
  </si>
  <si>
    <t xml:space="preserve">Resgatar ábaco 1563; g23_mdn_lt_4npm_p25; código antigo i2474zz_4npm_m20_mdn 
AJUSTE: retirar tudo que estiver em cor resposta. </t>
  </si>
  <si>
    <t xml:space="preserve">i0537_3p011m_g27_e001 </t>
  </si>
  <si>
    <t xml:space="preserve">Resgatar ilustração de professora em sala de aula com alguns objetos que se parecem com figuras geométricas espaciais, da página 40 do g23_mdn_lt_3npm_p038a047_u2. Código antigo i0611so_3npm_g23_mdn_aj 
AJUSTE: Usar apenas a parte da imagem que aparece a professora e juntar os objetos do grupo A e B em apenas uma mesa conforme indicado na leitura prévia da Arte, porém tirar a criança e carteira dessa cena e completar o pé da mesa, conforme referência a seguir.  </t>
  </si>
  <si>
    <t xml:space="preserve">i0538_3p011m_g27_e001 </t>
  </si>
  <si>
    <t xml:space="preserve">Resgatar ilustração de professora em sala de aula com alguns objetos que se parecem com figuras geométricas espaciais, da página 40 do g23_mdn_lt_3npm_p038a047_u2. Código antigo i0611so_3npm_g23_mdn_aj 
AJUSTE: Resgatar apenas a parte que aparece o Hélio com os objetos sobre sua carteira e ampliar horizontalmente para ocupar bem a mancha. Com isso, distribuir melhor os objetos sobre a mesa para que os estudantes os contornem. </t>
  </si>
  <si>
    <t xml:space="preserve">i0539_3p011m_g27_e001 </t>
  </si>
  <si>
    <t>Resgatar Ilustração de montagem de uma pirâmide, da página 45 do g23_mdn_lt_3npm_p038a047_u2. Código antigo i0430zz_3pmm_g19_mdn 
AJUSTE: Excluir as etapas de montagem, deixar apenas a pirâmide montada com as cotas, conforme referência a seguir.</t>
  </si>
  <si>
    <t xml:space="preserve">i0540_3p011m_g27_e001 </t>
  </si>
  <si>
    <t xml:space="preserve">Resgatar Ilustração de um cubo do g27_lt, código i0305_3p011m_g27_e001. </t>
  </si>
  <si>
    <t xml:space="preserve">i0541_3p011m_g27_e001 </t>
  </si>
  <si>
    <t xml:space="preserve">Resgatar Ilustração do cone do g27_lt, código 
i0307_3p011m_g27_e001. </t>
  </si>
  <si>
    <t xml:space="preserve">i0542_3p011m_g27_e001 </t>
  </si>
  <si>
    <t xml:space="preserve">i0543_3p011m_g27_e001 </t>
  </si>
  <si>
    <t xml:space="preserve">Resgatar planficação do cone do g27_lt, código i0329_3p011m_g27_e001. </t>
  </si>
  <si>
    <t xml:space="preserve">i0544_3p011m_g27_e001 </t>
  </si>
  <si>
    <t xml:space="preserve">Ilustração da planificação de uma pirâmide de base quadrada na cor azul, no mesmo padrão das i0329_3p011m_g27_e001 e i0330_3p011m_g27_e001. </t>
  </si>
  <si>
    <t xml:space="preserve">i0545_3p011m_g27_e001 </t>
  </si>
  <si>
    <t xml:space="preserve">Resgatar planificação do cilindro do g27_lt, código i0330_3p011m_g27_e001. </t>
  </si>
  <si>
    <t>i0302_2p011m_g27_e001</t>
  </si>
  <si>
    <t xml:space="preserve">Resgatar ilustração de um menino na sala de aula olhando para o quadro desenhado. Veio do: g23_mdn_lt_2npm_p146. Código antigo: i2604_2npm_g23_mdn_re 
Ajustar a imagem para não haver sangra e separar em duas para se adequar ao digital. (ver imagem da leitura prévia)
</t>
  </si>
  <si>
    <t>i0303_2p011m_g27_e001</t>
  </si>
  <si>
    <t>Resgatar ilustração de crianças brincando em sala de aula. Veio do: g23_mdn_lt_2npm_p147. Código antigo: i2604_2npm_g23_mdn_re. Ajuste: a ilustração não pode haver sangra e separar em duas para se adequar ao digital. (ver imagem da leitura prévia).</t>
  </si>
  <si>
    <t>i0319_2p011m_g27_e001</t>
  </si>
  <si>
    <t>Ilustração da representação de parte de um sítio como se tivesse sido feito a mão, conforme referência (porém adicionar elementos ilustrativos para representar os elementos do desenho). Nessa representação deve ter: RESERVA LEGAL, PASTO, GALINHEIRO, GALPÃO, HORTA, POMAR, CASA E PLANTAÇÃO). Esses elementos devem estar indicados com seus respectivos nomes em caixa alta, conforme ref.</t>
  </si>
  <si>
    <t>la</t>
  </si>
  <si>
    <t>R:08/05 F:12/05</t>
  </si>
  <si>
    <t>i0320_2p011m_g27_e001</t>
  </si>
  <si>
    <t>Ilustração do quarto de um menino que contenha os objetos como bola, skate, patins, foguete, urso. Código antigo: i2220ds_3npm_g23_mdn</t>
  </si>
  <si>
    <t>ds</t>
  </si>
  <si>
    <t>i0321_2p011m_g27_e001</t>
  </si>
  <si>
    <t xml:space="preserve">Resgatar ilustração de um esquema como se fosse um mapa de alguns quarteirões de um bairro visto de cima. 
Ajuste: cropar a imagem conforme a referencia e ajustar o caminho conforme referência a seguir mas esse caminho deve aparecer para o estudante em azul ou qualquer outra cor que não atrapalhe a leitura.
não compor as cotas, serão colocadas na diag
veio do 2npm_m20_mdn_un7_pg58 Código antigo: i1426sl_2npm_m20_mdn.eps
</t>
  </si>
  <si>
    <t>i0433_1p011m_g27_e001</t>
  </si>
  <si>
    <t>il. de uma moça pintando um quadro com um cisne na etapa 5 (desenho incompleto). 
Resgatar i0675so_1npm_g23_mdn_re</t>
  </si>
  <si>
    <t>i0434_1p011m_g27_e001</t>
  </si>
  <si>
    <t xml:space="preserve">il. de uma moça pintando um quadro com um cisne na etapa 4 (desenho incompleto).
Resgatar i0678so_1npm_g23_mdn_re
</t>
  </si>
  <si>
    <t>i0435_1p011m_g27_e001</t>
  </si>
  <si>
    <t xml:space="preserve">il. de uma moça pintando um quadro com um cisne na etapa 3(desenho incompleto).
Resgatar i0676so_1npm_g23_mdn_re
</t>
  </si>
  <si>
    <t>i0436_1p011m_g27_e001</t>
  </si>
  <si>
    <t>il. de uma moça pintando um quadro com um cisne na etapa 1 (nada pintado ainda). Resgatar i0679so_1npm_g23_mdn_re</t>
  </si>
  <si>
    <t>i0437_1p011m_g27_e001</t>
  </si>
  <si>
    <t xml:space="preserve">il. de uma moça pintando um quadro com um cisne na etapa 6 (desenho completo).
Resgatar i0677so_1npm_g23_mdn_re
</t>
  </si>
  <si>
    <t>i0438_1p011m_g27_e001</t>
  </si>
  <si>
    <t xml:space="preserve">il. de uma moça pintando um quadro com um cisne na etapa 2 (desenho incompleto).
Resgatar i0680so_1npm_g23_mdn_re
</t>
  </si>
  <si>
    <t xml:space="preserve">i0503_4p011m_g27_e001 </t>
  </si>
  <si>
    <t xml:space="preserve">Resgatar ilustração do ábaco do g23_mdn_lt_4npm_p30 código antigo i0403rn_4pmm_g19_mdn </t>
  </si>
  <si>
    <t xml:space="preserve">i0504_4p011m_g27_e001 </t>
  </si>
  <si>
    <t xml:space="preserve">Resgatar ilustração do ábaco do g23_mdn_lt_4npm_p30 código antigo i0404rn_4pmm_g19_mdn </t>
  </si>
  <si>
    <t xml:space="preserve">i0505_4p011m_g27_e001 </t>
  </si>
  <si>
    <t xml:space="preserve">Resgatar ilustração do ábaco do g23_mdn_lt_4npm_p30 código antigo i0405rn_4pmm_g19_mdn </t>
  </si>
  <si>
    <t xml:space="preserve">i0506_4p011m_g27_e001 </t>
  </si>
  <si>
    <t xml:space="preserve">Resgatar ilustração do ábaco do g23_mdn_lt_4npm_p30 código antigo i0406rn_4pmm_g19_mdn </t>
  </si>
  <si>
    <t xml:space="preserve">i0511_4p011m_g27_e001 </t>
  </si>
  <si>
    <t xml:space="preserve">Resgatar ilustração da máquina Blest Machine do g23_mdn_lt_4npm_p032 código antigo i0422so_4pmm_g19_mdn </t>
  </si>
  <si>
    <t xml:space="preserve">i0512_4p011m_g27_e001 </t>
  </si>
  <si>
    <t xml:space="preserve">Resgatar ilustração da menina colocando plástico na máquina do g23_mdn_lt_4npm_p032 código antigo i0423so_4pmm_g19_mdn 
AJUSTE: separar a il. em 3 partes, a, b e c </t>
  </si>
  <si>
    <t xml:space="preserve">i0514_4p011m_g27_e001 </t>
  </si>
  <si>
    <t xml:space="preserve">Resgatar ilustração de modelos de notebooks do g23_mdn_lt_4npm código antigo i0416rn_4pmm_g19_mdn_ef </t>
  </si>
  <si>
    <t xml:space="preserve">i0519_4p011m_g27_e001 </t>
  </si>
  <si>
    <t xml:space="preserve">Resgatar ilustração dos dardos do g23_mdn_lt_4npm_p035 código antigo i0421rn_4pmm_g19_mdn </t>
  </si>
  <si>
    <t xml:space="preserve">g0522_4p011m_g27_e001 </t>
  </si>
  <si>
    <t xml:space="preserve">Resgatar gráfico de dispositivo mais usado. Veio de: g23_mdn_lt_4npm_p073. Código antigo: gt1411ri_4npm_g23_mdn_aj  
AJUSTE: Mudar nome do eixo vertical, deve ser: Quantidade de estudantes e ajustar valores (consequentemente a escala do eixo vertical). Os novos valores são:
Smartphone: 1 190
Tablet: 1 075
Notebook: 1 125
Computador de mesa: 1 110
</t>
  </si>
  <si>
    <t xml:space="preserve">i0523_4p011m_g27_e001 </t>
  </si>
  <si>
    <t xml:space="preserve">Resgatar ilustração do homem pesando uma carne do g23_mdn_lt_4npm_p038 código antigo i0424cz_4pmm_g19_mdn_ef </t>
  </si>
  <si>
    <t xml:space="preserve">i0524_4p011m_g27_e001 </t>
  </si>
  <si>
    <t xml:space="preserve">Resgatar ilustração do menino fazendo cálculos mentalmente do g23_mdn_lt_4npm_p040 código antigo i0425cz_4pmm_g19_mdn </t>
  </si>
  <si>
    <t xml:space="preserve">i0525_4p011m_g27_e001 </t>
  </si>
  <si>
    <t xml:space="preserve">Resgate ilustração do menino fazendo cálculos mentalmente do g23_mdn_lt_4npm_p040 código antigo i0426cz_4pmm_g19_mdn </t>
  </si>
  <si>
    <t xml:space="preserve">i0526_4p011m_g27_e001 </t>
  </si>
  <si>
    <t xml:space="preserve">Resgatar ilustração das distâncias de lugares da cidade do g23_mdn_lt_4npm_p042 código antigo i0427za_4pmm_g19_mdn_ef </t>
  </si>
  <si>
    <t>Nicolas Furtado</t>
  </si>
  <si>
    <t xml:space="preserve">i0527_4p011m_g27_e001 </t>
  </si>
  <si>
    <t>Resgatar ilustração de uma lousa do g23_mdn_lt_4npm_p043 código antigo i0428rn_4pmm_g19_mdn_ef 
AJUSTE: Alinhar os traços na última igualdade com a base dos números, não com os símbolos de adição. Além disso, retirar a palavra “abaixo” da lousa, deve ficar: Complete o cálculo de maneira que a igualdade seja verdadeira.</t>
  </si>
  <si>
    <t xml:space="preserve">i0530_4p011m_g27_e001 </t>
  </si>
  <si>
    <t xml:space="preserve">Resgatar ilustração do homem vendo a vitrine do g23_mdn_lt_4npm_p044 código antigo i0431cg_4pmm_g19_mdn </t>
  </si>
  <si>
    <t xml:space="preserve">i0531_4p011m_g27_e001 </t>
  </si>
  <si>
    <t>Resgatar ilustração da balança e com os pesos do g23_mdn_lt_4npm_044. Código antigo i0616zz_4npm_g23_mdn</t>
  </si>
  <si>
    <t>BÁRBARA SARZI/ROGÉRIO CASAGRANDE/ARQUIVO DA EDITORA</t>
  </si>
  <si>
    <t xml:space="preserve">g0532_4p011m_g27_e001 </t>
  </si>
  <si>
    <t xml:space="preserve">Resgatar ilustração de gráfico de quantidade de picolés. Veio de: g23_mdn_lt_4npm_p065. Código antigo: i1403ri_4npm_g23_mdn_aj  </t>
  </si>
  <si>
    <t xml:space="preserve">i0533_4p011m_g27_e001 </t>
  </si>
  <si>
    <t xml:space="preserve">Resgatar ilustração de picolé. Veio de: g23_mdn_lt_4npm_p065. Código antigo: i0824ri_4pmm_g19_mdn  </t>
  </si>
  <si>
    <t xml:space="preserve">g0534_4p011m_g27_e001 </t>
  </si>
  <si>
    <t xml:space="preserve">Resgatar gráfico de público do cinema. Veio de: g23_mdn_lt_4npm_p075. Código antigo: gt2501_4npm_m20_mdn  </t>
  </si>
  <si>
    <t xml:space="preserve">i0536_4p011m_g27_e001 </t>
  </si>
  <si>
    <t xml:space="preserve">Resgatar ilustração de um cupom fiscal do g23-mdn_lt_4npm_p046 código antigo i0617rn_4npm_g23_mdn_aj 
AJUSTE: retirar tudo que estiver em cor resposta, atualizar as datas trocando ano para 2027 </t>
  </si>
  <si>
    <t>CÁTIA GERMANI/ARQUIVO DA EDITORA</t>
  </si>
  <si>
    <t xml:space="preserve">g1188_1p011m_g27_e001 </t>
  </si>
  <si>
    <t>g1188_1p011m_g27_e001 RESGATE Resgatar ilustração de um gráfico  de barras sobre brincadeita favorita, em g23_mdn_lt_1npm_p0141_u6, código gt1232_1pmm_g19_mdn.</t>
  </si>
  <si>
    <t xml:space="preserve">i0546_3p011m_g27_e001 </t>
  </si>
  <si>
    <t xml:space="preserve">Resgatar e ajustar ilustração de um menino sentado em uma carteira desenhando um ábaco em um papel, resgatado do m20 volume 3, código antigo: i0673so_3npm_m20_mdn_ef_ly 
AJUSTE 1: mudar o desenho que está no papel para o começo de um desenho de um ábaco, só com a base desenhada, sem as hastes e nem contas. 
AJUSTE 2: completar a cabeça do menino. </t>
  </si>
  <si>
    <t xml:space="preserve">i0557_3p011m_g27_e001 </t>
  </si>
  <si>
    <t xml:space="preserve">Resgatar ábaco com 2 hastes sem contas do g27_2p011m_lt, código i0136zz_2p011m_g27_e001 </t>
  </si>
  <si>
    <t xml:space="preserve">i0558_3p011m_g27_e001 </t>
  </si>
  <si>
    <t xml:space="preserve">Resgatar ábaco com 3 hastes sem contas do g23_mdn_lt_1npm, código antigo i2820zz_1pmm_g19_mdn </t>
  </si>
  <si>
    <t xml:space="preserve">i0559_3p011m_g27_e001 </t>
  </si>
  <si>
    <t xml:space="preserve">Resgatar e ajustar ábaco com 4 hastes sem contas do g23_mdn_lt_5npm, código antigo i4614zz_5npm_g23_mdn </t>
  </si>
  <si>
    <t xml:space="preserve">i0547_3p011m_g27_e001 </t>
  </si>
  <si>
    <t xml:space="preserve">Resgatar ilustração de uma carteira de sala de aula. Sobre ela terá uma base de isopor, 4 palitos de dente sem ponta, canetinhas coloridas e 36 bolinhas de isopor, que serão as contas do ábaco. Código antigo i0674so_3npm_m20_mdn_ly </t>
  </si>
  <si>
    <t xml:space="preserve">i0548_3p011m_g27_e001 </t>
  </si>
  <si>
    <t xml:space="preserve">Resgatar e ajustar ilustração de uma mão segurando um papel da página 208 da unidade 9 do 1p011m com o código i1766_1p011m_g27_e001. 
Ajuste: Inserir texto a seguir na fonte Chinela: 
MATERIAIS NECESSÁRIOS (ÁBACO DE 4ª ORDEM): 
• Placa de poliestireno; 
• Canetinha colorida; 
• Palito de churrasco; 
• Bolinha de poliestireno. </t>
  </si>
  <si>
    <t xml:space="preserve">i0549_3p011m_g27_e001 </t>
  </si>
  <si>
    <t xml:space="preserve">Resgatar ilustração de duas crianças montando um ábaco utilizando os materiais solicitados nessa página. Código antigo: i0675so_3npm_m20_mdn_ef_ly </t>
  </si>
  <si>
    <t xml:space="preserve">i0550_3p011m_g27_e001 </t>
  </si>
  <si>
    <t xml:space="preserve">Resgatar e ajustar ilustração de duas crianças escrevendo algo em um caderno e um ábaco de 4ªordem sobre a carteira representando o número 231. Código antigo: i0676so_3npm_m20_mdn_ef_ly
AJUSTE: reposicionar o ábaco colocando mais para trás da mesa e as crianças de modo que tenham praticamente a visão frontal do ábaco, ficando as crianças praticamente de costas para o leitor nas laterais da mesa, uma de cada lado. O ábaco deve ficar visível para o leitor.
Com esse ajuste, a ideia é que as crianças não fiquem de costas para as ordens do ábaco, pois é como se estivessem usando o instrumento. Se tiver dúvida, pode ver com a equipe. Ver ideia a seguir, podendo estar um pouco mais de perfil as crianças, aparecendo alguns traços do rosto. </t>
  </si>
  <si>
    <t xml:space="preserve">g0554_3p011m_g27_e001 </t>
  </si>
  <si>
    <t xml:space="preserve">Ilustração de um gráfico de barras horizontais no padrão da obra. Esse gráfico deve representar as informações do quadro a seguir. Fazer nesse padrão, porém sendo barras horizontais. </t>
  </si>
  <si>
    <t>F: 15/05</t>
  </si>
  <si>
    <t xml:space="preserve">i0555_3p011m_g27_e001 </t>
  </si>
  <si>
    <t xml:space="preserve">Resgatar e ajustar ilustração de reta numérica do g23_mdn_lt_3npm_p51. Código antigo i1019sl_3npm_g23_mdn_aj 
AJUSTE: ajustar compondo setas verdes “de um em um” do 6 até chegar no 9 e deslocar ponto vermelho para o 6. </t>
  </si>
  <si>
    <t xml:space="preserve">i0556_3p011m_g27_e001 </t>
  </si>
  <si>
    <t xml:space="preserve">Resgatar e ajustar Ilustração de um ábaco no padrão da obra com o número 46 do g23_mdn_lt_2npm_p049, código antigo i0414_2pmm_g19_mdn. 
AJUSTE: inserir mais uma bolinha na haste das dezenas para que o número 56 esteja representado no ábaco. </t>
  </si>
  <si>
    <t xml:space="preserve">i0702_4p011m_g27_e001 </t>
  </si>
  <si>
    <t>Resgatar ilustração crianças brincando telefone sem fio; g23_mdn_lt_4npm_p78; código antigo i1004rl_4pmm_g19_mdn_ly</t>
  </si>
  <si>
    <t xml:space="preserve">i0703_4p011m_g27_e001 </t>
  </si>
  <si>
    <t xml:space="preserve">Resgatar ilustração segmento de reta ligando os pontos A e B; g23_mdn_tl_4npm_p78; código antigo it1005_4pmm_g19_mdn </t>
  </si>
  <si>
    <t xml:space="preserve">i0704_4p011m_g27_e001 </t>
  </si>
  <si>
    <t xml:space="preserve">Resgatar ilustração construção do telefone sem fio com dois copos e um fio; g23_mdn_lt_4npm_p78; código antigo i1006rl_4pmm_g19_mdn_ly  AJUSTE: separar a il. em A, B e C. </t>
  </si>
  <si>
    <t>i0705_4p011m_g27_e001</t>
  </si>
  <si>
    <t xml:space="preserve">Resgatar ilustração segmento de reta ligando os pontos M e N; g23_mdn_lt_4npm_p79; código antigo it1009_4pmm_g19_mdn </t>
  </si>
  <si>
    <t xml:space="preserve">i0706_4p011m_g27_e001 </t>
  </si>
  <si>
    <t xml:space="preserve">Resgatar ilustração segmento de reta ligando os pontos A e B; g23_mdn_lt_4npm_p79; código antigo it1010_4pmm_g19_mdn </t>
  </si>
  <si>
    <t>i0708_4p011m_g27_e001</t>
  </si>
  <si>
    <t>Resgatar ilustração hexágono verde; g23_mdn_lt_4npm_p79; código antigo it1012_4pmm_g19_mdn
AJUSTE: Tirar cor do interior da figura.</t>
  </si>
  <si>
    <t xml:space="preserve">i0709_4p011m_g27_e001 </t>
  </si>
  <si>
    <t>Resgatar ilustração figura geométrica azul com 8 segmentos de reta; g23_mdn_lt_4npm_p79; código antigo it1013_4pmm_g19_mdn
AJUSTE: Tirar cor do interior da figura.</t>
  </si>
  <si>
    <t xml:space="preserve">i0710_4p011m_g27_e001 </t>
  </si>
  <si>
    <t>Resgatar ilustração figura geométrica amarela com 12 segmentos de reta; g23_mdn_çt_4npm_p79; código antigo it1014_4pmm_g19_mdn
AJUSTE: Tirar cor do interior da figura.</t>
  </si>
  <si>
    <t xml:space="preserve">i0711_4p011m_g27_e001 </t>
  </si>
  <si>
    <t xml:space="preserve">Resgatar ilustração cubo amarelo desenhado em uma malha quadriculada com pontos em seus vértices; g23_mdn_lt_4npm_p79; código antigo i1015_4pmm_g19_mdn </t>
  </si>
  <si>
    <t xml:space="preserve">i0713_4p011m_g27_e001 </t>
  </si>
  <si>
    <t xml:space="preserve">Resgatar ilustração linhas compondo desenhos; g23_mdn_lt_4npm_p80; código antigo it1093_4pmm_g19_mdn AJUSTE: separar a il. em A, B, C, D, E e F. </t>
  </si>
  <si>
    <t xml:space="preserve">i0714_4p011m_g27_e001 </t>
  </si>
  <si>
    <t>Resgatar ilustração linhas poligonais que não se cruzam; g23_mdn_lt_4npm_p80; código antigo it1018_4pmm_g19_mdn_ef 
AJUSTE: separar a il. em A e B.</t>
  </si>
  <si>
    <t xml:space="preserve">i0715_4p011m_g27_e001 </t>
  </si>
  <si>
    <t xml:space="preserve">Resgatar ilustração linhas poligonais não simples que se cruzam; g23_mdn_lt_4npm_p80; código antigo it1020_4pmm_g19_mdn_ef 
AJUSTE: separar a il. em A e B. </t>
  </si>
  <si>
    <t>i0716_4p011m_g27_e001</t>
  </si>
  <si>
    <t>Resgatar ilustração linhas poligonais fechadas; g23_mdn_lt_4npm_p80; código antigo it1019_4pmm_g19_mdn_ef 
AJUSTE: separar a il. em A e B.</t>
  </si>
  <si>
    <t xml:space="preserve">i0717_4p011m_g27_e001 </t>
  </si>
  <si>
    <t>Resgatar ilustração linhas poligonais não simples que se cruzam; g23_mdn_lt_4npm_p80; código antigo it1021_4pmm_g19_mdn_ef 
AJUSTE: separar a il. em A e B.</t>
  </si>
  <si>
    <t>i0718_4p011m_g27_e001</t>
  </si>
  <si>
    <t>Resgatar ilustração linhas poligonais simples e fechada; g23_mdn_lt_4npm_p80; código antigo it1022_4pmm_g19_mdn</t>
  </si>
  <si>
    <t xml:space="preserve">i0719_4p011m_g27_e001 </t>
  </si>
  <si>
    <t>Resgatar ilustração linhas poligonais não simples e fechada; g23_mdn_lt_4npm_p80; código antigo it1024_4pmm_g19_mdn</t>
  </si>
  <si>
    <t xml:space="preserve">i0720_4p011m_g27_e001 </t>
  </si>
  <si>
    <t>Resgatar ilustração linhas poligonais simples e aberta; g23_mdn_lt_4npm_p80; código antigo it1023_4pmm_g19_mdn</t>
  </si>
  <si>
    <t xml:space="preserve">i0721_4p011m_g27_e001 </t>
  </si>
  <si>
    <t xml:space="preserve">Resgatar ilustração linhas poligonais não simples e fechada; g23_mdn_lt_4npm_p80; código antigo it1025_4pmm_g19_mdn </t>
  </si>
  <si>
    <t xml:space="preserve">i0722_4p011m_g27_e001 </t>
  </si>
  <si>
    <t>Resgatar ilustração professor traçando uma reta passando pelo segmento MN em um quadro negro; g23_mdn_lt_4npm_p81; código antigo i1026za_4pmm_g19_mdn_ef</t>
  </si>
  <si>
    <t xml:space="preserve">i0723_4p011m_g27_e001 </t>
  </si>
  <si>
    <t xml:space="preserve">Resgatar ilustração reta s em cor resposta, contendo os pontos A e B; g23_mdn_lt_4npm_p81; código antigo it1096_4pmm_g19_mdn_ef 
AJUSTE: retirar tudo que estiver em cor resposta. </t>
  </si>
  <si>
    <t xml:space="preserve">i0724_4p011m_g27_e001 </t>
  </si>
  <si>
    <t>Resgatar ilustração retas r, s e t contendo os pontos A, B, C, D, E e F; g23_mdn_lt_4npm_p81; código antigo it1027_4pmm_g19_mdn</t>
  </si>
  <si>
    <t xml:space="preserve">i0725_4p011m_g27_e001 </t>
  </si>
  <si>
    <t xml:space="preserve">Resgatar ilustração professor traçando uma semirreta contendo os pontos P e Q no quadro negro; g23_mdn_lt_4npm_p82; código antigo i1028za_4pmm_g19_mdn_ef </t>
  </si>
  <si>
    <t xml:space="preserve">i0726_4p011m_g27_e001 </t>
  </si>
  <si>
    <t xml:space="preserve">Resgatar ilustração semirreta azul contendo os pontos A e B; g23_mdn_lt_4npm_p82; código antigo it1029_4pmm_g19_mdn </t>
  </si>
  <si>
    <t xml:space="preserve">i0727_4p011m_g27_e001 </t>
  </si>
  <si>
    <t>Resgatar ilustração semirreta laranja contendo os pontos M e N; g23_mdn_lt_4npm_p82; código antigo it1030_4pmm_g19_mdn</t>
  </si>
  <si>
    <t xml:space="preserve">i0728_4p011m_g27_e001 </t>
  </si>
  <si>
    <t xml:space="preserve">Resgatar ilustração semirreta ciano escuro contendo os pontos R e S; g23_mdn_lt_4npm_p82; código antigo it1031_4pmm_g19_mdn </t>
  </si>
  <si>
    <t xml:space="preserve">i0729_4p011m_g27_e001 </t>
  </si>
  <si>
    <t xml:space="preserve">Resgatar ilustração reta verde contendo os pontos C e D; g23_mdn_lt_4npm_p82; código antigo it1032_4pmm_g19_mdn_ef </t>
  </si>
  <si>
    <t xml:space="preserve">i0730_4p011m_g27_e001 </t>
  </si>
  <si>
    <t xml:space="preserve">Resgatar ilustração segmento de reta laranja EF; g23_mdn_lt_4npm_p82; código antigo it1033_4pmm_g19_mdn </t>
  </si>
  <si>
    <t xml:space="preserve">i0731_4p011m_g27_e001 </t>
  </si>
  <si>
    <t xml:space="preserve">Resgatar ilustração semirreta contendo os pontos G e H; g23_mdn_lt_4npm_p82; código antigo it1034_4pmm_g19_mdn </t>
  </si>
  <si>
    <t xml:space="preserve">i0732_4p011m_g27_e001 </t>
  </si>
  <si>
    <t xml:space="preserve">Resgatar ilustração menina brincando no gira-gira dando meia volta; g23_mdn_lt_4npm_p83; código antigo i1035so_4pmm_g19_mdn_ef </t>
  </si>
  <si>
    <t xml:space="preserve">i0733_4p011m_g27_e001 </t>
  </si>
  <si>
    <t xml:space="preserve">Resgatar ilustração esboço meia volta do brinquedo gira-gira; g23_mdn_lt_4npm_p83; código antigo it1037_4pmm_g19_mdn </t>
  </si>
  <si>
    <t>i0734_4p011m_g27_e001</t>
  </si>
  <si>
    <t xml:space="preserve">Resgatar ilustração menina brincando no gira-gira dando uma volta completa; g23_mdn_lt_4npm_p83; código antigo i1036so_4pmm_g19_mdn_ef </t>
  </si>
  <si>
    <t xml:space="preserve">i0735_4p011m_g27_e001 </t>
  </si>
  <si>
    <t xml:space="preserve">Resgatar ilustração esboço volta completa do brinquedo gira-gira; g23_mdn_lt_4npm_p83; código antigo it1038_4pmm_g19_mdn </t>
  </si>
  <si>
    <t xml:space="preserve">i0736_4p011m_g27_e001 </t>
  </si>
  <si>
    <t>Resgatar ilustração representação de um ângulo em A formado pelas semirretas AC e AB; g23_mdn_lt_4npm_p83; código antigo it1039_4pmm_g19_mdn_ef.png</t>
  </si>
  <si>
    <t xml:space="preserve">i0737_4p011m_g27_e001 </t>
  </si>
  <si>
    <t>Resgatar ilustração notebook semiaberto com indicação de ângulo na abertura; g23_mdn_lt_4npm_p84; código antigo i1040ri_4pmm_g19_mdn</t>
  </si>
  <si>
    <t>i0738_4p011m_g27_e001</t>
  </si>
  <si>
    <t xml:space="preserve">Resgatar ilustração tesoura semiaberta com indicação de ângulo na abertura; g23_mdn_lt_4npm_p84; código antigo i1042_4pmm_g19_mdn </t>
  </si>
  <si>
    <t xml:space="preserve">i0739_4p011m_g27_e001 </t>
  </si>
  <si>
    <t xml:space="preserve">Resgatar ilustração escada móvel de alumínio aberta com indicação de ângulo na abertura; g23_mdn_lt_4npm_p84; código antigo i1043ri_4pmm_g19_mdn </t>
  </si>
  <si>
    <t xml:space="preserve">i0740_4p011m_g27_e001 </t>
  </si>
  <si>
    <t xml:space="preserve">Resgatar ilustração representação de 1° em um círculo azul; g23_mdn_lt_4npm_p84; código antigo it1044_4pmm_g19_mdn </t>
  </si>
  <si>
    <t xml:space="preserve">i0741_4p011m_g27_e001 </t>
  </si>
  <si>
    <t xml:space="preserve">Resgatar ilustração esboço volta completa de 360°; g23_mdn_lt_4npm_p84; código antigo it1045_4pmm_g19_mdn </t>
  </si>
  <si>
    <t xml:space="preserve">i0742_4p011m_g27_e001 </t>
  </si>
  <si>
    <t>Resgatar ilustração esboço meia volta; g23_mdn_lt_4npm_p84; código antigo it1094_4pmm_g19_mdn</t>
  </si>
  <si>
    <t xml:space="preserve">i0743_4p011m_g27_e001 </t>
  </si>
  <si>
    <t>Resgatar ilustração esboço uma volta completa; g23_mdn_lt_4npm_p84; código antigo it1095_4pmm_g19_mdn</t>
  </si>
  <si>
    <t xml:space="preserve">i0744_4p011m_g27_e001 </t>
  </si>
  <si>
    <t>Resgatar ilustração transferidor; g23_mdn_lt_4npm_p85; código antigo i1046_4pmm_g19_mdn</t>
  </si>
  <si>
    <t xml:space="preserve">i0745_4p011m_g27_e001 </t>
  </si>
  <si>
    <t>Resgatar ilustração transferidor indicando 60°; g23_mdn_lt_4npm_p85; código antigo i1047_4pmm_g19_mdn</t>
  </si>
  <si>
    <t xml:space="preserve">i0746_4p011m_g27_e001 </t>
  </si>
  <si>
    <t xml:space="preserve">Resgatar ilustração transferidor indicando 85°; g23_mdn_lt_4npm_p85; código antigo i1048_4pmm_g19_mdn </t>
  </si>
  <si>
    <t xml:space="preserve">i0747_4p011m_g27_e001 </t>
  </si>
  <si>
    <t xml:space="preserve">Resgatar ilustração transferidor indicando 130°; g23_mdn_lt_4npm_p85; código antigo i1049_4pmm_g19_mdn </t>
  </si>
  <si>
    <t xml:space="preserve">i0748_4p011m_g27_e001 </t>
  </si>
  <si>
    <t xml:space="preserve">Resgatar ilustração transferidor indicando 40°; g23_mdn_lt_4npm_p85; código antigo i1050_4pmm_g19_mdn </t>
  </si>
  <si>
    <t xml:space="preserve">i0749_4p011m_g27_e001 </t>
  </si>
  <si>
    <t xml:space="preserve">Resgatar ilustração transferidor indicando 155°; g23_mdn_lt_4npm_p85; código antigo i1051_4pmm_g19_mdn </t>
  </si>
  <si>
    <t xml:space="preserve">i0750_4p011m_g27_e001 </t>
  </si>
  <si>
    <t>Resgatar ilustração representação do ângulo de 30° formado pelas semirretas AB e AC; g23_mdn_lt_4npm_p86; código antigo it1052_4pmm_g19_mdn</t>
  </si>
  <si>
    <t xml:space="preserve">i0751_4p011m_g27_e001 </t>
  </si>
  <si>
    <t xml:space="preserve">Resgatar ilustração representação do Ângulo de 90° formado pelas semirretas ED e EF; g23_mdn_lt_4npm_p86; código antigo it1053_4pmm_g19_mdn </t>
  </si>
  <si>
    <t xml:space="preserve">i0752_4p011m_g27_e001 </t>
  </si>
  <si>
    <t>Resgatar ilustração representação do ângulo 60° formado pelas semirretas QS e QR; g23_mdn_lt_4npm_p86; código antigo it1054_4pmm_g19_mdn</t>
  </si>
  <si>
    <t xml:space="preserve">i0753_4p011m_g27_e001 </t>
  </si>
  <si>
    <t xml:space="preserve">Resgatar ilustração representação do ângulo de 150° formado pelas semirretas HG e HI; g23_mdn_lt_4npm_p86; código antigo it1055_4pmm_g19_mdn </t>
  </si>
  <si>
    <t xml:space="preserve">i0754_4p011m_g27_e001 </t>
  </si>
  <si>
    <t>Resgatar ilustração representação do ângulo de 180° formado pelas semirretas LM e LJ; g23_mdn_lt_4npm_p86; código antigo it1056_4pmm_g19_mdn</t>
  </si>
  <si>
    <t xml:space="preserve">i0755_4p011m_g27_e001 </t>
  </si>
  <si>
    <t xml:space="preserve">Resgatar ilustração relógio marcando 2 horas; g23_mdn_lt_4npm_p87; código antigo i1820zz_4npm_g23_mdn_aj </t>
  </si>
  <si>
    <t xml:space="preserve">i0756_4p011m_g27_e001 </t>
  </si>
  <si>
    <t xml:space="preserve">Resgatar ilustração dobra na folha de papel verde 1; g23_mdn_lt_4npm_p87; código antigo i1058_4pmm_g19_mdn 
AJUSTE: separar a il. em a e b. </t>
  </si>
  <si>
    <t xml:space="preserve">i0757_4p011m_g27_e001 </t>
  </si>
  <si>
    <t xml:space="preserve">Resgatar ilustração dobra na folha de papel 2; g23_mdn_lt_4npm_p87; código antigo i1059_4pmm_g19_mdn_ef 
AJUSTE: separar a il. em a e b. </t>
  </si>
  <si>
    <t xml:space="preserve">i0758_4p011m_g27_e001 </t>
  </si>
  <si>
    <t xml:space="preserve">Resgatar ilustração representação do ângulo reto; g23_mdn_lt_4npm_p87; código antigo it1061_4pmm_g19_mdn </t>
  </si>
  <si>
    <t xml:space="preserve">i0759_4p011m_g27_e001 </t>
  </si>
  <si>
    <t xml:space="preserve">Resgatar ilustração ângulo interno de um pentágono representado na cor azul; g23_mdn_lt_4npm_p87; código antigo it1062_4pmm_g19_mdn </t>
  </si>
  <si>
    <t xml:space="preserve">i0760_4p011m_g27_e001 </t>
  </si>
  <si>
    <t>Resgatar ilustração ângulo interno de um losango representado na cor laranja; g23_mdn_lt_4npm_p87; código antigo it1063_4pmm_g19_mdn</t>
  </si>
  <si>
    <t xml:space="preserve">i0761_4p011m_g27_e001 </t>
  </si>
  <si>
    <t xml:space="preserve">Resgatar ilustração ângulo interno de um quadrado representado na cor amarela; g23_mdn_lt_4npm_p87; código antigo it1064_4pmm_g19_mdn </t>
  </si>
  <si>
    <t xml:space="preserve">i0762_4p011m_g27_e001 </t>
  </si>
  <si>
    <t xml:space="preserve">Resgatar ilustração ângulo interno de um triângulo representado na cor verde; g23_mdn_lt_4npm_p87; código antigo it1065_4pmm_g19_mdn </t>
  </si>
  <si>
    <t xml:space="preserve">i0763_4p011m_g27_e001 </t>
  </si>
  <si>
    <t>Resgatar ilustração etapa A na construção de duas retas com uma folha de papel retangular; g23_mdn_lt_4npm_p88; código antigo i1066Aza_4pmm_g19_mdn</t>
  </si>
  <si>
    <t xml:space="preserve">i0764_4p011m_g27_e001 </t>
  </si>
  <si>
    <t xml:space="preserve">Resgatar ilustração etapa B na construção de duas retas com uma folha de papel retangular; g23_mdn_lt_4npm_p88; código antigo i1066Bza_4pmm_g19_mdn
AJUSTE: deixar cor amarela no fundo ficando igual a imagem de código antigo i1066Aza_4pmm_g19_mdn (enviada na pasta). </t>
  </si>
  <si>
    <t xml:space="preserve">i0765_4p011m_g27_e001 </t>
  </si>
  <si>
    <t xml:space="preserve">Resgatar ilustração etapa C na construção de duas retas com uma folha de papel retangular; g23_mdn_lt_4npm_p88; código antigo i1066Cza_4pmm_g19_mdn
AJUSTE 1: deixar cor amarela no fundo ficando igual a imagem de código antigo i1066Aza_4pmm_g19_mdn (enviada na pasta).
AJUSTE 2: completar o fundo e os braços para que essa imagem fique do mesmo tamanho da i0764_4p011m_g27_e001 porém sem alterar o tamanho da folha de papel que está dentro da imagem.
</t>
  </si>
  <si>
    <t xml:space="preserve">i0766_4p011m_g27_e001 </t>
  </si>
  <si>
    <t>Resgatar ilustração duas retas paralelas r e s; g23_mdn_lt_4npm_p88; código antigo it1805sl_4npm_g23_mdn_aj</t>
  </si>
  <si>
    <t xml:space="preserve">i0767_4p011m_g27_e001 </t>
  </si>
  <si>
    <t>Resgatar ilustração malha com retas r e s paralelas sendo cortadas por duas retas u e t; g23_mdn_lt_4npm_p89; código antigo i1070_4pmm_g19_mdn</t>
  </si>
  <si>
    <t xml:space="preserve">i0768_4p011m_g27_e001 </t>
  </si>
  <si>
    <t>Resgatar ilustração duas retas paralelas m e n; g23_mdn_lt_4npm_p89; código antigo it1071_4pmm_g19_mdn</t>
  </si>
  <si>
    <t xml:space="preserve">i0769_4p011m_g27_e001 </t>
  </si>
  <si>
    <t xml:space="preserve">Resgatar ilustração retas ortogonais u e v; g23_mdn_lt_4npm_p89; código antigo it1072_4pmm_g19_mdn </t>
  </si>
  <si>
    <t xml:space="preserve">i0770_4p011m_g27_e001 </t>
  </si>
  <si>
    <t>Resgatar ilustração retas concorrentes r e t; g23_mdn_lt_4npm_p89; código antigo it1073_4pmm_g19_mdn</t>
  </si>
  <si>
    <t>i0771_4p011m_g27_e001</t>
  </si>
  <si>
    <t xml:space="preserve">Resgatar ilustração segmentos de retas paralelas e concorrentes; g23_mdn_lt_4npm_p89; código antigo it1074_4pmm_g19_mdn </t>
  </si>
  <si>
    <t xml:space="preserve">i0772_4p011m_g27_e001 </t>
  </si>
  <si>
    <t xml:space="preserve">Resgatar ilustração etapa A na construção de duas retas concorrentes com uma folha de papel retangular; g23_mdn_lt_4npm_p90; código antigo i1075Aso_4pmm_g19_mdn </t>
  </si>
  <si>
    <t xml:space="preserve">i0773_4p011m_g27_e001 </t>
  </si>
  <si>
    <t xml:space="preserve">Resgatar ilustração etapa B na construção de duas retas concorrentes com uma folha de papel retangular; g23_mdn_lt_4npm_p90; código antigo i1075Bso_4pmm_g19_mdn </t>
  </si>
  <si>
    <t xml:space="preserve">i0774_4p011m_g27_e001 </t>
  </si>
  <si>
    <t>Resgatar ilustração etapa C na construção de duas retas concorrentes com uma folha de papel retangular; g23_mdn_lt_4npm_p90; código antigo i1075Cso_4pmm_g19_mdn</t>
  </si>
  <si>
    <t xml:space="preserve">i0775_4p011m_g27_e001 </t>
  </si>
  <si>
    <t xml:space="preserve">Resgatar ilustração etapa D na construção de duas retas concorrentes com uma folha de papel retangular; g23_mdn_lt_4npm_p90; código antigo i1075Dso_4pmm_g19_mdn </t>
  </si>
  <si>
    <t xml:space="preserve">i0776_4p011m_g27_e001 </t>
  </si>
  <si>
    <t xml:space="preserve">Resgatar ilustração retas m e n perpendiculares entre si; g23_mdn_lt_4npm_p90; código antigo it1079_4pmm_g19_mdn_ef </t>
  </si>
  <si>
    <t xml:space="preserve">i0777_4p011m_g27_e001 </t>
  </si>
  <si>
    <t xml:space="preserve">Resgatar ilustração retas paralelas e perpendiculares; g23_mdn_lt_4npm_p91; código antigo it1080_4pmm_g19_mdn </t>
  </si>
  <si>
    <t xml:space="preserve">i0778_4p011m_g27_e001 </t>
  </si>
  <si>
    <t>Resgatar ilustração malha com retas r, s, t e u se interceptando; g23_mdn_lt_4npm_p91; código antigo i1081_4pmm_g19_mdn</t>
  </si>
  <si>
    <t xml:space="preserve">i0783_4p011m_g27_e001 </t>
  </si>
  <si>
    <t xml:space="preserve">Resgatar ilustração caminho de uma lanchonete a um posto de combustível; g23_mdn_lt_4npm_p93; código antigo i1086ri_4pmm_g19_mdn 
AJUSTE: retirar tudo que estiver em cor resposta. </t>
  </si>
  <si>
    <t xml:space="preserve">i0785_4p011m_g27_e001 </t>
  </si>
  <si>
    <t xml:space="preserve">Resgatar ilustração menina figurinha sorrindo; g23_mdn_lt_4npm_p93; código antigo i1085sh_4pmm_g19_mdn </t>
  </si>
  <si>
    <t xml:space="preserve">i0786_4p011m_g27_e001 </t>
  </si>
  <si>
    <t xml:space="preserve">Resgatar ilustração caminho em uma malha quadriculada da casa para escola; g23_mdn_lt_4npm_P94; código antigo i1089_4pmm_g19_mdn_ef 
AJUSTE: retirar tudo que estiver em cor resposta. </t>
  </si>
  <si>
    <t xml:space="preserve">i0788_4p011m_g27_e001 </t>
  </si>
  <si>
    <t xml:space="preserve">Resgatar ilustração menina figurinha sorrindo; g23_mdn_lt_4npm_p94; código antigo i1092sh_4pmm_g19_mdn </t>
  </si>
  <si>
    <t xml:space="preserve">i0789_4p011m_g27_e001 </t>
  </si>
  <si>
    <t>Resgatar ilustração mapa do bairro de uma cidade; g23_mdn_lt_4npm_p94; código antigo i1091ri_4pmm_g19_mdn_ef</t>
  </si>
  <si>
    <t xml:space="preserve">i0790_4p011m_g27_e001 </t>
  </si>
  <si>
    <t xml:space="preserve">Resgatar ilustração segmento de reta DE; g23_mdn_lt_4npm_p95; código antigo it1813_4npm_g23_mdn_re </t>
  </si>
  <si>
    <t>i0791_4p011m_g27_e001</t>
  </si>
  <si>
    <t>Resgatar ilustração semirreta AB com origem em A; g23_mdn_lt_4npm_p95; código antigo it1814_4npm_g23_mdn_re</t>
  </si>
  <si>
    <t xml:space="preserve">i0792_4p011m_g27_e001 </t>
  </si>
  <si>
    <t>Resgatar ilustração reta definida pelos pontos H e I; g23_mdn_lt_4npm_p95; código antigo it1815_4npm_g23_mdn_re</t>
  </si>
  <si>
    <t xml:space="preserve">i0793_4p011m_g27_e001 </t>
  </si>
  <si>
    <t xml:space="preserve">Resgatar ilustração representação de um ângulo em A formado pelas semirretas AC e AB; g23_mdn_lt_4npm_p95; código antigo it1816_4npm_g23_mdn_re </t>
  </si>
  <si>
    <t xml:space="preserve">i0794_4p011m_g27_e001 </t>
  </si>
  <si>
    <t xml:space="preserve">Resgatar ilustração representação de um ângulo em O formado pelas semirretas OQ e OP; g23_mdn_lt_4npm_p95; código antigo it1817_4npm_g23_mdn_re </t>
  </si>
  <si>
    <t>i0795_4p011m_g27_e001</t>
  </si>
  <si>
    <t xml:space="preserve">Resgatar ilustração representação de um ângulo em V formado pelas semirretas VN e VM; g23_mdn_lt_4npm_p95; código antigo it1818_4npm_g23_mdn_re </t>
  </si>
  <si>
    <t xml:space="preserve">i0796_4p011m_g27_e001 </t>
  </si>
  <si>
    <t xml:space="preserve">Resgatar ilustração mapa do bairro de uma cidade; g23_mdn_lt_4npm_p95; código antigo i1819sl_4npm_g23_mdn_aj </t>
  </si>
  <si>
    <t xml:space="preserve">i0902_4p011m_g27_e001 </t>
  </si>
  <si>
    <t>Resgatar ilustração de menina deitada na cama disponível em; g23_mdn_lt_4npm_p98_u6 codigo i1202gn_4pmm_g19_mdn 
AJUSTE: Inserir um livro ao lado dos braços da menina. O livro deve estar fechado.</t>
  </si>
  <si>
    <t xml:space="preserve">i0903_4p011m_g27_e001 </t>
  </si>
  <si>
    <t xml:space="preserve">Resgatar ilustração de três dados azul, verde e amarelo disponível em; g23_mdn_lt_4npm_p99_u6 codigo i1203zz_4pmm_g19_mdn </t>
  </si>
  <si>
    <t xml:space="preserve">i0904_4p011m_g27_e001 </t>
  </si>
  <si>
    <t xml:space="preserve">Resgatar ilustração de cinco dados azul, verde, vermelho, roxo e amarelo disponível em; g23_mdn_lt_4npm_p99_u6 código i1204zz_4pmm_g19_mdn </t>
  </si>
  <si>
    <t xml:space="preserve">i0906_4p011m_g27_e001 </t>
  </si>
  <si>
    <t xml:space="preserve">Resgatar ilustração de um jogo com diferentes figuras disponível em; g23_mdn_lt_4npm_p100_u6 codigo i1207sl_4pmm_g19_mdn </t>
  </si>
  <si>
    <t xml:space="preserve">i0907_4p011m_g27_e001 </t>
  </si>
  <si>
    <t xml:space="preserve">Resgatar ilustração de um jogo com diferentes figuras fase 2 disponível em; g23_mdn_lt_4npm_p101_u6 código i1208sl_4pmm_g19_mdn </t>
  </si>
  <si>
    <t xml:space="preserve">i0908_4p011m_g27_e001 </t>
  </si>
  <si>
    <t xml:space="preserve">Resgatar ilustração de um jogo com diferentes figuras fase 3 disponível em; g23_mdn_lt_4npm_p101_u6 código i1209sl_4pmm_g19_mdn </t>
  </si>
  <si>
    <t xml:space="preserve">i0909_4p011m_g27_e001 </t>
  </si>
  <si>
    <t xml:space="preserve">Resgatar ilustração de um cardápio com diferentes opções disponível em; g23_mdn_lt_4npm_p101_u6 código i1210sl_4pmm_g19_mdn 
AJUSTE: retirar nome “RESTAURANTE ESCOLHA” da imagem. No lugar desse nome, colocar a palavra CARDÁPIO e centralizar o retângulo na il. PS. Excluir a palavra CARDÁPIO do atual lugar. </t>
  </si>
  <si>
    <t xml:space="preserve">i0911_4p011m_g27_e001 </t>
  </si>
  <si>
    <t xml:space="preserve">Resgatar ilustração da caixa de um remédio disponível em; g23_mdn_lt_4npm_p103_u6 código i1214sl_4pmm_g19_mdn </t>
  </si>
  <si>
    <t>i0913_4p011m_g27_e001</t>
  </si>
  <si>
    <t xml:space="preserve">Resgatar ilustração de dois dados verdes. Veio de: g23_mdn_lt_4npm_p072. Código antigo: i0812_4pmm_g19_mdn  </t>
  </si>
  <si>
    <t xml:space="preserve">i0923_4p011m_g27_e001 </t>
  </si>
  <si>
    <t xml:space="preserve">Resgatar ilustração de um guarda-roupa marrom; disponível em g23_mdn_lt_4npm_p108_u6 codigo i1220sl_4pmm_g19_mdn </t>
  </si>
  <si>
    <t xml:space="preserve">i0924_4p011m_g27_e001 </t>
  </si>
  <si>
    <t xml:space="preserve">Resgatar ilustração de estudantes em volta de uma mesa na sala de aula; disponível em g23_mdn_lt_4npm_p109_u6 codigo i2211_4npm_g23_mdn_re 
AJUSTE: adequar ilustração para não sangrar na página. </t>
  </si>
  <si>
    <t>aa</t>
  </si>
  <si>
    <t xml:space="preserve">i0931_4p011m_g27_e001 </t>
  </si>
  <si>
    <t xml:space="preserve">Resgatar ilustração de uma tela de celular; disponível em; g23_mdn_lt_4npm_p114_u6 codigo i1232sl_4pmm_g19_mdn </t>
  </si>
  <si>
    <t xml:space="preserve">i0932_4p011m_g27_e001 </t>
  </si>
  <si>
    <t xml:space="preserve">Resgatar ilustração de uma tela de celular mostrando pastas de arquivo; disponível em; g23_mdn_lt_4npm_p115_u6 código i1238sl_4pmm_g19_mdn </t>
  </si>
  <si>
    <t xml:space="preserve">i0933_4p011m_g27_e001 </t>
  </si>
  <si>
    <t xml:space="preserve">Resgatar ilustração de uma menina conversando com um menino; disponível em; g23_mdn_lt_4npm_p116_u6 código i2215rl_4npm_g23_mdn_aj </t>
  </si>
  <si>
    <t xml:space="preserve">i0934_4p011m_g27_e001 </t>
  </si>
  <si>
    <t xml:space="preserve">Resgatar ilustração de uma professora ensinando os estudantes em sala de aula; disponível em; g23_mdn_lt_4npm_p117_u6 código i1403rl_4pmm_g19_mdn_ef </t>
  </si>
  <si>
    <t xml:space="preserve">i0938_4p011m_g27_e001 </t>
  </si>
  <si>
    <t xml:space="preserve">Resgatar ilustração de um menino pensando; disponível em; g23_mdn_lt_4npm_p121_u6 código i2608_4npm_g23_mdn_re </t>
  </si>
  <si>
    <t xml:space="preserve">i0939_4p011m_g27_e001 </t>
  </si>
  <si>
    <t xml:space="preserve">Resgatar ilustração de um rapaz com a mão na cintura pensando; disponível em; g23_mdn_lt_4npm_p122_u6 código i1408so_4pmm_g19_mdn </t>
  </si>
  <si>
    <t xml:space="preserve">i0940_4p011m_g27_e001 </t>
  </si>
  <si>
    <t xml:space="preserve">Resgatar ilustração de uma menina pensando; disponível em; g23_mdn_lt_4npm_p123_u6 código i2609_4npm_g23_mdn_re </t>
  </si>
  <si>
    <t xml:space="preserve">i0941_4p011m_g27_e001 </t>
  </si>
  <si>
    <t xml:space="preserve">Resgatar ilustração de atletas na linha de largada de uma prova de atletismo; disponível em; g23_mdn_lt_4npm_p123_u6 código i1409cg_4pmm_g19_mdn </t>
  </si>
  <si>
    <t xml:space="preserve">i0942_4p011m_g27_e001 </t>
  </si>
  <si>
    <t xml:space="preserve">Resgatar ilustração de um rapaz na cozinha preparando uma receita; disponível em; g23_mdn_lt_4npm_p124_u6 código i1411cg_4pmm_g19_mdn </t>
  </si>
  <si>
    <t xml:space="preserve">i0943_4p011m_g27_e001 </t>
  </si>
  <si>
    <t>Resgatar ilustração de uma propaganda de revista para assinatura; disponível em; g23_mdn_lt_4npm_p125_u6 código i1412sl_4pmm_g19_mdn_ef 
AJUSTE: Excluir a palavra DESTAQUE da imagem. NA ref, ela já foi excluída. São três ocorrências. Após a exclusão, reposicionar informação e ocupar os espaços que ficaram sem a palavra.</t>
  </si>
  <si>
    <t xml:space="preserve">i0944_4p011m_g27_e001 </t>
  </si>
  <si>
    <t xml:space="preserve">Resgatar ilustração de uma estante com livros a venda; disponível em; g23_mdn_lt_4npm_p126_u6 código i1413za_4pmm_g19_mdn_ef </t>
  </si>
  <si>
    <t xml:space="preserve">i0945_4p011m_g27_e001 </t>
  </si>
  <si>
    <t xml:space="preserve">Resgatar ilustração de várias operações em uma folha de caderno; disponível em; g23_mdn_lt_4npm_p127_u6 código i1414zz_4pmm_g19_mdn </t>
  </si>
  <si>
    <t xml:space="preserve">g0946_4p011m_g27_e001 </t>
  </si>
  <si>
    <t xml:space="preserve">Resgatar ilustração de um gráfico de barras; disponível em; g23_mdn_lt_4npm_p128_u6 codigo gt1415_4pmm_g19_mdn </t>
  </si>
  <si>
    <t xml:space="preserve">i0949_4p011m_g27_e001 </t>
  </si>
  <si>
    <t xml:space="preserve">Resgatar ilustração de prateleiras com carrinhos de brinquedo; disponível em; g23_mdn_lt_4npm_p133_u6 código i1419aa_4pmm_g19_mdn_ef 
AJUSTE: separar a il. em A, B, C e D. </t>
  </si>
  <si>
    <t xml:space="preserve">i0950_4p011m_g27_e001 </t>
  </si>
  <si>
    <t xml:space="preserve">Resgatar ilustração de quatro crianças conversando; disponível em; g23_mdn_lt_4npm_p133_u6 código i1427rl_4pmm_g19_mdn_ef </t>
  </si>
  <si>
    <t xml:space="preserve">i0951_4p011m_g27_e001 </t>
  </si>
  <si>
    <t xml:space="preserve">Resgatar ilustração de duas crianças conversando; disponível em; g23_mdn_lt_4npm_p134_u6 código i1424rl_4pmm_g19_mdn </t>
  </si>
  <si>
    <t xml:space="preserve">i0952_4p011m_g27_e001 </t>
  </si>
  <si>
    <t xml:space="preserve">Resgatar ilustração de uma caixa de leite com doze unidades; disponível em; g23_mdn_lt_4npm_p137_u6 código i2618rn_4npm_m20_mdn </t>
  </si>
  <si>
    <t>i1104_4p011m_g27_e001</t>
  </si>
  <si>
    <t>Resgatar ilustração régua amarela em verdadeira grandeza; g23_mdn_lt_4npm_p141; código antigo i1661zz_4pmm_g19_mdn
AJUSTE: cropar fita conforme referência a seguir.</t>
  </si>
  <si>
    <t>LEONARDO MARI/ARQUIVO DA EDITORA</t>
  </si>
  <si>
    <t xml:space="preserve">i1105_4p011m_g27_e001 </t>
  </si>
  <si>
    <t>Resgatar ilustração menina resolvendo exercícios no caderno; g23_mdn_lt_4npm_p141; código antigo i1613cz_4pmm_g19_mdn 
AJUSTE: fazer um acabamento melhor na imagem, de forma não sangre na página e de forma que não fique corte seco</t>
  </si>
  <si>
    <t>i1106_4p011m_g27_e001</t>
  </si>
  <si>
    <t>Resgatar ilustração figura geométrica roxa; g23_mdn_lt_4npm_p142; código antigo it1614_4pmm_g19_mdn</t>
  </si>
  <si>
    <t xml:space="preserve">i1107_4p011m_g27_e001 </t>
  </si>
  <si>
    <t>Resgatar ilustração triângulo equilátero roxo; g23_mdn_lt_4npm_p142; código antigo it1615_4pmm_g19_mdn</t>
  </si>
  <si>
    <t xml:space="preserve">i1108_4p011m_g27_e001 </t>
  </si>
  <si>
    <t xml:space="preserve">Resgatar ilustração mulher medindo altura de menina na parede; g23_mdn_lt_4npm_p142; código antigo i1616mm_4pmm_g19_mdn </t>
  </si>
  <si>
    <t>i1109_4p011m_g27_e001</t>
  </si>
  <si>
    <t xml:space="preserve">Resgatar ilustração régua de 15 cm em verdadeira grandeza; g23_mdn_lt_4npm_p143; código antigo i1618zz_4pmm_g19_mdn </t>
  </si>
  <si>
    <t>i1110_4p011m_g27_e001</t>
  </si>
  <si>
    <t xml:space="preserve">Resgatar ilustração régua de 5 cm; g23_mdn_lt_4npm_p143; código antigo i1618zz_4pmm_g19_mdn 
AJUSTE: cropar até 4 cm para que não sangre na página </t>
  </si>
  <si>
    <t xml:space="preserve">i1111_4p011m_g27_e001 </t>
  </si>
  <si>
    <t xml:space="preserve">Resgatar ilustração régua de 8 cm em verdadeira grandeza, medindo a base de um triângulo equilátero verde; g23_mdn_lt_4npm_p143; código antigo i1620zz_4pmm_g19_mdn 
AJUSTE: cropar até 7 cm para que não sangre na página </t>
  </si>
  <si>
    <t xml:space="preserve">i1112_4p011m_g27_e001 </t>
  </si>
  <si>
    <t xml:space="preserve">Resgatar ilustração triângulo amarelo; g23_mdn_lt_4npm_p143; código antigo it1621_4pmm_g19_mdn_ef </t>
  </si>
  <si>
    <t>i1113_4p011m_g27_e001</t>
  </si>
  <si>
    <t>Resgatar ilustração triângulo equilátero vermelho; g23_mdn_lt_4npm_p143; código antigo it1623_4pmm_g19_mdn</t>
  </si>
  <si>
    <t xml:space="preserve">i1114_4p011m_g27_e001 </t>
  </si>
  <si>
    <t xml:space="preserve">Resgatar ilustração retângulo vermelho; g23_mdn_lt_4npm_p143; código antigo it1624_4pmm_g19_mdn_ef </t>
  </si>
  <si>
    <t>i1115_4p011m_g27_e001</t>
  </si>
  <si>
    <t xml:space="preserve">Resgatar ilustração pentágono vermelho; g23_mdn_lt_4npm_p143; código antigo it1625_4pmm_g19_mdn </t>
  </si>
  <si>
    <t>i1116_4p011m_g27_e001</t>
  </si>
  <si>
    <t>Resgatar ilustração três linhas poligonais azul, verde e vermelho; g23_mdn_lt_4npm_p144. código antigo it1622_4pmm_g19_mdn - AJUSTE: Rotacionar imagem para que ela fique na vertical. Nesse caso, ajustar a posição das letras A e B. Manter o tamanho da imagem, pois precisa ficar em V.G.</t>
  </si>
  <si>
    <t>Esse código foi excluído porque a imagem virou resgate com o código i1153_4p011m_g27_e001</t>
  </si>
  <si>
    <t xml:space="preserve">i1117_4p011m_g27_e001 </t>
  </si>
  <si>
    <t xml:space="preserve">Resgatar ilustração linha poligonal aberta em formato espiral; g23_mdn_lt_4npm_p144; código antigo it1627_4pmm_g19_mdn </t>
  </si>
  <si>
    <t xml:space="preserve">i1118_4p011m_g27_e001 </t>
  </si>
  <si>
    <t xml:space="preserve">Resgatar ilustração linha poligonal aberta senoidal; g23_mdn_lt_4npm_p144; código antigo it1628_4pmm_g19_mdn </t>
  </si>
  <si>
    <t>i1119_4p011m_g27_e001</t>
  </si>
  <si>
    <t xml:space="preserve">Resgatar ilustração menino medindo o perímetro de um círculo utilizando uma folha de papel, barbante e régua; g23_mdn_lt_4npm_p144; código antigo i1629so_4pmm_g19_mdn_ef 
AJUSTE: separar a il. em A, B e C. </t>
  </si>
  <si>
    <t>i1124_4p011m_g27_e001</t>
  </si>
  <si>
    <t>Resgatar ilustração mapa mostrando parte do bairro, contendo uma escola, um posto de saúde e uma papelaria; g23_mdn_lt_4npm_p147; código antigo it1636_4pmm_g19_mdn</t>
  </si>
  <si>
    <t>m1126_4p011m_g27_e001</t>
  </si>
  <si>
    <t>Resgatar mapa percurso de Florianópolis (SC) até Vitória (ES); g23_mdn_lt_4npm_p149; código antigo m1619pr_4pmm_g19_mdn 
AJUSTE: separar em dois códigos A e B, sendo o mapa principal e o de localização</t>
  </si>
  <si>
    <t>A correta ficou no código m1150_4p011m_g27_e001</t>
  </si>
  <si>
    <t>pr</t>
  </si>
  <si>
    <t>i1127_4p011m_g27_e001</t>
  </si>
  <si>
    <t xml:space="preserve">Resgatar ilustração crianças discutindo sobre a capacidade de um galão de água e de uma garrafa; g23_mdn_lt_4npm_p150; código antigo i3010_4npm_g23_mdn_re </t>
  </si>
  <si>
    <t xml:space="preserve">i1128_4p011m_g27_e001 </t>
  </si>
  <si>
    <t>Resgatar ilustração detergente, caixa de leite, galão de água, balde e embalagem de água de coco; g23_mdn_lt_4npm_150; código antigo i2612ri_4npm_g23_mdn_aj</t>
  </si>
  <si>
    <t xml:space="preserve">i1129_4p011m_g27_e001 </t>
  </si>
  <si>
    <t>Resgatar ilustração criança conversando com um vendedor de suco; g23_mdn_lt_4npm_p151; código antigo i1642cg_4pmm_g19_mdn</t>
  </si>
  <si>
    <t xml:space="preserve">i1130_4p011m_g27_e001 </t>
  </si>
  <si>
    <t xml:space="preserve">Resgatar ilustração copo medidor 1L, preenchido com 700ml; g23_mdn_lt_4npm_p152; código antigo i1644zz_4pmm_g19_mdn 
AJUSTE: trocar l cursivo por L maiúsculo. </t>
  </si>
  <si>
    <t xml:space="preserve">i1131_4p011m_g27_e001 </t>
  </si>
  <si>
    <t xml:space="preserve">Resgatar ilustração copo medidor 1L, preenchido com 400ml; g23_mdn_lt_4npm_p152; código antigo i1645zz_4pmm_g19_mdn 
AJUSTE: trocar l cursivo por L maiúsculo. </t>
  </si>
  <si>
    <t xml:space="preserve">i1132_4p011m_g27_e001 </t>
  </si>
  <si>
    <t xml:space="preserve">Resgatar ilustração copo medidor 1L; preenchido com 900ml; g23_mdn_lt_4npm_p152; código antigo i1646zz_4pmm_g19_mdn 
AJUSTE: trocar l cursivo por L maiúsculo. </t>
  </si>
  <si>
    <t>i1133_4p011m_g27_e001</t>
  </si>
  <si>
    <t>Resgatar ilustração copo medidor preenchido 3/5; g23_mdn_lt_4npm_p152; código antigo i1647zz_4pmm_g19_mdn</t>
  </si>
  <si>
    <t>i1134_4p011m_g27_e001</t>
  </si>
  <si>
    <t>Resgatar ilustração copo medidor preenchido 1/4; g23_mdn_lt_4npm_p152; código antigo i1648zz_4pmm_g19_mdn</t>
  </si>
  <si>
    <t xml:space="preserve">i1135_4p011m_g27_e001 </t>
  </si>
  <si>
    <t>Resgatar ilustração copo medidor preenchido 8/10; g23_mdn_lt_4npm_p152; código antigo i1649zz_4pmm_g19_mdn</t>
  </si>
  <si>
    <t xml:space="preserve">i1136_4p011m_g27_e001 </t>
  </si>
  <si>
    <t>Resgatar ilustração dois recipientes 1L e 600ml; g23_mdn_lt_4npm_p153; código antigo i1650ri_4pmm_g19_mdn</t>
  </si>
  <si>
    <t>i1137_4p011m_g27_e001</t>
  </si>
  <si>
    <t xml:space="preserve">Resgatar ilustração 2 recipientes vazios e 1 recipiente com 1600ml; g23_mdn_lt_4npm_p153; código antigo i1651ri_4pmm_g19_mdn 
AJUSTE: trocar l cursivo por L maiúsculo. </t>
  </si>
  <si>
    <t xml:space="preserve">i1138_4p011m_g27_e001 </t>
  </si>
  <si>
    <t xml:space="preserve">Resgatar ilustração homem com chapéu de aniversário e 12 garrafas de suco; g23_mdn_lt_4npm_p153; código antigo i1652cz_4pmm_g19_mdn 
AJUSTE: ajustar para que se adeque ao grid e não sangre na página. </t>
  </si>
  <si>
    <t xml:space="preserve">i1140_4p011m_g27_e001 </t>
  </si>
  <si>
    <t>Resgatar ilustração duas garrafas de suco de laranja com capacidades de 500ml e de 1L; g23_mdn_lt_4npm_p154; código antigo i1653ri_4pmm_g19_mdn_ef 
AJUSTE: trocar l minúsculo por L maiúsculo.</t>
  </si>
  <si>
    <t xml:space="preserve">i1141_4p011m_g27_e001 </t>
  </si>
  <si>
    <t xml:space="preserve">Resgatar ilustração figuras geométricas, quadrados e triângulos coloridos; g23_mdn_lt_4npm_p155; código antigo it3012ri_4npm_g23_mdn_aj </t>
  </si>
  <si>
    <t>i1142_4p011m_g27_e001</t>
  </si>
  <si>
    <t xml:space="preserve">Resgatar ilustração formas geométricas laranjas representadas em uma malha quadriculada; g23_mdn_lt_4npm_p156; código antigo i3011_4npm_g23_mdn_re </t>
  </si>
  <si>
    <t xml:space="preserve">i1143_4p011m_g27_e001 </t>
  </si>
  <si>
    <t>Resgatar ilustração triângulo laranja; g23_mdn_lt_4npm_p156; código antigo i1664_4pmm_g19_mdn</t>
  </si>
  <si>
    <t xml:space="preserve">i1144_4p011m_g27_e001 </t>
  </si>
  <si>
    <t>Resgatar ilustração quadrado laranja; g23_mdn_lt_4npm_p156; código antigo i1665_4pmm_g19_mdn</t>
  </si>
  <si>
    <t>i1145_4p011m_g27_e001</t>
  </si>
  <si>
    <t>Resgatar ilustração formas geométricas azuis representadas em uma malha quadriculada; g23_mdn_lt_4npm_p156; código antigo i1657ri_4pmm_g19_mdn
AJUSTE: retirar letras A, B e C da ilustração, pois serão inseridas pela diagramação.</t>
  </si>
  <si>
    <t xml:space="preserve">i1146_4p011m_g27_e001 </t>
  </si>
  <si>
    <t>Resgatar ilustração quadrado azul; g23_mdn_lt_4npm_p156; código antigo i1657Ari_4pmm_g19_mdn</t>
  </si>
  <si>
    <t xml:space="preserve">i1147_4p011m_g27_e001 </t>
  </si>
  <si>
    <t xml:space="preserve">Resgatar ilustração 4 garradas com quantidades diferentes de água dentro; g23_mdn_lt_4npm_p157; código antigo i1661sl_4npm_m20_mdn 
AJUSTE: trocar l cursivo por L maiúsculo. </t>
  </si>
  <si>
    <t xml:space="preserve">i1148_4p011m_g27_e001 </t>
  </si>
  <si>
    <t xml:space="preserve">Resgatar ilustração formas geométricas azuis claros representados em uma malha quadriculada; g23_mdn_lt_4npm_p157; código antigo it3014ae_4npm_g23_mdn_aj </t>
  </si>
  <si>
    <t xml:space="preserve">i1149_4p011m_g27_e001 </t>
  </si>
  <si>
    <t>Resgatar ilustração quadrado azul claro; g23_mdn_lt_4npm_p156; código antigo i1663_4npm_m20_mdn</t>
  </si>
  <si>
    <t xml:space="preserve">i6101_3p011m_g27_e001 </t>
  </si>
  <si>
    <t>OVJS</t>
  </si>
  <si>
    <t>Resgatar ilustração de 1 placa e 5 barras do material dourado da página 6 do g23_mdn_lt_3npm. Código antigo i0230zz_3npm_g23_mdn</t>
  </si>
  <si>
    <t xml:space="preserve">i6102_3p011m_g27_e001 </t>
  </si>
  <si>
    <t xml:space="preserve">Resgatar ilustração de 1 placa, 5 barras e 5 cubinhos do material dourado da página 6 do g23_mdn_lt_3npm. Código antigo i0231zz_3npm_g23_mdn </t>
  </si>
  <si>
    <t>i6103_3p011m_g27_e001</t>
  </si>
  <si>
    <t xml:space="preserve">Resgatar ilustração de 1 placa e 5 cubinhos do material dourado da página 6 do g23_mdn_lt_3npm. Código antigo i0233zz _3npm_g23_mdn </t>
  </si>
  <si>
    <t xml:space="preserve">i6104_3p011m_g27_e001 </t>
  </si>
  <si>
    <t xml:space="preserve">Resgatar ilustração de malha quadriculada com  2 retângulos,  1 quadrado e 1 triângulo desenhados em cor resposta da página 6 do g23_mdn_lt_3npm. Código antigo i0237pn_3npm_g23_mdn 
AJUSTE: Retirar as figuras geométricas e manter APENAS a malha quadriculada. Além disso, aumentar a quantidade de quadrinhos da malha para que ocupe toda a mancha. </t>
  </si>
  <si>
    <t xml:space="preserve">i6108_3p011m_g27_e001 </t>
  </si>
  <si>
    <t xml:space="preserve">Resgatar ilustração de labirinto com cálculos da página 7 do g23_mdn_lt_3npm. Código antigo i0239_3npm_g23_mdn_re </t>
  </si>
  <si>
    <t>i6105_3p011m_g27_e001</t>
  </si>
  <si>
    <t xml:space="preserve">Resgatar ilustração do relógio de ponteiros indicando 9 h da página 8 do g23_mdn_lt_3npm. Código antigo i0240zz_3npm_g23_mdn_aj </t>
  </si>
  <si>
    <t>i6106_30p11m_g27_e001</t>
  </si>
  <si>
    <t xml:space="preserve">Resgatar ilustração do relógio de ponteiros indicando 12 h da página 8 do g23_mdn_lt_3npm. Código antigo i0241zz_3npm_g23_mdn_aj </t>
  </si>
  <si>
    <t xml:space="preserve">i6107_3p011m_g27_e001 </t>
  </si>
  <si>
    <t xml:space="preserve">Resgatar ilustração do relógio de ponteiros indicando 1 h da página 8 do g23_mdn_lt_3npm. Código antigo i0242zz_3npm_g23_mdn_aj </t>
  </si>
  <si>
    <t xml:space="preserve">i6109_3p011m_g27_e001 </t>
  </si>
  <si>
    <t xml:space="preserve">Resgatar ilustração do relógio de ponteiros indicando 6 h da página 8 do g23_mdn_lt_3npm. Código antigo i0243zz_3npm_g23_mdn_aj </t>
  </si>
  <si>
    <t xml:space="preserve">i6110_3p011m_g27_e001 </t>
  </si>
  <si>
    <t xml:space="preserve">Resgatar ilustração do relógio digital indicando 1 h da página 8 do g23_mdn_lt_3npm. Código antigo i0244_3npm_g23_mdn_re </t>
  </si>
  <si>
    <t xml:space="preserve">i6111_3p011m_g27_e001 </t>
  </si>
  <si>
    <t xml:space="preserve">Resgatar ilustração do relógio digital indicando 6 h da página 8 do g23_mdn_lt_3npm. Código antigo i0245_3npm_g23_mdn_re </t>
  </si>
  <si>
    <t>i6112_3p011m_g27_e001</t>
  </si>
  <si>
    <t xml:space="preserve">Resgatar ilustração do relógio digital indicando 12 h da página 8 do g23_mdn_lt_3npm. Código antigo i0246_3npm_g23_mdn_re </t>
  </si>
  <si>
    <t>i6113_3p011m_g27_e001</t>
  </si>
  <si>
    <t>Resgatar ilustração do relógio digital indicando 9 h da página 8 do g23_mdn_lt_3npm. Código antigo i0247_3npm_g23_mdn_re</t>
  </si>
  <si>
    <t>g6114_3p011m_g27_e001</t>
  </si>
  <si>
    <t xml:space="preserve">Resgatar ilustração do gráfico de barras com uma barra verde e as outras para o estudante pintar da página 9 do g23_mdn_lt_3npm. Código antigo gt0248pn_3npm_g23_mdn 
AJUSTE: tirar a cor resposta da imagem. </t>
  </si>
  <si>
    <t xml:space="preserve">i0712_3p011m_g27_e001 </t>
  </si>
  <si>
    <t xml:space="preserve">Ilustração de caderno no novo padrão do projeto gráfico com o cálculo de 
13−8 utilizando tracinhos, conforme a referência a seguir. </t>
  </si>
  <si>
    <t>BRUNA CAMPOS/VINÍCIUS COSTA/ARQUIVO DA EDITORA</t>
  </si>
  <si>
    <t xml:space="preserve">i0735_3p011m_g27_e001 </t>
  </si>
  <si>
    <t xml:space="preserve">Resgatar ilustração de um ábaco no padrão da obra com o número 35 representado do g23_mdn_lt_3npm_p053, código antigo i0606rn_3pmm_g19_mdn </t>
  </si>
  <si>
    <t xml:space="preserve">i0736_3p011m_g27_e001 </t>
  </si>
  <si>
    <t xml:space="preserve">Resgatar e ajustar ilustração de um ábaco no padrão da obra representando o número 31 g23_mdn_lt_2npm, código antigo i0237_2pmm_g19_mdn e resgatar 1 conta do ábaco do g23_mdn_lt_3npm, código antigo i0671zz_3npm_m20_mdn_re 
AJUSTES: tirar uma conta da Dezena ficanco o número 21 e colocar ao lado do ábaco 5 contas, como se elas tivessem sido retiradas do ábaco. </t>
  </si>
  <si>
    <t xml:space="preserve">i0738_3p011m_g27_e001 </t>
  </si>
  <si>
    <t xml:space="preserve">Resgatar ilustração de 3 fichas com pontos. Veio de: g23_mdn_lt_3npm_p079. Código antigo: i0705rn_3npm_m20_mdn </t>
  </si>
  <si>
    <t xml:space="preserve">g0716_3p011m_g27_e001 </t>
  </si>
  <si>
    <t xml:space="preserve">Resgatar e ajustar gráfico sobre pesquisa sobre o uso do computador no dia a dia dos estudantes, da página 69 do g23_mdn_lt_3npm_p064a069_u3. Código antigo i0621rm_3pmm_g19_mdn  
AJUSTE: Adicionar eixo faltante (horizontal) e os nomes do eixo. O nome do eixo horizontal será "Quantidade de estudantes" e o eixo vertical será "Frequência de uso" 
AJUSTE: inserir eixo horizontal e os nomes do eixo. O nome do eixo horizontal será "Quantidade de estudantes" e o eixo vertical será "Frequência de uso". No eixo horizontal, deixar a escala de 3 em 3. Aproximar os bonequinhos do eixo vertical e retirar o fundo cor que está embaixo dos bonequinhos. Ver referência a seguir. </t>
  </si>
  <si>
    <t xml:space="preserve">i1704_4p011m_g27_e001 </t>
  </si>
  <si>
    <t xml:space="preserve">Resgatar ilustração de uma menina com uma representação de fração mas mãos. Veio de: g23_mdn_lt_4npm_p192. Código antigo: i2203sh_4pmm_g19_mdn </t>
  </si>
  <si>
    <t>i1705_4p011m_g27_e001</t>
  </si>
  <si>
    <t xml:space="preserve">Resgatar ilustração da representação da fração dois décimos. Veio de: g23_mdn_lt_4npm_p192. Código antigo: i2204sh_4pmm_g19_mdn </t>
  </si>
  <si>
    <t xml:space="preserve">i1706_4p011m_g27_e001 </t>
  </si>
  <si>
    <t>Resgatar ilustração da representação da fração seis décimos. Veio de: g23_mdn_lt_4npm_p192. Código antigo: i2205sh_4pmm_g19_mdn</t>
  </si>
  <si>
    <t xml:space="preserve">i1707_4p011m_g27_e001 </t>
  </si>
  <si>
    <t xml:space="preserve">Resgatar ilustração da representação da fração nove décimos. Veio de: g23_mdn_lt_4npm_p192. Código antigo: i2206sh_4pmm_g19_mdn </t>
  </si>
  <si>
    <t xml:space="preserve">i1708_4p011m_g27_e001 </t>
  </si>
  <si>
    <t>Resgatar ilustração de um retângulo representando a fração sete décimos. Veio de: g23_mdn_lt_4npm_p192. Código antigo: it2207_4pmm_g19_mdn</t>
  </si>
  <si>
    <t xml:space="preserve">i1709_4p011m_g27_e001 </t>
  </si>
  <si>
    <t xml:space="preserve">Resgatar ilustração da representação da fração três décimos. Veio de: g23_mdn_lt_4npm_p192. Código antigo: it2208_4pmm_g19_mdn </t>
  </si>
  <si>
    <t xml:space="preserve">i1710_4p011m_g27_e001 </t>
  </si>
  <si>
    <t xml:space="preserve">Resgatar ilustração da representação da fração quatro décimos. Veio de: g23_mdn_lt_4npm_p192. Código antigo: it2209_4pmm_g19_mdn </t>
  </si>
  <si>
    <t xml:space="preserve">i1711_4p011m_g27_e001 </t>
  </si>
  <si>
    <t xml:space="preserve">Resgatar ilustração de um circulo representando a fração seis décimos. Veio de: g23_mdn_lt_4npm_p193. Código antigo: it2210_4pmm_g19_mdn </t>
  </si>
  <si>
    <t xml:space="preserve">i1712_4p011m_g27_e001 </t>
  </si>
  <si>
    <t xml:space="preserve">Resgatar ilustração de uma professora explicando no quadro. Veio de: g23_mdn_lt_4npm_p193. Código antigo: i4203rl_4npm_g23_mdn_aj </t>
  </si>
  <si>
    <t xml:space="preserve">i1713_4p011m_g27_e001 </t>
  </si>
  <si>
    <t xml:space="preserve">Resgatar ilustração da representação de fração em pentágonos. Veio de: g23_mdn_lt_4npm_p193. Código antigo: it2212_4pmm_g19_mdn </t>
  </si>
  <si>
    <t>i1714_4p011m_g27_e001</t>
  </si>
  <si>
    <t xml:space="preserve">Resgatar ilustração da representação de fração em barras. Veio de: g23_mdn_lt_4npm_p193. Código antigo: it2213_4pmm_g19_mdn </t>
  </si>
  <si>
    <t xml:space="preserve">i1715_4p011m_g27_e001 </t>
  </si>
  <si>
    <t xml:space="preserve">Resgatar ilustração da de um menino com o indicador para cima. Veio de: g23_mdn_lt_4npm_p194. Código antigo: i2215rl_4pmm_g19_mdn </t>
  </si>
  <si>
    <t xml:space="preserve">i1716_4p011m_g27_e001 </t>
  </si>
  <si>
    <t xml:space="preserve">Resgatar representação da fração um centésimo em uma placa. Veio de: g23_mdn_lt_4npm_p194. Código antigo: it2214_4pmm_g19_mdn </t>
  </si>
  <si>
    <t xml:space="preserve">i1717_4p011m_g27_e001 </t>
  </si>
  <si>
    <t xml:space="preserve">Resgatar representação da fração nove centésimos em uma placa. Veio de: g23_mdn_lt_4npm_p194. Código antigo: it2216_4pmm_g19_mdn </t>
  </si>
  <si>
    <t xml:space="preserve">i1718_4p011m_g27_e001 </t>
  </si>
  <si>
    <t xml:space="preserve">Resgatar representação da fração trinta e seis centésimos em uma placa. Veio de: g23_mdn_lt_4npm_p194. Código antigo: it2217_4pmm_g19_mdn </t>
  </si>
  <si>
    <t>i1719_4p011m_g27_e001</t>
  </si>
  <si>
    <t>Resgatar representação de fração em placas. Veio de: g23_mdn_lt_4npm_p195. Código antigo: it2218_4pmm_g19_mdn</t>
  </si>
  <si>
    <t xml:space="preserve">i1720_4p011m_g27_e001 </t>
  </si>
  <si>
    <t xml:space="preserve">Resgatar ilustração de uma régua amarela. Veio de: g23_mdn_lt_4npm_p195. Código antigo: i2219_4pmm_g19_mdn </t>
  </si>
  <si>
    <t>lm</t>
  </si>
  <si>
    <t>i1721_4p011m_g27_e001</t>
  </si>
  <si>
    <t xml:space="preserve">Resgatar ilustração de um pedaço de barbante. Veio de: g23_mdn_lt_4npm_p195. Código antigo: i2220_4pmm_g19_mdn </t>
  </si>
  <si>
    <t>i1723_4p011m_g27_e001</t>
  </si>
  <si>
    <t xml:space="preserve">Resgatar ilustração de enuncio de um joao online. Veio de: g23_mdn_lt_4npm_p197. Código antigo: i2222ri_4pmm_g19_mdn </t>
  </si>
  <si>
    <t xml:space="preserve">i1724_4p011m_g27_e001 </t>
  </si>
  <si>
    <t xml:space="preserve">Resgatar ilustração de material dourado. Veio de: g23_mdn_lt_4npm_p197. Código antigo: i2223_4pmm_g19_mdn </t>
  </si>
  <si>
    <t xml:space="preserve">i1725_4p011m_g27_e001 </t>
  </si>
  <si>
    <t xml:space="preserve">Resgatar ilustração de uma menina falando. Veio de: g23_mdn_lt_4npm_p198. Código antigo: i4206_4npm_g23_mdn_re </t>
  </si>
  <si>
    <t xml:space="preserve">i1726_4p011m_g27_e001 </t>
  </si>
  <si>
    <t xml:space="preserve">Resgatar ilustração de reta numérica para completar. Veio de: g23_mdn_lt_4npm_p199. Código antigo: it4207ri_4npm_g23_mdn_aj 
AJUSTE: retirar números em cor resposta </t>
  </si>
  <si>
    <t xml:space="preserve">i1727_4p011m_g27_e001 </t>
  </si>
  <si>
    <t xml:space="preserve">Resgatar ilustração de uma mulher colocando lixo na lixeira. Veio de: g23_mdn_lt_4npm_p199. Código antigo: i2226za_4pmm_g19_mdn </t>
  </si>
  <si>
    <t xml:space="preserve">i1729_4p011m_g27_e001 </t>
  </si>
  <si>
    <t xml:space="preserve">Resgatar ilustração de um menino de cadeira de rodas. Veio de: g23_mdn_lt_4npm_p200. Código antigo: i5204za_4m4sem_m20_stl_aj </t>
  </si>
  <si>
    <t xml:space="preserve">i1732_4p011m_g27_e001 </t>
  </si>
  <si>
    <t xml:space="preserve">Resgatar ilustração de paralelogramo. Veio de: g23_mdn_lt_4npm_p202. Código antigo: it2230_4pmm_g19_mdn </t>
  </si>
  <si>
    <t xml:space="preserve">i1733_4p011m_g27_e001 </t>
  </si>
  <si>
    <t xml:space="preserve">Resgatar ilustração de um trapézio. Veio de: g23_mdn_lt_4npm_p202. Código antigo: it2231_4pmm_g19_mdn </t>
  </si>
  <si>
    <t xml:space="preserve">i1734_4p011m_g27_e001 </t>
  </si>
  <si>
    <t>Resgatar ilustração de uma bola. Veio de: g23_mdn_lt_4npm_p203. Código antigo: i2232lm_4pmm_g19_mdn</t>
  </si>
  <si>
    <t xml:space="preserve">i1736_4p011m_g27_e001 </t>
  </si>
  <si>
    <t>Resgatar ilustração do visor de uma calculadora exibindo 3.27. Veio de: g23_mdn_lt_4npm_p205. Código antigo: i2238_4pmm_g19_mdn</t>
  </si>
  <si>
    <t>i1737_4p011m_g27_e001</t>
  </si>
  <si>
    <t xml:space="preserve">Resgatar ilustração do visor de uma calculadora exibindo 1.13. Veio de: g23_mdn_lt_4npm_p205. Código antigo: i2239_4pmm_g19_mdn </t>
  </si>
  <si>
    <t>i1738_4p011m_g27_e001</t>
  </si>
  <si>
    <t>Resgatar ilustração do visor de uma calculadora exibindo 2.14. Veio de: g23_mdn_lt_4npm_p205. Código antigo: i2240_4pmm_g19_mdn 
AJUSTE: Ajustar o visor para que fique em fundo cor normal do padrão e com o número 2.14 na cor branca. (sem cor resposta).</t>
  </si>
  <si>
    <t xml:space="preserve">i1743_4p011m_g27_e001 </t>
  </si>
  <si>
    <t xml:space="preserve">Resgatar ilustração de um círculo representando fração dois quintos. Veio de: g23_mdn_lt_4npm_p210. Código antigo: it3811_4npm_g23_mdn_re </t>
  </si>
  <si>
    <t xml:space="preserve">i1744_4p011m_g27_e001 </t>
  </si>
  <si>
    <t xml:space="preserve">Resgatar um quadrado representando a fração três quartos. Veio de: g23_mdn_lt_4npm_p210. Código antigo: it3813_4npm_g23_mdn_re </t>
  </si>
  <si>
    <t xml:space="preserve">i1745_4p011m_g27_e001 </t>
  </si>
  <si>
    <t xml:space="preserve">Resgatar um triangulo representando a fração um terço. Veio de: g23_mdn_lt_4npm_p210. Código antigo: it3812_4npm_g23_mdn_re </t>
  </si>
  <si>
    <t xml:space="preserve">i1746_4p011m_g27_e001 </t>
  </si>
  <si>
    <t xml:space="preserve">Resgatar ilustração de um hexágono representando a fração quatro sextos. Veio de: g23_mdn_lt_4npm_p210. Código antigo: it3814_4npm_g23_mdn_re </t>
  </si>
  <si>
    <t xml:space="preserve">i1747_4p011m_g27_e001 </t>
  </si>
  <si>
    <t xml:space="preserve">Resgatar ilustração de bexigas vermelhas e brancas. Veio de: g23_mdn_lt_4npm_p210. Código antigo: it3815_4npm_g23_mdn_re </t>
  </si>
  <si>
    <t xml:space="preserve">i1748_4p011m_g27_e001 </t>
  </si>
  <si>
    <t xml:space="preserve">Resgatar ilustração de estrelas vermelhas e brancas. Veio de: g23_mdn_lt_4npm_p210. Código antigo: it3816_4npm_g23_mdn_re </t>
  </si>
  <si>
    <t xml:space="preserve">i1749_4p011m_g27_e001 </t>
  </si>
  <si>
    <t xml:space="preserve">Resgatar ilustração de um quadrado representando uma fração. Veio de: g23_mdn_lt_4npm_p210. Código antigo: it3817_4npm_g23_mdn_re </t>
  </si>
  <si>
    <t xml:space="preserve">i1750_4p011m_g27_e001 </t>
  </si>
  <si>
    <t xml:space="preserve">Resgatar ilustração de um quadrado representando uma fração. Veio de: g23_mdn_lt_4npm_p210. Código antigo: it3818_4npm_g23_mdn_re </t>
  </si>
  <si>
    <t xml:space="preserve">i1751_4p011m_g27_e001 </t>
  </si>
  <si>
    <t xml:space="preserve">Resgatar ilustração de eneágono representando uma fração. Veio de: g23_mdn_lt_4npm_p210. Código antigo: it3819_4npm_g23_mdn_re </t>
  </si>
  <si>
    <t xml:space="preserve">i1752_4p011m_g27_e001 </t>
  </si>
  <si>
    <t xml:space="preserve">Resgatar ilustração de eneágono representando uma fração. Veio de: g23_mdn_lt_4npm_p210. Código antigo: it3820_4npm_g23_mdn_re </t>
  </si>
  <si>
    <t xml:space="preserve">i1305_4p011m_g27_e001 </t>
  </si>
  <si>
    <t xml:space="preserve">Resgatar ilustração de círculos repartidos. Veio de: g23_mdn_lt_4npm_p179 Código antigo: i3415ri_4npm_g23_mdn_aj </t>
  </si>
  <si>
    <t xml:space="preserve">i1306_4p011m_g27_e001 </t>
  </si>
  <si>
    <t xml:space="preserve">Resgatar ilustração de um círculo dividido em 2. Veio de: g23_mdn_lt_4npm_p179 Código antigo: i2011ri_4pmm_g19_mdn 
AJUSTE: separar il, deixar nesse código o círculo “completo” com as duas metades </t>
  </si>
  <si>
    <t xml:space="preserve">i1307_4p011m_g27_e001 </t>
  </si>
  <si>
    <t xml:space="preserve">Resgatar ilustração da metade de um círculo. Veio de: g23_mdn_lt_4npm_p179 Código antigo: i2011ri_4pmm_g19_mdn1 
AJUSTE: separar il, deixar nesse código um semicírculo (a metade esquerda do círculo) </t>
  </si>
  <si>
    <t xml:space="preserve">i1308_4p011m_g27_e001 </t>
  </si>
  <si>
    <t xml:space="preserve">Resgatar ilustração de um círculo divido em 3 partes. Veio de: g23_mdn_lt_4npm_p179 Código antigo: i2012ri_4pmm_g19_mdn 
AJUSTE: separar il, deixar nesse código o círculo “completo”, formado pelas três partes soltas </t>
  </si>
  <si>
    <t xml:space="preserve">i1309_4p011m_g27_e001 </t>
  </si>
  <si>
    <t xml:space="preserve">Resgatar ilustração de um terço de um círculo. Veio de: g23_mdn_lt_4npm_p179 Código antigo: i2012ri_4pmm_g19_mdn1 
AJUSTE: separar il, deixar nesse código apenas uma parte do círculo (a parte esquerda) </t>
  </si>
  <si>
    <t xml:space="preserve">i1310_4p011m_g27_e001 </t>
  </si>
  <si>
    <t xml:space="preserve">Resgatar ilustração de um círculo divido em 4 partes. Veio de: g23_mdn_lt_4npm_p180 Código antigo: i2013ri_4pmm_g19_mdn </t>
  </si>
  <si>
    <t xml:space="preserve">i1311_4p011m_g27_e001 </t>
  </si>
  <si>
    <t xml:space="preserve">Resgatar ilustração de um quarto do círculo. Veio de: g23_mdn_lt_4npm_p180 Código antigo: i2014ri_4pmm_g19_mdn </t>
  </si>
  <si>
    <t xml:space="preserve">i1312_4p011m_g27_e001 </t>
  </si>
  <si>
    <t xml:space="preserve">Resgatar ilustração de um círculo divido em 5 partes. Veio de: g23_mdn_lt_4npm_p180. Código antigo: i2015ri_4pmm_g19_mdn </t>
  </si>
  <si>
    <t xml:space="preserve">i1313_4p011m_g27_e001 </t>
  </si>
  <si>
    <t xml:space="preserve">Resgatar ilustração de um quinto do círculo. Veio de: g23_mdn_lt_4npm_p180 Código antigo: i2016ri_4pmm_g19_mdn </t>
  </si>
  <si>
    <t xml:space="preserve">i1314_4p011m_g27_e001 </t>
  </si>
  <si>
    <t xml:space="preserve">Resgatar ilustração de um círculo representando a fração 2/6
. Veio de: g23_mdn_lt_4npm_p180 Código antigo: it2017_4pmm_g19_mdn </t>
  </si>
  <si>
    <t xml:space="preserve">i1315_4p011m_g27_e001 </t>
  </si>
  <si>
    <t xml:space="preserve">Resgatar ilustração de um círculo representando a fração cinco sextos. Veio de: g23_mdn_lt_4npm_p180 Código antigo: it2018_4pmm_g19_mdn </t>
  </si>
  <si>
    <t xml:space="preserve">i1316_4p011m_g27_e001 </t>
  </si>
  <si>
    <t xml:space="preserve">Resgatar ilustração de um círculo representando a fração três sextos. Veio de: g23_mdn_lt_4npm_p180 Código antigo: it2019_4pmm_g19_mdn </t>
  </si>
  <si>
    <t xml:space="preserve">i1317_4p011m_g27_e001 </t>
  </si>
  <si>
    <t xml:space="preserve">Resgatar ilustração de um círculo representando a fração quatro sextos. Veio de: g23_mdn_lt_4npm_p180 Código antigo: it2020_4pmm_g19_mdn </t>
  </si>
  <si>
    <t xml:space="preserve">i1318_4p011m_g27_e001 </t>
  </si>
  <si>
    <t xml:space="preserve">Resgatar ilustração de um pentágono representando a fração três quintos. Veio de: g23_mdn_lt_4npm_p181.Código antigo: it2021_4pmm_g19_mdn </t>
  </si>
  <si>
    <t xml:space="preserve">i1319_4p011m_g27_e001 </t>
  </si>
  <si>
    <t xml:space="preserve">Resgatar ilustração de um octógono representando a fração cinco oitavos. Veio de: g23_mdn_lt_4npm_p181.Código antigo: it2022_4pmm_g19_mdn </t>
  </si>
  <si>
    <t xml:space="preserve">i1320_4p011m_g27_e001 </t>
  </si>
  <si>
    <t xml:space="preserve">Resgatar ilustração de um hexágono representando a fração dois terços. Veio de: g23_mdn_lt_4npm_p181.Código antigo: it2023_4pmm_g19_mdn </t>
  </si>
  <si>
    <t xml:space="preserve">i1321_4p011m_g27_e001 </t>
  </si>
  <si>
    <t xml:space="preserve">Resgatar ilustração de um quadrilátero representando a fração seis nonos. Veio de: g23_mdn_lt_4npm_p181.Código antigo: it2024_4pmm_g19_mdn </t>
  </si>
  <si>
    <t>i1322_4p011m_g27_e001</t>
  </si>
  <si>
    <t xml:space="preserve">Resgatar ilustração de um triangulo representando a fração um meio. Veio de: g23_mdn_lt_4npm_p181.Código antigo: it2025_4pmm_g19_mdn </t>
  </si>
  <si>
    <t xml:space="preserve">i1323_4p011m_g27_e001 </t>
  </si>
  <si>
    <t xml:space="preserve">Resgatar ilustração de um triangulo representando a fração dois quintos. Veio de: g23_mdn_lt_4npm_p181.Código antigo: it2026_4pmm_g19_mdn </t>
  </si>
  <si>
    <t xml:space="preserve">i1324_4p011m_g27_e001 </t>
  </si>
  <si>
    <t>Resgatar ilustração de um circulo representando a fração um quarto. Veio de: g23_mdn_lt_4npm_p181.Código antigo: it2027_4pmm_g19_mdn</t>
  </si>
  <si>
    <t xml:space="preserve">i1325_4p011m_g27_e001 </t>
  </si>
  <si>
    <t xml:space="preserve">Resgatar ilustração de um quadrado representando a fração três oitavos. Veio de: g23_mdn_lt_4npm_p181.Código antigo: it2028_4pmm_g19_mdn </t>
  </si>
  <si>
    <t xml:space="preserve">i1326_4p011m_g27_e001 </t>
  </si>
  <si>
    <t>Resgatar ilustração de um quadrado com diferentes representações de frações. Veio de: g23_mdn_lt_4npm_p181.Código antigo: it2029_4pmm_g19_mdn</t>
  </si>
  <si>
    <t xml:space="preserve">i1327_4p011m_g27_e001 </t>
  </si>
  <si>
    <t>Resgatar ilustração de uma menina. Veio de: g23_mdn_lt_4npm_p181.Código antigo: i2030sh_4pmm_g19_mdn</t>
  </si>
  <si>
    <t xml:space="preserve">i1328_4p011m_g27_e001 </t>
  </si>
  <si>
    <t xml:space="preserve">Resgatar ilustração da fração 1/2 na reta numérica. Veio de: g23_mdn_lt_4npm_p182.Código antigo: it3804ri_4npm_g23_mdn_aj 
AJUSTE: retirar tudo que estiver em cor resposta. </t>
  </si>
  <si>
    <t xml:space="preserve">i1329_4p011m_g27_e001 </t>
  </si>
  <si>
    <t>Resgatar ilustração da fração 1/3 na reta numérica. Veio de: g23_mdn_lt_4npm_p182.Código antigo: it3805ri_4npm_g23_mdn_aj 
AJUSTE: retirar tudo que estiver em cor resposta.</t>
  </si>
  <si>
    <t xml:space="preserve">i1330_4p011m_g27_e001 </t>
  </si>
  <si>
    <t xml:space="preserve">Resgatar ilustração da fração 1/4 na reta numérica. Veio de: g23_mdn_lt_4npm_p182.Código antigo: it3806ri_4npm_g23_mdn_aj 
AJUSTE: retirar tudo que estiver em cor resposta. </t>
  </si>
  <si>
    <t xml:space="preserve">i1331_4p011m_g27_e001 </t>
  </si>
  <si>
    <t xml:space="preserve">Resgatar ilustração da fração 1/5 na reta numérica. Veio de: g23_mdn_lt_4npm_p182.Código antigo: it3807ri_4npm_g23_mdn_aj 
AJUSTE: retirar tudo que estiver em cor resposta. </t>
  </si>
  <si>
    <t xml:space="preserve">i1332_4p011m_g27_e001 </t>
  </si>
  <si>
    <t xml:space="preserve">Resgatar ilustração da fração 1/10 na reta numérica. Veio de: g23_mdn_lt_4npm_p182.Código antigo: it3808ri_4npm_g23_mdn_aj 
AJUSTE: retirar tudo que estiver em cor resposta. </t>
  </si>
  <si>
    <t xml:space="preserve">i1333_4p011m_g27_e001 </t>
  </si>
  <si>
    <t xml:space="preserve">Resgatar ilustração de um professor. Veio de: g23_mdn_lt_4npm_p182.Código antigo: i3809so_4npm_g23_mdn_aj </t>
  </si>
  <si>
    <t xml:space="preserve">i1334_4p011m_g27_e001 </t>
  </si>
  <si>
    <t xml:space="preserve">Resgatar ilustração de um esquema de uma horta. Veio de: g23_mdn_lt_4npm_p182.Código antigo: i2037ri_4pmm_g19_mdn </t>
  </si>
  <si>
    <t xml:space="preserve">i1335_4p011m_g27_e001 </t>
  </si>
  <si>
    <t xml:space="preserve">Resgatar ilustração de aquário com peixes amarelos e vermelhos. Veio de: g23_mdn_lt_4npm_p184.Código antigo: i2044ri_4pmm_g19_mdn </t>
  </si>
  <si>
    <t xml:space="preserve">i1336_4p011m_g27_e001 </t>
  </si>
  <si>
    <t xml:space="preserve">Resgatar ilustração de aquário com peixes coloridos. Veio de: g23_mdn_lt_4npm_p184.Código antigo: i2045ri_4pmm_g19_mdn </t>
  </si>
  <si>
    <t xml:space="preserve">i1338_4p011m_g27_e001 </t>
  </si>
  <si>
    <t xml:space="preserve">Resgatar ilustração de bandeirinhas juninas. Veio de: g23_mdn_lt_4npm_p186. Código antigo: i2051ri_4pmm_g19_mdn </t>
  </si>
  <si>
    <t xml:space="preserve">i1339_4p011m_g27_e001 </t>
  </si>
  <si>
    <t xml:space="preserve">Resgatar ilustração de recipientes com diferentes representações de fração. Veio de: g23_mdn_lt_4npm_p186. Código antigo: i2052xx_4pmm_g19_mdn </t>
  </si>
  <si>
    <t xml:space="preserve">i1340_4p011m_g27_e001 </t>
  </si>
  <si>
    <t xml:space="preserve">Resgatar ilustração de uma reta numérica para preencher as frações. Veio de: g23_mdn_lt_4npm_p187. Código antigo: it2056_4pmm_g19_mdn 
AJUSTE: retirar tudo que estiver em cor resposta. </t>
  </si>
  <si>
    <t xml:space="preserve">i1346_4p011m_g27_e001 </t>
  </si>
  <si>
    <t>Resgatar ilustração de um professor apontando para o quadro. Veio de: g23_mdn_lt_4npm_p190. Código antigo: i2049sh_4pmm_g19_mdn</t>
  </si>
  <si>
    <t xml:space="preserve">i1347_4p011m_g27_e001 </t>
  </si>
  <si>
    <t xml:space="preserve">Resgatar ilustração de formas geométricas. Veio de: g23_mdn_lt_4npm_p190 Código antigo: it2050_4pmm_g19_mdn </t>
  </si>
  <si>
    <t xml:space="preserve">i1902_4p011m_g27_e001 </t>
  </si>
  <si>
    <t>Resgatar ilustração da balança medindo massa dos pesos e alimentos do g23_mdn_lt_4npm_p214 código antigo i3857aa_4npm_g23_mdn_aj</t>
  </si>
  <si>
    <t xml:space="preserve">i1903_4p011m_g27_e001 </t>
  </si>
  <si>
    <t xml:space="preserve">Resgatar ilustração da balança medindo a massa dos tomates do g23_mdn_lt_4npm_p214 código antigo i2405aa_4pmm_g19_mdn_ef </t>
  </si>
  <si>
    <t xml:space="preserve">i1904_4p011m_g27_e001 </t>
  </si>
  <si>
    <t>Resgatar ilustração da balança medindo a massa do peixe do g23_mdn_lt_4npm_p214 código antigo i2406aa_4pmm_g19_mdn</t>
  </si>
  <si>
    <t xml:space="preserve">i1905_4p011m_g27_e001 </t>
  </si>
  <si>
    <t xml:space="preserve">Resgatar ilustração da balança medindo a massa de uma mulher do g23_mdn_lt_4npm_p214 código antigo i2407aa_4pmm_g19_mdn_ef </t>
  </si>
  <si>
    <t xml:space="preserve">i1906_4p011m_g27_e001 </t>
  </si>
  <si>
    <t xml:space="preserve">Resgatar ilustração da goiabada do g23_mdn_lt_4npm_p215 código antigo i2408lm_4pmm_g19_mdn </t>
  </si>
  <si>
    <t xml:space="preserve">i1907_4p011m_g27_e001 </t>
  </si>
  <si>
    <t xml:space="preserve">Resgatar ilustração do amido de milho do g23_mdn_lt_4npm_p215 código antigo i2409lm_4pmm_g19_mdn </t>
  </si>
  <si>
    <t>i1908_4p011m_g27_e001</t>
  </si>
  <si>
    <t xml:space="preserve">Resgatar ilustração do sal refinado do g23_mdn_lt_4npm_p215 código antigo i2411lm_4pmm_g19_mdn </t>
  </si>
  <si>
    <t xml:space="preserve">i1909_4p011m_g27_e001 </t>
  </si>
  <si>
    <t xml:space="preserve">Resgatar ilustração do arroz do g23_mdn_lt_4npm_p215 código antigo i2410lm_4pmm_g19_mdn </t>
  </si>
  <si>
    <t xml:space="preserve">i1910_4p011m_g27_e001 </t>
  </si>
  <si>
    <t xml:space="preserve">Resgatar ilustração do creme dental do g23_mdn_lt_4npm_p215 código antigo i2412lm_4pmm_g19_mdn </t>
  </si>
  <si>
    <t xml:space="preserve">i1911_4p011m_g27_e001 </t>
  </si>
  <si>
    <t xml:space="preserve">Resgatar ilustração com a balança medindo a massa do abacate do g23_mdn_lt_4npm_p216 código antigo i2411ri_4npm_m20_mdn_aj_ </t>
  </si>
  <si>
    <t xml:space="preserve">i1912_4p011m_g27_e001 </t>
  </si>
  <si>
    <t xml:space="preserve">Resgatar ilustração com a balança medindo a massa do abacaxi do g23_mdn_lt_4npm_p216 código antigo i2412ri_4npm_m20_mdn_aj_ </t>
  </si>
  <si>
    <t xml:space="preserve">i1913_4p011m_g27_e001 </t>
  </si>
  <si>
    <t xml:space="preserve">Resgatar ilustração com a balança medindo a massa do mamáo do g23_mdn_lt_4npm_p216 código antigo i2413ri_4npm_m20_mdn_aj_ </t>
  </si>
  <si>
    <t xml:space="preserve">i1915_4p011m_g27_e001 </t>
  </si>
  <si>
    <t>Resgatar ilustração para manter a balança em equilíbrio do g23_mdn_lt_4npm_p216 código antigo i2417_4pmm_g19_mdn 
AJUSTE: AJUSTE: Excluir a imagem da balança e os pesos em cor resposta, manter apenas os pesos. Além disso, espaçar os pesos para que eles ocupem melhor a mancha horizontal.</t>
  </si>
  <si>
    <t>BÁRBARA SARZI/RONALDO LUCENA/ARQUIVO DA EDITORA</t>
  </si>
  <si>
    <t>i1919_4p011m_g27_e001</t>
  </si>
  <si>
    <t>Resgatar ilustração de dois caminhoneiros conversando do g23_mdn_lt_4npm_p219 código antigo i2419rl_4pmm_g19_mdn
AJUSTE: Trocar o homem branco por uma mulher branca. Nesse ajuste, solicitar que a mulher use roupas femininas.</t>
  </si>
  <si>
    <t>Ajuste ARTE</t>
  </si>
  <si>
    <t xml:space="preserve">i1932_4p011m_g27_e001 </t>
  </si>
  <si>
    <t xml:space="preserve">Resgatar ilustração do calendário de fevereiro de 2023 do g23_mdn_lt_4npm_p224 código antigo i4616ca_4npm_g23_mdn_aj 
AJUSTE: atualizar para fevereiro de 2027 </t>
  </si>
  <si>
    <t xml:space="preserve">i1933_4p011m_g27_e001 </t>
  </si>
  <si>
    <t xml:space="preserve">Resgatar ilustração do calendário de fevereiro de 2024 do g23_mdn_lt_4npm_p224 código antigo i4617ca_4npm_g23_mdn_aj 
AJUSTE: atualizar para fevereiro de 2028 </t>
  </si>
  <si>
    <t xml:space="preserve">i1934_4p011m_g27_e001 </t>
  </si>
  <si>
    <t xml:space="preserve">Resgatar ilustração do relógio digital do g23_mdn_lt_4npm_p225 código antigo i2428_4pmm_g19_mdn </t>
  </si>
  <si>
    <t xml:space="preserve">i1935_4p011m_g27_e001 </t>
  </si>
  <si>
    <t xml:space="preserve">Resgatar ilustração do relógio de ponteiros do g23_mdn_lt_4npm_225 código antigo i3850rr_4npm_g23_mdn_aj </t>
  </si>
  <si>
    <t xml:space="preserve">i1936_4p011m_g27_e001 </t>
  </si>
  <si>
    <t xml:space="preserve">Resgatar ilustração do relógio do marcando horas do g23_md_lt_4npm_p225 código antigo i3847rr_4npm_g23_mdn_aj </t>
  </si>
  <si>
    <t>i1937_4p011m_g27_e001</t>
  </si>
  <si>
    <t xml:space="preserve">Resgatar ilustração do relógio do relógio de ponteiros do g23_mdn_lt_4npm_p225 código antigo i3848rr_4npm_g23_mdn_aj </t>
  </si>
  <si>
    <t xml:space="preserve">i1938_4p011m_g27_e001 </t>
  </si>
  <si>
    <t xml:space="preserve">Resgatar ilustração do relógio do relógio de ponteiros do g23_mdn_lt_4npm_p225 código antigo i3849rr_4npm_g23_mdn_aj </t>
  </si>
  <si>
    <t xml:space="preserve">i1939_4p011m_g27_e001 </t>
  </si>
  <si>
    <t xml:space="preserve">Resgatar ilustração dos relógios passado uns minutos do g23_mdn_lt_4npm_p226 código antigo i3851rr_4npm_g23_mdn_aj </t>
  </si>
  <si>
    <t xml:space="preserve">i1940_4p011m_g27_e001 </t>
  </si>
  <si>
    <t xml:space="preserve">Resgatar ilustração dos relógios passando alguns minutos do 23-mdn_lt_4npm_p226 código antigo i3852rr_4npm_g23_mdn_aj </t>
  </si>
  <si>
    <t xml:space="preserve">i1941_4p011m_g27_e001 </t>
  </si>
  <si>
    <t xml:space="preserve">Resgatar ilustração da Elaine preparando o bolo do g23_mdn_lt_4npm_p226 código antigo i2435cz_4pmm_g19_mdn 
AJUSTE: separar as cenas em A, B e C.  </t>
  </si>
  <si>
    <t xml:space="preserve">i1942_4p011m_g27_e001 </t>
  </si>
  <si>
    <t xml:space="preserve">Resgatar relógio marcando 3:45 do g23_mdn_lt_4npm_p226 código antigo i2457_4pmm_g19_mdn_ef </t>
  </si>
  <si>
    <t xml:space="preserve">i1943_4p011m_g27_e001 </t>
  </si>
  <si>
    <t xml:space="preserve">Resgatar relógio marcando 4:12 do g23_mdn_lt_4npm_p226 código antigo i2458_4pmm_g19_mdn_ef </t>
  </si>
  <si>
    <t xml:space="preserve">i1944_4p011m_g27_e001 </t>
  </si>
  <si>
    <t xml:space="preserve">Resgatar relógio marcando 4:56 do g23_mdn_lt_4npm_p226 código antigo i2459_4pmm_g19_mdn_ef </t>
  </si>
  <si>
    <t xml:space="preserve">i1945_4p011m_g27_e001 </t>
  </si>
  <si>
    <t xml:space="preserve">Resgatar ilustração de uma apresentação de uma peça teatral do g23_mdn_lt_4npm_p227 código antigo i2438lm_4pmm_g19_mdn </t>
  </si>
  <si>
    <t xml:space="preserve">i1946_4p011m_g27_e001 </t>
  </si>
  <si>
    <t xml:space="preserve">Resgatar ilustração do mapa múndi do g23_mdn_lt_4npm_p227 código antigo i6222km_4m4sem_m20_stl_aj </t>
  </si>
  <si>
    <t>KEITHY MOSTACHI/ROGÉRIO CASAGRANDE/ARQUIVO DA EDITORA</t>
  </si>
  <si>
    <t xml:space="preserve">i1947_4p011m_g27_e001 </t>
  </si>
  <si>
    <t>Resgatar ilustração do esquema com 12 barras do g23_mdn_lt_4npm_p228 código antigo it2440_4pmm_g19_mdn</t>
  </si>
  <si>
    <t xml:space="preserve">i1948_4p011m_g27_e001 </t>
  </si>
  <si>
    <t xml:space="preserve">Resgatar ilustração do esquema com 24 barras do g23_mdn_lt_4npm_p228 código antigo it2441_4pmm_g19_mdn </t>
  </si>
  <si>
    <t xml:space="preserve">i1949_4p011m_g27_e001 </t>
  </si>
  <si>
    <t xml:space="preserve">Resgatar ilustração do esquema com 10 barras do g23_mdn_lt_4npm_p228 código antigo it2442_4pmm_g19_mdn </t>
  </si>
  <si>
    <t xml:space="preserve">i1956_4p011m_g27_e001 </t>
  </si>
  <si>
    <t xml:space="preserve">Resgatar ilustração da variação de temperatura do g23_mdn_lt_4npm_p233 código antigo gt2450_4pmm_g19_mdn_ef </t>
  </si>
  <si>
    <t>i0189_2p011m_g27_e001</t>
  </si>
  <si>
    <t>Ilustração de uma corda com 5 nós. Ver ideia na referência a seguir, podendo ser mais parecido com uma corda fina.</t>
  </si>
  <si>
    <t>F: 30/05</t>
  </si>
  <si>
    <t>i0180_2p011m_g27_e001</t>
  </si>
  <si>
    <t>Ilustração do número cinco em diferentes sistemas de numeração. São eles, egípcio, babilônico,
romano e de Epídauro (Grécia, séculos V – II a. C.). Essas representações devem estar em quadros,
alinhados em uma única linha, conforme referência.
ARTE: verificar se é melhor colocar o quadro na diagramação. Se não ilustrar o quadro, apenas os
símbolos, deixar um recado, para pedirmos o quadro na diagramação. Enviei a referência do livro no
pdf na próxima página.</t>
  </si>
  <si>
    <t>i0184_2p011m_g27_e001</t>
  </si>
  <si>
    <t>Resgatar e ajustar ilustração de um ábaco com o número 14 do g23_mdn_lt_1npm_p106, código antigo i1031zz_1pmm_g19_mdn.
AJUSTE: retirar uma conta da haste das unidades ficando representando o número 13 no ábaco.</t>
  </si>
  <si>
    <t>i1502_4p011m_g27_e001</t>
  </si>
  <si>
    <t xml:space="preserve">Resgatar ilustração de um menino desenhando formas geométricas. Veio de: g23_mdn_lt_4npm_p160. Código antigo: if1897cm_4pmm_g19_mdn_ef </t>
  </si>
  <si>
    <t>Excluída nesse código porque não tinha sido cadastrada como if. Ficou no código if1614_4p011m_g27_e001</t>
  </si>
  <si>
    <t>cm</t>
  </si>
  <si>
    <t xml:space="preserve">i1503_4p011m_g27_e001 </t>
  </si>
  <si>
    <t>Resgatar ilustração de um losango laranja. Veio de: g23_mdn_lt_4npm_p160. Código antigo: it1900_4pmm_g19_mdn</t>
  </si>
  <si>
    <t xml:space="preserve">i1504_4p011m_g27_e001 </t>
  </si>
  <si>
    <t xml:space="preserve">Resgatar ilustração de um triângulo. Veio de: g23_mdn_lt_4npm_p160. Código antigo: it1901_4pmm_g19_mdn </t>
  </si>
  <si>
    <t xml:space="preserve">i1505_4p011m_g27_e001 </t>
  </si>
  <si>
    <t xml:space="preserve">Resgatar ilustração de um polígono hexagonal. Veio de: g23_mdn_lt_4npm_p160. Código antigo: it1902_4pmm_g19_mdn </t>
  </si>
  <si>
    <t xml:space="preserve">i1506_4p011m_g27_e001 </t>
  </si>
  <si>
    <t xml:space="preserve">Resgatar ilustração de um polígono azul. Veio de: g23_mdn_lt_4npm_p160. Código antigo: it1899_4pmm_g19_mdn </t>
  </si>
  <si>
    <t xml:space="preserve">i1507_4p011m_g27_e001 </t>
  </si>
  <si>
    <t xml:space="preserve">Resgatar ilustração de um quadrado verde. Veio de: g23_mdn_lt_4npm_p160. Código antigo: it1898_4pmm_g19_mdn </t>
  </si>
  <si>
    <t xml:space="preserve">i1508_4p011m_g27_e001 </t>
  </si>
  <si>
    <t>i1509_4p011m_g27_e001</t>
  </si>
  <si>
    <t>Resgatar ilustração de um não polígono. Veio de: g23_mdn_lt_4npm_p161. Código antigo: it1801_4pmm_g19_mdn</t>
  </si>
  <si>
    <t xml:space="preserve">i1510_4p011m_g27_e001 </t>
  </si>
  <si>
    <t xml:space="preserve">Resgatar ilustração de um polígono trapézio. Veio de: g23_mdn_lt_4npm_p161. Código antigo: it1804_4pmm_g19_mdn </t>
  </si>
  <si>
    <t xml:space="preserve">i1511_4p011m_g27_e001 </t>
  </si>
  <si>
    <t xml:space="preserve">Resgatar ilustração de uma estrela. Veio de: g23_mdn_lt_4npm_p161. Código antigo: it1802_4pmm_g19_mdn </t>
  </si>
  <si>
    <t xml:space="preserve">i1512_4p011m_g27_e001 </t>
  </si>
  <si>
    <t xml:space="preserve">Resgatar ilustração de um não polígono. Veio de: g23_mdn_lt_4npm_p161. Código antigo: it1805_4pmm_g19_mdn </t>
  </si>
  <si>
    <t xml:space="preserve">i1513_4p011m_g27_e001 </t>
  </si>
  <si>
    <t>Resgatar ilustração de um polígono. Veio de: g23_mdn_lt_4npm_p161. Código antigo: it1803_4pmm_g19_mdn</t>
  </si>
  <si>
    <t xml:space="preserve">i1514_4p011m_g27_e001 </t>
  </si>
  <si>
    <t>Resgatar ilustração de um não polígono. Veio de: g23_mdn_lt_4npm_p161. Código antigo: it1806_4pmm_g19_mdn</t>
  </si>
  <si>
    <t xml:space="preserve">i1515_4p011m_g27_e001 </t>
  </si>
  <si>
    <t xml:space="preserve">Resgatar ilustração da planificação de uma pirâmide hexagonal. Veio de: g23_mdn_lt_4npm_p161. Código antigo: it1807_4pmm_g19_mdn </t>
  </si>
  <si>
    <t xml:space="preserve">i1516_4p011m_g27_e001 </t>
  </si>
  <si>
    <t xml:space="preserve">Resgatar ilustração da planificação de um cilindro. Veio de: g23_mdn_lt_4npm_p161. Código antigo: it1809_4pmm_g19_mdn </t>
  </si>
  <si>
    <t xml:space="preserve">i1517_4p011m_g27_e001 </t>
  </si>
  <si>
    <t>Resgatar ilustração da planificação de um cone. Veio de: g23_mdn_lt_4npm_p161. Código antigo: it1808_4pmm_g19_mdn</t>
  </si>
  <si>
    <t>i1518_4p011m_g27_e001</t>
  </si>
  <si>
    <t xml:space="preserve">Resgatar ilustração da planificação de um cubo. Veio de: g23_mdn_lt_4npm_p161. Código antigo: it1810_4pmm_g19_mdn </t>
  </si>
  <si>
    <t xml:space="preserve">i1519_4p011m_g27_e001 </t>
  </si>
  <si>
    <t xml:space="preserve">Resgatar polígono de 5 lados. Veio de: g23_mdn_lt_4npm_p162. Código antigo: it1811_4pmm_g19_mdn </t>
  </si>
  <si>
    <t xml:space="preserve">i1520_4p011m_g27_e001 </t>
  </si>
  <si>
    <t xml:space="preserve">Resgatar triangulo. Veio de: g23_mdn_lt_4npm_p162. Código antigo: it1812_4pmm_g19_mdn </t>
  </si>
  <si>
    <t xml:space="preserve">i1521_4p011m_g27_e001 </t>
  </si>
  <si>
    <t xml:space="preserve">Resgatar ilustração de um polígono de 6 lados. Veio de: g23_mdn_lt_4npm_p162. Código antigo: it1813_4pmm_g19_mdn </t>
  </si>
  <si>
    <t xml:space="preserve">i1522_4p011m_g27_e001 </t>
  </si>
  <si>
    <t xml:space="preserve">Resgatar ilustração de um retângulo. Veio de: g23_mdn_lt_4npm_p162. Código antigo: it1814_4pmm_g19_mdn </t>
  </si>
  <si>
    <t xml:space="preserve">i1523_4p011m_g27_e001 </t>
  </si>
  <si>
    <t xml:space="preserve">Resgatar ilustração de um octógono. Veio de: g23_mdn_lt_4npm_p162. Código antigo: it1815_4pmm_g19_mdn </t>
  </si>
  <si>
    <t xml:space="preserve">i1524_4p011m_g27_e001 </t>
  </si>
  <si>
    <t xml:space="preserve">Resgatar ilustração de um triângulo. Veio de: g23_mdn_lt_4npm_p162. Código antigo: it1816_4pmm_g19_mdn </t>
  </si>
  <si>
    <t xml:space="preserve">i1525_4p011m_g27_e001 </t>
  </si>
  <si>
    <t xml:space="preserve">Resgatar ilustração de um quadrilátero. Veio de: g23_mdn_lt_4npm_p162. Código antigo: it1818_4pmm_g19_mdn </t>
  </si>
  <si>
    <t xml:space="preserve">i1526_4p011m_g27_e001 </t>
  </si>
  <si>
    <t xml:space="preserve">Resgatar ilustração de um pentágono. Veio de: g23_mdn_lt_4npm_p162. Código antigo: it1820_4pmm_g19_mdn </t>
  </si>
  <si>
    <t xml:space="preserve">i1527_4p011m_g27_e001 </t>
  </si>
  <si>
    <t xml:space="preserve">Resgatar ilustração de um hexágono. Veio de: g23_mdn_lt_4npm_p162. Código antigo: it1817_4pmm_g19_mdn </t>
  </si>
  <si>
    <t xml:space="preserve">i1528_4p011m_g27_e001 </t>
  </si>
  <si>
    <t>Resgatar ilustração de um heptágono. Veio de: g23_mdn_lt_4npm_p162. Código antigo: it1819_4pmm_g19_mdn</t>
  </si>
  <si>
    <t xml:space="preserve">i1529_4p011m_g27_e001 </t>
  </si>
  <si>
    <t xml:space="preserve">Resgatar ilustração de um octógono. Veio de: g23_mdn_lt_4npm_p162. Código antigo: it1916_4pmm_g19_mdn </t>
  </si>
  <si>
    <t xml:space="preserve">i1531_4p011m_g27_e001 </t>
  </si>
  <si>
    <t>Resgatar il de mosaico colorido. Veio de: g23_mdn_lt_4npm_p163. Código antigo: i1824sl_4pmm_g19_mdn</t>
  </si>
  <si>
    <t>i1532_4p011m_g27_e001</t>
  </si>
  <si>
    <t xml:space="preserve">Resgatar ilustração da bandeira do Kuwait. Veio de: g23_mdn_lt_4npm_p164. Código antigo: i1825sl_4pmm_g19_mdn </t>
  </si>
  <si>
    <t xml:space="preserve">i1533_4p011m_g27_e001 </t>
  </si>
  <si>
    <t xml:space="preserve">Resgatar ilustração da bandeira de São Vicente e Granadinhas. Veio de: g23_mdn_lt_4npm_p164. Código antigo: i1828sl_4pmm_g19_mdn </t>
  </si>
  <si>
    <t xml:space="preserve">i1534_4p011m_g27_e001 </t>
  </si>
  <si>
    <t xml:space="preserve">Resgatar ilustração da bandeira da Tanzânia. Veio de: g23_mdn_lt_4npm_p164. Código antigo: i1826sl_4pmm_g19_mdn </t>
  </si>
  <si>
    <t xml:space="preserve">i1535_4p011m_g27_e001 </t>
  </si>
  <si>
    <t xml:space="preserve">Resgatar ilustração da bandeira de Seicheles. Veio de: g23_mdn_lt_4npm_p164. Código antigo: i1829sl_4pmm_g19_mdn </t>
  </si>
  <si>
    <t xml:space="preserve">i1536_4p011m_g27_e001 </t>
  </si>
  <si>
    <t xml:space="preserve">Resgatar ilustração de diagonais de um quadrilátero. Veio de: g23_mdn_lt_4npm_p164. Código antigo: it1830_4pmm_g19_mdn </t>
  </si>
  <si>
    <t xml:space="preserve">i1537_4p011m_g27_e001 </t>
  </si>
  <si>
    <t xml:space="preserve">Resgatar ilustração de diagonais de um pentágono. Veio de: g23_mdn_lt_4npm_p164. Código antigo: it1831_4pmm_g19_mdn </t>
  </si>
  <si>
    <t xml:space="preserve">i1538_4p011m_g27_e001 </t>
  </si>
  <si>
    <t xml:space="preserve">Resgatar ilustração de diagonais de um hexágono. Veio de: g23_mdn_lt_4npm_p164. Código antigo: it1832_4pmm_g19_mdn </t>
  </si>
  <si>
    <t xml:space="preserve">i1539_4p011m_g27_e001 </t>
  </si>
  <si>
    <t xml:space="preserve">Resgatar ilustração de tangram. Veio de: g23_mdn_lt_4npm_p165. Código antigo: i1833sl_4pmm_g19_mdn </t>
  </si>
  <si>
    <t xml:space="preserve">i1540_4p011m_g27_e001 </t>
  </si>
  <si>
    <t xml:space="preserve">Resgatar ilustração de um homem formado com peças do tangram. Veio de: g23_mdn_lt_4npm_p165. Código antigo: i1834sl_4pmm_g19_mdn </t>
  </si>
  <si>
    <t xml:space="preserve">i1541_4p011m_g27_e001 </t>
  </si>
  <si>
    <t xml:space="preserve">Resgatar ilustração de um abajur formado com peças de tangram. Veio de: g23_mdn_lt_4npm_p165. Código antigo: i1836sl_4pmm_g19_mdn </t>
  </si>
  <si>
    <t xml:space="preserve">i1542_4p011m_g27_e001 </t>
  </si>
  <si>
    <t xml:space="preserve">Resgatar ilustração de um gato formado com peças de tangram. Veio de: g23_mdn_lt_4npm_p165. Código antigo: i1835sl_4pmm_g19_mdn </t>
  </si>
  <si>
    <t xml:space="preserve">i1543_4p011m_g27_e001 </t>
  </si>
  <si>
    <t xml:space="preserve">Resgatar ilustração de um hexágono formado com peças de tangram. Veio de: g23_mdn_lt_4npm_p165. Código antigo: i1837sl_4pmm_g19_mdn </t>
  </si>
  <si>
    <t xml:space="preserve">i1544_4p011m_g27_e001 </t>
  </si>
  <si>
    <t xml:space="preserve">Resgatar ilustração de um pentágono formado com peças de um tangram. Veio de: g23_mdn_lt_4npm_p165. Código antigo: i1838sl_4pmm_g19_mdn </t>
  </si>
  <si>
    <t xml:space="preserve">i1545_4p011m_g27_e001 </t>
  </si>
  <si>
    <t xml:space="preserve">Resgatar triangulo formado por outros triângulos. Veio de: g23_mdn_lt_4npm_p166. Código antigo: it1845_4pmm_g19_mdn </t>
  </si>
  <si>
    <t xml:space="preserve">i1546_4p011m_g27_e001 </t>
  </si>
  <si>
    <t xml:space="preserve">Resgatar triangulo formado por outros triângulos. Veio de: g23_mdn_lt_4npm_p166. Código antigo: it1844_4pmm_g19_mdn </t>
  </si>
  <si>
    <t>i1547_4p011m_g27_e001</t>
  </si>
  <si>
    <t xml:space="preserve">Resgatar ilustração de triangulo. Veio de: g23_mdn_lt_4npm_p166. Código antigo: it1843_4pmm_g19_mdn </t>
  </si>
  <si>
    <t xml:space="preserve">i1548_4p011m_g27_e001 </t>
  </si>
  <si>
    <t xml:space="preserve">Resgatar ilustração de uma folha traçada ao meio. Veio de: g23_mdn_lt_4npm_p167. Código antigo: i1849sl_4pmm_g19_mdn </t>
  </si>
  <si>
    <t xml:space="preserve">i1549_4p011m_g27_e001 </t>
  </si>
  <si>
    <t xml:space="preserve">Resgatar ilustração da placa de lombada traçada ao meio. Veio de: g23_mdn_lt_4npm_p167. Código antigo: i1851sl_4pmm_g19_mdn </t>
  </si>
  <si>
    <t xml:space="preserve">i1550_4p011m_g27_e001 </t>
  </si>
  <si>
    <t xml:space="preserve">Resgatar ilustração de uma camiseta traçada ao meio. Veio de: g23_mdn_lt_4npm_p167. Código antigo: i1852sl_4pmm_g19_mdn </t>
  </si>
  <si>
    <t xml:space="preserve">i1551_4p011m_g27_e001 </t>
  </si>
  <si>
    <t xml:space="preserve">Resgatar ilustração de um violão traçado ao meio. Veio de: g23_mdn_lt_4npm_p167. Código antigo: i1850sl_4pmm_g19_mdn </t>
  </si>
  <si>
    <t xml:space="preserve">i1552_4p011m_g27_e001 </t>
  </si>
  <si>
    <t xml:space="preserve">Resgatar paralelogramo laranja traçado ao meio. Veio de: g23_mdn_lt_4npm_p167. Código antigo: i1853sl_4pmm_g19_mdn </t>
  </si>
  <si>
    <t xml:space="preserve">i1553_4p011m_g27_e001 </t>
  </si>
  <si>
    <t xml:space="preserve">Resgatar ilustração de avião traçado ao meio. Veio de: g23_mdn_lt_4npm_p167. Código antigo: i1854sl_4pmm_g19_mdn </t>
  </si>
  <si>
    <t xml:space="preserve">i1554_4p011m_g27_e001 </t>
  </si>
  <si>
    <t xml:space="preserve">Resgatar ilustração de um quadrado traçado ao meio. Veio de: g23_mdn_lt_4npm_p167. Código antigo: i1855sl_4pmm_g19_mdn </t>
  </si>
  <si>
    <t xml:space="preserve">i1555_4p011m_g27_e001 </t>
  </si>
  <si>
    <t xml:space="preserve">Resgatar ilustração de figuras desenhadas em malha triangular. Veio de: g23_mdn_lt_4npm_p168. Código antigo: i1859_4pmm_g19_mdn 
AJUSTE: retirar tudo que estiver em cor resposta. </t>
  </si>
  <si>
    <t>i1556_4p011m_g27_e001</t>
  </si>
  <si>
    <t>Resgatar ilustração de um monitor com letras simétricas e não simétricas. Veio de: g23_mdn_lt_4npm_p168. Código antigo: i1904sl_4pmm_g19_mdn</t>
  </si>
  <si>
    <t xml:space="preserve">i1557_4p011m_g27_e001 </t>
  </si>
  <si>
    <t xml:space="preserve">Resgatar ilustração de um trapézio traçado ao meio horizontalmente. .Veio de: g23_mdn_lt_4npm_p169. Código antigo: it1860_4pmm_g19_mdn </t>
  </si>
  <si>
    <t xml:space="preserve">i1558_4p011m_g27_e001 </t>
  </si>
  <si>
    <t xml:space="preserve">Resgatar ilustração de um quadrado traçado no topo. Veio de: g23_mdn_lt_4npm_p169. Código antigo: it1863_4pmm_g19_mdn </t>
  </si>
  <si>
    <t xml:space="preserve">i1559_4p011m_g27_e001 </t>
  </si>
  <si>
    <t xml:space="preserve">Resgatar ilustração de uma estrela traçado diagonalmente. Veio de: g23_mdn_lt_4npm_p169. Código antigo: it1866_4pmm_g19_mdn </t>
  </si>
  <si>
    <t xml:space="preserve">i1560_4p011m_g27_e001 </t>
  </si>
  <si>
    <t xml:space="preserve">Resgatar figura geométrica traçada por uma linha vermelha. Veio de: g23_mdn_lt_4npm_p169. Código antigo: it1867_4pmm_g19_mdn </t>
  </si>
  <si>
    <t xml:space="preserve">i1561_4p011m_g27_e001 </t>
  </si>
  <si>
    <t xml:space="preserve">Resgatar ilustração de um hexágono com uma linha vermelha traçado. Veio de: g23_mdn_lt_4npm_p169. Código antigo: it1862_4pmm_g19_mdn </t>
  </si>
  <si>
    <t xml:space="preserve">i1562_4p011m_g27_e001 </t>
  </si>
  <si>
    <t xml:space="preserve">Resgatar ilustração de uma linha vermelha sendo eixo de simetria da figura geométrica. Veio de: g23_mdn_lt_4npm_p169. Código antigo: it1865_4pmm_g19_mdn </t>
  </si>
  <si>
    <t xml:space="preserve">i1563_4p011m_g27_e001 </t>
  </si>
  <si>
    <t xml:space="preserve">Resgatar ilustração de uma figura geométrica onde a linha não é eixo de simetria. Veio de: g23_mdn_lt_4npm_p169. Código antigo: it1861_4pmm_g19_mdn </t>
  </si>
  <si>
    <t xml:space="preserve">i1564_4p011m_g27_e001 </t>
  </si>
  <si>
    <t xml:space="preserve">Resgatar ilustração de uma linha vermelha sendo eixo de simetria de um losango.  Veio de: g23_mdn_lt_4npm_p169. Código antigo: it1864_4pmm_g19_mdn </t>
  </si>
  <si>
    <t xml:space="preserve">i1565_4p011m_g27_e001 </t>
  </si>
  <si>
    <t>Resgatar ilustração de indicação para dobrar o papel ao meio. Veio de: g23_mdn_lt_4npm_p169. Código antigo: i1868_4pmm_g19_mdn</t>
  </si>
  <si>
    <t xml:space="preserve">i1566_4p011m_g27_e001 </t>
  </si>
  <si>
    <t xml:space="preserve">Resgatar ilustração de indicação para dobrar o papel ao meio. novamente. Veio de: g23_mdn_lt_4npm_p169. Código antigo: i1869_4pmm_g19_mdn </t>
  </si>
  <si>
    <t xml:space="preserve">i1567_4p011m_g27_e001 </t>
  </si>
  <si>
    <t xml:space="preserve">Resgatar ilustração de indicação para fazer um recorte no papel. Veio de: g23_mdn_lt_4npm_p169. Código antigo: i1870_4pmm_g19_mdn </t>
  </si>
  <si>
    <t xml:space="preserve">i1568_4p011m_g27_e001 </t>
  </si>
  <si>
    <t xml:space="preserve">Resgatar ilustração de indicação para retirar o pedaço cortado. Veio de: g23_mdn_lt_4npm_p169. Código antigo: i1871_4pmm_g19_mdn </t>
  </si>
  <si>
    <t xml:space="preserve">i1569_4p011m_g27_e001 </t>
  </si>
  <si>
    <t xml:space="preserve">Resgatar ilustração do papel recortado aberto. Veio de: g23_mdn_lt_4npm_p169. Código antigo: i1872_4pmm_g19_mdn </t>
  </si>
  <si>
    <t xml:space="preserve">i1570_4p011m_g27_e001 </t>
  </si>
  <si>
    <t xml:space="preserve">Resgatar ilustração do papel recortado aberto. Veio de: g23_mdn_lt_4npm_p169. Código antigo: i1874_4pmm_g19_mdn </t>
  </si>
  <si>
    <t xml:space="preserve">i1571_4p011m_g27_e001 </t>
  </si>
  <si>
    <t xml:space="preserve">Resgatar ilustração do papel recortado aberto. Veio de: g23_mdn_lt_4npm_p169. Código antigo: i1873_4pmm_g19_mdn </t>
  </si>
  <si>
    <t xml:space="preserve">i1572_4p011m_g27_e001 </t>
  </si>
  <si>
    <t xml:space="preserve">Resgatar ilustração de um menino dobrando um papel. Veio de: g23_mdn_lt_4npm_p170. Código antigo: i3405_4npm_g23_mdn_re </t>
  </si>
  <si>
    <t xml:space="preserve">i1573_4p011m_g27_e001 </t>
  </si>
  <si>
    <t xml:space="preserve">Resgatar ilustração do papel sendo novamente dobrado. Veio de: g23_mdn_lt_4npm_p170. Código antigo: i3407_4npm_g23_mdn_re </t>
  </si>
  <si>
    <t xml:space="preserve">i1574_4p011m_g27_e001 </t>
  </si>
  <si>
    <t xml:space="preserve">Resgatar ilustração do menino fazendo um recorte no papel dobrado. Veio de: g23_mdn_lt_4npm_p170. Código antigo: i3406_4npm_g23_mdn_re </t>
  </si>
  <si>
    <t xml:space="preserve">i1575_4p011m_g27_e001 </t>
  </si>
  <si>
    <t xml:space="preserve">Resgatar ilustração do papel recortado aberto. Veio de: g23_mdn_lt_4npm_p169. Código antigo: i1876Dso_4pmm_g19_mdn </t>
  </si>
  <si>
    <t xml:space="preserve">i1576_4p011m_g27_e001 </t>
  </si>
  <si>
    <t xml:space="preserve">Resgatar ilustração de imagens simétricas na malha quadriculada. Veio de: g23_mdn_lt_4npm_p169. Código antigo: i1880_4pmm_g19_mdn </t>
  </si>
  <si>
    <t xml:space="preserve">i1577_4p011m_g27_e001 </t>
  </si>
  <si>
    <t xml:space="preserve">Resgatar ilustração de uma menina sorrindo. Veio de: g23_mdn_lt_4npm_p169. Código antigo: i1905so_4pmm_g19_mdn </t>
  </si>
  <si>
    <t xml:space="preserve">i1578_4p011m_g27_e001 </t>
  </si>
  <si>
    <t xml:space="preserve">Resgatar ilustração de um peixe na malha quadriculada. Veio de: g23_mdn_lt_4npm_p169. Código antigo: i1881_4pmm_g19_mdn_ef </t>
  </si>
  <si>
    <t xml:space="preserve">i1579_4p011m_g27_e001 </t>
  </si>
  <si>
    <t xml:space="preserve">Resgatar ilustração de um peixe na malha quadriculada. Veio de: g23_mdn_lt_4npm_p169. Código antigo: i1882_4pmm_g19_mdn_ef </t>
  </si>
  <si>
    <t xml:space="preserve">i1580_4p011m_g27_e001 </t>
  </si>
  <si>
    <t xml:space="preserve">Resgatar ilustração de um peixe na malha quadriculada. Veio de: g23_mdn_lt_4npm_p169. Código antigo: i1884_4pmm_g19_mdn_ef </t>
  </si>
  <si>
    <t xml:space="preserve">i1581_4p011m_g27_e001 </t>
  </si>
  <si>
    <t xml:space="preserve">Resgatar ilustração de um peixe na malha quadriculada. Veio de: g23_mdn_lt_4npm_p169. Código antigo: i1883_4pmm_g19_mdn_ef </t>
  </si>
  <si>
    <t xml:space="preserve">i1582_4p011m_g27_e001 </t>
  </si>
  <si>
    <t xml:space="preserve">Resgatar ilustração de um peixe na malha quadriculada. Veio de: g23_mdn_lt_4npm_p169. Código antigo: i1906_4pmm_g19_mdn_ef.png </t>
  </si>
  <si>
    <t xml:space="preserve">i1583_4p011m_g27_e001 </t>
  </si>
  <si>
    <t xml:space="preserve">Resgatar ilustração de pentágonos simétricos na malha quadriculada. Veio de: g23_mdn_lt_4npm_p172. Código antigo: i1885_4pmm_g19_mdn </t>
  </si>
  <si>
    <t xml:space="preserve">i1584_4p011m_g27_e001 </t>
  </si>
  <si>
    <t xml:space="preserve">Resgatar ilustração de figuras geométricas simétricas. Veio de: g23_mdn_lt_4npm_p172. Código antigo: it1887_4pmm_g19_mdn </t>
  </si>
  <si>
    <t xml:space="preserve">i1585_4p011m_g27_e001 </t>
  </si>
  <si>
    <t xml:space="preserve">Resgatar ilustração de figuras geométricas não simétricas. Veio de: g23_mdn_lt_4npm_p172. Código antigo: i1886_4pmm_g19_mdn </t>
  </si>
  <si>
    <t xml:space="preserve">i1586_4p011m_g27_e001 </t>
  </si>
  <si>
    <t xml:space="preserve">Resgatar ilustração de figuras geométricas simétricas.  Veio de: g23_mdn_lt_4npm_p172. Código antigo: it1888_4pmm_g19_mdn.png </t>
  </si>
  <si>
    <t>i1587_4p011m_g27_e001</t>
  </si>
  <si>
    <t xml:space="preserve">Resgatar ilustração de números simétricos. Veio de: g23_mdn_lt_4npm_p172. Código antigo: i1891rd_4pmm_g19_mdn_ef 
AJUSTE: retirar tudo que estiver em cor resposta. </t>
  </si>
  <si>
    <t xml:space="preserve">i1588_4p011m_g27_e001 </t>
  </si>
  <si>
    <t xml:space="preserve">Resgatar ilustração de letras simétricos. Veio de: g23_mdn_lt_4npm_p172. Código antigo: i1890rd_4pmm_g19_mdn_ef 
AJUSTE: retirar tudo que estiver em cor resposta. </t>
  </si>
  <si>
    <t xml:space="preserve">i1589_4p011m_g27_e001 </t>
  </si>
  <si>
    <t xml:space="preserve">Resgatar ilustração de caracteres simétricos. Veio de: g23_mdn_lt_4npm_p172. Código antigo: i1917km_4pmm_g19_mdn 
AJUSTE: retirar tudo que estiver em cor resposta. </t>
  </si>
  <si>
    <t xml:space="preserve">i1590_4p011m_g27_e001 </t>
  </si>
  <si>
    <t xml:space="preserve">Resgatar ilustração de letras simétricas. Veio de: g23_mdn_lt_4npm_p172. Código antigo: i1918km_4pmm_g19_mdn 
AJUSTE: retirar tudo que estiver em cor resposta. </t>
  </si>
  <si>
    <t xml:space="preserve">i1591_4p011m_g27_e001 </t>
  </si>
  <si>
    <t xml:space="preserve">Resgatar ilustração de figura a ser refletida na malha quadriculada. Veio de: g23_mdn_lt_4npm_p173. Código antigo: i1892_4pmm_g19_mdn_ef </t>
  </si>
  <si>
    <t xml:space="preserve">i1592_4p011m_g27_e001 </t>
  </si>
  <si>
    <t xml:space="preserve">Resgatar ilustração de pontos para refletir uma figura simetricamente na malha quadriculada. Veio de: g23_mdn_lt_4npm_p173. Código antigo: i1893_4pmm_g19_mdn_ef </t>
  </si>
  <si>
    <t xml:space="preserve">i1593_4p011m_g27_e001 </t>
  </si>
  <si>
    <t xml:space="preserve">Resgatar ilustração de figuras simétricas na malha quadriculada. Veio de: g23_mdn_lt_4npm_p173. Código antigo: i1894_4pmm_g19_mdn_ef </t>
  </si>
  <si>
    <t xml:space="preserve">i1594_4p011m_g27_e001 </t>
  </si>
  <si>
    <t xml:space="preserve">Resgatar ilustração de figuras simétricas na malha quadriculada. Veio de: g23_mdn_lt_4npm_p173. Código antigo: i1896_4pmm_g19_mdn_ef 
AJUSTE: retirar tudo que estiver em cor resposta. </t>
  </si>
  <si>
    <t xml:space="preserve">i1595_4p011m_g27_e001 </t>
  </si>
  <si>
    <t xml:space="preserve">Resgatar ilustração de um triangulo desenhado na malha quadriculada. Veio de: g23_mdn_lt_4npm_p174. Código antigo: i1907sl_4pmm_g19_mdn_ef </t>
  </si>
  <si>
    <t xml:space="preserve">i1596_4p011m_g27_e001 </t>
  </si>
  <si>
    <t xml:space="preserve">Resgatar ilustração de um triangulo refletido na malha quadriculada. Veio de: g23_mdn_lt_4npm_p174. Código antigo: i1909sl_4pmm_g19_mdn_ef </t>
  </si>
  <si>
    <t xml:space="preserve">i1597_4p011m_g27_e001 </t>
  </si>
  <si>
    <t xml:space="preserve">Resgatar ilustração de um octógono. Veio de: g23_mdn_lt_4npm_p175. Código antigo: it3408_4npm_g23_mdn_re </t>
  </si>
  <si>
    <t xml:space="preserve">i1598_4p011m_g27_e001 </t>
  </si>
  <si>
    <t xml:space="preserve">Resgatar ilustração de um quadrilátero. Veio de: g23_mdn_lt_4npm_p175. Código antigo: it3409_4npm_g23_mdn_re </t>
  </si>
  <si>
    <t xml:space="preserve">i1599_4p011m_g27_e001 </t>
  </si>
  <si>
    <t xml:space="preserve">Resgatar ilustração de um pentágono. Veio de: g23_mdn_lt_4npm_p175. Código antigo: it3410_4npm_g23_mdn_re </t>
  </si>
  <si>
    <t xml:space="preserve">i1600_4p011m_g27_e001 </t>
  </si>
  <si>
    <t xml:space="preserve">Resgatar ilustração de um hexágono com 6 eixos de simetria. Veio de: g23_mdn_lt_4npm_p175. Código antigo: it3411_4npm_g23_mdn_re 
AJUSTE: retirar tudo que estiver em cor resposta. </t>
  </si>
  <si>
    <t xml:space="preserve">i1601_4p011m_g27_e001 </t>
  </si>
  <si>
    <t xml:space="preserve">Resgatar ilustração de uma estrela com 5 eixos de simetria. Veio de: g23_mdn_lt_4npm_p175. Código antigo: it3412_4npm_g23_mdn_re 
AJUSTE: retirar tudo que estiver em cor resposta. </t>
  </si>
  <si>
    <t xml:space="preserve">i1602_4p011m_g27_e001 </t>
  </si>
  <si>
    <t xml:space="preserve">Resgatar ilustração de um triangulo sem eixos de simetria. Veio de: g23_mdn_lt_4npm_p175. Código antigo: it3413_4npm_g23_mdn_re </t>
  </si>
  <si>
    <t>i1603_4p011m_g27_e001</t>
  </si>
  <si>
    <t xml:space="preserve">Resgatar ilustração de figuras simétricas na malha quadriculada. Veio de: g23_mdn_lt_4npm_p175. Código antigo: it3414_4npm_g23_mdn_re 
AJUSTE: retirar tudo que estiver em cor resposta. </t>
  </si>
  <si>
    <t>i0193_2p011m_g27_e001</t>
  </si>
  <si>
    <t>Resgatar e ajustar ilustração de uma mão 
segurando um papel com o código 
i1224_1p011m_g27_e001. 
AJUSTE: inserir texto a seguir na fonte 
Chinela:
MATERIAIS NECESSÁRIOS
• CARTOLINA;
• FOLHA SULFITE;
• CANETINHA;
• TESOURA COM PONTAS ARREDONDADAS;
• LÁPIS;
• RÉGUA.</t>
  </si>
  <si>
    <t>i0191_2p011m_g27_e001</t>
  </si>
  <si>
    <t>Ilustração de uma carteira de sala de aula com os seguintes objetos em cima dela: cartolina, papel sulfite (compor um montinho de folhas), canetinhas coloridas (as cores de canetinhas devem ser que aparecem nas ilustrações i0192_2p011m, i0194_2p011m e i0195_2p011m, para indicar que as canetinhas foram usadas na confecção dos cartões, quadros e cartazes), tesoura com pontas arredondadas, régua e lápis de escrever.
Arte: liberar pra Silvia Otofuji</t>
  </si>
  <si>
    <t>R:29/05 F:02/06</t>
  </si>
  <si>
    <t>i0192_2p011m_g27_e001</t>
  </si>
  <si>
    <t>Ilustração de uma mão segurando um cartão de sulfite com foco nas informações apresentadas na referência. É importante que nesse cartão, que as informações escritas sejam de maneira que uma criança tenha feito utilizando canetinhas, e que nele haja elementos atrativos e visuais, como cores sortidas, uma bordinha no cartão etc. Usar fonte mesma fonte da i1224_1p011m_g27_e001, em caixa alta alta.
Arte: liberar pra Silvia Otofuji
 Ref:</t>
  </si>
  <si>
    <t>i0194_2p011m_g27_e001</t>
  </si>
  <si>
    <t xml:space="preserve">Ilustração do quadro a seguir em um papel sulfite. Esse quadro deve aparecer como se tivesse sido feito à mão, tudo em caixa alta alta, na mesma fonte da i1224_1p011m_g27_e001.
ESPORTE FAVORITO DOS COLEGAS DA SALA DE ANTÔNIO E PAULA
ESPORTE	 FUTEBOL	 BASQUETEBOL	 GINÁSTICA RÍTMICA	OUTROS
QUANTIDADE DE VOTOS	
Arte: liberar pra Silvia Otofuji	 	 	 </t>
  </si>
  <si>
    <t>i0195_2p011m_g27_e001</t>
  </si>
  <si>
    <t>Ilustração de duas crianças (uma menina loira com colar de TEA e um menino oriental, ambos de aproximadamente 10 anos) segurando um cartaz que apresenta os resultados obtidos em uma pesquisa feita por eles. O cartaz deve ser ilustrado como se tivesse sido feito a mão, caixa alta alta, na mesma fonte da i1224_1p011m_g27_e001 e deve conter:
- Título, que é ESPORTE FAVORITO DOS COLEGAS DA SALA DE ANTÔNIO E PAULA;
- Gráfico de barras verticais e que representa os dados do quadro a seguir:
ESPORTE	QUANTIDADE DE PESSOAS
FUTEBOL	14
BASQUETEBOL	7
GINÁSTICA RÍTMICA	3
OUTROS	6
-Fonte de pesquisa, que é FONTE DE PESQUISA: REGISTROS DE ANTÔNIO E PAULA.
- Conclusões com base no gráfico. São elas: O ESPORTE FAVORITO É O FUTEBOL; A GINÁSTICA RÍTMICA RECEBEU 3 VOTOS.
- Compor elementos decorativos no cartaz.
OBS: todos os elementos do cartaz devem ter leitura clara para o estudante.
Arte: liberar pra Silvia Otofuji</t>
  </si>
  <si>
    <t>i0188_2p011m_g27_e001</t>
  </si>
  <si>
    <t>Resgatar ilustração de menino com um saco de papel as sete bolinhas, da página 139 do g23_mdn_lt_2npm_p136a143_u6, código antigo i1220Bsh_2pmm_g19_mdn</t>
  </si>
  <si>
    <t>i0196_2p011m_g27_e001</t>
  </si>
  <si>
    <t>Resgatar e ajustar ilustração de sete bolinhas, da página 139 do g23_mdn_lt_2npm_p136a143_u6
i1220Ash_2pmm_g19_mdn
AJUSTE: Adicionar 8 bolinhas verdes, uma laranja e uma roxa. Ao todo, ficarão 14 bolinhas verdes, 1 azul, 1 roxa e 1 laranja.</t>
  </si>
  <si>
    <t>i0200_2p011m_g27_e001</t>
  </si>
  <si>
    <t>Resgatar e ajustar Ilustração de cenário de natureza com árvores, na página 38 do g23_mdn_lt_2npm_p027a041_u1; código antigo i0222so_2npm_g23_mdn_aj
AJUSTE: Ajustar a imagem de maneira que a imagem da árvore totalmente crescida com um senhor e uma mulher sentados ao lado (o fundo) fique como uma fotografia, assim como as outras. Após isso, separar a ilustração em A, B, C, D e E, em que cada uma será uma fotografia.</t>
  </si>
  <si>
    <t>i0199_2p011m_g27_e001</t>
  </si>
  <si>
    <t>Ilustração do material dourado do padrão da obra representando o número 75, sendo 7 barrinhas e 5 cubinhos.</t>
  </si>
  <si>
    <t>i0198_2p011m_g27_e001</t>
  </si>
  <si>
    <t>Resgatar ilustração de um ábaco no padrão da obra, com as hastes das unidades, das dezenas e das centenas. Nele, deve estar representado o número 100 do g23_mdn_lt_2npm_p032, código antigo i0262ba_2npm_m20_mdn_re</t>
  </si>
  <si>
    <t>i1523_2p011m_g27_e001</t>
  </si>
  <si>
    <t>Ilustração de uma balança de dois pratos do padrão da obra em desequilíbrio. O prato mais baixo deve estar com um abacaxi e o prato mais alto com laranja. Ver ideia a seguir.</t>
  </si>
  <si>
    <t>ROGÉRIO CASAGRANDE/HELOÍSA PINTARELLI/ARQUIVO DA EDITORA</t>
  </si>
  <si>
    <t>FINAL: 02/06</t>
  </si>
  <si>
    <t>i1524_2p011m_g27_e001</t>
  </si>
  <si>
    <t>Ilustração de uma jarra e um copo sobre uma mesa no padrão da obra (não é necessário aparecer toda a mesa, porém os recipientes devem estar sobre uma superfície). A jarra deve ter capacidade maior do que o copo, fazer imagens com proporção entre si. Ver ideia a seguir.</t>
  </si>
  <si>
    <t>i0503_5p011m_g27_e001</t>
  </si>
  <si>
    <t>Resgatar ilustração menina olhando um skate e um par de patins na vitrine; g23_mdn_lt_5npm_p38; código antigo i0603so_5pmm_g19_mdn_ef</t>
  </si>
  <si>
    <t xml:space="preserve">i0504_5p011m_g27_e001 </t>
  </si>
  <si>
    <t xml:space="preserve">Resgatar ilustração menino e menina se pesando na mesma balança em três momentos diferentes, veio do g23_mdn_lt_5npm_p40, código antigo i0604cg_5pmm_g19_mdn_ef 
AJUSTE: separar em três códigos A, B e C </t>
  </si>
  <si>
    <t xml:space="preserve">i0505_5p011m_g27_e001 </t>
  </si>
  <si>
    <t>Resgatar ilustração nota fiscal da loja Calçados e Cia rasgado; g23_mdn_lt_5npm_p41; código antigo i0607_5pmm_g19_mdn 
AJUSTE: Ajustar cupom fiscal para o padrão da obra. Em relação a data que deve entrar, inserir "25/05/2026". No título principal, inserir "ESTABELECIMENTO DO BAIRRO"</t>
  </si>
  <si>
    <t xml:space="preserve">i0506_5p011m_g27_e001 </t>
  </si>
  <si>
    <t>Resgatar ilustração homem olhando um notebook custando 2599 reais e um celular custando 1899 reais na vitrine; g23_mdn_lt_5npm_p41; código antigo i1003cg_5npm_g23_mdn_aj 
AJUSTE: Remover reflexo da luz no vidro da loja, pois está cobrindo o preço do celular.</t>
  </si>
  <si>
    <t>i0507_5p011m_g27_e001</t>
  </si>
  <si>
    <t xml:space="preserve">Resgatar ilustração duas crianças jogando videogame; g23_mdn_lt_5npm_p42; código antigo i0609za_5pmm_g19_mdn </t>
  </si>
  <si>
    <t>g0508_5p011m_g27_e001</t>
  </si>
  <si>
    <t>Resgatar gráfico do esporte preferido de estudantes da página 100 do g23_mdn_lt_5npm_p096a103_u5. Código antigo gt1005_5pmm_g19_mdn 
AJUSTE 1: Trocar nome do eixo "Quantidade de alunos" para "Quantidade de estudantes".
AJUSTE 2: Além disso, tirar as linhas horizontais e verticais do gráfico, ou seja, deixá-lo com o fundo branco.</t>
  </si>
  <si>
    <t xml:space="preserve">g0509_5p011m_g27_e001 </t>
  </si>
  <si>
    <t xml:space="preserve">Resgatar gráfico da quantidade de meninos e meninas, escrita em letras cursivas da página 102 do g23_mdn_lt_5npm_p096a103_u5. Código antigo gt1805ri_5npm_g23_mdn_aj. 
AJUSTE: atualizar ano para 2027 </t>
  </si>
  <si>
    <t>i0510_5p011m_g27_e001</t>
  </si>
  <si>
    <t xml:space="preserve">Resgatar ilustração de menino falando da página 103 do g23_mdn_lt_5npm_p096a103_u5. Código antigoi1008rl_5pmm_g19_mdn_ef </t>
  </si>
  <si>
    <t xml:space="preserve">g0511_5p011m_g27_e001 </t>
  </si>
  <si>
    <t xml:space="preserve">Resgatar gráfico/pictograma de preferência de sabor de suco da página 104 do g23_mdn_lt_5npm_p104a111_u5. Código antigo gt1807ri_5npm_g23_mdn_aj </t>
  </si>
  <si>
    <t xml:space="preserve">g0512_5p011m_g27_e001 </t>
  </si>
  <si>
    <t>Resgatar gráfico de medalhas conquistadas por alguns países da página 105 do g23_mdn_lt_5npm_p104a111_u5. Código antigo gt1009_5pmm_g19_mdn 
AJUSTE 1: retirar textos em cor resposta
AJUSTE 2: Ajustar tamanho das barras e atualizar os valores. De cima para baixo, as barras devem indicar, respectivamente, 53, 20, 91, 126, 32, 64, 40, 11.</t>
  </si>
  <si>
    <t xml:space="preserve">g0513_5p011m_g27_e001 </t>
  </si>
  <si>
    <t xml:space="preserve">Resgatar o gráfico de despesa mensal com energia elétrica da página 106 do g23_mdn_lt_5npm_p104a111_u5. Código antigo gt1036_5pmm_g19_mdn </t>
  </si>
  <si>
    <t xml:space="preserve">i0514_5p011m_g27_e001 </t>
  </si>
  <si>
    <t>Resgatar ilustração nota fiscal da compra de produtos; g23_mdn_lt_5npm_p43; código antigo i1004ca_5npm_g23_mdn_aj 
AJUSTE: retirar textos em cor resposta e atualizar ano da data para 2027. Ajustar nota fiscal para o padrão da obra.</t>
  </si>
  <si>
    <t xml:space="preserve">i0515_5p011m_g27_e001 </t>
  </si>
  <si>
    <t xml:space="preserve">Resgatar ilustração promoção de um restaurante com entrada, prato principal e sobremesa por 50 reais; g23_mdn_lt_5npm_p45; código antigo i0611rn_5pmm_g19_mdn </t>
  </si>
  <si>
    <t xml:space="preserve">i0516_5p011m_g27_e001 </t>
  </si>
  <si>
    <t xml:space="preserve">Resgatar ilustração menino ruivo pensativo com o dedo indicador no queixo; g23_mdn_lt_5npm_p46; código antigo i0612rl_5pmm_g19_mdn </t>
  </si>
  <si>
    <t xml:space="preserve">g0523_5p011m_g27_e001 </t>
  </si>
  <si>
    <t>Resgatar gráfico/ilustração quantidade de estudantes de cinco turmas da escola; g23_mdn_lt_5npm_p54. Código antigo: gt0619_5pmm_g19_mdn
AJUSTE: Trocar "Quantidade de alunos" por "Quantidade de estudantes". Compor fio preto em torno da barras de acordo com padrão.</t>
  </si>
  <si>
    <t xml:space="preserve">i0524_5p011m_g27_e001 </t>
  </si>
  <si>
    <t xml:space="preserve">Resgatar ilustração menino observando uma estante vazia para guardar seus brinquedos; g23_mdn_lt_5npm_p55; código antigo i0620so_5pmm_g19_mdn_ef </t>
  </si>
  <si>
    <t xml:space="preserve">i0525_5p011m_g27_e001 </t>
  </si>
  <si>
    <t xml:space="preserve">Resgatar ilustração cartaz da promoção que está sendo realizada em uma loja; menino e avô depositando um bilhete em uma urna para ser sorteado; g23_mdn_lt_5npm_p59; código antigo i0617rl_5pmm_g19_mdn_ef </t>
  </si>
  <si>
    <t xml:space="preserve">i0526_5p011m_g27_e001 </t>
  </si>
  <si>
    <t>Resgatar ilustração 6 flores amarelas, 7 flores vermelhas e 2 vasos de flores. Código antigo: i0618rn_5pmm_g19_mdn</t>
  </si>
  <si>
    <t xml:space="preserve">i0527_5p011m_g27_e001 </t>
  </si>
  <si>
    <t xml:space="preserve">Resgatar ilustração menina realizando contas de divisão na lousa; g23_mdn_lt_5npm_p60; código antigo i0626cz_5pmm_g19_mdn_ef 
AJUSTE: dividir a il em 3 códigos, como se fossem três cenas. Verificar necessidade de ajustar cabelo, se vai ficar coerente o corte seco após a separação. E ajustar ao grid da página </t>
  </si>
  <si>
    <t>i1938_2p011m_g27_e001</t>
  </si>
  <si>
    <t xml:space="preserve">Resgatar todos os animais e o efeito de fundo do mar da ilustração g23_mdn_lt_2npm_p160 (código antigo i1648so_2pmm_g19_mdn_ly). Porém, é necessário que os animais sejam dispostos de maneira semelhante a apresentada a seguir (não precisar ficar igual, mas os animais precisam ocupar esse espaço da página. Além disso, é necessário que eles não se sobreponham, pois os estudantes vão contá-los) e que o efeito de fundo do mar fique organizado de maneira semelhante ao apresentado. OBS: Na imagem deve aparecer 3 polvos, 6 estrelas-do-mar e 9 peixes. </t>
  </si>
  <si>
    <t>i1949_2p011m_g27_e001</t>
  </si>
  <si>
    <t>Resgatar ilustração de três barras com quatro divisões de mesmo tamanho. Ilustração veio do pitanguá mercado (m20_mdn_lt_2npm_u8_c1_p 174); código antigo it1655_2npm_m20_mdn</t>
  </si>
  <si>
    <t>i1950_2p011m_g27_e001</t>
  </si>
  <si>
    <t>Resgatar ilustração de duas barras com oito divisões de mesmo tamanho. Ilustração veio do pitanguá mercado (m20_mdn_lt_2npm_u8_c1_p 174); código antigo it1656_2npm_m20_mdn</t>
  </si>
  <si>
    <t>i1937_2p011m_g27_e001</t>
  </si>
  <si>
    <t>Resgatar ilustração de cesta com roupas e com a placa com o escrito "QUALQUER PEÇA POR APENAS 9 REAIS" do g23_mdn_lt_2npm_p162; código antigo: i1623za_2pmm_g19_mdn</t>
  </si>
  <si>
    <t>i1940_2p011m_g27_e001</t>
  </si>
  <si>
    <t>Resgatar e ajustar ilustração de dois grupos com três bolinhas desenhadas em cada um. Veio de: g23_mdn_lt_2npm_p167. Código antigo: i1663_2pmm_g19_mdn
AJUSTE: O ajuste consiste em retirar as bolinhas do caderno, pois será aplicado pela diagramação.</t>
  </si>
  <si>
    <t>i1919_2p011m_g27_e001</t>
  </si>
  <si>
    <t>Resgatar e ajustar ilustração de um prato verde com vários biscoitos. Veio de: g23_mdn_lt_2npm_p167. Código antigo: i3014so_2npm_g23_mdn_re
AJUSTE 1: trocar os biscoitos por morangos.
AJUSTE 2: Cortar parte da il. que o texto está sobreposto. Como não vamos ter essa sobreposição e precisamos desse espaço para compor o texto, é necessário cortar a imagem.</t>
  </si>
  <si>
    <t>i1921_2p011m_g27_e001</t>
  </si>
  <si>
    <t>Resgatar e ajustar ilustração de duas crianças, cada uma segurando um prato de biscoitos com quantidades iguais. Veio de: g23_mdn_lt_2npm_p167. Código antigo: i3016so_2npm_g23_mdn_re
AJUSTE 1: trocar os biscoitos por morangos. Usar os mesmos morangos da i1919_2p011m_g27_e001.
AJUSTE 2: Deixar o fundo azul apenas na parte próxima das crianças ilustradas. O texto não deve sobrepor o fundo azul da imagem.</t>
  </si>
  <si>
    <t>g1936_2p011m_g27_e001</t>
  </si>
  <si>
    <t>Ilustração de um gráfico de barras verticais, com o eixo horizontal Produto e o eixo vertical Quantidade.
Compor as barras, conforme a quantidade indicada a seguir.
Produto	Quantidade
Sabonete	30
Creme dental	18
Xampu	15
Desodorante	21
Escova de dentes	12</t>
  </si>
  <si>
    <t>i0703_5p011m_g27_e001</t>
  </si>
  <si>
    <t>Resgatar ilustração da representação egípcia de 1/2. Veio de: g23_mdn_lt_5npm_p064. Código antigo: i0802rn_5pmm_g19_mdn</t>
  </si>
  <si>
    <t>i0704_5p011m_g27_e001</t>
  </si>
  <si>
    <t xml:space="preserve">Resgatar ilustração da representação egípcia de 1/4. Veio de: g23_mdn_lt_5npm_p064. Código antigo: i0803rn_5pmm_g19_mdn </t>
  </si>
  <si>
    <t xml:space="preserve">i0705_5p011m_g27_e001 </t>
  </si>
  <si>
    <t xml:space="preserve">Resgatar ilustração da representação egípcia de 1/6. Veio de: g23_mdn_lt_5npm_p064. Código antigo: i0804rn_5pmm_g19_mdn </t>
  </si>
  <si>
    <t xml:space="preserve">i0706_5p011m_g27_e001 </t>
  </si>
  <si>
    <t xml:space="preserve">Resgatar ilustração da representação egípcia de 1/12. Veio de: g23_mdn_lt_5npm_p064. Código antigo: i0805rn_5pmm_g19_mdn </t>
  </si>
  <si>
    <t xml:space="preserve">i0707_5p011m_g27_e001 </t>
  </si>
  <si>
    <t xml:space="preserve">Resgatar ilustração da representação egípcia de 2/3. Veio de: g23_mdn_lt_5npm_p064. Código antigo: i0806rn_5pmm_g19_mdn </t>
  </si>
  <si>
    <t xml:space="preserve">i0708_5p011m_g27_e001 </t>
  </si>
  <si>
    <t>Resgatar ilustração de um retângulo 12x2. Veio de: g23_mdn_lt_5npm_p065. Código antigo:  it0807_5pmm_g19_mdn</t>
  </si>
  <si>
    <t xml:space="preserve">i0709_5p011m_g27_e001 </t>
  </si>
  <si>
    <t xml:space="preserve">Resgatar ilustração de um retângulo com uma das metades pintada de azul. Veio de: g23_mdn_lt_5npm_p065. Código antigo: it0808_5pmm_g19_mdn </t>
  </si>
  <si>
    <t xml:space="preserve">i0710_5p011m_g27_e001 </t>
  </si>
  <si>
    <t xml:space="preserve">Resgatar ilustração de um octógono representando a fração 3/8. Veio de: g23_mdn_lt_5npm_p066. Código antigo: it0809_5pmm_g19_mdn </t>
  </si>
  <si>
    <t xml:space="preserve">i0711_5p011m_g27_e001 </t>
  </si>
  <si>
    <t xml:space="preserve">Resgatar ilustração de um retângulo representando uma fração. Veio de: g23_mdn_lt_5npm_p066. Código antigo: it0908_5pmm_g19_mdn </t>
  </si>
  <si>
    <t xml:space="preserve">i0712_5p011m_g27_e001 </t>
  </si>
  <si>
    <t xml:space="preserve">Resgatar ilustração de um círculo representando uma fração. Veio de: g23_mdn_lt_5npm_p066. Código antigo: it0811_5pmm_g19_mdn </t>
  </si>
  <si>
    <t xml:space="preserve">i0713_5p011m_g27_e001 </t>
  </si>
  <si>
    <t xml:space="preserve">Resgatar ilustração de um quadrado representando uma fração. Veio de: g23_mdn_lt_5npm_p066. Código antigo: it0812_5pmm_g19_mdn </t>
  </si>
  <si>
    <t xml:space="preserve">i0714_5p011m_g27_e001 </t>
  </si>
  <si>
    <t xml:space="preserve">Resgatar ilustração de uma reta numérica representando uma fração. Veio de: g23_mdn_lt_5npm_p066. Código antigo: it1410Aca_5npm_g23_mdn_aj </t>
  </si>
  <si>
    <t xml:space="preserve">i0715_5p011m_g27_e001 </t>
  </si>
  <si>
    <t xml:space="preserve">Resgatar ilustração de uma reta numérica representando diferentes frações. Veio de: g23_mdn_lt_5npm_p066. Código antigo: it1411ca_5npm_g23_mdn_aj 
AJUSTE: excluir elementos em cor resposta </t>
  </si>
  <si>
    <t xml:space="preserve">i0716_5p011m_g27_e001 </t>
  </si>
  <si>
    <t xml:space="preserve">Resgatar ilustração de uma reta numérica representando diferentes frações. Veio de: g23_mdn_lt_5npm_p066. Código antigo: it1412ca_5npm_g23_mdn_aj 
AJUSTE: retirar elementos em cor resposta </t>
  </si>
  <si>
    <t xml:space="preserve">i0717_5p011m_g27_e001 </t>
  </si>
  <si>
    <t xml:space="preserve">Resgatar ilustração de um triângulo representando a fração 7/16
 Veio de: g23_mdn_lt_5npm_p067. Código antigo: it0814_5pmm_g19_mdn </t>
  </si>
  <si>
    <t>i0718_5p011m_g27_e001</t>
  </si>
  <si>
    <t xml:space="preserve">Resgatar ilustração de um decágono representando a fração  3/10   Veio de: g23_mdn_lt_5npm_p067. Código antigo: it0817_5pmm_g19_mdn </t>
  </si>
  <si>
    <t>i0719_5p011m_g27_e001</t>
  </si>
  <si>
    <t xml:space="preserve">Resgatar ilustração de um hexágono representando a fração  5/8    Veio de: g23_mdn_lt_5npm_p067. Código antigo: it0815_5pmm_g19_mdn </t>
  </si>
  <si>
    <t xml:space="preserve">i0720_5p011m_g27_e001 </t>
  </si>
  <si>
    <t xml:space="preserve">Resgatar ilustração de um trapézio representando a fração  11/16
 Veio de: g23_mdn_lt_5npm_p067. Código antigo: it0818_5pmm_g19_mdn </t>
  </si>
  <si>
    <t>i0721_5p011m_g27_e001</t>
  </si>
  <si>
    <t xml:space="preserve">Resgatar ilustração de um quadrado representando a fração  5/9. Veio de: g23_mdn_lt_5npm_p067. Código antigo: it0816_5pmm_g19_mdn </t>
  </si>
  <si>
    <t xml:space="preserve">i0722_5p011m_g27_e001 </t>
  </si>
  <si>
    <t>Resgatar ilustração de um pentágono representando a fração 
15/20. Veio de: g23_mdn_lt_5npm_p067. Código antigo: it0819_5pmm_g19_mdn</t>
  </si>
  <si>
    <t xml:space="preserve">i0724_5p011m_g27_e001 </t>
  </si>
  <si>
    <t xml:space="preserve">Resgatar ilustração de angulo reto. Veio de: g23_mdn_lt_5npm_p069. Código antigo: it1427sl_5npm_g23_mdn_aj </t>
  </si>
  <si>
    <t xml:space="preserve">i0725_5p011m_g27_e001 </t>
  </si>
  <si>
    <t xml:space="preserve">Resgatar ilustração de figuras geométricas. Veio de: g23_mdn_lt_5npm_p069. Código antigo: it0828_5pmm_g19_mdn </t>
  </si>
  <si>
    <t xml:space="preserve">i0726_5p011m_g27_e001 </t>
  </si>
  <si>
    <t xml:space="preserve">Resgatar ilustração com faces de um dado. Veio de: g23_mdn_lt_5npm_p069. Código antigo: i0829_5pmm_g19_mdn </t>
  </si>
  <si>
    <t xml:space="preserve">i0729_5p011m_g27_e001 </t>
  </si>
  <si>
    <t xml:space="preserve">Resgatar ilustração de latinhas azuis. Veio de: g23_mdn_lt_5npm_p070. Código antigo i0830rn_5pmm_g19_mdn </t>
  </si>
  <si>
    <t xml:space="preserve">i0730_5p011m_g27_e001 </t>
  </si>
  <si>
    <t xml:space="preserve">Resgatar ilustração de latinhas azuis. Veio de: g23_mdn_lt_5npm_p070. Código antigo i0831rn_5pmm_g19_mdn </t>
  </si>
  <si>
    <t xml:space="preserve">i0732_5p011m_g27_e001 </t>
  </si>
  <si>
    <t xml:space="preserve">Resgatar ilustração do ponteiro de combustível do carro. Veio de: g23_mdn_lt_5npm_p072. Código antigo: i0834_5pmm_g19_mdn </t>
  </si>
  <si>
    <t xml:space="preserve">i0733_5p011m_g27_e001 </t>
  </si>
  <si>
    <t xml:space="preserve">Resgatar ilustração de um relógio marcando horários diferentes. Veio de: g23_mdn_lt_5npm_p072. Código antigo: i0836_5pmm_g19_mdn 
AJUSTE: retirar elementos em cor resposta </t>
  </si>
  <si>
    <t>i0736_5p011m_g27_e001</t>
  </si>
  <si>
    <t xml:space="preserve">Resgatar ilustração de xicaras de suco de laranja. Veio de: g23_mdn_lt_5npm_p074. Código antigo: i0840_5pmm_g19_mdn </t>
  </si>
  <si>
    <t xml:space="preserve">i0737_5p011m_g27_e001 </t>
  </si>
  <si>
    <t xml:space="preserve">Resgatar ilustração de retângulos representando frações. Veio de: g23_mdn_lt_5npm_p074. Código antigo: it0841_5pmm_g19_mdn </t>
  </si>
  <si>
    <t xml:space="preserve">i0738_5p011m_g27_e001 </t>
  </si>
  <si>
    <t xml:space="preserve">Resgatar ilustração de retângulos representando frações. Veio de: g23_mdn_lt_5npm_p075. Código antigo: it0842_5pmm_g19_mdn </t>
  </si>
  <si>
    <t xml:space="preserve">i0739_5p011m_g27_e001 </t>
  </si>
  <si>
    <t xml:space="preserve">Resgatar ilustração de retângulos representando frações. Veio de: g23_mdn_lt_5npm_p075. Código antigo: it0844_5pmm_g19_mdn </t>
  </si>
  <si>
    <t xml:space="preserve">i0740_5p011m_g27_e001 </t>
  </si>
  <si>
    <t xml:space="preserve">Resgatar ilustração de reta numérica. Veio de: g23_mdn_lt_5npm_p076. Código antigo: i1418ca_5npm_g23_mdn_aj 
AJUSTE: retirar caderno, deixar apenas a reta com esquemas </t>
  </si>
  <si>
    <t xml:space="preserve">i0742_5p011m_g27_e001 </t>
  </si>
  <si>
    <t xml:space="preserve">Resgatar ilustração de uma reta numérica. Veio de: g23_mdn_lt_5npm_p076. Código antigo: it1413ca_5npm_g23_mdn_aj 
AJUSTE: retirar elementos em cor resposta </t>
  </si>
  <si>
    <t xml:space="preserve">i0743_5p011m_g27_e001 </t>
  </si>
  <si>
    <t xml:space="preserve">Resgatar ilustração de uma reta numérica. Veio de: g23_mdn_lt_5npm_p076. Código antigo: it1414ca_5npm_g23_mdn_aj 
AJUSTE: retirar elementos em cor resposta </t>
  </si>
  <si>
    <t xml:space="preserve">i0744_5p011m_g27_e001 </t>
  </si>
  <si>
    <t xml:space="preserve">Resgatar ilustração de uma reta numérica. Veio de: g23_mdn_lt_5npm_p076. Código antigo: it1415ca_5npm_g23_mdn_aj 
AJUSTE: retirar elementos em cor resposta </t>
  </si>
  <si>
    <t xml:space="preserve">i0745_5p011m_g27_e001 </t>
  </si>
  <si>
    <t xml:space="preserve">Resgatar ilustração de uma criança desenhando. Veio de: g23_mdn_lt_5npm_p077. Código antigo: i0850za_5pmm_g19_mdn_ef </t>
  </si>
  <si>
    <t xml:space="preserve">i0746_5p011m_g27_e001 </t>
  </si>
  <si>
    <t xml:space="preserve">Resgatar ilustração de um retângulo representando a fração  1/4
. Veio de: g23_mdn_lt_5npm_p077. Código antigo: it0851_5pmm_g19_mdn </t>
  </si>
  <si>
    <t xml:space="preserve">i0747_5p011m_g27_e001 </t>
  </si>
  <si>
    <t xml:space="preserve">Resgatar ilustração de um retângulo representando a fração 
8/10
. Veio de: g23_mdn_lt_5npm_p077. Código antigo: it0852_5pmm_g19_mdn </t>
  </si>
  <si>
    <t>i0748_5p011m_g27_e001</t>
  </si>
  <si>
    <t xml:space="preserve">Resgatar ilustração de um retângulo representando a fração 
6/12
. Veio de: g23_mdn_lt_5npm_p077. Código antigo: it0853_5pmm_g19_mdn </t>
  </si>
  <si>
    <t>i0749_5p011m_g27_e001</t>
  </si>
  <si>
    <t xml:space="preserve">Resgatar ilustração de uma barra representando a fração 3/4
. Veio de: g23_mdn_lt_5npm_p078. Código antigo: it0854_5pmm_g19_mdn </t>
  </si>
  <si>
    <t xml:space="preserve">i0750_5p011m_g27_e001 </t>
  </si>
  <si>
    <t xml:space="preserve">Resgatar ilustração de uma barra representando a fração 
6/8
. Veio de: g23_mdn_lt_5npm_p078. Código antigo: it0855_5pmm_g19_mdn </t>
  </si>
  <si>
    <t xml:space="preserve">i0751_5p011m_g27_e001 </t>
  </si>
  <si>
    <t xml:space="preserve">Resgatar ilustração de uma barra representando a fração 
9/12
. Veio de: g23_mdn_lt_5npm_p078. Código antigo: it0856_5pmm_g19_mdn </t>
  </si>
  <si>
    <t xml:space="preserve">i0752_5p011m_g27_e001 </t>
  </si>
  <si>
    <t xml:space="preserve">Resgatar ilustração de um octógono representando uma fração. Veio de: g23_mdn_lt_5npm_p079. Código antigo: it0857_5pmm_g19_mdn </t>
  </si>
  <si>
    <t xml:space="preserve">i0753_5p011m_g27_e001 </t>
  </si>
  <si>
    <t xml:space="preserve">Resgatar ilustração de um octógono representando uma fração. Veio de: g23_mdn_lt_5npm_p079. Código antigo: it0858_5pmm_g19_mdn </t>
  </si>
  <si>
    <t xml:space="preserve">i0754_5p011m_g27_e001 </t>
  </si>
  <si>
    <t xml:space="preserve">Resgatar ilustração de formas geométricas. Veio de: g23_mdn_lt_5npm_p080. Código antigo: it0903_5pmm_g19_mdn </t>
  </si>
  <si>
    <t>i0755_5p011m_g27_e001</t>
  </si>
  <si>
    <t xml:space="preserve">Resgatar ilustração de líquidos em dois recipientes. Veio de: g23_mdn_lt_5npm_p082. Código antigo: i0859_5pmm_g19_mdn_ef </t>
  </si>
  <si>
    <t xml:space="preserve">i0756_5p011m_g27_e001 </t>
  </si>
  <si>
    <t xml:space="preserve">Resgatar ilustração de frações representadas em trapézios. Veio de: g23_mdn_lt_5npm_p082. Código antigo: it0861_5pmm_g19_mdn </t>
  </si>
  <si>
    <t xml:space="preserve">i0757_5p011m_g27_e001 </t>
  </si>
  <si>
    <t xml:space="preserve">Resgatar ilustração de frações representadas em um eneágonos. Veio de: g23_mdn_lt_5npm_p082. Código antigo: it0862_5pmm_g19_mdn </t>
  </si>
  <si>
    <t xml:space="preserve">i0758_5p011m_g27_e001 </t>
  </si>
  <si>
    <t xml:space="preserve">Resgatar ilustração de frações representadas em barras. Veio de: g23_mdn_lt_5npm_p082. Código antigo: it0863_5pmm_g19_mdn </t>
  </si>
  <si>
    <t xml:space="preserve">i0759_5p011m_g27_e001 </t>
  </si>
  <si>
    <t xml:space="preserve">Resgatar ilustração de frações representadas em barras. Veio de: g23_mdn_lt_5npm_p083. Código antigo: it0864_5pmm_g19_mdn </t>
  </si>
  <si>
    <t xml:space="preserve">i0760_5p011m_g27_e001 </t>
  </si>
  <si>
    <t>Resgatar ilustração de frações representadas em barras. Veio de: g23_mdn_lt_5npm_p083. Código antigo: it0865_5pmm_g19_mdn</t>
  </si>
  <si>
    <t xml:space="preserve">i0761_5p011m_g27_e001 </t>
  </si>
  <si>
    <t xml:space="preserve">Resgatar ilustração de frações representadas em barras. Veio de: g23_mdn_lt_5npm_p083. Código antigo: it0866_5pmm_g19_mdn </t>
  </si>
  <si>
    <t xml:space="preserve">i0762_5p011m_g27_e001 </t>
  </si>
  <si>
    <t xml:space="preserve">Resgatar ilustração de uma estudante falando. Veio de: g23_mdn_lt_5npm_p084. Código antigo: i0868aa_5pmm_g19_mdn_ef </t>
  </si>
  <si>
    <t xml:space="preserve">i0763_5p011m_g27_e001 </t>
  </si>
  <si>
    <t xml:space="preserve">Resgatar ilustração de uma reta numérica. Veio de: g23_mdn_lt_5npm_p084. Código antigo: it1416ca_5npm_g23_mdn_aj 
AJUSTE: retirar elementos em cor resposta </t>
  </si>
  <si>
    <t xml:space="preserve">i0765_5p011m_g27_e001 </t>
  </si>
  <si>
    <t xml:space="preserve">Resgatar ilustração de ficas de frações. Veio de: g23_mdn_lt_5npm_p086. Código antigo: i0870aa_5pmm_g19_mdn </t>
  </si>
  <si>
    <t xml:space="preserve">i0766_5p011m_g27_e001 </t>
  </si>
  <si>
    <t xml:space="preserve">Resgatar ilustração de 4 estudantes jogando um jogo de cartas na mesa. Veio de: g23_mdn_lt_5npm_p086. Código antigo: i0871aa_5pmm_g19_mdn </t>
  </si>
  <si>
    <t xml:space="preserve">i0768_5p011m_g27_e001 </t>
  </si>
  <si>
    <t xml:space="preserve">Resgatar ilustração de uma barra de frações. Veio de: g23_mdn_lt_5npm_p087. Código antigo: it0873_5pmm_g19_mdn </t>
  </si>
  <si>
    <t xml:space="preserve">i0769_5p011m_g27_e001 </t>
  </si>
  <si>
    <t xml:space="preserve">Resgatar ilustração de um círculo representando diferentes frações. Veio de: g23_mdn_lt_5npm_p087. Código antigo: it0874_5pmm_g19_mdn </t>
  </si>
  <si>
    <t xml:space="preserve">i0770_5p011m_g27_e001 </t>
  </si>
  <si>
    <t xml:space="preserve">Resgatar ilustração de um hexágono representando frações em cores diferentes. Veio de: g23_mdn_lt_5npm_p088. Código antigo: it0875_5pmm_g19_mdn </t>
  </si>
  <si>
    <t xml:space="preserve">i0771_5p011m_g27_e001 </t>
  </si>
  <si>
    <t xml:space="preserve">Resgatar ilustração de um quadrado representando frações. Veio de: g23_mdn_lt_5npm_p088. Código antigo: it0878_5pmm_g19_mdn </t>
  </si>
  <si>
    <t xml:space="preserve">i0772_5p011m_g27_e001 </t>
  </si>
  <si>
    <t xml:space="preserve">Resgatar ilustração de um círculo representando frações em cores diferentes Veio de: g23_mdn_lt_5npm_p088. Código antigo: it0876_5pmm_g19_mdn </t>
  </si>
  <si>
    <t xml:space="preserve">i0773_5p011m_g27_e001 </t>
  </si>
  <si>
    <t xml:space="preserve">Resgatar ilustração de um retângulo representando diferentes frações. Veio de: g23_mdn_lt_5npm_p088. Código antigo: it0879_5pmm_g19_mdn </t>
  </si>
  <si>
    <t xml:space="preserve">i0774_5p011m_g27_e001 </t>
  </si>
  <si>
    <t xml:space="preserve">Resgatar ilustração de um decágono representando diferentes frações. Veio de: g23_mdn_lt_5npm_p088. Código antigo: it0877_5pmm_g19_mdn </t>
  </si>
  <si>
    <t xml:space="preserve">i0775_5p011m_g27_e001 </t>
  </si>
  <si>
    <t xml:space="preserve">Resgatar ilustração de um hexágono representando diferentes frações. Veio de: g23_mdn_lt_5npm_p088. Código antigo: it0880_5pmm_g19_mdn </t>
  </si>
  <si>
    <t xml:space="preserve">i0776_5p011m_g27_e001 </t>
  </si>
  <si>
    <t>Resgatar ilustração de retângulos representando a fração 3/6 de maneiras diferentes. Veio de: g23_mdn_lt_5npm_p088. Código antigo: it0882_5pmm_g19_mdn
AJUSTE: separar em A e B.</t>
  </si>
  <si>
    <t xml:space="preserve">i0777_5p011m_g27_e001 </t>
  </si>
  <si>
    <t xml:space="preserve">Resgatar ilustração de um homem colocando bagagens no porta-malas do carro. Veio de: g23_mdn_lt_5npm_p089. Código antigo: i5714za_5m2sem_m20_stl_aj </t>
  </si>
  <si>
    <t xml:space="preserve">i0778_5p011m_g27_e001 </t>
  </si>
  <si>
    <t xml:space="preserve">Resgatar ilustração de uma barra particionada em 6 partes. Veio de: g23_mdn_lt_5npm_p089. Código antigo: it0884_5pmm_g19_mdn </t>
  </si>
  <si>
    <t xml:space="preserve">i0779_5p011m_g27_e001 </t>
  </si>
  <si>
    <t xml:space="preserve">Resgatar ilustração de uma barra particionada em 6 partes. Veio do g23_mdn_lt_5npm_p089. Código antigo: it0885_5pmm_g19_mdn </t>
  </si>
  <si>
    <t xml:space="preserve">i0780_5p011m_g27_e001 </t>
  </si>
  <si>
    <t xml:space="preserve">Resgatar ilustração da representação de uma fração em um octógono. Veio de: g23_mdn_lt_5npm_p090. Código antigo: it0886_5pmm_g19_mdn </t>
  </si>
  <si>
    <t xml:space="preserve">i0781_5p011m_g27_e001 </t>
  </si>
  <si>
    <t xml:space="preserve">Resgatar ilustração da representação de uma fração em um hexágono. Veio de: g23_mdn_lt_5npm_p090. Código antigo: it0888_5pmm_g19_mdn </t>
  </si>
  <si>
    <t xml:space="preserve">i0783_5p011m_g27_e001 </t>
  </si>
  <si>
    <t xml:space="preserve">Resgatar ilustração da representação de uma fração em um retângulo. Veio de: g23_mdn_lt_5npm_p090. Código antigo: it0889_5pmm_g19_mdn </t>
  </si>
  <si>
    <t xml:space="preserve">i0784_5p011m_g27_e001 </t>
  </si>
  <si>
    <t xml:space="preserve">Resgatar ilustração de mosaico colorido. Veio de: g23_mdn_lt_5npm_p090. Código antigo: it0890_5pmm_g19_mdn </t>
  </si>
  <si>
    <t xml:space="preserve">i0785_5p011m_g27_e001 </t>
  </si>
  <si>
    <t>Resgatar ilustração de um bolo. Veio de: g23_mdn_lt_5npm_p091. Código antigo: i0891rn_5pmm_g19_mdn</t>
  </si>
  <si>
    <t xml:space="preserve">i0786_5p011m_g27_e001 </t>
  </si>
  <si>
    <t xml:space="preserve">Resgatar ilustração de frações representadas em uma barra. Veio de: g23_mdn_lt_5npm_p093. Código antigo: it0893_5pmm_g19_mdn </t>
  </si>
  <si>
    <t xml:space="preserve">i0787_5p011m_g27_e001 </t>
  </si>
  <si>
    <t xml:space="preserve">Resgatar ilustração de medidas de distância entre dois pontos. Veio de: g23_mdn_lt_5npm_p093. Código antigo: it0894_5pmm_g19_mdn </t>
  </si>
  <si>
    <t xml:space="preserve">i0788_5p011m_g27_e001 </t>
  </si>
  <si>
    <t xml:space="preserve">Resgatar ilustração de uma barra representando diferentes frações. Veio de: g23_mdn_lt_5npm_p094. Código antigo: it0895_5pmm_g19_mdn </t>
  </si>
  <si>
    <t xml:space="preserve">i0791_5p011m_g27_e001 </t>
  </si>
  <si>
    <t xml:space="preserve">Resgatar ilustração de dados da página 108 do g23_mdn_lt_5npm_p104a111_u5. Código antigo i1016_5pmm_g19_mdn </t>
  </si>
  <si>
    <t xml:space="preserve">if0792_5p011m_g27_e001 </t>
  </si>
  <si>
    <t xml:space="preserve">Resgatar ilustração de roleta da página 109 do g23_mdn_lt_5npm_p104a111_u5. Código antigo if1017ca_5pmm_g19_mdn.png </t>
  </si>
  <si>
    <t>ILUSTRAÇÃO DE CAMILA CARMONA/ARQUIVO DA EDITORA. FOTO: EXILE_ARTIST/SHUTTERSTOCK</t>
  </si>
  <si>
    <t xml:space="preserve">i0793_5p011m_g27_e001 </t>
  </si>
  <si>
    <t xml:space="preserve">Resgatar ilustração de estante de carrinhos da página 110 do g23_mdn_lt_5npm_p104a111_u5. Código antigo i1018_5pmm_g19_mdn </t>
  </si>
  <si>
    <t xml:space="preserve">i0795_5p011m_g27_e001 </t>
  </si>
  <si>
    <t xml:space="preserve">Resgatar a ilustração de fichas com números da página 110 do g23_mdn_lt_5npm_p104a111_u5. Código antigo i1019_5pmm_g19_mdn </t>
  </si>
  <si>
    <t>i0796_5p011m_g27_e001</t>
  </si>
  <si>
    <t xml:space="preserve">Resgatar ilustração de um retângulo representando uma fração. Veio de: g23_mdn_lt_5npm_p095. Código antigo: it2390_5npm_m20_mdn 
AJUSTE: retirar preenchimento em cor resposta </t>
  </si>
  <si>
    <t xml:space="preserve">i0797_5p011m_g27_e001 </t>
  </si>
  <si>
    <t xml:space="preserve">Resgatar ilustração de um círculo representando uma fração. Veio de: g23_mdn_lt_5npm_p095. Código antigo: it2392_5npm_m20_mdn 
AJUSTE: retirar preenchimento em cor resposta </t>
  </si>
  <si>
    <t xml:space="preserve">i0798_5p011m_g27_e001 </t>
  </si>
  <si>
    <t xml:space="preserve">Resgatar ilustração de bolinha com números da página 111 do g23_mdn_lt_5npm_p104a111_u5. Código antigo: i1820gu_5npm_g23_mdn </t>
  </si>
  <si>
    <t>gu</t>
  </si>
  <si>
    <t>i1942_2p011m_g27_e001</t>
  </si>
  <si>
    <t>Resgatar ilustração de uma maçã do g23_mdn_lt_1npm_p136, código antigo i1222rm_1pmm_g19_mdn</t>
  </si>
  <si>
    <t>i1939_2p011m_g27_e001</t>
  </si>
  <si>
    <t>Resgatar e ajustar ilustração de uma régua com saltos de 3 em 3. Veio de: g23_mdn_lt_2npm_p173. Código antigo: i1624zz_2pmm_g19_mdn
AJUSTE: retirar a cota que está sobre as setas com marcações +3 e compor mais uma seta com marcação +3 que vai do 12 ao 15 conforme referência a seguir.</t>
  </si>
  <si>
    <t>i6117_2p011m_g27_e001</t>
  </si>
  <si>
    <t>Resgatar e ajustar ilustração da base do ábaco do material complementar do volume 1 pitanguá g27, com o código i6123_1p011m_g27_e001.
AJUSTE: inserir a haste das Centenas(C) conforme padrão da obra. Ver referência a seguir.</t>
  </si>
  <si>
    <t>i6118_2p011m_g27_e001</t>
  </si>
  <si>
    <t>Resgatar e ajustar ilustração das contas do ábaco de papel do material complementar do volume 1 pitanguá g27, com o código i6124_1p011m_g27_e001
AJUSTE: inserir mais 27 contas na imagem, sendo no total 45 contas. Ver referência a seguir. Se for necessário, pode colocar em outra disposição.</t>
  </si>
  <si>
    <t>i6120_2p011m_g27_e001</t>
  </si>
  <si>
    <t>Resgatar ilustração dado comum, em que nas faces terá os números de 1 a 6, do material complementar do volume 1 pitanguá g27 com o código i6145sl_1p011m_g27_e001 e codificar com o código acima.
AJUSTE: girar o molde do dado, deixando conforme referência a seguir e ampliar para que ocupe a página toda.</t>
  </si>
  <si>
    <t>i0185_2p011m_g27_e001</t>
  </si>
  <si>
    <t>Ilustração de 4 crianças de aproximadamente 10 anos (um menino cadeirante, uma menina negra, um menino loiro de óculos e uma menina branca do cabelo preto que esteja acima do peso) em torno de quatro carteiras juntas (dispostas em 2 por 2) em que na frente de cada criança terá o ábaco de papel disponível no material complementar com o código i6117_2p011m_g27_e001 (enviado nesse lote 58) e 24 contas (não precisa dar pra contar, podem ficar sobrepostas e como vai ter algumas nos ábacos, pode ser menos em cima da mesa) também do material complementar sendo iguais as da i6118_2p011m_g27_e001 (enviada nesse lote 58). Algumas contas já devem estar nas hastes das unidades e das dezenas de cada ábaco (mas não deve haver contas na haste das centenas). No ábaco do menino cadeirante, deve ter duas contas na haste das dezenas e quatro na haste das unidades.
Sobre a mesa compor o dado já montado também do material complementar que será resgate do 1º ano com o código i6145sl_1p011m_g27_e001. Ele deve estar próximo do menino cadeirante com a face do número 6 voltada para cima.
As crianças devem estar uniformizadas e as carteiras devem ser escolares.</t>
  </si>
  <si>
    <t>Rafe:10/06 Final: 13/06. Rafe não foi aprovado. Novo rafe: 17/06. Data da finalização alterada para dia 23/06.</t>
  </si>
  <si>
    <t xml:space="preserve">i0902_5p011m_g27_e001 </t>
  </si>
  <si>
    <t xml:space="preserve">Resgatar ilustração da representação de 1 grau do g23_mdn_lt_5npm_p160 código antigo it1604_5pmm_g19_mdn </t>
  </si>
  <si>
    <t xml:space="preserve">i0906_5p011m_g27_e001 </t>
  </si>
  <si>
    <t xml:space="preserve">Resgatar ilustração da representação de um ângulo do g23_mdn_lt_5npm_p160 código antigo it1608_5pmm_g19_mdn </t>
  </si>
  <si>
    <t xml:space="preserve">i0907_5p011m_g27_e001 </t>
  </si>
  <si>
    <t>Resgatar ilustração do ângulo de 180
do g23_mdn_lt_5npm_p161 código antigo it1613_5pmm_g19_mdn</t>
  </si>
  <si>
    <t xml:space="preserve">i0908_5p011m_g27_e001 </t>
  </si>
  <si>
    <t xml:space="preserve">Resgatar ilustração da representação do ângulo de 
40° do g23_mdn_lt_5npm_p161 código antigo it1617_5pmm_g19_mdn </t>
  </si>
  <si>
    <t xml:space="preserve">i0910_5p011m_g27_e001 </t>
  </si>
  <si>
    <t xml:space="preserve">Resgatar ilustração da representação do ângulo de 
90° do g23_mdn_lt_5npm_p161 código antigo it1614_5pmm_g19_mdn </t>
  </si>
  <si>
    <t xml:space="preserve">i0911_5p011m_g27_e001 </t>
  </si>
  <si>
    <t xml:space="preserve">Resgatar ilustração da representação do ângulo de 
145° do g23_mdn_lt_5npm_p161 código antigo it1618_5pmm_g19_mdn </t>
  </si>
  <si>
    <t xml:space="preserve">i0912_5p011m_g27_e001 </t>
  </si>
  <si>
    <t xml:space="preserve">Resgatar ilustração da malha quadriculada do percurso do g23_mdn_lt_5npm_p161 código antigo i1621_5pmm_g19_mdn </t>
  </si>
  <si>
    <t>i0913_5p011m_g27_e001</t>
  </si>
  <si>
    <t xml:space="preserve">Resgatar ilustração da malha quadriculada do percurso do g23_mdn_lt_5npm_p161 código antigo i1622_5pmm_g19_mdn </t>
  </si>
  <si>
    <t xml:space="preserve">i0914_5p011m_g27_e001 </t>
  </si>
  <si>
    <t xml:space="preserve">Resgatar ilustração da malha quadriculada do percurso do g23_mdn_lt_5npm_p161 código antigo i1623_5pmm_g19_mdn </t>
  </si>
  <si>
    <t xml:space="preserve">i0915_5p011m_g27_e001 </t>
  </si>
  <si>
    <t xml:space="preserve">Resgatar ilustração das linhas poligonais do g23_mdn_lt_5npm_p162 código antigo it1624_5pmm_g19_mdn </t>
  </si>
  <si>
    <t xml:space="preserve">i0916_5p011m_g27_e001 </t>
  </si>
  <si>
    <t xml:space="preserve">Resgatar ilustração das linhas poligonais do g23_mdn_lt_5npm_p162 código antigo it1625_5pmm_g19_mdn </t>
  </si>
  <si>
    <t xml:space="preserve">i0917_5p011m_g27_e001 </t>
  </si>
  <si>
    <t xml:space="preserve">Resgatar ilustração das linhas poligonais do g23_mdn_lt_5npm_p162 código antigo it1626_5pmm_g19_mdn </t>
  </si>
  <si>
    <t xml:space="preserve">i0918_5p011m_g27_e001 </t>
  </si>
  <si>
    <t>Resgatar ilustração das linhas poligonais do g23_mdn_lt_5npm_p162 código antigo it1627_5pmm_g19_mdn</t>
  </si>
  <si>
    <t xml:space="preserve">i0919_5p011m_g27_e001 </t>
  </si>
  <si>
    <t xml:space="preserve">Resgatar ilustração da representação de um polígono do g23_mdn_lt_5npm_p162 código antigo it1628_5pmm_g19_mdn </t>
  </si>
  <si>
    <t xml:space="preserve">i0920_5p011m_g27_e001 </t>
  </si>
  <si>
    <t xml:space="preserve">Resgatar ilustração da figura geométricas amarela do g23_mdn_lt_5npm_p162 código antigo it1629_5pmm_g19_mdn </t>
  </si>
  <si>
    <t xml:space="preserve">i0921_5p011m_g27_e001 </t>
  </si>
  <si>
    <t xml:space="preserve">Resgatar ilustração da figura geométricas amarela do g23_mdn_lt_5npm_p162 código antigo it1630_5pmm_g19_mdn </t>
  </si>
  <si>
    <t xml:space="preserve">i0922_5p011m_g27_e001 </t>
  </si>
  <si>
    <t xml:space="preserve">Resgatar ilustração da figura geométricas amarela do g23_mdn_lt_5npm_p162 código antigo it1631_5pmm_g19_mdn </t>
  </si>
  <si>
    <t xml:space="preserve">i0923_5p011m_g27_e001 </t>
  </si>
  <si>
    <t xml:space="preserve">Resgatar ilustração da figura geométricas amarela do g23_mdn_lt_5npm_p162 código antigo it1632_5pmm_g19_mdn </t>
  </si>
  <si>
    <t xml:space="preserve">i0924_5p011m_g27_e001 </t>
  </si>
  <si>
    <t xml:space="preserve">Resgatar ilustração do triângulo do g23_mdn_lt_5npm_p163 código antigo it1633_5pmm_g19_mdn </t>
  </si>
  <si>
    <t xml:space="preserve">i0925_5p011m_g27_e001 </t>
  </si>
  <si>
    <t xml:space="preserve">Resgatar ilustração do retângulo do g23_mdn_lt_5npm_p163 código antigo it1634_5pmm_g19_mdn </t>
  </si>
  <si>
    <t xml:space="preserve">i0926_5p011m_g27_e001 </t>
  </si>
  <si>
    <t xml:space="preserve">Resgatar ilustração do pentágono do g23_mdn_lt_5npm_p163 código antigo it1635_5pmm_g19_mdn </t>
  </si>
  <si>
    <t xml:space="preserve">i0927_5p011m_g27_e001 </t>
  </si>
  <si>
    <t xml:space="preserve">Resgatar ilustração do hexágono do g23_mdn_lt_5npm_p163 código antigo it1636_5pmm_g19_mdn </t>
  </si>
  <si>
    <t xml:space="preserve">i0928_5p011m_g27_e001 </t>
  </si>
  <si>
    <t xml:space="preserve">Resgatar ilustração do triângulo do g23_mdn_lt_5npm_p163 código antigo it1722_5pmm_g19_mdn </t>
  </si>
  <si>
    <t xml:space="preserve">i0929_5p011m_g27_e001 </t>
  </si>
  <si>
    <t xml:space="preserve">Resgatar ilustração do triângulo do g23_mdn_lt_5npm_p163 código antigo it1637_5pmm_g19_mdn </t>
  </si>
  <si>
    <t xml:space="preserve">i0930_5p011m_g27_e001 </t>
  </si>
  <si>
    <t xml:space="preserve">Resgatar ilustração do triângulo do g23_mdn_lt_5npm_p163 código antigo it1638_5pmm_g19_mdn </t>
  </si>
  <si>
    <t xml:space="preserve">i0931_5p011m_g27_e001 </t>
  </si>
  <si>
    <t xml:space="preserve">Resgatar ilustração do triângulo do g23_mdn_lt_5npm_p163 código antigo it1639_5pmm_g19_mdn </t>
  </si>
  <si>
    <t xml:space="preserve">i0932_5p011m_g27_e001 </t>
  </si>
  <si>
    <t xml:space="preserve">Resgatar ilustração do triângulo do g23_mdn_lt_5npm_p163 código antigo it1729_5pmm_g19_mdn </t>
  </si>
  <si>
    <t xml:space="preserve">i0934_5p011m_g27_e001 </t>
  </si>
  <si>
    <t xml:space="preserve">Resgatar ilustração das planificações de triângulos do g23_mdn_lt_5npm_p164 código antigo it1643_5pmm_g19_mdn </t>
  </si>
  <si>
    <t xml:space="preserve">i0935_5p011m_g27_e001 </t>
  </si>
  <si>
    <t xml:space="preserve">Resgatar ilustração das planificações de triângulos e pentágono do g23_mdn_lt_5npm_p164 código antigo it1644_5pmm_g19_mdn </t>
  </si>
  <si>
    <t xml:space="preserve">i0936_5p011m_g27_e001 </t>
  </si>
  <si>
    <t>Resgatar ilustração das planificações de quadriláteros e hexágonos do g23_mdn_lt_5npm_p164 código antigo it1645_5pmm_g19_mdn</t>
  </si>
  <si>
    <t xml:space="preserve">i0940_5p011m_g27_e001 </t>
  </si>
  <si>
    <t>Resgatar ilustração do triângulo do g23_mdn_lt_5npm_p165 código antigo it1648_5pmm_g19_mdn</t>
  </si>
  <si>
    <t xml:space="preserve">i0941_5p011m_g27_e001 </t>
  </si>
  <si>
    <t xml:space="preserve">Resgatar ilustração de traçando um segmento do g23_mdn_lt_5npm_p166 código antigo i1650_5pmm_g19_mdn </t>
  </si>
  <si>
    <t xml:space="preserve">i0942_5p011m_g27_e001 </t>
  </si>
  <si>
    <t>Resgatar ilustração do compasso do g23_mdn_lt_5npm_p166 código antigo i1649_5pmm_g19_mdn</t>
  </si>
  <si>
    <t>i0943_5p011m_g27_e001</t>
  </si>
  <si>
    <t xml:space="preserve">Resgatar ilustração do compasso seguindo os passos do g23_mdn_lt_5npm_p166 código antigo i1652_5pmm_g19_mdn </t>
  </si>
  <si>
    <t xml:space="preserve">i0944_5p011m_g27_e001 </t>
  </si>
  <si>
    <t xml:space="preserve">Resgatar ilustração do compasso na régua do g23_mdn_lt_5npm_p166 código antigo i1651zz_5pmm_g19_mdn </t>
  </si>
  <si>
    <t xml:space="preserve">i0945_5p011m_g27_e001 </t>
  </si>
  <si>
    <t xml:space="preserve">Resgatar ilustração do compasso na régua do g23_mdn_lt_5npm_p166 código antigo i1653_5pmm_g19_mdn </t>
  </si>
  <si>
    <t xml:space="preserve">i0946_5p011m_g27_e001 </t>
  </si>
  <si>
    <t>Resgatar ilustração de um triângulo do g23_mdn_lt_5npm_p166 código antigo it1654_5pmm_g19_mdn</t>
  </si>
  <si>
    <t xml:space="preserve">i0947_5p011m_g27_e001 </t>
  </si>
  <si>
    <t xml:space="preserve">Resgatar ilustração do segmento no programa de geometria dinâmica do g23_mdn_lt_5npm_p168 código antigo i1656sl_5pmm_g19_mdn </t>
  </si>
  <si>
    <t xml:space="preserve">i0948_5p011m_g27_e001 </t>
  </si>
  <si>
    <t xml:space="preserve">Resgatar ilustração de dois círculos no programa de geometria dinâmica do g23_mdn_lt_5npm_p168 código antigo i1657sl_5pmm_g19_mdn </t>
  </si>
  <si>
    <t>i0949_5p011m_g27_e001</t>
  </si>
  <si>
    <t xml:space="preserve">Resgatar ilustração do ponto C no programa de geometria dinâmica do g23_mdn_lt_5npm_p168 código antigo i1658sl_5pmm_g19_mdn </t>
  </si>
  <si>
    <t xml:space="preserve">i0950_5p011m_g27_e001 </t>
  </si>
  <si>
    <t xml:space="preserve">Resgatar ilustração de um triângulo no programa de geometria dinâmica do g23_mdn_lt_5npm_p168 código antigo i1659sl_5pmm_g19_mdn </t>
  </si>
  <si>
    <t>i0951_5p011m_g27_e001</t>
  </si>
  <si>
    <t xml:space="preserve">Resgatar ilustração do triângulo ABC do g23_mdn_lt_5npm_p169 código antigo it1660_5pmm_g19_mdn </t>
  </si>
  <si>
    <t>i0952_5p011m_g27_e001</t>
  </si>
  <si>
    <t>Resgatar ilustração do triângulo DEF do g23_mdn_lt_5npm_p169 código antigo it1661_5pmm_g19_mdn</t>
  </si>
  <si>
    <t xml:space="preserve">i0953_5p011m_g27_e001 </t>
  </si>
  <si>
    <t xml:space="preserve">Resgatar ilustração do triângulo IGH do g23_mdn_lt_5npm_p169 código antigo it1662_5pmm_g19_mdn </t>
  </si>
  <si>
    <t xml:space="preserve">i0954_5p011m_g27_e001 </t>
  </si>
  <si>
    <t xml:space="preserve">Resgatar ilustração do triângulo JLM do g23_mdn_lt_5npm_p169 código antigo it1663_5pmm_g19_mdn </t>
  </si>
  <si>
    <t xml:space="preserve">i0955_5p011m_g27_e001 </t>
  </si>
  <si>
    <t xml:space="preserve">Resgatar ilustração do triângulo NOP do g23_mdn_lt_5npm_p169 código antigo it1664_5pmm_g19_mdn </t>
  </si>
  <si>
    <t xml:space="preserve">i0956_5p011m_g27_e001 </t>
  </si>
  <si>
    <t xml:space="preserve">Resgatar ilustração do triângulo NOP do g23_mdn_lt_5npm_p170 código antigo i1665_5pmm_g19_mdn </t>
  </si>
  <si>
    <t xml:space="preserve">i0957_5p011m_g27_e001 </t>
  </si>
  <si>
    <t xml:space="preserve">Resgatar ilustração da medição do ângulo C do g23_mdn_lt_5npm_p170 código antigo i1667_5pmm_g19_mdn </t>
  </si>
  <si>
    <t xml:space="preserve">i0958_5p011m_g27_e001 </t>
  </si>
  <si>
    <t>Resgatar ilustração da medição do ângulo B do g23_mdn_lt_5npm_p170 código antigo i1666_5pmm_g19_mdn</t>
  </si>
  <si>
    <t xml:space="preserve">i0959_5p011m_g27_e001 </t>
  </si>
  <si>
    <t>Resgatar ilustração do triângulo verde DEF do g23_mdn_lt_5npm_p170 código antigo it1669_5pmm_g19_mdn</t>
  </si>
  <si>
    <t xml:space="preserve">i0960_5p011m_g27_e001 </t>
  </si>
  <si>
    <t>Resgatar ilustração triângulo azul ABC do g23_mdn_lt_5npm_p171 código antigo it1668_5pmm_g19_mdn</t>
  </si>
  <si>
    <t xml:space="preserve">i0961_5p011m_g27_e001 </t>
  </si>
  <si>
    <t xml:space="preserve"> Resgatar ilustração triângulo azul ABC do g23_mdn_lt_5npm_p171 código antigo it1670_5pmm_g19_mdn </t>
  </si>
  <si>
    <t xml:space="preserve">i0962_5p011m_g27_e001 </t>
  </si>
  <si>
    <t>Resgatar ilustração do triângulo com ângulos azul, verde e azul do g23_mdn_lt_5npm_p171 código antigo it1671_5pmm_g19_mdn</t>
  </si>
  <si>
    <t xml:space="preserve">i0963_5p011m_g27_e001 </t>
  </si>
  <si>
    <t>Resgatar ilustração do corte do triângulo do g23_mdn_lt_5npm_p171 código antigo it1672_5pmm_g19_mdn</t>
  </si>
  <si>
    <t xml:space="preserve">i0964_5p011m_g27_e001 </t>
  </si>
  <si>
    <t>Resgatar ilustração dos encaixes dos cantos do g23_mdn_lt_5npm_p171 código antigo it1673_5pmm_g19_mdn</t>
  </si>
  <si>
    <t xml:space="preserve">i0965_5p011m_g27_e001 </t>
  </si>
  <si>
    <t>Resgatar ilustração de uma figura de 6 peças do g23_mdn_lt_5npm_p172 código antigo i1674_5pmm_g19_mdn</t>
  </si>
  <si>
    <t>i0967_5p011m_g27_e001</t>
  </si>
  <si>
    <t>Resgatar ilustração do retângulo de 4 peças do g23_mdn_lt_5npm_p172 código i1675_5pmm_g19_mdn</t>
  </si>
  <si>
    <t xml:space="preserve">i0968_5p011m_g27_e001 </t>
  </si>
  <si>
    <t xml:space="preserve">Resgatar ilustração do quadrilátero do g23_mdn_lt_5npm_p172 código antigo i1676_5pmm_g19_mdn </t>
  </si>
  <si>
    <t xml:space="preserve">i0969_5p011m_g27_e001 </t>
  </si>
  <si>
    <t xml:space="preserve">Resgatar ilustração do trapézio do g23_mdn_lt_5npm_p172 código antigo i1680_5pmm_g19_mdn </t>
  </si>
  <si>
    <t xml:space="preserve">i0971_5p011m_g27_e001 </t>
  </si>
  <si>
    <t xml:space="preserve">Resgatar ilustração do trapézio do g23_mdn_lt_5npm_p173 código antigo it1684_5pmm_g19_mdn </t>
  </si>
  <si>
    <t xml:space="preserve">i0972_5p011m_g27_e001 </t>
  </si>
  <si>
    <t xml:space="preserve">Resgatar ilustração do paralelogramo do g23_mdn_lt_5npm_p173 código antigo it1685_5pmm_g19_mdn </t>
  </si>
  <si>
    <t xml:space="preserve">i0973_5p011m_g27_e001 </t>
  </si>
  <si>
    <t xml:space="preserve">Resgatar um paralelogramo do g23_mdn_lt_5npm_p173 código antigo it1686_5pmm_g19_mdn </t>
  </si>
  <si>
    <t xml:space="preserve">i0974_5p011m_g27_e001 </t>
  </si>
  <si>
    <t xml:space="preserve">Resgatar ilustração do paralelogramo do g23_mdn_lt_5npm_p173 código antigo it1687_5pmm_g19_mdn </t>
  </si>
  <si>
    <t>i0975_5p011m_g27_e001</t>
  </si>
  <si>
    <t xml:space="preserve">Resgatar ilustração do trapézio do g23_mdn_lt_5npm_p173 código antigo it1688_5pmm_g19_mdn </t>
  </si>
  <si>
    <t xml:space="preserve">i0976_5p011m_g27_e001 </t>
  </si>
  <si>
    <t xml:space="preserve">Resgatar ilustração do trapézio do g23_mdn_lt_5npm_p173 código antigo it1689_5pmm_g19_mdn </t>
  </si>
  <si>
    <t xml:space="preserve">i0977_5p011m_g27_e001 </t>
  </si>
  <si>
    <t xml:space="preserve">Resgatar ilustração de um paralelogramo verde do g23_mdn_lt_5npm_p173 código antigo it1690_5pmm_g19_mdn </t>
  </si>
  <si>
    <t xml:space="preserve">i0978_5p011m_g27_e001 </t>
  </si>
  <si>
    <t>Resgatar símbolo de ângulo reto do g23-mdn_lt_5npm_p174 código antigo it2628sl_5npm_g23_mdn</t>
  </si>
  <si>
    <t xml:space="preserve">i0979_5p011m_g27_e001 </t>
  </si>
  <si>
    <t>Resgatar ilustração do retângulo do g23_mdn_lt_5npm_p174 código antigo it1692_5pmm_g19_mdn</t>
  </si>
  <si>
    <t xml:space="preserve">i0980_5p011m_g27_e001 </t>
  </si>
  <si>
    <t>Resgatar ilustração do quadrado do g23_mdn_lt_5npm_p174 código antigo it1693_5pmm_g19_mdn</t>
  </si>
  <si>
    <t>i0981_5p011m_g27_e001</t>
  </si>
  <si>
    <t xml:space="preserve">Resgatar ilustração do losango do g23_mdn_lt_5npm_p174 código antigo it1693_5pmm_g19_mdn </t>
  </si>
  <si>
    <t xml:space="preserve">i0982_5p011m_g27_e001 </t>
  </si>
  <si>
    <t>Resgatar ilustração do retângulo laranja do g23_mdn_lt_5npm_p174 código antigo it1695_5pmm_g19_mdn</t>
  </si>
  <si>
    <t xml:space="preserve">i0983_5p011m_g27_e001 </t>
  </si>
  <si>
    <t xml:space="preserve">Resgatar ilustração do losango laranja do g23_mdn_lt_5npm_p174 código antigo it1696_5pmm_g19_mdn </t>
  </si>
  <si>
    <t xml:space="preserve">i0984_5p011m_g27_e001 </t>
  </si>
  <si>
    <t xml:space="preserve">Resgatar ilustração do quadrado laranja do g23_mdn_lt_5npm_p174 código antigo it1697_5pmm_g19_mdn </t>
  </si>
  <si>
    <t xml:space="preserve">i0985_5p011m_g27_e001 </t>
  </si>
  <si>
    <t>Resgatar ilustração do quadrado laranja do g23_mdn_lt_5npm_p174 código antigo it1698_5pmm_g19_mdn</t>
  </si>
  <si>
    <t xml:space="preserve">i0986_5p011m_g27_e001 </t>
  </si>
  <si>
    <t xml:space="preserve">Resgatar ilustração com quadriláteros e triângulos do g23_mdn_lt_5npm_p174 código antigo it1699_5pmm_g19_mdn </t>
  </si>
  <si>
    <t>i0987_5p011m_g27_e001</t>
  </si>
  <si>
    <t xml:space="preserve">Resgatar ilustração de um transferidor sobre um segmento AB e um lápis marcando um ângulo, do g23_mdn_lt_5npm_p175 código antigo i1700_5pmm_g19_mdn </t>
  </si>
  <si>
    <t xml:space="preserve">i0988_5p011m_g27_e001 </t>
  </si>
  <si>
    <t xml:space="preserve">Resgatar ilustração de um ângulo de BAD de 70 graus e um compasso traçando uma parte de uma circunferência, do g23_mdn_lt_5npm_p175 código antigo i1702_5pmm_g19_mdn </t>
  </si>
  <si>
    <t xml:space="preserve">i0989_5p011m_g27_e001 </t>
  </si>
  <si>
    <t xml:space="preserve">Resgatar ilustração de um lápis traçando um segmento de 3 cm com uma régua, do g23_mdn_lt_5npm_p175 código antigo i1701_5pmm_g19_mdn </t>
  </si>
  <si>
    <t>i0990_5p011m_g27_e001</t>
  </si>
  <si>
    <t xml:space="preserve">Resgatar ilustração de um ângulo de BAD de 70 graus e um compasso traçando uma parte de uma circunferência, do g23_mdn_lt_5npm_p175 código antigo i1703_5pmm_g19_mdn </t>
  </si>
  <si>
    <t xml:space="preserve">i0991_5p011m_g27_e001 </t>
  </si>
  <si>
    <t>Resgatar ilustração do paralelogramo ABCD do g23_mdn_lt_5npm_p175 código antigo it1704_5pmm_g19_mdn</t>
  </si>
  <si>
    <t xml:space="preserve">i0995_5p011m_g27_e001 </t>
  </si>
  <si>
    <t>Resgatar ilustração dos retângulos nas malhas quadriculadas do g23_mdn_lt_5npm_p177 código antigo i1726Azz_5pmm_g19_mdn</t>
  </si>
  <si>
    <t xml:space="preserve">i0998_5p011m_g27_e001 </t>
  </si>
  <si>
    <t xml:space="preserve">Resgatar ilustração da malha quadriculada dos quadrados do g23_mdn_lt_5npm_p178 código antigo i1724Azz_5pmm_g19_mdn </t>
  </si>
  <si>
    <t xml:space="preserve">i0999_5p011m_g27_e001 </t>
  </si>
  <si>
    <t xml:space="preserve">Resgatar ilustração dos paralelogramos no computador do g23_mdn_lt_5npm_p178 código antigo i1725sl_5pmm_g19_mdn </t>
  </si>
  <si>
    <t xml:space="preserve">i1000_5p011m_g27_e001 </t>
  </si>
  <si>
    <t xml:space="preserve">Resgatar ilustração da malha quadriculada do quadrado e retângulo do g23_mdn_lt_5npm_p179 código antigo i1714_5pmm_g19_mdn 
AJUSTE: Retirar tudo que estiver em cor resposta. </t>
  </si>
  <si>
    <t xml:space="preserve">i1001_5p011m_g27_e001 </t>
  </si>
  <si>
    <t xml:space="preserve">Resgatar ilustração da malha quadriculada do g23_mdn_lt_5npm_p179 código antigo i1718_5pmm_g19_mdn </t>
  </si>
  <si>
    <t xml:space="preserve">i1002_5p011m_g27_e001 </t>
  </si>
  <si>
    <t xml:space="preserve">Resgatar ilustração da malha quadriculada do polígono do g23_mdn_lt_5npm_p180 código antigo i1719sl_5pmm_g19_mdn </t>
  </si>
  <si>
    <t xml:space="preserve">i1003_5p011m_g27_e001 </t>
  </si>
  <si>
    <t xml:space="preserve">Resgatar ilustração dos retângulos da malha quadriculada do g23_mdn_lt_5npm_p180 código antigo i2630_5npm_g23_mdn_aj </t>
  </si>
  <si>
    <t>i1004_5p011m_g27_e001</t>
  </si>
  <si>
    <t xml:space="preserve">Resgatar ilustração do triângulo 1 do g23_mdn_lt_5npm_p181 código antigo it2709_5npm_m20_mdn </t>
  </si>
  <si>
    <t xml:space="preserve">i1005_5p011m_g27_e001 </t>
  </si>
  <si>
    <t xml:space="preserve">Resgatar ilustração do triângulo 2 do g23_mdn_lt_5npm_p181 código antigo it2710_5npm_m20_mdn </t>
  </si>
  <si>
    <t xml:space="preserve">i1006_5p011m_g27_e001 </t>
  </si>
  <si>
    <t xml:space="preserve">Resgatar ilustração da malha quadriculada do g23_mdn_lt_5npm_p181 código antigo i2718zz_5npm_m20_mdn 
AJUSTE: excluir figuras em cor resposta </t>
  </si>
  <si>
    <t xml:space="preserve">m1309_5p011m_g27_e001 </t>
  </si>
  <si>
    <t>Resgatar mapa do Rio Grande do Norte. Veio de: g23_mdn_lt_5npm_p216. Código antigo: m1408km_5pmm_g19_mdn
AJUSTE 1: retirar rosa dos ventos e escala  
AJUSTE 2: Inserir legenda no mapa de acordo com o atlas escolar do IBGE 9 ed. 2023
Capital do país – Nata;l Sede municipal – Mossoró; Limite estadual
AJUSTE 3: separar em códigos: A- mapa; B- mapa de localização; C - legenda.</t>
  </si>
  <si>
    <t xml:space="preserve">i1310_5p011m_g27_e001 </t>
  </si>
  <si>
    <t>Resgatar régua medindo escala de mapa. Veio de: g23_mdn_lt_5npm_p216. Código antigo: i1409km_5pmm_g19_mdn</t>
  </si>
  <si>
    <t xml:space="preserve">i1313_5p011m_g27_e001 </t>
  </si>
  <si>
    <t xml:space="preserve">Resgatar ilustração de uma mulher pesquisando medidas de um tapete no notebook. Veio de: g23_mdn_lt_5npm_p217. Código antigo: i1416so_5pmm_g19_mdn </t>
  </si>
  <si>
    <t xml:space="preserve">i1314_5p011m_g27_e001 </t>
  </si>
  <si>
    <t xml:space="preserve">Resgatar ilustração de um triângulo ABC amarelo. Veio de: g23_mdn_lt_5npm_p218. Código antigo: it1417_5pmm_g19_mdn </t>
  </si>
  <si>
    <t xml:space="preserve">i1320_5p011m_g27_e001 </t>
  </si>
  <si>
    <t xml:space="preserve">Resgatar ilustração de uma mulher comprando um item no mercado; disponível em; g23_mdn_lt_5npm_p220_u10 codigo i5702rl_5m3sem_m20_stl_aj </t>
  </si>
  <si>
    <t xml:space="preserve">i1321_5p011m_g27_e001 </t>
  </si>
  <si>
    <t xml:space="preserve">Resgatar ilustração de um menino moreno; disponível em; g23_mdn_lt_5npm_p221_u10 codigo i1424cg_5pmm_g19_mdn_ef </t>
  </si>
  <si>
    <t xml:space="preserve">i1322_5p011m_g27_e001 </t>
  </si>
  <si>
    <t xml:space="preserve">Resgatar ilustração de três copos com líquido roxo; disponível em; g23_mdn_lt_5npm_p22_u10 codigo i2616Acg_5npm_g23_mdn_aj </t>
  </si>
  <si>
    <t>i1326_5p011m_g27_e001</t>
  </si>
  <si>
    <t>Resgatar ilustração de três litros com diferentes tamanhos; disponível em; g23_mdn_lt_5npm_p224_u10 código i1427ri_5pmm_g19_mdn
AJUSTE: Alterar o símbolo de litros para L em cx alta em 1 L ; 500 mL; 200 mL.</t>
  </si>
  <si>
    <t xml:space="preserve">i1331_5p011m_g27_e001 </t>
  </si>
  <si>
    <t xml:space="preserve">Resgatar ilustração de um relógio indicando 9 horas; disponível em; g23_mdn_lt_5npm_p227_u10 codigo i3810rr_5npm_g23_mdn_aj </t>
  </si>
  <si>
    <r>
      <rPr>
        <sz val="11"/>
        <color rgb="FF000000"/>
        <rFont val="Calibri"/>
        <family val="2"/>
      </rPr>
      <t>i1332_5p011m_g27_e001</t>
    </r>
    <r>
      <rPr>
        <i/>
        <sz val="9"/>
        <color rgb="FF0000FF"/>
        <rFont val="Calibri"/>
        <family val="2"/>
      </rPr>
      <t xml:space="preserve"> </t>
    </r>
  </si>
  <si>
    <t>Resgatar ilustração de um relógio indicando duas e cinquenta e cinco; disponível em; g23_mdn_lt_5npm_p227_u10 código i3811rr_5npm_g23_mdn_aj</t>
  </si>
  <si>
    <t xml:space="preserve">i1337_5p011m_g27_e001 </t>
  </si>
  <si>
    <t>Resgatar il de malha quadriculada com algumas figuras da página 229 do arquivo g23_mdn_lt_5npm_p229a241_u10. Código antigo: i2202_5pmm_g19_mdn
AJUSTE: retirar as letras</t>
  </si>
  <si>
    <t xml:space="preserve">i1338_5p011m_g27_e001 </t>
  </si>
  <si>
    <t xml:space="preserve">Resgatar il de quadradinho da página 229 do arquivo g23_mdn_lt_5npm_p229a241_u10. Código antigo: i2203_5pmm_g19_mdn </t>
  </si>
  <si>
    <t xml:space="preserve">i1339_5p011m_g27_e001 </t>
  </si>
  <si>
    <t xml:space="preserve">Resgatar il de 2 quadradinhos da página 229 do arquivo g23_mdn_lt_5npm_p229a241_u10. Código antigo: i2204_5pmm_g19_mdn </t>
  </si>
  <si>
    <t xml:space="preserve">i1340_5p011m_g27_e001 </t>
  </si>
  <si>
    <t xml:space="preserve">Resgatar il de 4 quadradinhos da página 229 do arquivo g23_mdn_lt_5npm_p229a241_u10. Código antigo: i2205_5pmm_g19_mdn </t>
  </si>
  <si>
    <t xml:space="preserve">i1341_5p011m_g27_e001 </t>
  </si>
  <si>
    <t xml:space="preserve">Resgatar il de quadradinho rosa da página 230 do arquivo g23_mdn_lt_5npm_p229a241_u10. Código antigo: i2206_5pmm_g19_mdn </t>
  </si>
  <si>
    <t>i1342_5p011m_g27_e001</t>
  </si>
  <si>
    <t>Resgatar il de 2 quadradinhos rosa da página 230 do arquivo g23_mdn_lt_5npm_p229a241_u10. Código antigo: i2204_5pmm_g19_mdn
AJUSTE: Rotacionar a il</t>
  </si>
  <si>
    <t xml:space="preserve">i1343_5p011m_g27_e001 </t>
  </si>
  <si>
    <t xml:space="preserve">Resgatar il de quadradinho vermelho da página 230 do arquivo g23_mdn_lt_5npm_p229a241_u10. Código antigo: it2207_5pmm_g19_mdn </t>
  </si>
  <si>
    <t xml:space="preserve">i1344_5p011m_g27_e001 </t>
  </si>
  <si>
    <t xml:space="preserve">Resgatar il de quadradinho amarelo da página 230 do arquivo g23_mdn_lt_5npm_p229a241_u10. Código antigo: i2233c_5pmm_g19_mdn </t>
  </si>
  <si>
    <t xml:space="preserve">i1345_5p011m_g27_e001 </t>
  </si>
  <si>
    <t xml:space="preserve">Resgatar il de triângulo amarelo da página 230 do arquivo g23_mdn_lt_5npm_p229a241_u10. Código antigo:i2233b_5pmm_g19_mdn </t>
  </si>
  <si>
    <t xml:space="preserve">i1346_5p011m_g27_e001 </t>
  </si>
  <si>
    <t xml:space="preserve">Resgatar il de malha quadriculada com 3 figuras amarelas da página 230 do arquivo g23_mdn_lt_5npm_p229a241_u10. Código antigo: i2233_5pmm_g19_mdn.png </t>
  </si>
  <si>
    <t xml:space="preserve">i1347_5p011m_g27_e001 </t>
  </si>
  <si>
    <t>Resgatar il de malha quadriculada com 3 figuras amarelo da página 230 do arquivo g23_mdn_lt_5npm_p229a241_u10. Código antigo: i2288_5pmm_g19_mdn
AJUSTE: retiras as letras</t>
  </si>
  <si>
    <t xml:space="preserve">i1348_5p011m_g27_e001 </t>
  </si>
  <si>
    <t xml:space="preserve">Resgatar il de figura amarela A da página 231 do arquivo g23_mdn_lt_5npm_p229a241_u10. Código antigo: it2212_5pmm_g19_mdn </t>
  </si>
  <si>
    <t xml:space="preserve">i1349_5p011m_g27_e001 </t>
  </si>
  <si>
    <t xml:space="preserve">Resgatar il de figura amarela B da página 231 do arquivo g23_mdn_lt_5npm_p229a241_u10. Código antigo: it2213_5pmm_g19_mdn </t>
  </si>
  <si>
    <t xml:space="preserve">i1350_5p011m_g27_e001 </t>
  </si>
  <si>
    <t xml:space="preserve">Resgatar il de mosaico da página 232 do arquivo g23_mdn_lt_5npm_p229a241_u10. Código antigo: it2215_5pmm_g19_mdn </t>
  </si>
  <si>
    <t xml:space="preserve">i1351_5p011m_g27_e001 </t>
  </si>
  <si>
    <t xml:space="preserve">Resgatar il de figura vermelha que é parte do mosaico anterior da página 232 do arquivo g23_mdn_lt_5npm_p229a241_u10. Código antigo: it2218_5pmm_g19_mdn </t>
  </si>
  <si>
    <t xml:space="preserve">i1352_5p011m_g27_e001 </t>
  </si>
  <si>
    <t xml:space="preserve">Resgatar il de figura verde que é parte do mosaico da página 232 do arquivo g23_mdn_lt_5npm_p229a241_u10. Código antigo: it2289_5pmm_g19_mdn </t>
  </si>
  <si>
    <t xml:space="preserve">i1353_5p011m_g27_e001 </t>
  </si>
  <si>
    <t xml:space="preserve">Resgatar il de figura amarela que é parte do mosaico da página 232 do arquivo g23_mdn_lt_5npm_p229a241_u10. Código antigo: it2222_5pmm_g19_mdn </t>
  </si>
  <si>
    <t xml:space="preserve">i1354_5p011m_g27_e001 </t>
  </si>
  <si>
    <t xml:space="preserve">Resgatar il de figura rosa que é parte do mosaico da página 232 do arquivo g23_mdn_lt_5npm_p229a241_u10. Código antigo: it2221_5pmm_g19_mdn </t>
  </si>
  <si>
    <t xml:space="preserve">i1355_5p011m_g27_e001 </t>
  </si>
  <si>
    <t xml:space="preserve">Resgatar il de figura azul que é parte do mosaico da página 232 do arquivo g23_mdn_lt_5npm_p229a241_u10. Código antigo: it2220_5pmm_g19_mdn </t>
  </si>
  <si>
    <t>i1356_5p011m_g27_e001</t>
  </si>
  <si>
    <t>Resgatar il de malha quadriculada com figuras vermelhas da página 233 do arquivo g23_mdn_lt_5npm_p229a241_u10. Código antigo:it2225_5pmm_g19_mdn
AJUSTE: retirar letras</t>
  </si>
  <si>
    <t xml:space="preserve">i1357_5p011m_g27_e001 </t>
  </si>
  <si>
    <t xml:space="preserve">Resgatar il de retângulo azul da página 233 do arquivo g23_mdn_lt_5npm_p229a241_u10. Código antigo: it2290_5pmm_g19_mdn </t>
  </si>
  <si>
    <t xml:space="preserve">i1358_5p011m_g27_e001 </t>
  </si>
  <si>
    <t xml:space="preserve">Resgatar il de retângulo laranja da página 233 do arquivo g23_mdn_lt_5npm_p229a241_u10. Código antigo: it2292_5pmm_g19_mdn </t>
  </si>
  <si>
    <t xml:space="preserve">i1359_5p011m_g27_e001 </t>
  </si>
  <si>
    <t xml:space="preserve">Resgatar il de retângulo laranja da página 233 do arquivo g23_mdn_lt_5npm_p229a241_u10. Código antigo it2291_5pmm_g19_mdn </t>
  </si>
  <si>
    <t xml:space="preserve">i1360_5p011m_g27_e001 </t>
  </si>
  <si>
    <t xml:space="preserve">Resgatar il de retângulo roxo da página 234 do arquivo g23_mdn_lt_5npm_p229a241_u10. Código antigo: it2227_5pmm_g19_mdn </t>
  </si>
  <si>
    <t>i1361_5p011m_g27_e001</t>
  </si>
  <si>
    <t>Resgatar il de retângulo roxo da página 234 do arquivo g23_mdn_lt_5npm_p229a241_u10. Código antigo: it2230_5pmm_g19_mdn</t>
  </si>
  <si>
    <t xml:space="preserve">i1362_5p011m_g27_e001 </t>
  </si>
  <si>
    <t xml:space="preserve">Resgatar il de retângulo roxo da página 234 do arquivo g23_mdn_lt_5npm_p229a241_u10. Código antigo: it2228_5pmm_g19_mdn </t>
  </si>
  <si>
    <t xml:space="preserve">i1363_5p011m_g27_e001 </t>
  </si>
  <si>
    <t xml:space="preserve">Resgatar il de retângulo roxo da página 234 do arquivo g23_mdn_lt_5npm_p229a241_u10. Código antigo: it2231_5pmm_g19_mdn </t>
  </si>
  <si>
    <t xml:space="preserve">i1364_5p011m_g27_e001 </t>
  </si>
  <si>
    <t xml:space="preserve">Resgatar il de planta de casa da página 235 do arquivo g23_mdn_lt_5npm_p229a241_u10. Código antigo: i2214_5pmm_g19_mdn </t>
  </si>
  <si>
    <t xml:space="preserve">i1365_5p011m_g27_e001 </t>
  </si>
  <si>
    <t xml:space="preserve">Resgatar il de lousa mostrando um quadrado da página 235 do arquivo g23_mdn_lt_5npm_p229a241_u10. Código antigo:i2258zz_5pmm_g19_mdn </t>
  </si>
  <si>
    <t xml:space="preserve">i1366_5p011m_g27_e001 </t>
  </si>
  <si>
    <t xml:space="preserve">Resgatar ilustração de peça de cerâmica amarela da página 236 do arquivo g23_mdn_lt_5npm_p229a241_u10. Código antigo: i2294_5pmm_g19_mdn 
</t>
  </si>
  <si>
    <t xml:space="preserve">i1367_5p011m_g27_e001 </t>
  </si>
  <si>
    <t xml:space="preserve">Resgatar il de peça de cerâmica marrom da página 236 do arquivo g23_mdn_lt_5npm_p229a241_u10. Código antigo:i2295_5pmm_g19_mdn </t>
  </si>
  <si>
    <t xml:space="preserve">i1368_5p011m_g27_e001 </t>
  </si>
  <si>
    <t xml:space="preserve">Resgatar il de peça de cerâmica verde da página 236 do arquivo g23_mdn_lt_5npm_p229a241_u10. Código antigo:i2296_5pmm_g19_mdn </t>
  </si>
  <si>
    <t xml:space="preserve">i1369_5p011m_g27_e001 </t>
  </si>
  <si>
    <t xml:space="preserve">Resgatar il da horta A da página 236 do arquivo g23_mdn_lt_5npm_p229a241_u10. Código antigo: i2297_5pmm_g19_mdn </t>
  </si>
  <si>
    <t xml:space="preserve">i1370_5p011m_g27_e001 </t>
  </si>
  <si>
    <t xml:space="preserve">Resgatar il da horta B da página 236 do arquivo g23_mdn_lt_5npm_p229a241_u10. Código antigo:i2298_5pmm_g19_mdn </t>
  </si>
  <si>
    <t xml:space="preserve">m1371_5p011m_g27_e001 </t>
  </si>
  <si>
    <t xml:space="preserve">Resgatar mapa do brasil com informações de alguns municípios da página 237 do arquivo g23_mdn_lt_5npm_p229a241_u10. Código antigo: m4202gu_5npm_g23_mdn 
AJUSTE: separar em dois códigos A e B, sendo o mapa completo e o mapinha de localização </t>
  </si>
  <si>
    <t xml:space="preserve">i1703_5p011m_g27_e001 </t>
  </si>
  <si>
    <t xml:space="preserve">Resgatar ilustração crianças tomando lanche oferecido pela escola no intervalo; g23_mdn_lt_5npm_p195; código antigo i2003aa_5pmm_g19_mdn </t>
  </si>
  <si>
    <t xml:space="preserve">i1704_5p011m_g27_e001 </t>
  </si>
  <si>
    <t>Resgatar ilustração cálculo manuscrito no caderno, igualdade entre 1º membro e 2° membro; g23_mdn_lt_5npm_p196; código antigo i2026_5pmm_g19_mdn 
AJUSTE: retirar caderno, deixar apenas esquema com a expressão</t>
  </si>
  <si>
    <t xml:space="preserve">i1708_5p011m_g27_e001 </t>
  </si>
  <si>
    <t>Resgatar ilustração dados em um alvo; g23_mdn_lt_5pm_p199; código antigo i2007_5pmm_g19_mdn
AJUSTE: manter as cores e ajustar contraste (ver contraste Checker) como foi feito nas ilustrações i0552zz_2p011m_g27_e001 e i0519rn_4p011m_g27_e001</t>
  </si>
  <si>
    <t>i1709_5p011m_g27_e001</t>
  </si>
  <si>
    <t>Resgatar ilustração dados em um alvo; g23_mdn_lt_5npm_p199; código antigo i2008_5pmm_g19_mdn
AJUSTE: manter as cores e ajustar contraste (ver contraste Checker) como foi feito nas ilustrações i0552zz_2p011m_g27_e001 e i0519rn_4p011m_g27_e001</t>
  </si>
  <si>
    <t xml:space="preserve">i1710_5p011m_g27_e001 </t>
  </si>
  <si>
    <t xml:space="preserve">Resgatar ilustração balança de dois pratos com pesos de 11 kg, 10 kg e 1 kg; g23_mdn_lt_5npm_p199; código antigo i2009_5pmm_g19_mdn </t>
  </si>
  <si>
    <t xml:space="preserve">i1711_5p011m_g27_e001 </t>
  </si>
  <si>
    <t xml:space="preserve">Resgatar ilustração desfile realizado no dia 7 de setembro em certa cidade, banda; g23_mdn_lt_5npm_p200; código antigo i2010rn_5pmm_g19_mdn </t>
  </si>
  <si>
    <t xml:space="preserve">i1712_5p011m_g27_e001 </t>
  </si>
  <si>
    <t xml:space="preserve">Resgatar ilustração desfile realizado no dia 7 de setembro em certa cidade, bloco de estudantes; g23_mdn_lt_5npm_p200; código antigo i2011rn_5pmm_g19_mdn </t>
  </si>
  <si>
    <t xml:space="preserve">i1713_5p011m_g27_e001 </t>
  </si>
  <si>
    <t xml:space="preserve">Resgatar ilustração desfile realizado no dia 7 de setembro em certa cidade, bloco do corpo de bombeiros; g23_mdn_lt_5npm_p200; código antigo i2012rn_5pmm_g19_mdn </t>
  </si>
  <si>
    <t xml:space="preserve">i1716_5p011m_g27_e001 </t>
  </si>
  <si>
    <t xml:space="preserve">Resgatar ilustração representação de fração em amarelo e roxo; g23_mdn_lt_5npm_p202; código antigoit2014_5pmm_g19_mdn </t>
  </si>
  <si>
    <t xml:space="preserve">i1717_5p011m_g27_e001 </t>
  </si>
  <si>
    <t xml:space="preserve">Resgatar ilustração representações de fração em amarelo, vermelho e azul; g23_mdn_lt_5npm_p202; código antigo it2015_5pmm_g19_mdn </t>
  </si>
  <si>
    <t>i1718_5p011m_g27_e001</t>
  </si>
  <si>
    <t xml:space="preserve">Resgatar ilustração representação de frações em azul, amarelo, verde e vermelho; g23_mdn_lt_5npm_p202; código antigo it2016_5pmm_g19_mdn </t>
  </si>
  <si>
    <t>i1722_5p011m_g27_e001</t>
  </si>
  <si>
    <t xml:space="preserve">Resgatar ilustração cálculo que a professora de Cristina fez na lousa; g23_mdn_lt_5npm_p206; código antigo i2020zz_5pmm_g19_mdn </t>
  </si>
  <si>
    <t xml:space="preserve">i1723_5p011m_g27_e001 </t>
  </si>
  <si>
    <t xml:space="preserve">Resgatar ilustração guarda-roupas, cadeira e sofá; g23_mdn_lt_5npm_p209; código antigo i3413_5npm_g23_mdn_re </t>
  </si>
  <si>
    <t>i0503_2p011m_g27_e001</t>
  </si>
  <si>
    <t xml:space="preserve">Resgatar ilustração de estudantes reunidos fazendo atividades escolares, na página 44 do g23_mdn_lt_2npm_p042a051_u2
Código antigo i0401cz_2pmm_g19_mdn_ef.
AJUSTE: retirar a tesoura </t>
  </si>
  <si>
    <t>i0505_2p011m_g27_e001</t>
  </si>
  <si>
    <t>Resgatar e ajustar ilustração de uma folha de caderno com desenhos de tracinhos e uma conta matemática montada, na página 45 do g23_mdn_lt_2npm_p042a051_u2
Código antigo i0450_2pmm_g19_mdn.
AJUSTE: substituir a soma para 7+2=9
Arte: compor apenas os risquinhos, o texto e a cota a diagramação vai aplicar.</t>
  </si>
  <si>
    <t xml:space="preserve">i1901_5p011m_g27_e001 </t>
  </si>
  <si>
    <t>Resgatar il de prateleira de leite da página 238 do arquivo g23_mdn_lt_5npm_p229a241_u10. Código antigo:i2234rn_5pmm_g19_mdn</t>
  </si>
  <si>
    <t xml:space="preserve">i1902_5p011m_g27_e001 </t>
  </si>
  <si>
    <t xml:space="preserve">Resgatar il de cubo amarelo da página 238 do arquivo g23_mdn_lt_5npm_p229a241_u10. Código antigo: it2235_5pmm_g19_mdn </t>
  </si>
  <si>
    <t xml:space="preserve">i1903_5p011m_g27_e001 </t>
  </si>
  <si>
    <t>Resgatar il de bloco de cubos amarelos da página 238 do arquivo g23_mdn_lt_5npm_p229a241_u10. Código antigo: it2236_5pmm_g19_mdn</t>
  </si>
  <si>
    <t xml:space="preserve">i1904_5p011m_g27_e001 </t>
  </si>
  <si>
    <t xml:space="preserve">Resgatar il de bloco de cubos amarelos da página 238 do arquivo g23_mdn_lt_5npm_p229a241_u10. Código antigo: it2237_5pmm_g19_mdn </t>
  </si>
  <si>
    <t xml:space="preserve">i1905_5p011m_g27_e001 </t>
  </si>
  <si>
    <t xml:space="preserve">Resgatar il de caixas de suco da página 239 do arquivo g23_mdn_lt_5npm_p229a241_u10. Código antigo: i2299_5pmm_g19_mdn </t>
  </si>
  <si>
    <t xml:space="preserve">i1906_5p011m_g27_e001 </t>
  </si>
  <si>
    <t xml:space="preserve">Resgatar il de algumas caixas de suco menores empilhadas da página 239 do arquivo g23_mdn_lt_5npm_p229a241_u10. Código antigo: i2300_5pmm_g19_mdn </t>
  </si>
  <si>
    <t xml:space="preserve">i1907_5p011m_g27_e001 </t>
  </si>
  <si>
    <t xml:space="preserve">Resgatar il de algumas caixas de suco maiores empilhadas da página 239 do arquivo g23_mdn_lt_5npm_p229a241_u10. Código antigo: i2301_5pmm_g19_mdn </t>
  </si>
  <si>
    <t xml:space="preserve">i1908_5p011m_g27_e001 </t>
  </si>
  <si>
    <t xml:space="preserve">Resgatar il de cubo azul da página 239 do arquivo g23_mdn_lt_5npm_p229a241_u10. Código antigo: it2259_5pmm_g19_mdn </t>
  </si>
  <si>
    <t xml:space="preserve">i1909_5p011m_g27_e001 </t>
  </si>
  <si>
    <t xml:space="preserve">Resgatar il de pilha cubica azul da página 239 do arquivo g23_mdn_lt_5npm_p229a241_u10. Código antigo: it2261_5pmm_g19_mdn </t>
  </si>
  <si>
    <t xml:space="preserve">i1910_5p011m_g27_e001 </t>
  </si>
  <si>
    <t xml:space="preserve">Resgatar il de cubo verde da página 240 do arquivo g23_mdn_lt_5npm_p229a241_u10. Código antigo: it2263_5pmm_g19_mdn.png </t>
  </si>
  <si>
    <t xml:space="preserve">i1911_5p011m_g27_e001 </t>
  </si>
  <si>
    <t xml:space="preserve">Resgatar il de metade de cubo verde da página 240 do arquivo g23_mdn_lt_5npm_p229a241_u10. Código antigo: it2264_5pmm_g19_mdn.png </t>
  </si>
  <si>
    <t xml:space="preserve">i1912_5p011m_g27_e001 </t>
  </si>
  <si>
    <t>Resgatar il de pilha verde A da página 240 do arquivo g23_mdn_lt_5npm_p229a241_u10. Código antigo: it2265_5pmm_g19_mdn</t>
  </si>
  <si>
    <t xml:space="preserve">i1913_5p011m_g27_e001 </t>
  </si>
  <si>
    <t xml:space="preserve">Resgatar il de pilha verde B da página 240 do arquivo g23_mdn_lt_5npm_p229a241_u10. Código antigo: it2262_5pmm_g19_mdn </t>
  </si>
  <si>
    <t xml:space="preserve">i1914_5p011m_g27_e001 </t>
  </si>
  <si>
    <t xml:space="preserve">Resgatar il de pilha verde C da página 240 do arquivo g23_mdn_lt_5npm_p229a241_u10. Código antigo: it2267_5pmm_g19_mdn </t>
  </si>
  <si>
    <t xml:space="preserve">i1915_5p011m_g27_e001 </t>
  </si>
  <si>
    <t xml:space="preserve">Resgatar il de cubo laranja da página 240 do arquivo g23_mdn_lt_5npm_p229a241_u10. Código antigo: it2269_5pmm_g19_mdn </t>
  </si>
  <si>
    <t xml:space="preserve">i1916_5p011m_g27_e001 </t>
  </si>
  <si>
    <t xml:space="preserve">Resgatar il de cubo laranja da página 240 do arquivo g23_mdn_lt_5npm_p229a241_u10. Código antigo: it2270_5pmm_g19_mdn </t>
  </si>
  <si>
    <t xml:space="preserve">i1917_5p011m_g27_e001 </t>
  </si>
  <si>
    <t xml:space="preserve">Resgatar il de aquário da página 241 do arquivo g23_mdn_lt_5npm_p229a241_u10. Código antigo: it2273_5pmm_g19_mdn </t>
  </si>
  <si>
    <t xml:space="preserve">i1918_5p011m_g27_e001 </t>
  </si>
  <si>
    <t xml:space="preserve">Resgatar il de aquário da página 241 do arquivo g23_mdn_lt_5npm_p229a241_u10. Código antigo: it2274_5pmm_g19_mdn </t>
  </si>
  <si>
    <t>i1920_5p011m_g27_e001</t>
  </si>
  <si>
    <t xml:space="preserve">Resgatar ilustração de um termômetro indicando 3 °C da página 242 do g23_mdn_lt_5npm. Código antigo i2278_5pmm_g19_mdn </t>
  </si>
  <si>
    <t xml:space="preserve">i1921_5p011m_g27_e001 </t>
  </si>
  <si>
    <t xml:space="preserve">Resgatar ilustração de um termômetro indicando 12 °C da página 242 do g23_mdn_lt_5npm. Código antigo i2279_5pmm_g19_mdn </t>
  </si>
  <si>
    <t xml:space="preserve">i1922_5p011m_g27_e001 </t>
  </si>
  <si>
    <t xml:space="preserve">Resgatar ilustração de um termômetro indicando 7 °C da página 242 do g23_mdn_lt_5npm. Código antigo i2280_5pmm_g19_mdn </t>
  </si>
  <si>
    <t xml:space="preserve">i1923_5p011m_g27_e001 </t>
  </si>
  <si>
    <t xml:space="preserve">Resgatar ilustração de um consultório ao fundo e uma mão segurando um termômetro indicando 37,9 °C da página 242 do g23_mdn_lt_5npm. Código antigo i2281_5pmm_g19_mdn </t>
  </si>
  <si>
    <t xml:space="preserve">i1924_5p011m_g27_e001 </t>
  </si>
  <si>
    <t xml:space="preserve">Resgatar ilustração de um consultório ao fundo e uma mão segurando um termômetro indicando 36,4 °C da página 242 do g23_mdn_lt_5npm. Código antigo i2282_5pmm_g19_mdn </t>
  </si>
  <si>
    <t xml:space="preserve">i1929_5p011m_g27_e001 </t>
  </si>
  <si>
    <t xml:space="preserve">Resgatar ilustração de homem como se estivesse falando, com um pote de geleia da página 246 do g23_mdn_lt_5npm. Código antigo i2245aa_5pmm_g19_mdn </t>
  </si>
  <si>
    <t xml:space="preserve">i1930_5p011m_g27_e001 </t>
  </si>
  <si>
    <t xml:space="preserve">Resgatar ilustração de dois meninos conversando da página 247 do g23_mdn_lt_5npm. Código antigo i2246rl_5pmm_g19_mdn </t>
  </si>
  <si>
    <t xml:space="preserve">i1932_5p011m_g27_e001 </t>
  </si>
  <si>
    <t xml:space="preserve">Resgatar ilustração de balança com celular e livro da página 248 do g23_mdn_lt_5npm. Código antigo i2248rn_5pmm_g19_mdn </t>
  </si>
  <si>
    <t xml:space="preserve">i1933_5p011m_g27_e001 </t>
  </si>
  <si>
    <t xml:space="preserve">Resgatar ilustração de balança com bola e livro da página 248 do g23_mdn_lt_5npm. Código antigo i2249rn_5pmm_g19_mdn </t>
  </si>
  <si>
    <t xml:space="preserve">i1934_5p011m_g27_e001 </t>
  </si>
  <si>
    <t xml:space="preserve">Resgatar ilustração de balança com bola, celular e livro da página 248 do g23_mdn_lt_5npm. Código antigo i2250rn_5pmm_g19_mdn </t>
  </si>
  <si>
    <t xml:space="preserve">i1936_5p011m_g27_e001 </t>
  </si>
  <si>
    <t xml:space="preserve">Resgatar ilustração caminhão da página 249 do g23_mdn_lt_5npm. Código antigo i2252rn_5pmm_g19_mdn </t>
  </si>
  <si>
    <t xml:space="preserve">i1938_5p011m_g27_e001 </t>
  </si>
  <si>
    <t xml:space="preserve">Resgatar ilustração menina lendo a tabela nutricional de um pacote de bolacha; g23_mdn_lt_5npm_p252; código antigo i2253Aaa_5pmm_g19_mdn_ef_LOcopy1 </t>
  </si>
  <si>
    <t xml:space="preserve">i1939_5p011m_g27_e001 </t>
  </si>
  <si>
    <t xml:space="preserve">Resgatar ilustração cubo amarelo; g23_mdn_lt_5npm_p255; código antigo it4208_5npm_g23_mdn_re </t>
  </si>
  <si>
    <t xml:space="preserve">i1940_5p011m_g27_e001 </t>
  </si>
  <si>
    <t xml:space="preserve">Resgatar ilustração monte de cubos amarelos empilhados; g23_mdn_lt_5npm_p255; código antigo it4209_5npm_g23_mdn_re </t>
  </si>
  <si>
    <t xml:space="preserve">i1941_5p011m_g27_e001 </t>
  </si>
  <si>
    <t xml:space="preserve">Resgatar ilustração monte de cubos amarelos empilhados; g23_mdn_lt_5npm_p255; código antigo it4210_5npm_g23_mdn_re </t>
  </si>
  <si>
    <t xml:space="preserve">i1942_5p011m_g27_e001 </t>
  </si>
  <si>
    <t xml:space="preserve">Resgatar ilustração termômetro marcando 11°C; g23_mdn_lt_5npm_p255; código antigo i4211zz_5npm_g23_mdn </t>
  </si>
  <si>
    <t xml:space="preserve">i1943_5p011m_g27_e001 </t>
  </si>
  <si>
    <t xml:space="preserve">Resgatar ilustração termômetro marcando 24°C; g23_mdn_lt_5npm_p255; código antigoi4212zz_5npm_g23_mdn </t>
  </si>
  <si>
    <t>i0562_2p011m_g27_e001</t>
  </si>
  <si>
    <t>Resgatar e ajustar ilustração de esquema de triângulo com numeros, na página 54 do g23_mdn_lt_2npm_p052a062_u2
Codigo antigo i0428mk_2pmm_g19_mdn
AJUSTE: retirar os números em cor resposta e deixar o espaço em branco.</t>
  </si>
  <si>
    <t>i0530_2p011m_g27_e001</t>
  </si>
  <si>
    <t>Resgatar ilustração do zoom das informações da prancheta sobre a quantidade de brinquedos vendidos, da página 133 do g23_mdn_lt_2npm_p128a135_u6; código antigo i2223zz_2npm_g23_mdn
AJUSTE: deixar a fonte das letras em manuscrito em caixa alta alta na fonte padrão da obra e inserir mais 3 risquinhos na bola de futebol (total de 10 risquinhos), 1 risquinho na boneca (total de 5 risquinhos), 9 risquinhos na pipa (total de 12 risquinhos) e 2 risquinhos no urso de pelúcia (total de 4 risquinhos).</t>
  </si>
  <si>
    <t>i0570_2p011m_g27_e001</t>
  </si>
  <si>
    <t>Ilustração do ábaco representando o número 15 com 1 conta na haste das dezenas e 5 contas na haste das unidades.</t>
  </si>
  <si>
    <t>i0571_2p011m_g27_e001</t>
  </si>
  <si>
    <t>Ilustração do ábaco representando o número 15 e sendo adicionado 1 conta na hasta das dezenas e 6 contas na haste das unidades.</t>
  </si>
  <si>
    <t>i0572_2p011m_g27_e001</t>
  </si>
  <si>
    <t>Ilustração do ábaco representando duas contas na haste da dezena e 11 contas na haste das unidades. Contornar 10 contas da haste das unidades para representar a troca por uma conta na haste da dezena. Conforme referência.</t>
  </si>
  <si>
    <t>i0573_2p011m_g27_e001</t>
  </si>
  <si>
    <t>Ilustração de ábaco representando o número 31 com 1 conta na haste das unidades e 3 contas na haste das dezenas.</t>
  </si>
  <si>
    <t>i0546_2p011m_g27_e001</t>
  </si>
  <si>
    <t>Ilustração de anotações em fonte manuscrita do projeto conforme referência a seguir.</t>
  </si>
  <si>
    <t>VINÍCIUS/ARQUIVO DA EDITORA</t>
  </si>
  <si>
    <t>i0559_2p011m_g27_e001</t>
  </si>
  <si>
    <t>Resgatar ilustrações de estudantes jogando jogo de tabuleiro, na página 68 do g23_mdn_lt_2npm_p063a069_u2
Código antigo i0624so_2npm_g23_mdn_a
AJUSTE: ajustar a ilustração na mancha conforme leitura prévia da Arte. Ver referência a seguir.</t>
  </si>
  <si>
    <t xml:space="preserve">i1304_2p011m_g27_e001 </t>
  </si>
  <si>
    <t xml:space="preserve">Resgatar ilustração  representando entrada e saída de veículos do estacionamento de um shopping, da página 110 do g23_mdn_lt_2npm_p108a117_u5 codigo i1814_2npm_g23_mdn_re 
AJUSTE: Não sangrar a ilustração na página, ajustar ao grid. </t>
  </si>
  <si>
    <t xml:space="preserve">i1346_2p011m_g27_e001 </t>
  </si>
  <si>
    <t>Ilustração de um ábaco do padrão da obra com o número 275 representado.</t>
  </si>
  <si>
    <t>i1347_2p011m_g27_e001</t>
  </si>
  <si>
    <t xml:space="preserve">Ilustração de um ábaco do padrão da obra com 12 contas na haste das unidades, 11 contas na haste das dezenas e 4 contas na haste das centenas. </t>
  </si>
  <si>
    <t xml:space="preserve">i1348_2p011m_g27_e001 </t>
  </si>
  <si>
    <t>Ilustração de um ábaco do padrão da obra com 2 contas na haste das unidades, 12 contas na haste das dezenas e 4 contas na haste das centenas.</t>
  </si>
  <si>
    <t>i1349_2p011m_g27_e001</t>
  </si>
  <si>
    <t xml:space="preserve">Ilustração de um ábaco do padrão da obra com 2 contas na haste das unidades, 2 contas na haste das dezenas e 5 contas na haste das centenas. </t>
  </si>
  <si>
    <t>i1341_2p011m_g27_e001</t>
  </si>
  <si>
    <t>Il. de um quadrado proporcional a medida de 12 cm de lado. Compor cotas indicando o comprimento de cada lado conforme referência.</t>
  </si>
  <si>
    <t>i1342_2p011m_g27_e001</t>
  </si>
  <si>
    <t xml:space="preserve">Il. de um triângulo equilátero proporcional a medida de 15 cm de lado. Compor cotas indicando o comprimento de cada lado conforme referência. </t>
  </si>
  <si>
    <t xml:space="preserve">i1343_2p011m_g27_e001 </t>
  </si>
  <si>
    <t xml:space="preserve">Il. de um retângulo com dimensões proporcionais a medida de 12 cm e 9 cm. Compor cotas indicando o comprimento de cada lado conforme referência. </t>
  </si>
  <si>
    <t>i6121_2p011m_g27_e001</t>
  </si>
  <si>
    <t>Resgatar ilustração do jogo do tabuleiro do g23_mdn_lt_2npm_p215 código antigo i2601so_2pmm_g19_mdn</t>
  </si>
  <si>
    <t>i6122_2p011m_g27_e001</t>
  </si>
  <si>
    <t>Resgatar ilustração do dado do g23_mdn_lt_2npm_p217 código antigo i2602so_2pmm_g19_mdn_ef</t>
  </si>
  <si>
    <t>i6123_2p011m_g27_e001</t>
  </si>
  <si>
    <t>Resgatar e ajustar ilustração dos peões do g23_mdn_lt_2npm_p217 código antigo i2603so_2pmm_g19_mdn_ef
AJUSTE: separar o peão roxo a seguir e codificar com o código acima.</t>
  </si>
  <si>
    <t>i6124_2p011m_g27_e001</t>
  </si>
  <si>
    <t>Resgatar e ajustar ilustração dos peões do g23_mdn_lt_2npm_p217 código antigo i2603so_2pmm_g19_mdn_ef
AJUSTE: separar o peão azul a seguir e codificar com o código acima.</t>
  </si>
  <si>
    <t>i6125_2p011m_g27_e001</t>
  </si>
  <si>
    <t>Resgatar e ajustar ilustração dos peões do g23_mdn_lt_2npm_p217 código antigo i2603so_2pmm_g19_mdn_ef
AJUSTE: separar o peão verde a seguir e codificar com o código acima.</t>
  </si>
  <si>
    <t>i6126_2p011m_g27_e001</t>
  </si>
  <si>
    <t>Resgatar e ajustar ilustração dos peões do g23_mdn_lt_2npm_p217 código antigo i2603so_2pmm_g19_mdn_ef
AJUSTE: separar o peão vermelho a seguir e codificar com o código acima.</t>
  </si>
  <si>
    <t xml:space="preserve">i0969_2p011m_g27_e001 </t>
  </si>
  <si>
    <t xml:space="preserve">Ilustração em fio contorno de um cone, de um cilindro e de um paralelepipedo para que o estudante possa pintar. Ver referência: </t>
  </si>
  <si>
    <t>bk</t>
  </si>
  <si>
    <t>i0972_2p011m_g27_e001</t>
  </si>
  <si>
    <t xml:space="preserve">Ilustração do molde de uma pirâmide de base quadrada sendo colada, sendo a mesma do Material complementar com o código i6128_2p011m_g27_e001 
Ver ideia do que foi feito com o cubo (código antigo i1014zz_2npm_g23_mdn_aj) porém com a pirâmide agora, da mesma forma deve aparecer o fundo do Material complementar aqui (novo padrão), com mão do padrão e tubo de cola como se estivesse colando uma aba da pirâmide. </t>
  </si>
  <si>
    <t>F:10/06</t>
  </si>
  <si>
    <t>i0973_2p011m_g27_e001</t>
  </si>
  <si>
    <t>Ilustração do molde de uma pirâmide de base quadrada do material complementar sendo finalizada, sendo a sequência da i0972_2p011m_g27_e001. Mesma ideia do cubo (código antigo i0627_2pmm_g19_mdn), porém com a pirâmide agora, com mão do padrão e tubo de cola como se estivesse colando uma aba da pirâmide.</t>
  </si>
  <si>
    <t xml:space="preserve">i0974_2p011m_g27_e001 </t>
  </si>
  <si>
    <t xml:space="preserve">Ilustração da representação de uma pirâmide de base quadrada do material complementar, sendo sequência i0973_2p011m_g27_e001 montada. Ver ideia a seguir, porém não deve aparecer os fios tracejados ao fundo. </t>
  </si>
  <si>
    <t xml:space="preserve">i0975_2p011m_g27_e001 </t>
  </si>
  <si>
    <t xml:space="preserve">Ilustração de um quadrado de tamanho semelhante e da mesma cor da i0972_2p011m_g27_e001, que é o molde da pirâmide acima. </t>
  </si>
  <si>
    <t>i0976_2p011m_g27_e00</t>
  </si>
  <si>
    <t>Ilustração de um triângulo de mesmo tamanho e da mesma cor da i0972_2p011m_g27_e001, que é o molde da pirâmide acima.</t>
  </si>
  <si>
    <t xml:space="preserve">i0977_2p011m_g27_e001 </t>
  </si>
  <si>
    <t xml:space="preserve">Ilustração de um círculo de tamanho semelhante e da mesma cor da i0972_2p011m_g27_e001, que é o molde da pirâmide acima. </t>
  </si>
  <si>
    <t xml:space="preserve">i0980_2p011m_g27_e001 </t>
  </si>
  <si>
    <t xml:space="preserve">Ilustração de um cubo. </t>
  </si>
  <si>
    <t xml:space="preserve">i0978_2p011m_g27_e001 </t>
  </si>
  <si>
    <t xml:space="preserve">Resgatar ilustração formada por cubo, paralelepípedo e pirâmide com código i0950_2p011m_g27_e001 e codificar com o código acima </t>
  </si>
  <si>
    <t xml:space="preserve">i0979_2p011m_g27_e001 </t>
  </si>
  <si>
    <t xml:space="preserve">Resgatar ilustração formada por esfera, cilindro e cone com código i0951_2p011m_g27_e001 e codificar com o código acima </t>
  </si>
  <si>
    <t xml:space="preserve">i6128_2p011m_g27_e001 </t>
  </si>
  <si>
    <t xml:space="preserve">Ilustração de um molde de pirâmide de base quadrada com todas as faces de apenas uma cor, com abas que para o aluno colar e montar. 
ARTE: verificar se o tracejado onde o aluno vai recortar será inserido na imagem ou na diagramação e fazer de acordo.  </t>
  </si>
  <si>
    <t xml:space="preserve">i0703_2p011m_g27_e001 </t>
  </si>
  <si>
    <t xml:space="preserve">ilustração de um calendário do ano de 2027 no padrão da obra. O calendário deve ocupar toda a página. </t>
  </si>
  <si>
    <t xml:space="preserve">i0709_2p011m_g27_e001 </t>
  </si>
  <si>
    <t>Resgatar ilustração da menina tomando café do g23_mdn_lt_2npm_p198 código antigo i1850Acg_g19_2pmm_mdn_ly</t>
  </si>
  <si>
    <t xml:space="preserve">i0710_2p011m_g27_e001 </t>
  </si>
  <si>
    <t xml:space="preserve">Resgatar ilustração de pai chegando no trabalho do g23_mdn_lt_2npm_p198 código antigo i1850Bcg_g19_2pmm_mdn_ly </t>
  </si>
  <si>
    <t xml:space="preserve">i0711_2p011m_g27_e001 </t>
  </si>
  <si>
    <t xml:space="preserve">Resgatar ilustração da menina buscando menina na escola do g23_mdn_lt_2npm_p198 código antigo i1850Ccg_g19_2pmm_mdn_ly </t>
  </si>
  <si>
    <t xml:space="preserve">i0713_2p011m_g27_e001 </t>
  </si>
  <si>
    <t xml:space="preserve">Resgatar ilustração da menina estudando do g23_mdn_lt_2npm_p198 código antigo i1850Dcg_g19_2pmm_mdn_ly </t>
  </si>
  <si>
    <t xml:space="preserve">i0714_2p011m_g27_e001 </t>
  </si>
  <si>
    <t>Resgatar ilustração da menina brincando do g23_mdn_lt_2npm_p198 código antigo i1850Ecg_g19_2pmm_mdn_ly</t>
  </si>
  <si>
    <t xml:space="preserve">i0715_2p011m_g27_e001 </t>
  </si>
  <si>
    <t xml:space="preserve">Resgatar ilustração da família jantando do g23_mdn_lt_2npm_p198 código antigo i1850Fcg_g19_2pmm_mdn_ly </t>
  </si>
  <si>
    <t xml:space="preserve">i0785_2p011m_g27_e001 </t>
  </si>
  <si>
    <t xml:space="preserve">Resgatar e ajustar ilustração de uma escola por dentro, destacando crianças e profissionais em suas rotinas diárias, do g23_mdn_lt_2npm_p197_u9 código antigo i1890Aso_2pmm_g19_mdn_ef. 
AJUSTE: reduzir um pouco a ilustração para fechar no grid. </t>
  </si>
  <si>
    <t xml:space="preserve">i0782_2p011m_g27_e001 </t>
  </si>
  <si>
    <t xml:space="preserve">Resgatar ilustração de um calendário de 1990 do mês de julho, do g23_mdn_lt_2npm_p197_u9 código antigo i1890Bso_2pmm_g19_mdn, destacando o dia 13 com uma circunferência vermelha. Ver referência. </t>
  </si>
  <si>
    <t xml:space="preserve">i0783_2p011m_g27_e001 </t>
  </si>
  <si>
    <t xml:space="preserve">Ilustração de um pátio escolar (se possível fazer como se fosse a continuação da escola da ilustração i0785_1p011m_g27_e001). Nesse pátio, compor uma criança cadeirante (menino de aproximadamente 10 anos branco e loiro) sendo acompanhada por um profissional especializado (homem branco de aproximadamente 40 anos) e um semicírculo de pessoas conversando: 3 crianças de aproximadamente 12 anos (1 menino e 2 meninas. Uma das meninas deve ser negra e a outra ruiva; um dos meninos deve ser negro) e um adulto (uma mulher negra, com idade entre 40 e 50 anos). No centro desse semicírculo deve haver uma menina branca de cabelos pretos de aproximadamente 12 anos. Ela deve estar com a boca aberta como se estivesse falando (nela, será inserido um balão de fala). Todas as crianças devem estar de uniforme e os adultos devem estar de jalecos, indicando que são funcionários da escola. 
Arte: enviar para Silvia Otofuji </t>
  </si>
  <si>
    <t>Rafe: 09/06 e Final: 11/06
Rafe:16/06 e Final: 20/06</t>
  </si>
  <si>
    <t xml:space="preserve">Resgatar e ajustar ilustração de representação da medida de 1 cm em régua, do g23_mdn_lt_2npm_p185_u9 código antigo i1881rn_2pmm_g19_mdn 
Ajustar: “cm” para “CM” (cxAA ) </t>
  </si>
  <si>
    <t xml:space="preserve">g1112_2p011m_g27_e001 </t>
  </si>
  <si>
    <t>Ilustração de um gráfico de barras verticais com o eixo vertical “Quantidade de habitantes” e o eixo horizontal “Municípios”. O gráfico terá um escala de 200, começando do 0 até o 1 200. Esse gráfico deve apresentar os seguintes dados: 
Serra da Saudade: 854; 
Anhanguera: 921; 
Borá: 928. 
Esses valores devem estar apresentados acima das barras verticais. Utilizar como referência o gt1411ri_2npm_g23_mdn_aj (enviado na pasta)</t>
  </si>
  <si>
    <t xml:space="preserve">i1131_2p011m_g27_e001 </t>
  </si>
  <si>
    <t xml:space="preserve">Ilustração de 73 pecinhas de brinquedo de montar, que devem estar dispostas da seguinte maneira: 7 grupos de 10 pecinhas e 3 pecinhas “soltas” ao lado. Para referência das pecinhas, utilizar o LEGO, porém não fazer igual. É IMPORTANTE, que nessas pecinhas não tenha nenhum “bonequinho”, seja somente as peças usadas para montar/construir, utilizar o LEGO APENAS para referência, não fazer igual </t>
  </si>
  <si>
    <t>Final: 10/06</t>
  </si>
  <si>
    <t>i1132_2p011m_g27_e001</t>
  </si>
  <si>
    <t xml:space="preserve">Ilustração de um estojo escolar. </t>
  </si>
  <si>
    <t>ENTREGA: 11/06</t>
  </si>
  <si>
    <t xml:space="preserve">i1133_2p011m_g27_e001 </t>
  </si>
  <si>
    <t xml:space="preserve">Ilustração de uma caixa de lápis de colorir de 12 cores. É interessante que na caixa, haja estampas coloridas, por exemplo: uma mancha de tinta, ou uns “rabiscos”. NÃO FAZER IGUAL A REFERÊNCIA: </t>
  </si>
  <si>
    <t>Ilustração arte</t>
  </si>
  <si>
    <t xml:space="preserve">i1134_2p011m_g27_e001 </t>
  </si>
  <si>
    <t>Resgatar e ajustar ilustração de uma régua de 15 cm do g19_mdn_3pmm; com código antigo i1832_3pmm_g19_mdn
AJUSTE: deixar no mesmo padrão das outras ilustrações.</t>
  </si>
  <si>
    <t xml:space="preserve">i1135_2p011m_g27_e001 </t>
  </si>
  <si>
    <t xml:space="preserve">Resgatar e ajustar ilustração que representa um feira em sala de aula na página 106 do g23_mdn_lt_2npm_p102a107_u4; código antigo i0822cg_2pmm_g19_mdn_ef 
AJUSTE: as crianças (um menino moreno e uma menina branca de cabelos alaranjados) em que elas devem estar empurrando carteiras escolares em uma sala de aula. Considerar o contexto da imagem, em que as crianças estão organizando a disposição das carteiras da sala de aula para simular um estande de “feirinha”. Essas crianças devem ser as mesmas que aparecem na ilustração de código antigo i0822cg_2pmm_g19_mdn_ef. ATENÇÃO: na referência as crianças estão com expressões de estarem pensativas e observando algum objeto sobre a mesa, PORTANTO NÃO FAZER IGUAL. Na ilustração, é para elas estarem empurrando as carteiras. </t>
  </si>
  <si>
    <t xml:space="preserve">i1136_2p011m_g27_e001 </t>
  </si>
  <si>
    <t xml:space="preserve">Resgatar e ajustar ilustração que representa um feira em sala de aula na página 106 do g23_mdn_lt_2npm_p102a107_u4; código antigo i0822cg_2pmm_g19_mdn_ef 
AJUSTE: um menino negro com cabelo cacheado e um menino loiro de óculos (serão os mesmos do i0822cg_2pmm_g19_mdn_ef, ver print referência) em carteiras escolares, em que nela estão utilizando folhas sulfites e fazendo fichas de preço. Sobre a mesa é importante que tenha: canetinhas, lápis de colorir, e folhas sulfites brancas. No final da produção, as fichas ficarão semelhantes ao que está no print referência. </t>
  </si>
  <si>
    <t>i1137_2p011m_g27_e001</t>
  </si>
  <si>
    <t>Resgatar e ajustar ilustração que representa um feira em sala de aula na página 106 do g23_mdn_lt_2npm_p102a107_u4; código antigo i0822cg_2pmm_g19_mdn_ef
AJUSTE: a criança que está na cadeira de rodas segurando as cédulas de dinheiro para brincar (ver print 2 para ideia das cédulas e print 1 para sugestão de como a mão segurará as cédulas). Na mão deve estar 2 cédulas de 2 reais, 2 cédulas de 5 reais, 2 cédulas de 10 e 2 cédulas de 20 de dinheiro para brincar.</t>
  </si>
  <si>
    <t xml:space="preserve">i1122_2p011m_g27_e001 </t>
  </si>
  <si>
    <t>Resgatar Ilustração que representa um feira em sala de aula na página 106 do g23_mdn_lt_2npm_p102a107_u4; código antigo i0822cg_2pmm_g19_mdn_ef
AJUSTE: Remover a tesoura destacada na ilustração e espalhar mais os personagens, inserir carteiras e colocar objetos sobre elas, deslocar crianças conversando ao fundo.</t>
  </si>
  <si>
    <t xml:space="preserve">i1138_2p011m_g27_e001 </t>
  </si>
  <si>
    <t xml:space="preserve">Ilustração do material dourado, em que nele terá 8 placas, 2 barrinhas e 5 cubinhos. As peças devem estar dispostas de maneira que as placas, barrinhas e cubinhos fiquem bem visíveis na contagem. </t>
  </si>
  <si>
    <t>i1560_1p011m_g27_e001</t>
  </si>
  <si>
    <t>Resgatar ilustração de um quadrado do g27_lt, código i1522_1p011m_g27_e001. Ajustar para 169% e codificar com o código acima.</t>
  </si>
  <si>
    <t>i1561_1p011m_g27_e001</t>
  </si>
  <si>
    <t>Resgatar ilustração de um retângulo do g27_lt, código i1523_1p011m_g27_e001. Ajustar para 169% e codificar com o código acima.</t>
  </si>
  <si>
    <t>i1562_1p011m_g27_e001</t>
  </si>
  <si>
    <t>Resgatar ilustração de um triângulo do g27_lt, código i1524_1p011m_g27_e001. Ajustar para 169% e codificar com o código acima.</t>
  </si>
  <si>
    <t>i1563_1p011m_g27_e001</t>
  </si>
  <si>
    <t>Resgatar ilustração de um triângulo do g27_lt, código i1525_1p011m_g27_e001. Ajustar para 169% e codificar com o código acima.</t>
  </si>
  <si>
    <t xml:space="preserve">i1754_2p011m_g27_e001 </t>
  </si>
  <si>
    <t xml:space="preserve">Resgatar e ajustar ilustração da planificação de um cubo, na página 161 do g23_mdn_lt_4npm_u8; código antigo it1810_4pmm_g19_mdn 
AJUSTE: girar para que fique na posição indicada e trocar a cor para laranja. </t>
  </si>
  <si>
    <t xml:space="preserve">i1751_2p011m_g27_e001 </t>
  </si>
  <si>
    <t xml:space="preserve">Resgatar e ajustar ilustração da planificação de uma pirâmide de base quadrada, da página 58 do g23_mdn_lt_4npm_u3; código antigo it0652_4pmm_g19_mdn </t>
  </si>
  <si>
    <t xml:space="preserve">i1752_2p011m_g27_e001 </t>
  </si>
  <si>
    <t xml:space="preserve">Resgatar e ajustar ilustração de quadrado, na página 86 do g23_mdn_lt_2npm_p079a089_u3; código antigo it0705_2pmm_g19_mdn 
AJUSTE: trocar a cor para amarelo do padrão da obra. </t>
  </si>
  <si>
    <t>i1753_2p011m_g27_e001</t>
  </si>
  <si>
    <t xml:space="preserve">Resgatar e ajustar ilustração de triângulo, na página 86 do g23_mdn_lt_2npm_p079a089_u3; código antigo it0706_2pmm_g19_mdn 
AJUSTE: trocar a cor para vermelho do padrão da obra. </t>
  </si>
  <si>
    <t xml:space="preserve">i1755_2p011m_g27_e001 </t>
  </si>
  <si>
    <t xml:space="preserve">Resgatar e ajustar ilustração de retângulo, na página 86 do g23_mdn_lt_2npm_p079a089_u3; código antigo it0704_2pmm_g19_mdn 
AJUSTE: trocar a cor para azul do padrão da obra. </t>
  </si>
  <si>
    <t>i0747_3p011m_g27_e001</t>
  </si>
  <si>
    <t>Ilustração de uma caixa d`água bem fechada com sua tampa adequada. Se possível, compor essa ilustração em um cenário, de modo que ela fique com o mesmo estilo das outras ilustrações dessa seção.
Arte: liberar para Silvia Otofuji para ficar mesma linguagem das demais cenas.</t>
  </si>
  <si>
    <t>i0748_3p011m_g27_e001</t>
  </si>
  <si>
    <t>Resgatar parte da ilustração da página 78 do g23_mdn_3npm (código antigo i0662so_3npm_m20_mdn_re) que apresenta garrafas armazenadas com a boca para baixo. Não deixar que apareçam outros elementos que caracterizem que a imagem foi fragmentada em partes.</t>
  </si>
  <si>
    <t>i0749_3p011m_g27_e001</t>
  </si>
  <si>
    <t>Resgatar parte da ilustração da página 78 do g23_mdn_3npm (código antigo i0662so_3npm_m20_mdn_re) que apresenta um homem limpando a calha de uma casa. Não deixar que apareçam outros elementos que caracterizem que a imagem foi fragmentada em partes.</t>
  </si>
  <si>
    <t>i0750_3p011m_g27_e001</t>
  </si>
  <si>
    <t>Resgatar parte da ilustração da página 78 do g23_mdn_3npm (código antigo i0662so_3npm_m20_mdn_re) que apresenta uma mulher adicionando areia em vasos de plantas. Não deixar que apareçam outros elementos que caracterizem que a imagem foi fragmentada em partes.</t>
  </si>
  <si>
    <t>i0751_3p011m_g27_e001</t>
  </si>
  <si>
    <t>Resgatar parte da ilustração da página 78 do g23_mdn_3npm (código antigo i0662so_3npm_m20_mdn_re) que apresenta uma criança lavando o pote de água de um cachorro e o cachorro a observando. Não deixar que apareçam outros elementos que caracterizem que a imagem foi fragmentada em partes.</t>
  </si>
  <si>
    <t>i0752_3p011m_g27_e001</t>
  </si>
  <si>
    <t>Resgatar parte da ilustração da página 78 do g23_mdn_3npm (código antigo i0662so_3npm_m20_mdn_re) que apresenta um cesto de lixo. Não deixar que apareçam outros elementos que caracterizem que a imagem foi fragmentada em partes.</t>
  </si>
  <si>
    <t>i0753_3p011m_g27_e001</t>
  </si>
  <si>
    <t>Ilustração de uma criança (menino) negra de aproximadamente 10 anos. Ela deve estar com a boca aberta como se estivesse falando (será inserido um balão de fala).
Arte: liberar para Silvia Otofuji para ficar mesma linguagem das demais cenas.</t>
  </si>
  <si>
    <t>i6119_2p011m_g27_e001</t>
  </si>
  <si>
    <t>Resgatar ilustração de 50 cubinhos do material dourado do material complementar do volume 1 pitanguá g27, com o código i6125_1p011m_g27_e001 e codificar com o código acima</t>
  </si>
  <si>
    <t>i6147_2p011m_g27_e001</t>
  </si>
  <si>
    <t>Resgatar ilustração de 50 cubinhos e de 9 barras do material dourado do volume 1 pitanguá g27, com o código i6126_1p011m_g27_e001 e codificar com o código acima</t>
  </si>
  <si>
    <t>i6127_2p011m_g27_e001</t>
  </si>
  <si>
    <t>Resgatar e ajustar ilustração do molde de um cubo do g23_mdn_lt_2npm p219 código antigo it2604_2pmm_g19_mdn
AJUSTE: girar molde do dado conforme referência a seguir e ampliar para que ocupe a página toda.</t>
  </si>
  <si>
    <t>i6129_2p011m_g27_e001</t>
  </si>
  <si>
    <t>Ilustração de 4 placas do material dourado, em que elas ficarão distribuídas ocupando a página, sendo que do cubinho de cada placa deve ficar do mesmo tamanho do cubinho da i6125_1p011m_g27_e001.</t>
  </si>
  <si>
    <t>i6130_2p011m_g27_e001</t>
  </si>
  <si>
    <t>Resgatar e ajustar ilustração dos palitos do g23_mdn_lt_2npm_p221 código antigo i3445zz_2npm_g23_mdn_aj
AJUSTE: Aumentar os palitos e diagramar um embaixo do outro de modo que os palitos ocupem a página toda, deixar mais espaço entre os palitos pra facilitar recortar. Ver ideia a seguir.</t>
  </si>
  <si>
    <t>Excluída, pois será resgate da versão anterior.</t>
  </si>
  <si>
    <t>i6131_2p011m_g27_e001</t>
  </si>
  <si>
    <t>Resgatar e ajustar ilustração do tangram do g23_mdn_lt_2npm_p221 código antigo it2605_2pmm_g19_mdn
AJUSTE: ampliar o tangram de modo que ocupe a página toda.</t>
  </si>
  <si>
    <t>i6148_2p011m_g27_e001</t>
  </si>
  <si>
    <t>Resgatar e ajustar ilustração dos dominós do g23_mdn_lt_2npm_p223 código antigo i2607zz_2pmm_g19_mdn
AJUSTE: separar as primeiras 14 peças no código acima. Se necessário, ampliar um pouco ou rediagramar para fechar a página. Ver ideia a seguir.</t>
  </si>
  <si>
    <t>i6149_2p011m_g27_e001</t>
  </si>
  <si>
    <t>Resgatar e ajustar ilustração dos dominós do g23_mdn_lt_2npm_p223 código antigo i2607zz_2pmm_g19_mdn
AJUSTE: separar as outras 14 peças no código acima. Se necessário, ampliar um pouco ou rediagramar para fechar a página. Ver ideia a seguir.</t>
  </si>
  <si>
    <t xml:space="preserve">i1502_5p011m_g27_e001 </t>
  </si>
  <si>
    <t xml:space="preserve">Resgatar ilustração de duas pessoas comprando ingressos de cinema disponível em; g23_mdn_lt_5npm_p184_u8 código i1802Amm_5pmm_g19_mdn_ef 
AJUSTE: Não sangrar a lustração na página, fechar no grid. </t>
  </si>
  <si>
    <t xml:space="preserve">i1503_5p011m_g27_e001 </t>
  </si>
  <si>
    <t xml:space="preserve">Resgatar ilustração do mapa das poltronas do cinema disponível em; g23_mdn_lt_5npm_p184_u8 código i1802Bmm_5pmm_g19_mdn </t>
  </si>
  <si>
    <t xml:space="preserve">i1504_5p011m_g27_e001 </t>
  </si>
  <si>
    <t xml:space="preserve">Resgatar ilustração da visão de cima das ruas de um bairro disponível em; g23_mdn_lt_5npm_p185_u8 código i1803rn_5pmm_g19_mdn </t>
  </si>
  <si>
    <t xml:space="preserve">i1505_5p011m_g27_e001 </t>
  </si>
  <si>
    <t xml:space="preserve">Resgatar ilustração de um cubo azul disponível em; g23_mdn_lt_5npm_p185_u8 código it1804_5pmm_g19_mdn </t>
  </si>
  <si>
    <t xml:space="preserve">i1506_5p011m_g27_e001 </t>
  </si>
  <si>
    <t xml:space="preserve">Resgatar ilustração de um paralelepípedo azul disponível em; g23_mdn_lt_5npm_p185_u8 código it1805_5pmm_g19_mdn </t>
  </si>
  <si>
    <t xml:space="preserve">i1507_5p011m_g27_e001 </t>
  </si>
  <si>
    <t xml:space="preserve">Resgatar ilustração de uma esfera azul disponível em; g23_mdn_lt_5npm_p185_u8 código it1806_5pmm_g19_mdn </t>
  </si>
  <si>
    <t xml:space="preserve">i1508_5p011m_g27_e001 </t>
  </si>
  <si>
    <t xml:space="preserve">Resgatar ilustração de uma pirâmide de base hexagonal azul disponível em; g23_mdn_lt_5npm_p185_u8 código it1807_5pmm_g19_mdn </t>
  </si>
  <si>
    <t xml:space="preserve">i1509_5p011m_g27_e001 </t>
  </si>
  <si>
    <t xml:space="preserve">Resgatar ilustração de uma esfera azul disponível em; g23_mdn_lt_5npm_p185_u8 código it1808_5pmm_g19_mdn </t>
  </si>
  <si>
    <t xml:space="preserve">i1510_5p011m_g27_e001 </t>
  </si>
  <si>
    <t xml:space="preserve">Resgatar ilustração de um cone azul disponível em; g23_mdn_lt_5npm_p185_u8 código it1809_5pmm_g19_mdn </t>
  </si>
  <si>
    <t xml:space="preserve">i1511_5p011m_g27_e001 </t>
  </si>
  <si>
    <t xml:space="preserve">Resgatar ilustração de um cubo azul disponível em; g23_mdn_lt_5npm_p185_u8 código it1811_5pmm_g19_mdn </t>
  </si>
  <si>
    <t xml:space="preserve">i1512_5p011m_g27_e001 </t>
  </si>
  <si>
    <t xml:space="preserve">Resgatar ilustração de um cilindro azul disponível em; g23_mdn_lt_5npm_p185_u8 código it1810_5pmm_g19_mdn </t>
  </si>
  <si>
    <t xml:space="preserve">i1513_5p011m_g27_e001 </t>
  </si>
  <si>
    <t xml:space="preserve">Resgatar ilustração de uma tabela no excel na tela de um computador disponível em; g23_mdn_lt_5npm_p18_u8 código i1812_5pmm_g19_mdn </t>
  </si>
  <si>
    <t xml:space="preserve">i1514_5p011m_g27_e001 </t>
  </si>
  <si>
    <t xml:space="preserve">Resgatar ilustração de uma menina fazendo um desenho; disponível em; g23_mdn_lt_5npm_p186_u8 código i1813so_5pmm_g19_mdn </t>
  </si>
  <si>
    <t xml:space="preserve">i1515_5p011m_g27_e001 </t>
  </si>
  <si>
    <t xml:space="preserve">Resgatar ilustração de um triângulo em uma malha pontilhada; disponível em; g23_mdn_lt_5npm_p186_u8 código i1814_5pmm_g19_mdn 
AJUSTE: retirar tudo que estiver e, cor resposta. </t>
  </si>
  <si>
    <t xml:space="preserve">i1516_5p011m_g27_e001 </t>
  </si>
  <si>
    <t xml:space="preserve">
Resgatar ilustração de um jogo de tabuleiro disponível em; g23_mdn_lt_5npm_p187_u8 código i1815so_5pmm_g19_mdn
AJUSTE: letras em negativo não estão visíveis e letras e pontos do dado também não, ver contraste checker e ajustar essas iguais as i1517_5p011m_g27_e001, i6138_5p011m_g27_e001, i6139_5p011m_g27_e001 e i6142_5p011m_g27_e001.</t>
  </si>
  <si>
    <t xml:space="preserve">i1517_5p011m_g27_e001 </t>
  </si>
  <si>
    <t xml:space="preserve">Resgatar ilustração de duas crianças jogando tabuleiro disponível em; g23_mdn_lt_5npm_p187_u8 código i1816so_5pmm_g19_mdn 
AJUSTE: ajustar ilustração para não sangrar </t>
  </si>
  <si>
    <t xml:space="preserve">i1518_5p011m_g27_e001 </t>
  </si>
  <si>
    <t xml:space="preserve">Resgatar ilustração de um plano cartesiano disponível em; g23_mdn_lt_5npm_p188_u8 código i3014rn_5npm_g23_mdn_aj 
AJUSTE: retirar tudo que estiver e, cor resposta. </t>
  </si>
  <si>
    <t xml:space="preserve">i1519_5p011m_g27_e001 </t>
  </si>
  <si>
    <t xml:space="preserve">Resgatar ilustração de um plano cartesiano baseado em lugares da escola disponível em; g23_mdn_lt_5npm_p189_u8 código gt1822_5pmm_g19_mdn </t>
  </si>
  <si>
    <t xml:space="preserve">m1520_5p011m_g27_e001 </t>
  </si>
  <si>
    <t>Resgatar ilustração do mapa mundi disponível em; g23_mdn_lt_5npm_p189_u8 codigo m3402km_5npm_g23_mdn
AJUSTE 1: separar em cores do padrão os 6 continentes e compor legenda. Não é necessário as divisões de países que se encontra na referência, pra não ter excesso de informação.
AJUSTE 2: separar o mapa e a legenda em códigos A e B
O mapa para referência pode ser encontrado em https://atlasescolar.ibge.gov.br/mundo/2982-divisoes-politicas-e-regionais/continentes/21599-continentes.html</t>
  </si>
  <si>
    <t xml:space="preserve">i1521_5p011m_g27_e001 </t>
  </si>
  <si>
    <t xml:space="preserve">Resgatar ilustração do deslocamento de uma tartaruga em um plano cartesiano; disponível em; g23_mdn_lt_5npm_p190_u8 código gt1824_5pmm_g19_mdn </t>
  </si>
  <si>
    <t xml:space="preserve">i1522_5p011m_g27_e001 </t>
  </si>
  <si>
    <t xml:space="preserve">Resgatar ilustração do deslocamento de uma tartaruga em um plano cartesiano do ponto C ao D disponível em; g23_mdn_lt_5npm_p190_u8 código gt1825_5pmm_g19_mdn 
AJUSTE: retirar tudo que estiver em cor resposta. </t>
  </si>
  <si>
    <t xml:space="preserve">i1524_5p011m_g27_e001 </t>
  </si>
  <si>
    <t xml:space="preserve">Resgatar ilustração de um plano cartesiano baseado no desenho de um campo de futebol disponível em; g23_mdn_lt_5npm_p191_u8 código i3412_5npm_g23_mdn_re </t>
  </si>
  <si>
    <t>i1102_5p011m_g27_e001</t>
  </si>
  <si>
    <t xml:space="preserve">resgatar il de peças de roupa a venda veio do g23_mdn_lt_5npm_p114 código antigo i1223za_5pmm_g19_mdn_ef </t>
  </si>
  <si>
    <t xml:space="preserve">i1103_5p011m_g27_e001 </t>
  </si>
  <si>
    <t>resgatar il de sucos veio do g23_mdn_lt_5npm_p114 código antigo i1224za_5pmm_g19_mdn_ef 
AJUSTE: trocar a letra l cursiva por L maiúsculo.</t>
  </si>
  <si>
    <t>Maryane Vioto SIlva</t>
  </si>
  <si>
    <t>Resgate com  ajuste</t>
  </si>
  <si>
    <t xml:space="preserve">i1104_5p011m_g27_e001 </t>
  </si>
  <si>
    <t xml:space="preserve">resgatar il de menina sendo medida veio do g23_mdn_lt_5npm_p114 código antigo i1225za_5pmm_g19_mdn_ef </t>
  </si>
  <si>
    <t xml:space="preserve">i1105_5p011m_g27_e001 </t>
  </si>
  <si>
    <t xml:space="preserve">resgatar il de mulher medindo a temperatura veio do g23_mdn_lt_5npm_p114 código antigo i1226za_5pmm_g19_mdn </t>
  </si>
  <si>
    <t xml:space="preserve">i1106_5p011m_g27_e001 </t>
  </si>
  <si>
    <t xml:space="preserve">resgatar il de barra representando 1 decimo veio do g23_mdn_lt_5npm_p114 código antigo it1227_5pmm_g19_mdn </t>
  </si>
  <si>
    <t xml:space="preserve">i1107_5p011m_g27_e001 </t>
  </si>
  <si>
    <t xml:space="preserve">resgatar il de barra representando 4 decimos veio do g23_mdn_lt_5npm_p115 código antigo it1228_5pmm_g19_mdn </t>
  </si>
  <si>
    <t xml:space="preserve">i1108_5p011m_g27_e001 </t>
  </si>
  <si>
    <t>resgatar il de barra representando 7 décimos veio do g23_mdn_lt_5npm_p115 código antigo it1229_5pmm_g19_mdn</t>
  </si>
  <si>
    <t xml:space="preserve">i1109_5p011m_g27_e001 </t>
  </si>
  <si>
    <t xml:space="preserve">resgatar il de barra representando 9 décimos veio do g23_mdn_lt_5npm_p115 código antigo it1230_5pmm_g19_mdn </t>
  </si>
  <si>
    <t xml:space="preserve">i1110_5p011m_g27_e001 </t>
  </si>
  <si>
    <t xml:space="preserve">resgatar retângulo dividido em 10 partes com 2 partes pintadas veio do g23_mdn_lt_5npm_p115 código antigo it1231_5pmm_g19_mdn </t>
  </si>
  <si>
    <t xml:space="preserve">i1111_5p011m_g27_e001 </t>
  </si>
  <si>
    <t xml:space="preserve">resgatar figura com 10 partes e com 5 partes pintadas veio do g23_mdn_lt_5npm_p115 código antigo it1232_5pmm_g19_mdn </t>
  </si>
  <si>
    <t xml:space="preserve">i1112_5p011m_g27_e001 </t>
  </si>
  <si>
    <t xml:space="preserve">resgatar círculo dividido em 10 partes com 6 partes pintadas veio do g23_mdn_lt_5npm_p115 código antigo it1233_5pmm_g19_mdn </t>
  </si>
  <si>
    <t xml:space="preserve">i1113_5p011m_g27_e001 </t>
  </si>
  <si>
    <t xml:space="preserve">resgatar barra representando um inteiro veio do g23_mdn_lt_5npm_p116 código antigo it1234_5pmm_g19_mdn </t>
  </si>
  <si>
    <t xml:space="preserve">i1114_5p011m_g27_e001 </t>
  </si>
  <si>
    <t xml:space="preserve">resgatar barras representando um inteiro e quarto décimos veio do g23_mdn_lt_5npm_p116 código antigo it1235_5pmm_g19_mdn </t>
  </si>
  <si>
    <t xml:space="preserve">i1115_5p011m_g27_e001 </t>
  </si>
  <si>
    <t xml:space="preserve">resgatar barras representando 3 inteiros e 4 decimos veio do g23_mdn_lt_5npm_p116 código antigo it1236_5pmm_g19_mdn </t>
  </si>
  <si>
    <t xml:space="preserve">i1116_5p011m_g27_e001 </t>
  </si>
  <si>
    <t xml:space="preserve">resgatar barras representando 2 inteiros e 8 decimos veio do g23_mdn_lt_5npm_p116 código antigo it1238_5pmm_g19_mdn </t>
  </si>
  <si>
    <t xml:space="preserve">i1117_5p011m_g27_e001 </t>
  </si>
  <si>
    <t xml:space="preserve">resgatar barras representando um inteiro e 9 decimos veio do g23_mdn_lt_5npm_p116 código antigo it1237_5pmm_g19_mdn </t>
  </si>
  <si>
    <t xml:space="preserve">i1118_5p011m_g27_e001 </t>
  </si>
  <si>
    <t xml:space="preserve">resgatar barras representando 3 inteiros e 6 decimos veio do g23_mdn_lt_5npm_p116 código antigo it1239_5pmm_g19_mdn </t>
  </si>
  <si>
    <t xml:space="preserve">i1119_5p011m_g27_e001 </t>
  </si>
  <si>
    <t xml:space="preserve">resgatar placa que representa 1 centésimo veio do g23_mdn_lt_5npm_p116 código antigo it1240_5pmm_g19_mdn </t>
  </si>
  <si>
    <t xml:space="preserve">i1120_5p011m_g27_e001 </t>
  </si>
  <si>
    <t xml:space="preserve">resgatar placa com diversos quadrinhos pintados veio do g23_mdn_lt_5npm_p116 código antigo it1241_5pmm_g19_mdn </t>
  </si>
  <si>
    <t xml:space="preserve">i1121_5p011m_g27_e001 </t>
  </si>
  <si>
    <t xml:space="preserve">resgatar il de bola veio do g23_mdn_lt_5npm_p118 código antigo i1245lm_5pmm_g19_mdn </t>
  </si>
  <si>
    <t xml:space="preserve">i1122_5p011m_g27_e001 </t>
  </si>
  <si>
    <t xml:space="preserve">resgatar cubo com 8 quadrinhos pintados veio do g23_mdn_lt_5npm_p118 código antigo it1242_5pmm_g19_mdn </t>
  </si>
  <si>
    <t xml:space="preserve">i1123_5p011m_g27_e001 </t>
  </si>
  <si>
    <t xml:space="preserve">resgatar cubo com 13 quadrinhos pintados veio do g23_mdn_lt_5npm_p118 código antigo it1243_5pmm_g19_mdn </t>
  </si>
  <si>
    <t xml:space="preserve">i1124_5p011m_g27_e001 </t>
  </si>
  <si>
    <t xml:space="preserve">resgatar cubo com 47 quadrinhos pintados veio do g23_mdn_lt_5npm_p118 código antigo it1244_5pmm_g19_mdn </t>
  </si>
  <si>
    <t xml:space="preserve">i1125_5p011m_g27_e001 </t>
  </si>
  <si>
    <t xml:space="preserve">resgatar cubo dividido em 10 partes veio do g23_mdn_lt_5npm_p119 código antigo it1246_5pmm_g19_mdn </t>
  </si>
  <si>
    <t xml:space="preserve">i1126_5p011m_g27_e001 </t>
  </si>
  <si>
    <t xml:space="preserve">resgatar cubo dividido em 100 partes veio do g23_mdn_lt_5npm_p119 código antigo it1247_5pmm_g19_mdn </t>
  </si>
  <si>
    <t xml:space="preserve">i1127_5p011m_g27_e001 </t>
  </si>
  <si>
    <t xml:space="preserve">resgatar cubo dividido em 1000 partes veio do g23_mdn_lt_5npm_p119 código antigo it1248_5pmm_g19_mdn </t>
  </si>
  <si>
    <t xml:space="preserve">i1128_5p011m_g27_e001 </t>
  </si>
  <si>
    <t xml:space="preserve">Resgatar ilustração de menino brincando com videogame de corrida da página 120 do g23_mdn_lt_5npm_p120a123_u6. Código antigo: i2235cz_5npm_g23_mdn_aj 
AJUSTE: não sangrar ilustração e retirar fundo, ver referência. </t>
  </si>
  <si>
    <t xml:space="preserve">i1129_5p011m_g27_e001 </t>
  </si>
  <si>
    <t>Resgatar ilustração de mesa com diversos alimentos da página 122 do g23_mdn_lt_5npm_p120a123_u6. Código antigo: i2236lm_5npm_g23_mdn_aj
AJUSTE: Trocar na imagem, a embalagem do iogurte para um de iogurte natural.</t>
  </si>
  <si>
    <t xml:space="preserve">i1130_5p011m_g27_e001 </t>
  </si>
  <si>
    <t xml:space="preserve">Resgatar il de reta numérica da página 122 do g23_mdn_lt_5npm_p120a123_u6. Código antigo:it1299_5pmm_g19_mdn </t>
  </si>
  <si>
    <t xml:space="preserve">i1132_5p011m_g27_e001 </t>
  </si>
  <si>
    <t xml:space="preserve">Resgatar il de reta numérica da página 122 do g23_mdn_lt_5npm_p120a123_u6. Código antigo: it1253_5pmm_g19_mdn.png 
AJUSTE: retirar tudo que estiver em cor resposta. </t>
  </si>
  <si>
    <t xml:space="preserve">g1134_5p011m_g27_e001 </t>
  </si>
  <si>
    <t xml:space="preserve">Resgatar gráfico de barras da quantia de energia gasta da página 123 do g23_mdn_lt_5npm_p120a123_u6. Código antigo: gt2223ri_5npm_g23_mdn_aj
AJUSTE: inserir fio preto envolta das colunas conforme padrão. Retirar cor resposta.
Ajustar gráfico para os seguintes dados:
- Televisor: 5,04; - Geladeira: 6,30; - Computador: 7,56; - Ferro-elétrico: 25,20 - Chuveiro: 151,20.. </t>
  </si>
  <si>
    <t xml:space="preserve">i1135_5p011m_g27_e001 </t>
  </si>
  <si>
    <t xml:space="preserve">Resgatar il de menina vendo vitrine de roupas da página 124 do g23_mdn_lt_5npm_p124a127_u6. Código antigo: i1256so_5pmm_g19_mdn </t>
  </si>
  <si>
    <t xml:space="preserve">i1136_5p011m_g27_e001 </t>
  </si>
  <si>
    <t>Resgatar ilustração de cupom fiscal da página 125 do g23_mdn_lt_5npm_p124a127_u6. Código antigo: i2219zz_5npm_g23_mdn_aj
AJUSTE: mudar data para 29/01/2027. Ajustar preço do pão para 9,95 e o troco para 26,81.</t>
  </si>
  <si>
    <t>CÁTIA GERMANI</t>
  </si>
  <si>
    <t xml:space="preserve">i1137_5p011m_g27_e001 </t>
  </si>
  <si>
    <t xml:space="preserve">Resgatar ilustração de retângulo da página 125 do g23_mdn_lt_5npm_p124a127_u6. Código antigo: it1258_5pmm_g19_mdn </t>
  </si>
  <si>
    <t xml:space="preserve">i1138_5p011m_g27_e001 </t>
  </si>
  <si>
    <t xml:space="preserve">Resgatar ilustração de pentágono da página 125 do g23_mdn_lt_5npm_p124a127_u6. Código antigo: it1259_5pmm_g19_mdn </t>
  </si>
  <si>
    <t xml:space="preserve">i1140_5p011m_g27_e001 </t>
  </si>
  <si>
    <t xml:space="preserve">Resgatar il de canil da página 126 do g23_mdn_lt_5npm_p124a127_u6. Código antigo: i1260lm_5pmm_g19_mdn </t>
  </si>
  <si>
    <t xml:space="preserve">g1141_5p011m_g27_e001 </t>
  </si>
  <si>
    <t xml:space="preserve">Resgatar gráfico do aumento de massa da página 127 do g23_mdn_lt_5npm_p124a127_u6. Código antigo: gt2224ri_5npm_g23_mdn_aj 
AJUSTE: inserir fio preto envolta das colunas conforme padrão. </t>
  </si>
  <si>
    <t xml:space="preserve">i1142_5p011m_g27_e001 </t>
  </si>
  <si>
    <t xml:space="preserve">Resgatar ilustração de menina da página 127 do g23_mdn_lt_5npm_p124a127_u6. Código antigo: i1262mm_5pmm_g19_mdn 
AJUSTE: Fechar ilustração no grid, não sangrar. </t>
  </si>
  <si>
    <t xml:space="preserve">i1147_5p011m_g27_e001 </t>
  </si>
  <si>
    <t xml:space="preserve">Resgatar ilustração do visor de calculadora com o número 6.58 da página 130 do g23_mdn_lt_5npm_p128a132_u6. Código antigo: i1290_5pmm_g19_mdn </t>
  </si>
  <si>
    <t xml:space="preserve">i1148_5p011m_g27_e001 </t>
  </si>
  <si>
    <t xml:space="preserve">Resgatar ilustração do visor de calculadora com o número 1.36 da página 130 do g23_mdn_lt_5npm_p128a132_u6. Código antigo: i1291_5pmm_g19_mdn </t>
  </si>
  <si>
    <t xml:space="preserve">i1149_5p011m_g27_e001 </t>
  </si>
  <si>
    <t xml:space="preserve">Resgatar ilustração do visor de calculadora com o número 5.22 da página 130 do g23_mdn_lt_5npm_p128a132_u6. Código antigo: i1292_5pmm_g19_mdn </t>
  </si>
  <si>
    <t xml:space="preserve">i1150_5p011m_g27_e001 </t>
  </si>
  <si>
    <t xml:space="preserve">Resgatar ilustração de alguns valores escritos da página 130 do g23_mdn_lt_5npm_p128a132_u6. Código antigo:  i1293A_5pmm_g19_mdn </t>
  </si>
  <si>
    <t xml:space="preserve">i1153_5p011m_g27_e001 </t>
  </si>
  <si>
    <t>Resgatar ilustração de cupom fiscal da leticia da página 132 do g23_mdn_lt_5npm_p128a132_u6. Código antigo:i2220zz_5npm_g23_mdn_aj
AJUSTE: mudar a data para 15/02/2027. No item "ÓLEO DE SOJA 900 m , ajustar o " " cursivo, para caixa alta, ficando "mL".
AJUSTE 2: Ajustar os valores dos produtos nas colunas "VL. UNIT (R$)" e "VALOR (R$)" da nota, com os dados a seguir: - ARROZ 5 kg: 33,65; - CAFÉ 500 g: 17,98; - FEIJÃO 1 kg: 8,49; - FARINHA DE TRIGO 1 kg: 6,47; - ÓLEO DE SOJA 900 mL: 10,49;
AJUSTE 3: Ajustar os valores na linha "**TOTAL" e "**TROCO" para: - **TOTAL: 77,08; - **TROCO: 22,92.</t>
  </si>
  <si>
    <t xml:space="preserve">i1154_5p011m_g27_e001 </t>
  </si>
  <si>
    <t>Resgatar ilustração de cupom fiscal do alexandre da página 132 do g23_mdn_lt_5npm_p128a132_u6. Código antigo:i2221zz_5npm_g23_mdn_aj
AJUSTE: mudar a data para 15/02/2027. No item "ÓLEO DE SOJA 900 m -, ajustar o "  " cursivo, para caixa alta, ficando "mL".
AJUSTE 2: Ajustar os valores dos produtos nas colunas "VL. UNIT (R$)" e "VALOR (R$)" da nota, com os dados a seguir: - FEIJAO 1 kg: 7,89; - CAFÉ 500 g: 18,45; - FARINHA DE TRIGO 1 kg: 6,89; - ARROZ 5 kg: 32,74; - ÓLEO DE SOJA 900 mL: 9,35; 
AJUSTE 3: Ajustar os valores na linha "**TOTAL" e "**TROCO" para: -**TOTAL: 75,32;</t>
  </si>
  <si>
    <t xml:space="preserve">i1155_5p011m_g27_e001 </t>
  </si>
  <si>
    <t xml:space="preserve">Resgatar ilustração de cena de mulher na banca de feira comprando tomate da página 133 do g23_mdn_lt_5npm. Código antigo i2225cz_5npm_g23_mdn_aj </t>
  </si>
  <si>
    <t xml:space="preserve">i1156_5p011m_g27_e001 </t>
  </si>
  <si>
    <t xml:space="preserve">Resgatar ilustração de folder de papelaria da página 135 do g23_mdn_lt_5npm. Código antigo i2226rn_5npm_g23_mdn_aj </t>
  </si>
  <si>
    <t xml:space="preserve">i1157_5p011m_g27_e001 </t>
  </si>
  <si>
    <t xml:space="preserve">Resgatar ilustração visor de calculadora com o número 8 da página 136 do g23_mdn_lt_5npm. Código antigo i1203_5pmm_g19_mdn </t>
  </si>
  <si>
    <t xml:space="preserve">i1158_5p011m_g27_e001 </t>
  </si>
  <si>
    <t xml:space="preserve">Resgatar ilustração visor de calculadora com o número 23,17 da página 136 do g23_mdn_lt_5npm. Código antigo i1204_5pmm_g19_mdn. </t>
  </si>
  <si>
    <t xml:space="preserve">i1159_5p011m_g27_e001 </t>
  </si>
  <si>
    <t xml:space="preserve">Resgatar ilustração visor de calculadora com o número 185,36 da página 136 do g23_mdn_lt_5npm. Código antigo i1205_5pmm_g19_mdn. </t>
  </si>
  <si>
    <t xml:space="preserve">i1160_5p011m_g27_e001 </t>
  </si>
  <si>
    <t xml:space="preserve">Resgatar ilustração de cupom fiscal de supermercado da página 136 do g23_mdn_lt_5npm. Código antigo i2222zz_5npm_g23_mdn_aj 
AJUSTE: mudar para o ano de 2027 </t>
  </si>
  <si>
    <t xml:space="preserve">i1164_5p011m_g27_e001 </t>
  </si>
  <si>
    <t xml:space="preserve">Resgatar ilustração de menino lendo um livro da página 140 do g23_mdn_lt_5npm. Código antigo i1212cg_5pmm_g19_mdn </t>
  </si>
  <si>
    <t xml:space="preserve">i1165_5p011m_g27_e001 </t>
  </si>
  <si>
    <t xml:space="preserve">Resgatar ilustração do zoom do texto que o menino está lendo da página 140 do g23_mdn_lt_5npm. Código antigo i1212Acg_5pmm_g19_mdn </t>
  </si>
  <si>
    <t xml:space="preserve">i1166_5p011m_g27_e001 </t>
  </si>
  <si>
    <t xml:space="preserve">Resgatar ilustração de menina lendo um livro da página 141 do g23_mdn_lt_5npm. Código antigo i1213cg_5pmm_g19_mdn </t>
  </si>
  <si>
    <t xml:space="preserve">i1168_5p011m_g27_e001 </t>
  </si>
  <si>
    <t xml:space="preserve">Resgatar ilustração de bloco de quantia gasta em festa da página 143 do g23_mdn_lt_5npm. Código antigo i1216Azz_5pmm_g19_mdn </t>
  </si>
  <si>
    <t>CYNTHIA SEKIGUCHI</t>
  </si>
  <si>
    <t xml:space="preserve">i1169_5p011m_g27_e001 </t>
  </si>
  <si>
    <t xml:space="preserve">Resgatar ilustração de embalagem com pilhas da página 143 do g23_mdn_lt_5npm. Código antigo i1218rn_5pmm_g19_mdn </t>
  </si>
  <si>
    <t xml:space="preserve">i1170_5p011m_g27_e001 </t>
  </si>
  <si>
    <t xml:space="preserve">Resgatar ilustração visor de calculadora com o número 81,6 da página 144 do g23_mdn_lt_5npm. Código antigo i1219_5pmm_g19_mdn </t>
  </si>
  <si>
    <t xml:space="preserve">i1171_5p011m_g27_e001 </t>
  </si>
  <si>
    <t xml:space="preserve">Resgatar ilustração visor de calculadora com o número 6,8 da página 144 do g23_mdn_lt_5npm. Código antigo i1221_5pmm_g19_mdn </t>
  </si>
  <si>
    <t xml:space="preserve">i1175_5p011m_g27_e001 </t>
  </si>
  <si>
    <t xml:space="preserve">Resgatar ilustração de uma malha com 100 quadradinhos estando 79 pintados de verde da página 147 do g23_mdn_lt_5npm. Código antigo it1268_5pmm_g19_mdn </t>
  </si>
  <si>
    <t xml:space="preserve">i1176_5p011m_g27_e001 </t>
  </si>
  <si>
    <t xml:space="preserve">Resgatar ilustração de uma malha com 100 quadradinhos estando 10 pintados de verde da página 148 do g23_mdn_lt_5npm. Código antigo it1269_5pmm_g19_mdn </t>
  </si>
  <si>
    <t xml:space="preserve">i1177_5p011m_g27_e001 </t>
  </si>
  <si>
    <t xml:space="preserve">Resgatar ilustração de uma malha com 100 quadradinhos estando 25 pintados de verde da página 148 do g23_mdn_lt_5npm. Código antigo 
it1271_5pmm_g19_mdn </t>
  </si>
  <si>
    <t xml:space="preserve">i1178_5p011m_g27_e001 </t>
  </si>
  <si>
    <t xml:space="preserve">Resgatar ilustração de uma malha com 100 quadradinhos estando 50 pintados de verde da página 148 do g23_mdn_lt_5npm. Código antigo it1272_5pmm_g19_mdn </t>
  </si>
  <si>
    <t xml:space="preserve">i1179_5p011m_g27_e001 </t>
  </si>
  <si>
    <t xml:space="preserve">Resgatar ilustração de uma malha com 100 quadradinhos estando 75 pintados de verde da página 148 do g23_mdn_lt_5npm. Código antigo it1273_5pmm_g19_mdn </t>
  </si>
  <si>
    <t xml:space="preserve">i1181_5p011m_g27_e001 </t>
  </si>
  <si>
    <t xml:space="preserve">Resgatar ilustração de uma malha com 100 quadradinhos estando 35 pintados de verde da página 150 do g23_mdn_lt_5npm. Código antigo it1275_5pmm_g19_mdn </t>
  </si>
  <si>
    <t xml:space="preserve">i1182_5p011m_g27_e001 </t>
  </si>
  <si>
    <t xml:space="preserve">Resgatar ilustração de uma malha com 100 quadradinhos estando 63 pintados de verde da página 150 do g23_mdn_lt_5npm. Código antigo it1276_5pmm_g19_mdn </t>
  </si>
  <si>
    <t xml:space="preserve">i1183_5p011m_g27_e001 </t>
  </si>
  <si>
    <t xml:space="preserve">Resgatar ilustração de uma malha com 100 quadradinhos estando 52 pintados de verde da página 150 do g23_mdn_lt_5npm. Código antigo it1277_5pmm_g19_mdn </t>
  </si>
  <si>
    <t xml:space="preserve">i1184_5p011m_g27_e001 </t>
  </si>
  <si>
    <t xml:space="preserve">Resgatar ilustração de um celular conectado a um computador da página 150 do g23_mdn_lt_5npm. Código antigo i1278rn_5pmm_g19_mdn </t>
  </si>
  <si>
    <t xml:space="preserve">i1185_5p011m_g27_e001 </t>
  </si>
  <si>
    <t xml:space="preserve">Resgatar ilustração de uma menina falando da página 151 do g23_mdn_lt_5npm. Código antigo i1279aa_5pmm_g19_mdn </t>
  </si>
  <si>
    <t xml:space="preserve">i1186_5p011m_g27_e001 </t>
  </si>
  <si>
    <t xml:space="preserve">Resgatar ilustração de cena com um par de tênis no valor de R$ 102,00 e uma bola de futebol no valor de R$ 52,00 da página 151 do g23_mdn_lt_5npm. Código antigo i1280aa_5pmm_g19_mdn </t>
  </si>
  <si>
    <t xml:space="preserve">i1187_5p011m_g27_e001 </t>
  </si>
  <si>
    <t xml:space="preserve">Resgatar ilustração de cena com um par de tênis no valor de R$ 110,00 e uma bola de futebol no valor de R$ 55,00 da página 151 do g23_mdn_lt_5npm. Código antigo i1280aa_5pmm_g19_mdn </t>
  </si>
  <si>
    <t xml:space="preserve">i1188_5p011m_g27_e001 </t>
  </si>
  <si>
    <t xml:space="preserve">Resgatar ilustração do visor da calculadora com o número 256 da página 152 do g23_mdn_lt_5npm. Código antigo i1281_5pmm_g19_mdn </t>
  </si>
  <si>
    <t xml:space="preserve">i1189_5p011m_g27_e001 </t>
  </si>
  <si>
    <t xml:space="preserve">Resgatar ilustração do visor da calculadora com o número 13 da página 152 do g23_mdn_lt_5npm. Código antigo i1282_5pmm_g19_mdn </t>
  </si>
  <si>
    <t xml:space="preserve">i1190_5p011m_g27_e001 </t>
  </si>
  <si>
    <t xml:space="preserve">Resgatar ilustração do visor da calculadora com o número 33,28 da página 152 do g23_mdn_lt_5npm. Código antigo i1284_5pmm_g19_mdn </t>
  </si>
  <si>
    <t xml:space="preserve">g1193_5p011m_g27_e001 </t>
  </si>
  <si>
    <t xml:space="preserve">Resgatar ilustração de gráfico de setores da página 154 do g23_mdn_lt_5npm. Código antigo gt1285_5pmm_g19_mdn 
AJUSTE: atualizar para padrão de contorno com fio preto no gráfico </t>
  </si>
  <si>
    <t>i1140_2p011m_g27_e001</t>
  </si>
  <si>
    <t>Resgatar e ajustar ilustração que representa um feira em sala de aula na página 106 do g23_mdn_lt_2npm_p102a107_u4; código antigo i0822cg_2pmm_g19_mdn_ef
AJUSTE: compor as crianças que estão ao fundo da imagem a seguir conversando.</t>
  </si>
  <si>
    <t>i0115_3p011m_g27_e001</t>
  </si>
  <si>
    <t xml:space="preserve">Resgatar e ajustar ilustração tabela listando quantidade de estudantes; g23_mdn_lt_3npm_p194; código antigo i1808rn_3pmm_g19_mdn. 
AJUSTE: retirar o caderno, usar a folha de caderno do padrão atual da coleção e trocar “alunos” por “estudantes”. </t>
  </si>
  <si>
    <t>Foi inserido um código novo, pois o crédito estava errado.</t>
  </si>
  <si>
    <t xml:space="preserve">i0177_3p011m_g27_e011 </t>
  </si>
  <si>
    <t xml:space="preserve">Ilustração um cartaz de divulgação de uma apresentação de frevo. 
Nesse cartaz, algumas informações devem aparecer, além de uma imagem ilustrativa de frevo. 
As informações são: 
APRESENTAÇÃO DE FREVO 
Dia 12 de abril de 2027 
Das 10 h às 12 h 
Local: Teatro Tudo de Bom. 
Rua itapema, 540. 
Ingressos: 25 reais </t>
  </si>
  <si>
    <t>wh</t>
  </si>
  <si>
    <t>R:23/06
F: 30/06</t>
  </si>
  <si>
    <t xml:space="preserve">i0191_3p011m_g27_e001 </t>
  </si>
  <si>
    <t xml:space="preserve">Ilustração de um brinquedo artesanal feito de materiais recicláveis. O brinquedo será um cachorro. Print referência para ideia (NÃO FAZER IGUAL) </t>
  </si>
  <si>
    <t>R:17/06
F:23/06</t>
  </si>
  <si>
    <t xml:space="preserve">i0192_3p011m_g27_e001 </t>
  </si>
  <si>
    <t>Ilustração de um cartão. É para ser um cartão de agradecimento. Esse cartão pode estar dobrado com a palavra Obrigado na capa</t>
  </si>
  <si>
    <t xml:space="preserve">i0193_3p011m_g27_e001 </t>
  </si>
  <si>
    <t xml:space="preserve">Ilustração de um porta-objetos de escritório </t>
  </si>
  <si>
    <t xml:space="preserve">g0146_3p011m_g27_e001 </t>
  </si>
  <si>
    <t xml:space="preserve">Resgatar gráfico/ilustração necessidade de horas de sono; g23_mdn_lt_3npm_p196; código antigo gt3409sl_3npm_g23_mdn_ef_aj 
AJUSTE: Retirar as barras em cor resposta </t>
  </si>
  <si>
    <t xml:space="preserve">g0189_3p011m_g27_e001 </t>
  </si>
  <si>
    <t xml:space="preserve">ilustração de gráfico de barras verticais com o eixo horizontal “Município” e o eixo vertical “Quantidade de pessoas. Esse gráfico de barras terá os seguintes dados:  
Altônia: 720 pessoas; 
Barbosa Ferraz: 462 pessoas; 
Carambeí: 770 pessoas; 
Engenheiro Beltrão: 641 pessoas; 
Iporã: 970 pessoas; 
Loanda: 766 pessoas. </t>
  </si>
  <si>
    <t xml:space="preserve">i0183_3p011m_g27_e001 </t>
  </si>
  <si>
    <t xml:space="preserve">Ilustração de monitor com planilha eletrônica do padrão da coleção. Nessa tela deve haver as seguintes informações: 
A 
B 
1 
Altônia  
720 
2 
Barbosa Ferraz 
462 
3 
Carambeí 
770 
4 
Engenheiro Beltrão 
641 
5 
Iporã 
970 
6 
Loanda 
766 
A seguir é apresenta uma referência, porém com dados frios. </t>
  </si>
  <si>
    <t>F:17/06</t>
  </si>
  <si>
    <t xml:space="preserve">i0184_3p011m_g27_e001 </t>
  </si>
  <si>
    <t xml:space="preserve">Ilustração do mesmo monitor com planilha eletrônica da imagem i0183_3p011m. Sobre essa planilha, adicionar um gráfico de colunas verticais que represente os dados do seguinte quadro (como se tivesse sido feito com o programa). 
Município 
Quantidade de pessoas 
Altônia  
720 
Barbosa Ferraz 
462 
Carambeí 
770 
Engenheiro Beltrão 
641 
Iporã 
970 
Loanda 
766 
O título desse gráfico deve ser: Quantidade de pessoas aprovadas no exame prático para habilitação em alguns municípios do Paraná, em 2023 
A seguir é apresenta uma referência, porém com dados frios. </t>
  </si>
  <si>
    <t>Resgatar e ajustar ilustração de uma mulher negra de aproximadamente 35 anos fazendo uma apresentação em um auditório do g23_mdn_lt_3npm_p199; código antigo i1817cg_3pmm_g19_mdn_ef_ly, semelhante à ref. A ideia é que tenha um cenário. Nessa mulher, será adicionado um balão de fala, nesse caso, fazê-la com a boca aberta como se estivesse falando. Ver ideia a seguir.
AJUSTE: ampliar a il. e o cenário pode ser tipo um anfiteatro. Não precisa deixar claro o que é, é mais um fundo mesmo... só pra ocupar esse espaço que vai ficar sobrando. Na parte inferiror, se for posissel, dá pra ilustrar parte de umas cabeças, como se estivessem assistindo a mulher falar. Ver ideia a seguir.</t>
  </si>
  <si>
    <t xml:space="preserve">i0186_3p011m_g27_e001 </t>
  </si>
  <si>
    <t xml:space="preserve">Ilustração do mesmo cenário e da mesma pessoa da ilustração 0150_3p011m. Nessa ilustração, mudar a posição corporal da pessoa (indicando que é m outro momento da palestra). Nela, também será adicionado um balão de fala. Além disso, o gráfico da il. 0151 deve ser aplicado nessa ilustração. Nesse caso, ilustrar tipo um telão em que o gráfico será aplicado. Nessa il., a personagem pode estar em um segundo plano, pois o foco é o gráfico e a fala dela. </t>
  </si>
  <si>
    <t>Excluída pela equipe. Vai ser possível ficar tudo na i0150_3p011m (visto com André)</t>
  </si>
  <si>
    <t xml:space="preserve">g0151_3p011m_g27_e001 </t>
  </si>
  <si>
    <t xml:space="preserve">Resgatar gráfico/ilustração quantidade de prefeitas eleitas por ano; g23_mdn_lt_3npm_p199; código antigo gt3411sl_3npm_g23_mdn_aj 
AJUSTE: O novo gráfico deve ir de 2004 a 2024 e representar os seguintes dados: 
2004: 406 prefeitas eleitas 
2008: 498 prefeitas eleitas 
2012: 654 prefeitas eleitas 
2016: 635 prefeitas eleitas 
2020: 656 prefeitas eleitas 
2024: 729 prefeitas eleitas 
Inserir fio contorno preto nas barras. </t>
  </si>
  <si>
    <t xml:space="preserve">i0164_3p011m_g27_e001 </t>
  </si>
  <si>
    <t xml:space="preserve">Resgatar e ajustar il. de crianças em um parque veio do g23_mdn_lt_3npm_p031 código antigo i0255za_3pmm_g19_mdn.  
Ajuste: adicionar um professor negro ao fundo da cena como se ele estivesse cuidando das crianças. Ele deve ter aproximadamente 50 anos e deve estar com vestimentas que indiquem que ele é professor, por exemplo, um jaleco. Além disso, se possível, ajustar o formato do cabelo de Sandro (menino mais a frente). </t>
  </si>
  <si>
    <t xml:space="preserve">i0190_3p011m_g27_e001 </t>
  </si>
  <si>
    <t xml:space="preserve">Ilustração de 2 placas, 2 barras e 9 cubinhos no padrão da obra do material dourado </t>
  </si>
  <si>
    <t>i1141_2p011m_g27_e001</t>
  </si>
  <si>
    <t>Ilustração de um estojo escolar.</t>
  </si>
  <si>
    <t>i1142_2p011m_g27_e001</t>
  </si>
  <si>
    <t>Resgatar e ajustar ilustração que representa um feira em sala de aula na página 106 do g23_mdn_lt_2npm_p102a107_u4; código antigo i0822cg_2pmm_g19_mdn_ef
AJUSTE: a criança que está na cadeira de rodas segurando as cédulas de dinheiro para brincar (ver print 2 para ideia das cédulas e print 1 para sugestão de como a mão segurará as cédulas). Na mão deve estar 2 cédulas de 2 reais, 2 cédulas de 5 reais, 2 cédulas de 10 e 2 cédulas de 20 de dinheiro para brincar. A criança ruiva vai aparecer na cena.</t>
  </si>
  <si>
    <t xml:space="preserve">Resgatar ilustração de linha de trem, da página 83 do g23_mdn_lt_3npm_p080a089_u4. Código antigo i0828Bci_3pmm_g19_mdn 
AJUSTE: girar imagem conforme referência a seguir. </t>
  </si>
  <si>
    <t>i0969_3p011m_g27_e001</t>
  </si>
  <si>
    <t xml:space="preserve">Ilustração de uma casa montada utilizando peças de tangram do Material complementar. Essa casa foi construída utilizando 2 triângulos roxos do mesmo tamanho, 2 triângulos vermelhos do mesmo tamanho, 1 triângulo verde, 1 paralelogramo amarelo e um quadrado azul, conforme referência. As peças devem ser dessas cores e as proporções entre si deve obedecer a maneira que foi proposto na referência 
ARTE: para compor essa imagem, usar as peças do Tangram do Material complementar com os códigos antigos i3868sl_3npm_g23_mdn_aj e i3869sl_3npm_g23_mdn_aj e compor fio preto da espessura padrão em torno das figuras conforme referência a seguir. </t>
  </si>
  <si>
    <t xml:space="preserve">i0937_3p011m_g27_e001 </t>
  </si>
  <si>
    <t xml:space="preserve">Resgatar Ilustração de uma folha de caderno com o desenho de uma figura geométrica plana, mostrando os lados e vértices com setas, da página 92 do g23_mdn_lt_3npm_p090a099_u4. Código antigo i0229zz_3npm_g23_mdn_aj 
AJUSTE: retirar caderno, manter a figura e cotas </t>
  </si>
  <si>
    <t xml:space="preserve">i0949_3p011m_g27_e001 </t>
  </si>
  <si>
    <t xml:space="preserve">Resgatar Ilustração de 6 figuras geométricas, da página 95 do g23_mdn_lt_3npm_p090a099_u4. Código antigo it0857_3pmm_g19_mdn 
AJUSTE: separar as figuras </t>
  </si>
  <si>
    <t xml:space="preserve">i0950_3p011m_g27_e001 </t>
  </si>
  <si>
    <t xml:space="preserve">Resgatar Ilustração de 4 figuras geométricas, da página 95 do g23_mdn_lt_3npm_p090a099_u4. Código antigo it0858_3pmm_g19_mdn 
AJUSTE: separar as figuras </t>
  </si>
  <si>
    <t xml:space="preserve">i0970_3p011m_g27_e001 </t>
  </si>
  <si>
    <t xml:space="preserve">Ilustração de uma sequência de figuras geométricas planas organizados em uma única linha. Os elementos da sequência serão retângulos e trapézios isósceles, em que eles devem ter cores diferentes. A ordem da sequência será: trapézio isósceles, trapézio isósceles, retângulo, trapézio isósceles, trapézio isósceles, retângulo, trapézio isósceles, trapézio isósceles e retângulo. No final da sequência deve ter 3 pontos consecutivos indicando que a sequência tem continuação, conforme padrão no padrão de ilustrações. </t>
  </si>
  <si>
    <t>i0971_3p011m_g27_e001</t>
  </si>
  <si>
    <t xml:space="preserve">Ilustração de uma sequência de figuras geométricas planas organizados em uma única linha. Os elementos da sequência serão quadrados, triângulos equiláteros e círculos, em que eles devem ter cores diferentes. A ordem da sequência será: quadrado, triângulo, círculo, triângulo, quadrado, triângulo, círculo, triângulo e quadrado. No final da sequência deve ter 3 pontos consecutivos indicando que a sequência tem continuação, conforme padrão no padrão de ilustrações. </t>
  </si>
  <si>
    <t xml:space="preserve">i0972_3p011m_g27_e001 </t>
  </si>
  <si>
    <t xml:space="preserve">Ilustração de uma reta r </t>
  </si>
  <si>
    <t xml:space="preserve">i0973_3p011m_g27_e001 </t>
  </si>
  <si>
    <t xml:space="preserve">Ilustração de duas retas r e t paralelas </t>
  </si>
  <si>
    <t xml:space="preserve">i0974_3p011m_g27_e001 </t>
  </si>
  <si>
    <t xml:space="preserve">Ilustração de triângulo equilátero. </t>
  </si>
  <si>
    <t xml:space="preserve">i0975_3p011m_g27_e001 </t>
  </si>
  <si>
    <t xml:space="preserve">Ilustração de um pentágono regular </t>
  </si>
  <si>
    <t xml:space="preserve">i0976_3p011m_g27_e001 </t>
  </si>
  <si>
    <t xml:space="preserve">Ilustração de um paralelogramo. </t>
  </si>
  <si>
    <t xml:space="preserve">i0978_3p011m_g27_e001 </t>
  </si>
  <si>
    <t>Ilustração de um quadrado.</t>
  </si>
  <si>
    <t>i0977_3p011m_g27_e001</t>
  </si>
  <si>
    <t>Ilustração de um retângulo.</t>
  </si>
  <si>
    <t xml:space="preserve">i0979_3p011m_g27_e001 </t>
  </si>
  <si>
    <t xml:space="preserve">Ilustração de um trapézio isósceles. </t>
  </si>
  <si>
    <t xml:space="preserve">i1159_3p011m_g27_e001 </t>
  </si>
  <si>
    <t>Ilustração de uma embalagem de aveia em flocos finos, em que o enfoque será na tabela nutricional da embalagem. Compor a tabela nutricional da seguinte maneira:  (ver tabela na guia)</t>
  </si>
  <si>
    <t>ENTREGA: 18/06</t>
  </si>
  <si>
    <t xml:space="preserve">i1158_3p011m_g27_e001 </t>
  </si>
  <si>
    <t xml:space="preserve">Ilustração de um lápis na horizontal do padrão de ilustrações com comprimento de 97 mm sobre uma régua de 0 a 15 cm, Fazer lápis e régua em VG (verdadeira grandeza). </t>
  </si>
  <si>
    <t>i0743_3p011m_g27_e001</t>
  </si>
  <si>
    <t>Resgatar e ajustar ilustração de reta numérica que representa 13-5=8, da página 65 do g23_mdn_lt_3npm_p064a069_u3. Código antigo i1022sl_3npm_g23_mdn_aj
AJUSTE: compor setas “pulando” do número 13 até o número 8, conforme referência a seguir.</t>
  </si>
  <si>
    <t>i0744_3p011m_g27_e001</t>
  </si>
  <si>
    <t xml:space="preserve">Resgatar e ajustar ilustração de ábaco do padrão com o número 11 representado do g23_mdn_lt_1npm_p106 código antigo i1029zz_1pmm_g19_mdn
AJUSTE: inserir uma bolinha na haste da dezena e uma na haste da unidade, representando o número </t>
  </si>
  <si>
    <t>i1364_3p011m_g27_e001</t>
  </si>
  <si>
    <t>Ilustração de uma bandeija de laranjas com 4 laranjas. Essa bandeja deve ser aquelas que encontramos em mercado, conforme a ref. Ela deve ser ilustrada em uma posição que seja possível contar as 4 laranjas e que não deixe dúvidas que há exatamente 4 laranjas. Ver ideia a seguir, porém a ilustração deve ter apenas 4 laranjas.</t>
  </si>
  <si>
    <t>Excluída pela equipe a pedido da leitura transversal.</t>
  </si>
  <si>
    <t>EXCLUÌDO, PAGAR 30% DO RAFE  
RAFE FOI ENTREGUE EM 29/06. MAS FOI PAGO EM AGOSTO, PARA DAR CERTO O PAGAMENTO MUDEI A DATA PARA 01/07</t>
  </si>
  <si>
    <t>PAGO RAFE</t>
  </si>
  <si>
    <t>i1365_3p011m_g27_e001</t>
  </si>
  <si>
    <t>Ilustração de cartas do jogo da memória (o tema deve ser animais – podemos usar quaisquer animais) organizadas em disposição retangular. Esse jogo deve ser composto por 32 cartas e elas devem estar organizadas em 4 linhas com 8 cartas em cada uma. Das 32 cartas, 18 já devem estar com as figuras reveladas (lembrando que essas 18 correspondem a 9 pares). As cartas reveladas devem estar distribuídas, conforme referência. No verso de cada carta, não compor números. Pode-se compor um fundo qualquer, que indique o verso de uma carta. Ver ideia a seguir, porém não fazer igual e ver acima a quantidade certa de cartas.</t>
  </si>
  <si>
    <t>RAFE: 30/06
FINAL: 07/07</t>
  </si>
  <si>
    <t>i1354_3p011m_g27_e001</t>
  </si>
  <si>
    <t>Ilustração de um grupo com 3 estudantes (um menino negro, uma menina loira e um menino ruivo com o colar do TEA) de aproximadamente 10 anos com um professor branco de cabelos pretos de aproximadamente 35 anos (o professor deve estar de jaleco e deve usar óculos). Os estudantes devem estar em grupo preparando cartazes e enfeites para uma Feira da Diversidade. O professor deve estar passando pelo grupo e estar com a boca aberta (será adicionado um balão de fala nele).
Todos os personagens da imagem devem estar animados/empolgados e o estudante negro, deve estar com a boca aberta (será adicionado um balão de fala nele).</t>
  </si>
  <si>
    <t>g1357_3p011m_g27_e001</t>
  </si>
  <si>
    <t>Compor um pictograma que represente os dados do quadro a seguir.
Classificação	Quantidade de votos
Ótima	40
Boa	50
Regular	80
Ruim	30
Nesse pictograma, cada figura deve valer 10 votos, conforme a ref.
Compor 0 no início do pictograma.
Obs: Na classificação, compor emojis que representam cada uma delas, ver ideia a seguir.</t>
  </si>
  <si>
    <t>F: 27/06</t>
  </si>
  <si>
    <t>i1359_3p011m_g27_e001</t>
  </si>
  <si>
    <t>Ilustração de 1 barra e 2 cubinhos em material dourado do padrão representando o número 12.</t>
  </si>
  <si>
    <t>i1362_3p011m_g27_e001</t>
  </si>
  <si>
    <t>Ilustração de três barras e 6 cubinhos do material dourado do padrão para representar o resultado da multiplicação 3 x 12=36</t>
  </si>
  <si>
    <t>i1143_2p011m_g27_e001</t>
  </si>
  <si>
    <t>Resgatar ilustração de cubo representando o número 1 000, na página 101 do g23_mdn_lt_2npm_p090a095_u4; código antigo i0838zz_2pmm_g19_mdn</t>
  </si>
  <si>
    <t>i1144_2p011m_g27_e001</t>
  </si>
  <si>
    <t>Resgatar ilustração de ábaco representando o número 1 000, na página 100 do g23_mdn_lt_2npm_p096a101_u4; código antigo i0835zz_2pmm_g19_mdn</t>
  </si>
  <si>
    <t>i6215_1p011m_g27_e001</t>
  </si>
  <si>
    <t>resgatar il de trilha e pés do g23_mdn_mp_1npm_p45; código antigo i3409_1npm_g23_mdn_re</t>
  </si>
  <si>
    <t>i6216_1p011m_g27_e001</t>
  </si>
  <si>
    <t>resgatar il de cabide com partes de garrafas do g23_mdn_mp_1npm_p050 codigo antigo i3410_1npm_g23_mdn_re</t>
  </si>
  <si>
    <t>i6203_1p011m_g27_e001</t>
  </si>
  <si>
    <t>Resgatar ilustração de caixas de fósforo agrupadas com a escrita de números da página 76-MP do g23_mdn_mp_1npm. Código antigo i3408_1npm_g23_mdn_re</t>
  </si>
  <si>
    <t>i6214_1p011m_g27_e001</t>
  </si>
  <si>
    <t>Resgatar a Il. do labirinto da i0931_1p011m_g27_e001.
AJUSTES: 1º a imagem vai entrar no MP, então deve ser reduzida (máximo 5 cm).
2º Inserir o nome dos objetos e das Figuras geométricas espaciais, conforme o print.
3º Inserir os fios que ligam o objeto a figura geométrica espacial, conforme o print.</t>
  </si>
  <si>
    <t>i6213_1p011m_g27_e001</t>
  </si>
  <si>
    <t>Il. sequência de figuras geométricas espaciais, em tamanho pequeno para caber no MP, na ordem a seguir: Esfera, Cone, Cilindro, Cubo, Paralelepípedo.</t>
  </si>
  <si>
    <t>i1160_3p011m_g27_e001</t>
  </si>
  <si>
    <t>Ilustração de uma cena dentro de uma cozinha onde uma família de fenótipo pardo está reunida preparando pão de queijo (pode haver alguma farinha, ovos e leite, uma tigela com uma massa a enrolar e uma assadeira com algumas bolinhas já alocadas. Há duas crianças ajudando a cozinhar, uma menina e um menino (ambos de aproximadamente 9 anos), sorrindo e mexendo nos ingredientes, e dois adultos, uma mulher e um homem. No fundo, prateleiras com temperos, legumes frescos e objetos que representam a tradição da família. Em um cantinho, uma pequena estante com livros de receitas e fotos antigas das avós preparando comida. Ver referência.</t>
  </si>
  <si>
    <t>FINAL: 14/07</t>
  </si>
  <si>
    <t>i1161_3p011m_g27_e001</t>
  </si>
  <si>
    <t>Ilustração de uma sala de aula em que estudantes de aproximadamente 9 anos participam de uma feira de sabores com sua professora, de aproximadamente 40 anos com jaleco. As 6 crianças devem estar uniformizadas e entre elas deve ter um menino branco cadeirante e uma menina negra com colar de TEA. Das 4 crianças restantes, duas devem ser as que aparecem na ilustração i1160_3p011m, uma deve ser uma menina oriental e a outra um menino branco. Sobre as mesas, ilustrar pratos como: arroz com feijão, cuscuz, açaí, pão de queijo com goiabada e sushi. Ao lado de cada prato, pequenos cartazes feitos pelos estudantes indicam o nome do alimento. As crianças observam os pratos com curiosidade e conversam entre si. No fundo da sala, há cartazes com as seguintes frases: “Provar também é aprender” e “Cada sabor tem uma história”. Além disso, compor um quadro ou faixa indicando Feira de Sabores. Ver referência.</t>
  </si>
  <si>
    <t>i1552_3p011m_g27_e001</t>
  </si>
  <si>
    <t>Ilustração de 10 livros genéricos de história infantil para crianças de aproximadamente 8 anos em que apareça apenas a capa. Eles não precisam ter as mesmas dimensões.
ARTE: Após compor a ilustração, separar a imagem em A, B, C, D, E, F, G, H, I e J para facilitar a diagramação.</t>
  </si>
  <si>
    <t>Finalizada: 03/07</t>
  </si>
  <si>
    <t>i1564_3p011m_g27_e001</t>
  </si>
  <si>
    <t>Ilustração de 24 peras lado a lado. Se necessário, colocar em duas linhas.</t>
  </si>
  <si>
    <t>i1565_3p011m_g27_e001</t>
  </si>
  <si>
    <t>Ilustração de 36 cajus lado a lado. Se necessário, colocar em duas linhas.</t>
  </si>
  <si>
    <t>i1555_3p011m_g27_e001</t>
  </si>
  <si>
    <t>Ilustração de 4 barras e 8 cubinhos do material dourado, sendo que os cubinhos devem estar separados. Ver ideia a seguir.</t>
  </si>
  <si>
    <t xml:space="preserve">Heloísa Pintarelli </t>
  </si>
  <si>
    <t>i1556_3p011m_g27_e001</t>
  </si>
  <si>
    <t>Ilustração de 4 barras e 8 cubinhos do material dourado, os mesmos da i1555_3p011m. As barras devem estar separadas um pouco mais separadas em quatro grupos e os cubinhos devem manter a mesma posição da i1555_3p011m, conforme referência a seguir.
Arte: o fio contorno nas barras será inserido pela diagramação</t>
  </si>
  <si>
    <t>i1557_3p011m_g27_e001</t>
  </si>
  <si>
    <t>Ilustração de 4 barras e 8 cubinhos do material dourado, os mesmos da i1555_3p011m, sendo agora separados em quatro grupos com 1 barra e 2 cubinhos em cada conforme referência a seguir.
Arte: o fio contorno nas barras será inserido pela diagramação</t>
  </si>
  <si>
    <t>i1539_3p011m_g27_e001</t>
  </si>
  <si>
    <t>Resgatar ilustração de um cliente e uma vendedora conversando. Veio de: g23_mdn_lt_3npm_p173. Código antigo: i1657aj_3pmm_g19_mdn.
AJUSTE: Deixar apenas uma imagem (nesse código antigo tem duas iguais) e trocar o bolo por uma torta salgada e ampliar cenário para ocupar o espaço disponível na página. Uma possibilidade de ampliação é terminar de apresentar as pernas do personagem e compor o chão.</t>
  </si>
  <si>
    <t>i1573_3p011m_g27_e001</t>
  </si>
  <si>
    <t>Ilustração de 5 barras e 2 cubinhos do material dourado, sendo que os cubinhos devem estar separados. Ver ideia a seguir.</t>
  </si>
  <si>
    <t>i1574_3p011m_g27_e001</t>
  </si>
  <si>
    <t>Ilustração de 5 barras e 2 cubinhos do material dourado, os mesmos da i1573_3p011m. Quatro das barras devem estar um pouco mais separadas em quatro grupos (1 barra em cada) a outra barra e os cubinhos devem manter a mesma posição da i1573_3p011m, conforme referência a seguir.
Arte: o fio contorno nas barras será inserido pela diagramação</t>
  </si>
  <si>
    <t>i1575_3p011m_g27_e001</t>
  </si>
  <si>
    <t>Mesma ilustração da i1574_3p011m, porém, nessa trocar uma barra por 10 cubinhos. Nesse caso, ficam 4 barras e 12 cubinhos fora dos grupos. Ver referência a seguir.
Arte: o fio contorno nas barras será inserido pela diagramação</t>
  </si>
  <si>
    <t>i1576_3p011m_g27_e001</t>
  </si>
  <si>
    <t>Ilustração de 4 barras e 12 cubinhos do material dourado os mesmos da i1575_3p011m, sendo agora separados em quatro grupos com 1 barra e 3 cubinhos em cada conforme referência a seguir.
Arte: o fio contorno nas barras será inserido pela diagramação</t>
  </si>
  <si>
    <t>i1542_3p011m_g27_e001</t>
  </si>
  <si>
    <t>resgatar il de nota fiscal veio do g23_mdn_lt_3npm_p177 código antigo i3024zz_3npm_g23_mdn_aj
AJUSTE: Ajustar a ilustração com texto e os novos valores indicados a seguir:
Produto	Quantidade	Preço unitário (em reais)	Total (em reais)
Porta de madeira	1	339	339
Torneira	2	73	146
Lata de tinta (18 "L" )	2	224	448
		Total a pagar	933</t>
  </si>
  <si>
    <t>i1568_3p011m_g27_e001</t>
  </si>
  <si>
    <t>Ilustração de 1 placa, 8 barras e 9 cubinhos do material dourado. Ver referência a seguir.</t>
  </si>
  <si>
    <t>i1569_3p011m_g27_e001</t>
  </si>
  <si>
    <t>Ilustração da mesma ilustração i1568_3p011m sendo agora a placa decomposta em barras, sendo 18 barras e 9 cubinhos do material dourado. Ver referência a seguir.</t>
  </si>
  <si>
    <t>i1570_3p011m_g27_e001</t>
  </si>
  <si>
    <t>Ilustração de 18 barras e 9 cubinhos do material dourado, a mesma da i1569_3p011m. As 18 barras devem estar um pouco mais separadas em 9 grupos com duas barras cada. Os cubinhos devem estar desagrupados, na mesma posição da i1569_3p011m.
Arte: o fio contorno nas barras será inserido pela diagramação</t>
  </si>
  <si>
    <t>i1571_3p011m_g27_e001</t>
  </si>
  <si>
    <t>Ilustração de 18 barras e 9 cubinhos do material dourado, os mesmos da i1570_3p011m, sendo agora separados em nove grupos com 2 barras e 1 cubinho em cada grupo conforme referência a seguir.
Arte: o fio contorno nas barras será inserido pela diagramação</t>
  </si>
  <si>
    <t>i1561_3p011m_g27_e001</t>
  </si>
  <si>
    <t>Ilustração de 2 barras e 4 cubinhos do material dourado. Ver referência a seguir.</t>
  </si>
  <si>
    <t>i1562_3p011m_g27_e001</t>
  </si>
  <si>
    <t>Ilustração de 2 barras e 4 cubinhos do material dourado a mesma da i1561_3p011m. As barras devem estar um pouco mais separadas em dois grupos com 1 barra em cada e os cubinhos na mesma posição da i1561_3p011m. Ver referência a seguir.
Arte: o fio contorno nas barras será inserido pela diagramação</t>
  </si>
  <si>
    <t>i1563_3p011m_g27_e001</t>
  </si>
  <si>
    <t>Ilustração de 2 barras e 4 cubinhos do material dourado, as mesmas da i1562_3p011m, sendo agora separadas em dois grupos com 1 barra e 2 cubinhos em cada grupo conforme referência a seguir.
Arte: o fio contorno nas barras será inserido pela diagramação</t>
  </si>
  <si>
    <t>i1725_3p011m_g27_e001</t>
  </si>
  <si>
    <t>Resgatar e ajustar ilustração de uma mão de uma criança segurando uma lista de materiais, da página 208 da unidade 9 do 1p011m com o código i1766_1p011m_g27_e001
AJUSTE: Ajustar o texto da ilustração para o seguinte texto:
Materiais necessários:
• Folhas de sulfite coloridas;
• Cola liquida;
• Pincéis;
• Tinta guache;
• Palitos de sorvete;
• Caixinha com formato de paralelepípedo;
• Tesoura de pontas arredondadas;
• Caixa de papelão;
• Tampinha de garrafa.</t>
  </si>
  <si>
    <t>i1726_3p011m_g27_e001</t>
  </si>
  <si>
    <t>Resgatar Ilustração de dois meninos, um negro e um asiático, atrás de uma mesa em que sobre ela há alguns materiais para construir uma maquete. A imagem veio do Pitanguá Mercado, página 136; código antigo i1226Bso_3npm_m20_mdn_ly. AJUSTE: trocar a placa de poliestireno por uma de papelão e descaracterizar as caixinhas de fósforos, deixá-las como se fossem caixas já pintadas de azul como na imagem de código antigo i1226Cso_3npm_m20_mdn_ly</t>
  </si>
  <si>
    <t>i1728_3p011m_g27_e001</t>
  </si>
  <si>
    <t>Resgatar ilustração do desenho, em uma folha sulfite, da representação da vista de cima de uma sala de aula. Veio do Pitanguá Mercado, página 136; código antigo: i1226Aso_3npm_m20_mdn_ly.
AJUSTE: compor um fio preto ao redor dos elementos da sala indicando as paredes. Deixar uma abertura, no rumo da mesa da professora, para indicar a porta. Inserir também duas aberturas (uma de cada lado) que representam janelas.</t>
  </si>
  <si>
    <t>i1727_3p011m_g27_e001</t>
  </si>
  <si>
    <t>Resgatar Ilustração de dois meninos, um negro e um asiático, atrás de uma mesa em que sobre ela há alguns materiais para construir uma maquete. A imagem veio do Pitanguá Mercado, página 136; código antigo i1226Bso_3npm_m20_mdn_ly.
AJUSTE: deixar apenas o menino negro na cena com a boca aberta como se estivesse falando.</t>
  </si>
  <si>
    <t>i1729_3p011m_g27_e001</t>
  </si>
  <si>
    <t>Resgatar ilustração de dois meninos, um negro e um asiático, construindo em uma placa de poliestireno, uma maquete representando uma sala de aula. A imagem veio do Pitanguá Mercado, página 137; código antigo: i1226Cso_3npm_m20_mdn_ly
AJUSTE: expandir a ilustração horizontalmente para ocupar melhor a mancha, trocar a placa de poliestireno por uma de papelão e descaracterizar as caixinhas de fosforo como foi feito na i1726_3p011m (deixar como se já estivessem pintadas de azul).</t>
  </si>
  <si>
    <t>i1730_3p011m_g27_e001</t>
  </si>
  <si>
    <t>Resgatar ilustração de dois meninos, um negro e um asiático, atrás de uma mesa, em que sobre a mesa terá a maquete de uma sala de aula. A imagem veio do Pitanguá Mercado, página 137; código antigo: i1226Dso_3npm_m20_mdn_ef_ly
AJUSTE: expandir a ilustração horizontalmente para ocupar melhor a mancha, trocar a placa de poliestireno por uma de papelão como feito na i1729_3p011m, porém concluída. Além disso, representar a porta e as janelas na mesma posição da i1728_3p011m.</t>
  </si>
  <si>
    <t>i1742_3p011m_g27_e001</t>
  </si>
  <si>
    <t>Ilustração de uma malha quadriculada (com quadradinhos de 1 cm) com 4 linhas e 10 colunas. Em um dos quadradinhos indicar que as dimensões dele medem 1 cm. Nessa malha, indicar os pontos A e B, conforme a posição indicada na referência.</t>
  </si>
  <si>
    <t>i1743_3p011m_g27_e001</t>
  </si>
  <si>
    <t>Ilustração de uma malha quadriculada (com quadradinhos de 1 cm) com 4 linhas e 10 colunas. Em um dos quadradinhos indicar que as dimensões dele medem 1 cm. Nessa malha, indicar os pontos C e E, e o caminho em verde, conforme a posição indicada na referência.</t>
  </si>
  <si>
    <t>i1731_3p011m_g27_e001</t>
  </si>
  <si>
    <t>Ilustração da parte de uma planta de uma sala de aula, em que os lugares terão os nomes: Ana; Vitor; Lúcio; Plínio; Suzane; e Jéssica. Ver ideia a seguir, porém não deve ser manuscrito.</t>
  </si>
  <si>
    <t>R:09/07 F:11/07</t>
  </si>
  <si>
    <t>i1975_3p011m_g27_e001</t>
  </si>
  <si>
    <t>resgatar il de sequência de relógios veio do g23_mdn_lt_3npm_p211 código antigo i3844zz_3npm_g23_mdn_aj
AJUSTE: retirar as setas, separar em um único relógio com código acima e deixar o relógio marcando o horário das 8 h 20 min.</t>
  </si>
  <si>
    <t>i1976_3p011m_g27_e001</t>
  </si>
  <si>
    <t>resgatar il de sequência de relógios veio do g23_mdn_lt_3npm_p211 código antigo i3844zz_3npm_g23_mdn_aj
AJUSTE: retirar as setas, separar em um único relógio com código acima e deixar o relógio marcando o horário das 8 h 25 min.</t>
  </si>
  <si>
    <t>i1983_3p011m_g27_e001</t>
  </si>
  <si>
    <t>Resgatar il de relógio marcando 2 horas veio do g23_mdn_lt_3npm_p214 código antigo i3854zz_3npm_g23_mdn_aj
AJUSTE: deixar o relógio indicando 10 horas.</t>
  </si>
  <si>
    <t>i1984_3p011m_g27_e001</t>
  </si>
  <si>
    <t>Resgatar il de relógio marcando 2 horas veio do g23_mdn_lt_3npm_p214 código antigo i3854zz_3npm_g23_mdn_aj
AJUSTE: deixar o relógio indicando 5 horas.</t>
  </si>
  <si>
    <t>i1985_3p011m_g27_e001</t>
  </si>
  <si>
    <t>Resgatar il de relógio marcando 2 horas veio do g23_mdn_lt_3npm_p214 código antigo i3854zz_3npm_g23_mdn_aj
AJUSTE: deixar o relógio indicando 3 horas.</t>
  </si>
  <si>
    <t>Excluída pela equipe para ampliar os relógios da página.</t>
  </si>
  <si>
    <t>i1986_3p011m_g27_e001</t>
  </si>
  <si>
    <t>Resgatar il de relógio marcando 2 horas veio do g23_mdn_lt_3npm_p214 código antigo i3854zz_3npm_g23_mdn_aj
AJUSTE: deixar o relógio indicando 8 horas.</t>
  </si>
  <si>
    <t>i1987_3p011m_g27_e001</t>
  </si>
  <si>
    <t>Ilustração de uma barraca de caldo de cana. Na barraca deve ter um homem branco de aproximadamente 55 anos, um pouco acima do peso, como se estivesse falando. Esse é o atendente da barraca (nele será adicionado um balão de fala). Fora da barraca (essa é a cliente), deve aparecer uma mulher negra de aproximadamente 35 anos, como se estivesse falando, sendo atendida pelo outro personagem. Na moça também será adicionado um balão de fala.</t>
  </si>
  <si>
    <t>R:08/07 F:10/07</t>
  </si>
  <si>
    <t>i1988_3p011m_g27_e001</t>
  </si>
  <si>
    <t>Ilustração de uma embalagem de sabonete líquido de 200 mL com essa medida na embalagem e de
uma embalagem de sabonete líquido de 1 L com essa medida na embalagem sobre uma superfície, em
mesmo plano. Fazer as imagens a seguir proporcionais.</t>
  </si>
  <si>
    <t>F:10/07</t>
  </si>
  <si>
    <t>i1989_3p011m_g27_e001</t>
  </si>
  <si>
    <t>Ilustração de uma embalagem de sabonete líquido de 1 L. Fazer proporcional a i1988_3p011m e deixar medida indicada de 1 L indicada na embalagem.</t>
  </si>
  <si>
    <t>Juntou com a i1988_3p011m_g27_e001</t>
  </si>
  <si>
    <t>i1977_3p011m_g27_e001</t>
  </si>
  <si>
    <t>Ilustração de calendário no padrão da obra do mês de junho de 2027.</t>
  </si>
  <si>
    <t>i1978_3p011m_g27_e001</t>
  </si>
  <si>
    <t>Ilustração de um relógio de ponteiros no padrão da obra, indicando 11h30min e 10 segundos.</t>
  </si>
  <si>
    <t>i1979_3p011m_g27_e001</t>
  </si>
  <si>
    <t>Ilustração de um balde com capacidade de 5 L e de uma jarra com capacidade de 2 L. Compor esses recipientes sobre uma mesa. As dimensões desses recipientes devem ser proporcionais.</t>
  </si>
  <si>
    <t>i1732_3p011m_g27_e001</t>
  </si>
  <si>
    <t>Resgatar ilustração de um bairro fictício do g23_mdn_lt_2npm_p151 código antigo: i1413sl_2pmm_g19_mdn.
AJUSTE: Compor nomes nas ruas (Rua Esperança, Rua Oliveira, Rua Santiago, Rua Tiradentes) e nomes nos locais (Farmácia, Escola, Restaurante, Padaria, Parque, Posto de combustíveis), conforme referência, ilustrar um posto de combustíveis no local indicado, e remover fios vermelhos e adicionar o fio verde. Além disso, o nome “restaurante” deve ficar acima do prédio e a parte indicada com o X deve ser cortada da imagem.
VER REFERÊNCIA:</t>
  </si>
  <si>
    <t>i1744_3p011m_g27_e001</t>
  </si>
  <si>
    <t>Ilustração de busto de um homem de aproximadamente 25 anos como se estivesse falando com o colar de girassóis para representar deficiências ocultas. Nessa pessoa, será adicionado um balão de fala.</t>
  </si>
  <si>
    <t>if1344_3p011m_g27_e001</t>
  </si>
  <si>
    <t>Resgatar e ajustar ilustração do anúncio do par de tênis do g23_mdn_lt_3npm_p148 código antigo if1423rn_3pmm_g19_mdn. Ajuste: atualizar o valor das prestações, o novo valor deve ser 24 reais.</t>
  </si>
  <si>
    <t>ILUSTRAÇÃO DE RAFAEL GAION. FOTO: OLGA POPOVA/SHUTTERSTOCK</t>
  </si>
  <si>
    <t>Resgta com ajuste</t>
  </si>
  <si>
    <t>i1367_3p011m_g27_e001</t>
  </si>
  <si>
    <t>Ilustração de um ábaco representando o número 11 e sendo inserido mais dois grupos de 11</t>
  </si>
  <si>
    <t>Arte (padrão de ilustrações)</t>
  </si>
  <si>
    <t>i1368_3p011m_g27_e001</t>
  </si>
  <si>
    <t>Il. de um ábaco representando o número 33</t>
  </si>
  <si>
    <t xml:space="preserve">i0173_4p011m_g27_e001 </t>
  </si>
  <si>
    <t>Ilustração de nove placas do material dourado</t>
  </si>
  <si>
    <t>FINALIZADA 16/07</t>
  </si>
  <si>
    <t xml:space="preserve">i0174_4p011m_g27_e001 </t>
  </si>
  <si>
    <t>Ilustração de três barras do material dourado.</t>
  </si>
  <si>
    <t xml:space="preserve">i0175_4p011m_g27_e001 </t>
  </si>
  <si>
    <t xml:space="preserve">i0176_4p011m_g27_e001 </t>
  </si>
  <si>
    <t>Ilustração de quatro barras do material dourado.</t>
  </si>
  <si>
    <t xml:space="preserve">i0177_4p011m_g27_e001 </t>
  </si>
  <si>
    <t>Ilustração de dois cubinhos do material dourado.</t>
  </si>
  <si>
    <t xml:space="preserve">i0178_4p011m_g27_e001 </t>
  </si>
  <si>
    <t>Ilustração de um ábaco de papel, conforme apresentado na referência a seguir. (As indicações UM, C, D e U devem seguir a cor do projeto). Nesse ábaco de papel deve estar representado o número 2 345. Para isso, compor dois quadradinhos na coluna UM, 3 na C, 4 na D e 5 na U. Os quadrinhos devem ter o interior preenchido com cor e todos devem ter a mesma cor.</t>
  </si>
  <si>
    <t xml:space="preserve">i0180_4p011m_g27_e001 </t>
  </si>
  <si>
    <t xml:space="preserve">Resgatar ilustração ábaco 1969; g23_mdn_lt_4npm_p14; código antigo i0221zz_4pmm_g19_mdn
AJUSTE: representar no ábaco o número 7 009.
</t>
  </si>
  <si>
    <t xml:space="preserve">g0164_4p011m_g27_e001 </t>
  </si>
  <si>
    <t>Ilustração de um pictograma para representar os dados do quadro a seguir.
Tipo de animal         Quantidade de razão (em kg)
Búfalo                                               1 700
Porco                                                1 300
Galinha                                            1 100
O elemento pictórico deve ser sacas de ração. Nesse pictograma, cada saca deve representar 100 kg. Assim, na barra dos búfalos devem aparecer 17 sacas, dos porcos, 13, e das galinhas, 11.</t>
  </si>
  <si>
    <t xml:space="preserve">i0186_4p011m_g27_e001 </t>
  </si>
  <si>
    <t>Ilustração de uma saca de ração usada no pictograma g0164_4p011m para ser aplicada no texto abaixo.</t>
  </si>
  <si>
    <t>Juntou com a g0164_4p011m_g27_e001</t>
  </si>
  <si>
    <t xml:space="preserve">g0153_4p011m_g27_e001 </t>
  </si>
  <si>
    <t xml:space="preserve">Resgatar e ajustar ilustração gráfico de barras verticais altitude de montanhas; g23_mdn_lt_4npm_p22; código antigo gt0217sl_4npm_g23_mdn_aj
AJUSTE: O ajuste consiste em trocar "McKinley" por "Denali" e atualizar os dados das barras e alturas das barras conforme novo valor, com as seguintes informações:
 - Everest: 8 848
- Monte Branco: 4 808
- Denali: 6 194
- Pico da Neblina: 2 994
Além disso, mudar o nome do eixo vertical para "Medida da altitude (em metros)".
</t>
  </si>
  <si>
    <t xml:space="preserve">i0168_4p011m_g27_e001 </t>
  </si>
  <si>
    <t>Ilustração de monitor com planilha eletrônica do padrão da obra. Nessa tela deve haver as seguintes informações.
	    A         	    B
1	Natação	    6
2	Caminhada   8
3	Ciclismo	    6
4	Outros	           5
A seguir é apresenta uma referência, porém com dados frios.</t>
  </si>
  <si>
    <t xml:space="preserve">i0169_4p011m_g27_e001 </t>
  </si>
  <si>
    <t xml:space="preserve">Ilustração do mesmo monitor com planilha eletrônica da imagem i0168_4p011m. Sobre essa planilha, adicionar um gráfico de colunas verticais que represente os dados do seguinte quadro.
Esportes	Quantidade
Natação	          6
Caminhada	 8
Ciclismo	          6
Outros	                  5
O título desse gráfico deve ser: Esporte praticado pelos familiares e colegas de Marcela em outubro de 2026
A seguir é apresenta uma referência, porém com dados frios.
</t>
  </si>
  <si>
    <t>BÁRBARA SARZI/HELOÍSA PINTARELLI/ARQUIVO DA EDITORA</t>
  </si>
  <si>
    <t>i0171_4p011m_g27_e001</t>
  </si>
  <si>
    <t>Ilustração de 1 cubo, 2 placas, 7 barras e 5 cubinhos do material dourado representando o número 1275.</t>
  </si>
  <si>
    <t>i6123_3p011m_g27_e001</t>
  </si>
  <si>
    <t>Ilustração de 66 cubinhos e 16 barras do material dourado. Organizá-los conforme referência.</t>
  </si>
  <si>
    <t>PADRAO</t>
  </si>
  <si>
    <t>i6124_3p011m_g27_e001</t>
  </si>
  <si>
    <t>Ilustração de 36 cubinhos e 4 placas do material dourado. Organizá-los conforme referência.</t>
  </si>
  <si>
    <t>i6125_3p011m_g27_e001</t>
  </si>
  <si>
    <t>Resgatar e ajustar molde do cubo da página 42 do g23_mdn_lt_3npm, código antigo it0409_3pmm_g19_mdn.
AJUSTE: ajustar tamanho de modo que essa imagem e a i6126_3p011m_g27_e001 feche a página. Arte: verificar se está correto o padrão de cor do fio utilizado para dividir essa figura.</t>
  </si>
  <si>
    <t>i6126_3p011m_g27_e001</t>
  </si>
  <si>
    <t>Resgatar e ajustar ilustração de um molde de caixa de creme dental com o interior aberto, da página 43 do g23_mdn_lt_3npm. Código antigo it0415_3pmm_g19_mdn
AJUSTE: deixar como se fosse um molde de um paralelepípedo colocando os fios que dividem a imagem no padrão da obra e aumentar um pouco a largura das abas para que facilite o estudante montar o paralelepípedo deixando as abas do mesmo tamanho das abas do cubo de código antigo it0409_3pmm_g19_mdn (enviada na pasta). Deixar a cor também a mesma da imagem de código antigo it0409_3pmm_g19_mdn (enviada na pasta).
Arte: essa imagem e a i6125_3p011m_g27_e001 devem fechar a página.</t>
  </si>
  <si>
    <t>i6127_3p011m_g27_e001</t>
  </si>
  <si>
    <t>Resgatar e ajustar ilustração de montagem de uma pirâmide, da página 45 do g23_mdn_lt_3npm. Código antigo i0430zz_3pmm_g19_mdn 
AJUSTE: deixar apenas o molde da pirâmide de base quadrada conforme referência a seguir e ampliar para que ocupe a página inteira. Aumentar um pouco a largura das abas para que facilite o estudante montar a pirâmide deixando as abas do mesmo tamanho das abas do cubo de código antigo it0409_3pmm_g19_mdn (enviada na pasta).</t>
  </si>
  <si>
    <t>i6128_3p011m_g27_e001</t>
  </si>
  <si>
    <t>Resgatar e ajustar ilustração de montagem de uma pirâmide de base triangular, da página 57 do g23_mdn_lt_4npm. Código antigo it1032sl_4npm_g23_mdn.
AJUSTE: compor abas nessa pirâmide para o estudante montar (ver ideia no print 1, podendo deixar as abas um pouco mais largas para facilitar o aluno colar) e ampliar de modo que feche a página.</t>
  </si>
  <si>
    <t>i6129_3p011m_g27_e001</t>
  </si>
  <si>
    <t>Resgatar ilustração peças de tangram; g23_mdn_lt_3npm_p231; código antigo i3868sl_3npm_g23_mdn_aj</t>
  </si>
  <si>
    <t>i6130_3p011m_g27_e001</t>
  </si>
  <si>
    <t>Resgatar ilustração peças do tangram; g23_mdn_lt_3npm_p233; código antigo i3869sl_3npm_g23_mdn_aj</t>
  </si>
  <si>
    <t>i6131_3p011m_g27_e001</t>
  </si>
  <si>
    <t>Resgatar e ajustar ilustração quadrados azuis; g23_mdn_lt_3npm-p233; código antigo it2606_3pmm_g19_mdn
AJUSTE: deixar apenas dois quadrados conforme indicado a seguir.</t>
  </si>
  <si>
    <t>i6115_3p011m_g27_e001</t>
  </si>
  <si>
    <t>Resgatar e ajustar ilustração dois triângulos, um roxo e um amarelo; g23_mdn_lt_3npm_p235; código antigo it2607_3pmm_g19_mdn
AJUSTE: reduzir na mesma proporção as imagens da i6115_3p011m_g27_e001 e i6132_3p011m_g27_e001 para fechar a página.</t>
  </si>
  <si>
    <t>i6132_3p011m_g27_e001</t>
  </si>
  <si>
    <t>Resgatar e ajustar ilustração 2 hexágonos, um roxo e um amarelo; g23_mdn_lt_3npm_p235; código antigo it2608_3pmm_g19_mdn
AJUSTE: reduzir na mesma proporção as imagens da i6115_3p011m_g27_e001 e i6132_3p011m_g27_e001 para fechar a página.</t>
  </si>
  <si>
    <t>i6133_3p011m_g27_e001</t>
  </si>
  <si>
    <t>Resgatar ilustração fitas métricas roxas; g23_mdn_lt_3npm_p237; código antigo i2604zz_3pmm_g19_mdn</t>
  </si>
  <si>
    <t>i6134_3p011m_g27_e001</t>
  </si>
  <si>
    <t>Resgatar ilustração molde de peões; g23_mdn_lt_3npm_p239; código antigo i2611sl_3pmm_g19_mdn</t>
  </si>
  <si>
    <t>i6135_3p011m_g27_e001</t>
  </si>
  <si>
    <t>Resgatar ilustração planificação de um dado amarelo; g23_mdn_lt_3npm_p239; código antigo it2610_3pmm_g19_mdn</t>
  </si>
  <si>
    <t xml:space="preserve">i6116_3p011m_g27_e001 </t>
  </si>
  <si>
    <t>O que você 
já aprendeu?</t>
  </si>
  <si>
    <t xml:space="preserve">Resgatar ilustração reta numérica do 0 ao 9999, com quadrinhos resposta; g23_mdn_lt_3npm_p226; código antigo i3823sl_3npm_m23_mdn_aj.
AJUSTE: Excluir números em magenta estiverem da ilustração.
</t>
  </si>
  <si>
    <t xml:space="preserve">i6117_3p011m_g27_e001 </t>
  </si>
  <si>
    <t>Ilustração de uma malha quadriculada com 4 linhas por 12 colunas. Nessa malha, marcar os pontos A e B e indicar, em um dos quadradinhos, que suas dimensões medem 1 cm, conforme ref.</t>
  </si>
  <si>
    <t>mv</t>
  </si>
  <si>
    <t xml:space="preserve">i6120_3p011m_g27_e001 </t>
  </si>
  <si>
    <t>Resgatar ilustração/foto panfleto de oferta de uma poltrona; g23_mdn_lt_3npm_p228; código antigo if1497ri_3npm_m20_mdn. Ajuste: trocar o texto “até 8 prestações de 115 reais sem juro” por “até 4 prestações de 230 reais sem juro”.</t>
  </si>
  <si>
    <t>Como não estava cadastrada como if, tivemos que trocar o código para if6150_3p011m_g27_e001</t>
  </si>
  <si>
    <t xml:space="preserve">i6121_3p011m_g27_e001 </t>
  </si>
  <si>
    <t>Resgatar ilustração relógio digital marcando 12 horas e 15 minutos; g23_mdn_lt_3npm_p228; código antigo i3835zz_3npm_g23_mdn</t>
  </si>
  <si>
    <t xml:space="preserve">i6122_3p011m_g27_e001 </t>
  </si>
  <si>
    <t>Resgatar ilustração relógio digital marcando 14 horas e 15 minutos; g23_mdn_lt_3npm_p228; código antigo i3836zz_3npm_g23_mdn</t>
  </si>
  <si>
    <t xml:space="preserve">i1579_3p011m_g27_e001 </t>
  </si>
  <si>
    <t>Ilustração de um ábaco de papel com as ordens das dezenas e das unidades (usar D e U na mesma cor do projeto). Nesse ábaco, deve estar indicado o número 48, com peças (quadradinhos, todos com o interior preenchido e de mesma cor): 4 na ordem das dezenas e 8 na ordem das unidades, conforme ref. (usar a mesma cor já usada na i0178_4p011m_g27_e001 e fazer no mesmo padrão)</t>
  </si>
  <si>
    <t xml:space="preserve">i1580_3p011m_g27_e001 </t>
  </si>
  <si>
    <t>Ilustração do mesmo ábaco de papel da i1579_3p011m. Porém, nesse, as peças da ordem das dezenas devem estar divididas em 4 grupos, conforme ref. Para formar os grupos, compor linhas tracejadas horizontais, conforme referência.</t>
  </si>
  <si>
    <t xml:space="preserve">i1581_3p011m_g27_e001 </t>
  </si>
  <si>
    <t>Ilustração do mesmo ábaco de papel da i1580_3p011m. Porém, nesse, as peças da ordem das unidades também devem estar divididas em 4 grupos, conforme ref. Para formar os grupos, compor linhas tracejadas horizontais.</t>
  </si>
  <si>
    <t xml:space="preserve">i1582_3p011m_g27_e001 </t>
  </si>
  <si>
    <t>Ilustração de um ábaco de papel com as ordens das centenas, dezenas e das unidades (usar C, D e U na mesma cor do projeto). Nesse ábaco, deve estar indicado o número 189, com peças (quadradinhos, todos com o interior preenchido e de mesma cor):1 na ordem das centenas, 8 na ordem das dezenas e 9 na ordem das unidades, conforme ref. (usar a mesma cor já usada na i0178_4p011m_g27_e001 e fazer no mesmo padrão)</t>
  </si>
  <si>
    <t>INGRIDHI BORGES/ARQUIVO DA EDITORA</t>
  </si>
  <si>
    <t xml:space="preserve">i1583_3p011m_g27_e001 </t>
  </si>
  <si>
    <t>Ilustração do mesmo ábaco de papel da i1582_3p011m, porém, com 18 peças na ordem das dezenas e 9 na ordem das unidades, conforme ref.</t>
  </si>
  <si>
    <t xml:space="preserve">i1584_3p011m_g27_e001 </t>
  </si>
  <si>
    <t>Ilustração do mesmo ábaco de papel da i1583_3p011m, porém, com as 18 peças da ordem das dezenas divididas em 9 grupos, conforme ref. Para compor os grupos usar linhas horizontais tracejadas.</t>
  </si>
  <si>
    <t xml:space="preserve">i1585_3p011m_g27_e001 </t>
  </si>
  <si>
    <t>Ilustração do mesmo ábaco de papel da i1584_3p011m, porém, com as 9 peças da ordem das unidades também divididas em 9 grupos, conforme ref. Para compor os grupos usar linhas horizontais tracejadas</t>
  </si>
  <si>
    <t>i6152_2p011m_g27_e001</t>
  </si>
  <si>
    <t>Ilustração de um ábaco de papel. Deve ser um quadro, dividido em três colunas, unidade, dezena e centena (As indicações UM, C, D e U devem seguir a cor do projeto usadas no quadro de ordens ou do ábaco. Usar a mesma cor já usada na i0178_4p011m_g27_e001 e fazer no mesmo padrão. A imagem deve ocupar a página toda. Ver referência.
ARTE: Se achar necessário, criar um padrão para esse ábaco de papel até a ordem das Dezenas de milhar, pois será usado várias vezes em todos os volumes da coleção.</t>
  </si>
  <si>
    <t>i6153_2p011m_g27_e001</t>
  </si>
  <si>
    <t>Ilustração de 45 quadradinhos para serem usados no ábaco de papel da i6152_2p011m_g27_e001 de modo de caixa dentro das divisões de Centena, Dezena e Unidade. Usar a mesma cor já usada na i0178_4p011m_g27_e001 e fazer no mesmo padrão. Ver referência. Fazer de modo que essa imagem e a i6119_2p011m fechem essa página.</t>
  </si>
  <si>
    <t>i6206_1p011m_g27_e001</t>
  </si>
  <si>
    <t>Resgatar ilustração de reta numérica para o estudante completar da página 157-MP do g23_mdn_mp_1npm. Código antigo it3411sl_1npm_g23_mdn</t>
  </si>
  <si>
    <t>i6207_1p011m_g27_e001</t>
  </si>
  <si>
    <t>Resgatar ilustração de 1 moeda de 1 centavo, 1 moeda de 5 centavos e 1 moeda de 10 centavos da página 162-MP do g23_mdn_mp_1npm. Código antigo i3412_1npm_g23_mdn_re</t>
  </si>
  <si>
    <t>i6210_1p011m_g27_e001</t>
  </si>
  <si>
    <t>Resgatar ilustração i1443mk_1npm_g23_mdn_aj (código antigo). Ajuste para trocar a cor resposta (magenta) por uma outra cor, pois como o MP já é para o professor, não precisará ficar na cor resposta.
Deixar em tamanho reduzido, com a altura medindo no máximo 4 cm, pois vai entrar no MPU.</t>
  </si>
  <si>
    <t>i6211_1p011m_g27_e001</t>
  </si>
  <si>
    <t>resgatar ilustração de papel com dobras veio do g23_mdn_mp_1npm_p128 codigo antigo it3404_1npm_g23_mdn_re</t>
  </si>
  <si>
    <t>i6212_1p011m_g27_e001</t>
  </si>
  <si>
    <t>resgatar ilustração de papel com as dobraduras veio do g23_mdn_mp_1npm_p128 codigo antigo it3405_1npm_g23_mdn_re</t>
  </si>
  <si>
    <t>i1577_3p011m_g27_e001</t>
  </si>
  <si>
    <t>Ilustração de uma menina negra de aproximadamente 10 anos escovando os dentes. A torneira deve estar fechada.
ARTE: verificar se é melhor ilustrar as imagens i1577 e i1578 uma abaixo da outra ou uma ao lado da outra.</t>
  </si>
  <si>
    <t>Rafe: 14/07
Final: 21/07</t>
  </si>
  <si>
    <t>i1578_3p011m_g27_e001</t>
  </si>
  <si>
    <t>Ilustração de um menino oriental de aproximadamente 10 anos tomando banho com o chuveiro fechado. No momento da ilustração ele deve estar se ensaboando. Ilustrar do ombro para cima, para que não mostre o corpo do menino.</t>
  </si>
  <si>
    <t>i1586_3p011m_g27_e001</t>
  </si>
  <si>
    <t>Ilustração de um cesto cheio de roupas ao lado de uma máquina de lavar roupas. Nessa cena, um homem branco, loiro, de aproximadamente 35 anos, deve estar pegando roupas do cesto e colocando na máquina de lavar roupas. Essa ilustração tem o objetivo de representar a ação de esperar juntar uma quantidade de roupas suficiente para lavar.
ARTE: verificar se é melhor ilustrar as imagens i1586 e i1587 uma abaixo da outra ou uma ao lado da outra.</t>
  </si>
  <si>
    <t>i1587_3p011m_g27_e001</t>
  </si>
  <si>
    <t>Ilustração de uma cisterna simples que faz captação de água da chuva. Legal ilustrar um momento que está chovendo, conforme referência. A ilustração não precisa ser transparente, pois não vamos explicar o funcionamento da cisterna, vamos apenas ilustrar uma forma de reaproveitar água da chuva</t>
  </si>
  <si>
    <t xml:space="preserve">i0540_4p011m_g27_e001 </t>
  </si>
  <si>
    <t xml:space="preserve">Ilustração de um ábaco de papel com as ordens de U a DM (com a mesma cor do padrão), conforme ref. Nele, indicar 2 quadradinhos em U, 9 em D, 4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</si>
  <si>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i0541_4p011m_g27_e001 </t>
  </si>
  <si>
    <t xml:space="preserve">Ilustração de um ábaco de papel com as ordens de U a DM (com a mesma cor do padrão), conforme ref. Nele, indicar 11 quadradinhos em U, 9 em D, 4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</si>
  <si>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i0542_4p011m_g27_e001 </t>
  </si>
  <si>
    <t xml:space="preserve">Ilustração de um ábaco de papel com as ordens de U a DM (com a mesma cor do padrão), conforme ref. Nele, indicar 1 quadradinho em U, 10 em D, 4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</si>
  <si>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i0543_4p011m_g27_e001 </t>
  </si>
  <si>
    <t xml:space="preserve">Ilustração de um ábaco de papel com as ordens de U a DM (com a mesma cor do padrão), conforme ref. Nele, indicar 1 quadradinho em U, 12 em D, 4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</si>
  <si>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i0544_4p011m_g27_e001 </t>
  </si>
  <si>
    <t xml:space="preserve">Ilustração de um ábaco de papel com as ordens de U a DM (com a mesma cor do padrão), conforme ref. Nele, indicar 1 quadradinho em U, 2 em D, 5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</si>
  <si>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i0545_4p011m_g27_e001 </t>
  </si>
  <si>
    <t xml:space="preserve">Ilustração de um ábaco de papel com as ordens de U a DM (com a mesma cor do padrão), conforme ref. Nele, indicar 1 quadradinho em U, 2 em D, 8 em C, 6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</si>
  <si>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i0546_4p011m_g27_e001 </t>
  </si>
  <si>
    <t xml:space="preserve">Ilustração de um ábaco de papel com as ordens de U a DM (com a mesma cor do padrão), conforme ref. Nele, indicar 1 quadradinho em U, 2 em D, 8 em C, 14 em UM e 3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</si>
  <si>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i0547_4p011m_g27_e001 </t>
  </si>
  <si>
    <t xml:space="preserve">Ilustração de um ábaco de papel com as ordens de U a DM (com a mesma cor do padrão), conforme ref. Nele, indicar 1 quadradinho em U, 2 em D, 8 em C, 4 em UM e 4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</si>
  <si>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i0548_4p011m_g27_e001 </t>
  </si>
  <si>
    <t xml:space="preserve">Ilustração de um ábaco de papel com as ordens de U a DM (com a mesma cor do padrão), conforme ref. Nele, indicar 1 quadradinho em U, 2 em D, 8 em C, 4 em UM e 7 em DM.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</si>
  <si>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g0555_4p011m_g27_e001</t>
  </si>
  <si>
    <t xml:space="preserve">Compor gráfico de barras verticais para representar os dados do quadro a seguir.
Posto de coleta	Quantidade (em quilogramas)
A	1 210
B	1 190
C	1 260
D	1 120
No gráfico, A, B, C e D devem estar em bold.
</t>
  </si>
  <si>
    <t xml:space="preserve">i0558_4p011m_g27_e001 </t>
  </si>
  <si>
    <t xml:space="preserve">Ilustração de um ábaco de papel com as ordens de U a UM (com a mesma cor do padrão), conforme ref. Nele, indicar 4 quadradinhos em U, 8 em D, 1 em C e 2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</si>
  <si>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i0559_4p011m_g27_e001 </t>
  </si>
  <si>
    <t xml:space="preserve">Ilustração de um ábaco de papel com as ordens de U a UM (com a mesma cor do padrão), conforme ref. Nele, indicar 14 quadradinhos em U, 7 em D, 1 em C e 2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</si>
  <si>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 xml:space="preserve">i0560_4p011m_g27_e001 </t>
  </si>
  <si>
    <t xml:space="preserve">Ilustração de um ábaco de papel com as ordens de U a UM (com a mesma cor do padrão), conforme ref. Nele, indicar 9 quadradinhos em U, 7 em D, 1 em C e 2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</si>
  <si>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i0561_4p011m_g27_e001</t>
  </si>
  <si>
    <t xml:space="preserve">Ilustração de um ábaco de papel com as ordens de U a UM (com a mesma cor do padrão), conforme ref. Nele, indicar 9 quadradinhos em U, 1 em D, 1 em C e 2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</si>
  <si>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i0562_4p011m_g27_e001</t>
  </si>
  <si>
    <t xml:space="preserve">Ilustração de um ábaco de papel com as ordens de U a UM (com a mesma cor do padrão), conforme ref. Nele, indicar 9 quadradinhos em U, 1 em D, 11 em C e 1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</si>
  <si>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i0563_4p011m_g27_e001</t>
  </si>
  <si>
    <t xml:space="preserve">Ilustração de um ábaco de papel com as ordens de U a DM (com a mesma cor do padrão), conforme ref. Nele, indicar 9 quadradinhos em U, 1 em D, 2 em C e 1 em UM.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</si>
  <si>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i0564_4p011m_g27_e001</t>
  </si>
  <si>
    <t xml:space="preserve">Ilustração de um ábaco de papel com as ordens de U a UM (com a mesma cor do padrão), conforme ref. Nele, indicar 9 quadradinhos em U, 1 em D e 2 em C. Os quadradinhos devem ter o interior preenchido e todos devem ter a mesma cor.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
</t>
  </si>
  <si>
    <t>i0188_4p011m_g27_e001</t>
  </si>
  <si>
    <t>Resgatar ilustração de avós lendo com seu neto do g23_lt_4npm, página 18. Código antigo i0227so_4npm_m20_mdn_re
AJUSTE: diminuir a ilustração deixando conforme print a seguir (não deve ter sangra).</t>
  </si>
  <si>
    <t>i0189_4p011m_g27_e001</t>
  </si>
  <si>
    <t>Ilustração de uma menina branca, de aproximadamente 10 anos, acompanhada de seu pai, de aproximadamente 45 anos, conversando com uma mulher idosa negra, junto ao portão e na frente da casa da mulher, em um ambiente ao ar livre. As pessoas ilustradas devem estar com expressões de atenção e carinho. A menina e o pai escutam com atenção.
Arte: verificar se é possível aproveitar a imagem de código antigo i0633so_1npm_m20_mdn_re (enviada na pasta) para compor o pai com a criança e deixar a mulher que está entrando no ônibus como a mulher negra idosa de frente para pai e filho e mudar apenas o cenário de fundo conforme descrito acima.
ARTE: caso não seja possível aproveitar a imagem sugerida acima, enviar pra Silvia Otofugi ilustrar para ficar no mesmo traço da i0188_4p011m_g27_e001.</t>
  </si>
  <si>
    <t>RAFE: 18/07
FINAL: 24/07</t>
  </si>
  <si>
    <t>i6154_2p011m_g27_e001</t>
  </si>
  <si>
    <t>Ilustração de fichas com os números 0; 1; 2; 3; 4; 000; 100; 200; 300; 400; 00; 10; 20; 30; 40.
Compor as fichas com um único número (verdes) com o mesmo tom de verde usado em U de unidades no projeto; as fichas com três números (azuis) com o mesmo tom de azul usado em C de centenas do projeto; e as fichas com dois números (vermelhas) com o mesmo tom de vermelho usado em D de dezenas do projeto.
As fichas não precisam ser quadradas, porém as dimensões das fichas devem ser as mesmas, pois os estudantes vão sobrepor elas. Deixar de tamanho que ocupem essa página do material complementar.
Arte: o tracejado para recorte será um pra cada ficha verde, um para cada 3 fichas azuis e um para cada 2 fichas vermelhas.</t>
  </si>
  <si>
    <t>i6155_2p011m_g27_e001</t>
  </si>
  <si>
    <t>Ilustração de fichas com os números 5; 6; 7; 8; 9; 5; 500; 600; 700; 800; 900; 50; 60; 70; 80; 90.
Compor as fichas com um único número (verdes) com o mesmo tom de verde usado em U de unidades no projeto; as fichas com três números (azuis) com o mesmo tom de azul usado em C de centenas do projeto; e as fichas com dois números (vermelhas) com o mesmo tom de vermelho usado em D de dezenas do projeto.
As fichas não precisam ser quadradas, porém as dimensões das fichas devem ser as mesmas, pois os estudantes vão sobrepor elas. Deixar de tamanho que ocupem essa página do material complementar.
Arte: o tracejado para recorte será um pra cada ficha verde, um para cada 3 fichas azuis e um para cada 2 fichas vermelhas.</t>
  </si>
  <si>
    <t>i6156_2p011m_g27_e001</t>
  </si>
  <si>
    <t>Resgatar e ajustar ilustração dos palitos do g23_mdn_lt_2npm_p221 código antigo i3445zz_2npm_g23_mdn_aj</t>
  </si>
  <si>
    <t>i6157_2p011m_g27_e001</t>
  </si>
  <si>
    <t>Resgatar e ajustar ilustração do tangram do g23_mdn_lt_2npm_p221 código antigo it2605_2pmm_g19_mdn</t>
  </si>
  <si>
    <t>i6158_2p011m_g27_e001</t>
  </si>
  <si>
    <t>Resgatar ilustração dos dominós do g23_mdn_lt_2npm_p223 código antigo i2607zz_2pmm_g19_mdn</t>
  </si>
  <si>
    <t xml:space="preserve">i0712_4p011m_g27_e001 </t>
  </si>
  <si>
    <t xml:space="preserve">Resgatar ilustração menina fazendo traços em papéis rosa e azul; g23_mdn_lt_4npm_p80; código antigo i1097za_4pmm_g19_mdn
AJUSTE: ilustrar o corpo completo da menina e não sangrar na página. Além disso, rotacionar a figura para que a menina fique na horizontal. Ver referência a seguir.
</t>
  </si>
  <si>
    <t xml:space="preserve">i0802_4p011m_g27_e001 </t>
  </si>
  <si>
    <t>Ilustração de dois pontos (A e B), conforme ref.</t>
  </si>
  <si>
    <t>nf</t>
  </si>
  <si>
    <t>i0784_4p011m_g27_e001</t>
  </si>
  <si>
    <t xml:space="preserve">Resgatar ilustração ícones de estabelecimentos; g23_mdn_lt_4npm_p93; código antigo i1087ri_4pmm_g19_mdn
AJUSTE: remover ícone e nome da Sorveteria readequando espaçamento.
</t>
  </si>
  <si>
    <t>i0800_4p011m_g27_e001</t>
  </si>
  <si>
    <t>il. do mapa de parte de um bairro com as ruas Cravo, Jasmim, Rosa, Tulipa, Margarida. Resgatar do m20_mdn_It_4npm_cad_ativ_u5_p036a041 código i2541zz_4npm_m20_mdn</t>
  </si>
  <si>
    <t>i0323_2p011m_g27_e001</t>
  </si>
  <si>
    <t>Il. de um ábaco de papel no padrão da obra representando o número 16. Ver referência.
Arte: Usar o mesmo padrão das que já foram produzidas para o Material complementar com os códigos i6152zz_2p011m_g27_e001 e i6153ib_2p011m_g27_e001. Usar tamanho menor para o quadro, as colunas podem variar de tamanho e os quadradinhos ver com a Ingridhi que tamanho ficou no 3P011M e deixar do mesmo tamanho.</t>
  </si>
  <si>
    <t>i0202_1p011m_g27_e001</t>
  </si>
  <si>
    <t>Ilustração de uma cena com um quintal, que tenha duas árvores. O importante na cena é que uma árvore tenha o tronco bem grosso e a outra tenha o tronco bem fino (ver um esboço no print em anexo nesta página.).
A cena pode ter outros elementos, mas deve ser facilmente identificável que é o quintal de uma casa.
O tronco das duas árvores não deve estar colorido. O restante da imagem pode ser colorido.
Para que seja possível orientar a resposta, posicionar a árvore de tronco mais fino perto de um arbusto florido e posicionar a árvore de tronco mais grosso perto de um portão (pois vamos usar essas informações na resposta). Fazer as árvores no mesmo plano.</t>
  </si>
  <si>
    <t>FINAL: 10/07</t>
  </si>
  <si>
    <t>i5701_1p011m_g27_e001</t>
  </si>
  <si>
    <t>ilustração de 6 palitos do padrão do mesmo tamanho e disposição dos palitos da i0304_1p011m ao lado</t>
  </si>
  <si>
    <t>i0578_2p011m_g27_e001</t>
  </si>
  <si>
    <t>Ilustração de ábaco de papel do padrão com 1 quadradinho na dezena e 4 quadradinhos na unidades conforme referência a seguir.</t>
  </si>
  <si>
    <t>i0579_2p011m_g27_e001</t>
  </si>
  <si>
    <t>Ilustração de ábaco de papel do padrão com 2 quadradinhos na dezena e 6 quadradinhos na unidades conforme referência a seguir.</t>
  </si>
  <si>
    <t>i0580_2p011m_g27_e001</t>
  </si>
  <si>
    <t>Ilustração de ábaco de papel do padrão com 1 quadradinho na dezena e 5 quadradinhos na unidades conforme referência a seguir.</t>
  </si>
  <si>
    <t>i0581_2p011m_g27_e001</t>
  </si>
  <si>
    <t>Ilustração de ábaco de papel do padrão com 2 quadradinhos na dezena e 11 quadradinhos na unidades conforme referência a seguir.</t>
  </si>
  <si>
    <t>i0582_2p011m_g27_e001</t>
  </si>
  <si>
    <t>Ilustração de ábaco de papel do padrão com 3 quadradinhos na dezena e 11 quadradinhos na unidades conforme referência a seguir.</t>
  </si>
  <si>
    <t>i0583_2p011m_g27_e001</t>
  </si>
  <si>
    <t>Ilustração de ábaco de papel do padrão com 3 quadradinhos na dezena e 1 quadradinho na unidades conforme referência a seguir.</t>
  </si>
  <si>
    <t>i0584_2p011m_g27_e001</t>
  </si>
  <si>
    <t>Ilustração de ábaco de papel do padrão com 5 quadradinhos na dezena e 8 quadradinhos na unidades conforme referência a seguir.</t>
  </si>
  <si>
    <t>i0585_2p011m_g27_e001</t>
  </si>
  <si>
    <t>Ilustração de ábaco de papel do padrão com 1 quadradinho na dezena e 3 quadradinhos na unidades conforme referência a seguir.</t>
  </si>
  <si>
    <t>i5702_1p011m_g27_e001</t>
  </si>
  <si>
    <t>Resgatar ilustração de um caderno com horários e atividades em um dia da página 216-MP do g23_mdn_mp_1npm. Código antigo i3423_1npm_g23_mdn_re</t>
  </si>
  <si>
    <t>Virou caderno e texto do projeto gráfico.</t>
  </si>
  <si>
    <t>i5703_1p011m_g27_e001</t>
  </si>
  <si>
    <t xml:space="preserve">Resgatar ilustração de um quadro com suporte de bolso para cada dia da semana da página 217-MP do g23_mdn_mp_1npm. Código antigo
i3424_1npm_g23_mdn_re 
</t>
  </si>
  <si>
    <t>i5704_1p011m_g27_e001</t>
  </si>
  <si>
    <t>Resgatar ilustração de somas em um mosaico. Veio de: g23_mdn_mp_1npm_p195. Código antigo: it3406_1npm_g23_mdn_re</t>
  </si>
  <si>
    <t xml:space="preserve">i0973_4p011m_g27_e001 </t>
  </si>
  <si>
    <t xml:space="preserve">Ilustração de parte de um cardápio. Nele, indicar três tipos de salgado e três tipos de bebidas, todos com os respectivos preços, conforme indicado a seguir.
Salgados
Pão de queijo – R$ 7,00
Empada – R$ 9,00
Esfirra – 8,00
Bebidas
Água – R$ 3,00
Suco – R$ 7,00
Café – R$ 5,00
</t>
  </si>
  <si>
    <t>FINAL: 18/07</t>
  </si>
  <si>
    <t xml:space="preserve">i0958_4p011m_g27_e001 </t>
  </si>
  <si>
    <t>Ilustração de uma malha quadriculada de 4 por 8. Nela, deve-se representar um retângulo formado por 12 quadradinhos (2 linhas com 6 quadradinhos cada)</t>
  </si>
  <si>
    <t xml:space="preserve">i0959_4p011m_g27_e001 </t>
  </si>
  <si>
    <t>Ilustração de uma malha quadriculada de 8 por 3. Deixar com quadradinhos do mesmo tamanho da i0958_4p011m</t>
  </si>
  <si>
    <t xml:space="preserve">i0960_4p011m_g27_e001 </t>
  </si>
  <si>
    <t xml:space="preserve">Ilustração de um ábaco de papel do padrão de ilustrações com C, D e U, com as mesmas cores do projeto gráfico . Nele, vamos representar o número 327, três vezes. Para isso, vamos separar as representações por um fio tracejado, conforme ref. Além disso, compor cotas indicando o que representa cada grupo (1ª apresentação, 2ª apresentação e 3º apresentação) conforme referência. </t>
  </si>
  <si>
    <t xml:space="preserve">i0963_4p011m_g27_e001 </t>
  </si>
  <si>
    <t>Ilustração de um ábaco de papel do padrão de ilustrações com C, D e U, com as mesmas cores do projeto gráfico. Nele, indicar 9 peças na ordem das Centenas, 6 na das Dezenas e 21 na das Unidades.</t>
  </si>
  <si>
    <t xml:space="preserve">i0964_4p011m_g27_e001 </t>
  </si>
  <si>
    <t>Ilustração de um ábaco de papel do padrão de ilustrações com C, D e U, com as mesmas cores do projeto gráfico. Nele, indicar o número 981.</t>
  </si>
  <si>
    <t xml:space="preserve">i0919_4p011m_g27_e001 </t>
  </si>
  <si>
    <t xml:space="preserve">Resgatar ilustração de uma garota em frente a um balconista de uma confeitaria; em g23_mdn_lt_4npm_p106_u6 código i1216za_4pmm_g19_mdn.
AJUSTE: Trocar os bolos por tortas conforme sabores indicado a seguir, deixar apenas 3 tortas no lugar do s 3 bolos e cropar imagem conforme referência e atualizar as informações em giz na lousa. As novas informações são:
SABOR DE TORTA         	PREÇO/kg
FRANGO	R$ 82,00
PALMITO	R$ 86,00
CHAMPIGNON COM ALHO PORÓ	R$ 92,00
CAMARÃO	R$ 108,00
QUEIJO	R$ 95,00
</t>
  </si>
  <si>
    <t xml:space="preserve">i0966_4p011m_g27_e001 </t>
  </si>
  <si>
    <t>Il. de uma malha quadriculada de 0,5 cm com 13 linhas e 22 colunas. Dividir essa malha em 4 retângulos coloridos menores: um formado por 10 linhas com 20 quadradinhos cada uma; outro formado por 3 linhas com 20 quadradinhos cada uma; outro formado por 10 linhas com 2 quadradinhos; e, finalmente, um formado por 3 linhas com 2 quadradinhos cada uma. Compor cotas indicando as dimensões da malha (13 e 22) e as decomposições (10, 3, 20 e 2), conforme referência.</t>
  </si>
  <si>
    <t xml:space="preserve">i0954_4p011m_g27_e001 </t>
  </si>
  <si>
    <t>Il. um quadrado, somente fio, dividido em 4 quadrados menores e cada um dividido em sua diagonal. Registrar os números 2, 8, 2 e 7 fora do quadrado, conforme referência.</t>
  </si>
  <si>
    <t xml:space="preserve">i0955_4p011m_g27_e001 </t>
  </si>
  <si>
    <t>Il. do quadrado da i0954_4p011m. Acrescentar os números 0 e 4 no primeiro quadradinho, conforme referência.</t>
  </si>
  <si>
    <t xml:space="preserve">i0956_4p011m_g27_e001 </t>
  </si>
  <si>
    <t>Il. um quadrado da i0955_4p011m. Acrescentar os números 1, 6, 1, 4, 5, 6, conforme referência.</t>
  </si>
  <si>
    <t xml:space="preserve">i0957_4p011m_g27_e001 </t>
  </si>
  <si>
    <t>Il. do quadrado da i0956_4p011m. Acrescentar os números 0, 7, 5, e 6 na lateral do quadrado maior. Colorir as diagonais, em verde, vermelho azul e alaranjado. Conforme referência.</t>
  </si>
  <si>
    <t xml:space="preserve">i0929_4p011m_g27_e001 </t>
  </si>
  <si>
    <t>Resgatar ilustração de um catálogo de viagem de turismo; disponível em g23_mdn_lt_4npm_p113_u6 código i1230zz_4pmm_g19_mdn</t>
  </si>
  <si>
    <t xml:space="preserve">i0930_4p011m_g27_e001 </t>
  </si>
  <si>
    <t>Resgatar ilustração de diferentes produtos à venda; disponível em g23_mdn_lt_4npm_p113_u6 código i2212gn_4npm_g23_mdn_aj</t>
  </si>
  <si>
    <t xml:space="preserve">i0936_4p011m_g27_e001 </t>
  </si>
  <si>
    <t xml:space="preserve">Resgatar ilustração de um catálogo de propagandas de móveis para casa; disponível em; g23_mdn_lt_4npm_p119_u6 codigo i1405so_4pmm_g19_mdn
AJUSTE: remover os braços e deixar apenas o tablet (não sangrar na página) e deixar o tamanho do tablet de modo que ocupe a página toda.
</t>
  </si>
  <si>
    <t xml:space="preserve">i0967_4p011m_g27_e001 </t>
  </si>
  <si>
    <t>Ilustração de um ábaco de papel do padrão de ilustrações com as ordens das centenas, das dezenas e das unidades (usar C, D e U na mesma cor do projeto). Nesse ábaco, deve estar indicado o número 435, com peças (quadradinhos, todos com o interior preenchido e de mesma cor): 3 na ordem das centenas, 4 na ordem das dezenas e 5 na ordem das unidades, conforme ref. (usar a mesma cor já usada na i0178_4p011m_g27_e001 e fazer no mesmo padrão).</t>
  </si>
  <si>
    <t xml:space="preserve">i0968_4p011m_g27_e001 </t>
  </si>
  <si>
    <t>Ilustração do mesmo ábaco de papel do padrão de ilustrações sendo o mesmo da i0967_4p011m. Porém, nesse, as peças da ordem das centenas devem estar divididas em 3 grupos, conforme ref. Para formar os grupos, compor linhas tracejadas horizontais, conforme referência.</t>
  </si>
  <si>
    <t xml:space="preserve">i0969_4p011m_g27_e001 </t>
  </si>
  <si>
    <t>Ilustração do mesmo ábaco de papel do padrão de ilustrações sendo o mesmo da i0968_4p011m. Porém, nesse, as peças da ordem das dezenas também devem estar divididas em 3 grupos, conforme ref. Para formar os grupos, compor linhas tracejadas horizontais. Nesse caso, sobra uma peça. Ela deve estar posicionada fora do ábaco, abaixo da ordem das dezenas, conforme ref.</t>
  </si>
  <si>
    <t>Ilustração do mesmo ábaco de papel do padrão de ilustrações sendo o mesmo da i0969_4p011m. Porém, nesse, a peça que estava fora deve ser retirada e deve-se adicionar 10 peças na ordem das unidades, conforme ref.</t>
  </si>
  <si>
    <t>Ilustração do mesmo ábaco de papel do padrão de ilustrações sendo o mesmo da i0974_4p011m. Porém, nesse, as peças da ordem das unidades também devem estar divididas em 3 grupos, conforme ref. Para formar os grupos, compor linhas tracejadas horizontais.</t>
  </si>
  <si>
    <t xml:space="preserve">i0937_4p011m_g27_e001 </t>
  </si>
  <si>
    <t>Resgatar ilustração de um cartaz de um circo com a figura de um palhaço; disponível em; g23_mdn_lt_4npm_p121_u6 codigo i1406so_4pmm_g19_mdn_ef</t>
  </si>
  <si>
    <t xml:space="preserve">i0971_4p011m_g27_e001 </t>
  </si>
  <si>
    <t>Inserir ilustração do quadrado com os números representando a multiplicação 15×21. Usar mesma base da i0954_4p011m_g27_e001 (produzida nessa unidade)</t>
  </si>
  <si>
    <t xml:space="preserve">i1123_4p011m_g27_e001 </t>
  </si>
  <si>
    <t xml:space="preserve">Resgatar ilustração estrada, carro, viagem; g23_mdn_lt_4npm_p146; código antigo i1635za_4pmm_g19_mdn.
AJUSTE: cortar imagem conforme apresentado na referência a seguir feita na leitura prévia da Arte, ajustar acabamento na imagem de forma não sangre na página e não atrapalha o texto, ficando dentro do grid.
</t>
  </si>
  <si>
    <t>m1150_4p011m_g27_e001</t>
  </si>
  <si>
    <t xml:space="preserve">Resgatar ilustração de mapa percurso de Florianópolis (SC) até Vitória (ES) do g23_mdn_lt_4npm_p149, código antigo m1619pr_4pmm_g19_mdn
AJUSTE: separar o mapa e o mapa de localização em A e B e retirar fio branco que está sobrando para fora do mapa.
</t>
  </si>
  <si>
    <t>i1152_4p011m_g27_e001</t>
  </si>
  <si>
    <t>Ilustração de um triângulo com lados medindo 3 cm, 2 cm e 4 cm.</t>
  </si>
  <si>
    <t>g6213_5p011m_g27_e001</t>
  </si>
  <si>
    <t>Ilustração de um gráfico de colunas verticais com os dados do quadro a seguir. Eixo horizontal: “Brincadeira” e vertical “Quantidade de votos”. Eixo vertical de 5 em 5, de 0 a 40.
Brincadeira	Quantidade de votos
Pular corda	10; Dança das cadeiras	30; Estoura-bexiga	21; Torta na cara	39</t>
  </si>
  <si>
    <t>i9999_4p011m_g27_e001</t>
  </si>
  <si>
    <t>teste Junior Dias</t>
  </si>
  <si>
    <t>i1604_4p011m_g27_e001</t>
  </si>
  <si>
    <t>Ilustração da bandeira da República Tcheca</t>
  </si>
  <si>
    <t>yp</t>
  </si>
  <si>
    <t>KEITHY MOSTACHI/ARQUIVO DA EDITORA</t>
  </si>
  <si>
    <t>i1605_4p011m_g27_e001</t>
  </si>
  <si>
    <t>Ilustração da bandeira de Bahamas</t>
  </si>
  <si>
    <t>i1606_4p011m_g27_e001</t>
  </si>
  <si>
    <t>Ilustração de um heptágono, em que os vértices dele estão interligados entre si. 
Tomar como referência o i1538_4p1011m_g27_e001. Não nomear os vértices, 
seguir o padrão de cores da il.1538, código antigo it1832_4pmm_g19_mdn (enviada na pasta).</t>
  </si>
  <si>
    <t>i1607_4p011m_g27_e001</t>
  </si>
  <si>
    <t>Resgatar ilustração de uma menina branca de cabelos negros, lisos e compridos, vestindo um uniforme escolar, destacando uma malha quadriculada de um papel. Veio do Pitanguá Mercado 4npm_m20_mdn_lt, página 180, código antigo: i1908Aso_4npm_m20_mdn_ly.psd
AJUSTE: retirar a parte branca da folha, deixando apenas a folha que tem a malha quadriculada e deixar a mão da menina como se estivesse segurando essa malha.</t>
  </si>
  <si>
    <t>i1608_4p011m_g27_e001</t>
  </si>
  <si>
    <t>Resgatar ilustração de menina (a mesma da i1607_4p011m) desenhando na malha quadriculada, com o auxílio de uma régua. Veio do Pitanguá Mercado 4npm_m20_mdn_lt, página 180, código antigo: i1908Dso_4npm_m20_mdn_ly.psd
AJUSTE: completar a imagem da menina de modos que ocupe mais espaço horizontal, para preencher melhor a mancha. (ver a imagem de código antigo i1908Bso_4npm_m20_mdn_ly.psd (enviada na pasta) e deixar semelhante) .</t>
  </si>
  <si>
    <t>i1609_4p011m_g27_e001</t>
  </si>
  <si>
    <t>Resgatar ilustração de menina (a mesma da 1607_4p011m_g27_e001) recortando as figuras desenhadas na malha quadriculada. Veio do Pitanguá Mercado 4npm_m20_mdn_lt, página 181, código antigo: i1908Cso_4npm_m20_mdn_ly.psd
AJUSTE: completar a imagem da menina de modos que ocupe mais espaço horizontal, para preencher melhor a mancha (ver a imagem de código antigo i1908Bso_4npm_m20_mdn_ly.psd (enviada na pasta) e deixar semelhante) .</t>
  </si>
  <si>
    <t>i1610_4p011m_g27_e001</t>
  </si>
  <si>
    <t>Resgatar ilustração de menina (a mesma da 1607_4p011m_g27_e001) pintando com 
lápis de cores coloridos as peças/figuras recortadas da malha quadriculada. 
Veio do Pitanguá Mercado Mercado4npm_m20_mdn_lt, página 181, código antigo: i1908Bso_4npm_m20_mdn_ly.psd</t>
  </si>
  <si>
    <t>i1611_4p011m_g27_e001</t>
  </si>
  <si>
    <t>Resgatar ilustração de carteira com um gato feito com as peças do tangram do Pitanguá Mercado 4npm_m20_mdn_lt, página 181, código antigo: i1908Eso_4npm_m20_mdn_ly.psd.
AJUSTE: compor além da carteira com o gato feito com as peças do tangram mais 3 carteiras com imagens sobre elas que são: em uma carteira um homem (código antigo: i1834sl_4pmm_g19_mdn); na outra uma casa (código antigo: i1837sl_4pmm_g19_mdn); e na outra um abajur (i1836sl_4pmm_g19_mdn). Essas imagens devem ser resgatadas conforme o código antigo indicado e ajustadas para que tenham o quadriculado e as mesmas cores das peças do tangram que foi construído o gato de código antigo i1908Bso_4npm_m20_mdn_ly.psd.
Além disso, em todas elas devem ter de 1 a 2 braços mexendo nas peças. Na mesa com o gato, a tom de pele do braço é a mesma da menina do 1607_4p011m_g27_e001; na mesa do homem, o tom de pele do braço será de uma criança negra; na mesa da casa, o tom de pele do braço será de uma criança parda; e da mesa do abajur, o tom de pele será de uma criança branca. Ver ideia a seguir.</t>
  </si>
  <si>
    <t>i1145_2p011m_g27_e001</t>
  </si>
  <si>
    <t>Ilustração das fichas sobrepostas 200, 20 e 4 e a formação do número 224 nas cores azul, vermelho e verde iguais no mesmo tom e padrão das i6154_2p011m_g27_e001 e i6155_2p011m_g27_e001 do Material complementar. Fazer em tamanho menor para ser usada aqui no miolo. Compor entre as fichas os símbolos + e =. Ver referência.</t>
  </si>
  <si>
    <t>ARTE TECNICA</t>
  </si>
  <si>
    <t>i1355_2p011m_g27_e001</t>
  </si>
  <si>
    <t>Ilustração de ábaco de papel do padrão com 2 quadradinhos nas centenas, 7 quadradinhos nas dezenas e 5 quadradinhos nas unidades conforme referência a seguir.</t>
  </si>
  <si>
    <t>i1356_2p011m_g27_e001</t>
  </si>
  <si>
    <t>Ilustração de ábaco de papel do padrão com 4 quadradinhos nas centenas, 11 quadradinhos nas dezenas e 12 quadradinhos nas unidades conforme referência a seguir.</t>
  </si>
  <si>
    <t>i1357_2p011m_g27_e001</t>
  </si>
  <si>
    <t>Ilustração de ábaco de papel do padrão com 4 quadradinhos nas centenas, 12 quadradinhos nas dezenas e 2 quadradinhos nas unidades conforme referência a seguir.</t>
  </si>
  <si>
    <t>i1358_2p011m_g27_e001</t>
  </si>
  <si>
    <t>Ilustração de ábaco de papel do padrão com 5 quadradinhos nas centenas, 2 quadradinhos nas dezenas e 2 quadradinhos nas unidades conforme referência a seguir.</t>
  </si>
  <si>
    <t>i1612_4p011m_g27_e001</t>
  </si>
  <si>
    <t>Resgatar ilustração de um hexágono com 6 eixos de
simetria. Veio de: g23_mdn_lt_4npm_p175. Código
antigo: it3411_4npm_g23_mdn_re
AJUSTE: Deixar os eixos visíveis para o estudante, e
com uma cor diferente da magenta ou da cor do fio
do hexágono.</t>
  </si>
  <si>
    <t>i1613_4p011m_g27_e001</t>
  </si>
  <si>
    <t>Resgatar ilustração de figuras simétricas na malha quadriculada. Veio de: g23_mdn_lt_4npm_p175. Código
antigo: it3414_4npm_g23_mdn_re
AJUSTE: Trocar a cor da figura em magenta, deixando visível para o estudante. Ambas as figuras devem ser da
mesma cor.</t>
  </si>
  <si>
    <t>i1226_1p011m_g27_e001</t>
  </si>
  <si>
    <t>Ilustração de ábaco de papel do padrão com 4 quadradinhos na dezena e 7 quadradinhos nas unidades conforme referência a seguir.</t>
  </si>
  <si>
    <t>i1227_1p011m_g27_e001</t>
  </si>
  <si>
    <t>Ilustração de ábaco de papel do padrão com 3 quadradinhos na dezena e 9 quadradinhos nas unidades conforme referência a seguir.</t>
  </si>
  <si>
    <t>i1228_1p011m_g27_e001</t>
  </si>
  <si>
    <t>Ilustração de ábaco de papel do padrão com 3 quadradinhos na dezena e 6 quadradinhos nas unidades conforme referência a seguir</t>
  </si>
  <si>
    <t>i1229_1p011m_g27_e001</t>
  </si>
  <si>
    <t>Ilustração de ábaco de papel do padrão com 4 quadradinhos na dezena e 4 quadradinhos nas unidades conforme referência a seguir.</t>
  </si>
  <si>
    <t>i1230_1p011m_g27_e001</t>
  </si>
  <si>
    <t>Ilustração de ábaco de papel do padrão com 4 quadradinhos na dezena e 1 quadradinho nas unidade conforme referência a seguir.</t>
  </si>
  <si>
    <t>i1231_1p011m_g27_e001</t>
  </si>
  <si>
    <t>Ilustração de ábaco de papel do padrão com 2 quadradinhos na dezena e 9 quadradinhos nas unidades conforme referência a seguir.</t>
  </si>
  <si>
    <t>i1233_1p011m_g27_e001</t>
  </si>
  <si>
    <t>Ilustração de ábaco de papel do padrão com 1 quadradinho na ordem das centenas, nenhum quadradinho na dezena e nenhum quadradinho na unidade conforme referência a seguir.</t>
  </si>
  <si>
    <t>i6209_2p011m_g27_e001</t>
  </si>
  <si>
    <t>Resgatar a i0319_2p011m_g27_e001 e fazer ajuste.
AJUSTE: Inserir um traço para demarcar o caminho do pomar até o galinheiro, conforme indicado de azul.
Atenção a imagem não pode passar de 5 cm de altura, por vai entrar no MPU.</t>
  </si>
  <si>
    <t>i6203_2p011m_g27_e001</t>
  </si>
  <si>
    <t>Resgatar ilustração de uma malha quadriculada que representa o caminho percorrido por uma tartaruga até a couve. Veio de:
g23_mdn_lt_2npm_p150. Código antigo: i2609_2npm_g23_mdn_re
Ajuste: mudar a cor do fio resposta.
Atenção a imagem não pode ter mais do que 5 cm de altura, pois vai entrar no MPU</t>
  </si>
  <si>
    <t>i6204_2p011m_g27_e001</t>
  </si>
  <si>
    <t>Resgatar ilustração da vista de cima de um bairro com a indicação do caminho da casa à escola. Veio de:
g23_mdn_lt_2npm_p151. Código antigo: i2610_2npm_g23_mdn_re
Ajuste: engrossar e mudar a cor do fio cor resposta. A imagem deve ser ajustada para que fique no máximo em 5 cm de altura.</t>
  </si>
  <si>
    <t>i6210_2p011m_g27_e001</t>
  </si>
  <si>
    <t>Il. com palitos de sorvete para representar a adição 11 + 4 = 16, conforme referência.
Atenção, a imagem vai entrar no MPU, logo ela não pode ter mais do que 3,5 cm de largura. Se necessário, deixar o espaço
entre os palitos um pouquinho maior que o dá referência, devido ao tamanho que a imagem vai entrar na página.</t>
  </si>
  <si>
    <t>i6211_2p011m_g27_e001</t>
  </si>
  <si>
    <t>Il. com palitos de sorvete para representar a subtração 19 – 8 = 5, conforme referência.
Atenção, a imagem vai entrar no MPU, logo ela não pode ter mais do que 3,5 cm de largura. Se necessário, deixar o espaço
entre os palitos um pouquinho maior que o dá referência, devido ao tamanho que a imagem vai entrar na página.</t>
  </si>
  <si>
    <t>i6212_2p011m_g27_e001</t>
  </si>
  <si>
    <t>Il. com palitos de sorvete para representar a adição 11 + 4 = 15, conforme referência (deixar os palitos em amarelo).
Atenção, a imagem vai entrar no MPU, logo ela não pode ter mais do que 3,5 cm de largura. Se necessário, deixar o espaço
entre os palitos um pouquinho maior que o dá referência, devido ao tamanho que a imagem vai entrar na página.</t>
  </si>
  <si>
    <t>i6213_2p011m_g27_e001</t>
  </si>
  <si>
    <t>Il. com palitos de sorvete para representar a subtração 13 – 8 = 5, conforme referência.
Atenção, a imagem vai entrar no MPU, logo ela não pode ter mais do que 3,5 cm de largura. Se necessário, deixar o espaço
entre os palitos um pouquinho maior que o dá referência, devido ao tamanho que a imagem vai entrar na página.</t>
  </si>
  <si>
    <t>i1968_1p011m_g27_e001</t>
  </si>
  <si>
    <t>Ilustração de ábaco de papel do padrão com 1 quadradinho nas dezenas e 2 quadradinhos nas unidades conforme referência a seguir.</t>
  </si>
  <si>
    <t>i1969_1p011m_g27_e001</t>
  </si>
  <si>
    <t>Ilustração de ábaco de papel do padrão com 1 quadradinho nas dezenas e 7 quadradinhos nas unidades conforme referência a seguir.</t>
  </si>
  <si>
    <t>i1970_1p011m_g27_e001</t>
  </si>
  <si>
    <t>Ilustração de ábaco de papel do padrão com 1 quadradinho nas dezenas e 5 quadradinhos nas unidades conforme referência a seguir.</t>
  </si>
  <si>
    <t>i1971_1p011m_g27_e001</t>
  </si>
  <si>
    <t>Ilustração de ábaco de papel do padrão com 1 quadradinho nas dezenas e 1 quadradinho nas unidades conforme referência a seguir.</t>
  </si>
  <si>
    <t>i6147_1p011m_g27_e001</t>
  </si>
  <si>
    <t>Resgatar ilustração do ábaco de papel da i6152_2p011m_g27_e001 e deixar apenas as colunas D e U conforme referência a seguir. Abrir um pouco as colunas na largura ocupando a mancha horizontal.</t>
  </si>
  <si>
    <t>i6148_1p011m_g27_e001</t>
  </si>
  <si>
    <t>Resgatar ilustração dos quadradinhos i6153_2p011m_g27_e001 e deixar apenas 1 quadradinho.</t>
  </si>
  <si>
    <t>i0565_4p011m_g27_e001</t>
  </si>
  <si>
    <t>Ilustração de uma cena que acontece no pátio de uma escola. Nela, 4 crianças (duas meninas e um menino: um dos meninos deve ser cadeirante e o outro oriental; uma das meninas deve ser branca e loira e a outra, negra. Todas devem ter aproximadamente 10 anos e devem estar uniformizados) devem estar convidando uma outra criança (menino ruivo de aproximadamente 10 anos e uniformizado) que estava afastada para brincar. A criança que é convidada deve estar como se estivesse indo se juntar ao grupo. Além disso, a feição dele deve ser de surpresa e alegria.
O objetivo da imagem é ilustrar o item “Chamar colegas diferentes para brincar ou conversar”. Ilustrar a menina negra com a boca aberta, pois será adicionado um balão de fala nela.</t>
  </si>
  <si>
    <t>RAFE: 22/07
FINAL: 25/07</t>
  </si>
  <si>
    <t>i0566_4p011m_g27_e001</t>
  </si>
  <si>
    <t>Ilustração das mesmas 5 crianças da il. 0565 no pátio da escola. Agora, elas devem estar sentadas em círculo, com uma delas falando enquanto as outras escutam. A criança que está falando deve ser a ruiva.</t>
  </si>
  <si>
    <t xml:space="preserve"> i0198zz_3p011m_g27_e001</t>
  </si>
  <si>
    <t>Ilustração de uma tabela em folha de caderno (trocou o código, é a mesma da i01153p011m que foi excluída)</t>
  </si>
  <si>
    <t>i6214_2p011m_g27_e001</t>
  </si>
  <si>
    <t xml:space="preserve">Resgatar a ilustração i0919_2p011m_g27_e001
AJUSTE: Pintar de amarelo os cilindros, pintar de azul o cubo, laranja o paralelepípedo, cinza o cone e a pirâmide de marrom
</t>
  </si>
  <si>
    <t>g6215_2p011m_g27_e001</t>
  </si>
  <si>
    <t xml:space="preserve">Resgatar gráfico de barras, na página 75 do g23_mdn_lt_2npm_p070a078_u3; código antigo gt1005sl_2npm_g23_mdn_aj 
AJUSTE1: colorir as barras de outra cor, que não seja magenta.
AJUSTE 2: O gráfico vai entrar no MPU, não deve passar de 5 cm de altura.
AJUSTE3: inserir as figuras geométricas abaixo de cada coluna do gráfico, como mostra o print. Utilizar i0925_2p011m_g27_e001 (cubo);i0926_2p011m_g27_e001 (paralelepípedo); i0927_2p011m_g27_e001 (cilindro); i0928_2p011m_g27_e001 (esfera); i0929_2p011m_g27_e001 (cone); i0925_2p011m_g27_e001 (pirâmide).
</t>
  </si>
  <si>
    <t>i0562_3p011m_g27_e001</t>
  </si>
  <si>
    <t>Ilustração de ábaco de papel do padrão com 4 quadradinhos nas dezenas e 9 quadradinhos nas unidades conforme referência a seguir.</t>
  </si>
  <si>
    <t>i0563_3p011m_g27_e001</t>
  </si>
  <si>
    <t>Ilustração de ábaco de papel do padrão com 3 quadradinhos nas dezenas e 5 quadradinhos nas unidades conforme referência a seguir.</t>
  </si>
  <si>
    <t>i0564_3p011m_g27_e001</t>
  </si>
  <si>
    <t>Ilustração de ábaco de papel do padrão sem quadradinhos nas dezenas e sem quadradinhos nas unidades conforme referência a seguir.</t>
  </si>
  <si>
    <t>i0568_3p011m_g27_e001</t>
  </si>
  <si>
    <t>Resgatar i0564_3p011m_g27_e001 (Ilustração de ábaco de papel do padrão sem quadradinhos nas dezenas e sem quadradinhos nas unidades conforme referência a seguir) e codificar com o código acima.</t>
  </si>
  <si>
    <t>i0565_3p011m_g27_e001</t>
  </si>
  <si>
    <t>Ilustração de ábaco de papel do padrão sem quadradinhos nas centenas, sem quadradinhos nas dezenas e sem quadradinhos nas unidades conforme referência a seguir.</t>
  </si>
  <si>
    <t>i0566_3p011m_g27_e001</t>
  </si>
  <si>
    <t>Ilustração de ábaco de papel do padrão sem quadradinhos nas unidades de milhar, sem quadradinhos nas centenas, sem quadradinhos nas dezenas e sem quadradinhos nas unidades conforme referência a seguir.</t>
  </si>
  <si>
    <t>i0567_3p011m_g27_e001</t>
  </si>
  <si>
    <t>Ilustração de ábaco de papel do padrão com 5 quadradinhos nas dezenas e 6 quadradinhos nas unidades conforme referência a seguir.</t>
  </si>
  <si>
    <t>i0754_3p011m_g27_e001</t>
  </si>
  <si>
    <t>i0755_3p011m_g27_e001</t>
  </si>
  <si>
    <t>Ilustração de ábaco de papel do padrão com 2 quadradinhos nas dezenas e 1 quadradinho nas unidades conforme referência a seguir.</t>
  </si>
  <si>
    <t>i0756_3p011m_g27_e001</t>
  </si>
  <si>
    <t>Ilustração de ábaco de papel do padrão com 2 quadradinhos nas dezenas e 2 quadradinhos nas unidades conforme referência a seguir.</t>
  </si>
  <si>
    <t>i1304_4p011m_g27_e001</t>
  </si>
  <si>
    <t xml:space="preserve">Resgatar ilustração de uma família fazendo piquenique. Veio de: g23_mdn_lt_4npm_p178 Código antigo: i2007cz_4pmm_g19_mdn_ly
AJUSTE: não sangrar a ilustração e não deixar ilustração onde entrará a atividade. Ver sugestão de layout.
AJUSTE1: deixar a imagem dentro do grid.
AJUSTE2: deixar apenas a família no gramado, excluir os arbustos no fim da página.
</t>
  </si>
  <si>
    <t>i1337_4p011m_g27_e001</t>
  </si>
  <si>
    <t xml:space="preserve">Resgatar ilustração de um campo com crianças brincando. Veio de: g23_mdn_lt_4npm_p185. Código antigo:  i3810_4npm_g23_mdn_re
AJUSTE1: não sangrar na página. Deixar ilustração inteira na página, fechando no grid com cantos arredondados. Dúvidas ver com Keithy. Além disso, retirar o “muro” deixar o campo com as crianças brincando.
AJUSTE2: Ajustar ilustração para que fique dentro do grid
</t>
  </si>
  <si>
    <t>i1359_4p011m_g27_e001</t>
  </si>
  <si>
    <t>Ilustração de 13 bandeirinhas de festa junina: 2 azuis, 6 verdes, 4 amarelas e 1 vermelha. Dispor as bandeirinhas de maneira semelhante a apresentada.</t>
  </si>
  <si>
    <t>i1350_4p011m_g27_e001</t>
  </si>
  <si>
    <t>Ilustração de um quadrado dividido em 4 partes iguais. Colorir uma dessas parte de verde.</t>
  </si>
  <si>
    <t>i1351_4p011m_g27_e001</t>
  </si>
  <si>
    <t>Ilustração de um círculo (branco) dividido em 6 partes iguais. Colorir quatro dessas partes de azul.</t>
  </si>
  <si>
    <t xml:space="preserve">i1352_4p011m_g27_e001 </t>
  </si>
  <si>
    <t>Ilustração de 10 figuras geométricas: 3 quadrados, 5 triângulos e 2 círculos. Todas as figuras devem estar com o interior colorido. Usar 4 cores para ilustrar as figuras (não colorir todas as figuras de mesmo formato com a mesma cor).</t>
  </si>
  <si>
    <t xml:space="preserve">i1353_4p011m_g27_e001 </t>
  </si>
  <si>
    <t>Ilustração de uma reta numérica. Nela, indicar os seguintes números: 0, 1/5, 2/5, 3/5, 4/5  e 1.</t>
  </si>
  <si>
    <t>i1753_4p011m_g27_e001</t>
  </si>
  <si>
    <t>Ilustração de 5 pessoas em um ponto de ônibus. Elas estão enfileiradas para entrar em um ônibus. As pessoas devem ser ilustradas com alturas proporcionais e aparecer de corpo inteiro, para ficar claro que estão em um mesmo nível no solo. Da esquerda para direita, a primeira pessoa (homem loiro) deve ter 1,67 m; a segunda (mulher ruiva), 1,55 m; a terceira (mulher negra), 1,42 m; a quarta (homem negro), 1,74 m; e a quinta (mulher oriental, acima do peso), 1,50 m.</t>
  </si>
  <si>
    <t>r:30/07 f:04/07</t>
  </si>
  <si>
    <t>i1757_4p011m_g27_e001</t>
  </si>
  <si>
    <t>ilustração de uma cena que acontece no interior de uma casa bem iluminada, com ambiente acolhedor e organizado. Um homem negro adulto varre o chão da sala com atenção, vestindo roupas confortáveis. Próxima à pia da cozinha, uma menina adolescente, de pele clara e cabelos cacheados, lava a louça com luvas coloridas, concentrada no que faz. A menina adolescente é filha do homem com a mulher adulta que aparece na il. i1758_4p011m. Ver referência para dar uma ideia</t>
  </si>
  <si>
    <t>i1758_4p011m_g27_e001</t>
  </si>
  <si>
    <t>Ilustração da mesma casa da il. i1757_4p011m, porém aqui o foco é em duas crianças (um menino de 10 anos, negro, e uma menina de 12 anos, morena cabelos cacheados e que usa óculos) e na mãe, uma mulher branca de cabelo preso e enrolado. A mãe e as crianças devem parecer estar conversando, enquanto as duas crianças guardam seus brinquedos em caixas (alguns carrinhos, bolinhas e bonecos simples). A mãe pode estar em pé na porta do quarto, como se ela tivesse aparecido pra dar um recado.</t>
  </si>
  <si>
    <t>i1756_4p011m_g27_e001</t>
  </si>
  <si>
    <t>IL do padrão de material dourado de 5 placas, 8 barras e 6 cubinhos representando o número 5,86, conforme referência</t>
  </si>
  <si>
    <t>i1741_4p011m_g27_e001</t>
  </si>
  <si>
    <t xml:space="preserve">Resgatar parte da ilustração de uma mulher passando no caixa de mercado. Veio de: g23_mdn_lt_4npm_p208. Código antigo: i4210bmm_4npm_g23_mdn_aj
AJUSTE: adequar il ao grid, ver sugestão, e excluir a parte que apresenta os eletrodomésticos nas prateleiras.
</t>
  </si>
  <si>
    <t>i1730_4p011m_g27_e001</t>
  </si>
  <si>
    <t xml:space="preserve">Resgatar ilustração de duas mulheres fazendo pedido em food truck. Veio de: g23_mdn_lt_4npm_p200. Código antigo: i2228cz_4pmm_g19_mdn
AJUSTE 1: não sangrar, ajustar il para que se adeque ao grid de modo que não corte elementos laterais, como a placa e a personagem loira.
AJUSTE 2: Ajustar os valores para Misto-quente: R$ 6,20; Sanduíche natural: R$ 8,30; Bauru: R$ 6,50; Pão de queijo: R$ 3,00; salada de fruta: R$ 6,00; Suco de laranja: R$ 6,70; Suco de morango: R$ 7,90 ; Suco de uva: R$ 7,30
</t>
  </si>
  <si>
    <t>i1759_4p011m_g27_e001</t>
  </si>
  <si>
    <t>Ilustração de um pacote de macarrão de 500 g.</t>
  </si>
  <si>
    <t>F:07/08</t>
  </si>
  <si>
    <t>i1760_4p011m_g27_e001</t>
  </si>
  <si>
    <t>Ilustração de um detergente de 500 mL</t>
  </si>
  <si>
    <t>i1761_4p011m_g27_e001</t>
  </si>
  <si>
    <t>Ilustração de um óleo de milho de 900 mL</t>
  </si>
  <si>
    <t>i1960_4p011m_g27_e001</t>
  </si>
  <si>
    <t>Resgatar e ajustar ilustração da página de livro com ícones/datas especiais. Veio do g23_mdn_lt_4npm_p222; código antigo: i2466so_4pmm_g19_mdn_ef
AJUSTE: Deixar nesse código apenas o ícone que representa o Dia do Estudante (lousa com caderno).</t>
  </si>
  <si>
    <t>i1961_4p011m_g27_e001</t>
  </si>
  <si>
    <t>Resgatar e ajustar ilustração da página de livro com ícones/datas especiais. Veio do g23_mdn_lt_4npm_p222; código antigo: i2466so_4pmm_g19_mdn_ef
AJUSTE: Deixar nesse código apenas o ícone que representa o Dia da Terra (planeta Terra)</t>
  </si>
  <si>
    <t>i1962_4p011m_g27_e001</t>
  </si>
  <si>
    <t>Resgatar e ajustar ilustração da página de livro com ícones/datas especiais. Veio do g23_mdn_lt_4npm_p222; código antigo: i2466so_4pmm_g19_mdn_ef
AJUSTE: Deixar nesse código apenas o ícone que representa o Dia do Carteiro (envelope e carta).</t>
  </si>
  <si>
    <t>i1963_4p011m_g27_e001</t>
  </si>
  <si>
    <t>Resgatar e ajustar ilustração da página de livro com ícones/datas especiais. Veio do g23_mdn_lt_4npm_p222; código antigo: i2466so_4pmm_g19_mdn_ef
AJUSTE: Deixar nesse código apenas o ícone que representa o Dia da Justiça (martelo do tribunal)</t>
  </si>
  <si>
    <t>i1964_4p011m_g27_e001</t>
  </si>
  <si>
    <t>Resgatar e ajustar ilustração da página de livro com ícones/datas especiais. Veio do g23_mdn_lt_4npm_p222; código antigo: i2466so_4pmm_g19_mdn_ef
AJUSTE: Deixar nesse código apenas o ícone que representa o Dia da Música (notas musicais).</t>
  </si>
  <si>
    <t>i1965_4p011m_g27_e001</t>
  </si>
  <si>
    <t>Resgatar e ajustar ilustração da página de livro com ícones/datas especiais. Veio do g23_mdn_lt_4npm_p222; código antigo: i2466so_4pmm_g19_mdn_ef
AJUSTE: Deixar nesse código apenas o ícone que representa o Dia do Voluntariado (duas mãos se cumprimentado)</t>
  </si>
  <si>
    <t>i1950_4p011m_g27_e001</t>
  </si>
  <si>
    <t>Resgatar ilustração do uma mulher mostrando a previsão do tempo do g23_mdn_lt_4npm_p229 código antigo i5205so_4m4sem_m20_stl_aj
AJUSTE: Remover fundo da ilustração, mantendo apenas a mesa e os itens sobre ela, conforme leitura prévia da Arte.</t>
  </si>
  <si>
    <t>g1951_4p011m_g27_e001</t>
  </si>
  <si>
    <t>Resgatar gráfico de barras das temperaturas de algumas capitais do g23_mdn_lt_4npm_p230 código antigo gt4632gu_4npm_g23_mdn
AJUSTE: Atualizar as informações do gráfico com os seguintes dados:
Aracaju, estado de Sergipe: mínima: 22; máxima: 29
Manaus, estado do Amazonas: mínima: 23; máxima: 31
Porto Alegre, estado do Rio Grande do Sul: mínima: 7; máxima: 19
Rio de Janeiro: mínima: 15; máxima: 23
São Paulo: mínima: 12; máxima: 21</t>
  </si>
  <si>
    <t>i1955_4p011m_g27_e001</t>
  </si>
  <si>
    <t xml:space="preserve">Resgatar ilustração do gráfico e tabela das temperaturas em Rio Branco do g23_mdn_lt_4npm_p232 código antigo gt4633ri_4npm_g23_mdn_aj
AJUSTE: Mudar a data do título da tabela e do gráfico para “6/1/2025 a 12/1/2025” e mudar a data de acesso para 20 jun. 2025. Além disso, atualizar as informações de ambos, com os seguintes dados:
Medida de temperatura (°C)	Quantidade de dias
33	1
31	3
29	2
27	1
</t>
  </si>
  <si>
    <t>i1957_4p011m_g27_e001</t>
  </si>
  <si>
    <t>Ilustração de um monitor, com uma planilha eletrônica do padrão com os seguintes dados:
Aracaju, estado de Sergipe: 7; Manaus, estado do Amazonas: 8; Porto Alegre, estado do Rio Grande do Sul: 12; Rio de Janeiro: 8; São Paulo: 9; Deixar nome da capital na coluna A e o respectivo valor de cada na coluna B. Ver referência</t>
  </si>
  <si>
    <t>i1958_4p011m_g27_e001</t>
  </si>
  <si>
    <t>Ilustração de um monitor, sequência da i1957_4p011m_g27_e001, com os mesmos dados (Aracaju, estado de Sergipe: 7; Manaus, estado do Amazonas: 8; Porto Alegre, estado do Rio Grande do Sul: 12;Rio de Janeiro: 8; São Paulo: 9), e ao lado deve ter um gráfico de barras, utilizando os mesmos dados indicados. Eixo horizontal: “Capital”; Eixo vertical: “Variação da medida de temperatura (°C)”. Título do gráfico: “Variações da medida de temperatura em algumas capitais brasileiras no dia 31/05/2024”. Ver referência</t>
  </si>
  <si>
    <t>i1968_4p011m_g27_e001</t>
  </si>
  <si>
    <t>Resgatar ilustração de um relógio de ponteiro no padrão da obra marcando 4 horas, 20 minutos e 35 segundos. Ele veio do livro de boas práticas Pitanguá, código antigo: i3874zz_4npm_g23_mdn</t>
  </si>
  <si>
    <t>i1969_4p011m_g27_e001</t>
  </si>
  <si>
    <t>Resgatar ilustração de um relógio digital do padrão da obra marcando 8 horas, 15 minutos e 27 segundos. Ele veio do livro de boas práticas Pitanguá, código antigo: i3875zz_4npm_g23_mdn</t>
  </si>
  <si>
    <t>i1959_4p011m_g27_e001</t>
  </si>
  <si>
    <t>Ilustração de um pacote de 400 g de macarrão. Na embalagem, deve aparecer e deve ser possível do estudante ler, a seguinte informação: Peso líquido 400 g</t>
  </si>
  <si>
    <t>i0104_5p011m_g27_e001</t>
  </si>
  <si>
    <t>Resgatar ilustração de papiro exibindo as representações numéricas desde o século 12 até a atualidade. Veio de: g23_mdn_lt_5npm_p010. Código antigo: i0203aa_5pmm_g19_mdn_ef
AJUSTE: Inserir título no quadro “Transformação da escrita dos algarismos” e excluir as mãos laterais que estão segurando o papiro.</t>
  </si>
  <si>
    <t>RESGATE COM AJUSTAE</t>
  </si>
  <si>
    <t>i0105_5p011m_g27_e001</t>
  </si>
  <si>
    <t>Resgatar ilustração de um cubinho do material dourado. Veio de: g23_mdn_lt_5npm_p013. Código antigo:i0204rn_5pmm_g19_mdn</t>
  </si>
  <si>
    <t>i0106_5p011m_g27_e001</t>
  </si>
  <si>
    <t>Resgatar ilustração de uma barra do material dourado. Veio de: g23_mdn_lt_5npm_p013. Código antigo:i0205rn_5pmm_g19_mdn</t>
  </si>
  <si>
    <t>i0107_5p011m_g27_e001</t>
  </si>
  <si>
    <t>Resgatar ilustração de uma placa do material dourado. Veio de: g23_mdn_lt_5npm_p013. Código antigo:i0206rn_5pmm_g19_mdn</t>
  </si>
  <si>
    <t>i0108_5p011m_g27_e001</t>
  </si>
  <si>
    <t>Resgatar ilustração de um cubo do material dourado. Veio de: g23_mdn_lt_5npm_p013. Código antigo:i0207rn_5pmm_g19_mdn</t>
  </si>
  <si>
    <t>i0109_5p011m_g27_e001</t>
  </si>
  <si>
    <t>Resgatar ilustração de material dourado com 2 cubos, 7 placas e 3 cubinhos. Veio de: g23_mdn_lt_5npm_p013. Código antigo: i0209rn_5pmm_g19_mdn</t>
  </si>
  <si>
    <t>i0110_5p011m_g27_e001</t>
  </si>
  <si>
    <t>Resgatar ilustração de menina jogando videogame do 5npm página 13, código antigo i0208aa_5pmm_g19_mdn.</t>
  </si>
  <si>
    <t>i0111_5p011m_g27_e001</t>
  </si>
  <si>
    <t>Ilustração de um menino falando. Veio de: g23_mdn_lt_5npm_p014. Código antigo: i0228rl_5pmm_g19_mdn</t>
  </si>
  <si>
    <t>g0112_5p011m_g27_e001</t>
  </si>
  <si>
    <t>Resgatar ilustração de um gráfico de personalidades brasileiras com barras horizontais. Veio de: g23_mdn_lt_5npm_p014. Código antigo: i0210ri_5pmm_g19_mdn
AJUSTE: atualizar para novo padrão, compondo fio preto nas barras</t>
  </si>
  <si>
    <t>i0113_5p011m_g27_e001</t>
  </si>
  <si>
    <t>Resgatar ilustração de 10 espetos. Veio de: g23_mdn_lt_5npm_p016. Código antigo: i0212rn_5pmm_g19_mdn</t>
  </si>
  <si>
    <t>i0114_5p011m_g27_e001</t>
  </si>
  <si>
    <t>Resgatar ilustração de espetos na cesta de cacau. Veio de: g23_mdn_lt_5npm_p016. Código antigo: i0213rn_5pmm_g19_mdn</t>
  </si>
  <si>
    <t>i0118_5p011m_g27_e001</t>
  </si>
  <si>
    <t>Resgatar ilustração de menino fazendo contas no quadro. Veio de: g23_mdn_lt_5npm_p019. Código antigo: i0225rl_5npm_g23_mdn_aj.
AJUSTE: Ajustar textos na lousa e deixar o texto na cor branca (o mais nítido possível). O novo texto deve ser:
1ª maneira:
6 555=6 x 1 000 + 5 x 100+5 x 10+5
2ª maneira: 
6 555=6 000 + 500 + 50 + 5</t>
  </si>
  <si>
    <t>g0124_5p011m_g27_e001</t>
  </si>
  <si>
    <t>Ilustração de parte de um gráfico de colunas verticais, como a ref. Nesse gráfico, os bairros devem ser A, B, C e D, porém deve-se compor apenas as barras de A e B. A barra de A deve representar 300 kg e a de B, 700 kg. A escala do eixo vertical deve ser graduada de 100 em 100, com início em 0 e fim em 1 000. O eixo vertical deve ser nomeado por “Quantidade (em kg)” e o horizontal, “Bairro”. O restante do gráfico será preenchido pelo estudante.</t>
  </si>
  <si>
    <t>i0125_5p011m_g27_e001</t>
  </si>
  <si>
    <t>Compor monitor com planilha eletrônica do padrão da coleção. Ver referência de como dispor as informações (dados incorretos na referência, é apenas para exemplificar). Nessa tela deve haver as seguintes informações:
	A	B
1	A	300
2	B	700
3	C	200
4	D	900</t>
  </si>
  <si>
    <t>i0126_5p011m_g27_e001</t>
  </si>
  <si>
    <t>CCompor mesmo monitor com planilha eletrônica da imagem i0125_5p011m. Ver referência de como dispor as informações (dados incorretos na referência, é apenas para exemplificar). Sobre essa planilha, ao lado do quadro com os valores, adicionar um gráfico de colunas verticais que represente os dados do quadro a seguir. Nesse gráfico, compor o título: Quantidade de materiais recicláveis coletados, em junho de 2026.
Bairro	Quantidade (em kg)
A	300
B	700
C	200
D	900</t>
  </si>
  <si>
    <t>BÁRBARA SARZI/INGRIDHI BORGES
/ARQUIVO DA EDITORA</t>
  </si>
  <si>
    <t>i0127_5p011m_g27_e001</t>
  </si>
  <si>
    <t>Resgatar ilustração da reta numérica que inicia no número 960 e termina no 970, com o número 964 indicado da página 22 do g23_mdn_lt_5npm_p104a111_u5. Código antigo: it0222_5pmm_g19_mdn</t>
  </si>
  <si>
    <t>m0128_5p011m_g27_e001</t>
  </si>
  <si>
    <t>mapa mostrando a fronteira entre Roraima e Guiana, do g23_mdn_lt_5npm pg 22, código antigo m0221km_5pmm_g19_mdn.
AJUSTE: Separar o mapa da localização (globo) e o mapa em códigos A e B.</t>
  </si>
  <si>
    <t>i0129_5p011m_g27_e001</t>
  </si>
  <si>
    <t>Ilustração de 1 cubo, 8 placas, 4 barras e 2 cubinhos do material dourado.</t>
  </si>
  <si>
    <t>i6110_5p011m_g27_e001</t>
  </si>
  <si>
    <t>Resgatar ilustração planificação de uma pirâmide roxa de base pentagonal; g23_mdn_lt_4npm_p6; código antigo it0216_5npm_g23_mdn_re</t>
  </si>
  <si>
    <t>i6111_5p011m_g27_e001</t>
  </si>
  <si>
    <t>Resgatar ilustração planificação de um paralelepípedo vermelho; g23_mdn_lt_4npm_p6; código antigo it0217_5npm_g23_mdn_re</t>
  </si>
  <si>
    <t>i6112_5p011m_g27_e001</t>
  </si>
  <si>
    <t>Resgatar ilustração de um smartphone com o preço de 1420 reais; g23_mdn_lt_5npm_8; código antigo i0224_5npm_g23_mdn_re</t>
  </si>
  <si>
    <t>i6113_5p011m_g27_e001</t>
  </si>
  <si>
    <t>Resgatar ilustração 11 balões, sendo 6 vermelhos e 5 brancos; g23_mdn_lt_5npm_p9; código antigo i0220_5npm_g23_mdn_re</t>
  </si>
  <si>
    <t>i6114_5p011m_g27_e001</t>
  </si>
  <si>
    <t>Resgatar ilustração 9 estrelas, sendo 5 vermelhas e 4 brancas; g23_mdn_lt_5npm_p9; código antigo i0221_5npm_g23_mdn_re</t>
  </si>
  <si>
    <t>i6115_5p011m_g27_e001</t>
  </si>
  <si>
    <t>Resgatar ilustração reta numérica de 0 a 5, com quadrinhos respostas; g23_mdn_lt_5npm_p9; código antigo it0222sl _5npm_g23_mdn_aj
AJUSTE: Retirar os números em cor resposta.</t>
  </si>
  <si>
    <t>i6116_5p011m_g27_e001</t>
  </si>
  <si>
    <t>Resgatar ilustração figurinhas de super-heróis; g23_mdn_lt_5npm_p9; código antigo i0223_5npm_g23_mdn_re</t>
  </si>
  <si>
    <t>i0302_5p011m_g27_e001</t>
  </si>
  <si>
    <t>Resgatar ilustração de duas crianças analisando objetos geométricos. Veio de: g23_mdn_lt_5npm_p026. Código antigo: i0401rl_5pmm_g19_mdn_ef
AJUSTE: trocar caixa de chocolate (prisma roxo e amarelo deitado base triangular) por caixa de leite. A caixa de leite deve ter o formato de um paralelepípedo, como as caixas convencionais com a base mais retangular, fazer em pé na perspectiva cavalera. Além disso, se possível, ajustar acabamento da imagem para não sangrar na página (pode limitar as laterais da mesa, deixando em perspectiva) e mudar a cor da mesa, para favorecer o contraste com os textos/indicações que irão entrar depois.</t>
  </si>
  <si>
    <t>i0303_5p011m_g27_e001</t>
  </si>
  <si>
    <t>Resgatar ilustração de um cilindro roxo. Veio de: g23_mdn_lt_5npm_p026. Código antigo: it0402_5pmm_g19_mdn</t>
  </si>
  <si>
    <t>i0304_5p011m_g27_e001</t>
  </si>
  <si>
    <t>Resgatar ilustração de um cone roxo. Veio de: g23_mdn_lt_5npm_p026. Código antigo: it0403_5pmm_g19_mdn</t>
  </si>
  <si>
    <t>i0305_5p011m_g27_e001</t>
  </si>
  <si>
    <t>Resgatar ilustração de uma esfera roxa. Veio de: g23_mdn_lt_5npm_p026. Código antigo: it0404_5pmm_g19_mdn</t>
  </si>
  <si>
    <t>i0400_5p011m_g27_e001</t>
  </si>
  <si>
    <t>Ilustração de um paralelepípedo verde (mesmo tom da i0307_5p011m, pois estão na mesma sequência). Esse paralelepípedo deve ter o formato próximo do paralelepípedo da caixa de leite da i0302_5p011m.</t>
  </si>
  <si>
    <t>i0307_5p011m_g27_e001</t>
  </si>
  <si>
    <t>Resgatar ilustração pirâmide de base triangular Veio de: g23_mdn_lt_5npm_p027. Código antigo: it0409_5pmm_g19_mdn</t>
  </si>
  <si>
    <t>i0308_5p011m_g27_e001</t>
  </si>
  <si>
    <t>Resgatar ilustração de prisma de base hexagonal Veio de: g23_mdn_lt_5npm_p027. Código antigo: it0407_5pmm_g19_mdn</t>
  </si>
  <si>
    <t>i0309_5p011m_g27_e001</t>
  </si>
  <si>
    <t>Resgatar ilustração de pirâmide de base quadrada. Veio de: g23_mdn_lt_5npm_p027. Código antigo: it0410_5pmm_g19_mdn</t>
  </si>
  <si>
    <t>i0401_5p011m_g27_e001</t>
  </si>
  <si>
    <t>Ilustração de um paralelepípedo azul (mesmo tom da i0311_5p011m, pois estão na mesma sequência) semelhante ao ilustrado em i0400_5p011m_g27_e001</t>
  </si>
  <si>
    <t>i0311_5p011m_g27_e001</t>
  </si>
  <si>
    <t>Resgatar ilustração de um prisma de base hexagonal. Veio de: g23_mdn_lt_5npm_p027. Código antigo: it0412_5pmm_g19_mdn</t>
  </si>
  <si>
    <t>i0312_5p011m_g27_e001</t>
  </si>
  <si>
    <t>Resgatar ilustração de pirâmide de base triangular. Veio de: g23_mdn_lt_5npm_p027. Código antigo: it0413_5pmm_g19_mdn</t>
  </si>
  <si>
    <t>i0313_5p011m_g27_e001</t>
  </si>
  <si>
    <t>Resgatar ilustração de pirâmide de base quadrada. Veio de: g23_mdn_lt_5npm_p027. Código antigo: it0414_5pmm_g19_mdn</t>
  </si>
  <si>
    <t>i0314_5p011m_g27_e001</t>
  </si>
  <si>
    <t>Resgatar ilustração de um prisma de base triangular. Veio de: g23_mdn_lt_5npm_p027. Código antigo: it0458_5pmm_g19_mdn</t>
  </si>
  <si>
    <t>i0315_5p011m_g27_e001</t>
  </si>
  <si>
    <t>Resgatar ilustração de um prisma de base pentagonal. Veio de: g23_mdn_lt_5npm_p028. Código antigo: it0415_5pmm_g19_mdn</t>
  </si>
  <si>
    <t>i0316_5p011m_g27_e001</t>
  </si>
  <si>
    <t>Resgatar ilustração de uma pirâmide de base hexagonal. Veio de: g23_mdn_lt_5npm_p028. Código antigo: it0416_5pmm_g19_mdn</t>
  </si>
  <si>
    <t>i0317_5p011m_g27_e001</t>
  </si>
  <si>
    <t>Resgatar ilustração de um paralelepípedo. Veio de: g23_mdn_lt_5npm_p028. Código antigo: it0417_5pmm_g19_mdn</t>
  </si>
  <si>
    <t>i0318_5p011m_g27_e001</t>
  </si>
  <si>
    <t>Resgatar ilustração de uma pirâmide de base pentagonal. Veio de: g23_mdn_lt_5npm_p028. Código antigo: it0418_5pmm_g19_mdn</t>
  </si>
  <si>
    <t>i0319_5p011m_g27_e001</t>
  </si>
  <si>
    <t>Resgatar ilustração de um prisma de base octogonal. Veio de: g23_mdn_lt_5npm_p028. Código antigo: it0467_5pmm_g19_mdn</t>
  </si>
  <si>
    <t>i0320_5p011m_g27_e001</t>
  </si>
  <si>
    <t>Resgatar ilustração de uma pirâmide de base quadrada. Veio de: g23_mdn_lt_5npm_p028. Código antigo: it0420_5pmm_g19_mdn</t>
  </si>
  <si>
    <t>i0321_5p011m_g27_e001</t>
  </si>
  <si>
    <t>Resgatar ilustração de um cubo. Veio de: g23_mdn_lt_5npm_p028. Código antigo: it0421_5pmm_g19_mdn</t>
  </si>
  <si>
    <t>i0322_5p011m_g27_e001</t>
  </si>
  <si>
    <t>Resgatar ilustração de um cilindro. Veio de: g23_mdn_lt_5npm_p029. Código antigo: it0422_5pmm_g19_mdn</t>
  </si>
  <si>
    <t>i0323_5p011m_g27_e001</t>
  </si>
  <si>
    <t>Resgatar ilustração de uma esfera. Veio de: g23_mdn_lt_5npm_p029. Código antigo: it0424_5pmm_g19_mdn</t>
  </si>
  <si>
    <t>i0324_5p011m_g27_e001</t>
  </si>
  <si>
    <t>Resgatar ilustração de uma pirâmide de base quadrada. Veio de: g23_mdn_lt_5npm_p029. Código antigo: it0468_5pmm_g19_mdn</t>
  </si>
  <si>
    <t>i0402_5p011m_g27_e001</t>
  </si>
  <si>
    <t>Ilustração de uma pirâmide amarela de base pentagonal. Veio do g23_mdn_lt_4npm_p053a059_u3, código antigo it1024sl_4npm_g23_mdn</t>
  </si>
  <si>
    <t>i0326_5p011m_g27_e001</t>
  </si>
  <si>
    <t>Resgatar ilustração de um paralelepípedo. Veio de: g23_mdn_lt_5npm_p029. Código antigo: it0425_5pmm_g19_mdn</t>
  </si>
  <si>
    <t>i0327_5p011m_g27_e001</t>
  </si>
  <si>
    <t>Resgatar ilustração de um prisma de base triangular. Veio de: g23_mdn_lt_5npm_p029. Código antigo: it0469_5pmm_g19_mdn</t>
  </si>
  <si>
    <t>i0328_5p011m_g27_e001</t>
  </si>
  <si>
    <t>Resgatar ilustração de creme dental. Veio de: g23_mdn_lt_5npm_p029. Código antigo: i0426rn_5pmm_g19_mdn</t>
  </si>
  <si>
    <t>i0329_5p011m_g27_e001</t>
  </si>
  <si>
    <t>Resgatar ilustração da planificação de um cilindro. Veio de: g23_mdn_lt_5npm_p029. Código antigo: it0427_5pmm_g19_mdn</t>
  </si>
  <si>
    <t>i0330_5p011m_g27_e001</t>
  </si>
  <si>
    <t>Resgatar planificação de um cubo. Veio de: g23_mdn_lt_5npm_p030. Código antigo: it0428_5pmm_g19_mdn</t>
  </si>
  <si>
    <t>i0331_5p011m_g27_e001</t>
  </si>
  <si>
    <t>Resgatar uma possível planificação de um cubo. Veio de: g23_mdn_lt_5npm_p030. Código antigo: it0429_5pmm_g19_mdn</t>
  </si>
  <si>
    <t>i0332_5p011m_g27_e001</t>
  </si>
  <si>
    <t>Resgatar uma possível planificação de um cubo. Veio de: g23_mdn_lt_5npm_p030. Código antigo: it0430_5pmm_g19_mdn</t>
  </si>
  <si>
    <t>i0333_5p011m_g27_e001</t>
  </si>
  <si>
    <t>Resgatar uma planificação de um cubo. Veio de: g23_mdn_lt_5npm_p030. Código antigo: it0431_5pmm_g19_mdn</t>
  </si>
  <si>
    <t>i0334_5p011m_g27_e001</t>
  </si>
  <si>
    <t>Resgatar ilustração de uma esfera azul. Veio de: g23_mdn_lt_5npm_p030. Código antigo: it0432_5pmm_g19_mdn</t>
  </si>
  <si>
    <t>i0335_5p011m_g27_e001</t>
  </si>
  <si>
    <t>Resgatar ilustração de um cone azul. Veio de: g23_mdn_lt_5npm_p030. Código antigo: it0433_5pmm_g19_mdn</t>
  </si>
  <si>
    <t>i0336_5p011m_g27_e001</t>
  </si>
  <si>
    <t>Resgatar ilustração de um cilindro azul. Veio de: g23_mdn_lt_5npm_p030. Código antigo: it0434_5pmm_g19_mdn</t>
  </si>
  <si>
    <t>i0337_5p011m_g27_e001</t>
  </si>
  <si>
    <t>Resgatar ilustração de um prisma de base hexagonal. Veio de: g23_mdn_lt_5npm_p030. Código antigo: it0435_5pmm_g19_mdn</t>
  </si>
  <si>
    <t>i0338_5p011m_g27_e001</t>
  </si>
  <si>
    <t>Resgatar ilustração de uma planificação com 5 retângulos e 2 hexágonos. Veio de: g23_mdn_lt_5npm_p030. Código antigo: it0436_5pmm_g19_mdn</t>
  </si>
  <si>
    <t>i0339_5p011m_g27_e001</t>
  </si>
  <si>
    <t>Resgatar ilustração que representa a planificação do prisma. Veio de: g23_mdn_lt_5npm_p030. Código antigo: it0437_5pmm_g19_mdn</t>
  </si>
  <si>
    <t>i0340_5p011m_g27_e001</t>
  </si>
  <si>
    <t>Resgatar ilustração de uma planificação de um prisma de base pentagonal. Veio de: g23_mdn_lt_5npm_p030. Código antigo: it0438_5pmm_g19_mdn</t>
  </si>
  <si>
    <t>i0341_5p011m_g27_e001</t>
  </si>
  <si>
    <t>Resgatar planificação de um cone. Veio de: g23_mdn_lt_5npm_p031. Código antigo: it0463_5pmm_g19_mdn</t>
  </si>
  <si>
    <t>i0342_5p011m_g27_e001</t>
  </si>
  <si>
    <t>Resgatar ilustração de um cilindro. Veio de: g23_mdn_lt_5npm_p031. Código antigo: it0459_5pmm_g19_mdn</t>
  </si>
  <si>
    <t>i0343_5p011m_g27_e001</t>
  </si>
  <si>
    <t>Resgatar ilustração da planificação de um cilindro. Veio de: g23_mdn_lt_5npm_p031. Código antigo: it0464_5pmm_g19_mdn</t>
  </si>
  <si>
    <t>i0344_5p011m_g27_e001</t>
  </si>
  <si>
    <t>Resgatar ilustração de uma pirâmide de base hexagonal. Veio de: g23_mdn_lt_5npm_p031. Código antigo: it0465_5pmm_g19_mdn</t>
  </si>
  <si>
    <t>i0345_5p011m_g27_e001</t>
  </si>
  <si>
    <t>Resgatar ilustração da planificação de uma pirâmide de base hexagonal. Veio de: g23_mdn_lt_5npm_p031. Código antigo: it0460_5pmm_g19_mdn</t>
  </si>
  <si>
    <t>i0346_5p011m_g27_e001</t>
  </si>
  <si>
    <t>Resgatar ilustração de uma pirâmide de base quadrada. Veio de: g23_mdn_lt_5npm_p031. Código antigo: it0461_5pmm_g19_mdn</t>
  </si>
  <si>
    <t>i0347_5p011m_g27_e001</t>
  </si>
  <si>
    <t>Resgatar ilustração da planificação de uma pirâmide de base quadrada. Veio de: g23_mdn_lt_5npm_p031. Código antigo: it0466_5pmm_g19_mdn</t>
  </si>
  <si>
    <t>i0348_5p011m_g27_e001</t>
  </si>
  <si>
    <t>Resgatar ilustração de um cone. Veio de: g23_mdn_lt_5npm_p031. Código antigo: it0462_5pmm_g19_mdn</t>
  </si>
  <si>
    <t>i0354_5p011m_g27_e001</t>
  </si>
  <si>
    <t>Ilustração de uma carteira escolar com os seguintes materiais sobre ela: uma cartolina, tesoura com pontas arredondadas, régua, canetinhas coloridas e cola. Também sobre a carteira deve haver um molde de um cubo (de cor diferente do molde do paralelepípedo) e em cima dele o molde do paralelepípedo sendo que este deve ficar mais aparente e deve ser o mesmo molde da ilustração que aparecerá na il i0356_5p011m com código antigo: i0468Cso_5npm_m20_mdn_ly (enviada na pasta). Os moldes devem estar sobrepostos, com cor diferente, para não ficar confuso (na ref, no lugar das folhas coloridas, pode ser os moldes, por exemplo), e estarem sobre uma cartolina branca.
Ver referência, mas compor com os materiais pedidos e priorizar mais a visualidade dos materiais, deixando a visão mais superior.
Arte: enviar para Silvia Otofuji para ficar na mesma linguagem das demais.</t>
  </si>
  <si>
    <t>R:05/08 e F:13/08</t>
  </si>
  <si>
    <t>i0355_5p011m_g27_e001</t>
  </si>
  <si>
    <t>Resgatar e ajustar ilustração de uma mão segurando um papel da página 208 da unidade 9 do 1P011M com o código i1766_1p011m_g27_e001.  
AJUSTE: trocar o texto pelo indicado a seguir na fonte chinela. Deixar o texto em caixa alta baixa.
Materiais necessários
• Cartolina; 
• Tesoura com pontas arredondadas; 
• Régua; 
• Canetinhas coloridas;
• Moldes de figuras geométricas espaciais;
• Cola.</t>
  </si>
  <si>
    <t>i0356_5p011m_g27_e001</t>
  </si>
  <si>
    <t>Resgatar ilustração de menino contornando o molde de um caixa em formato de paralelepípedo do 5npm_m20_mdn_lt, página 35, código antigo: i0468Cso_5npm_m20_mdn_ly</t>
  </si>
  <si>
    <t>i0357_5p011m_g27_e001</t>
  </si>
  <si>
    <t>Resgatar ilustração de menino pintando a embalagem do 5npm_m20_mdn_lt, página 35, código antigo: i0468Dso_5npm_m20_mdn_ly</t>
  </si>
  <si>
    <t>i0359_5p011m_g27_e001</t>
  </si>
  <si>
    <t>Ilustração do mesmo menino das ils i0356_5p011m_g27_e001 e i0357_5p011m_g27_e001 (códigos antigos i0468Cso_5npm_m20_mdn_ly e i0468Dso_5npm_m20_mdn_ly) (enviadas na pasta) como se estivesse colando a última aba do molde para obter a embalagem, lembrando de manter as partes coloridas/personalizadas que ele fez na i0357_5p011m.
Arte: enviar para Silvia Otofuji para ficar na mesma linguagem das demais.</t>
  </si>
  <si>
    <t>i0403_5p011m_g27_e001</t>
  </si>
  <si>
    <t>Ilustração do menino da ils i0356_5p011m_g27_e001 e i0357_5p011m_g27_e001 (códigos antigos i0468Cso_5npm_m20_mdn_ly e i0468Dso_5npm_m20_mdn_ly) (enviadas na pasta) na frente da sala de aula como se estivesse apresentando sua embalagem montada para a turma. Pode aparecer ele com a lousa ao fundo e uma professora ao lado, observando. Ele pode estar segurando a embalagem em uma das mãos e a outra apontando para o molde, como se estivesse falando sobre ela.
Arte: enviar para Silvia Otofuji para ficar na mesma linguagem das demais.</t>
  </si>
  <si>
    <t>i0349_5p011m_g27_e001</t>
  </si>
  <si>
    <t>Resgatar ilustração de um dado amarelo. Veio de: g23_mdn_lt_5npm_p031. Código antigo: it0444_5pmm_g19_mdn</t>
  </si>
  <si>
    <t>i0350_5p011m_g27_e001</t>
  </si>
  <si>
    <t>Resgatar ilustração que representa a planificação do dado. Veio de: g23_mdn_lt_5npm_p031. Código antigo: it0445_5pmm_g19_mdn
AJUSTE: compor abas conforme referência</t>
  </si>
  <si>
    <t>i0351_5p011m_g27_e001</t>
  </si>
  <si>
    <t>Resgatar ilustração que não representa a planificação do dado. Veio de: g23_mdn_lt_5npm_p031. Código antigo: it0446_5pmm_g19_mdn
AJUSTE: compor abas conforme referência</t>
  </si>
  <si>
    <t>i0352_5p011m_g27_e001</t>
  </si>
  <si>
    <t>Resgatar ilustração que não representa a planificação do dado. Veio de: g23_mdn_lt_5npm_p031. Código antigo: it0447_5pmm_g19_mdn
AJUSTE: compor abas conforme referência</t>
  </si>
  <si>
    <t>i0353_5p011m_g27_e001</t>
  </si>
  <si>
    <t>Resgatar ilustração que não representa a planificação do dado. Veio de: g23_mdn_lt_5npm_p031. Código antigo: it0448_5pmm_g19_mdn
AJUSTE: compor abas conforme referência</t>
  </si>
  <si>
    <t>i0360_5p011m_g27_e001</t>
  </si>
  <si>
    <t>Resgatar ilustração de um prisma de base pentagonal. Veio de: g23_mdn_lt_5npm_p032. Código antigo: it0439_5pmm_g19_mdn</t>
  </si>
  <si>
    <t>i0361_5p011m_g27_e001</t>
  </si>
  <si>
    <t>Resgatar ilustração de uma planificação com 2 pentágonos: um verde e outro amarelo e 5 retângulos coloridos. Veio de: g23_mdn_lt_5npm_p032. Código antigo: it0440_5pmm_g19_mdn</t>
  </si>
  <si>
    <t>i0362_5p011m_g27_e001</t>
  </si>
  <si>
    <t>Resgatar ilustração de uma planificação com 2 pentágonos: um laranja e um amarelo e 6 retângulos coloridos. Veio de: g23_mdn_lt_5npm_p032. Código antigo: it0441_5pmm_g19_mdn</t>
  </si>
  <si>
    <t>i0363_5p011m_g27_e001</t>
  </si>
  <si>
    <t>Resgatar ilustração que representa uma planificação com dois pentágonos: um vermelho e outro laranja, e 5 retângulos coloridos. Veio de: g23_mdn_lt_5npm_p032. Código antigo: it0442_5pmm_g19_mdn</t>
  </si>
  <si>
    <t>i0404_5p011m_g27_e001</t>
  </si>
  <si>
    <t>resgatar Ilustração de um paralelepípedo reto verde do g23_mdn_lt_4npm_p053a059, código antigo it2560rn_4npm_m20_mdn.</t>
  </si>
  <si>
    <t>i0370_5p011m_g27_e001</t>
  </si>
  <si>
    <t>Resgatar ilustração de uma pirâmide de base quadrada. Veio de: g23_mdn_lt_5npm_p033. Código antigo: it0608sl_5npm_g23_mdn</t>
  </si>
  <si>
    <t>i0405_5p011m_g27_e001</t>
  </si>
  <si>
    <t>resgatar Ilustração de um prisma amarelo de base pentagonal, do g23_mdn_lt_4npm_p030a039, código antigo it1088gu_4npm_g23_mdn.</t>
  </si>
  <si>
    <t>i0371_5p011m_g27_e001</t>
  </si>
  <si>
    <t>resgatar Ilustração de uma esfera azul do g19_5pmm_lt_u9_p204a213, código antigo it1806_5pmm_g19_mdn</t>
  </si>
  <si>
    <t>i0372_5p011m_g27_e001</t>
  </si>
  <si>
    <t>Resgatar ilustração de um cone. Veio de: g19_4pmm_lt_u3_p046a057 código antigo it0626_4pmm_g19_mdn</t>
  </si>
  <si>
    <t>i0373_5p011m_g27_e001</t>
  </si>
  <si>
    <t>Resgatar ilustração de um cilindro. Veio de: g23_mdn_lt_5npm_p033. Código antigo: it0607sl_5npm_g23_mdn</t>
  </si>
  <si>
    <t>i0406_5p011m_g27_e001</t>
  </si>
  <si>
    <t>Ilustração da planificação de um prisma de base pentagonal, veio do g23_mdn_lt_5npm_p260a263, código antigo it2354_5npm_m20_mdn</t>
  </si>
  <si>
    <t>i0407_5p011m_g27_e001</t>
  </si>
  <si>
    <t>Ilustração da planificação de um cone, veio do g23_mdn_lt_4npm_p158a166_u8, código antigo it1808_4pmm_g19_mdn</t>
  </si>
  <si>
    <t>i0408_5p011m_g27_e001</t>
  </si>
  <si>
    <t>Ilustração da planificação de uma pirâmide de base triangular, veio do g23_mdn_lt_4npm_p053a059_u3, código antigo it1032sl_4npm_g23_mdn.ai.info</t>
  </si>
  <si>
    <t>i1370_3p011m_g27_e001</t>
  </si>
  <si>
    <t>Il. ábaco de papel do padrão conforme referência a seguir.</t>
  </si>
  <si>
    <t>i1371_3p011m_g27_e001</t>
  </si>
  <si>
    <t>i6205_2p011m_g27_e001</t>
  </si>
  <si>
    <t>Resgatar ilustração i1727_2p011m_g27_e001 de desenho composto de figuras geométricas.
AJUSTE: Pintar os círculos da il. com o mesmo tom de cor da i1726_2p011m_g27_e001, os triângulos com o mesmo tom de cor da i1724_2p011m_g27_e001 e os retângulos com o mesmo tom de cor da i1725_2p011m_g27_e001. Ver referência:
ATENÇÃO: A imagem não deve ter mais do que 5 cm de altura, pois vai entrar no MPU</t>
  </si>
  <si>
    <t>i6206_2p011m_g27_e001</t>
  </si>
  <si>
    <t>Resgatar ilustração i1729_2p011m_g27_e001 de mosaico com quadrados, retângulos e triângulos.
AJUSTE: Pintar todas as figuras do mosaico seguindo o padrão de cor já estabelecido. Ver ref:
ATENÇÃO: a imagem não pode ter mais do que 5 cm de altura pois vai entrar no rodapé da página.</t>
  </si>
  <si>
    <t>i6207_2p011m_g27_e001</t>
  </si>
  <si>
    <t>Resgatar ilustração i1730_2p011m_g27_e001 de mosaico com triângulos.
AJUSTE: Pintar todas as figuras do mosaico seguindo o padrão de cor já estabelecido. Ver ref:
ATENÇÃO: a imagem não pode ter mais do que 5 cm de altura pois vai entrar no rodapé da página</t>
  </si>
  <si>
    <t>i6216_2p011m_g27_e001</t>
  </si>
  <si>
    <t>Resgatar a figura em forma de pato com peças de tangram do g23_mdn_lt_2npm_p079a089_u3 código antigo i0698sl_2pmm_g19_mdn.
AJUSTE: Tirar o contorno de magenta e colorir as demais peças com as cores padrões de tangram, conforme referência.
Atenção: as imagens não podem ter mais do 5 cm pois vão entrar no rodapé do MPU.</t>
  </si>
  <si>
    <t>i6217_2p011m_g27_e001</t>
  </si>
  <si>
    <t>Resgatar a figura em forma de coelho com peças de tangram do g23_mdn_lt_2npm_p079a089_u3 código antigo i0699sl_2pmm_g19_mdn.
AJUSTE: Tirar o contorno de magenta e colorir as demais peças com as cores padrões de tangram, conforme referência.
Atenção: as imagens não podem ter mais do 5 cm pois vão entrar no rodapé do MPU.</t>
  </si>
  <si>
    <t>i6218_2p011m_g27_e001</t>
  </si>
  <si>
    <t>Resgatar a figura em forma de barco com peças de tangram do g23_mdn_lt_2npm_p079a089_u3 código antigo i0700sl_2pmm_g19_mdn.
AJUSTE: Tirar o contorno de magenta e colorir as demais peças com as cores padrões de tangram, conforme referência.
Atenção: as imagens não podem ter mais do 5 cm pois vão entrar no rodapé do MPU.</t>
  </si>
  <si>
    <t>i6219_2p011m_g27_e001</t>
  </si>
  <si>
    <t>Resgatar a figura em forma humanoide com peças de tangram do g23_mdn_lt_2npm_p079a089_u3 código antigo i0701sl_2pmm_g19_mdn.
AJUSTE: Tirar o contorno de magenta e colorir as demais peças com as cores padrões de tangram, conforme referência.
Atenção: as imagens não podem ter mais do 5 cm pois vão entrar no rodapé do MPU.</t>
  </si>
  <si>
    <t>i6220_2p011m_g27_e001</t>
  </si>
  <si>
    <t>Resgatar a figura em forma de vela com peças de tangram do g23_mdn_lt_2npm_p079a089_u3 código antigo i0702sl_2pmm_g19_mdn.
AJUSTE: Tirar o contorno de magenta e colorir as demais peças com as cores padrões de tangram, conforme referência.
Atenção: as imagens não podem ter mais do 5 cm pois vão entrar no rodapé do MPU.</t>
  </si>
  <si>
    <t>i6221_2p011m_g27_e001</t>
  </si>
  <si>
    <t>Resgatar labirinto com figuras do g23_mdn_lt_2npm_p079a089_u3 código antigo i0707gn_2pmm_g19_mdn.
AJUSTES: Retirar os brinquedos ao redor da imagem e escrever os nomes. Retirar as imagens dentro do labirinto. Traçar o caminho de Paulo até o cubo mágico, conforme referência.
ATENÇÃO: a imagem não pode ter mais do que 5 cm de altura, pois vai entrar no MPU.</t>
  </si>
  <si>
    <t>i6208_2p011m_g27_e001</t>
  </si>
  <si>
    <t>Resgatar ilustração de malha pontilhada um quadrado, dois retângulos e um triângulo, na página 87 do g23_mdn_lt_2npm_p079a089_u3; código antigo i0709zz_2pmm_g19_mdn
AJUSTE: trocar a cor magenta para uma cor visível no MP.
ATENÇÃO: Deixar a imagem com no máximo 5 cm.</t>
  </si>
  <si>
    <t>i6222_2p011m_g27_e001</t>
  </si>
  <si>
    <t>Il. de um quadrado composto por 24 palitos de sorvete, ver referência.
Atenção: A imagem não pode ter mais do que 5 cm, pois vai entrar no MPU</t>
  </si>
  <si>
    <t>i6223_2p011m_g27_e001</t>
  </si>
  <si>
    <t>Il. de dois quadrados formados por palitos de sorvete utilizando como base a 6222_2p011m_g27_e001 pois são sequenciais e retirar 8 palitos de sorvete internos, deixando no lugar as marcações tracejadas, ver referência.
Atenção: A imagem não pode ter mais do que 5 cm, pois vai entrar no MPU.</t>
  </si>
  <si>
    <t>if6150_3p011m_g27_e001</t>
  </si>
  <si>
    <t>i6103_4p011m_g27_e001</t>
  </si>
  <si>
    <t>Ilustração do ábaco de papel no padrão da obra, de 5 ordens (DM, UM, C, D, U) sem os quadradinhos nas ordens. Deve ocupar a página toda.</t>
  </si>
  <si>
    <t>i6104_4p011m_g27_e001</t>
  </si>
  <si>
    <t>Resgate 1 quadradinho da i6148_1p011m_g27_e001 e codificar com o código acima.</t>
  </si>
  <si>
    <t>i6101_4p011m_g27_e001</t>
  </si>
  <si>
    <t>Resgatar ilustração de cartela com polígonos; g23_mdn_lt_3npm_p231; código antigo i2601sl_3pmm_g19_mdn
AJUSTE: deixar apenas o cubo azul nesse código</t>
  </si>
  <si>
    <t>i6102_4p011m_g27_e001</t>
  </si>
  <si>
    <t>Resgatar ilustração de cartela com polígonos; g23_mdn_lt_3npm_p231; código antigo i2601sl_3pmm_g19_mdn
AJUSTE: deixar apenas o paralelepípedo laranja nesse código</t>
  </si>
  <si>
    <t>i6105_4p011m_g27_e001</t>
  </si>
  <si>
    <t>Resgatar ilustração de cartela com polígonos; g23_mdn_lt_3npm_p231; código antigo i2601sl_3pmm_g19_mdn
AJUSTE: deixar apenas a esfera vermelha nesse código</t>
  </si>
  <si>
    <t>i6106_4p011m_g27_e001</t>
  </si>
  <si>
    <t>Resgatar ilustração de cartela com polígonos; g23_mdn_lt_3npm_p231; código antigo i2601sl_3pmm_g19_mdn
AJUSTE: deixar apenas o cone verde nesse código</t>
  </si>
  <si>
    <t>i6107_4p011m_g27_e001</t>
  </si>
  <si>
    <t>Resgatar ilustração planificação de uma pirâmide de base quadrada; g23_mdn_lt_4npm_p245; código antigo it2604_4pmm_g19_mdn.
AJUSTE: Trocar a cor para o mesmo tom de amarelo (cor luz) da it0610_4pmm_g19_mdn (arquivo também está na pasta ARQUIVOS), pois o material faz referência àquela pirâmide.</t>
  </si>
  <si>
    <t>i6108_4p011m_g27_e001</t>
  </si>
  <si>
    <t>Resgatar e ajustar Ilustração do molde da planificação de uma pirâmide de base pentagonal, do g23_mdn_lpa_4npm_p030a039_u3, código antigo it1093ct_4npm_g23_mdn. 
AJUSTE: deixar na cor amarela do padrão e inserir abas de colagem, também conforme padrão, atentar para que a aba de colagem tenha um tamanho suficiente para que o aluno possa recortar e usar a aba para colar (verificar se há um padrão de tamanho). Também aumentar il de modo que ocupe o maior espaço na página</t>
  </si>
  <si>
    <t>i6110_4p011m_g27_e001</t>
  </si>
  <si>
    <t>Resgatar e ajustar Ilustração do molde da planificação de um prisma de base triangular verde do g23_ftd_lt_4bam_p240a243, código antigo i4808sl_4bam_g23_ftd.
AJUSTE: ajustar para padrão de recorte, ajustando os fios. Atentar para que a aba de colagem tenha um tamanho suficiente para que o aluno possa recortar e usar a aba para colar (verificar se há um padrão de tamanho). Também aumentar il de modo que ocupe o maior espaço na página.</t>
  </si>
  <si>
    <t>i6111_4p011m_g27_e001</t>
  </si>
  <si>
    <t>Resgatar e ajustar Ilustração do molde da planificação de um prisma de base pentagonal rosa do g23_mdn_lt_5npm_p024a033_u2 código antigo it0438_5pmm_g19_mdn
AJUSTE: ajustar para padrão de recorte, ajustando cor dos fios e inserindo as abas de colagem conforme referência. Atentar para que a aba de colagem tenha um tamanho suficiente para que o aluno possa recortar e usar a aba para colar (verificar se há um padrão de tamanho). Também aumentar il de modo que ocupe o maior espaço na página.</t>
  </si>
  <si>
    <t>i6112_4p011m_g27_e001</t>
  </si>
  <si>
    <t>Resgatar ilustração fichas tabela de multiplicação; g23_mdn_lt_4npm_p247; código antigo i2606sl_4pmm_g19_mdn</t>
  </si>
  <si>
    <t>i6113_4p011m_g27_e001</t>
  </si>
  <si>
    <t>Resgatar ilustração cartelas amarela de números; g23_mdn_lt_4npm_p249; código antigo i2607sl_4pmm_g19_mdn</t>
  </si>
  <si>
    <t>i6114_4p011m_g27_e001</t>
  </si>
  <si>
    <t>Resgatar ilustração cartelas amarelas de números; g23_mdn_lt_4npm_p251; código antigo i2611sl_4pmm_g19_mdn</t>
  </si>
  <si>
    <t>i6115_4p011m_g27_e001</t>
  </si>
  <si>
    <t>Ilustração de uma malha quadriculada com quadradinhos de lado medindo 0,5 cm. A malha ocupará a página inteira.</t>
  </si>
  <si>
    <t>i6116_4p011m_g27_e001</t>
  </si>
  <si>
    <t>Resgatar ilustração quadrados azul, amarelo, vermelho e verde com marcações das letras A, B, C, D e E; g23_mdn_lt_4npm_p253; código antigo it2608_4pmm_g19_mdn</t>
  </si>
  <si>
    <t>i6117_4p011m_g27_e001</t>
  </si>
  <si>
    <t>Resgatar ilustração malha quadriculada; g23_mdn_lt_4npm_p253; código antigo i2609zz_4pmm_g19_mdn</t>
  </si>
  <si>
    <t>i6118_4p011m_g27_e001</t>
  </si>
  <si>
    <t>Ilustração de uma malha quadriculada 4x4, que ocupe metade da página.</t>
  </si>
  <si>
    <t>i6119_4p011m_g27_e001</t>
  </si>
  <si>
    <t>Resgatar ilustração malha triangular; g23_mdn_lt_4npm_p255; código antigo it3858zz_4npm_g23_mdn_aj</t>
  </si>
  <si>
    <t>i0502_5p011m_g27_e001</t>
  </si>
  <si>
    <t>Ilustração de três pessoas em um carro: um homem negro de aproximadamente 45 anos, uma mulher branca de aproximadamente 43 anos e um adolescente, filho do casal, de aproximadamente 16 anos. O homem e a mulher devem estar no banco da frente e o adolescente, no banco de trás. Todos devem estar com cinto de segurança e felizes, pois estão saindo em viagem. O homem deve estar com a boca aberta, como se estivesse falando. Se possível, compor de forma que apareça na multimídia do carro a tela de um sistema de GPS, como se eles estivessem usando um aplicativo.</t>
  </si>
  <si>
    <t>g0529_5p011m_g27_e001</t>
  </si>
  <si>
    <t>Compor gráfico de colunas verticais para representar os dados do quadro a seguir. 
Frutas	Quantidade de colegas
Maçã	8 Banana	13 Laranja	9 Melancia	6 Kiwi	3
Além disso, compor título e fonte de pesquisa. São eles:
Título: “Fruta preferida pelos colegas de Fabrício, em 18 de março de 2026”;
Fonte de pesquisa: “Fonte de pesquisa: Anotações de Fabrício”.
OBS: TODAS as informações que aparecem nessa il. devem ser feitas manuscritas e em letra cursiva. O gráfico deve ser ilustrado como se tivesse sido feito por uma pessoa.</t>
  </si>
  <si>
    <t>FINALIZADA: 07/08</t>
  </si>
  <si>
    <t>i0723_5p011m_g27_e001</t>
  </si>
  <si>
    <t>Resgatar ilustração de crianças assistindo TV. Veio de: g23_mdn_lt_5npm_p068. Código antigo: i0827cz_5pmm_g19_mdn_ef
AJUSTE: Cropar a imagem lateralmente e dar um acabamento na imagem para não sangrar.</t>
  </si>
  <si>
    <t>i1019_5p011m_g27_e001</t>
  </si>
  <si>
    <t>Ilustração que apresenta uma criança, menino aprox. 12 anos, cabelos castanhos, usando óculos, aguardando um ônibus escolar, na calçada. Ao lado da criança compor um adulto, como se fosse pai dela. Próxima a eles compor um microônibus na rua, como se estivesse chegando, sendo possível observar dentro algumas crianças e o motorista, todos com cinto de segurança. As crianças devem estar uniformizadas, por exemplo, todas de camiseta branca. Compor crianças no interior da van com etnias variadas, podendo aparecer 3 como na ref da direita, sendo uma menina, cabelos castanhos até o ombro, um menino indígena (pele mais morena, olhos ligeiramente puxados) e uma menina loira, cabelos cacheados, todos aprox., 12 anos. No motorista compor uma mulher, cabelos pretos, e alguma vestimenta que caracterize uniforme (pode ser uma gola polo azul). Compor o ônibus na cor amarela com uma faixa preta (como na ref da esquerda), para caracterizar um microônibus escolar. Segue duas referências para dar a ideia geral da il.</t>
  </si>
  <si>
    <t>vf</t>
  </si>
  <si>
    <t>i1020_5p011m_g27_e001</t>
  </si>
  <si>
    <t>Ilustração de 3 crianças de aproximadamente 12 anos conversando no pátio da escola: uma menina negra, um menino branco e loiro e um menino oriental. As crianças devem estar uniformizadas, com o mesmo uniforme dos estudantes da il i1019_5p011m.</t>
  </si>
  <si>
    <t>i0735_5p011m_g27_e001</t>
  </si>
  <si>
    <t>Resgatar ilustração de pai e filha fazendo bolo de laranja. Veio de: g23_mdn_lt_5npm_p074. Código antigo: i0839cz_5pmm_g19_mdn_ef
AJUSTE: cortar imagem para que não sangre, deixar os cantos arredondados.</t>
  </si>
  <si>
    <t>i0804_5p011m_g27_e001</t>
  </si>
  <si>
    <t>Compor ilustração de uma torta salgada (pode ser de frango) dividida em 12 pedaços iguais, conforme imagem apresentada (a ref. é fria).</t>
  </si>
  <si>
    <t>FINALIZADA: 08/08</t>
  </si>
  <si>
    <t>g0789_5p011m_g27_e001</t>
  </si>
  <si>
    <t>Resgatar ilustração de um gráfico de setores de consumo de energia elétrica. Veio de: g23_mdn_lt_5npm_p094. Código antigo: gt1419ri_5npm_g23_mdn_aj
AJUSTE 1: atualizar dados para as seguintes informações:
Residências: \frac{31}{100}; Indústrias: \frac{7}{20}; Comércio: \frac{19}{100}; Outros: \frac{3}{20}
AJUSTE 2: compor fio preto em torno dos setores conforme padrão.</t>
  </si>
  <si>
    <t>i0790_5p011m_g27_e001</t>
  </si>
  <si>
    <t>Resgatar ilustração em espelho de duas crianças da página 108 do g23_mdn_lt_5npm_p104a111_u5. Código antigo i1015mm_5pmm_g19_mdn
AJUSTE: adequar il para apenas uma página de modo que não sangre e fique dentro do grid, conforme referência</t>
  </si>
  <si>
    <t>i1009_5p011m_g27_e001</t>
  </si>
  <si>
    <t>Ilustração de uma sequência de polígonos irregulares, de mesma cor. A primeira figura deve ser um triângulo, a segunda um pentágono (5 lados), a terceira um heptágono (7 lados), a quarta um eneágono (9 lados). Após o eneágono, compor reticências (ver no padrão de ils), para indicar que a sequência continua. Os polígonos dessa sequência não devem ser regulares.</t>
  </si>
  <si>
    <t>i1013_5p011m_g27_e001</t>
  </si>
  <si>
    <t>Ilustração de um pentágono não regular.</t>
  </si>
  <si>
    <t>i1014_5p011m_g27_e001</t>
  </si>
  <si>
    <t>Ilustração de um eneágono regular.</t>
  </si>
  <si>
    <t>i1015_5p011m_g27_e001</t>
  </si>
  <si>
    <t>Ilustração de um hexágono não regular.</t>
  </si>
  <si>
    <t>if1206_5p011m_g27_e001</t>
  </si>
  <si>
    <t>Resgatar a ilustração da página 189 do g23_mdn_5pm, que apresenta uma casa com placas solares. Código antigo if1298Acm_5pmm_g19_mdn
AJUSTE: cropar para não sangrar, adequar ao grid.</t>
  </si>
  <si>
    <t>ILUSTRAÇÃO DE CÁTIA GERMANO/ARQUIVO DA EDITORA.
FOTO: CW CRAFTSMAN/SHUTTERSTOCK</t>
  </si>
  <si>
    <t>g1163_5p011m_g27_e001</t>
  </si>
  <si>
    <t>Compor gráfico de barras verticais para representar os dados do quadro a seguir. O eixo vertical pode ser dividido de 0,4 em 0,4 até 2,4.
Ano	Quantidade (em milhões)
2016	2,112 2022	1,881 2023	1,607</t>
  </si>
  <si>
    <t>g1205_5p011m_g27_e001</t>
  </si>
  <si>
    <t>Ilustração de um gráfico de setores, com os seguintes dados:
Sim: 15%;
Não: 85%</t>
  </si>
  <si>
    <t>m1195_5p011m_g27_e001</t>
  </si>
  <si>
    <t>Resgatar ilustração de mapa do Brasil da página 155 do g23_mdn_lt_5npm. Código antigo m1287re_5pmm_g19_mdn
AJUSTE: inserir a legenda dos fios que indicam os limites estaduais e nacionais, conforme padrão. Também separar em códigos A, B e C, sendo m1195A: mapa principal, m1195B: mapinha de localização e m1195C: legenda</t>
  </si>
  <si>
    <t>g1196_5p011m_g27_e001</t>
  </si>
  <si>
    <t>Resgatar ilustração do gráfico de setores da página 156 do g23_mdn_lt_5npm. Código antigo gt2233ri_5npm_g23_mdn_aj
AJUSTE 1: Atualizar para padrão de contorno com fio preto no gráfico.
AJUSTE 2: Atualizar o gráfico de setor com os seguintes dados:
18 a 23 anos: 36%;
24 a 34 anos: 42,9%;
35 a 44 anos: 15,6%;
Acima de 45 anos: 5,5%.</t>
  </si>
  <si>
    <t>i1325_5p011m_g27_e001</t>
  </si>
  <si>
    <t>Resgatar ilustração de uma prateleira com garrafas de suco de 1 litro a venda; disponível em; g23_mdn_lt_5npm_p223_u10 codigo i1426rl_5pmm_g19_mdn_ef
AJUSTE: ajustar de modo que não sangre na página, atualizar os preços dos produtos (suco de 200 ml: R$ 3,59; suco de 1 L: 13,90) e trocar o l cursivo para o L caixa alta, usado como notação de litro na obra.</t>
  </si>
  <si>
    <t>i1327_5p011m_g27_e001</t>
  </si>
  <si>
    <t>Resgatar ilustração de uma etiqueta de preço de combustível do POSTO A; disponível em; g23_mdn_lt_5npm_p224_u10 código i2617lm_5npm_g23_mdn_aj
AJUSTE: atualizar valores: Etanol: R$ 3,79 e Gasolina: R$ 6,12.</t>
  </si>
  <si>
    <t>i1328_5p011m_g27_e001</t>
  </si>
  <si>
    <t>Resgatar ilustração de uma etiqueta de preço do POSTO B; disponível em; g23_mdn_lt_5npm_p224_u10 código i2618lm_5npm_g23_mdn_aj
AJUSTE: atualizar valores: Etanol: R$ 4,14 e Gasolina: R$ 6,22.</t>
  </si>
  <si>
    <t>i1329_5p011m_g27_e001</t>
  </si>
  <si>
    <t>Resgatar ilustração de uma mulher comprando um litro de leite; disponível em; g23_mdn_lt_5npm_p225_u10 codigo i2619mm_5npm_g23_mdn_aj
AJUSTE: Não sangrar e atualizar a promoção de leite. De: R$ 5,59 por R$ 4,99</t>
  </si>
  <si>
    <t>i1330_5p011m_g27_e001</t>
  </si>
  <si>
    <t>Resgatar e ajustar ilustração de uma anotação em uma caderneta no dia 22 nov; disponível em; g23_mdn_lt_5npm_p226_u10 codigo i2620ca_5npm_g23_mdn_aj
AJUSTE: trocar a data para 17 NOV.</t>
  </si>
  <si>
    <t>i1336_5p011m_g27_e001</t>
  </si>
  <si>
    <t>Resgatar um bilhete de cinema disponível em g19_2pmm_lt_u9_p204a211 código antigo i1840sl_2pmm_g19_mdn
AJUSTE: Aproveitar a forma do bilhete e compor uma cor fundo (pode deixar ele todo amarelo) e trocar as informações pelas seguintes (ver ref para disposição das infos):
Cine Paris / As aventuras de Tom Tom / Data: 12/07/2027 / Horário: 16 h 45 min / Duração: 128 min</t>
  </si>
  <si>
    <t>i1377_5p011m_g27_e001</t>
  </si>
  <si>
    <t>Ilustração de uma sala de aula, com os estudantes (de aproximadamente 11 anos) de costas para o leitor (não precisa aparecer eles, mas é necessário que dê para entender que é uma sala de aula com estudantes. O que aparecer como estudante, deve ser diversificado, mesmo que de costas: se aparecer apenas parte da cabeça, diversificar o cabelo, se aparecer parte do corpo, diversificar a cor, e assim por diante (exemplo, aparecer quatro estudantes de costas, sendo, um menino branco cabelo preto, uma menina ruiva, cabelo preso em um rabo de cavalo, um menino negro, e uma menina parda, cabelos castanhos, curtos até o ombro). Na frente da sala, próximo a lousa, deve ter uma mulher de aproximadamente 35 anos, branca, loira, com um jaleco (ela é a professora da turma). Ilustrá-la com a boca aberta, pois será adicionado um balão de fala nela.</t>
  </si>
  <si>
    <t>ni</t>
  </si>
  <si>
    <t>r:04/08 f:06/08</t>
  </si>
  <si>
    <t>i1378_5p011m_g27_e001</t>
  </si>
  <si>
    <t>ilustração de uma mulher parda atuando como pilota de avião, trajada como se estivesse de uniforme, pode ser uma camisa branca, com as identificações nos ombros (listras preta e amarela). Ela deve estar sentada na cabine do avião e, em pé, na porta da cabine um homem de traços orientais (camisa e gravata) está atuando como comissário de bordo. Ele pode estar na porta da cabine, com uma das mãos na porta e na outra segurando uma bandeja. Ela deve estar com a boca aberta como se estivesse falando pois será inserido balão de fala. Ambos podem ter, aproximadamente, 40 anos.</t>
  </si>
  <si>
    <t>i1375_5p011m_g27_e001</t>
  </si>
  <si>
    <t>Ilustração de um retângulo com medidas de 9 cm de comprimento por 2 cm de largura. Indicar essas medidas</t>
  </si>
  <si>
    <t>i1525_5p011m_g27_e001</t>
  </si>
  <si>
    <t>Resgatar ilustração de 3 crianças com uniforme escolar em uma sala de aula, com uma das crianças segurando uma bola de futebol. A ilustração veio do Pitanguá Mercado volume 5, página 221; código antigo: i1826Cso_5npm_m20_mdn
AJUSTE: Aumentar a ilustração horizontalmente.</t>
  </si>
  <si>
    <t>i1526_5p011m_g27_e001</t>
  </si>
  <si>
    <t>Resgatar ilustração de três crianças usando um uniforme escolar, em que uma delas está segurando uma bola de futebol, e as crianças estão próximas de um arbusto e uma pedra. A ilustração veio do Pitanguá Mercado volume 5, página 220; código antigo i1826Bso_5npm_m20_mdn
AJUSTE 1: Ampliar cenários para aumentar a imagem horizontalmente. 
AJUSTE 2: mover o arbusto e a pedra para a direita, afastando das crianças.
AJUSTE 3: Ajustar o braço da menina branca, de maneira em que ela esteja apontando para a nova localização do arbusto e pedra de acordo com ajuste 1.
Se necessário, aumentar a imagem verticalmente para fechar a página.</t>
  </si>
  <si>
    <t>i1527_5p011m_g27_e001</t>
  </si>
  <si>
    <t>Resgatar ilustração de três crianças desenhando em um papel um mapa do tesouro. A Ilustração veio do Pitanguá Mercado volume 5, página 221; código antigo: i1826Dso_5npm_m20_mdn.psd
AJUSTE 1: Remover o papel, as canetinhas e os lápis, de maneira que as crianças estejam de mãos vazias.
AJUSTE 2: Ajustar o olhar das crianças de maneira que o menino loiro e menina branca estejam olhando para a menina negra.
AJUSTE 3: Ajustar os braços do menino loiro e da menina branca, movendo-os para baixo. Além disso, ajustar os braços da menina negra, deixando-os levantados, como se ela estivesse articulando algo.
AJUSTE 4: Inserir sobre a mesa uma cartolina enrolada.</t>
  </si>
  <si>
    <t>i1528_5p011m_g27_e001</t>
  </si>
  <si>
    <t>Resgatar ilustração de três crianças desenhando em um papel um mapa do tesouro. A ilustração veio do Pitanguá Mercado volume 5, página 221; código antigo: i1826Dso_5npm_m20_mdn.psd
AJUSTE: trocar o arbusto que está no centro da folha por um banco de madeira.</t>
  </si>
  <si>
    <t>i1529_5p011m_g27_e001</t>
  </si>
  <si>
    <t>Resgatar ilustração de três crianças, utilizando um mapa do tesouro, e procurando algo. A ilustração veio do Pitanguá Mercado volume 5, página 220; código antigo: i1826Aso_5npm_m20_mdn.
AJUSTE 1: Ampliar cenário para aumentar a imagem horizontalmente.
AJUSTE 2: Ilustrar uma árvore no canto direito da imagem (após a ampliação horizontal), em que atrás dela, no chão, terá um estojo. Esse estojo não estará completamente visível para o estudante, ele deve estar vazando um pouco. A ideia aqui é levar o leitor a compreender que o estojo está escondido atrás da árvore.
Se necessário, aumentar a imagem verticalmente para fechar a página.</t>
  </si>
  <si>
    <t>i1531_5p011m_g27_e001</t>
  </si>
  <si>
    <t>Ilustrar malha quadriculada 8x8, em que no eixo horizontal terá das letras de A até H, e no eixo vertical, de 1 a 8. Além disso, na malha, terá quadrados pintados, conforme indicado. Manter as cores indicadas.</t>
  </si>
  <si>
    <t>i1530_5p011m_g27_e001</t>
  </si>
  <si>
    <t>Resgatar ilustração do deslocamento de uma tartaruga em um plano cartesiano; disponível em; g23_mdn_lt_5npm_p190_u8 código gt1824_5pmm_g19_mdn
AJUSTE 1: retirar a tartaruga, o caminho em vermelho e os pontos
Ajuste 2: inserir os pontos A(2, 3), B (4, 5) e C(7, 8).</t>
  </si>
  <si>
    <t>i6203_3p011m_g27_e001</t>
  </si>
  <si>
    <t>Ilustração da planificação de um cubo com alguns elementos desenhados, conforme referência. Fazer a ilustração em preto e branco. Manter as imagens que estão nas faces e trocar apenas   por uma estrela.
A ilustração deve ser pequena, pois vai entrar no rodapé do MPU, junto com os cubos. Não deve ter mais do que 5 cm de altura.</t>
  </si>
  <si>
    <t>i6204_3p011m_g27_e001</t>
  </si>
  <si>
    <t>Il. de um cubo, em preto em branco com os símbolos apresentados sendo com os mesmos elementos da i6203_3p011m já montado. A il. deve ser pequena, pois vai entrar no rodapé do MPU. Deve ser proporcional a planificação da i6203_3p011m. Fazer conforme a referência a seguir.</t>
  </si>
  <si>
    <t>i6205_3p011m_g27_e001</t>
  </si>
  <si>
    <t>Il. de um cubo, em preto em branco com os símbolos apresentados sendo com os mesmos elementos da i6203_3p011m já montado. A il. deve ser pequena, pois vai entrar no rodapé do MPU. Deve ser proporcional a planificação da i6203_3p011m. Essa é a resposta da atividade, deve estar montada corretamente de acordo com o molde da i6203_3p011m, conforme a referência a seguir.</t>
  </si>
  <si>
    <t>g1725_5p011m_g27_e001</t>
  </si>
  <si>
    <t>Resgatar gráfico de filmes recordistas em bilheteria da página 98 do g23_mdn_lt_5npm_p096a103_u5. Código antigo gt1810ri_5npm_g23_mdn_aj
AJUSTE 1: Trocar as informações do gráfico para os seguintes dados:
Avatar (2009): 2,92; Vingadores Ultimato (2019): 2,8; Avatar: O Caminho da Água (2022): 2,32; Titanic (1997): 2,26; Star Wars: O Despertar da Força (2015): 2,07.
Além disso, inserir os valores dos filmes em cima de suas respectivas barras.
OBS: Apresentar essas informações da esquerda para a direita, em ordem decrescente.
AJUSTE 2: compor fio preto em torno das barras conforme padrão</t>
  </si>
  <si>
    <t>i1946_5p011m_g27_e001</t>
  </si>
  <si>
    <t>resgatar Ilustração de pilha de cubo azul da página 239 do arquivo g23_mdn_lt_5npm_p229a241_u10. Código antigo: it2261_5pmm_g19_mdn.
AJUSTE: deixar apenas um cubinho, não alterar o tamanho</t>
  </si>
  <si>
    <t>RESGATE OCM AJUSTE</t>
  </si>
  <si>
    <t>i1728_5p011m_g27_e001</t>
  </si>
  <si>
    <t>Inserir ilustração de um adulto negro e uma mulher branca (ambos de 42 anos) com seu filho, de aproximadamente 11 anos, moreno, passeando pela feira. Próximo deles deve ter uma barraca de frutas, podendo aparecer frutas variadas como melancia, laranjas e maçãs. A criança deve apontar para essa barraca com entusiasmo. Será adicionado um balão de fala na criança, ela deve ter a boca como se estivesse falando.</t>
  </si>
  <si>
    <t>se</t>
  </si>
  <si>
    <t>i1727_5p011m_g27_e001</t>
  </si>
  <si>
    <t>Ilustração da mesma família da il. i1728_5p011m, porém, agora eles devem estar em casa preparando uma refeição juntos na cozinha, com alimentos frescos sobre a bancada (frutas, arroz, feijão, legumes). A criança deve estar lavando uma cenoura. No menino e na mulher serão adicionados balões de fala.</t>
  </si>
  <si>
    <t>i1947_5p011m_g27_e001</t>
  </si>
  <si>
    <t>Ilustração de um termômetro digital do padrão (verde) marcando 37,9 °C.</t>
  </si>
  <si>
    <t>FINALIZADA: 13/08</t>
  </si>
  <si>
    <t>i1948_5p011m_g27_e001</t>
  </si>
  <si>
    <t>Ilustração de um termômetro digital do padrão (verde) marcando 36,4 °C.</t>
  </si>
  <si>
    <t>i1925_5p011m_g27_e001</t>
  </si>
  <si>
    <t>Resgatar ilustração da previsão do tempo da página 243 do g23_mdn_lt_5npm. Código antigo i2283rn_5pmm_g19_mdn</t>
  </si>
  <si>
    <t>g1926_5p011m_g27_e001</t>
  </si>
  <si>
    <t>Resgatar ilustração gráfico de linhas da página 244 do g23_mdn_lt_5npm. Código antigo gt4204ri_5npm_g23_mdn_aj
AJUSTE: retirar elementos em cor resposta</t>
  </si>
  <si>
    <t>i1927_5p011m_g27_e001</t>
  </si>
  <si>
    <t>Resgatar ilustração de planilha em tela de computador da página 245 do g23_mdn_lt_5npm. Código antigo i2285_5pmm_g19_mdn</t>
  </si>
  <si>
    <t>i1928_5p011m_g27_e001</t>
  </si>
  <si>
    <t xml:space="preserve">Resgatar ilustração de planilha em tela de computador com o gráfico construído da página 245 do g23_mdn_lt_5npm. Código antigo i4205ba_5npm_g23_mdn_aj.
AJUSTE: Trocar o título do gráfico, deve ser:
Medida da temperatura registrada pelos estudantes de uma escola às 9 horas, durante cinco dias de certa semana, em junho de 2025 </t>
  </si>
  <si>
    <t>i1931_5p011m_g27_e001</t>
  </si>
  <si>
    <t>Resgatar ilustração de cartaz de açougue da página 248 do g23_mdn_lt_5npm. Código antigo i2247rn_5pmm_g19_mdn
AJUSTE: Ajustar os preços das carnes com os seguintes valores:
Acém: R$ 49,00; Alcatra: R$ 56,00; Coxão mole: R$ 49,00; Fraldinha: R$ 60,00; Músculo: R$ 32,00; Patinho: R$ 50,00; Picanha: R$ 82,00
Além disso, excluir nome do açougue, deixar apenas AÇOUGUE.</t>
  </si>
  <si>
    <t>i1950_5p011m_g27_e001</t>
  </si>
  <si>
    <t>Ilustração de uma tabela nutricional. Com as informações apresentadas a seguir. Pode ser usado o mesmo estilo que foi feito na i1159rm_3p011m_g27_e001
INFORMAÇÃO NUTRICIONAL
Porção por embalagem: Cerca de 17 porções
Porção: \mathbf{60}\mathrm{\ g} (\frac{\mathbf{1}}{\mathbf{3}} de xícara de chá)
	\mathbf{100}\mathrm{\ }g	6\mathbf{0}\mathrm{\ g}	% VD
Valor energético (kcal)	341	205\mathrm{\ }	10
Carboidratos (g)	62,4	37,8	13; Açúcares totais (g)	2,1	1,3	**;   Açúcares adicionados (g)	\ 0	0	0; Proteínas (g)	21,6	13	17; Gorduras totais (g)	1,42	0,85	2;   Gorduras saturadas (g)	0,4	0,2	1;   Gorduras trans (g)	0	0	**; Fibra alimentar (g)	15,5	9,5	38; Sódio (mg)	5	3	0,1; Cálcio (mg)	123	73,8	7; Ferro (mg)	5	3	21; Fósforo (mg)	352	211,2	30
VD: valores diários com base em uma dieta de 2\ 000\ \mathrm{kcal}.
** Valor não especificado.</t>
  </si>
  <si>
    <t>i1951_5p011m_g27_e001</t>
  </si>
  <si>
    <t>Ilustração de um paralelepípedo reto. Esse paralelepípedo deve ter a proporção 30 cm de comprimento, 20 cm de largura e 15 de cm altura. Compor cotas indicando essas medidas.</t>
  </si>
  <si>
    <t>i1768_4p011m_g27_e001</t>
  </si>
  <si>
    <t>seta roxa do projeto, codigo feito para diag aplicar, para nao dar erro no digital</t>
  </si>
  <si>
    <t>DIAG</t>
  </si>
  <si>
    <t>i1769_4p011m_g27_e001</t>
  </si>
  <si>
    <t>seta preta do projeto, codigo feito para diag aplicar, para nao dar erro no digital</t>
  </si>
  <si>
    <t>i1770_4p011m_g27_e001</t>
  </si>
  <si>
    <t>seta verde do projeto, codigo feito para diag aplicar, para nao dar erro no digital</t>
  </si>
  <si>
    <t>i1771_4p011m_g27_e001</t>
  </si>
  <si>
    <t>seta amarela do projeto, codigo feito para diag aplicar, para nao dar erro no digital</t>
  </si>
  <si>
    <t>i6206_3p011m_g27_e001</t>
  </si>
  <si>
    <t>Il. de uma reta numérica no padrão da obra de 0 a 2100 (não indicar 2100, deixar ponta de seta). Nessa reta, estará destacado o número 370, 1917 e 1997. Sobre esses números, estarão indicados os seguintes textos:
370: Hipátia de Alexandria (370);
1917: Maria Laura Mouzinho Leite Lopes (1917);
1997: Maryam Mirzakhani (1997).
Ver print REFERÊNCIA a seguir (não usar as bolinhas para indicar o local de cada número na reta, isso é referência).</t>
  </si>
  <si>
    <t>i6207_3p011m_g27_e001</t>
  </si>
  <si>
    <t xml:space="preserve">Il. de um retângulo construído a partir de 4 peças do tangram. Ilustrar as cores das peças na mesma tonalidade do it4205_3npm_g23_mdn_re. Atenção: A imagem deve ser pequena, no máximo 3,5 cm de largura pois vai entrar na lateral do MPU </t>
  </si>
  <si>
    <t>i6208_3p011m_g27_e001</t>
  </si>
  <si>
    <t>resgatar ilustração de um barco montada com peças de um tangram. Veio de: g23_mdn_mp_3npm_p120. Código antigo: it4206_3npm_g23_mdn_re</t>
  </si>
  <si>
    <t>i6212_3p011m_g27_e001</t>
  </si>
  <si>
    <t xml:space="preserve">Il. de um quadrado construído a partir de 2 peças do tangram. Ilustrar as cores das peças na mesma tonalidade do it4205_3npm_g23_mdn_re.
Atenção: A imagem deve ser pequena, no máximo 3,5 cm de largura pois vai entrar na lateral do MPU </t>
  </si>
  <si>
    <t>i6213_3p011m_g27_e001</t>
  </si>
  <si>
    <t xml:space="preserve">Il. de um triângulo construído a partir de 3 peças do tangram. Ilustrar as cores das peças na mesma tonalidade do it4205_3npm_g23_mdn_re.
Atenção: A imagem deve ser pequena, no máximo 3,5 cm de largura pois vai entrar na lateral do MPU </t>
  </si>
  <si>
    <t>i6214_3p011m_g27_e001</t>
  </si>
  <si>
    <t>resgatar ilustração de uma casa montada com peças de um tangram. Veio do manual do: g23_mdn_mp_3npm_p120. Código antigo: it4205_3npm_g23_mdn_re</t>
  </si>
  <si>
    <t>i6209_3p011m_g27_e001</t>
  </si>
  <si>
    <t>resgatar ilustração de um retângulo formado por vários triângulos. Veio de: g23_mdn_mp_3npm_p123. Código antigo: it4207_3npm_g23_mdn_re</t>
  </si>
  <si>
    <t>i6210_3p011m_g27_e001</t>
  </si>
  <si>
    <t>resgatar ilustração de um quadrado formado por vários triângulos. Veio de: g23_mdn_mp_3npm_p123. Código antigo: it4208_3npm_g23_mdn_re</t>
  </si>
  <si>
    <t>i6211_3p11m_g27_e001</t>
  </si>
  <si>
    <t>resgatar ilustração de um triângulo formado por vários triângulos. Veio de: g23_mdn_mp_3npm_p123. Código antigo: it4209_3npm_g23_mdn_re</t>
  </si>
  <si>
    <t xml:space="preserve">i6221_3p011m_g27_e001  </t>
  </si>
  <si>
    <t xml:space="preserve">Il. de uma régua no padrão da obra, até 20 cm. Ela não precisa estar em verdadeira grandeza. Compor bolinhas que pareçam adesivos de relevo nas marcações dos centímetros. Nos números 0, 10 e 20 devem ter 3 bolinhas, os números 5 e 15 duas bolinhas, os demais números devem ter uma bolinha. A cor da bolinha só deve dar contraste com a cor da régua para melhor visualização. 
Atenção a imagem não pode ter mais do que 5 cm de altura pois vai entrar no rodapé da página. </t>
  </si>
  <si>
    <t>i6222_3p011m_g27_e001</t>
  </si>
  <si>
    <t>resgatar ilustração de duas mãos representando o número 9 nos dedos. Veio de: g23_mdn_mp_3npm_p179. Código antigo: i4212_3npm_g23_mdn_re</t>
  </si>
  <si>
    <t>i6223_3p011m_g27_e001</t>
  </si>
  <si>
    <t>Ilustração de um quadrado, em que nos vértices (seguindo em ordem de linha), terá os números 24; 48; 36; 72</t>
  </si>
  <si>
    <t>i6224_3p011m_g27_e001</t>
  </si>
  <si>
    <t>Ilustração de um quadrado, em que nos vértices (seguindo em ordem de linha), terá os números 34; 102; 51; 153.</t>
  </si>
  <si>
    <t>i6225_3p011m_g27_e001</t>
  </si>
  <si>
    <t>Ilustração de um quadrado, em que nos vértices (seguindo em ordem de linha), terá os números 14; 56; 21; 84</t>
  </si>
  <si>
    <t>i6226_3p011m_g27_e001</t>
  </si>
  <si>
    <t>Ilustração de um quadrado, em que nos vértices (seguindo em ordem de linha), terá os números 52; ?; 78; 390.</t>
  </si>
  <si>
    <t>i6227_3p011m_g27_e001</t>
  </si>
  <si>
    <t>Resgatar a malha quadriculada com caminho código: i1223zz_3pmm_g19_mdn.
Ajuste 1: Reduzir a imagem para no máximo 5 cm, pois vai entrar no MPU.
Ajuste 2: Aumentar as letras A e B para que dê leitura na imagem reduzida.
Ajuste 3: Trocar a cor do caminho (sem ser resposta) e se possível deixar o fio um pouco mais grosso para dar leitura.</t>
  </si>
  <si>
    <t>i6228_3p011m_g27_e001</t>
  </si>
  <si>
    <t>Resgatar e ajustar ilustração de uma malha quadriculada com quadradinhos de 1 cm, com 4 linhas e 10 colunas, e nele há dois pontos A e B. Ele veio da página 239 do 3p011m_LT com o código i1742_3p011m_g27_e001.
AJUSTE: Compor fio ligando os pontos A e B conforme indicado na referência.</t>
  </si>
  <si>
    <t>i6229_3p011m_g27_e001</t>
  </si>
  <si>
    <t>resgatar ilustração de um caminho desenhado no GPS. Veio de: g23_mdn_mp_3npm_p166. Código antigo: i4211_3npm_g23_mdn_re</t>
  </si>
  <si>
    <t>i6230_3p011m_g27_e001</t>
  </si>
  <si>
    <t>Resgatar ilustração da parte da cidade do g23_mdn_lt-3npm_p130. código antigo: i1215zz_3pmm_g19_mdn.
Ajuste 1: Reduzir a imagem para que fique com no máximo 5 cm de altura.
Ajuste 2: Aumentar o nome das ruas o máximo possível. Em relação aos nomes dos estabelecimentos, deixar apenas a Escola, o Mercado e a Casa de Pedro, aumentando o que for possível para dar leitura. Se necessário fazer o uso de cotas.
Ajuste 3: Trocar a cor do fio de resposta para outro que dê mais contraste. Deixar o fio mais grosso, para ter melhor visualização.</t>
  </si>
  <si>
    <t>i6101_5p011m_g27_e001</t>
  </si>
  <si>
    <t>Resgatar ilustração menino com cartas roxas na mesa; g23_mdn_lt_5npm_p262; código antigo i2385mm_5npm_m20_mdn_ef</t>
  </si>
  <si>
    <t>i6102_5p011m_g27_e001</t>
  </si>
  <si>
    <t>Resgatar ilustração triângulo escaleno verde com lado de medidas 3cm, 4cm e 5cm; g23_mdn_lt_5npm_p262</t>
  </si>
  <si>
    <t>cj</t>
  </si>
  <si>
    <t>i6103_5p011m_g27_e001</t>
  </si>
  <si>
    <t>Resgatar ilustração triângulo isósceles verde com lado de medidas 3cm, 3cm e 4cm; g23_mdn_lt_5npm_p262</t>
  </si>
  <si>
    <t>i6104_5p011m_g27_e001</t>
  </si>
  <si>
    <t>Resgatar ilustração triângulo equilátero verde com lados de medida 4cm; g23_mdn_lt_5npm_p262</t>
  </si>
  <si>
    <t>g6106_5p011m_g27_e001</t>
  </si>
  <si>
    <t>Resgatar gráfico/ilustração medidas das temperaturas mínimas registradas pela prefeitura de uma cidade; g23_mdn_lt_5npm_p263; código antigo gt3826ri_5npm_g23_mdn_aj</t>
  </si>
  <si>
    <t>g6107_5p011m_g27_e001</t>
  </si>
  <si>
    <t>Resgatar gráfico/ilustração medidas das temperaturas máximas registradas pela prefeitura de uma cidade; g23_mdn_lt_5npm_p263; código antigo gt3825ri_5npm_g23_mdn_aj</t>
  </si>
  <si>
    <t>i6108_5p011m_g27_e001</t>
  </si>
  <si>
    <t>Resgatar ilustração planificação de um prisma de base pentagonal; g23_mdn_lt_5npm_p260; código antigo it2354_5npm_m20_mdn</t>
  </si>
  <si>
    <t>i6109_5p011m_g27_e001</t>
  </si>
  <si>
    <t>Resgatar ilustração paralelepípedo formado por 80 cubos amarelos; g23_mdn_lt_5npm_p263; código antigo it2747_5npm_m20_mdn</t>
  </si>
  <si>
    <t>i6231_3p011m_g27_e001</t>
  </si>
  <si>
    <t xml:space="preserve">resgatar il de relógio marcando 7 horas em cor resposta veio do g23_mdn_lt_3npm_p210 código antigo i3842zz_3npm_g23_mdn_aj.
AJUSTAR: os ponteiros não devem estar em magenta, devem estar na cor do padrão. Deixar de tamanho menor (cerca de 5 cm) para entrar no manual.
</t>
  </si>
  <si>
    <t>i6232_3p011m_g27_e001</t>
  </si>
  <si>
    <t xml:space="preserve">resgatar il de relógio marcando 4 horas e meia em cor resposta veio do g23_mdn_lt_3npm_p210 código antigo i3843zz_3npm_g23_mdn_aj.
AJUSTAR: os ponteiros não devem estar em magenta, devem estar na cor do padrão. Deixar de tamanho menor (cerca de 5 cm) para entrar no manual.
</t>
  </si>
  <si>
    <t>i6233_3p011m_g27_e001</t>
  </si>
  <si>
    <t>Ilustração de um relógio de ponteiros do padrão em tamanho menor (cerca de 5 cm) marcando 4h</t>
  </si>
  <si>
    <t>i6234_3p011m_g27_e001</t>
  </si>
  <si>
    <t>Ilustração de um relógio de ponteiros do padrão em tamanho menor (cerca de 5 cm) marcando 6h25.</t>
  </si>
  <si>
    <t>i6235_3p011m_g27_e001</t>
  </si>
  <si>
    <t>Ilustração de um relógio de ponteiros do padrão em tamanho menor (cerca de 5 cm) marcando 8h50.</t>
  </si>
  <si>
    <t>i6236_3p011m_g27_e001</t>
  </si>
  <si>
    <t xml:space="preserve">Ilustração de um relógio de ponteiros do padrão em tamanho menor (cerca de 5 cm) sem os ponteiros. Sobre esse relógio, compor um ponto de interrogação, indicando que o horário é desconhecido. </t>
  </si>
  <si>
    <t>i6131_5p011m_g27_e001</t>
  </si>
  <si>
    <t>Material 
complementar</t>
  </si>
  <si>
    <t xml:space="preserve">Resgatar ilustração do molde de uma pirâmide de base pentagonal do g27_lt_4p011m, código i6108ct_4p011m_g27_e001_aj.
AJUSTE: ajustar para a cor roxa em “PRINCIPAL” pois como na atividade cita a cor seria melhor ficar mais evidente.
</t>
  </si>
  <si>
    <t>i6132_5p011m_g27_e001</t>
  </si>
  <si>
    <t xml:space="preserve">Resgatar ilustração de um molde de um prisma de base triangular na cor verde do g27_lt_4p011m, código i6110sl_4p011m_g27_e001_aj.
AJUSTE: deixar tom de verde em “PRINCIPAL” pois como na atividade cita a cor seria melhor ficar mais evidente.
</t>
  </si>
  <si>
    <t>i6133_5p011m_g27_e001</t>
  </si>
  <si>
    <t xml:space="preserve">Resgatar ilustração de um retângulo dividido em duas partes iguais, em que o fio que o contorna, é pontilhado do g23_mdn_lt_5npm, código antigo it2603_5pmm_g19_mdn 
AJUSTE: diminuir um pouco a altura de modo que caiba todo o conteúdo dessa página.
</t>
  </si>
  <si>
    <t>i6134_5p011m_g27_e001</t>
  </si>
  <si>
    <t xml:space="preserve">Resgatar ilustração de um retângulo dividido em 8 partes iguais, em que o fio que o contorna, é pontilhado do g23_mdn_lt_5npm, código antigo it2604_5pmm_g19_mdn 
AJUSTE: diminuir um pouco a altura de modo que caiba todo o conteúdo dessa página.
</t>
  </si>
  <si>
    <t>i6135_5p011m_g27_e001</t>
  </si>
  <si>
    <t xml:space="preserve">Resgatar ilustração de um retângulo dividido em 14 partes iguais, em que o fio que o contorna, é pontilhado do g23_mdn_lt_5npm, código antigo it2605_5pmm_g19_mdn 
AJUSTE: diminuir um pouco a altura de modo que caiba todo o conteúdo dessa página.
</t>
  </si>
  <si>
    <t>i6136_5p011m_g27_e001</t>
  </si>
  <si>
    <t xml:space="preserve">Resgatar ilustração de um retângulo dividido em 18 partes iguais, em que o fio que o contorna, é pontilhado do g23_mdn_lt_5npm, código antigo it2606_5pmm_g19_mdn 
AJUSTE: diminuir um pouco a altura de modo que caiba todo o conteúdo dessa página.
</t>
  </si>
  <si>
    <t>i6137_5p011m_g27_e001</t>
  </si>
  <si>
    <t xml:space="preserve">Resgatar ilustração quadrado amarelo; g23_mdn_lt_5npm_p267; código antigo it2611_5pmm_g19_mdn
AJUSTE: reduzir um pouco o tangram de maneira proporcional de modo que caiba todo o conteúdo dessa página.
</t>
  </si>
  <si>
    <t>i6138_5p011m_g27_e001</t>
  </si>
  <si>
    <t>Resgatar ilustração molde, planificação de um dado roxo; g23_mdn_lt_5npm_p269; código antigo i2608so_5pmm_g19_mdn
AJUSTE: letras em negativo não estão visíveis, ver contraste checker e ajustar essa igual a i1516_5p011m_g27_e001 e da i1517_5p011m_g27_e001</t>
  </si>
  <si>
    <t>i6139_5p011m_g27_e001</t>
  </si>
  <si>
    <t>Resgatar ilustração molde, planificação de um dado azul; g23_mdn_lt_5npm_p269; código antigo
i2609so_5pmm_g19_mdn
AJUSTE: pontos do dado não estão visíveis, ver contraste checker e ajustar essa igual a
i1516_5p011m_g27_e001 e da i1517_5p011m_g27_e001</t>
  </si>
  <si>
    <t>i6140_5p011m_g27_e001</t>
  </si>
  <si>
    <t xml:space="preserve">Resgatar e ajustar ilustração molde de peões verde; g23_mdn_lt_5npm_p269; código antigo i2610so_5pmm_g19_mdn_LOcopy1
AJUSTE: cropar a il deixando apenas o peão verde para esse código
</t>
  </si>
  <si>
    <t>i6141_5p011m_g27_e001</t>
  </si>
  <si>
    <t xml:space="preserve">Resgatar e ajustar ilustração molde de peões amarelo; g23_mdn_lt_5npm_p269; código antigo i2610so_5pmm_g19_mdn_LOcopy1
AJUSTE: cropar a il deixando apenas o peão amarelo para esse código
</t>
  </si>
  <si>
    <t>i6142_5p011m_g27_e001</t>
  </si>
  <si>
    <t>Resgatar ilustração jogo de tabuleiro; g23_mdn_lt_5npm_p271; código antigo i2607so_5pmm_g19_mdn
AJUSTE: letras em negativo não estão visíveis, ver contraste Checker e ajustar igual essa a o tabuleiro da
i1517_5p011m_g27_e001 e da i1516_5p011m_g27_e001.</t>
  </si>
  <si>
    <t>i1153_4p011m_g27_e001</t>
  </si>
  <si>
    <t>Resgatar ilustração três linhas poligonais azul, verde e vermelho; g23_mdn_lt_4npm_p144. código antigo it1622_4pmm_g19_mdn</t>
  </si>
  <si>
    <t>if1614_4p011m_g27_e001</t>
  </si>
  <si>
    <t>Resgatar il+foto de um menino desenhando formas geométricas
 Veio de: g23_mdn_lt_4npm_p160. Código antigo: if1897cm_4pmm_g19_mdn_ef</t>
  </si>
  <si>
    <t>ILUSTRAÇÃO: CÁTIA GERMANI. FOTO: DENIS KOVIN/SHUTTERSTOCK</t>
  </si>
  <si>
    <t>i1016_5p011m_g27_e001</t>
  </si>
  <si>
    <t>Resgatar i0906_5p011m_g27_e001 da pág 122, do g27_e001_lt_5p011m, e codificar com esse código</t>
  </si>
  <si>
    <t xml:space="preserve">i0966_5p011m_g27_e001   </t>
  </si>
  <si>
    <t>Resgatar ilustração do tangram do g23_mdn_lt_5npm_p172; código antigo i1679_5pmm_g19_mdn</t>
  </si>
  <si>
    <t>i6203_4p011m_g27_e001</t>
  </si>
  <si>
    <t xml:space="preserve">Ilustração de um segmento de reta EF com 4 cm de comprimento.
</t>
  </si>
  <si>
    <t>i6204_4p011m_g27_e001</t>
  </si>
  <si>
    <t>Resgatar mapa do LT do volume 4, da página 105 do g27_lt_4p011m, código i0783ri_4p011m_g27_e001_aj e adicionar o caminho representado na ref. Não usar cor magenta. Deixar a imagem com 5 cm de altura para caber no manual. Verificar necessidade de ampliar nome das ruas e tamanho dos ícones para dar leitura. Caso não seja possível ampliar o nome das ruas para dar leitura é melhor excluí‐los, deixando apenas os estabelecimentos e o caminho.</t>
  </si>
  <si>
    <t>i6205_4p011m_g27_e001</t>
  </si>
  <si>
    <t>Resgatar malha quadriculada com estabelecimentos do LT do volume 4, da página 106, do g27_lt_4p011m, código i0786sl_4p011m_g27_e001_aj e adicionar o caminho representado na ref. Não usar cor magenta. Deixar a imagem com 5 cm de altura para caber no manual. Aumentar a fonte dos textos para dar leitura.</t>
  </si>
  <si>
    <t xml:space="preserve">i1380_5p011m_g27_e001 </t>
  </si>
  <si>
    <t>Resgatar il de quadradinho em magenta da página 230 do arquivo g23_mdn_lt_5npm_p229a241_u10. Não foi achado o arquivo em alta. Verificar de usar o pdf da versão passada</t>
  </si>
  <si>
    <t xml:space="preserve">i1381_5p011m_g27_e001 </t>
  </si>
  <si>
    <t>Resgatar il de 2 quadradinhos em magenta da página 230 do arquivo g23_mdn_lt_5npm_p229a241_u10. . Verificar de usar o pdf da versão passada</t>
  </si>
  <si>
    <t xml:space="preserve">i6206_4p011m_g27_e001 </t>
  </si>
  <si>
    <t xml:space="preserve">Resgatar ilustração do mesmo quadradinho alaranjado usado na página 174 do LT do g27 com o código i1144ri_4p011m_g27_e001 </t>
  </si>
  <si>
    <t>i6207_4p011m_g27_e001</t>
  </si>
  <si>
    <t xml:space="preserve">Resgatar ilustração do mesmo quadradinho azul usado na página 174 do LT do g27 com o código i1146ri_4p011m_g27_e001 </t>
  </si>
  <si>
    <t>i6208_4p011m_g27_e001</t>
  </si>
  <si>
    <t>Il. De um quadrado com alguns números e símbolos matemáticos, conforme referência.</t>
  </si>
  <si>
    <t>F: 29/08</t>
  </si>
  <si>
    <t xml:space="preserve">i6209_4p011m_g27_e001 </t>
  </si>
  <si>
    <t xml:space="preserve">Il. Do mesmo quadrado da i6208i, mas com as respostas. 
Favor deixar as respostas na cor preta, mas em bold.
</t>
  </si>
  <si>
    <t>F:29/08</t>
  </si>
  <si>
    <t>i0204_1p011m_g27_e001</t>
  </si>
  <si>
    <t>DESAFIO</t>
  </si>
  <si>
    <t xml:space="preserve">Il. de três pilhas com figurinhas sobre uma mesa, de modo que seja possível contar, sendo uma com 7 figurinhas, outra com 2 figurinhas e outra com 3 figurinhas.
Arte: as letras vão ser inseridas na diag.
</t>
  </si>
  <si>
    <t>i1234_1p011m_g27_e001</t>
  </si>
  <si>
    <t xml:space="preserve">Il. de um cartaz de promoção onde aparece 3 sabonetes e a seguinte escrita: PROMOÇÃO DE SABONETES
PAGUE 2 E LEVE 3
</t>
  </si>
  <si>
    <t>i6215_4p011m_g27_e001</t>
  </si>
  <si>
    <t>Ilustração de uma reta numérica. Nela, indicar os números 0, 3/8, 4/8, 5/8 e 1.</t>
  </si>
  <si>
    <t>Resgate com Ajuste</t>
  </si>
  <si>
    <t>i6216_4p011m_g27_e001</t>
  </si>
  <si>
    <t>Resgatar ilustração triângulo equilátero verde contendo vários triângulos equiláteros; g23_mdn_mp_4npm_p206; código antigo it2804_4pmm_g19_mdn_ef</t>
  </si>
  <si>
    <t>i6217_4p011m_g27_e001</t>
  </si>
  <si>
    <t>Resgatar ilustração triângulo equilátero verde contendo vários triângulos equiláteros; g23_mdn_mp_4npm_p206; código antigo it2805_4pmm_g19_mdn_ef</t>
  </si>
  <si>
    <t>i6210_4p011m_g27_e001</t>
  </si>
  <si>
    <t xml:space="preserve">Resgatar ilustração de números simétricos. Veio de: g23_mdn_lt_4npm_p172. Código antigo: i1891rd_4pmm_g19_mdn_ef
AJUSTE: Trocar a cor resposta para a mesma tonalidade dos outros números.
Colocar na planilha o crédito do Sergio Lima
</t>
  </si>
  <si>
    <t>i6211_4p011m_g27_e001</t>
  </si>
  <si>
    <t xml:space="preserve">Resgatar ilustração de letras simétricos. Veio de: g23_mdn_lt_4npm_p172. Código antigo: i1890rd_4pmm_g19_mdn_ef
AJUSTE: Trocar a cor resposta para a mesma tonalidade dos outros números.
Colocar na planilha o crédito do Sergio Lima
</t>
  </si>
  <si>
    <t>i6212_4p011m_g27_e001</t>
  </si>
  <si>
    <t xml:space="preserve">Resgatar ilustração de caracteres simétricos. Veio de: g23_mdn_lt_4npm_p172. Código antigo: i1917km_4pmm_g19_mdn
AJUSTE: Trocar a cor resposta para a mesma tonalidade dos outros números. Colocar na planilha o crédito do Sergio Lima
</t>
  </si>
  <si>
    <t>i6213_4p011m_g27_e001</t>
  </si>
  <si>
    <t xml:space="preserve">Resgatar ilustração de letras simétricas. Veio de: g23_mdn_lt_4npm_p172. Código antigo: i1918km_4pmm_g19_mdn
AJUSTE: Trocar a cor resposta para a mesma tonalidade das outras letras. Colocar na planilha o crédito do Sergio Lima
</t>
  </si>
  <si>
    <t>i6214_4p011m_g27_e001</t>
  </si>
  <si>
    <t xml:space="preserve">Resgatar ilustração de figuras simétricas na malha quadriculada. Veio de: g23_mdn_lt_4npm_p173. Código antigo: i1896_4pmm_g19_mdn_ef
AJUSTE: Trocar a cor resposta para a mesma cor da figura.
ATENÇÃO: A imagem deve ter menos de 5 cm pois vai entrar no rodapé do MPU
</t>
  </si>
  <si>
    <t xml:space="preserve">i6218_4p011m_g27_e001 </t>
  </si>
  <si>
    <t>Resgatar a i6221mv_3p011m_g27_e001, régua adaptada</t>
  </si>
  <si>
    <t>i0788_2p011m_g27_e001</t>
  </si>
  <si>
    <t xml:space="preserve">Il. sequência com 9 relógios no padrão da obra. No primeiro indicar 1h, no segundo 3h, no terceiro 5h e no oitavo 3h. Os demais relógios deixar sem ponteiros para o estudante desenhar os ponteiros das horas e dos minutos. 
Verificar a melhor disposição para da sequência, de modo a ocupar o espaço da página e ter o maior espaço para o estudante desenhar no relógio. Além disso, compor as setas entre os relógios. 
A seguir está o print com a sequência dos relógios.
ARTE: ver como ficar melhor para dispor os relógios. Se necessário, montar layout dessa página. Deixar os relógios de modo que o aluno consiga desenhar alguns ponteiros.
</t>
  </si>
  <si>
    <t>i6219_1p011m_g27_e001</t>
  </si>
  <si>
    <t>MP-G</t>
  </si>
  <si>
    <t xml:space="preserve">Ilustração esquemática – carteiras com crianças dispostas em círculo
Arte: a imagem a seguir é uma referência, não fazer acabamento igual. Usar como base a imagem de código antigo i0233id_2npg_m20_mdn_re
</t>
  </si>
  <si>
    <t>Excluido pela equipe</t>
  </si>
  <si>
    <t>i6220_1p011m_g27_e001</t>
  </si>
  <si>
    <t xml:space="preserve">Ilustração esquemática – carteiras com crianças dispostas em semicírculo, com uma carteira com criança no centro do semicírculo Arte: a imagem a seguir é uma referência, não fazer o acabamento igual. Usar como base a imagem de código antigo i0233id_2npg_m20_mdn_re
</t>
  </si>
  <si>
    <t>i6221_1p011m_g27_e001</t>
  </si>
  <si>
    <t xml:space="preserve">Ilustração esquemática – carteiras com crianças em 3 grupos de 6
Arte: a imagem a seguir é uma referência, não fazer acabamento igual. Usar como base a imagem de código antigo i0233id_2npg_m20_mdn_re
</t>
  </si>
  <si>
    <t>i6222_1p011m_g27_e001</t>
  </si>
  <si>
    <t xml:space="preserve">Ilustração esquemática – carteiras com crianças dispostas em duplas, uma de frente para outra, no qual cada dupla forma um círculo Arte: a imagem a seguir é uma referência, não fazer acabamento igual. Usar como base a imagem de código antigo i0233id_2npg_m20_mdn_re
</t>
  </si>
  <si>
    <t>i6204_5p011m_g27_e001</t>
  </si>
  <si>
    <t>Resgatar ilustração de 2 símbolos egípcios na página 37 do g23_mdn_mp_5npm_p036a049_u1. Código antigo: i4609_5npm_g23_mdn_re</t>
  </si>
  <si>
    <t>i6205_5p011m_g27_e001</t>
  </si>
  <si>
    <t>Resgatar ilustração do símbolo egípcio na página 37 do g23_mdn_mp_5npm_p036a049_u1. Código antigo: i4610_5npm_g23_mdn_re</t>
  </si>
  <si>
    <t>i6206_5p011m_g27_e001</t>
  </si>
  <si>
    <t>Resgatar ilustração do símbolo egípcio na página 37 do g23_mdn_mp_5npm_p036a049_u1. Código antigo: i4611_5npm_g23_mdn_re</t>
  </si>
  <si>
    <t>i6207_5p011m_g27_e001</t>
  </si>
  <si>
    <t>Resgatar ilustração de 2 símbolos egípcios na página 37 do g23_mdn_mp_5npm_p036a049_u1. Código antigo: i4612_5npm_g23_mdn_re</t>
  </si>
  <si>
    <t>g6208_5p011m_g27_e001</t>
  </si>
  <si>
    <t>Il. de um gráfico de colunas do padrão, com fio contorno preto nas barras. A imagem não pode ter mais do que 5 cm de altura, pois vai entrar no rodapé do MPU.
No eixo horizontal indicar Alimento; no eixo vertical indicar Quantidade (em kg).
O eixo vertical deve ir de 0 a 160, de 20 em 20.
Os valores são: Arroz: 123; Feijão: 89; Macarrão: 145</t>
  </si>
  <si>
    <t>gx</t>
  </si>
  <si>
    <t>g6203_5p011m_g27_e001</t>
  </si>
  <si>
    <t>Gráfico de colunas duplas do padrão (com fio preto em torno das barras). Eixo vertical: “Quantidade de votos”; eixo horizontal: “Gênero”, com os nomes e valores: animação (4; 5), aventura (2; 4), comédia (3; 3), ação (1; 6), outros (3; 1). Compor legenda com as respectivas cores das colunas de acordo com a referência.
Atenção com o tamanho do gráfico pois vai entrar no rodapé do MPU e não deve ultrapassar 5 cm de altura</t>
  </si>
  <si>
    <t>i6238_3p011m_g27_e001</t>
  </si>
  <si>
    <t>Resgatar a i6117_3p011m_g27_e001 e fazer o trajeto conforme imagem de referência.
Obs: Deixar o fio grosso, pois a imagem estará no MPU. A imagem não deve ter mais do que 5 cm de altura.</t>
  </si>
  <si>
    <t>g6237_3p011m_g27_e001</t>
  </si>
  <si>
    <t>Il gráfico de colunas no padrão da obra com as indicações a seguir.
O eixo horizontal deve ser Atividade e o eixo vertical Quantidade de estudantes. Compor as colunas de acordo com os dados.
Praticar uma arte marcial - 12; Tocar um instrumento musical- 15; Dançar – 7; Outros – 8.
Observação: O gráfico não deve ter mais do que 5 cm de altura, pois vai entrar no MPU. Ver referência.</t>
  </si>
  <si>
    <t>i6209_5p011m_g27_e001</t>
  </si>
  <si>
    <t>Resgatar ilustração de um círculo, um quadrado e um triângulo do manual da página 87 -MP do g23_mdn_mp_5npm. Código antigo it1017sl_5npm_g23_mdn.
AJUSTE: separar imagens em A, B e C.</t>
  </si>
  <si>
    <t>i6214_5p011m_g27_e001</t>
  </si>
  <si>
    <t>Ilustração de três retângulos congruentes (cada um deles deve estar dividido em duas partes iguais). Dois deles devem estar completamente coloridos e um deles deve ter apenas uma das partes colorida. A cor usada para colorir as partes dos retângulos deve ser a mesma.</t>
  </si>
  <si>
    <t>i6215_5p011m_g27_e001</t>
  </si>
  <si>
    <t>Ilustração de dois retângulos congruentes (cada um deles deve estar dividido em cinco partes iguais). Um deles deve estar completamente colorido e outro deve ter apenas duas das partes colorida. A cor usada para colorir as partes dos retângulos deve ser a mesma</t>
  </si>
  <si>
    <t>i6216_5p011m_g27_e001</t>
  </si>
  <si>
    <t>Ilustração de três retângulos congruentes (cada um deles deve estar dividido em três partes iguais). Dois deles devem estar completamente coloridos e um deles deve ter apenas uma das partes colorida. A cor usada para colorir as partes dos retângulos deve ser a mesma.</t>
  </si>
  <si>
    <t>i6217_5p011m_g27_e001</t>
  </si>
  <si>
    <t>Ilustração de três retângulos congruentes (cada um deles deve estar dividido em nove partes iguais). Dois deles devem estar completamente coloridos e um deles deve ter apenas cinco das partes colorida. A cor usada para colorir as partes dos retângulos deve ser a mesma.</t>
  </si>
  <si>
    <t>i6218_5p011m_g27_e001</t>
  </si>
  <si>
    <t>Ilustração de quatro retângulos congruentes (cada um deles deve estar dividido em oito partes iguais). Três deles devem estar completamente coloridos e um deles deve ter apenas três das partes colorida. A cor usada para colorir as partes dos retângulos deve ser a mesma.</t>
  </si>
  <si>
    <t>i6219_4p011m_g27_e001</t>
  </si>
  <si>
    <t>Resgatar balança de dois praros feita com cabide, disponível em;  g23_mdn_mp_4npm_pg260_u10, página 260. Código_i5001_4npm_g23_mdn_re</t>
  </si>
  <si>
    <t>i1564_1p011m_g27_e001</t>
  </si>
  <si>
    <t xml:space="preserve">Il. sequência de figuras sendo as mesmas do material complementar para que fiquem proporcionais as que aparecem no Material complementar. As figuras da sequência são: círculo roxo, quadrado alaranjado e o triângulo vermelho e se repetem conforme a referência a seguir. (Códigos das imagens i6140_1p011m_g27_e001 e i6141_1p011m_g27_e001 para pegar o círculo, quadrado e triângulo). Inserir reticências ao final da sequência.
Não deve aparecer os fios pontilhados de recorte na imagem. Ver referência a seguir.
</t>
  </si>
  <si>
    <t>Arte (não pagar)</t>
  </si>
  <si>
    <t>i6210_5p011m_g27_e001</t>
  </si>
  <si>
    <t>Ilustração de um quadrado ABDE amarelo com lados de medida 18 cm, um triângulo ABC isósceles com os lados AB e CB medindo 18 cm, e um retângulo BCFG azul com largura medindo 18cm e comprimento, 24cm. Nomear vértices conforme ref.</t>
  </si>
  <si>
    <t xml:space="preserve">arte </t>
  </si>
  <si>
    <t xml:space="preserve">i6225_5p011m_g27_e001 </t>
  </si>
  <si>
    <t>Resgatar plano cartesiano com malha quadriculada, tartaruga e pontos C e D do item b da atividade 3 da página 230 do volume 5 com código i1522ri_5p011m_g27_e001 e nela compor o caminho vermelho conforme referência a seguir. Deixar a malha com cerca de 5 cm de altura, reduzir proporcional para entrar no manual.</t>
  </si>
  <si>
    <t xml:space="preserve">i6226_5p011m_g27_e001 </t>
  </si>
  <si>
    <t>Ilustração de um plano cartesiano, conforme referência. Acima dele, indicar MAPA DO TESOURO. Além disso, marcar o ponto (2,1) em azul.</t>
  </si>
  <si>
    <t xml:space="preserve">i6227_5p011m_g27_e001 </t>
  </si>
  <si>
    <t xml:space="preserve">Ilustração do mesmo plano cartesiano (MAPA DO TESOURO) de 6226_5P011m. Porém, nessa imagem traçar o caminho vermelho conforme ref. </t>
  </si>
  <si>
    <t xml:space="preserve">i6219_5p011m_g27_e001 </t>
  </si>
  <si>
    <t xml:space="preserve">Resgatar ilustração do triângulo de resposta da atividade do g23_mdn_lt_5npm_p167 código antigo it1655_5pmm_g19_mdn 
Ajuste: Retirar a cor magenta. 
OBS. A imagem não pode ter mais do que 5 cm pois vai entrar no rodapé do MPU </t>
  </si>
  <si>
    <t>i6220_5p011m_g27_e001</t>
  </si>
  <si>
    <t xml:space="preserve">Resgatar ilustração do recorte de 2 peças do g23_mdn_lt_5npm_p172 código antigo i1681_5pmm_g19_mdn 
Ajuste: Trocar a cor magenta para preto. </t>
  </si>
  <si>
    <t>i6221_5p011m_g27_e001</t>
  </si>
  <si>
    <t>Resgatar ilustração dos recortes do g23_mdn_lt_5npm_p172 código antigo i1677_5pmm_g19_mdn 
Ajuste: Trocar a cor magenta para preto.</t>
  </si>
  <si>
    <t>i6222_5p011m_g27_e001</t>
  </si>
  <si>
    <t>Resgatar ilustração dos recortes com 3 peças do g23_mdn_lt_5npm_p172 código antigo i1678_5pmm_g19_mdn 
Ajuste: Trocar a cor magenta para preto.</t>
  </si>
  <si>
    <t>i6223_5p011m_g27_e001</t>
  </si>
  <si>
    <t xml:space="preserve">Resgatar ilustração dos recortes do g23_mdn_lt_5npm_p172 código antigo i1682_5pmm_g19_mdn 
Ajuste: Trocar a cor magenta para preto. </t>
  </si>
  <si>
    <t xml:space="preserve">i6224_5p011m_g27_e001 </t>
  </si>
  <si>
    <t>Il. paralelogramo (deixar no mesmo estilo da i0991_5p011m_g27_e001, ver o print da 1ª imagem), porém aqui é pra ilustrar somente o paralelogramo com as medidas a seguir. 
As medidas dos comprimentos devem ser EF= 6 cm e EH=4 cm e a medida do ângulo interno deve ser 60° (ver o print da segunda imagem).</t>
  </si>
  <si>
    <t>i6228_5p011m_g27_e001</t>
  </si>
  <si>
    <t>Resgatar gráfico de linhas da atividade 5 da página 262 do vol. 5 e completá-lo, código g1926_5p011m_g27_e001 e compor os pontos correspondentes a quinta e sexta e traçar os segmentos como apresentado na ref. Além disso, compor as linhas pontilhadas, como feito para segunda, terça e quarta, para quinta e sexta. O ponto correspondente a quinta deve indicar 9 graus e o correspondente a sexta, 10 graus.</t>
  </si>
  <si>
    <t xml:space="preserve">i6229_5p011m_g27_e001 </t>
  </si>
  <si>
    <t xml:space="preserve">Resgatar malha pontilhada do item b da atividade 4 da página 224 do volume 5, código i1515lm_5p011m_g27_e001 e nela marcar os pontos (B, 2), (F, 2) e (D, 5), e ligá-los, conforme referência formando um triângulo. Deixar a malha com cerca de 5 cm de altura, reduzir proporcional para entrar no manual do professor. </t>
  </si>
  <si>
    <t>i6134_4p011m_g27_e001</t>
  </si>
  <si>
    <t>il. uma pirâmide de base quadrada na mesma linguagem dessas imagens para que pareçam que faz parte do jogo (como a i6101_4p011m_g27_e001)</t>
  </si>
  <si>
    <t>GABRIELLA IMAI/ARQUIVO DA EDITORA</t>
  </si>
  <si>
    <t>i6135_4p011m_g27_e001</t>
  </si>
  <si>
    <t>il. cilindro na mesma linguagem dessas imagens para que pareçam que faz parte do jogo (como a i6101_4p011m_g27_e001)</t>
  </si>
  <si>
    <t>il. um cilindro na mesma linguagem dessas imagens para que pareçam que faz parte do jogo
(como a i6101_4p011m_g27_e001)</t>
  </si>
  <si>
    <t xml:space="preserve">CRÉDITOS GERAIS DA MODERNA PARA REFERÊNCIA  - EF1
</t>
  </si>
  <si>
    <t>Nome do ilustrador</t>
  </si>
  <si>
    <t>Sigla Arte</t>
  </si>
  <si>
    <t>Crédito</t>
  </si>
  <si>
    <t>Acervo da editora</t>
  </si>
  <si>
    <t>ARQUIVO DA EDITORA</t>
  </si>
  <si>
    <t>Sigla ZZ (ver documento de ils. técnicas)</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</si>
  <si>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</si>
  <si>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</si>
  <si>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</si>
  <si>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</si>
  <si>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</si>
  <si>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</si>
  <si>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</si>
  <si>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</si>
  <si>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ILUSTRAÇÕES DE BANDEIRAS DE ESTADO</t>
  </si>
  <si>
    <t>ye</t>
  </si>
  <si>
    <t>ILUSTRAÇÕES GERADAS POR PROGRAMAS C/ IA</t>
  </si>
  <si>
    <t>ia</t>
  </si>
  <si>
    <t>a</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</si>
  <si>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</si>
  <si>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</si>
  <si>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</si>
  <si>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</si>
  <si>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</si>
  <si>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</si>
  <si>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</si>
  <si>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</si>
  <si>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</si>
  <si>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</si>
  <si>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</si>
  <si>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</si>
  <si>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</si>
  <si>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</si>
  <si>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</si>
  <si>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</si>
  <si>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</si>
  <si>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</si>
  <si>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</si>
  <si>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</si>
  <si>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</si>
  <si>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</si>
  <si>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</si>
  <si>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</si>
  <si>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</si>
  <si>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</si>
  <si>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</si>
  <si>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</si>
  <si>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</si>
  <si>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</si>
  <si>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</si>
  <si>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</si>
  <si>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</si>
  <si>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</si>
  <si>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</si>
  <si>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</si>
  <si>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</si>
  <si>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</si>
  <si>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</si>
  <si>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</si>
  <si>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</si>
  <si>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</si>
  <si>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</si>
  <si>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</si>
  <si>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</si>
  <si>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</si>
  <si>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</si>
  <si>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</si>
  <si>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</si>
  <si>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</si>
  <si>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</si>
  <si>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</si>
  <si>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</si>
  <si>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</si>
  <si>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</si>
  <si>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</si>
  <si>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</si>
  <si>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</si>
  <si>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</si>
  <si>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</si>
  <si>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</si>
  <si>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</si>
  <si>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</si>
  <si>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</si>
  <si>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</si>
  <si>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</si>
  <si>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</si>
  <si>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</si>
  <si>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</si>
  <si>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</si>
  <si>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</si>
  <si>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</si>
  <si>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</si>
  <si>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</si>
  <si>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</si>
  <si>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</si>
  <si>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</si>
  <si>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</si>
  <si>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</si>
  <si>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</si>
  <si>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</si>
  <si>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</si>
  <si>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</si>
  <si>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</si>
  <si>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</si>
  <si>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</si>
  <si>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</si>
  <si>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</si>
  <si>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</si>
  <si>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</si>
  <si>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</si>
  <si>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</si>
  <si>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</si>
  <si>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</si>
  <si>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</si>
  <si>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</si>
  <si>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</si>
  <si>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</si>
  <si>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</si>
  <si>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</si>
  <si>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</si>
  <si>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</si>
  <si>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</si>
  <si>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</si>
  <si>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</si>
  <si>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</si>
  <si>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</si>
  <si>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</si>
  <si>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</si>
  <si>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</si>
  <si>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</si>
  <si>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</si>
  <si>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</si>
  <si>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</si>
  <si>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</si>
  <si>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</si>
  <si>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</si>
  <si>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</si>
  <si>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</si>
  <si>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</si>
  <si>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</si>
  <si>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</si>
  <si>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</si>
  <si>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Camila Cristiane Pereira dos Santos</t>
  </si>
  <si>
    <t>cd</t>
  </si>
  <si>
    <t>Camila Ferreira Carmona</t>
  </si>
  <si>
    <t>Carlitos Pinheiro</t>
  </si>
  <si>
    <t>cq</t>
  </si>
  <si>
    <t>CARLITOS PINHEIRO/ARQUIVO DA EDITORA</t>
  </si>
  <si>
    <t>Carlos Alberto Borin Junior</t>
  </si>
  <si>
    <t>CARLOS BORIN/ARQUIVO DA EDITORA</t>
  </si>
  <si>
    <t>Carlos Eduardo Nascimento</t>
  </si>
  <si>
    <t>cn</t>
  </si>
  <si>
    <t>CARLOS EDUARDO NASCIMENTO/ARQUIVO DA EDITORA</t>
  </si>
  <si>
    <t>Carmen Ferreira Martinez</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</si>
  <si>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</si>
  <si>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</si>
  <si>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</si>
  <si>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</si>
  <si>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</si>
  <si>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</si>
  <si>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</si>
  <si>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</si>
  <si>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</si>
  <si>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</si>
  <si>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</si>
  <si>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</si>
  <si>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</si>
  <si>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</si>
  <si>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</si>
  <si>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</si>
  <si>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</si>
  <si>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</si>
  <si>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</si>
  <si>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</si>
  <si>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</si>
  <si>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</si>
  <si>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Cauê Zunchini</t>
  </si>
  <si>
    <t>CAUÊ ZUNCHINI/ARQUIVO DA EDITORA</t>
  </si>
  <si>
    <t>Cecilia Andrade</t>
  </si>
  <si>
    <t>cl</t>
  </si>
  <si>
    <t>CECILIA ANDRADE/ARQUIVO DA EDITORA</t>
  </si>
  <si>
    <t xml:space="preserve">Chanceler </t>
  </si>
  <si>
    <t>ch</t>
  </si>
  <si>
    <t>Chris Borges</t>
  </si>
  <si>
    <t>CHRIS BORGES/ARQUIVO DA EDITORA</t>
  </si>
  <si>
    <t>Clarissa França</t>
  </si>
  <si>
    <t>cf</t>
  </si>
  <si>
    <t>CLARISSA FRANÇA/ARQUIVO DA EDITORA</t>
  </si>
  <si>
    <t>Claudia Brito</t>
  </si>
  <si>
    <t>cb</t>
  </si>
  <si>
    <t>CLAUDIA BRITO/ARQUIVO DA EDITORA</t>
  </si>
  <si>
    <t>Claudia Souza</t>
  </si>
  <si>
    <t>CLAUDIA SOUZA/ARQUIVO DA EDITORA</t>
  </si>
  <si>
    <t>Copa Studio</t>
  </si>
  <si>
    <t>ap</t>
  </si>
  <si>
    <t>Cria Ideias</t>
  </si>
  <si>
    <t>cr</t>
  </si>
  <si>
    <t>Cris Eich (Maria Cristina Pires de Carvalho)</t>
  </si>
  <si>
    <t>ce</t>
  </si>
  <si>
    <t>CRIS EICH/ARQUIVO DA EDITORA</t>
  </si>
  <si>
    <t>Cynthia Sekiguchi</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</si>
  <si>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</si>
  <si>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</si>
  <si>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</si>
  <si>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</si>
  <si>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</si>
  <si>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</si>
  <si>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</si>
  <si>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</si>
  <si>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</si>
  <si>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</si>
  <si>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</si>
  <si>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</si>
  <si>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</si>
  <si>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</si>
  <si>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</si>
  <si>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</si>
  <si>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</si>
  <si>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</si>
  <si>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</si>
  <si>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</si>
  <si>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</si>
  <si>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</si>
  <si>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</si>
  <si>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</si>
  <si>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</si>
  <si>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</si>
  <si>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</si>
  <si>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</si>
  <si>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</si>
  <si>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</si>
  <si>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</si>
  <si>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</si>
  <si>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</si>
  <si>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</si>
  <si>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</si>
  <si>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</si>
  <si>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</si>
  <si>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</si>
  <si>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</si>
  <si>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</si>
  <si>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</si>
  <si>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</si>
  <si>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</si>
  <si>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</si>
  <si>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</si>
  <si>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</si>
  <si>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</si>
  <si>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</si>
  <si>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</si>
  <si>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</si>
  <si>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</si>
  <si>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</si>
  <si>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</si>
  <si>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</si>
  <si>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</si>
  <si>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</si>
  <si>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</si>
  <si>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</si>
  <si>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</si>
  <si>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</si>
  <si>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</si>
  <si>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</si>
  <si>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</si>
  <si>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</si>
  <si>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</si>
  <si>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</si>
  <si>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</si>
  <si>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</si>
  <si>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</si>
  <si>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EDUARDO CARRIÇA/ARQUIVO DA EDITORA</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</si>
  <si>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</si>
  <si>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</si>
  <si>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</si>
  <si>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</si>
  <si>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</si>
  <si>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</si>
  <si>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</si>
  <si>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</si>
  <si>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</si>
  <si>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</si>
  <si>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</si>
  <si>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</si>
  <si>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</si>
  <si>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</si>
  <si>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</si>
  <si>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</si>
  <si>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</si>
  <si>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</si>
  <si>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</si>
  <si>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</si>
  <si>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</si>
  <si>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</si>
  <si>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</si>
  <si>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</si>
  <si>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</si>
  <si>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</si>
  <si>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</si>
  <si>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</si>
  <si>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</si>
  <si>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</si>
  <si>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</si>
  <si>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</si>
  <si>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</si>
  <si>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</si>
  <si>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</si>
  <si>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</si>
  <si>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</si>
  <si>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</si>
  <si>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</si>
  <si>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</si>
  <si>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</si>
  <si>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</si>
  <si>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</si>
  <si>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</si>
  <si>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</si>
  <si>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</si>
  <si>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</si>
  <si>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</si>
  <si>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</si>
  <si>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</si>
  <si>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</si>
  <si>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</si>
  <si>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</si>
  <si>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</si>
  <si>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</si>
  <si>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</si>
  <si>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</si>
  <si>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</si>
  <si>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</si>
  <si>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</si>
  <si>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</si>
  <si>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</si>
  <si>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</si>
  <si>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</si>
  <si>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</si>
  <si>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</si>
  <si>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</si>
  <si>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</si>
  <si>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</si>
  <si>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</si>
  <si>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</si>
  <si>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</si>
  <si>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</si>
  <si>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</si>
  <si>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</si>
  <si>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</si>
  <si>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</si>
  <si>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</si>
  <si>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</si>
  <si>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</si>
  <si>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</si>
  <si>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</si>
  <si>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</si>
  <si>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</si>
  <si>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</si>
  <si>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</si>
  <si>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</si>
  <si>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</si>
  <si>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</si>
  <si>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</si>
  <si>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</si>
  <si>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</si>
  <si>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</si>
  <si>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</si>
  <si>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</si>
  <si>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</si>
  <si>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</si>
  <si>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</si>
  <si>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GUILHERME ARANEGA/ARQUIVO DA EDITORA</t>
  </si>
  <si>
    <t>Guilherme Casagrandi</t>
  </si>
  <si>
    <t>gg</t>
  </si>
  <si>
    <t>GUILHERME CASAGRANDI/ARQUIVO DA EDITORA</t>
  </si>
  <si>
    <t>Guilherme Da Cas</t>
  </si>
  <si>
    <t>gc</t>
  </si>
  <si>
    <t>GUILHERME DA CAS/ARQUIVO DA EDITORA</t>
  </si>
  <si>
    <t>Gustavo Conti</t>
  </si>
  <si>
    <t>GUSTAVO CONTI/ARQUIVO DA EDITORA</t>
  </si>
  <si>
    <t>Gustavo Pedrosa</t>
  </si>
  <si>
    <t>gp</t>
  </si>
  <si>
    <t>GUSTAVO PEDROSA/ARQUIVO DA EDITORA</t>
  </si>
  <si>
    <t>Gustavo Ramos</t>
  </si>
  <si>
    <t>gr</t>
  </si>
  <si>
    <t>GUSTAVO RAMOS/ARQUIVO DA EDITORA</t>
  </si>
  <si>
    <t>he</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</si>
  <si>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</si>
  <si>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</si>
  <si>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</si>
  <si>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</si>
  <si>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</si>
  <si>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</si>
  <si>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</si>
  <si>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</si>
  <si>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</si>
  <si>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</si>
  <si>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</si>
  <si>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</si>
  <si>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</si>
  <si>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</si>
  <si>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</si>
  <si>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</si>
  <si>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REINALDO ROSA/ARQUIVO DA EDITORA</t>
  </si>
  <si>
    <t>Ilustra Cartoon</t>
  </si>
  <si>
    <t>ic</t>
  </si>
  <si>
    <t>Imaginario Studio - Fabio Eiji</t>
  </si>
  <si>
    <t>ig</t>
  </si>
  <si>
    <t>FABIO EIJI SIRASUMA/ARQUIVO DA EDITORA</t>
  </si>
  <si>
    <t>Ingrid Skare</t>
  </si>
  <si>
    <t>ik</t>
  </si>
  <si>
    <t>INGRID SKARE/ARQUIVO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</si>
  <si>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</si>
  <si>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</si>
  <si>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</si>
  <si>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</si>
  <si>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</si>
  <si>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</si>
  <si>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</si>
  <si>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</si>
  <si>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</si>
  <si>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</si>
  <si>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</si>
  <si>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</si>
  <si>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</si>
  <si>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</si>
  <si>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</si>
  <si>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</si>
  <si>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</si>
  <si>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</si>
  <si>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</si>
  <si>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</si>
  <si>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</si>
  <si>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</si>
  <si>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</si>
  <si>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</si>
  <si>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</si>
  <si>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</si>
  <si>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</si>
  <si>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</si>
  <si>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</si>
  <si>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</si>
  <si>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</si>
  <si>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</si>
  <si>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</si>
  <si>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</si>
  <si>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</si>
  <si>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</si>
  <si>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</si>
  <si>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</si>
  <si>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</si>
  <si>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</si>
  <si>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</si>
  <si>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</si>
  <si>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</si>
  <si>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</si>
  <si>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</si>
  <si>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</si>
  <si>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</si>
  <si>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</si>
  <si>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</si>
  <si>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</si>
  <si>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</si>
  <si>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</si>
  <si>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</si>
  <si>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</si>
  <si>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</si>
  <si>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</si>
  <si>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</si>
  <si>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</si>
  <si>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</si>
  <si>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</si>
  <si>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</si>
  <si>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</si>
  <si>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</si>
  <si>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</si>
  <si>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</si>
  <si>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</si>
  <si>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</si>
  <si>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</si>
  <si>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</si>
  <si>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</si>
  <si>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</si>
  <si>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</si>
  <si>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</si>
  <si>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</si>
  <si>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</si>
  <si>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</si>
  <si>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</si>
  <si>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</si>
  <si>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</si>
  <si>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</si>
  <si>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</si>
  <si>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</si>
  <si>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</si>
  <si>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</si>
  <si>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</si>
  <si>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</si>
  <si>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</si>
  <si>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</si>
  <si>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</si>
  <si>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</si>
  <si>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</si>
  <si>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</si>
  <si>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</si>
  <si>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</si>
  <si>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</si>
  <si>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</si>
  <si>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</si>
  <si>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</si>
  <si>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</si>
  <si>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</si>
  <si>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</si>
  <si>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</si>
  <si>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</si>
  <si>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</si>
  <si>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</si>
  <si>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</si>
  <si>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</si>
  <si>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</si>
  <si>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</si>
  <si>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 xml:space="preserve">ls </t>
  </si>
  <si>
    <t>LEANDRO LASSMAR /ARQUIVO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</si>
  <si>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</si>
  <si>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</si>
  <si>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</si>
  <si>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</si>
  <si>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</si>
  <si>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</si>
  <si>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</si>
  <si>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</si>
  <si>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</si>
  <si>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</si>
  <si>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</si>
  <si>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</si>
  <si>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</si>
  <si>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</si>
  <si>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</si>
  <si>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</si>
  <si>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</si>
  <si>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</si>
  <si>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</si>
  <si>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</si>
  <si>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</si>
  <si>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</si>
  <si>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</si>
  <si>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</si>
  <si>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</si>
  <si>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</si>
  <si>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</si>
  <si>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</si>
  <si>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</si>
  <si>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</si>
  <si>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</si>
  <si>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</si>
  <si>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</si>
  <si>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</si>
  <si>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</si>
  <si>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</si>
  <si>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</si>
  <si>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</si>
  <si>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</si>
  <si>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</si>
  <si>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</si>
  <si>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</si>
  <si>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</si>
  <si>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</si>
  <si>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</si>
  <si>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</si>
  <si>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</si>
  <si>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</si>
  <si>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</si>
  <si>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</si>
  <si>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</si>
  <si>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</si>
  <si>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</si>
  <si>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</si>
  <si>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</si>
  <si>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</si>
  <si>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</si>
  <si>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</si>
  <si>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</si>
  <si>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</si>
  <si>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</si>
  <si>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</si>
  <si>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</si>
  <si>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</si>
  <si>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</si>
  <si>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</si>
  <si>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</si>
  <si>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</si>
  <si>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</si>
  <si>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</si>
  <si>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</si>
  <si>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</si>
  <si>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</si>
  <si>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</si>
  <si>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</si>
  <si>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</si>
  <si>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</si>
  <si>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</si>
  <si>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</si>
  <si>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</si>
  <si>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</si>
  <si>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</si>
  <si>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</si>
  <si>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</si>
  <si>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</si>
  <si>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</si>
  <si>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</si>
  <si>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</si>
  <si>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</si>
  <si>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</si>
  <si>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</si>
  <si>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</si>
  <si>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</si>
  <si>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</si>
  <si>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</si>
  <si>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</si>
  <si>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</si>
  <si>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</si>
  <si>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</si>
  <si>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</si>
  <si>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</si>
  <si>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</si>
  <si>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</si>
  <si>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</si>
  <si>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</si>
  <si>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</si>
  <si>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</si>
  <si>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 xml:space="preserve">oy </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</si>
  <si>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</si>
  <si>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</si>
  <si>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</si>
  <si>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</si>
  <si>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</si>
  <si>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</si>
  <si>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</si>
  <si>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</si>
  <si>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</si>
  <si>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</si>
  <si>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</si>
  <si>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Nathalia Ichioka</t>
  </si>
  <si>
    <t>NATHALIA ICHIOKA/ARQUIVO DA EDITORA</t>
  </si>
  <si>
    <t xml:space="preserve">Nelson Akira Ishikawa </t>
  </si>
  <si>
    <t>ne</t>
  </si>
  <si>
    <t>NELSON ISHIKAWA /ARQUIVO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</si>
  <si>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</si>
  <si>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</si>
  <si>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</si>
  <si>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</si>
  <si>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</si>
  <si>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</si>
  <si>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</si>
  <si>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</si>
  <si>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</si>
  <si>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</si>
  <si>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</si>
  <si>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</si>
  <si>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</si>
  <si>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</si>
  <si>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</si>
  <si>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</si>
  <si>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</si>
  <si>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</si>
  <si>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</si>
  <si>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</si>
  <si>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</si>
  <si>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</si>
  <si>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</si>
  <si>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</si>
  <si>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</si>
  <si>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</si>
  <si>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</si>
  <si>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</si>
  <si>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</si>
  <si>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</si>
  <si>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</si>
  <si>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</si>
  <si>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</si>
  <si>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</si>
  <si>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</si>
  <si>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</si>
  <si>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</si>
  <si>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</si>
  <si>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</si>
  <si>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</si>
  <si>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</si>
  <si>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</si>
  <si>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</si>
  <si>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</si>
  <si>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</si>
  <si>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</si>
  <si>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</si>
  <si>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</si>
  <si>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</si>
  <si>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</si>
  <si>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</si>
  <si>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</si>
  <si>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Rafael da Silva Hatadani</t>
  </si>
  <si>
    <t>rh</t>
  </si>
  <si>
    <t>RAFAEL HATADANI/ARQUIVO DA EDITORA</t>
  </si>
  <si>
    <t>Rafael Gallardo</t>
  </si>
  <si>
    <t>rf</t>
  </si>
  <si>
    <t>RAFAEL GALLARDO/ARQUIVO DA EDITORA</t>
  </si>
  <si>
    <t>Rafael Lam</t>
  </si>
  <si>
    <t>RAFAEL LAM/ARQUIVO DA EDITORA</t>
  </si>
  <si>
    <t>Rafael Luís Gaion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</si>
  <si>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</si>
  <si>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</si>
  <si>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</si>
  <si>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</si>
  <si>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</si>
  <si>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</si>
  <si>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</si>
  <si>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</si>
  <si>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</si>
  <si>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</si>
  <si>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</si>
  <si>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</si>
  <si>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</si>
  <si>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</si>
  <si>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</si>
  <si>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</si>
  <si>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</si>
  <si>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</si>
  <si>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</si>
  <si>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</si>
  <si>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</si>
  <si>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</si>
  <si>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</si>
  <si>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</si>
  <si>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</si>
  <si>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</si>
  <si>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BANISKI/ARQUIVO DA EDITORA</t>
  </si>
  <si>
    <t>Reinaldo Rosa - Ideario Lab</t>
  </si>
  <si>
    <t>il</t>
  </si>
  <si>
    <t>Renan de Oliveira Fonseca</t>
  </si>
  <si>
    <t>RENAN FONSECA/ARQUIVO DA EDITORA</t>
  </si>
  <si>
    <t>Renan Nuche</t>
  </si>
  <si>
    <t>rz</t>
  </si>
  <si>
    <t>RENAN NUCHE/ARQUIVO DA EDITORA</t>
  </si>
  <si>
    <t>Renato Rodrigues</t>
  </si>
  <si>
    <t>xr</t>
  </si>
  <si>
    <t>RENATO RODRIGUES/ARQUIVO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</si>
  <si>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</si>
  <si>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</si>
  <si>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</si>
  <si>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</si>
  <si>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</si>
  <si>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</si>
  <si>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</si>
  <si>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</si>
  <si>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</si>
  <si>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</si>
  <si>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</si>
  <si>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</si>
  <si>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</si>
  <si>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</si>
  <si>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</si>
  <si>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</si>
  <si>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</si>
  <si>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</si>
  <si>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</si>
  <si>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</si>
  <si>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</si>
  <si>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</si>
  <si>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</si>
  <si>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</si>
  <si>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 xml:space="preserve">Rogério Casagrande </t>
  </si>
  <si>
    <t>Rogério Coelho</t>
  </si>
  <si>
    <t>rc</t>
  </si>
  <si>
    <t>ROGÉRIO COELHO /ARQUIVO DA EDITORA</t>
  </si>
  <si>
    <t>Ronaldo Inácio De Lucena</t>
  </si>
  <si>
    <t>Rosana Urbes</t>
  </si>
  <si>
    <t>ru</t>
  </si>
  <si>
    <t>ROSANA URBES/ARQUIVO DA EDITORA</t>
  </si>
  <si>
    <t>RS2 Comunicação</t>
  </si>
  <si>
    <t>sm</t>
  </si>
  <si>
    <t>RS2 COMUNICAÇÃO/ARQUIVO DA EDITORA</t>
  </si>
  <si>
    <t>Sabrina Eras</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</si>
  <si>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</si>
  <si>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</si>
  <si>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</si>
  <si>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</si>
  <si>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</si>
  <si>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</si>
  <si>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</si>
  <si>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</si>
  <si>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</si>
  <si>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</si>
  <si>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Luiz de Lima Filho</t>
  </si>
  <si>
    <t>Sidney Siqueira Meireles</t>
  </si>
  <si>
    <t>sd</t>
  </si>
  <si>
    <t>SIDNEY SIQUEIRA MEIRELES/ARQUIVO DA EDITORA</t>
  </si>
  <si>
    <t>Silvia Otofuji</t>
  </si>
  <si>
    <t>SILVIA OTOFUJI/ARQUIVO DA EDITORA</t>
  </si>
  <si>
    <t>Simone Bellusci Cavalcante</t>
  </si>
  <si>
    <t>si</t>
  </si>
  <si>
    <t>SIMONE/ARQUIVO DA EDITORA</t>
  </si>
  <si>
    <t>Sonia Horn</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</si>
  <si>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</si>
  <si>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</si>
  <si>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</si>
  <si>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</si>
  <si>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</si>
  <si>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</si>
  <si>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</si>
  <si>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</si>
  <si>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</si>
  <si>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</si>
  <si>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</si>
  <si>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</si>
  <si>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</si>
  <si>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</si>
  <si>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</si>
  <si>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</si>
  <si>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</si>
  <si>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</si>
  <si>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</si>
  <si>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</si>
  <si>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</si>
  <si>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</si>
  <si>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</si>
  <si>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</si>
  <si>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</si>
  <si>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</si>
  <si>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</si>
  <si>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</si>
  <si>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</si>
  <si>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</si>
  <si>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</si>
  <si>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</si>
  <si>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</si>
  <si>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</si>
  <si>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</si>
  <si>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</si>
  <si>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</si>
  <si>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</si>
  <si>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</si>
  <si>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</si>
  <si>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</si>
  <si>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</si>
  <si>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</si>
  <si>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</si>
  <si>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</si>
  <si>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</si>
  <si>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</si>
  <si>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</si>
  <si>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</si>
  <si>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</si>
  <si>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</si>
  <si>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</si>
  <si>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</si>
  <si>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</si>
  <si>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</si>
  <si>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</si>
  <si>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</si>
  <si>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</si>
  <si>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</si>
  <si>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</si>
  <si>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</si>
  <si>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</si>
  <si>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</si>
  <si>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</si>
  <si>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VERIDIANA SCARPELLI/ARQUIVO DA EDITORA</t>
  </si>
  <si>
    <t>Victor Ferreira Lemos</t>
  </si>
  <si>
    <t>VICTOR LEMOS/ARQUIVO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</si>
  <si>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</si>
  <si>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</si>
  <si>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</si>
  <si>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</si>
  <si>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</si>
  <si>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</si>
  <si>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</si>
  <si>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</si>
  <si>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</si>
  <si>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</si>
  <si>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</si>
  <si>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</si>
  <si>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</si>
  <si>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</si>
  <si>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</si>
  <si>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</si>
  <si>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WERLLEN HOLANDA/ARQUIVO DA EDITORA</t>
  </si>
  <si>
    <t>PRÉ-EDIÇÃO</t>
  </si>
  <si>
    <t>CAPA</t>
  </si>
  <si>
    <t>SCRIBA</t>
  </si>
  <si>
    <t>EDICAO_EQUIPE</t>
  </si>
  <si>
    <t>APRESENT.</t>
  </si>
  <si>
    <t>FTD</t>
  </si>
  <si>
    <t>SUMÁRIO</t>
  </si>
  <si>
    <t>MDN</t>
  </si>
  <si>
    <t>FINALIZADO RAFE</t>
  </si>
  <si>
    <t>ILUSTRANDO</t>
  </si>
  <si>
    <t>ABERTURA</t>
  </si>
  <si>
    <t>SABER</t>
  </si>
  <si>
    <t>SM</t>
  </si>
  <si>
    <t>LINHA TEMPO</t>
  </si>
  <si>
    <t>PAG.ESPECIAL</t>
  </si>
  <si>
    <t>SCP</t>
  </si>
  <si>
    <t>FINALIZANDO</t>
  </si>
  <si>
    <t>INFOGRÁFICO</t>
  </si>
  <si>
    <t>ÚNICO</t>
  </si>
  <si>
    <t>ABR</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</si>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</sst>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0"/>
      <name val="Aptos Narrow"/>
      <family val="2"/>
      <scheme val="minor"/>
    </font>
    <font>
      <sz val="9"/>
      <color indexed="81"/>
      <name val="Segoe UI"/>
      <family val="2"/>
    </font>
    <font>
      <sz val="10"/>
      <color theme="1"/>
      <name val="Arial"/>
      <family val="2"/>
    </font>
    <font>
      <sz val="11"/>
      <color rgb="FF000000"/>
      <name val="Aptos Narrow"/>
      <family val="2"/>
    </font>
    <font>
      <sz val="11"/>
      <color rgb="FF000000"/>
      <name val="Aptos Narrow"/>
      <family val="2"/>
      <scheme val="minor"/>
    </font>
    <font>
      <sz val="16"/>
      <color theme="0"/>
      <name val="Aptos Narrow"/>
      <family val="2"/>
      <scheme val="minor"/>
    </font>
    <font>
      <b/>
      <sz val="16"/>
      <color theme="0"/>
      <name val="Aptos Narrow"/>
      <family val="2"/>
      <scheme val="minor"/>
    </font>
    <font>
      <sz val="11"/>
      <color rgb="FF000000"/>
      <name val="Calibri"/>
      <family val="2"/>
    </font>
    <font>
      <u/>
      <sz val="11"/>
      <color theme="1"/>
      <name val="Aptos Narrow"/>
      <family val="2"/>
      <scheme val="minor"/>
    </font>
    <font>
      <i/>
      <sz val="9"/>
      <color rgb="FF0000FF"/>
      <name val="Calibri"/>
      <family val="2"/>
    </font>
    <font>
      <sz val="12"/>
      <color theme="1"/>
      <name val="Calibri"/>
      <family val="2"/>
    </font>
    <font>
      <sz val="9"/>
      <color rgb="FF000000"/>
      <name val="Calibri"/>
      <family val="2"/>
    </font>
    <font>
      <sz val="11"/>
      <name val="Arial Narrow"/>
      <family val="2"/>
    </font>
    <font>
      <sz val="11"/>
      <color rgb="FF242424"/>
      <name val="Aptos Narrow"/>
      <family val="2"/>
    </font>
    <font>
      <sz val="11"/>
      <color rgb="FF000000"/>
      <name val="Aptos Narrow"/>
    </font>
    <font>
      <sz val="12"/>
      <color theme="1"/>
      <name val="Calibri"/>
      <charset val="1"/>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bgColor indexed="64"/>
      </patternFill>
    </fill>
  </fills>
  <borders count="8">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right style="thin">
        <color theme="9"/>
      </right>
      <top style="thin">
        <color theme="9"/>
      </top>
      <bottom/>
      <diagonal/>
    </border>
  </borders>
  <cellStyleXfs count="1">
    <xf numFmtId="0" fontId="0" fillId="0" borderId="0"/>
  </cellStyleXfs>
  <cellXfs count="52">
    <xf numFmtId="0" fontId="0" fillId="0" borderId="0" xfId="0"/>
    <xf numFmtId="0" fontId="3" fillId="7" borderId="0" xfId="0" applyFont="1" applyFill="1" applyAlignment="1">
      <alignment vertical="center"/>
    </xf>
    <xf numFmtId="0" fontId="3"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8" borderId="0" xfId="0" applyFont="1" applyFill="1" applyAlignment="1">
      <alignment vertical="center"/>
    </xf>
    <xf numFmtId="0" fontId="3" fillId="7" borderId="0" xfId="0" applyFont="1" applyFill="1" applyAlignment="1">
      <alignment horizontal="center" vertical="center" wrapText="1"/>
    </xf>
    <xf numFmtId="0" fontId="4" fillId="0" borderId="0" xfId="0" applyFont="1" applyAlignment="1">
      <alignment vertical="center"/>
    </xf>
    <xf numFmtId="0" fontId="5"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4" fillId="0" borderId="0" xfId="0" applyFont="1"/>
    <xf numFmtId="0" fontId="0" fillId="0" borderId="6" xfId="0" applyBorder="1" applyAlignment="1" applyProtection="1">
      <alignment vertical="center"/>
      <protection locked="0"/>
    </xf>
    <xf numFmtId="0" fontId="0" fillId="0" borderId="0" xfId="0" applyAlignment="1" applyProtection="1">
      <alignment vertical="center" wrapText="1"/>
      <protection locked="0"/>
    </xf>
    <xf numFmtId="0" fontId="8" fillId="0" borderId="0" xfId="0" applyFont="1" applyProtection="1">
      <protection locked="0"/>
    </xf>
    <xf numFmtId="0" fontId="4" fillId="0" borderId="0" xfId="0" applyFont="1" applyAlignment="1" applyProtection="1">
      <alignment vertical="center"/>
      <protection locked="0"/>
    </xf>
    <xf numFmtId="0" fontId="9" fillId="0" borderId="0" xfId="0" applyFont="1" applyAlignment="1" applyProtection="1">
      <alignment horizontal="left" vertical="center" wrapText="1"/>
      <protection locked="0"/>
    </xf>
    <xf numFmtId="0" fontId="10" fillId="0" borderId="0" xfId="0" applyFont="1" applyProtection="1">
      <protection locked="0"/>
    </xf>
    <xf numFmtId="0" fontId="11" fillId="0" borderId="0" xfId="0" applyFont="1" applyAlignment="1">
      <alignment wrapText="1"/>
    </xf>
    <xf numFmtId="0" fontId="12" fillId="0" borderId="0" xfId="0" applyFont="1" applyProtection="1">
      <protection locked="0"/>
    </xf>
    <xf numFmtId="0" fontId="9" fillId="0" borderId="0" xfId="0" applyFont="1" applyAlignment="1" applyProtection="1">
      <alignment horizontal="center" vertical="center"/>
      <protection locked="0"/>
    </xf>
    <xf numFmtId="0" fontId="13" fillId="10" borderId="5" xfId="0" applyFont="1" applyFill="1" applyBorder="1" applyAlignment="1">
      <alignment horizontal="left"/>
    </xf>
    <xf numFmtId="0" fontId="13" fillId="10" borderId="5" xfId="0" applyFont="1" applyFill="1" applyBorder="1" applyAlignment="1">
      <alignment horizontal="left" vertical="center"/>
    </xf>
    <xf numFmtId="0" fontId="14" fillId="0" borderId="0" xfId="0" applyFont="1"/>
    <xf numFmtId="0" fontId="4" fillId="0" borderId="0" xfId="0" applyFont="1" applyProtection="1">
      <protection locked="0"/>
    </xf>
    <xf numFmtId="0" fontId="15" fillId="0" borderId="0" xfId="0" applyFont="1" applyAlignment="1" applyProtection="1">
      <alignment vertical="center"/>
      <protection locked="0"/>
    </xf>
    <xf numFmtId="0" fontId="11" fillId="0" borderId="0" xfId="0" applyFont="1" applyProtection="1">
      <protection locked="0"/>
    </xf>
    <xf numFmtId="0" fontId="15" fillId="0" borderId="7" xfId="0" applyFont="1" applyBorder="1" applyAlignment="1">
      <alignment vertical="center"/>
    </xf>
    <xf numFmtId="0" fontId="16" fillId="0" borderId="0" xfId="0" applyFont="1" applyProtection="1">
      <protection locked="0"/>
    </xf>
    <xf numFmtId="0" fontId="4" fillId="0" borderId="0" xfId="0" applyFont="1" applyAlignment="1" applyProtection="1">
      <alignment vertical="center" wrapText="1"/>
      <protection locked="0"/>
    </xf>
    <xf numFmtId="0" fontId="7" fillId="9" borderId="0" xfId="0" applyFont="1" applyFill="1" applyAlignment="1">
      <alignment horizontal="center" wrapText="1"/>
    </xf>
    <xf numFmtId="0" fontId="6" fillId="9" borderId="0" xfId="0" applyFont="1" applyFill="1" applyAlignment="1">
      <alignment horizont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xf numFmtId="0" fontId="0" fillId="0" borderId="0" xfId="0" applyBorder="1" applyAlignment="1" applyProtection="1">
      <alignment vertical="center"/>
      <protection locked="0"/>
    </xf>
  </cellXfs>
  <cellStyles count="1">
    <cellStyle name="Normal" xfId="0" builtinId="0"/>
  </cellStyles>
  <dxfs count="34">
    <dxf>
      <numFmt numFmtId="0" formatCode="General"/>
      <protection locked="0" hidden="0"/>
    </dxf>
    <dxf>
      <numFmt numFmtId="0" formatCode="General"/>
      <alignment horizontal="general" vertical="center" textRotation="0" indent="0" justifyLastLine="0" shrinkToFit="0" readingOrder="0"/>
      <protection locked="1" hidden="0"/>
    </dxf>
    <dxf>
      <protection locked="0" hidden="0"/>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ilustração!$C$55</c:f>
              <c:strCache>
                <c:ptCount val="1"/>
                <c:pt idx="0">
                  <c:v>GRÁFICO</c:v>
                </c:pt>
              </c:strCache>
            </c:strRef>
          </c:tx>
          <c:spPr>
            <a:solidFill>
              <a:schemeClr val="accent1"/>
            </a:solidFill>
            <a:ln>
              <a:noFill/>
            </a:ln>
            <a:effectLst/>
          </c:spPr>
          <c:invertIfNegative val="0"/>
          <c:val>
            <c:numRef>
              <c:f>ilustração!$D$55</c:f>
              <c:numCache>
                <c:formatCode>General</c:formatCode>
                <c:ptCount val="1"/>
                <c:pt idx="0">
                  <c:v>0</c:v>
                </c:pt>
              </c:numCache>
            </c:numRef>
          </c:val>
          <c:extLst>
            <c:ext xmlns:c16="http://schemas.microsoft.com/office/drawing/2014/chart" uri="{C3380CC4-5D6E-409C-BE32-E72D297353CC}">
              <c16:uniqueId val="{00000000-972F-4584-A5CA-63F698955F7C}"/>
            </c:ext>
          </c:extLst>
        </c:ser>
        <c:dLbls>
          <c:showLegendKey val="0"/>
          <c:showVal val="0"/>
          <c:showCatName val="0"/>
          <c:showSerName val="0"/>
          <c:showPercent val="0"/>
          <c:showBubbleSize val="0"/>
        </c:dLbls>
        <c:gapWidth val="219"/>
        <c:overlap val="-27"/>
        <c:axId val="84464624"/>
        <c:axId val="84465104"/>
      </c:barChart>
      <c:catAx>
        <c:axId val="844646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4465104"/>
        <c:crosses val="autoZero"/>
        <c:auto val="1"/>
        <c:lblAlgn val="ctr"/>
        <c:lblOffset val="100"/>
        <c:noMultiLvlLbl val="0"/>
      </c:catAx>
      <c:valAx>
        <c:axId val="8446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446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05900B9-FD07-498B-AAF7-742372217254}">
  <sheetPr/>
  <sheetViews>
    <sheetView zoomScale="12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644063" cy="6000750"/>
    <xdr:graphicFrame macro="">
      <xdr:nvGraphicFramePr>
        <xdr:cNvPr id="2" name="Gráfico 1">
          <a:extLst>
            <a:ext uri="{FF2B5EF4-FFF2-40B4-BE49-F238E27FC236}">
              <a16:creationId xmlns:a16="http://schemas.microsoft.com/office/drawing/2014/main" id="{E6973B06-DA5E-7CDE-0E25-B490B680C5A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7AA8B65A-CFEC-4EC0-B602-B34A8552A7B5}">
    <nsvFilter filterId="{26F14978-443C-43BF-BBAB-3AC6D5A7AEE7}" ref="A1:AF2864" tableId="2">
      <columnFilter colId="0" id="{47B2C718-3485-46B9-AADB-7CD6614C956B}">
        <filter colId="0">
          <x:filters>
            <x:filter val="i1206_1p011m_g27_e001"/>
            <x:filter val="i1217_1p011m_g27_e001"/>
            <x:filter val="i6121_1p011m_g27_e001"/>
            <x:filter val="i6122_1p011m_g27_e001"/>
            <x:filter val="i6123_1p011m_g27_e001"/>
            <x:filter val="i6124_1p011m_g27_e001"/>
            <x:filter val="i6125_1p011m_g27_e001"/>
            <x:filter val="i6126_1p011m_g27_e001"/>
            <x:filter val="i6127_1p011m_g27_e001"/>
            <x:filter val="i6128_1p011m_g27_e001"/>
            <x:filter val="i6130_1p011m_g27_e001"/>
            <x:filter val="i6140_1p011m_g27_e001"/>
            <x:filter val="i6141_1p011m_g27_e001"/>
            <x:filter val="i6144_1p011m_g27_e001"/>
            <x:filter val="i6145_1p011m_g27_e001"/>
          </x:filters>
        </filter>
      </columnFilter>
    </nsvFilter>
  </namedSheetView>
  <namedSheetView name="Exibição 2" id="{4AECADD6-586B-4267-B2E8-7B79A403F0BA}">
    <nsvFilter filterId="{26F14978-443C-43BF-BBAB-3AC6D5A7AEE7}" ref="A1:AF2864" tableId="2"/>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2864" totalsRowShown="0" dataDxfId="33">
  <autoFilter ref="A1:AF2864" xr:uid="{26F14978-443C-43BF-BBAB-3AC6D5A7AEE7}"/>
  <sortState xmlns:xlrd2="http://schemas.microsoft.com/office/spreadsheetml/2017/richdata2" ref="A2:AF2864">
    <sortCondition ref="A1:A2864"/>
  </sortState>
  <tableColumns count="32">
    <tableColumn id="1" xr3:uid="{47B2C718-3485-46B9-AADB-7CD6614C956B}" name="retranca" dataDxfId="32"/>
    <tableColumn id="2" xr3:uid="{6F20D1A7-51B1-4A53-83CF-50614FC1E87E}" name="status" dataDxfId="31"/>
    <tableColumn id="3" xr3:uid="{E8572E99-0AB2-49AE-9897-F535E78DC59B}" name="categoria" dataDxfId="30"/>
    <tableColumn id="4" xr3:uid="{3BAA2E23-8D96-41DB-870E-717EF9F01497}" name="localizacao" dataDxfId="29"/>
    <tableColumn id="5" xr3:uid="{1B97AF7C-996A-498F-8E4F-F5114662DCAE}" name="pagina" dataDxfId="28"/>
    <tableColumn id="6" xr3:uid="{701EC8BF-5D46-4F01-9E72-37F5C84C6204}" name="volume" dataDxfId="27"/>
    <tableColumn id="7" xr3:uid="{42115F63-2A60-4768-BBD4-D907E57CB424}" name="unidade" dataDxfId="26"/>
    <tableColumn id="8" xr3:uid="{8E407FD3-50F6-4CC1-A2B4-EDA18ADCE3EB}" name="capitulo_secao" dataDxfId="25"/>
    <tableColumn id="9" xr3:uid="{F6258D69-7676-4635-B739-B385D000AE2F}" name="tipo" dataDxfId="24"/>
    <tableColumn id="10" xr3:uid="{4DD8887C-979F-4883-A85F-C815DE05EFC4}" name="NOME DA OBRA_x000a_ PARA RESGATE" dataDxfId="23"/>
    <tableColumn id="11" xr3:uid="{6AE351D3-5B1B-4747-80E2-2C6E7096156C}" name="PÁGINA PARA RESGATE" dataDxfId="22"/>
    <tableColumn id="12" xr3:uid="{952EC93C-92B5-4133-9AEA-04AF281045BE}" name="VOLUME PARA RESGATE" dataDxfId="21"/>
    <tableColumn id="13" xr3:uid="{57087D3E-8F9F-4743-8F04-3C6E29F5FEF7}" name="VERSÃO PARA RESGATE" dataDxfId="20"/>
    <tableColumn id="14" xr3:uid="{C9E5A9B8-DDE9-4844-B5BF-DF220C1DD168}" name="PROPRIEDADE" dataDxfId="19"/>
    <tableColumn id="15" xr3:uid="{562820C1-46A0-42B2-950F-AED0FB5E62E7}" name="descricao" dataDxfId="18"/>
    <tableColumn id="17" xr3:uid="{9EC1C14E-FE8F-416B-8F0B-F1829EFD032D}" name="observacao_edit_nuc" dataDxfId="17"/>
    <tableColumn id="18" xr3:uid="{1445C9B1-3AFA-4B92-985F-63C0113E7064}" name="lote" dataDxfId="16"/>
    <tableColumn id="19" xr3:uid="{DC238784-0E4D-4DC4-B1E6-1E19ACD2AA8D}" name="data_liberacao_para_arte" dataDxfId="15"/>
    <tableColumn id="20" xr3:uid="{0C20AC60-0820-4D59-B1C1-6D84A4B9FA66}" name="data_envio_pedido" dataDxfId="14"/>
    <tableColumn id="21" xr3:uid="{DDDDF8E2-4440-46FA-8A2E-11BFA188E1C2}" name="data_recebimento_rafe" dataDxfId="13"/>
    <tableColumn id="22" xr3:uid="{FE78F000-3E98-407F-A684-34560ED2CEE0}" name="data_retorno_rafe" dataDxfId="12"/>
    <tableColumn id="23" xr3:uid="{2847C90F-EB07-4DB4-B575-0FC03C222849}" name="data_recebimento_finalizada" dataDxfId="11"/>
    <tableColumn id="24" xr3:uid="{14797CE0-E66E-45A5-8181-5A2482F775E9}" name="sigla" dataDxfId="10"/>
    <tableColumn id="25" xr3:uid="{A1C665BD-8ED6-4CD6-88D0-C67BAF49562F}" name="ilustrador" dataDxfId="9">
      <calculatedColumnFormula>IF(Tabela2[[#This Row],[sigla]]="","",VLOOKUP(Tabela2[[#This Row],[sigla]],#REF!,2,0))</calculatedColumnFormula>
    </tableColumn>
    <tableColumn id="26" xr3:uid="{12E00CAD-6FD2-4BBD-B590-5DBCF5457DD0}" name="ilustrador_ajuste" dataDxfId="8"/>
    <tableColumn id="27" xr3:uid="{DB4DAD23-FDE3-4C38-AFEF-6E9484181939}" name="credito" dataDxfId="7">
      <calculatedColumnFormula>Tabela2[[#This Row],[ilustrador]]</calculatedColumnFormula>
    </tableColumn>
    <tableColumn id="28" xr3:uid="{A2773F6F-7648-4C4E-A050-6FF08F4C6FD3}" name="classificacao" dataDxfId="6"/>
    <tableColumn id="29" xr3:uid="{5A4B66D0-8557-4F1B-921F-35C87DD256F5}" name="observacao_arte" dataDxfId="5"/>
    <tableColumn id="30" xr3:uid="{EB5C8D02-71DF-417B-98C8-2041FFF8D781}" name="pagamento" dataDxfId="4"/>
    <tableColumn id="31" xr3:uid="{81BC28F8-346B-49BF-9B96-5CACD15820DD}" name="projeto" dataDxfId="1">
      <calculatedColumnFormula>"Pitanguá"</calculatedColumnFormula>
    </tableColumn>
    <tableColumn id="16" xr3:uid="{B924C44D-B238-4660-8B53-DB74423DCBDA}" name="componente" dataDxfId="0">
      <calculatedColumnFormula>"Matemática"</calculatedColumnFormula>
    </tableColumn>
    <tableColumn id="32" xr3:uid="{243D19A6-CBA9-4241-858B-4D2141B1D3B6}"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569E7B-8D76-418E-A4CC-9A78BB21B29E}" name="Tabela14" displayName="Tabela14" ref="A2:C334" totalsRowShown="0">
  <autoFilter ref="A2:C334" xr:uid="{8E569E7B-8D76-418E-A4CC-9A78BB21B29E}"/>
  <tableColumns count="3">
    <tableColumn id="1" xr3:uid="{341B3A28-5BCC-4808-A949-C86D5BC4F4FA}" name="Nome do ilustrador"/>
    <tableColumn id="2" xr3:uid="{199A1E0F-2E9B-4AEE-B4AC-6C8DCE5D815D}" name="Sigla Arte"/>
    <tableColumn id="3" xr3:uid="{AC1E6202-6971-4EC2-B115-B31B644C12A8}" name="Crédito" dataDxfId="3"/>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2864"/>
  <sheetViews>
    <sheetView tabSelected="1" zoomScaleNormal="100" workbookViewId="0"/>
  </sheetViews>
  <sheetFormatPr defaultRowHeight="14.4" x14ac:dyDescent="0.3"/>
  <cols>
    <col min="1" max="1" width="25.6640625" style="4" bestFit="1" customWidth="1"/>
    <col min="2" max="2" width="15" style="21" bestFit="1" customWidth="1"/>
    <col min="3" max="3" width="19.44140625" style="21" customWidth="1"/>
    <col min="4" max="4" width="15.109375" style="21" customWidth="1"/>
    <col min="5" max="5" width="13.88671875" style="3" customWidth="1"/>
    <col min="6" max="6" width="9.44140625" style="3" customWidth="1"/>
    <col min="7" max="7" width="10.6640625" style="3" customWidth="1"/>
    <col min="8" max="8" width="13.5546875" style="3" customWidth="1"/>
    <col min="9" max="9" width="9.6640625" style="4" bestFit="1" customWidth="1"/>
    <col min="10" max="10" width="21.33203125" style="4" customWidth="1"/>
    <col min="11" max="11" width="12.88671875" style="3" customWidth="1"/>
    <col min="12" max="12" width="14" style="3" customWidth="1"/>
    <col min="13" max="13" width="15.33203125" style="4" customWidth="1"/>
    <col min="14" max="14" width="16.5546875" style="4" customWidth="1"/>
    <col min="15" max="15" width="105.33203125" style="21" bestFit="1" customWidth="1"/>
    <col min="16" max="16" width="17.44140625" style="21" customWidth="1"/>
    <col min="17" max="17" width="18.5546875" style="3" customWidth="1"/>
    <col min="18" max="18" width="17.33203125" style="25" customWidth="1"/>
    <col min="19" max="19" width="20.44140625" style="25" customWidth="1"/>
    <col min="20" max="20" width="16.33203125" style="25" customWidth="1"/>
    <col min="21" max="22" width="18.6640625" style="25" customWidth="1"/>
    <col min="23" max="23" width="8.88671875" style="3" customWidth="1"/>
    <col min="24" max="24" width="61.6640625" style="4" customWidth="1"/>
    <col min="25" max="25" width="53.33203125" style="4" customWidth="1"/>
    <col min="26" max="26" width="60.109375" style="4" customWidth="1"/>
    <col min="27" max="27" width="16.5546875" style="3" customWidth="1"/>
    <col min="28" max="28" width="35.5546875" style="21" customWidth="1"/>
    <col min="29" max="29" width="19.44140625" style="20" customWidth="1"/>
    <col min="30" max="30" width="13.6640625" style="4" bestFit="1" customWidth="1"/>
  </cols>
  <sheetData>
    <row r="1" spans="1:32" s="12" customFormat="1" ht="66" customHeight="1" x14ac:dyDescent="0.3">
      <c r="A1" s="9" t="s">
        <v>6907</v>
      </c>
      <c r="B1" s="10" t="s">
        <v>6908</v>
      </c>
      <c r="C1" s="10" t="s">
        <v>6909</v>
      </c>
      <c r="D1" s="10" t="s">
        <v>6910</v>
      </c>
      <c r="E1" s="10" t="s">
        <v>6911</v>
      </c>
      <c r="F1" s="10" t="s">
        <v>6912</v>
      </c>
      <c r="G1" s="10" t="s">
        <v>6913</v>
      </c>
      <c r="H1" s="10" t="s">
        <v>6914</v>
      </c>
      <c r="I1" s="10" t="s">
        <v>6915</v>
      </c>
      <c r="J1" s="10" t="s">
        <v>0</v>
      </c>
      <c r="K1" s="10" t="s">
        <v>1</v>
      </c>
      <c r="L1" s="10" t="s">
        <v>2</v>
      </c>
      <c r="M1" s="10" t="s">
        <v>3</v>
      </c>
      <c r="N1" s="10" t="s">
        <v>4</v>
      </c>
      <c r="O1" s="10" t="s">
        <v>6916</v>
      </c>
      <c r="P1" s="10" t="s">
        <v>6917</v>
      </c>
      <c r="Q1" s="10" t="s">
        <v>6918</v>
      </c>
      <c r="R1" s="18" t="s">
        <v>6919</v>
      </c>
      <c r="S1" s="15" t="s">
        <v>6920</v>
      </c>
      <c r="T1" s="15" t="s">
        <v>6921</v>
      </c>
      <c r="U1" s="15" t="s">
        <v>6922</v>
      </c>
      <c r="V1" s="16" t="s">
        <v>6923</v>
      </c>
      <c r="W1" s="16" t="s">
        <v>6924</v>
      </c>
      <c r="X1" s="49" t="s">
        <v>6925</v>
      </c>
      <c r="Y1" s="11" t="s">
        <v>6926</v>
      </c>
      <c r="Z1" s="13" t="s">
        <v>6927</v>
      </c>
      <c r="AA1" s="11" t="s">
        <v>6928</v>
      </c>
      <c r="AB1" s="11" t="s">
        <v>6929</v>
      </c>
      <c r="AC1" s="19" t="s">
        <v>6930</v>
      </c>
      <c r="AD1" s="17" t="s">
        <v>6931</v>
      </c>
      <c r="AE1" s="50" t="s">
        <v>6932</v>
      </c>
      <c r="AF1" s="50" t="s">
        <v>6933</v>
      </c>
    </row>
    <row r="2" spans="1:32" s="14" customFormat="1" ht="28.8" x14ac:dyDescent="0.3">
      <c r="A2" s="23" t="s">
        <v>5311</v>
      </c>
      <c r="B2" s="20" t="s">
        <v>16</v>
      </c>
      <c r="C2" s="20" t="s">
        <v>89</v>
      </c>
      <c r="D2" s="20" t="s">
        <v>8</v>
      </c>
      <c r="E2" s="22">
        <v>25</v>
      </c>
      <c r="F2" s="22">
        <v>3</v>
      </c>
      <c r="G2" s="22">
        <v>1</v>
      </c>
      <c r="H2" s="22"/>
      <c r="I2" s="23" t="s">
        <v>33</v>
      </c>
      <c r="J2" s="23"/>
      <c r="K2" s="22"/>
      <c r="L2" s="22"/>
      <c r="M2" s="23"/>
      <c r="N2" s="23"/>
      <c r="O2" s="26" t="s">
        <v>5312</v>
      </c>
      <c r="P2" s="26"/>
      <c r="Q2" s="22"/>
      <c r="R2" s="24"/>
      <c r="S2" s="24">
        <v>45860</v>
      </c>
      <c r="T2" s="24"/>
      <c r="U2" s="24"/>
      <c r="V2" s="24">
        <v>45860</v>
      </c>
      <c r="W2" s="22" t="s">
        <v>468</v>
      </c>
      <c r="X2" s="4" t="str">
        <f>IF(Tabela2[[#This Row],[sigla]]="","",VLOOKUP(Tabela2[[#This Row],[sigla]],créditos_base!B:C,2,0))</f>
        <v>VER DOCUMENTO DE ILS. TÉCNICAS</v>
      </c>
      <c r="Y2" s="23" t="s">
        <v>243</v>
      </c>
      <c r="Z2" s="23" t="s">
        <v>2691</v>
      </c>
      <c r="AA2" s="22">
        <v>13</v>
      </c>
      <c r="AB2" s="20" t="s">
        <v>41</v>
      </c>
      <c r="AC2" s="20" t="s">
        <v>36</v>
      </c>
      <c r="AD2" s="4" t="str">
        <f>"Pitanguá"</f>
        <v>Pitanguá</v>
      </c>
      <c r="AE2" s="14" t="str">
        <f>"Matemática"</f>
        <v>Matemática</v>
      </c>
    </row>
    <row r="3" spans="1:32" s="14" customFormat="1" ht="28.8" x14ac:dyDescent="0.3">
      <c r="A3" s="23" t="s">
        <v>2334</v>
      </c>
      <c r="B3" s="20" t="s">
        <v>16</v>
      </c>
      <c r="C3" s="20" t="s">
        <v>89</v>
      </c>
      <c r="D3" s="20" t="s">
        <v>8</v>
      </c>
      <c r="E3" s="22">
        <v>137</v>
      </c>
      <c r="F3" s="22">
        <v>3</v>
      </c>
      <c r="G3" s="22">
        <v>7</v>
      </c>
      <c r="H3" s="22"/>
      <c r="I3" s="23" t="s">
        <v>9</v>
      </c>
      <c r="J3" s="23"/>
      <c r="K3" s="22"/>
      <c r="L3" s="22"/>
      <c r="M3" s="23"/>
      <c r="N3" s="23"/>
      <c r="O3" s="26" t="s">
        <v>2335</v>
      </c>
      <c r="P3" s="26"/>
      <c r="Q3" s="22"/>
      <c r="R3" s="24"/>
      <c r="S3" s="24"/>
      <c r="T3" s="24"/>
      <c r="U3" s="24"/>
      <c r="V3" s="24"/>
      <c r="W3" s="22" t="s">
        <v>230</v>
      </c>
      <c r="X3" s="4" t="str">
        <f>IF(Tabela2[[#This Row],[sigla]]="","",VLOOKUP(Tabela2[[#This Row],[sigla]],créditos_base!B:C,2,0))</f>
        <v>RAFAEL L. GAION/ARQUIVO DA EDITORA</v>
      </c>
      <c r="Y3" s="23"/>
      <c r="Z3" s="23" t="str">
        <f>Tabela2[[#This Row],[ilustrador]]</f>
        <v>RAFAEL L. GAION/ARQUIVO DA EDITORA</v>
      </c>
      <c r="AA3" s="22"/>
      <c r="AB3" s="20"/>
      <c r="AC3" s="20"/>
      <c r="AD3" s="4" t="str">
        <f>"Pitanguá"</f>
        <v>Pitanguá</v>
      </c>
      <c r="AE3" s="14" t="str">
        <f>"Matemática"</f>
        <v>Matemática</v>
      </c>
    </row>
    <row r="4" spans="1:32" s="14" customFormat="1" ht="28.8" x14ac:dyDescent="0.3">
      <c r="A4" s="30" t="s">
        <v>1786</v>
      </c>
      <c r="B4" s="20" t="s">
        <v>16</v>
      </c>
      <c r="C4" s="20" t="s">
        <v>540</v>
      </c>
      <c r="D4" s="20" t="s">
        <v>8</v>
      </c>
      <c r="E4" s="22">
        <v>14</v>
      </c>
      <c r="F4" s="22">
        <v>3</v>
      </c>
      <c r="G4" s="22">
        <v>1</v>
      </c>
      <c r="H4" s="22"/>
      <c r="I4" s="23" t="s">
        <v>33</v>
      </c>
      <c r="J4" s="23"/>
      <c r="K4" s="22"/>
      <c r="L4" s="22"/>
      <c r="M4" s="23"/>
      <c r="N4" s="23"/>
      <c r="O4" s="26" t="s">
        <v>1787</v>
      </c>
      <c r="P4" s="26"/>
      <c r="Q4" s="22">
        <v>78</v>
      </c>
      <c r="R4" s="24">
        <v>45820</v>
      </c>
      <c r="S4" s="24">
        <v>45825</v>
      </c>
      <c r="T4" s="24"/>
      <c r="U4" s="24"/>
      <c r="V4" s="24">
        <v>45826</v>
      </c>
      <c r="W4" s="22" t="s">
        <v>160</v>
      </c>
      <c r="X4" s="4" t="str">
        <f>IF(Tabela2[[#This Row],[sigla]]="","",VLOOKUP(Tabela2[[#This Row],[sigla]],créditos_base!B:C,2,0))</f>
        <v>SERGIO LIMA/ARQUIVO DA EDITORA</v>
      </c>
      <c r="Y4" s="23" t="s">
        <v>1503</v>
      </c>
      <c r="Z4" s="23" t="str">
        <f>Tabela2[[#This Row],[ilustrador]]</f>
        <v>SERGIO LIMA/ARQUIVO DA EDITORA</v>
      </c>
      <c r="AA4" s="22">
        <v>13</v>
      </c>
      <c r="AB4" s="20" t="s">
        <v>41</v>
      </c>
      <c r="AC4" s="20" t="s">
        <v>36</v>
      </c>
      <c r="AD4" s="4" t="str">
        <f>"Pitanguá"</f>
        <v>Pitanguá</v>
      </c>
      <c r="AE4" s="14" t="str">
        <f>"Matemática"</f>
        <v>Matemática</v>
      </c>
    </row>
    <row r="5" spans="1:32" s="14" customFormat="1" ht="43.2" x14ac:dyDescent="0.3">
      <c r="A5" s="23" t="s">
        <v>5415</v>
      </c>
      <c r="B5" s="20" t="s">
        <v>16</v>
      </c>
      <c r="C5" s="20" t="s">
        <v>540</v>
      </c>
      <c r="D5" s="20" t="s">
        <v>8</v>
      </c>
      <c r="E5" s="22">
        <v>22</v>
      </c>
      <c r="F5" s="22">
        <v>5</v>
      </c>
      <c r="G5" s="22">
        <v>1</v>
      </c>
      <c r="H5" s="22"/>
      <c r="I5" s="23" t="s">
        <v>33</v>
      </c>
      <c r="J5" s="23"/>
      <c r="K5" s="22"/>
      <c r="L5" s="22"/>
      <c r="M5" s="23"/>
      <c r="N5" s="23"/>
      <c r="O5" s="26" t="s">
        <v>5416</v>
      </c>
      <c r="P5" s="26"/>
      <c r="Q5" s="22">
        <v>126</v>
      </c>
      <c r="R5" s="24">
        <v>45863</v>
      </c>
      <c r="S5" s="24">
        <v>45867</v>
      </c>
      <c r="T5" s="24"/>
      <c r="U5" s="24"/>
      <c r="V5" s="24">
        <v>45869</v>
      </c>
      <c r="W5" s="22" t="s">
        <v>940</v>
      </c>
      <c r="X5" s="4" t="str">
        <f>IF(Tabela2[[#This Row],[sigla]]="","",VLOOKUP(Tabela2[[#This Row],[sigla]],créditos_base!B:C,2,0))</f>
        <v>RONALDO LUCENA/ARQUIVO DA EDITORA</v>
      </c>
      <c r="Y5" s="23" t="s">
        <v>243</v>
      </c>
      <c r="Z5" s="23" t="str">
        <f>Tabela2[[#This Row],[ilustrador]]</f>
        <v>RONALDO LUCENA/ARQUIVO DA EDITORA</v>
      </c>
      <c r="AA5" s="22">
        <v>13</v>
      </c>
      <c r="AB5" s="20" t="s">
        <v>5400</v>
      </c>
      <c r="AC5" s="20" t="s">
        <v>36</v>
      </c>
      <c r="AD5" s="4" t="str">
        <f>"Pitanguá"</f>
        <v>Pitanguá</v>
      </c>
      <c r="AE5" s="14" t="str">
        <f>"Matemática"</f>
        <v>Matemática</v>
      </c>
    </row>
    <row r="6" spans="1:32" s="14" customFormat="1" ht="28.8" x14ac:dyDescent="0.3">
      <c r="A6" s="23" t="s">
        <v>1806</v>
      </c>
      <c r="B6" s="20" t="s">
        <v>16</v>
      </c>
      <c r="C6" s="20" t="s">
        <v>540</v>
      </c>
      <c r="D6" s="20" t="s">
        <v>8</v>
      </c>
      <c r="E6" s="22">
        <v>194</v>
      </c>
      <c r="F6" s="22">
        <v>3</v>
      </c>
      <c r="G6" s="22">
        <v>1</v>
      </c>
      <c r="H6" s="22"/>
      <c r="I6" s="23" t="s">
        <v>33</v>
      </c>
      <c r="J6" s="23"/>
      <c r="K6" s="22"/>
      <c r="L6" s="22"/>
      <c r="M6" s="23"/>
      <c r="N6" s="23"/>
      <c r="O6" s="26" t="s">
        <v>1807</v>
      </c>
      <c r="P6" s="26"/>
      <c r="Q6" s="22">
        <v>78</v>
      </c>
      <c r="R6" s="24">
        <v>45820</v>
      </c>
      <c r="S6" s="24">
        <v>45831</v>
      </c>
      <c r="T6" s="24"/>
      <c r="U6" s="24"/>
      <c r="V6" s="24">
        <v>45831</v>
      </c>
      <c r="W6" s="22" t="s">
        <v>160</v>
      </c>
      <c r="X6" s="4" t="str">
        <f>IF(Tabela2[[#This Row],[sigla]]="","",VLOOKUP(Tabela2[[#This Row],[sigla]],créditos_base!B:C,2,0))</f>
        <v>SERGIO LIMA/ARQUIVO DA EDITORA</v>
      </c>
      <c r="Y6" s="23" t="s">
        <v>880</v>
      </c>
      <c r="Z6" s="23" t="str">
        <f>Tabela2[[#This Row],[ilustrador]]</f>
        <v>SERGIO LIMA/ARQUIVO DA EDITORA</v>
      </c>
      <c r="AA6" s="22">
        <v>13</v>
      </c>
      <c r="AB6" s="20" t="s">
        <v>244</v>
      </c>
      <c r="AC6" s="20" t="s">
        <v>36</v>
      </c>
      <c r="AD6" s="4" t="str">
        <f>"Pitanguá"</f>
        <v>Pitanguá</v>
      </c>
      <c r="AE6" s="14" t="str">
        <f>"Matemática"</f>
        <v>Matemática</v>
      </c>
    </row>
    <row r="7" spans="1:32" s="14" customFormat="1" ht="57.6" x14ac:dyDescent="0.3">
      <c r="A7" s="23" t="s">
        <v>1808</v>
      </c>
      <c r="B7" s="20" t="s">
        <v>16</v>
      </c>
      <c r="C7" s="20" t="s">
        <v>540</v>
      </c>
      <c r="D7" s="20" t="s">
        <v>8</v>
      </c>
      <c r="E7" s="22">
        <v>197</v>
      </c>
      <c r="F7" s="22">
        <v>3</v>
      </c>
      <c r="G7" s="22">
        <v>1</v>
      </c>
      <c r="H7" s="22"/>
      <c r="I7" s="23" t="s">
        <v>33</v>
      </c>
      <c r="J7" s="23"/>
      <c r="K7" s="22"/>
      <c r="L7" s="22"/>
      <c r="M7" s="23"/>
      <c r="N7" s="23"/>
      <c r="O7" s="26" t="s">
        <v>1809</v>
      </c>
      <c r="P7" s="26"/>
      <c r="Q7" s="22">
        <v>164</v>
      </c>
      <c r="R7" s="24">
        <v>45892</v>
      </c>
      <c r="S7" s="24">
        <v>45894</v>
      </c>
      <c r="T7" s="24"/>
      <c r="U7" s="24"/>
      <c r="V7" s="24">
        <v>45894</v>
      </c>
      <c r="W7" s="22" t="s">
        <v>160</v>
      </c>
      <c r="X7" s="4" t="str">
        <f>IF(Tabela2[[#This Row],[sigla]]="","",VLOOKUP(Tabela2[[#This Row],[sigla]],créditos_base!B:C,2,0))</f>
        <v>SERGIO LIMA/ARQUIVO DA EDITORA</v>
      </c>
      <c r="Y7" s="23" t="s">
        <v>433</v>
      </c>
      <c r="Z7" s="23" t="str">
        <f>Tabela2[[#This Row],[ilustrador]]</f>
        <v>SERGIO LIMA/ARQUIVO DA EDITORA</v>
      </c>
      <c r="AA7" s="22">
        <v>14</v>
      </c>
      <c r="AB7" s="20" t="s">
        <v>153</v>
      </c>
      <c r="AC7" s="20" t="s">
        <v>36</v>
      </c>
      <c r="AD7" s="4" t="str">
        <f>"Pitanguá"</f>
        <v>Pitanguá</v>
      </c>
      <c r="AE7" s="14" t="str">
        <f>"Matemática"</f>
        <v>Matemática</v>
      </c>
    </row>
    <row r="8" spans="1:32" s="14" customFormat="1" x14ac:dyDescent="0.3">
      <c r="A8" s="23" t="s">
        <v>5423</v>
      </c>
      <c r="B8" s="20" t="s">
        <v>16</v>
      </c>
      <c r="C8" s="20" t="s">
        <v>540</v>
      </c>
      <c r="D8" s="20" t="s">
        <v>8</v>
      </c>
      <c r="E8" s="22">
        <v>30</v>
      </c>
      <c r="F8" s="22">
        <v>5</v>
      </c>
      <c r="G8" s="22">
        <v>1</v>
      </c>
      <c r="H8" s="22"/>
      <c r="I8" s="23" t="s">
        <v>90</v>
      </c>
      <c r="J8" s="23"/>
      <c r="K8" s="22"/>
      <c r="L8" s="22"/>
      <c r="M8" s="23"/>
      <c r="N8" s="23"/>
      <c r="O8" s="26" t="s">
        <v>5424</v>
      </c>
      <c r="P8" s="26"/>
      <c r="Q8" s="22">
        <v>126</v>
      </c>
      <c r="R8" s="24">
        <v>45863</v>
      </c>
      <c r="S8" s="24">
        <v>45867</v>
      </c>
      <c r="T8" s="24"/>
      <c r="U8" s="24"/>
      <c r="V8" s="24">
        <v>45869</v>
      </c>
      <c r="W8" s="22" t="s">
        <v>2675</v>
      </c>
      <c r="X8" s="4" t="str">
        <f>IF(Tabela2[[#This Row],[sigla]]="","",VLOOKUP(Tabela2[[#This Row],[sigla]],créditos_base!B:C,2,0))</f>
        <v>INGRIDHI BORGES/ARQUIVO DA EDITORA</v>
      </c>
      <c r="Y8" s="23" t="s">
        <v>243</v>
      </c>
      <c r="Z8" s="23" t="str">
        <f>Tabela2[[#This Row],[ilustrador]]</f>
        <v>INGRIDHI BORGES/ARQUIVO DA EDITORA</v>
      </c>
      <c r="AA8" s="22">
        <v>13</v>
      </c>
      <c r="AB8" s="20" t="s">
        <v>5014</v>
      </c>
      <c r="AC8" s="20" t="s">
        <v>36</v>
      </c>
      <c r="AD8" s="4" t="str">
        <f>"Pitanguá"</f>
        <v>Pitanguá</v>
      </c>
      <c r="AE8" s="14" t="str">
        <f>"Matemática"</f>
        <v>Matemática</v>
      </c>
    </row>
    <row r="9" spans="1:32" s="14" customFormat="1" ht="28.8" x14ac:dyDescent="0.3">
      <c r="A9" s="23" t="s">
        <v>1152</v>
      </c>
      <c r="B9" s="20" t="s">
        <v>16</v>
      </c>
      <c r="C9" s="20" t="s">
        <v>540</v>
      </c>
      <c r="D9" s="20" t="s">
        <v>8</v>
      </c>
      <c r="E9" s="22"/>
      <c r="F9" s="22">
        <v>2</v>
      </c>
      <c r="G9" s="22">
        <v>1</v>
      </c>
      <c r="H9" s="22">
        <v>1</v>
      </c>
      <c r="I9" s="23" t="s">
        <v>33</v>
      </c>
      <c r="J9" s="23"/>
      <c r="K9" s="22"/>
      <c r="L9" s="22"/>
      <c r="M9" s="23"/>
      <c r="N9" s="23"/>
      <c r="O9" s="26" t="s">
        <v>1153</v>
      </c>
      <c r="P9" s="26"/>
      <c r="Q9" s="22">
        <v>13</v>
      </c>
      <c r="R9" s="24">
        <v>45743</v>
      </c>
      <c r="S9" s="24">
        <v>45743</v>
      </c>
      <c r="T9" s="24"/>
      <c r="U9" s="24"/>
      <c r="V9" s="24">
        <v>45743</v>
      </c>
      <c r="W9" s="22" t="s">
        <v>160</v>
      </c>
      <c r="X9" s="4" t="str">
        <f>IF(Tabela2[[#This Row],[sigla]]="","",VLOOKUP(Tabela2[[#This Row],[sigla]],créditos_base!B:C,2,0))</f>
        <v>SERGIO LIMA/ARQUIVO DA EDITORA</v>
      </c>
      <c r="Y9" s="23" t="s">
        <v>813</v>
      </c>
      <c r="Z9" s="23" t="str">
        <f>Tabela2[[#This Row],[ilustrador]]</f>
        <v>SERGIO LIMA/ARQUIVO DA EDITORA</v>
      </c>
      <c r="AA9" s="22">
        <v>13</v>
      </c>
      <c r="AB9" s="20" t="s">
        <v>153</v>
      </c>
      <c r="AC9" s="20" t="s">
        <v>36</v>
      </c>
      <c r="AD9" s="4" t="str">
        <f>"Pitanguá"</f>
        <v>Pitanguá</v>
      </c>
      <c r="AE9" s="14" t="str">
        <f>"Matemática"</f>
        <v>Matemática</v>
      </c>
    </row>
    <row r="10" spans="1:32" s="14" customFormat="1" ht="28.8" x14ac:dyDescent="0.3">
      <c r="A10" s="23" t="s">
        <v>4787</v>
      </c>
      <c r="B10" s="20" t="s">
        <v>16</v>
      </c>
      <c r="C10" s="20" t="s">
        <v>7</v>
      </c>
      <c r="D10" s="20" t="s">
        <v>8</v>
      </c>
      <c r="E10" s="22">
        <v>41</v>
      </c>
      <c r="F10" s="22">
        <v>3</v>
      </c>
      <c r="G10" s="22">
        <v>1</v>
      </c>
      <c r="H10" s="22"/>
      <c r="I10" s="23" t="s">
        <v>33</v>
      </c>
      <c r="J10" s="23"/>
      <c r="K10" s="22"/>
      <c r="L10" s="22"/>
      <c r="M10" s="23"/>
      <c r="N10" s="23"/>
      <c r="O10" s="26" t="s">
        <v>4788</v>
      </c>
      <c r="P10" s="20"/>
      <c r="Q10" s="22">
        <v>78</v>
      </c>
      <c r="R10" s="24">
        <v>45820</v>
      </c>
      <c r="S10" s="24">
        <v>45825</v>
      </c>
      <c r="T10" s="24"/>
      <c r="U10" s="24"/>
      <c r="V10" s="24">
        <v>45826</v>
      </c>
      <c r="W10" s="22" t="s">
        <v>160</v>
      </c>
      <c r="X10" s="4" t="str">
        <f>IF(Tabela2[[#This Row],[sigla]]="","",VLOOKUP(Tabela2[[#This Row],[sigla]],créditos_base!B:C,2,0))</f>
        <v>SERGIO LIMA/ARQUIVO DA EDITORA</v>
      </c>
      <c r="Y10" s="23" t="s">
        <v>1503</v>
      </c>
      <c r="Z10" s="23" t="str">
        <f>Tabela2[[#This Row],[ilustrador]]</f>
        <v>SERGIO LIMA/ARQUIVO DA EDITORA</v>
      </c>
      <c r="AA10" s="22">
        <v>13</v>
      </c>
      <c r="AB10" s="41" t="s">
        <v>41</v>
      </c>
      <c r="AC10" s="20" t="s">
        <v>36</v>
      </c>
      <c r="AD10" s="4" t="str">
        <f>"Pitanguá"</f>
        <v>Pitanguá</v>
      </c>
      <c r="AE10" s="14" t="str">
        <f>"Matemática"</f>
        <v>Matemática</v>
      </c>
    </row>
    <row r="11" spans="1:32" s="14" customFormat="1" ht="43.2" x14ac:dyDescent="0.3">
      <c r="A11" s="23" t="s">
        <v>2864</v>
      </c>
      <c r="B11" s="20" t="s">
        <v>16</v>
      </c>
      <c r="C11" s="20" t="s">
        <v>89</v>
      </c>
      <c r="D11" s="20" t="s">
        <v>8</v>
      </c>
      <c r="E11" s="22" t="s">
        <v>1300</v>
      </c>
      <c r="F11" s="22">
        <v>4</v>
      </c>
      <c r="G11" s="22">
        <v>1</v>
      </c>
      <c r="H11" s="22"/>
      <c r="I11" s="23" t="s">
        <v>33</v>
      </c>
      <c r="J11" s="23"/>
      <c r="K11" s="22"/>
      <c r="L11" s="22"/>
      <c r="M11" s="23"/>
      <c r="N11" s="23"/>
      <c r="O11" s="26" t="s">
        <v>2865</v>
      </c>
      <c r="P11" s="26"/>
      <c r="Q11" s="22">
        <v>181</v>
      </c>
      <c r="R11" s="24">
        <v>45906</v>
      </c>
      <c r="S11" s="24">
        <v>45908</v>
      </c>
      <c r="T11" s="24"/>
      <c r="U11" s="24"/>
      <c r="V11" s="24">
        <v>45908</v>
      </c>
      <c r="W11" s="22" t="s">
        <v>160</v>
      </c>
      <c r="X11" s="4" t="str">
        <f>IF(Tabela2[[#This Row],[sigla]]="","",VLOOKUP(Tabela2[[#This Row],[sigla]],créditos_base!B:C,2,0))</f>
        <v>SERGIO LIMA/ARQUIVO DA EDITORA</v>
      </c>
      <c r="Y11" s="23" t="s">
        <v>1139</v>
      </c>
      <c r="Z11" s="23" t="str">
        <f>Tabela2[[#This Row],[ilustrador]]</f>
        <v>SERGIO LIMA/ARQUIVO DA EDITORA</v>
      </c>
      <c r="AA11" s="22">
        <v>13</v>
      </c>
      <c r="AB11" s="20" t="s">
        <v>2866</v>
      </c>
      <c r="AC11" s="20" t="s">
        <v>36</v>
      </c>
      <c r="AD11" s="4" t="str">
        <f>"Pitanguá"</f>
        <v>Pitanguá</v>
      </c>
      <c r="AE11" s="14" t="str">
        <f>"Matemática"</f>
        <v>Matemática</v>
      </c>
    </row>
    <row r="12" spans="1:32" s="14" customFormat="1" ht="28.8" x14ac:dyDescent="0.3">
      <c r="A12" s="23" t="s">
        <v>2867</v>
      </c>
      <c r="B12" s="20" t="s">
        <v>6</v>
      </c>
      <c r="C12" s="20" t="s">
        <v>89</v>
      </c>
      <c r="D12" s="20" t="s">
        <v>8</v>
      </c>
      <c r="E12" s="22" t="s">
        <v>1300</v>
      </c>
      <c r="F12" s="22">
        <v>4</v>
      </c>
      <c r="G12" s="22">
        <v>1</v>
      </c>
      <c r="H12" s="22"/>
      <c r="I12" s="23" t="s">
        <v>9</v>
      </c>
      <c r="J12" s="23"/>
      <c r="K12" s="22"/>
      <c r="L12" s="22"/>
      <c r="M12" s="23"/>
      <c r="N12" s="23"/>
      <c r="O12" s="26" t="s">
        <v>2868</v>
      </c>
      <c r="P12" s="26"/>
      <c r="Q12" s="22"/>
      <c r="R12" s="24"/>
      <c r="S12" s="24"/>
      <c r="T12" s="24"/>
      <c r="U12" s="24"/>
      <c r="V12" s="24"/>
      <c r="W12" s="22" t="s">
        <v>160</v>
      </c>
      <c r="X12" s="4" t="str">
        <f>IF(Tabela2[[#This Row],[sigla]]="","",VLOOKUP(Tabela2[[#This Row],[sigla]],créditos_base!B:C,2,0))</f>
        <v>SERGIO LIMA/ARQUIVO DA EDITORA</v>
      </c>
      <c r="Y12" s="23"/>
      <c r="Z12" s="23" t="str">
        <f>Tabela2[[#This Row],[ilustrador]]</f>
        <v>SERGIO LIMA/ARQUIVO DA EDITORA</v>
      </c>
      <c r="AA12" s="22"/>
      <c r="AB12" s="20"/>
      <c r="AC12" s="20"/>
      <c r="AD12" s="4" t="str">
        <f>"Pitanguá"</f>
        <v>Pitanguá</v>
      </c>
      <c r="AE12" s="14" t="str">
        <f>"Matemática"</f>
        <v>Matemática</v>
      </c>
    </row>
    <row r="13" spans="1:32" s="14" customFormat="1" ht="28.8" x14ac:dyDescent="0.3">
      <c r="A13" s="23" t="s">
        <v>2869</v>
      </c>
      <c r="B13" s="20" t="s">
        <v>6</v>
      </c>
      <c r="C13" s="20" t="s">
        <v>89</v>
      </c>
      <c r="D13" s="20" t="s">
        <v>8</v>
      </c>
      <c r="E13" s="22" t="s">
        <v>1300</v>
      </c>
      <c r="F13" s="22">
        <v>4</v>
      </c>
      <c r="G13" s="22">
        <v>1</v>
      </c>
      <c r="H13" s="22"/>
      <c r="I13" s="23" t="s">
        <v>9</v>
      </c>
      <c r="J13" s="23"/>
      <c r="K13" s="22"/>
      <c r="L13" s="22"/>
      <c r="M13" s="23"/>
      <c r="N13" s="23"/>
      <c r="O13" s="26" t="s">
        <v>2870</v>
      </c>
      <c r="P13" s="26"/>
      <c r="Q13" s="22"/>
      <c r="R13" s="24"/>
      <c r="S13" s="24"/>
      <c r="T13" s="24"/>
      <c r="U13" s="24"/>
      <c r="V13" s="24"/>
      <c r="W13" s="22" t="s">
        <v>940</v>
      </c>
      <c r="X13" s="4" t="str">
        <f>IF(Tabela2[[#This Row],[sigla]]="","",VLOOKUP(Tabela2[[#This Row],[sigla]],créditos_base!B:C,2,0))</f>
        <v>RONALDO LUCENA/ARQUIVO DA EDITORA</v>
      </c>
      <c r="Y13" s="23"/>
      <c r="Z13" s="23" t="str">
        <f>Tabela2[[#This Row],[ilustrador]]</f>
        <v>RONALDO LUCENA/ARQUIVO DA EDITORA</v>
      </c>
      <c r="AA13" s="22"/>
      <c r="AB13" s="20"/>
      <c r="AC13" s="20"/>
      <c r="AD13" s="4" t="str">
        <f>"Pitanguá"</f>
        <v>Pitanguá</v>
      </c>
      <c r="AE13" s="14" t="str">
        <f>"Matemática"</f>
        <v>Matemática</v>
      </c>
    </row>
    <row r="14" spans="1:32" s="14" customFormat="1" ht="28.8" x14ac:dyDescent="0.3">
      <c r="A14" s="23" t="s">
        <v>4800</v>
      </c>
      <c r="B14" s="20" t="s">
        <v>16</v>
      </c>
      <c r="C14" s="20" t="s">
        <v>7</v>
      </c>
      <c r="D14" s="20" t="s">
        <v>8</v>
      </c>
      <c r="E14" s="22">
        <v>47</v>
      </c>
      <c r="F14" s="22">
        <v>3</v>
      </c>
      <c r="G14" s="22">
        <v>1</v>
      </c>
      <c r="H14" s="22"/>
      <c r="I14" s="23" t="s">
        <v>33</v>
      </c>
      <c r="J14" s="23"/>
      <c r="K14" s="22"/>
      <c r="L14" s="22"/>
      <c r="M14" s="23"/>
      <c r="N14" s="23"/>
      <c r="O14" s="26" t="s">
        <v>4801</v>
      </c>
      <c r="P14" s="20"/>
      <c r="Q14" s="22">
        <v>78</v>
      </c>
      <c r="R14" s="24">
        <v>45820</v>
      </c>
      <c r="S14" s="24">
        <v>45828</v>
      </c>
      <c r="T14" s="24"/>
      <c r="U14" s="24"/>
      <c r="V14" s="24">
        <v>45831</v>
      </c>
      <c r="W14" s="22" t="s">
        <v>160</v>
      </c>
      <c r="X14" s="4" t="str">
        <f>IF(Tabela2[[#This Row],[sigla]]="","",VLOOKUP(Tabela2[[#This Row],[sigla]],créditos_base!B:C,2,0))</f>
        <v>SERGIO LIMA/ARQUIVO DA EDITORA</v>
      </c>
      <c r="Y14" s="23" t="s">
        <v>880</v>
      </c>
      <c r="Z14" s="23" t="str">
        <f>Tabela2[[#This Row],[ilustrador]]</f>
        <v>SERGIO LIMA/ARQUIVO DA EDITORA</v>
      </c>
      <c r="AA14" s="22">
        <v>13</v>
      </c>
      <c r="AB14" s="20" t="s">
        <v>244</v>
      </c>
      <c r="AC14" s="20" t="s">
        <v>36</v>
      </c>
      <c r="AD14" s="4" t="str">
        <f>"Pitanguá"</f>
        <v>Pitanguá</v>
      </c>
      <c r="AE14" s="14" t="str">
        <f>"Matemática"</f>
        <v>Matemática</v>
      </c>
    </row>
    <row r="15" spans="1:32" s="14" customFormat="1" ht="43.2" x14ac:dyDescent="0.3">
      <c r="A15" s="23" t="s">
        <v>5003</v>
      </c>
      <c r="B15" s="20" t="s">
        <v>16</v>
      </c>
      <c r="C15" s="20" t="s">
        <v>540</v>
      </c>
      <c r="D15" s="20" t="s">
        <v>8</v>
      </c>
      <c r="E15" s="22">
        <v>35</v>
      </c>
      <c r="F15" s="22">
        <v>4</v>
      </c>
      <c r="G15" s="22">
        <v>1</v>
      </c>
      <c r="H15" s="22"/>
      <c r="I15" s="23" t="s">
        <v>33</v>
      </c>
      <c r="J15" s="23"/>
      <c r="K15" s="22"/>
      <c r="L15" s="22"/>
      <c r="M15" s="23"/>
      <c r="N15" s="23"/>
      <c r="O15" s="26" t="s">
        <v>5004</v>
      </c>
      <c r="P15" s="26"/>
      <c r="Q15" s="22">
        <v>91</v>
      </c>
      <c r="R15" s="24">
        <v>45840</v>
      </c>
      <c r="S15" s="24">
        <v>45849</v>
      </c>
      <c r="T15" s="24"/>
      <c r="U15" s="24"/>
      <c r="V15" s="24">
        <v>45850</v>
      </c>
      <c r="W15" s="22" t="s">
        <v>160</v>
      </c>
      <c r="X15" s="4" t="str">
        <f>IF(Tabela2[[#This Row],[sigla]]="","",VLOOKUP(Tabela2[[#This Row],[sigla]],créditos_base!B:C,2,0))</f>
        <v>SERGIO LIMA/ARQUIVO DA EDITORA</v>
      </c>
      <c r="Y15" s="23" t="s">
        <v>433</v>
      </c>
      <c r="Z15" s="23" t="str">
        <f>Tabela2[[#This Row],[ilustrador]]</f>
        <v>SERGIO LIMA/ARQUIVO DA EDITORA</v>
      </c>
      <c r="AA15" s="22">
        <v>14</v>
      </c>
      <c r="AB15" s="20" t="s">
        <v>153</v>
      </c>
      <c r="AC15" s="20" t="s">
        <v>36</v>
      </c>
      <c r="AD15" s="4" t="str">
        <f>"Pitanguá"</f>
        <v>Pitanguá</v>
      </c>
      <c r="AE15" s="14" t="str">
        <f>"Matemática"</f>
        <v>Matemática</v>
      </c>
    </row>
    <row r="16" spans="1:32" s="14" customFormat="1" ht="28.8" x14ac:dyDescent="0.3">
      <c r="A16" s="23" t="s">
        <v>1215</v>
      </c>
      <c r="B16" s="20" t="s">
        <v>16</v>
      </c>
      <c r="C16" s="20" t="s">
        <v>540</v>
      </c>
      <c r="D16" s="20" t="s">
        <v>8</v>
      </c>
      <c r="E16" s="22"/>
      <c r="F16" s="22">
        <v>2</v>
      </c>
      <c r="G16" s="22">
        <v>1</v>
      </c>
      <c r="H16" s="22"/>
      <c r="I16" s="23" t="s">
        <v>33</v>
      </c>
      <c r="J16" s="23"/>
      <c r="K16" s="22"/>
      <c r="L16" s="22"/>
      <c r="M16" s="23"/>
      <c r="N16" s="23"/>
      <c r="O16" s="26" t="s">
        <v>1216</v>
      </c>
      <c r="P16" s="26"/>
      <c r="Q16" s="22">
        <v>52</v>
      </c>
      <c r="R16" s="24">
        <v>45803</v>
      </c>
      <c r="S16" s="24">
        <v>45805</v>
      </c>
      <c r="T16" s="24"/>
      <c r="U16" s="24"/>
      <c r="V16" s="24">
        <v>45805</v>
      </c>
      <c r="W16" s="22" t="s">
        <v>1217</v>
      </c>
      <c r="X16" s="4" t="str">
        <f>IF(Tabela2[[#This Row],[sigla]]="","",VLOOKUP(Tabela2[[#This Row],[sigla]],créditos_base!B:C,2,0))</f>
        <v>KEITHY MOSTACHI/ARQUIVO DA EDITORA</v>
      </c>
      <c r="Y16" s="23" t="s">
        <v>188</v>
      </c>
      <c r="Z16" s="23" t="str">
        <f>Tabela2[[#This Row],[ilustrador]]</f>
        <v>KEITHY MOSTACHI/ARQUIVO DA EDITORA</v>
      </c>
      <c r="AA16" s="22">
        <v>14</v>
      </c>
      <c r="AB16" s="20" t="s">
        <v>153</v>
      </c>
      <c r="AC16" s="20" t="s">
        <v>36</v>
      </c>
      <c r="AD16" s="4" t="str">
        <f>"Pitanguá"</f>
        <v>Pitanguá</v>
      </c>
      <c r="AE16" s="14" t="str">
        <f>"Matemática"</f>
        <v>Matemática</v>
      </c>
    </row>
    <row r="17" spans="1:31" s="14" customFormat="1" ht="28.8" x14ac:dyDescent="0.3">
      <c r="A17" s="23" t="s">
        <v>1218</v>
      </c>
      <c r="B17" s="20" t="s">
        <v>16</v>
      </c>
      <c r="C17" s="20" t="s">
        <v>540</v>
      </c>
      <c r="D17" s="20" t="s">
        <v>8</v>
      </c>
      <c r="E17" s="22"/>
      <c r="F17" s="22">
        <v>2</v>
      </c>
      <c r="G17" s="22">
        <v>1</v>
      </c>
      <c r="H17" s="22"/>
      <c r="I17" s="23" t="s">
        <v>33</v>
      </c>
      <c r="J17" s="23"/>
      <c r="K17" s="22"/>
      <c r="L17" s="22"/>
      <c r="M17" s="23"/>
      <c r="N17" s="23"/>
      <c r="O17" s="26" t="s">
        <v>1219</v>
      </c>
      <c r="P17" s="26"/>
      <c r="Q17" s="22">
        <v>52</v>
      </c>
      <c r="R17" s="24">
        <v>45803</v>
      </c>
      <c r="S17" s="24">
        <v>45805</v>
      </c>
      <c r="T17" s="24"/>
      <c r="U17" s="24"/>
      <c r="V17" s="24">
        <v>45805</v>
      </c>
      <c r="W17" s="22" t="s">
        <v>160</v>
      </c>
      <c r="X17" s="4" t="str">
        <f>IF(Tabela2[[#This Row],[sigla]]="","",VLOOKUP(Tabela2[[#This Row],[sigla]],créditos_base!B:C,2,0))</f>
        <v>SERGIO LIMA/ARQUIVO DA EDITORA</v>
      </c>
      <c r="Y17" s="23" t="s">
        <v>188</v>
      </c>
      <c r="Z17" s="23" t="str">
        <f>Tabela2[[#This Row],[ilustrador]]</f>
        <v>SERGIO LIMA/ARQUIVO DA EDITORA</v>
      </c>
      <c r="AA17" s="22">
        <v>14</v>
      </c>
      <c r="AB17" s="20" t="s">
        <v>153</v>
      </c>
      <c r="AC17" s="20" t="s">
        <v>36</v>
      </c>
      <c r="AD17" s="4" t="str">
        <f>"Pitanguá"</f>
        <v>Pitanguá</v>
      </c>
      <c r="AE17" s="14" t="str">
        <f>"Matemática"</f>
        <v>Matemática</v>
      </c>
    </row>
    <row r="18" spans="1:31" s="14" customFormat="1" ht="43.2" x14ac:dyDescent="0.3">
      <c r="A18" s="23" t="s">
        <v>1220</v>
      </c>
      <c r="B18" s="20" t="s">
        <v>16</v>
      </c>
      <c r="C18" s="20" t="s">
        <v>540</v>
      </c>
      <c r="D18" s="20" t="s">
        <v>8</v>
      </c>
      <c r="E18" s="22"/>
      <c r="F18" s="22">
        <v>2</v>
      </c>
      <c r="G18" s="22">
        <v>1</v>
      </c>
      <c r="H18" s="22"/>
      <c r="I18" s="23" t="s">
        <v>33</v>
      </c>
      <c r="J18" s="23"/>
      <c r="K18" s="22"/>
      <c r="L18" s="22"/>
      <c r="M18" s="23"/>
      <c r="N18" s="23"/>
      <c r="O18" s="26" t="s">
        <v>1221</v>
      </c>
      <c r="P18" s="26"/>
      <c r="Q18" s="22">
        <v>52</v>
      </c>
      <c r="R18" s="24">
        <v>45803</v>
      </c>
      <c r="S18" s="24">
        <v>45805</v>
      </c>
      <c r="T18" s="24"/>
      <c r="U18" s="24"/>
      <c r="V18" s="24">
        <v>45805</v>
      </c>
      <c r="W18" s="22" t="s">
        <v>160</v>
      </c>
      <c r="X18" s="4" t="str">
        <f>IF(Tabela2[[#This Row],[sigla]]="","",VLOOKUP(Tabela2[[#This Row],[sigla]],créditos_base!B:C,2,0))</f>
        <v>SERGIO LIMA/ARQUIVO DA EDITORA</v>
      </c>
      <c r="Y18" s="23" t="s">
        <v>188</v>
      </c>
      <c r="Z18" s="23" t="str">
        <f>Tabela2[[#This Row],[ilustrador]]</f>
        <v>SERGIO LIMA/ARQUIVO DA EDITORA</v>
      </c>
      <c r="AA18" s="22">
        <v>14</v>
      </c>
      <c r="AB18" s="20" t="s">
        <v>153</v>
      </c>
      <c r="AC18" s="20" t="s">
        <v>36</v>
      </c>
      <c r="AD18" s="4" t="str">
        <f>"Pitanguá"</f>
        <v>Pitanguá</v>
      </c>
      <c r="AE18" s="14" t="str">
        <f>"Matemática"</f>
        <v>Matemática</v>
      </c>
    </row>
    <row r="19" spans="1:31" s="14" customFormat="1" ht="43.2" x14ac:dyDescent="0.3">
      <c r="A19" s="23" t="s">
        <v>4998</v>
      </c>
      <c r="B19" s="20" t="s">
        <v>16</v>
      </c>
      <c r="C19" s="20" t="s">
        <v>540</v>
      </c>
      <c r="D19" s="20" t="s">
        <v>8</v>
      </c>
      <c r="E19" s="22">
        <v>30</v>
      </c>
      <c r="F19" s="22">
        <v>4</v>
      </c>
      <c r="G19" s="22">
        <v>1</v>
      </c>
      <c r="H19" s="22"/>
      <c r="I19" s="23" t="s">
        <v>90</v>
      </c>
      <c r="J19" s="23"/>
      <c r="K19" s="22"/>
      <c r="L19" s="22"/>
      <c r="M19" s="23"/>
      <c r="N19" s="23"/>
      <c r="O19" s="26" t="s">
        <v>4999</v>
      </c>
      <c r="P19" s="26"/>
      <c r="Q19" s="22">
        <v>91</v>
      </c>
      <c r="R19" s="24">
        <v>45840</v>
      </c>
      <c r="S19" s="24">
        <v>45849</v>
      </c>
      <c r="T19" s="24"/>
      <c r="U19" s="24"/>
      <c r="V19" s="24">
        <v>45853</v>
      </c>
      <c r="W19" s="22" t="s">
        <v>72</v>
      </c>
      <c r="X19" s="4" t="str">
        <f>IF(Tabela2[[#This Row],[sigla]]="","",VLOOKUP(Tabela2[[#This Row],[sigla]],créditos_base!B:C,2,0))</f>
        <v>HELOÍSA PINTARELLI/ARQUIVO DA EDITORA</v>
      </c>
      <c r="Y19" s="23"/>
      <c r="Z19" s="23" t="str">
        <f>Tabela2[[#This Row],[ilustrador]]</f>
        <v>HELOÍSA PINTARELLI/ARQUIVO DA EDITORA</v>
      </c>
      <c r="AA19" s="22">
        <v>11</v>
      </c>
      <c r="AB19" s="20" t="s">
        <v>4986</v>
      </c>
      <c r="AC19" s="20" t="s">
        <v>310</v>
      </c>
      <c r="AD19" s="4" t="str">
        <f>"Pitanguá"</f>
        <v>Pitanguá</v>
      </c>
      <c r="AE19" s="14" t="str">
        <f>"Matemática"</f>
        <v>Matemática</v>
      </c>
    </row>
    <row r="20" spans="1:31" s="14" customFormat="1" ht="43.2" x14ac:dyDescent="0.3">
      <c r="A20" s="23" t="s">
        <v>4789</v>
      </c>
      <c r="B20" s="20" t="s">
        <v>16</v>
      </c>
      <c r="C20" s="20" t="s">
        <v>7</v>
      </c>
      <c r="D20" s="20" t="s">
        <v>8</v>
      </c>
      <c r="E20" s="22">
        <v>43</v>
      </c>
      <c r="F20" s="22">
        <v>3</v>
      </c>
      <c r="G20" s="22">
        <v>1</v>
      </c>
      <c r="H20" s="22"/>
      <c r="I20" s="23" t="s">
        <v>90</v>
      </c>
      <c r="J20" s="23"/>
      <c r="K20" s="22"/>
      <c r="L20" s="22"/>
      <c r="M20" s="23"/>
      <c r="N20" s="23"/>
      <c r="O20" s="26" t="s">
        <v>4790</v>
      </c>
      <c r="P20" s="20"/>
      <c r="Q20" s="22">
        <v>78</v>
      </c>
      <c r="R20" s="24">
        <v>45820</v>
      </c>
      <c r="S20" s="24">
        <v>45825</v>
      </c>
      <c r="T20" s="24"/>
      <c r="U20" s="24"/>
      <c r="V20" s="24">
        <v>45826</v>
      </c>
      <c r="W20" s="22" t="s">
        <v>4461</v>
      </c>
      <c r="X20" s="4" t="str">
        <f>IF(Tabela2[[#This Row],[sigla]]="","",VLOOKUP(Tabela2[[#This Row],[sigla]],créditos_base!B:C,2,0))</f>
        <v>REBECCA BANISKI/ARQUIVO DA EDITORA</v>
      </c>
      <c r="Y20" s="23"/>
      <c r="Z20" s="23" t="str">
        <f>Tabela2[[#This Row],[ilustrador]]</f>
        <v>REBECCA BANISKI/ARQUIVO DA EDITORA</v>
      </c>
      <c r="AA20" s="22">
        <v>12</v>
      </c>
      <c r="AB20" s="20" t="s">
        <v>243</v>
      </c>
      <c r="AC20" s="20" t="s">
        <v>36</v>
      </c>
      <c r="AD20" s="4" t="str">
        <f>"Pitanguá"</f>
        <v>Pitanguá</v>
      </c>
      <c r="AE20" s="14" t="str">
        <f>"Matemática"</f>
        <v>Matemática</v>
      </c>
    </row>
    <row r="21" spans="1:31" s="14" customFormat="1" ht="43.2" x14ac:dyDescent="0.3">
      <c r="A21" s="23" t="s">
        <v>770</v>
      </c>
      <c r="B21" s="20" t="s">
        <v>16</v>
      </c>
      <c r="C21" s="20" t="s">
        <v>540</v>
      </c>
      <c r="D21" s="20" t="s">
        <v>8</v>
      </c>
      <c r="E21" s="22">
        <v>52</v>
      </c>
      <c r="F21" s="22">
        <v>1</v>
      </c>
      <c r="G21" s="22">
        <v>2</v>
      </c>
      <c r="H21" s="22"/>
      <c r="I21" s="23" t="s">
        <v>90</v>
      </c>
      <c r="J21" s="23"/>
      <c r="K21" s="22"/>
      <c r="L21" s="22"/>
      <c r="M21" s="23"/>
      <c r="N21" s="23"/>
      <c r="O21" s="26" t="s">
        <v>771</v>
      </c>
      <c r="P21" s="26"/>
      <c r="Q21" s="22">
        <v>8</v>
      </c>
      <c r="R21" s="24">
        <v>45733</v>
      </c>
      <c r="S21" s="24">
        <v>45734</v>
      </c>
      <c r="T21" s="24"/>
      <c r="U21" s="24"/>
      <c r="V21" s="24">
        <v>45734</v>
      </c>
      <c r="W21" s="22" t="s">
        <v>752</v>
      </c>
      <c r="X21" s="4" t="str">
        <f>IF(Tabela2[[#This Row],[sigla]]="","",VLOOKUP(Tabela2[[#This Row],[sigla]],créditos_base!B:C,2,0))</f>
        <v>FELIPE GRIGOLI/ARQUIVO DA EDITORA</v>
      </c>
      <c r="Y21" s="23" t="s">
        <v>243</v>
      </c>
      <c r="Z21" s="23" t="str">
        <f>Tabela2[[#This Row],[ilustrador]]</f>
        <v>FELIPE GRIGOLI/ARQUIVO DA EDITORA</v>
      </c>
      <c r="AA21" s="22">
        <v>12</v>
      </c>
      <c r="AB21" s="20" t="s">
        <v>747</v>
      </c>
      <c r="AC21" s="20" t="s">
        <v>36</v>
      </c>
      <c r="AD21" s="4" t="str">
        <f>"Pitanguá"</f>
        <v>Pitanguá</v>
      </c>
      <c r="AE21" s="14" t="str">
        <f>"Matemática"</f>
        <v>Matemática</v>
      </c>
    </row>
    <row r="22" spans="1:31" s="14" customFormat="1" ht="28.8" x14ac:dyDescent="0.3">
      <c r="A22" s="23" t="s">
        <v>3819</v>
      </c>
      <c r="B22" s="20" t="s">
        <v>16</v>
      </c>
      <c r="C22" s="20" t="s">
        <v>540</v>
      </c>
      <c r="D22" s="20" t="s">
        <v>8</v>
      </c>
      <c r="E22" s="22">
        <v>52</v>
      </c>
      <c r="F22" s="22">
        <v>5</v>
      </c>
      <c r="G22" s="22">
        <v>3</v>
      </c>
      <c r="H22" s="22"/>
      <c r="I22" s="23" t="s">
        <v>33</v>
      </c>
      <c r="J22" s="23"/>
      <c r="K22" s="22"/>
      <c r="L22" s="22"/>
      <c r="M22" s="23"/>
      <c r="N22" s="23"/>
      <c r="O22" s="26" t="s">
        <v>3820</v>
      </c>
      <c r="P22" s="26"/>
      <c r="Q22" s="22">
        <v>55</v>
      </c>
      <c r="R22" s="24">
        <v>45803</v>
      </c>
      <c r="S22" s="24">
        <v>45810</v>
      </c>
      <c r="T22" s="24"/>
      <c r="U22" s="24"/>
      <c r="V22" s="24">
        <v>45810</v>
      </c>
      <c r="W22" s="22" t="s">
        <v>940</v>
      </c>
      <c r="X22" s="4" t="str">
        <f>IF(Tabela2[[#This Row],[sigla]]="","",VLOOKUP(Tabela2[[#This Row],[sigla]],créditos_base!B:C,2,0))</f>
        <v>RONALDO LUCENA/ARQUIVO DA EDITORA</v>
      </c>
      <c r="Y22" s="23" t="s">
        <v>1503</v>
      </c>
      <c r="Z22" s="23" t="str">
        <f>Tabela2[[#This Row],[ilustrador]]</f>
        <v>RONALDO LUCENA/ARQUIVO DA EDITORA</v>
      </c>
      <c r="AA22" s="22"/>
      <c r="AB22" s="28" t="s">
        <v>41</v>
      </c>
      <c r="AC22" s="20" t="s">
        <v>36</v>
      </c>
      <c r="AD22" s="4" t="str">
        <f>"Pitanguá"</f>
        <v>Pitanguá</v>
      </c>
      <c r="AE22" s="14" t="str">
        <f>"Matemática"</f>
        <v>Matemática</v>
      </c>
    </row>
    <row r="23" spans="1:31" s="14" customFormat="1" ht="28.8" x14ac:dyDescent="0.3">
      <c r="A23" s="23" t="s">
        <v>3821</v>
      </c>
      <c r="B23" s="20" t="s">
        <v>16</v>
      </c>
      <c r="C23" s="20" t="s">
        <v>540</v>
      </c>
      <c r="D23" s="20" t="s">
        <v>8</v>
      </c>
      <c r="E23" s="22">
        <v>54</v>
      </c>
      <c r="F23" s="22">
        <v>5</v>
      </c>
      <c r="G23" s="22">
        <v>3</v>
      </c>
      <c r="H23" s="22"/>
      <c r="I23" s="23" t="s">
        <v>33</v>
      </c>
      <c r="J23" s="23"/>
      <c r="K23" s="22"/>
      <c r="L23" s="22"/>
      <c r="M23" s="23"/>
      <c r="N23" s="23"/>
      <c r="O23" s="26" t="s">
        <v>3822</v>
      </c>
      <c r="P23" s="26"/>
      <c r="Q23" s="22">
        <v>55</v>
      </c>
      <c r="R23" s="24">
        <v>45803</v>
      </c>
      <c r="S23" s="24">
        <v>45810</v>
      </c>
      <c r="T23" s="24"/>
      <c r="U23" s="24"/>
      <c r="V23" s="24">
        <v>45810</v>
      </c>
      <c r="W23" s="22" t="s">
        <v>940</v>
      </c>
      <c r="X23" s="4" t="str">
        <f>IF(Tabela2[[#This Row],[sigla]]="","",VLOOKUP(Tabela2[[#This Row],[sigla]],créditos_base!B:C,2,0))</f>
        <v>RONALDO LUCENA/ARQUIVO DA EDITORA</v>
      </c>
      <c r="Y23" s="23" t="s">
        <v>1503</v>
      </c>
      <c r="Z23" s="23" t="str">
        <f>Tabela2[[#This Row],[ilustrador]]</f>
        <v>RONALDO LUCENA/ARQUIVO DA EDITORA</v>
      </c>
      <c r="AA23" s="22"/>
      <c r="AB23" s="20" t="s">
        <v>41</v>
      </c>
      <c r="AC23" s="20" t="s">
        <v>36</v>
      </c>
      <c r="AD23" s="4" t="str">
        <f>"Pitanguá"</f>
        <v>Pitanguá</v>
      </c>
      <c r="AE23" s="14" t="str">
        <f>"Matemática"</f>
        <v>Matemática</v>
      </c>
    </row>
    <row r="24" spans="1:31" s="14" customFormat="1" ht="28.8" x14ac:dyDescent="0.3">
      <c r="A24" s="23" t="s">
        <v>3825</v>
      </c>
      <c r="B24" s="20" t="s">
        <v>16</v>
      </c>
      <c r="C24" s="20" t="s">
        <v>540</v>
      </c>
      <c r="D24" s="20" t="s">
        <v>8</v>
      </c>
      <c r="E24" s="22">
        <v>58</v>
      </c>
      <c r="F24" s="22">
        <v>5</v>
      </c>
      <c r="G24" s="22">
        <v>3</v>
      </c>
      <c r="H24" s="22"/>
      <c r="I24" s="23" t="s">
        <v>9</v>
      </c>
      <c r="J24" s="23"/>
      <c r="K24" s="22"/>
      <c r="L24" s="22"/>
      <c r="M24" s="23"/>
      <c r="N24" s="23"/>
      <c r="O24" s="26" t="s">
        <v>3826</v>
      </c>
      <c r="P24" s="26"/>
      <c r="Q24" s="22"/>
      <c r="R24" s="24"/>
      <c r="S24" s="24"/>
      <c r="T24" s="24"/>
      <c r="U24" s="24"/>
      <c r="V24" s="24"/>
      <c r="W24" s="22" t="s">
        <v>940</v>
      </c>
      <c r="X24" s="4" t="str">
        <f>IF(Tabela2[[#This Row],[sigla]]="","",VLOOKUP(Tabela2[[#This Row],[sigla]],créditos_base!B:C,2,0))</f>
        <v>RONALDO LUCENA/ARQUIVO DA EDITORA</v>
      </c>
      <c r="Y24" s="23"/>
      <c r="Z24" s="23" t="str">
        <f>Tabela2[[#This Row],[ilustrador]]</f>
        <v>RONALDO LUCENA/ARQUIVO DA EDITORA</v>
      </c>
      <c r="AA24" s="22"/>
      <c r="AB24" s="20"/>
      <c r="AC24" s="20"/>
      <c r="AD24" s="4" t="str">
        <f>"Pitanguá"</f>
        <v>Pitanguá</v>
      </c>
      <c r="AE24" s="14" t="str">
        <f>"Matemática"</f>
        <v>Matemática</v>
      </c>
    </row>
    <row r="25" spans="1:31" s="14" customFormat="1" ht="43.2" x14ac:dyDescent="0.3">
      <c r="A25" s="23" t="s">
        <v>3827</v>
      </c>
      <c r="B25" s="20" t="s">
        <v>16</v>
      </c>
      <c r="C25" s="20" t="s">
        <v>540</v>
      </c>
      <c r="D25" s="20" t="s">
        <v>8</v>
      </c>
      <c r="E25" s="22">
        <v>59</v>
      </c>
      <c r="F25" s="22">
        <v>5</v>
      </c>
      <c r="G25" s="22">
        <v>3</v>
      </c>
      <c r="H25" s="22"/>
      <c r="I25" s="23" t="s">
        <v>33</v>
      </c>
      <c r="J25" s="23"/>
      <c r="K25" s="22"/>
      <c r="L25" s="22"/>
      <c r="M25" s="23"/>
      <c r="N25" s="23"/>
      <c r="O25" s="26" t="s">
        <v>3828</v>
      </c>
      <c r="P25" s="26"/>
      <c r="Q25" s="22">
        <v>55</v>
      </c>
      <c r="R25" s="24">
        <v>45803</v>
      </c>
      <c r="S25" s="24">
        <v>45810</v>
      </c>
      <c r="T25" s="24"/>
      <c r="U25" s="24"/>
      <c r="V25" s="24">
        <v>45810</v>
      </c>
      <c r="W25" s="22" t="s">
        <v>940</v>
      </c>
      <c r="X25" s="4" t="str">
        <f>IF(Tabela2[[#This Row],[sigla]]="","",VLOOKUP(Tabela2[[#This Row],[sigla]],créditos_base!B:C,2,0))</f>
        <v>RONALDO LUCENA/ARQUIVO DA EDITORA</v>
      </c>
      <c r="Y25" s="23" t="s">
        <v>1503</v>
      </c>
      <c r="Z25" s="23" t="str">
        <f>Tabela2[[#This Row],[ilustrador]]</f>
        <v>RONALDO LUCENA/ARQUIVO DA EDITORA</v>
      </c>
      <c r="AA25" s="22"/>
      <c r="AB25" s="28" t="s">
        <v>41</v>
      </c>
      <c r="AC25" s="20" t="s">
        <v>36</v>
      </c>
      <c r="AD25" s="4" t="str">
        <f>"Pitanguá"</f>
        <v>Pitanguá</v>
      </c>
      <c r="AE25" s="14" t="str">
        <f>"Matemática"</f>
        <v>Matemática</v>
      </c>
    </row>
    <row r="26" spans="1:31" s="14" customFormat="1" ht="43.2" x14ac:dyDescent="0.3">
      <c r="A26" s="23" t="s">
        <v>3829</v>
      </c>
      <c r="B26" s="20" t="s">
        <v>16</v>
      </c>
      <c r="C26" s="20" t="s">
        <v>540</v>
      </c>
      <c r="D26" s="20" t="s">
        <v>8</v>
      </c>
      <c r="E26" s="22">
        <v>60</v>
      </c>
      <c r="F26" s="22">
        <v>5</v>
      </c>
      <c r="G26" s="22">
        <v>3</v>
      </c>
      <c r="H26" s="22"/>
      <c r="I26" s="23" t="s">
        <v>33</v>
      </c>
      <c r="J26" s="23"/>
      <c r="K26" s="22"/>
      <c r="L26" s="22"/>
      <c r="M26" s="23"/>
      <c r="N26" s="23"/>
      <c r="O26" s="26" t="s">
        <v>3830</v>
      </c>
      <c r="P26" s="26"/>
      <c r="Q26" s="22">
        <v>200</v>
      </c>
      <c r="R26" s="24">
        <v>45923</v>
      </c>
      <c r="S26" s="24">
        <v>45923</v>
      </c>
      <c r="T26" s="24"/>
      <c r="U26" s="24"/>
      <c r="V26" s="24">
        <v>45923</v>
      </c>
      <c r="W26" s="22" t="s">
        <v>160</v>
      </c>
      <c r="X26" s="4" t="str">
        <f>IF(Tabela2[[#This Row],[sigla]]="","",VLOOKUP(Tabela2[[#This Row],[sigla]],créditos_base!B:C,2,0))</f>
        <v>SERGIO LIMA/ARQUIVO DA EDITORA</v>
      </c>
      <c r="Y26" s="23" t="s">
        <v>188</v>
      </c>
      <c r="Z26" s="23" t="str">
        <f>Tabela2[[#This Row],[ilustrador]]</f>
        <v>SERGIO LIMA/ARQUIVO DA EDITORA</v>
      </c>
      <c r="AA26" s="22">
        <v>13</v>
      </c>
      <c r="AB26" s="20"/>
      <c r="AC26" s="20" t="s">
        <v>36</v>
      </c>
      <c r="AD26" s="4" t="str">
        <f>"Pitanguá"</f>
        <v>Pitanguá</v>
      </c>
      <c r="AE26" s="14" t="str">
        <f>"Matemática"</f>
        <v>Matemática</v>
      </c>
    </row>
    <row r="27" spans="1:31" s="14" customFormat="1" ht="43.2" x14ac:dyDescent="0.3">
      <c r="A27" s="23" t="s">
        <v>2941</v>
      </c>
      <c r="B27" s="20" t="s">
        <v>16</v>
      </c>
      <c r="C27" s="20" t="s">
        <v>540</v>
      </c>
      <c r="D27" s="20" t="s">
        <v>8</v>
      </c>
      <c r="E27" s="22">
        <v>67</v>
      </c>
      <c r="F27" s="22">
        <v>4</v>
      </c>
      <c r="G27" s="22">
        <v>3</v>
      </c>
      <c r="H27" s="22"/>
      <c r="I27" s="23" t="s">
        <v>33</v>
      </c>
      <c r="J27" s="23"/>
      <c r="K27" s="22"/>
      <c r="L27" s="22"/>
      <c r="M27" s="23"/>
      <c r="N27" s="23"/>
      <c r="O27" s="26" t="s">
        <v>2942</v>
      </c>
      <c r="P27" s="26"/>
      <c r="Q27" s="22">
        <v>97</v>
      </c>
      <c r="R27" s="24">
        <v>45845</v>
      </c>
      <c r="S27" s="24">
        <v>45852</v>
      </c>
      <c r="T27" s="24"/>
      <c r="U27" s="24"/>
      <c r="V27" s="24">
        <v>45861</v>
      </c>
      <c r="W27" s="22" t="s">
        <v>940</v>
      </c>
      <c r="X27" s="4" t="str">
        <f>IF(Tabela2[[#This Row],[sigla]]="","",VLOOKUP(Tabela2[[#This Row],[sigla]],créditos_base!B:C,2,0))</f>
        <v>RONALDO LUCENA/ARQUIVO DA EDITORA</v>
      </c>
      <c r="Y27" s="23" t="s">
        <v>433</v>
      </c>
      <c r="Z27" s="23" t="str">
        <f>Tabela2[[#This Row],[ilustrador]]</f>
        <v>RONALDO LUCENA/ARQUIVO DA EDITORA</v>
      </c>
      <c r="AA27" s="22">
        <v>13</v>
      </c>
      <c r="AB27" s="20" t="s">
        <v>153</v>
      </c>
      <c r="AC27" s="20" t="s">
        <v>36</v>
      </c>
      <c r="AD27" s="4" t="str">
        <f>"Pitanguá"</f>
        <v>Pitanguá</v>
      </c>
      <c r="AE27" s="14" t="str">
        <f>"Matemática"</f>
        <v>Matemática</v>
      </c>
    </row>
    <row r="28" spans="1:31" s="14" customFormat="1" ht="115.2" x14ac:dyDescent="0.3">
      <c r="A28" s="23" t="s">
        <v>3837</v>
      </c>
      <c r="B28" s="20" t="s">
        <v>16</v>
      </c>
      <c r="C28" s="20" t="s">
        <v>540</v>
      </c>
      <c r="D28" s="20" t="s">
        <v>8</v>
      </c>
      <c r="E28" s="22">
        <v>72</v>
      </c>
      <c r="F28" s="22">
        <v>5</v>
      </c>
      <c r="G28" s="22">
        <v>3</v>
      </c>
      <c r="H28" s="22"/>
      <c r="I28" s="23" t="s">
        <v>33</v>
      </c>
      <c r="J28" s="23"/>
      <c r="K28" s="22"/>
      <c r="L28" s="22"/>
      <c r="M28" s="23"/>
      <c r="N28" s="23"/>
      <c r="O28" s="26" t="s">
        <v>3838</v>
      </c>
      <c r="P28" s="26"/>
      <c r="Q28" s="22">
        <v>135</v>
      </c>
      <c r="R28" s="24">
        <v>45866</v>
      </c>
      <c r="S28" s="24">
        <v>45877</v>
      </c>
      <c r="T28" s="24"/>
      <c r="U28" s="24"/>
      <c r="V28" s="24">
        <v>45877</v>
      </c>
      <c r="W28" s="22" t="s">
        <v>940</v>
      </c>
      <c r="X28" s="4" t="str">
        <f>IF(Tabela2[[#This Row],[sigla]]="","",VLOOKUP(Tabela2[[#This Row],[sigla]],créditos_base!B:C,2,0))</f>
        <v>RONALDO LUCENA/ARQUIVO DA EDITORA</v>
      </c>
      <c r="Y28" s="23" t="s">
        <v>696</v>
      </c>
      <c r="Z28" s="23" t="str">
        <f>Tabela2[[#This Row],[ilustrador]]</f>
        <v>RONALDO LUCENA/ARQUIVO DA EDITORA</v>
      </c>
      <c r="AA28" s="22">
        <v>13</v>
      </c>
      <c r="AB28" s="20" t="s">
        <v>41</v>
      </c>
      <c r="AC28" s="20" t="s">
        <v>36</v>
      </c>
      <c r="AD28" s="4" t="str">
        <f>"Pitanguá"</f>
        <v>Pitanguá</v>
      </c>
      <c r="AE28" s="14" t="str">
        <f>"Matemática"</f>
        <v>Matemática</v>
      </c>
    </row>
    <row r="29" spans="1:31" s="14" customFormat="1" ht="28.8" x14ac:dyDescent="0.3">
      <c r="A29" s="23" t="s">
        <v>5659</v>
      </c>
      <c r="B29" s="20" t="s">
        <v>16</v>
      </c>
      <c r="C29" s="20" t="s">
        <v>540</v>
      </c>
      <c r="D29" s="20" t="s">
        <v>8</v>
      </c>
      <c r="E29" s="22">
        <v>56</v>
      </c>
      <c r="F29" s="22">
        <v>5</v>
      </c>
      <c r="G29" s="22">
        <v>3</v>
      </c>
      <c r="H29" s="22"/>
      <c r="I29" s="23" t="s">
        <v>90</v>
      </c>
      <c r="J29" s="23"/>
      <c r="K29" s="22"/>
      <c r="L29" s="22"/>
      <c r="M29" s="23"/>
      <c r="N29" s="23"/>
      <c r="O29" s="26" t="s">
        <v>5660</v>
      </c>
      <c r="P29" s="26"/>
      <c r="Q29" s="22">
        <v>135</v>
      </c>
      <c r="R29" s="24">
        <v>45866</v>
      </c>
      <c r="S29" s="24">
        <v>45874</v>
      </c>
      <c r="T29" s="24"/>
      <c r="U29" s="24"/>
      <c r="V29" s="24">
        <v>45877</v>
      </c>
      <c r="W29" s="22" t="s">
        <v>72</v>
      </c>
      <c r="X29" s="4" t="str">
        <f>IF(Tabela2[[#This Row],[sigla]]="","",VLOOKUP(Tabela2[[#This Row],[sigla]],créditos_base!B:C,2,0))</f>
        <v>HELOÍSA PINTARELLI/ARQUIVO DA EDITORA</v>
      </c>
      <c r="Y29" s="23"/>
      <c r="Z29" s="23" t="str">
        <f>Tabela2[[#This Row],[ilustrador]]</f>
        <v>HELOÍSA PINTARELLI/ARQUIVO DA EDITORA</v>
      </c>
      <c r="AA29" s="22">
        <v>11</v>
      </c>
      <c r="AB29" s="20" t="s">
        <v>5661</v>
      </c>
      <c r="AC29" s="20" t="s">
        <v>310</v>
      </c>
      <c r="AD29" s="4" t="str">
        <f>"Pitanguá"</f>
        <v>Pitanguá</v>
      </c>
      <c r="AE29" s="14" t="str">
        <f>"Matemática"</f>
        <v>Matemática</v>
      </c>
    </row>
    <row r="30" spans="1:31" s="14" customFormat="1" x14ac:dyDescent="0.3">
      <c r="A30" s="23" t="s">
        <v>1303</v>
      </c>
      <c r="B30" s="20" t="s">
        <v>16</v>
      </c>
      <c r="C30" s="20" t="s">
        <v>540</v>
      </c>
      <c r="D30" s="20" t="s">
        <v>8</v>
      </c>
      <c r="E30" s="22">
        <v>92</v>
      </c>
      <c r="F30" s="22">
        <v>2</v>
      </c>
      <c r="G30" s="22">
        <v>3</v>
      </c>
      <c r="H30" s="22"/>
      <c r="I30" s="23" t="s">
        <v>33</v>
      </c>
      <c r="J30" s="23"/>
      <c r="K30" s="22"/>
      <c r="L30" s="22"/>
      <c r="M30" s="23"/>
      <c r="N30" s="23"/>
      <c r="O30" s="26" t="s">
        <v>1304</v>
      </c>
      <c r="P30" s="26"/>
      <c r="Q30" s="22">
        <v>64</v>
      </c>
      <c r="R30" s="24">
        <v>45810</v>
      </c>
      <c r="S30" s="24">
        <v>45811</v>
      </c>
      <c r="T30" s="24"/>
      <c r="U30" s="24"/>
      <c r="V30" s="24">
        <v>45811</v>
      </c>
      <c r="W30" s="22" t="s">
        <v>160</v>
      </c>
      <c r="X30" s="4" t="str">
        <f>IF(Tabela2[[#This Row],[sigla]]="","",VLOOKUP(Tabela2[[#This Row],[sigla]],créditos_base!B:C,2,0))</f>
        <v>SERGIO LIMA/ARQUIVO DA EDITORA</v>
      </c>
      <c r="Y30" s="23" t="s">
        <v>1139</v>
      </c>
      <c r="Z30" s="23" t="str">
        <f>Tabela2[[#This Row],[ilustrador]]</f>
        <v>SERGIO LIMA/ARQUIVO DA EDITORA</v>
      </c>
      <c r="AA30" s="22">
        <v>13</v>
      </c>
      <c r="AB30" s="20" t="s">
        <v>1302</v>
      </c>
      <c r="AC30" s="20" t="s">
        <v>36</v>
      </c>
      <c r="AD30" s="4" t="str">
        <f>"Pitanguá"</f>
        <v>Pitanguá</v>
      </c>
      <c r="AE30" s="14" t="str">
        <f>"Matemática"</f>
        <v>Matemática</v>
      </c>
    </row>
    <row r="31" spans="1:31" s="14" customFormat="1" x14ac:dyDescent="0.3">
      <c r="A31" s="23" t="s">
        <v>2959</v>
      </c>
      <c r="B31" s="20" t="s">
        <v>135</v>
      </c>
      <c r="C31" s="20" t="s">
        <v>540</v>
      </c>
      <c r="D31" s="20" t="s">
        <v>8</v>
      </c>
      <c r="E31" s="22" t="s">
        <v>1300</v>
      </c>
      <c r="F31" s="22">
        <v>4</v>
      </c>
      <c r="G31" s="22">
        <v>2</v>
      </c>
      <c r="H31" s="22"/>
      <c r="I31" s="23" t="s">
        <v>9</v>
      </c>
      <c r="J31" s="23"/>
      <c r="K31" s="22"/>
      <c r="L31" s="22"/>
      <c r="M31" s="23"/>
      <c r="N31" s="23"/>
      <c r="O31" s="26" t="s">
        <v>2960</v>
      </c>
      <c r="P31" s="26"/>
      <c r="Q31" s="22"/>
      <c r="R31" s="24"/>
      <c r="S31" s="24"/>
      <c r="T31" s="24"/>
      <c r="U31" s="24"/>
      <c r="V31" s="24"/>
      <c r="W31" s="22" t="s">
        <v>940</v>
      </c>
      <c r="X31" s="4" t="str">
        <f>IF(Tabela2[[#This Row],[sigla]]="","",VLOOKUP(Tabela2[[#This Row],[sigla]],créditos_base!B:C,2,0))</f>
        <v>RONALDO LUCENA/ARQUIVO DA EDITORA</v>
      </c>
      <c r="Y31" s="23"/>
      <c r="Z31" s="23" t="str">
        <f>Tabela2[[#This Row],[ilustrador]]</f>
        <v>RONALDO LUCENA/ARQUIVO DA EDITORA</v>
      </c>
      <c r="AA31" s="22"/>
      <c r="AB31" s="20"/>
      <c r="AC31" s="20"/>
      <c r="AD31" s="4" t="str">
        <f>"Pitanguá"</f>
        <v>Pitanguá</v>
      </c>
      <c r="AE31" s="14" t="str">
        <f>"Matemática"</f>
        <v>Matemática</v>
      </c>
    </row>
    <row r="32" spans="1:31" s="14" customFormat="1" x14ac:dyDescent="0.3">
      <c r="A32" s="23" t="s">
        <v>2963</v>
      </c>
      <c r="B32" s="20" t="s">
        <v>135</v>
      </c>
      <c r="C32" s="20" t="s">
        <v>540</v>
      </c>
      <c r="D32" s="20" t="s">
        <v>8</v>
      </c>
      <c r="E32" s="22" t="s">
        <v>1300</v>
      </c>
      <c r="F32" s="22">
        <v>4</v>
      </c>
      <c r="G32" s="22">
        <v>2</v>
      </c>
      <c r="H32" s="22"/>
      <c r="I32" s="23" t="s">
        <v>9</v>
      </c>
      <c r="J32" s="23"/>
      <c r="K32" s="22"/>
      <c r="L32" s="22"/>
      <c r="M32" s="23"/>
      <c r="N32" s="23"/>
      <c r="O32" s="26" t="s">
        <v>2964</v>
      </c>
      <c r="P32" s="26"/>
      <c r="Q32" s="22"/>
      <c r="R32" s="24"/>
      <c r="S32" s="24"/>
      <c r="T32" s="24"/>
      <c r="U32" s="24"/>
      <c r="V32" s="24"/>
      <c r="W32" s="22"/>
      <c r="X32" s="4" t="str">
        <f>IF(Tabela2[[#This Row],[sigla]]="","",VLOOKUP(Tabela2[[#This Row],[sigla]],créditos_base!B:C,2,0))</f>
        <v/>
      </c>
      <c r="Y32" s="23"/>
      <c r="Z32" s="23" t="str">
        <f>Tabela2[[#This Row],[ilustrador]]</f>
        <v/>
      </c>
      <c r="AA32" s="22"/>
      <c r="AB32" s="20"/>
      <c r="AC32" s="20"/>
      <c r="AD32" s="4" t="str">
        <f>"Pitanguá"</f>
        <v>Pitanguá</v>
      </c>
      <c r="AE32" s="14" t="str">
        <f>"Matemática"</f>
        <v>Matemática</v>
      </c>
    </row>
    <row r="33" spans="1:31" s="14" customFormat="1" x14ac:dyDescent="0.3">
      <c r="A33" s="23" t="s">
        <v>1980</v>
      </c>
      <c r="B33" s="20" t="s">
        <v>6</v>
      </c>
      <c r="C33" s="20" t="s">
        <v>540</v>
      </c>
      <c r="D33" s="20" t="s">
        <v>8</v>
      </c>
      <c r="E33" s="22">
        <v>195</v>
      </c>
      <c r="F33" s="22">
        <v>3</v>
      </c>
      <c r="G33" s="22">
        <v>3</v>
      </c>
      <c r="H33" s="22"/>
      <c r="I33" s="23" t="s">
        <v>9</v>
      </c>
      <c r="J33" s="23"/>
      <c r="K33" s="22"/>
      <c r="L33" s="22"/>
      <c r="M33" s="23"/>
      <c r="N33" s="23"/>
      <c r="O33" s="26" t="s">
        <v>1981</v>
      </c>
      <c r="P33" s="26" t="s">
        <v>11</v>
      </c>
      <c r="Q33" s="22"/>
      <c r="R33" s="24"/>
      <c r="S33" s="24"/>
      <c r="T33" s="24"/>
      <c r="U33" s="24"/>
      <c r="V33" s="24"/>
      <c r="W33" s="22" t="s">
        <v>160</v>
      </c>
      <c r="X33" s="4" t="str">
        <f>IF(Tabela2[[#This Row],[sigla]]="","",VLOOKUP(Tabela2[[#This Row],[sigla]],créditos_base!B:C,2,0))</f>
        <v>SERGIO LIMA/ARQUIVO DA EDITORA</v>
      </c>
      <c r="Y33" s="23"/>
      <c r="Z33" s="23" t="str">
        <f>Tabela2[[#This Row],[ilustrador]]</f>
        <v>SERGIO LIMA/ARQUIVO DA EDITORA</v>
      </c>
      <c r="AA33" s="22"/>
      <c r="AB33" s="20"/>
      <c r="AC33" s="20"/>
      <c r="AD33" s="4" t="str">
        <f>"Pitanguá"</f>
        <v>Pitanguá</v>
      </c>
      <c r="AE33" s="14" t="str">
        <f>"Matemática"</f>
        <v>Matemática</v>
      </c>
    </row>
    <row r="34" spans="1:31" s="14" customFormat="1" x14ac:dyDescent="0.3">
      <c r="A34" s="23" t="s">
        <v>2986</v>
      </c>
      <c r="B34" s="20" t="s">
        <v>16</v>
      </c>
      <c r="C34" s="20" t="s">
        <v>540</v>
      </c>
      <c r="D34" s="20" t="s">
        <v>8</v>
      </c>
      <c r="E34" s="22">
        <v>91</v>
      </c>
      <c r="F34" s="22">
        <v>3</v>
      </c>
      <c r="G34" s="22">
        <v>3</v>
      </c>
      <c r="H34" s="22"/>
      <c r="I34" s="23" t="s">
        <v>90</v>
      </c>
      <c r="J34" s="23"/>
      <c r="K34" s="22"/>
      <c r="L34" s="22"/>
      <c r="M34" s="23"/>
      <c r="N34" s="23"/>
      <c r="O34" s="26" t="s">
        <v>2987</v>
      </c>
      <c r="P34" s="26"/>
      <c r="Q34" s="22">
        <v>43</v>
      </c>
      <c r="R34" s="24">
        <v>45790</v>
      </c>
      <c r="S34" s="24">
        <v>45790</v>
      </c>
      <c r="T34" s="24"/>
      <c r="U34" s="24"/>
      <c r="V34" s="24">
        <v>45791</v>
      </c>
      <c r="W34" s="22" t="s">
        <v>72</v>
      </c>
      <c r="X34" s="4" t="str">
        <f>IF(Tabela2[[#This Row],[sigla]]="","",VLOOKUP(Tabela2[[#This Row],[sigla]],créditos_base!B:C,2,0))</f>
        <v>HELOÍSA PINTARELLI/ARQUIVO DA EDITORA</v>
      </c>
      <c r="Y34" s="23"/>
      <c r="Z34" s="23" t="str">
        <f>Tabela2[[#This Row],[ilustrador]]</f>
        <v>HELOÍSA PINTARELLI/ARQUIVO DA EDITORA</v>
      </c>
      <c r="AA34" s="22">
        <v>12</v>
      </c>
      <c r="AB34" s="20" t="s">
        <v>2988</v>
      </c>
      <c r="AC34" s="20" t="s">
        <v>310</v>
      </c>
      <c r="AD34" s="4" t="str">
        <f>"Pitanguá"</f>
        <v>Pitanguá</v>
      </c>
      <c r="AE34" s="14" t="str">
        <f>"Matemática"</f>
        <v>Matemática</v>
      </c>
    </row>
    <row r="35" spans="1:31" s="14" customFormat="1" x14ac:dyDescent="0.3">
      <c r="A35" s="23" t="s">
        <v>5110</v>
      </c>
      <c r="B35" s="20" t="s">
        <v>16</v>
      </c>
      <c r="C35" s="20" t="s">
        <v>540</v>
      </c>
      <c r="D35" s="20" t="s">
        <v>8</v>
      </c>
      <c r="E35" s="22">
        <v>62</v>
      </c>
      <c r="F35" s="22">
        <v>4</v>
      </c>
      <c r="G35" s="22">
        <v>3</v>
      </c>
      <c r="H35" s="22"/>
      <c r="I35" s="23" t="s">
        <v>90</v>
      </c>
      <c r="J35" s="23"/>
      <c r="K35" s="22"/>
      <c r="L35" s="22"/>
      <c r="M35" s="23"/>
      <c r="N35" s="23"/>
      <c r="O35" s="26" t="s">
        <v>5111</v>
      </c>
      <c r="P35" s="26"/>
      <c r="Q35" s="22">
        <v>97</v>
      </c>
      <c r="R35" s="24">
        <v>45845</v>
      </c>
      <c r="S35" s="24">
        <v>45852</v>
      </c>
      <c r="T35" s="24"/>
      <c r="U35" s="24"/>
      <c r="V35" s="24">
        <v>45861</v>
      </c>
      <c r="W35" s="22" t="s">
        <v>5046</v>
      </c>
      <c r="X35" s="4" t="str">
        <f>IF(Tabela2[[#This Row],[sigla]]="","",VLOOKUP(Tabela2[[#This Row],[sigla]],créditos_base!B:C,2,0))</f>
        <v>MARYANE VIOTO SILVA/ARQUIVO DA EDITORA</v>
      </c>
      <c r="Y35" s="23"/>
      <c r="Z35" s="23" t="str">
        <f>Tabela2[[#This Row],[ilustrador]]</f>
        <v>MARYANE VIOTO SILVA/ARQUIVO DA EDITORA</v>
      </c>
      <c r="AA35" s="22">
        <v>12</v>
      </c>
      <c r="AB35" s="20" t="s">
        <v>243</v>
      </c>
      <c r="AC35" s="20" t="s">
        <v>36</v>
      </c>
      <c r="AD35" s="4" t="str">
        <f>"Pitanguá"</f>
        <v>Pitanguá</v>
      </c>
      <c r="AE35" s="14" t="str">
        <f>"Matemática"</f>
        <v>Matemática</v>
      </c>
    </row>
    <row r="36" spans="1:31" s="14" customFormat="1" ht="86.4" x14ac:dyDescent="0.3">
      <c r="A36" s="23" t="s">
        <v>3346</v>
      </c>
      <c r="B36" s="20" t="s">
        <v>16</v>
      </c>
      <c r="C36" s="20" t="s">
        <v>540</v>
      </c>
      <c r="D36" s="20" t="s">
        <v>8</v>
      </c>
      <c r="E36" s="22">
        <v>105</v>
      </c>
      <c r="F36" s="22">
        <v>3</v>
      </c>
      <c r="G36" s="22">
        <v>4</v>
      </c>
      <c r="H36" s="22"/>
      <c r="I36" s="23" t="s">
        <v>33</v>
      </c>
      <c r="J36" s="23"/>
      <c r="K36" s="22"/>
      <c r="L36" s="22"/>
      <c r="M36" s="23"/>
      <c r="N36" s="23"/>
      <c r="O36" s="26" t="s">
        <v>3347</v>
      </c>
      <c r="P36" s="26"/>
      <c r="Q36" s="22">
        <v>48</v>
      </c>
      <c r="R36" s="24">
        <v>45797</v>
      </c>
      <c r="S36" s="24">
        <v>45797</v>
      </c>
      <c r="T36" s="24"/>
      <c r="U36" s="24"/>
      <c r="V36" s="24">
        <v>45798</v>
      </c>
      <c r="W36" s="22" t="s">
        <v>72</v>
      </c>
      <c r="X36" s="4" t="str">
        <f>IF(Tabela2[[#This Row],[sigla]]="","",VLOOKUP(Tabela2[[#This Row],[sigla]],créditos_base!B:C,2,0))</f>
        <v>HELOÍSA PINTARELLI/ARQUIVO DA EDITORA</v>
      </c>
      <c r="Y36" s="23" t="s">
        <v>13</v>
      </c>
      <c r="Z36" s="23" t="str">
        <f>Tabela2[[#This Row],[ilustrador]]</f>
        <v>HELOÍSA PINTARELLI/ARQUIVO DA EDITORA</v>
      </c>
      <c r="AA36" s="22">
        <v>13</v>
      </c>
      <c r="AB36" s="20" t="s">
        <v>153</v>
      </c>
      <c r="AC36" s="20" t="s">
        <v>36</v>
      </c>
      <c r="AD36" s="4" t="str">
        <f>"Pitanguá"</f>
        <v>Pitanguá</v>
      </c>
      <c r="AE36" s="14" t="str">
        <f>"Matemática"</f>
        <v>Matemática</v>
      </c>
    </row>
    <row r="37" spans="1:31" s="14" customFormat="1" x14ac:dyDescent="0.3">
      <c r="A37" s="23" t="s">
        <v>2214</v>
      </c>
      <c r="B37" s="20" t="s">
        <v>16</v>
      </c>
      <c r="C37" s="20" t="s">
        <v>540</v>
      </c>
      <c r="D37" s="20" t="s">
        <v>8</v>
      </c>
      <c r="E37" s="22">
        <v>113</v>
      </c>
      <c r="F37" s="22">
        <v>1</v>
      </c>
      <c r="G37" s="22">
        <v>4</v>
      </c>
      <c r="H37" s="22"/>
      <c r="I37" s="23" t="s">
        <v>90</v>
      </c>
      <c r="J37" s="23"/>
      <c r="K37" s="22"/>
      <c r="L37" s="22"/>
      <c r="M37" s="23"/>
      <c r="N37" s="23"/>
      <c r="O37" s="26" t="s">
        <v>2215</v>
      </c>
      <c r="P37" s="26"/>
      <c r="Q37" s="22">
        <v>30</v>
      </c>
      <c r="R37" s="24">
        <v>45755</v>
      </c>
      <c r="S37" s="24">
        <v>45756</v>
      </c>
      <c r="T37" s="24"/>
      <c r="U37" s="24"/>
      <c r="V37" s="24">
        <v>45756</v>
      </c>
      <c r="W37" s="22" t="s">
        <v>1217</v>
      </c>
      <c r="X37" s="4" t="str">
        <f>IF(Tabela2[[#This Row],[sigla]]="","",VLOOKUP(Tabela2[[#This Row],[sigla]],créditos_base!B:C,2,0))</f>
        <v>KEITHY MOSTACHI/ARQUIVO DA EDITORA</v>
      </c>
      <c r="Y37" s="23" t="s">
        <v>243</v>
      </c>
      <c r="Z37" s="23" t="str">
        <f>Tabela2[[#This Row],[ilustrador]]</f>
        <v>KEITHY MOSTACHI/ARQUIVO DA EDITORA</v>
      </c>
      <c r="AA37" s="22">
        <v>12</v>
      </c>
      <c r="AB37" s="20" t="s">
        <v>2216</v>
      </c>
      <c r="AC37" s="20" t="s">
        <v>36</v>
      </c>
      <c r="AD37" s="4" t="str">
        <f>"Pitanguá"</f>
        <v>Pitanguá</v>
      </c>
      <c r="AE37" s="14" t="str">
        <f>"Matemática"</f>
        <v>Matemática</v>
      </c>
    </row>
    <row r="38" spans="1:31" s="14" customFormat="1" x14ac:dyDescent="0.3">
      <c r="A38" s="23" t="s">
        <v>2217</v>
      </c>
      <c r="B38" s="20" t="s">
        <v>135</v>
      </c>
      <c r="C38" s="20" t="s">
        <v>540</v>
      </c>
      <c r="D38" s="20" t="s">
        <v>8</v>
      </c>
      <c r="E38" s="22">
        <v>118</v>
      </c>
      <c r="F38" s="22">
        <v>1</v>
      </c>
      <c r="G38" s="22">
        <v>4</v>
      </c>
      <c r="H38" s="22"/>
      <c r="I38" s="23" t="s">
        <v>90</v>
      </c>
      <c r="J38" s="23"/>
      <c r="K38" s="22"/>
      <c r="L38" s="22"/>
      <c r="M38" s="23"/>
      <c r="N38" s="23"/>
      <c r="O38" s="26" t="s">
        <v>2218</v>
      </c>
      <c r="P38" s="26"/>
      <c r="Q38" s="22">
        <v>30</v>
      </c>
      <c r="R38" s="24">
        <v>45755</v>
      </c>
      <c r="S38" s="24">
        <v>45756</v>
      </c>
      <c r="T38" s="24"/>
      <c r="U38" s="24"/>
      <c r="V38" s="24">
        <v>45756</v>
      </c>
      <c r="W38" s="22" t="s">
        <v>1217</v>
      </c>
      <c r="X38" s="4" t="str">
        <f>IF(Tabela2[[#This Row],[sigla]]="","",VLOOKUP(Tabela2[[#This Row],[sigla]],créditos_base!B:C,2,0))</f>
        <v>KEITHY MOSTACHI/ARQUIVO DA EDITORA</v>
      </c>
      <c r="Y38" s="23" t="s">
        <v>243</v>
      </c>
      <c r="Z38" s="23" t="str">
        <f>Tabela2[[#This Row],[ilustrador]]</f>
        <v>KEITHY MOSTACHI/ARQUIVO DA EDITORA</v>
      </c>
      <c r="AA38" s="22">
        <v>12</v>
      </c>
      <c r="AB38" s="20" t="s">
        <v>2216</v>
      </c>
      <c r="AC38" s="20" t="s">
        <v>36</v>
      </c>
      <c r="AD38" s="4" t="str">
        <f>"Pitanguá"</f>
        <v>Pitanguá</v>
      </c>
      <c r="AE38" s="14" t="str">
        <f>"Matemática"</f>
        <v>Matemática</v>
      </c>
    </row>
    <row r="39" spans="1:31" s="14" customFormat="1" x14ac:dyDescent="0.3">
      <c r="A39" s="23" t="s">
        <v>2029</v>
      </c>
      <c r="B39" s="20" t="s">
        <v>16</v>
      </c>
      <c r="C39" s="20" t="s">
        <v>540</v>
      </c>
      <c r="D39" s="20" t="s">
        <v>8</v>
      </c>
      <c r="E39" s="22">
        <v>77</v>
      </c>
      <c r="F39" s="22">
        <v>3</v>
      </c>
      <c r="G39" s="22">
        <v>4</v>
      </c>
      <c r="H39" s="22"/>
      <c r="I39" s="23" t="s">
        <v>33</v>
      </c>
      <c r="J39" s="23"/>
      <c r="K39" s="22"/>
      <c r="L39" s="22"/>
      <c r="M39" s="23"/>
      <c r="N39" s="23"/>
      <c r="O39" s="26" t="s">
        <v>2030</v>
      </c>
      <c r="P39" s="26"/>
      <c r="Q39" s="22">
        <v>81</v>
      </c>
      <c r="R39" s="24">
        <v>45824</v>
      </c>
      <c r="S39" s="24"/>
      <c r="T39" s="24"/>
      <c r="U39" s="24"/>
      <c r="V39" s="24">
        <v>45824</v>
      </c>
      <c r="W39" s="22" t="s">
        <v>160</v>
      </c>
      <c r="X39" s="4" t="str">
        <f>IF(Tabela2[[#This Row],[sigla]]="","",VLOOKUP(Tabela2[[#This Row],[sigla]],créditos_base!B:C,2,0))</f>
        <v>SERGIO LIMA/ARQUIVO DA EDITORA</v>
      </c>
      <c r="Y39" s="23" t="s">
        <v>1503</v>
      </c>
      <c r="Z39" s="23" t="str">
        <f>Tabela2[[#This Row],[ilustrador]]</f>
        <v>SERGIO LIMA/ARQUIVO DA EDITORA</v>
      </c>
      <c r="AA39" s="22">
        <v>13</v>
      </c>
      <c r="AB39" s="20" t="s">
        <v>1500</v>
      </c>
      <c r="AC39" s="20" t="s">
        <v>36</v>
      </c>
      <c r="AD39" s="4" t="str">
        <f>"Pitanguá"</f>
        <v>Pitanguá</v>
      </c>
      <c r="AE39" s="14" t="str">
        <f>"Matemática"</f>
        <v>Matemática</v>
      </c>
    </row>
    <row r="40" spans="1:31" s="14" customFormat="1" ht="86.4" x14ac:dyDescent="0.3">
      <c r="A40" s="23" t="s">
        <v>2035</v>
      </c>
      <c r="B40" s="20" t="s">
        <v>16</v>
      </c>
      <c r="C40" s="20" t="s">
        <v>540</v>
      </c>
      <c r="D40" s="20" t="s">
        <v>8</v>
      </c>
      <c r="E40" s="22">
        <v>193</v>
      </c>
      <c r="F40" s="22">
        <v>3</v>
      </c>
      <c r="G40" s="22">
        <v>4</v>
      </c>
      <c r="H40" s="22"/>
      <c r="I40" s="23" t="s">
        <v>33</v>
      </c>
      <c r="J40" s="23"/>
      <c r="K40" s="22"/>
      <c r="L40" s="22"/>
      <c r="M40" s="23"/>
      <c r="N40" s="23"/>
      <c r="O40" s="26" t="s">
        <v>2036</v>
      </c>
      <c r="P40" s="26"/>
      <c r="Q40" s="22">
        <v>26</v>
      </c>
      <c r="R40" s="24">
        <v>45751</v>
      </c>
      <c r="S40" s="24">
        <v>45751</v>
      </c>
      <c r="T40" s="24"/>
      <c r="U40" s="24"/>
      <c r="V40" s="24">
        <v>45751</v>
      </c>
      <c r="W40" s="22" t="s">
        <v>160</v>
      </c>
      <c r="X40" s="4" t="str">
        <f>IF(Tabela2[[#This Row],[sigla]]="","",VLOOKUP(Tabela2[[#This Row],[sigla]],créditos_base!B:C,2,0))</f>
        <v>SERGIO LIMA/ARQUIVO DA EDITORA</v>
      </c>
      <c r="Y40" s="23" t="s">
        <v>524</v>
      </c>
      <c r="Z40" s="23" t="str">
        <f>Tabela2[[#This Row],[ilustrador]]</f>
        <v>SERGIO LIMA/ARQUIVO DA EDITORA</v>
      </c>
      <c r="AA40" s="22">
        <v>14</v>
      </c>
      <c r="AB40" s="20" t="s">
        <v>1500</v>
      </c>
      <c r="AC40" s="20" t="s">
        <v>36</v>
      </c>
      <c r="AD40" s="4" t="str">
        <f>"Pitanguá"</f>
        <v>Pitanguá</v>
      </c>
      <c r="AE40" s="14" t="str">
        <f>"Matemática"</f>
        <v>Matemática</v>
      </c>
    </row>
    <row r="41" spans="1:31" s="14" customFormat="1" ht="86.4" x14ac:dyDescent="0.3">
      <c r="A41" s="23" t="s">
        <v>5674</v>
      </c>
      <c r="B41" s="20" t="s">
        <v>16</v>
      </c>
      <c r="C41" s="20" t="s">
        <v>89</v>
      </c>
      <c r="D41" s="20" t="s">
        <v>8</v>
      </c>
      <c r="E41" s="22">
        <v>115</v>
      </c>
      <c r="F41" s="22">
        <v>5</v>
      </c>
      <c r="G41" s="22">
        <v>4</v>
      </c>
      <c r="H41" s="22"/>
      <c r="I41" s="23" t="s">
        <v>33</v>
      </c>
      <c r="J41" s="23"/>
      <c r="K41" s="22"/>
      <c r="L41" s="22"/>
      <c r="M41" s="23"/>
      <c r="N41" s="23"/>
      <c r="O41" s="26" t="s">
        <v>5675</v>
      </c>
      <c r="P41" s="26"/>
      <c r="Q41" s="22">
        <v>136</v>
      </c>
      <c r="R41" s="24">
        <v>45866</v>
      </c>
      <c r="S41" s="24">
        <v>45875</v>
      </c>
      <c r="T41" s="24"/>
      <c r="U41" s="24"/>
      <c r="V41" s="24">
        <v>45877</v>
      </c>
      <c r="W41" s="22" t="s">
        <v>940</v>
      </c>
      <c r="X41" s="4" t="str">
        <f>IF(Tabela2[[#This Row],[sigla]]="","",VLOOKUP(Tabela2[[#This Row],[sigla]],créditos_base!B:C,2,0))</f>
        <v>RONALDO LUCENA/ARQUIVO DA EDITORA</v>
      </c>
      <c r="Y41" s="23" t="s">
        <v>243</v>
      </c>
      <c r="Z41" s="23" t="str">
        <f>Tabela2[[#This Row],[ilustrador]]</f>
        <v>RONALDO LUCENA/ARQUIVO DA EDITORA</v>
      </c>
      <c r="AA41" s="22">
        <v>12</v>
      </c>
      <c r="AB41" s="20" t="s">
        <v>2058</v>
      </c>
      <c r="AC41" s="20" t="s">
        <v>36</v>
      </c>
      <c r="AD41" s="4" t="str">
        <f>"Pitanguá"</f>
        <v>Pitanguá</v>
      </c>
      <c r="AE41" s="14" t="str">
        <f>"Matemática"</f>
        <v>Matemática</v>
      </c>
    </row>
    <row r="42" spans="1:31" s="14" customFormat="1" ht="86.4" x14ac:dyDescent="0.3">
      <c r="A42" s="23" t="s">
        <v>1498</v>
      </c>
      <c r="B42" s="20" t="s">
        <v>16</v>
      </c>
      <c r="C42" s="20" t="s">
        <v>7</v>
      </c>
      <c r="D42" s="20" t="s">
        <v>8</v>
      </c>
      <c r="E42" s="22">
        <v>75</v>
      </c>
      <c r="F42" s="22">
        <v>2</v>
      </c>
      <c r="G42" s="22">
        <v>5</v>
      </c>
      <c r="H42" s="22"/>
      <c r="I42" s="23" t="s">
        <v>33</v>
      </c>
      <c r="J42" s="23"/>
      <c r="K42" s="22"/>
      <c r="L42" s="22"/>
      <c r="M42" s="23"/>
      <c r="N42" s="23"/>
      <c r="O42" s="26" t="s">
        <v>1499</v>
      </c>
      <c r="P42" s="26"/>
      <c r="Q42" s="22">
        <v>17</v>
      </c>
      <c r="R42" s="24">
        <v>45747</v>
      </c>
      <c r="S42" s="24">
        <v>45747</v>
      </c>
      <c r="T42" s="24"/>
      <c r="U42" s="24"/>
      <c r="V42" s="24">
        <v>45747</v>
      </c>
      <c r="W42" s="22" t="s">
        <v>160</v>
      </c>
      <c r="X42" s="4" t="str">
        <f>IF(Tabela2[[#This Row],[sigla]]="","",VLOOKUP(Tabela2[[#This Row],[sigla]],créditos_base!B:C,2,0))</f>
        <v>SERGIO LIMA/ARQUIVO DA EDITORA</v>
      </c>
      <c r="Y42" s="23" t="s">
        <v>152</v>
      </c>
      <c r="Z42" s="23" t="str">
        <f>Tabela2[[#This Row],[ilustrador]]</f>
        <v>SERGIO LIMA/ARQUIVO DA EDITORA</v>
      </c>
      <c r="AA42" s="22">
        <v>13</v>
      </c>
      <c r="AB42" s="20" t="s">
        <v>1500</v>
      </c>
      <c r="AC42" s="20" t="s">
        <v>36</v>
      </c>
      <c r="AD42" s="4" t="str">
        <f>"Pitanguá"</f>
        <v>Pitanguá</v>
      </c>
      <c r="AE42" s="14" t="str">
        <f>"Matemática"</f>
        <v>Matemática</v>
      </c>
    </row>
    <row r="43" spans="1:31" s="14" customFormat="1" x14ac:dyDescent="0.3">
      <c r="A43" s="23" t="s">
        <v>3214</v>
      </c>
      <c r="B43" s="20" t="s">
        <v>16</v>
      </c>
      <c r="C43" s="20" t="s">
        <v>7</v>
      </c>
      <c r="D43" s="20" t="s">
        <v>8</v>
      </c>
      <c r="E43" s="22">
        <v>146</v>
      </c>
      <c r="F43" s="22">
        <v>4</v>
      </c>
      <c r="G43" s="22">
        <v>5</v>
      </c>
      <c r="H43" s="22"/>
      <c r="I43" s="23" t="s">
        <v>33</v>
      </c>
      <c r="J43" s="23"/>
      <c r="K43" s="22"/>
      <c r="L43" s="22"/>
      <c r="M43" s="23"/>
      <c r="N43" s="23"/>
      <c r="O43" s="26" t="s">
        <v>3215</v>
      </c>
      <c r="P43" s="26"/>
      <c r="Q43" s="22">
        <v>107</v>
      </c>
      <c r="R43" s="24">
        <v>45850</v>
      </c>
      <c r="S43" s="24">
        <v>45853</v>
      </c>
      <c r="T43" s="24"/>
      <c r="U43" s="24"/>
      <c r="V43" s="24">
        <v>45856</v>
      </c>
      <c r="W43" s="22" t="s">
        <v>160</v>
      </c>
      <c r="X43" s="4" t="str">
        <f>IF(Tabela2[[#This Row],[sigla]]="","",VLOOKUP(Tabela2[[#This Row],[sigla]],créditos_base!B:C,2,0))</f>
        <v>SERGIO LIMA/ARQUIVO DA EDITORA</v>
      </c>
      <c r="Y43" s="23" t="s">
        <v>243</v>
      </c>
      <c r="Z43" s="23" t="str">
        <f>Tabela2[[#This Row],[ilustrador]]</f>
        <v>SERGIO LIMA/ARQUIVO DA EDITORA</v>
      </c>
      <c r="AA43" s="22">
        <v>13</v>
      </c>
      <c r="AB43" s="20" t="s">
        <v>244</v>
      </c>
      <c r="AC43" s="20" t="s">
        <v>36</v>
      </c>
      <c r="AD43" s="4" t="str">
        <f>"Pitanguá"</f>
        <v>Pitanguá</v>
      </c>
      <c r="AE43" s="14" t="str">
        <f>"Matemática"</f>
        <v>Matemática</v>
      </c>
    </row>
    <row r="44" spans="1:31" s="14" customFormat="1" ht="28.8" x14ac:dyDescent="0.3">
      <c r="A44" s="23" t="s">
        <v>4505</v>
      </c>
      <c r="B44" s="20" t="s">
        <v>16</v>
      </c>
      <c r="C44" s="20" t="s">
        <v>89</v>
      </c>
      <c r="D44" s="20" t="s">
        <v>8</v>
      </c>
      <c r="E44" s="22">
        <v>155</v>
      </c>
      <c r="F44" s="22">
        <v>2</v>
      </c>
      <c r="G44" s="22">
        <v>6</v>
      </c>
      <c r="H44" s="22"/>
      <c r="I44" s="23" t="s">
        <v>90</v>
      </c>
      <c r="J44" s="23"/>
      <c r="K44" s="22"/>
      <c r="L44" s="22"/>
      <c r="M44" s="23"/>
      <c r="N44" s="23"/>
      <c r="O44" s="26" t="s">
        <v>4506</v>
      </c>
      <c r="P44" s="26"/>
      <c r="Q44" s="22">
        <v>71</v>
      </c>
      <c r="R44" s="24">
        <v>45813</v>
      </c>
      <c r="S44" s="24">
        <v>45814</v>
      </c>
      <c r="T44" s="24"/>
      <c r="U44" s="24"/>
      <c r="V44" s="24">
        <v>45818</v>
      </c>
      <c r="W44" s="22" t="s">
        <v>4461</v>
      </c>
      <c r="X44" s="4" t="str">
        <f>IF(Tabela2[[#This Row],[sigla]]="","",VLOOKUP(Tabela2[[#This Row],[sigla]],créditos_base!B:C,2,0))</f>
        <v>REBECCA BANISKI/ARQUIVO DA EDITORA</v>
      </c>
      <c r="Y44" s="23"/>
      <c r="Z44" s="23" t="str">
        <f>Tabela2[[#This Row],[ilustrador]]</f>
        <v>REBECCA BANISKI/ARQUIVO DA EDITORA</v>
      </c>
      <c r="AA44" s="22">
        <v>12</v>
      </c>
      <c r="AB44" s="20" t="s">
        <v>954</v>
      </c>
      <c r="AC44" s="20" t="s">
        <v>36</v>
      </c>
      <c r="AD44" s="4" t="str">
        <f>"Pitanguá"</f>
        <v>Pitanguá</v>
      </c>
      <c r="AE44" s="14" t="str">
        <f>"Matemática"</f>
        <v>Matemática</v>
      </c>
    </row>
    <row r="45" spans="1:31" s="14" customFormat="1" ht="28.8" x14ac:dyDescent="0.3">
      <c r="A45" s="23" t="s">
        <v>2258</v>
      </c>
      <c r="B45" s="20" t="s">
        <v>16</v>
      </c>
      <c r="C45" s="20" t="s">
        <v>540</v>
      </c>
      <c r="D45" s="20" t="s">
        <v>8</v>
      </c>
      <c r="E45" s="22">
        <v>110</v>
      </c>
      <c r="F45" s="22">
        <v>3</v>
      </c>
      <c r="G45" s="22">
        <v>6</v>
      </c>
      <c r="H45" s="22"/>
      <c r="I45" s="23" t="s">
        <v>33</v>
      </c>
      <c r="J45" s="23"/>
      <c r="K45" s="22"/>
      <c r="L45" s="22"/>
      <c r="M45" s="23"/>
      <c r="N45" s="23"/>
      <c r="O45" s="26" t="s">
        <v>2259</v>
      </c>
      <c r="P45" s="26"/>
      <c r="Q45" s="22">
        <v>127</v>
      </c>
      <c r="R45" s="24">
        <v>45862</v>
      </c>
      <c r="S45" s="24">
        <v>45863</v>
      </c>
      <c r="T45" s="24"/>
      <c r="U45" s="24"/>
      <c r="V45" s="24">
        <v>45863</v>
      </c>
      <c r="W45" s="22" t="s">
        <v>327</v>
      </c>
      <c r="X45" s="4" t="str">
        <f>IF(Tabela2[[#This Row],[sigla]]="","",VLOOKUP(Tabela2[[#This Row],[sigla]],créditos_base!B:C,2,0))</f>
        <v>RAFAEL LAM/ARQUIVO DA EDITORA</v>
      </c>
      <c r="Y45" s="23" t="s">
        <v>243</v>
      </c>
      <c r="Z45" s="23" t="str">
        <f>Tabela2[[#This Row],[ilustrador]]</f>
        <v>RAFAEL LAM/ARQUIVO DA EDITORA</v>
      </c>
      <c r="AA45" s="22">
        <v>13</v>
      </c>
      <c r="AB45" s="20" t="s">
        <v>244</v>
      </c>
      <c r="AC45" s="20" t="s">
        <v>36</v>
      </c>
      <c r="AD45" s="4" t="str">
        <f>"Pitanguá"</f>
        <v>Pitanguá</v>
      </c>
      <c r="AE45" s="14" t="str">
        <f>"Matemática"</f>
        <v>Matemática</v>
      </c>
    </row>
    <row r="46" spans="1:31" s="14" customFormat="1" ht="28.8" x14ac:dyDescent="0.3">
      <c r="A46" s="23" t="s">
        <v>4683</v>
      </c>
      <c r="B46" s="20" t="s">
        <v>16</v>
      </c>
      <c r="C46" s="20" t="s">
        <v>540</v>
      </c>
      <c r="D46" s="20" t="s">
        <v>8</v>
      </c>
      <c r="E46" s="22">
        <v>123</v>
      </c>
      <c r="F46" s="22">
        <v>5</v>
      </c>
      <c r="G46" s="22">
        <v>6</v>
      </c>
      <c r="H46" s="22"/>
      <c r="I46" s="23" t="s">
        <v>33</v>
      </c>
      <c r="J46" s="23"/>
      <c r="K46" s="22"/>
      <c r="L46" s="22"/>
      <c r="M46" s="23"/>
      <c r="N46" s="23"/>
      <c r="O46" s="26" t="s">
        <v>4684</v>
      </c>
      <c r="P46" s="26"/>
      <c r="Q46" s="22">
        <v>77</v>
      </c>
      <c r="R46" s="24">
        <v>45819</v>
      </c>
      <c r="S46" s="24">
        <v>45866</v>
      </c>
      <c r="T46" s="24"/>
      <c r="U46" s="24"/>
      <c r="V46" s="24">
        <v>45868</v>
      </c>
      <c r="W46" s="22" t="s">
        <v>940</v>
      </c>
      <c r="X46" s="4" t="str">
        <f>IF(Tabela2[[#This Row],[sigla]]="","",VLOOKUP(Tabela2[[#This Row],[sigla]],créditos_base!B:C,2,0))</f>
        <v>RONALDO LUCENA/ARQUIVO DA EDITORA</v>
      </c>
      <c r="Y46" s="23" t="s">
        <v>4625</v>
      </c>
      <c r="Z46" s="23" t="str">
        <f>Tabela2[[#This Row],[ilustrador]]</f>
        <v>RONALDO LUCENA/ARQUIVO DA EDITORA</v>
      </c>
      <c r="AA46" s="22">
        <v>14</v>
      </c>
      <c r="AB46" s="20" t="s">
        <v>4626</v>
      </c>
      <c r="AC46" s="20" t="s">
        <v>36</v>
      </c>
      <c r="AD46" s="4" t="str">
        <f>"Pitanguá"</f>
        <v>Pitanguá</v>
      </c>
      <c r="AE46" s="14" t="str">
        <f>"Matemática"</f>
        <v>Matemática</v>
      </c>
    </row>
    <row r="47" spans="1:31" s="14" customFormat="1" ht="28.8" x14ac:dyDescent="0.3">
      <c r="A47" s="23" t="s">
        <v>4696</v>
      </c>
      <c r="B47" s="20" t="s">
        <v>16</v>
      </c>
      <c r="C47" s="20" t="s">
        <v>540</v>
      </c>
      <c r="D47" s="20" t="s">
        <v>8</v>
      </c>
      <c r="E47" s="22">
        <v>127</v>
      </c>
      <c r="F47" s="22">
        <v>5</v>
      </c>
      <c r="G47" s="22">
        <v>6</v>
      </c>
      <c r="H47" s="22"/>
      <c r="I47" s="23" t="s">
        <v>33</v>
      </c>
      <c r="J47" s="23"/>
      <c r="K47" s="22"/>
      <c r="L47" s="22"/>
      <c r="M47" s="23"/>
      <c r="N47" s="23"/>
      <c r="O47" s="26" t="s">
        <v>4697</v>
      </c>
      <c r="P47" s="26"/>
      <c r="Q47" s="22">
        <v>77</v>
      </c>
      <c r="R47" s="24">
        <v>45819</v>
      </c>
      <c r="S47" s="24">
        <v>45866</v>
      </c>
      <c r="T47" s="24"/>
      <c r="U47" s="24"/>
      <c r="V47" s="24">
        <v>45868</v>
      </c>
      <c r="W47" s="22" t="s">
        <v>940</v>
      </c>
      <c r="X47" s="4" t="str">
        <f>IF(Tabela2[[#This Row],[sigla]]="","",VLOOKUP(Tabela2[[#This Row],[sigla]],créditos_base!B:C,2,0))</f>
        <v>RONALDO LUCENA/ARQUIVO DA EDITORA</v>
      </c>
      <c r="Y47" s="23" t="s">
        <v>4625</v>
      </c>
      <c r="Z47" s="23" t="str">
        <f>Tabela2[[#This Row],[ilustrador]]</f>
        <v>RONALDO LUCENA/ARQUIVO DA EDITORA</v>
      </c>
      <c r="AA47" s="22">
        <v>14</v>
      </c>
      <c r="AB47" s="20" t="s">
        <v>4626</v>
      </c>
      <c r="AC47" s="20" t="s">
        <v>36</v>
      </c>
      <c r="AD47" s="4" t="str">
        <f>"Pitanguá"</f>
        <v>Pitanguá</v>
      </c>
      <c r="AE47" s="14" t="str">
        <f>"Matemática"</f>
        <v>Matemática</v>
      </c>
    </row>
    <row r="48" spans="1:31" s="14" customFormat="1" ht="28.8" x14ac:dyDescent="0.3">
      <c r="A48" s="23" t="s">
        <v>5689</v>
      </c>
      <c r="B48" s="20" t="s">
        <v>16</v>
      </c>
      <c r="C48" s="20" t="s">
        <v>540</v>
      </c>
      <c r="D48" s="20" t="s">
        <v>8</v>
      </c>
      <c r="E48" s="22">
        <v>173</v>
      </c>
      <c r="F48" s="22">
        <v>5</v>
      </c>
      <c r="G48" s="22">
        <v>6</v>
      </c>
      <c r="H48" s="22"/>
      <c r="I48" s="23" t="s">
        <v>90</v>
      </c>
      <c r="J48" s="23"/>
      <c r="K48" s="22"/>
      <c r="L48" s="22"/>
      <c r="M48" s="23"/>
      <c r="N48" s="23"/>
      <c r="O48" s="26" t="s">
        <v>5690</v>
      </c>
      <c r="P48" s="26"/>
      <c r="Q48" s="22">
        <v>139</v>
      </c>
      <c r="R48" s="24">
        <v>45868</v>
      </c>
      <c r="S48" s="24">
        <v>45868</v>
      </c>
      <c r="T48" s="24"/>
      <c r="U48" s="24"/>
      <c r="V48" s="24">
        <v>45874</v>
      </c>
      <c r="W48" s="22" t="s">
        <v>999</v>
      </c>
      <c r="X48" s="4" t="str">
        <f>IF(Tabela2[[#This Row],[sigla]]="","",VLOOKUP(Tabela2[[#This Row],[sigla]],créditos_base!B:C,2,0))</f>
        <v>VINÍCIUS COSTA/ARQUIVO DA EDITORA</v>
      </c>
      <c r="Y48" s="23"/>
      <c r="Z48" s="23" t="str">
        <f>Tabela2[[#This Row],[ilustrador]]</f>
        <v>VINÍCIUS COSTA/ARQUIVO DA EDITORA</v>
      </c>
      <c r="AA48" s="22">
        <v>12</v>
      </c>
      <c r="AB48" s="20" t="s">
        <v>243</v>
      </c>
      <c r="AC48" s="20" t="s">
        <v>36</v>
      </c>
      <c r="AD48" s="4" t="str">
        <f>"Pitanguá"</f>
        <v>Pitanguá</v>
      </c>
      <c r="AE48" s="14" t="str">
        <f>"Matemática"</f>
        <v>Matemática</v>
      </c>
    </row>
    <row r="49" spans="1:31" s="14" customFormat="1" ht="28.8" x14ac:dyDescent="0.3">
      <c r="A49" s="23" t="s">
        <v>539</v>
      </c>
      <c r="B49" s="20" t="s">
        <v>16</v>
      </c>
      <c r="C49" s="20" t="s">
        <v>540</v>
      </c>
      <c r="D49" s="20" t="s">
        <v>8</v>
      </c>
      <c r="E49" s="22">
        <v>140</v>
      </c>
      <c r="F49" s="22">
        <v>1</v>
      </c>
      <c r="G49" s="22">
        <v>6</v>
      </c>
      <c r="H49" s="22"/>
      <c r="I49" s="23" t="s">
        <v>33</v>
      </c>
      <c r="J49" s="23"/>
      <c r="K49" s="22"/>
      <c r="L49" s="22"/>
      <c r="M49" s="23"/>
      <c r="N49" s="23"/>
      <c r="O49" s="26" t="s">
        <v>541</v>
      </c>
      <c r="P49" s="26"/>
      <c r="Q49" s="22">
        <v>35</v>
      </c>
      <c r="R49" s="24">
        <v>45771</v>
      </c>
      <c r="S49" s="24">
        <v>45775</v>
      </c>
      <c r="T49" s="24"/>
      <c r="U49" s="24"/>
      <c r="V49" s="24">
        <v>45777</v>
      </c>
      <c r="W49" s="22" t="s">
        <v>160</v>
      </c>
      <c r="X49" s="4" t="str">
        <f>IF(Tabela2[[#This Row],[sigla]]="","",VLOOKUP(Tabela2[[#This Row],[sigla]],créditos_base!B:C,2,0))</f>
        <v>SERGIO LIMA/ARQUIVO DA EDITORA</v>
      </c>
      <c r="Y49" s="23" t="s">
        <v>188</v>
      </c>
      <c r="Z49" s="23" t="str">
        <f>Tabela2[[#This Row],[ilustrador]]</f>
        <v>SERGIO LIMA/ARQUIVO DA EDITORA</v>
      </c>
      <c r="AA49" s="22">
        <v>13</v>
      </c>
      <c r="AB49" s="20" t="s">
        <v>153</v>
      </c>
      <c r="AC49" s="20" t="s">
        <v>36</v>
      </c>
      <c r="AD49" s="4" t="str">
        <f>"Pitanguá"</f>
        <v>Pitanguá</v>
      </c>
      <c r="AE49" s="14" t="str">
        <f>"Matemática"</f>
        <v>Matemática</v>
      </c>
    </row>
    <row r="50" spans="1:31" s="14" customFormat="1" ht="43.2" x14ac:dyDescent="0.3">
      <c r="A50" s="23" t="s">
        <v>2968</v>
      </c>
      <c r="B50" s="20" t="s">
        <v>16</v>
      </c>
      <c r="C50" s="20" t="s">
        <v>540</v>
      </c>
      <c r="D50" s="20" t="s">
        <v>8</v>
      </c>
      <c r="E50" s="22">
        <v>160</v>
      </c>
      <c r="F50" s="22">
        <v>1</v>
      </c>
      <c r="G50" s="22">
        <v>6</v>
      </c>
      <c r="H50" s="22"/>
      <c r="I50" s="23" t="s">
        <v>9</v>
      </c>
      <c r="J50" s="23"/>
      <c r="K50" s="22"/>
      <c r="L50" s="22"/>
      <c r="M50" s="23"/>
      <c r="N50" s="23"/>
      <c r="O50" s="26" t="s">
        <v>2969</v>
      </c>
      <c r="P50" s="26"/>
      <c r="Q50" s="22"/>
      <c r="R50" s="24"/>
      <c r="S50" s="24"/>
      <c r="T50" s="24"/>
      <c r="U50" s="24"/>
      <c r="V50" s="24"/>
      <c r="W50" s="22" t="s">
        <v>160</v>
      </c>
      <c r="X50" s="4" t="str">
        <f>IF(Tabela2[[#This Row],[sigla]]="","",VLOOKUP(Tabela2[[#This Row],[sigla]],créditos_base!B:C,2,0))</f>
        <v>SERGIO LIMA/ARQUIVO DA EDITORA</v>
      </c>
      <c r="Y50" s="23"/>
      <c r="Z50" s="23" t="str">
        <f>Tabela2[[#This Row],[ilustrador]]</f>
        <v>SERGIO LIMA/ARQUIVO DA EDITORA</v>
      </c>
      <c r="AA50" s="22"/>
      <c r="AB50" s="20"/>
      <c r="AC50" s="20"/>
      <c r="AD50" s="4" t="str">
        <f>"Pitanguá"</f>
        <v>Pitanguá</v>
      </c>
      <c r="AE50" s="14" t="str">
        <f>"Matemática"</f>
        <v>Matemática</v>
      </c>
    </row>
    <row r="51" spans="1:31" s="14" customFormat="1" ht="43.2" x14ac:dyDescent="0.3">
      <c r="A51" s="23" t="s">
        <v>547</v>
      </c>
      <c r="B51" s="20" t="s">
        <v>6</v>
      </c>
      <c r="C51" s="20" t="s">
        <v>540</v>
      </c>
      <c r="D51" s="20" t="s">
        <v>8</v>
      </c>
      <c r="E51" s="22">
        <v>145</v>
      </c>
      <c r="F51" s="22">
        <v>1</v>
      </c>
      <c r="G51" s="22">
        <v>6</v>
      </c>
      <c r="H51" s="22"/>
      <c r="I51" s="23" t="s">
        <v>9</v>
      </c>
      <c r="J51" s="23"/>
      <c r="K51" s="22"/>
      <c r="L51" s="22"/>
      <c r="M51" s="23"/>
      <c r="N51" s="23"/>
      <c r="O51" s="26" t="s">
        <v>548</v>
      </c>
      <c r="P51" s="26" t="s">
        <v>11</v>
      </c>
      <c r="Q51" s="22"/>
      <c r="R51" s="24"/>
      <c r="S51" s="24"/>
      <c r="T51" s="24"/>
      <c r="U51" s="24"/>
      <c r="V51" s="24"/>
      <c r="W51" s="22" t="s">
        <v>160</v>
      </c>
      <c r="X51" s="4" t="str">
        <f>IF(Tabela2[[#This Row],[sigla]]="","",VLOOKUP(Tabela2[[#This Row],[sigla]],créditos_base!B:C,2,0))</f>
        <v>SERGIO LIMA/ARQUIVO DA EDITORA</v>
      </c>
      <c r="Y51" s="23"/>
      <c r="Z51" s="23" t="str">
        <f>Tabela2[[#This Row],[ilustrador]]</f>
        <v>SERGIO LIMA/ARQUIVO DA EDITORA</v>
      </c>
      <c r="AA51" s="22"/>
      <c r="AB51" s="20"/>
      <c r="AC51" s="20"/>
      <c r="AD51" s="4" t="str">
        <f>"Pitanguá"</f>
        <v>Pitanguá</v>
      </c>
      <c r="AE51" s="14" t="str">
        <f>"Matemática"</f>
        <v>Matemática</v>
      </c>
    </row>
    <row r="52" spans="1:31" s="14" customFormat="1" ht="57.6" x14ac:dyDescent="0.3">
      <c r="A52" s="23" t="s">
        <v>4769</v>
      </c>
      <c r="B52" s="20" t="s">
        <v>16</v>
      </c>
      <c r="C52" s="20" t="s">
        <v>540</v>
      </c>
      <c r="D52" s="20" t="s">
        <v>8</v>
      </c>
      <c r="E52" s="22">
        <v>154</v>
      </c>
      <c r="F52" s="22">
        <v>5</v>
      </c>
      <c r="G52" s="22">
        <v>6</v>
      </c>
      <c r="H52" s="22"/>
      <c r="I52" s="23" t="s">
        <v>33</v>
      </c>
      <c r="J52" s="23"/>
      <c r="K52" s="22"/>
      <c r="L52" s="22"/>
      <c r="M52" s="23"/>
      <c r="N52" s="23"/>
      <c r="O52" s="26" t="s">
        <v>4770</v>
      </c>
      <c r="P52" s="26"/>
      <c r="Q52" s="22">
        <v>77</v>
      </c>
      <c r="R52" s="24">
        <v>45819</v>
      </c>
      <c r="S52" s="24">
        <v>45866</v>
      </c>
      <c r="T52" s="24"/>
      <c r="U52" s="24"/>
      <c r="V52" s="24">
        <v>45868</v>
      </c>
      <c r="W52" s="22" t="s">
        <v>940</v>
      </c>
      <c r="X52" s="4" t="str">
        <f>IF(Tabela2[[#This Row],[sigla]]="","",VLOOKUP(Tabela2[[#This Row],[sigla]],créditos_base!B:C,2,0))</f>
        <v>RONALDO LUCENA/ARQUIVO DA EDITORA</v>
      </c>
      <c r="Y52" s="23" t="s">
        <v>4625</v>
      </c>
      <c r="Z52" s="23" t="str">
        <f>Tabela2[[#This Row],[ilustrador]]</f>
        <v>RONALDO LUCENA/ARQUIVO DA EDITORA</v>
      </c>
      <c r="AA52" s="22">
        <v>14</v>
      </c>
      <c r="AB52" s="20" t="s">
        <v>4626</v>
      </c>
      <c r="AC52" s="20" t="s">
        <v>36</v>
      </c>
      <c r="AD52" s="4" t="str">
        <f>"Pitanguá"</f>
        <v>Pitanguá</v>
      </c>
      <c r="AE52" s="14" t="str">
        <f>"Matemática"</f>
        <v>Matemática</v>
      </c>
    </row>
    <row r="53" spans="1:31" s="14" customFormat="1" ht="57.6" x14ac:dyDescent="0.3">
      <c r="A53" s="23" t="s">
        <v>5695</v>
      </c>
      <c r="B53" s="20" t="s">
        <v>16</v>
      </c>
      <c r="C53" s="20" t="s">
        <v>540</v>
      </c>
      <c r="D53" s="20" t="s">
        <v>8</v>
      </c>
      <c r="E53" s="22">
        <v>188</v>
      </c>
      <c r="F53" s="22">
        <v>5</v>
      </c>
      <c r="G53" s="22">
        <v>6</v>
      </c>
      <c r="H53" s="22"/>
      <c r="I53" s="23" t="s">
        <v>33</v>
      </c>
      <c r="J53" s="23"/>
      <c r="K53" s="22"/>
      <c r="L53" s="22"/>
      <c r="M53" s="23"/>
      <c r="N53" s="23"/>
      <c r="O53" s="26" t="s">
        <v>5696</v>
      </c>
      <c r="P53" s="26"/>
      <c r="Q53" s="22">
        <v>139</v>
      </c>
      <c r="R53" s="24">
        <v>45868</v>
      </c>
      <c r="S53" s="24">
        <v>45868</v>
      </c>
      <c r="T53" s="24"/>
      <c r="U53" s="24"/>
      <c r="V53" s="24">
        <v>45877</v>
      </c>
      <c r="W53" s="22" t="s">
        <v>940</v>
      </c>
      <c r="X53" s="4" t="str">
        <f>IF(Tabela2[[#This Row],[sigla]]="","",VLOOKUP(Tabela2[[#This Row],[sigla]],créditos_base!B:C,2,0))</f>
        <v>RONALDO LUCENA/ARQUIVO DA EDITORA</v>
      </c>
      <c r="Y53" s="23" t="s">
        <v>696</v>
      </c>
      <c r="Z53" s="23" t="str">
        <f>Tabela2[[#This Row],[ilustrador]]</f>
        <v>RONALDO LUCENA/ARQUIVO DA EDITORA</v>
      </c>
      <c r="AA53" s="22">
        <v>13</v>
      </c>
      <c r="AB53" s="20" t="s">
        <v>153</v>
      </c>
      <c r="AC53" s="20" t="s">
        <v>36</v>
      </c>
      <c r="AD53" s="4" t="str">
        <f>"Pitanguá"</f>
        <v>Pitanguá</v>
      </c>
      <c r="AE53" s="14" t="str">
        <f>"Matemática"</f>
        <v>Matemática</v>
      </c>
    </row>
    <row r="54" spans="1:31" s="14" customFormat="1" ht="43.2" x14ac:dyDescent="0.3">
      <c r="A54" s="23" t="s">
        <v>5691</v>
      </c>
      <c r="B54" s="20" t="s">
        <v>16</v>
      </c>
      <c r="C54" s="20" t="s">
        <v>540</v>
      </c>
      <c r="D54" s="20" t="s">
        <v>8</v>
      </c>
      <c r="E54" s="22">
        <v>187</v>
      </c>
      <c r="F54" s="22">
        <v>5</v>
      </c>
      <c r="G54" s="22">
        <v>6</v>
      </c>
      <c r="H54" s="22"/>
      <c r="I54" s="23" t="s">
        <v>90</v>
      </c>
      <c r="J54" s="23"/>
      <c r="K54" s="22"/>
      <c r="L54" s="22"/>
      <c r="M54" s="23"/>
      <c r="N54" s="23"/>
      <c r="O54" s="26" t="s">
        <v>5692</v>
      </c>
      <c r="P54" s="26"/>
      <c r="Q54" s="22">
        <v>139</v>
      </c>
      <c r="R54" s="24">
        <v>45868</v>
      </c>
      <c r="S54" s="24">
        <v>45868</v>
      </c>
      <c r="T54" s="24"/>
      <c r="U54" s="24"/>
      <c r="V54" s="24">
        <v>45874</v>
      </c>
      <c r="W54" s="22" t="s">
        <v>999</v>
      </c>
      <c r="X54" s="4" t="str">
        <f>IF(Tabela2[[#This Row],[sigla]]="","",VLOOKUP(Tabela2[[#This Row],[sigla]],créditos_base!B:C,2,0))</f>
        <v>VINÍCIUS COSTA/ARQUIVO DA EDITORA</v>
      </c>
      <c r="Y54" s="23"/>
      <c r="Z54" s="23" t="str">
        <f>Tabela2[[#This Row],[ilustrador]]</f>
        <v>VINÍCIUS COSTA/ARQUIVO DA EDITORA</v>
      </c>
      <c r="AA54" s="22">
        <v>12</v>
      </c>
      <c r="AB54" s="20" t="s">
        <v>243</v>
      </c>
      <c r="AC54" s="20" t="s">
        <v>36</v>
      </c>
      <c r="AD54" s="4" t="str">
        <f>"Pitanguá"</f>
        <v>Pitanguá</v>
      </c>
      <c r="AE54" s="14" t="str">
        <f>"Matemática"</f>
        <v>Matemática</v>
      </c>
    </row>
    <row r="55" spans="1:31" s="14" customFormat="1" ht="28.8" x14ac:dyDescent="0.3">
      <c r="A55" s="30" t="s">
        <v>1585</v>
      </c>
      <c r="B55" s="20" t="s">
        <v>16</v>
      </c>
      <c r="C55" s="20" t="s">
        <v>540</v>
      </c>
      <c r="D55" s="20" t="s">
        <v>8</v>
      </c>
      <c r="E55" s="22">
        <v>116</v>
      </c>
      <c r="F55" s="22">
        <v>2</v>
      </c>
      <c r="G55" s="22">
        <v>7</v>
      </c>
      <c r="H55" s="22"/>
      <c r="I55" s="23" t="s">
        <v>33</v>
      </c>
      <c r="J55" s="23"/>
      <c r="K55" s="22"/>
      <c r="L55" s="22"/>
      <c r="M55" s="23"/>
      <c r="N55" s="23"/>
      <c r="O55" s="26" t="s">
        <v>1586</v>
      </c>
      <c r="P55" s="26"/>
      <c r="Q55" s="22">
        <v>67</v>
      </c>
      <c r="R55" s="24">
        <v>45811</v>
      </c>
      <c r="S55" s="24">
        <v>45811</v>
      </c>
      <c r="T55" s="24"/>
      <c r="U55" s="24"/>
      <c r="V55" s="24">
        <v>45811</v>
      </c>
      <c r="W55" s="22" t="s">
        <v>160</v>
      </c>
      <c r="X55" s="4" t="str">
        <f>IF(Tabela2[[#This Row],[sigla]]="","",VLOOKUP(Tabela2[[#This Row],[sigla]],créditos_base!B:C,2,0))</f>
        <v>SERGIO LIMA/ARQUIVO DA EDITORA</v>
      </c>
      <c r="Y55" s="23" t="s">
        <v>1503</v>
      </c>
      <c r="Z55" s="23" t="str">
        <f>Tabela2[[#This Row],[ilustrador]]</f>
        <v>SERGIO LIMA/ARQUIVO DA EDITORA</v>
      </c>
      <c r="AA55" s="22"/>
      <c r="AB55" s="20" t="s">
        <v>41</v>
      </c>
      <c r="AC55" s="20" t="s">
        <v>36</v>
      </c>
      <c r="AD55" s="4" t="str">
        <f>"Pitanguá"</f>
        <v>Pitanguá</v>
      </c>
      <c r="AE55" s="14" t="str">
        <f>"Matemática"</f>
        <v>Matemática</v>
      </c>
    </row>
    <row r="56" spans="1:31" s="14" customFormat="1" ht="28.8" x14ac:dyDescent="0.3">
      <c r="A56" s="23" t="s">
        <v>2225</v>
      </c>
      <c r="B56" s="20" t="s">
        <v>16</v>
      </c>
      <c r="C56" s="20" t="s">
        <v>540</v>
      </c>
      <c r="D56" s="20" t="s">
        <v>8</v>
      </c>
      <c r="E56" s="22">
        <v>179</v>
      </c>
      <c r="F56" s="22">
        <v>1</v>
      </c>
      <c r="G56" s="22">
        <v>7</v>
      </c>
      <c r="H56" s="22"/>
      <c r="I56" s="23" t="s">
        <v>90</v>
      </c>
      <c r="J56" s="23"/>
      <c r="K56" s="22"/>
      <c r="L56" s="22"/>
      <c r="M56" s="23"/>
      <c r="N56" s="23"/>
      <c r="O56" s="26" t="s">
        <v>2226</v>
      </c>
      <c r="P56" s="26"/>
      <c r="Q56" s="22">
        <v>30</v>
      </c>
      <c r="R56" s="24">
        <v>45755</v>
      </c>
      <c r="S56" s="24">
        <v>45756</v>
      </c>
      <c r="T56" s="24"/>
      <c r="U56" s="24"/>
      <c r="V56" s="24">
        <v>45756</v>
      </c>
      <c r="W56" s="22" t="s">
        <v>1217</v>
      </c>
      <c r="X56" s="4" t="str">
        <f>IF(Tabela2[[#This Row],[sigla]]="","",VLOOKUP(Tabela2[[#This Row],[sigla]],créditos_base!B:C,2,0))</f>
        <v>KEITHY MOSTACHI/ARQUIVO DA EDITORA</v>
      </c>
      <c r="Y56" s="23" t="s">
        <v>243</v>
      </c>
      <c r="Z56" s="23" t="str">
        <f>Tabela2[[#This Row],[ilustrador]]</f>
        <v>KEITHY MOSTACHI/ARQUIVO DA EDITORA</v>
      </c>
      <c r="AA56" s="22">
        <v>12</v>
      </c>
      <c r="AB56" s="20" t="s">
        <v>2216</v>
      </c>
      <c r="AC56" s="20" t="s">
        <v>36</v>
      </c>
      <c r="AD56" s="4" t="str">
        <f>"Pitanguá"</f>
        <v>Pitanguá</v>
      </c>
      <c r="AE56" s="14" t="str">
        <f>"Matemática"</f>
        <v>Matemática</v>
      </c>
    </row>
    <row r="57" spans="1:31" s="14" customFormat="1" ht="28.8" x14ac:dyDescent="0.3">
      <c r="A57" s="23" t="s">
        <v>4858</v>
      </c>
      <c r="B57" s="20" t="s">
        <v>16</v>
      </c>
      <c r="C57" s="20" t="s">
        <v>540</v>
      </c>
      <c r="D57" s="20" t="s">
        <v>8</v>
      </c>
      <c r="E57" s="22">
        <v>180</v>
      </c>
      <c r="F57" s="22">
        <v>3</v>
      </c>
      <c r="G57" s="22">
        <v>7</v>
      </c>
      <c r="H57" s="22"/>
      <c r="I57" s="23" t="s">
        <v>90</v>
      </c>
      <c r="J57" s="23"/>
      <c r="K57" s="22"/>
      <c r="L57" s="22"/>
      <c r="M57" s="23"/>
      <c r="N57" s="23"/>
      <c r="O57" s="26" t="s">
        <v>4859</v>
      </c>
      <c r="P57" s="26"/>
      <c r="Q57" s="22">
        <v>82</v>
      </c>
      <c r="R57" s="24">
        <v>45829</v>
      </c>
      <c r="S57" s="24">
        <v>45833</v>
      </c>
      <c r="T57" s="24"/>
      <c r="U57" s="24"/>
      <c r="V57" s="24">
        <v>45835</v>
      </c>
      <c r="W57" s="22" t="s">
        <v>72</v>
      </c>
      <c r="X57" s="4" t="str">
        <f>IF(Tabela2[[#This Row],[sigla]]="","",VLOOKUP(Tabela2[[#This Row],[sigla]],créditos_base!B:C,2,0))</f>
        <v>HELOÍSA PINTARELLI/ARQUIVO DA EDITORA</v>
      </c>
      <c r="Y57" s="23"/>
      <c r="Z57" s="23" t="str">
        <f>Tabela2[[#This Row],[ilustrador]]</f>
        <v>HELOÍSA PINTARELLI/ARQUIVO DA EDITORA</v>
      </c>
      <c r="AA57" s="22">
        <v>11</v>
      </c>
      <c r="AB57" s="20" t="s">
        <v>4860</v>
      </c>
      <c r="AC57" s="20" t="s">
        <v>310</v>
      </c>
      <c r="AD57" s="4" t="str">
        <f>"Pitanguá"</f>
        <v>Pitanguá</v>
      </c>
      <c r="AE57" s="14" t="str">
        <f>"Matemática"</f>
        <v>Matemática</v>
      </c>
    </row>
    <row r="58" spans="1:31" s="14" customFormat="1" ht="28.8" x14ac:dyDescent="0.3">
      <c r="A58" s="23" t="s">
        <v>5737</v>
      </c>
      <c r="B58" s="20" t="s">
        <v>16</v>
      </c>
      <c r="C58" s="20" t="s">
        <v>540</v>
      </c>
      <c r="D58" s="20" t="s">
        <v>8</v>
      </c>
      <c r="E58" s="22">
        <v>235</v>
      </c>
      <c r="F58" s="22">
        <v>5</v>
      </c>
      <c r="G58" s="22">
        <v>9</v>
      </c>
      <c r="H58" s="22"/>
      <c r="I58" s="23" t="s">
        <v>33</v>
      </c>
      <c r="J58" s="23"/>
      <c r="K58" s="22"/>
      <c r="L58" s="22"/>
      <c r="M58" s="23"/>
      <c r="N58" s="23"/>
      <c r="O58" s="26" t="s">
        <v>5738</v>
      </c>
      <c r="P58" s="26"/>
      <c r="Q58" s="22">
        <v>143</v>
      </c>
      <c r="R58" s="24">
        <v>45869</v>
      </c>
      <c r="S58" s="24">
        <v>45874</v>
      </c>
      <c r="T58" s="24"/>
      <c r="U58" s="24"/>
      <c r="V58" s="24">
        <v>45875</v>
      </c>
      <c r="W58" s="22" t="s">
        <v>940</v>
      </c>
      <c r="X58" s="4" t="str">
        <f>IF(Tabela2[[#This Row],[sigla]]="","",VLOOKUP(Tabela2[[#This Row],[sigla]],créditos_base!B:C,2,0))</f>
        <v>RONALDO LUCENA/ARQUIVO DA EDITORA</v>
      </c>
      <c r="Y58" s="23" t="s">
        <v>433</v>
      </c>
      <c r="Z58" s="23" t="str">
        <f>Tabela2[[#This Row],[ilustrador]]</f>
        <v>RONALDO LUCENA/ARQUIVO DA EDITORA</v>
      </c>
      <c r="AA58" s="22">
        <v>14</v>
      </c>
      <c r="AB58" s="20" t="s">
        <v>153</v>
      </c>
      <c r="AC58" s="20" t="s">
        <v>36</v>
      </c>
      <c r="AD58" s="4" t="str">
        <f>"Pitanguá"</f>
        <v>Pitanguá</v>
      </c>
      <c r="AE58" s="14" t="str">
        <f>"Matemática"</f>
        <v>Matemática</v>
      </c>
    </row>
    <row r="59" spans="1:31" s="14" customFormat="1" ht="28.8" x14ac:dyDescent="0.3">
      <c r="A59" s="23" t="s">
        <v>5754</v>
      </c>
      <c r="B59" s="20" t="s">
        <v>16</v>
      </c>
      <c r="C59" s="20" t="s">
        <v>540</v>
      </c>
      <c r="D59" s="20" t="s">
        <v>8</v>
      </c>
      <c r="E59" s="22">
        <v>262</v>
      </c>
      <c r="F59" s="22">
        <v>5</v>
      </c>
      <c r="G59" s="22">
        <v>10</v>
      </c>
      <c r="H59" s="22"/>
      <c r="I59" s="23" t="s">
        <v>33</v>
      </c>
      <c r="J59" s="23"/>
      <c r="K59" s="22"/>
      <c r="L59" s="22"/>
      <c r="M59" s="23"/>
      <c r="N59" s="23"/>
      <c r="O59" s="26" t="s">
        <v>5755</v>
      </c>
      <c r="P59" s="26"/>
      <c r="Q59" s="22">
        <v>144</v>
      </c>
      <c r="R59" s="24">
        <v>45873</v>
      </c>
      <c r="S59" s="24">
        <v>45880</v>
      </c>
      <c r="T59" s="24"/>
      <c r="U59" s="24"/>
      <c r="V59" s="24">
        <v>45882</v>
      </c>
      <c r="W59" s="22" t="s">
        <v>940</v>
      </c>
      <c r="X59" s="4" t="str">
        <f>IF(Tabela2[[#This Row],[sigla]]="","",VLOOKUP(Tabela2[[#This Row],[sigla]],créditos_base!B:C,2,0))</f>
        <v>RONALDO LUCENA/ARQUIVO DA EDITORA</v>
      </c>
      <c r="Y59" s="23" t="s">
        <v>243</v>
      </c>
      <c r="Z59" s="23" t="str">
        <f>Tabela2[[#This Row],[ilustrador]]</f>
        <v>RONALDO LUCENA/ARQUIVO DA EDITORA</v>
      </c>
      <c r="AA59" s="22">
        <v>13</v>
      </c>
      <c r="AB59" s="20" t="s">
        <v>5741</v>
      </c>
      <c r="AC59" s="20" t="s">
        <v>36</v>
      </c>
      <c r="AD59" s="4" t="str">
        <f>"Pitanguá"</f>
        <v>Pitanguá</v>
      </c>
      <c r="AE59" s="14" t="str">
        <f>"Matemática"</f>
        <v>Matemática</v>
      </c>
    </row>
    <row r="60" spans="1:31" s="14" customFormat="1" ht="28.8" x14ac:dyDescent="0.3">
      <c r="A60" s="23" t="s">
        <v>3861</v>
      </c>
      <c r="B60" s="20" t="s">
        <v>16</v>
      </c>
      <c r="C60" s="20" t="s">
        <v>540</v>
      </c>
      <c r="D60" s="20" t="s">
        <v>8</v>
      </c>
      <c r="E60" s="22">
        <v>243</v>
      </c>
      <c r="F60" s="22">
        <v>2</v>
      </c>
      <c r="G60" s="22">
        <v>10</v>
      </c>
      <c r="H60" s="22"/>
      <c r="I60" s="23" t="s">
        <v>90</v>
      </c>
      <c r="J60" s="23"/>
      <c r="K60" s="22"/>
      <c r="L60" s="22"/>
      <c r="M60" s="23"/>
      <c r="N60" s="23"/>
      <c r="O60" s="26" t="s">
        <v>3862</v>
      </c>
      <c r="P60" s="26"/>
      <c r="Q60" s="22">
        <v>56</v>
      </c>
      <c r="R60" s="24">
        <v>45805</v>
      </c>
      <c r="S60" s="24">
        <v>45805</v>
      </c>
      <c r="T60" s="24"/>
      <c r="U60" s="24"/>
      <c r="V60" s="24">
        <v>45806</v>
      </c>
      <c r="W60" s="22" t="s">
        <v>999</v>
      </c>
      <c r="X60" s="4" t="str">
        <f>IF(Tabela2[[#This Row],[sigla]]="","",VLOOKUP(Tabela2[[#This Row],[sigla]],créditos_base!B:C,2,0))</f>
        <v>VINÍCIUS COSTA/ARQUIVO DA EDITORA</v>
      </c>
      <c r="Y60" s="23" t="s">
        <v>188</v>
      </c>
      <c r="Z60" s="23" t="str">
        <f>Tabela2[[#This Row],[ilustrador]]</f>
        <v>VINÍCIUS COSTA/ARQUIVO DA EDITORA</v>
      </c>
      <c r="AA60" s="22">
        <v>12</v>
      </c>
      <c r="AB60" s="20" t="s">
        <v>243</v>
      </c>
      <c r="AC60" s="20" t="s">
        <v>36</v>
      </c>
      <c r="AD60" s="4" t="str">
        <f>"Pitanguá"</f>
        <v>Pitanguá</v>
      </c>
      <c r="AE60" s="14" t="str">
        <f>"Matemática"</f>
        <v>Matemática</v>
      </c>
    </row>
    <row r="61" spans="1:31" s="14" customFormat="1" ht="28.8" x14ac:dyDescent="0.3">
      <c r="A61" s="23" t="s">
        <v>5384</v>
      </c>
      <c r="B61" s="20" t="s">
        <v>16</v>
      </c>
      <c r="C61" s="20" t="s">
        <v>540</v>
      </c>
      <c r="D61" s="20" t="s">
        <v>8</v>
      </c>
      <c r="E61" s="22">
        <v>256</v>
      </c>
      <c r="F61" s="22">
        <v>4</v>
      </c>
      <c r="G61" s="22">
        <v>10</v>
      </c>
      <c r="H61" s="22"/>
      <c r="I61" s="23" t="s">
        <v>33</v>
      </c>
      <c r="J61" s="23"/>
      <c r="K61" s="22"/>
      <c r="L61" s="22"/>
      <c r="M61" s="23"/>
      <c r="N61" s="23"/>
      <c r="O61" s="26" t="s">
        <v>5385</v>
      </c>
      <c r="P61" s="26"/>
      <c r="Q61" s="22">
        <v>125</v>
      </c>
      <c r="R61" s="24">
        <v>45862</v>
      </c>
      <c r="S61" s="24">
        <v>45867</v>
      </c>
      <c r="T61" s="24"/>
      <c r="U61" s="24"/>
      <c r="V61" s="24">
        <v>45867</v>
      </c>
      <c r="W61" s="22" t="s">
        <v>4030</v>
      </c>
      <c r="X61" s="4" t="str">
        <f>IF(Tabela2[[#This Row],[sigla]]="","",VLOOKUP(Tabela2[[#This Row],[sigla]],créditos_base!B:C,2,0))</f>
        <v>GUSTAVO CONTI/ARQUIVO DA EDITORA</v>
      </c>
      <c r="Y61" s="23" t="s">
        <v>1139</v>
      </c>
      <c r="Z61" s="23" t="str">
        <f>Tabela2[[#This Row],[ilustrador]]</f>
        <v>GUSTAVO CONTI/ARQUIVO DA EDITORA</v>
      </c>
      <c r="AA61" s="22">
        <v>13</v>
      </c>
      <c r="AB61" s="20" t="s">
        <v>3532</v>
      </c>
      <c r="AC61" s="20" t="s">
        <v>36</v>
      </c>
      <c r="AD61" s="4" t="str">
        <f>"Pitanguá"</f>
        <v>Pitanguá</v>
      </c>
      <c r="AE61" s="14" t="str">
        <f>"Matemática"</f>
        <v>Matemática</v>
      </c>
    </row>
    <row r="62" spans="1:31" s="14" customFormat="1" ht="28.8" x14ac:dyDescent="0.3">
      <c r="A62" s="23" t="s">
        <v>2707</v>
      </c>
      <c r="B62" s="20" t="s">
        <v>16</v>
      </c>
      <c r="C62" s="20" t="s">
        <v>540</v>
      </c>
      <c r="D62" s="20" t="s">
        <v>8</v>
      </c>
      <c r="E62" s="22">
        <v>242</v>
      </c>
      <c r="F62" s="22">
        <v>1</v>
      </c>
      <c r="G62" s="22">
        <v>10</v>
      </c>
      <c r="H62" s="22"/>
      <c r="I62" s="23" t="s">
        <v>90</v>
      </c>
      <c r="J62" s="23"/>
      <c r="K62" s="22"/>
      <c r="L62" s="22"/>
      <c r="M62" s="23"/>
      <c r="N62" s="23"/>
      <c r="O62" s="26" t="s">
        <v>2708</v>
      </c>
      <c r="P62" s="26"/>
      <c r="Q62" s="22">
        <v>37</v>
      </c>
      <c r="R62" s="24">
        <v>45775</v>
      </c>
      <c r="S62" s="24">
        <v>45776</v>
      </c>
      <c r="T62" s="24"/>
      <c r="U62" s="24"/>
      <c r="V62" s="24">
        <v>45777</v>
      </c>
      <c r="W62" s="22" t="s">
        <v>2675</v>
      </c>
      <c r="X62" s="4" t="str">
        <f>IF(Tabela2[[#This Row],[sigla]]="","",VLOOKUP(Tabela2[[#This Row],[sigla]],créditos_base!B:C,2,0))</f>
        <v>INGRIDHI BORGES/ARQUIVO DA EDITORA</v>
      </c>
      <c r="Y62" s="23" t="s">
        <v>243</v>
      </c>
      <c r="Z62" s="23" t="str">
        <f>Tabela2[[#This Row],[ilustrador]]</f>
        <v>INGRIDHI BORGES/ARQUIVO DA EDITORA</v>
      </c>
      <c r="AA62" s="22">
        <v>12</v>
      </c>
      <c r="AB62" s="20" t="s">
        <v>2058</v>
      </c>
      <c r="AC62" s="20" t="s">
        <v>36</v>
      </c>
      <c r="AD62" s="4" t="str">
        <f>"Pitanguá"</f>
        <v>Pitanguá</v>
      </c>
      <c r="AE62" s="14" t="str">
        <f>"Matemática"</f>
        <v>Matemática</v>
      </c>
    </row>
    <row r="63" spans="1:31" s="14" customFormat="1" ht="28.8" x14ac:dyDescent="0.3">
      <c r="A63" s="23" t="s">
        <v>1136</v>
      </c>
      <c r="B63" s="20" t="s">
        <v>1137</v>
      </c>
      <c r="C63" s="20" t="s">
        <v>89</v>
      </c>
      <c r="D63" s="20" t="s">
        <v>8</v>
      </c>
      <c r="E63" s="22">
        <v>267</v>
      </c>
      <c r="F63" s="22">
        <v>4</v>
      </c>
      <c r="G63" s="22"/>
      <c r="H63" s="27" t="s">
        <v>1102</v>
      </c>
      <c r="I63" s="23" t="s">
        <v>33</v>
      </c>
      <c r="J63" s="23"/>
      <c r="K63" s="22"/>
      <c r="L63" s="22"/>
      <c r="M63" s="23"/>
      <c r="N63" s="23"/>
      <c r="O63" s="26" t="s">
        <v>1138</v>
      </c>
      <c r="P63" s="26"/>
      <c r="Q63" s="22">
        <v>193</v>
      </c>
      <c r="R63" s="24">
        <v>45913</v>
      </c>
      <c r="S63" s="24">
        <v>45913</v>
      </c>
      <c r="T63" s="24"/>
      <c r="U63" s="24"/>
      <c r="V63" s="24">
        <v>45913</v>
      </c>
      <c r="W63" s="22" t="s">
        <v>940</v>
      </c>
      <c r="X63" s="4" t="str">
        <f>IF(Tabela2[[#This Row],[sigla]]="","",VLOOKUP(Tabela2[[#This Row],[sigla]],créditos_base!B:C,2,0))</f>
        <v>RONALDO LUCENA/ARQUIVO DA EDITORA</v>
      </c>
      <c r="Y63" s="23" t="s">
        <v>1139</v>
      </c>
      <c r="Z63" s="23" t="str">
        <f>Tabela2[[#This Row],[ilustrador]]</f>
        <v>RONALDO LUCENA/ARQUIVO DA EDITORA</v>
      </c>
      <c r="AA63" s="22">
        <v>13</v>
      </c>
      <c r="AB63" s="20" t="s">
        <v>954</v>
      </c>
      <c r="AC63" s="20" t="s">
        <v>36</v>
      </c>
      <c r="AD63" s="4" t="str">
        <f>"Pitanguá"</f>
        <v>Pitanguá</v>
      </c>
      <c r="AE63" s="14" t="str">
        <f>"Matemática"</f>
        <v>Matemática</v>
      </c>
    </row>
    <row r="64" spans="1:31" s="14" customFormat="1" ht="28.8" x14ac:dyDescent="0.3">
      <c r="A64" s="23" t="s">
        <v>909</v>
      </c>
      <c r="B64" s="20" t="s">
        <v>16</v>
      </c>
      <c r="C64" s="20" t="s">
        <v>7</v>
      </c>
      <c r="D64" s="20" t="s">
        <v>8</v>
      </c>
      <c r="E64" s="22">
        <v>253</v>
      </c>
      <c r="F64" s="22">
        <v>1</v>
      </c>
      <c r="G64" s="22"/>
      <c r="H64" s="22" t="s">
        <v>819</v>
      </c>
      <c r="I64" s="23" t="s">
        <v>9</v>
      </c>
      <c r="J64" s="23"/>
      <c r="K64" s="22"/>
      <c r="L64" s="22"/>
      <c r="M64" s="23"/>
      <c r="N64" s="23"/>
      <c r="O64" s="26" t="s">
        <v>910</v>
      </c>
      <c r="P64" s="26"/>
      <c r="Q64" s="22"/>
      <c r="R64" s="24"/>
      <c r="S64" s="24"/>
      <c r="T64" s="24"/>
      <c r="U64" s="24"/>
      <c r="V64" s="24"/>
      <c r="W64" s="22" t="s">
        <v>133</v>
      </c>
      <c r="X64" s="4" t="str">
        <f>IF(Tabela2[[#This Row],[sigla]]="","",VLOOKUP(Tabela2[[#This Row],[sigla]],créditos_base!B:C,2,0))</f>
        <v>JANAINA OLIVEIRA/ARQUIVO DA EDITORA</v>
      </c>
      <c r="Y64" s="23"/>
      <c r="Z64" s="23" t="str">
        <f>Tabela2[[#This Row],[ilustrador]]</f>
        <v>JANAINA OLIVEIRA/ARQUIVO DA EDITORA</v>
      </c>
      <c r="AA64" s="22"/>
      <c r="AB64" s="20"/>
      <c r="AC64" s="20"/>
      <c r="AD64" s="4" t="str">
        <f>"Pitanguá"</f>
        <v>Pitanguá</v>
      </c>
      <c r="AE64" s="14" t="str">
        <f>"Matemática"</f>
        <v>Matemática</v>
      </c>
    </row>
    <row r="65" spans="1:31" s="14" customFormat="1" x14ac:dyDescent="0.3">
      <c r="A65" s="23" t="s">
        <v>5822</v>
      </c>
      <c r="B65" s="20" t="s">
        <v>16</v>
      </c>
      <c r="C65" s="20" t="s">
        <v>540</v>
      </c>
      <c r="D65" s="20" t="s">
        <v>8</v>
      </c>
      <c r="E65" s="22">
        <v>278</v>
      </c>
      <c r="F65" s="22">
        <v>5</v>
      </c>
      <c r="G65" s="22"/>
      <c r="H65" s="27" t="s">
        <v>1102</v>
      </c>
      <c r="I65" s="23" t="s">
        <v>33</v>
      </c>
      <c r="J65" s="23"/>
      <c r="K65" s="22"/>
      <c r="L65" s="22"/>
      <c r="M65" s="23"/>
      <c r="N65" s="23"/>
      <c r="O65" s="26" t="s">
        <v>5823</v>
      </c>
      <c r="P65" s="26"/>
      <c r="Q65" s="22">
        <v>207</v>
      </c>
      <c r="R65" s="24">
        <v>45926</v>
      </c>
      <c r="S65" s="24">
        <v>45926</v>
      </c>
      <c r="T65" s="24"/>
      <c r="U65" s="24"/>
      <c r="V65" s="24">
        <v>45926</v>
      </c>
      <c r="W65" s="22" t="s">
        <v>940</v>
      </c>
      <c r="X65" s="4" t="str">
        <f>IF(Tabela2[[#This Row],[sigla]]="","",VLOOKUP(Tabela2[[#This Row],[sigla]],créditos_base!B:C,2,0))</f>
        <v>RONALDO LUCENA/ARQUIVO DA EDITORA</v>
      </c>
      <c r="Y65" s="23" t="s">
        <v>696</v>
      </c>
      <c r="Z65" s="23" t="str">
        <f>Tabela2[[#This Row],[ilustrador]]</f>
        <v>RONALDO LUCENA/ARQUIVO DA EDITORA</v>
      </c>
      <c r="AA65" s="22">
        <v>13</v>
      </c>
      <c r="AB65" s="20" t="s">
        <v>41</v>
      </c>
      <c r="AC65" s="20"/>
      <c r="AD65" s="4" t="str">
        <f>"Pitanguá"</f>
        <v>Pitanguá</v>
      </c>
      <c r="AE65" s="14" t="str">
        <f>"Matemática"</f>
        <v>Matemática</v>
      </c>
    </row>
    <row r="66" spans="1:31" s="14" customFormat="1" x14ac:dyDescent="0.3">
      <c r="A66" s="23" t="s">
        <v>5824</v>
      </c>
      <c r="B66" s="20" t="s">
        <v>16</v>
      </c>
      <c r="C66" s="20" t="s">
        <v>540</v>
      </c>
      <c r="D66" s="20" t="s">
        <v>8</v>
      </c>
      <c r="E66" s="22">
        <v>278</v>
      </c>
      <c r="F66" s="22">
        <v>5</v>
      </c>
      <c r="G66" s="22"/>
      <c r="H66" s="27" t="s">
        <v>1102</v>
      </c>
      <c r="I66" s="23" t="s">
        <v>33</v>
      </c>
      <c r="J66" s="23"/>
      <c r="K66" s="22"/>
      <c r="L66" s="22"/>
      <c r="M66" s="23"/>
      <c r="N66" s="23"/>
      <c r="O66" s="26" t="s">
        <v>5825</v>
      </c>
      <c r="P66" s="26"/>
      <c r="Q66" s="22">
        <v>207</v>
      </c>
      <c r="R66" s="24">
        <v>45926</v>
      </c>
      <c r="S66" s="24">
        <v>45926</v>
      </c>
      <c r="T66" s="24"/>
      <c r="U66" s="24"/>
      <c r="V66" s="24">
        <v>45926</v>
      </c>
      <c r="W66" s="22" t="s">
        <v>940</v>
      </c>
      <c r="X66" s="4" t="str">
        <f>IF(Tabela2[[#This Row],[sigla]]="","",VLOOKUP(Tabela2[[#This Row],[sigla]],créditos_base!B:C,2,0))</f>
        <v>RONALDO LUCENA/ARQUIVO DA EDITORA</v>
      </c>
      <c r="Y66" s="23" t="s">
        <v>696</v>
      </c>
      <c r="Z66" s="23" t="str">
        <f>Tabela2[[#This Row],[ilustrador]]</f>
        <v>RONALDO LUCENA/ARQUIVO DA EDITORA</v>
      </c>
      <c r="AA66" s="22">
        <v>13</v>
      </c>
      <c r="AB66" s="20" t="s">
        <v>41</v>
      </c>
      <c r="AC66" s="20"/>
      <c r="AD66" s="4" t="str">
        <f>"Pitanguá"</f>
        <v>Pitanguá</v>
      </c>
      <c r="AE66" s="14" t="str">
        <f>"Matemática"</f>
        <v>Matemática</v>
      </c>
    </row>
    <row r="67" spans="1:31" s="14" customFormat="1" x14ac:dyDescent="0.3">
      <c r="A67" s="23" t="s">
        <v>3335</v>
      </c>
      <c r="B67" s="20" t="s">
        <v>16</v>
      </c>
      <c r="C67" s="20" t="s">
        <v>540</v>
      </c>
      <c r="D67" s="20" t="s">
        <v>8</v>
      </c>
      <c r="E67" s="22">
        <v>17</v>
      </c>
      <c r="F67" s="22">
        <v>3</v>
      </c>
      <c r="G67" s="22" t="s">
        <v>3309</v>
      </c>
      <c r="H67" s="22"/>
      <c r="I67" s="23" t="s">
        <v>33</v>
      </c>
      <c r="J67" s="23"/>
      <c r="K67" s="22"/>
      <c r="L67" s="22"/>
      <c r="M67" s="23"/>
      <c r="N67" s="23"/>
      <c r="O67" s="26" t="s">
        <v>3336</v>
      </c>
      <c r="P67" s="26"/>
      <c r="Q67" s="22">
        <v>47</v>
      </c>
      <c r="R67" s="24">
        <v>45797</v>
      </c>
      <c r="S67" s="24">
        <v>45797</v>
      </c>
      <c r="T67" s="24"/>
      <c r="U67" s="24"/>
      <c r="V67" s="24">
        <v>45797</v>
      </c>
      <c r="W67" s="22" t="s">
        <v>763</v>
      </c>
      <c r="X67" s="4" t="str">
        <f>IF(Tabela2[[#This Row],[sigla]]="","",VLOOKUP(Tabela2[[#This Row],[sigla]],créditos_base!B:C,2,0))</f>
        <v>RAFAELA PANISSA/ARQUIVO DA EDITORA</v>
      </c>
      <c r="Y67" s="23" t="s">
        <v>188</v>
      </c>
      <c r="Z67" s="23" t="str">
        <f>Tabela2[[#This Row],[ilustrador]]</f>
        <v>RAFAELA PANISSA/ARQUIVO DA EDITORA</v>
      </c>
      <c r="AA67" s="22">
        <v>14</v>
      </c>
      <c r="AB67" s="20" t="s">
        <v>153</v>
      </c>
      <c r="AC67" s="20" t="s">
        <v>36</v>
      </c>
      <c r="AD67" s="4" t="str">
        <f>"Pitanguá"</f>
        <v>Pitanguá</v>
      </c>
      <c r="AE67" s="14" t="str">
        <f>"Matemática"</f>
        <v>Matemática</v>
      </c>
    </row>
    <row r="68" spans="1:31" s="14" customFormat="1" ht="28.8" x14ac:dyDescent="0.3">
      <c r="A68" s="23" t="s">
        <v>5943</v>
      </c>
      <c r="B68" s="20" t="s">
        <v>16</v>
      </c>
      <c r="C68" s="20" t="s">
        <v>540</v>
      </c>
      <c r="D68" s="20" t="s">
        <v>1229</v>
      </c>
      <c r="E68" s="22"/>
      <c r="F68" s="22">
        <v>5</v>
      </c>
      <c r="G68" s="22"/>
      <c r="H68" s="27" t="s">
        <v>2654</v>
      </c>
      <c r="I68" s="23" t="s">
        <v>90</v>
      </c>
      <c r="J68" s="23"/>
      <c r="K68" s="22"/>
      <c r="L68" s="22"/>
      <c r="M68" s="23"/>
      <c r="N68" s="23"/>
      <c r="O68" s="26" t="s">
        <v>5944</v>
      </c>
      <c r="P68" s="26"/>
      <c r="Q68" s="22">
        <v>177</v>
      </c>
      <c r="R68" s="24">
        <v>45903</v>
      </c>
      <c r="S68" s="24">
        <v>45903</v>
      </c>
      <c r="T68" s="24"/>
      <c r="U68" s="24"/>
      <c r="V68" s="24">
        <v>45904</v>
      </c>
      <c r="W68" s="22" t="s">
        <v>5942</v>
      </c>
      <c r="X68" s="4" t="str">
        <f>IF(Tabela2[[#This Row],[sigla]]="","",VLOOKUP(Tabela2[[#This Row],[sigla]],créditos_base!B:C,2,0))</f>
        <v>GABRIELLA IMAI/ARQUIVO DA EDITORA</v>
      </c>
      <c r="Y68" s="23"/>
      <c r="Z68" s="23" t="str">
        <f>Tabela2[[#This Row],[ilustrador]]</f>
        <v>GABRIELLA IMAI/ARQUIVO DA EDITORA</v>
      </c>
      <c r="AA68" s="22">
        <v>12</v>
      </c>
      <c r="AB68" s="20" t="s">
        <v>2216</v>
      </c>
      <c r="AC68" s="20" t="s">
        <v>36</v>
      </c>
      <c r="AD68" s="4" t="str">
        <f>"Pitanguá"</f>
        <v>Pitanguá</v>
      </c>
      <c r="AE68" s="14" t="str">
        <f>"Matemática"</f>
        <v>Matemática</v>
      </c>
    </row>
    <row r="69" spans="1:31" s="14" customFormat="1" x14ac:dyDescent="0.3">
      <c r="A69" s="23" t="s">
        <v>5940</v>
      </c>
      <c r="B69" s="20" t="s">
        <v>16</v>
      </c>
      <c r="C69" s="20" t="s">
        <v>540</v>
      </c>
      <c r="D69" s="20" t="s">
        <v>1229</v>
      </c>
      <c r="E69" s="22"/>
      <c r="F69" s="22">
        <v>5</v>
      </c>
      <c r="G69" s="22">
        <v>1</v>
      </c>
      <c r="H69" s="22"/>
      <c r="I69" s="23" t="s">
        <v>90</v>
      </c>
      <c r="J69" s="23"/>
      <c r="K69" s="22"/>
      <c r="L69" s="22"/>
      <c r="M69" s="23"/>
      <c r="N69" s="23"/>
      <c r="O69" s="26" t="s">
        <v>5941</v>
      </c>
      <c r="P69" s="26"/>
      <c r="Q69" s="22">
        <v>177</v>
      </c>
      <c r="R69" s="24">
        <v>45903</v>
      </c>
      <c r="S69" s="24">
        <v>45903</v>
      </c>
      <c r="T69" s="24"/>
      <c r="U69" s="24"/>
      <c r="V69" s="24">
        <v>45904</v>
      </c>
      <c r="W69" s="22" t="s">
        <v>5942</v>
      </c>
      <c r="X69" s="4" t="str">
        <f>IF(Tabela2[[#This Row],[sigla]]="","",VLOOKUP(Tabela2[[#This Row],[sigla]],créditos_base!B:C,2,0))</f>
        <v>GABRIELLA IMAI/ARQUIVO DA EDITORA</v>
      </c>
      <c r="Y69" s="23"/>
      <c r="Z69" s="23" t="str">
        <f>Tabela2[[#This Row],[ilustrador]]</f>
        <v>GABRIELLA IMAI/ARQUIVO DA EDITORA</v>
      </c>
      <c r="AA69" s="22">
        <v>12</v>
      </c>
      <c r="AB69" s="20" t="s">
        <v>2216</v>
      </c>
      <c r="AC69" s="20" t="s">
        <v>36</v>
      </c>
      <c r="AD69" s="4" t="str">
        <f>"Pitanguá"</f>
        <v>Pitanguá</v>
      </c>
      <c r="AE69" s="14" t="str">
        <f>"Matemática"</f>
        <v>Matemática</v>
      </c>
    </row>
    <row r="70" spans="1:31" s="14" customFormat="1" x14ac:dyDescent="0.3">
      <c r="A70" s="23" t="s">
        <v>5229</v>
      </c>
      <c r="B70" s="20" t="s">
        <v>522</v>
      </c>
      <c r="C70" s="20" t="s">
        <v>540</v>
      </c>
      <c r="D70" s="20" t="s">
        <v>1229</v>
      </c>
      <c r="E70" s="22">
        <v>90</v>
      </c>
      <c r="F70" s="22">
        <v>5</v>
      </c>
      <c r="G70" s="22">
        <v>4</v>
      </c>
      <c r="H70" s="22"/>
      <c r="I70" s="23" t="s">
        <v>90</v>
      </c>
      <c r="J70" s="23"/>
      <c r="K70" s="22"/>
      <c r="L70" s="22"/>
      <c r="M70" s="23"/>
      <c r="N70" s="23"/>
      <c r="O70" s="26" t="s">
        <v>5230</v>
      </c>
      <c r="P70" s="26"/>
      <c r="Q70" s="22">
        <v>197</v>
      </c>
      <c r="R70" s="24">
        <v>45922</v>
      </c>
      <c r="S70" s="24">
        <v>45922</v>
      </c>
      <c r="T70" s="24"/>
      <c r="U70" s="24"/>
      <c r="V70" s="24">
        <v>45922</v>
      </c>
      <c r="W70" s="22" t="s">
        <v>763</v>
      </c>
      <c r="X70" s="4" t="str">
        <f>IF(Tabela2[[#This Row],[sigla]]="","",VLOOKUP(Tabela2[[#This Row],[sigla]],créditos_base!B:C,2,0))</f>
        <v>RAFAELA PANISSA/ARQUIVO DA EDITORA</v>
      </c>
      <c r="Y70" s="23"/>
      <c r="Z70" s="23" t="str">
        <f>Tabela2[[#This Row],[ilustrador]]</f>
        <v>RAFAELA PANISSA/ARQUIVO DA EDITORA</v>
      </c>
      <c r="AA70" s="22">
        <v>12</v>
      </c>
      <c r="AB70" s="20" t="s">
        <v>243</v>
      </c>
      <c r="AC70" s="20" t="s">
        <v>36</v>
      </c>
      <c r="AD70" s="4" t="str">
        <f>"Pitanguá"</f>
        <v>Pitanguá</v>
      </c>
      <c r="AE70" s="14" t="str">
        <f>"Matemática"</f>
        <v>Matemática</v>
      </c>
    </row>
    <row r="71" spans="1:31" s="14" customFormat="1" ht="57.6" x14ac:dyDescent="0.3">
      <c r="A71" s="23" t="s">
        <v>5315</v>
      </c>
      <c r="B71" s="20" t="s">
        <v>16</v>
      </c>
      <c r="C71" s="20" t="s">
        <v>540</v>
      </c>
      <c r="D71" s="20" t="s">
        <v>1229</v>
      </c>
      <c r="E71" s="22">
        <v>141</v>
      </c>
      <c r="F71" s="22">
        <v>2</v>
      </c>
      <c r="G71" s="22">
        <v>5</v>
      </c>
      <c r="H71" s="22"/>
      <c r="I71" s="23" t="s">
        <v>33</v>
      </c>
      <c r="J71" s="23"/>
      <c r="K71" s="22"/>
      <c r="L71" s="22"/>
      <c r="M71" s="23"/>
      <c r="N71" s="23"/>
      <c r="O71" s="26" t="s">
        <v>5316</v>
      </c>
      <c r="P71" s="26"/>
      <c r="Q71" s="22">
        <v>120</v>
      </c>
      <c r="R71" s="24">
        <v>45860</v>
      </c>
      <c r="S71" s="24">
        <v>45861</v>
      </c>
      <c r="T71" s="24"/>
      <c r="U71" s="24"/>
      <c r="V71" s="24">
        <v>45861</v>
      </c>
      <c r="W71" s="22" t="s">
        <v>160</v>
      </c>
      <c r="X71" s="4" t="str">
        <f>IF(Tabela2[[#This Row],[sigla]]="","",VLOOKUP(Tabela2[[#This Row],[sigla]],créditos_base!B:C,2,0))</f>
        <v>SERGIO LIMA/ARQUIVO DA EDITORA</v>
      </c>
      <c r="Y71" s="23" t="s">
        <v>2951</v>
      </c>
      <c r="Z71" s="23" t="str">
        <f>Tabela2[[#This Row],[ilustrador]]</f>
        <v>SERGIO LIMA/ARQUIVO DA EDITORA</v>
      </c>
      <c r="AA71" s="22">
        <v>14</v>
      </c>
      <c r="AB71" s="20" t="s">
        <v>1500</v>
      </c>
      <c r="AC71" s="20" t="s">
        <v>36</v>
      </c>
      <c r="AD71" s="4" t="str">
        <f>"Pitanguá"</f>
        <v>Pitanguá</v>
      </c>
      <c r="AE71" s="14" t="str">
        <f>"Matemática"</f>
        <v>Matemática</v>
      </c>
    </row>
    <row r="72" spans="1:31" s="14" customFormat="1" x14ac:dyDescent="0.3">
      <c r="A72" s="23" t="s">
        <v>5947</v>
      </c>
      <c r="B72" s="20" t="s">
        <v>16</v>
      </c>
      <c r="C72" s="20" t="s">
        <v>540</v>
      </c>
      <c r="D72" s="20" t="s">
        <v>1229</v>
      </c>
      <c r="E72" s="22">
        <v>267</v>
      </c>
      <c r="F72" s="22">
        <v>3</v>
      </c>
      <c r="G72" s="22"/>
      <c r="H72" s="27" t="s">
        <v>2667</v>
      </c>
      <c r="I72" s="23" t="s">
        <v>90</v>
      </c>
      <c r="J72" s="23"/>
      <c r="K72" s="22"/>
      <c r="L72" s="22"/>
      <c r="M72" s="23"/>
      <c r="N72" s="23"/>
      <c r="O72" s="26" t="s">
        <v>5948</v>
      </c>
      <c r="P72" s="26"/>
      <c r="Q72" s="22">
        <v>178</v>
      </c>
      <c r="R72" s="24">
        <v>45904</v>
      </c>
      <c r="S72" s="24">
        <v>45905</v>
      </c>
      <c r="T72" s="24"/>
      <c r="U72" s="24"/>
      <c r="V72" s="24">
        <v>45905</v>
      </c>
      <c r="W72" s="22" t="s">
        <v>999</v>
      </c>
      <c r="X72" s="4" t="str">
        <f>IF(Tabela2[[#This Row],[sigla]]="","",VLOOKUP(Tabela2[[#This Row],[sigla]],créditos_base!B:C,2,0))</f>
        <v>VINÍCIUS COSTA/ARQUIVO DA EDITORA</v>
      </c>
      <c r="Y72" s="23"/>
      <c r="Z72" s="23" t="str">
        <f>Tabela2[[#This Row],[ilustrador]]</f>
        <v>VINÍCIUS COSTA/ARQUIVO DA EDITORA</v>
      </c>
      <c r="AA72" s="22">
        <v>12</v>
      </c>
      <c r="AB72" s="20" t="s">
        <v>954</v>
      </c>
      <c r="AC72" s="20" t="s">
        <v>36</v>
      </c>
      <c r="AD72" s="4" t="str">
        <f>"Pitanguá"</f>
        <v>Pitanguá</v>
      </c>
      <c r="AE72" s="14" t="str">
        <f>"Matemática"</f>
        <v>Matemática</v>
      </c>
    </row>
    <row r="73" spans="1:31" s="14" customFormat="1" x14ac:dyDescent="0.3">
      <c r="A73" s="23" t="s">
        <v>911</v>
      </c>
      <c r="B73" s="20" t="s">
        <v>16</v>
      </c>
      <c r="C73" s="20" t="s">
        <v>89</v>
      </c>
      <c r="D73" s="20" t="s">
        <v>8</v>
      </c>
      <c r="E73" s="22">
        <v>12</v>
      </c>
      <c r="F73" s="22">
        <v>4</v>
      </c>
      <c r="G73" s="22"/>
      <c r="H73" s="22" t="s">
        <v>736</v>
      </c>
      <c r="I73" s="23" t="s">
        <v>33</v>
      </c>
      <c r="J73" s="23"/>
      <c r="K73" s="22"/>
      <c r="L73" s="22"/>
      <c r="M73" s="23"/>
      <c r="N73" s="23"/>
      <c r="O73" s="26" t="s">
        <v>912</v>
      </c>
      <c r="P73" s="26"/>
      <c r="Q73" s="22">
        <v>9</v>
      </c>
      <c r="R73" s="24">
        <v>45733</v>
      </c>
      <c r="S73" s="24">
        <v>45736</v>
      </c>
      <c r="T73" s="24"/>
      <c r="U73" s="24"/>
      <c r="V73" s="24">
        <v>45736</v>
      </c>
      <c r="W73" s="22" t="s">
        <v>160</v>
      </c>
      <c r="X73" s="4" t="str">
        <f>IF(Tabela2[[#This Row],[sigla]]="","",VLOOKUP(Tabela2[[#This Row],[sigla]],créditos_base!B:C,2,0))</f>
        <v>SERGIO LIMA/ARQUIVO DA EDITORA</v>
      </c>
      <c r="Y73" s="23" t="s">
        <v>152</v>
      </c>
      <c r="Z73" s="23" t="str">
        <f>Tabela2[[#This Row],[ilustrador]]</f>
        <v>SERGIO LIMA/ARQUIVO DA EDITORA</v>
      </c>
      <c r="AA73" s="22">
        <v>13</v>
      </c>
      <c r="AB73" s="20"/>
      <c r="AC73" s="20"/>
      <c r="AD73" s="4" t="str">
        <f>"Pitanguá"</f>
        <v>Pitanguá</v>
      </c>
      <c r="AE73" s="14" t="str">
        <f>"Matemática"</f>
        <v>Matemática</v>
      </c>
    </row>
    <row r="74" spans="1:31" s="14" customFormat="1" x14ac:dyDescent="0.3">
      <c r="A74" s="23" t="s">
        <v>1984</v>
      </c>
      <c r="B74" s="20" t="s">
        <v>16</v>
      </c>
      <c r="C74" s="20" t="s">
        <v>7</v>
      </c>
      <c r="D74" s="20" t="s">
        <v>8</v>
      </c>
      <c r="E74" s="22">
        <v>20</v>
      </c>
      <c r="F74" s="22">
        <v>1</v>
      </c>
      <c r="G74" s="22">
        <v>1</v>
      </c>
      <c r="H74" s="22"/>
      <c r="I74" s="23" t="s">
        <v>33</v>
      </c>
      <c r="J74" s="23"/>
      <c r="K74" s="22"/>
      <c r="L74" s="22"/>
      <c r="M74" s="23"/>
      <c r="N74" s="23"/>
      <c r="O74" s="26" t="s">
        <v>1985</v>
      </c>
      <c r="P74" s="26"/>
      <c r="Q74" s="22">
        <v>25</v>
      </c>
      <c r="R74" s="24">
        <v>45751</v>
      </c>
      <c r="S74" s="24">
        <v>45751</v>
      </c>
      <c r="T74" s="24"/>
      <c r="U74" s="24"/>
      <c r="V74" s="24">
        <v>45754</v>
      </c>
      <c r="W74" s="22" t="s">
        <v>12</v>
      </c>
      <c r="X74" s="4" t="str">
        <f>IF(Tabela2[[#This Row],[sigla]]="","",VLOOKUP(Tabela2[[#This Row],[sigla]],créditos_base!B:C,2,0))</f>
        <v>JORGE ZAIBA/ARQUIVO DA EDITORA</v>
      </c>
      <c r="Y74" s="23" t="s">
        <v>13</v>
      </c>
      <c r="Z74" s="23" t="str">
        <f>Tabela2[[#This Row],[ilustrador]]</f>
        <v>JORGE ZAIBA/ARQUIVO DA EDITORA</v>
      </c>
      <c r="AA74" s="22">
        <v>13</v>
      </c>
      <c r="AB74" s="20" t="s">
        <v>41</v>
      </c>
      <c r="AC74" s="20" t="s">
        <v>36</v>
      </c>
      <c r="AD74" s="4" t="str">
        <f>"Pitanguá"</f>
        <v>Pitanguá</v>
      </c>
      <c r="AE74" s="14" t="str">
        <f>"Matemática"</f>
        <v>Matemática</v>
      </c>
    </row>
    <row r="75" spans="1:31" s="14" customFormat="1" x14ac:dyDescent="0.3">
      <c r="A75" s="30" t="s">
        <v>1783</v>
      </c>
      <c r="B75" s="20" t="s">
        <v>16</v>
      </c>
      <c r="C75" s="20" t="s">
        <v>7</v>
      </c>
      <c r="D75" s="20" t="s">
        <v>8</v>
      </c>
      <c r="E75" s="22">
        <v>12</v>
      </c>
      <c r="F75" s="22">
        <v>3</v>
      </c>
      <c r="G75" s="22">
        <v>1</v>
      </c>
      <c r="H75" s="22"/>
      <c r="I75" s="23" t="s">
        <v>33</v>
      </c>
      <c r="J75" s="23"/>
      <c r="K75" s="22"/>
      <c r="L75" s="22"/>
      <c r="M75" s="23"/>
      <c r="N75" s="23"/>
      <c r="O75" s="26" t="s">
        <v>1784</v>
      </c>
      <c r="P75" s="26"/>
      <c r="Q75" s="22">
        <v>78</v>
      </c>
      <c r="R75" s="24">
        <v>45820</v>
      </c>
      <c r="S75" s="24"/>
      <c r="T75" s="24"/>
      <c r="U75" s="24"/>
      <c r="V75" s="24">
        <v>45750</v>
      </c>
      <c r="W75" s="22" t="s">
        <v>1785</v>
      </c>
      <c r="X75" s="4" t="str">
        <f>IF(Tabela2[[#This Row],[sigla]]="","",VLOOKUP(Tabela2[[#This Row],[sigla]],créditos_base!B:C,2,0))</f>
        <v>CAUÊ ZUNCHINI/ARQUIVO DA EDITORA</v>
      </c>
      <c r="Y75" s="23" t="s">
        <v>152</v>
      </c>
      <c r="Z75" s="23" t="str">
        <f>Tabela2[[#This Row],[ilustrador]]</f>
        <v>CAUÊ ZUNCHINI/ARQUIVO DA EDITORA</v>
      </c>
      <c r="AA75" s="22">
        <v>13</v>
      </c>
      <c r="AB75" s="20" t="s">
        <v>41</v>
      </c>
      <c r="AC75" s="20" t="s">
        <v>36</v>
      </c>
      <c r="AD75" s="4" t="str">
        <f>"Pitanguá"</f>
        <v>Pitanguá</v>
      </c>
      <c r="AE75" s="14" t="str">
        <f>"Matemática"</f>
        <v>Matemática</v>
      </c>
    </row>
    <row r="76" spans="1:31" s="14" customFormat="1" ht="28.8" x14ac:dyDescent="0.3">
      <c r="A76" s="23" t="s">
        <v>913</v>
      </c>
      <c r="B76" s="20" t="s">
        <v>16</v>
      </c>
      <c r="C76" s="20" t="s">
        <v>89</v>
      </c>
      <c r="D76" s="20" t="s">
        <v>8</v>
      </c>
      <c r="E76" s="22">
        <v>12</v>
      </c>
      <c r="F76" s="22">
        <v>4</v>
      </c>
      <c r="G76" s="22"/>
      <c r="H76" s="22" t="s">
        <v>736</v>
      </c>
      <c r="I76" s="23" t="s">
        <v>9</v>
      </c>
      <c r="J76" s="23"/>
      <c r="K76" s="22"/>
      <c r="L76" s="22"/>
      <c r="M76" s="23"/>
      <c r="N76" s="23"/>
      <c r="O76" s="26" t="s">
        <v>914</v>
      </c>
      <c r="P76" s="26"/>
      <c r="Q76" s="22"/>
      <c r="R76" s="24"/>
      <c r="S76" s="24"/>
      <c r="T76" s="24"/>
      <c r="U76" s="24"/>
      <c r="V76" s="24"/>
      <c r="W76" s="22" t="s">
        <v>160</v>
      </c>
      <c r="X76" s="4" t="str">
        <f>IF(Tabela2[[#This Row],[sigla]]="","",VLOOKUP(Tabela2[[#This Row],[sigla]],créditos_base!B:C,2,0))</f>
        <v>SERGIO LIMA/ARQUIVO DA EDITORA</v>
      </c>
      <c r="Y76" s="23"/>
      <c r="Z76" s="23" t="str">
        <f>Tabela2[[#This Row],[ilustrador]]</f>
        <v>SERGIO LIMA/ARQUIVO DA EDITORA</v>
      </c>
      <c r="AA76" s="22"/>
      <c r="AB76" s="20"/>
      <c r="AC76" s="20"/>
      <c r="AD76" s="4" t="str">
        <f>"Pitanguá"</f>
        <v>Pitanguá</v>
      </c>
      <c r="AE76" s="14" t="str">
        <f>"Matemática"</f>
        <v>Matemática</v>
      </c>
    </row>
    <row r="77" spans="1:31" s="14" customFormat="1" ht="28.8" x14ac:dyDescent="0.3">
      <c r="A77" s="23" t="s">
        <v>5</v>
      </c>
      <c r="B77" s="20" t="s">
        <v>6</v>
      </c>
      <c r="C77" s="20" t="s">
        <v>7</v>
      </c>
      <c r="D77" s="20" t="s">
        <v>8</v>
      </c>
      <c r="E77" s="22">
        <v>13</v>
      </c>
      <c r="F77" s="22">
        <v>1</v>
      </c>
      <c r="G77" s="22">
        <v>1</v>
      </c>
      <c r="H77" s="22"/>
      <c r="I77" s="23" t="s">
        <v>9</v>
      </c>
      <c r="J77" s="23"/>
      <c r="K77" s="22"/>
      <c r="L77" s="22"/>
      <c r="M77" s="23"/>
      <c r="N77" s="23"/>
      <c r="O77" s="26" t="s">
        <v>10</v>
      </c>
      <c r="P77" s="26" t="s">
        <v>11</v>
      </c>
      <c r="Q77" s="22"/>
      <c r="R77" s="24"/>
      <c r="S77" s="24">
        <v>45722</v>
      </c>
      <c r="T77" s="24"/>
      <c r="U77" s="24"/>
      <c r="V77" s="24"/>
      <c r="W77" s="22" t="s">
        <v>12</v>
      </c>
      <c r="X77" s="4" t="str">
        <f>IF(Tabela2[[#This Row],[sigla]]="","",VLOOKUP(Tabela2[[#This Row],[sigla]],créditos_base!B:C,2,0))</f>
        <v>JORGE ZAIBA/ARQUIVO DA EDITORA</v>
      </c>
      <c r="Y77" s="23" t="s">
        <v>13</v>
      </c>
      <c r="Z77" s="23" t="str">
        <f>Tabela2[[#This Row],[ilustrador]]</f>
        <v>JORGE ZAIBA/ARQUIVO DA EDITORA</v>
      </c>
      <c r="AA77" s="22">
        <v>14</v>
      </c>
      <c r="AB77" s="20"/>
      <c r="AC77" s="20" t="s">
        <v>14</v>
      </c>
      <c r="AD77" s="4" t="str">
        <f>"Pitanguá"</f>
        <v>Pitanguá</v>
      </c>
      <c r="AE77" s="14" t="str">
        <f>"Matemática"</f>
        <v>Matemática</v>
      </c>
    </row>
    <row r="78" spans="1:31" s="14" customFormat="1" ht="28.8" x14ac:dyDescent="0.3">
      <c r="A78" s="23" t="s">
        <v>1079</v>
      </c>
      <c r="B78" s="20" t="s">
        <v>16</v>
      </c>
      <c r="C78" s="20" t="s">
        <v>7</v>
      </c>
      <c r="D78" s="20" t="s">
        <v>8</v>
      </c>
      <c r="E78" s="22"/>
      <c r="F78" s="22">
        <v>2</v>
      </c>
      <c r="G78" s="22">
        <v>1</v>
      </c>
      <c r="H78" s="22"/>
      <c r="I78" s="23" t="s">
        <v>9</v>
      </c>
      <c r="J78" s="23"/>
      <c r="K78" s="22"/>
      <c r="L78" s="22"/>
      <c r="M78" s="23"/>
      <c r="N78" s="23"/>
      <c r="O78" s="26" t="s">
        <v>1080</v>
      </c>
      <c r="P78" s="26"/>
      <c r="Q78" s="22"/>
      <c r="R78" s="24"/>
      <c r="S78" s="24"/>
      <c r="T78" s="24"/>
      <c r="U78" s="24"/>
      <c r="V78" s="24"/>
      <c r="W78" s="22" t="s">
        <v>546</v>
      </c>
      <c r="X78" s="4" t="str">
        <f>IF(Tabela2[[#This Row],[sigla]]="","",VLOOKUP(Tabela2[[#This Row],[sigla]],créditos_base!B:C,2,0))</f>
        <v>GUILHERME ARANEGA/ARQUIVO DA EDITORA</v>
      </c>
      <c r="Y78" s="23"/>
      <c r="Z78" s="23" t="str">
        <f>Tabela2[[#This Row],[ilustrador]]</f>
        <v>GUILHERME ARANEGA/ARQUIVO DA EDITORA</v>
      </c>
      <c r="AA78" s="22"/>
      <c r="AB78" s="20"/>
      <c r="AC78" s="20"/>
      <c r="AD78" s="4" t="str">
        <f>"Pitanguá"</f>
        <v>Pitanguá</v>
      </c>
      <c r="AE78" s="14" t="str">
        <f>"Matemática"</f>
        <v>Matemática</v>
      </c>
    </row>
    <row r="79" spans="1:31" s="14" customFormat="1" ht="28.8" x14ac:dyDescent="0.3">
      <c r="A79" s="23" t="s">
        <v>15</v>
      </c>
      <c r="B79" s="20" t="s">
        <v>16</v>
      </c>
      <c r="C79" s="20" t="s">
        <v>7</v>
      </c>
      <c r="D79" s="20" t="s">
        <v>8</v>
      </c>
      <c r="E79" s="22">
        <v>13</v>
      </c>
      <c r="F79" s="22">
        <v>1</v>
      </c>
      <c r="G79" s="22">
        <v>1</v>
      </c>
      <c r="H79" s="22"/>
      <c r="I79" s="23" t="s">
        <v>9</v>
      </c>
      <c r="J79" s="23"/>
      <c r="K79" s="22"/>
      <c r="L79" s="22"/>
      <c r="M79" s="23"/>
      <c r="N79" s="23"/>
      <c r="O79" s="26" t="s">
        <v>17</v>
      </c>
      <c r="P79" s="26"/>
      <c r="Q79" s="22"/>
      <c r="R79" s="24"/>
      <c r="S79" s="24"/>
      <c r="T79" s="24"/>
      <c r="U79" s="24"/>
      <c r="V79" s="24"/>
      <c r="W79" s="22" t="s">
        <v>12</v>
      </c>
      <c r="X79" s="4" t="str">
        <f>IF(Tabela2[[#This Row],[sigla]]="","",VLOOKUP(Tabela2[[#This Row],[sigla]],créditos_base!B:C,2,0))</f>
        <v>JORGE ZAIBA/ARQUIVO DA EDITORA</v>
      </c>
      <c r="Y79" s="23"/>
      <c r="Z79" s="23" t="str">
        <f>Tabela2[[#This Row],[ilustrador]]</f>
        <v>JORGE ZAIBA/ARQUIVO DA EDITORA</v>
      </c>
      <c r="AA79" s="22"/>
      <c r="AB79" s="20"/>
      <c r="AC79" s="20"/>
      <c r="AD79" s="4" t="str">
        <f>"Pitanguá"</f>
        <v>Pitanguá</v>
      </c>
      <c r="AE79" s="14" t="str">
        <f>"Matemática"</f>
        <v>Matemática</v>
      </c>
    </row>
    <row r="80" spans="1:31" s="14" customFormat="1" x14ac:dyDescent="0.3">
      <c r="A80" s="23" t="s">
        <v>915</v>
      </c>
      <c r="B80" s="20" t="s">
        <v>16</v>
      </c>
      <c r="C80" s="20" t="s">
        <v>89</v>
      </c>
      <c r="D80" s="20" t="s">
        <v>8</v>
      </c>
      <c r="E80" s="22">
        <v>13</v>
      </c>
      <c r="F80" s="22">
        <v>4</v>
      </c>
      <c r="G80" s="22"/>
      <c r="H80" s="22" t="s">
        <v>736</v>
      </c>
      <c r="I80" s="23" t="s">
        <v>33</v>
      </c>
      <c r="J80" s="23"/>
      <c r="K80" s="22"/>
      <c r="L80" s="22"/>
      <c r="M80" s="23"/>
      <c r="N80" s="23"/>
      <c r="O80" s="26" t="s">
        <v>916</v>
      </c>
      <c r="P80" s="26"/>
      <c r="Q80" s="22">
        <v>215</v>
      </c>
      <c r="R80" s="24">
        <v>45932</v>
      </c>
      <c r="S80" s="24">
        <v>45932</v>
      </c>
      <c r="T80" s="24"/>
      <c r="U80" s="24"/>
      <c r="V80" s="24">
        <v>45932</v>
      </c>
      <c r="W80" s="22" t="s">
        <v>160</v>
      </c>
      <c r="X80" s="4" t="str">
        <f>IF(Tabela2[[#This Row],[sigla]]="","",VLOOKUP(Tabela2[[#This Row],[sigla]],créditos_base!B:C,2,0))</f>
        <v>SERGIO LIMA/ARQUIVO DA EDITORA</v>
      </c>
      <c r="Y80" s="23" t="s">
        <v>696</v>
      </c>
      <c r="Z80" s="23" t="str">
        <f>Tabela2[[#This Row],[ilustrador]]</f>
        <v>SERGIO LIMA/ARQUIVO DA EDITORA</v>
      </c>
      <c r="AA80" s="22">
        <v>13</v>
      </c>
      <c r="AB80" s="20" t="s">
        <v>917</v>
      </c>
      <c r="AC80" s="20"/>
      <c r="AD80" s="4" t="str">
        <f>"Pitanguá"</f>
        <v>Pitanguá</v>
      </c>
      <c r="AE80" s="14" t="str">
        <f>"Matemática"</f>
        <v>Matemática</v>
      </c>
    </row>
    <row r="81" spans="1:31" s="14" customFormat="1" x14ac:dyDescent="0.3">
      <c r="A81" s="23" t="s">
        <v>5398</v>
      </c>
      <c r="B81" s="20" t="s">
        <v>16</v>
      </c>
      <c r="C81" s="20" t="s">
        <v>7</v>
      </c>
      <c r="D81" s="20" t="s">
        <v>8</v>
      </c>
      <c r="E81" s="22">
        <v>20</v>
      </c>
      <c r="F81" s="22">
        <v>5</v>
      </c>
      <c r="G81" s="22">
        <v>1</v>
      </c>
      <c r="H81" s="22"/>
      <c r="I81" s="23" t="s">
        <v>33</v>
      </c>
      <c r="J81" s="23"/>
      <c r="K81" s="22"/>
      <c r="L81" s="22"/>
      <c r="M81" s="23"/>
      <c r="N81" s="23"/>
      <c r="O81" s="26" t="s">
        <v>5399</v>
      </c>
      <c r="P81" s="26"/>
      <c r="Q81" s="22">
        <v>126</v>
      </c>
      <c r="R81" s="24">
        <v>45863</v>
      </c>
      <c r="S81" s="24">
        <v>45867</v>
      </c>
      <c r="T81" s="24"/>
      <c r="U81" s="24"/>
      <c r="V81" s="24">
        <v>45869</v>
      </c>
      <c r="W81" s="22" t="s">
        <v>3189</v>
      </c>
      <c r="X81" s="4" t="str">
        <f>IF(Tabela2[[#This Row],[sigla]]="","",VLOOKUP(Tabela2[[#This Row],[sigla]],créditos_base!B:C,2,0))</f>
        <v>ANDRÉ AGUIAR/ARQUIVO DA EDITORA</v>
      </c>
      <c r="Y81" s="23" t="s">
        <v>243</v>
      </c>
      <c r="Z81" s="23" t="str">
        <f>Tabela2[[#This Row],[ilustrador]]</f>
        <v>ANDRÉ AGUIAR/ARQUIVO DA EDITORA</v>
      </c>
      <c r="AA81" s="22">
        <v>13</v>
      </c>
      <c r="AB81" s="20" t="s">
        <v>5400</v>
      </c>
      <c r="AC81" s="20" t="s">
        <v>36</v>
      </c>
      <c r="AD81" s="4" t="str">
        <f>"Pitanguá"</f>
        <v>Pitanguá</v>
      </c>
      <c r="AE81" s="14" t="str">
        <f>"Matemática"</f>
        <v>Matemática</v>
      </c>
    </row>
    <row r="82" spans="1:31" s="14" customFormat="1" x14ac:dyDescent="0.3">
      <c r="A82" s="23" t="s">
        <v>1081</v>
      </c>
      <c r="B82" s="20" t="s">
        <v>16</v>
      </c>
      <c r="C82" s="20" t="s">
        <v>7</v>
      </c>
      <c r="D82" s="20" t="s">
        <v>8</v>
      </c>
      <c r="E82" s="22">
        <v>13</v>
      </c>
      <c r="F82" s="22">
        <v>2</v>
      </c>
      <c r="G82" s="22">
        <v>1</v>
      </c>
      <c r="H82" s="22"/>
      <c r="I82" s="23" t="s">
        <v>9</v>
      </c>
      <c r="J82" s="23"/>
      <c r="K82" s="22"/>
      <c r="L82" s="22"/>
      <c r="M82" s="23"/>
      <c r="N82" s="23"/>
      <c r="O82" s="26" t="s">
        <v>1082</v>
      </c>
      <c r="P82" s="26"/>
      <c r="Q82" s="22"/>
      <c r="R82" s="24"/>
      <c r="S82" s="24"/>
      <c r="T82" s="24"/>
      <c r="U82" s="24"/>
      <c r="V82" s="24"/>
      <c r="W82" s="22" t="s">
        <v>223</v>
      </c>
      <c r="X82" s="4" t="str">
        <f>IF(Tabela2[[#This Row],[sigla]]="","",VLOOKUP(Tabela2[[#This Row],[sigla]],créditos_base!B:C,2,0))</f>
        <v>NATANAELE BILMAIA/ARQUIVO DA EDITORA</v>
      </c>
      <c r="Y82" s="23"/>
      <c r="Z82" s="23" t="str">
        <f>Tabela2[[#This Row],[ilustrador]]</f>
        <v>NATANAELE BILMAIA/ARQUIVO DA EDITORA</v>
      </c>
      <c r="AA82" s="22"/>
      <c r="AB82" s="20"/>
      <c r="AC82" s="20"/>
      <c r="AD82" s="4" t="str">
        <f>"Pitanguá"</f>
        <v>Pitanguá</v>
      </c>
      <c r="AE82" s="14" t="str">
        <f>"Matemática"</f>
        <v>Matemática</v>
      </c>
    </row>
    <row r="83" spans="1:31" s="14" customFormat="1" x14ac:dyDescent="0.3">
      <c r="A83" s="23" t="s">
        <v>918</v>
      </c>
      <c r="B83" s="20" t="s">
        <v>6</v>
      </c>
      <c r="C83" s="20" t="s">
        <v>89</v>
      </c>
      <c r="D83" s="20" t="s">
        <v>8</v>
      </c>
      <c r="E83" s="22">
        <v>13</v>
      </c>
      <c r="F83" s="22">
        <v>4</v>
      </c>
      <c r="G83" s="22"/>
      <c r="H83" s="22" t="s">
        <v>736</v>
      </c>
      <c r="I83" s="23" t="s">
        <v>9</v>
      </c>
      <c r="J83" s="23"/>
      <c r="K83" s="22"/>
      <c r="L83" s="22"/>
      <c r="M83" s="23"/>
      <c r="N83" s="23"/>
      <c r="O83" s="26" t="s">
        <v>919</v>
      </c>
      <c r="P83" s="26" t="s">
        <v>11</v>
      </c>
      <c r="Q83" s="22"/>
      <c r="R83" s="24"/>
      <c r="S83" s="24"/>
      <c r="T83" s="24"/>
      <c r="U83" s="24"/>
      <c r="V83" s="24"/>
      <c r="W83" s="22" t="s">
        <v>160</v>
      </c>
      <c r="X83" s="4" t="str">
        <f>IF(Tabela2[[#This Row],[sigla]]="","",VLOOKUP(Tabela2[[#This Row],[sigla]],créditos_base!B:C,2,0))</f>
        <v>SERGIO LIMA/ARQUIVO DA EDITORA</v>
      </c>
      <c r="Y83" s="23"/>
      <c r="Z83" s="23" t="str">
        <f>Tabela2[[#This Row],[ilustrador]]</f>
        <v>SERGIO LIMA/ARQUIVO DA EDITORA</v>
      </c>
      <c r="AA83" s="22"/>
      <c r="AB83" s="20"/>
      <c r="AC83" s="20"/>
      <c r="AD83" s="4" t="str">
        <f>"Pitanguá"</f>
        <v>Pitanguá</v>
      </c>
      <c r="AE83" s="14" t="str">
        <f>"Matemática"</f>
        <v>Matemática</v>
      </c>
    </row>
    <row r="84" spans="1:31" s="14" customFormat="1" ht="28.8" x14ac:dyDescent="0.3">
      <c r="A84" s="23" t="s">
        <v>5401</v>
      </c>
      <c r="B84" s="20" t="s">
        <v>16</v>
      </c>
      <c r="C84" s="20" t="s">
        <v>89</v>
      </c>
      <c r="D84" s="20" t="s">
        <v>8</v>
      </c>
      <c r="E84" s="22">
        <v>21</v>
      </c>
      <c r="F84" s="22">
        <v>5</v>
      </c>
      <c r="G84" s="22">
        <v>1</v>
      </c>
      <c r="H84" s="22"/>
      <c r="I84" s="23" t="s">
        <v>9</v>
      </c>
      <c r="J84" s="23"/>
      <c r="K84" s="22"/>
      <c r="L84" s="22"/>
      <c r="M84" s="23"/>
      <c r="N84" s="23"/>
      <c r="O84" s="26" t="s">
        <v>5402</v>
      </c>
      <c r="P84" s="26"/>
      <c r="Q84" s="22"/>
      <c r="R84" s="24"/>
      <c r="S84" s="24"/>
      <c r="T84" s="24"/>
      <c r="U84" s="24"/>
      <c r="V84" s="24"/>
      <c r="W84" s="22" t="s">
        <v>468</v>
      </c>
      <c r="X84" s="4" t="str">
        <f>IF(Tabela2[[#This Row],[sigla]]="","",VLOOKUP(Tabela2[[#This Row],[sigla]],créditos_base!B:C,2,0))</f>
        <v>VER DOCUMENTO DE ILS. TÉCNICAS</v>
      </c>
      <c r="Y84" s="23"/>
      <c r="Z84" s="23" t="s">
        <v>661</v>
      </c>
      <c r="AA84" s="22"/>
      <c r="AB84" s="20"/>
      <c r="AC84" s="20"/>
      <c r="AD84" s="4" t="str">
        <f>"Pitanguá"</f>
        <v>Pitanguá</v>
      </c>
      <c r="AE84" s="14" t="str">
        <f>"Matemática"</f>
        <v>Matemática</v>
      </c>
    </row>
    <row r="85" spans="1:31" s="14" customFormat="1" ht="28.8" x14ac:dyDescent="0.3">
      <c r="A85" s="23" t="s">
        <v>1083</v>
      </c>
      <c r="B85" s="20" t="s">
        <v>16</v>
      </c>
      <c r="C85" s="20" t="s">
        <v>7</v>
      </c>
      <c r="D85" s="20" t="s">
        <v>8</v>
      </c>
      <c r="E85" s="22">
        <v>13</v>
      </c>
      <c r="F85" s="22">
        <v>2</v>
      </c>
      <c r="G85" s="22">
        <v>1</v>
      </c>
      <c r="H85" s="22"/>
      <c r="I85" s="23" t="s">
        <v>9</v>
      </c>
      <c r="J85" s="23"/>
      <c r="K85" s="22"/>
      <c r="L85" s="22"/>
      <c r="M85" s="23"/>
      <c r="N85" s="23"/>
      <c r="O85" s="26" t="s">
        <v>1084</v>
      </c>
      <c r="P85" s="26"/>
      <c r="Q85" s="22"/>
      <c r="R85" s="24"/>
      <c r="S85" s="24"/>
      <c r="T85" s="24"/>
      <c r="U85" s="24"/>
      <c r="V85" s="24"/>
      <c r="W85" s="22" t="s">
        <v>223</v>
      </c>
      <c r="X85" s="4" t="str">
        <f>IF(Tabela2[[#This Row],[sigla]]="","",VLOOKUP(Tabela2[[#This Row],[sigla]],créditos_base!B:C,2,0))</f>
        <v>NATANAELE BILMAIA/ARQUIVO DA EDITORA</v>
      </c>
      <c r="Y85" s="23"/>
      <c r="Z85" s="23" t="str">
        <f>Tabela2[[#This Row],[ilustrador]]</f>
        <v>NATANAELE BILMAIA/ARQUIVO DA EDITORA</v>
      </c>
      <c r="AA85" s="22"/>
      <c r="AB85" s="20"/>
      <c r="AC85" s="20"/>
      <c r="AD85" s="4" t="str">
        <f>"Pitanguá"</f>
        <v>Pitanguá</v>
      </c>
      <c r="AE85" s="14" t="str">
        <f>"Matemática"</f>
        <v>Matemática</v>
      </c>
    </row>
    <row r="86" spans="1:31" s="14" customFormat="1" x14ac:dyDescent="0.3">
      <c r="A86" s="23" t="s">
        <v>1788</v>
      </c>
      <c r="B86" s="20" t="s">
        <v>16</v>
      </c>
      <c r="C86" s="20" t="s">
        <v>7</v>
      </c>
      <c r="D86" s="20" t="s">
        <v>8</v>
      </c>
      <c r="E86" s="22">
        <v>15</v>
      </c>
      <c r="F86" s="22">
        <v>3</v>
      </c>
      <c r="G86" s="22">
        <v>1</v>
      </c>
      <c r="H86" s="22"/>
      <c r="I86" s="23" t="s">
        <v>9</v>
      </c>
      <c r="J86" s="23"/>
      <c r="K86" s="22"/>
      <c r="L86" s="22"/>
      <c r="M86" s="23"/>
      <c r="N86" s="23"/>
      <c r="O86" s="26" t="s">
        <v>1789</v>
      </c>
      <c r="P86" s="26"/>
      <c r="Q86" s="22"/>
      <c r="R86" s="24"/>
      <c r="S86" s="24"/>
      <c r="T86" s="24"/>
      <c r="U86" s="24"/>
      <c r="V86" s="24"/>
      <c r="W86" s="22" t="s">
        <v>460</v>
      </c>
      <c r="X86" s="4" t="str">
        <f>IF(Tabela2[[#This Row],[sigla]]="","",VLOOKUP(Tabela2[[#This Row],[sigla]],créditos_base!B:C,2,0))</f>
        <v>CLAUDIA SOUZA/ARQUIVO DA EDITORA</v>
      </c>
      <c r="Y86" s="23"/>
      <c r="Z86" s="23" t="str">
        <f>Tabela2[[#This Row],[ilustrador]]</f>
        <v>CLAUDIA SOUZA/ARQUIVO DA EDITORA</v>
      </c>
      <c r="AA86" s="22"/>
      <c r="AB86" s="20"/>
      <c r="AC86" s="20"/>
      <c r="AD86" s="4" t="str">
        <f>"Pitanguá"</f>
        <v>Pitanguá</v>
      </c>
      <c r="AE86" s="14" t="str">
        <f>"Matemática"</f>
        <v>Matemática</v>
      </c>
    </row>
    <row r="87" spans="1:31" s="14" customFormat="1" x14ac:dyDescent="0.3">
      <c r="A87" s="23" t="s">
        <v>920</v>
      </c>
      <c r="B87" s="20" t="s">
        <v>16</v>
      </c>
      <c r="C87" s="20" t="s">
        <v>89</v>
      </c>
      <c r="D87" s="20" t="s">
        <v>8</v>
      </c>
      <c r="E87" s="22">
        <v>15</v>
      </c>
      <c r="F87" s="22">
        <v>4</v>
      </c>
      <c r="G87" s="22"/>
      <c r="H87" s="22" t="s">
        <v>736</v>
      </c>
      <c r="I87" s="23" t="s">
        <v>9</v>
      </c>
      <c r="J87" s="23"/>
      <c r="K87" s="22"/>
      <c r="L87" s="22"/>
      <c r="M87" s="23"/>
      <c r="N87" s="23"/>
      <c r="O87" s="26" t="s">
        <v>921</v>
      </c>
      <c r="P87" s="26"/>
      <c r="Q87" s="22"/>
      <c r="R87" s="24"/>
      <c r="S87" s="24"/>
      <c r="T87" s="24"/>
      <c r="U87" s="24"/>
      <c r="V87" s="24"/>
      <c r="W87" s="22" t="s">
        <v>151</v>
      </c>
      <c r="X87" s="4" t="str">
        <f>IF(Tabela2[[#This Row],[sigla]]="","",VLOOKUP(Tabela2[[#This Row],[sigla]],créditos_base!B:C,2,0))</f>
        <v>ROGÉRIO CASAGRANDE/ARQUIVO DA EDITORA</v>
      </c>
      <c r="Y87" s="23"/>
      <c r="Z87" s="23" t="str">
        <f>Tabela2[[#This Row],[ilustrador]]</f>
        <v>ROGÉRIO CASAGRANDE/ARQUIVO DA EDITORA</v>
      </c>
      <c r="AA87" s="22"/>
      <c r="AB87" s="20"/>
      <c r="AC87" s="20"/>
      <c r="AD87" s="4" t="str">
        <f>"Pitanguá"</f>
        <v>Pitanguá</v>
      </c>
      <c r="AE87" s="14" t="str">
        <f>"Matemática"</f>
        <v>Matemática</v>
      </c>
    </row>
    <row r="88" spans="1:31" s="14" customFormat="1" x14ac:dyDescent="0.3">
      <c r="A88" s="23" t="s">
        <v>5403</v>
      </c>
      <c r="B88" s="20" t="s">
        <v>16</v>
      </c>
      <c r="C88" s="20" t="s">
        <v>89</v>
      </c>
      <c r="D88" s="20" t="s">
        <v>8</v>
      </c>
      <c r="E88" s="22">
        <v>21</v>
      </c>
      <c r="F88" s="22">
        <v>5</v>
      </c>
      <c r="G88" s="22">
        <v>1</v>
      </c>
      <c r="H88" s="22"/>
      <c r="I88" s="23" t="s">
        <v>9</v>
      </c>
      <c r="J88" s="23"/>
      <c r="K88" s="22"/>
      <c r="L88" s="22"/>
      <c r="M88" s="23"/>
      <c r="N88" s="23"/>
      <c r="O88" s="26" t="s">
        <v>5404</v>
      </c>
      <c r="P88" s="26"/>
      <c r="Q88" s="22"/>
      <c r="R88" s="24"/>
      <c r="S88" s="24"/>
      <c r="T88" s="24"/>
      <c r="U88" s="24"/>
      <c r="V88" s="24"/>
      <c r="W88" s="22" t="s">
        <v>468</v>
      </c>
      <c r="X88" s="4" t="str">
        <f>IF(Tabela2[[#This Row],[sigla]]="","",VLOOKUP(Tabela2[[#This Row],[sigla]],créditos_base!B:C,2,0))</f>
        <v>VER DOCUMENTO DE ILS. TÉCNICAS</v>
      </c>
      <c r="Y88" s="23"/>
      <c r="Z88" s="23" t="s">
        <v>661</v>
      </c>
      <c r="AA88" s="22"/>
      <c r="AB88" s="20"/>
      <c r="AC88" s="20"/>
      <c r="AD88" s="4" t="str">
        <f>"Pitanguá"</f>
        <v>Pitanguá</v>
      </c>
      <c r="AE88" s="14" t="str">
        <f>"Matemática"</f>
        <v>Matemática</v>
      </c>
    </row>
    <row r="89" spans="1:31" s="14" customFormat="1" x14ac:dyDescent="0.3">
      <c r="A89" s="23" t="s">
        <v>18</v>
      </c>
      <c r="B89" s="20" t="s">
        <v>16</v>
      </c>
      <c r="C89" s="20" t="s">
        <v>7</v>
      </c>
      <c r="D89" s="20" t="s">
        <v>8</v>
      </c>
      <c r="E89" s="22">
        <v>15</v>
      </c>
      <c r="F89" s="22">
        <v>1</v>
      </c>
      <c r="G89" s="22">
        <v>1</v>
      </c>
      <c r="H89" s="22"/>
      <c r="I89" s="23" t="s">
        <v>9</v>
      </c>
      <c r="J89" s="23"/>
      <c r="K89" s="22"/>
      <c r="L89" s="22"/>
      <c r="M89" s="23"/>
      <c r="N89" s="23"/>
      <c r="O89" s="26" t="s">
        <v>19</v>
      </c>
      <c r="P89" s="26"/>
      <c r="Q89" s="22"/>
      <c r="R89" s="24"/>
      <c r="S89" s="24"/>
      <c r="T89" s="24"/>
      <c r="U89" s="24"/>
      <c r="V89" s="24"/>
      <c r="W89" s="22" t="s">
        <v>20</v>
      </c>
      <c r="X89" s="4" t="str">
        <f>IF(Tabela2[[#This Row],[sigla]]="","",VLOOKUP(Tabela2[[#This Row],[sigla]],créditos_base!B:C,2,0))</f>
        <v>SONIA HORN/ARQUIVO DA EDITORA</v>
      </c>
      <c r="Y89" s="23"/>
      <c r="Z89" s="23" t="str">
        <f>Tabela2[[#This Row],[ilustrador]]</f>
        <v>SONIA HORN/ARQUIVO DA EDITORA</v>
      </c>
      <c r="AA89" s="22"/>
      <c r="AB89" s="20"/>
      <c r="AC89" s="20"/>
      <c r="AD89" s="4" t="str">
        <f>"Pitanguá"</f>
        <v>Pitanguá</v>
      </c>
      <c r="AE89" s="14" t="str">
        <f>"Matemática"</f>
        <v>Matemática</v>
      </c>
    </row>
    <row r="90" spans="1:31" s="14" customFormat="1" x14ac:dyDescent="0.3">
      <c r="A90" s="23" t="s">
        <v>1085</v>
      </c>
      <c r="B90" s="20" t="s">
        <v>16</v>
      </c>
      <c r="C90" s="20" t="s">
        <v>7</v>
      </c>
      <c r="D90" s="20" t="s">
        <v>8</v>
      </c>
      <c r="E90" s="22">
        <v>13</v>
      </c>
      <c r="F90" s="22">
        <v>2</v>
      </c>
      <c r="G90" s="22">
        <v>1</v>
      </c>
      <c r="H90" s="22"/>
      <c r="I90" s="23" t="s">
        <v>9</v>
      </c>
      <c r="J90" s="23"/>
      <c r="K90" s="22"/>
      <c r="L90" s="22"/>
      <c r="M90" s="23"/>
      <c r="N90" s="23"/>
      <c r="O90" s="26" t="s">
        <v>1086</v>
      </c>
      <c r="P90" s="26"/>
      <c r="Q90" s="22"/>
      <c r="R90" s="24"/>
      <c r="S90" s="24"/>
      <c r="T90" s="24"/>
      <c r="U90" s="24"/>
      <c r="V90" s="24"/>
      <c r="W90" s="22" t="s">
        <v>223</v>
      </c>
      <c r="X90" s="4" t="str">
        <f>IF(Tabela2[[#This Row],[sigla]]="","",VLOOKUP(Tabela2[[#This Row],[sigla]],créditos_base!B:C,2,0))</f>
        <v>NATANAELE BILMAIA/ARQUIVO DA EDITORA</v>
      </c>
      <c r="Y90" s="23"/>
      <c r="Z90" s="23" t="str">
        <f>Tabela2[[#This Row],[ilustrador]]</f>
        <v>NATANAELE BILMAIA/ARQUIVO DA EDITORA</v>
      </c>
      <c r="AA90" s="22"/>
      <c r="AB90" s="20"/>
      <c r="AC90" s="20"/>
      <c r="AD90" s="4" t="str">
        <f>"Pitanguá"</f>
        <v>Pitanguá</v>
      </c>
      <c r="AE90" s="14" t="str">
        <f>"Matemática"</f>
        <v>Matemática</v>
      </c>
    </row>
    <row r="91" spans="1:31" s="14" customFormat="1" ht="28.8" x14ac:dyDescent="0.3">
      <c r="A91" s="23" t="s">
        <v>1790</v>
      </c>
      <c r="B91" s="20" t="s">
        <v>16</v>
      </c>
      <c r="C91" s="20" t="s">
        <v>7</v>
      </c>
      <c r="D91" s="20" t="s">
        <v>8</v>
      </c>
      <c r="E91" s="22">
        <v>15</v>
      </c>
      <c r="F91" s="22">
        <v>3</v>
      </c>
      <c r="G91" s="22">
        <v>1</v>
      </c>
      <c r="H91" s="22"/>
      <c r="I91" s="23" t="s">
        <v>9</v>
      </c>
      <c r="J91" s="23"/>
      <c r="K91" s="22"/>
      <c r="L91" s="22"/>
      <c r="M91" s="23"/>
      <c r="N91" s="23"/>
      <c r="O91" s="26" t="s">
        <v>1791</v>
      </c>
      <c r="P91" s="26"/>
      <c r="Q91" s="22"/>
      <c r="R91" s="24"/>
      <c r="S91" s="24"/>
      <c r="T91" s="24"/>
      <c r="U91" s="24"/>
      <c r="V91" s="24"/>
      <c r="W91" s="22" t="s">
        <v>460</v>
      </c>
      <c r="X91" s="4" t="str">
        <f>IF(Tabela2[[#This Row],[sigla]]="","",VLOOKUP(Tabela2[[#This Row],[sigla]],créditos_base!B:C,2,0))</f>
        <v>CLAUDIA SOUZA/ARQUIVO DA EDITORA</v>
      </c>
      <c r="Y91" s="23"/>
      <c r="Z91" s="23" t="str">
        <f>Tabela2[[#This Row],[ilustrador]]</f>
        <v>CLAUDIA SOUZA/ARQUIVO DA EDITORA</v>
      </c>
      <c r="AA91" s="22"/>
      <c r="AB91" s="20"/>
      <c r="AC91" s="20"/>
      <c r="AD91" s="4" t="str">
        <f>"Pitanguá"</f>
        <v>Pitanguá</v>
      </c>
      <c r="AE91" s="14" t="str">
        <f>"Matemática"</f>
        <v>Matemática</v>
      </c>
    </row>
    <row r="92" spans="1:31" s="14" customFormat="1" x14ac:dyDescent="0.3">
      <c r="A92" s="23" t="s">
        <v>922</v>
      </c>
      <c r="B92" s="20" t="s">
        <v>16</v>
      </c>
      <c r="C92" s="20" t="s">
        <v>89</v>
      </c>
      <c r="D92" s="20" t="s">
        <v>8</v>
      </c>
      <c r="E92" s="22">
        <v>15</v>
      </c>
      <c r="F92" s="22">
        <v>4</v>
      </c>
      <c r="G92" s="22"/>
      <c r="H92" s="22" t="s">
        <v>736</v>
      </c>
      <c r="I92" s="23" t="s">
        <v>9</v>
      </c>
      <c r="J92" s="23"/>
      <c r="K92" s="22"/>
      <c r="L92" s="22"/>
      <c r="M92" s="23"/>
      <c r="N92" s="23"/>
      <c r="O92" s="26" t="s">
        <v>923</v>
      </c>
      <c r="P92" s="26"/>
      <c r="Q92" s="22"/>
      <c r="R92" s="24"/>
      <c r="S92" s="24"/>
      <c r="T92" s="24"/>
      <c r="U92" s="24"/>
      <c r="V92" s="24"/>
      <c r="W92" s="22" t="s">
        <v>151</v>
      </c>
      <c r="X92" s="4" t="str">
        <f>IF(Tabela2[[#This Row],[sigla]]="","",VLOOKUP(Tabela2[[#This Row],[sigla]],créditos_base!B:C,2,0))</f>
        <v>ROGÉRIO CASAGRANDE/ARQUIVO DA EDITORA</v>
      </c>
      <c r="Y92" s="23"/>
      <c r="Z92" s="23" t="str">
        <f>Tabela2[[#This Row],[ilustrador]]</f>
        <v>ROGÉRIO CASAGRANDE/ARQUIVO DA EDITORA</v>
      </c>
      <c r="AA92" s="22"/>
      <c r="AB92" s="20"/>
      <c r="AC92" s="20"/>
      <c r="AD92" s="4" t="str">
        <f>"Pitanguá"</f>
        <v>Pitanguá</v>
      </c>
      <c r="AE92" s="14" t="str">
        <f>"Matemática"</f>
        <v>Matemática</v>
      </c>
    </row>
    <row r="93" spans="1:31" s="14" customFormat="1" x14ac:dyDescent="0.3">
      <c r="A93" s="23" t="s">
        <v>5405</v>
      </c>
      <c r="B93" s="20" t="s">
        <v>16</v>
      </c>
      <c r="C93" s="20" t="s">
        <v>89</v>
      </c>
      <c r="D93" s="20" t="s">
        <v>8</v>
      </c>
      <c r="E93" s="22">
        <v>21</v>
      </c>
      <c r="F93" s="22">
        <v>5</v>
      </c>
      <c r="G93" s="22">
        <v>1</v>
      </c>
      <c r="H93" s="22"/>
      <c r="I93" s="23" t="s">
        <v>9</v>
      </c>
      <c r="J93" s="23"/>
      <c r="K93" s="22"/>
      <c r="L93" s="22"/>
      <c r="M93" s="23"/>
      <c r="N93" s="23"/>
      <c r="O93" s="26" t="s">
        <v>5406</v>
      </c>
      <c r="P93" s="26"/>
      <c r="Q93" s="22"/>
      <c r="R93" s="24"/>
      <c r="S93" s="24"/>
      <c r="T93" s="24"/>
      <c r="U93" s="24"/>
      <c r="V93" s="24"/>
      <c r="W93" s="22" t="s">
        <v>468</v>
      </c>
      <c r="X93" s="4" t="str">
        <f>IF(Tabela2[[#This Row],[sigla]]="","",VLOOKUP(Tabela2[[#This Row],[sigla]],créditos_base!B:C,2,0))</f>
        <v>VER DOCUMENTO DE ILS. TÉCNICAS</v>
      </c>
      <c r="Y93" s="23"/>
      <c r="Z93" s="23" t="s">
        <v>661</v>
      </c>
      <c r="AA93" s="22"/>
      <c r="AB93" s="20"/>
      <c r="AC93" s="20"/>
      <c r="AD93" s="4" t="str">
        <f>"Pitanguá"</f>
        <v>Pitanguá</v>
      </c>
      <c r="AE93" s="14" t="str">
        <f>"Matemática"</f>
        <v>Matemática</v>
      </c>
    </row>
    <row r="94" spans="1:31" s="14" customFormat="1" x14ac:dyDescent="0.3">
      <c r="A94" s="23" t="s">
        <v>21</v>
      </c>
      <c r="B94" s="20" t="s">
        <v>16</v>
      </c>
      <c r="C94" s="20" t="s">
        <v>7</v>
      </c>
      <c r="D94" s="20" t="s">
        <v>8</v>
      </c>
      <c r="E94" s="22">
        <v>15</v>
      </c>
      <c r="F94" s="22">
        <v>1</v>
      </c>
      <c r="G94" s="22">
        <v>1</v>
      </c>
      <c r="H94" s="22"/>
      <c r="I94" s="23" t="s">
        <v>9</v>
      </c>
      <c r="J94" s="23"/>
      <c r="K94" s="22"/>
      <c r="L94" s="22"/>
      <c r="M94" s="23"/>
      <c r="N94" s="23"/>
      <c r="O94" s="26" t="s">
        <v>22</v>
      </c>
      <c r="P94" s="26"/>
      <c r="Q94" s="22"/>
      <c r="R94" s="24"/>
      <c r="S94" s="24"/>
      <c r="T94" s="24"/>
      <c r="U94" s="24"/>
      <c r="V94" s="24"/>
      <c r="W94" s="22" t="s">
        <v>20</v>
      </c>
      <c r="X94" s="4" t="str">
        <f>IF(Tabela2[[#This Row],[sigla]]="","",VLOOKUP(Tabela2[[#This Row],[sigla]],créditos_base!B:C,2,0))</f>
        <v>SONIA HORN/ARQUIVO DA EDITORA</v>
      </c>
      <c r="Y94" s="23"/>
      <c r="Z94" s="23" t="str">
        <f>Tabela2[[#This Row],[ilustrador]]</f>
        <v>SONIA HORN/ARQUIVO DA EDITORA</v>
      </c>
      <c r="AA94" s="22"/>
      <c r="AB94" s="20"/>
      <c r="AC94" s="20"/>
      <c r="AD94" s="4" t="str">
        <f>"Pitanguá"</f>
        <v>Pitanguá</v>
      </c>
      <c r="AE94" s="14" t="str">
        <f>"Matemática"</f>
        <v>Matemática</v>
      </c>
    </row>
    <row r="95" spans="1:31" s="14" customFormat="1" x14ac:dyDescent="0.3">
      <c r="A95" s="23" t="s">
        <v>1087</v>
      </c>
      <c r="B95" s="20" t="s">
        <v>16</v>
      </c>
      <c r="C95" s="20" t="s">
        <v>7</v>
      </c>
      <c r="D95" s="20" t="s">
        <v>8</v>
      </c>
      <c r="E95" s="22">
        <v>13</v>
      </c>
      <c r="F95" s="22">
        <v>2</v>
      </c>
      <c r="G95" s="22">
        <v>1</v>
      </c>
      <c r="H95" s="22"/>
      <c r="I95" s="23" t="s">
        <v>9</v>
      </c>
      <c r="J95" s="23"/>
      <c r="K95" s="22"/>
      <c r="L95" s="22"/>
      <c r="M95" s="23"/>
      <c r="N95" s="23"/>
      <c r="O95" s="26" t="s">
        <v>1088</v>
      </c>
      <c r="P95" s="26"/>
      <c r="Q95" s="22"/>
      <c r="R95" s="24"/>
      <c r="S95" s="24"/>
      <c r="T95" s="24"/>
      <c r="U95" s="24"/>
      <c r="V95" s="24"/>
      <c r="W95" s="22" t="s">
        <v>223</v>
      </c>
      <c r="X95" s="4" t="str">
        <f>IF(Tabela2[[#This Row],[sigla]]="","",VLOOKUP(Tabela2[[#This Row],[sigla]],créditos_base!B:C,2,0))</f>
        <v>NATANAELE BILMAIA/ARQUIVO DA EDITORA</v>
      </c>
      <c r="Y95" s="23"/>
      <c r="Z95" s="23" t="str">
        <f>Tabela2[[#This Row],[ilustrador]]</f>
        <v>NATANAELE BILMAIA/ARQUIVO DA EDITORA</v>
      </c>
      <c r="AA95" s="22"/>
      <c r="AB95" s="20"/>
      <c r="AC95" s="20"/>
      <c r="AD95" s="4" t="str">
        <f>"Pitanguá"</f>
        <v>Pitanguá</v>
      </c>
      <c r="AE95" s="14" t="str">
        <f>"Matemática"</f>
        <v>Matemática</v>
      </c>
    </row>
    <row r="96" spans="1:31" s="14" customFormat="1" ht="28.8" x14ac:dyDescent="0.3">
      <c r="A96" s="23" t="s">
        <v>1792</v>
      </c>
      <c r="B96" s="20" t="s">
        <v>16</v>
      </c>
      <c r="C96" s="20" t="s">
        <v>7</v>
      </c>
      <c r="D96" s="20" t="s">
        <v>8</v>
      </c>
      <c r="E96" s="22">
        <v>15</v>
      </c>
      <c r="F96" s="22">
        <v>3</v>
      </c>
      <c r="G96" s="22">
        <v>1</v>
      </c>
      <c r="H96" s="22"/>
      <c r="I96" s="23" t="s">
        <v>9</v>
      </c>
      <c r="J96" s="23"/>
      <c r="K96" s="22"/>
      <c r="L96" s="22"/>
      <c r="M96" s="23"/>
      <c r="N96" s="23"/>
      <c r="O96" s="26" t="s">
        <v>1793</v>
      </c>
      <c r="P96" s="26"/>
      <c r="Q96" s="22"/>
      <c r="R96" s="24"/>
      <c r="S96" s="24"/>
      <c r="T96" s="24"/>
      <c r="U96" s="24"/>
      <c r="V96" s="24"/>
      <c r="W96" s="22" t="s">
        <v>460</v>
      </c>
      <c r="X96" s="4" t="str">
        <f>IF(Tabela2[[#This Row],[sigla]]="","",VLOOKUP(Tabela2[[#This Row],[sigla]],créditos_base!B:C,2,0))</f>
        <v>CLAUDIA SOUZA/ARQUIVO DA EDITORA</v>
      </c>
      <c r="Y96" s="23"/>
      <c r="Z96" s="23" t="str">
        <f>Tabela2[[#This Row],[ilustrador]]</f>
        <v>CLAUDIA SOUZA/ARQUIVO DA EDITORA</v>
      </c>
      <c r="AA96" s="22"/>
      <c r="AB96" s="20"/>
      <c r="AC96" s="20"/>
      <c r="AD96" s="4" t="str">
        <f>"Pitanguá"</f>
        <v>Pitanguá</v>
      </c>
      <c r="AE96" s="14" t="str">
        <f>"Matemática"</f>
        <v>Matemática</v>
      </c>
    </row>
    <row r="97" spans="1:31" s="14" customFormat="1" x14ac:dyDescent="0.3">
      <c r="A97" s="23" t="s">
        <v>924</v>
      </c>
      <c r="B97" s="20" t="s">
        <v>16</v>
      </c>
      <c r="C97" s="20" t="s">
        <v>89</v>
      </c>
      <c r="D97" s="20" t="s">
        <v>8</v>
      </c>
      <c r="E97" s="22">
        <v>15</v>
      </c>
      <c r="F97" s="22">
        <v>4</v>
      </c>
      <c r="G97" s="22"/>
      <c r="H97" s="22" t="s">
        <v>736</v>
      </c>
      <c r="I97" s="23" t="s">
        <v>9</v>
      </c>
      <c r="J97" s="23"/>
      <c r="K97" s="22"/>
      <c r="L97" s="22"/>
      <c r="M97" s="23"/>
      <c r="N97" s="23"/>
      <c r="O97" s="26" t="s">
        <v>925</v>
      </c>
      <c r="P97" s="26"/>
      <c r="Q97" s="22"/>
      <c r="R97" s="24"/>
      <c r="S97" s="24"/>
      <c r="T97" s="24"/>
      <c r="U97" s="24"/>
      <c r="V97" s="24"/>
      <c r="W97" s="22" t="s">
        <v>151</v>
      </c>
      <c r="X97" s="4" t="str">
        <f>IF(Tabela2[[#This Row],[sigla]]="","",VLOOKUP(Tabela2[[#This Row],[sigla]],créditos_base!B:C,2,0))</f>
        <v>ROGÉRIO CASAGRANDE/ARQUIVO DA EDITORA</v>
      </c>
      <c r="Y97" s="23"/>
      <c r="Z97" s="23" t="str">
        <f>Tabela2[[#This Row],[ilustrador]]</f>
        <v>ROGÉRIO CASAGRANDE/ARQUIVO DA EDITORA</v>
      </c>
      <c r="AA97" s="22"/>
      <c r="AB97" s="20"/>
      <c r="AC97" s="20"/>
      <c r="AD97" s="4" t="str">
        <f>"Pitanguá"</f>
        <v>Pitanguá</v>
      </c>
      <c r="AE97" s="14" t="str">
        <f>"Matemática"</f>
        <v>Matemática</v>
      </c>
    </row>
    <row r="98" spans="1:31" s="14" customFormat="1" x14ac:dyDescent="0.3">
      <c r="A98" s="23" t="s">
        <v>5407</v>
      </c>
      <c r="B98" s="20" t="s">
        <v>16</v>
      </c>
      <c r="C98" s="20" t="s">
        <v>89</v>
      </c>
      <c r="D98" s="20" t="s">
        <v>8</v>
      </c>
      <c r="E98" s="22">
        <v>21</v>
      </c>
      <c r="F98" s="22">
        <v>5</v>
      </c>
      <c r="G98" s="22">
        <v>1</v>
      </c>
      <c r="H98" s="22"/>
      <c r="I98" s="23" t="s">
        <v>9</v>
      </c>
      <c r="J98" s="23"/>
      <c r="K98" s="22"/>
      <c r="L98" s="22"/>
      <c r="M98" s="23"/>
      <c r="N98" s="23"/>
      <c r="O98" s="26" t="s">
        <v>5408</v>
      </c>
      <c r="P98" s="26"/>
      <c r="Q98" s="22"/>
      <c r="R98" s="24"/>
      <c r="S98" s="24"/>
      <c r="T98" s="24"/>
      <c r="U98" s="24"/>
      <c r="V98" s="24"/>
      <c r="W98" s="22" t="s">
        <v>468</v>
      </c>
      <c r="X98" s="4" t="str">
        <f>IF(Tabela2[[#This Row],[sigla]]="","",VLOOKUP(Tabela2[[#This Row],[sigla]],créditos_base!B:C,2,0))</f>
        <v>VER DOCUMENTO DE ILS. TÉCNICAS</v>
      </c>
      <c r="Y98" s="23"/>
      <c r="Z98" s="23" t="s">
        <v>661</v>
      </c>
      <c r="AA98" s="22"/>
      <c r="AB98" s="20"/>
      <c r="AC98" s="20"/>
      <c r="AD98" s="4" t="str">
        <f>"Pitanguá"</f>
        <v>Pitanguá</v>
      </c>
      <c r="AE98" s="14" t="str">
        <f>"Matemática"</f>
        <v>Matemática</v>
      </c>
    </row>
    <row r="99" spans="1:31" s="14" customFormat="1" x14ac:dyDescent="0.3">
      <c r="A99" s="23" t="s">
        <v>23</v>
      </c>
      <c r="B99" s="20" t="s">
        <v>16</v>
      </c>
      <c r="C99" s="20" t="s">
        <v>7</v>
      </c>
      <c r="D99" s="20" t="s">
        <v>8</v>
      </c>
      <c r="E99" s="22">
        <v>16</v>
      </c>
      <c r="F99" s="22">
        <v>1</v>
      </c>
      <c r="G99" s="22">
        <v>1</v>
      </c>
      <c r="H99" s="22"/>
      <c r="I99" s="23" t="s">
        <v>9</v>
      </c>
      <c r="J99" s="23"/>
      <c r="K99" s="22"/>
      <c r="L99" s="22"/>
      <c r="M99" s="23"/>
      <c r="N99" s="23"/>
      <c r="O99" s="26" t="s">
        <v>24</v>
      </c>
      <c r="P99" s="26"/>
      <c r="Q99" s="22"/>
      <c r="R99" s="24"/>
      <c r="S99" s="24"/>
      <c r="T99" s="24"/>
      <c r="U99" s="24"/>
      <c r="V99" s="24"/>
      <c r="W99" s="22" t="s">
        <v>12</v>
      </c>
      <c r="X99" s="4" t="str">
        <f>IF(Tabela2[[#This Row],[sigla]]="","",VLOOKUP(Tabela2[[#This Row],[sigla]],créditos_base!B:C,2,0))</f>
        <v>JORGE ZAIBA/ARQUIVO DA EDITORA</v>
      </c>
      <c r="Y99" s="23"/>
      <c r="Z99" s="23" t="str">
        <f>Tabela2[[#This Row],[ilustrador]]</f>
        <v>JORGE ZAIBA/ARQUIVO DA EDITORA</v>
      </c>
      <c r="AA99" s="22"/>
      <c r="AB99" s="20"/>
      <c r="AC99" s="20"/>
      <c r="AD99" s="4" t="str">
        <f>"Pitanguá"</f>
        <v>Pitanguá</v>
      </c>
      <c r="AE99" s="14" t="str">
        <f>"Matemática"</f>
        <v>Matemática</v>
      </c>
    </row>
    <row r="100" spans="1:31" s="14" customFormat="1" x14ac:dyDescent="0.3">
      <c r="A100" s="23" t="s">
        <v>1089</v>
      </c>
      <c r="B100" s="20" t="s">
        <v>16</v>
      </c>
      <c r="C100" s="20" t="s">
        <v>7</v>
      </c>
      <c r="D100" s="20" t="s">
        <v>8</v>
      </c>
      <c r="E100" s="22">
        <v>13</v>
      </c>
      <c r="F100" s="22">
        <v>2</v>
      </c>
      <c r="G100" s="22">
        <v>1</v>
      </c>
      <c r="H100" s="22"/>
      <c r="I100" s="23" t="s">
        <v>9</v>
      </c>
      <c r="J100" s="23"/>
      <c r="K100" s="22"/>
      <c r="L100" s="22"/>
      <c r="M100" s="23"/>
      <c r="N100" s="23"/>
      <c r="O100" s="26" t="s">
        <v>1090</v>
      </c>
      <c r="P100" s="26"/>
      <c r="Q100" s="22"/>
      <c r="R100" s="24"/>
      <c r="S100" s="24"/>
      <c r="T100" s="24"/>
      <c r="U100" s="24"/>
      <c r="V100" s="24"/>
      <c r="W100" s="22" t="s">
        <v>223</v>
      </c>
      <c r="X100" s="4" t="str">
        <f>IF(Tabela2[[#This Row],[sigla]]="","",VLOOKUP(Tabela2[[#This Row],[sigla]],créditos_base!B:C,2,0))</f>
        <v>NATANAELE BILMAIA/ARQUIVO DA EDITORA</v>
      </c>
      <c r="Y100" s="23"/>
      <c r="Z100" s="23" t="str">
        <f>Tabela2[[#This Row],[ilustrador]]</f>
        <v>NATANAELE BILMAIA/ARQUIVO DA EDITORA</v>
      </c>
      <c r="AA100" s="22"/>
      <c r="AB100" s="20"/>
      <c r="AC100" s="20"/>
      <c r="AD100" s="4" t="str">
        <f>"Pitanguá"</f>
        <v>Pitanguá</v>
      </c>
      <c r="AE100" s="14" t="str">
        <f>"Matemática"</f>
        <v>Matemática</v>
      </c>
    </row>
    <row r="101" spans="1:31" s="14" customFormat="1" x14ac:dyDescent="0.3">
      <c r="A101" s="23" t="s">
        <v>1794</v>
      </c>
      <c r="B101" s="20" t="s">
        <v>16</v>
      </c>
      <c r="C101" s="20" t="s">
        <v>7</v>
      </c>
      <c r="D101" s="20" t="s">
        <v>8</v>
      </c>
      <c r="E101" s="22">
        <v>16</v>
      </c>
      <c r="F101" s="22">
        <v>3</v>
      </c>
      <c r="G101" s="22">
        <v>1</v>
      </c>
      <c r="H101" s="22"/>
      <c r="I101" s="23" t="s">
        <v>33</v>
      </c>
      <c r="J101" s="23"/>
      <c r="K101" s="22"/>
      <c r="L101" s="22"/>
      <c r="M101" s="23"/>
      <c r="N101" s="23"/>
      <c r="O101" s="26" t="s">
        <v>1795</v>
      </c>
      <c r="P101" s="26"/>
      <c r="Q101" s="22"/>
      <c r="R101" s="24"/>
      <c r="S101" s="24">
        <v>45825</v>
      </c>
      <c r="T101" s="24"/>
      <c r="U101" s="24"/>
      <c r="V101" s="24">
        <v>45826</v>
      </c>
      <c r="W101" s="22" t="s">
        <v>460</v>
      </c>
      <c r="X101" s="4" t="str">
        <f>IF(Tabela2[[#This Row],[sigla]]="","",VLOOKUP(Tabela2[[#This Row],[sigla]],créditos_base!B:C,2,0))</f>
        <v>CLAUDIA SOUZA/ARQUIVO DA EDITORA</v>
      </c>
      <c r="Y101" s="23" t="s">
        <v>1503</v>
      </c>
      <c r="Z101" s="23" t="str">
        <f>Tabela2[[#This Row],[ilustrador]]</f>
        <v>CLAUDIA SOUZA/ARQUIVO DA EDITORA</v>
      </c>
      <c r="AA101" s="22">
        <v>13</v>
      </c>
      <c r="AB101" s="41" t="s">
        <v>41</v>
      </c>
      <c r="AC101" s="20" t="s">
        <v>36</v>
      </c>
      <c r="AD101" s="4" t="str">
        <f>"Pitanguá"</f>
        <v>Pitanguá</v>
      </c>
      <c r="AE101" s="14" t="str">
        <f>"Matemática"</f>
        <v>Matemática</v>
      </c>
    </row>
    <row r="102" spans="1:31" s="14" customFormat="1" x14ac:dyDescent="0.3">
      <c r="A102" s="23" t="s">
        <v>926</v>
      </c>
      <c r="B102" s="20" t="s">
        <v>6</v>
      </c>
      <c r="C102" s="20" t="s">
        <v>89</v>
      </c>
      <c r="D102" s="20" t="s">
        <v>8</v>
      </c>
      <c r="E102" s="22">
        <v>15</v>
      </c>
      <c r="F102" s="22">
        <v>4</v>
      </c>
      <c r="G102" s="22"/>
      <c r="H102" s="22" t="s">
        <v>736</v>
      </c>
      <c r="I102" s="23" t="s">
        <v>9</v>
      </c>
      <c r="J102" s="23"/>
      <c r="K102" s="22"/>
      <c r="L102" s="22"/>
      <c r="M102" s="23"/>
      <c r="N102" s="23"/>
      <c r="O102" s="26" t="s">
        <v>927</v>
      </c>
      <c r="P102" s="26"/>
      <c r="Q102" s="22"/>
      <c r="R102" s="24"/>
      <c r="S102" s="24"/>
      <c r="T102" s="24"/>
      <c r="U102" s="24"/>
      <c r="V102" s="24"/>
      <c r="W102" s="22" t="s">
        <v>151</v>
      </c>
      <c r="X102" s="4" t="str">
        <f>IF(Tabela2[[#This Row],[sigla]]="","",VLOOKUP(Tabela2[[#This Row],[sigla]],créditos_base!B:C,2,0))</f>
        <v>ROGÉRIO CASAGRANDE/ARQUIVO DA EDITORA</v>
      </c>
      <c r="Y102" s="23"/>
      <c r="Z102" s="23" t="str">
        <f>Tabela2[[#This Row],[ilustrador]]</f>
        <v>ROGÉRIO CASAGRANDE/ARQUIVO DA EDITORA</v>
      </c>
      <c r="AA102" s="22"/>
      <c r="AB102" s="20"/>
      <c r="AC102" s="20"/>
      <c r="AD102" s="4" t="str">
        <f>"Pitanguá"</f>
        <v>Pitanguá</v>
      </c>
      <c r="AE102" s="14" t="str">
        <f>"Matemática"</f>
        <v>Matemática</v>
      </c>
    </row>
    <row r="103" spans="1:31" s="14" customFormat="1" x14ac:dyDescent="0.3">
      <c r="A103" s="23" t="s">
        <v>5409</v>
      </c>
      <c r="B103" s="20" t="s">
        <v>16</v>
      </c>
      <c r="C103" s="20" t="s">
        <v>89</v>
      </c>
      <c r="D103" s="20" t="s">
        <v>8</v>
      </c>
      <c r="E103" s="22">
        <v>21</v>
      </c>
      <c r="F103" s="22">
        <v>5</v>
      </c>
      <c r="G103" s="22">
        <v>1</v>
      </c>
      <c r="H103" s="22"/>
      <c r="I103" s="23" t="s">
        <v>9</v>
      </c>
      <c r="J103" s="23"/>
      <c r="K103" s="22"/>
      <c r="L103" s="22"/>
      <c r="M103" s="23"/>
      <c r="N103" s="23"/>
      <c r="O103" s="26" t="s">
        <v>5410</v>
      </c>
      <c r="P103" s="26"/>
      <c r="Q103" s="22"/>
      <c r="R103" s="24"/>
      <c r="S103" s="24"/>
      <c r="T103" s="24"/>
      <c r="U103" s="24"/>
      <c r="V103" s="24"/>
      <c r="W103" s="22" t="s">
        <v>468</v>
      </c>
      <c r="X103" s="4" t="str">
        <f>IF(Tabela2[[#This Row],[sigla]]="","",VLOOKUP(Tabela2[[#This Row],[sigla]],créditos_base!B:C,2,0))</f>
        <v>VER DOCUMENTO DE ILS. TÉCNICAS</v>
      </c>
      <c r="Y103" s="23"/>
      <c r="Z103" s="23" t="s">
        <v>661</v>
      </c>
      <c r="AA103" s="22"/>
      <c r="AB103" s="20"/>
      <c r="AC103" s="20"/>
      <c r="AD103" s="4" t="str">
        <f>"Pitanguá"</f>
        <v>Pitanguá</v>
      </c>
      <c r="AE103" s="14" t="str">
        <f>"Matemática"</f>
        <v>Matemática</v>
      </c>
    </row>
    <row r="104" spans="1:31" s="14" customFormat="1" x14ac:dyDescent="0.3">
      <c r="A104" s="23" t="s">
        <v>25</v>
      </c>
      <c r="B104" s="20" t="s">
        <v>16</v>
      </c>
      <c r="C104" s="20" t="s">
        <v>7</v>
      </c>
      <c r="D104" s="20" t="s">
        <v>8</v>
      </c>
      <c r="E104" s="22">
        <v>17</v>
      </c>
      <c r="F104" s="22">
        <v>1</v>
      </c>
      <c r="G104" s="22">
        <v>1</v>
      </c>
      <c r="H104" s="22"/>
      <c r="I104" s="23" t="s">
        <v>9</v>
      </c>
      <c r="J104" s="23"/>
      <c r="K104" s="22"/>
      <c r="L104" s="22"/>
      <c r="M104" s="23"/>
      <c r="N104" s="23"/>
      <c r="O104" s="26" t="s">
        <v>26</v>
      </c>
      <c r="P104" s="26"/>
      <c r="Q104" s="22"/>
      <c r="R104" s="24"/>
      <c r="S104" s="24"/>
      <c r="T104" s="24"/>
      <c r="U104" s="24"/>
      <c r="V104" s="24"/>
      <c r="W104" s="22" t="s">
        <v>12</v>
      </c>
      <c r="X104" s="4" t="str">
        <f>IF(Tabela2[[#This Row],[sigla]]="","",VLOOKUP(Tabela2[[#This Row],[sigla]],créditos_base!B:C,2,0))</f>
        <v>JORGE ZAIBA/ARQUIVO DA EDITORA</v>
      </c>
      <c r="Y104" s="23"/>
      <c r="Z104" s="23" t="str">
        <f>Tabela2[[#This Row],[ilustrador]]</f>
        <v>JORGE ZAIBA/ARQUIVO DA EDITORA</v>
      </c>
      <c r="AA104" s="22"/>
      <c r="AB104" s="20"/>
      <c r="AC104" s="20"/>
      <c r="AD104" s="4" t="str">
        <f>"Pitanguá"</f>
        <v>Pitanguá</v>
      </c>
      <c r="AE104" s="14" t="str">
        <f>"Matemática"</f>
        <v>Matemática</v>
      </c>
    </row>
    <row r="105" spans="1:31" s="14" customFormat="1" x14ac:dyDescent="0.3">
      <c r="A105" s="23" t="s">
        <v>1091</v>
      </c>
      <c r="B105" s="20" t="s">
        <v>16</v>
      </c>
      <c r="C105" s="20" t="s">
        <v>7</v>
      </c>
      <c r="D105" s="20" t="s">
        <v>8</v>
      </c>
      <c r="E105" s="22">
        <v>13</v>
      </c>
      <c r="F105" s="22">
        <v>2</v>
      </c>
      <c r="G105" s="22">
        <v>1</v>
      </c>
      <c r="H105" s="22"/>
      <c r="I105" s="23" t="s">
        <v>9</v>
      </c>
      <c r="J105" s="23"/>
      <c r="K105" s="22"/>
      <c r="L105" s="22"/>
      <c r="M105" s="23"/>
      <c r="N105" s="23"/>
      <c r="O105" s="26" t="s">
        <v>1092</v>
      </c>
      <c r="P105" s="26"/>
      <c r="Q105" s="22"/>
      <c r="R105" s="24"/>
      <c r="S105" s="24"/>
      <c r="T105" s="24"/>
      <c r="U105" s="24"/>
      <c r="V105" s="24"/>
      <c r="W105" s="22" t="s">
        <v>223</v>
      </c>
      <c r="X105" s="4" t="str">
        <f>IF(Tabela2[[#This Row],[sigla]]="","",VLOOKUP(Tabela2[[#This Row],[sigla]],créditos_base!B:C,2,0))</f>
        <v>NATANAELE BILMAIA/ARQUIVO DA EDITORA</v>
      </c>
      <c r="Y105" s="23"/>
      <c r="Z105" s="23" t="str">
        <f>Tabela2[[#This Row],[ilustrador]]</f>
        <v>NATANAELE BILMAIA/ARQUIVO DA EDITORA</v>
      </c>
      <c r="AA105" s="22"/>
      <c r="AB105" s="20"/>
      <c r="AC105" s="20"/>
      <c r="AD105" s="4" t="str">
        <f>"Pitanguá"</f>
        <v>Pitanguá</v>
      </c>
      <c r="AE105" s="14" t="str">
        <f>"Matemática"</f>
        <v>Matemática</v>
      </c>
    </row>
    <row r="106" spans="1:31" s="14" customFormat="1" x14ac:dyDescent="0.3">
      <c r="A106" s="23" t="s">
        <v>1796</v>
      </c>
      <c r="B106" s="20" t="s">
        <v>16</v>
      </c>
      <c r="C106" s="20" t="s">
        <v>7</v>
      </c>
      <c r="D106" s="20" t="s">
        <v>8</v>
      </c>
      <c r="E106" s="22">
        <v>16</v>
      </c>
      <c r="F106" s="22">
        <v>3</v>
      </c>
      <c r="G106" s="22">
        <v>1</v>
      </c>
      <c r="H106" s="22"/>
      <c r="I106" s="23" t="s">
        <v>33</v>
      </c>
      <c r="J106" s="23"/>
      <c r="K106" s="22"/>
      <c r="L106" s="22"/>
      <c r="M106" s="23"/>
      <c r="N106" s="23"/>
      <c r="O106" s="26" t="s">
        <v>1797</v>
      </c>
      <c r="P106" s="26"/>
      <c r="Q106" s="22">
        <v>78</v>
      </c>
      <c r="R106" s="24">
        <v>45820</v>
      </c>
      <c r="S106" s="24">
        <v>45832</v>
      </c>
      <c r="T106" s="24"/>
      <c r="U106" s="24"/>
      <c r="V106" s="24">
        <v>45832</v>
      </c>
      <c r="W106" s="22" t="s">
        <v>460</v>
      </c>
      <c r="X106" s="4" t="str">
        <f>IF(Tabela2[[#This Row],[sigla]]="","",VLOOKUP(Tabela2[[#This Row],[sigla]],créditos_base!B:C,2,0))</f>
        <v>CLAUDIA SOUZA/ARQUIVO DA EDITORA</v>
      </c>
      <c r="Y106" s="23" t="s">
        <v>880</v>
      </c>
      <c r="Z106" s="23" t="str">
        <f>Tabela2[[#This Row],[ilustrador]]</f>
        <v>CLAUDIA SOUZA/ARQUIVO DA EDITORA</v>
      </c>
      <c r="AA106" s="22">
        <v>13</v>
      </c>
      <c r="AB106" s="20" t="s">
        <v>244</v>
      </c>
      <c r="AC106" s="20" t="s">
        <v>36</v>
      </c>
      <c r="AD106" s="4" t="str">
        <f>"Pitanguá"</f>
        <v>Pitanguá</v>
      </c>
      <c r="AE106" s="14" t="str">
        <f>"Matemática"</f>
        <v>Matemática</v>
      </c>
    </row>
    <row r="107" spans="1:31" s="14" customFormat="1" x14ac:dyDescent="0.3">
      <c r="A107" s="23" t="s">
        <v>928</v>
      </c>
      <c r="B107" s="20" t="s">
        <v>16</v>
      </c>
      <c r="C107" s="20" t="s">
        <v>89</v>
      </c>
      <c r="D107" s="20" t="s">
        <v>8</v>
      </c>
      <c r="E107" s="22">
        <v>15</v>
      </c>
      <c r="F107" s="22">
        <v>4</v>
      </c>
      <c r="G107" s="22"/>
      <c r="H107" s="22" t="s">
        <v>736</v>
      </c>
      <c r="I107" s="23" t="s">
        <v>9</v>
      </c>
      <c r="J107" s="23"/>
      <c r="K107" s="22"/>
      <c r="L107" s="22"/>
      <c r="M107" s="23"/>
      <c r="N107" s="23"/>
      <c r="O107" s="26" t="s">
        <v>929</v>
      </c>
      <c r="P107" s="26"/>
      <c r="Q107" s="22"/>
      <c r="R107" s="24"/>
      <c r="S107" s="24"/>
      <c r="T107" s="24"/>
      <c r="U107" s="24"/>
      <c r="V107" s="24"/>
      <c r="W107" s="22" t="s">
        <v>151</v>
      </c>
      <c r="X107" s="4" t="str">
        <f>IF(Tabela2[[#This Row],[sigla]]="","",VLOOKUP(Tabela2[[#This Row],[sigla]],créditos_base!B:C,2,0))</f>
        <v>ROGÉRIO CASAGRANDE/ARQUIVO DA EDITORA</v>
      </c>
      <c r="Y107" s="23"/>
      <c r="Z107" s="23" t="str">
        <f>Tabela2[[#This Row],[ilustrador]]</f>
        <v>ROGÉRIO CASAGRANDE/ARQUIVO DA EDITORA</v>
      </c>
      <c r="AA107" s="22"/>
      <c r="AB107" s="20"/>
      <c r="AC107" s="20"/>
      <c r="AD107" s="4" t="str">
        <f>"Pitanguá"</f>
        <v>Pitanguá</v>
      </c>
      <c r="AE107" s="14" t="str">
        <f>"Matemática"</f>
        <v>Matemática</v>
      </c>
    </row>
    <row r="108" spans="1:31" s="14" customFormat="1" x14ac:dyDescent="0.3">
      <c r="A108" s="23" t="s">
        <v>5411</v>
      </c>
      <c r="B108" s="20" t="s">
        <v>16</v>
      </c>
      <c r="C108" s="20" t="s">
        <v>7</v>
      </c>
      <c r="D108" s="20" t="s">
        <v>8</v>
      </c>
      <c r="E108" s="22">
        <v>21</v>
      </c>
      <c r="F108" s="22">
        <v>5</v>
      </c>
      <c r="G108" s="22">
        <v>1</v>
      </c>
      <c r="H108" s="22"/>
      <c r="I108" s="23" t="s">
        <v>9</v>
      </c>
      <c r="J108" s="23"/>
      <c r="K108" s="22"/>
      <c r="L108" s="22"/>
      <c r="M108" s="23"/>
      <c r="N108" s="23"/>
      <c r="O108" s="26" t="s">
        <v>5412</v>
      </c>
      <c r="P108" s="26"/>
      <c r="Q108" s="22"/>
      <c r="R108" s="24"/>
      <c r="S108" s="24"/>
      <c r="T108" s="24"/>
      <c r="U108" s="24"/>
      <c r="V108" s="24"/>
      <c r="W108" s="22" t="s">
        <v>3189</v>
      </c>
      <c r="X108" s="4" t="str">
        <f>IF(Tabela2[[#This Row],[sigla]]="","",VLOOKUP(Tabela2[[#This Row],[sigla]],créditos_base!B:C,2,0))</f>
        <v>ANDRÉ AGUIAR/ARQUIVO DA EDITORA</v>
      </c>
      <c r="Y108" s="23"/>
      <c r="Z108" s="23" t="str">
        <f>Tabela2[[#This Row],[ilustrador]]</f>
        <v>ANDRÉ AGUIAR/ARQUIVO DA EDITORA</v>
      </c>
      <c r="AA108" s="22"/>
      <c r="AB108" s="20"/>
      <c r="AC108" s="20"/>
      <c r="AD108" s="4" t="str">
        <f>"Pitanguá"</f>
        <v>Pitanguá</v>
      </c>
      <c r="AE108" s="14" t="str">
        <f>"Matemática"</f>
        <v>Matemática</v>
      </c>
    </row>
    <row r="109" spans="1:31" s="14" customFormat="1" ht="43.2" x14ac:dyDescent="0.3">
      <c r="A109" s="23" t="s">
        <v>27</v>
      </c>
      <c r="B109" s="20" t="s">
        <v>16</v>
      </c>
      <c r="C109" s="20" t="s">
        <v>7</v>
      </c>
      <c r="D109" s="20" t="s">
        <v>8</v>
      </c>
      <c r="E109" s="22">
        <v>17</v>
      </c>
      <c r="F109" s="22">
        <v>1</v>
      </c>
      <c r="G109" s="22">
        <v>1</v>
      </c>
      <c r="H109" s="22"/>
      <c r="I109" s="23" t="s">
        <v>9</v>
      </c>
      <c r="J109" s="23"/>
      <c r="K109" s="22"/>
      <c r="L109" s="22"/>
      <c r="M109" s="23"/>
      <c r="N109" s="23"/>
      <c r="O109" s="26" t="s">
        <v>28</v>
      </c>
      <c r="P109" s="26"/>
      <c r="Q109" s="22"/>
      <c r="R109" s="24"/>
      <c r="S109" s="24"/>
      <c r="T109" s="24"/>
      <c r="U109" s="24"/>
      <c r="V109" s="24"/>
      <c r="W109" s="22" t="s">
        <v>12</v>
      </c>
      <c r="X109" s="4" t="str">
        <f>IF(Tabela2[[#This Row],[sigla]]="","",VLOOKUP(Tabela2[[#This Row],[sigla]],créditos_base!B:C,2,0))</f>
        <v>JORGE ZAIBA/ARQUIVO DA EDITORA</v>
      </c>
      <c r="Y109" s="23"/>
      <c r="Z109" s="23" t="str">
        <f>Tabela2[[#This Row],[ilustrador]]</f>
        <v>JORGE ZAIBA/ARQUIVO DA EDITORA</v>
      </c>
      <c r="AA109" s="22"/>
      <c r="AB109" s="20"/>
      <c r="AC109" s="20"/>
      <c r="AD109" s="4" t="str">
        <f>"Pitanguá"</f>
        <v>Pitanguá</v>
      </c>
      <c r="AE109" s="14" t="str">
        <f>"Matemática"</f>
        <v>Matemática</v>
      </c>
    </row>
    <row r="110" spans="1:31" s="14" customFormat="1" x14ac:dyDescent="0.3">
      <c r="A110" s="23" t="s">
        <v>1093</v>
      </c>
      <c r="B110" s="20" t="s">
        <v>16</v>
      </c>
      <c r="C110" s="20" t="s">
        <v>7</v>
      </c>
      <c r="D110" s="20" t="s">
        <v>8</v>
      </c>
      <c r="E110" s="22">
        <v>13</v>
      </c>
      <c r="F110" s="22">
        <v>2</v>
      </c>
      <c r="G110" s="22">
        <v>1</v>
      </c>
      <c r="H110" s="22"/>
      <c r="I110" s="23" t="s">
        <v>9</v>
      </c>
      <c r="J110" s="23"/>
      <c r="K110" s="22"/>
      <c r="L110" s="22"/>
      <c r="M110" s="23"/>
      <c r="N110" s="23"/>
      <c r="O110" s="26" t="s">
        <v>1094</v>
      </c>
      <c r="P110" s="26"/>
      <c r="Q110" s="22"/>
      <c r="R110" s="24"/>
      <c r="S110" s="24"/>
      <c r="T110" s="24"/>
      <c r="U110" s="24"/>
      <c r="V110" s="24"/>
      <c r="W110" s="22" t="s">
        <v>223</v>
      </c>
      <c r="X110" s="4" t="str">
        <f>IF(Tabela2[[#This Row],[sigla]]="","",VLOOKUP(Tabela2[[#This Row],[sigla]],créditos_base!B:C,2,0))</f>
        <v>NATANAELE BILMAIA/ARQUIVO DA EDITORA</v>
      </c>
      <c r="Y110" s="23"/>
      <c r="Z110" s="23" t="str">
        <f>Tabela2[[#This Row],[ilustrador]]</f>
        <v>NATANAELE BILMAIA/ARQUIVO DA EDITORA</v>
      </c>
      <c r="AA110" s="22"/>
      <c r="AB110" s="20"/>
      <c r="AC110" s="20"/>
      <c r="AD110" s="4" t="str">
        <f>"Pitanguá"</f>
        <v>Pitanguá</v>
      </c>
      <c r="AE110" s="14" t="str">
        <f>"Matemática"</f>
        <v>Matemática</v>
      </c>
    </row>
    <row r="111" spans="1:31" s="14" customFormat="1" x14ac:dyDescent="0.3">
      <c r="A111" s="23" t="s">
        <v>1798</v>
      </c>
      <c r="B111" s="20" t="s">
        <v>16</v>
      </c>
      <c r="C111" s="20" t="s">
        <v>7</v>
      </c>
      <c r="D111" s="20" t="s">
        <v>8</v>
      </c>
      <c r="E111" s="22">
        <v>16</v>
      </c>
      <c r="F111" s="22">
        <v>3</v>
      </c>
      <c r="G111" s="22">
        <v>1</v>
      </c>
      <c r="H111" s="22"/>
      <c r="I111" s="23" t="s">
        <v>33</v>
      </c>
      <c r="J111" s="23"/>
      <c r="K111" s="22"/>
      <c r="L111" s="22"/>
      <c r="M111" s="23"/>
      <c r="N111" s="23"/>
      <c r="O111" s="26" t="s">
        <v>1799</v>
      </c>
      <c r="P111" s="26"/>
      <c r="Q111" s="22">
        <v>78</v>
      </c>
      <c r="R111" s="24">
        <v>45820</v>
      </c>
      <c r="S111" s="24">
        <v>45832</v>
      </c>
      <c r="T111" s="24"/>
      <c r="U111" s="24"/>
      <c r="V111" s="24">
        <v>45832</v>
      </c>
      <c r="W111" s="22" t="s">
        <v>460</v>
      </c>
      <c r="X111" s="4" t="str">
        <f>IF(Tabela2[[#This Row],[sigla]]="","",VLOOKUP(Tabela2[[#This Row],[sigla]],créditos_base!B:C,2,0))</f>
        <v>CLAUDIA SOUZA/ARQUIVO DA EDITORA</v>
      </c>
      <c r="Y111" s="23" t="s">
        <v>880</v>
      </c>
      <c r="Z111" s="23" t="str">
        <f>Tabela2[[#This Row],[ilustrador]]</f>
        <v>CLAUDIA SOUZA/ARQUIVO DA EDITORA</v>
      </c>
      <c r="AA111" s="22">
        <v>13</v>
      </c>
      <c r="AB111" s="20" t="s">
        <v>244</v>
      </c>
      <c r="AC111" s="20" t="s">
        <v>36</v>
      </c>
      <c r="AD111" s="4" t="str">
        <f>"Pitanguá"</f>
        <v>Pitanguá</v>
      </c>
      <c r="AE111" s="14" t="str">
        <f>"Matemática"</f>
        <v>Matemática</v>
      </c>
    </row>
    <row r="112" spans="1:31" s="14" customFormat="1" x14ac:dyDescent="0.3">
      <c r="A112" s="23" t="s">
        <v>930</v>
      </c>
      <c r="B112" s="20" t="s">
        <v>6</v>
      </c>
      <c r="C112" s="20" t="s">
        <v>89</v>
      </c>
      <c r="D112" s="20" t="s">
        <v>8</v>
      </c>
      <c r="E112" s="22">
        <v>15</v>
      </c>
      <c r="F112" s="22">
        <v>4</v>
      </c>
      <c r="G112" s="22"/>
      <c r="H112" s="22" t="s">
        <v>736</v>
      </c>
      <c r="I112" s="23" t="s">
        <v>9</v>
      </c>
      <c r="J112" s="23"/>
      <c r="K112" s="22"/>
      <c r="L112" s="22"/>
      <c r="M112" s="23"/>
      <c r="N112" s="23"/>
      <c r="O112" s="26" t="s">
        <v>931</v>
      </c>
      <c r="P112" s="26"/>
      <c r="Q112" s="22"/>
      <c r="R112" s="24"/>
      <c r="S112" s="24"/>
      <c r="T112" s="24"/>
      <c r="U112" s="24"/>
      <c r="V112" s="24"/>
      <c r="W112" s="22" t="s">
        <v>151</v>
      </c>
      <c r="X112" s="4" t="str">
        <f>IF(Tabela2[[#This Row],[sigla]]="","",VLOOKUP(Tabela2[[#This Row],[sigla]],créditos_base!B:C,2,0))</f>
        <v>ROGÉRIO CASAGRANDE/ARQUIVO DA EDITORA</v>
      </c>
      <c r="Y112" s="23"/>
      <c r="Z112" s="23" t="str">
        <f>Tabela2[[#This Row],[ilustrador]]</f>
        <v>ROGÉRIO CASAGRANDE/ARQUIVO DA EDITORA</v>
      </c>
      <c r="AA112" s="22"/>
      <c r="AB112" s="20"/>
      <c r="AC112" s="20"/>
      <c r="AD112" s="4" t="str">
        <f>"Pitanguá"</f>
        <v>Pitanguá</v>
      </c>
      <c r="AE112" s="14" t="str">
        <f>"Matemática"</f>
        <v>Matemática</v>
      </c>
    </row>
    <row r="113" spans="1:31" s="14" customFormat="1" x14ac:dyDescent="0.3">
      <c r="A113" s="23" t="s">
        <v>5413</v>
      </c>
      <c r="B113" s="20" t="s">
        <v>16</v>
      </c>
      <c r="C113" s="20" t="s">
        <v>7</v>
      </c>
      <c r="D113" s="20" t="s">
        <v>8</v>
      </c>
      <c r="E113" s="22">
        <v>22</v>
      </c>
      <c r="F113" s="22">
        <v>5</v>
      </c>
      <c r="G113" s="22">
        <v>1</v>
      </c>
      <c r="H113" s="22"/>
      <c r="I113" s="23" t="s">
        <v>9</v>
      </c>
      <c r="J113" s="23"/>
      <c r="K113" s="22"/>
      <c r="L113" s="22"/>
      <c r="M113" s="23"/>
      <c r="N113" s="23"/>
      <c r="O113" s="20" t="s">
        <v>5414</v>
      </c>
      <c r="P113" s="26"/>
      <c r="Q113" s="22"/>
      <c r="R113" s="24"/>
      <c r="S113" s="24"/>
      <c r="T113" s="24"/>
      <c r="U113" s="24"/>
      <c r="V113" s="24"/>
      <c r="W113" s="22" t="s">
        <v>327</v>
      </c>
      <c r="X113" s="4" t="str">
        <f>IF(Tabela2[[#This Row],[sigla]]="","",VLOOKUP(Tabela2[[#This Row],[sigla]],créditos_base!B:C,2,0))</f>
        <v>RAFAEL LAM/ARQUIVO DA EDITORA</v>
      </c>
      <c r="Y113" s="23"/>
      <c r="Z113" s="23" t="str">
        <f>Tabela2[[#This Row],[ilustrador]]</f>
        <v>RAFAEL LAM/ARQUIVO DA EDITORA</v>
      </c>
      <c r="AA113" s="22"/>
      <c r="AB113" s="20"/>
      <c r="AC113" s="20"/>
      <c r="AD113" s="4" t="str">
        <f>"Pitanguá"</f>
        <v>Pitanguá</v>
      </c>
      <c r="AE113" s="14" t="str">
        <f>"Matemática"</f>
        <v>Matemática</v>
      </c>
    </row>
    <row r="114" spans="1:31" s="14" customFormat="1" x14ac:dyDescent="0.3">
      <c r="A114" s="23" t="s">
        <v>29</v>
      </c>
      <c r="B114" s="20" t="s">
        <v>16</v>
      </c>
      <c r="C114" s="20" t="s">
        <v>7</v>
      </c>
      <c r="D114" s="20" t="s">
        <v>8</v>
      </c>
      <c r="E114" s="22">
        <v>18</v>
      </c>
      <c r="F114" s="22">
        <v>1</v>
      </c>
      <c r="G114" s="22">
        <v>1</v>
      </c>
      <c r="H114" s="22"/>
      <c r="I114" s="23" t="s">
        <v>9</v>
      </c>
      <c r="J114" s="23"/>
      <c r="K114" s="22"/>
      <c r="L114" s="22"/>
      <c r="M114" s="23"/>
      <c r="N114" s="23"/>
      <c r="O114" s="26" t="s">
        <v>30</v>
      </c>
      <c r="P114" s="26"/>
      <c r="Q114" s="22"/>
      <c r="R114" s="24"/>
      <c r="S114" s="24"/>
      <c r="T114" s="24"/>
      <c r="U114" s="24"/>
      <c r="V114" s="24"/>
      <c r="W114" s="22" t="s">
        <v>31</v>
      </c>
      <c r="X114" s="4" t="str">
        <f>IF(Tabela2[[#This Row],[sigla]]="","",VLOOKUP(Tabela2[[#This Row],[sigla]],créditos_base!B:C,2,0))</f>
        <v>SILVIA OTOFUJI/ARQUIVO DA EDITORA</v>
      </c>
      <c r="Y114" s="23"/>
      <c r="Z114" s="23" t="str">
        <f>Tabela2[[#This Row],[ilustrador]]</f>
        <v>SILVIA OTOFUJI/ARQUIVO DA EDITORA</v>
      </c>
      <c r="AA114" s="22"/>
      <c r="AB114" s="20"/>
      <c r="AC114" s="20"/>
      <c r="AD114" s="4" t="str">
        <f>"Pitanguá"</f>
        <v>Pitanguá</v>
      </c>
      <c r="AE114" s="14" t="str">
        <f>"Matemática"</f>
        <v>Matemática</v>
      </c>
    </row>
    <row r="115" spans="1:31" s="14" customFormat="1" x14ac:dyDescent="0.3">
      <c r="A115" s="23" t="s">
        <v>1095</v>
      </c>
      <c r="B115" s="20" t="s">
        <v>16</v>
      </c>
      <c r="C115" s="20" t="s">
        <v>7</v>
      </c>
      <c r="D115" s="20" t="s">
        <v>8</v>
      </c>
      <c r="E115" s="22">
        <v>16</v>
      </c>
      <c r="F115" s="22">
        <v>2</v>
      </c>
      <c r="G115" s="22">
        <v>1</v>
      </c>
      <c r="H115" s="22"/>
      <c r="I115" s="23" t="s">
        <v>9</v>
      </c>
      <c r="J115" s="23"/>
      <c r="K115" s="22"/>
      <c r="L115" s="22"/>
      <c r="M115" s="23"/>
      <c r="N115" s="23"/>
      <c r="O115" s="26" t="s">
        <v>1096</v>
      </c>
      <c r="P115" s="26"/>
      <c r="Q115" s="22"/>
      <c r="R115" s="24"/>
      <c r="S115" s="24"/>
      <c r="T115" s="24"/>
      <c r="U115" s="24"/>
      <c r="V115" s="24"/>
      <c r="W115" s="22" t="s">
        <v>460</v>
      </c>
      <c r="X115" s="4" t="str">
        <f>IF(Tabela2[[#This Row],[sigla]]="","",VLOOKUP(Tabela2[[#This Row],[sigla]],créditos_base!B:C,2,0))</f>
        <v>CLAUDIA SOUZA/ARQUIVO DA EDITORA</v>
      </c>
      <c r="Y115" s="23"/>
      <c r="Z115" s="23" t="str">
        <f>Tabela2[[#This Row],[ilustrador]]</f>
        <v>CLAUDIA SOUZA/ARQUIVO DA EDITORA</v>
      </c>
      <c r="AA115" s="22"/>
      <c r="AB115" s="20"/>
      <c r="AC115" s="20"/>
      <c r="AD115" s="4" t="str">
        <f>"Pitanguá"</f>
        <v>Pitanguá</v>
      </c>
      <c r="AE115" s="14" t="str">
        <f>"Matemática"</f>
        <v>Matemática</v>
      </c>
    </row>
    <row r="116" spans="1:31" s="14" customFormat="1" x14ac:dyDescent="0.3">
      <c r="A116" s="23" t="s">
        <v>1800</v>
      </c>
      <c r="B116" s="20" t="s">
        <v>16</v>
      </c>
      <c r="C116" s="20" t="s">
        <v>7</v>
      </c>
      <c r="D116" s="20" t="s">
        <v>8</v>
      </c>
      <c r="E116" s="22">
        <v>16</v>
      </c>
      <c r="F116" s="22">
        <v>3</v>
      </c>
      <c r="G116" s="22">
        <v>1</v>
      </c>
      <c r="H116" s="22"/>
      <c r="I116" s="23" t="s">
        <v>33</v>
      </c>
      <c r="J116" s="23"/>
      <c r="K116" s="22"/>
      <c r="L116" s="22"/>
      <c r="M116" s="23"/>
      <c r="N116" s="23"/>
      <c r="O116" s="26" t="s">
        <v>1801</v>
      </c>
      <c r="P116" s="26"/>
      <c r="Q116" s="22">
        <v>78</v>
      </c>
      <c r="R116" s="24">
        <v>45820</v>
      </c>
      <c r="S116" s="24">
        <v>45832</v>
      </c>
      <c r="T116" s="24"/>
      <c r="U116" s="24"/>
      <c r="V116" s="24">
        <v>45832</v>
      </c>
      <c r="W116" s="22" t="s">
        <v>460</v>
      </c>
      <c r="X116" s="4" t="str">
        <f>IF(Tabela2[[#This Row],[sigla]]="","",VLOOKUP(Tabela2[[#This Row],[sigla]],créditos_base!B:C,2,0))</f>
        <v>CLAUDIA SOUZA/ARQUIVO DA EDITORA</v>
      </c>
      <c r="Y116" s="23" t="s">
        <v>880</v>
      </c>
      <c r="Z116" s="23" t="str">
        <f>Tabela2[[#This Row],[ilustrador]]</f>
        <v>CLAUDIA SOUZA/ARQUIVO DA EDITORA</v>
      </c>
      <c r="AA116" s="22">
        <v>13</v>
      </c>
      <c r="AB116" s="20" t="s">
        <v>244</v>
      </c>
      <c r="AC116" s="20" t="s">
        <v>36</v>
      </c>
      <c r="AD116" s="4" t="str">
        <f>"Pitanguá"</f>
        <v>Pitanguá</v>
      </c>
      <c r="AE116" s="14" t="str">
        <f>"Matemática"</f>
        <v>Matemática</v>
      </c>
    </row>
    <row r="117" spans="1:31" s="14" customFormat="1" x14ac:dyDescent="0.3">
      <c r="A117" s="23" t="s">
        <v>932</v>
      </c>
      <c r="B117" s="20" t="s">
        <v>16</v>
      </c>
      <c r="C117" s="20" t="s">
        <v>89</v>
      </c>
      <c r="D117" s="20" t="s">
        <v>8</v>
      </c>
      <c r="E117" s="22">
        <v>15</v>
      </c>
      <c r="F117" s="22">
        <v>4</v>
      </c>
      <c r="G117" s="22"/>
      <c r="H117" s="22" t="s">
        <v>736</v>
      </c>
      <c r="I117" s="23" t="s">
        <v>9</v>
      </c>
      <c r="J117" s="23"/>
      <c r="K117" s="22"/>
      <c r="L117" s="22"/>
      <c r="M117" s="23"/>
      <c r="N117" s="23"/>
      <c r="O117" s="26" t="s">
        <v>933</v>
      </c>
      <c r="P117" s="26"/>
      <c r="Q117" s="22"/>
      <c r="R117" s="24"/>
      <c r="S117" s="24"/>
      <c r="T117" s="24"/>
      <c r="U117" s="24"/>
      <c r="V117" s="24"/>
      <c r="W117" s="22" t="s">
        <v>151</v>
      </c>
      <c r="X117" s="4" t="str">
        <f>IF(Tabela2[[#This Row],[sigla]]="","",VLOOKUP(Tabela2[[#This Row],[sigla]],créditos_base!B:C,2,0))</f>
        <v>ROGÉRIO CASAGRANDE/ARQUIVO DA EDITORA</v>
      </c>
      <c r="Y117" s="23"/>
      <c r="Z117" s="23" t="str">
        <f>Tabela2[[#This Row],[ilustrador]]</f>
        <v>ROGÉRIO CASAGRANDE/ARQUIVO DA EDITORA</v>
      </c>
      <c r="AA117" s="22"/>
      <c r="AB117" s="20"/>
      <c r="AC117" s="20"/>
      <c r="AD117" s="4" t="str">
        <f>"Pitanguá"</f>
        <v>Pitanguá</v>
      </c>
      <c r="AE117" s="14" t="str">
        <f>"Matemática"</f>
        <v>Matemática</v>
      </c>
    </row>
    <row r="118" spans="1:31" s="14" customFormat="1" x14ac:dyDescent="0.3">
      <c r="A118" s="23" t="s">
        <v>32</v>
      </c>
      <c r="B118" s="20" t="s">
        <v>6</v>
      </c>
      <c r="C118" s="20" t="s">
        <v>7</v>
      </c>
      <c r="D118" s="20" t="s">
        <v>8</v>
      </c>
      <c r="E118" s="22">
        <v>19</v>
      </c>
      <c r="F118" s="22">
        <v>1</v>
      </c>
      <c r="G118" s="22">
        <v>1</v>
      </c>
      <c r="H118" s="22"/>
      <c r="I118" s="23" t="s">
        <v>33</v>
      </c>
      <c r="J118" s="23"/>
      <c r="K118" s="22"/>
      <c r="L118" s="22"/>
      <c r="M118" s="23"/>
      <c r="N118" s="23"/>
      <c r="O118" s="26" t="s">
        <v>34</v>
      </c>
      <c r="P118" s="26" t="s">
        <v>35</v>
      </c>
      <c r="Q118" s="22">
        <v>1</v>
      </c>
      <c r="R118" s="24">
        <v>45722</v>
      </c>
      <c r="S118" s="24">
        <v>45722</v>
      </c>
      <c r="T118" s="24"/>
      <c r="U118" s="24"/>
      <c r="V118" s="24">
        <v>45723</v>
      </c>
      <c r="W118" s="22" t="s">
        <v>12</v>
      </c>
      <c r="X118" s="4" t="str">
        <f>IF(Tabela2[[#This Row],[sigla]]="","",VLOOKUP(Tabela2[[#This Row],[sigla]],créditos_base!B:C,2,0))</f>
        <v>JORGE ZAIBA/ARQUIVO DA EDITORA</v>
      </c>
      <c r="Y118" s="23" t="s">
        <v>13</v>
      </c>
      <c r="Z118" s="23" t="str">
        <f>Tabela2[[#This Row],[ilustrador]]</f>
        <v>JORGE ZAIBA/ARQUIVO DA EDITORA</v>
      </c>
      <c r="AA118" s="22">
        <v>14</v>
      </c>
      <c r="AB118" s="20"/>
      <c r="AC118" s="20" t="s">
        <v>36</v>
      </c>
      <c r="AD118" s="4" t="str">
        <f>"Pitanguá"</f>
        <v>Pitanguá</v>
      </c>
      <c r="AE118" s="14" t="str">
        <f>"Matemática"</f>
        <v>Matemática</v>
      </c>
    </row>
    <row r="119" spans="1:31" s="14" customFormat="1" x14ac:dyDescent="0.3">
      <c r="A119" s="23" t="s">
        <v>1097</v>
      </c>
      <c r="B119" s="20" t="s">
        <v>6</v>
      </c>
      <c r="C119" s="20" t="s">
        <v>7</v>
      </c>
      <c r="D119" s="20" t="s">
        <v>8</v>
      </c>
      <c r="E119" s="22">
        <v>17</v>
      </c>
      <c r="F119" s="22">
        <v>2</v>
      </c>
      <c r="G119" s="22">
        <v>1</v>
      </c>
      <c r="H119" s="22"/>
      <c r="I119" s="23" t="s">
        <v>9</v>
      </c>
      <c r="J119" s="23"/>
      <c r="K119" s="22"/>
      <c r="L119" s="22"/>
      <c r="M119" s="23"/>
      <c r="N119" s="23"/>
      <c r="O119" s="26" t="s">
        <v>1098</v>
      </c>
      <c r="P119" s="26" t="s">
        <v>11</v>
      </c>
      <c r="Q119" s="22"/>
      <c r="R119" s="24"/>
      <c r="S119" s="24"/>
      <c r="T119" s="24"/>
      <c r="U119" s="24"/>
      <c r="V119" s="24"/>
      <c r="W119" s="22"/>
      <c r="X119" s="4" t="str">
        <f>IF(Tabela2[[#This Row],[sigla]]="","",VLOOKUP(Tabela2[[#This Row],[sigla]],créditos_base!B:C,2,0))</f>
        <v/>
      </c>
      <c r="Y119" s="23"/>
      <c r="Z119" s="23" t="str">
        <f>Tabela2[[#This Row],[ilustrador]]</f>
        <v/>
      </c>
      <c r="AA119" s="22"/>
      <c r="AB119" s="20"/>
      <c r="AC119" s="20"/>
      <c r="AD119" s="4" t="str">
        <f>"Pitanguá"</f>
        <v>Pitanguá</v>
      </c>
      <c r="AE119" s="14" t="str">
        <f>"Matemática"</f>
        <v>Matemática</v>
      </c>
    </row>
    <row r="120" spans="1:31" s="14" customFormat="1" x14ac:dyDescent="0.3">
      <c r="A120" s="23" t="s">
        <v>1802</v>
      </c>
      <c r="B120" s="20" t="s">
        <v>16</v>
      </c>
      <c r="C120" s="20" t="s">
        <v>7</v>
      </c>
      <c r="D120" s="20" t="s">
        <v>8</v>
      </c>
      <c r="E120" s="22">
        <v>16</v>
      </c>
      <c r="F120" s="22">
        <v>3</v>
      </c>
      <c r="G120" s="22">
        <v>1</v>
      </c>
      <c r="H120" s="22"/>
      <c r="I120" s="23" t="s">
        <v>33</v>
      </c>
      <c r="J120" s="23"/>
      <c r="K120" s="22"/>
      <c r="L120" s="22"/>
      <c r="M120" s="23"/>
      <c r="N120" s="23"/>
      <c r="O120" s="26" t="s">
        <v>1803</v>
      </c>
      <c r="P120" s="26"/>
      <c r="Q120" s="22">
        <v>78</v>
      </c>
      <c r="R120" s="24">
        <v>45820</v>
      </c>
      <c r="S120" s="24">
        <v>45832</v>
      </c>
      <c r="T120" s="24"/>
      <c r="U120" s="24"/>
      <c r="V120" s="24">
        <v>45832</v>
      </c>
      <c r="W120" s="22" t="s">
        <v>460</v>
      </c>
      <c r="X120" s="4" t="str">
        <f>IF(Tabela2[[#This Row],[sigla]]="","",VLOOKUP(Tabela2[[#This Row],[sigla]],créditos_base!B:C,2,0))</f>
        <v>CLAUDIA SOUZA/ARQUIVO DA EDITORA</v>
      </c>
      <c r="Y120" s="23" t="s">
        <v>880</v>
      </c>
      <c r="Z120" s="23" t="str">
        <f>Tabela2[[#This Row],[ilustrador]]</f>
        <v>CLAUDIA SOUZA/ARQUIVO DA EDITORA</v>
      </c>
      <c r="AA120" s="22">
        <v>13</v>
      </c>
      <c r="AB120" s="20" t="s">
        <v>244</v>
      </c>
      <c r="AC120" s="20" t="s">
        <v>36</v>
      </c>
      <c r="AD120" s="4" t="str">
        <f>"Pitanguá"</f>
        <v>Pitanguá</v>
      </c>
      <c r="AE120" s="14" t="str">
        <f>"Matemática"</f>
        <v>Matemática</v>
      </c>
    </row>
    <row r="121" spans="1:31" s="14" customFormat="1" ht="28.8" x14ac:dyDescent="0.3">
      <c r="A121" s="23" t="s">
        <v>934</v>
      </c>
      <c r="B121" s="20" t="s">
        <v>16</v>
      </c>
      <c r="C121" s="20" t="s">
        <v>89</v>
      </c>
      <c r="D121" s="20" t="s">
        <v>8</v>
      </c>
      <c r="E121" s="22">
        <v>15</v>
      </c>
      <c r="F121" s="22">
        <v>4</v>
      </c>
      <c r="G121" s="22"/>
      <c r="H121" s="22" t="s">
        <v>736</v>
      </c>
      <c r="I121" s="23" t="s">
        <v>9</v>
      </c>
      <c r="J121" s="23"/>
      <c r="K121" s="22"/>
      <c r="L121" s="22"/>
      <c r="M121" s="23"/>
      <c r="N121" s="23"/>
      <c r="O121" s="26" t="s">
        <v>935</v>
      </c>
      <c r="P121" s="26"/>
      <c r="Q121" s="22"/>
      <c r="R121" s="24"/>
      <c r="S121" s="24"/>
      <c r="T121" s="24"/>
      <c r="U121" s="24"/>
      <c r="V121" s="24"/>
      <c r="W121" s="22" t="s">
        <v>151</v>
      </c>
      <c r="X121" s="4" t="str">
        <f>IF(Tabela2[[#This Row],[sigla]]="","",VLOOKUP(Tabela2[[#This Row],[sigla]],créditos_base!B:C,2,0))</f>
        <v>ROGÉRIO CASAGRANDE/ARQUIVO DA EDITORA</v>
      </c>
      <c r="Y121" s="23"/>
      <c r="Z121" s="23" t="str">
        <f>Tabela2[[#This Row],[ilustrador]]</f>
        <v>ROGÉRIO CASAGRANDE/ARQUIVO DA EDITORA</v>
      </c>
      <c r="AA121" s="22"/>
      <c r="AB121" s="20"/>
      <c r="AC121" s="20"/>
      <c r="AD121" s="4" t="str">
        <f>"Pitanguá"</f>
        <v>Pitanguá</v>
      </c>
      <c r="AE121" s="14" t="str">
        <f>"Matemática"</f>
        <v>Matemática</v>
      </c>
    </row>
    <row r="122" spans="1:31" s="14" customFormat="1" ht="28.8" x14ac:dyDescent="0.3">
      <c r="A122" s="23" t="s">
        <v>5417</v>
      </c>
      <c r="B122" s="20" t="s">
        <v>16</v>
      </c>
      <c r="C122" s="20" t="s">
        <v>7</v>
      </c>
      <c r="D122" s="20" t="s">
        <v>8</v>
      </c>
      <c r="E122" s="22">
        <v>24</v>
      </c>
      <c r="F122" s="22">
        <v>5</v>
      </c>
      <c r="G122" s="22">
        <v>1</v>
      </c>
      <c r="H122" s="22"/>
      <c r="I122" s="23" t="s">
        <v>9</v>
      </c>
      <c r="J122" s="23"/>
      <c r="K122" s="22"/>
      <c r="L122" s="22"/>
      <c r="M122" s="23"/>
      <c r="N122" s="23"/>
      <c r="O122" s="20" t="s">
        <v>5418</v>
      </c>
      <c r="P122" s="26"/>
      <c r="Q122" s="22"/>
      <c r="R122" s="24"/>
      <c r="S122" s="24"/>
      <c r="T122" s="24"/>
      <c r="U122" s="24"/>
      <c r="V122" s="24"/>
      <c r="W122" s="22" t="s">
        <v>230</v>
      </c>
      <c r="X122" s="4" t="str">
        <f>IF(Tabela2[[#This Row],[sigla]]="","",VLOOKUP(Tabela2[[#This Row],[sigla]],créditos_base!B:C,2,0))</f>
        <v>RAFAEL L. GAION/ARQUIVO DA EDITORA</v>
      </c>
      <c r="Y122" s="23"/>
      <c r="Z122" s="23" t="str">
        <f>Tabela2[[#This Row],[ilustrador]]</f>
        <v>RAFAEL L. GAION/ARQUIVO DA EDITORA</v>
      </c>
      <c r="AA122" s="22"/>
      <c r="AB122" s="20"/>
      <c r="AC122" s="20"/>
      <c r="AD122" s="4" t="str">
        <f>"Pitanguá"</f>
        <v>Pitanguá</v>
      </c>
      <c r="AE122" s="14" t="str">
        <f>"Matemática"</f>
        <v>Matemática</v>
      </c>
    </row>
    <row r="123" spans="1:31" s="14" customFormat="1" ht="28.8" x14ac:dyDescent="0.3">
      <c r="A123" s="23" t="s">
        <v>37</v>
      </c>
      <c r="B123" s="20" t="s">
        <v>16</v>
      </c>
      <c r="C123" s="20" t="s">
        <v>7</v>
      </c>
      <c r="D123" s="20" t="s">
        <v>8</v>
      </c>
      <c r="E123" s="22">
        <v>20</v>
      </c>
      <c r="F123" s="22">
        <v>1</v>
      </c>
      <c r="G123" s="22">
        <v>1</v>
      </c>
      <c r="H123" s="22"/>
      <c r="I123" s="23" t="s">
        <v>9</v>
      </c>
      <c r="J123" s="23"/>
      <c r="K123" s="22"/>
      <c r="L123" s="22"/>
      <c r="M123" s="23"/>
      <c r="N123" s="23"/>
      <c r="O123" s="26" t="s">
        <v>38</v>
      </c>
      <c r="P123" s="26"/>
      <c r="Q123" s="22"/>
      <c r="R123" s="24"/>
      <c r="S123" s="24"/>
      <c r="T123" s="24"/>
      <c r="U123" s="24"/>
      <c r="V123" s="24"/>
      <c r="W123" s="22" t="s">
        <v>12</v>
      </c>
      <c r="X123" s="4" t="str">
        <f>IF(Tabela2[[#This Row],[sigla]]="","",VLOOKUP(Tabela2[[#This Row],[sigla]],créditos_base!B:C,2,0))</f>
        <v>JORGE ZAIBA/ARQUIVO DA EDITORA</v>
      </c>
      <c r="Y123" s="23"/>
      <c r="Z123" s="23" t="str">
        <f>Tabela2[[#This Row],[ilustrador]]</f>
        <v>JORGE ZAIBA/ARQUIVO DA EDITORA</v>
      </c>
      <c r="AA123" s="22"/>
      <c r="AB123" s="20"/>
      <c r="AC123" s="20"/>
      <c r="AD123" s="4" t="str">
        <f>"Pitanguá"</f>
        <v>Pitanguá</v>
      </c>
      <c r="AE123" s="14" t="str">
        <f>"Matemática"</f>
        <v>Matemática</v>
      </c>
    </row>
    <row r="124" spans="1:31" s="14" customFormat="1" ht="28.8" x14ac:dyDescent="0.3">
      <c r="A124" s="23" t="s">
        <v>1099</v>
      </c>
      <c r="B124" s="20" t="s">
        <v>6</v>
      </c>
      <c r="C124" s="20" t="s">
        <v>7</v>
      </c>
      <c r="D124" s="20" t="s">
        <v>8</v>
      </c>
      <c r="E124" s="22">
        <v>17</v>
      </c>
      <c r="F124" s="22">
        <v>2</v>
      </c>
      <c r="G124" s="22">
        <v>1</v>
      </c>
      <c r="H124" s="22"/>
      <c r="I124" s="23" t="s">
        <v>33</v>
      </c>
      <c r="J124" s="23"/>
      <c r="K124" s="22"/>
      <c r="L124" s="22"/>
      <c r="M124" s="23"/>
      <c r="N124" s="23"/>
      <c r="O124" s="26" t="s">
        <v>1100</v>
      </c>
      <c r="P124" s="26" t="s">
        <v>11</v>
      </c>
      <c r="Q124" s="22">
        <v>13</v>
      </c>
      <c r="R124" s="24">
        <v>45743</v>
      </c>
      <c r="S124" s="24">
        <v>45743</v>
      </c>
      <c r="T124" s="24"/>
      <c r="U124" s="24"/>
      <c r="V124" s="24">
        <v>45743</v>
      </c>
      <c r="W124" s="22" t="s">
        <v>468</v>
      </c>
      <c r="X124" s="4" t="str">
        <f>IF(Tabela2[[#This Row],[sigla]]="","",VLOOKUP(Tabela2[[#This Row],[sigla]],créditos_base!B:C,2,0))</f>
        <v>VER DOCUMENTO DE ILS. TÉCNICAS</v>
      </c>
      <c r="Y124" s="23" t="s">
        <v>813</v>
      </c>
      <c r="Z124" s="23" t="str">
        <f>Tabela2[[#This Row],[ilustrador]]</f>
        <v>VER DOCUMENTO DE ILS. TÉCNICAS</v>
      </c>
      <c r="AA124" s="22">
        <v>13</v>
      </c>
      <c r="AB124" s="20" t="s">
        <v>153</v>
      </c>
      <c r="AC124" s="20" t="s">
        <v>36</v>
      </c>
      <c r="AD124" s="4" t="str">
        <f>"Pitanguá"</f>
        <v>Pitanguá</v>
      </c>
      <c r="AE124" s="14" t="str">
        <f>"Matemática"</f>
        <v>Matemática</v>
      </c>
    </row>
    <row r="125" spans="1:31" s="14" customFormat="1" ht="28.8" x14ac:dyDescent="0.3">
      <c r="A125" s="23" t="s">
        <v>1804</v>
      </c>
      <c r="B125" s="20" t="s">
        <v>6</v>
      </c>
      <c r="C125" s="20" t="s">
        <v>7</v>
      </c>
      <c r="D125" s="20" t="s">
        <v>8</v>
      </c>
      <c r="E125" s="22">
        <v>17</v>
      </c>
      <c r="F125" s="22">
        <v>3</v>
      </c>
      <c r="G125" s="22">
        <v>1</v>
      </c>
      <c r="H125" s="22"/>
      <c r="I125" s="23" t="s">
        <v>33</v>
      </c>
      <c r="J125" s="23"/>
      <c r="K125" s="22"/>
      <c r="L125" s="22"/>
      <c r="M125" s="23"/>
      <c r="N125" s="23"/>
      <c r="O125" s="26" t="s">
        <v>1805</v>
      </c>
      <c r="P125" s="26"/>
      <c r="Q125" s="22">
        <v>78</v>
      </c>
      <c r="R125" s="24">
        <v>45820</v>
      </c>
      <c r="S125" s="24"/>
      <c r="T125" s="24"/>
      <c r="U125" s="24"/>
      <c r="V125" s="24">
        <v>45750</v>
      </c>
      <c r="W125" s="22" t="s">
        <v>230</v>
      </c>
      <c r="X125" s="4" t="str">
        <f>IF(Tabela2[[#This Row],[sigla]]="","",VLOOKUP(Tabela2[[#This Row],[sigla]],créditos_base!B:C,2,0))</f>
        <v>RAFAEL L. GAION/ARQUIVO DA EDITORA</v>
      </c>
      <c r="Y125" s="23" t="s">
        <v>152</v>
      </c>
      <c r="Z125" s="23" t="str">
        <f>Tabela2[[#This Row],[ilustrador]]</f>
        <v>RAFAEL L. GAION/ARQUIVO DA EDITORA</v>
      </c>
      <c r="AA125" s="22">
        <v>13</v>
      </c>
      <c r="AB125" s="20" t="s">
        <v>41</v>
      </c>
      <c r="AC125" s="20" t="s">
        <v>36</v>
      </c>
      <c r="AD125" s="4" t="str">
        <f>"Pitanguá"</f>
        <v>Pitanguá</v>
      </c>
      <c r="AE125" s="14" t="str">
        <f>"Matemática"</f>
        <v>Matemática</v>
      </c>
    </row>
    <row r="126" spans="1:31" s="14" customFormat="1" ht="28.8" x14ac:dyDescent="0.3">
      <c r="A126" s="23" t="s">
        <v>936</v>
      </c>
      <c r="B126" s="20" t="s">
        <v>16</v>
      </c>
      <c r="C126" s="20" t="s">
        <v>89</v>
      </c>
      <c r="D126" s="20" t="s">
        <v>8</v>
      </c>
      <c r="E126" s="22">
        <v>15</v>
      </c>
      <c r="F126" s="22">
        <v>4</v>
      </c>
      <c r="G126" s="22"/>
      <c r="H126" s="22" t="s">
        <v>736</v>
      </c>
      <c r="I126" s="23" t="s">
        <v>33</v>
      </c>
      <c r="J126" s="23"/>
      <c r="K126" s="22"/>
      <c r="L126" s="22"/>
      <c r="M126" s="23"/>
      <c r="N126" s="23"/>
      <c r="O126" s="26" t="s">
        <v>937</v>
      </c>
      <c r="P126" s="26"/>
      <c r="Q126" s="22">
        <v>9</v>
      </c>
      <c r="R126" s="24">
        <v>45733</v>
      </c>
      <c r="S126" s="24">
        <v>45736</v>
      </c>
      <c r="T126" s="24"/>
      <c r="U126" s="24"/>
      <c r="V126" s="24">
        <v>45736</v>
      </c>
      <c r="W126" s="22" t="s">
        <v>160</v>
      </c>
      <c r="X126" s="4" t="str">
        <f>IF(Tabela2[[#This Row],[sigla]]="","",VLOOKUP(Tabela2[[#This Row],[sigla]],créditos_base!B:C,2,0))</f>
        <v>SERGIO LIMA/ARQUIVO DA EDITORA</v>
      </c>
      <c r="Y126" s="23" t="s">
        <v>152</v>
      </c>
      <c r="Z126" s="23" t="str">
        <f>Tabela2[[#This Row],[ilustrador]]</f>
        <v>SERGIO LIMA/ARQUIVO DA EDITORA</v>
      </c>
      <c r="AA126" s="22">
        <v>13</v>
      </c>
      <c r="AB126" s="20"/>
      <c r="AC126" s="20"/>
      <c r="AD126" s="4" t="str">
        <f>"Pitanguá"</f>
        <v>Pitanguá</v>
      </c>
      <c r="AE126" s="14" t="str">
        <f>"Matemática"</f>
        <v>Matemática</v>
      </c>
    </row>
    <row r="127" spans="1:31" s="14" customFormat="1" x14ac:dyDescent="0.3">
      <c r="A127" s="23" t="s">
        <v>5419</v>
      </c>
      <c r="B127" s="20" t="s">
        <v>16</v>
      </c>
      <c r="C127" s="20" t="s">
        <v>7</v>
      </c>
      <c r="D127" s="20" t="s">
        <v>8</v>
      </c>
      <c r="E127" s="22">
        <v>24</v>
      </c>
      <c r="F127" s="22">
        <v>5</v>
      </c>
      <c r="G127" s="22">
        <v>1</v>
      </c>
      <c r="H127" s="22"/>
      <c r="I127" s="23" t="s">
        <v>9</v>
      </c>
      <c r="J127" s="23"/>
      <c r="K127" s="22"/>
      <c r="L127" s="22"/>
      <c r="M127" s="23"/>
      <c r="N127" s="23"/>
      <c r="O127" s="20" t="s">
        <v>5420</v>
      </c>
      <c r="P127" s="26"/>
      <c r="Q127" s="22"/>
      <c r="R127" s="24"/>
      <c r="S127" s="24"/>
      <c r="T127" s="24"/>
      <c r="U127" s="24"/>
      <c r="V127" s="24"/>
      <c r="W127" s="22" t="s">
        <v>230</v>
      </c>
      <c r="X127" s="4" t="str">
        <f>IF(Tabela2[[#This Row],[sigla]]="","",VLOOKUP(Tabela2[[#This Row],[sigla]],créditos_base!B:C,2,0))</f>
        <v>RAFAEL L. GAION/ARQUIVO DA EDITORA</v>
      </c>
      <c r="Y127" s="23"/>
      <c r="Z127" s="23" t="str">
        <f>Tabela2[[#This Row],[ilustrador]]</f>
        <v>RAFAEL L. GAION/ARQUIVO DA EDITORA</v>
      </c>
      <c r="AA127" s="22"/>
      <c r="AB127" s="20"/>
      <c r="AC127" s="20"/>
      <c r="AD127" s="4" t="str">
        <f>"Pitanguá"</f>
        <v>Pitanguá</v>
      </c>
      <c r="AE127" s="14" t="str">
        <f>"Matemática"</f>
        <v>Matemática</v>
      </c>
    </row>
    <row r="128" spans="1:31" s="14" customFormat="1" x14ac:dyDescent="0.3">
      <c r="A128" s="23" t="s">
        <v>39</v>
      </c>
      <c r="B128" s="20" t="s">
        <v>16</v>
      </c>
      <c r="C128" s="20" t="s">
        <v>7</v>
      </c>
      <c r="D128" s="20" t="s">
        <v>8</v>
      </c>
      <c r="E128" s="22">
        <v>20</v>
      </c>
      <c r="F128" s="22">
        <v>1</v>
      </c>
      <c r="G128" s="22">
        <v>1</v>
      </c>
      <c r="H128" s="22"/>
      <c r="I128" s="23" t="s">
        <v>33</v>
      </c>
      <c r="J128" s="23"/>
      <c r="K128" s="22"/>
      <c r="L128" s="22"/>
      <c r="M128" s="23"/>
      <c r="N128" s="23"/>
      <c r="O128" s="26" t="s">
        <v>40</v>
      </c>
      <c r="P128" s="26"/>
      <c r="Q128" s="22">
        <v>25</v>
      </c>
      <c r="R128" s="24">
        <v>45751</v>
      </c>
      <c r="S128" s="24">
        <v>45751</v>
      </c>
      <c r="T128" s="24"/>
      <c r="U128" s="24"/>
      <c r="V128" s="24">
        <v>45754</v>
      </c>
      <c r="W128" s="22" t="s">
        <v>12</v>
      </c>
      <c r="X128" s="4" t="str">
        <f>IF(Tabela2[[#This Row],[sigla]]="","",VLOOKUP(Tabela2[[#This Row],[sigla]],créditos_base!B:C,2,0))</f>
        <v>JORGE ZAIBA/ARQUIVO DA EDITORA</v>
      </c>
      <c r="Y128" s="23" t="s">
        <v>13</v>
      </c>
      <c r="Z128" s="23" t="str">
        <f>Tabela2[[#This Row],[ilustrador]]</f>
        <v>JORGE ZAIBA/ARQUIVO DA EDITORA</v>
      </c>
      <c r="AA128" s="22">
        <v>14</v>
      </c>
      <c r="AB128" s="20" t="s">
        <v>41</v>
      </c>
      <c r="AC128" s="20" t="s">
        <v>36</v>
      </c>
      <c r="AD128" s="4" t="str">
        <f>"Pitanguá"</f>
        <v>Pitanguá</v>
      </c>
      <c r="AE128" s="14" t="str">
        <f>"Matemática"</f>
        <v>Matemática</v>
      </c>
    </row>
    <row r="129" spans="1:31" s="14" customFormat="1" x14ac:dyDescent="0.3">
      <c r="A129" s="23" t="s">
        <v>1140</v>
      </c>
      <c r="B129" s="20" t="s">
        <v>6</v>
      </c>
      <c r="C129" s="20" t="s">
        <v>7</v>
      </c>
      <c r="D129" s="20" t="s">
        <v>8</v>
      </c>
      <c r="E129" s="22">
        <v>18</v>
      </c>
      <c r="F129" s="22">
        <v>2</v>
      </c>
      <c r="G129" s="22">
        <v>1</v>
      </c>
      <c r="H129" s="22">
        <v>1</v>
      </c>
      <c r="I129" s="23" t="s">
        <v>9</v>
      </c>
      <c r="J129" s="23"/>
      <c r="K129" s="22"/>
      <c r="L129" s="22"/>
      <c r="M129" s="23"/>
      <c r="N129" s="23"/>
      <c r="O129" s="26" t="s">
        <v>1141</v>
      </c>
      <c r="P129" s="26" t="s">
        <v>11</v>
      </c>
      <c r="Q129" s="22"/>
      <c r="R129" s="24"/>
      <c r="S129" s="24">
        <v>45913</v>
      </c>
      <c r="T129" s="24"/>
      <c r="U129" s="24"/>
      <c r="V129" s="24"/>
      <c r="W129" s="22" t="s">
        <v>468</v>
      </c>
      <c r="X129" s="4" t="str">
        <f>IF(Tabela2[[#This Row],[sigla]]="","",VLOOKUP(Tabela2[[#This Row],[sigla]],créditos_base!B:C,2,0))</f>
        <v>VER DOCUMENTO DE ILS. TÉCNICAS</v>
      </c>
      <c r="Y129" s="23"/>
      <c r="Z129" s="23" t="s">
        <v>689</v>
      </c>
      <c r="AA129" s="22"/>
      <c r="AB129" s="20"/>
      <c r="AC129" s="20"/>
      <c r="AD129" s="4" t="str">
        <f>"Pitanguá"</f>
        <v>Pitanguá</v>
      </c>
      <c r="AE129" s="14" t="str">
        <f>"Matemática"</f>
        <v>Matemática</v>
      </c>
    </row>
    <row r="130" spans="1:31" s="14" customFormat="1" x14ac:dyDescent="0.3">
      <c r="A130" s="23" t="s">
        <v>4773</v>
      </c>
      <c r="B130" s="20" t="s">
        <v>6</v>
      </c>
      <c r="C130" s="20" t="s">
        <v>7</v>
      </c>
      <c r="D130" s="20" t="s">
        <v>8</v>
      </c>
      <c r="E130" s="22">
        <v>25</v>
      </c>
      <c r="F130" s="22">
        <v>3</v>
      </c>
      <c r="G130" s="22">
        <v>1</v>
      </c>
      <c r="H130" s="22"/>
      <c r="I130" s="23" t="s">
        <v>33</v>
      </c>
      <c r="J130" s="23"/>
      <c r="K130" s="22"/>
      <c r="L130" s="22"/>
      <c r="M130" s="23"/>
      <c r="N130" s="23"/>
      <c r="O130" s="26" t="s">
        <v>4774</v>
      </c>
      <c r="P130" s="26" t="s">
        <v>4775</v>
      </c>
      <c r="Q130" s="22">
        <v>78</v>
      </c>
      <c r="R130" s="24">
        <v>45820</v>
      </c>
      <c r="S130" s="24">
        <v>45825</v>
      </c>
      <c r="T130" s="24"/>
      <c r="U130" s="24"/>
      <c r="V130" s="24">
        <v>45826</v>
      </c>
      <c r="W130" s="22" t="s">
        <v>230</v>
      </c>
      <c r="X130" s="4" t="str">
        <f>IF(Tabela2[[#This Row],[sigla]]="","",VLOOKUP(Tabela2[[#This Row],[sigla]],créditos_base!B:C,2,0))</f>
        <v>RAFAEL L. GAION/ARQUIVO DA EDITORA</v>
      </c>
      <c r="Y130" s="23" t="s">
        <v>1503</v>
      </c>
      <c r="Z130" s="23" t="str">
        <f>Tabela2[[#This Row],[ilustrador]]</f>
        <v>RAFAEL L. GAION/ARQUIVO DA EDITORA</v>
      </c>
      <c r="AA130" s="22">
        <v>13</v>
      </c>
      <c r="AB130" s="20" t="s">
        <v>41</v>
      </c>
      <c r="AC130" s="20" t="s">
        <v>36</v>
      </c>
      <c r="AD130" s="4" t="str">
        <f>"Pitanguá"</f>
        <v>Pitanguá</v>
      </c>
      <c r="AE130" s="14" t="str">
        <f>"Matemática"</f>
        <v>Matemática</v>
      </c>
    </row>
    <row r="131" spans="1:31" s="14" customFormat="1" x14ac:dyDescent="0.3">
      <c r="A131" s="23" t="s">
        <v>42</v>
      </c>
      <c r="B131" s="20" t="s">
        <v>16</v>
      </c>
      <c r="C131" s="20" t="s">
        <v>7</v>
      </c>
      <c r="D131" s="20" t="s">
        <v>8</v>
      </c>
      <c r="E131" s="22">
        <v>21</v>
      </c>
      <c r="F131" s="22">
        <v>1</v>
      </c>
      <c r="G131" s="22">
        <v>1</v>
      </c>
      <c r="H131" s="22"/>
      <c r="I131" s="23" t="s">
        <v>9</v>
      </c>
      <c r="J131" s="23"/>
      <c r="K131" s="22"/>
      <c r="L131" s="22"/>
      <c r="M131" s="23"/>
      <c r="N131" s="23"/>
      <c r="O131" s="26" t="s">
        <v>43</v>
      </c>
      <c r="P131" s="26"/>
      <c r="Q131" s="22"/>
      <c r="R131" s="24"/>
      <c r="S131" s="24"/>
      <c r="T131" s="24"/>
      <c r="U131" s="24"/>
      <c r="V131" s="24"/>
      <c r="W131" s="22" t="s">
        <v>31</v>
      </c>
      <c r="X131" s="4" t="str">
        <f>IF(Tabela2[[#This Row],[sigla]]="","",VLOOKUP(Tabela2[[#This Row],[sigla]],créditos_base!B:C,2,0))</f>
        <v>SILVIA OTOFUJI/ARQUIVO DA EDITORA</v>
      </c>
      <c r="Y131" s="23"/>
      <c r="Z131" s="23" t="str">
        <f>Tabela2[[#This Row],[ilustrador]]</f>
        <v>SILVIA OTOFUJI/ARQUIVO DA EDITORA</v>
      </c>
      <c r="AA131" s="22"/>
      <c r="AB131" s="20"/>
      <c r="AC131" s="20"/>
      <c r="AD131" s="4" t="str">
        <f>"Pitanguá"</f>
        <v>Pitanguá</v>
      </c>
      <c r="AE131" s="14" t="str">
        <f>"Matemática"</f>
        <v>Matemática</v>
      </c>
    </row>
    <row r="132" spans="1:31" s="14" customFormat="1" x14ac:dyDescent="0.3">
      <c r="A132" s="23" t="s">
        <v>1142</v>
      </c>
      <c r="B132" s="20" t="s">
        <v>6</v>
      </c>
      <c r="C132" s="20" t="s">
        <v>7</v>
      </c>
      <c r="D132" s="20" t="s">
        <v>8</v>
      </c>
      <c r="E132" s="22">
        <v>18</v>
      </c>
      <c r="F132" s="22">
        <v>2</v>
      </c>
      <c r="G132" s="22">
        <v>1</v>
      </c>
      <c r="H132" s="22">
        <v>1</v>
      </c>
      <c r="I132" s="23" t="s">
        <v>9</v>
      </c>
      <c r="J132" s="23"/>
      <c r="K132" s="22"/>
      <c r="L132" s="22"/>
      <c r="M132" s="23"/>
      <c r="N132" s="23"/>
      <c r="O132" s="26" t="s">
        <v>1143</v>
      </c>
      <c r="P132" s="26" t="s">
        <v>11</v>
      </c>
      <c r="Q132" s="22"/>
      <c r="R132" s="24"/>
      <c r="S132" s="24"/>
      <c r="T132" s="24"/>
      <c r="U132" s="24"/>
      <c r="V132" s="24"/>
      <c r="W132" s="22" t="s">
        <v>468</v>
      </c>
      <c r="X132" s="4" t="str">
        <f>IF(Tabela2[[#This Row],[sigla]]="","",VLOOKUP(Tabela2[[#This Row],[sigla]],créditos_base!B:C,2,0))</f>
        <v>VER DOCUMENTO DE ILS. TÉCNICAS</v>
      </c>
      <c r="Y132" s="23"/>
      <c r="Z132" s="23" t="s">
        <v>689</v>
      </c>
      <c r="AA132" s="22"/>
      <c r="AB132" s="20"/>
      <c r="AC132" s="20"/>
      <c r="AD132" s="4" t="str">
        <f>"Pitanguá"</f>
        <v>Pitanguá</v>
      </c>
      <c r="AE132" s="14" t="str">
        <f>"Matemática"</f>
        <v>Matemática</v>
      </c>
    </row>
    <row r="133" spans="1:31" s="14" customFormat="1" ht="28.8" x14ac:dyDescent="0.3">
      <c r="A133" s="23" t="s">
        <v>2818</v>
      </c>
      <c r="B133" s="20" t="s">
        <v>16</v>
      </c>
      <c r="C133" s="20" t="s">
        <v>89</v>
      </c>
      <c r="D133" s="20" t="s">
        <v>8</v>
      </c>
      <c r="E133" s="22">
        <v>12</v>
      </c>
      <c r="F133" s="22">
        <v>4</v>
      </c>
      <c r="G133" s="22">
        <v>1</v>
      </c>
      <c r="H133" s="22"/>
      <c r="I133" s="23" t="s">
        <v>9</v>
      </c>
      <c r="J133" s="23"/>
      <c r="K133" s="22"/>
      <c r="L133" s="22"/>
      <c r="M133" s="23"/>
      <c r="N133" s="23"/>
      <c r="O133" s="26" t="s">
        <v>2819</v>
      </c>
      <c r="P133" s="26"/>
      <c r="Q133" s="22"/>
      <c r="R133" s="24"/>
      <c r="S133" s="24"/>
      <c r="T133" s="24"/>
      <c r="U133" s="24"/>
      <c r="V133" s="24"/>
      <c r="W133" s="22" t="s">
        <v>428</v>
      </c>
      <c r="X133" s="4" t="str">
        <f>IF(Tabela2[[#This Row],[sigla]]="","",VLOOKUP(Tabela2[[#This Row],[sigla]],créditos_base!B:C,2,0))</f>
        <v>TAMIRES AZEVEDO/ARQUIVO DA EDITORA</v>
      </c>
      <c r="Y133" s="23"/>
      <c r="Z133" s="23" t="str">
        <f>Tabela2[[#This Row],[ilustrador]]</f>
        <v>TAMIRES AZEVEDO/ARQUIVO DA EDITORA</v>
      </c>
      <c r="AA133" s="22"/>
      <c r="AB133" s="20"/>
      <c r="AC133" s="20"/>
      <c r="AD133" s="4" t="str">
        <f>"Pitanguá"</f>
        <v>Pitanguá</v>
      </c>
      <c r="AE133" s="14" t="str">
        <f>"Matemática"</f>
        <v>Matemática</v>
      </c>
    </row>
    <row r="134" spans="1:31" s="14" customFormat="1" x14ac:dyDescent="0.3">
      <c r="A134" s="23" t="s">
        <v>44</v>
      </c>
      <c r="B134" s="20" t="s">
        <v>16</v>
      </c>
      <c r="C134" s="20" t="s">
        <v>7</v>
      </c>
      <c r="D134" s="20" t="s">
        <v>8</v>
      </c>
      <c r="E134" s="22">
        <v>21</v>
      </c>
      <c r="F134" s="22">
        <v>1</v>
      </c>
      <c r="G134" s="22">
        <v>1</v>
      </c>
      <c r="H134" s="22"/>
      <c r="I134" s="23" t="s">
        <v>9</v>
      </c>
      <c r="J134" s="23"/>
      <c r="K134" s="22"/>
      <c r="L134" s="22"/>
      <c r="M134" s="23"/>
      <c r="N134" s="23"/>
      <c r="O134" s="26" t="s">
        <v>45</v>
      </c>
      <c r="P134" s="26"/>
      <c r="Q134" s="22"/>
      <c r="R134" s="24"/>
      <c r="S134" s="24"/>
      <c r="T134" s="24"/>
      <c r="U134" s="24"/>
      <c r="V134" s="24"/>
      <c r="W134" s="22" t="s">
        <v>31</v>
      </c>
      <c r="X134" s="4" t="str">
        <f>IF(Tabela2[[#This Row],[sigla]]="","",VLOOKUP(Tabela2[[#This Row],[sigla]],créditos_base!B:C,2,0))</f>
        <v>SILVIA OTOFUJI/ARQUIVO DA EDITORA</v>
      </c>
      <c r="Y134" s="23"/>
      <c r="Z134" s="23" t="str">
        <f>Tabela2[[#This Row],[ilustrador]]</f>
        <v>SILVIA OTOFUJI/ARQUIVO DA EDITORA</v>
      </c>
      <c r="AA134" s="22"/>
      <c r="AB134" s="20"/>
      <c r="AC134" s="20"/>
      <c r="AD134" s="4" t="str">
        <f>"Pitanguá"</f>
        <v>Pitanguá</v>
      </c>
      <c r="AE134" s="14" t="str">
        <f>"Matemática"</f>
        <v>Matemática</v>
      </c>
    </row>
    <row r="135" spans="1:31" s="14" customFormat="1" x14ac:dyDescent="0.3">
      <c r="A135" s="23" t="s">
        <v>1144</v>
      </c>
      <c r="B135" s="20" t="s">
        <v>6</v>
      </c>
      <c r="C135" s="20" t="s">
        <v>7</v>
      </c>
      <c r="D135" s="20" t="s">
        <v>8</v>
      </c>
      <c r="E135" s="22">
        <v>18</v>
      </c>
      <c r="F135" s="22">
        <v>2</v>
      </c>
      <c r="G135" s="22">
        <v>1</v>
      </c>
      <c r="H135" s="22">
        <v>1</v>
      </c>
      <c r="I135" s="23" t="s">
        <v>9</v>
      </c>
      <c r="J135" s="23"/>
      <c r="K135" s="22"/>
      <c r="L135" s="22"/>
      <c r="M135" s="23"/>
      <c r="N135" s="23"/>
      <c r="O135" s="26" t="s">
        <v>1145</v>
      </c>
      <c r="P135" s="26" t="s">
        <v>11</v>
      </c>
      <c r="Q135" s="22"/>
      <c r="R135" s="24"/>
      <c r="S135" s="24"/>
      <c r="T135" s="24"/>
      <c r="U135" s="24"/>
      <c r="V135" s="24"/>
      <c r="W135" s="22" t="s">
        <v>468</v>
      </c>
      <c r="X135" s="4" t="str">
        <f>IF(Tabela2[[#This Row],[sigla]]="","",VLOOKUP(Tabela2[[#This Row],[sigla]],créditos_base!B:C,2,0))</f>
        <v>VER DOCUMENTO DE ILS. TÉCNICAS</v>
      </c>
      <c r="Y135" s="23"/>
      <c r="Z135" s="23" t="s">
        <v>689</v>
      </c>
      <c r="AA135" s="22"/>
      <c r="AB135" s="20"/>
      <c r="AC135" s="20"/>
      <c r="AD135" s="4" t="str">
        <f>"Pitanguá"</f>
        <v>Pitanguá</v>
      </c>
      <c r="AE135" s="14" t="str">
        <f>"Matemática"</f>
        <v>Matemática</v>
      </c>
    </row>
    <row r="136" spans="1:31" s="14" customFormat="1" x14ac:dyDescent="0.3">
      <c r="A136" s="23" t="s">
        <v>2820</v>
      </c>
      <c r="B136" s="20" t="s">
        <v>16</v>
      </c>
      <c r="C136" s="20" t="s">
        <v>89</v>
      </c>
      <c r="D136" s="20" t="s">
        <v>8</v>
      </c>
      <c r="E136" s="22">
        <v>12</v>
      </c>
      <c r="F136" s="22">
        <v>4</v>
      </c>
      <c r="G136" s="22">
        <v>1</v>
      </c>
      <c r="H136" s="22"/>
      <c r="I136" s="23" t="s">
        <v>9</v>
      </c>
      <c r="J136" s="23"/>
      <c r="K136" s="22"/>
      <c r="L136" s="22"/>
      <c r="M136" s="23"/>
      <c r="N136" s="23"/>
      <c r="O136" s="26" t="s">
        <v>2821</v>
      </c>
      <c r="P136" s="26"/>
      <c r="Q136" s="22"/>
      <c r="R136" s="24"/>
      <c r="S136" s="24"/>
      <c r="T136" s="24"/>
      <c r="U136" s="24"/>
      <c r="V136" s="24"/>
      <c r="W136" s="22" t="s">
        <v>428</v>
      </c>
      <c r="X136" s="4" t="str">
        <f>IF(Tabela2[[#This Row],[sigla]]="","",VLOOKUP(Tabela2[[#This Row],[sigla]],créditos_base!B:C,2,0))</f>
        <v>TAMIRES AZEVEDO/ARQUIVO DA EDITORA</v>
      </c>
      <c r="Y136" s="23"/>
      <c r="Z136" s="23" t="str">
        <f>Tabela2[[#This Row],[ilustrador]]</f>
        <v>TAMIRES AZEVEDO/ARQUIVO DA EDITORA</v>
      </c>
      <c r="AA136" s="22"/>
      <c r="AB136" s="20"/>
      <c r="AC136" s="20"/>
      <c r="AD136" s="4" t="str">
        <f>"Pitanguá"</f>
        <v>Pitanguá</v>
      </c>
      <c r="AE136" s="14" t="str">
        <f>"Matemática"</f>
        <v>Matemática</v>
      </c>
    </row>
    <row r="137" spans="1:31" s="14" customFormat="1" x14ac:dyDescent="0.3">
      <c r="A137" s="23" t="s">
        <v>46</v>
      </c>
      <c r="B137" s="20" t="s">
        <v>16</v>
      </c>
      <c r="C137" s="20" t="s">
        <v>7</v>
      </c>
      <c r="D137" s="20" t="s">
        <v>8</v>
      </c>
      <c r="E137" s="22">
        <v>21</v>
      </c>
      <c r="F137" s="22">
        <v>1</v>
      </c>
      <c r="G137" s="22">
        <v>1</v>
      </c>
      <c r="H137" s="22"/>
      <c r="I137" s="23" t="s">
        <v>9</v>
      </c>
      <c r="J137" s="23"/>
      <c r="K137" s="22"/>
      <c r="L137" s="22"/>
      <c r="M137" s="23"/>
      <c r="N137" s="23"/>
      <c r="O137" s="26" t="s">
        <v>47</v>
      </c>
      <c r="P137" s="26"/>
      <c r="Q137" s="22"/>
      <c r="R137" s="24"/>
      <c r="S137" s="24"/>
      <c r="T137" s="24"/>
      <c r="U137" s="24"/>
      <c r="V137" s="24"/>
      <c r="W137" s="22" t="s">
        <v>31</v>
      </c>
      <c r="X137" s="4" t="str">
        <f>IF(Tabela2[[#This Row],[sigla]]="","",VLOOKUP(Tabela2[[#This Row],[sigla]],créditos_base!B:C,2,0))</f>
        <v>SILVIA OTOFUJI/ARQUIVO DA EDITORA</v>
      </c>
      <c r="Y137" s="23"/>
      <c r="Z137" s="23" t="str">
        <f>Tabela2[[#This Row],[ilustrador]]</f>
        <v>SILVIA OTOFUJI/ARQUIVO DA EDITORA</v>
      </c>
      <c r="AA137" s="22"/>
      <c r="AB137" s="20"/>
      <c r="AC137" s="20"/>
      <c r="AD137" s="4" t="str">
        <f>"Pitanguá"</f>
        <v>Pitanguá</v>
      </c>
      <c r="AE137" s="14" t="str">
        <f>"Matemática"</f>
        <v>Matemática</v>
      </c>
    </row>
    <row r="138" spans="1:31" s="14" customFormat="1" x14ac:dyDescent="0.3">
      <c r="A138" s="23" t="s">
        <v>1146</v>
      </c>
      <c r="B138" s="20" t="s">
        <v>6</v>
      </c>
      <c r="C138" s="20" t="s">
        <v>7</v>
      </c>
      <c r="D138" s="20" t="s">
        <v>8</v>
      </c>
      <c r="E138" s="22">
        <v>18</v>
      </c>
      <c r="F138" s="22">
        <v>2</v>
      </c>
      <c r="G138" s="22">
        <v>1</v>
      </c>
      <c r="H138" s="22">
        <v>1</v>
      </c>
      <c r="I138" s="23" t="s">
        <v>9</v>
      </c>
      <c r="J138" s="23"/>
      <c r="K138" s="22"/>
      <c r="L138" s="22"/>
      <c r="M138" s="23"/>
      <c r="N138" s="23"/>
      <c r="O138" s="26" t="s">
        <v>1147</v>
      </c>
      <c r="P138" s="26" t="s">
        <v>11</v>
      </c>
      <c r="Q138" s="22"/>
      <c r="R138" s="24"/>
      <c r="S138" s="24"/>
      <c r="T138" s="24"/>
      <c r="U138" s="24"/>
      <c r="V138" s="24"/>
      <c r="W138" s="22" t="s">
        <v>468</v>
      </c>
      <c r="X138" s="4" t="str">
        <f>IF(Tabela2[[#This Row],[sigla]]="","",VLOOKUP(Tabela2[[#This Row],[sigla]],créditos_base!B:C,2,0))</f>
        <v>VER DOCUMENTO DE ILS. TÉCNICAS</v>
      </c>
      <c r="Y138" s="23"/>
      <c r="Z138" s="23" t="s">
        <v>689</v>
      </c>
      <c r="AA138" s="22"/>
      <c r="AB138" s="20"/>
      <c r="AC138" s="20"/>
      <c r="AD138" s="4" t="str">
        <f>"Pitanguá"</f>
        <v>Pitanguá</v>
      </c>
      <c r="AE138" s="14" t="str">
        <f>"Matemática"</f>
        <v>Matemática</v>
      </c>
    </row>
    <row r="139" spans="1:31" s="14" customFormat="1" x14ac:dyDescent="0.3">
      <c r="A139" s="23" t="s">
        <v>2822</v>
      </c>
      <c r="B139" s="20" t="s">
        <v>16</v>
      </c>
      <c r="C139" s="20" t="s">
        <v>89</v>
      </c>
      <c r="D139" s="20" t="s">
        <v>8</v>
      </c>
      <c r="E139" s="22">
        <v>12</v>
      </c>
      <c r="F139" s="22">
        <v>4</v>
      </c>
      <c r="G139" s="22">
        <v>1</v>
      </c>
      <c r="H139" s="22"/>
      <c r="I139" s="23" t="s">
        <v>9</v>
      </c>
      <c r="J139" s="23"/>
      <c r="K139" s="22"/>
      <c r="L139" s="22"/>
      <c r="M139" s="23"/>
      <c r="N139" s="23"/>
      <c r="O139" s="26" t="s">
        <v>2823</v>
      </c>
      <c r="P139" s="26"/>
      <c r="Q139" s="22"/>
      <c r="R139" s="24"/>
      <c r="S139" s="24"/>
      <c r="T139" s="24"/>
      <c r="U139" s="24"/>
      <c r="V139" s="24"/>
      <c r="W139" s="22" t="s">
        <v>428</v>
      </c>
      <c r="X139" s="4" t="str">
        <f>IF(Tabela2[[#This Row],[sigla]]="","",VLOOKUP(Tabela2[[#This Row],[sigla]],créditos_base!B:C,2,0))</f>
        <v>TAMIRES AZEVEDO/ARQUIVO DA EDITORA</v>
      </c>
      <c r="Y139" s="23"/>
      <c r="Z139" s="23" t="str">
        <f>Tabela2[[#This Row],[ilustrador]]</f>
        <v>TAMIRES AZEVEDO/ARQUIVO DA EDITORA</v>
      </c>
      <c r="AA139" s="22"/>
      <c r="AB139" s="20"/>
      <c r="AC139" s="20"/>
      <c r="AD139" s="4" t="str">
        <f>"Pitanguá"</f>
        <v>Pitanguá</v>
      </c>
      <c r="AE139" s="14" t="str">
        <f>"Matemática"</f>
        <v>Matemática</v>
      </c>
    </row>
    <row r="140" spans="1:31" s="14" customFormat="1" x14ac:dyDescent="0.3">
      <c r="A140" s="23" t="s">
        <v>5421</v>
      </c>
      <c r="B140" s="20" t="s">
        <v>16</v>
      </c>
      <c r="C140" s="20" t="s">
        <v>7</v>
      </c>
      <c r="D140" s="20" t="s">
        <v>8</v>
      </c>
      <c r="E140" s="22">
        <v>27</v>
      </c>
      <c r="F140" s="22">
        <v>5</v>
      </c>
      <c r="G140" s="22">
        <v>1</v>
      </c>
      <c r="H140" s="22"/>
      <c r="I140" s="23" t="s">
        <v>33</v>
      </c>
      <c r="J140" s="23"/>
      <c r="K140" s="22"/>
      <c r="L140" s="22"/>
      <c r="M140" s="23"/>
      <c r="N140" s="23"/>
      <c r="O140" s="26" t="s">
        <v>5422</v>
      </c>
      <c r="P140" s="26"/>
      <c r="Q140" s="22">
        <v>126</v>
      </c>
      <c r="R140" s="24">
        <v>45863</v>
      </c>
      <c r="S140" s="24">
        <v>45867</v>
      </c>
      <c r="T140" s="24"/>
      <c r="U140" s="24"/>
      <c r="V140" s="24">
        <v>45869</v>
      </c>
      <c r="W140" s="22" t="s">
        <v>327</v>
      </c>
      <c r="X140" s="4" t="str">
        <f>IF(Tabela2[[#This Row],[sigla]]="","",VLOOKUP(Tabela2[[#This Row],[sigla]],créditos_base!B:C,2,0))</f>
        <v>RAFAEL LAM/ARQUIVO DA EDITORA</v>
      </c>
      <c r="Y140" s="23" t="s">
        <v>243</v>
      </c>
      <c r="Z140" s="23" t="str">
        <f>Tabela2[[#This Row],[ilustrador]]</f>
        <v>RAFAEL LAM/ARQUIVO DA EDITORA</v>
      </c>
      <c r="AA140" s="22">
        <v>13</v>
      </c>
      <c r="AB140" s="20" t="s">
        <v>5400</v>
      </c>
      <c r="AC140" s="20" t="s">
        <v>36</v>
      </c>
      <c r="AD140" s="4" t="str">
        <f>"Pitanguá"</f>
        <v>Pitanguá</v>
      </c>
      <c r="AE140" s="14" t="str">
        <f>"Matemática"</f>
        <v>Matemática</v>
      </c>
    </row>
    <row r="141" spans="1:31" s="14" customFormat="1" x14ac:dyDescent="0.3">
      <c r="A141" s="23" t="s">
        <v>48</v>
      </c>
      <c r="B141" s="20" t="s">
        <v>16</v>
      </c>
      <c r="C141" s="20" t="s">
        <v>7</v>
      </c>
      <c r="D141" s="20" t="s">
        <v>8</v>
      </c>
      <c r="E141" s="22">
        <v>21</v>
      </c>
      <c r="F141" s="22">
        <v>1</v>
      </c>
      <c r="G141" s="22">
        <v>1</v>
      </c>
      <c r="H141" s="22"/>
      <c r="I141" s="23" t="s">
        <v>33</v>
      </c>
      <c r="J141" s="23"/>
      <c r="K141" s="22"/>
      <c r="L141" s="22"/>
      <c r="M141" s="23"/>
      <c r="N141" s="23"/>
      <c r="O141" s="26" t="s">
        <v>49</v>
      </c>
      <c r="P141" s="26"/>
      <c r="Q141" s="22">
        <v>25</v>
      </c>
      <c r="R141" s="24">
        <v>45751</v>
      </c>
      <c r="S141" s="24">
        <v>45751</v>
      </c>
      <c r="T141" s="24"/>
      <c r="U141" s="24"/>
      <c r="V141" s="24">
        <v>45754</v>
      </c>
      <c r="W141" s="22" t="s">
        <v>31</v>
      </c>
      <c r="X141" s="4" t="str">
        <f>IF(Tabela2[[#This Row],[sigla]]="","",VLOOKUP(Tabela2[[#This Row],[sigla]],créditos_base!B:C,2,0))</f>
        <v>SILVIA OTOFUJI/ARQUIVO DA EDITORA</v>
      </c>
      <c r="Y141" s="23" t="s">
        <v>13</v>
      </c>
      <c r="Z141" s="23" t="str">
        <f>Tabela2[[#This Row],[ilustrador]]</f>
        <v>SILVIA OTOFUJI/ARQUIVO DA EDITORA</v>
      </c>
      <c r="AA141" s="22">
        <v>14</v>
      </c>
      <c r="AB141" s="20" t="s">
        <v>41</v>
      </c>
      <c r="AC141" s="20" t="s">
        <v>36</v>
      </c>
      <c r="AD141" s="4" t="str">
        <f>"Pitanguá"</f>
        <v>Pitanguá</v>
      </c>
      <c r="AE141" s="14" t="str">
        <f>"Matemática"</f>
        <v>Matemática</v>
      </c>
    </row>
    <row r="142" spans="1:31" s="14" customFormat="1" x14ac:dyDescent="0.3">
      <c r="A142" s="23" t="s">
        <v>1148</v>
      </c>
      <c r="B142" s="20" t="s">
        <v>6</v>
      </c>
      <c r="C142" s="20" t="s">
        <v>7</v>
      </c>
      <c r="D142" s="20" t="s">
        <v>8</v>
      </c>
      <c r="E142" s="22">
        <v>18</v>
      </c>
      <c r="F142" s="22">
        <v>2</v>
      </c>
      <c r="G142" s="22">
        <v>1</v>
      </c>
      <c r="H142" s="22">
        <v>1</v>
      </c>
      <c r="I142" s="23" t="s">
        <v>9</v>
      </c>
      <c r="J142" s="23"/>
      <c r="K142" s="22"/>
      <c r="L142" s="22"/>
      <c r="M142" s="23"/>
      <c r="N142" s="23"/>
      <c r="O142" s="26" t="s">
        <v>1149</v>
      </c>
      <c r="P142" s="26" t="s">
        <v>11</v>
      </c>
      <c r="Q142" s="22"/>
      <c r="R142" s="24"/>
      <c r="S142" s="24"/>
      <c r="T142" s="24"/>
      <c r="U142" s="24"/>
      <c r="V142" s="24"/>
      <c r="W142" s="22" t="s">
        <v>468</v>
      </c>
      <c r="X142" s="4" t="str">
        <f>IF(Tabela2[[#This Row],[sigla]]="","",VLOOKUP(Tabela2[[#This Row],[sigla]],créditos_base!B:C,2,0))</f>
        <v>VER DOCUMENTO DE ILS. TÉCNICAS</v>
      </c>
      <c r="Y142" s="23"/>
      <c r="Z142" s="23" t="s">
        <v>689</v>
      </c>
      <c r="AA142" s="22"/>
      <c r="AB142" s="20"/>
      <c r="AC142" s="20"/>
      <c r="AD142" s="4" t="str">
        <f>"Pitanguá"</f>
        <v>Pitanguá</v>
      </c>
      <c r="AE142" s="14" t="str">
        <f>"Matemática"</f>
        <v>Matemática</v>
      </c>
    </row>
    <row r="143" spans="1:31" s="14" customFormat="1" ht="28.8" x14ac:dyDescent="0.3">
      <c r="A143" s="23" t="s">
        <v>1810</v>
      </c>
      <c r="B143" s="20" t="s">
        <v>16</v>
      </c>
      <c r="C143" s="20" t="s">
        <v>89</v>
      </c>
      <c r="D143" s="20" t="s">
        <v>8</v>
      </c>
      <c r="E143" s="22">
        <v>18</v>
      </c>
      <c r="F143" s="22">
        <v>3</v>
      </c>
      <c r="G143" s="22">
        <v>1</v>
      </c>
      <c r="H143" s="22"/>
      <c r="I143" s="23" t="s">
        <v>9</v>
      </c>
      <c r="J143" s="23"/>
      <c r="K143" s="22"/>
      <c r="L143" s="22"/>
      <c r="M143" s="23"/>
      <c r="N143" s="23"/>
      <c r="O143" s="26" t="s">
        <v>1811</v>
      </c>
      <c r="P143" s="26"/>
      <c r="Q143" s="22"/>
      <c r="R143" s="24"/>
      <c r="S143" s="24"/>
      <c r="T143" s="24"/>
      <c r="U143" s="24"/>
      <c r="V143" s="24"/>
      <c r="W143" s="22" t="s">
        <v>468</v>
      </c>
      <c r="X143" s="4" t="str">
        <f>IF(Tabela2[[#This Row],[sigla]]="","",VLOOKUP(Tabela2[[#This Row],[sigla]],créditos_base!B:C,2,0))</f>
        <v>VER DOCUMENTO DE ILS. TÉCNICAS</v>
      </c>
      <c r="Y143" s="23"/>
      <c r="Z143" s="23" t="s">
        <v>661</v>
      </c>
      <c r="AA143" s="22"/>
      <c r="AB143" s="20"/>
      <c r="AC143" s="20"/>
      <c r="AD143" s="4" t="str">
        <f>"Pitanguá"</f>
        <v>Pitanguá</v>
      </c>
      <c r="AE143" s="14" t="str">
        <f>"Matemática"</f>
        <v>Matemática</v>
      </c>
    </row>
    <row r="144" spans="1:31" s="14" customFormat="1" x14ac:dyDescent="0.3">
      <c r="A144" s="23" t="s">
        <v>2824</v>
      </c>
      <c r="B144" s="20" t="s">
        <v>16</v>
      </c>
      <c r="C144" s="20" t="s">
        <v>89</v>
      </c>
      <c r="D144" s="20" t="s">
        <v>8</v>
      </c>
      <c r="E144" s="22">
        <v>12</v>
      </c>
      <c r="F144" s="22">
        <v>4</v>
      </c>
      <c r="G144" s="22">
        <v>1</v>
      </c>
      <c r="H144" s="22"/>
      <c r="I144" s="23" t="s">
        <v>9</v>
      </c>
      <c r="J144" s="23"/>
      <c r="K144" s="22"/>
      <c r="L144" s="22"/>
      <c r="M144" s="23"/>
      <c r="N144" s="23"/>
      <c r="O144" s="26" t="s">
        <v>2825</v>
      </c>
      <c r="P144" s="26"/>
      <c r="Q144" s="22"/>
      <c r="R144" s="24"/>
      <c r="S144" s="24"/>
      <c r="T144" s="24"/>
      <c r="U144" s="24"/>
      <c r="V144" s="24"/>
      <c r="W144" s="22" t="s">
        <v>428</v>
      </c>
      <c r="X144" s="4" t="str">
        <f>IF(Tabela2[[#This Row],[sigla]]="","",VLOOKUP(Tabela2[[#This Row],[sigla]],créditos_base!B:C,2,0))</f>
        <v>TAMIRES AZEVEDO/ARQUIVO DA EDITORA</v>
      </c>
      <c r="Y144" s="23"/>
      <c r="Z144" s="23" t="str">
        <f>Tabela2[[#This Row],[ilustrador]]</f>
        <v>TAMIRES AZEVEDO/ARQUIVO DA EDITORA</v>
      </c>
      <c r="AA144" s="22"/>
      <c r="AB144" s="20"/>
      <c r="AC144" s="20"/>
      <c r="AD144" s="4" t="str">
        <f>"Pitanguá"</f>
        <v>Pitanguá</v>
      </c>
      <c r="AE144" s="14" t="str">
        <f>"Matemática"</f>
        <v>Matemática</v>
      </c>
    </row>
    <row r="145" spans="1:31" s="14" customFormat="1" x14ac:dyDescent="0.3">
      <c r="A145" s="23" t="s">
        <v>50</v>
      </c>
      <c r="B145" s="20" t="s">
        <v>16</v>
      </c>
      <c r="C145" s="20" t="s">
        <v>7</v>
      </c>
      <c r="D145" s="20" t="s">
        <v>8</v>
      </c>
      <c r="E145" s="22">
        <v>21</v>
      </c>
      <c r="F145" s="22">
        <v>1</v>
      </c>
      <c r="G145" s="22">
        <v>1</v>
      </c>
      <c r="H145" s="22"/>
      <c r="I145" s="23" t="s">
        <v>33</v>
      </c>
      <c r="J145" s="23"/>
      <c r="K145" s="22"/>
      <c r="L145" s="22"/>
      <c r="M145" s="23"/>
      <c r="N145" s="23"/>
      <c r="O145" s="26" t="s">
        <v>51</v>
      </c>
      <c r="P145" s="26"/>
      <c r="Q145" s="22"/>
      <c r="R145" s="24"/>
      <c r="S145" s="24">
        <v>45751</v>
      </c>
      <c r="T145" s="24"/>
      <c r="U145" s="24"/>
      <c r="V145" s="24">
        <v>45754</v>
      </c>
      <c r="W145" s="22" t="s">
        <v>31</v>
      </c>
      <c r="X145" s="4" t="str">
        <f>IF(Tabela2[[#This Row],[sigla]]="","",VLOOKUP(Tabela2[[#This Row],[sigla]],créditos_base!B:C,2,0))</f>
        <v>SILVIA OTOFUJI/ARQUIVO DA EDITORA</v>
      </c>
      <c r="Y145" s="23" t="s">
        <v>13</v>
      </c>
      <c r="Z145" s="23" t="str">
        <f>Tabela2[[#This Row],[ilustrador]]</f>
        <v>SILVIA OTOFUJI/ARQUIVO DA EDITORA</v>
      </c>
      <c r="AA145" s="22">
        <v>14</v>
      </c>
      <c r="AB145" s="20" t="s">
        <v>41</v>
      </c>
      <c r="AC145" s="20" t="s">
        <v>36</v>
      </c>
      <c r="AD145" s="4" t="str">
        <f>"Pitanguá"</f>
        <v>Pitanguá</v>
      </c>
      <c r="AE145" s="14" t="str">
        <f>"Matemática"</f>
        <v>Matemática</v>
      </c>
    </row>
    <row r="146" spans="1:31" s="14" customFormat="1" x14ac:dyDescent="0.3">
      <c r="A146" s="23" t="s">
        <v>1150</v>
      </c>
      <c r="B146" s="20" t="s">
        <v>6</v>
      </c>
      <c r="C146" s="20" t="s">
        <v>7</v>
      </c>
      <c r="D146" s="20" t="s">
        <v>8</v>
      </c>
      <c r="E146" s="22">
        <v>18</v>
      </c>
      <c r="F146" s="22">
        <v>2</v>
      </c>
      <c r="G146" s="22">
        <v>1</v>
      </c>
      <c r="H146" s="22">
        <v>1</v>
      </c>
      <c r="I146" s="23" t="s">
        <v>9</v>
      </c>
      <c r="J146" s="23"/>
      <c r="K146" s="22"/>
      <c r="L146" s="22"/>
      <c r="M146" s="23"/>
      <c r="N146" s="23"/>
      <c r="O146" s="26" t="s">
        <v>1151</v>
      </c>
      <c r="P146" s="26" t="s">
        <v>11</v>
      </c>
      <c r="Q146" s="22"/>
      <c r="R146" s="24"/>
      <c r="S146" s="24"/>
      <c r="T146" s="24"/>
      <c r="U146" s="24"/>
      <c r="V146" s="24"/>
      <c r="W146" s="22" t="s">
        <v>468</v>
      </c>
      <c r="X146" s="4" t="str">
        <f>IF(Tabela2[[#This Row],[sigla]]="","",VLOOKUP(Tabela2[[#This Row],[sigla]],créditos_base!B:C,2,0))</f>
        <v>VER DOCUMENTO DE ILS. TÉCNICAS</v>
      </c>
      <c r="Y146" s="23"/>
      <c r="Z146" s="23" t="s">
        <v>689</v>
      </c>
      <c r="AA146" s="22"/>
      <c r="AB146" s="20"/>
      <c r="AC146" s="20"/>
      <c r="AD146" s="4" t="str">
        <f>"Pitanguá"</f>
        <v>Pitanguá</v>
      </c>
      <c r="AE146" s="14" t="str">
        <f>"Matemática"</f>
        <v>Matemática</v>
      </c>
    </row>
    <row r="147" spans="1:31" s="14" customFormat="1" ht="28.8" x14ac:dyDescent="0.3">
      <c r="A147" s="23" t="s">
        <v>1812</v>
      </c>
      <c r="B147" s="20" t="s">
        <v>16</v>
      </c>
      <c r="C147" s="20" t="s">
        <v>89</v>
      </c>
      <c r="D147" s="20" t="s">
        <v>8</v>
      </c>
      <c r="E147" s="22">
        <v>18</v>
      </c>
      <c r="F147" s="22">
        <v>3</v>
      </c>
      <c r="G147" s="22">
        <v>1</v>
      </c>
      <c r="H147" s="22"/>
      <c r="I147" s="23" t="s">
        <v>9</v>
      </c>
      <c r="J147" s="23"/>
      <c r="K147" s="22"/>
      <c r="L147" s="22"/>
      <c r="M147" s="23"/>
      <c r="N147" s="23"/>
      <c r="O147" s="26" t="s">
        <v>1813</v>
      </c>
      <c r="P147" s="26"/>
      <c r="Q147" s="22"/>
      <c r="R147" s="24"/>
      <c r="S147" s="24"/>
      <c r="T147" s="24"/>
      <c r="U147" s="24"/>
      <c r="V147" s="24"/>
      <c r="W147" s="22" t="s">
        <v>468</v>
      </c>
      <c r="X147" s="4" t="str">
        <f>IF(Tabela2[[#This Row],[sigla]]="","",VLOOKUP(Tabela2[[#This Row],[sigla]],créditos_base!B:C,2,0))</f>
        <v>VER DOCUMENTO DE ILS. TÉCNICAS</v>
      </c>
      <c r="Y147" s="23"/>
      <c r="Z147" s="23" t="s">
        <v>661</v>
      </c>
      <c r="AA147" s="22"/>
      <c r="AB147" s="20"/>
      <c r="AC147" s="20"/>
      <c r="AD147" s="4" t="str">
        <f>"Pitanguá"</f>
        <v>Pitanguá</v>
      </c>
      <c r="AE147" s="14" t="str">
        <f>"Matemática"</f>
        <v>Matemática</v>
      </c>
    </row>
    <row r="148" spans="1:31" s="14" customFormat="1" x14ac:dyDescent="0.3">
      <c r="A148" s="23" t="s">
        <v>2826</v>
      </c>
      <c r="B148" s="20" t="s">
        <v>16</v>
      </c>
      <c r="C148" s="20" t="s">
        <v>89</v>
      </c>
      <c r="D148" s="20" t="s">
        <v>8</v>
      </c>
      <c r="E148" s="22">
        <v>12</v>
      </c>
      <c r="F148" s="22">
        <v>4</v>
      </c>
      <c r="G148" s="22">
        <v>1</v>
      </c>
      <c r="H148" s="22"/>
      <c r="I148" s="23" t="s">
        <v>9</v>
      </c>
      <c r="J148" s="23"/>
      <c r="K148" s="22"/>
      <c r="L148" s="22"/>
      <c r="M148" s="23"/>
      <c r="N148" s="23"/>
      <c r="O148" s="26" t="s">
        <v>2827</v>
      </c>
      <c r="P148" s="26"/>
      <c r="Q148" s="22"/>
      <c r="R148" s="24"/>
      <c r="S148" s="24"/>
      <c r="T148" s="24"/>
      <c r="U148" s="24"/>
      <c r="V148" s="24"/>
      <c r="W148" s="22" t="s">
        <v>428</v>
      </c>
      <c r="X148" s="4" t="str">
        <f>IF(Tabela2[[#This Row],[sigla]]="","",VLOOKUP(Tabela2[[#This Row],[sigla]],créditos_base!B:C,2,0))</f>
        <v>TAMIRES AZEVEDO/ARQUIVO DA EDITORA</v>
      </c>
      <c r="Y148" s="23"/>
      <c r="Z148" s="23" t="str">
        <f>Tabela2[[#This Row],[ilustrador]]</f>
        <v>TAMIRES AZEVEDO/ARQUIVO DA EDITORA</v>
      </c>
      <c r="AA148" s="22"/>
      <c r="AB148" s="20"/>
      <c r="AC148" s="20"/>
      <c r="AD148" s="4" t="str">
        <f>"Pitanguá"</f>
        <v>Pitanguá</v>
      </c>
      <c r="AE148" s="14" t="str">
        <f>"Matemática"</f>
        <v>Matemática</v>
      </c>
    </row>
    <row r="149" spans="1:31" s="14" customFormat="1" x14ac:dyDescent="0.3">
      <c r="A149" s="23" t="s">
        <v>52</v>
      </c>
      <c r="B149" s="20" t="s">
        <v>16</v>
      </c>
      <c r="C149" s="20" t="s">
        <v>7</v>
      </c>
      <c r="D149" s="20" t="s">
        <v>8</v>
      </c>
      <c r="E149" s="22">
        <v>22</v>
      </c>
      <c r="F149" s="22">
        <v>1</v>
      </c>
      <c r="G149" s="22">
        <v>1</v>
      </c>
      <c r="H149" s="22"/>
      <c r="I149" s="23" t="s">
        <v>9</v>
      </c>
      <c r="J149" s="23"/>
      <c r="K149" s="22"/>
      <c r="L149" s="22"/>
      <c r="M149" s="23"/>
      <c r="N149" s="23"/>
      <c r="O149" s="26" t="s">
        <v>53</v>
      </c>
      <c r="P149" s="26"/>
      <c r="Q149" s="22"/>
      <c r="R149" s="24"/>
      <c r="S149" s="24"/>
      <c r="T149" s="24"/>
      <c r="U149" s="24"/>
      <c r="V149" s="24"/>
      <c r="W149" s="22" t="s">
        <v>12</v>
      </c>
      <c r="X149" s="4" t="str">
        <f>IF(Tabela2[[#This Row],[sigla]]="","",VLOOKUP(Tabela2[[#This Row],[sigla]],créditos_base!B:C,2,0))</f>
        <v>JORGE ZAIBA/ARQUIVO DA EDITORA</v>
      </c>
      <c r="Y149" s="23"/>
      <c r="Z149" s="23" t="str">
        <f>Tabela2[[#This Row],[ilustrador]]</f>
        <v>JORGE ZAIBA/ARQUIVO DA EDITORA</v>
      </c>
      <c r="AA149" s="22"/>
      <c r="AB149" s="20"/>
      <c r="AC149" s="20"/>
      <c r="AD149" s="4" t="str">
        <f>"Pitanguá"</f>
        <v>Pitanguá</v>
      </c>
      <c r="AE149" s="14" t="str">
        <f>"Matemática"</f>
        <v>Matemática</v>
      </c>
    </row>
    <row r="150" spans="1:31" s="14" customFormat="1" ht="57.6" x14ac:dyDescent="0.3">
      <c r="A150" s="23" t="s">
        <v>1814</v>
      </c>
      <c r="B150" s="20" t="s">
        <v>16</v>
      </c>
      <c r="C150" s="20" t="s">
        <v>89</v>
      </c>
      <c r="D150" s="20" t="s">
        <v>8</v>
      </c>
      <c r="E150" s="22">
        <v>18</v>
      </c>
      <c r="F150" s="22">
        <v>3</v>
      </c>
      <c r="G150" s="22">
        <v>1</v>
      </c>
      <c r="H150" s="22"/>
      <c r="I150" s="23" t="s">
        <v>9</v>
      </c>
      <c r="J150" s="23"/>
      <c r="K150" s="22"/>
      <c r="L150" s="22"/>
      <c r="M150" s="23"/>
      <c r="N150" s="23"/>
      <c r="O150" s="26" t="s">
        <v>1815</v>
      </c>
      <c r="P150" s="26"/>
      <c r="Q150" s="22"/>
      <c r="R150" s="24"/>
      <c r="S150" s="24"/>
      <c r="T150" s="24"/>
      <c r="U150" s="24"/>
      <c r="V150" s="24"/>
      <c r="W150" s="22" t="s">
        <v>468</v>
      </c>
      <c r="X150" s="4" t="str">
        <f>IF(Tabela2[[#This Row],[sigla]]="","",VLOOKUP(Tabela2[[#This Row],[sigla]],créditos_base!B:C,2,0))</f>
        <v>VER DOCUMENTO DE ILS. TÉCNICAS</v>
      </c>
      <c r="Y150" s="23"/>
      <c r="Z150" s="23" t="s">
        <v>661</v>
      </c>
      <c r="AA150" s="22"/>
      <c r="AB150" s="20"/>
      <c r="AC150" s="20"/>
      <c r="AD150" s="4" t="str">
        <f>"Pitanguá"</f>
        <v>Pitanguá</v>
      </c>
      <c r="AE150" s="14" t="str">
        <f>"Matemática"</f>
        <v>Matemática</v>
      </c>
    </row>
    <row r="151" spans="1:31" s="14" customFormat="1" ht="43.2" x14ac:dyDescent="0.3">
      <c r="A151" s="23" t="s">
        <v>2828</v>
      </c>
      <c r="B151" s="20" t="s">
        <v>16</v>
      </c>
      <c r="C151" s="20" t="s">
        <v>89</v>
      </c>
      <c r="D151" s="20" t="s">
        <v>8</v>
      </c>
      <c r="E151" s="22">
        <v>12</v>
      </c>
      <c r="F151" s="22">
        <v>4</v>
      </c>
      <c r="G151" s="22">
        <v>1</v>
      </c>
      <c r="H151" s="22"/>
      <c r="I151" s="23" t="s">
        <v>9</v>
      </c>
      <c r="J151" s="23"/>
      <c r="K151" s="22"/>
      <c r="L151" s="22"/>
      <c r="M151" s="23"/>
      <c r="N151" s="23"/>
      <c r="O151" s="26" t="s">
        <v>2829</v>
      </c>
      <c r="P151" s="26"/>
      <c r="Q151" s="22"/>
      <c r="R151" s="24"/>
      <c r="S151" s="24"/>
      <c r="T151" s="24"/>
      <c r="U151" s="24"/>
      <c r="V151" s="24"/>
      <c r="W151" s="22" t="s">
        <v>428</v>
      </c>
      <c r="X151" s="4" t="str">
        <f>IF(Tabela2[[#This Row],[sigla]]="","",VLOOKUP(Tabela2[[#This Row],[sigla]],créditos_base!B:C,2,0))</f>
        <v>TAMIRES AZEVEDO/ARQUIVO DA EDITORA</v>
      </c>
      <c r="Y151" s="23"/>
      <c r="Z151" s="23" t="str">
        <f>Tabela2[[#This Row],[ilustrador]]</f>
        <v>TAMIRES AZEVEDO/ARQUIVO DA EDITORA</v>
      </c>
      <c r="AA151" s="22"/>
      <c r="AB151" s="20"/>
      <c r="AC151" s="20"/>
      <c r="AD151" s="4" t="str">
        <f>"Pitanguá"</f>
        <v>Pitanguá</v>
      </c>
      <c r="AE151" s="14" t="str">
        <f>"Matemática"</f>
        <v>Matemática</v>
      </c>
    </row>
    <row r="152" spans="1:31" s="14" customFormat="1" ht="43.2" x14ac:dyDescent="0.3">
      <c r="A152" s="23" t="s">
        <v>54</v>
      </c>
      <c r="B152" s="20" t="s">
        <v>16</v>
      </c>
      <c r="C152" s="20" t="s">
        <v>7</v>
      </c>
      <c r="D152" s="20" t="s">
        <v>8</v>
      </c>
      <c r="E152" s="22">
        <v>22</v>
      </c>
      <c r="F152" s="22">
        <v>1</v>
      </c>
      <c r="G152" s="22">
        <v>1</v>
      </c>
      <c r="H152" s="22"/>
      <c r="I152" s="23" t="s">
        <v>9</v>
      </c>
      <c r="J152" s="23"/>
      <c r="K152" s="22"/>
      <c r="L152" s="22"/>
      <c r="M152" s="23"/>
      <c r="N152" s="23"/>
      <c r="O152" s="26" t="s">
        <v>55</v>
      </c>
      <c r="P152" s="26"/>
      <c r="Q152" s="22"/>
      <c r="R152" s="24"/>
      <c r="S152" s="24"/>
      <c r="T152" s="24"/>
      <c r="U152" s="24"/>
      <c r="V152" s="24"/>
      <c r="W152" s="22" t="s">
        <v>20</v>
      </c>
      <c r="X152" s="4" t="str">
        <f>IF(Tabela2[[#This Row],[sigla]]="","",VLOOKUP(Tabela2[[#This Row],[sigla]],créditos_base!B:C,2,0))</f>
        <v>SONIA HORN/ARQUIVO DA EDITORA</v>
      </c>
      <c r="Y152" s="23"/>
      <c r="Z152" s="23" t="str">
        <f>Tabela2[[#This Row],[ilustrador]]</f>
        <v>SONIA HORN/ARQUIVO DA EDITORA</v>
      </c>
      <c r="AA152" s="22"/>
      <c r="AB152" s="20"/>
      <c r="AC152" s="20"/>
      <c r="AD152" s="4" t="str">
        <f>"Pitanguá"</f>
        <v>Pitanguá</v>
      </c>
      <c r="AE152" s="14" t="str">
        <f>"Matemática"</f>
        <v>Matemática</v>
      </c>
    </row>
    <row r="153" spans="1:31" s="14" customFormat="1" x14ac:dyDescent="0.3">
      <c r="A153" s="23" t="s">
        <v>2830</v>
      </c>
      <c r="B153" s="20" t="s">
        <v>16</v>
      </c>
      <c r="C153" s="20" t="s">
        <v>89</v>
      </c>
      <c r="D153" s="20" t="s">
        <v>8</v>
      </c>
      <c r="E153" s="22">
        <v>12</v>
      </c>
      <c r="F153" s="22">
        <v>4</v>
      </c>
      <c r="G153" s="22">
        <v>1</v>
      </c>
      <c r="H153" s="22"/>
      <c r="I153" s="23" t="s">
        <v>9</v>
      </c>
      <c r="J153" s="23"/>
      <c r="K153" s="22"/>
      <c r="L153" s="22"/>
      <c r="M153" s="23"/>
      <c r="N153" s="23"/>
      <c r="O153" s="26" t="s">
        <v>2831</v>
      </c>
      <c r="P153" s="26"/>
      <c r="Q153" s="22"/>
      <c r="R153" s="24"/>
      <c r="S153" s="24"/>
      <c r="T153" s="24"/>
      <c r="U153" s="24"/>
      <c r="V153" s="24"/>
      <c r="W153" s="22" t="s">
        <v>428</v>
      </c>
      <c r="X153" s="4" t="str">
        <f>IF(Tabela2[[#This Row],[sigla]]="","",VLOOKUP(Tabela2[[#This Row],[sigla]],créditos_base!B:C,2,0))</f>
        <v>TAMIRES AZEVEDO/ARQUIVO DA EDITORA</v>
      </c>
      <c r="Y153" s="23"/>
      <c r="Z153" s="23" t="str">
        <f>Tabela2[[#This Row],[ilustrador]]</f>
        <v>TAMIRES AZEVEDO/ARQUIVO DA EDITORA</v>
      </c>
      <c r="AA153" s="22"/>
      <c r="AB153" s="20"/>
      <c r="AC153" s="20"/>
      <c r="AD153" s="4" t="str">
        <f>"Pitanguá"</f>
        <v>Pitanguá</v>
      </c>
      <c r="AE153" s="14" t="str">
        <f>"Matemática"</f>
        <v>Matemática</v>
      </c>
    </row>
    <row r="154" spans="1:31" s="14" customFormat="1" x14ac:dyDescent="0.3">
      <c r="A154" s="23" t="s">
        <v>56</v>
      </c>
      <c r="B154" s="20" t="s">
        <v>16</v>
      </c>
      <c r="C154" s="20" t="s">
        <v>7</v>
      </c>
      <c r="D154" s="20" t="s">
        <v>8</v>
      </c>
      <c r="E154" s="22">
        <v>23</v>
      </c>
      <c r="F154" s="22">
        <v>1</v>
      </c>
      <c r="G154" s="22">
        <v>1</v>
      </c>
      <c r="H154" s="22"/>
      <c r="I154" s="23" t="s">
        <v>33</v>
      </c>
      <c r="J154" s="23"/>
      <c r="K154" s="22"/>
      <c r="L154" s="22"/>
      <c r="M154" s="23"/>
      <c r="N154" s="23"/>
      <c r="O154" s="26" t="s">
        <v>57</v>
      </c>
      <c r="P154" s="26"/>
      <c r="Q154" s="22">
        <v>1</v>
      </c>
      <c r="R154" s="24">
        <v>45722</v>
      </c>
      <c r="S154" s="24">
        <v>45722</v>
      </c>
      <c r="T154" s="24"/>
      <c r="U154" s="24"/>
      <c r="V154" s="24">
        <v>45723</v>
      </c>
      <c r="W154" s="22" t="s">
        <v>31</v>
      </c>
      <c r="X154" s="4" t="str">
        <f>IF(Tabela2[[#This Row],[sigla]]="","",VLOOKUP(Tabela2[[#This Row],[sigla]],créditos_base!B:C,2,0))</f>
        <v>SILVIA OTOFUJI/ARQUIVO DA EDITORA</v>
      </c>
      <c r="Y154" s="23" t="s">
        <v>13</v>
      </c>
      <c r="Z154" s="23" t="str">
        <f>Tabela2[[#This Row],[ilustrador]]</f>
        <v>SILVIA OTOFUJI/ARQUIVO DA EDITORA</v>
      </c>
      <c r="AA154" s="22">
        <v>14</v>
      </c>
      <c r="AB154" s="20"/>
      <c r="AC154" s="20" t="s">
        <v>36</v>
      </c>
      <c r="AD154" s="4" t="str">
        <f>"Pitanguá"</f>
        <v>Pitanguá</v>
      </c>
      <c r="AE154" s="14" t="str">
        <f>"Matemática"</f>
        <v>Matemática</v>
      </c>
    </row>
    <row r="155" spans="1:31" s="14" customFormat="1" x14ac:dyDescent="0.3">
      <c r="A155" s="23" t="s">
        <v>2832</v>
      </c>
      <c r="B155" s="20" t="s">
        <v>16</v>
      </c>
      <c r="C155" s="20" t="s">
        <v>89</v>
      </c>
      <c r="D155" s="20" t="s">
        <v>8</v>
      </c>
      <c r="E155" s="22">
        <v>12</v>
      </c>
      <c r="F155" s="22">
        <v>4</v>
      </c>
      <c r="G155" s="22">
        <v>1</v>
      </c>
      <c r="H155" s="22"/>
      <c r="I155" s="23" t="s">
        <v>9</v>
      </c>
      <c r="J155" s="23"/>
      <c r="K155" s="22"/>
      <c r="L155" s="22"/>
      <c r="M155" s="23"/>
      <c r="N155" s="23"/>
      <c r="O155" s="26" t="s">
        <v>2833</v>
      </c>
      <c r="P155" s="26"/>
      <c r="Q155" s="22"/>
      <c r="R155" s="24"/>
      <c r="S155" s="24"/>
      <c r="T155" s="24"/>
      <c r="U155" s="24"/>
      <c r="V155" s="24"/>
      <c r="W155" s="22" t="s">
        <v>428</v>
      </c>
      <c r="X155" s="4" t="str">
        <f>IF(Tabela2[[#This Row],[sigla]]="","",VLOOKUP(Tabela2[[#This Row],[sigla]],créditos_base!B:C,2,0))</f>
        <v>TAMIRES AZEVEDO/ARQUIVO DA EDITORA</v>
      </c>
      <c r="Y155" s="23"/>
      <c r="Z155" s="23" t="str">
        <f>Tabela2[[#This Row],[ilustrador]]</f>
        <v>TAMIRES AZEVEDO/ARQUIVO DA EDITORA</v>
      </c>
      <c r="AA155" s="22"/>
      <c r="AB155" s="20"/>
      <c r="AC155" s="20"/>
      <c r="AD155" s="4" t="str">
        <f>"Pitanguá"</f>
        <v>Pitanguá</v>
      </c>
      <c r="AE155" s="14" t="str">
        <f>"Matemática"</f>
        <v>Matemática</v>
      </c>
    </row>
    <row r="156" spans="1:31" s="14" customFormat="1" x14ac:dyDescent="0.3">
      <c r="A156" s="23" t="s">
        <v>58</v>
      </c>
      <c r="B156" s="20" t="s">
        <v>16</v>
      </c>
      <c r="C156" s="20" t="s">
        <v>7</v>
      </c>
      <c r="D156" s="20" t="s">
        <v>8</v>
      </c>
      <c r="E156" s="22">
        <v>24</v>
      </c>
      <c r="F156" s="22">
        <v>1</v>
      </c>
      <c r="G156" s="22">
        <v>1</v>
      </c>
      <c r="H156" s="22"/>
      <c r="I156" s="23" t="s">
        <v>9</v>
      </c>
      <c r="J156" s="23"/>
      <c r="K156" s="22"/>
      <c r="L156" s="22"/>
      <c r="M156" s="23"/>
      <c r="N156" s="23"/>
      <c r="O156" s="26" t="s">
        <v>59</v>
      </c>
      <c r="P156" s="26"/>
      <c r="Q156" s="22"/>
      <c r="R156" s="24"/>
      <c r="S156" s="24"/>
      <c r="T156" s="24"/>
      <c r="U156" s="24"/>
      <c r="V156" s="24"/>
      <c r="W156" s="22" t="s">
        <v>12</v>
      </c>
      <c r="X156" s="4" t="str">
        <f>IF(Tabela2[[#This Row],[sigla]]="","",VLOOKUP(Tabela2[[#This Row],[sigla]],créditos_base!B:C,2,0))</f>
        <v>JORGE ZAIBA/ARQUIVO DA EDITORA</v>
      </c>
      <c r="Y156" s="23"/>
      <c r="Z156" s="23" t="str">
        <f>Tabela2[[#This Row],[ilustrador]]</f>
        <v>JORGE ZAIBA/ARQUIVO DA EDITORA</v>
      </c>
      <c r="AA156" s="22"/>
      <c r="AB156" s="20"/>
      <c r="AC156" s="20"/>
      <c r="AD156" s="4" t="str">
        <f>"Pitanguá"</f>
        <v>Pitanguá</v>
      </c>
      <c r="AE156" s="14" t="str">
        <f>"Matemática"</f>
        <v>Matemática</v>
      </c>
    </row>
    <row r="157" spans="1:31" s="14" customFormat="1" ht="28.8" x14ac:dyDescent="0.3">
      <c r="A157" s="23" t="s">
        <v>1816</v>
      </c>
      <c r="B157" s="20" t="s">
        <v>16</v>
      </c>
      <c r="C157" s="20" t="s">
        <v>89</v>
      </c>
      <c r="D157" s="20" t="s">
        <v>8</v>
      </c>
      <c r="E157" s="22">
        <v>19</v>
      </c>
      <c r="F157" s="22">
        <v>3</v>
      </c>
      <c r="G157" s="22">
        <v>1</v>
      </c>
      <c r="H157" s="22"/>
      <c r="I157" s="23" t="s">
        <v>9</v>
      </c>
      <c r="J157" s="23"/>
      <c r="K157" s="22"/>
      <c r="L157" s="22"/>
      <c r="M157" s="23"/>
      <c r="N157" s="23"/>
      <c r="O157" s="26" t="s">
        <v>1817</v>
      </c>
      <c r="P157" s="26"/>
      <c r="Q157" s="22"/>
      <c r="R157" s="24"/>
      <c r="S157" s="24"/>
      <c r="T157" s="24"/>
      <c r="U157" s="24"/>
      <c r="V157" s="24"/>
      <c r="W157" s="22" t="s">
        <v>468</v>
      </c>
      <c r="X157" s="4" t="str">
        <f>IF(Tabela2[[#This Row],[sigla]]="","",VLOOKUP(Tabela2[[#This Row],[sigla]],créditos_base!B:C,2,0))</f>
        <v>VER DOCUMENTO DE ILS. TÉCNICAS</v>
      </c>
      <c r="Y157" s="23"/>
      <c r="Z157" s="23" t="s">
        <v>661</v>
      </c>
      <c r="AA157" s="22"/>
      <c r="AB157" s="20"/>
      <c r="AC157" s="20"/>
      <c r="AD157" s="4" t="str">
        <f>"Pitanguá"</f>
        <v>Pitanguá</v>
      </c>
      <c r="AE157" s="14" t="str">
        <f>"Matemática"</f>
        <v>Matemática</v>
      </c>
    </row>
    <row r="158" spans="1:31" s="14" customFormat="1" ht="28.8" x14ac:dyDescent="0.3">
      <c r="A158" s="23" t="s">
        <v>2834</v>
      </c>
      <c r="B158" s="20" t="s">
        <v>16</v>
      </c>
      <c r="C158" s="20" t="s">
        <v>89</v>
      </c>
      <c r="D158" s="20" t="s">
        <v>8</v>
      </c>
      <c r="E158" s="22">
        <v>13</v>
      </c>
      <c r="F158" s="22">
        <v>4</v>
      </c>
      <c r="G158" s="22">
        <v>1</v>
      </c>
      <c r="H158" s="22"/>
      <c r="I158" s="23" t="s">
        <v>9</v>
      </c>
      <c r="J158" s="23"/>
      <c r="K158" s="22"/>
      <c r="L158" s="22"/>
      <c r="M158" s="23"/>
      <c r="N158" s="23"/>
      <c r="O158" s="26" t="s">
        <v>2835</v>
      </c>
      <c r="P158" s="26"/>
      <c r="Q158" s="22"/>
      <c r="R158" s="24"/>
      <c r="S158" s="24"/>
      <c r="T158" s="24"/>
      <c r="U158" s="24"/>
      <c r="V158" s="24"/>
      <c r="W158" s="22" t="s">
        <v>428</v>
      </c>
      <c r="X158" s="4" t="str">
        <f>IF(Tabela2[[#This Row],[sigla]]="","",VLOOKUP(Tabela2[[#This Row],[sigla]],créditos_base!B:C,2,0))</f>
        <v>TAMIRES AZEVEDO/ARQUIVO DA EDITORA</v>
      </c>
      <c r="Y158" s="23"/>
      <c r="Z158" s="23" t="str">
        <f>Tabela2[[#This Row],[ilustrador]]</f>
        <v>TAMIRES AZEVEDO/ARQUIVO DA EDITORA</v>
      </c>
      <c r="AA158" s="22"/>
      <c r="AB158" s="20"/>
      <c r="AC158" s="20"/>
      <c r="AD158" s="4" t="str">
        <f>"Pitanguá"</f>
        <v>Pitanguá</v>
      </c>
      <c r="AE158" s="14" t="str">
        <f>"Matemática"</f>
        <v>Matemática</v>
      </c>
    </row>
    <row r="159" spans="1:31" s="14" customFormat="1" x14ac:dyDescent="0.3">
      <c r="A159" s="23" t="s">
        <v>5425</v>
      </c>
      <c r="B159" s="20" t="s">
        <v>16</v>
      </c>
      <c r="C159" s="20" t="s">
        <v>89</v>
      </c>
      <c r="D159" s="20" t="s">
        <v>8</v>
      </c>
      <c r="E159" s="22">
        <v>31</v>
      </c>
      <c r="F159" s="22">
        <v>5</v>
      </c>
      <c r="G159" s="22">
        <v>1</v>
      </c>
      <c r="H159" s="22"/>
      <c r="I159" s="23" t="s">
        <v>90</v>
      </c>
      <c r="J159" s="23"/>
      <c r="K159" s="22"/>
      <c r="L159" s="22"/>
      <c r="M159" s="23"/>
      <c r="N159" s="23"/>
      <c r="O159" s="26" t="s">
        <v>5426</v>
      </c>
      <c r="P159" s="26"/>
      <c r="Q159" s="22">
        <v>126</v>
      </c>
      <c r="R159" s="24">
        <v>45863</v>
      </c>
      <c r="S159" s="24">
        <v>45867</v>
      </c>
      <c r="T159" s="24"/>
      <c r="U159" s="24"/>
      <c r="V159" s="24">
        <v>45870</v>
      </c>
      <c r="W159" s="22" t="s">
        <v>468</v>
      </c>
      <c r="X159" s="4" t="str">
        <f>IF(Tabela2[[#This Row],[sigla]]="","",VLOOKUP(Tabela2[[#This Row],[sigla]],créditos_base!B:C,2,0))</f>
        <v>VER DOCUMENTO DE ILS. TÉCNICAS</v>
      </c>
      <c r="Y159" s="23" t="s">
        <v>243</v>
      </c>
      <c r="Z159" s="32" t="s">
        <v>469</v>
      </c>
      <c r="AA159" s="22">
        <v>13</v>
      </c>
      <c r="AB159" s="20" t="s">
        <v>5014</v>
      </c>
      <c r="AC159" s="20" t="s">
        <v>36</v>
      </c>
      <c r="AD159" s="4" t="str">
        <f>"Pitanguá"</f>
        <v>Pitanguá</v>
      </c>
      <c r="AE159" s="14" t="str">
        <f>"Matemática"</f>
        <v>Matemática</v>
      </c>
    </row>
    <row r="160" spans="1:31" s="14" customFormat="1" ht="28.8" x14ac:dyDescent="0.3">
      <c r="A160" s="23" t="s">
        <v>1154</v>
      </c>
      <c r="B160" s="20" t="s">
        <v>16</v>
      </c>
      <c r="C160" s="20" t="s">
        <v>7</v>
      </c>
      <c r="D160" s="20" t="s">
        <v>8</v>
      </c>
      <c r="E160" s="22">
        <v>19</v>
      </c>
      <c r="F160" s="22">
        <v>2</v>
      </c>
      <c r="G160" s="22">
        <v>1</v>
      </c>
      <c r="H160" s="22">
        <v>2</v>
      </c>
      <c r="I160" s="23" t="s">
        <v>9</v>
      </c>
      <c r="J160" s="23"/>
      <c r="K160" s="22"/>
      <c r="L160" s="22"/>
      <c r="M160" s="23"/>
      <c r="N160" s="23"/>
      <c r="O160" s="26" t="s">
        <v>1155</v>
      </c>
      <c r="P160" s="26"/>
      <c r="Q160" s="22"/>
      <c r="R160" s="24"/>
      <c r="S160" s="24"/>
      <c r="T160" s="24"/>
      <c r="U160" s="24"/>
      <c r="V160" s="24"/>
      <c r="W160" s="22" t="s">
        <v>460</v>
      </c>
      <c r="X160" s="4" t="str">
        <f>IF(Tabela2[[#This Row],[sigla]]="","",VLOOKUP(Tabela2[[#This Row],[sigla]],créditos_base!B:C,2,0))</f>
        <v>CLAUDIA SOUZA/ARQUIVO DA EDITORA</v>
      </c>
      <c r="Y160" s="23"/>
      <c r="Z160" s="23" t="str">
        <f>Tabela2[[#This Row],[ilustrador]]</f>
        <v>CLAUDIA SOUZA/ARQUIVO DA EDITORA</v>
      </c>
      <c r="AA160" s="22"/>
      <c r="AB160" s="20"/>
      <c r="AC160" s="20"/>
      <c r="AD160" s="4" t="str">
        <f>"Pitanguá"</f>
        <v>Pitanguá</v>
      </c>
      <c r="AE160" s="14" t="str">
        <f>"Matemática"</f>
        <v>Matemática</v>
      </c>
    </row>
    <row r="161" spans="1:31" s="14" customFormat="1" ht="28.8" x14ac:dyDescent="0.3">
      <c r="A161" s="23" t="s">
        <v>1818</v>
      </c>
      <c r="B161" s="20" t="s">
        <v>16</v>
      </c>
      <c r="C161" s="20" t="s">
        <v>89</v>
      </c>
      <c r="D161" s="20" t="s">
        <v>8</v>
      </c>
      <c r="E161" s="22">
        <v>19</v>
      </c>
      <c r="F161" s="22">
        <v>3</v>
      </c>
      <c r="G161" s="22">
        <v>1</v>
      </c>
      <c r="H161" s="22"/>
      <c r="I161" s="23" t="s">
        <v>33</v>
      </c>
      <c r="J161" s="23"/>
      <c r="K161" s="22"/>
      <c r="L161" s="22"/>
      <c r="M161" s="23"/>
      <c r="N161" s="23"/>
      <c r="O161" s="26" t="s">
        <v>1819</v>
      </c>
      <c r="P161" s="26"/>
      <c r="Q161" s="22">
        <v>78</v>
      </c>
      <c r="R161" s="24">
        <v>45820</v>
      </c>
      <c r="S161" s="24">
        <v>45825</v>
      </c>
      <c r="T161" s="24"/>
      <c r="U161" s="24"/>
      <c r="V161" s="24">
        <v>45826</v>
      </c>
      <c r="W161" s="22" t="s">
        <v>468</v>
      </c>
      <c r="X161" s="4" t="str">
        <f>IF(Tabela2[[#This Row],[sigla]]="","",VLOOKUP(Tabela2[[#This Row],[sigla]],créditos_base!B:C,2,0))</f>
        <v>VER DOCUMENTO DE ILS. TÉCNICAS</v>
      </c>
      <c r="Y161" s="23" t="s">
        <v>1503</v>
      </c>
      <c r="Z161" s="41" t="s">
        <v>661</v>
      </c>
      <c r="AA161" s="22">
        <v>13</v>
      </c>
      <c r="AB161" s="41" t="s">
        <v>41</v>
      </c>
      <c r="AC161" s="20" t="s">
        <v>36</v>
      </c>
      <c r="AD161" s="4" t="str">
        <f>"Pitanguá"</f>
        <v>Pitanguá</v>
      </c>
      <c r="AE161" s="14" t="str">
        <f>"Matemática"</f>
        <v>Matemática</v>
      </c>
    </row>
    <row r="162" spans="1:31" s="14" customFormat="1" ht="28.8" x14ac:dyDescent="0.3">
      <c r="A162" s="23" t="s">
        <v>2836</v>
      </c>
      <c r="B162" s="20" t="s">
        <v>6</v>
      </c>
      <c r="C162" s="20" t="s">
        <v>89</v>
      </c>
      <c r="D162" s="20" t="s">
        <v>8</v>
      </c>
      <c r="E162" s="22">
        <v>13</v>
      </c>
      <c r="F162" s="22">
        <v>4</v>
      </c>
      <c r="G162" s="22">
        <v>1</v>
      </c>
      <c r="H162" s="22"/>
      <c r="I162" s="23" t="s">
        <v>9</v>
      </c>
      <c r="J162" s="23"/>
      <c r="K162" s="22"/>
      <c r="L162" s="22"/>
      <c r="M162" s="23"/>
      <c r="N162" s="23"/>
      <c r="O162" s="26" t="s">
        <v>2837</v>
      </c>
      <c r="P162" s="26"/>
      <c r="Q162" s="22"/>
      <c r="R162" s="24"/>
      <c r="S162" s="24"/>
      <c r="T162" s="24"/>
      <c r="U162" s="24"/>
      <c r="V162" s="24"/>
      <c r="W162" s="22" t="s">
        <v>230</v>
      </c>
      <c r="X162" s="4" t="str">
        <f>IF(Tabela2[[#This Row],[sigla]]="","",VLOOKUP(Tabela2[[#This Row],[sigla]],créditos_base!B:C,2,0))</f>
        <v>RAFAEL L. GAION/ARQUIVO DA EDITORA</v>
      </c>
      <c r="Y162" s="23"/>
      <c r="Z162" s="23" t="str">
        <f>Tabela2[[#This Row],[ilustrador]]</f>
        <v>RAFAEL L. GAION/ARQUIVO DA EDITORA</v>
      </c>
      <c r="AA162" s="22"/>
      <c r="AB162" s="20"/>
      <c r="AC162" s="20"/>
      <c r="AD162" s="4" t="str">
        <f>"Pitanguá"</f>
        <v>Pitanguá</v>
      </c>
      <c r="AE162" s="14" t="str">
        <f>"Matemática"</f>
        <v>Matemática</v>
      </c>
    </row>
    <row r="163" spans="1:31" s="14" customFormat="1" ht="28.8" x14ac:dyDescent="0.3">
      <c r="A163" s="23" t="s">
        <v>5427</v>
      </c>
      <c r="B163" s="20" t="s">
        <v>16</v>
      </c>
      <c r="C163" s="20" t="s">
        <v>89</v>
      </c>
      <c r="D163" s="20" t="s">
        <v>8</v>
      </c>
      <c r="E163" s="22">
        <v>31</v>
      </c>
      <c r="F163" s="22">
        <v>5</v>
      </c>
      <c r="G163" s="22">
        <v>1</v>
      </c>
      <c r="H163" s="22"/>
      <c r="I163" s="23" t="s">
        <v>90</v>
      </c>
      <c r="J163" s="23"/>
      <c r="K163" s="22"/>
      <c r="L163" s="22"/>
      <c r="M163" s="23"/>
      <c r="N163" s="23"/>
      <c r="O163" s="26" t="s">
        <v>5428</v>
      </c>
      <c r="P163" s="26"/>
      <c r="Q163" s="22">
        <v>126</v>
      </c>
      <c r="R163" s="24">
        <v>45863</v>
      </c>
      <c r="S163" s="24">
        <v>45867</v>
      </c>
      <c r="T163" s="24"/>
      <c r="U163" s="24"/>
      <c r="V163" s="24">
        <v>45870</v>
      </c>
      <c r="W163" s="22" t="s">
        <v>468</v>
      </c>
      <c r="X163" s="4" t="str">
        <f>IF(Tabela2[[#This Row],[sigla]]="","",VLOOKUP(Tabela2[[#This Row],[sigla]],créditos_base!B:C,2,0))</f>
        <v>VER DOCUMENTO DE ILS. TÉCNICAS</v>
      </c>
      <c r="Y163" s="23" t="s">
        <v>243</v>
      </c>
      <c r="Z163" s="46" t="s">
        <v>5429</v>
      </c>
      <c r="AA163" s="22">
        <v>11</v>
      </c>
      <c r="AB163" s="20" t="s">
        <v>5014</v>
      </c>
      <c r="AC163" s="20" t="s">
        <v>36</v>
      </c>
      <c r="AD163" s="4" t="str">
        <f>"Pitanguá"</f>
        <v>Pitanguá</v>
      </c>
      <c r="AE163" s="14" t="str">
        <f>"Matemática"</f>
        <v>Matemática</v>
      </c>
    </row>
    <row r="164" spans="1:31" s="14" customFormat="1" ht="28.8" x14ac:dyDescent="0.3">
      <c r="A164" s="23" t="s">
        <v>60</v>
      </c>
      <c r="B164" s="20" t="s">
        <v>16</v>
      </c>
      <c r="C164" s="20" t="s">
        <v>7</v>
      </c>
      <c r="D164" s="20" t="s">
        <v>8</v>
      </c>
      <c r="E164" s="22">
        <v>26</v>
      </c>
      <c r="F164" s="22">
        <v>1</v>
      </c>
      <c r="G164" s="22">
        <v>1</v>
      </c>
      <c r="H164" s="22"/>
      <c r="I164" s="23" t="s">
        <v>9</v>
      </c>
      <c r="J164" s="23"/>
      <c r="K164" s="22"/>
      <c r="L164" s="22"/>
      <c r="M164" s="23"/>
      <c r="N164" s="23"/>
      <c r="O164" s="26" t="s">
        <v>61</v>
      </c>
      <c r="P164" s="26"/>
      <c r="Q164" s="22"/>
      <c r="R164" s="24"/>
      <c r="S164" s="24"/>
      <c r="T164" s="24"/>
      <c r="U164" s="24"/>
      <c r="V164" s="24"/>
      <c r="W164" s="22" t="s">
        <v>20</v>
      </c>
      <c r="X164" s="4" t="str">
        <f>IF(Tabela2[[#This Row],[sigla]]="","",VLOOKUP(Tabela2[[#This Row],[sigla]],créditos_base!B:C,2,0))</f>
        <v>SONIA HORN/ARQUIVO DA EDITORA</v>
      </c>
      <c r="Y164" s="23"/>
      <c r="Z164" s="23" t="str">
        <f>Tabela2[[#This Row],[ilustrador]]</f>
        <v>SONIA HORN/ARQUIVO DA EDITORA</v>
      </c>
      <c r="AA164" s="22"/>
      <c r="AB164" s="20"/>
      <c r="AC164" s="20"/>
      <c r="AD164" s="4" t="str">
        <f>"Pitanguá"</f>
        <v>Pitanguá</v>
      </c>
      <c r="AE164" s="14" t="str">
        <f>"Matemática"</f>
        <v>Matemática</v>
      </c>
    </row>
    <row r="165" spans="1:31" s="14" customFormat="1" ht="28.8" x14ac:dyDescent="0.3">
      <c r="A165" s="23" t="s">
        <v>1156</v>
      </c>
      <c r="B165" s="20" t="s">
        <v>16</v>
      </c>
      <c r="C165" s="20" t="s">
        <v>7</v>
      </c>
      <c r="D165" s="20" t="s">
        <v>8</v>
      </c>
      <c r="E165" s="22">
        <v>19</v>
      </c>
      <c r="F165" s="22">
        <v>2</v>
      </c>
      <c r="G165" s="22">
        <v>1</v>
      </c>
      <c r="H165" s="22">
        <v>2</v>
      </c>
      <c r="I165" s="23" t="s">
        <v>9</v>
      </c>
      <c r="J165" s="23"/>
      <c r="K165" s="22"/>
      <c r="L165" s="22"/>
      <c r="M165" s="23"/>
      <c r="N165" s="23"/>
      <c r="O165" s="26" t="s">
        <v>1157</v>
      </c>
      <c r="P165" s="26"/>
      <c r="Q165" s="22"/>
      <c r="R165" s="24"/>
      <c r="S165" s="24"/>
      <c r="T165" s="24"/>
      <c r="U165" s="24"/>
      <c r="V165" s="24"/>
      <c r="W165" s="22" t="s">
        <v>460</v>
      </c>
      <c r="X165" s="4" t="str">
        <f>IF(Tabela2[[#This Row],[sigla]]="","",VLOOKUP(Tabela2[[#This Row],[sigla]],créditos_base!B:C,2,0))</f>
        <v>CLAUDIA SOUZA/ARQUIVO DA EDITORA</v>
      </c>
      <c r="Y165" s="23"/>
      <c r="Z165" s="23" t="str">
        <f>Tabela2[[#This Row],[ilustrador]]</f>
        <v>CLAUDIA SOUZA/ARQUIVO DA EDITORA</v>
      </c>
      <c r="AA165" s="22"/>
      <c r="AB165" s="20"/>
      <c r="AC165" s="20"/>
      <c r="AD165" s="4" t="str">
        <f>"Pitanguá"</f>
        <v>Pitanguá</v>
      </c>
      <c r="AE165" s="14" t="str">
        <f>"Matemática"</f>
        <v>Matemática</v>
      </c>
    </row>
    <row r="166" spans="1:31" s="14" customFormat="1" ht="28.8" x14ac:dyDescent="0.3">
      <c r="A166" s="23" t="s">
        <v>1820</v>
      </c>
      <c r="B166" s="20" t="s">
        <v>16</v>
      </c>
      <c r="C166" s="20" t="s">
        <v>89</v>
      </c>
      <c r="D166" s="20" t="s">
        <v>8</v>
      </c>
      <c r="E166" s="22">
        <v>19</v>
      </c>
      <c r="F166" s="22">
        <v>3</v>
      </c>
      <c r="G166" s="22">
        <v>1</v>
      </c>
      <c r="H166" s="22"/>
      <c r="I166" s="23" t="s">
        <v>33</v>
      </c>
      <c r="J166" s="23"/>
      <c r="K166" s="22"/>
      <c r="L166" s="22"/>
      <c r="M166" s="23"/>
      <c r="N166" s="23"/>
      <c r="O166" s="26" t="s">
        <v>1821</v>
      </c>
      <c r="P166" s="26"/>
      <c r="Q166" s="22">
        <v>78</v>
      </c>
      <c r="R166" s="24">
        <v>45820</v>
      </c>
      <c r="S166" s="24">
        <v>45825</v>
      </c>
      <c r="T166" s="24"/>
      <c r="U166" s="24"/>
      <c r="V166" s="24">
        <v>45826</v>
      </c>
      <c r="W166" s="22" t="s">
        <v>468</v>
      </c>
      <c r="X166" s="4" t="str">
        <f>IF(Tabela2[[#This Row],[sigla]]="","",VLOOKUP(Tabela2[[#This Row],[sigla]],créditos_base!B:C,2,0))</f>
        <v>VER DOCUMENTO DE ILS. TÉCNICAS</v>
      </c>
      <c r="Y166" s="23" t="s">
        <v>1503</v>
      </c>
      <c r="Z166" s="41" t="s">
        <v>661</v>
      </c>
      <c r="AA166" s="22">
        <v>13</v>
      </c>
      <c r="AB166" s="41" t="s">
        <v>41</v>
      </c>
      <c r="AC166" s="20" t="s">
        <v>36</v>
      </c>
      <c r="AD166" s="4" t="str">
        <f>"Pitanguá"</f>
        <v>Pitanguá</v>
      </c>
      <c r="AE166" s="14" t="str">
        <f>"Matemática"</f>
        <v>Matemática</v>
      </c>
    </row>
    <row r="167" spans="1:31" s="14" customFormat="1" ht="28.8" x14ac:dyDescent="0.3">
      <c r="A167" s="23" t="s">
        <v>2838</v>
      </c>
      <c r="B167" s="20" t="s">
        <v>6</v>
      </c>
      <c r="C167" s="20" t="s">
        <v>89</v>
      </c>
      <c r="D167" s="20" t="s">
        <v>8</v>
      </c>
      <c r="E167" s="22">
        <v>13</v>
      </c>
      <c r="F167" s="22">
        <v>4</v>
      </c>
      <c r="G167" s="22">
        <v>1</v>
      </c>
      <c r="H167" s="22"/>
      <c r="I167" s="23" t="s">
        <v>9</v>
      </c>
      <c r="J167" s="23"/>
      <c r="K167" s="22"/>
      <c r="L167" s="22"/>
      <c r="M167" s="23"/>
      <c r="N167" s="23"/>
      <c r="O167" s="26" t="s">
        <v>2839</v>
      </c>
      <c r="P167" s="26"/>
      <c r="Q167" s="22"/>
      <c r="R167" s="24"/>
      <c r="S167" s="24"/>
      <c r="T167" s="24"/>
      <c r="U167" s="24"/>
      <c r="V167" s="24"/>
      <c r="W167" s="22" t="s">
        <v>230</v>
      </c>
      <c r="X167" s="4" t="str">
        <f>IF(Tabela2[[#This Row],[sigla]]="","",VLOOKUP(Tabela2[[#This Row],[sigla]],créditos_base!B:C,2,0))</f>
        <v>RAFAEL L. GAION/ARQUIVO DA EDITORA</v>
      </c>
      <c r="Y167" s="23"/>
      <c r="Z167" s="23" t="str">
        <f>Tabela2[[#This Row],[ilustrador]]</f>
        <v>RAFAEL L. GAION/ARQUIVO DA EDITORA</v>
      </c>
      <c r="AA167" s="22"/>
      <c r="AB167" s="20"/>
      <c r="AC167" s="20"/>
      <c r="AD167" s="4" t="str">
        <f>"Pitanguá"</f>
        <v>Pitanguá</v>
      </c>
      <c r="AE167" s="14" t="str">
        <f>"Matemática"</f>
        <v>Matemática</v>
      </c>
    </row>
    <row r="168" spans="1:31" s="14" customFormat="1" ht="28.8" x14ac:dyDescent="0.3">
      <c r="A168" s="23" t="s">
        <v>5430</v>
      </c>
      <c r="B168" s="20" t="s">
        <v>16</v>
      </c>
      <c r="C168" s="20" t="s">
        <v>89</v>
      </c>
      <c r="D168" s="20" t="s">
        <v>8</v>
      </c>
      <c r="E168" s="22">
        <v>32</v>
      </c>
      <c r="F168" s="22">
        <v>5</v>
      </c>
      <c r="G168" s="22">
        <v>1</v>
      </c>
      <c r="H168" s="22"/>
      <c r="I168" s="23" t="s">
        <v>33</v>
      </c>
      <c r="J168" s="23"/>
      <c r="K168" s="22"/>
      <c r="L168" s="22"/>
      <c r="M168" s="23"/>
      <c r="N168" s="23"/>
      <c r="O168" s="26" t="s">
        <v>5431</v>
      </c>
      <c r="P168" s="26"/>
      <c r="Q168" s="22">
        <v>173</v>
      </c>
      <c r="R168" s="24">
        <v>45896</v>
      </c>
      <c r="S168" s="24">
        <v>45873</v>
      </c>
      <c r="T168" s="24"/>
      <c r="U168" s="24"/>
      <c r="V168" s="24">
        <v>45873</v>
      </c>
      <c r="W168" s="22" t="s">
        <v>940</v>
      </c>
      <c r="X168" s="4" t="str">
        <f>IF(Tabela2[[#This Row],[sigla]]="","",VLOOKUP(Tabela2[[#This Row],[sigla]],créditos_base!B:C,2,0))</f>
        <v>RONALDO LUCENA/ARQUIVO DA EDITORA</v>
      </c>
      <c r="Y168" s="23" t="s">
        <v>813</v>
      </c>
      <c r="Z168" s="23" t="str">
        <f>Tabela2[[#This Row],[ilustrador]]</f>
        <v>RONALDO LUCENA/ARQUIVO DA EDITORA</v>
      </c>
      <c r="AA168" s="22">
        <v>13</v>
      </c>
      <c r="AB168" s="20" t="s">
        <v>525</v>
      </c>
      <c r="AC168" s="20" t="s">
        <v>36</v>
      </c>
      <c r="AD168" s="4" t="str">
        <f>"Pitanguá"</f>
        <v>Pitanguá</v>
      </c>
      <c r="AE168" s="14" t="str">
        <f>"Matemática"</f>
        <v>Matemática</v>
      </c>
    </row>
    <row r="169" spans="1:31" s="14" customFormat="1" ht="28.8" x14ac:dyDescent="0.3">
      <c r="A169" s="23" t="s">
        <v>62</v>
      </c>
      <c r="B169" s="20" t="s">
        <v>16</v>
      </c>
      <c r="C169" s="20" t="s">
        <v>7</v>
      </c>
      <c r="D169" s="20" t="s">
        <v>8</v>
      </c>
      <c r="E169" s="22">
        <v>26</v>
      </c>
      <c r="F169" s="22">
        <v>1</v>
      </c>
      <c r="G169" s="22">
        <v>1</v>
      </c>
      <c r="H169" s="22"/>
      <c r="I169" s="23" t="s">
        <v>33</v>
      </c>
      <c r="J169" s="23"/>
      <c r="K169" s="22"/>
      <c r="L169" s="22"/>
      <c r="M169" s="23"/>
      <c r="N169" s="23"/>
      <c r="O169" s="26" t="s">
        <v>63</v>
      </c>
      <c r="P169" s="26"/>
      <c r="Q169" s="22">
        <v>1</v>
      </c>
      <c r="R169" s="24">
        <v>45722</v>
      </c>
      <c r="S169" s="24">
        <v>45722</v>
      </c>
      <c r="T169" s="24"/>
      <c r="U169" s="24"/>
      <c r="V169" s="24">
        <v>45723</v>
      </c>
      <c r="W169" s="22" t="s">
        <v>20</v>
      </c>
      <c r="X169" s="4" t="str">
        <f>IF(Tabela2[[#This Row],[sigla]]="","",VLOOKUP(Tabela2[[#This Row],[sigla]],créditos_base!B:C,2,0))</f>
        <v>SONIA HORN/ARQUIVO DA EDITORA</v>
      </c>
      <c r="Y169" s="23" t="s">
        <v>13</v>
      </c>
      <c r="Z169" s="23" t="str">
        <f>Tabela2[[#This Row],[ilustrador]]</f>
        <v>SONIA HORN/ARQUIVO DA EDITORA</v>
      </c>
      <c r="AA169" s="22">
        <v>14</v>
      </c>
      <c r="AB169" s="20"/>
      <c r="AC169" s="20" t="s">
        <v>36</v>
      </c>
      <c r="AD169" s="4" t="str">
        <f>"Pitanguá"</f>
        <v>Pitanguá</v>
      </c>
      <c r="AE169" s="14" t="str">
        <f>"Matemática"</f>
        <v>Matemática</v>
      </c>
    </row>
    <row r="170" spans="1:31" s="14" customFormat="1" ht="28.8" x14ac:dyDescent="0.3">
      <c r="A170" s="23" t="s">
        <v>1158</v>
      </c>
      <c r="B170" s="20" t="s">
        <v>16</v>
      </c>
      <c r="C170" s="20" t="s">
        <v>7</v>
      </c>
      <c r="D170" s="20" t="s">
        <v>8</v>
      </c>
      <c r="E170" s="22">
        <v>19</v>
      </c>
      <c r="F170" s="22">
        <v>2</v>
      </c>
      <c r="G170" s="22">
        <v>1</v>
      </c>
      <c r="H170" s="22">
        <v>2</v>
      </c>
      <c r="I170" s="23" t="s">
        <v>9</v>
      </c>
      <c r="J170" s="23"/>
      <c r="K170" s="22"/>
      <c r="L170" s="22"/>
      <c r="M170" s="23"/>
      <c r="N170" s="23"/>
      <c r="O170" s="26" t="s">
        <v>1159</v>
      </c>
      <c r="P170" s="26"/>
      <c r="Q170" s="22"/>
      <c r="R170" s="24"/>
      <c r="S170" s="24"/>
      <c r="T170" s="24"/>
      <c r="U170" s="24"/>
      <c r="V170" s="24"/>
      <c r="W170" s="22" t="s">
        <v>460</v>
      </c>
      <c r="X170" s="4" t="str">
        <f>IF(Tabela2[[#This Row],[sigla]]="","",VLOOKUP(Tabela2[[#This Row],[sigla]],créditos_base!B:C,2,0))</f>
        <v>CLAUDIA SOUZA/ARQUIVO DA EDITORA</v>
      </c>
      <c r="Y170" s="23"/>
      <c r="Z170" s="23" t="str">
        <f>Tabela2[[#This Row],[ilustrador]]</f>
        <v>CLAUDIA SOUZA/ARQUIVO DA EDITORA</v>
      </c>
      <c r="AA170" s="22"/>
      <c r="AB170" s="20"/>
      <c r="AC170" s="20"/>
      <c r="AD170" s="4" t="str">
        <f>"Pitanguá"</f>
        <v>Pitanguá</v>
      </c>
      <c r="AE170" s="14" t="str">
        <f>"Matemática"</f>
        <v>Matemática</v>
      </c>
    </row>
    <row r="171" spans="1:31" s="14" customFormat="1" x14ac:dyDescent="0.3">
      <c r="A171" s="23" t="s">
        <v>2840</v>
      </c>
      <c r="B171" s="20" t="s">
        <v>6</v>
      </c>
      <c r="C171" s="20" t="s">
        <v>89</v>
      </c>
      <c r="D171" s="20" t="s">
        <v>8</v>
      </c>
      <c r="E171" s="22">
        <v>13</v>
      </c>
      <c r="F171" s="22">
        <v>4</v>
      </c>
      <c r="G171" s="22">
        <v>1</v>
      </c>
      <c r="H171" s="22"/>
      <c r="I171" s="23" t="s">
        <v>9</v>
      </c>
      <c r="J171" s="23"/>
      <c r="K171" s="22"/>
      <c r="L171" s="22"/>
      <c r="M171" s="23"/>
      <c r="N171" s="23"/>
      <c r="O171" s="26" t="s">
        <v>2841</v>
      </c>
      <c r="P171" s="26"/>
      <c r="Q171" s="22"/>
      <c r="R171" s="24"/>
      <c r="S171" s="24"/>
      <c r="T171" s="24"/>
      <c r="U171" s="24"/>
      <c r="V171" s="24"/>
      <c r="W171" s="22" t="s">
        <v>230</v>
      </c>
      <c r="X171" s="4" t="str">
        <f>IF(Tabela2[[#This Row],[sigla]]="","",VLOOKUP(Tabela2[[#This Row],[sigla]],créditos_base!B:C,2,0))</f>
        <v>RAFAEL L. GAION/ARQUIVO DA EDITORA</v>
      </c>
      <c r="Y171" s="23"/>
      <c r="Z171" s="23" t="str">
        <f>Tabela2[[#This Row],[ilustrador]]</f>
        <v>RAFAEL L. GAION/ARQUIVO DA EDITORA</v>
      </c>
      <c r="AA171" s="22"/>
      <c r="AB171" s="20"/>
      <c r="AC171" s="20"/>
      <c r="AD171" s="4" t="str">
        <f>"Pitanguá"</f>
        <v>Pitanguá</v>
      </c>
      <c r="AE171" s="14" t="str">
        <f>"Matemática"</f>
        <v>Matemática</v>
      </c>
    </row>
    <row r="172" spans="1:31" s="14" customFormat="1" ht="43.2" x14ac:dyDescent="0.3">
      <c r="A172" s="23" t="s">
        <v>64</v>
      </c>
      <c r="B172" s="20" t="s">
        <v>16</v>
      </c>
      <c r="C172" s="20" t="s">
        <v>7</v>
      </c>
      <c r="D172" s="20" t="s">
        <v>8</v>
      </c>
      <c r="E172" s="22">
        <v>26</v>
      </c>
      <c r="F172" s="22">
        <v>1</v>
      </c>
      <c r="G172" s="22">
        <v>1</v>
      </c>
      <c r="H172" s="22"/>
      <c r="I172" s="23" t="s">
        <v>33</v>
      </c>
      <c r="J172" s="23"/>
      <c r="K172" s="22"/>
      <c r="L172" s="22"/>
      <c r="M172" s="23"/>
      <c r="N172" s="23"/>
      <c r="O172" s="26" t="s">
        <v>65</v>
      </c>
      <c r="P172" s="26"/>
      <c r="Q172" s="22">
        <v>1</v>
      </c>
      <c r="R172" s="24">
        <v>45722</v>
      </c>
      <c r="S172" s="24">
        <v>45722</v>
      </c>
      <c r="T172" s="24"/>
      <c r="U172" s="24"/>
      <c r="V172" s="24">
        <v>45723</v>
      </c>
      <c r="W172" s="22" t="s">
        <v>20</v>
      </c>
      <c r="X172" s="4" t="str">
        <f>IF(Tabela2[[#This Row],[sigla]]="","",VLOOKUP(Tabela2[[#This Row],[sigla]],créditos_base!B:C,2,0))</f>
        <v>SONIA HORN/ARQUIVO DA EDITORA</v>
      </c>
      <c r="Y172" s="23" t="s">
        <v>13</v>
      </c>
      <c r="Z172" s="23" t="str">
        <f>Tabela2[[#This Row],[ilustrador]]</f>
        <v>SONIA HORN/ARQUIVO DA EDITORA</v>
      </c>
      <c r="AA172" s="22">
        <v>14</v>
      </c>
      <c r="AB172" s="20"/>
      <c r="AC172" s="20" t="s">
        <v>36</v>
      </c>
      <c r="AD172" s="4" t="str">
        <f>"Pitanguá"</f>
        <v>Pitanguá</v>
      </c>
      <c r="AE172" s="14" t="str">
        <f>"Matemática"</f>
        <v>Matemática</v>
      </c>
    </row>
    <row r="173" spans="1:31" s="14" customFormat="1" ht="43.2" x14ac:dyDescent="0.3">
      <c r="A173" s="23" t="s">
        <v>1160</v>
      </c>
      <c r="B173" s="20" t="s">
        <v>16</v>
      </c>
      <c r="C173" s="20" t="s">
        <v>7</v>
      </c>
      <c r="D173" s="20" t="s">
        <v>8</v>
      </c>
      <c r="E173" s="22">
        <v>20</v>
      </c>
      <c r="F173" s="22">
        <v>2</v>
      </c>
      <c r="G173" s="22">
        <v>1</v>
      </c>
      <c r="H173" s="22">
        <v>2</v>
      </c>
      <c r="I173" s="23" t="s">
        <v>9</v>
      </c>
      <c r="J173" s="23"/>
      <c r="K173" s="22"/>
      <c r="L173" s="22"/>
      <c r="M173" s="23"/>
      <c r="N173" s="23"/>
      <c r="O173" s="26" t="s">
        <v>1161</v>
      </c>
      <c r="P173" s="26"/>
      <c r="Q173" s="22"/>
      <c r="R173" s="24"/>
      <c r="S173" s="24"/>
      <c r="T173" s="24"/>
      <c r="U173" s="24"/>
      <c r="V173" s="24"/>
      <c r="W173" s="22" t="s">
        <v>940</v>
      </c>
      <c r="X173" s="4" t="str">
        <f>IF(Tabela2[[#This Row],[sigla]]="","",VLOOKUP(Tabela2[[#This Row],[sigla]],créditos_base!B:C,2,0))</f>
        <v>RONALDO LUCENA/ARQUIVO DA EDITORA</v>
      </c>
      <c r="Y173" s="23"/>
      <c r="Z173" s="23" t="str">
        <f>Tabela2[[#This Row],[ilustrador]]</f>
        <v>RONALDO LUCENA/ARQUIVO DA EDITORA</v>
      </c>
      <c r="AA173" s="22"/>
      <c r="AB173" s="20"/>
      <c r="AC173" s="20"/>
      <c r="AD173" s="4" t="str">
        <f>"Pitanguá"</f>
        <v>Pitanguá</v>
      </c>
      <c r="AE173" s="14" t="str">
        <f>"Matemática"</f>
        <v>Matemática</v>
      </c>
    </row>
    <row r="174" spans="1:31" s="14" customFormat="1" ht="72" x14ac:dyDescent="0.3">
      <c r="A174" s="23" t="s">
        <v>2842</v>
      </c>
      <c r="B174" s="20" t="s">
        <v>16</v>
      </c>
      <c r="C174" s="20" t="s">
        <v>89</v>
      </c>
      <c r="D174" s="20" t="s">
        <v>8</v>
      </c>
      <c r="E174" s="22">
        <v>13</v>
      </c>
      <c r="F174" s="22">
        <v>4</v>
      </c>
      <c r="G174" s="22">
        <v>1</v>
      </c>
      <c r="H174" s="22"/>
      <c r="I174" s="23" t="s">
        <v>9</v>
      </c>
      <c r="J174" s="23"/>
      <c r="K174" s="22"/>
      <c r="L174" s="22"/>
      <c r="M174" s="23"/>
      <c r="N174" s="23"/>
      <c r="O174" s="26" t="s">
        <v>2843</v>
      </c>
      <c r="P174" s="26"/>
      <c r="Q174" s="22"/>
      <c r="R174" s="24"/>
      <c r="S174" s="24"/>
      <c r="T174" s="24"/>
      <c r="U174" s="24"/>
      <c r="V174" s="24"/>
      <c r="W174" s="22" t="s">
        <v>428</v>
      </c>
      <c r="X174" s="4" t="str">
        <f>IF(Tabela2[[#This Row],[sigla]]="","",VLOOKUP(Tabela2[[#This Row],[sigla]],créditos_base!B:C,2,0))</f>
        <v>TAMIRES AZEVEDO/ARQUIVO DA EDITORA</v>
      </c>
      <c r="Y174" s="23"/>
      <c r="Z174" s="23" t="str">
        <f>Tabela2[[#This Row],[ilustrador]]</f>
        <v>TAMIRES AZEVEDO/ARQUIVO DA EDITORA</v>
      </c>
      <c r="AA174" s="22"/>
      <c r="AB174" s="20"/>
      <c r="AC174" s="20"/>
      <c r="AD174" s="4" t="str">
        <f>"Pitanguá"</f>
        <v>Pitanguá</v>
      </c>
      <c r="AE174" s="14" t="str">
        <f>"Matemática"</f>
        <v>Matemática</v>
      </c>
    </row>
    <row r="175" spans="1:31" s="14" customFormat="1" ht="43.2" x14ac:dyDescent="0.3">
      <c r="A175" s="23" t="s">
        <v>5434</v>
      </c>
      <c r="B175" s="20" t="s">
        <v>16</v>
      </c>
      <c r="C175" s="20" t="s">
        <v>89</v>
      </c>
      <c r="D175" s="20" t="s">
        <v>8</v>
      </c>
      <c r="E175" s="22">
        <v>33</v>
      </c>
      <c r="F175" s="22">
        <v>5</v>
      </c>
      <c r="G175" s="22">
        <v>1</v>
      </c>
      <c r="H175" s="22"/>
      <c r="I175" s="23" t="s">
        <v>90</v>
      </c>
      <c r="J175" s="23"/>
      <c r="K175" s="22"/>
      <c r="L175" s="22"/>
      <c r="M175" s="23"/>
      <c r="N175" s="23"/>
      <c r="O175" s="20" t="s">
        <v>5435</v>
      </c>
      <c r="P175" s="26"/>
      <c r="Q175" s="22">
        <v>126</v>
      </c>
      <c r="R175" s="24">
        <v>45863</v>
      </c>
      <c r="S175" s="24">
        <v>45867</v>
      </c>
      <c r="T175" s="24"/>
      <c r="U175" s="24"/>
      <c r="V175" s="24">
        <v>45870</v>
      </c>
      <c r="W175" s="22" t="s">
        <v>468</v>
      </c>
      <c r="X175" s="4" t="str">
        <f>IF(Tabela2[[#This Row],[sigla]]="","",VLOOKUP(Tabela2[[#This Row],[sigla]],créditos_base!B:C,2,0))</f>
        <v>VER DOCUMENTO DE ILS. TÉCNICAS</v>
      </c>
      <c r="Y175" s="23" t="s">
        <v>243</v>
      </c>
      <c r="Z175" s="42" t="s">
        <v>661</v>
      </c>
      <c r="AA175" s="22">
        <v>13</v>
      </c>
      <c r="AB175" s="20" t="s">
        <v>5014</v>
      </c>
      <c r="AC175" s="20" t="s">
        <v>36</v>
      </c>
      <c r="AD175" s="4" t="str">
        <f>"Pitanguá"</f>
        <v>Pitanguá</v>
      </c>
      <c r="AE175" s="14" t="str">
        <f>"Matemática"</f>
        <v>Matemática</v>
      </c>
    </row>
    <row r="176" spans="1:31" s="14" customFormat="1" ht="43.2" x14ac:dyDescent="0.3">
      <c r="A176" s="23" t="s">
        <v>66</v>
      </c>
      <c r="B176" s="20" t="s">
        <v>16</v>
      </c>
      <c r="C176" s="20" t="s">
        <v>7</v>
      </c>
      <c r="D176" s="20" t="s">
        <v>8</v>
      </c>
      <c r="E176" s="22">
        <v>26</v>
      </c>
      <c r="F176" s="22">
        <v>1</v>
      </c>
      <c r="G176" s="22">
        <v>1</v>
      </c>
      <c r="H176" s="22"/>
      <c r="I176" s="23" t="s">
        <v>33</v>
      </c>
      <c r="J176" s="23"/>
      <c r="K176" s="22"/>
      <c r="L176" s="22"/>
      <c r="M176" s="23"/>
      <c r="N176" s="23"/>
      <c r="O176" s="26" t="s">
        <v>67</v>
      </c>
      <c r="P176" s="26"/>
      <c r="Q176" s="22">
        <v>1</v>
      </c>
      <c r="R176" s="24">
        <v>45722</v>
      </c>
      <c r="S176" s="24">
        <v>45722</v>
      </c>
      <c r="T176" s="24"/>
      <c r="U176" s="24"/>
      <c r="V176" s="24">
        <v>45723</v>
      </c>
      <c r="W176" s="22" t="s">
        <v>20</v>
      </c>
      <c r="X176" s="4" t="str">
        <f>IF(Tabela2[[#This Row],[sigla]]="","",VLOOKUP(Tabela2[[#This Row],[sigla]],créditos_base!B:C,2,0))</f>
        <v>SONIA HORN/ARQUIVO DA EDITORA</v>
      </c>
      <c r="Y176" s="23" t="s">
        <v>13</v>
      </c>
      <c r="Z176" s="23" t="str">
        <f>Tabela2[[#This Row],[ilustrador]]</f>
        <v>SONIA HORN/ARQUIVO DA EDITORA</v>
      </c>
      <c r="AA176" s="22">
        <v>14</v>
      </c>
      <c r="AB176" s="20"/>
      <c r="AC176" s="20" t="s">
        <v>36</v>
      </c>
      <c r="AD176" s="4" t="str">
        <f>"Pitanguá"</f>
        <v>Pitanguá</v>
      </c>
      <c r="AE176" s="14" t="str">
        <f>"Matemática"</f>
        <v>Matemática</v>
      </c>
    </row>
    <row r="177" spans="1:31" s="14" customFormat="1" ht="43.2" x14ac:dyDescent="0.3">
      <c r="A177" s="23" t="s">
        <v>1162</v>
      </c>
      <c r="B177" s="20" t="s">
        <v>16</v>
      </c>
      <c r="C177" s="20" t="s">
        <v>7</v>
      </c>
      <c r="D177" s="20" t="s">
        <v>8</v>
      </c>
      <c r="E177" s="22">
        <v>20</v>
      </c>
      <c r="F177" s="22">
        <v>2</v>
      </c>
      <c r="G177" s="22">
        <v>1</v>
      </c>
      <c r="H177" s="22">
        <v>2</v>
      </c>
      <c r="I177" s="23" t="s">
        <v>9</v>
      </c>
      <c r="J177" s="23"/>
      <c r="K177" s="22"/>
      <c r="L177" s="22"/>
      <c r="M177" s="23"/>
      <c r="N177" s="23"/>
      <c r="O177" s="26" t="s">
        <v>1163</v>
      </c>
      <c r="P177" s="26"/>
      <c r="Q177" s="22"/>
      <c r="R177" s="24"/>
      <c r="S177" s="24"/>
      <c r="T177" s="24"/>
      <c r="U177" s="24"/>
      <c r="V177" s="24"/>
      <c r="W177" s="22" t="s">
        <v>223</v>
      </c>
      <c r="X177" s="4" t="str">
        <f>IF(Tabela2[[#This Row],[sigla]]="","",VLOOKUP(Tabela2[[#This Row],[sigla]],créditos_base!B:C,2,0))</f>
        <v>NATANAELE BILMAIA/ARQUIVO DA EDITORA</v>
      </c>
      <c r="Y177" s="23"/>
      <c r="Z177" s="23" t="str">
        <f>Tabela2[[#This Row],[ilustrador]]</f>
        <v>NATANAELE BILMAIA/ARQUIVO DA EDITORA</v>
      </c>
      <c r="AA177" s="22"/>
      <c r="AB177" s="20"/>
      <c r="AC177" s="20"/>
      <c r="AD177" s="4" t="str">
        <f>"Pitanguá"</f>
        <v>Pitanguá</v>
      </c>
      <c r="AE177" s="14" t="str">
        <f>"Matemática"</f>
        <v>Matemática</v>
      </c>
    </row>
    <row r="178" spans="1:31" s="14" customFormat="1" ht="57.6" x14ac:dyDescent="0.3">
      <c r="A178" s="23" t="s">
        <v>2844</v>
      </c>
      <c r="B178" s="20" t="s">
        <v>6</v>
      </c>
      <c r="C178" s="20" t="s">
        <v>89</v>
      </c>
      <c r="D178" s="20" t="s">
        <v>8</v>
      </c>
      <c r="E178" s="22">
        <v>13</v>
      </c>
      <c r="F178" s="22">
        <v>4</v>
      </c>
      <c r="G178" s="22">
        <v>1</v>
      </c>
      <c r="H178" s="22"/>
      <c r="I178" s="23" t="s">
        <v>9</v>
      </c>
      <c r="J178" s="23"/>
      <c r="K178" s="22"/>
      <c r="L178" s="22"/>
      <c r="M178" s="23"/>
      <c r="N178" s="23"/>
      <c r="O178" s="26" t="s">
        <v>2845</v>
      </c>
      <c r="P178" s="26"/>
      <c r="Q178" s="22"/>
      <c r="R178" s="24"/>
      <c r="S178" s="24"/>
      <c r="T178" s="24"/>
      <c r="U178" s="24"/>
      <c r="V178" s="24"/>
      <c r="W178" s="22" t="s">
        <v>230</v>
      </c>
      <c r="X178" s="4" t="str">
        <f>IF(Tabela2[[#This Row],[sigla]]="","",VLOOKUP(Tabela2[[#This Row],[sigla]],créditos_base!B:C,2,0))</f>
        <v>RAFAEL L. GAION/ARQUIVO DA EDITORA</v>
      </c>
      <c r="Y178" s="23"/>
      <c r="Z178" s="23" t="str">
        <f>Tabela2[[#This Row],[ilustrador]]</f>
        <v>RAFAEL L. GAION/ARQUIVO DA EDITORA</v>
      </c>
      <c r="AA178" s="22"/>
      <c r="AB178" s="20"/>
      <c r="AC178" s="20"/>
      <c r="AD178" s="4" t="str">
        <f>"Pitanguá"</f>
        <v>Pitanguá</v>
      </c>
      <c r="AE178" s="14" t="str">
        <f>"Matemática"</f>
        <v>Matemática</v>
      </c>
    </row>
    <row r="179" spans="1:31" s="14" customFormat="1" ht="57.6" x14ac:dyDescent="0.3">
      <c r="A179" s="23" t="s">
        <v>68</v>
      </c>
      <c r="B179" s="20" t="s">
        <v>16</v>
      </c>
      <c r="C179" s="20" t="s">
        <v>7</v>
      </c>
      <c r="D179" s="20" t="s">
        <v>8</v>
      </c>
      <c r="E179" s="22">
        <v>26</v>
      </c>
      <c r="F179" s="22">
        <v>1</v>
      </c>
      <c r="G179" s="22">
        <v>1</v>
      </c>
      <c r="H179" s="22"/>
      <c r="I179" s="23" t="s">
        <v>33</v>
      </c>
      <c r="J179" s="23"/>
      <c r="K179" s="22"/>
      <c r="L179" s="22"/>
      <c r="M179" s="23"/>
      <c r="N179" s="23"/>
      <c r="O179" s="26" t="s">
        <v>69</v>
      </c>
      <c r="P179" s="26"/>
      <c r="Q179" s="22">
        <v>1</v>
      </c>
      <c r="R179" s="24">
        <v>45722</v>
      </c>
      <c r="S179" s="24">
        <v>45722</v>
      </c>
      <c r="T179" s="24"/>
      <c r="U179" s="24"/>
      <c r="V179" s="24">
        <v>45723</v>
      </c>
      <c r="W179" s="22" t="s">
        <v>20</v>
      </c>
      <c r="X179" s="4" t="str">
        <f>IF(Tabela2[[#This Row],[sigla]]="","",VLOOKUP(Tabela2[[#This Row],[sigla]],créditos_base!B:C,2,0))</f>
        <v>SONIA HORN/ARQUIVO DA EDITORA</v>
      </c>
      <c r="Y179" s="23" t="s">
        <v>13</v>
      </c>
      <c r="Z179" s="23" t="str">
        <f>Tabela2[[#This Row],[ilustrador]]</f>
        <v>SONIA HORN/ARQUIVO DA EDITORA</v>
      </c>
      <c r="AA179" s="22">
        <v>14</v>
      </c>
      <c r="AB179" s="20"/>
      <c r="AC179" s="20" t="s">
        <v>36</v>
      </c>
      <c r="AD179" s="4" t="str">
        <f>"Pitanguá"</f>
        <v>Pitanguá</v>
      </c>
      <c r="AE179" s="14" t="str">
        <f>"Matemática"</f>
        <v>Matemática</v>
      </c>
    </row>
    <row r="180" spans="1:31" s="14" customFormat="1" ht="57.6" x14ac:dyDescent="0.3">
      <c r="A180" s="23" t="s">
        <v>1164</v>
      </c>
      <c r="B180" s="20" t="s">
        <v>16</v>
      </c>
      <c r="C180" s="20" t="s">
        <v>7</v>
      </c>
      <c r="D180" s="20" t="s">
        <v>8</v>
      </c>
      <c r="E180" s="22">
        <v>20</v>
      </c>
      <c r="F180" s="22">
        <v>2</v>
      </c>
      <c r="G180" s="22">
        <v>1</v>
      </c>
      <c r="H180" s="22">
        <v>2</v>
      </c>
      <c r="I180" s="23" t="s">
        <v>9</v>
      </c>
      <c r="J180" s="23"/>
      <c r="K180" s="22"/>
      <c r="L180" s="22"/>
      <c r="M180" s="23"/>
      <c r="N180" s="23"/>
      <c r="O180" s="26" t="s">
        <v>1165</v>
      </c>
      <c r="P180" s="26"/>
      <c r="Q180" s="22"/>
      <c r="R180" s="24"/>
      <c r="S180" s="24"/>
      <c r="T180" s="24"/>
      <c r="U180" s="24"/>
      <c r="V180" s="24"/>
      <c r="W180" s="22" t="s">
        <v>425</v>
      </c>
      <c r="X180" s="4" t="str">
        <f>IF(Tabela2[[#This Row],[sigla]]="","",VLOOKUP(Tabela2[[#This Row],[sigla]],créditos_base!B:C,2,0))</f>
        <v>BÁRBARA SARZI/ARQUIVO DA EDITORA</v>
      </c>
      <c r="Y180" s="23"/>
      <c r="Z180" s="23" t="str">
        <f>Tabela2[[#This Row],[ilustrador]]</f>
        <v>BÁRBARA SARZI/ARQUIVO DA EDITORA</v>
      </c>
      <c r="AA180" s="22"/>
      <c r="AB180" s="20"/>
      <c r="AC180" s="20"/>
      <c r="AD180" s="4" t="str">
        <f>"Pitanguá"</f>
        <v>Pitanguá</v>
      </c>
      <c r="AE180" s="14" t="str">
        <f>"Matemática"</f>
        <v>Matemática</v>
      </c>
    </row>
    <row r="181" spans="1:31" s="14" customFormat="1" x14ac:dyDescent="0.3">
      <c r="A181" s="23" t="s">
        <v>2846</v>
      </c>
      <c r="B181" s="20" t="s">
        <v>6</v>
      </c>
      <c r="C181" s="20" t="s">
        <v>89</v>
      </c>
      <c r="D181" s="20" t="s">
        <v>8</v>
      </c>
      <c r="E181" s="22">
        <v>13</v>
      </c>
      <c r="F181" s="22">
        <v>4</v>
      </c>
      <c r="G181" s="22">
        <v>1</v>
      </c>
      <c r="H181" s="22"/>
      <c r="I181" s="23" t="s">
        <v>9</v>
      </c>
      <c r="J181" s="23"/>
      <c r="K181" s="22"/>
      <c r="L181" s="22"/>
      <c r="M181" s="23"/>
      <c r="N181" s="23"/>
      <c r="O181" s="26" t="s">
        <v>2847</v>
      </c>
      <c r="P181" s="26"/>
      <c r="Q181" s="22"/>
      <c r="R181" s="24"/>
      <c r="S181" s="24"/>
      <c r="T181" s="24"/>
      <c r="U181" s="24"/>
      <c r="V181" s="24"/>
      <c r="W181" s="22" t="s">
        <v>230</v>
      </c>
      <c r="X181" s="4" t="str">
        <f>IF(Tabela2[[#This Row],[sigla]]="","",VLOOKUP(Tabela2[[#This Row],[sigla]],créditos_base!B:C,2,0))</f>
        <v>RAFAEL L. GAION/ARQUIVO DA EDITORA</v>
      </c>
      <c r="Y181" s="23"/>
      <c r="Z181" s="23" t="str">
        <f>Tabela2[[#This Row],[ilustrador]]</f>
        <v>RAFAEL L. GAION/ARQUIVO DA EDITORA</v>
      </c>
      <c r="AA181" s="22"/>
      <c r="AB181" s="20"/>
      <c r="AC181" s="20"/>
      <c r="AD181" s="4" t="str">
        <f>"Pitanguá"</f>
        <v>Pitanguá</v>
      </c>
      <c r="AE181" s="14" t="str">
        <f>"Matemática"</f>
        <v>Matemática</v>
      </c>
    </row>
    <row r="182" spans="1:31" s="14" customFormat="1" ht="57.6" x14ac:dyDescent="0.3">
      <c r="A182" s="23" t="s">
        <v>70</v>
      </c>
      <c r="B182" s="20" t="s">
        <v>16</v>
      </c>
      <c r="C182" s="20" t="s">
        <v>7</v>
      </c>
      <c r="D182" s="20" t="s">
        <v>8</v>
      </c>
      <c r="E182" s="22">
        <v>27</v>
      </c>
      <c r="F182" s="22">
        <v>1</v>
      </c>
      <c r="G182" s="22">
        <v>1</v>
      </c>
      <c r="H182" s="22"/>
      <c r="I182" s="23" t="s">
        <v>9</v>
      </c>
      <c r="J182" s="23"/>
      <c r="K182" s="22"/>
      <c r="L182" s="22"/>
      <c r="M182" s="23"/>
      <c r="N182" s="23"/>
      <c r="O182" s="26" t="s">
        <v>71</v>
      </c>
      <c r="P182" s="26"/>
      <c r="Q182" s="22"/>
      <c r="R182" s="24"/>
      <c r="S182" s="24"/>
      <c r="T182" s="24"/>
      <c r="U182" s="24"/>
      <c r="V182" s="24"/>
      <c r="W182" s="22" t="s">
        <v>72</v>
      </c>
      <c r="X182" s="4" t="str">
        <f>IF(Tabela2[[#This Row],[sigla]]="","",VLOOKUP(Tabela2[[#This Row],[sigla]],créditos_base!B:C,2,0))</f>
        <v>HELOÍSA PINTARELLI/ARQUIVO DA EDITORA</v>
      </c>
      <c r="Y182" s="23"/>
      <c r="Z182" s="23" t="str">
        <f>Tabela2[[#This Row],[ilustrador]]</f>
        <v>HELOÍSA PINTARELLI/ARQUIVO DA EDITORA</v>
      </c>
      <c r="AA182" s="22"/>
      <c r="AB182" s="20"/>
      <c r="AC182" s="20"/>
      <c r="AD182" s="4" t="str">
        <f>"Pitanguá"</f>
        <v>Pitanguá</v>
      </c>
      <c r="AE182" s="14" t="str">
        <f>"Matemática"</f>
        <v>Matemática</v>
      </c>
    </row>
    <row r="183" spans="1:31" s="14" customFormat="1" x14ac:dyDescent="0.3">
      <c r="A183" s="23" t="s">
        <v>1822</v>
      </c>
      <c r="B183" s="20" t="s">
        <v>16</v>
      </c>
      <c r="C183" s="20" t="s">
        <v>89</v>
      </c>
      <c r="D183" s="20" t="s">
        <v>8</v>
      </c>
      <c r="E183" s="22">
        <v>20</v>
      </c>
      <c r="F183" s="22">
        <v>3</v>
      </c>
      <c r="G183" s="22">
        <v>1</v>
      </c>
      <c r="H183" s="22"/>
      <c r="I183" s="23" t="s">
        <v>9</v>
      </c>
      <c r="J183" s="23"/>
      <c r="K183" s="22"/>
      <c r="L183" s="22"/>
      <c r="M183" s="23"/>
      <c r="N183" s="23"/>
      <c r="O183" s="26" t="s">
        <v>1823</v>
      </c>
      <c r="P183" s="26"/>
      <c r="Q183" s="22"/>
      <c r="R183" s="24"/>
      <c r="S183" s="24"/>
      <c r="T183" s="24"/>
      <c r="U183" s="24"/>
      <c r="V183" s="24"/>
      <c r="W183" s="22" t="s">
        <v>468</v>
      </c>
      <c r="X183" s="4" t="str">
        <f>IF(Tabela2[[#This Row],[sigla]]="","",VLOOKUP(Tabela2[[#This Row],[sigla]],créditos_base!B:C,2,0))</f>
        <v>VER DOCUMENTO DE ILS. TÉCNICAS</v>
      </c>
      <c r="Y183" s="23"/>
      <c r="Z183" s="23" t="s">
        <v>661</v>
      </c>
      <c r="AA183" s="22"/>
      <c r="AB183" s="20"/>
      <c r="AC183" s="20"/>
      <c r="AD183" s="4" t="str">
        <f>"Pitanguá"</f>
        <v>Pitanguá</v>
      </c>
      <c r="AE183" s="14" t="str">
        <f>"Matemática"</f>
        <v>Matemática</v>
      </c>
    </row>
    <row r="184" spans="1:31" s="14" customFormat="1" x14ac:dyDescent="0.3">
      <c r="A184" s="23" t="s">
        <v>73</v>
      </c>
      <c r="B184" s="20" t="s">
        <v>16</v>
      </c>
      <c r="C184" s="20" t="s">
        <v>7</v>
      </c>
      <c r="D184" s="20" t="s">
        <v>8</v>
      </c>
      <c r="E184" s="22">
        <v>27</v>
      </c>
      <c r="F184" s="22">
        <v>1</v>
      </c>
      <c r="G184" s="22">
        <v>1</v>
      </c>
      <c r="H184" s="22"/>
      <c r="I184" s="23" t="s">
        <v>9</v>
      </c>
      <c r="J184" s="23"/>
      <c r="K184" s="22"/>
      <c r="L184" s="22"/>
      <c r="M184" s="23"/>
      <c r="N184" s="23"/>
      <c r="O184" s="26" t="s">
        <v>74</v>
      </c>
      <c r="P184" s="26"/>
      <c r="Q184" s="22"/>
      <c r="R184" s="24"/>
      <c r="S184" s="24"/>
      <c r="T184" s="24"/>
      <c r="U184" s="24"/>
      <c r="V184" s="24"/>
      <c r="W184" s="22" t="s">
        <v>72</v>
      </c>
      <c r="X184" s="4" t="str">
        <f>IF(Tabela2[[#This Row],[sigla]]="","",VLOOKUP(Tabela2[[#This Row],[sigla]],créditos_base!B:C,2,0))</f>
        <v>HELOÍSA PINTARELLI/ARQUIVO DA EDITORA</v>
      </c>
      <c r="Y184" s="23"/>
      <c r="Z184" s="23" t="str">
        <f>Tabela2[[#This Row],[ilustrador]]</f>
        <v>HELOÍSA PINTARELLI/ARQUIVO DA EDITORA</v>
      </c>
      <c r="AA184" s="22"/>
      <c r="AB184" s="20"/>
      <c r="AC184" s="20"/>
      <c r="AD184" s="4" t="str">
        <f>"Pitanguá"</f>
        <v>Pitanguá</v>
      </c>
      <c r="AE184" s="14" t="str">
        <f>"Matemática"</f>
        <v>Matemática</v>
      </c>
    </row>
    <row r="185" spans="1:31" s="14" customFormat="1" ht="43.2" x14ac:dyDescent="0.3">
      <c r="A185" s="23" t="s">
        <v>1166</v>
      </c>
      <c r="B185" s="20" t="s">
        <v>16</v>
      </c>
      <c r="C185" s="20" t="s">
        <v>7</v>
      </c>
      <c r="D185" s="20" t="s">
        <v>8</v>
      </c>
      <c r="E185" s="22">
        <v>22</v>
      </c>
      <c r="F185" s="22">
        <v>2</v>
      </c>
      <c r="G185" s="22">
        <v>1</v>
      </c>
      <c r="H185" s="22">
        <v>2</v>
      </c>
      <c r="I185" s="23" t="s">
        <v>9</v>
      </c>
      <c r="J185" s="23"/>
      <c r="K185" s="22"/>
      <c r="L185" s="22"/>
      <c r="M185" s="23"/>
      <c r="N185" s="23"/>
      <c r="O185" s="26" t="s">
        <v>1167</v>
      </c>
      <c r="P185" s="26"/>
      <c r="Q185" s="22"/>
      <c r="R185" s="24"/>
      <c r="S185" s="24"/>
      <c r="T185" s="24"/>
      <c r="U185" s="24"/>
      <c r="V185" s="24"/>
      <c r="W185" s="22" t="s">
        <v>223</v>
      </c>
      <c r="X185" s="4" t="str">
        <f>IF(Tabela2[[#This Row],[sigla]]="","",VLOOKUP(Tabela2[[#This Row],[sigla]],créditos_base!B:C,2,0))</f>
        <v>NATANAELE BILMAIA/ARQUIVO DA EDITORA</v>
      </c>
      <c r="Y185" s="23"/>
      <c r="Z185" s="23" t="str">
        <f>Tabela2[[#This Row],[ilustrador]]</f>
        <v>NATANAELE BILMAIA/ARQUIVO DA EDITORA</v>
      </c>
      <c r="AA185" s="22"/>
      <c r="AB185" s="20"/>
      <c r="AC185" s="20"/>
      <c r="AD185" s="4" t="str">
        <f>"Pitanguá"</f>
        <v>Pitanguá</v>
      </c>
      <c r="AE185" s="14" t="str">
        <f>"Matemática"</f>
        <v>Matemática</v>
      </c>
    </row>
    <row r="186" spans="1:31" s="14" customFormat="1" ht="43.2" x14ac:dyDescent="0.3">
      <c r="A186" s="23" t="s">
        <v>1824</v>
      </c>
      <c r="B186" s="20" t="s">
        <v>16</v>
      </c>
      <c r="C186" s="20" t="s">
        <v>89</v>
      </c>
      <c r="D186" s="20" t="s">
        <v>8</v>
      </c>
      <c r="E186" s="22">
        <v>20</v>
      </c>
      <c r="F186" s="22">
        <v>3</v>
      </c>
      <c r="G186" s="22">
        <v>1</v>
      </c>
      <c r="H186" s="22"/>
      <c r="I186" s="23" t="s">
        <v>9</v>
      </c>
      <c r="J186" s="23"/>
      <c r="K186" s="22"/>
      <c r="L186" s="22"/>
      <c r="M186" s="23"/>
      <c r="N186" s="23"/>
      <c r="O186" s="26" t="s">
        <v>1825</v>
      </c>
      <c r="P186" s="26"/>
      <c r="Q186" s="22"/>
      <c r="R186" s="24"/>
      <c r="S186" s="24"/>
      <c r="T186" s="24"/>
      <c r="U186" s="24"/>
      <c r="V186" s="24"/>
      <c r="W186" s="22" t="s">
        <v>468</v>
      </c>
      <c r="X186" s="4" t="str">
        <f>IF(Tabela2[[#This Row],[sigla]]="","",VLOOKUP(Tabela2[[#This Row],[sigla]],créditos_base!B:C,2,0))</f>
        <v>VER DOCUMENTO DE ILS. TÉCNICAS</v>
      </c>
      <c r="Y186" s="23"/>
      <c r="Z186" s="23" t="s">
        <v>661</v>
      </c>
      <c r="AA186" s="22"/>
      <c r="AB186" s="20"/>
      <c r="AC186" s="20"/>
      <c r="AD186" s="4" t="str">
        <f>"Pitanguá"</f>
        <v>Pitanguá</v>
      </c>
      <c r="AE186" s="14" t="str">
        <f>"Matemática"</f>
        <v>Matemática</v>
      </c>
    </row>
    <row r="187" spans="1:31" s="14" customFormat="1" x14ac:dyDescent="0.3">
      <c r="A187" s="23" t="s">
        <v>2848</v>
      </c>
      <c r="B187" s="20" t="s">
        <v>16</v>
      </c>
      <c r="C187" s="20" t="s">
        <v>89</v>
      </c>
      <c r="D187" s="20" t="s">
        <v>8</v>
      </c>
      <c r="E187" s="22">
        <v>14</v>
      </c>
      <c r="F187" s="22">
        <v>4</v>
      </c>
      <c r="G187" s="22">
        <v>1</v>
      </c>
      <c r="H187" s="22"/>
      <c r="I187" s="23" t="s">
        <v>9</v>
      </c>
      <c r="J187" s="23"/>
      <c r="K187" s="22"/>
      <c r="L187" s="22"/>
      <c r="M187" s="23"/>
      <c r="N187" s="23"/>
      <c r="O187" s="26" t="s">
        <v>2849</v>
      </c>
      <c r="P187" s="26"/>
      <c r="Q187" s="22"/>
      <c r="R187" s="24"/>
      <c r="S187" s="24"/>
      <c r="T187" s="24"/>
      <c r="U187" s="24"/>
      <c r="V187" s="24"/>
      <c r="W187" s="22" t="s">
        <v>425</v>
      </c>
      <c r="X187" s="4" t="str">
        <f>IF(Tabela2[[#This Row],[sigla]]="","",VLOOKUP(Tabela2[[#This Row],[sigla]],créditos_base!B:C,2,0))</f>
        <v>BÁRBARA SARZI/ARQUIVO DA EDITORA</v>
      </c>
      <c r="Y187" s="23"/>
      <c r="Z187" s="23" t="str">
        <f>Tabela2[[#This Row],[ilustrador]]</f>
        <v>BÁRBARA SARZI/ARQUIVO DA EDITORA</v>
      </c>
      <c r="AA187" s="22"/>
      <c r="AB187" s="20"/>
      <c r="AC187" s="20"/>
      <c r="AD187" s="4" t="str">
        <f>"Pitanguá"</f>
        <v>Pitanguá</v>
      </c>
      <c r="AE187" s="14" t="str">
        <f>"Matemática"</f>
        <v>Matemática</v>
      </c>
    </row>
    <row r="188" spans="1:31" s="14" customFormat="1" x14ac:dyDescent="0.3">
      <c r="A188" s="23" t="s">
        <v>75</v>
      </c>
      <c r="B188" s="20" t="s">
        <v>16</v>
      </c>
      <c r="C188" s="20" t="s">
        <v>7</v>
      </c>
      <c r="D188" s="20" t="s">
        <v>8</v>
      </c>
      <c r="E188" s="22">
        <v>27</v>
      </c>
      <c r="F188" s="22">
        <v>1</v>
      </c>
      <c r="G188" s="22">
        <v>1</v>
      </c>
      <c r="H188" s="22"/>
      <c r="I188" s="23" t="s">
        <v>9</v>
      </c>
      <c r="J188" s="23"/>
      <c r="K188" s="22"/>
      <c r="L188" s="22"/>
      <c r="M188" s="23"/>
      <c r="N188" s="23"/>
      <c r="O188" s="26" t="s">
        <v>76</v>
      </c>
      <c r="P188" s="26"/>
      <c r="Q188" s="22"/>
      <c r="R188" s="24"/>
      <c r="S188" s="24"/>
      <c r="T188" s="24"/>
      <c r="U188" s="24"/>
      <c r="V188" s="24"/>
      <c r="W188" s="22" t="s">
        <v>72</v>
      </c>
      <c r="X188" s="4" t="str">
        <f>IF(Tabela2[[#This Row],[sigla]]="","",VLOOKUP(Tabela2[[#This Row],[sigla]],créditos_base!B:C,2,0))</f>
        <v>HELOÍSA PINTARELLI/ARQUIVO DA EDITORA</v>
      </c>
      <c r="Y188" s="23"/>
      <c r="Z188" s="23" t="str">
        <f>Tabela2[[#This Row],[ilustrador]]</f>
        <v>HELOÍSA PINTARELLI/ARQUIVO DA EDITORA</v>
      </c>
      <c r="AA188" s="22"/>
      <c r="AB188" s="20"/>
      <c r="AC188" s="20"/>
      <c r="AD188" s="4" t="str">
        <f>"Pitanguá"</f>
        <v>Pitanguá</v>
      </c>
      <c r="AE188" s="14" t="str">
        <f>"Matemática"</f>
        <v>Matemática</v>
      </c>
    </row>
    <row r="189" spans="1:31" s="14" customFormat="1" ht="28.8" x14ac:dyDescent="0.3">
      <c r="A189" s="23" t="s">
        <v>1168</v>
      </c>
      <c r="B189" s="20" t="s">
        <v>16</v>
      </c>
      <c r="C189" s="20" t="s">
        <v>7</v>
      </c>
      <c r="D189" s="20" t="s">
        <v>8</v>
      </c>
      <c r="E189" s="22">
        <v>22</v>
      </c>
      <c r="F189" s="22">
        <v>2</v>
      </c>
      <c r="G189" s="22">
        <v>1</v>
      </c>
      <c r="H189" s="22">
        <v>2</v>
      </c>
      <c r="I189" s="23" t="s">
        <v>33</v>
      </c>
      <c r="J189" s="23"/>
      <c r="K189" s="22"/>
      <c r="L189" s="22"/>
      <c r="M189" s="23"/>
      <c r="N189" s="23"/>
      <c r="O189" s="26" t="s">
        <v>1169</v>
      </c>
      <c r="P189" s="26"/>
      <c r="Q189" s="22">
        <v>102</v>
      </c>
      <c r="R189" s="24">
        <v>45846</v>
      </c>
      <c r="S189" s="24">
        <v>45847</v>
      </c>
      <c r="T189" s="24"/>
      <c r="U189" s="24"/>
      <c r="V189" s="24">
        <v>45847</v>
      </c>
      <c r="W189" s="22" t="s">
        <v>223</v>
      </c>
      <c r="X189" s="4" t="str">
        <f>IF(Tabela2[[#This Row],[sigla]]="","",VLOOKUP(Tabela2[[#This Row],[sigla]],créditos_base!B:C,2,0))</f>
        <v>NATANAELE BILMAIA/ARQUIVO DA EDITORA</v>
      </c>
      <c r="Y189" s="23" t="s">
        <v>433</v>
      </c>
      <c r="Z189" s="23" t="str">
        <f>Tabela2[[#This Row],[ilustrador]]</f>
        <v>NATANAELE BILMAIA/ARQUIVO DA EDITORA</v>
      </c>
      <c r="AA189" s="22">
        <v>14</v>
      </c>
      <c r="AB189" s="20" t="s">
        <v>153</v>
      </c>
      <c r="AC189" s="20" t="s">
        <v>36</v>
      </c>
      <c r="AD189" s="4" t="str">
        <f>"Pitanguá"</f>
        <v>Pitanguá</v>
      </c>
      <c r="AE189" s="14" t="str">
        <f>"Matemática"</f>
        <v>Matemática</v>
      </c>
    </row>
    <row r="190" spans="1:31" s="14" customFormat="1" ht="28.8" x14ac:dyDescent="0.3">
      <c r="A190" s="23" t="s">
        <v>1826</v>
      </c>
      <c r="B190" s="20" t="s">
        <v>16</v>
      </c>
      <c r="C190" s="20" t="s">
        <v>89</v>
      </c>
      <c r="D190" s="20" t="s">
        <v>8</v>
      </c>
      <c r="E190" s="22">
        <v>22</v>
      </c>
      <c r="F190" s="22">
        <v>3</v>
      </c>
      <c r="G190" s="22">
        <v>1</v>
      </c>
      <c r="H190" s="22"/>
      <c r="I190" s="23" t="s">
        <v>33</v>
      </c>
      <c r="J190" s="23"/>
      <c r="K190" s="22"/>
      <c r="L190" s="22"/>
      <c r="M190" s="23"/>
      <c r="N190" s="23"/>
      <c r="O190" s="26" t="s">
        <v>1827</v>
      </c>
      <c r="P190" s="26"/>
      <c r="Q190" s="22">
        <v>164</v>
      </c>
      <c r="R190" s="24">
        <v>45892</v>
      </c>
      <c r="S190" s="24">
        <v>45894</v>
      </c>
      <c r="T190" s="24"/>
      <c r="U190" s="24"/>
      <c r="V190" s="24">
        <v>45894</v>
      </c>
      <c r="W190" s="22" t="s">
        <v>160</v>
      </c>
      <c r="X190" s="4" t="str">
        <f>IF(Tabela2[[#This Row],[sigla]]="","",VLOOKUP(Tabela2[[#This Row],[sigla]],créditos_base!B:C,2,0))</f>
        <v>SERGIO LIMA/ARQUIVO DA EDITORA</v>
      </c>
      <c r="Y190" s="23" t="s">
        <v>433</v>
      </c>
      <c r="Z190" s="23" t="s">
        <v>689</v>
      </c>
      <c r="AA190" s="22">
        <v>14</v>
      </c>
      <c r="AB190" s="20" t="s">
        <v>153</v>
      </c>
      <c r="AC190" s="20" t="s">
        <v>36</v>
      </c>
      <c r="AD190" s="4" t="str">
        <f>"Pitanguá"</f>
        <v>Pitanguá</v>
      </c>
      <c r="AE190" s="14" t="str">
        <f>"Matemática"</f>
        <v>Matemática</v>
      </c>
    </row>
    <row r="191" spans="1:31" s="14" customFormat="1" ht="28.8" x14ac:dyDescent="0.3">
      <c r="A191" s="23" t="s">
        <v>77</v>
      </c>
      <c r="B191" s="20" t="s">
        <v>16</v>
      </c>
      <c r="C191" s="20" t="s">
        <v>7</v>
      </c>
      <c r="D191" s="20" t="s">
        <v>8</v>
      </c>
      <c r="E191" s="22">
        <v>28</v>
      </c>
      <c r="F191" s="22">
        <v>1</v>
      </c>
      <c r="G191" s="22">
        <v>1</v>
      </c>
      <c r="H191" s="22"/>
      <c r="I191" s="23" t="s">
        <v>33</v>
      </c>
      <c r="J191" s="23"/>
      <c r="K191" s="22"/>
      <c r="L191" s="22"/>
      <c r="M191" s="23"/>
      <c r="N191" s="23"/>
      <c r="O191" s="26" t="s">
        <v>78</v>
      </c>
      <c r="P191" s="26"/>
      <c r="Q191" s="22">
        <v>25</v>
      </c>
      <c r="R191" s="24">
        <v>45751</v>
      </c>
      <c r="S191" s="24">
        <v>45751</v>
      </c>
      <c r="T191" s="24"/>
      <c r="U191" s="24"/>
      <c r="V191" s="24">
        <v>45754</v>
      </c>
      <c r="W191" s="22" t="s">
        <v>31</v>
      </c>
      <c r="X191" s="4" t="str">
        <f>IF(Tabela2[[#This Row],[sigla]]="","",VLOOKUP(Tabela2[[#This Row],[sigla]],créditos_base!B:C,2,0))</f>
        <v>SILVIA OTOFUJI/ARQUIVO DA EDITORA</v>
      </c>
      <c r="Y191" s="23" t="s">
        <v>13</v>
      </c>
      <c r="Z191" s="23" t="str">
        <f>Tabela2[[#This Row],[ilustrador]]</f>
        <v>SILVIA OTOFUJI/ARQUIVO DA EDITORA</v>
      </c>
      <c r="AA191" s="22">
        <v>13</v>
      </c>
      <c r="AB191" s="20" t="s">
        <v>41</v>
      </c>
      <c r="AC191" s="20" t="s">
        <v>36</v>
      </c>
      <c r="AD191" s="4" t="str">
        <f>"Pitanguá"</f>
        <v>Pitanguá</v>
      </c>
      <c r="AE191" s="14" t="str">
        <f>"Matemática"</f>
        <v>Matemática</v>
      </c>
    </row>
    <row r="192" spans="1:31" s="14" customFormat="1" ht="28.8" x14ac:dyDescent="0.3">
      <c r="A192" s="23" t="s">
        <v>1170</v>
      </c>
      <c r="B192" s="20" t="s">
        <v>16</v>
      </c>
      <c r="C192" s="20" t="s">
        <v>7</v>
      </c>
      <c r="D192" s="20" t="s">
        <v>8</v>
      </c>
      <c r="E192" s="22">
        <v>23</v>
      </c>
      <c r="F192" s="22">
        <v>2</v>
      </c>
      <c r="G192" s="22">
        <v>1</v>
      </c>
      <c r="H192" s="22">
        <v>3</v>
      </c>
      <c r="I192" s="23" t="s">
        <v>33</v>
      </c>
      <c r="J192" s="23"/>
      <c r="K192" s="22"/>
      <c r="L192" s="22"/>
      <c r="M192" s="23"/>
      <c r="N192" s="23"/>
      <c r="O192" s="26" t="s">
        <v>1171</v>
      </c>
      <c r="P192" s="26"/>
      <c r="Q192" s="22">
        <v>52</v>
      </c>
      <c r="R192" s="24">
        <v>45803</v>
      </c>
      <c r="S192" s="24">
        <v>45805</v>
      </c>
      <c r="T192" s="24"/>
      <c r="U192" s="24"/>
      <c r="V192" s="24">
        <v>45805</v>
      </c>
      <c r="W192" s="22" t="s">
        <v>460</v>
      </c>
      <c r="X192" s="4" t="str">
        <f>IF(Tabela2[[#This Row],[sigla]]="","",VLOOKUP(Tabela2[[#This Row],[sigla]],créditos_base!B:C,2,0))</f>
        <v>CLAUDIA SOUZA/ARQUIVO DA EDITORA</v>
      </c>
      <c r="Y192" s="23" t="s">
        <v>188</v>
      </c>
      <c r="Z192" s="23" t="str">
        <f>Tabela2[[#This Row],[ilustrador]]</f>
        <v>CLAUDIA SOUZA/ARQUIVO DA EDITORA</v>
      </c>
      <c r="AA192" s="22">
        <v>14</v>
      </c>
      <c r="AB192" s="20" t="s">
        <v>153</v>
      </c>
      <c r="AC192" s="20" t="s">
        <v>36</v>
      </c>
      <c r="AD192" s="4" t="str">
        <f>"Pitanguá"</f>
        <v>Pitanguá</v>
      </c>
      <c r="AE192" s="14" t="str">
        <f>"Matemática"</f>
        <v>Matemática</v>
      </c>
    </row>
    <row r="193" spans="1:31" s="14" customFormat="1" ht="28.8" x14ac:dyDescent="0.3">
      <c r="A193" s="23" t="s">
        <v>1828</v>
      </c>
      <c r="B193" s="20" t="s">
        <v>16</v>
      </c>
      <c r="C193" s="20" t="s">
        <v>7</v>
      </c>
      <c r="D193" s="20" t="s">
        <v>8</v>
      </c>
      <c r="E193" s="22">
        <v>22</v>
      </c>
      <c r="F193" s="22">
        <v>3</v>
      </c>
      <c r="G193" s="22">
        <v>1</v>
      </c>
      <c r="H193" s="22"/>
      <c r="I193" s="23" t="s">
        <v>33</v>
      </c>
      <c r="J193" s="23"/>
      <c r="K193" s="22"/>
      <c r="L193" s="22"/>
      <c r="M193" s="23"/>
      <c r="N193" s="23"/>
      <c r="O193" s="26" t="s">
        <v>1829</v>
      </c>
      <c r="P193" s="26"/>
      <c r="Q193" s="22">
        <v>164</v>
      </c>
      <c r="R193" s="24">
        <v>45892</v>
      </c>
      <c r="S193" s="24">
        <v>45894</v>
      </c>
      <c r="T193" s="24"/>
      <c r="U193" s="24"/>
      <c r="V193" s="24">
        <v>45894</v>
      </c>
      <c r="W193" s="22" t="s">
        <v>468</v>
      </c>
      <c r="X193" s="4" t="str">
        <f>IF(Tabela2[[#This Row],[sigla]]="","",VLOOKUP(Tabela2[[#This Row],[sigla]],créditos_base!B:C,2,0))</f>
        <v>VER DOCUMENTO DE ILS. TÉCNICAS</v>
      </c>
      <c r="Y193" s="23" t="s">
        <v>433</v>
      </c>
      <c r="Z193" s="23" t="s">
        <v>1327</v>
      </c>
      <c r="AA193" s="22">
        <v>14</v>
      </c>
      <c r="AB193" s="20" t="s">
        <v>153</v>
      </c>
      <c r="AC193" s="20" t="s">
        <v>36</v>
      </c>
      <c r="AD193" s="4" t="str">
        <f>"Pitanguá"</f>
        <v>Pitanguá</v>
      </c>
      <c r="AE193" s="14" t="str">
        <f>"Matemática"</f>
        <v>Matemática</v>
      </c>
    </row>
    <row r="194" spans="1:31" s="14" customFormat="1" ht="28.8" x14ac:dyDescent="0.3">
      <c r="A194" s="23" t="s">
        <v>2850</v>
      </c>
      <c r="B194" s="20" t="s">
        <v>16</v>
      </c>
      <c r="C194" s="20" t="s">
        <v>89</v>
      </c>
      <c r="D194" s="20" t="s">
        <v>8</v>
      </c>
      <c r="E194" s="22">
        <v>14</v>
      </c>
      <c r="F194" s="22">
        <v>4</v>
      </c>
      <c r="G194" s="22">
        <v>1</v>
      </c>
      <c r="H194" s="22"/>
      <c r="I194" s="23" t="s">
        <v>9</v>
      </c>
      <c r="J194" s="23"/>
      <c r="K194" s="22"/>
      <c r="L194" s="22"/>
      <c r="M194" s="23"/>
      <c r="N194" s="23"/>
      <c r="O194" s="26" t="s">
        <v>2851</v>
      </c>
      <c r="P194" s="26"/>
      <c r="Q194" s="22"/>
      <c r="R194" s="24"/>
      <c r="S194" s="24"/>
      <c r="T194" s="24"/>
      <c r="U194" s="24"/>
      <c r="V194" s="24"/>
      <c r="W194" s="22" t="s">
        <v>425</v>
      </c>
      <c r="X194" s="4" t="str">
        <f>IF(Tabela2[[#This Row],[sigla]]="","",VLOOKUP(Tabela2[[#This Row],[sigla]],créditos_base!B:C,2,0))</f>
        <v>BÁRBARA SARZI/ARQUIVO DA EDITORA</v>
      </c>
      <c r="Y194" s="23"/>
      <c r="Z194" s="23" t="str">
        <f>Tabela2[[#This Row],[ilustrador]]</f>
        <v>BÁRBARA SARZI/ARQUIVO DA EDITORA</v>
      </c>
      <c r="AA194" s="22"/>
      <c r="AB194" s="20"/>
      <c r="AC194" s="20"/>
      <c r="AD194" s="4" t="str">
        <f>"Pitanguá"</f>
        <v>Pitanguá</v>
      </c>
      <c r="AE194" s="14" t="str">
        <f>"Matemática"</f>
        <v>Matemática</v>
      </c>
    </row>
    <row r="195" spans="1:31" s="14" customFormat="1" ht="28.8" x14ac:dyDescent="0.3">
      <c r="A195" s="23" t="s">
        <v>1172</v>
      </c>
      <c r="B195" s="20" t="s">
        <v>16</v>
      </c>
      <c r="C195" s="20" t="s">
        <v>7</v>
      </c>
      <c r="D195" s="20" t="s">
        <v>8</v>
      </c>
      <c r="E195" s="22">
        <v>23</v>
      </c>
      <c r="F195" s="22">
        <v>2</v>
      </c>
      <c r="G195" s="22">
        <v>1</v>
      </c>
      <c r="H195" s="22">
        <v>3</v>
      </c>
      <c r="I195" s="23" t="s">
        <v>33</v>
      </c>
      <c r="J195" s="23"/>
      <c r="K195" s="22"/>
      <c r="L195" s="22"/>
      <c r="M195" s="23"/>
      <c r="N195" s="23"/>
      <c r="O195" s="26" t="s">
        <v>1173</v>
      </c>
      <c r="P195" s="26"/>
      <c r="Q195" s="22">
        <v>13</v>
      </c>
      <c r="R195" s="24">
        <v>45743</v>
      </c>
      <c r="S195" s="24">
        <v>45743</v>
      </c>
      <c r="T195" s="24"/>
      <c r="U195" s="24"/>
      <c r="V195" s="24">
        <v>45743</v>
      </c>
      <c r="W195" s="22" t="s">
        <v>468</v>
      </c>
      <c r="X195" s="4" t="str">
        <f>IF(Tabela2[[#This Row],[sigla]]="","",VLOOKUP(Tabela2[[#This Row],[sigla]],créditos_base!B:C,2,0))</f>
        <v>VER DOCUMENTO DE ILS. TÉCNICAS</v>
      </c>
      <c r="Y195" s="23" t="s">
        <v>813</v>
      </c>
      <c r="Z195" s="23" t="s">
        <v>469</v>
      </c>
      <c r="AA195" s="22">
        <v>13</v>
      </c>
      <c r="AB195" s="20" t="s">
        <v>153</v>
      </c>
      <c r="AC195" s="20" t="s">
        <v>36</v>
      </c>
      <c r="AD195" s="4" t="str">
        <f>"Pitanguá"</f>
        <v>Pitanguá</v>
      </c>
      <c r="AE195" s="14" t="str">
        <f>"Matemática"</f>
        <v>Matemática</v>
      </c>
    </row>
    <row r="196" spans="1:31" s="14" customFormat="1" ht="28.8" x14ac:dyDescent="0.3">
      <c r="A196" s="23" t="s">
        <v>1830</v>
      </c>
      <c r="B196" s="20" t="s">
        <v>16</v>
      </c>
      <c r="C196" s="20" t="s">
        <v>7</v>
      </c>
      <c r="D196" s="20" t="s">
        <v>8</v>
      </c>
      <c r="E196" s="22">
        <v>22</v>
      </c>
      <c r="F196" s="22">
        <v>3</v>
      </c>
      <c r="G196" s="22">
        <v>1</v>
      </c>
      <c r="H196" s="22"/>
      <c r="I196" s="23" t="s">
        <v>33</v>
      </c>
      <c r="J196" s="23"/>
      <c r="K196" s="22"/>
      <c r="L196" s="22"/>
      <c r="M196" s="23"/>
      <c r="N196" s="23"/>
      <c r="O196" s="26" t="s">
        <v>1831</v>
      </c>
      <c r="P196" s="26"/>
      <c r="Q196" s="22">
        <v>164</v>
      </c>
      <c r="R196" s="24">
        <v>45892</v>
      </c>
      <c r="S196" s="24">
        <v>45894</v>
      </c>
      <c r="T196" s="24"/>
      <c r="U196" s="24"/>
      <c r="V196" s="24">
        <v>45894</v>
      </c>
      <c r="W196" s="22" t="s">
        <v>468</v>
      </c>
      <c r="X196" s="4" t="str">
        <f>IF(Tabela2[[#This Row],[sigla]]="","",VLOOKUP(Tabela2[[#This Row],[sigla]],créditos_base!B:C,2,0))</f>
        <v>VER DOCUMENTO DE ILS. TÉCNICAS</v>
      </c>
      <c r="Y196" s="23" t="s">
        <v>433</v>
      </c>
      <c r="Z196" s="23" t="s">
        <v>1327</v>
      </c>
      <c r="AA196" s="22">
        <v>14</v>
      </c>
      <c r="AB196" s="20" t="s">
        <v>153</v>
      </c>
      <c r="AC196" s="20" t="s">
        <v>36</v>
      </c>
      <c r="AD196" s="4" t="str">
        <f>"Pitanguá"</f>
        <v>Pitanguá</v>
      </c>
      <c r="AE196" s="14" t="str">
        <f>"Matemática"</f>
        <v>Matemática</v>
      </c>
    </row>
    <row r="197" spans="1:31" s="14" customFormat="1" ht="72" x14ac:dyDescent="0.3">
      <c r="A197" s="23" t="s">
        <v>1174</v>
      </c>
      <c r="B197" s="20" t="s">
        <v>16</v>
      </c>
      <c r="C197" s="20" t="s">
        <v>7</v>
      </c>
      <c r="D197" s="20" t="s">
        <v>8</v>
      </c>
      <c r="E197" s="22">
        <v>24</v>
      </c>
      <c r="F197" s="22">
        <v>2</v>
      </c>
      <c r="G197" s="22">
        <v>1</v>
      </c>
      <c r="H197" s="22">
        <v>3</v>
      </c>
      <c r="I197" s="23" t="s">
        <v>9</v>
      </c>
      <c r="J197" s="23"/>
      <c r="K197" s="22"/>
      <c r="L197" s="22"/>
      <c r="M197" s="23"/>
      <c r="N197" s="23"/>
      <c r="O197" s="26" t="s">
        <v>1175</v>
      </c>
      <c r="P197" s="26"/>
      <c r="Q197" s="22"/>
      <c r="R197" s="24"/>
      <c r="S197" s="24"/>
      <c r="T197" s="24"/>
      <c r="U197" s="24"/>
      <c r="V197" s="24"/>
      <c r="W197" s="22" t="s">
        <v>468</v>
      </c>
      <c r="X197" s="4" t="str">
        <f>IF(Tabela2[[#This Row],[sigla]]="","",VLOOKUP(Tabela2[[#This Row],[sigla]],créditos_base!B:C,2,0))</f>
        <v>VER DOCUMENTO DE ILS. TÉCNICAS</v>
      </c>
      <c r="Y197" s="23"/>
      <c r="Z197" s="23" t="s">
        <v>661</v>
      </c>
      <c r="AA197" s="22"/>
      <c r="AB197" s="20"/>
      <c r="AC197" s="20"/>
      <c r="AD197" s="4" t="str">
        <f>"Pitanguá"</f>
        <v>Pitanguá</v>
      </c>
      <c r="AE197" s="14" t="str">
        <f>"Matemática"</f>
        <v>Matemática</v>
      </c>
    </row>
    <row r="198" spans="1:31" s="14" customFormat="1" ht="57.6" x14ac:dyDescent="0.3">
      <c r="A198" s="23" t="s">
        <v>1832</v>
      </c>
      <c r="B198" s="20" t="s">
        <v>16</v>
      </c>
      <c r="C198" s="20" t="s">
        <v>7</v>
      </c>
      <c r="D198" s="20" t="s">
        <v>8</v>
      </c>
      <c r="E198" s="22">
        <v>22</v>
      </c>
      <c r="F198" s="22">
        <v>3</v>
      </c>
      <c r="G198" s="22">
        <v>1</v>
      </c>
      <c r="H198" s="22"/>
      <c r="I198" s="23" t="s">
        <v>33</v>
      </c>
      <c r="J198" s="23"/>
      <c r="K198" s="22"/>
      <c r="L198" s="22"/>
      <c r="M198" s="23"/>
      <c r="N198" s="23"/>
      <c r="O198" s="26" t="s">
        <v>1833</v>
      </c>
      <c r="P198" s="26"/>
      <c r="Q198" s="22">
        <v>164</v>
      </c>
      <c r="R198" s="24">
        <v>45892</v>
      </c>
      <c r="S198" s="24">
        <v>45894</v>
      </c>
      <c r="T198" s="24"/>
      <c r="U198" s="24"/>
      <c r="V198" s="24">
        <v>45894</v>
      </c>
      <c r="W198" s="22" t="s">
        <v>468</v>
      </c>
      <c r="X198" s="4" t="str">
        <f>IF(Tabela2[[#This Row],[sigla]]="","",VLOOKUP(Tabela2[[#This Row],[sigla]],créditos_base!B:C,2,0))</f>
        <v>VER DOCUMENTO DE ILS. TÉCNICAS</v>
      </c>
      <c r="Y198" s="23" t="s">
        <v>433</v>
      </c>
      <c r="Z198" s="23" t="s">
        <v>1327</v>
      </c>
      <c r="AA198" s="22">
        <v>14</v>
      </c>
      <c r="AB198" s="20" t="s">
        <v>153</v>
      </c>
      <c r="AC198" s="20" t="s">
        <v>36</v>
      </c>
      <c r="AD198" s="4" t="str">
        <f>"Pitanguá"</f>
        <v>Pitanguá</v>
      </c>
      <c r="AE198" s="14" t="str">
        <f>"Matemática"</f>
        <v>Matemática</v>
      </c>
    </row>
    <row r="199" spans="1:31" s="14" customFormat="1" x14ac:dyDescent="0.3">
      <c r="A199" s="23" t="s">
        <v>2852</v>
      </c>
      <c r="B199" s="20" t="s">
        <v>16</v>
      </c>
      <c r="C199" s="20" t="s">
        <v>7</v>
      </c>
      <c r="D199" s="20" t="s">
        <v>8</v>
      </c>
      <c r="E199" s="22">
        <v>17</v>
      </c>
      <c r="F199" s="22">
        <v>4</v>
      </c>
      <c r="G199" s="22">
        <v>1</v>
      </c>
      <c r="H199" s="22"/>
      <c r="I199" s="23" t="s">
        <v>9</v>
      </c>
      <c r="J199" s="23"/>
      <c r="K199" s="22"/>
      <c r="L199" s="22"/>
      <c r="M199" s="23"/>
      <c r="N199" s="23"/>
      <c r="O199" s="26" t="s">
        <v>2853</v>
      </c>
      <c r="P199" s="26"/>
      <c r="Q199" s="22"/>
      <c r="R199" s="24"/>
      <c r="S199" s="24"/>
      <c r="T199" s="24"/>
      <c r="U199" s="24"/>
      <c r="V199" s="24"/>
      <c r="W199" s="22" t="s">
        <v>546</v>
      </c>
      <c r="X199" s="4" t="str">
        <f>IF(Tabela2[[#This Row],[sigla]]="","",VLOOKUP(Tabela2[[#This Row],[sigla]],créditos_base!B:C,2,0))</f>
        <v>GUILHERME ARANEGA/ARQUIVO DA EDITORA</v>
      </c>
      <c r="Y199" s="23"/>
      <c r="Z199" s="23" t="str">
        <f>Tabela2[[#This Row],[ilustrador]]</f>
        <v>GUILHERME ARANEGA/ARQUIVO DA EDITORA</v>
      </c>
      <c r="AA199" s="22"/>
      <c r="AB199" s="20"/>
      <c r="AC199" s="20"/>
      <c r="AD199" s="4" t="str">
        <f>"Pitanguá"</f>
        <v>Pitanguá</v>
      </c>
      <c r="AE199" s="14" t="str">
        <f>"Matemática"</f>
        <v>Matemática</v>
      </c>
    </row>
    <row r="200" spans="1:31" s="14" customFormat="1" x14ac:dyDescent="0.3">
      <c r="A200" s="23" t="s">
        <v>1176</v>
      </c>
      <c r="B200" s="20" t="s">
        <v>16</v>
      </c>
      <c r="C200" s="20" t="s">
        <v>7</v>
      </c>
      <c r="D200" s="20" t="s">
        <v>8</v>
      </c>
      <c r="E200" s="22">
        <v>24</v>
      </c>
      <c r="F200" s="22">
        <v>2</v>
      </c>
      <c r="G200" s="22">
        <v>1</v>
      </c>
      <c r="H200" s="22">
        <v>3</v>
      </c>
      <c r="I200" s="23" t="s">
        <v>9</v>
      </c>
      <c r="J200" s="23"/>
      <c r="K200" s="22"/>
      <c r="L200" s="22"/>
      <c r="M200" s="23"/>
      <c r="N200" s="23"/>
      <c r="O200" s="26" t="s">
        <v>1177</v>
      </c>
      <c r="P200" s="26"/>
      <c r="Q200" s="22"/>
      <c r="R200" s="24"/>
      <c r="S200" s="24"/>
      <c r="T200" s="24"/>
      <c r="U200" s="24"/>
      <c r="V200" s="24"/>
      <c r="W200" s="22" t="s">
        <v>468</v>
      </c>
      <c r="X200" s="4" t="str">
        <f>IF(Tabela2[[#This Row],[sigla]]="","",VLOOKUP(Tabela2[[#This Row],[sigla]],créditos_base!B:C,2,0))</f>
        <v>VER DOCUMENTO DE ILS. TÉCNICAS</v>
      </c>
      <c r="Y200" s="23"/>
      <c r="Z200" s="23" t="s">
        <v>661</v>
      </c>
      <c r="AA200" s="22"/>
      <c r="AB200" s="20"/>
      <c r="AC200" s="20"/>
      <c r="AD200" s="4" t="str">
        <f>"Pitanguá"</f>
        <v>Pitanguá</v>
      </c>
      <c r="AE200" s="14" t="str">
        <f>"Matemática"</f>
        <v>Matemática</v>
      </c>
    </row>
    <row r="201" spans="1:31" s="14" customFormat="1" x14ac:dyDescent="0.3">
      <c r="A201" s="23" t="s">
        <v>1834</v>
      </c>
      <c r="B201" s="20" t="s">
        <v>16</v>
      </c>
      <c r="C201" s="20" t="s">
        <v>7</v>
      </c>
      <c r="D201" s="20" t="s">
        <v>8</v>
      </c>
      <c r="E201" s="22">
        <v>23</v>
      </c>
      <c r="F201" s="22">
        <v>3</v>
      </c>
      <c r="G201" s="22">
        <v>1</v>
      </c>
      <c r="H201" s="22"/>
      <c r="I201" s="23" t="s">
        <v>9</v>
      </c>
      <c r="J201" s="23"/>
      <c r="K201" s="22"/>
      <c r="L201" s="22"/>
      <c r="M201" s="23"/>
      <c r="N201" s="23"/>
      <c r="O201" s="26" t="s">
        <v>1835</v>
      </c>
      <c r="P201" s="26"/>
      <c r="Q201" s="22"/>
      <c r="R201" s="24"/>
      <c r="S201" s="24"/>
      <c r="T201" s="24"/>
      <c r="U201" s="24"/>
      <c r="V201" s="24"/>
      <c r="W201" s="22" t="s">
        <v>460</v>
      </c>
      <c r="X201" s="4" t="str">
        <f>IF(Tabela2[[#This Row],[sigla]]="","",VLOOKUP(Tabela2[[#This Row],[sigla]],créditos_base!B:C,2,0))</f>
        <v>CLAUDIA SOUZA/ARQUIVO DA EDITORA</v>
      </c>
      <c r="Y201" s="23"/>
      <c r="Z201" s="23" t="str">
        <f>Tabela2[[#This Row],[ilustrador]]</f>
        <v>CLAUDIA SOUZA/ARQUIVO DA EDITORA</v>
      </c>
      <c r="AA201" s="22"/>
      <c r="AB201" s="20"/>
      <c r="AC201" s="20"/>
      <c r="AD201" s="4" t="str">
        <f>"Pitanguá"</f>
        <v>Pitanguá</v>
      </c>
      <c r="AE201" s="14" t="str">
        <f>"Matemática"</f>
        <v>Matemática</v>
      </c>
    </row>
    <row r="202" spans="1:31" s="14" customFormat="1" x14ac:dyDescent="0.3">
      <c r="A202" s="23" t="s">
        <v>2854</v>
      </c>
      <c r="B202" s="20" t="s">
        <v>16</v>
      </c>
      <c r="C202" s="20" t="s">
        <v>7</v>
      </c>
      <c r="D202" s="20" t="s">
        <v>8</v>
      </c>
      <c r="E202" s="22">
        <v>17</v>
      </c>
      <c r="F202" s="22">
        <v>4</v>
      </c>
      <c r="G202" s="22">
        <v>1</v>
      </c>
      <c r="H202" s="22"/>
      <c r="I202" s="23" t="s">
        <v>9</v>
      </c>
      <c r="J202" s="23"/>
      <c r="K202" s="22"/>
      <c r="L202" s="22"/>
      <c r="M202" s="23"/>
      <c r="N202" s="23"/>
      <c r="O202" s="26" t="s">
        <v>2855</v>
      </c>
      <c r="P202" s="26"/>
      <c r="Q202" s="22"/>
      <c r="R202" s="24"/>
      <c r="S202" s="24"/>
      <c r="T202" s="24"/>
      <c r="U202" s="24"/>
      <c r="V202" s="24"/>
      <c r="W202" s="22" t="s">
        <v>546</v>
      </c>
      <c r="X202" s="4" t="str">
        <f>IF(Tabela2[[#This Row],[sigla]]="","",VLOOKUP(Tabela2[[#This Row],[sigla]],créditos_base!B:C,2,0))</f>
        <v>GUILHERME ARANEGA/ARQUIVO DA EDITORA</v>
      </c>
      <c r="Y202" s="23"/>
      <c r="Z202" s="23" t="str">
        <f>Tabela2[[#This Row],[ilustrador]]</f>
        <v>GUILHERME ARANEGA/ARQUIVO DA EDITORA</v>
      </c>
      <c r="AA202" s="22"/>
      <c r="AB202" s="20"/>
      <c r="AC202" s="20"/>
      <c r="AD202" s="4" t="str">
        <f>"Pitanguá"</f>
        <v>Pitanguá</v>
      </c>
      <c r="AE202" s="14" t="str">
        <f>"Matemática"</f>
        <v>Matemática</v>
      </c>
    </row>
    <row r="203" spans="1:31" s="14" customFormat="1" x14ac:dyDescent="0.3">
      <c r="A203" s="23" t="s">
        <v>1178</v>
      </c>
      <c r="B203" s="20" t="s">
        <v>16</v>
      </c>
      <c r="C203" s="20" t="s">
        <v>7</v>
      </c>
      <c r="D203" s="20" t="s">
        <v>8</v>
      </c>
      <c r="E203" s="22">
        <v>24</v>
      </c>
      <c r="F203" s="22">
        <v>2</v>
      </c>
      <c r="G203" s="22">
        <v>1</v>
      </c>
      <c r="H203" s="22">
        <v>3</v>
      </c>
      <c r="I203" s="23" t="s">
        <v>9</v>
      </c>
      <c r="J203" s="23"/>
      <c r="K203" s="22"/>
      <c r="L203" s="22"/>
      <c r="M203" s="23"/>
      <c r="N203" s="23"/>
      <c r="O203" s="26" t="s">
        <v>1179</v>
      </c>
      <c r="P203" s="26"/>
      <c r="Q203" s="22"/>
      <c r="R203" s="24"/>
      <c r="S203" s="24"/>
      <c r="T203" s="24"/>
      <c r="U203" s="24"/>
      <c r="V203" s="24"/>
      <c r="W203" s="22" t="s">
        <v>468</v>
      </c>
      <c r="X203" s="4" t="str">
        <f>IF(Tabela2[[#This Row],[sigla]]="","",VLOOKUP(Tabela2[[#This Row],[sigla]],créditos_base!B:C,2,0))</f>
        <v>VER DOCUMENTO DE ILS. TÉCNICAS</v>
      </c>
      <c r="Y203" s="23"/>
      <c r="Z203" s="23" t="s">
        <v>661</v>
      </c>
      <c r="AA203" s="22"/>
      <c r="AB203" s="20"/>
      <c r="AC203" s="20"/>
      <c r="AD203" s="4" t="str">
        <f>"Pitanguá"</f>
        <v>Pitanguá</v>
      </c>
      <c r="AE203" s="14" t="str">
        <f>"Matemática"</f>
        <v>Matemática</v>
      </c>
    </row>
    <row r="204" spans="1:31" s="14" customFormat="1" x14ac:dyDescent="0.3">
      <c r="A204" s="23" t="s">
        <v>1180</v>
      </c>
      <c r="B204" s="20" t="s">
        <v>16</v>
      </c>
      <c r="C204" s="20" t="s">
        <v>7</v>
      </c>
      <c r="D204" s="20" t="s">
        <v>8</v>
      </c>
      <c r="E204" s="22">
        <v>24</v>
      </c>
      <c r="F204" s="22">
        <v>2</v>
      </c>
      <c r="G204" s="22">
        <v>1</v>
      </c>
      <c r="H204" s="22">
        <v>3</v>
      </c>
      <c r="I204" s="23" t="s">
        <v>9</v>
      </c>
      <c r="J204" s="23"/>
      <c r="K204" s="22"/>
      <c r="L204" s="22"/>
      <c r="M204" s="23"/>
      <c r="N204" s="23"/>
      <c r="O204" s="26" t="s">
        <v>1181</v>
      </c>
      <c r="P204" s="26"/>
      <c r="Q204" s="22"/>
      <c r="R204" s="24"/>
      <c r="S204" s="24"/>
      <c r="T204" s="24"/>
      <c r="U204" s="24"/>
      <c r="V204" s="24"/>
      <c r="W204" s="22" t="s">
        <v>468</v>
      </c>
      <c r="X204" s="4" t="str">
        <f>IF(Tabela2[[#This Row],[sigla]]="","",VLOOKUP(Tabela2[[#This Row],[sigla]],créditos_base!B:C,2,0))</f>
        <v>VER DOCUMENTO DE ILS. TÉCNICAS</v>
      </c>
      <c r="Y204" s="23"/>
      <c r="Z204" s="23" t="s">
        <v>661</v>
      </c>
      <c r="AA204" s="22"/>
      <c r="AB204" s="20"/>
      <c r="AC204" s="20"/>
      <c r="AD204" s="4" t="str">
        <f>"Pitanguá"</f>
        <v>Pitanguá</v>
      </c>
      <c r="AE204" s="14" t="str">
        <f>"Matemática"</f>
        <v>Matemática</v>
      </c>
    </row>
    <row r="205" spans="1:31" s="14" customFormat="1" ht="43.2" x14ac:dyDescent="0.3">
      <c r="A205" s="23" t="s">
        <v>2856</v>
      </c>
      <c r="B205" s="20" t="s">
        <v>6</v>
      </c>
      <c r="C205" s="20" t="s">
        <v>89</v>
      </c>
      <c r="D205" s="20" t="s">
        <v>8</v>
      </c>
      <c r="E205" s="22">
        <v>17</v>
      </c>
      <c r="F205" s="22">
        <v>4</v>
      </c>
      <c r="G205" s="22">
        <v>1</v>
      </c>
      <c r="H205" s="22"/>
      <c r="I205" s="23" t="s">
        <v>33</v>
      </c>
      <c r="J205" s="23"/>
      <c r="K205" s="22"/>
      <c r="L205" s="22"/>
      <c r="M205" s="23"/>
      <c r="N205" s="23"/>
      <c r="O205" s="26" t="s">
        <v>2857</v>
      </c>
      <c r="P205" s="26"/>
      <c r="Q205" s="22">
        <v>39</v>
      </c>
      <c r="R205" s="24">
        <v>45777</v>
      </c>
      <c r="S205" s="24">
        <v>45779</v>
      </c>
      <c r="T205" s="24"/>
      <c r="U205" s="24"/>
      <c r="V205" s="24">
        <v>45779</v>
      </c>
      <c r="W205" s="22" t="s">
        <v>468</v>
      </c>
      <c r="X205" s="4" t="str">
        <f>IF(Tabela2[[#This Row],[sigla]]="","",VLOOKUP(Tabela2[[#This Row],[sigla]],créditos_base!B:C,2,0))</f>
        <v>VER DOCUMENTO DE ILS. TÉCNICAS</v>
      </c>
      <c r="Y205" s="23" t="s">
        <v>880</v>
      </c>
      <c r="Z205" s="32" t="s">
        <v>469</v>
      </c>
      <c r="AA205" s="22">
        <v>13</v>
      </c>
      <c r="AB205" s="20" t="s">
        <v>2058</v>
      </c>
      <c r="AC205" s="20" t="s">
        <v>36</v>
      </c>
      <c r="AD205" s="4" t="str">
        <f>"Pitanguá"</f>
        <v>Pitanguá</v>
      </c>
      <c r="AE205" s="14" t="str">
        <f>"Matemática"</f>
        <v>Matemática</v>
      </c>
    </row>
    <row r="206" spans="1:31" s="14" customFormat="1" ht="43.2" x14ac:dyDescent="0.3">
      <c r="A206" s="23" t="s">
        <v>1182</v>
      </c>
      <c r="B206" s="20" t="s">
        <v>16</v>
      </c>
      <c r="C206" s="20" t="s">
        <v>7</v>
      </c>
      <c r="D206" s="20" t="s">
        <v>8</v>
      </c>
      <c r="E206" s="22">
        <v>24</v>
      </c>
      <c r="F206" s="22">
        <v>2</v>
      </c>
      <c r="G206" s="22">
        <v>1</v>
      </c>
      <c r="H206" s="22">
        <v>3</v>
      </c>
      <c r="I206" s="23" t="s">
        <v>9</v>
      </c>
      <c r="J206" s="23"/>
      <c r="K206" s="22"/>
      <c r="L206" s="22"/>
      <c r="M206" s="23"/>
      <c r="N206" s="23"/>
      <c r="O206" s="26" t="s">
        <v>1183</v>
      </c>
      <c r="P206" s="26"/>
      <c r="Q206" s="22"/>
      <c r="R206" s="24"/>
      <c r="S206" s="24"/>
      <c r="T206" s="24"/>
      <c r="U206" s="24"/>
      <c r="V206" s="24"/>
      <c r="W206" s="22" t="s">
        <v>468</v>
      </c>
      <c r="X206" s="4" t="str">
        <f>IF(Tabela2[[#This Row],[sigla]]="","",VLOOKUP(Tabela2[[#This Row],[sigla]],créditos_base!B:C,2,0))</f>
        <v>VER DOCUMENTO DE ILS. TÉCNICAS</v>
      </c>
      <c r="Y206" s="23"/>
      <c r="Z206" s="23" t="s">
        <v>661</v>
      </c>
      <c r="AA206" s="22"/>
      <c r="AB206" s="20"/>
      <c r="AC206" s="20"/>
      <c r="AD206" s="4" t="str">
        <f>"Pitanguá"</f>
        <v>Pitanguá</v>
      </c>
      <c r="AE206" s="14" t="str">
        <f>"Matemática"</f>
        <v>Matemática</v>
      </c>
    </row>
    <row r="207" spans="1:31" s="14" customFormat="1" ht="28.8" x14ac:dyDescent="0.3">
      <c r="A207" s="23" t="s">
        <v>79</v>
      </c>
      <c r="B207" s="20" t="s">
        <v>16</v>
      </c>
      <c r="C207" s="20" t="s">
        <v>7</v>
      </c>
      <c r="D207" s="20" t="s">
        <v>8</v>
      </c>
      <c r="E207" s="22">
        <v>29</v>
      </c>
      <c r="F207" s="22">
        <v>1</v>
      </c>
      <c r="G207" s="22">
        <v>1</v>
      </c>
      <c r="H207" s="22"/>
      <c r="I207" s="23" t="s">
        <v>33</v>
      </c>
      <c r="J207" s="23"/>
      <c r="K207" s="22"/>
      <c r="L207" s="22"/>
      <c r="M207" s="23"/>
      <c r="N207" s="23"/>
      <c r="O207" s="26" t="s">
        <v>80</v>
      </c>
      <c r="P207" s="26"/>
      <c r="Q207" s="22">
        <v>1</v>
      </c>
      <c r="R207" s="24">
        <v>45722</v>
      </c>
      <c r="S207" s="24">
        <v>45722</v>
      </c>
      <c r="T207" s="24"/>
      <c r="U207" s="24"/>
      <c r="V207" s="24">
        <v>45723</v>
      </c>
      <c r="W207" s="22" t="s">
        <v>31</v>
      </c>
      <c r="X207" s="4" t="str">
        <f>IF(Tabela2[[#This Row],[sigla]]="","",VLOOKUP(Tabela2[[#This Row],[sigla]],créditos_base!B:C,2,0))</f>
        <v>SILVIA OTOFUJI/ARQUIVO DA EDITORA</v>
      </c>
      <c r="Y207" s="23" t="s">
        <v>13</v>
      </c>
      <c r="Z207" s="23" t="str">
        <f>Tabela2[[#This Row],[ilustrador]]</f>
        <v>SILVIA OTOFUJI/ARQUIVO DA EDITORA</v>
      </c>
      <c r="AA207" s="22">
        <v>14</v>
      </c>
      <c r="AB207" s="20"/>
      <c r="AC207" s="20" t="s">
        <v>36</v>
      </c>
      <c r="AD207" s="4" t="str">
        <f>"Pitanguá"</f>
        <v>Pitanguá</v>
      </c>
      <c r="AE207" s="14" t="str">
        <f>"Matemática"</f>
        <v>Matemática</v>
      </c>
    </row>
    <row r="208" spans="1:31" s="14" customFormat="1" ht="28.8" x14ac:dyDescent="0.3">
      <c r="A208" s="23" t="s">
        <v>1184</v>
      </c>
      <c r="B208" s="20" t="s">
        <v>16</v>
      </c>
      <c r="C208" s="20" t="s">
        <v>7</v>
      </c>
      <c r="D208" s="20" t="s">
        <v>8</v>
      </c>
      <c r="E208" s="22">
        <v>24</v>
      </c>
      <c r="F208" s="22">
        <v>2</v>
      </c>
      <c r="G208" s="22">
        <v>1</v>
      </c>
      <c r="H208" s="22">
        <v>3</v>
      </c>
      <c r="I208" s="23" t="s">
        <v>9</v>
      </c>
      <c r="J208" s="23"/>
      <c r="K208" s="22"/>
      <c r="L208" s="22"/>
      <c r="M208" s="23"/>
      <c r="N208" s="23"/>
      <c r="O208" s="26" t="s">
        <v>1185</v>
      </c>
      <c r="P208" s="26"/>
      <c r="Q208" s="22"/>
      <c r="R208" s="24"/>
      <c r="S208" s="24"/>
      <c r="T208" s="24"/>
      <c r="U208" s="24"/>
      <c r="V208" s="24"/>
      <c r="W208" s="22" t="s">
        <v>468</v>
      </c>
      <c r="X208" s="4" t="str">
        <f>IF(Tabela2[[#This Row],[sigla]]="","",VLOOKUP(Tabela2[[#This Row],[sigla]],créditos_base!B:C,2,0))</f>
        <v>VER DOCUMENTO DE ILS. TÉCNICAS</v>
      </c>
      <c r="Y208" s="23"/>
      <c r="Z208" s="23" t="s">
        <v>661</v>
      </c>
      <c r="AA208" s="22"/>
      <c r="AB208" s="20"/>
      <c r="AC208" s="20"/>
      <c r="AD208" s="4" t="str">
        <f>"Pitanguá"</f>
        <v>Pitanguá</v>
      </c>
      <c r="AE208" s="14" t="str">
        <f>"Matemática"</f>
        <v>Matemática</v>
      </c>
    </row>
    <row r="209" spans="1:31" s="14" customFormat="1" x14ac:dyDescent="0.3">
      <c r="A209" s="23" t="s">
        <v>1836</v>
      </c>
      <c r="B209" s="20" t="s">
        <v>16</v>
      </c>
      <c r="C209" s="20" t="s">
        <v>7</v>
      </c>
      <c r="D209" s="20" t="s">
        <v>8</v>
      </c>
      <c r="E209" s="22">
        <v>25</v>
      </c>
      <c r="F209" s="22">
        <v>3</v>
      </c>
      <c r="G209" s="22">
        <v>1</v>
      </c>
      <c r="H209" s="22"/>
      <c r="I209" s="23" t="s">
        <v>9</v>
      </c>
      <c r="J209" s="23"/>
      <c r="K209" s="22"/>
      <c r="L209" s="22"/>
      <c r="M209" s="23"/>
      <c r="N209" s="23"/>
      <c r="O209" s="26" t="s">
        <v>1837</v>
      </c>
      <c r="P209" s="26"/>
      <c r="Q209" s="22"/>
      <c r="R209" s="24"/>
      <c r="S209" s="24"/>
      <c r="T209" s="24"/>
      <c r="U209" s="24"/>
      <c r="V209" s="24"/>
      <c r="W209" s="22" t="s">
        <v>468</v>
      </c>
      <c r="X209" s="4" t="str">
        <f>IF(Tabela2[[#This Row],[sigla]]="","",VLOOKUP(Tabela2[[#This Row],[sigla]],créditos_base!B:C,2,0))</f>
        <v>VER DOCUMENTO DE ILS. TÉCNICAS</v>
      </c>
      <c r="Y209" s="23"/>
      <c r="Z209" s="23" t="s">
        <v>1327</v>
      </c>
      <c r="AA209" s="22"/>
      <c r="AB209" s="20"/>
      <c r="AC209" s="20"/>
      <c r="AD209" s="4" t="str">
        <f>"Pitanguá"</f>
        <v>Pitanguá</v>
      </c>
      <c r="AE209" s="14" t="str">
        <f>"Matemática"</f>
        <v>Matemática</v>
      </c>
    </row>
    <row r="210" spans="1:31" s="14" customFormat="1" x14ac:dyDescent="0.3">
      <c r="A210" s="23" t="s">
        <v>81</v>
      </c>
      <c r="B210" s="20" t="s">
        <v>16</v>
      </c>
      <c r="C210" s="20" t="s">
        <v>7</v>
      </c>
      <c r="D210" s="20" t="s">
        <v>8</v>
      </c>
      <c r="E210" s="22">
        <v>29</v>
      </c>
      <c r="F210" s="22">
        <v>1</v>
      </c>
      <c r="G210" s="22">
        <v>1</v>
      </c>
      <c r="H210" s="22"/>
      <c r="I210" s="23" t="s">
        <v>33</v>
      </c>
      <c r="J210" s="23"/>
      <c r="K210" s="22"/>
      <c r="L210" s="22"/>
      <c r="M210" s="23"/>
      <c r="N210" s="23"/>
      <c r="O210" s="26" t="s">
        <v>82</v>
      </c>
      <c r="P210" s="26"/>
      <c r="Q210" s="22">
        <v>1</v>
      </c>
      <c r="R210" s="24">
        <v>45722</v>
      </c>
      <c r="S210" s="24">
        <v>45722</v>
      </c>
      <c r="T210" s="24"/>
      <c r="U210" s="24"/>
      <c r="V210" s="24">
        <v>45723</v>
      </c>
      <c r="W210" s="22" t="s">
        <v>31</v>
      </c>
      <c r="X210" s="4" t="str">
        <f>IF(Tabela2[[#This Row],[sigla]]="","",VLOOKUP(Tabela2[[#This Row],[sigla]],créditos_base!B:C,2,0))</f>
        <v>SILVIA OTOFUJI/ARQUIVO DA EDITORA</v>
      </c>
      <c r="Y210" s="23" t="s">
        <v>13</v>
      </c>
      <c r="Z210" s="23" t="str">
        <f>Tabela2[[#This Row],[ilustrador]]</f>
        <v>SILVIA OTOFUJI/ARQUIVO DA EDITORA</v>
      </c>
      <c r="AA210" s="22">
        <v>14</v>
      </c>
      <c r="AB210" s="20"/>
      <c r="AC210" s="20" t="s">
        <v>36</v>
      </c>
      <c r="AD210" s="4" t="str">
        <f>"Pitanguá"</f>
        <v>Pitanguá</v>
      </c>
      <c r="AE210" s="14" t="str">
        <f>"Matemática"</f>
        <v>Matemática</v>
      </c>
    </row>
    <row r="211" spans="1:31" s="14" customFormat="1" x14ac:dyDescent="0.3">
      <c r="A211" s="23" t="s">
        <v>1186</v>
      </c>
      <c r="B211" s="20" t="s">
        <v>16</v>
      </c>
      <c r="C211" s="20" t="s">
        <v>7</v>
      </c>
      <c r="D211" s="20" t="s">
        <v>8</v>
      </c>
      <c r="E211" s="22">
        <v>24</v>
      </c>
      <c r="F211" s="22">
        <v>2</v>
      </c>
      <c r="G211" s="22">
        <v>1</v>
      </c>
      <c r="H211" s="22">
        <v>3</v>
      </c>
      <c r="I211" s="23" t="s">
        <v>9</v>
      </c>
      <c r="J211" s="23"/>
      <c r="K211" s="22"/>
      <c r="L211" s="22"/>
      <c r="M211" s="23"/>
      <c r="N211" s="23"/>
      <c r="O211" s="26" t="s">
        <v>1187</v>
      </c>
      <c r="P211" s="26"/>
      <c r="Q211" s="22"/>
      <c r="R211" s="24"/>
      <c r="S211" s="24"/>
      <c r="T211" s="24"/>
      <c r="U211" s="24"/>
      <c r="V211" s="24"/>
      <c r="W211" s="22" t="s">
        <v>468</v>
      </c>
      <c r="X211" s="4" t="str">
        <f>IF(Tabela2[[#This Row],[sigla]]="","",VLOOKUP(Tabela2[[#This Row],[sigla]],créditos_base!B:C,2,0))</f>
        <v>VER DOCUMENTO DE ILS. TÉCNICAS</v>
      </c>
      <c r="Y211" s="23"/>
      <c r="Z211" s="23" t="s">
        <v>661</v>
      </c>
      <c r="AA211" s="22"/>
      <c r="AB211" s="20"/>
      <c r="AC211" s="20"/>
      <c r="AD211" s="4" t="str">
        <f>"Pitanguá"</f>
        <v>Pitanguá</v>
      </c>
      <c r="AE211" s="14" t="str">
        <f>"Matemática"</f>
        <v>Matemática</v>
      </c>
    </row>
    <row r="212" spans="1:31" s="14" customFormat="1" x14ac:dyDescent="0.3">
      <c r="A212" s="23" t="s">
        <v>2858</v>
      </c>
      <c r="B212" s="20" t="s">
        <v>16</v>
      </c>
      <c r="C212" s="20" t="s">
        <v>7</v>
      </c>
      <c r="D212" s="20" t="s">
        <v>8</v>
      </c>
      <c r="E212" s="22">
        <v>19</v>
      </c>
      <c r="F212" s="22">
        <v>4</v>
      </c>
      <c r="G212" s="22">
        <v>1</v>
      </c>
      <c r="H212" s="22"/>
      <c r="I212" s="23" t="s">
        <v>33</v>
      </c>
      <c r="J212" s="23"/>
      <c r="K212" s="22"/>
      <c r="L212" s="22"/>
      <c r="M212" s="23"/>
      <c r="N212" s="23"/>
      <c r="O212" s="26" t="s">
        <v>2859</v>
      </c>
      <c r="P212" s="26"/>
      <c r="Q212" s="22">
        <v>91</v>
      </c>
      <c r="R212" s="24">
        <v>45840</v>
      </c>
      <c r="S212" s="24">
        <v>45880</v>
      </c>
      <c r="T212" s="24"/>
      <c r="U212" s="24"/>
      <c r="V212" s="24">
        <v>45880</v>
      </c>
      <c r="W212" s="22" t="s">
        <v>31</v>
      </c>
      <c r="X212" s="4" t="str">
        <f>IF(Tabela2[[#This Row],[sigla]]="","",VLOOKUP(Tabela2[[#This Row],[sigla]],créditos_base!B:C,2,0))</f>
        <v>SILVIA OTOFUJI/ARQUIVO DA EDITORA</v>
      </c>
      <c r="Y212" s="23" t="s">
        <v>696</v>
      </c>
      <c r="Z212" s="23" t="str">
        <f>Tabela2[[#This Row],[ilustrador]]</f>
        <v>SILVIA OTOFUJI/ARQUIVO DA EDITORA</v>
      </c>
      <c r="AA212" s="22">
        <v>14</v>
      </c>
      <c r="AB212" s="20" t="s">
        <v>153</v>
      </c>
      <c r="AC212" s="20" t="s">
        <v>36</v>
      </c>
      <c r="AD212" s="4" t="str">
        <f>"Pitanguá"</f>
        <v>Pitanguá</v>
      </c>
      <c r="AE212" s="14" t="str">
        <f>"Matemática"</f>
        <v>Matemática</v>
      </c>
    </row>
    <row r="213" spans="1:31" s="14" customFormat="1" x14ac:dyDescent="0.3">
      <c r="A213" s="23" t="s">
        <v>83</v>
      </c>
      <c r="B213" s="20" t="s">
        <v>6</v>
      </c>
      <c r="C213" s="20" t="s">
        <v>7</v>
      </c>
      <c r="D213" s="20" t="s">
        <v>8</v>
      </c>
      <c r="E213" s="22">
        <v>30</v>
      </c>
      <c r="F213" s="22">
        <v>1</v>
      </c>
      <c r="G213" s="22">
        <v>1</v>
      </c>
      <c r="H213" s="22"/>
      <c r="I213" s="23" t="s">
        <v>33</v>
      </c>
      <c r="J213" s="23"/>
      <c r="K213" s="22"/>
      <c r="L213" s="22"/>
      <c r="M213" s="23"/>
      <c r="N213" s="23"/>
      <c r="O213" s="26" t="s">
        <v>84</v>
      </c>
      <c r="P213" s="26"/>
      <c r="Q213" s="22">
        <v>1</v>
      </c>
      <c r="R213" s="24">
        <v>45722</v>
      </c>
      <c r="S213" s="24">
        <v>45722</v>
      </c>
      <c r="T213" s="24"/>
      <c r="U213" s="24"/>
      <c r="V213" s="24">
        <v>45723</v>
      </c>
      <c r="W213" s="22" t="s">
        <v>31</v>
      </c>
      <c r="X213" s="4" t="str">
        <f>IF(Tabela2[[#This Row],[sigla]]="","",VLOOKUP(Tabela2[[#This Row],[sigla]],créditos_base!B:C,2,0))</f>
        <v>SILVIA OTOFUJI/ARQUIVO DA EDITORA</v>
      </c>
      <c r="Y213" s="23" t="s">
        <v>13</v>
      </c>
      <c r="Z213" s="23" t="str">
        <f>Tabela2[[#This Row],[ilustrador]]</f>
        <v>SILVIA OTOFUJI/ARQUIVO DA EDITORA</v>
      </c>
      <c r="AA213" s="22">
        <v>13</v>
      </c>
      <c r="AB213" s="20"/>
      <c r="AC213" s="20" t="s">
        <v>36</v>
      </c>
      <c r="AD213" s="4" t="str">
        <f>"Pitanguá"</f>
        <v>Pitanguá</v>
      </c>
      <c r="AE213" s="14" t="str">
        <f>"Matemática"</f>
        <v>Matemática</v>
      </c>
    </row>
    <row r="214" spans="1:31" s="14" customFormat="1" ht="28.8" x14ac:dyDescent="0.3">
      <c r="A214" s="23" t="s">
        <v>1188</v>
      </c>
      <c r="B214" s="20" t="s">
        <v>16</v>
      </c>
      <c r="C214" s="20" t="s">
        <v>7</v>
      </c>
      <c r="D214" s="20" t="s">
        <v>8</v>
      </c>
      <c r="E214" s="22">
        <v>25</v>
      </c>
      <c r="F214" s="22">
        <v>2</v>
      </c>
      <c r="G214" s="22">
        <v>1</v>
      </c>
      <c r="H214" s="22">
        <v>3</v>
      </c>
      <c r="I214" s="23" t="s">
        <v>9</v>
      </c>
      <c r="J214" s="23"/>
      <c r="K214" s="22"/>
      <c r="L214" s="22"/>
      <c r="M214" s="23"/>
      <c r="N214" s="23"/>
      <c r="O214" s="26" t="s">
        <v>1189</v>
      </c>
      <c r="P214" s="26"/>
      <c r="Q214" s="22"/>
      <c r="R214" s="24"/>
      <c r="S214" s="24"/>
      <c r="T214" s="24"/>
      <c r="U214" s="24"/>
      <c r="V214" s="24"/>
      <c r="W214" s="22" t="s">
        <v>468</v>
      </c>
      <c r="X214" s="4" t="str">
        <f>IF(Tabela2[[#This Row],[sigla]]="","",VLOOKUP(Tabela2[[#This Row],[sigla]],créditos_base!B:C,2,0))</f>
        <v>VER DOCUMENTO DE ILS. TÉCNICAS</v>
      </c>
      <c r="Y214" s="23"/>
      <c r="Z214" s="23" t="s">
        <v>469</v>
      </c>
      <c r="AA214" s="22"/>
      <c r="AB214" s="20"/>
      <c r="AC214" s="20"/>
      <c r="AD214" s="4" t="str">
        <f>"Pitanguá"</f>
        <v>Pitanguá</v>
      </c>
      <c r="AE214" s="14" t="str">
        <f>"Matemática"</f>
        <v>Matemática</v>
      </c>
    </row>
    <row r="215" spans="1:31" s="14" customFormat="1" ht="28.8" x14ac:dyDescent="0.3">
      <c r="A215" s="23" t="s">
        <v>2860</v>
      </c>
      <c r="B215" s="20" t="s">
        <v>16</v>
      </c>
      <c r="C215" s="20" t="s">
        <v>7</v>
      </c>
      <c r="D215" s="20" t="s">
        <v>8</v>
      </c>
      <c r="E215" s="22">
        <v>20</v>
      </c>
      <c r="F215" s="22">
        <v>4</v>
      </c>
      <c r="G215" s="22">
        <v>1</v>
      </c>
      <c r="H215" s="22"/>
      <c r="I215" s="23" t="s">
        <v>9</v>
      </c>
      <c r="J215" s="23"/>
      <c r="K215" s="22"/>
      <c r="L215" s="22"/>
      <c r="M215" s="23"/>
      <c r="N215" s="23"/>
      <c r="O215" s="26" t="s">
        <v>2861</v>
      </c>
      <c r="P215" s="26"/>
      <c r="Q215" s="22">
        <v>91</v>
      </c>
      <c r="R215" s="24">
        <v>45840</v>
      </c>
      <c r="S215" s="24">
        <v>45880</v>
      </c>
      <c r="T215" s="24"/>
      <c r="U215" s="24"/>
      <c r="V215" s="24">
        <v>45880</v>
      </c>
      <c r="W215" s="22" t="s">
        <v>31</v>
      </c>
      <c r="X215" s="4" t="str">
        <f>IF(Tabela2[[#This Row],[sigla]]="","",VLOOKUP(Tabela2[[#This Row],[sigla]],créditos_base!B:C,2,0))</f>
        <v>SILVIA OTOFUJI/ARQUIVO DA EDITORA</v>
      </c>
      <c r="Y215" s="23" t="s">
        <v>696</v>
      </c>
      <c r="Z215" s="23" t="str">
        <f>Tabela2[[#This Row],[ilustrador]]</f>
        <v>SILVIA OTOFUJI/ARQUIVO DA EDITORA</v>
      </c>
      <c r="AA215" s="22">
        <v>14</v>
      </c>
      <c r="AB215" s="20" t="s">
        <v>153</v>
      </c>
      <c r="AC215" s="20" t="s">
        <v>36</v>
      </c>
      <c r="AD215" s="4" t="str">
        <f>"Pitanguá"</f>
        <v>Pitanguá</v>
      </c>
      <c r="AE215" s="14" t="str">
        <f>"Matemática"</f>
        <v>Matemática</v>
      </c>
    </row>
    <row r="216" spans="1:31" s="14" customFormat="1" ht="57.6" x14ac:dyDescent="0.3">
      <c r="A216" s="23" t="s">
        <v>85</v>
      </c>
      <c r="B216" s="20" t="s">
        <v>16</v>
      </c>
      <c r="C216" s="20" t="s">
        <v>7</v>
      </c>
      <c r="D216" s="20" t="s">
        <v>8</v>
      </c>
      <c r="E216" s="22">
        <v>31</v>
      </c>
      <c r="F216" s="22">
        <v>1</v>
      </c>
      <c r="G216" s="22">
        <v>1</v>
      </c>
      <c r="H216" s="22"/>
      <c r="I216" s="23" t="s">
        <v>9</v>
      </c>
      <c r="J216" s="23"/>
      <c r="K216" s="22"/>
      <c r="L216" s="22"/>
      <c r="M216" s="23"/>
      <c r="N216" s="23"/>
      <c r="O216" s="26" t="s">
        <v>86</v>
      </c>
      <c r="P216" s="26"/>
      <c r="Q216" s="22"/>
      <c r="R216" s="24"/>
      <c r="S216" s="24"/>
      <c r="T216" s="24"/>
      <c r="U216" s="24"/>
      <c r="V216" s="24"/>
      <c r="W216" s="22" t="s">
        <v>87</v>
      </c>
      <c r="X216" s="4" t="str">
        <f>IF(Tabela2[[#This Row],[sigla]]="","",VLOOKUP(Tabela2[[#This Row],[sigla]],créditos_base!B:C,2,0))</f>
        <v>CHRIS BORGES/ARQUIVO DA EDITORA</v>
      </c>
      <c r="Y216" s="23"/>
      <c r="Z216" s="23" t="str">
        <f>Tabela2[[#This Row],[ilustrador]]</f>
        <v>CHRIS BORGES/ARQUIVO DA EDITORA</v>
      </c>
      <c r="AA216" s="22"/>
      <c r="AB216" s="20"/>
      <c r="AC216" s="20"/>
      <c r="AD216" s="4" t="str">
        <f>"Pitanguá"</f>
        <v>Pitanguá</v>
      </c>
      <c r="AE216" s="14" t="str">
        <f>"Matemática"</f>
        <v>Matemática</v>
      </c>
    </row>
    <row r="217" spans="1:31" s="14" customFormat="1" ht="28.8" x14ac:dyDescent="0.3">
      <c r="A217" s="23" t="s">
        <v>1190</v>
      </c>
      <c r="B217" s="20" t="s">
        <v>16</v>
      </c>
      <c r="C217" s="20" t="s">
        <v>7</v>
      </c>
      <c r="D217" s="20" t="s">
        <v>8</v>
      </c>
      <c r="E217" s="22">
        <v>25</v>
      </c>
      <c r="F217" s="22">
        <v>2</v>
      </c>
      <c r="G217" s="22">
        <v>1</v>
      </c>
      <c r="H217" s="22">
        <v>3</v>
      </c>
      <c r="I217" s="23" t="s">
        <v>9</v>
      </c>
      <c r="J217" s="23"/>
      <c r="K217" s="22"/>
      <c r="L217" s="22"/>
      <c r="M217" s="23"/>
      <c r="N217" s="23"/>
      <c r="O217" s="26" t="s">
        <v>1191</v>
      </c>
      <c r="P217" s="26"/>
      <c r="Q217" s="22"/>
      <c r="R217" s="24"/>
      <c r="S217" s="24"/>
      <c r="T217" s="24"/>
      <c r="U217" s="24"/>
      <c r="V217" s="24"/>
      <c r="W217" s="22" t="s">
        <v>468</v>
      </c>
      <c r="X217" s="4" t="str">
        <f>IF(Tabela2[[#This Row],[sigla]]="","",VLOOKUP(Tabela2[[#This Row],[sigla]],créditos_base!B:C,2,0))</f>
        <v>VER DOCUMENTO DE ILS. TÉCNICAS</v>
      </c>
      <c r="Y217" s="23"/>
      <c r="Z217" s="23" t="s">
        <v>469</v>
      </c>
      <c r="AA217" s="22"/>
      <c r="AB217" s="20"/>
      <c r="AC217" s="20"/>
      <c r="AD217" s="4" t="str">
        <f>"Pitanguá"</f>
        <v>Pitanguá</v>
      </c>
      <c r="AE217" s="14" t="str">
        <f>"Matemática"</f>
        <v>Matemática</v>
      </c>
    </row>
    <row r="218" spans="1:31" s="14" customFormat="1" ht="28.8" x14ac:dyDescent="0.3">
      <c r="A218" s="23" t="s">
        <v>1838</v>
      </c>
      <c r="B218" s="20" t="s">
        <v>16</v>
      </c>
      <c r="C218" s="20" t="s">
        <v>7</v>
      </c>
      <c r="D218" s="20" t="s">
        <v>8</v>
      </c>
      <c r="E218" s="22">
        <v>190</v>
      </c>
      <c r="F218" s="22">
        <v>3</v>
      </c>
      <c r="G218" s="22">
        <v>1</v>
      </c>
      <c r="H218" s="22"/>
      <c r="I218" s="23" t="s">
        <v>9</v>
      </c>
      <c r="J218" s="23"/>
      <c r="K218" s="22"/>
      <c r="L218" s="22"/>
      <c r="M218" s="23"/>
      <c r="N218" s="23"/>
      <c r="O218" s="26" t="s">
        <v>1839</v>
      </c>
      <c r="P218" s="26"/>
      <c r="Q218" s="22"/>
      <c r="R218" s="24"/>
      <c r="S218" s="24"/>
      <c r="T218" s="24"/>
      <c r="U218" s="24"/>
      <c r="V218" s="24"/>
      <c r="W218" s="22" t="s">
        <v>460</v>
      </c>
      <c r="X218" s="4" t="str">
        <f>IF(Tabela2[[#This Row],[sigla]]="","",VLOOKUP(Tabela2[[#This Row],[sigla]],créditos_base!B:C,2,0))</f>
        <v>CLAUDIA SOUZA/ARQUIVO DA EDITORA</v>
      </c>
      <c r="Y218" s="23"/>
      <c r="Z218" s="23" t="str">
        <f>Tabela2[[#This Row],[ilustrador]]</f>
        <v>CLAUDIA SOUZA/ARQUIVO DA EDITORA</v>
      </c>
      <c r="AA218" s="22"/>
      <c r="AB218" s="20"/>
      <c r="AC218" s="20"/>
      <c r="AD218" s="4" t="str">
        <f>"Pitanguá"</f>
        <v>Pitanguá</v>
      </c>
      <c r="AE218" s="14" t="str">
        <f>"Matemática"</f>
        <v>Matemática</v>
      </c>
    </row>
    <row r="219" spans="1:31" s="14" customFormat="1" ht="28.8" x14ac:dyDescent="0.3">
      <c r="A219" s="23" t="s">
        <v>2862</v>
      </c>
      <c r="B219" s="20" t="s">
        <v>6</v>
      </c>
      <c r="C219" s="20" t="s">
        <v>7</v>
      </c>
      <c r="D219" s="20" t="s">
        <v>8</v>
      </c>
      <c r="E219" s="22" t="s">
        <v>1300</v>
      </c>
      <c r="F219" s="22">
        <v>4</v>
      </c>
      <c r="G219" s="22">
        <v>1</v>
      </c>
      <c r="H219" s="22"/>
      <c r="I219" s="23" t="s">
        <v>9</v>
      </c>
      <c r="J219" s="23"/>
      <c r="K219" s="22"/>
      <c r="L219" s="22"/>
      <c r="M219" s="23"/>
      <c r="N219" s="23"/>
      <c r="O219" s="26" t="s">
        <v>2863</v>
      </c>
      <c r="P219" s="26"/>
      <c r="Q219" s="22"/>
      <c r="R219" s="24"/>
      <c r="S219" s="24"/>
      <c r="T219" s="24"/>
      <c r="U219" s="24"/>
      <c r="V219" s="24"/>
      <c r="W219" s="22" t="s">
        <v>160</v>
      </c>
      <c r="X219" s="4" t="str">
        <f>IF(Tabela2[[#This Row],[sigla]]="","",VLOOKUP(Tabela2[[#This Row],[sigla]],créditos_base!B:C,2,0))</f>
        <v>SERGIO LIMA/ARQUIVO DA EDITORA</v>
      </c>
      <c r="Y219" s="23"/>
      <c r="Z219" s="23" t="str">
        <f>Tabela2[[#This Row],[ilustrador]]</f>
        <v>SERGIO LIMA/ARQUIVO DA EDITORA</v>
      </c>
      <c r="AA219" s="22"/>
      <c r="AB219" s="20"/>
      <c r="AC219" s="20"/>
      <c r="AD219" s="4" t="str">
        <f>"Pitanguá"</f>
        <v>Pitanguá</v>
      </c>
      <c r="AE219" s="14" t="str">
        <f>"Matemática"</f>
        <v>Matemática</v>
      </c>
    </row>
    <row r="220" spans="1:31" s="14" customFormat="1" x14ac:dyDescent="0.3">
      <c r="A220" s="23" t="s">
        <v>123</v>
      </c>
      <c r="B220" s="20" t="s">
        <v>6</v>
      </c>
      <c r="C220" s="20" t="s">
        <v>7</v>
      </c>
      <c r="D220" s="20" t="s">
        <v>8</v>
      </c>
      <c r="E220" s="22">
        <v>33</v>
      </c>
      <c r="F220" s="22">
        <v>1</v>
      </c>
      <c r="G220" s="22">
        <v>1</v>
      </c>
      <c r="H220" s="22"/>
      <c r="I220" s="23" t="s">
        <v>9</v>
      </c>
      <c r="J220" s="23"/>
      <c r="K220" s="22"/>
      <c r="L220" s="22"/>
      <c r="M220" s="23"/>
      <c r="N220" s="23"/>
      <c r="O220" s="26" t="s">
        <v>124</v>
      </c>
      <c r="P220" s="26"/>
      <c r="Q220" s="22"/>
      <c r="R220" s="24"/>
      <c r="S220" s="24"/>
      <c r="T220" s="24"/>
      <c r="U220" s="24"/>
      <c r="V220" s="24"/>
      <c r="W220" s="22" t="s">
        <v>12</v>
      </c>
      <c r="X220" s="4" t="str">
        <f>IF(Tabela2[[#This Row],[sigla]]="","",VLOOKUP(Tabela2[[#This Row],[sigla]],créditos_base!B:C,2,0))</f>
        <v>JORGE ZAIBA/ARQUIVO DA EDITORA</v>
      </c>
      <c r="Y220" s="23"/>
      <c r="Z220" s="23" t="str">
        <f>Tabela2[[#This Row],[ilustrador]]</f>
        <v>JORGE ZAIBA/ARQUIVO DA EDITORA</v>
      </c>
      <c r="AA220" s="22"/>
      <c r="AB220" s="20"/>
      <c r="AC220" s="20"/>
      <c r="AD220" s="4" t="str">
        <f>"Pitanguá"</f>
        <v>Pitanguá</v>
      </c>
      <c r="AE220" s="14" t="str">
        <f>"Matemática"</f>
        <v>Matemática</v>
      </c>
    </row>
    <row r="221" spans="1:31" s="14" customFormat="1" x14ac:dyDescent="0.3">
      <c r="A221" s="23" t="s">
        <v>1192</v>
      </c>
      <c r="B221" s="20" t="s">
        <v>16</v>
      </c>
      <c r="C221" s="20" t="s">
        <v>7</v>
      </c>
      <c r="D221" s="20" t="s">
        <v>8</v>
      </c>
      <c r="E221" s="22">
        <v>25</v>
      </c>
      <c r="F221" s="22">
        <v>2</v>
      </c>
      <c r="G221" s="22">
        <v>1</v>
      </c>
      <c r="H221" s="22">
        <v>3</v>
      </c>
      <c r="I221" s="23" t="s">
        <v>9</v>
      </c>
      <c r="J221" s="23"/>
      <c r="K221" s="22"/>
      <c r="L221" s="22"/>
      <c r="M221" s="23"/>
      <c r="N221" s="23"/>
      <c r="O221" s="26" t="s">
        <v>1193</v>
      </c>
      <c r="P221" s="26"/>
      <c r="Q221" s="22"/>
      <c r="R221" s="24"/>
      <c r="S221" s="24"/>
      <c r="T221" s="24"/>
      <c r="U221" s="24"/>
      <c r="V221" s="24"/>
      <c r="W221" s="22" t="s">
        <v>468</v>
      </c>
      <c r="X221" s="4" t="str">
        <f>IF(Tabela2[[#This Row],[sigla]]="","",VLOOKUP(Tabela2[[#This Row],[sigla]],créditos_base!B:C,2,0))</f>
        <v>VER DOCUMENTO DE ILS. TÉCNICAS</v>
      </c>
      <c r="Y221" s="23"/>
      <c r="Z221" s="23" t="s">
        <v>469</v>
      </c>
      <c r="AA221" s="22"/>
      <c r="AB221" s="20"/>
      <c r="AC221" s="20"/>
      <c r="AD221" s="4" t="str">
        <f>"Pitanguá"</f>
        <v>Pitanguá</v>
      </c>
      <c r="AE221" s="14" t="str">
        <f>"Matemática"</f>
        <v>Matemática</v>
      </c>
    </row>
    <row r="222" spans="1:31" s="14" customFormat="1" x14ac:dyDescent="0.3">
      <c r="A222" s="23" t="s">
        <v>125</v>
      </c>
      <c r="B222" s="20" t="s">
        <v>6</v>
      </c>
      <c r="C222" s="20" t="s">
        <v>7</v>
      </c>
      <c r="D222" s="20" t="s">
        <v>8</v>
      </c>
      <c r="E222" s="22">
        <v>33</v>
      </c>
      <c r="F222" s="22">
        <v>1</v>
      </c>
      <c r="G222" s="22">
        <v>1</v>
      </c>
      <c r="H222" s="22"/>
      <c r="I222" s="23" t="s">
        <v>9</v>
      </c>
      <c r="J222" s="23"/>
      <c r="K222" s="22"/>
      <c r="L222" s="22"/>
      <c r="M222" s="23"/>
      <c r="N222" s="23"/>
      <c r="O222" s="26" t="s">
        <v>126</v>
      </c>
      <c r="P222" s="26"/>
      <c r="Q222" s="22"/>
      <c r="R222" s="24"/>
      <c r="S222" s="24"/>
      <c r="T222" s="24"/>
      <c r="U222" s="24"/>
      <c r="V222" s="24"/>
      <c r="W222" s="22" t="s">
        <v>12</v>
      </c>
      <c r="X222" s="4" t="str">
        <f>IF(Tabela2[[#This Row],[sigla]]="","",VLOOKUP(Tabela2[[#This Row],[sigla]],créditos_base!B:C,2,0))</f>
        <v>JORGE ZAIBA/ARQUIVO DA EDITORA</v>
      </c>
      <c r="Y222" s="23"/>
      <c r="Z222" s="23" t="str">
        <f>Tabela2[[#This Row],[ilustrador]]</f>
        <v>JORGE ZAIBA/ARQUIVO DA EDITORA</v>
      </c>
      <c r="AA222" s="22"/>
      <c r="AB222" s="20"/>
      <c r="AC222" s="20"/>
      <c r="AD222" s="4" t="str">
        <f>"Pitanguá"</f>
        <v>Pitanguá</v>
      </c>
      <c r="AE222" s="14" t="str">
        <f>"Matemática"</f>
        <v>Matemática</v>
      </c>
    </row>
    <row r="223" spans="1:31" s="14" customFormat="1" x14ac:dyDescent="0.3">
      <c r="A223" s="23" t="s">
        <v>1194</v>
      </c>
      <c r="B223" s="20" t="s">
        <v>16</v>
      </c>
      <c r="C223" s="20" t="s">
        <v>7</v>
      </c>
      <c r="D223" s="20" t="s">
        <v>8</v>
      </c>
      <c r="E223" s="22">
        <v>25</v>
      </c>
      <c r="F223" s="22">
        <v>2</v>
      </c>
      <c r="G223" s="22">
        <v>1</v>
      </c>
      <c r="H223" s="22">
        <v>3</v>
      </c>
      <c r="I223" s="23" t="s">
        <v>9</v>
      </c>
      <c r="J223" s="23"/>
      <c r="K223" s="22"/>
      <c r="L223" s="22"/>
      <c r="M223" s="23"/>
      <c r="N223" s="23"/>
      <c r="O223" s="26" t="s">
        <v>1195</v>
      </c>
      <c r="P223" s="26"/>
      <c r="Q223" s="22"/>
      <c r="R223" s="24"/>
      <c r="S223" s="24"/>
      <c r="T223" s="24"/>
      <c r="U223" s="24"/>
      <c r="V223" s="24"/>
      <c r="W223" s="22" t="s">
        <v>468</v>
      </c>
      <c r="X223" s="4" t="str">
        <f>IF(Tabela2[[#This Row],[sigla]]="","",VLOOKUP(Tabela2[[#This Row],[sigla]],créditos_base!B:C,2,0))</f>
        <v>VER DOCUMENTO DE ILS. TÉCNICAS</v>
      </c>
      <c r="Y223" s="23"/>
      <c r="Z223" s="23" t="s">
        <v>469</v>
      </c>
      <c r="AA223" s="22"/>
      <c r="AB223" s="20"/>
      <c r="AC223" s="20"/>
      <c r="AD223" s="4" t="str">
        <f>"Pitanguá"</f>
        <v>Pitanguá</v>
      </c>
      <c r="AE223" s="14" t="str">
        <f>"Matemática"</f>
        <v>Matemática</v>
      </c>
    </row>
    <row r="224" spans="1:31" s="14" customFormat="1" x14ac:dyDescent="0.3">
      <c r="A224" s="23" t="s">
        <v>1840</v>
      </c>
      <c r="B224" s="20" t="s">
        <v>6</v>
      </c>
      <c r="C224" s="20" t="s">
        <v>7</v>
      </c>
      <c r="D224" s="20" t="s">
        <v>8</v>
      </c>
      <c r="E224" s="22">
        <v>196</v>
      </c>
      <c r="F224" s="22">
        <v>3</v>
      </c>
      <c r="G224" s="22">
        <v>1</v>
      </c>
      <c r="H224" s="22"/>
      <c r="I224" s="23" t="s">
        <v>9</v>
      </c>
      <c r="J224" s="23"/>
      <c r="K224" s="22"/>
      <c r="L224" s="22"/>
      <c r="M224" s="23"/>
      <c r="N224" s="23"/>
      <c r="O224" s="26" t="s">
        <v>1841</v>
      </c>
      <c r="P224" s="26" t="s">
        <v>1842</v>
      </c>
      <c r="Q224" s="22"/>
      <c r="R224" s="24"/>
      <c r="S224" s="24"/>
      <c r="T224" s="24"/>
      <c r="U224" s="24"/>
      <c r="V224" s="24"/>
      <c r="W224" s="22" t="s">
        <v>460</v>
      </c>
      <c r="X224" s="4" t="str">
        <f>IF(Tabela2[[#This Row],[sigla]]="","",VLOOKUP(Tabela2[[#This Row],[sigla]],créditos_base!B:C,2,0))</f>
        <v>CLAUDIA SOUZA/ARQUIVO DA EDITORA</v>
      </c>
      <c r="Y224" s="23"/>
      <c r="Z224" s="23" t="str">
        <f>Tabela2[[#This Row],[ilustrador]]</f>
        <v>CLAUDIA SOUZA/ARQUIVO DA EDITORA</v>
      </c>
      <c r="AA224" s="22"/>
      <c r="AB224" s="20"/>
      <c r="AC224" s="20"/>
      <c r="AD224" s="4" t="str">
        <f>"Pitanguá"</f>
        <v>Pitanguá</v>
      </c>
      <c r="AE224" s="14" t="str">
        <f>"Matemática"</f>
        <v>Matemática</v>
      </c>
    </row>
    <row r="225" spans="1:31" s="14" customFormat="1" ht="28.8" x14ac:dyDescent="0.3">
      <c r="A225" s="23" t="s">
        <v>127</v>
      </c>
      <c r="B225" s="20" t="s">
        <v>6</v>
      </c>
      <c r="C225" s="20" t="s">
        <v>7</v>
      </c>
      <c r="D225" s="20" t="s">
        <v>8</v>
      </c>
      <c r="E225" s="22">
        <v>33</v>
      </c>
      <c r="F225" s="22">
        <v>1</v>
      </c>
      <c r="G225" s="22">
        <v>1</v>
      </c>
      <c r="H225" s="22"/>
      <c r="I225" s="23" t="s">
        <v>9</v>
      </c>
      <c r="J225" s="23"/>
      <c r="K225" s="22"/>
      <c r="L225" s="22"/>
      <c r="M225" s="23"/>
      <c r="N225" s="23"/>
      <c r="O225" s="26" t="s">
        <v>128</v>
      </c>
      <c r="P225" s="26"/>
      <c r="Q225" s="22"/>
      <c r="R225" s="24"/>
      <c r="S225" s="24"/>
      <c r="T225" s="24"/>
      <c r="U225" s="24"/>
      <c r="V225" s="24"/>
      <c r="W225" s="22" t="s">
        <v>12</v>
      </c>
      <c r="X225" s="4" t="str">
        <f>IF(Tabela2[[#This Row],[sigla]]="","",VLOOKUP(Tabela2[[#This Row],[sigla]],créditos_base!B:C,2,0))</f>
        <v>JORGE ZAIBA/ARQUIVO DA EDITORA</v>
      </c>
      <c r="Y225" s="23"/>
      <c r="Z225" s="23" t="str">
        <f>Tabela2[[#This Row],[ilustrador]]</f>
        <v>JORGE ZAIBA/ARQUIVO DA EDITORA</v>
      </c>
      <c r="AA225" s="22"/>
      <c r="AB225" s="20"/>
      <c r="AC225" s="20"/>
      <c r="AD225" s="4" t="str">
        <f>"Pitanguá"</f>
        <v>Pitanguá</v>
      </c>
      <c r="AE225" s="14" t="str">
        <f>"Matemática"</f>
        <v>Matemática</v>
      </c>
    </row>
    <row r="226" spans="1:31" s="14" customFormat="1" x14ac:dyDescent="0.3">
      <c r="A226" s="23" t="s">
        <v>1196</v>
      </c>
      <c r="B226" s="20" t="s">
        <v>16</v>
      </c>
      <c r="C226" s="20" t="s">
        <v>7</v>
      </c>
      <c r="D226" s="20" t="s">
        <v>8</v>
      </c>
      <c r="E226" s="22">
        <v>25</v>
      </c>
      <c r="F226" s="22">
        <v>2</v>
      </c>
      <c r="G226" s="22">
        <v>1</v>
      </c>
      <c r="H226" s="22">
        <v>3</v>
      </c>
      <c r="I226" s="23" t="s">
        <v>9</v>
      </c>
      <c r="J226" s="23"/>
      <c r="K226" s="22"/>
      <c r="L226" s="22"/>
      <c r="M226" s="23"/>
      <c r="N226" s="23"/>
      <c r="O226" s="26" t="s">
        <v>1197</v>
      </c>
      <c r="P226" s="26"/>
      <c r="Q226" s="22"/>
      <c r="R226" s="24"/>
      <c r="S226" s="24"/>
      <c r="T226" s="24"/>
      <c r="U226" s="24"/>
      <c r="V226" s="24"/>
      <c r="W226" s="22" t="s">
        <v>468</v>
      </c>
      <c r="X226" s="4" t="str">
        <f>IF(Tabela2[[#This Row],[sigla]]="","",VLOOKUP(Tabela2[[#This Row],[sigla]],créditos_base!B:C,2,0))</f>
        <v>VER DOCUMENTO DE ILS. TÉCNICAS</v>
      </c>
      <c r="Y226" s="23"/>
      <c r="Z226" s="23" t="s">
        <v>469</v>
      </c>
      <c r="AA226" s="22"/>
      <c r="AB226" s="20"/>
      <c r="AC226" s="20"/>
      <c r="AD226" s="4" t="str">
        <f>"Pitanguá"</f>
        <v>Pitanguá</v>
      </c>
      <c r="AE226" s="14" t="str">
        <f>"Matemática"</f>
        <v>Matemática</v>
      </c>
    </row>
    <row r="227" spans="1:31" s="14" customFormat="1" x14ac:dyDescent="0.3">
      <c r="A227" s="23" t="s">
        <v>1843</v>
      </c>
      <c r="B227" s="20" t="s">
        <v>6</v>
      </c>
      <c r="C227" s="20" t="s">
        <v>7</v>
      </c>
      <c r="D227" s="20" t="s">
        <v>8</v>
      </c>
      <c r="E227" s="22">
        <v>198</v>
      </c>
      <c r="F227" s="22">
        <v>3</v>
      </c>
      <c r="G227" s="22">
        <v>1</v>
      </c>
      <c r="H227" s="22"/>
      <c r="I227" s="23" t="s">
        <v>9</v>
      </c>
      <c r="J227" s="23"/>
      <c r="K227" s="22"/>
      <c r="L227" s="22"/>
      <c r="M227" s="23"/>
      <c r="N227" s="23"/>
      <c r="O227" s="26" t="s">
        <v>1844</v>
      </c>
      <c r="P227" s="26" t="s">
        <v>1842</v>
      </c>
      <c r="Q227" s="22"/>
      <c r="R227" s="24"/>
      <c r="S227" s="24"/>
      <c r="T227" s="24"/>
      <c r="U227" s="24"/>
      <c r="V227" s="24"/>
      <c r="W227" s="22" t="s">
        <v>468</v>
      </c>
      <c r="X227" s="4" t="str">
        <f>IF(Tabela2[[#This Row],[sigla]]="","",VLOOKUP(Tabela2[[#This Row],[sigla]],créditos_base!B:C,2,0))</f>
        <v>VER DOCUMENTO DE ILS. TÉCNICAS</v>
      </c>
      <c r="Y227" s="23"/>
      <c r="Z227" s="23" t="str">
        <f>Tabela2[[#This Row],[ilustrador]]</f>
        <v>VER DOCUMENTO DE ILS. TÉCNICAS</v>
      </c>
      <c r="AA227" s="22"/>
      <c r="AB227" s="20"/>
      <c r="AC227" s="20"/>
      <c r="AD227" s="4" t="str">
        <f>"Pitanguá"</f>
        <v>Pitanguá</v>
      </c>
      <c r="AE227" s="14" t="str">
        <f>"Matemática"</f>
        <v>Matemática</v>
      </c>
    </row>
    <row r="228" spans="1:31" s="14" customFormat="1" ht="57.6" x14ac:dyDescent="0.3">
      <c r="A228" s="23" t="s">
        <v>129</v>
      </c>
      <c r="B228" s="20" t="s">
        <v>6</v>
      </c>
      <c r="C228" s="20" t="s">
        <v>7</v>
      </c>
      <c r="D228" s="20" t="s">
        <v>8</v>
      </c>
      <c r="E228" s="22">
        <v>33</v>
      </c>
      <c r="F228" s="22">
        <v>1</v>
      </c>
      <c r="G228" s="22">
        <v>1</v>
      </c>
      <c r="H228" s="22"/>
      <c r="I228" s="23" t="s">
        <v>9</v>
      </c>
      <c r="J228" s="23"/>
      <c r="K228" s="22"/>
      <c r="L228" s="22"/>
      <c r="M228" s="23"/>
      <c r="N228" s="23"/>
      <c r="O228" s="26" t="s">
        <v>130</v>
      </c>
      <c r="P228" s="26"/>
      <c r="Q228" s="22"/>
      <c r="R228" s="24"/>
      <c r="S228" s="24"/>
      <c r="T228" s="24"/>
      <c r="U228" s="24"/>
      <c r="V228" s="24"/>
      <c r="W228" s="22" t="s">
        <v>12</v>
      </c>
      <c r="X228" s="4" t="str">
        <f>IF(Tabela2[[#This Row],[sigla]]="","",VLOOKUP(Tabela2[[#This Row],[sigla]],créditos_base!B:C,2,0))</f>
        <v>JORGE ZAIBA/ARQUIVO DA EDITORA</v>
      </c>
      <c r="Y228" s="23"/>
      <c r="Z228" s="23" t="str">
        <f>Tabela2[[#This Row],[ilustrador]]</f>
        <v>JORGE ZAIBA/ARQUIVO DA EDITORA</v>
      </c>
      <c r="AA228" s="22"/>
      <c r="AB228" s="20"/>
      <c r="AC228" s="20"/>
      <c r="AD228" s="4" t="str">
        <f>"Pitanguá"</f>
        <v>Pitanguá</v>
      </c>
      <c r="AE228" s="14" t="str">
        <f>"Matemática"</f>
        <v>Matemática</v>
      </c>
    </row>
    <row r="229" spans="1:31" s="14" customFormat="1" ht="43.2" x14ac:dyDescent="0.3">
      <c r="A229" s="23" t="s">
        <v>1198</v>
      </c>
      <c r="B229" s="20" t="s">
        <v>16</v>
      </c>
      <c r="C229" s="20" t="s">
        <v>7</v>
      </c>
      <c r="D229" s="20" t="s">
        <v>8</v>
      </c>
      <c r="E229" s="22">
        <v>25</v>
      </c>
      <c r="F229" s="22">
        <v>2</v>
      </c>
      <c r="G229" s="22">
        <v>1</v>
      </c>
      <c r="H229" s="22">
        <v>3</v>
      </c>
      <c r="I229" s="23" t="s">
        <v>9</v>
      </c>
      <c r="J229" s="23"/>
      <c r="K229" s="22"/>
      <c r="L229" s="22"/>
      <c r="M229" s="23"/>
      <c r="N229" s="23"/>
      <c r="O229" s="26" t="s">
        <v>1199</v>
      </c>
      <c r="P229" s="26"/>
      <c r="Q229" s="22"/>
      <c r="R229" s="24"/>
      <c r="S229" s="24"/>
      <c r="T229" s="24"/>
      <c r="U229" s="24"/>
      <c r="V229" s="24"/>
      <c r="W229" s="22" t="s">
        <v>468</v>
      </c>
      <c r="X229" s="4" t="str">
        <f>IF(Tabela2[[#This Row],[sigla]]="","",VLOOKUP(Tabela2[[#This Row],[sigla]],créditos_base!B:C,2,0))</f>
        <v>VER DOCUMENTO DE ILS. TÉCNICAS</v>
      </c>
      <c r="Y229" s="23"/>
      <c r="Z229" s="23" t="s">
        <v>469</v>
      </c>
      <c r="AA229" s="22"/>
      <c r="AB229" s="20"/>
      <c r="AC229" s="20"/>
      <c r="AD229" s="4" t="str">
        <f>"Pitanguá"</f>
        <v>Pitanguá</v>
      </c>
      <c r="AE229" s="14" t="str">
        <f>"Matemática"</f>
        <v>Matemática</v>
      </c>
    </row>
    <row r="230" spans="1:31" s="14" customFormat="1" ht="57.6" x14ac:dyDescent="0.3">
      <c r="A230" s="23" t="s">
        <v>1845</v>
      </c>
      <c r="B230" s="20" t="s">
        <v>6</v>
      </c>
      <c r="C230" s="20" t="s">
        <v>7</v>
      </c>
      <c r="D230" s="20" t="s">
        <v>8</v>
      </c>
      <c r="E230" s="22">
        <v>198</v>
      </c>
      <c r="F230" s="22">
        <v>3</v>
      </c>
      <c r="G230" s="22">
        <v>1</v>
      </c>
      <c r="H230" s="22"/>
      <c r="I230" s="23" t="s">
        <v>33</v>
      </c>
      <c r="J230" s="23"/>
      <c r="K230" s="22"/>
      <c r="L230" s="22"/>
      <c r="M230" s="23"/>
      <c r="N230" s="23"/>
      <c r="O230" s="26" t="s">
        <v>1846</v>
      </c>
      <c r="P230" s="26" t="s">
        <v>1842</v>
      </c>
      <c r="Q230" s="22">
        <v>22</v>
      </c>
      <c r="R230" s="24">
        <v>45750</v>
      </c>
      <c r="S230" s="24">
        <v>45750</v>
      </c>
      <c r="T230" s="24"/>
      <c r="U230" s="24"/>
      <c r="V230" s="24">
        <v>45750</v>
      </c>
      <c r="W230" s="22" t="s">
        <v>160</v>
      </c>
      <c r="X230" s="4" t="str">
        <f>IF(Tabela2[[#This Row],[sigla]]="","",VLOOKUP(Tabela2[[#This Row],[sigla]],créditos_base!B:C,2,0))</f>
        <v>SERGIO LIMA/ARQUIVO DA EDITORA</v>
      </c>
      <c r="Y230" s="23" t="s">
        <v>152</v>
      </c>
      <c r="Z230" s="23" t="str">
        <f>Tabela2[[#This Row],[ilustrador]]</f>
        <v>SERGIO LIMA/ARQUIVO DA EDITORA</v>
      </c>
      <c r="AA230" s="22">
        <v>13</v>
      </c>
      <c r="AB230" s="20" t="s">
        <v>41</v>
      </c>
      <c r="AC230" s="20" t="s">
        <v>36</v>
      </c>
      <c r="AD230" s="4" t="str">
        <f>"Pitanguá"</f>
        <v>Pitanguá</v>
      </c>
      <c r="AE230" s="14" t="str">
        <f>"Matemática"</f>
        <v>Matemática</v>
      </c>
    </row>
    <row r="231" spans="1:31" s="14" customFormat="1" x14ac:dyDescent="0.3">
      <c r="A231" s="23" t="s">
        <v>2871</v>
      </c>
      <c r="B231" s="20" t="s">
        <v>6</v>
      </c>
      <c r="C231" s="20" t="s">
        <v>89</v>
      </c>
      <c r="D231" s="20" t="s">
        <v>8</v>
      </c>
      <c r="E231" s="22" t="s">
        <v>1300</v>
      </c>
      <c r="F231" s="22">
        <v>4</v>
      </c>
      <c r="G231" s="22">
        <v>1</v>
      </c>
      <c r="H231" s="22"/>
      <c r="I231" s="23" t="s">
        <v>9</v>
      </c>
      <c r="J231" s="23"/>
      <c r="K231" s="22"/>
      <c r="L231" s="22"/>
      <c r="M231" s="23"/>
      <c r="N231" s="23"/>
      <c r="O231" s="26" t="s">
        <v>2872</v>
      </c>
      <c r="P231" s="26"/>
      <c r="Q231" s="22"/>
      <c r="R231" s="24"/>
      <c r="S231" s="24"/>
      <c r="T231" s="24"/>
      <c r="U231" s="24"/>
      <c r="V231" s="24"/>
      <c r="W231" s="22" t="s">
        <v>160</v>
      </c>
      <c r="X231" s="4" t="str">
        <f>IF(Tabela2[[#This Row],[sigla]]="","",VLOOKUP(Tabela2[[#This Row],[sigla]],créditos_base!B:C,2,0))</f>
        <v>SERGIO LIMA/ARQUIVO DA EDITORA</v>
      </c>
      <c r="Y231" s="23"/>
      <c r="Z231" s="23" t="str">
        <f>Tabela2[[#This Row],[ilustrador]]</f>
        <v>SERGIO LIMA/ARQUIVO DA EDITORA</v>
      </c>
      <c r="AA231" s="22"/>
      <c r="AB231" s="20"/>
      <c r="AC231" s="20"/>
      <c r="AD231" s="4" t="str">
        <f>"Pitanguá"</f>
        <v>Pitanguá</v>
      </c>
      <c r="AE231" s="14" t="str">
        <f>"Matemática"</f>
        <v>Matemática</v>
      </c>
    </row>
    <row r="232" spans="1:31" s="14" customFormat="1" x14ac:dyDescent="0.3">
      <c r="A232" s="23" t="s">
        <v>88</v>
      </c>
      <c r="B232" s="20" t="s">
        <v>16</v>
      </c>
      <c r="C232" s="20" t="s">
        <v>89</v>
      </c>
      <c r="D232" s="20" t="s">
        <v>8</v>
      </c>
      <c r="E232" s="22">
        <v>32</v>
      </c>
      <c r="F232" s="22">
        <v>1</v>
      </c>
      <c r="G232" s="22">
        <v>1</v>
      </c>
      <c r="H232" s="22"/>
      <c r="I232" s="23" t="s">
        <v>90</v>
      </c>
      <c r="J232" s="23"/>
      <c r="K232" s="22"/>
      <c r="L232" s="22"/>
      <c r="M232" s="23"/>
      <c r="N232" s="23"/>
      <c r="O232" s="26" t="s">
        <v>91</v>
      </c>
      <c r="P232" s="26"/>
      <c r="Q232" s="22">
        <v>1</v>
      </c>
      <c r="R232" s="24">
        <v>45722</v>
      </c>
      <c r="S232" s="24">
        <v>45722</v>
      </c>
      <c r="T232" s="24"/>
      <c r="U232" s="24"/>
      <c r="V232" s="24">
        <v>45723</v>
      </c>
      <c r="W232" s="22" t="s">
        <v>92</v>
      </c>
      <c r="X232" s="4" t="str">
        <f>IF(Tabela2[[#This Row],[sigla]]="","",VLOOKUP(Tabela2[[#This Row],[sigla]],créditos_base!B:C,2,0))</f>
        <v>BRUNA CAMPOS/ARQUIVO DA EDITORA</v>
      </c>
      <c r="Y232" s="23"/>
      <c r="Z232" s="23" t="str">
        <f>Tabela2[[#This Row],[ilustrador]]</f>
        <v>BRUNA CAMPOS/ARQUIVO DA EDITORA</v>
      </c>
      <c r="AA232" s="22">
        <v>8</v>
      </c>
      <c r="AB232" s="20"/>
      <c r="AC232" s="20" t="s">
        <v>36</v>
      </c>
      <c r="AD232" s="4" t="str">
        <f>"Pitanguá"</f>
        <v>Pitanguá</v>
      </c>
      <c r="AE232" s="14" t="str">
        <f>"Matemática"</f>
        <v>Matemática</v>
      </c>
    </row>
    <row r="233" spans="1:31" s="14" customFormat="1" x14ac:dyDescent="0.3">
      <c r="A233" s="23" t="s">
        <v>1200</v>
      </c>
      <c r="B233" s="20" t="s">
        <v>6</v>
      </c>
      <c r="C233" s="20" t="s">
        <v>7</v>
      </c>
      <c r="D233" s="20" t="s">
        <v>8</v>
      </c>
      <c r="E233" s="22">
        <v>26</v>
      </c>
      <c r="F233" s="22">
        <v>2</v>
      </c>
      <c r="G233" s="22">
        <v>1</v>
      </c>
      <c r="H233" s="22">
        <v>3</v>
      </c>
      <c r="I233" s="23" t="s">
        <v>9</v>
      </c>
      <c r="J233" s="23"/>
      <c r="K233" s="22"/>
      <c r="L233" s="22"/>
      <c r="M233" s="23"/>
      <c r="N233" s="23"/>
      <c r="O233" s="26" t="s">
        <v>1201</v>
      </c>
      <c r="P233" s="26" t="s">
        <v>11</v>
      </c>
      <c r="Q233" s="22"/>
      <c r="R233" s="24"/>
      <c r="S233" s="24"/>
      <c r="T233" s="24"/>
      <c r="U233" s="24"/>
      <c r="V233" s="24"/>
      <c r="W233" s="22" t="s">
        <v>223</v>
      </c>
      <c r="X233" s="4" t="str">
        <f>IF(Tabela2[[#This Row],[sigla]]="","",VLOOKUP(Tabela2[[#This Row],[sigla]],créditos_base!B:C,2,0))</f>
        <v>NATANAELE BILMAIA/ARQUIVO DA EDITORA</v>
      </c>
      <c r="Y233" s="23"/>
      <c r="Z233" s="23" t="str">
        <f>Tabela2[[#This Row],[ilustrador]]</f>
        <v>NATANAELE BILMAIA/ARQUIVO DA EDITORA</v>
      </c>
      <c r="AA233" s="22"/>
      <c r="AB233" s="20"/>
      <c r="AC233" s="20"/>
      <c r="AD233" s="4" t="str">
        <f>"Pitanguá"</f>
        <v>Pitanguá</v>
      </c>
      <c r="AE233" s="14" t="str">
        <f>"Matemática"</f>
        <v>Matemática</v>
      </c>
    </row>
    <row r="234" spans="1:31" s="14" customFormat="1" ht="216" x14ac:dyDescent="0.3">
      <c r="A234" s="23" t="s">
        <v>1847</v>
      </c>
      <c r="B234" s="20" t="s">
        <v>6</v>
      </c>
      <c r="C234" s="20" t="s">
        <v>7</v>
      </c>
      <c r="D234" s="20" t="s">
        <v>8</v>
      </c>
      <c r="E234" s="22">
        <v>199</v>
      </c>
      <c r="F234" s="22">
        <v>3</v>
      </c>
      <c r="G234" s="22">
        <v>1</v>
      </c>
      <c r="H234" s="22"/>
      <c r="I234" s="23" t="s">
        <v>9</v>
      </c>
      <c r="J234" s="23"/>
      <c r="K234" s="22"/>
      <c r="L234" s="22"/>
      <c r="M234" s="23"/>
      <c r="N234" s="23"/>
      <c r="O234" s="26" t="s">
        <v>1848</v>
      </c>
      <c r="P234" s="26" t="s">
        <v>1849</v>
      </c>
      <c r="Q234" s="22"/>
      <c r="R234" s="24"/>
      <c r="S234" s="24"/>
      <c r="T234" s="24"/>
      <c r="U234" s="24"/>
      <c r="V234" s="24"/>
      <c r="W234" s="22" t="s">
        <v>87</v>
      </c>
      <c r="X234" s="4" t="str">
        <f>IF(Tabela2[[#This Row],[sigla]]="","",VLOOKUP(Tabela2[[#This Row],[sigla]],créditos_base!B:C,2,0))</f>
        <v>CHRIS BORGES/ARQUIVO DA EDITORA</v>
      </c>
      <c r="Y234" s="23"/>
      <c r="Z234" s="23" t="str">
        <f>Tabela2[[#This Row],[ilustrador]]</f>
        <v>CHRIS BORGES/ARQUIVO DA EDITORA</v>
      </c>
      <c r="AA234" s="22"/>
      <c r="AB234" s="20"/>
      <c r="AC234" s="20"/>
      <c r="AD234" s="4" t="str">
        <f>"Pitanguá"</f>
        <v>Pitanguá</v>
      </c>
      <c r="AE234" s="14" t="str">
        <f>"Matemática"</f>
        <v>Matemática</v>
      </c>
    </row>
    <row r="235" spans="1:31" s="14" customFormat="1" ht="28.8" x14ac:dyDescent="0.3">
      <c r="A235" s="23" t="s">
        <v>1847</v>
      </c>
      <c r="B235" s="20" t="s">
        <v>16</v>
      </c>
      <c r="C235" s="20" t="s">
        <v>7</v>
      </c>
      <c r="D235" s="20" t="s">
        <v>8</v>
      </c>
      <c r="E235" s="22">
        <v>46</v>
      </c>
      <c r="F235" s="22">
        <v>3</v>
      </c>
      <c r="G235" s="22">
        <v>1</v>
      </c>
      <c r="H235" s="22"/>
      <c r="I235" s="23" t="s">
        <v>33</v>
      </c>
      <c r="J235" s="23"/>
      <c r="K235" s="22"/>
      <c r="L235" s="22"/>
      <c r="M235" s="23"/>
      <c r="N235" s="23"/>
      <c r="O235" s="26" t="s">
        <v>4796</v>
      </c>
      <c r="P235" s="20"/>
      <c r="Q235" s="22">
        <v>78</v>
      </c>
      <c r="R235" s="24">
        <v>45820</v>
      </c>
      <c r="S235" s="24">
        <v>45828</v>
      </c>
      <c r="T235" s="24"/>
      <c r="U235" s="24"/>
      <c r="V235" s="24">
        <v>45831</v>
      </c>
      <c r="W235" s="22" t="s">
        <v>87</v>
      </c>
      <c r="X235" s="4" t="str">
        <f>IF(Tabela2[[#This Row],[sigla]]="","",VLOOKUP(Tabela2[[#This Row],[sigla]],créditos_base!B:C,2,0))</f>
        <v>CHRIS BORGES/ARQUIVO DA EDITORA</v>
      </c>
      <c r="Y235" s="23" t="s">
        <v>880</v>
      </c>
      <c r="Z235" s="23" t="str">
        <f>Tabela2[[#This Row],[ilustrador]]</f>
        <v>CHRIS BORGES/ARQUIVO DA EDITORA</v>
      </c>
      <c r="AA235" s="22">
        <v>13</v>
      </c>
      <c r="AB235" s="20" t="s">
        <v>244</v>
      </c>
      <c r="AC235" s="20" t="s">
        <v>36</v>
      </c>
      <c r="AD235" s="4" t="str">
        <f>"Pitanguá"</f>
        <v>Pitanguá</v>
      </c>
      <c r="AE235" s="14" t="str">
        <f>"Matemática"</f>
        <v>Matemática</v>
      </c>
    </row>
    <row r="236" spans="1:31" s="14" customFormat="1" ht="28.8" x14ac:dyDescent="0.3">
      <c r="A236" s="23" t="s">
        <v>2873</v>
      </c>
      <c r="B236" s="20" t="s">
        <v>6</v>
      </c>
      <c r="C236" s="20" t="s">
        <v>89</v>
      </c>
      <c r="D236" s="20" t="s">
        <v>8</v>
      </c>
      <c r="E236" s="22" t="s">
        <v>1300</v>
      </c>
      <c r="F236" s="22">
        <v>4</v>
      </c>
      <c r="G236" s="22">
        <v>1</v>
      </c>
      <c r="H236" s="22"/>
      <c r="I236" s="23" t="s">
        <v>33</v>
      </c>
      <c r="J236" s="23"/>
      <c r="K236" s="22"/>
      <c r="L236" s="22"/>
      <c r="M236" s="23"/>
      <c r="N236" s="23"/>
      <c r="O236" s="26" t="s">
        <v>2874</v>
      </c>
      <c r="P236" s="26"/>
      <c r="Q236" s="22">
        <v>39</v>
      </c>
      <c r="R236" s="24">
        <v>45777</v>
      </c>
      <c r="S236" s="24">
        <v>45779</v>
      </c>
      <c r="T236" s="24"/>
      <c r="U236" s="24"/>
      <c r="V236" s="24">
        <v>45779</v>
      </c>
      <c r="W236" s="22" t="s">
        <v>940</v>
      </c>
      <c r="X236" s="4" t="str">
        <f>IF(Tabela2[[#This Row],[sigla]]="","",VLOOKUP(Tabela2[[#This Row],[sigla]],créditos_base!B:C,2,0))</f>
        <v>RONALDO LUCENA/ARQUIVO DA EDITORA</v>
      </c>
      <c r="Y236" s="23" t="s">
        <v>880</v>
      </c>
      <c r="Z236" s="23" t="str">
        <f>Tabela2[[#This Row],[ilustrador]]</f>
        <v>RONALDO LUCENA/ARQUIVO DA EDITORA</v>
      </c>
      <c r="AA236" s="22">
        <v>13</v>
      </c>
      <c r="AB236" s="20" t="s">
        <v>2058</v>
      </c>
      <c r="AC236" s="20" t="s">
        <v>36</v>
      </c>
      <c r="AD236" s="4" t="str">
        <f>"Pitanguá"</f>
        <v>Pitanguá</v>
      </c>
      <c r="AE236" s="14" t="str">
        <f>"Matemática"</f>
        <v>Matemática</v>
      </c>
    </row>
    <row r="237" spans="1:31" s="14" customFormat="1" ht="28.8" x14ac:dyDescent="0.3">
      <c r="A237" s="23" t="s">
        <v>93</v>
      </c>
      <c r="B237" s="20" t="s">
        <v>16</v>
      </c>
      <c r="C237" s="20" t="s">
        <v>89</v>
      </c>
      <c r="D237" s="20" t="s">
        <v>8</v>
      </c>
      <c r="E237" s="22">
        <v>32</v>
      </c>
      <c r="F237" s="22">
        <v>1</v>
      </c>
      <c r="G237" s="22">
        <v>1</v>
      </c>
      <c r="H237" s="22"/>
      <c r="I237" s="23" t="s">
        <v>90</v>
      </c>
      <c r="J237" s="23"/>
      <c r="K237" s="22"/>
      <c r="L237" s="22"/>
      <c r="M237" s="23"/>
      <c r="N237" s="23"/>
      <c r="O237" s="26" t="s">
        <v>94</v>
      </c>
      <c r="P237" s="26"/>
      <c r="Q237" s="22">
        <v>1</v>
      </c>
      <c r="R237" s="24">
        <v>45722</v>
      </c>
      <c r="S237" s="24">
        <v>45722</v>
      </c>
      <c r="T237" s="24"/>
      <c r="U237" s="24"/>
      <c r="V237" s="24">
        <v>45723</v>
      </c>
      <c r="W237" s="22" t="s">
        <v>92</v>
      </c>
      <c r="X237" s="4" t="str">
        <f>IF(Tabela2[[#This Row],[sigla]]="","",VLOOKUP(Tabela2[[#This Row],[sigla]],créditos_base!B:C,2,0))</f>
        <v>BRUNA CAMPOS/ARQUIVO DA EDITORA</v>
      </c>
      <c r="Y237" s="23"/>
      <c r="Z237" s="23" t="str">
        <f>Tabela2[[#This Row],[ilustrador]]</f>
        <v>BRUNA CAMPOS/ARQUIVO DA EDITORA</v>
      </c>
      <c r="AA237" s="22">
        <v>8</v>
      </c>
      <c r="AB237" s="20"/>
      <c r="AC237" s="20" t="s">
        <v>36</v>
      </c>
      <c r="AD237" s="4" t="str">
        <f>"Pitanguá"</f>
        <v>Pitanguá</v>
      </c>
      <c r="AE237" s="14" t="str">
        <f>"Matemática"</f>
        <v>Matemática</v>
      </c>
    </row>
    <row r="238" spans="1:31" s="14" customFormat="1" ht="28.8" x14ac:dyDescent="0.3">
      <c r="A238" s="23" t="s">
        <v>1202</v>
      </c>
      <c r="B238" s="20" t="s">
        <v>16</v>
      </c>
      <c r="C238" s="20" t="s">
        <v>7</v>
      </c>
      <c r="D238" s="20" t="s">
        <v>8</v>
      </c>
      <c r="E238" s="22"/>
      <c r="F238" s="22">
        <v>2</v>
      </c>
      <c r="G238" s="22">
        <v>1</v>
      </c>
      <c r="H238" s="22">
        <v>3</v>
      </c>
      <c r="I238" s="23" t="s">
        <v>33</v>
      </c>
      <c r="J238" s="23"/>
      <c r="K238" s="22"/>
      <c r="L238" s="22"/>
      <c r="M238" s="23"/>
      <c r="N238" s="23"/>
      <c r="O238" s="26" t="s">
        <v>1203</v>
      </c>
      <c r="P238" s="26"/>
      <c r="Q238" s="22">
        <v>13</v>
      </c>
      <c r="R238" s="24">
        <v>45743</v>
      </c>
      <c r="S238" s="24">
        <v>45743</v>
      </c>
      <c r="T238" s="24"/>
      <c r="U238" s="24"/>
      <c r="V238" s="24">
        <v>45743</v>
      </c>
      <c r="W238" s="22" t="s">
        <v>356</v>
      </c>
      <c r="X238" s="4" t="str">
        <f>IF(Tabela2[[#This Row],[sigla]]="","",VLOOKUP(Tabela2[[#This Row],[sigla]],créditos_base!B:C,2,0))</f>
        <v>CAMILA CARMONA/ARQUIVO DA EDITORA</v>
      </c>
      <c r="Y238" s="23" t="s">
        <v>813</v>
      </c>
      <c r="Z238" s="23" t="str">
        <f>Tabela2[[#This Row],[ilustrador]]</f>
        <v>CAMILA CARMONA/ARQUIVO DA EDITORA</v>
      </c>
      <c r="AA238" s="22">
        <v>13</v>
      </c>
      <c r="AB238" s="20" t="s">
        <v>153</v>
      </c>
      <c r="AC238" s="20" t="s">
        <v>36</v>
      </c>
      <c r="AD238" s="4" t="str">
        <f>"Pitanguá"</f>
        <v>Pitanguá</v>
      </c>
      <c r="AE238" s="14" t="str">
        <f>"Matemática"</f>
        <v>Matemática</v>
      </c>
    </row>
    <row r="239" spans="1:31" s="14" customFormat="1" x14ac:dyDescent="0.3">
      <c r="A239" s="23" t="s">
        <v>2875</v>
      </c>
      <c r="B239" s="20" t="s">
        <v>6</v>
      </c>
      <c r="C239" s="20" t="s">
        <v>89</v>
      </c>
      <c r="D239" s="20" t="s">
        <v>8</v>
      </c>
      <c r="E239" s="22" t="s">
        <v>1300</v>
      </c>
      <c r="F239" s="22">
        <v>4</v>
      </c>
      <c r="G239" s="22">
        <v>1</v>
      </c>
      <c r="H239" s="22"/>
      <c r="I239" s="23" t="s">
        <v>9</v>
      </c>
      <c r="J239" s="23"/>
      <c r="K239" s="22"/>
      <c r="L239" s="22"/>
      <c r="M239" s="23"/>
      <c r="N239" s="23"/>
      <c r="O239" s="20" t="s">
        <v>2876</v>
      </c>
      <c r="P239" s="26"/>
      <c r="Q239" s="22"/>
      <c r="R239" s="24"/>
      <c r="S239" s="24"/>
      <c r="T239" s="24"/>
      <c r="U239" s="24"/>
      <c r="V239" s="24"/>
      <c r="W239" s="22" t="s">
        <v>160</v>
      </c>
      <c r="X239" s="4" t="str">
        <f>IF(Tabela2[[#This Row],[sigla]]="","",VLOOKUP(Tabela2[[#This Row],[sigla]],créditos_base!B:C,2,0))</f>
        <v>SERGIO LIMA/ARQUIVO DA EDITORA</v>
      </c>
      <c r="Y239" s="23"/>
      <c r="Z239" s="23" t="str">
        <f>Tabela2[[#This Row],[ilustrador]]</f>
        <v>SERGIO LIMA/ARQUIVO DA EDITORA</v>
      </c>
      <c r="AA239" s="22"/>
      <c r="AB239" s="20"/>
      <c r="AC239" s="20"/>
      <c r="AD239" s="4" t="str">
        <f>"Pitanguá"</f>
        <v>Pitanguá</v>
      </c>
      <c r="AE239" s="14" t="str">
        <f>"Matemática"</f>
        <v>Matemática</v>
      </c>
    </row>
    <row r="240" spans="1:31" s="14" customFormat="1" x14ac:dyDescent="0.3">
      <c r="A240" s="23" t="s">
        <v>95</v>
      </c>
      <c r="B240" s="20" t="s">
        <v>16</v>
      </c>
      <c r="C240" s="20" t="s">
        <v>89</v>
      </c>
      <c r="D240" s="20" t="s">
        <v>8</v>
      </c>
      <c r="E240" s="22">
        <v>32</v>
      </c>
      <c r="F240" s="22">
        <v>1</v>
      </c>
      <c r="G240" s="22">
        <v>1</v>
      </c>
      <c r="H240" s="22"/>
      <c r="I240" s="23" t="s">
        <v>90</v>
      </c>
      <c r="J240" s="23"/>
      <c r="K240" s="22"/>
      <c r="L240" s="22"/>
      <c r="M240" s="23"/>
      <c r="N240" s="23"/>
      <c r="O240" s="26" t="s">
        <v>96</v>
      </c>
      <c r="P240" s="26"/>
      <c r="Q240" s="22">
        <v>1</v>
      </c>
      <c r="R240" s="24">
        <v>45722</v>
      </c>
      <c r="S240" s="24">
        <v>45722</v>
      </c>
      <c r="T240" s="24"/>
      <c r="U240" s="24"/>
      <c r="V240" s="24">
        <v>45723</v>
      </c>
      <c r="W240" s="22" t="s">
        <v>92</v>
      </c>
      <c r="X240" s="4" t="str">
        <f>IF(Tabela2[[#This Row],[sigla]]="","",VLOOKUP(Tabela2[[#This Row],[sigla]],créditos_base!B:C,2,0))</f>
        <v>BRUNA CAMPOS/ARQUIVO DA EDITORA</v>
      </c>
      <c r="Y240" s="23"/>
      <c r="Z240" s="23" t="str">
        <f>Tabela2[[#This Row],[ilustrador]]</f>
        <v>BRUNA CAMPOS/ARQUIVO DA EDITORA</v>
      </c>
      <c r="AA240" s="22">
        <v>8</v>
      </c>
      <c r="AB240" s="20"/>
      <c r="AC240" s="20" t="s">
        <v>36</v>
      </c>
      <c r="AD240" s="4" t="str">
        <f>"Pitanguá"</f>
        <v>Pitanguá</v>
      </c>
      <c r="AE240" s="14" t="str">
        <f>"Matemática"</f>
        <v>Matemática</v>
      </c>
    </row>
    <row r="241" spans="1:31" s="14" customFormat="1" ht="28.8" x14ac:dyDescent="0.3">
      <c r="A241" s="23" t="s">
        <v>1850</v>
      </c>
      <c r="B241" s="20" t="s">
        <v>16</v>
      </c>
      <c r="C241" s="20" t="s">
        <v>7</v>
      </c>
      <c r="D241" s="20" t="s">
        <v>8</v>
      </c>
      <c r="E241" s="22">
        <v>200</v>
      </c>
      <c r="F241" s="22">
        <v>3</v>
      </c>
      <c r="G241" s="22">
        <v>1</v>
      </c>
      <c r="H241" s="22"/>
      <c r="I241" s="23" t="s">
        <v>9</v>
      </c>
      <c r="J241" s="23"/>
      <c r="K241" s="22"/>
      <c r="L241" s="22"/>
      <c r="M241" s="23"/>
      <c r="N241" s="23"/>
      <c r="O241" s="26" t="s">
        <v>1851</v>
      </c>
      <c r="P241" s="26"/>
      <c r="Q241" s="22"/>
      <c r="R241" s="24"/>
      <c r="S241" s="24"/>
      <c r="T241" s="24"/>
      <c r="U241" s="24"/>
      <c r="V241" s="24"/>
      <c r="W241" s="22" t="s">
        <v>1785</v>
      </c>
      <c r="X241" s="4" t="str">
        <f>IF(Tabela2[[#This Row],[sigla]]="","",VLOOKUP(Tabela2[[#This Row],[sigla]],créditos_base!B:C,2,0))</f>
        <v>CAUÊ ZUNCHINI/ARQUIVO DA EDITORA</v>
      </c>
      <c r="Y241" s="23"/>
      <c r="Z241" s="23" t="str">
        <f>Tabela2[[#This Row],[ilustrador]]</f>
        <v>CAUÊ ZUNCHINI/ARQUIVO DA EDITORA</v>
      </c>
      <c r="AA241" s="22"/>
      <c r="AB241" s="20"/>
      <c r="AC241" s="20"/>
      <c r="AD241" s="4" t="str">
        <f>"Pitanguá"</f>
        <v>Pitanguá</v>
      </c>
      <c r="AE241" s="14" t="str">
        <f>"Matemática"</f>
        <v>Matemática</v>
      </c>
    </row>
    <row r="242" spans="1:31" s="14" customFormat="1" ht="43.2" x14ac:dyDescent="0.3">
      <c r="A242" s="23" t="s">
        <v>97</v>
      </c>
      <c r="B242" s="20" t="s">
        <v>16</v>
      </c>
      <c r="C242" s="20" t="s">
        <v>89</v>
      </c>
      <c r="D242" s="20" t="s">
        <v>8</v>
      </c>
      <c r="E242" s="22">
        <v>32</v>
      </c>
      <c r="F242" s="22">
        <v>1</v>
      </c>
      <c r="G242" s="22">
        <v>1</v>
      </c>
      <c r="H242" s="22"/>
      <c r="I242" s="23" t="s">
        <v>90</v>
      </c>
      <c r="J242" s="23"/>
      <c r="K242" s="22"/>
      <c r="L242" s="22"/>
      <c r="M242" s="23"/>
      <c r="N242" s="23"/>
      <c r="O242" s="26" t="s">
        <v>98</v>
      </c>
      <c r="P242" s="26"/>
      <c r="Q242" s="22">
        <v>1</v>
      </c>
      <c r="R242" s="24">
        <v>45722</v>
      </c>
      <c r="S242" s="24">
        <v>45722</v>
      </c>
      <c r="T242" s="24"/>
      <c r="U242" s="24"/>
      <c r="V242" s="24">
        <v>45723</v>
      </c>
      <c r="W242" s="22" t="s">
        <v>92</v>
      </c>
      <c r="X242" s="4" t="str">
        <f>IF(Tabela2[[#This Row],[sigla]]="","",VLOOKUP(Tabela2[[#This Row],[sigla]],créditos_base!B:C,2,0))</f>
        <v>BRUNA CAMPOS/ARQUIVO DA EDITORA</v>
      </c>
      <c r="Y242" s="23"/>
      <c r="Z242" s="23" t="str">
        <f>Tabela2[[#This Row],[ilustrador]]</f>
        <v>BRUNA CAMPOS/ARQUIVO DA EDITORA</v>
      </c>
      <c r="AA242" s="22">
        <v>8</v>
      </c>
      <c r="AB242" s="20"/>
      <c r="AC242" s="20" t="s">
        <v>36</v>
      </c>
      <c r="AD242" s="4" t="str">
        <f>"Pitanguá"</f>
        <v>Pitanguá</v>
      </c>
      <c r="AE242" s="14" t="str">
        <f>"Matemática"</f>
        <v>Matemática</v>
      </c>
    </row>
    <row r="243" spans="1:31" s="14" customFormat="1" x14ac:dyDescent="0.3">
      <c r="A243" s="23" t="s">
        <v>1852</v>
      </c>
      <c r="B243" s="20" t="s">
        <v>6</v>
      </c>
      <c r="C243" s="20" t="s">
        <v>7</v>
      </c>
      <c r="D243" s="20" t="s">
        <v>8</v>
      </c>
      <c r="E243" s="22">
        <v>200</v>
      </c>
      <c r="F243" s="22">
        <v>3</v>
      </c>
      <c r="G243" s="22">
        <v>1</v>
      </c>
      <c r="H243" s="22"/>
      <c r="I243" s="23" t="s">
        <v>9</v>
      </c>
      <c r="J243" s="23"/>
      <c r="K243" s="22"/>
      <c r="L243" s="22"/>
      <c r="M243" s="23"/>
      <c r="N243" s="23"/>
      <c r="O243" s="26" t="s">
        <v>1853</v>
      </c>
      <c r="P243" s="26"/>
      <c r="Q243" s="22"/>
      <c r="R243" s="24"/>
      <c r="S243" s="24"/>
      <c r="T243" s="24"/>
      <c r="U243" s="24"/>
      <c r="V243" s="24"/>
      <c r="W243" s="22" t="s">
        <v>1785</v>
      </c>
      <c r="X243" s="4" t="str">
        <f>IF(Tabela2[[#This Row],[sigla]]="","",VLOOKUP(Tabela2[[#This Row],[sigla]],créditos_base!B:C,2,0))</f>
        <v>CAUÊ ZUNCHINI/ARQUIVO DA EDITORA</v>
      </c>
      <c r="Y243" s="23"/>
      <c r="Z243" s="23" t="str">
        <f>Tabela2[[#This Row],[ilustrador]]</f>
        <v>CAUÊ ZUNCHINI/ARQUIVO DA EDITORA</v>
      </c>
      <c r="AA243" s="22"/>
      <c r="AB243" s="20"/>
      <c r="AC243" s="20"/>
      <c r="AD243" s="4" t="str">
        <f>"Pitanguá"</f>
        <v>Pitanguá</v>
      </c>
      <c r="AE243" s="14" t="str">
        <f>"Matemática"</f>
        <v>Matemática</v>
      </c>
    </row>
    <row r="244" spans="1:31" s="14" customFormat="1" x14ac:dyDescent="0.3">
      <c r="A244" s="23" t="s">
        <v>99</v>
      </c>
      <c r="B244" s="20" t="s">
        <v>16</v>
      </c>
      <c r="C244" s="20" t="s">
        <v>89</v>
      </c>
      <c r="D244" s="20" t="s">
        <v>8</v>
      </c>
      <c r="E244" s="22">
        <v>32</v>
      </c>
      <c r="F244" s="22">
        <v>1</v>
      </c>
      <c r="G244" s="22">
        <v>1</v>
      </c>
      <c r="H244" s="22"/>
      <c r="I244" s="23" t="s">
        <v>90</v>
      </c>
      <c r="J244" s="23"/>
      <c r="K244" s="22"/>
      <c r="L244" s="22"/>
      <c r="M244" s="23"/>
      <c r="N244" s="23"/>
      <c r="O244" s="26" t="s">
        <v>100</v>
      </c>
      <c r="P244" s="26"/>
      <c r="Q244" s="22">
        <v>1</v>
      </c>
      <c r="R244" s="24">
        <v>45722</v>
      </c>
      <c r="S244" s="24">
        <v>45722</v>
      </c>
      <c r="T244" s="24"/>
      <c r="U244" s="24"/>
      <c r="V244" s="24">
        <v>45723</v>
      </c>
      <c r="W244" s="22" t="s">
        <v>92</v>
      </c>
      <c r="X244" s="4" t="str">
        <f>IF(Tabela2[[#This Row],[sigla]]="","",VLOOKUP(Tabela2[[#This Row],[sigla]],créditos_base!B:C,2,0))</f>
        <v>BRUNA CAMPOS/ARQUIVO DA EDITORA</v>
      </c>
      <c r="Y244" s="23"/>
      <c r="Z244" s="23" t="str">
        <f>Tabela2[[#This Row],[ilustrador]]</f>
        <v>BRUNA CAMPOS/ARQUIVO DA EDITORA</v>
      </c>
      <c r="AA244" s="22">
        <v>8</v>
      </c>
      <c r="AB244" s="20"/>
      <c r="AC244" s="20" t="s">
        <v>36</v>
      </c>
      <c r="AD244" s="4" t="str">
        <f>"Pitanguá"</f>
        <v>Pitanguá</v>
      </c>
      <c r="AE244" s="14" t="str">
        <f>"Matemática"</f>
        <v>Matemática</v>
      </c>
    </row>
    <row r="245" spans="1:31" s="14" customFormat="1" ht="57.6" x14ac:dyDescent="0.3">
      <c r="A245" s="23" t="s">
        <v>1854</v>
      </c>
      <c r="B245" s="20" t="s">
        <v>6</v>
      </c>
      <c r="C245" s="20" t="s">
        <v>7</v>
      </c>
      <c r="D245" s="20" t="s">
        <v>8</v>
      </c>
      <c r="E245" s="22">
        <v>201</v>
      </c>
      <c r="F245" s="22">
        <v>3</v>
      </c>
      <c r="G245" s="22">
        <v>1</v>
      </c>
      <c r="H245" s="22"/>
      <c r="I245" s="23" t="s">
        <v>9</v>
      </c>
      <c r="J245" s="23"/>
      <c r="K245" s="22"/>
      <c r="L245" s="22"/>
      <c r="M245" s="23"/>
      <c r="N245" s="23"/>
      <c r="O245" s="26" t="s">
        <v>1855</v>
      </c>
      <c r="P245" s="26"/>
      <c r="Q245" s="22"/>
      <c r="R245" s="24"/>
      <c r="S245" s="24"/>
      <c r="T245" s="24"/>
      <c r="U245" s="24"/>
      <c r="V245" s="24"/>
      <c r="W245" s="22" t="s">
        <v>1785</v>
      </c>
      <c r="X245" s="4" t="str">
        <f>IF(Tabela2[[#This Row],[sigla]]="","",VLOOKUP(Tabela2[[#This Row],[sigla]],créditos_base!B:C,2,0))</f>
        <v>CAUÊ ZUNCHINI/ARQUIVO DA EDITORA</v>
      </c>
      <c r="Y245" s="23"/>
      <c r="Z245" s="23" t="str">
        <f>Tabela2[[#This Row],[ilustrador]]</f>
        <v>CAUÊ ZUNCHINI/ARQUIVO DA EDITORA</v>
      </c>
      <c r="AA245" s="22"/>
      <c r="AB245" s="20"/>
      <c r="AC245" s="20"/>
      <c r="AD245" s="4" t="str">
        <f>"Pitanguá"</f>
        <v>Pitanguá</v>
      </c>
      <c r="AE245" s="14" t="str">
        <f>"Matemática"</f>
        <v>Matemática</v>
      </c>
    </row>
    <row r="246" spans="1:31" s="14" customFormat="1" x14ac:dyDescent="0.3">
      <c r="A246" s="23" t="s">
        <v>101</v>
      </c>
      <c r="B246" s="20" t="s">
        <v>16</v>
      </c>
      <c r="C246" s="20" t="s">
        <v>89</v>
      </c>
      <c r="D246" s="20" t="s">
        <v>8</v>
      </c>
      <c r="E246" s="22">
        <v>32</v>
      </c>
      <c r="F246" s="22">
        <v>1</v>
      </c>
      <c r="G246" s="22">
        <v>1</v>
      </c>
      <c r="H246" s="22"/>
      <c r="I246" s="23" t="s">
        <v>90</v>
      </c>
      <c r="J246" s="23"/>
      <c r="K246" s="22"/>
      <c r="L246" s="22"/>
      <c r="M246" s="23"/>
      <c r="N246" s="23"/>
      <c r="O246" s="26" t="s">
        <v>102</v>
      </c>
      <c r="P246" s="26"/>
      <c r="Q246" s="22">
        <v>1</v>
      </c>
      <c r="R246" s="24">
        <v>45722</v>
      </c>
      <c r="S246" s="24">
        <v>45722</v>
      </c>
      <c r="T246" s="24"/>
      <c r="U246" s="24"/>
      <c r="V246" s="24">
        <v>45723</v>
      </c>
      <c r="W246" s="22" t="s">
        <v>92</v>
      </c>
      <c r="X246" s="4" t="str">
        <f>IF(Tabela2[[#This Row],[sigla]]="","",VLOOKUP(Tabela2[[#This Row],[sigla]],créditos_base!B:C,2,0))</f>
        <v>BRUNA CAMPOS/ARQUIVO DA EDITORA</v>
      </c>
      <c r="Y246" s="23"/>
      <c r="Z246" s="23" t="str">
        <f>Tabela2[[#This Row],[ilustrador]]</f>
        <v>BRUNA CAMPOS/ARQUIVO DA EDITORA</v>
      </c>
      <c r="AA246" s="22">
        <v>8</v>
      </c>
      <c r="AB246" s="20"/>
      <c r="AC246" s="20" t="s">
        <v>36</v>
      </c>
      <c r="AD246" s="4" t="str">
        <f>"Pitanguá"</f>
        <v>Pitanguá</v>
      </c>
      <c r="AE246" s="14" t="str">
        <f>"Matemática"</f>
        <v>Matemática</v>
      </c>
    </row>
    <row r="247" spans="1:31" s="14" customFormat="1" x14ac:dyDescent="0.3">
      <c r="A247" s="23" t="s">
        <v>1204</v>
      </c>
      <c r="B247" s="20" t="s">
        <v>6</v>
      </c>
      <c r="C247" s="20" t="s">
        <v>7</v>
      </c>
      <c r="D247" s="20" t="s">
        <v>8</v>
      </c>
      <c r="E247" s="22"/>
      <c r="F247" s="22">
        <v>2</v>
      </c>
      <c r="G247" s="22">
        <v>1</v>
      </c>
      <c r="H247" s="22">
        <v>3</v>
      </c>
      <c r="I247" s="23" t="s">
        <v>9</v>
      </c>
      <c r="J247" s="23"/>
      <c r="K247" s="22"/>
      <c r="L247" s="22"/>
      <c r="M247" s="23"/>
      <c r="N247" s="23"/>
      <c r="O247" s="26" t="s">
        <v>1205</v>
      </c>
      <c r="P247" s="26" t="s">
        <v>11</v>
      </c>
      <c r="Q247" s="22"/>
      <c r="R247" s="24"/>
      <c r="S247" s="24"/>
      <c r="T247" s="24"/>
      <c r="U247" s="24"/>
      <c r="V247" s="24"/>
      <c r="W247" s="22"/>
      <c r="X247" s="4" t="str">
        <f>IF(Tabela2[[#This Row],[sigla]]="","",VLOOKUP(Tabela2[[#This Row],[sigla]],créditos_base!B:C,2,0))</f>
        <v/>
      </c>
      <c r="Y247" s="23"/>
      <c r="Z247" s="23" t="str">
        <f>Tabela2[[#This Row],[ilustrador]]</f>
        <v/>
      </c>
      <c r="AA247" s="22"/>
      <c r="AB247" s="20"/>
      <c r="AC247" s="20"/>
      <c r="AD247" s="4" t="str">
        <f>"Pitanguá"</f>
        <v>Pitanguá</v>
      </c>
      <c r="AE247" s="14" t="str">
        <f>"Matemática"</f>
        <v>Matemática</v>
      </c>
    </row>
    <row r="248" spans="1:31" s="14" customFormat="1" x14ac:dyDescent="0.3">
      <c r="A248" s="23" t="s">
        <v>2879</v>
      </c>
      <c r="B248" s="20" t="s">
        <v>16</v>
      </c>
      <c r="C248" s="20" t="s">
        <v>89</v>
      </c>
      <c r="D248" s="20" t="s">
        <v>8</v>
      </c>
      <c r="E248" s="22">
        <v>22</v>
      </c>
      <c r="F248" s="22">
        <v>4</v>
      </c>
      <c r="G248" s="22">
        <v>1</v>
      </c>
      <c r="H248" s="22"/>
      <c r="I248" s="23" t="s">
        <v>9</v>
      </c>
      <c r="J248" s="23"/>
      <c r="K248" s="22"/>
      <c r="L248" s="22"/>
      <c r="M248" s="23"/>
      <c r="N248" s="23"/>
      <c r="O248" s="20" t="s">
        <v>2880</v>
      </c>
      <c r="P248" s="26"/>
      <c r="Q248" s="22"/>
      <c r="R248" s="24"/>
      <c r="S248" s="24"/>
      <c r="T248" s="24"/>
      <c r="U248" s="24"/>
      <c r="V248" s="24"/>
      <c r="W248" s="22" t="s">
        <v>160</v>
      </c>
      <c r="X248" s="4" t="str">
        <f>IF(Tabela2[[#This Row],[sigla]]="","",VLOOKUP(Tabela2[[#This Row],[sigla]],créditos_base!B:C,2,0))</f>
        <v>SERGIO LIMA/ARQUIVO DA EDITORA</v>
      </c>
      <c r="Y248" s="23"/>
      <c r="Z248" s="23" t="str">
        <f>Tabela2[[#This Row],[ilustrador]]</f>
        <v>SERGIO LIMA/ARQUIVO DA EDITORA</v>
      </c>
      <c r="AA248" s="22"/>
      <c r="AB248" s="20"/>
      <c r="AC248" s="20"/>
      <c r="AD248" s="4" t="str">
        <f>"Pitanguá"</f>
        <v>Pitanguá</v>
      </c>
      <c r="AE248" s="14" t="str">
        <f>"Matemática"</f>
        <v>Matemática</v>
      </c>
    </row>
    <row r="249" spans="1:31" s="14" customFormat="1" x14ac:dyDescent="0.3">
      <c r="A249" s="23" t="s">
        <v>103</v>
      </c>
      <c r="B249" s="20" t="s">
        <v>6</v>
      </c>
      <c r="C249" s="20" t="s">
        <v>89</v>
      </c>
      <c r="D249" s="20" t="s">
        <v>8</v>
      </c>
      <c r="E249" s="22">
        <v>32</v>
      </c>
      <c r="F249" s="22">
        <v>1</v>
      </c>
      <c r="G249" s="22">
        <v>1</v>
      </c>
      <c r="H249" s="22"/>
      <c r="I249" s="23" t="s">
        <v>90</v>
      </c>
      <c r="J249" s="23"/>
      <c r="K249" s="22"/>
      <c r="L249" s="22"/>
      <c r="M249" s="23"/>
      <c r="N249" s="23"/>
      <c r="O249" s="26" t="s">
        <v>104</v>
      </c>
      <c r="P249" s="26" t="s">
        <v>105</v>
      </c>
      <c r="Q249" s="22">
        <v>1</v>
      </c>
      <c r="R249" s="24">
        <v>45722</v>
      </c>
      <c r="S249" s="24">
        <v>45722</v>
      </c>
      <c r="T249" s="24"/>
      <c r="U249" s="24"/>
      <c r="V249" s="24">
        <v>45723</v>
      </c>
      <c r="W249" s="22" t="s">
        <v>92</v>
      </c>
      <c r="X249" s="4" t="str">
        <f>IF(Tabela2[[#This Row],[sigla]]="","",VLOOKUP(Tabela2[[#This Row],[sigla]],créditos_base!B:C,2,0))</f>
        <v>BRUNA CAMPOS/ARQUIVO DA EDITORA</v>
      </c>
      <c r="Y249" s="23"/>
      <c r="Z249" s="23" t="str">
        <f>Tabela2[[#This Row],[ilustrador]]</f>
        <v>BRUNA CAMPOS/ARQUIVO DA EDITORA</v>
      </c>
      <c r="AA249" s="22">
        <v>8</v>
      </c>
      <c r="AB249" s="20"/>
      <c r="AC249" s="20" t="s">
        <v>36</v>
      </c>
      <c r="AD249" s="4" t="str">
        <f>"Pitanguá"</f>
        <v>Pitanguá</v>
      </c>
      <c r="AE249" s="14" t="str">
        <f>"Matemática"</f>
        <v>Matemática</v>
      </c>
    </row>
    <row r="250" spans="1:31" s="14" customFormat="1" x14ac:dyDescent="0.3">
      <c r="A250" s="23" t="s">
        <v>1206</v>
      </c>
      <c r="B250" s="20" t="s">
        <v>16</v>
      </c>
      <c r="C250" s="20" t="s">
        <v>7</v>
      </c>
      <c r="D250" s="20" t="s">
        <v>8</v>
      </c>
      <c r="E250" s="22"/>
      <c r="F250" s="22">
        <v>2</v>
      </c>
      <c r="G250" s="22">
        <v>1</v>
      </c>
      <c r="H250" s="22"/>
      <c r="I250" s="23" t="s">
        <v>33</v>
      </c>
      <c r="J250" s="23"/>
      <c r="K250" s="22"/>
      <c r="L250" s="22"/>
      <c r="M250" s="23"/>
      <c r="N250" s="23"/>
      <c r="O250" s="26" t="s">
        <v>1207</v>
      </c>
      <c r="P250" s="26"/>
      <c r="Q250" s="22">
        <v>52</v>
      </c>
      <c r="R250" s="24">
        <v>45803</v>
      </c>
      <c r="S250" s="24">
        <v>45805</v>
      </c>
      <c r="T250" s="24"/>
      <c r="U250" s="24"/>
      <c r="V250" s="24">
        <v>45805</v>
      </c>
      <c r="W250" s="22" t="s">
        <v>223</v>
      </c>
      <c r="X250" s="4" t="str">
        <f>IF(Tabela2[[#This Row],[sigla]]="","",VLOOKUP(Tabela2[[#This Row],[sigla]],créditos_base!B:C,2,0))</f>
        <v>NATANAELE BILMAIA/ARQUIVO DA EDITORA</v>
      </c>
      <c r="Y250" s="23" t="s">
        <v>188</v>
      </c>
      <c r="Z250" s="23" t="str">
        <f>Tabela2[[#This Row],[ilustrador]]</f>
        <v>NATANAELE BILMAIA/ARQUIVO DA EDITORA</v>
      </c>
      <c r="AA250" s="22">
        <v>14</v>
      </c>
      <c r="AB250" s="20" t="s">
        <v>153</v>
      </c>
      <c r="AC250" s="20" t="s">
        <v>36</v>
      </c>
      <c r="AD250" s="4" t="str">
        <f>"Pitanguá"</f>
        <v>Pitanguá</v>
      </c>
      <c r="AE250" s="14" t="str">
        <f>"Matemática"</f>
        <v>Matemática</v>
      </c>
    </row>
    <row r="251" spans="1:31" s="14" customFormat="1" x14ac:dyDescent="0.3">
      <c r="A251" s="23" t="s">
        <v>106</v>
      </c>
      <c r="B251" s="20" t="s">
        <v>16</v>
      </c>
      <c r="C251" s="20" t="s">
        <v>89</v>
      </c>
      <c r="D251" s="20" t="s">
        <v>8</v>
      </c>
      <c r="E251" s="22">
        <v>32</v>
      </c>
      <c r="F251" s="22">
        <v>1</v>
      </c>
      <c r="G251" s="22">
        <v>1</v>
      </c>
      <c r="H251" s="22"/>
      <c r="I251" s="23" t="s">
        <v>90</v>
      </c>
      <c r="J251" s="23"/>
      <c r="K251" s="22"/>
      <c r="L251" s="22"/>
      <c r="M251" s="23"/>
      <c r="N251" s="23"/>
      <c r="O251" s="26" t="s">
        <v>107</v>
      </c>
      <c r="P251" s="26"/>
      <c r="Q251" s="22">
        <v>1</v>
      </c>
      <c r="R251" s="24">
        <v>45722</v>
      </c>
      <c r="S251" s="24">
        <v>45722</v>
      </c>
      <c r="T251" s="24"/>
      <c r="U251" s="24"/>
      <c r="V251" s="24">
        <v>45723</v>
      </c>
      <c r="W251" s="22" t="s">
        <v>92</v>
      </c>
      <c r="X251" s="4" t="str">
        <f>IF(Tabela2[[#This Row],[sigla]]="","",VLOOKUP(Tabela2[[#This Row],[sigla]],créditos_base!B:C,2,0))</f>
        <v>BRUNA CAMPOS/ARQUIVO DA EDITORA</v>
      </c>
      <c r="Y251" s="23"/>
      <c r="Z251" s="23" t="str">
        <f>Tabela2[[#This Row],[ilustrador]]</f>
        <v>BRUNA CAMPOS/ARQUIVO DA EDITORA</v>
      </c>
      <c r="AA251" s="22">
        <v>8</v>
      </c>
      <c r="AB251" s="20"/>
      <c r="AC251" s="20" t="s">
        <v>36</v>
      </c>
      <c r="AD251" s="4" t="str">
        <f>"Pitanguá"</f>
        <v>Pitanguá</v>
      </c>
      <c r="AE251" s="14" t="str">
        <f>"Matemática"</f>
        <v>Matemática</v>
      </c>
    </row>
    <row r="252" spans="1:31" s="14" customFormat="1" x14ac:dyDescent="0.3">
      <c r="A252" s="23" t="s">
        <v>1208</v>
      </c>
      <c r="B252" s="20" t="s">
        <v>16</v>
      </c>
      <c r="C252" s="20" t="s">
        <v>7</v>
      </c>
      <c r="D252" s="20" t="s">
        <v>8</v>
      </c>
      <c r="E252" s="22"/>
      <c r="F252" s="22">
        <v>2</v>
      </c>
      <c r="G252" s="22">
        <v>1</v>
      </c>
      <c r="H252" s="22"/>
      <c r="I252" s="23" t="s">
        <v>33</v>
      </c>
      <c r="J252" s="23"/>
      <c r="K252" s="22"/>
      <c r="L252" s="22"/>
      <c r="M252" s="23"/>
      <c r="N252" s="23"/>
      <c r="O252" s="26" t="s">
        <v>1209</v>
      </c>
      <c r="P252" s="26"/>
      <c r="Q252" s="22">
        <v>52</v>
      </c>
      <c r="R252" s="24">
        <v>45803</v>
      </c>
      <c r="S252" s="24">
        <v>45805</v>
      </c>
      <c r="T252" s="24"/>
      <c r="U252" s="24"/>
      <c r="V252" s="24">
        <v>45805</v>
      </c>
      <c r="W252" s="22" t="s">
        <v>223</v>
      </c>
      <c r="X252" s="4" t="str">
        <f>IF(Tabela2[[#This Row],[sigla]]="","",VLOOKUP(Tabela2[[#This Row],[sigla]],créditos_base!B:C,2,0))</f>
        <v>NATANAELE BILMAIA/ARQUIVO DA EDITORA</v>
      </c>
      <c r="Y252" s="23" t="s">
        <v>188</v>
      </c>
      <c r="Z252" s="23" t="str">
        <f>Tabela2[[#This Row],[ilustrador]]</f>
        <v>NATANAELE BILMAIA/ARQUIVO DA EDITORA</v>
      </c>
      <c r="AA252" s="22">
        <v>14</v>
      </c>
      <c r="AB252" s="20" t="s">
        <v>153</v>
      </c>
      <c r="AC252" s="20" t="s">
        <v>36</v>
      </c>
      <c r="AD252" s="4" t="str">
        <f>"Pitanguá"</f>
        <v>Pitanguá</v>
      </c>
      <c r="AE252" s="14" t="str">
        <f>"Matemática"</f>
        <v>Matemática</v>
      </c>
    </row>
    <row r="253" spans="1:31" s="14" customFormat="1" x14ac:dyDescent="0.3">
      <c r="A253" s="23" t="s">
        <v>1858</v>
      </c>
      <c r="B253" s="20" t="s">
        <v>16</v>
      </c>
      <c r="C253" s="20" t="s">
        <v>89</v>
      </c>
      <c r="D253" s="20" t="s">
        <v>8</v>
      </c>
      <c r="E253" s="22">
        <v>26</v>
      </c>
      <c r="F253" s="22">
        <v>3</v>
      </c>
      <c r="G253" s="22">
        <v>1</v>
      </c>
      <c r="H253" s="22"/>
      <c r="I253" s="23" t="s">
        <v>33</v>
      </c>
      <c r="J253" s="23"/>
      <c r="K253" s="22"/>
      <c r="L253" s="22"/>
      <c r="M253" s="23"/>
      <c r="N253" s="23"/>
      <c r="O253" s="26" t="s">
        <v>1859</v>
      </c>
      <c r="P253" s="26"/>
      <c r="Q253" s="22">
        <v>22</v>
      </c>
      <c r="R253" s="24">
        <v>45750</v>
      </c>
      <c r="S253" s="24">
        <v>45750</v>
      </c>
      <c r="T253" s="24"/>
      <c r="U253" s="24"/>
      <c r="V253" s="24">
        <v>45750</v>
      </c>
      <c r="W253" s="22" t="s">
        <v>468</v>
      </c>
      <c r="X253" s="4" t="str">
        <f>IF(Tabela2[[#This Row],[sigla]]="","",VLOOKUP(Tabela2[[#This Row],[sigla]],créditos_base!B:C,2,0))</f>
        <v>VER DOCUMENTO DE ILS. TÉCNICAS</v>
      </c>
      <c r="Y253" s="23" t="s">
        <v>152</v>
      </c>
      <c r="Z253" s="23" t="s">
        <v>661</v>
      </c>
      <c r="AA253" s="22">
        <v>14</v>
      </c>
      <c r="AB253" s="20" t="s">
        <v>41</v>
      </c>
      <c r="AC253" s="20" t="s">
        <v>36</v>
      </c>
      <c r="AD253" s="4" t="str">
        <f>"Pitanguá"</f>
        <v>Pitanguá</v>
      </c>
      <c r="AE253" s="14" t="str">
        <f>"Matemática"</f>
        <v>Matemática</v>
      </c>
    </row>
    <row r="254" spans="1:31" s="14" customFormat="1" x14ac:dyDescent="0.3">
      <c r="A254" s="23" t="s">
        <v>108</v>
      </c>
      <c r="B254" s="20" t="s">
        <v>16</v>
      </c>
      <c r="C254" s="20" t="s">
        <v>89</v>
      </c>
      <c r="D254" s="20" t="s">
        <v>8</v>
      </c>
      <c r="E254" s="22">
        <v>32</v>
      </c>
      <c r="F254" s="22">
        <v>1</v>
      </c>
      <c r="G254" s="22">
        <v>1</v>
      </c>
      <c r="H254" s="22"/>
      <c r="I254" s="23" t="s">
        <v>90</v>
      </c>
      <c r="J254" s="23"/>
      <c r="K254" s="22"/>
      <c r="L254" s="22"/>
      <c r="M254" s="23"/>
      <c r="N254" s="23"/>
      <c r="O254" s="26" t="s">
        <v>109</v>
      </c>
      <c r="P254" s="26"/>
      <c r="Q254" s="22">
        <v>1</v>
      </c>
      <c r="R254" s="24">
        <v>45722</v>
      </c>
      <c r="S254" s="24">
        <v>45722</v>
      </c>
      <c r="T254" s="24"/>
      <c r="U254" s="24"/>
      <c r="V254" s="24">
        <v>45723</v>
      </c>
      <c r="W254" s="22" t="s">
        <v>92</v>
      </c>
      <c r="X254" s="4" t="str">
        <f>IF(Tabela2[[#This Row],[sigla]]="","",VLOOKUP(Tabela2[[#This Row],[sigla]],créditos_base!B:C,2,0))</f>
        <v>BRUNA CAMPOS/ARQUIVO DA EDITORA</v>
      </c>
      <c r="Y254" s="23"/>
      <c r="Z254" s="23" t="str">
        <f>Tabela2[[#This Row],[ilustrador]]</f>
        <v>BRUNA CAMPOS/ARQUIVO DA EDITORA</v>
      </c>
      <c r="AA254" s="22">
        <v>8</v>
      </c>
      <c r="AB254" s="20"/>
      <c r="AC254" s="20" t="s">
        <v>36</v>
      </c>
      <c r="AD254" s="4" t="str">
        <f>"Pitanguá"</f>
        <v>Pitanguá</v>
      </c>
      <c r="AE254" s="14" t="str">
        <f>"Matemática"</f>
        <v>Matemática</v>
      </c>
    </row>
    <row r="255" spans="1:31" s="14" customFormat="1" x14ac:dyDescent="0.3">
      <c r="A255" s="23" t="s">
        <v>1210</v>
      </c>
      <c r="B255" s="20" t="s">
        <v>16</v>
      </c>
      <c r="C255" s="20" t="s">
        <v>7</v>
      </c>
      <c r="D255" s="20" t="s">
        <v>8</v>
      </c>
      <c r="E255" s="22"/>
      <c r="F255" s="22">
        <v>2</v>
      </c>
      <c r="G255" s="22">
        <v>1</v>
      </c>
      <c r="H255" s="22"/>
      <c r="I255" s="23" t="s">
        <v>33</v>
      </c>
      <c r="J255" s="23"/>
      <c r="K255" s="22"/>
      <c r="L255" s="22"/>
      <c r="M255" s="23"/>
      <c r="N255" s="23"/>
      <c r="O255" s="26" t="s">
        <v>1211</v>
      </c>
      <c r="P255" s="26"/>
      <c r="Q255" s="22">
        <v>13</v>
      </c>
      <c r="R255" s="24">
        <v>45743</v>
      </c>
      <c r="S255" s="24">
        <v>45743</v>
      </c>
      <c r="T255" s="24"/>
      <c r="U255" s="24"/>
      <c r="V255" s="24">
        <v>45743</v>
      </c>
      <c r="W255" s="22" t="s">
        <v>1212</v>
      </c>
      <c r="X255" s="4" t="str">
        <f>IF(Tabela2[[#This Row],[sigla]]="","",VLOOKUP(Tabela2[[#This Row],[sigla]],créditos_base!B:C,2,0))</f>
        <v>NATANAELE BILMAIA/ARQUIVO DA EDITORA</v>
      </c>
      <c r="Y255" s="23" t="s">
        <v>813</v>
      </c>
      <c r="Z255" s="23" t="str">
        <f>Tabela2[[#This Row],[ilustrador]]</f>
        <v>NATANAELE BILMAIA/ARQUIVO DA EDITORA</v>
      </c>
      <c r="AA255" s="22">
        <v>13</v>
      </c>
      <c r="AB255" s="20" t="s">
        <v>153</v>
      </c>
      <c r="AC255" s="20" t="s">
        <v>36</v>
      </c>
      <c r="AD255" s="4" t="str">
        <f>"Pitanguá"</f>
        <v>Pitanguá</v>
      </c>
      <c r="AE255" s="14" t="str">
        <f>"Matemática"</f>
        <v>Matemática</v>
      </c>
    </row>
    <row r="256" spans="1:31" s="14" customFormat="1" x14ac:dyDescent="0.3">
      <c r="A256" s="23" t="s">
        <v>1860</v>
      </c>
      <c r="B256" s="20" t="s">
        <v>16</v>
      </c>
      <c r="C256" s="20" t="s">
        <v>89</v>
      </c>
      <c r="D256" s="20" t="s">
        <v>8</v>
      </c>
      <c r="E256" s="22">
        <v>26</v>
      </c>
      <c r="F256" s="22">
        <v>3</v>
      </c>
      <c r="G256" s="22">
        <v>1</v>
      </c>
      <c r="H256" s="22"/>
      <c r="I256" s="23" t="s">
        <v>33</v>
      </c>
      <c r="J256" s="23"/>
      <c r="K256" s="22"/>
      <c r="L256" s="22"/>
      <c r="M256" s="23"/>
      <c r="N256" s="23"/>
      <c r="O256" s="26" t="s">
        <v>1861</v>
      </c>
      <c r="P256" s="26"/>
      <c r="Q256" s="22">
        <v>22</v>
      </c>
      <c r="R256" s="24">
        <v>45750</v>
      </c>
      <c r="S256" s="24">
        <v>45750</v>
      </c>
      <c r="T256" s="24"/>
      <c r="U256" s="24"/>
      <c r="V256" s="24">
        <v>45750</v>
      </c>
      <c r="W256" s="22" t="s">
        <v>468</v>
      </c>
      <c r="X256" s="4" t="str">
        <f>IF(Tabela2[[#This Row],[sigla]]="","",VLOOKUP(Tabela2[[#This Row],[sigla]],créditos_base!B:C,2,0))</f>
        <v>VER DOCUMENTO DE ILS. TÉCNICAS</v>
      </c>
      <c r="Y256" s="23" t="s">
        <v>152</v>
      </c>
      <c r="Z256" s="23" t="s">
        <v>661</v>
      </c>
      <c r="AA256" s="22">
        <v>14</v>
      </c>
      <c r="AB256" s="20" t="s">
        <v>41</v>
      </c>
      <c r="AC256" s="20" t="s">
        <v>36</v>
      </c>
      <c r="AD256" s="4" t="str">
        <f>"Pitanguá"</f>
        <v>Pitanguá</v>
      </c>
      <c r="AE256" s="14" t="str">
        <f>"Matemática"</f>
        <v>Matemática</v>
      </c>
    </row>
    <row r="257" spans="1:31" s="14" customFormat="1" x14ac:dyDescent="0.3">
      <c r="A257" s="23" t="s">
        <v>110</v>
      </c>
      <c r="B257" s="20" t="s">
        <v>16</v>
      </c>
      <c r="C257" s="20" t="s">
        <v>89</v>
      </c>
      <c r="D257" s="20" t="s">
        <v>8</v>
      </c>
      <c r="E257" s="22">
        <v>32</v>
      </c>
      <c r="F257" s="22">
        <v>1</v>
      </c>
      <c r="G257" s="22">
        <v>1</v>
      </c>
      <c r="H257" s="22"/>
      <c r="I257" s="23" t="s">
        <v>90</v>
      </c>
      <c r="J257" s="23"/>
      <c r="K257" s="22"/>
      <c r="L257" s="22"/>
      <c r="M257" s="23"/>
      <c r="N257" s="23"/>
      <c r="O257" s="26" t="s">
        <v>111</v>
      </c>
      <c r="P257" s="26"/>
      <c r="Q257" s="22">
        <v>1</v>
      </c>
      <c r="R257" s="24">
        <v>45722</v>
      </c>
      <c r="S257" s="24">
        <v>45722</v>
      </c>
      <c r="T257" s="24"/>
      <c r="U257" s="24"/>
      <c r="V257" s="24">
        <v>45723</v>
      </c>
      <c r="W257" s="22" t="s">
        <v>92</v>
      </c>
      <c r="X257" s="4" t="str">
        <f>IF(Tabela2[[#This Row],[sigla]]="","",VLOOKUP(Tabela2[[#This Row],[sigla]],créditos_base!B:C,2,0))</f>
        <v>BRUNA CAMPOS/ARQUIVO DA EDITORA</v>
      </c>
      <c r="Y257" s="23"/>
      <c r="Z257" s="23" t="str">
        <f>Tabela2[[#This Row],[ilustrador]]</f>
        <v>BRUNA CAMPOS/ARQUIVO DA EDITORA</v>
      </c>
      <c r="AA257" s="22">
        <v>8</v>
      </c>
      <c r="AB257" s="20"/>
      <c r="AC257" s="20" t="s">
        <v>36</v>
      </c>
      <c r="AD257" s="4" t="str">
        <f>"Pitanguá"</f>
        <v>Pitanguá</v>
      </c>
      <c r="AE257" s="14" t="str">
        <f>"Matemática"</f>
        <v>Matemática</v>
      </c>
    </row>
    <row r="258" spans="1:31" s="14" customFormat="1" x14ac:dyDescent="0.3">
      <c r="A258" s="23" t="s">
        <v>1213</v>
      </c>
      <c r="B258" s="20" t="s">
        <v>6</v>
      </c>
      <c r="C258" s="20" t="s">
        <v>7</v>
      </c>
      <c r="D258" s="20" t="s">
        <v>8</v>
      </c>
      <c r="E258" s="22"/>
      <c r="F258" s="22">
        <v>2</v>
      </c>
      <c r="G258" s="22">
        <v>1</v>
      </c>
      <c r="H258" s="22"/>
      <c r="I258" s="23" t="s">
        <v>9</v>
      </c>
      <c r="J258" s="23"/>
      <c r="K258" s="22"/>
      <c r="L258" s="22"/>
      <c r="M258" s="23"/>
      <c r="N258" s="23"/>
      <c r="O258" s="26" t="s">
        <v>1214</v>
      </c>
      <c r="P258" s="26" t="s">
        <v>11</v>
      </c>
      <c r="Q258" s="22"/>
      <c r="R258" s="24"/>
      <c r="S258" s="24"/>
      <c r="T258" s="24"/>
      <c r="U258" s="24"/>
      <c r="V258" s="24"/>
      <c r="W258" s="22" t="s">
        <v>20</v>
      </c>
      <c r="X258" s="4" t="str">
        <f>IF(Tabela2[[#This Row],[sigla]]="","",VLOOKUP(Tabela2[[#This Row],[sigla]],créditos_base!B:C,2,0))</f>
        <v>SONIA HORN/ARQUIVO DA EDITORA</v>
      </c>
      <c r="Y258" s="23"/>
      <c r="Z258" s="23" t="str">
        <f>Tabela2[[#This Row],[ilustrador]]</f>
        <v>SONIA HORN/ARQUIVO DA EDITORA</v>
      </c>
      <c r="AA258" s="22"/>
      <c r="AB258" s="20"/>
      <c r="AC258" s="20"/>
      <c r="AD258" s="4" t="str">
        <f>"Pitanguá"</f>
        <v>Pitanguá</v>
      </c>
      <c r="AE258" s="14" t="str">
        <f>"Matemática"</f>
        <v>Matemática</v>
      </c>
    </row>
    <row r="259" spans="1:31" s="14" customFormat="1" x14ac:dyDescent="0.3">
      <c r="A259" s="23" t="s">
        <v>1862</v>
      </c>
      <c r="B259" s="20" t="s">
        <v>16</v>
      </c>
      <c r="C259" s="20" t="s">
        <v>89</v>
      </c>
      <c r="D259" s="20" t="s">
        <v>8</v>
      </c>
      <c r="E259" s="22">
        <v>26</v>
      </c>
      <c r="F259" s="22">
        <v>3</v>
      </c>
      <c r="G259" s="22">
        <v>1</v>
      </c>
      <c r="H259" s="22"/>
      <c r="I259" s="23" t="s">
        <v>33</v>
      </c>
      <c r="J259" s="23"/>
      <c r="K259" s="22"/>
      <c r="L259" s="22"/>
      <c r="M259" s="23"/>
      <c r="N259" s="23"/>
      <c r="O259" s="26" t="s">
        <v>1863</v>
      </c>
      <c r="P259" s="26"/>
      <c r="Q259" s="22">
        <v>164</v>
      </c>
      <c r="R259" s="24">
        <v>45892</v>
      </c>
      <c r="S259" s="24">
        <v>45894</v>
      </c>
      <c r="T259" s="24"/>
      <c r="U259" s="24"/>
      <c r="V259" s="24">
        <v>45894</v>
      </c>
      <c r="W259" s="22" t="s">
        <v>160</v>
      </c>
      <c r="X259" s="4" t="str">
        <f>IF(Tabela2[[#This Row],[sigla]]="","",VLOOKUP(Tabela2[[#This Row],[sigla]],créditos_base!B:C,2,0))</f>
        <v>SERGIO LIMA/ARQUIVO DA EDITORA</v>
      </c>
      <c r="Y259" s="23" t="s">
        <v>433</v>
      </c>
      <c r="Z259" s="23" t="str">
        <f>Tabela2[[#This Row],[ilustrador]]</f>
        <v>SERGIO LIMA/ARQUIVO DA EDITORA</v>
      </c>
      <c r="AA259" s="22">
        <v>14</v>
      </c>
      <c r="AB259" s="20" t="s">
        <v>153</v>
      </c>
      <c r="AC259" s="20" t="s">
        <v>36</v>
      </c>
      <c r="AD259" s="4" t="str">
        <f>"Pitanguá"</f>
        <v>Pitanguá</v>
      </c>
      <c r="AE259" s="14" t="str">
        <f>"Matemática"</f>
        <v>Matemática</v>
      </c>
    </row>
    <row r="260" spans="1:31" s="14" customFormat="1" x14ac:dyDescent="0.3">
      <c r="A260" s="23" t="s">
        <v>112</v>
      </c>
      <c r="B260" s="20" t="s">
        <v>6</v>
      </c>
      <c r="C260" s="20" t="s">
        <v>89</v>
      </c>
      <c r="D260" s="20" t="s">
        <v>8</v>
      </c>
      <c r="E260" s="22">
        <v>32</v>
      </c>
      <c r="F260" s="22">
        <v>1</v>
      </c>
      <c r="G260" s="22">
        <v>1</v>
      </c>
      <c r="H260" s="22"/>
      <c r="I260" s="23" t="s">
        <v>90</v>
      </c>
      <c r="J260" s="23"/>
      <c r="K260" s="22"/>
      <c r="L260" s="22"/>
      <c r="M260" s="23"/>
      <c r="N260" s="23"/>
      <c r="O260" s="26" t="s">
        <v>113</v>
      </c>
      <c r="P260" s="26" t="s">
        <v>114</v>
      </c>
      <c r="Q260" s="22">
        <v>1</v>
      </c>
      <c r="R260" s="24">
        <v>45722</v>
      </c>
      <c r="S260" s="24">
        <v>45722</v>
      </c>
      <c r="T260" s="24"/>
      <c r="U260" s="24"/>
      <c r="V260" s="24">
        <v>45723</v>
      </c>
      <c r="W260" s="22" t="s">
        <v>92</v>
      </c>
      <c r="X260" s="4" t="str">
        <f>IF(Tabela2[[#This Row],[sigla]]="","",VLOOKUP(Tabela2[[#This Row],[sigla]],créditos_base!B:C,2,0))</f>
        <v>BRUNA CAMPOS/ARQUIVO DA EDITORA</v>
      </c>
      <c r="Y260" s="23"/>
      <c r="Z260" s="23" t="str">
        <f>Tabela2[[#This Row],[ilustrador]]</f>
        <v>BRUNA CAMPOS/ARQUIVO DA EDITORA</v>
      </c>
      <c r="AA260" s="22">
        <v>8</v>
      </c>
      <c r="AB260" s="20"/>
      <c r="AC260" s="20" t="s">
        <v>36</v>
      </c>
      <c r="AD260" s="4" t="str">
        <f>"Pitanguá"</f>
        <v>Pitanguá</v>
      </c>
      <c r="AE260" s="14" t="str">
        <f>"Matemática"</f>
        <v>Matemática</v>
      </c>
    </row>
    <row r="261" spans="1:31" s="14" customFormat="1" x14ac:dyDescent="0.3">
      <c r="A261" s="23" t="s">
        <v>1864</v>
      </c>
      <c r="B261" s="20" t="s">
        <v>16</v>
      </c>
      <c r="C261" s="20" t="s">
        <v>89</v>
      </c>
      <c r="D261" s="20" t="s">
        <v>8</v>
      </c>
      <c r="E261" s="22">
        <v>27</v>
      </c>
      <c r="F261" s="22">
        <v>3</v>
      </c>
      <c r="G261" s="22">
        <v>1</v>
      </c>
      <c r="H261" s="22"/>
      <c r="I261" s="23" t="s">
        <v>9</v>
      </c>
      <c r="J261" s="23"/>
      <c r="K261" s="22"/>
      <c r="L261" s="22"/>
      <c r="M261" s="23"/>
      <c r="N261" s="23"/>
      <c r="O261" s="26" t="s">
        <v>1865</v>
      </c>
      <c r="P261" s="26"/>
      <c r="Q261" s="22"/>
      <c r="R261" s="24"/>
      <c r="S261" s="24"/>
      <c r="T261" s="24"/>
      <c r="U261" s="24"/>
      <c r="V261" s="24"/>
      <c r="W261" s="22" t="s">
        <v>468</v>
      </c>
      <c r="X261" s="4" t="str">
        <f>IF(Tabela2[[#This Row],[sigla]]="","",VLOOKUP(Tabela2[[#This Row],[sigla]],créditos_base!B:C,2,0))</f>
        <v>VER DOCUMENTO DE ILS. TÉCNICAS</v>
      </c>
      <c r="Y261" s="23"/>
      <c r="Z261" s="23" t="s">
        <v>661</v>
      </c>
      <c r="AA261" s="22"/>
      <c r="AB261" s="20"/>
      <c r="AC261" s="20"/>
      <c r="AD261" s="4" t="str">
        <f>"Pitanguá"</f>
        <v>Pitanguá</v>
      </c>
      <c r="AE261" s="14" t="str">
        <f>"Matemática"</f>
        <v>Matemática</v>
      </c>
    </row>
    <row r="262" spans="1:31" s="14" customFormat="1" x14ac:dyDescent="0.3">
      <c r="A262" s="23" t="s">
        <v>2881</v>
      </c>
      <c r="B262" s="20" t="s">
        <v>6</v>
      </c>
      <c r="C262" s="20" t="s">
        <v>89</v>
      </c>
      <c r="D262" s="20" t="s">
        <v>8</v>
      </c>
      <c r="E262" s="22">
        <v>25</v>
      </c>
      <c r="F262" s="22">
        <v>4</v>
      </c>
      <c r="G262" s="22">
        <v>1</v>
      </c>
      <c r="H262" s="22"/>
      <c r="I262" s="23" t="s">
        <v>33</v>
      </c>
      <c r="J262" s="23"/>
      <c r="K262" s="22"/>
      <c r="L262" s="22"/>
      <c r="M262" s="23"/>
      <c r="N262" s="23"/>
      <c r="O262" s="26" t="s">
        <v>2882</v>
      </c>
      <c r="P262" s="26"/>
      <c r="Q262" s="22">
        <v>39</v>
      </c>
      <c r="R262" s="24">
        <v>45777</v>
      </c>
      <c r="S262" s="24">
        <v>45779</v>
      </c>
      <c r="T262" s="24"/>
      <c r="U262" s="24"/>
      <c r="V262" s="24">
        <v>45779</v>
      </c>
      <c r="W262" s="22" t="s">
        <v>468</v>
      </c>
      <c r="X262" s="4" t="str">
        <f>IF(Tabela2[[#This Row],[sigla]]="","",VLOOKUP(Tabela2[[#This Row],[sigla]],créditos_base!B:C,2,0))</f>
        <v>VER DOCUMENTO DE ILS. TÉCNICAS</v>
      </c>
      <c r="Y262" s="23" t="s">
        <v>880</v>
      </c>
      <c r="Z262" s="32" t="s">
        <v>469</v>
      </c>
      <c r="AA262" s="22">
        <v>13</v>
      </c>
      <c r="AB262" s="20" t="s">
        <v>2058</v>
      </c>
      <c r="AC262" s="20" t="s">
        <v>36</v>
      </c>
      <c r="AD262" s="4" t="str">
        <f>"Pitanguá"</f>
        <v>Pitanguá</v>
      </c>
      <c r="AE262" s="14" t="str">
        <f>"Matemática"</f>
        <v>Matemática</v>
      </c>
    </row>
    <row r="263" spans="1:31" s="14" customFormat="1" x14ac:dyDescent="0.3">
      <c r="A263" s="23" t="s">
        <v>115</v>
      </c>
      <c r="B263" s="20" t="s">
        <v>6</v>
      </c>
      <c r="C263" s="20" t="s">
        <v>89</v>
      </c>
      <c r="D263" s="20" t="s">
        <v>8</v>
      </c>
      <c r="E263" s="22">
        <v>32</v>
      </c>
      <c r="F263" s="22">
        <v>1</v>
      </c>
      <c r="G263" s="22">
        <v>1</v>
      </c>
      <c r="H263" s="22"/>
      <c r="I263" s="23" t="s">
        <v>90</v>
      </c>
      <c r="J263" s="23"/>
      <c r="K263" s="22"/>
      <c r="L263" s="22"/>
      <c r="M263" s="23"/>
      <c r="N263" s="23"/>
      <c r="O263" s="26" t="s">
        <v>116</v>
      </c>
      <c r="P263" s="26" t="s">
        <v>117</v>
      </c>
      <c r="Q263" s="22">
        <v>1</v>
      </c>
      <c r="R263" s="24">
        <v>45722</v>
      </c>
      <c r="S263" s="24">
        <v>45722</v>
      </c>
      <c r="T263" s="24"/>
      <c r="U263" s="24"/>
      <c r="V263" s="24">
        <v>45723</v>
      </c>
      <c r="W263" s="22" t="s">
        <v>92</v>
      </c>
      <c r="X263" s="4" t="str">
        <f>IF(Tabela2[[#This Row],[sigla]]="","",VLOOKUP(Tabela2[[#This Row],[sigla]],créditos_base!B:C,2,0))</f>
        <v>BRUNA CAMPOS/ARQUIVO DA EDITORA</v>
      </c>
      <c r="Y263" s="23"/>
      <c r="Z263" s="23" t="str">
        <f>Tabela2[[#This Row],[ilustrador]]</f>
        <v>BRUNA CAMPOS/ARQUIVO DA EDITORA</v>
      </c>
      <c r="AA263" s="22">
        <v>8</v>
      </c>
      <c r="AB263" s="20"/>
      <c r="AC263" s="20" t="s">
        <v>36</v>
      </c>
      <c r="AD263" s="4" t="str">
        <f>"Pitanguá"</f>
        <v>Pitanguá</v>
      </c>
      <c r="AE263" s="14" t="str">
        <f>"Matemática"</f>
        <v>Matemática</v>
      </c>
    </row>
    <row r="264" spans="1:31" s="14" customFormat="1" x14ac:dyDescent="0.3">
      <c r="A264" s="23" t="s">
        <v>2877</v>
      </c>
      <c r="B264" s="20" t="s">
        <v>16</v>
      </c>
      <c r="C264" s="20" t="s">
        <v>89</v>
      </c>
      <c r="D264" s="20" t="s">
        <v>8</v>
      </c>
      <c r="E264" s="22" t="s">
        <v>1300</v>
      </c>
      <c r="F264" s="22">
        <v>4</v>
      </c>
      <c r="G264" s="22">
        <v>1</v>
      </c>
      <c r="H264" s="22"/>
      <c r="I264" s="23" t="s">
        <v>33</v>
      </c>
      <c r="J264" s="23"/>
      <c r="K264" s="22"/>
      <c r="L264" s="22"/>
      <c r="M264" s="23"/>
      <c r="N264" s="23"/>
      <c r="O264" s="26" t="s">
        <v>2878</v>
      </c>
      <c r="P264" s="26"/>
      <c r="Q264" s="22">
        <v>39</v>
      </c>
      <c r="R264" s="24">
        <v>45777</v>
      </c>
      <c r="S264" s="24">
        <v>45779</v>
      </c>
      <c r="T264" s="24"/>
      <c r="U264" s="24"/>
      <c r="V264" s="24">
        <v>45779</v>
      </c>
      <c r="W264" s="22" t="s">
        <v>160</v>
      </c>
      <c r="X264" s="4" t="str">
        <f>IF(Tabela2[[#This Row],[sigla]]="","",VLOOKUP(Tabela2[[#This Row],[sigla]],créditos_base!B:C,2,0))</f>
        <v>SERGIO LIMA/ARQUIVO DA EDITORA</v>
      </c>
      <c r="Y264" s="23" t="s">
        <v>880</v>
      </c>
      <c r="Z264" s="23" t="str">
        <f>Tabela2[[#This Row],[ilustrador]]</f>
        <v>SERGIO LIMA/ARQUIVO DA EDITORA</v>
      </c>
      <c r="AA264" s="22">
        <v>13</v>
      </c>
      <c r="AB264" s="20" t="s">
        <v>2058</v>
      </c>
      <c r="AC264" s="20" t="s">
        <v>36</v>
      </c>
      <c r="AD264" s="4" t="str">
        <f>"Pitanguá"</f>
        <v>Pitanguá</v>
      </c>
      <c r="AE264" s="14" t="str">
        <f>"Matemática"</f>
        <v>Matemática</v>
      </c>
    </row>
    <row r="265" spans="1:31" s="14" customFormat="1" x14ac:dyDescent="0.3">
      <c r="A265" s="23" t="s">
        <v>118</v>
      </c>
      <c r="B265" s="20" t="s">
        <v>6</v>
      </c>
      <c r="C265" s="20" t="s">
        <v>89</v>
      </c>
      <c r="D265" s="20" t="s">
        <v>8</v>
      </c>
      <c r="E265" s="22">
        <v>32</v>
      </c>
      <c r="F265" s="22">
        <v>1</v>
      </c>
      <c r="G265" s="22">
        <v>1</v>
      </c>
      <c r="H265" s="22"/>
      <c r="I265" s="23" t="s">
        <v>90</v>
      </c>
      <c r="J265" s="23"/>
      <c r="K265" s="22"/>
      <c r="L265" s="22"/>
      <c r="M265" s="23"/>
      <c r="N265" s="23"/>
      <c r="O265" s="26" t="s">
        <v>119</v>
      </c>
      <c r="P265" s="26" t="s">
        <v>120</v>
      </c>
      <c r="Q265" s="22">
        <v>1</v>
      </c>
      <c r="R265" s="24">
        <v>45722</v>
      </c>
      <c r="S265" s="24">
        <v>45722</v>
      </c>
      <c r="T265" s="24"/>
      <c r="U265" s="24"/>
      <c r="V265" s="24">
        <v>45723</v>
      </c>
      <c r="W265" s="22" t="s">
        <v>92</v>
      </c>
      <c r="X265" s="4" t="str">
        <f>IF(Tabela2[[#This Row],[sigla]]="","",VLOOKUP(Tabela2[[#This Row],[sigla]],créditos_base!B:C,2,0))</f>
        <v>BRUNA CAMPOS/ARQUIVO DA EDITORA</v>
      </c>
      <c r="Y265" s="23"/>
      <c r="Z265" s="23" t="str">
        <f>Tabela2[[#This Row],[ilustrador]]</f>
        <v>BRUNA CAMPOS/ARQUIVO DA EDITORA</v>
      </c>
      <c r="AA265" s="22">
        <v>8</v>
      </c>
      <c r="AB265" s="20"/>
      <c r="AC265" s="20" t="s">
        <v>36</v>
      </c>
      <c r="AD265" s="4" t="str">
        <f>"Pitanguá"</f>
        <v>Pitanguá</v>
      </c>
      <c r="AE265" s="14" t="str">
        <f>"Matemática"</f>
        <v>Matemática</v>
      </c>
    </row>
    <row r="266" spans="1:31" s="14" customFormat="1" ht="43.2" x14ac:dyDescent="0.3">
      <c r="A266" s="23" t="s">
        <v>121</v>
      </c>
      <c r="B266" s="20" t="s">
        <v>16</v>
      </c>
      <c r="C266" s="20" t="s">
        <v>89</v>
      </c>
      <c r="D266" s="20" t="s">
        <v>8</v>
      </c>
      <c r="E266" s="22">
        <v>32</v>
      </c>
      <c r="F266" s="22">
        <v>1</v>
      </c>
      <c r="G266" s="22">
        <v>1</v>
      </c>
      <c r="H266" s="22"/>
      <c r="I266" s="23" t="s">
        <v>90</v>
      </c>
      <c r="J266" s="23"/>
      <c r="K266" s="22"/>
      <c r="L266" s="22"/>
      <c r="M266" s="23"/>
      <c r="N266" s="23"/>
      <c r="O266" s="26" t="s">
        <v>122</v>
      </c>
      <c r="P266" s="26"/>
      <c r="Q266" s="22">
        <v>1</v>
      </c>
      <c r="R266" s="24">
        <v>45722</v>
      </c>
      <c r="S266" s="24">
        <v>45722</v>
      </c>
      <c r="T266" s="24"/>
      <c r="U266" s="24"/>
      <c r="V266" s="24">
        <v>45723</v>
      </c>
      <c r="W266" s="22" t="s">
        <v>92</v>
      </c>
      <c r="X266" s="4" t="str">
        <f>IF(Tabela2[[#This Row],[sigla]]="","",VLOOKUP(Tabela2[[#This Row],[sigla]],créditos_base!B:C,2,0))</f>
        <v>BRUNA CAMPOS/ARQUIVO DA EDITORA</v>
      </c>
      <c r="Y266" s="23"/>
      <c r="Z266" s="23" t="str">
        <f>Tabela2[[#This Row],[ilustrador]]</f>
        <v>BRUNA CAMPOS/ARQUIVO DA EDITORA</v>
      </c>
      <c r="AA266" s="22">
        <v>8</v>
      </c>
      <c r="AB266" s="20"/>
      <c r="AC266" s="20" t="s">
        <v>36</v>
      </c>
      <c r="AD266" s="4" t="str">
        <f>"Pitanguá"</f>
        <v>Pitanguá</v>
      </c>
      <c r="AE266" s="14" t="str">
        <f>"Matemática"</f>
        <v>Matemática</v>
      </c>
    </row>
    <row r="267" spans="1:31" s="14" customFormat="1" x14ac:dyDescent="0.3">
      <c r="A267" s="23" t="s">
        <v>131</v>
      </c>
      <c r="B267" s="20" t="s">
        <v>6</v>
      </c>
      <c r="C267" s="20" t="s">
        <v>89</v>
      </c>
      <c r="D267" s="20" t="s">
        <v>8</v>
      </c>
      <c r="E267" s="22">
        <v>33</v>
      </c>
      <c r="F267" s="22">
        <v>1</v>
      </c>
      <c r="G267" s="22">
        <v>1</v>
      </c>
      <c r="H267" s="22"/>
      <c r="I267" s="23" t="s">
        <v>9</v>
      </c>
      <c r="J267" s="23"/>
      <c r="K267" s="22"/>
      <c r="L267" s="22"/>
      <c r="M267" s="23"/>
      <c r="N267" s="23"/>
      <c r="O267" s="26" t="s">
        <v>132</v>
      </c>
      <c r="P267" s="26"/>
      <c r="Q267" s="22"/>
      <c r="R267" s="24"/>
      <c r="S267" s="24"/>
      <c r="T267" s="24"/>
      <c r="U267" s="24"/>
      <c r="V267" s="24"/>
      <c r="W267" s="22" t="s">
        <v>133</v>
      </c>
      <c r="X267" s="4" t="str">
        <f>IF(Tabela2[[#This Row],[sigla]]="","",VLOOKUP(Tabela2[[#This Row],[sigla]],créditos_base!B:C,2,0))</f>
        <v>JANAINA OLIVEIRA/ARQUIVO DA EDITORA</v>
      </c>
      <c r="Y267" s="23"/>
      <c r="Z267" s="23" t="str">
        <f>Tabela2[[#This Row],[ilustrador]]</f>
        <v>JANAINA OLIVEIRA/ARQUIVO DA EDITORA</v>
      </c>
      <c r="AA267" s="22"/>
      <c r="AB267" s="20"/>
      <c r="AC267" s="20"/>
      <c r="AD267" s="4" t="str">
        <f>"Pitanguá"</f>
        <v>Pitanguá</v>
      </c>
      <c r="AE267" s="14" t="str">
        <f>"Matemática"</f>
        <v>Matemática</v>
      </c>
    </row>
    <row r="268" spans="1:31" s="14" customFormat="1" x14ac:dyDescent="0.3">
      <c r="A268" s="23" t="s">
        <v>1222</v>
      </c>
      <c r="B268" s="20" t="s">
        <v>16</v>
      </c>
      <c r="C268" s="20" t="s">
        <v>7</v>
      </c>
      <c r="D268" s="20" t="s">
        <v>8</v>
      </c>
      <c r="E268" s="22"/>
      <c r="F268" s="22">
        <v>2</v>
      </c>
      <c r="G268" s="22">
        <v>1</v>
      </c>
      <c r="H268" s="22"/>
      <c r="I268" s="23" t="s">
        <v>9</v>
      </c>
      <c r="J268" s="23"/>
      <c r="K268" s="22"/>
      <c r="L268" s="22"/>
      <c r="M268" s="23"/>
      <c r="N268" s="23"/>
      <c r="O268" s="26" t="s">
        <v>1223</v>
      </c>
      <c r="P268" s="26"/>
      <c r="Q268" s="22"/>
      <c r="R268" s="24"/>
      <c r="S268" s="24"/>
      <c r="T268" s="24"/>
      <c r="U268" s="24"/>
      <c r="V268" s="24"/>
      <c r="W268" s="22" t="s">
        <v>87</v>
      </c>
      <c r="X268" s="4" t="str">
        <f>IF(Tabela2[[#This Row],[sigla]]="","",VLOOKUP(Tabela2[[#This Row],[sigla]],créditos_base!B:C,2,0))</f>
        <v>CHRIS BORGES/ARQUIVO DA EDITORA</v>
      </c>
      <c r="Y268" s="23"/>
      <c r="Z268" s="23" t="str">
        <f>Tabela2[[#This Row],[ilustrador]]</f>
        <v>CHRIS BORGES/ARQUIVO DA EDITORA</v>
      </c>
      <c r="AA268" s="22"/>
      <c r="AB268" s="20"/>
      <c r="AC268" s="20"/>
      <c r="AD268" s="4" t="str">
        <f>"Pitanguá"</f>
        <v>Pitanguá</v>
      </c>
      <c r="AE268" s="14" t="str">
        <f>"Matemática"</f>
        <v>Matemática</v>
      </c>
    </row>
    <row r="269" spans="1:31" s="14" customFormat="1" ht="28.8" x14ac:dyDescent="0.3">
      <c r="A269" s="23" t="s">
        <v>4802</v>
      </c>
      <c r="B269" s="20" t="s">
        <v>16</v>
      </c>
      <c r="C269" s="20" t="s">
        <v>7</v>
      </c>
      <c r="D269" s="20" t="s">
        <v>8</v>
      </c>
      <c r="E269" s="22">
        <v>53</v>
      </c>
      <c r="F269" s="22">
        <v>3</v>
      </c>
      <c r="G269" s="22">
        <v>1</v>
      </c>
      <c r="H269" s="22"/>
      <c r="I269" s="23" t="s">
        <v>33</v>
      </c>
      <c r="J269" s="23"/>
      <c r="K269" s="22"/>
      <c r="L269" s="22"/>
      <c r="M269" s="23"/>
      <c r="N269" s="23"/>
      <c r="O269" s="26" t="s">
        <v>4803</v>
      </c>
      <c r="P269" s="20"/>
      <c r="Q269" s="22">
        <v>78</v>
      </c>
      <c r="R269" s="24">
        <v>45820</v>
      </c>
      <c r="S269" s="24">
        <v>45832</v>
      </c>
      <c r="T269" s="24"/>
      <c r="U269" s="24"/>
      <c r="V269" s="24">
        <v>45832</v>
      </c>
      <c r="W269" s="22" t="s">
        <v>12</v>
      </c>
      <c r="X269" s="4" t="str">
        <f>IF(Tabela2[[#This Row],[sigla]]="","",VLOOKUP(Tabela2[[#This Row],[sigla]],créditos_base!B:C,2,0))</f>
        <v>JORGE ZAIBA/ARQUIVO DA EDITORA</v>
      </c>
      <c r="Y269" s="23" t="s">
        <v>880</v>
      </c>
      <c r="Z269" s="23" t="str">
        <f>Tabela2[[#This Row],[ilustrador]]</f>
        <v>JORGE ZAIBA/ARQUIVO DA EDITORA</v>
      </c>
      <c r="AA269" s="22"/>
      <c r="AB269" s="20" t="s">
        <v>244</v>
      </c>
      <c r="AC269" s="20" t="s">
        <v>36</v>
      </c>
      <c r="AD269" s="4" t="str">
        <f>"Pitanguá"</f>
        <v>Pitanguá</v>
      </c>
      <c r="AE269" s="14" t="str">
        <f>"Matemática"</f>
        <v>Matemática</v>
      </c>
    </row>
    <row r="270" spans="1:31" s="14" customFormat="1" ht="28.8" x14ac:dyDescent="0.3">
      <c r="A270" s="23" t="s">
        <v>1224</v>
      </c>
      <c r="B270" s="20" t="s">
        <v>16</v>
      </c>
      <c r="C270" s="20" t="s">
        <v>7</v>
      </c>
      <c r="D270" s="20" t="s">
        <v>8</v>
      </c>
      <c r="E270" s="22"/>
      <c r="F270" s="22">
        <v>2</v>
      </c>
      <c r="G270" s="22">
        <v>1</v>
      </c>
      <c r="H270" s="22"/>
      <c r="I270" s="23" t="s">
        <v>9</v>
      </c>
      <c r="J270" s="23"/>
      <c r="K270" s="22"/>
      <c r="L270" s="22"/>
      <c r="M270" s="23"/>
      <c r="N270" s="23"/>
      <c r="O270" s="26" t="s">
        <v>1225</v>
      </c>
      <c r="P270" s="26"/>
      <c r="Q270" s="22"/>
      <c r="R270" s="24"/>
      <c r="S270" s="24"/>
      <c r="T270" s="24"/>
      <c r="U270" s="24"/>
      <c r="V270" s="24"/>
      <c r="W270" s="22" t="s">
        <v>468</v>
      </c>
      <c r="X270" s="4" t="str">
        <f>IF(Tabela2[[#This Row],[sigla]]="","",VLOOKUP(Tabela2[[#This Row],[sigla]],créditos_base!B:C,2,0))</f>
        <v>VER DOCUMENTO DE ILS. TÉCNICAS</v>
      </c>
      <c r="Y270" s="23"/>
      <c r="Z270" s="23" t="s">
        <v>469</v>
      </c>
      <c r="AA270" s="22"/>
      <c r="AB270" s="20"/>
      <c r="AC270" s="20"/>
      <c r="AD270" s="4" t="str">
        <f>"Pitanguá"</f>
        <v>Pitanguá</v>
      </c>
      <c r="AE270" s="14" t="str">
        <f>"Matemática"</f>
        <v>Matemática</v>
      </c>
    </row>
    <row r="271" spans="1:31" s="14" customFormat="1" ht="28.8" x14ac:dyDescent="0.3">
      <c r="A271" s="23" t="s">
        <v>823</v>
      </c>
      <c r="B271" s="20" t="s">
        <v>16</v>
      </c>
      <c r="C271" s="20" t="s">
        <v>7</v>
      </c>
      <c r="D271" s="20" t="s">
        <v>8</v>
      </c>
      <c r="E271" s="22">
        <v>12</v>
      </c>
      <c r="F271" s="22">
        <v>1</v>
      </c>
      <c r="G271" s="22"/>
      <c r="H271" s="22" t="s">
        <v>736</v>
      </c>
      <c r="I271" s="23" t="s">
        <v>9</v>
      </c>
      <c r="J271" s="23"/>
      <c r="K271" s="22"/>
      <c r="L271" s="22"/>
      <c r="M271" s="23"/>
      <c r="N271" s="23"/>
      <c r="O271" s="26" t="s">
        <v>824</v>
      </c>
      <c r="P271" s="20"/>
      <c r="Q271" s="22"/>
      <c r="R271" s="24"/>
      <c r="S271" s="24"/>
      <c r="T271" s="24"/>
      <c r="U271" s="24"/>
      <c r="V271" s="24"/>
      <c r="W271" s="22" t="s">
        <v>12</v>
      </c>
      <c r="X271" s="4" t="str">
        <f>IF(Tabela2[[#This Row],[sigla]]="","",VLOOKUP(Tabela2[[#This Row],[sigla]],créditos_base!B:C,2,0))</f>
        <v>JORGE ZAIBA/ARQUIVO DA EDITORA</v>
      </c>
      <c r="Y271" s="23"/>
      <c r="Z271" s="23" t="str">
        <f>Tabela2[[#This Row],[ilustrador]]</f>
        <v>JORGE ZAIBA/ARQUIVO DA EDITORA</v>
      </c>
      <c r="AA271" s="22"/>
      <c r="AB271" s="20"/>
      <c r="AC271" s="20"/>
      <c r="AD271" s="4" t="str">
        <f>"Pitanguá"</f>
        <v>Pitanguá</v>
      </c>
      <c r="AE271" s="14" t="str">
        <f>"Matemática"</f>
        <v>Matemática</v>
      </c>
    </row>
    <row r="272" spans="1:31" s="14" customFormat="1" ht="28.8" x14ac:dyDescent="0.3">
      <c r="A272" s="23" t="s">
        <v>1226</v>
      </c>
      <c r="B272" s="20" t="s">
        <v>16</v>
      </c>
      <c r="C272" s="20" t="s">
        <v>7</v>
      </c>
      <c r="D272" s="20" t="s">
        <v>8</v>
      </c>
      <c r="E272" s="22"/>
      <c r="F272" s="22">
        <v>2</v>
      </c>
      <c r="G272" s="22">
        <v>1</v>
      </c>
      <c r="H272" s="22"/>
      <c r="I272" s="23" t="s">
        <v>33</v>
      </c>
      <c r="J272" s="23"/>
      <c r="K272" s="22"/>
      <c r="L272" s="22"/>
      <c r="M272" s="23"/>
      <c r="N272" s="23"/>
      <c r="O272" s="26" t="s">
        <v>1227</v>
      </c>
      <c r="P272" s="26"/>
      <c r="Q272" s="22">
        <v>13</v>
      </c>
      <c r="R272" s="24">
        <v>45743</v>
      </c>
      <c r="S272" s="24">
        <v>45743</v>
      </c>
      <c r="T272" s="24"/>
      <c r="U272" s="24"/>
      <c r="V272" s="24">
        <v>45743</v>
      </c>
      <c r="W272" s="22" t="s">
        <v>546</v>
      </c>
      <c r="X272" s="4" t="str">
        <f>IF(Tabela2[[#This Row],[sigla]]="","",VLOOKUP(Tabela2[[#This Row],[sigla]],créditos_base!B:C,2,0))</f>
        <v>GUILHERME ARANEGA/ARQUIVO DA EDITORA</v>
      </c>
      <c r="Y272" s="23" t="s">
        <v>813</v>
      </c>
      <c r="Z272" s="23" t="str">
        <f>Tabela2[[#This Row],[ilustrador]]</f>
        <v>GUILHERME ARANEGA/ARQUIVO DA EDITORA</v>
      </c>
      <c r="AA272" s="22">
        <v>13</v>
      </c>
      <c r="AB272" s="20" t="s">
        <v>153</v>
      </c>
      <c r="AC272" s="20" t="s">
        <v>36</v>
      </c>
      <c r="AD272" s="4" t="str">
        <f>"Pitanguá"</f>
        <v>Pitanguá</v>
      </c>
      <c r="AE272" s="14" t="str">
        <f>"Matemática"</f>
        <v>Matemática</v>
      </c>
    </row>
    <row r="273" spans="1:31" s="14" customFormat="1" ht="28.8" x14ac:dyDescent="0.3">
      <c r="A273" s="23" t="s">
        <v>825</v>
      </c>
      <c r="B273" s="20" t="s">
        <v>16</v>
      </c>
      <c r="C273" s="20" t="s">
        <v>7</v>
      </c>
      <c r="D273" s="20" t="s">
        <v>8</v>
      </c>
      <c r="E273" s="22">
        <v>12</v>
      </c>
      <c r="F273" s="22">
        <v>1</v>
      </c>
      <c r="G273" s="22"/>
      <c r="H273" s="22" t="s">
        <v>736</v>
      </c>
      <c r="I273" s="23" t="s">
        <v>33</v>
      </c>
      <c r="J273" s="23"/>
      <c r="K273" s="22"/>
      <c r="L273" s="22"/>
      <c r="M273" s="23"/>
      <c r="N273" s="23"/>
      <c r="O273" s="26" t="s">
        <v>826</v>
      </c>
      <c r="P273" s="26"/>
      <c r="Q273" s="22">
        <v>44</v>
      </c>
      <c r="R273" s="24">
        <v>45785</v>
      </c>
      <c r="S273" s="24">
        <v>45786</v>
      </c>
      <c r="T273" s="24"/>
      <c r="U273" s="24"/>
      <c r="V273" s="24">
        <v>45786</v>
      </c>
      <c r="W273" s="22" t="s">
        <v>31</v>
      </c>
      <c r="X273" s="4" t="str">
        <f>IF(Tabela2[[#This Row],[sigla]]="","",VLOOKUP(Tabela2[[#This Row],[sigla]],créditos_base!B:C,2,0))</f>
        <v>SILVIA OTOFUJI/ARQUIVO DA EDITORA</v>
      </c>
      <c r="Y273" s="23" t="s">
        <v>152</v>
      </c>
      <c r="Z273" s="23" t="str">
        <f>Tabela2[[#This Row],[ilustrador]]</f>
        <v>SILVIA OTOFUJI/ARQUIVO DA EDITORA</v>
      </c>
      <c r="AA273" s="22">
        <v>13</v>
      </c>
      <c r="AB273" s="20" t="s">
        <v>153</v>
      </c>
      <c r="AC273" s="20" t="s">
        <v>36</v>
      </c>
      <c r="AD273" s="4" t="str">
        <f>"Pitanguá"</f>
        <v>Pitanguá</v>
      </c>
      <c r="AE273" s="14" t="str">
        <f>"Matemática"</f>
        <v>Matemática</v>
      </c>
    </row>
    <row r="274" spans="1:31" s="14" customFormat="1" ht="28.8" x14ac:dyDescent="0.3">
      <c r="A274" s="23" t="s">
        <v>1866</v>
      </c>
      <c r="B274" s="20" t="s">
        <v>16</v>
      </c>
      <c r="C274" s="20" t="s">
        <v>7</v>
      </c>
      <c r="D274" s="20" t="s">
        <v>8</v>
      </c>
      <c r="E274" s="22">
        <v>32</v>
      </c>
      <c r="F274" s="22">
        <v>3</v>
      </c>
      <c r="G274" s="22">
        <v>1</v>
      </c>
      <c r="H274" s="22"/>
      <c r="I274" s="23" t="s">
        <v>33</v>
      </c>
      <c r="J274" s="23"/>
      <c r="K274" s="22"/>
      <c r="L274" s="22"/>
      <c r="M274" s="23"/>
      <c r="N274" s="23"/>
      <c r="O274" s="26" t="s">
        <v>1867</v>
      </c>
      <c r="P274" s="26"/>
      <c r="Q274" s="22">
        <v>22</v>
      </c>
      <c r="R274" s="24">
        <v>45750</v>
      </c>
      <c r="S274" s="24">
        <v>45750</v>
      </c>
      <c r="T274" s="24"/>
      <c r="U274" s="24"/>
      <c r="V274" s="24">
        <v>45750</v>
      </c>
      <c r="W274" s="22" t="s">
        <v>31</v>
      </c>
      <c r="X274" s="4" t="str">
        <f>IF(Tabela2[[#This Row],[sigla]]="","",VLOOKUP(Tabela2[[#This Row],[sigla]],créditos_base!B:C,2,0))</f>
        <v>SILVIA OTOFUJI/ARQUIVO DA EDITORA</v>
      </c>
      <c r="Y274" s="23" t="s">
        <v>152</v>
      </c>
      <c r="Z274" s="23" t="str">
        <f>Tabela2[[#This Row],[ilustrador]]</f>
        <v>SILVIA OTOFUJI/ARQUIVO DA EDITORA</v>
      </c>
      <c r="AA274" s="22">
        <v>14</v>
      </c>
      <c r="AB274" s="20" t="s">
        <v>41</v>
      </c>
      <c r="AC274" s="20" t="s">
        <v>36</v>
      </c>
      <c r="AD274" s="4" t="str">
        <f>"Pitanguá"</f>
        <v>Pitanguá</v>
      </c>
      <c r="AE274" s="14" t="str">
        <f>"Matemática"</f>
        <v>Matemática</v>
      </c>
    </row>
    <row r="275" spans="1:31" s="14" customFormat="1" ht="28.8" x14ac:dyDescent="0.3">
      <c r="A275" s="23" t="s">
        <v>827</v>
      </c>
      <c r="B275" s="20" t="s">
        <v>16</v>
      </c>
      <c r="C275" s="20" t="s">
        <v>7</v>
      </c>
      <c r="D275" s="20" t="s">
        <v>8</v>
      </c>
      <c r="E275" s="22">
        <v>13</v>
      </c>
      <c r="F275" s="22">
        <v>1</v>
      </c>
      <c r="G275" s="22"/>
      <c r="H275" s="22" t="s">
        <v>736</v>
      </c>
      <c r="I275" s="23" t="s">
        <v>9</v>
      </c>
      <c r="J275" s="23"/>
      <c r="K275" s="22"/>
      <c r="L275" s="22"/>
      <c r="M275" s="23"/>
      <c r="N275" s="23"/>
      <c r="O275" s="26" t="s">
        <v>828</v>
      </c>
      <c r="P275" s="26"/>
      <c r="Q275" s="22"/>
      <c r="R275" s="24"/>
      <c r="S275" s="24"/>
      <c r="T275" s="24"/>
      <c r="U275" s="24"/>
      <c r="V275" s="24"/>
      <c r="W275" s="22" t="s">
        <v>72</v>
      </c>
      <c r="X275" s="4" t="str">
        <f>IF(Tabela2[[#This Row],[sigla]]="","",VLOOKUP(Tabela2[[#This Row],[sigla]],créditos_base!B:C,2,0))</f>
        <v>HELOÍSA PINTARELLI/ARQUIVO DA EDITORA</v>
      </c>
      <c r="Y275" s="23"/>
      <c r="Z275" s="23" t="str">
        <f>Tabela2[[#This Row],[ilustrador]]</f>
        <v>HELOÍSA PINTARELLI/ARQUIVO DA EDITORA</v>
      </c>
      <c r="AA275" s="22"/>
      <c r="AB275" s="20"/>
      <c r="AC275" s="20"/>
      <c r="AD275" s="4" t="str">
        <f>"Pitanguá"</f>
        <v>Pitanguá</v>
      </c>
      <c r="AE275" s="14" t="str">
        <f>"Matemática"</f>
        <v>Matemática</v>
      </c>
    </row>
    <row r="276" spans="1:31" s="14" customFormat="1" ht="28.8" x14ac:dyDescent="0.3">
      <c r="A276" s="23" t="s">
        <v>1231</v>
      </c>
      <c r="B276" s="20" t="s">
        <v>16</v>
      </c>
      <c r="C276" s="20" t="s">
        <v>89</v>
      </c>
      <c r="D276" s="20" t="s">
        <v>8</v>
      </c>
      <c r="E276" s="22"/>
      <c r="F276" s="22">
        <v>2</v>
      </c>
      <c r="G276" s="22">
        <v>1</v>
      </c>
      <c r="H276" s="22"/>
      <c r="I276" s="23" t="s">
        <v>33</v>
      </c>
      <c r="J276" s="23"/>
      <c r="K276" s="22"/>
      <c r="L276" s="22"/>
      <c r="M276" s="23"/>
      <c r="N276" s="23"/>
      <c r="O276" s="26" t="s">
        <v>1232</v>
      </c>
      <c r="P276" s="26"/>
      <c r="Q276" s="22">
        <v>52</v>
      </c>
      <c r="R276" s="24">
        <v>45803</v>
      </c>
      <c r="S276" s="24">
        <v>45805</v>
      </c>
      <c r="T276" s="24"/>
      <c r="U276" s="24"/>
      <c r="V276" s="24">
        <v>45805</v>
      </c>
      <c r="W276" s="22" t="s">
        <v>223</v>
      </c>
      <c r="X276" s="4" t="str">
        <f>IF(Tabela2[[#This Row],[sigla]]="","",VLOOKUP(Tabela2[[#This Row],[sigla]],créditos_base!B:C,2,0))</f>
        <v>NATANAELE BILMAIA/ARQUIVO DA EDITORA</v>
      </c>
      <c r="Y276" s="23" t="s">
        <v>188</v>
      </c>
      <c r="Z276" s="23" t="str">
        <f>Tabela2[[#This Row],[ilustrador]]</f>
        <v>NATANAELE BILMAIA/ARQUIVO DA EDITORA</v>
      </c>
      <c r="AA276" s="22">
        <v>14</v>
      </c>
      <c r="AB276" s="20" t="s">
        <v>153</v>
      </c>
      <c r="AC276" s="20" t="s">
        <v>36</v>
      </c>
      <c r="AD276" s="4" t="str">
        <f>"Pitanguá"</f>
        <v>Pitanguá</v>
      </c>
      <c r="AE276" s="14" t="str">
        <f>"Matemática"</f>
        <v>Matemática</v>
      </c>
    </row>
    <row r="277" spans="1:31" s="14" customFormat="1" ht="86.4" x14ac:dyDescent="0.3">
      <c r="A277" s="23" t="s">
        <v>1868</v>
      </c>
      <c r="B277" s="20" t="s">
        <v>16</v>
      </c>
      <c r="C277" s="20" t="s">
        <v>7</v>
      </c>
      <c r="D277" s="20" t="s">
        <v>8</v>
      </c>
      <c r="E277" s="22">
        <v>32</v>
      </c>
      <c r="F277" s="22">
        <v>3</v>
      </c>
      <c r="G277" s="22">
        <v>1</v>
      </c>
      <c r="H277" s="22"/>
      <c r="I277" s="23" t="s">
        <v>33</v>
      </c>
      <c r="J277" s="23"/>
      <c r="K277" s="22"/>
      <c r="L277" s="22"/>
      <c r="M277" s="23"/>
      <c r="N277" s="23"/>
      <c r="O277" s="26" t="s">
        <v>1869</v>
      </c>
      <c r="P277" s="26"/>
      <c r="Q277" s="22">
        <v>22</v>
      </c>
      <c r="R277" s="24">
        <v>45750</v>
      </c>
      <c r="S277" s="24">
        <v>45750</v>
      </c>
      <c r="T277" s="24"/>
      <c r="U277" s="24"/>
      <c r="V277" s="24">
        <v>45750</v>
      </c>
      <c r="W277" s="22" t="s">
        <v>31</v>
      </c>
      <c r="X277" s="4" t="str">
        <f>IF(Tabela2[[#This Row],[sigla]]="","",VLOOKUP(Tabela2[[#This Row],[sigla]],créditos_base!B:C,2,0))</f>
        <v>SILVIA OTOFUJI/ARQUIVO DA EDITORA</v>
      </c>
      <c r="Y277" s="23" t="s">
        <v>152</v>
      </c>
      <c r="Z277" s="23" t="str">
        <f>Tabela2[[#This Row],[ilustrador]]</f>
        <v>SILVIA OTOFUJI/ARQUIVO DA EDITORA</v>
      </c>
      <c r="AA277" s="22">
        <v>14</v>
      </c>
      <c r="AB277" s="20" t="s">
        <v>41</v>
      </c>
      <c r="AC277" s="20" t="s">
        <v>36</v>
      </c>
      <c r="AD277" s="4" t="str">
        <f>"Pitanguá"</f>
        <v>Pitanguá</v>
      </c>
      <c r="AE277" s="14" t="str">
        <f>"Matemática"</f>
        <v>Matemática</v>
      </c>
    </row>
    <row r="278" spans="1:31" s="14" customFormat="1" x14ac:dyDescent="0.3">
      <c r="A278" s="23" t="s">
        <v>5005</v>
      </c>
      <c r="B278" s="20" t="s">
        <v>16</v>
      </c>
      <c r="C278" s="20" t="s">
        <v>7</v>
      </c>
      <c r="D278" s="20" t="s">
        <v>8</v>
      </c>
      <c r="E278" s="22">
        <v>38</v>
      </c>
      <c r="F278" s="22">
        <v>4</v>
      </c>
      <c r="G278" s="22">
        <v>1</v>
      </c>
      <c r="H278" s="22"/>
      <c r="I278" s="23" t="s">
        <v>90</v>
      </c>
      <c r="J278" s="23"/>
      <c r="K278" s="22"/>
      <c r="L278" s="22"/>
      <c r="M278" s="23"/>
      <c r="N278" s="23"/>
      <c r="O278" s="26" t="s">
        <v>5006</v>
      </c>
      <c r="P278" s="26"/>
      <c r="Q278" s="22">
        <v>91</v>
      </c>
      <c r="R278" s="24">
        <v>45840</v>
      </c>
      <c r="S278" s="24">
        <v>45849</v>
      </c>
      <c r="T278" s="24"/>
      <c r="U278" s="24"/>
      <c r="V278" s="24">
        <v>45853</v>
      </c>
      <c r="W278" s="22" t="s">
        <v>425</v>
      </c>
      <c r="X278" s="4" t="str">
        <f>IF(Tabela2[[#This Row],[sigla]]="","",VLOOKUP(Tabela2[[#This Row],[sigla]],créditos_base!B:C,2,0))</f>
        <v>BÁRBARA SARZI/ARQUIVO DA EDITORA</v>
      </c>
      <c r="Y278" s="23" t="s">
        <v>4893</v>
      </c>
      <c r="Z278" s="23" t="s">
        <v>469</v>
      </c>
      <c r="AA278" s="22">
        <v>8</v>
      </c>
      <c r="AB278" s="20" t="s">
        <v>4986</v>
      </c>
      <c r="AC278" s="20" t="s">
        <v>310</v>
      </c>
      <c r="AD278" s="4" t="str">
        <f>"Pitanguá"</f>
        <v>Pitanguá</v>
      </c>
      <c r="AE278" s="14" t="str">
        <f>"Matemática"</f>
        <v>Matemática</v>
      </c>
    </row>
    <row r="279" spans="1:31" s="14" customFormat="1" ht="28.8" x14ac:dyDescent="0.3">
      <c r="A279" s="23" t="s">
        <v>829</v>
      </c>
      <c r="B279" s="20" t="s">
        <v>6</v>
      </c>
      <c r="C279" s="20" t="s">
        <v>7</v>
      </c>
      <c r="D279" s="20" t="s">
        <v>8</v>
      </c>
      <c r="E279" s="22">
        <v>13</v>
      </c>
      <c r="F279" s="22">
        <v>1</v>
      </c>
      <c r="G279" s="22"/>
      <c r="H279" s="22" t="s">
        <v>736</v>
      </c>
      <c r="I279" s="23" t="s">
        <v>9</v>
      </c>
      <c r="J279" s="23"/>
      <c r="K279" s="22"/>
      <c r="L279" s="22"/>
      <c r="M279" s="23"/>
      <c r="N279" s="23"/>
      <c r="O279" s="26" t="s">
        <v>830</v>
      </c>
      <c r="P279" s="26"/>
      <c r="Q279" s="22"/>
      <c r="R279" s="24"/>
      <c r="S279" s="24"/>
      <c r="T279" s="24"/>
      <c r="U279" s="24"/>
      <c r="V279" s="24"/>
      <c r="W279" s="22" t="s">
        <v>72</v>
      </c>
      <c r="X279" s="4" t="str">
        <f>IF(Tabela2[[#This Row],[sigla]]="","",VLOOKUP(Tabela2[[#This Row],[sigla]],créditos_base!B:C,2,0))</f>
        <v>HELOÍSA PINTARELLI/ARQUIVO DA EDITORA</v>
      </c>
      <c r="Y279" s="23"/>
      <c r="Z279" s="23" t="s">
        <v>831</v>
      </c>
      <c r="AA279" s="22"/>
      <c r="AB279" s="20"/>
      <c r="AC279" s="20"/>
      <c r="AD279" s="4" t="str">
        <f>"Pitanguá"</f>
        <v>Pitanguá</v>
      </c>
      <c r="AE279" s="14" t="str">
        <f>"Matemática"</f>
        <v>Matemática</v>
      </c>
    </row>
    <row r="280" spans="1:31" s="14" customFormat="1" ht="28.8" x14ac:dyDescent="0.3">
      <c r="A280" s="23" t="s">
        <v>1233</v>
      </c>
      <c r="B280" s="20" t="s">
        <v>16</v>
      </c>
      <c r="C280" s="20" t="s">
        <v>89</v>
      </c>
      <c r="D280" s="20" t="s">
        <v>8</v>
      </c>
      <c r="E280" s="22"/>
      <c r="F280" s="22">
        <v>2</v>
      </c>
      <c r="G280" s="22">
        <v>1</v>
      </c>
      <c r="H280" s="22"/>
      <c r="I280" s="23" t="s">
        <v>33</v>
      </c>
      <c r="J280" s="23"/>
      <c r="K280" s="22"/>
      <c r="L280" s="22"/>
      <c r="M280" s="23"/>
      <c r="N280" s="23"/>
      <c r="O280" s="26" t="s">
        <v>1234</v>
      </c>
      <c r="P280" s="26"/>
      <c r="Q280" s="22">
        <v>52</v>
      </c>
      <c r="R280" s="24">
        <v>45803</v>
      </c>
      <c r="S280" s="24">
        <v>45805</v>
      </c>
      <c r="T280" s="24"/>
      <c r="U280" s="24"/>
      <c r="V280" s="24">
        <v>45805</v>
      </c>
      <c r="W280" s="22" t="s">
        <v>223</v>
      </c>
      <c r="X280" s="4" t="str">
        <f>IF(Tabela2[[#This Row],[sigla]]="","",VLOOKUP(Tabela2[[#This Row],[sigla]],créditos_base!B:C,2,0))</f>
        <v>NATANAELE BILMAIA/ARQUIVO DA EDITORA</v>
      </c>
      <c r="Y280" s="23" t="s">
        <v>188</v>
      </c>
      <c r="Z280" s="23" t="str">
        <f>Tabela2[[#This Row],[ilustrador]]</f>
        <v>NATANAELE BILMAIA/ARQUIVO DA EDITORA</v>
      </c>
      <c r="AA280" s="22">
        <v>14</v>
      </c>
      <c r="AB280" s="20" t="s">
        <v>153</v>
      </c>
      <c r="AC280" s="20" t="s">
        <v>36</v>
      </c>
      <c r="AD280" s="4" t="str">
        <f>"Pitanguá"</f>
        <v>Pitanguá</v>
      </c>
      <c r="AE280" s="14" t="str">
        <f>"Matemática"</f>
        <v>Matemática</v>
      </c>
    </row>
    <row r="281" spans="1:31" s="14" customFormat="1" x14ac:dyDescent="0.3">
      <c r="A281" s="23" t="s">
        <v>1870</v>
      </c>
      <c r="B281" s="20" t="s">
        <v>16</v>
      </c>
      <c r="C281" s="20" t="s">
        <v>89</v>
      </c>
      <c r="D281" s="20" t="s">
        <v>8</v>
      </c>
      <c r="E281" s="22">
        <v>34</v>
      </c>
      <c r="F281" s="22">
        <v>3</v>
      </c>
      <c r="G281" s="22">
        <v>1</v>
      </c>
      <c r="H281" s="22"/>
      <c r="I281" s="23" t="s">
        <v>9</v>
      </c>
      <c r="J281" s="23"/>
      <c r="K281" s="22"/>
      <c r="L281" s="22"/>
      <c r="M281" s="23"/>
      <c r="N281" s="23"/>
      <c r="O281" s="26" t="s">
        <v>1871</v>
      </c>
      <c r="P281" s="26"/>
      <c r="Q281" s="22"/>
      <c r="R281" s="24"/>
      <c r="S281" s="24"/>
      <c r="T281" s="24"/>
      <c r="U281" s="24"/>
      <c r="V281" s="24"/>
      <c r="W281" s="22" t="s">
        <v>160</v>
      </c>
      <c r="X281" s="4" t="str">
        <f>IF(Tabela2[[#This Row],[sigla]]="","",VLOOKUP(Tabela2[[#This Row],[sigla]],créditos_base!B:C,2,0))</f>
        <v>SERGIO LIMA/ARQUIVO DA EDITORA</v>
      </c>
      <c r="Y281" s="23"/>
      <c r="Z281" s="23" t="str">
        <f>Tabela2[[#This Row],[ilustrador]]</f>
        <v>SERGIO LIMA/ARQUIVO DA EDITORA</v>
      </c>
      <c r="AA281" s="22"/>
      <c r="AB281" s="20"/>
      <c r="AC281" s="20"/>
      <c r="AD281" s="4" t="str">
        <f>"Pitanguá"</f>
        <v>Pitanguá</v>
      </c>
      <c r="AE281" s="14" t="str">
        <f>"Matemática"</f>
        <v>Matemática</v>
      </c>
    </row>
    <row r="282" spans="1:31" s="14" customFormat="1" x14ac:dyDescent="0.3">
      <c r="A282" s="23" t="s">
        <v>5007</v>
      </c>
      <c r="B282" s="20" t="s">
        <v>16</v>
      </c>
      <c r="C282" s="20" t="s">
        <v>7</v>
      </c>
      <c r="D282" s="20" t="s">
        <v>8</v>
      </c>
      <c r="E282" s="22">
        <v>38</v>
      </c>
      <c r="F282" s="22">
        <v>4</v>
      </c>
      <c r="G282" s="22">
        <v>1</v>
      </c>
      <c r="H282" s="22"/>
      <c r="I282" s="23" t="s">
        <v>90</v>
      </c>
      <c r="J282" s="23"/>
      <c r="K282" s="22"/>
      <c r="L282" s="22"/>
      <c r="M282" s="23"/>
      <c r="N282" s="23"/>
      <c r="O282" s="26" t="s">
        <v>5008</v>
      </c>
      <c r="P282" s="26"/>
      <c r="Q282" s="22">
        <v>91</v>
      </c>
      <c r="R282" s="24">
        <v>45840</v>
      </c>
      <c r="S282" s="24">
        <v>45849</v>
      </c>
      <c r="T282" s="24"/>
      <c r="U282" s="24"/>
      <c r="V282" s="24">
        <v>45853</v>
      </c>
      <c r="W282" s="22" t="s">
        <v>72</v>
      </c>
      <c r="X282" s="4" t="str">
        <f>IF(Tabela2[[#This Row],[sigla]]="","",VLOOKUP(Tabela2[[#This Row],[sigla]],créditos_base!B:C,2,0))</f>
        <v>HELOÍSA PINTARELLI/ARQUIVO DA EDITORA</v>
      </c>
      <c r="Y282" s="23"/>
      <c r="Z282" s="23" t="s">
        <v>5009</v>
      </c>
      <c r="AA282" s="22">
        <v>12</v>
      </c>
      <c r="AB282" s="20" t="s">
        <v>4986</v>
      </c>
      <c r="AC282" s="20" t="s">
        <v>310</v>
      </c>
      <c r="AD282" s="4" t="str">
        <f>"Pitanguá"</f>
        <v>Pitanguá</v>
      </c>
      <c r="AE282" s="14" t="str">
        <f>"Matemática"</f>
        <v>Matemática</v>
      </c>
    </row>
    <row r="283" spans="1:31" s="14" customFormat="1" x14ac:dyDescent="0.3">
      <c r="A283" s="23" t="s">
        <v>1235</v>
      </c>
      <c r="B283" s="20" t="s">
        <v>16</v>
      </c>
      <c r="C283" s="20" t="s">
        <v>7</v>
      </c>
      <c r="D283" s="20" t="s">
        <v>8</v>
      </c>
      <c r="E283" s="22"/>
      <c r="F283" s="22">
        <v>2</v>
      </c>
      <c r="G283" s="22">
        <v>1</v>
      </c>
      <c r="H283" s="22"/>
      <c r="I283" s="23" t="s">
        <v>33</v>
      </c>
      <c r="J283" s="23"/>
      <c r="K283" s="22"/>
      <c r="L283" s="22"/>
      <c r="M283" s="23"/>
      <c r="N283" s="23"/>
      <c r="O283" s="26" t="s">
        <v>1236</v>
      </c>
      <c r="P283" s="26"/>
      <c r="Q283" s="22">
        <v>52</v>
      </c>
      <c r="R283" s="24">
        <v>45803</v>
      </c>
      <c r="S283" s="24">
        <v>45805</v>
      </c>
      <c r="T283" s="24"/>
      <c r="U283" s="24"/>
      <c r="V283" s="24">
        <v>45805</v>
      </c>
      <c r="W283" s="22" t="s">
        <v>31</v>
      </c>
      <c r="X283" s="4" t="str">
        <f>IF(Tabela2[[#This Row],[sigla]]="","",VLOOKUP(Tabela2[[#This Row],[sigla]],créditos_base!B:C,2,0))</f>
        <v>SILVIA OTOFUJI/ARQUIVO DA EDITORA</v>
      </c>
      <c r="Y283" s="23" t="s">
        <v>188</v>
      </c>
      <c r="Z283" s="23" t="str">
        <f>Tabela2[[#This Row],[ilustrador]]</f>
        <v>SILVIA OTOFUJI/ARQUIVO DA EDITORA</v>
      </c>
      <c r="AA283" s="22">
        <v>14</v>
      </c>
      <c r="AB283" s="20" t="s">
        <v>153</v>
      </c>
      <c r="AC283" s="20" t="s">
        <v>36</v>
      </c>
      <c r="AD283" s="4" t="str">
        <f>"Pitanguá"</f>
        <v>Pitanguá</v>
      </c>
      <c r="AE283" s="14" t="str">
        <f>"Matemática"</f>
        <v>Matemática</v>
      </c>
    </row>
    <row r="284" spans="1:31" s="14" customFormat="1" ht="28.8" x14ac:dyDescent="0.3">
      <c r="A284" s="23" t="s">
        <v>834</v>
      </c>
      <c r="B284" s="20" t="s">
        <v>16</v>
      </c>
      <c r="C284" s="20" t="s">
        <v>7</v>
      </c>
      <c r="D284" s="20" t="s">
        <v>8</v>
      </c>
      <c r="E284" s="22">
        <v>14</v>
      </c>
      <c r="F284" s="22">
        <v>1</v>
      </c>
      <c r="G284" s="22"/>
      <c r="H284" s="22" t="s">
        <v>736</v>
      </c>
      <c r="I284" s="23" t="s">
        <v>9</v>
      </c>
      <c r="J284" s="23"/>
      <c r="K284" s="22"/>
      <c r="L284" s="22"/>
      <c r="M284" s="23"/>
      <c r="N284" s="23"/>
      <c r="O284" s="26" t="s">
        <v>835</v>
      </c>
      <c r="P284" s="26"/>
      <c r="Q284" s="22"/>
      <c r="R284" s="24"/>
      <c r="S284" s="24"/>
      <c r="T284" s="24"/>
      <c r="U284" s="24"/>
      <c r="V284" s="24"/>
      <c r="W284" s="22" t="s">
        <v>133</v>
      </c>
      <c r="X284" s="4" t="str">
        <f>IF(Tabela2[[#This Row],[sigla]]="","",VLOOKUP(Tabela2[[#This Row],[sigla]],créditos_base!B:C,2,0))</f>
        <v>JANAINA OLIVEIRA/ARQUIVO DA EDITORA</v>
      </c>
      <c r="Y284" s="23"/>
      <c r="Z284" s="23" t="str">
        <f>Tabela2[[#This Row],[ilustrador]]</f>
        <v>JANAINA OLIVEIRA/ARQUIVO DA EDITORA</v>
      </c>
      <c r="AA284" s="22"/>
      <c r="AB284" s="20"/>
      <c r="AC284" s="20"/>
      <c r="AD284" s="4" t="str">
        <f>"Pitanguá"</f>
        <v>Pitanguá</v>
      </c>
      <c r="AE284" s="14" t="str">
        <f>"Matemática"</f>
        <v>Matemática</v>
      </c>
    </row>
    <row r="285" spans="1:31" s="14" customFormat="1" ht="28.8" x14ac:dyDescent="0.3">
      <c r="A285" s="23" t="s">
        <v>1237</v>
      </c>
      <c r="B285" s="20" t="s">
        <v>6</v>
      </c>
      <c r="C285" s="20" t="s">
        <v>7</v>
      </c>
      <c r="D285" s="20" t="s">
        <v>8</v>
      </c>
      <c r="E285" s="22"/>
      <c r="F285" s="22">
        <v>2</v>
      </c>
      <c r="G285" s="22">
        <v>1</v>
      </c>
      <c r="H285" s="22"/>
      <c r="I285" s="23" t="s">
        <v>33</v>
      </c>
      <c r="J285" s="23"/>
      <c r="K285" s="22"/>
      <c r="L285" s="22"/>
      <c r="M285" s="23"/>
      <c r="N285" s="23"/>
      <c r="O285" s="26" t="s">
        <v>1238</v>
      </c>
      <c r="P285" s="26" t="s">
        <v>1239</v>
      </c>
      <c r="Q285" s="22">
        <v>13</v>
      </c>
      <c r="R285" s="24">
        <v>45743</v>
      </c>
      <c r="S285" s="24">
        <v>45743</v>
      </c>
      <c r="T285" s="24"/>
      <c r="U285" s="24"/>
      <c r="V285" s="24">
        <v>45743</v>
      </c>
      <c r="W285" s="22" t="s">
        <v>31</v>
      </c>
      <c r="X285" s="4" t="str">
        <f>IF(Tabela2[[#This Row],[sigla]]="","",VLOOKUP(Tabela2[[#This Row],[sigla]],créditos_base!B:C,2,0))</f>
        <v>SILVIA OTOFUJI/ARQUIVO DA EDITORA</v>
      </c>
      <c r="Y285" s="23" t="s">
        <v>813</v>
      </c>
      <c r="Z285" s="23" t="str">
        <f>Tabela2[[#This Row],[ilustrador]]</f>
        <v>SILVIA OTOFUJI/ARQUIVO DA EDITORA</v>
      </c>
      <c r="AA285" s="22">
        <v>13</v>
      </c>
      <c r="AB285" s="20" t="s">
        <v>153</v>
      </c>
      <c r="AC285" s="20" t="s">
        <v>36</v>
      </c>
      <c r="AD285" s="4" t="str">
        <f>"Pitanguá"</f>
        <v>Pitanguá</v>
      </c>
      <c r="AE285" s="14" t="str">
        <f>"Matemática"</f>
        <v>Matemática</v>
      </c>
    </row>
    <row r="286" spans="1:31" s="14" customFormat="1" ht="28.8" x14ac:dyDescent="0.3">
      <c r="A286" s="23" t="s">
        <v>1872</v>
      </c>
      <c r="B286" s="20" t="s">
        <v>16</v>
      </c>
      <c r="C286" s="20" t="s">
        <v>89</v>
      </c>
      <c r="D286" s="20" t="s">
        <v>8</v>
      </c>
      <c r="E286" s="22">
        <v>36</v>
      </c>
      <c r="F286" s="22">
        <v>3</v>
      </c>
      <c r="G286" s="22">
        <v>1</v>
      </c>
      <c r="H286" s="22"/>
      <c r="I286" s="23" t="s">
        <v>9</v>
      </c>
      <c r="J286" s="23"/>
      <c r="K286" s="22"/>
      <c r="L286" s="22"/>
      <c r="M286" s="23"/>
      <c r="N286" s="23"/>
      <c r="O286" s="26" t="s">
        <v>1873</v>
      </c>
      <c r="P286" s="26"/>
      <c r="Q286" s="22"/>
      <c r="R286" s="24"/>
      <c r="S286" s="24"/>
      <c r="T286" s="24"/>
      <c r="U286" s="24"/>
      <c r="V286" s="24"/>
      <c r="W286" s="22" t="s">
        <v>160</v>
      </c>
      <c r="X286" s="4" t="str">
        <f>IF(Tabela2[[#This Row],[sigla]]="","",VLOOKUP(Tabela2[[#This Row],[sigla]],créditos_base!B:C,2,0))</f>
        <v>SERGIO LIMA/ARQUIVO DA EDITORA</v>
      </c>
      <c r="Y286" s="23"/>
      <c r="Z286" s="23" t="str">
        <f>Tabela2[[#This Row],[ilustrador]]</f>
        <v>SERGIO LIMA/ARQUIVO DA EDITORA</v>
      </c>
      <c r="AA286" s="22"/>
      <c r="AB286" s="20"/>
      <c r="AC286" s="20"/>
      <c r="AD286" s="4" t="str">
        <f>"Pitanguá"</f>
        <v>Pitanguá</v>
      </c>
      <c r="AE286" s="14" t="str">
        <f>"Matemática"</f>
        <v>Matemática</v>
      </c>
    </row>
    <row r="287" spans="1:31" s="14" customFormat="1" x14ac:dyDescent="0.3">
      <c r="A287" s="23" t="s">
        <v>5010</v>
      </c>
      <c r="B287" s="20" t="s">
        <v>16</v>
      </c>
      <c r="C287" s="20" t="s">
        <v>7</v>
      </c>
      <c r="D287" s="20" t="s">
        <v>8</v>
      </c>
      <c r="E287" s="22">
        <v>39</v>
      </c>
      <c r="F287" s="22">
        <v>4</v>
      </c>
      <c r="G287" s="22">
        <v>1</v>
      </c>
      <c r="H287" s="22"/>
      <c r="I287" s="23" t="s">
        <v>90</v>
      </c>
      <c r="J287" s="23"/>
      <c r="K287" s="22"/>
      <c r="L287" s="22"/>
      <c r="M287" s="23"/>
      <c r="N287" s="23"/>
      <c r="O287" s="26" t="s">
        <v>5011</v>
      </c>
      <c r="P287" s="26"/>
      <c r="Q287" s="22">
        <v>91</v>
      </c>
      <c r="R287" s="24">
        <v>45840</v>
      </c>
      <c r="S287" s="24">
        <v>45849</v>
      </c>
      <c r="T287" s="24"/>
      <c r="U287" s="24"/>
      <c r="V287" s="24">
        <v>45853</v>
      </c>
      <c r="W287" s="22" t="s">
        <v>428</v>
      </c>
      <c r="X287" s="4" t="str">
        <f>IF(Tabela2[[#This Row],[sigla]]="","",VLOOKUP(Tabela2[[#This Row],[sigla]],créditos_base!B:C,2,0))</f>
        <v>TAMIRES AZEVEDO/ARQUIVO DA EDITORA</v>
      </c>
      <c r="Y287" s="23" t="s">
        <v>4893</v>
      </c>
      <c r="Z287" s="23" t="s">
        <v>661</v>
      </c>
      <c r="AA287" s="22">
        <v>8</v>
      </c>
      <c r="AB287" s="20" t="s">
        <v>4986</v>
      </c>
      <c r="AC287" s="20" t="s">
        <v>310</v>
      </c>
      <c r="AD287" s="4" t="str">
        <f>"Pitanguá"</f>
        <v>Pitanguá</v>
      </c>
      <c r="AE287" s="14" t="str">
        <f>"Matemática"</f>
        <v>Matemática</v>
      </c>
    </row>
    <row r="288" spans="1:31" s="14" customFormat="1" ht="28.8" x14ac:dyDescent="0.3">
      <c r="A288" s="23" t="s">
        <v>836</v>
      </c>
      <c r="B288" s="20" t="s">
        <v>16</v>
      </c>
      <c r="C288" s="20" t="s">
        <v>7</v>
      </c>
      <c r="D288" s="20" t="s">
        <v>8</v>
      </c>
      <c r="E288" s="22">
        <v>14</v>
      </c>
      <c r="F288" s="22">
        <v>1</v>
      </c>
      <c r="G288" s="22"/>
      <c r="H288" s="22" t="s">
        <v>736</v>
      </c>
      <c r="I288" s="23" t="s">
        <v>9</v>
      </c>
      <c r="J288" s="23"/>
      <c r="K288" s="22"/>
      <c r="L288" s="22"/>
      <c r="M288" s="23"/>
      <c r="N288" s="23"/>
      <c r="O288" s="26" t="s">
        <v>837</v>
      </c>
      <c r="P288" s="26"/>
      <c r="Q288" s="22"/>
      <c r="R288" s="24"/>
      <c r="S288" s="24"/>
      <c r="T288" s="24"/>
      <c r="U288" s="24"/>
      <c r="V288" s="24"/>
      <c r="W288" s="22" t="s">
        <v>133</v>
      </c>
      <c r="X288" s="4" t="str">
        <f>IF(Tabela2[[#This Row],[sigla]]="","",VLOOKUP(Tabela2[[#This Row],[sigla]],créditos_base!B:C,2,0))</f>
        <v>JANAINA OLIVEIRA/ARQUIVO DA EDITORA</v>
      </c>
      <c r="Y288" s="23"/>
      <c r="Z288" s="23" t="str">
        <f>Tabela2[[#This Row],[ilustrador]]</f>
        <v>JANAINA OLIVEIRA/ARQUIVO DA EDITORA</v>
      </c>
      <c r="AA288" s="22"/>
      <c r="AB288" s="20"/>
      <c r="AC288" s="20"/>
      <c r="AD288" s="4" t="str">
        <f>"Pitanguá"</f>
        <v>Pitanguá</v>
      </c>
      <c r="AE288" s="14" t="str">
        <f>"Matemática"</f>
        <v>Matemática</v>
      </c>
    </row>
    <row r="289" spans="1:31" s="14" customFormat="1" x14ac:dyDescent="0.3">
      <c r="A289" s="23" t="s">
        <v>1874</v>
      </c>
      <c r="B289" s="20" t="s">
        <v>16</v>
      </c>
      <c r="C289" s="20" t="s">
        <v>7</v>
      </c>
      <c r="D289" s="20" t="s">
        <v>8</v>
      </c>
      <c r="E289" s="22">
        <v>36</v>
      </c>
      <c r="F289" s="22">
        <v>3</v>
      </c>
      <c r="G289" s="22">
        <v>1</v>
      </c>
      <c r="H289" s="22"/>
      <c r="I289" s="23" t="s">
        <v>9</v>
      </c>
      <c r="J289" s="23"/>
      <c r="K289" s="22"/>
      <c r="L289" s="22"/>
      <c r="M289" s="23"/>
      <c r="N289" s="23"/>
      <c r="O289" s="26" t="s">
        <v>1875</v>
      </c>
      <c r="P289" s="26"/>
      <c r="Q289" s="22"/>
      <c r="R289" s="24"/>
      <c r="S289" s="24"/>
      <c r="T289" s="24"/>
      <c r="U289" s="24"/>
      <c r="V289" s="24"/>
      <c r="W289" s="22" t="s">
        <v>460</v>
      </c>
      <c r="X289" s="4" t="str">
        <f>IF(Tabela2[[#This Row],[sigla]]="","",VLOOKUP(Tabela2[[#This Row],[sigla]],créditos_base!B:C,2,0))</f>
        <v>CLAUDIA SOUZA/ARQUIVO DA EDITORA</v>
      </c>
      <c r="Y289" s="23"/>
      <c r="Z289" s="23" t="str">
        <f>Tabela2[[#This Row],[ilustrador]]</f>
        <v>CLAUDIA SOUZA/ARQUIVO DA EDITORA</v>
      </c>
      <c r="AA289" s="22"/>
      <c r="AB289" s="20"/>
      <c r="AC289" s="20"/>
      <c r="AD289" s="4" t="str">
        <f>"Pitanguá"</f>
        <v>Pitanguá</v>
      </c>
      <c r="AE289" s="14" t="str">
        <f>"Matemática"</f>
        <v>Matemática</v>
      </c>
    </row>
    <row r="290" spans="1:31" s="14" customFormat="1" x14ac:dyDescent="0.3">
      <c r="A290" s="23" t="s">
        <v>838</v>
      </c>
      <c r="B290" s="20" t="s">
        <v>16</v>
      </c>
      <c r="C290" s="20" t="s">
        <v>7</v>
      </c>
      <c r="D290" s="20" t="s">
        <v>8</v>
      </c>
      <c r="E290" s="22">
        <v>14</v>
      </c>
      <c r="F290" s="22">
        <v>1</v>
      </c>
      <c r="G290" s="22"/>
      <c r="H290" s="22" t="s">
        <v>736</v>
      </c>
      <c r="I290" s="23" t="s">
        <v>9</v>
      </c>
      <c r="J290" s="23"/>
      <c r="K290" s="22"/>
      <c r="L290" s="22"/>
      <c r="M290" s="23"/>
      <c r="N290" s="23"/>
      <c r="O290" s="26" t="s">
        <v>839</v>
      </c>
      <c r="P290" s="26"/>
      <c r="Q290" s="22"/>
      <c r="R290" s="24"/>
      <c r="S290" s="24"/>
      <c r="T290" s="24"/>
      <c r="U290" s="24"/>
      <c r="V290" s="24"/>
      <c r="W290" s="22" t="s">
        <v>169</v>
      </c>
      <c r="X290" s="4" t="str">
        <f>IF(Tabela2[[#This Row],[sigla]]="","",VLOOKUP(Tabela2[[#This Row],[sigla]],créditos_base!B:C,2,0))</f>
        <v>RENAN FONSECA/ARQUIVO DA EDITORA</v>
      </c>
      <c r="Y290" s="23"/>
      <c r="Z290" s="23" t="str">
        <f>Tabela2[[#This Row],[ilustrador]]</f>
        <v>RENAN FONSECA/ARQUIVO DA EDITORA</v>
      </c>
      <c r="AA290" s="22"/>
      <c r="AB290" s="20"/>
      <c r="AC290" s="20"/>
      <c r="AD290" s="4" t="str">
        <f>"Pitanguá"</f>
        <v>Pitanguá</v>
      </c>
      <c r="AE290" s="14" t="str">
        <f>"Matemática"</f>
        <v>Matemática</v>
      </c>
    </row>
    <row r="291" spans="1:31" s="14" customFormat="1" x14ac:dyDescent="0.3">
      <c r="A291" s="23" t="s">
        <v>1242</v>
      </c>
      <c r="B291" s="20" t="s">
        <v>16</v>
      </c>
      <c r="C291" s="20" t="s">
        <v>7</v>
      </c>
      <c r="D291" s="20" t="s">
        <v>8</v>
      </c>
      <c r="E291" s="22"/>
      <c r="F291" s="22">
        <v>2</v>
      </c>
      <c r="G291" s="22">
        <v>1</v>
      </c>
      <c r="H291" s="22"/>
      <c r="I291" s="23" t="s">
        <v>33</v>
      </c>
      <c r="J291" s="23"/>
      <c r="K291" s="22"/>
      <c r="L291" s="22"/>
      <c r="M291" s="23"/>
      <c r="N291" s="23"/>
      <c r="O291" s="26" t="s">
        <v>1243</v>
      </c>
      <c r="P291" s="26"/>
      <c r="Q291" s="22">
        <v>13</v>
      </c>
      <c r="R291" s="24">
        <v>45743</v>
      </c>
      <c r="S291" s="24">
        <v>45743</v>
      </c>
      <c r="T291" s="24"/>
      <c r="U291" s="24"/>
      <c r="V291" s="24">
        <v>45743</v>
      </c>
      <c r="W291" s="22" t="s">
        <v>1212</v>
      </c>
      <c r="X291" s="4" t="str">
        <f>IF(Tabela2[[#This Row],[sigla]]="","",VLOOKUP(Tabela2[[#This Row],[sigla]],créditos_base!B:C,2,0))</f>
        <v>NATANAELE BILMAIA/ARQUIVO DA EDITORA</v>
      </c>
      <c r="Y291" s="23" t="s">
        <v>813</v>
      </c>
      <c r="Z291" s="23" t="str">
        <f>Tabela2[[#This Row],[ilustrador]]</f>
        <v>NATANAELE BILMAIA/ARQUIVO DA EDITORA</v>
      </c>
      <c r="AA291" s="22">
        <v>13</v>
      </c>
      <c r="AB291" s="20" t="s">
        <v>153</v>
      </c>
      <c r="AC291" s="20" t="s">
        <v>36</v>
      </c>
      <c r="AD291" s="4" t="str">
        <f>"Pitanguá"</f>
        <v>Pitanguá</v>
      </c>
      <c r="AE291" s="14" t="str">
        <f>"Matemática"</f>
        <v>Matemática</v>
      </c>
    </row>
    <row r="292" spans="1:31" s="14" customFormat="1" x14ac:dyDescent="0.3">
      <c r="A292" s="23" t="s">
        <v>1856</v>
      </c>
      <c r="B292" s="20" t="s">
        <v>6</v>
      </c>
      <c r="C292" s="20" t="s">
        <v>89</v>
      </c>
      <c r="D292" s="20" t="s">
        <v>8</v>
      </c>
      <c r="E292" s="22">
        <v>37</v>
      </c>
      <c r="F292" s="22">
        <v>3</v>
      </c>
      <c r="G292" s="22">
        <v>1</v>
      </c>
      <c r="H292" s="22"/>
      <c r="I292" s="23" t="s">
        <v>9</v>
      </c>
      <c r="J292" s="23"/>
      <c r="K292" s="22"/>
      <c r="L292" s="22"/>
      <c r="M292" s="23"/>
      <c r="N292" s="23"/>
      <c r="O292" s="26" t="s">
        <v>1857</v>
      </c>
      <c r="P292" s="26"/>
      <c r="Q292" s="22"/>
      <c r="R292" s="24"/>
      <c r="S292" s="24"/>
      <c r="T292" s="24"/>
      <c r="U292" s="24"/>
      <c r="V292" s="24"/>
      <c r="W292" s="22" t="s">
        <v>468</v>
      </c>
      <c r="X292" s="4" t="str">
        <f>IF(Tabela2[[#This Row],[sigla]]="","",VLOOKUP(Tabela2[[#This Row],[sigla]],créditos_base!B:C,2,0))</f>
        <v>VER DOCUMENTO DE ILS. TÉCNICAS</v>
      </c>
      <c r="Y292" s="23"/>
      <c r="Z292" s="23" t="s">
        <v>661</v>
      </c>
      <c r="AA292" s="22"/>
      <c r="AB292" s="20"/>
      <c r="AC292" s="20"/>
      <c r="AD292" s="4" t="str">
        <f>"Pitanguá"</f>
        <v>Pitanguá</v>
      </c>
      <c r="AE292" s="14" t="str">
        <f>"Matemática"</f>
        <v>Matemática</v>
      </c>
    </row>
    <row r="293" spans="1:31" s="14" customFormat="1" x14ac:dyDescent="0.3">
      <c r="A293" s="23" t="s">
        <v>4984</v>
      </c>
      <c r="B293" s="20" t="s">
        <v>16</v>
      </c>
      <c r="C293" s="20" t="s">
        <v>7</v>
      </c>
      <c r="D293" s="20" t="s">
        <v>8</v>
      </c>
      <c r="E293" s="22">
        <v>21</v>
      </c>
      <c r="F293" s="22">
        <v>4</v>
      </c>
      <c r="G293" s="22">
        <v>1</v>
      </c>
      <c r="H293" s="22"/>
      <c r="I293" s="23" t="s">
        <v>90</v>
      </c>
      <c r="J293" s="23"/>
      <c r="K293" s="22"/>
      <c r="L293" s="22"/>
      <c r="M293" s="23"/>
      <c r="N293" s="23"/>
      <c r="O293" s="26" t="s">
        <v>4985</v>
      </c>
      <c r="P293" s="26"/>
      <c r="Q293" s="22">
        <v>91</v>
      </c>
      <c r="R293" s="24">
        <v>45840</v>
      </c>
      <c r="S293" s="24">
        <v>45849</v>
      </c>
      <c r="T293" s="24"/>
      <c r="U293" s="24"/>
      <c r="V293" s="24">
        <v>45853</v>
      </c>
      <c r="W293" s="22" t="s">
        <v>428</v>
      </c>
      <c r="X293" s="4" t="str">
        <f>IF(Tabela2[[#This Row],[sigla]]="","",VLOOKUP(Tabela2[[#This Row],[sigla]],créditos_base!B:C,2,0))</f>
        <v>TAMIRES AZEVEDO/ARQUIVO DA EDITORA</v>
      </c>
      <c r="Y293" s="23" t="s">
        <v>4893</v>
      </c>
      <c r="Z293" s="23" t="s">
        <v>661</v>
      </c>
      <c r="AA293" s="22">
        <v>8</v>
      </c>
      <c r="AB293" s="20" t="s">
        <v>4986</v>
      </c>
      <c r="AC293" s="20" t="s">
        <v>310</v>
      </c>
      <c r="AD293" s="4" t="str">
        <f>"Pitanguá"</f>
        <v>Pitanguá</v>
      </c>
      <c r="AE293" s="14" t="str">
        <f>"Matemática"</f>
        <v>Matemática</v>
      </c>
    </row>
    <row r="294" spans="1:31" s="14" customFormat="1" x14ac:dyDescent="0.3">
      <c r="A294" s="23" t="s">
        <v>735</v>
      </c>
      <c r="B294" s="20" t="s">
        <v>16</v>
      </c>
      <c r="C294" s="20" t="s">
        <v>89</v>
      </c>
      <c r="D294" s="20" t="s">
        <v>8</v>
      </c>
      <c r="E294" s="22">
        <v>14</v>
      </c>
      <c r="F294" s="22">
        <v>1</v>
      </c>
      <c r="G294" s="22"/>
      <c r="H294" s="22" t="s">
        <v>736</v>
      </c>
      <c r="I294" s="23" t="s">
        <v>33</v>
      </c>
      <c r="J294" s="23"/>
      <c r="K294" s="22"/>
      <c r="L294" s="22"/>
      <c r="M294" s="23"/>
      <c r="N294" s="23"/>
      <c r="O294" s="26" t="s">
        <v>737</v>
      </c>
      <c r="P294" s="26"/>
      <c r="Q294" s="22">
        <v>8</v>
      </c>
      <c r="R294" s="24">
        <v>45733</v>
      </c>
      <c r="S294" s="24">
        <v>45734</v>
      </c>
      <c r="T294" s="24"/>
      <c r="U294" s="24"/>
      <c r="V294" s="24">
        <v>45734</v>
      </c>
      <c r="W294" s="22" t="s">
        <v>133</v>
      </c>
      <c r="X294" s="4" t="str">
        <f>IF(Tabela2[[#This Row],[sigla]]="","",VLOOKUP(Tabela2[[#This Row],[sigla]],créditos_base!B:C,2,0))</f>
        <v>JANAINA OLIVEIRA/ARQUIVO DA EDITORA</v>
      </c>
      <c r="Y294" s="23" t="s">
        <v>738</v>
      </c>
      <c r="Z294" s="23" t="str">
        <f>Tabela2[[#This Row],[ilustrador]]</f>
        <v>JANAINA OLIVEIRA/ARQUIVO DA EDITORA</v>
      </c>
      <c r="AA294" s="22">
        <v>13</v>
      </c>
      <c r="AB294" s="20" t="s">
        <v>153</v>
      </c>
      <c r="AC294" s="20" t="s">
        <v>36</v>
      </c>
      <c r="AD294" s="4" t="str">
        <f>"Pitanguá"</f>
        <v>Pitanguá</v>
      </c>
      <c r="AE294" s="14" t="str">
        <f>"Matemática"</f>
        <v>Matemática</v>
      </c>
    </row>
    <row r="295" spans="1:31" s="14" customFormat="1" x14ac:dyDescent="0.3">
      <c r="A295" s="23" t="s">
        <v>1244</v>
      </c>
      <c r="B295" s="20" t="s">
        <v>6</v>
      </c>
      <c r="C295" s="20" t="s">
        <v>7</v>
      </c>
      <c r="D295" s="20" t="s">
        <v>8</v>
      </c>
      <c r="E295" s="22"/>
      <c r="F295" s="22">
        <v>2</v>
      </c>
      <c r="G295" s="22">
        <v>1</v>
      </c>
      <c r="H295" s="22"/>
      <c r="I295" s="23" t="s">
        <v>9</v>
      </c>
      <c r="J295" s="23"/>
      <c r="K295" s="22"/>
      <c r="L295" s="22"/>
      <c r="M295" s="23"/>
      <c r="N295" s="23"/>
      <c r="O295" s="26" t="s">
        <v>1245</v>
      </c>
      <c r="P295" s="26" t="s">
        <v>11</v>
      </c>
      <c r="Q295" s="22"/>
      <c r="R295" s="24"/>
      <c r="S295" s="24"/>
      <c r="T295" s="24"/>
      <c r="U295" s="24"/>
      <c r="V295" s="24"/>
      <c r="W295" s="22" t="s">
        <v>72</v>
      </c>
      <c r="X295" s="4" t="str">
        <f>IF(Tabela2[[#This Row],[sigla]]="","",VLOOKUP(Tabela2[[#This Row],[sigla]],créditos_base!B:C,2,0))</f>
        <v>HELOÍSA PINTARELLI/ARQUIVO DA EDITORA</v>
      </c>
      <c r="Y295" s="23"/>
      <c r="Z295" s="23" t="str">
        <f>Tabela2[[#This Row],[ilustrador]]</f>
        <v>HELOÍSA PINTARELLI/ARQUIVO DA EDITORA</v>
      </c>
      <c r="AA295" s="22"/>
      <c r="AB295" s="20"/>
      <c r="AC295" s="20"/>
      <c r="AD295" s="4" t="str">
        <f>"Pitanguá"</f>
        <v>Pitanguá</v>
      </c>
      <c r="AE295" s="14" t="str">
        <f>"Matemática"</f>
        <v>Matemática</v>
      </c>
    </row>
    <row r="296" spans="1:31" s="14" customFormat="1" x14ac:dyDescent="0.3">
      <c r="A296" s="23" t="s">
        <v>4987</v>
      </c>
      <c r="B296" s="20" t="s">
        <v>16</v>
      </c>
      <c r="C296" s="20" t="s">
        <v>7</v>
      </c>
      <c r="D296" s="20" t="s">
        <v>8</v>
      </c>
      <c r="E296" s="22">
        <v>21</v>
      </c>
      <c r="F296" s="22">
        <v>4</v>
      </c>
      <c r="G296" s="22">
        <v>1</v>
      </c>
      <c r="H296" s="22"/>
      <c r="I296" s="23" t="s">
        <v>90</v>
      </c>
      <c r="J296" s="23"/>
      <c r="K296" s="22"/>
      <c r="L296" s="22"/>
      <c r="M296" s="23"/>
      <c r="N296" s="23"/>
      <c r="O296" s="26" t="s">
        <v>4988</v>
      </c>
      <c r="P296" s="26"/>
      <c r="Q296" s="22">
        <v>91</v>
      </c>
      <c r="R296" s="24">
        <v>45840</v>
      </c>
      <c r="S296" s="24">
        <v>45849</v>
      </c>
      <c r="T296" s="24"/>
      <c r="U296" s="24"/>
      <c r="V296" s="24">
        <v>45853</v>
      </c>
      <c r="W296" s="22" t="s">
        <v>428</v>
      </c>
      <c r="X296" s="4" t="str">
        <f>IF(Tabela2[[#This Row],[sigla]]="","",VLOOKUP(Tabela2[[#This Row],[sigla]],créditos_base!B:C,2,0))</f>
        <v>TAMIRES AZEVEDO/ARQUIVO DA EDITORA</v>
      </c>
      <c r="Y296" s="23" t="s">
        <v>4893</v>
      </c>
      <c r="Z296" s="23" t="s">
        <v>661</v>
      </c>
      <c r="AA296" s="22">
        <v>8</v>
      </c>
      <c r="AB296" s="20" t="s">
        <v>4986</v>
      </c>
      <c r="AC296" s="20" t="s">
        <v>310</v>
      </c>
      <c r="AD296" s="4" t="str">
        <f>"Pitanguá"</f>
        <v>Pitanguá</v>
      </c>
      <c r="AE296" s="14" t="str">
        <f>"Matemática"</f>
        <v>Matemática</v>
      </c>
    </row>
    <row r="297" spans="1:31" s="14" customFormat="1" x14ac:dyDescent="0.3">
      <c r="A297" s="23" t="s">
        <v>4989</v>
      </c>
      <c r="B297" s="20" t="s">
        <v>16</v>
      </c>
      <c r="C297" s="20" t="s">
        <v>7</v>
      </c>
      <c r="D297" s="20" t="s">
        <v>8</v>
      </c>
      <c r="E297" s="22">
        <v>21</v>
      </c>
      <c r="F297" s="22">
        <v>4</v>
      </c>
      <c r="G297" s="22">
        <v>1</v>
      </c>
      <c r="H297" s="22"/>
      <c r="I297" s="23" t="s">
        <v>90</v>
      </c>
      <c r="J297" s="23"/>
      <c r="K297" s="22"/>
      <c r="L297" s="22"/>
      <c r="M297" s="23"/>
      <c r="N297" s="23"/>
      <c r="O297" s="26" t="s">
        <v>4985</v>
      </c>
      <c r="P297" s="26"/>
      <c r="Q297" s="22">
        <v>91</v>
      </c>
      <c r="R297" s="24">
        <v>45840</v>
      </c>
      <c r="S297" s="24">
        <v>45849</v>
      </c>
      <c r="T297" s="24"/>
      <c r="U297" s="24"/>
      <c r="V297" s="24">
        <v>45853</v>
      </c>
      <c r="W297" s="22" t="s">
        <v>428</v>
      </c>
      <c r="X297" s="4" t="str">
        <f>IF(Tabela2[[#This Row],[sigla]]="","",VLOOKUP(Tabela2[[#This Row],[sigla]],créditos_base!B:C,2,0))</f>
        <v>TAMIRES AZEVEDO/ARQUIVO DA EDITORA</v>
      </c>
      <c r="Y297" s="23" t="s">
        <v>4893</v>
      </c>
      <c r="Z297" s="23" t="s">
        <v>661</v>
      </c>
      <c r="AA297" s="22">
        <v>8</v>
      </c>
      <c r="AB297" s="20" t="s">
        <v>4986</v>
      </c>
      <c r="AC297" s="20" t="s">
        <v>310</v>
      </c>
      <c r="AD297" s="4" t="str">
        <f>"Pitanguá"</f>
        <v>Pitanguá</v>
      </c>
      <c r="AE297" s="14" t="str">
        <f>"Matemática"</f>
        <v>Matemática</v>
      </c>
    </row>
    <row r="298" spans="1:31" s="14" customFormat="1" x14ac:dyDescent="0.3">
      <c r="A298" s="23" t="s">
        <v>4990</v>
      </c>
      <c r="B298" s="20" t="s">
        <v>16</v>
      </c>
      <c r="C298" s="20" t="s">
        <v>7</v>
      </c>
      <c r="D298" s="20" t="s">
        <v>8</v>
      </c>
      <c r="E298" s="22">
        <v>21</v>
      </c>
      <c r="F298" s="22">
        <v>4</v>
      </c>
      <c r="G298" s="22">
        <v>1</v>
      </c>
      <c r="H298" s="22"/>
      <c r="I298" s="23" t="s">
        <v>90</v>
      </c>
      <c r="J298" s="23"/>
      <c r="K298" s="22"/>
      <c r="L298" s="22"/>
      <c r="M298" s="23"/>
      <c r="N298" s="23"/>
      <c r="O298" s="26" t="s">
        <v>4991</v>
      </c>
      <c r="P298" s="26"/>
      <c r="Q298" s="22">
        <v>91</v>
      </c>
      <c r="R298" s="24">
        <v>45840</v>
      </c>
      <c r="S298" s="24">
        <v>45849</v>
      </c>
      <c r="T298" s="24"/>
      <c r="U298" s="24"/>
      <c r="V298" s="24">
        <v>45853</v>
      </c>
      <c r="W298" s="22" t="s">
        <v>428</v>
      </c>
      <c r="X298" s="4" t="str">
        <f>IF(Tabela2[[#This Row],[sigla]]="","",VLOOKUP(Tabela2[[#This Row],[sigla]],créditos_base!B:C,2,0))</f>
        <v>TAMIRES AZEVEDO/ARQUIVO DA EDITORA</v>
      </c>
      <c r="Y298" s="23" t="s">
        <v>4893</v>
      </c>
      <c r="Z298" s="23" t="s">
        <v>661</v>
      </c>
      <c r="AA298" s="22">
        <v>8</v>
      </c>
      <c r="AB298" s="20" t="s">
        <v>4986</v>
      </c>
      <c r="AC298" s="20" t="s">
        <v>310</v>
      </c>
      <c r="AD298" s="4" t="str">
        <f>"Pitanguá"</f>
        <v>Pitanguá</v>
      </c>
      <c r="AE298" s="14" t="str">
        <f>"Matemática"</f>
        <v>Matemática</v>
      </c>
    </row>
    <row r="299" spans="1:31" s="14" customFormat="1" x14ac:dyDescent="0.3">
      <c r="A299" s="23" t="s">
        <v>4776</v>
      </c>
      <c r="B299" s="20" t="s">
        <v>16</v>
      </c>
      <c r="C299" s="20" t="s">
        <v>7</v>
      </c>
      <c r="D299" s="20" t="s">
        <v>8</v>
      </c>
      <c r="E299" s="22">
        <v>30</v>
      </c>
      <c r="F299" s="22">
        <v>3</v>
      </c>
      <c r="G299" s="22">
        <v>1</v>
      </c>
      <c r="H299" s="22"/>
      <c r="I299" s="23" t="s">
        <v>90</v>
      </c>
      <c r="J299" s="23"/>
      <c r="K299" s="22"/>
      <c r="L299" s="22"/>
      <c r="M299" s="23"/>
      <c r="N299" s="23"/>
      <c r="O299" s="26" t="s">
        <v>4777</v>
      </c>
      <c r="P299" s="20"/>
      <c r="Q299" s="22">
        <v>78</v>
      </c>
      <c r="R299" s="24">
        <v>45820</v>
      </c>
      <c r="S299" s="24">
        <v>45826</v>
      </c>
      <c r="T299" s="24">
        <v>45833</v>
      </c>
      <c r="U299" s="24">
        <v>45834</v>
      </c>
      <c r="V299" s="24">
        <v>45846</v>
      </c>
      <c r="W299" s="22" t="s">
        <v>4778</v>
      </c>
      <c r="X299" s="4" t="str">
        <f>IF(Tabela2[[#This Row],[sigla]]="","",VLOOKUP(Tabela2[[#This Row],[sigla]],créditos_base!B:C,2,0))</f>
        <v>WERLLEN HOLANDA/ARQUIVO DA EDITORA</v>
      </c>
      <c r="Y299" s="23"/>
      <c r="Z299" s="23" t="str">
        <f>Tabela2[[#This Row],[ilustrador]]</f>
        <v>WERLLEN HOLANDA/ARQUIVO DA EDITORA</v>
      </c>
      <c r="AA299" s="22">
        <v>4</v>
      </c>
      <c r="AB299" s="26" t="s">
        <v>4779</v>
      </c>
      <c r="AC299" s="20" t="s">
        <v>310</v>
      </c>
      <c r="AD299" s="4" t="str">
        <f>"Pitanguá"</f>
        <v>Pitanguá</v>
      </c>
      <c r="AE299" s="14" t="str">
        <f>"Matemática"</f>
        <v>Matemática</v>
      </c>
    </row>
    <row r="300" spans="1:31" s="14" customFormat="1" x14ac:dyDescent="0.3">
      <c r="A300" s="23" t="s">
        <v>4992</v>
      </c>
      <c r="B300" s="20" t="s">
        <v>16</v>
      </c>
      <c r="C300" s="20" t="s">
        <v>7</v>
      </c>
      <c r="D300" s="20" t="s">
        <v>8</v>
      </c>
      <c r="E300" s="22">
        <v>21</v>
      </c>
      <c r="F300" s="22">
        <v>4</v>
      </c>
      <c r="G300" s="22">
        <v>1</v>
      </c>
      <c r="H300" s="22"/>
      <c r="I300" s="23" t="s">
        <v>90</v>
      </c>
      <c r="J300" s="23"/>
      <c r="K300" s="22"/>
      <c r="L300" s="22"/>
      <c r="M300" s="23"/>
      <c r="N300" s="23"/>
      <c r="O300" s="26" t="s">
        <v>4993</v>
      </c>
      <c r="P300" s="26"/>
      <c r="Q300" s="22">
        <v>91</v>
      </c>
      <c r="R300" s="24">
        <v>45840</v>
      </c>
      <c r="S300" s="24">
        <v>45849</v>
      </c>
      <c r="T300" s="24"/>
      <c r="U300" s="24"/>
      <c r="V300" s="24">
        <v>45853</v>
      </c>
      <c r="W300" s="22" t="s">
        <v>428</v>
      </c>
      <c r="X300" s="4" t="str">
        <f>IF(Tabela2[[#This Row],[sigla]]="","",VLOOKUP(Tabela2[[#This Row],[sigla]],créditos_base!B:C,2,0))</f>
        <v>TAMIRES AZEVEDO/ARQUIVO DA EDITORA</v>
      </c>
      <c r="Y300" s="23" t="s">
        <v>4893</v>
      </c>
      <c r="Z300" s="23" t="s">
        <v>661</v>
      </c>
      <c r="AA300" s="22">
        <v>8</v>
      </c>
      <c r="AB300" s="20" t="s">
        <v>4986</v>
      </c>
      <c r="AC300" s="20" t="s">
        <v>310</v>
      </c>
      <c r="AD300" s="4" t="str">
        <f>"Pitanguá"</f>
        <v>Pitanguá</v>
      </c>
      <c r="AE300" s="14" t="str">
        <f>"Matemática"</f>
        <v>Matemática</v>
      </c>
    </row>
    <row r="301" spans="1:31" s="14" customFormat="1" x14ac:dyDescent="0.3">
      <c r="A301" s="23" t="s">
        <v>4994</v>
      </c>
      <c r="B301" s="20" t="s">
        <v>16</v>
      </c>
      <c r="C301" s="20" t="s">
        <v>7</v>
      </c>
      <c r="D301" s="20" t="s">
        <v>8</v>
      </c>
      <c r="E301" s="22">
        <v>22</v>
      </c>
      <c r="F301" s="22">
        <v>4</v>
      </c>
      <c r="G301" s="22">
        <v>1</v>
      </c>
      <c r="H301" s="22"/>
      <c r="I301" s="23" t="s">
        <v>90</v>
      </c>
      <c r="J301" s="23"/>
      <c r="K301" s="22"/>
      <c r="L301" s="22"/>
      <c r="M301" s="23"/>
      <c r="N301" s="23"/>
      <c r="O301" s="26" t="s">
        <v>4995</v>
      </c>
      <c r="P301" s="26"/>
      <c r="Q301" s="22">
        <v>91</v>
      </c>
      <c r="R301" s="24">
        <v>45840</v>
      </c>
      <c r="S301" s="24">
        <v>45849</v>
      </c>
      <c r="T301" s="24"/>
      <c r="U301" s="24"/>
      <c r="V301" s="24">
        <v>45853</v>
      </c>
      <c r="W301" s="22" t="s">
        <v>2675</v>
      </c>
      <c r="X301" s="4" t="str">
        <f>IF(Tabela2[[#This Row],[sigla]]="","",VLOOKUP(Tabela2[[#This Row],[sigla]],créditos_base!B:C,2,0))</f>
        <v>INGRIDHI BORGES/ARQUIVO DA EDITORA</v>
      </c>
      <c r="Y301" s="23" t="s">
        <v>4893</v>
      </c>
      <c r="Z301" s="23" t="s">
        <v>661</v>
      </c>
      <c r="AA301" s="22">
        <v>8</v>
      </c>
      <c r="AB301" s="20" t="s">
        <v>4986</v>
      </c>
      <c r="AC301" s="20" t="s">
        <v>310</v>
      </c>
      <c r="AD301" s="4" t="str">
        <f>"Pitanguá"</f>
        <v>Pitanguá</v>
      </c>
      <c r="AE301" s="14" t="str">
        <f>"Matemática"</f>
        <v>Matemática</v>
      </c>
    </row>
    <row r="302" spans="1:31" s="14" customFormat="1" x14ac:dyDescent="0.3">
      <c r="A302" s="23" t="s">
        <v>1069</v>
      </c>
      <c r="B302" s="20" t="s">
        <v>16</v>
      </c>
      <c r="C302" s="20" t="s">
        <v>89</v>
      </c>
      <c r="D302" s="20" t="s">
        <v>8</v>
      </c>
      <c r="E302" s="22">
        <v>83</v>
      </c>
      <c r="F302" s="22">
        <v>1</v>
      </c>
      <c r="G302" s="22">
        <v>2</v>
      </c>
      <c r="H302" s="27" t="s">
        <v>1070</v>
      </c>
      <c r="I302" s="23" t="s">
        <v>90</v>
      </c>
      <c r="J302" s="23"/>
      <c r="K302" s="22"/>
      <c r="L302" s="22"/>
      <c r="M302" s="23"/>
      <c r="N302" s="23"/>
      <c r="O302" s="26" t="s">
        <v>1071</v>
      </c>
      <c r="P302" s="26"/>
      <c r="Q302" s="22">
        <v>11</v>
      </c>
      <c r="R302" s="24">
        <v>45735</v>
      </c>
      <c r="S302" s="24">
        <v>45736</v>
      </c>
      <c r="T302" s="24"/>
      <c r="U302" s="24"/>
      <c r="V302" s="24">
        <v>45741</v>
      </c>
      <c r="W302" s="22" t="s">
        <v>72</v>
      </c>
      <c r="X302" s="4" t="str">
        <f>IF(Tabela2[[#This Row],[sigla]]="","",VLOOKUP(Tabela2[[#This Row],[sigla]],créditos_base!B:C,2,0))</f>
        <v>HELOÍSA PINTARELLI/ARQUIVO DA EDITORA</v>
      </c>
      <c r="Y302" s="23"/>
      <c r="Z302" s="23" t="str">
        <f>Tabela2[[#This Row],[ilustrador]]</f>
        <v>HELOÍSA PINTARELLI/ARQUIVO DA EDITORA</v>
      </c>
      <c r="AA302" s="22">
        <v>7</v>
      </c>
      <c r="AB302" s="20" t="s">
        <v>1066</v>
      </c>
      <c r="AC302" s="20" t="s">
        <v>310</v>
      </c>
      <c r="AD302" s="4" t="str">
        <f>"Pitanguá"</f>
        <v>Pitanguá</v>
      </c>
      <c r="AE302" s="14" t="str">
        <f>"Matemática"</f>
        <v>Matemática</v>
      </c>
    </row>
    <row r="303" spans="1:31" s="14" customFormat="1" x14ac:dyDescent="0.3">
      <c r="A303" s="23" t="s">
        <v>1072</v>
      </c>
      <c r="B303" s="20" t="s">
        <v>16</v>
      </c>
      <c r="C303" s="20" t="s">
        <v>89</v>
      </c>
      <c r="D303" s="20" t="s">
        <v>8</v>
      </c>
      <c r="E303" s="22">
        <v>83</v>
      </c>
      <c r="F303" s="22">
        <v>1</v>
      </c>
      <c r="G303" s="22">
        <v>2</v>
      </c>
      <c r="H303" s="27" t="s">
        <v>1070</v>
      </c>
      <c r="I303" s="23" t="s">
        <v>9</v>
      </c>
      <c r="J303" s="23"/>
      <c r="K303" s="22"/>
      <c r="L303" s="22"/>
      <c r="M303" s="23"/>
      <c r="N303" s="23"/>
      <c r="O303" s="26" t="s">
        <v>894</v>
      </c>
      <c r="P303" s="26"/>
      <c r="Q303" s="22"/>
      <c r="R303" s="24"/>
      <c r="S303" s="24"/>
      <c r="T303" s="24"/>
      <c r="U303" s="24"/>
      <c r="V303" s="24"/>
      <c r="W303" s="22" t="s">
        <v>160</v>
      </c>
      <c r="X303" s="4" t="str">
        <f>IF(Tabela2[[#This Row],[sigla]]="","",VLOOKUP(Tabela2[[#This Row],[sigla]],créditos_base!B:C,2,0))</f>
        <v>SERGIO LIMA/ARQUIVO DA EDITORA</v>
      </c>
      <c r="Y303" s="23"/>
      <c r="Z303" s="23" t="str">
        <f>Tabela2[[#This Row],[ilustrador]]</f>
        <v>SERGIO LIMA/ARQUIVO DA EDITORA</v>
      </c>
      <c r="AA303" s="22"/>
      <c r="AB303" s="20"/>
      <c r="AC303" s="20"/>
      <c r="AD303" s="4" t="str">
        <f>"Pitanguá"</f>
        <v>Pitanguá</v>
      </c>
      <c r="AE303" s="14" t="str">
        <f>"Matemática"</f>
        <v>Matemática</v>
      </c>
    </row>
    <row r="304" spans="1:31" s="14" customFormat="1" ht="28.8" x14ac:dyDescent="0.3">
      <c r="A304" s="23" t="s">
        <v>3575</v>
      </c>
      <c r="B304" s="20" t="s">
        <v>16</v>
      </c>
      <c r="C304" s="20" t="s">
        <v>89</v>
      </c>
      <c r="D304" s="20" t="s">
        <v>8</v>
      </c>
      <c r="E304" s="22">
        <v>21</v>
      </c>
      <c r="F304" s="22">
        <v>2</v>
      </c>
      <c r="G304" s="22">
        <v>1</v>
      </c>
      <c r="H304" s="22"/>
      <c r="I304" s="23" t="s">
        <v>90</v>
      </c>
      <c r="J304" s="23"/>
      <c r="K304" s="22"/>
      <c r="L304" s="22"/>
      <c r="M304" s="23"/>
      <c r="N304" s="23"/>
      <c r="O304" s="26" t="s">
        <v>3576</v>
      </c>
      <c r="P304" s="26"/>
      <c r="Q304" s="22">
        <v>52</v>
      </c>
      <c r="R304" s="24">
        <v>45803</v>
      </c>
      <c r="S304" s="24">
        <v>45804</v>
      </c>
      <c r="T304" s="24"/>
      <c r="U304" s="24"/>
      <c r="V304" s="24">
        <v>45807</v>
      </c>
      <c r="W304" s="22" t="s">
        <v>72</v>
      </c>
      <c r="X304" s="4" t="str">
        <f>IF(Tabela2[[#This Row],[sigla]]="","",VLOOKUP(Tabela2[[#This Row],[sigla]],créditos_base!B:C,2,0))</f>
        <v>HELOÍSA PINTARELLI/ARQUIVO DA EDITORA</v>
      </c>
      <c r="Y304" s="23"/>
      <c r="Z304" s="23" t="str">
        <f>Tabela2[[#This Row],[ilustrador]]</f>
        <v>HELOÍSA PINTARELLI/ARQUIVO DA EDITORA</v>
      </c>
      <c r="AA304" s="22">
        <v>8</v>
      </c>
      <c r="AB304" s="20" t="s">
        <v>3574</v>
      </c>
      <c r="AC304" s="20" t="s">
        <v>310</v>
      </c>
      <c r="AD304" s="4" t="str">
        <f>"Pitanguá"</f>
        <v>Pitanguá</v>
      </c>
      <c r="AE304" s="14" t="str">
        <f>"Matemática"</f>
        <v>Matemática</v>
      </c>
    </row>
    <row r="305" spans="1:31" s="14" customFormat="1" x14ac:dyDescent="0.3">
      <c r="A305" s="23" t="s">
        <v>4996</v>
      </c>
      <c r="B305" s="20" t="s">
        <v>16</v>
      </c>
      <c r="C305" s="20" t="s">
        <v>89</v>
      </c>
      <c r="D305" s="20" t="s">
        <v>8</v>
      </c>
      <c r="E305" s="22">
        <v>22</v>
      </c>
      <c r="F305" s="22">
        <v>4</v>
      </c>
      <c r="G305" s="22">
        <v>1</v>
      </c>
      <c r="H305" s="22"/>
      <c r="I305" s="23" t="s">
        <v>33</v>
      </c>
      <c r="J305" s="23"/>
      <c r="K305" s="22"/>
      <c r="L305" s="22"/>
      <c r="M305" s="23"/>
      <c r="N305" s="23"/>
      <c r="O305" s="26" t="s">
        <v>4997</v>
      </c>
      <c r="P305" s="26"/>
      <c r="Q305" s="22">
        <v>91</v>
      </c>
      <c r="R305" s="24">
        <v>45840</v>
      </c>
      <c r="S305" s="24">
        <v>45849</v>
      </c>
      <c r="T305" s="24"/>
      <c r="U305" s="24"/>
      <c r="V305" s="24">
        <v>45850</v>
      </c>
      <c r="W305" s="22" t="s">
        <v>425</v>
      </c>
      <c r="X305" s="4" t="str">
        <f>IF(Tabela2[[#This Row],[sigla]]="","",VLOOKUP(Tabela2[[#This Row],[sigla]],créditos_base!B:C,2,0))</f>
        <v>BÁRBARA SARZI/ARQUIVO DA EDITORA</v>
      </c>
      <c r="Y305" s="23" t="s">
        <v>433</v>
      </c>
      <c r="Z305" s="23" t="str">
        <f>Tabela2[[#This Row],[ilustrador]]</f>
        <v>BÁRBARA SARZI/ARQUIVO DA EDITORA</v>
      </c>
      <c r="AA305" s="22">
        <v>14</v>
      </c>
      <c r="AB305" s="20" t="s">
        <v>153</v>
      </c>
      <c r="AC305" s="20" t="s">
        <v>36</v>
      </c>
      <c r="AD305" s="4" t="str">
        <f>"Pitanguá"</f>
        <v>Pitanguá</v>
      </c>
      <c r="AE305" s="14" t="str">
        <f>"Matemática"</f>
        <v>Matemática</v>
      </c>
    </row>
    <row r="306" spans="1:31" s="14" customFormat="1" ht="28.8" x14ac:dyDescent="0.3">
      <c r="A306" s="23" t="s">
        <v>4791</v>
      </c>
      <c r="B306" s="20" t="s">
        <v>16</v>
      </c>
      <c r="C306" s="20" t="s">
        <v>7</v>
      </c>
      <c r="D306" s="20" t="s">
        <v>8</v>
      </c>
      <c r="E306" s="22">
        <v>45</v>
      </c>
      <c r="F306" s="22">
        <v>3</v>
      </c>
      <c r="G306" s="22">
        <v>1</v>
      </c>
      <c r="H306" s="22"/>
      <c r="I306" s="23" t="s">
        <v>90</v>
      </c>
      <c r="J306" s="23"/>
      <c r="K306" s="22"/>
      <c r="L306" s="22"/>
      <c r="M306" s="23"/>
      <c r="N306" s="23"/>
      <c r="O306" s="26" t="s">
        <v>4792</v>
      </c>
      <c r="P306" s="20"/>
      <c r="Q306" s="22">
        <v>78</v>
      </c>
      <c r="R306" s="24">
        <v>45820</v>
      </c>
      <c r="S306" s="24">
        <v>45821</v>
      </c>
      <c r="T306" s="24"/>
      <c r="U306" s="24"/>
      <c r="V306" s="24">
        <v>45824</v>
      </c>
      <c r="W306" s="22" t="s">
        <v>72</v>
      </c>
      <c r="X306" s="4" t="str">
        <f>IF(Tabela2[[#This Row],[sigla]]="","",VLOOKUP(Tabela2[[#This Row],[sigla]],créditos_base!B:C,2,0))</f>
        <v>HELOÍSA PINTARELLI/ARQUIVO DA EDITORA</v>
      </c>
      <c r="Y306" s="23"/>
      <c r="Z306" s="32" t="s">
        <v>469</v>
      </c>
      <c r="AA306" s="22">
        <v>8</v>
      </c>
      <c r="AB306" s="20" t="s">
        <v>4793</v>
      </c>
      <c r="AC306" s="20" t="s">
        <v>310</v>
      </c>
      <c r="AD306" s="4" t="str">
        <f>"Pitanguá"</f>
        <v>Pitanguá</v>
      </c>
      <c r="AE306" s="14" t="str">
        <f>"Matemática"</f>
        <v>Matemática</v>
      </c>
    </row>
    <row r="307" spans="1:31" s="14" customFormat="1" ht="28.8" x14ac:dyDescent="0.3">
      <c r="A307" s="23" t="s">
        <v>3577</v>
      </c>
      <c r="B307" s="20" t="s">
        <v>16</v>
      </c>
      <c r="C307" s="20" t="s">
        <v>89</v>
      </c>
      <c r="D307" s="20" t="s">
        <v>8</v>
      </c>
      <c r="E307" s="22">
        <v>29</v>
      </c>
      <c r="F307" s="22">
        <v>2</v>
      </c>
      <c r="G307" s="22">
        <v>1</v>
      </c>
      <c r="H307" s="22"/>
      <c r="I307" s="23" t="s">
        <v>33</v>
      </c>
      <c r="J307" s="23"/>
      <c r="K307" s="22"/>
      <c r="L307" s="22"/>
      <c r="M307" s="23"/>
      <c r="N307" s="23"/>
      <c r="O307" s="26" t="s">
        <v>3578</v>
      </c>
      <c r="P307" s="26"/>
      <c r="Q307" s="22">
        <v>52</v>
      </c>
      <c r="R307" s="24">
        <v>45803</v>
      </c>
      <c r="S307" s="24">
        <v>45805</v>
      </c>
      <c r="T307" s="24"/>
      <c r="U307" s="24"/>
      <c r="V307" s="24">
        <v>45805</v>
      </c>
      <c r="W307" s="22" t="s">
        <v>468</v>
      </c>
      <c r="X307" s="4" t="str">
        <f>IF(Tabela2[[#This Row],[sigla]]="","",VLOOKUP(Tabela2[[#This Row],[sigla]],créditos_base!B:C,2,0))</f>
        <v>VER DOCUMENTO DE ILS. TÉCNICAS</v>
      </c>
      <c r="Y307" s="23" t="s">
        <v>188</v>
      </c>
      <c r="Z307" s="23" t="s">
        <v>469</v>
      </c>
      <c r="AA307" s="22">
        <v>14</v>
      </c>
      <c r="AB307" s="20" t="s">
        <v>153</v>
      </c>
      <c r="AC307" s="20" t="s">
        <v>36</v>
      </c>
      <c r="AD307" s="4" t="str">
        <f>"Pitanguá"</f>
        <v>Pitanguá</v>
      </c>
      <c r="AE307" s="14" t="str">
        <f>"Matemática"</f>
        <v>Matemática</v>
      </c>
    </row>
    <row r="308" spans="1:31" s="14" customFormat="1" x14ac:dyDescent="0.3">
      <c r="A308" s="23" t="s">
        <v>4794</v>
      </c>
      <c r="B308" s="20" t="s">
        <v>16</v>
      </c>
      <c r="C308" s="20" t="s">
        <v>7</v>
      </c>
      <c r="D308" s="20" t="s">
        <v>8</v>
      </c>
      <c r="E308" s="22">
        <v>45</v>
      </c>
      <c r="F308" s="22">
        <v>3</v>
      </c>
      <c r="G308" s="22">
        <v>1</v>
      </c>
      <c r="H308" s="22"/>
      <c r="I308" s="23" t="s">
        <v>90</v>
      </c>
      <c r="J308" s="23"/>
      <c r="K308" s="22"/>
      <c r="L308" s="22"/>
      <c r="M308" s="23"/>
      <c r="N308" s="23"/>
      <c r="O308" s="26" t="s">
        <v>4795</v>
      </c>
      <c r="P308" s="20"/>
      <c r="Q308" s="22">
        <v>78</v>
      </c>
      <c r="R308" s="24">
        <v>45820</v>
      </c>
      <c r="S308" s="24">
        <v>45821</v>
      </c>
      <c r="T308" s="24"/>
      <c r="U308" s="24"/>
      <c r="V308" s="24">
        <v>45824</v>
      </c>
      <c r="W308" s="22" t="s">
        <v>72</v>
      </c>
      <c r="X308" s="4" t="str">
        <f>IF(Tabela2[[#This Row],[sigla]]="","",VLOOKUP(Tabela2[[#This Row],[sigla]],créditos_base!B:C,2,0))</f>
        <v>HELOÍSA PINTARELLI/ARQUIVO DA EDITORA</v>
      </c>
      <c r="Y308" s="23"/>
      <c r="Z308" s="32" t="s">
        <v>469</v>
      </c>
      <c r="AA308" s="22">
        <v>8</v>
      </c>
      <c r="AB308" s="20" t="s">
        <v>4793</v>
      </c>
      <c r="AC308" s="20" t="s">
        <v>310</v>
      </c>
      <c r="AD308" s="4" t="str">
        <f>"Pitanguá"</f>
        <v>Pitanguá</v>
      </c>
      <c r="AE308" s="14" t="str">
        <f>"Matemática"</f>
        <v>Matemática</v>
      </c>
    </row>
    <row r="309" spans="1:31" s="14" customFormat="1" x14ac:dyDescent="0.3">
      <c r="A309" s="23" t="s">
        <v>4041</v>
      </c>
      <c r="B309" s="20" t="s">
        <v>16</v>
      </c>
      <c r="C309" s="20" t="s">
        <v>7</v>
      </c>
      <c r="D309" s="20" t="s">
        <v>8</v>
      </c>
      <c r="E309" s="22">
        <v>53</v>
      </c>
      <c r="F309" s="22">
        <v>2</v>
      </c>
      <c r="G309" s="22">
        <v>1</v>
      </c>
      <c r="H309" s="22"/>
      <c r="I309" s="23" t="s">
        <v>90</v>
      </c>
      <c r="J309" s="23"/>
      <c r="K309" s="22"/>
      <c r="L309" s="22"/>
      <c r="M309" s="23"/>
      <c r="N309" s="23"/>
      <c r="O309" s="26" t="s">
        <v>4042</v>
      </c>
      <c r="P309" s="26"/>
      <c r="Q309" s="22">
        <v>58</v>
      </c>
      <c r="R309" s="24">
        <v>45805</v>
      </c>
      <c r="S309" s="24">
        <v>45806</v>
      </c>
      <c r="T309" s="24">
        <v>45824</v>
      </c>
      <c r="U309" s="24">
        <v>45828</v>
      </c>
      <c r="V309" s="24">
        <v>45831</v>
      </c>
      <c r="W309" s="22" t="s">
        <v>31</v>
      </c>
      <c r="X309" s="4" t="str">
        <f>IF(Tabela2[[#This Row],[sigla]]="","",VLOOKUP(Tabela2[[#This Row],[sigla]],créditos_base!B:C,2,0))</f>
        <v>SILVIA OTOFUJI/ARQUIVO DA EDITORA</v>
      </c>
      <c r="Y309" s="23"/>
      <c r="Z309" s="23" t="str">
        <f>Tabela2[[#This Row],[ilustrador]]</f>
        <v>SILVIA OTOFUJI/ARQUIVO DA EDITORA</v>
      </c>
      <c r="AA309" s="22">
        <v>4</v>
      </c>
      <c r="AB309" s="26" t="s">
        <v>4043</v>
      </c>
      <c r="AC309" s="20" t="s">
        <v>36</v>
      </c>
      <c r="AD309" s="4" t="str">
        <f>"Pitanguá"</f>
        <v>Pitanguá</v>
      </c>
      <c r="AE309" s="14" t="str">
        <f>"Matemática"</f>
        <v>Matemática</v>
      </c>
    </row>
    <row r="310" spans="1:31" s="14" customFormat="1" x14ac:dyDescent="0.3">
      <c r="A310" s="23" t="s">
        <v>4797</v>
      </c>
      <c r="B310" s="20" t="s">
        <v>6</v>
      </c>
      <c r="C310" s="20" t="s">
        <v>7</v>
      </c>
      <c r="D310" s="20" t="s">
        <v>8</v>
      </c>
      <c r="E310" s="22">
        <v>47</v>
      </c>
      <c r="F310" s="22">
        <v>3</v>
      </c>
      <c r="G310" s="22">
        <v>1</v>
      </c>
      <c r="H310" s="22"/>
      <c r="I310" s="23" t="s">
        <v>90</v>
      </c>
      <c r="J310" s="23"/>
      <c r="K310" s="22"/>
      <c r="L310" s="22"/>
      <c r="M310" s="23"/>
      <c r="N310" s="23"/>
      <c r="O310" s="26" t="s">
        <v>4798</v>
      </c>
      <c r="P310" s="26" t="s">
        <v>4799</v>
      </c>
      <c r="Q310" s="22">
        <v>78</v>
      </c>
      <c r="R310" s="24">
        <v>45820</v>
      </c>
      <c r="S310" s="24"/>
      <c r="T310" s="24"/>
      <c r="U310" s="24"/>
      <c r="V310" s="24"/>
      <c r="W310" s="22"/>
      <c r="X310" s="4" t="str">
        <f>IF(Tabela2[[#This Row],[sigla]]="","",VLOOKUP(Tabela2[[#This Row],[sigla]],créditos_base!B:C,2,0))</f>
        <v/>
      </c>
      <c r="Y310" s="23"/>
      <c r="Z310" s="23" t="str">
        <f>Tabela2[[#This Row],[ilustrador]]</f>
        <v/>
      </c>
      <c r="AA310" s="22"/>
      <c r="AB310" s="20"/>
      <c r="AC310" s="20"/>
      <c r="AD310" s="4" t="str">
        <f>"Pitanguá"</f>
        <v>Pitanguá</v>
      </c>
      <c r="AE310" s="14" t="str">
        <f>"Matemática"</f>
        <v>Matemática</v>
      </c>
    </row>
    <row r="311" spans="1:31" s="14" customFormat="1" x14ac:dyDescent="0.3">
      <c r="A311" s="23" t="s">
        <v>5000</v>
      </c>
      <c r="B311" s="20" t="s">
        <v>6</v>
      </c>
      <c r="C311" s="20" t="s">
        <v>7</v>
      </c>
      <c r="D311" s="20" t="s">
        <v>8</v>
      </c>
      <c r="E311" s="22">
        <v>30</v>
      </c>
      <c r="F311" s="22">
        <v>4</v>
      </c>
      <c r="G311" s="22">
        <v>1</v>
      </c>
      <c r="H311" s="22"/>
      <c r="I311" s="23" t="s">
        <v>90</v>
      </c>
      <c r="J311" s="23"/>
      <c r="K311" s="22"/>
      <c r="L311" s="22"/>
      <c r="M311" s="23"/>
      <c r="N311" s="23"/>
      <c r="O311" s="26" t="s">
        <v>5001</v>
      </c>
      <c r="P311" s="26" t="s">
        <v>5002</v>
      </c>
      <c r="Q311" s="22">
        <v>91</v>
      </c>
      <c r="R311" s="24">
        <v>45840</v>
      </c>
      <c r="S311" s="24">
        <v>45849</v>
      </c>
      <c r="T311" s="24"/>
      <c r="U311" s="24"/>
      <c r="V311" s="24">
        <v>45853</v>
      </c>
      <c r="W311" s="22" t="s">
        <v>72</v>
      </c>
      <c r="X311" s="4" t="str">
        <f>IF(Tabela2[[#This Row],[sigla]]="","",VLOOKUP(Tabela2[[#This Row],[sigla]],créditos_base!B:C,2,0))</f>
        <v>HELOÍSA PINTARELLI/ARQUIVO DA EDITORA</v>
      </c>
      <c r="Y311" s="23" t="s">
        <v>4893</v>
      </c>
      <c r="Z311" s="23" t="s">
        <v>831</v>
      </c>
      <c r="AA311" s="22">
        <v>13</v>
      </c>
      <c r="AB311" s="20" t="s">
        <v>4986</v>
      </c>
      <c r="AC311" s="20" t="s">
        <v>310</v>
      </c>
      <c r="AD311" s="4" t="str">
        <f>"Pitanguá"</f>
        <v>Pitanguá</v>
      </c>
      <c r="AE311" s="14" t="str">
        <f>"Matemática"</f>
        <v>Matemática</v>
      </c>
    </row>
    <row r="312" spans="1:31" s="14" customFormat="1" x14ac:dyDescent="0.3">
      <c r="A312" s="23" t="s">
        <v>3793</v>
      </c>
      <c r="B312" s="20" t="s">
        <v>16</v>
      </c>
      <c r="C312" s="20" t="s">
        <v>7</v>
      </c>
      <c r="D312" s="20" t="s">
        <v>8</v>
      </c>
      <c r="E312" s="22">
        <v>48</v>
      </c>
      <c r="F312" s="22">
        <v>2</v>
      </c>
      <c r="G312" s="22">
        <v>1</v>
      </c>
      <c r="H312" s="22"/>
      <c r="I312" s="23" t="s">
        <v>9</v>
      </c>
      <c r="J312" s="23"/>
      <c r="K312" s="22"/>
      <c r="L312" s="22"/>
      <c r="M312" s="23"/>
      <c r="N312" s="23"/>
      <c r="O312" s="26" t="s">
        <v>3794</v>
      </c>
      <c r="P312" s="26"/>
      <c r="Q312" s="22"/>
      <c r="R312" s="24"/>
      <c r="S312" s="24"/>
      <c r="T312" s="24"/>
      <c r="U312" s="24"/>
      <c r="V312" s="24"/>
      <c r="W312" s="22" t="s">
        <v>20</v>
      </c>
      <c r="X312" s="4" t="str">
        <f>IF(Tabela2[[#This Row],[sigla]]="","",VLOOKUP(Tabela2[[#This Row],[sigla]],créditos_base!B:C,2,0))</f>
        <v>SONIA HORN/ARQUIVO DA EDITORA</v>
      </c>
      <c r="Y312" s="23"/>
      <c r="Z312" s="23" t="str">
        <f>Tabela2[[#This Row],[ilustrador]]</f>
        <v>SONIA HORN/ARQUIVO DA EDITORA</v>
      </c>
      <c r="AA312" s="22"/>
      <c r="AB312" s="20"/>
      <c r="AC312" s="20"/>
      <c r="AD312" s="4" t="str">
        <f>"Pitanguá"</f>
        <v>Pitanguá</v>
      </c>
      <c r="AE312" s="14" t="str">
        <f>"Matemática"</f>
        <v>Matemática</v>
      </c>
    </row>
    <row r="313" spans="1:31" s="14" customFormat="1" x14ac:dyDescent="0.3">
      <c r="A313" s="23" t="s">
        <v>5126</v>
      </c>
      <c r="B313" s="20" t="s">
        <v>16</v>
      </c>
      <c r="C313" s="20" t="s">
        <v>7</v>
      </c>
      <c r="D313" s="20" t="s">
        <v>8</v>
      </c>
      <c r="E313" s="22">
        <v>26</v>
      </c>
      <c r="F313" s="22">
        <v>4</v>
      </c>
      <c r="G313" s="22">
        <v>1</v>
      </c>
      <c r="H313" s="22"/>
      <c r="I313" s="23" t="s">
        <v>33</v>
      </c>
      <c r="J313" s="23"/>
      <c r="K313" s="22"/>
      <c r="L313" s="22"/>
      <c r="M313" s="23"/>
      <c r="N313" s="23"/>
      <c r="O313" s="26" t="s">
        <v>5127</v>
      </c>
      <c r="P313" s="26"/>
      <c r="Q313" s="22">
        <v>99</v>
      </c>
      <c r="R313" s="24">
        <v>45845</v>
      </c>
      <c r="S313" s="24">
        <v>45852</v>
      </c>
      <c r="T313" s="24"/>
      <c r="U313" s="24"/>
      <c r="V313" s="24">
        <v>45852</v>
      </c>
      <c r="W313" s="22" t="s">
        <v>31</v>
      </c>
      <c r="X313" s="4" t="str">
        <f>IF(Tabela2[[#This Row],[sigla]]="","",VLOOKUP(Tabela2[[#This Row],[sigla]],créditos_base!B:C,2,0))</f>
        <v>SILVIA OTOFUJI/ARQUIVO DA EDITORA</v>
      </c>
      <c r="Y313" s="23" t="s">
        <v>243</v>
      </c>
      <c r="Z313" s="23" t="str">
        <f>Tabela2[[#This Row],[ilustrador]]</f>
        <v>SILVIA OTOFUJI/ARQUIVO DA EDITORA</v>
      </c>
      <c r="AA313" s="22">
        <v>13</v>
      </c>
      <c r="AB313" s="20" t="s">
        <v>153</v>
      </c>
      <c r="AC313" s="20" t="s">
        <v>36</v>
      </c>
      <c r="AD313" s="4" t="str">
        <f>"Pitanguá"</f>
        <v>Pitanguá</v>
      </c>
      <c r="AE313" s="14" t="str">
        <f>"Matemática"</f>
        <v>Matemática</v>
      </c>
    </row>
    <row r="314" spans="1:31" s="14" customFormat="1" ht="28.8" x14ac:dyDescent="0.3">
      <c r="A314" s="4" t="s">
        <v>3572</v>
      </c>
      <c r="B314" s="21" t="s">
        <v>16</v>
      </c>
      <c r="C314" s="21" t="s">
        <v>89</v>
      </c>
      <c r="D314" s="21" t="s">
        <v>8</v>
      </c>
      <c r="E314" s="3">
        <v>20</v>
      </c>
      <c r="F314" s="3">
        <v>2</v>
      </c>
      <c r="G314" s="3">
        <v>1</v>
      </c>
      <c r="H314" s="3"/>
      <c r="I314" s="4" t="s">
        <v>90</v>
      </c>
      <c r="J314" s="4"/>
      <c r="K314" s="3"/>
      <c r="L314" s="3"/>
      <c r="M314" s="4"/>
      <c r="N314" s="4"/>
      <c r="O314" s="21" t="s">
        <v>3573</v>
      </c>
      <c r="P314" s="21"/>
      <c r="Q314" s="3">
        <v>52</v>
      </c>
      <c r="R314" s="25">
        <v>45803</v>
      </c>
      <c r="S314" s="24">
        <v>45804</v>
      </c>
      <c r="T314" s="24"/>
      <c r="U314" s="24"/>
      <c r="V314" s="24">
        <v>45807</v>
      </c>
      <c r="W314" s="22" t="s">
        <v>72</v>
      </c>
      <c r="X314" s="4" t="str">
        <f>IF(Tabela2[[#This Row],[sigla]]="","",VLOOKUP(Tabela2[[#This Row],[sigla]],créditos_base!B:C,2,0))</f>
        <v>HELOÍSA PINTARELLI/ARQUIVO DA EDITORA</v>
      </c>
      <c r="Y314" s="23"/>
      <c r="Z314" s="23" t="str">
        <f>Tabela2[[#This Row],[ilustrador]]</f>
        <v>HELOÍSA PINTARELLI/ARQUIVO DA EDITORA</v>
      </c>
      <c r="AA314" s="22">
        <v>8</v>
      </c>
      <c r="AB314" s="20" t="s">
        <v>3574</v>
      </c>
      <c r="AC314" s="20" t="s">
        <v>310</v>
      </c>
      <c r="AD314" s="4" t="str">
        <f>"Pitanguá"</f>
        <v>Pitanguá</v>
      </c>
      <c r="AE314" s="14" t="str">
        <f>"Matemática"</f>
        <v>Matemática</v>
      </c>
    </row>
    <row r="315" spans="1:31" s="14" customFormat="1" x14ac:dyDescent="0.3">
      <c r="A315" s="23" t="s">
        <v>5128</v>
      </c>
      <c r="B315" s="20" t="s">
        <v>16</v>
      </c>
      <c r="C315" s="20" t="s">
        <v>7</v>
      </c>
      <c r="D315" s="20" t="s">
        <v>8</v>
      </c>
      <c r="E315" s="22">
        <v>27</v>
      </c>
      <c r="F315" s="22">
        <v>4</v>
      </c>
      <c r="G315" s="22">
        <v>1</v>
      </c>
      <c r="H315" s="22"/>
      <c r="I315" s="23" t="s">
        <v>90</v>
      </c>
      <c r="J315" s="23"/>
      <c r="K315" s="22"/>
      <c r="L315" s="22"/>
      <c r="M315" s="23"/>
      <c r="N315" s="23"/>
      <c r="O315" s="26" t="s">
        <v>5129</v>
      </c>
      <c r="P315" s="26"/>
      <c r="Q315" s="22">
        <v>99</v>
      </c>
      <c r="R315" s="24">
        <v>45845</v>
      </c>
      <c r="S315" s="24">
        <v>45852</v>
      </c>
      <c r="T315" s="24">
        <v>45856</v>
      </c>
      <c r="U315" s="24">
        <v>45860</v>
      </c>
      <c r="V315" s="24">
        <v>45863</v>
      </c>
      <c r="W315" s="22" t="s">
        <v>31</v>
      </c>
      <c r="X315" s="4" t="str">
        <f>IF(Tabela2[[#This Row],[sigla]]="","",VLOOKUP(Tabela2[[#This Row],[sigla]],créditos_base!B:C,2,0))</f>
        <v>SILVIA OTOFUJI/ARQUIVO DA EDITORA</v>
      </c>
      <c r="Y315" s="23"/>
      <c r="Z315" s="23" t="str">
        <f>Tabela2[[#This Row],[ilustrador]]</f>
        <v>SILVIA OTOFUJI/ARQUIVO DA EDITORA</v>
      </c>
      <c r="AA315" s="22">
        <v>4</v>
      </c>
      <c r="AB315" s="26" t="s">
        <v>5130</v>
      </c>
      <c r="AC315" s="20" t="s">
        <v>310</v>
      </c>
      <c r="AD315" s="4" t="str">
        <f>"Pitanguá"</f>
        <v>Pitanguá</v>
      </c>
      <c r="AE315" s="14" t="str">
        <f>"Matemática"</f>
        <v>Matemática</v>
      </c>
    </row>
    <row r="316" spans="1:31" s="14" customFormat="1" x14ac:dyDescent="0.3">
      <c r="A316" s="23" t="s">
        <v>4804</v>
      </c>
      <c r="B316" s="20" t="s">
        <v>16</v>
      </c>
      <c r="C316" s="20" t="s">
        <v>7</v>
      </c>
      <c r="D316" s="20" t="s">
        <v>8</v>
      </c>
      <c r="E316" s="22">
        <v>59</v>
      </c>
      <c r="F316" s="22">
        <v>3</v>
      </c>
      <c r="G316" s="22">
        <v>1</v>
      </c>
      <c r="H316" s="22"/>
      <c r="I316" s="23" t="s">
        <v>90</v>
      </c>
      <c r="J316" s="23"/>
      <c r="K316" s="22"/>
      <c r="L316" s="22"/>
      <c r="M316" s="23"/>
      <c r="N316" s="23"/>
      <c r="O316" s="20" t="s">
        <v>4805</v>
      </c>
      <c r="P316" s="20"/>
      <c r="Q316" s="22">
        <v>78</v>
      </c>
      <c r="R316" s="24">
        <v>45820</v>
      </c>
      <c r="S316" s="24">
        <v>45821</v>
      </c>
      <c r="T316" s="24"/>
      <c r="U316" s="24"/>
      <c r="V316" s="24">
        <v>45824</v>
      </c>
      <c r="W316" s="22" t="s">
        <v>72</v>
      </c>
      <c r="X316" s="4" t="str">
        <f>IF(Tabela2[[#This Row],[sigla]]="","",VLOOKUP(Tabela2[[#This Row],[sigla]],créditos_base!B:C,2,0))</f>
        <v>HELOÍSA PINTARELLI/ARQUIVO DA EDITORA</v>
      </c>
      <c r="Y316" s="23"/>
      <c r="Z316" s="23" t="s">
        <v>661</v>
      </c>
      <c r="AA316" s="22">
        <v>8</v>
      </c>
      <c r="AB316" s="20" t="s">
        <v>4793</v>
      </c>
      <c r="AC316" s="20" t="s">
        <v>310</v>
      </c>
      <c r="AD316" s="4" t="str">
        <f>"Pitanguá"</f>
        <v>Pitanguá</v>
      </c>
      <c r="AE316" s="14" t="str">
        <f>"Matemática"</f>
        <v>Matemática</v>
      </c>
    </row>
    <row r="317" spans="1:31" s="14" customFormat="1" ht="28.8" x14ac:dyDescent="0.3">
      <c r="A317" s="23" t="s">
        <v>3784</v>
      </c>
      <c r="B317" s="20" t="s">
        <v>16</v>
      </c>
      <c r="C317" s="20" t="s">
        <v>7</v>
      </c>
      <c r="D317" s="20" t="s">
        <v>8</v>
      </c>
      <c r="E317" s="22">
        <v>39</v>
      </c>
      <c r="F317" s="22">
        <v>2</v>
      </c>
      <c r="G317" s="22">
        <v>1</v>
      </c>
      <c r="H317" s="22"/>
      <c r="I317" s="23" t="s">
        <v>90</v>
      </c>
      <c r="J317" s="23"/>
      <c r="K317" s="22"/>
      <c r="L317" s="22"/>
      <c r="M317" s="23"/>
      <c r="N317" s="23"/>
      <c r="O317" s="26" t="s">
        <v>3785</v>
      </c>
      <c r="P317" s="26"/>
      <c r="Q317" s="22">
        <v>52</v>
      </c>
      <c r="R317" s="24">
        <v>45803</v>
      </c>
      <c r="S317" s="24">
        <v>45804</v>
      </c>
      <c r="T317" s="24">
        <v>45810</v>
      </c>
      <c r="U317" s="24">
        <v>45812</v>
      </c>
      <c r="V317" s="24">
        <v>45825</v>
      </c>
      <c r="W317" s="22" t="s">
        <v>31</v>
      </c>
      <c r="X317" s="4" t="str">
        <f>IF(Tabela2[[#This Row],[sigla]]="","",VLOOKUP(Tabela2[[#This Row],[sigla]],créditos_base!B:C,2,0))</f>
        <v>SILVIA OTOFUJI/ARQUIVO DA EDITORA</v>
      </c>
      <c r="Y317" s="23"/>
      <c r="Z317" s="23" t="str">
        <f>Tabela2[[#This Row],[ilustrador]]</f>
        <v>SILVIA OTOFUJI/ARQUIVO DA EDITORA</v>
      </c>
      <c r="AA317" s="22">
        <v>6</v>
      </c>
      <c r="AB317" s="20" t="s">
        <v>3786</v>
      </c>
      <c r="AC317" s="20" t="s">
        <v>36</v>
      </c>
      <c r="AD317" s="4" t="str">
        <f>"Pitanguá"</f>
        <v>Pitanguá</v>
      </c>
      <c r="AE317" s="14" t="str">
        <f>"Matemática"</f>
        <v>Matemática</v>
      </c>
    </row>
    <row r="318" spans="1:31" s="14" customFormat="1" x14ac:dyDescent="0.3">
      <c r="A318" s="23" t="s">
        <v>4780</v>
      </c>
      <c r="B318" s="20" t="s">
        <v>16</v>
      </c>
      <c r="C318" s="20" t="s">
        <v>7</v>
      </c>
      <c r="D318" s="20" t="s">
        <v>8</v>
      </c>
      <c r="E318" s="22">
        <v>37</v>
      </c>
      <c r="F318" s="22">
        <v>3</v>
      </c>
      <c r="G318" s="22">
        <v>1</v>
      </c>
      <c r="H318" s="22"/>
      <c r="I318" s="23" t="s">
        <v>90</v>
      </c>
      <c r="J318" s="23"/>
      <c r="K318" s="22"/>
      <c r="L318" s="22"/>
      <c r="M318" s="23"/>
      <c r="N318" s="23"/>
      <c r="O318" s="26" t="s">
        <v>4781</v>
      </c>
      <c r="P318" s="20"/>
      <c r="Q318" s="22">
        <v>78</v>
      </c>
      <c r="R318" s="24">
        <v>12</v>
      </c>
      <c r="S318" s="24">
        <v>45822</v>
      </c>
      <c r="T318" s="24">
        <v>45826</v>
      </c>
      <c r="U318" s="24">
        <v>45828</v>
      </c>
      <c r="V318" s="24">
        <v>45828</v>
      </c>
      <c r="W318" s="22" t="s">
        <v>2221</v>
      </c>
      <c r="X318" s="4" t="str">
        <f>IF(Tabela2[[#This Row],[sigla]]="","",VLOOKUP(Tabela2[[#This Row],[sigla]],créditos_base!B:C,2,0))</f>
        <v>REINALDO ROSA/ARQUIVO DA EDITORA</v>
      </c>
      <c r="Y318" s="23"/>
      <c r="Z318" s="23" t="str">
        <f>Tabela2[[#This Row],[ilustrador]]</f>
        <v>REINALDO ROSA/ARQUIVO DA EDITORA</v>
      </c>
      <c r="AA318" s="22">
        <v>7</v>
      </c>
      <c r="AB318" s="26" t="s">
        <v>4782</v>
      </c>
      <c r="AC318" s="20" t="s">
        <v>310</v>
      </c>
      <c r="AD318" s="4" t="str">
        <f>"Pitanguá"</f>
        <v>Pitanguá</v>
      </c>
      <c r="AE318" s="14" t="str">
        <f>"Matemática"</f>
        <v>Matemática</v>
      </c>
    </row>
    <row r="319" spans="1:31" s="14" customFormat="1" x14ac:dyDescent="0.3">
      <c r="A319" s="23" t="s">
        <v>3787</v>
      </c>
      <c r="B319" s="20" t="s">
        <v>16</v>
      </c>
      <c r="C319" s="20" t="s">
        <v>7</v>
      </c>
      <c r="D319" s="20" t="s">
        <v>8</v>
      </c>
      <c r="E319" s="22">
        <v>39</v>
      </c>
      <c r="F319" s="22">
        <v>2</v>
      </c>
      <c r="G319" s="22">
        <v>1</v>
      </c>
      <c r="H319" s="22"/>
      <c r="I319" s="23" t="s">
        <v>90</v>
      </c>
      <c r="J319" s="23"/>
      <c r="K319" s="22"/>
      <c r="L319" s="22"/>
      <c r="M319" s="23"/>
      <c r="N319" s="23"/>
      <c r="O319" s="26" t="s">
        <v>3788</v>
      </c>
      <c r="P319" s="26"/>
      <c r="Q319" s="22">
        <v>52</v>
      </c>
      <c r="R319" s="24">
        <v>45803</v>
      </c>
      <c r="S319" s="24">
        <v>45804</v>
      </c>
      <c r="T319" s="24">
        <v>45810</v>
      </c>
      <c r="U319" s="24">
        <v>45812</v>
      </c>
      <c r="V319" s="24">
        <v>45825</v>
      </c>
      <c r="W319" s="22" t="s">
        <v>31</v>
      </c>
      <c r="X319" s="4" t="str">
        <f>IF(Tabela2[[#This Row],[sigla]]="","",VLOOKUP(Tabela2[[#This Row],[sigla]],créditos_base!B:C,2,0))</f>
        <v>SILVIA OTOFUJI/ARQUIVO DA EDITORA</v>
      </c>
      <c r="Y319" s="23"/>
      <c r="Z319" s="23" t="str">
        <f>Tabela2[[#This Row],[ilustrador]]</f>
        <v>SILVIA OTOFUJI/ARQUIVO DA EDITORA</v>
      </c>
      <c r="AA319" s="22">
        <v>7</v>
      </c>
      <c r="AB319" s="20" t="s">
        <v>3786</v>
      </c>
      <c r="AC319" s="20" t="s">
        <v>36</v>
      </c>
      <c r="AD319" s="4" t="str">
        <f>"Pitanguá"</f>
        <v>Pitanguá</v>
      </c>
      <c r="AE319" s="14" t="str">
        <f>"Matemática"</f>
        <v>Matemática</v>
      </c>
    </row>
    <row r="320" spans="1:31" s="14" customFormat="1" ht="28.8" x14ac:dyDescent="0.3">
      <c r="A320" s="23" t="s">
        <v>4783</v>
      </c>
      <c r="B320" s="20" t="s">
        <v>16</v>
      </c>
      <c r="C320" s="20" t="s">
        <v>7</v>
      </c>
      <c r="D320" s="20" t="s">
        <v>8</v>
      </c>
      <c r="E320" s="22">
        <v>37</v>
      </c>
      <c r="F320" s="22">
        <v>3</v>
      </c>
      <c r="G320" s="22">
        <v>1</v>
      </c>
      <c r="H320" s="22"/>
      <c r="I320" s="23" t="s">
        <v>90</v>
      </c>
      <c r="J320" s="23"/>
      <c r="K320" s="22"/>
      <c r="L320" s="22"/>
      <c r="M320" s="23"/>
      <c r="N320" s="23"/>
      <c r="O320" s="26" t="s">
        <v>4784</v>
      </c>
      <c r="P320" s="20"/>
      <c r="Q320" s="22">
        <v>78</v>
      </c>
      <c r="R320" s="24">
        <v>45820</v>
      </c>
      <c r="S320" s="24">
        <v>45822</v>
      </c>
      <c r="T320" s="24">
        <v>45826</v>
      </c>
      <c r="U320" s="24">
        <v>45828</v>
      </c>
      <c r="V320" s="24">
        <v>45828</v>
      </c>
      <c r="W320" s="22" t="s">
        <v>2221</v>
      </c>
      <c r="X320" s="4" t="str">
        <f>IF(Tabela2[[#This Row],[sigla]]="","",VLOOKUP(Tabela2[[#This Row],[sigla]],créditos_base!B:C,2,0))</f>
        <v>REINALDO ROSA/ARQUIVO DA EDITORA</v>
      </c>
      <c r="Y320" s="23"/>
      <c r="Z320" s="23" t="str">
        <f>Tabela2[[#This Row],[ilustrador]]</f>
        <v>REINALDO ROSA/ARQUIVO DA EDITORA</v>
      </c>
      <c r="AA320" s="22">
        <v>8</v>
      </c>
      <c r="AB320" s="26" t="s">
        <v>4782</v>
      </c>
      <c r="AC320" s="20" t="s">
        <v>310</v>
      </c>
      <c r="AD320" s="4" t="str">
        <f>"Pitanguá"</f>
        <v>Pitanguá</v>
      </c>
      <c r="AE320" s="14" t="str">
        <f>"Matemática"</f>
        <v>Matemática</v>
      </c>
    </row>
    <row r="321" spans="1:31" s="14" customFormat="1" ht="28.8" x14ac:dyDescent="0.3">
      <c r="A321" s="23" t="s">
        <v>3782</v>
      </c>
      <c r="B321" s="20" t="s">
        <v>16</v>
      </c>
      <c r="C321" s="20" t="s">
        <v>7</v>
      </c>
      <c r="D321" s="20" t="s">
        <v>8</v>
      </c>
      <c r="E321" s="22">
        <v>39</v>
      </c>
      <c r="F321" s="22">
        <v>2</v>
      </c>
      <c r="G321" s="22">
        <v>1</v>
      </c>
      <c r="H321" s="22"/>
      <c r="I321" s="23" t="s">
        <v>33</v>
      </c>
      <c r="J321" s="23"/>
      <c r="K321" s="22"/>
      <c r="L321" s="22"/>
      <c r="M321" s="23"/>
      <c r="N321" s="23"/>
      <c r="O321" s="26" t="s">
        <v>3783</v>
      </c>
      <c r="P321" s="26"/>
      <c r="Q321" s="22">
        <v>52</v>
      </c>
      <c r="R321" s="24">
        <v>45803</v>
      </c>
      <c r="S321" s="24">
        <v>45805</v>
      </c>
      <c r="T321" s="24"/>
      <c r="U321" s="24"/>
      <c r="V321" s="24">
        <v>45805</v>
      </c>
      <c r="W321" s="22" t="s">
        <v>31</v>
      </c>
      <c r="X321" s="4" t="str">
        <f>IF(Tabela2[[#This Row],[sigla]]="","",VLOOKUP(Tabela2[[#This Row],[sigla]],créditos_base!B:C,2,0))</f>
        <v>SILVIA OTOFUJI/ARQUIVO DA EDITORA</v>
      </c>
      <c r="Y321" s="23" t="s">
        <v>188</v>
      </c>
      <c r="Z321" s="23" t="str">
        <f>Tabela2[[#This Row],[ilustrador]]</f>
        <v>SILVIA OTOFUJI/ARQUIVO DA EDITORA</v>
      </c>
      <c r="AA321" s="22">
        <v>14</v>
      </c>
      <c r="AB321" s="20" t="s">
        <v>153</v>
      </c>
      <c r="AC321" s="20" t="s">
        <v>36</v>
      </c>
      <c r="AD321" s="4" t="str">
        <f>"Pitanguá"</f>
        <v>Pitanguá</v>
      </c>
      <c r="AE321" s="14" t="str">
        <f>"Matemática"</f>
        <v>Matemática</v>
      </c>
    </row>
    <row r="322" spans="1:31" s="14" customFormat="1" x14ac:dyDescent="0.3">
      <c r="A322" s="23" t="s">
        <v>4785</v>
      </c>
      <c r="B322" s="20" t="s">
        <v>16</v>
      </c>
      <c r="C322" s="20" t="s">
        <v>7</v>
      </c>
      <c r="D322" s="20" t="s">
        <v>8</v>
      </c>
      <c r="E322" s="22">
        <v>37</v>
      </c>
      <c r="F322" s="22">
        <v>3</v>
      </c>
      <c r="G322" s="22">
        <v>1</v>
      </c>
      <c r="H322" s="22"/>
      <c r="I322" s="23" t="s">
        <v>90</v>
      </c>
      <c r="J322" s="23"/>
      <c r="K322" s="22"/>
      <c r="L322" s="22"/>
      <c r="M322" s="23"/>
      <c r="N322" s="23"/>
      <c r="O322" s="20" t="s">
        <v>4786</v>
      </c>
      <c r="P322" s="20"/>
      <c r="Q322" s="22">
        <v>78</v>
      </c>
      <c r="R322" s="24">
        <v>45820</v>
      </c>
      <c r="S322" s="24">
        <v>45822</v>
      </c>
      <c r="T322" s="24">
        <v>45826</v>
      </c>
      <c r="U322" s="24">
        <v>45828</v>
      </c>
      <c r="V322" s="24">
        <v>45828</v>
      </c>
      <c r="W322" s="22" t="s">
        <v>2221</v>
      </c>
      <c r="X322" s="4" t="str">
        <f>IF(Tabela2[[#This Row],[sigla]]="","",VLOOKUP(Tabela2[[#This Row],[sigla]],créditos_base!B:C,2,0))</f>
        <v>REINALDO ROSA/ARQUIVO DA EDITORA</v>
      </c>
      <c r="Y322" s="23"/>
      <c r="Z322" s="23" t="str">
        <f>Tabela2[[#This Row],[ilustrador]]</f>
        <v>REINALDO ROSA/ARQUIVO DA EDITORA</v>
      </c>
      <c r="AA322" s="22">
        <v>8</v>
      </c>
      <c r="AB322" s="26" t="s">
        <v>4782</v>
      </c>
      <c r="AC322" s="20" t="s">
        <v>310</v>
      </c>
      <c r="AD322" s="4" t="str">
        <f>"Pitanguá"</f>
        <v>Pitanguá</v>
      </c>
      <c r="AE322" s="14" t="str">
        <f>"Matemática"</f>
        <v>Matemática</v>
      </c>
    </row>
    <row r="323" spans="1:31" s="14" customFormat="1" x14ac:dyDescent="0.3">
      <c r="A323" s="23" t="s">
        <v>3789</v>
      </c>
      <c r="B323" s="20" t="s">
        <v>16</v>
      </c>
      <c r="C323" s="20" t="s">
        <v>7</v>
      </c>
      <c r="D323" s="20" t="s">
        <v>8</v>
      </c>
      <c r="E323" s="22">
        <v>40</v>
      </c>
      <c r="F323" s="22">
        <v>2</v>
      </c>
      <c r="G323" s="22">
        <v>1</v>
      </c>
      <c r="H323" s="22"/>
      <c r="I323" s="23" t="s">
        <v>90</v>
      </c>
      <c r="J323" s="23"/>
      <c r="K323" s="22"/>
      <c r="L323" s="22"/>
      <c r="M323" s="23"/>
      <c r="N323" s="23"/>
      <c r="O323" s="26" t="s">
        <v>3790</v>
      </c>
      <c r="P323" s="26"/>
      <c r="Q323" s="22">
        <v>52</v>
      </c>
      <c r="R323" s="24">
        <v>45803</v>
      </c>
      <c r="S323" s="24">
        <v>45804</v>
      </c>
      <c r="T323" s="24">
        <v>45810</v>
      </c>
      <c r="U323" s="24">
        <v>45812</v>
      </c>
      <c r="V323" s="24">
        <v>45825</v>
      </c>
      <c r="W323" s="22" t="s">
        <v>31</v>
      </c>
      <c r="X323" s="4" t="str">
        <f>IF(Tabela2[[#This Row],[sigla]]="","",VLOOKUP(Tabela2[[#This Row],[sigla]],créditos_base!B:C,2,0))</f>
        <v>SILVIA OTOFUJI/ARQUIVO DA EDITORA</v>
      </c>
      <c r="Y323" s="23"/>
      <c r="Z323" s="23" t="str">
        <f>Tabela2[[#This Row],[ilustrador]]</f>
        <v>SILVIA OTOFUJI/ARQUIVO DA EDITORA</v>
      </c>
      <c r="AA323" s="22">
        <v>7</v>
      </c>
      <c r="AB323" s="20" t="s">
        <v>3786</v>
      </c>
      <c r="AC323" s="20" t="s">
        <v>36</v>
      </c>
      <c r="AD323" s="4" t="str">
        <f>"Pitanguá"</f>
        <v>Pitanguá</v>
      </c>
      <c r="AE323" s="14" t="str">
        <f>"Matemática"</f>
        <v>Matemática</v>
      </c>
    </row>
    <row r="324" spans="1:31" s="14" customFormat="1" x14ac:dyDescent="0.3">
      <c r="A324" s="23" t="s">
        <v>3791</v>
      </c>
      <c r="B324" s="20" t="s">
        <v>16</v>
      </c>
      <c r="C324" s="20" t="s">
        <v>7</v>
      </c>
      <c r="D324" s="20" t="s">
        <v>8</v>
      </c>
      <c r="E324" s="22">
        <v>40</v>
      </c>
      <c r="F324" s="22">
        <v>2</v>
      </c>
      <c r="G324" s="22">
        <v>1</v>
      </c>
      <c r="H324" s="22"/>
      <c r="I324" s="23" t="s">
        <v>90</v>
      </c>
      <c r="J324" s="23"/>
      <c r="K324" s="22"/>
      <c r="L324" s="22"/>
      <c r="M324" s="23"/>
      <c r="N324" s="23"/>
      <c r="O324" s="26" t="s">
        <v>3792</v>
      </c>
      <c r="P324" s="26"/>
      <c r="Q324" s="22">
        <v>52</v>
      </c>
      <c r="R324" s="24">
        <v>45803</v>
      </c>
      <c r="S324" s="24">
        <v>45804</v>
      </c>
      <c r="T324" s="24">
        <v>45810</v>
      </c>
      <c r="U324" s="24">
        <v>45812</v>
      </c>
      <c r="V324" s="24">
        <v>45825</v>
      </c>
      <c r="W324" s="22" t="s">
        <v>31</v>
      </c>
      <c r="X324" s="4" t="str">
        <f>IF(Tabela2[[#This Row],[sigla]]="","",VLOOKUP(Tabela2[[#This Row],[sigla]],créditos_base!B:C,2,0))</f>
        <v>SILVIA OTOFUJI/ARQUIVO DA EDITORA</v>
      </c>
      <c r="Y324" s="23"/>
      <c r="Z324" s="23" t="str">
        <f>Tabela2[[#This Row],[ilustrador]]</f>
        <v>SILVIA OTOFUJI/ARQUIVO DA EDITORA</v>
      </c>
      <c r="AA324" s="22">
        <v>4</v>
      </c>
      <c r="AB324" s="20" t="s">
        <v>3786</v>
      </c>
      <c r="AC324" s="20" t="s">
        <v>36</v>
      </c>
      <c r="AD324" s="4" t="str">
        <f>"Pitanguá"</f>
        <v>Pitanguá</v>
      </c>
      <c r="AE324" s="14" t="str">
        <f>"Matemática"</f>
        <v>Matemática</v>
      </c>
    </row>
    <row r="325" spans="1:31" s="14" customFormat="1" x14ac:dyDescent="0.3">
      <c r="A325" s="23" t="s">
        <v>1998</v>
      </c>
      <c r="B325" s="20" t="s">
        <v>16</v>
      </c>
      <c r="C325" s="20" t="s">
        <v>89</v>
      </c>
      <c r="D325" s="20" t="s">
        <v>8</v>
      </c>
      <c r="E325" s="22">
        <v>41</v>
      </c>
      <c r="F325" s="22">
        <v>1</v>
      </c>
      <c r="G325" s="22">
        <v>1</v>
      </c>
      <c r="H325" s="22"/>
      <c r="I325" s="23" t="s">
        <v>90</v>
      </c>
      <c r="J325" s="23"/>
      <c r="K325" s="22"/>
      <c r="L325" s="22"/>
      <c r="M325" s="23"/>
      <c r="N325" s="23"/>
      <c r="O325" s="26" t="s">
        <v>1999</v>
      </c>
      <c r="P325" s="26"/>
      <c r="Q325" s="22">
        <v>25</v>
      </c>
      <c r="R325" s="24">
        <v>45751</v>
      </c>
      <c r="S325" s="24">
        <v>45754</v>
      </c>
      <c r="T325" s="24"/>
      <c r="U325" s="24"/>
      <c r="V325" s="24">
        <v>45756</v>
      </c>
      <c r="W325" s="22" t="s">
        <v>72</v>
      </c>
      <c r="X325" s="4" t="str">
        <f>IF(Tabela2[[#This Row],[sigla]]="","",VLOOKUP(Tabela2[[#This Row],[sigla]],créditos_base!B:C,2,0))</f>
        <v>HELOÍSA PINTARELLI/ARQUIVO DA EDITORA</v>
      </c>
      <c r="Y325" s="23"/>
      <c r="Z325" s="23" t="str">
        <f>Tabela2[[#This Row],[ilustrador]]</f>
        <v>HELOÍSA PINTARELLI/ARQUIVO DA EDITORA</v>
      </c>
      <c r="AA325" s="22">
        <v>8</v>
      </c>
      <c r="AB325" s="20" t="s">
        <v>2000</v>
      </c>
      <c r="AC325" s="20" t="s">
        <v>310</v>
      </c>
      <c r="AD325" s="4" t="str">
        <f>"Pitanguá"</f>
        <v>Pitanguá</v>
      </c>
      <c r="AE325" s="14" t="str">
        <f>"Matemática"</f>
        <v>Matemática</v>
      </c>
    </row>
    <row r="326" spans="1:31" s="14" customFormat="1" x14ac:dyDescent="0.3">
      <c r="A326" s="23" t="s">
        <v>3795</v>
      </c>
      <c r="B326" s="20" t="s">
        <v>16</v>
      </c>
      <c r="C326" s="20" t="s">
        <v>7</v>
      </c>
      <c r="D326" s="20" t="s">
        <v>8</v>
      </c>
      <c r="E326" s="22">
        <v>48</v>
      </c>
      <c r="F326" s="22">
        <v>2</v>
      </c>
      <c r="G326" s="22">
        <v>1</v>
      </c>
      <c r="H326" s="22"/>
      <c r="I326" s="23" t="s">
        <v>33</v>
      </c>
      <c r="J326" s="23"/>
      <c r="K326" s="22"/>
      <c r="L326" s="22"/>
      <c r="M326" s="23"/>
      <c r="N326" s="23"/>
      <c r="O326" s="26" t="s">
        <v>3796</v>
      </c>
      <c r="P326" s="26"/>
      <c r="Q326" s="22">
        <v>52</v>
      </c>
      <c r="R326" s="24">
        <v>45803</v>
      </c>
      <c r="S326" s="24">
        <v>45805</v>
      </c>
      <c r="T326" s="24"/>
      <c r="U326" s="24"/>
      <c r="V326" s="24">
        <v>45805</v>
      </c>
      <c r="W326" s="22" t="s">
        <v>20</v>
      </c>
      <c r="X326" s="4" t="str">
        <f>IF(Tabela2[[#This Row],[sigla]]="","",VLOOKUP(Tabela2[[#This Row],[sigla]],créditos_base!B:C,2,0))</f>
        <v>SONIA HORN/ARQUIVO DA EDITORA</v>
      </c>
      <c r="Y326" s="23" t="s">
        <v>188</v>
      </c>
      <c r="Z326" s="23" t="str">
        <f>Tabela2[[#This Row],[ilustrador]]</f>
        <v>SONIA HORN/ARQUIVO DA EDITORA</v>
      </c>
      <c r="AA326" s="22">
        <v>14</v>
      </c>
      <c r="AB326" s="20" t="s">
        <v>153</v>
      </c>
      <c r="AC326" s="20" t="s">
        <v>36</v>
      </c>
      <c r="AD326" s="4" t="str">
        <f>"Pitanguá"</f>
        <v>Pitanguá</v>
      </c>
      <c r="AE326" s="14" t="str">
        <f>"Matemática"</f>
        <v>Matemática</v>
      </c>
    </row>
    <row r="327" spans="1:31" s="14" customFormat="1" ht="72" x14ac:dyDescent="0.3">
      <c r="A327" s="23" t="s">
        <v>2001</v>
      </c>
      <c r="B327" s="20" t="s">
        <v>16</v>
      </c>
      <c r="C327" s="20" t="s">
        <v>89</v>
      </c>
      <c r="D327" s="20" t="s">
        <v>8</v>
      </c>
      <c r="E327" s="22">
        <v>41</v>
      </c>
      <c r="F327" s="22">
        <v>1</v>
      </c>
      <c r="G327" s="22">
        <v>1</v>
      </c>
      <c r="H327" s="22"/>
      <c r="I327" s="23" t="s">
        <v>90</v>
      </c>
      <c r="J327" s="23"/>
      <c r="K327" s="22"/>
      <c r="L327" s="22"/>
      <c r="M327" s="23"/>
      <c r="N327" s="23"/>
      <c r="O327" s="26" t="s">
        <v>2002</v>
      </c>
      <c r="P327" s="26"/>
      <c r="Q327" s="22">
        <v>25</v>
      </c>
      <c r="R327" s="24">
        <v>45751</v>
      </c>
      <c r="S327" s="24">
        <v>45754</v>
      </c>
      <c r="T327" s="24"/>
      <c r="U327" s="24"/>
      <c r="V327" s="24">
        <v>45756</v>
      </c>
      <c r="W327" s="22" t="s">
        <v>72</v>
      </c>
      <c r="X327" s="4" t="str">
        <f>IF(Tabela2[[#This Row],[sigla]]="","",VLOOKUP(Tabela2[[#This Row],[sigla]],créditos_base!B:C,2,0))</f>
        <v>HELOÍSA PINTARELLI/ARQUIVO DA EDITORA</v>
      </c>
      <c r="Y327" s="23"/>
      <c r="Z327" s="23" t="str">
        <f>Tabela2[[#This Row],[ilustrador]]</f>
        <v>HELOÍSA PINTARELLI/ARQUIVO DA EDITORA</v>
      </c>
      <c r="AA327" s="22">
        <v>8</v>
      </c>
      <c r="AB327" s="20" t="s">
        <v>2000</v>
      </c>
      <c r="AC327" s="20" t="s">
        <v>310</v>
      </c>
      <c r="AD327" s="4" t="str">
        <f>"Pitanguá"</f>
        <v>Pitanguá</v>
      </c>
      <c r="AE327" s="14" t="str">
        <f>"Matemática"</f>
        <v>Matemática</v>
      </c>
    </row>
    <row r="328" spans="1:31" s="14" customFormat="1" ht="43.2" x14ac:dyDescent="0.3">
      <c r="A328" s="23" t="s">
        <v>2003</v>
      </c>
      <c r="B328" s="20" t="s">
        <v>16</v>
      </c>
      <c r="C328" s="20" t="s">
        <v>89</v>
      </c>
      <c r="D328" s="20" t="s">
        <v>8</v>
      </c>
      <c r="E328" s="22">
        <v>41</v>
      </c>
      <c r="F328" s="22">
        <v>1</v>
      </c>
      <c r="G328" s="22">
        <v>1</v>
      </c>
      <c r="H328" s="22"/>
      <c r="I328" s="23" t="s">
        <v>90</v>
      </c>
      <c r="J328" s="23"/>
      <c r="K328" s="22"/>
      <c r="L328" s="22"/>
      <c r="M328" s="23"/>
      <c r="N328" s="23"/>
      <c r="O328" s="26" t="s">
        <v>2004</v>
      </c>
      <c r="P328" s="26"/>
      <c r="Q328" s="22">
        <v>25</v>
      </c>
      <c r="R328" s="24">
        <v>45751</v>
      </c>
      <c r="S328" s="24">
        <v>45754</v>
      </c>
      <c r="T328" s="24"/>
      <c r="U328" s="24"/>
      <c r="V328" s="24">
        <v>45756</v>
      </c>
      <c r="W328" s="22" t="s">
        <v>72</v>
      </c>
      <c r="X328" s="4" t="str">
        <f>IF(Tabela2[[#This Row],[sigla]]="","",VLOOKUP(Tabela2[[#This Row],[sigla]],créditos_base!B:C,2,0))</f>
        <v>HELOÍSA PINTARELLI/ARQUIVO DA EDITORA</v>
      </c>
      <c r="Y328" s="23"/>
      <c r="Z328" s="23" t="str">
        <f>Tabela2[[#This Row],[ilustrador]]</f>
        <v>HELOÍSA PINTARELLI/ARQUIVO DA EDITORA</v>
      </c>
      <c r="AA328" s="22">
        <v>8</v>
      </c>
      <c r="AB328" s="20" t="s">
        <v>2000</v>
      </c>
      <c r="AC328" s="20" t="s">
        <v>310</v>
      </c>
      <c r="AD328" s="4" t="str">
        <f>"Pitanguá"</f>
        <v>Pitanguá</v>
      </c>
      <c r="AE328" s="14" t="str">
        <f>"Matemática"</f>
        <v>Matemática</v>
      </c>
    </row>
    <row r="329" spans="1:31" s="14" customFormat="1" ht="129.6" x14ac:dyDescent="0.3">
      <c r="A329" s="23" t="s">
        <v>3801</v>
      </c>
      <c r="B329" s="20" t="s">
        <v>16</v>
      </c>
      <c r="C329" s="20" t="s">
        <v>89</v>
      </c>
      <c r="D329" s="20" t="s">
        <v>8</v>
      </c>
      <c r="E329" s="22">
        <v>61</v>
      </c>
      <c r="F329" s="22">
        <v>2</v>
      </c>
      <c r="G329" s="22">
        <v>1</v>
      </c>
      <c r="H329" s="22"/>
      <c r="I329" s="23" t="s">
        <v>9</v>
      </c>
      <c r="J329" s="23"/>
      <c r="K329" s="22"/>
      <c r="L329" s="22"/>
      <c r="M329" s="23"/>
      <c r="N329" s="23"/>
      <c r="O329" s="26" t="s">
        <v>3802</v>
      </c>
      <c r="P329" s="26"/>
      <c r="Q329" s="22"/>
      <c r="R329" s="24"/>
      <c r="S329" s="24"/>
      <c r="T329" s="24"/>
      <c r="U329" s="24"/>
      <c r="V329" s="24"/>
      <c r="W329" s="22" t="s">
        <v>425</v>
      </c>
      <c r="X329" s="4" t="str">
        <f>IF(Tabela2[[#This Row],[sigla]]="","",VLOOKUP(Tabela2[[#This Row],[sigla]],créditos_base!B:C,2,0))</f>
        <v>BÁRBARA SARZI/ARQUIVO DA EDITORA</v>
      </c>
      <c r="Y329" s="23"/>
      <c r="Z329" s="23" t="s">
        <v>469</v>
      </c>
      <c r="AA329" s="22"/>
      <c r="AB329" s="20"/>
      <c r="AC329" s="20"/>
      <c r="AD329" s="4" t="str">
        <f>"Pitanguá"</f>
        <v>Pitanguá</v>
      </c>
      <c r="AE329" s="14" t="str">
        <f>"Matemática"</f>
        <v>Matemática</v>
      </c>
    </row>
    <row r="330" spans="1:31" s="14" customFormat="1" x14ac:dyDescent="0.3">
      <c r="A330" s="23" t="s">
        <v>2005</v>
      </c>
      <c r="B330" s="20" t="s">
        <v>16</v>
      </c>
      <c r="C330" s="20" t="s">
        <v>89</v>
      </c>
      <c r="D330" s="20" t="s">
        <v>8</v>
      </c>
      <c r="E330" s="22">
        <v>41</v>
      </c>
      <c r="F330" s="22">
        <v>1</v>
      </c>
      <c r="G330" s="22">
        <v>1</v>
      </c>
      <c r="H330" s="22"/>
      <c r="I330" s="23" t="s">
        <v>90</v>
      </c>
      <c r="J330" s="23"/>
      <c r="K330" s="22"/>
      <c r="L330" s="22"/>
      <c r="M330" s="23"/>
      <c r="N330" s="23"/>
      <c r="O330" s="26" t="s">
        <v>2006</v>
      </c>
      <c r="P330" s="26"/>
      <c r="Q330" s="22">
        <v>25</v>
      </c>
      <c r="R330" s="24">
        <v>45751</v>
      </c>
      <c r="S330" s="24">
        <v>45754</v>
      </c>
      <c r="T330" s="24"/>
      <c r="U330" s="24"/>
      <c r="V330" s="24">
        <v>45756</v>
      </c>
      <c r="W330" s="22" t="s">
        <v>72</v>
      </c>
      <c r="X330" s="4" t="str">
        <f>IF(Tabela2[[#This Row],[sigla]]="","",VLOOKUP(Tabela2[[#This Row],[sigla]],créditos_base!B:C,2,0))</f>
        <v>HELOÍSA PINTARELLI/ARQUIVO DA EDITORA</v>
      </c>
      <c r="Y330" s="23"/>
      <c r="Z330" s="23" t="str">
        <f>Tabela2[[#This Row],[ilustrador]]</f>
        <v>HELOÍSA PINTARELLI/ARQUIVO DA EDITORA</v>
      </c>
      <c r="AA330" s="22">
        <v>8</v>
      </c>
      <c r="AB330" s="20" t="s">
        <v>2000</v>
      </c>
      <c r="AC330" s="20" t="s">
        <v>310</v>
      </c>
      <c r="AD330" s="4" t="str">
        <f>"Pitanguá"</f>
        <v>Pitanguá</v>
      </c>
      <c r="AE330" s="14" t="str">
        <f>"Matemática"</f>
        <v>Matemática</v>
      </c>
    </row>
    <row r="331" spans="1:31" s="14" customFormat="1" x14ac:dyDescent="0.3">
      <c r="A331" s="23" t="s">
        <v>3799</v>
      </c>
      <c r="B331" s="20" t="s">
        <v>16</v>
      </c>
      <c r="C331" s="20" t="s">
        <v>89</v>
      </c>
      <c r="D331" s="20" t="s">
        <v>8</v>
      </c>
      <c r="E331" s="22">
        <v>61</v>
      </c>
      <c r="F331" s="22">
        <v>2</v>
      </c>
      <c r="G331" s="22">
        <v>1</v>
      </c>
      <c r="H331" s="22"/>
      <c r="I331" s="23" t="s">
        <v>90</v>
      </c>
      <c r="J331" s="23"/>
      <c r="K331" s="22"/>
      <c r="L331" s="22"/>
      <c r="M331" s="23"/>
      <c r="N331" s="23"/>
      <c r="O331" s="26" t="s">
        <v>3800</v>
      </c>
      <c r="P331" s="26"/>
      <c r="Q331" s="22">
        <v>52</v>
      </c>
      <c r="R331" s="24">
        <v>45803</v>
      </c>
      <c r="S331" s="24">
        <v>45805</v>
      </c>
      <c r="T331" s="24"/>
      <c r="U331" s="24"/>
      <c r="V331" s="24">
        <v>45805</v>
      </c>
      <c r="W331" s="22" t="s">
        <v>468</v>
      </c>
      <c r="X331" s="4" t="str">
        <f>IF(Tabela2[[#This Row],[sigla]]="","",VLOOKUP(Tabela2[[#This Row],[sigla]],créditos_base!B:C,2,0))</f>
        <v>VER DOCUMENTO DE ILS. TÉCNICAS</v>
      </c>
      <c r="Y331" s="23" t="s">
        <v>188</v>
      </c>
      <c r="Z331" s="23" t="s">
        <v>661</v>
      </c>
      <c r="AA331" s="22">
        <v>14</v>
      </c>
      <c r="AB331" s="20" t="s">
        <v>153</v>
      </c>
      <c r="AC331" s="20" t="s">
        <v>36</v>
      </c>
      <c r="AD331" s="4" t="str">
        <f>"Pitanguá"</f>
        <v>Pitanguá</v>
      </c>
      <c r="AE331" s="14" t="str">
        <f>"Matemática"</f>
        <v>Matemática</v>
      </c>
    </row>
    <row r="332" spans="1:31" s="14" customFormat="1" ht="28.8" x14ac:dyDescent="0.3">
      <c r="A332" s="23" t="s">
        <v>3797</v>
      </c>
      <c r="B332" s="20" t="s">
        <v>16</v>
      </c>
      <c r="C332" s="20" t="s">
        <v>7</v>
      </c>
      <c r="D332" s="20" t="s">
        <v>8</v>
      </c>
      <c r="E332" s="22">
        <v>58</v>
      </c>
      <c r="F332" s="22">
        <v>2</v>
      </c>
      <c r="G332" s="22">
        <v>1</v>
      </c>
      <c r="H332" s="22"/>
      <c r="I332" s="23" t="s">
        <v>33</v>
      </c>
      <c r="J332" s="23"/>
      <c r="K332" s="22"/>
      <c r="L332" s="22"/>
      <c r="M332" s="23"/>
      <c r="N332" s="23"/>
      <c r="O332" s="26" t="s">
        <v>3798</v>
      </c>
      <c r="P332" s="26"/>
      <c r="Q332" s="22">
        <v>52</v>
      </c>
      <c r="R332" s="24">
        <v>45803</v>
      </c>
      <c r="S332" s="24">
        <v>45805</v>
      </c>
      <c r="T332" s="24"/>
      <c r="U332" s="24"/>
      <c r="V332" s="24">
        <v>45805</v>
      </c>
      <c r="W332" s="22" t="s">
        <v>31</v>
      </c>
      <c r="X332" s="4" t="str">
        <f>IF(Tabela2[[#This Row],[sigla]]="","",VLOOKUP(Tabela2[[#This Row],[sigla]],créditos_base!B:C,2,0))</f>
        <v>SILVIA OTOFUJI/ARQUIVO DA EDITORA</v>
      </c>
      <c r="Y332" s="23" t="s">
        <v>188</v>
      </c>
      <c r="Z332" s="23" t="str">
        <f>Tabela2[[#This Row],[ilustrador]]</f>
        <v>SILVIA OTOFUJI/ARQUIVO DA EDITORA</v>
      </c>
      <c r="AA332" s="22">
        <v>14</v>
      </c>
      <c r="AB332" s="20" t="s">
        <v>153</v>
      </c>
      <c r="AC332" s="20" t="s">
        <v>36</v>
      </c>
      <c r="AD332" s="4" t="str">
        <f>"Pitanguá"</f>
        <v>Pitanguá</v>
      </c>
      <c r="AE332" s="14" t="str">
        <f>"Matemática"</f>
        <v>Matemática</v>
      </c>
    </row>
    <row r="333" spans="1:31" s="14" customFormat="1" ht="43.2" x14ac:dyDescent="0.3">
      <c r="A333" s="23" t="s">
        <v>5152</v>
      </c>
      <c r="B333" s="20" t="s">
        <v>16</v>
      </c>
      <c r="C333" s="20" t="s">
        <v>7</v>
      </c>
      <c r="D333" s="20" t="s">
        <v>8</v>
      </c>
      <c r="E333" s="22">
        <v>27</v>
      </c>
      <c r="F333" s="22">
        <v>1</v>
      </c>
      <c r="G333" s="22">
        <v>1</v>
      </c>
      <c r="H333" s="22"/>
      <c r="I333" s="23" t="s">
        <v>90</v>
      </c>
      <c r="J333" s="23"/>
      <c r="K333" s="22"/>
      <c r="L333" s="22"/>
      <c r="M333" s="23"/>
      <c r="N333" s="23"/>
      <c r="O333" s="26" t="s">
        <v>5153</v>
      </c>
      <c r="P333" s="26"/>
      <c r="Q333" s="22">
        <v>105</v>
      </c>
      <c r="R333" s="24">
        <v>45847</v>
      </c>
      <c r="S333" s="24">
        <v>45848</v>
      </c>
      <c r="T333" s="24"/>
      <c r="U333" s="24"/>
      <c r="V333" s="24">
        <v>45853</v>
      </c>
      <c r="W333" s="22" t="s">
        <v>72</v>
      </c>
      <c r="X333" s="4" t="str">
        <f>IF(Tabela2[[#This Row],[sigla]]="","",VLOOKUP(Tabela2[[#This Row],[sigla]],créditos_base!B:C,2,0))</f>
        <v>HELOÍSA PINTARELLI/ARQUIVO DA EDITORA</v>
      </c>
      <c r="Y333" s="23"/>
      <c r="Z333" s="23" t="str">
        <f>Tabela2[[#This Row],[ilustrador]]</f>
        <v>HELOÍSA PINTARELLI/ARQUIVO DA EDITORA</v>
      </c>
      <c r="AA333" s="22">
        <v>5</v>
      </c>
      <c r="AB333" s="20" t="s">
        <v>5154</v>
      </c>
      <c r="AC333" s="20" t="s">
        <v>310</v>
      </c>
      <c r="AD333" s="4" t="str">
        <f>"Pitanguá"</f>
        <v>Pitanguá</v>
      </c>
      <c r="AE333" s="14" t="str">
        <f>"Matemática"</f>
        <v>Matemática</v>
      </c>
    </row>
    <row r="334" spans="1:31" s="14" customFormat="1" ht="43.2" x14ac:dyDescent="0.3">
      <c r="A334" s="23" t="s">
        <v>5896</v>
      </c>
      <c r="B334" s="20" t="s">
        <v>522</v>
      </c>
      <c r="C334" s="20" t="s">
        <v>7</v>
      </c>
      <c r="D334" s="20" t="s">
        <v>8</v>
      </c>
      <c r="E334" s="22">
        <v>40</v>
      </c>
      <c r="F334" s="22">
        <v>1</v>
      </c>
      <c r="G334" s="22" t="s">
        <v>5897</v>
      </c>
      <c r="H334" s="22"/>
      <c r="I334" s="23" t="s">
        <v>90</v>
      </c>
      <c r="J334" s="23"/>
      <c r="K334" s="22"/>
      <c r="L334" s="22"/>
      <c r="M334" s="23"/>
      <c r="N334" s="23"/>
      <c r="O334" s="26" t="s">
        <v>5898</v>
      </c>
      <c r="P334" s="26"/>
      <c r="Q334" s="22">
        <v>166</v>
      </c>
      <c r="R334" s="24">
        <v>45894</v>
      </c>
      <c r="S334" s="24">
        <v>45895</v>
      </c>
      <c r="T334" s="24"/>
      <c r="U334" s="24"/>
      <c r="V334" s="24">
        <v>45895</v>
      </c>
      <c r="W334" s="22" t="s">
        <v>2675</v>
      </c>
      <c r="X334" s="4" t="s">
        <v>3226</v>
      </c>
      <c r="Y334" s="23"/>
      <c r="Z334" s="23" t="str">
        <f>Tabela2[[#This Row],[ilustrador]]</f>
        <v>LEONARDO MARI/ARQUIVO DA EDITORA</v>
      </c>
      <c r="AA334" s="22">
        <v>7</v>
      </c>
      <c r="AB334" s="20" t="s">
        <v>2058</v>
      </c>
      <c r="AC334" s="20" t="s">
        <v>36</v>
      </c>
      <c r="AD334" s="4" t="str">
        <f>"Pitanguá"</f>
        <v>Pitanguá</v>
      </c>
      <c r="AE334" s="14" t="str">
        <f>"Matemática"</f>
        <v>Matemática</v>
      </c>
    </row>
    <row r="335" spans="1:31" s="14" customFormat="1" ht="72" x14ac:dyDescent="0.3">
      <c r="A335" s="23" t="s">
        <v>739</v>
      </c>
      <c r="B335" s="20" t="s">
        <v>16</v>
      </c>
      <c r="C335" s="20" t="s">
        <v>7</v>
      </c>
      <c r="D335" s="20" t="s">
        <v>8</v>
      </c>
      <c r="E335" s="22">
        <v>44</v>
      </c>
      <c r="F335" s="22">
        <v>1</v>
      </c>
      <c r="G335" s="22">
        <v>2</v>
      </c>
      <c r="H335" s="22"/>
      <c r="I335" s="23" t="s">
        <v>90</v>
      </c>
      <c r="J335" s="23"/>
      <c r="K335" s="22"/>
      <c r="L335" s="22"/>
      <c r="M335" s="23"/>
      <c r="N335" s="23"/>
      <c r="O335" s="26" t="s">
        <v>740</v>
      </c>
      <c r="P335" s="26"/>
      <c r="Q335" s="22">
        <v>8</v>
      </c>
      <c r="R335" s="24">
        <v>45733</v>
      </c>
      <c r="S335" s="24">
        <v>45734</v>
      </c>
      <c r="T335" s="24">
        <v>45736</v>
      </c>
      <c r="U335" s="24">
        <v>45740</v>
      </c>
      <c r="V335" s="24">
        <v>45742</v>
      </c>
      <c r="W335" s="22" t="s">
        <v>31</v>
      </c>
      <c r="X335" s="4" t="str">
        <f>IF(Tabela2[[#This Row],[sigla]]="","",VLOOKUP(Tabela2[[#This Row],[sigla]],créditos_base!B:C,2,0))</f>
        <v>SILVIA OTOFUJI/ARQUIVO DA EDITORA</v>
      </c>
      <c r="Y335" s="23"/>
      <c r="Z335" s="23" t="str">
        <f>Tabela2[[#This Row],[ilustrador]]</f>
        <v>SILVIA OTOFUJI/ARQUIVO DA EDITORA</v>
      </c>
      <c r="AA335" s="22">
        <v>5</v>
      </c>
      <c r="AB335" s="20" t="s">
        <v>741</v>
      </c>
      <c r="AC335" s="20" t="s">
        <v>310</v>
      </c>
      <c r="AD335" s="4" t="str">
        <f>"Pitanguá"</f>
        <v>Pitanguá</v>
      </c>
      <c r="AE335" s="14" t="str">
        <f>"Matemática"</f>
        <v>Matemática</v>
      </c>
    </row>
    <row r="336" spans="1:31" s="14" customFormat="1" ht="43.2" x14ac:dyDescent="0.3">
      <c r="A336" s="23" t="s">
        <v>2900</v>
      </c>
      <c r="B336" s="20" t="s">
        <v>16</v>
      </c>
      <c r="C336" s="20" t="s">
        <v>7</v>
      </c>
      <c r="D336" s="20" t="s">
        <v>8</v>
      </c>
      <c r="E336" s="22">
        <v>64</v>
      </c>
      <c r="F336" s="22">
        <v>2</v>
      </c>
      <c r="G336" s="22">
        <v>2</v>
      </c>
      <c r="H336" s="22"/>
      <c r="I336" s="23" t="s">
        <v>33</v>
      </c>
      <c r="J336" s="23"/>
      <c r="K336" s="22"/>
      <c r="L336" s="22"/>
      <c r="M336" s="23"/>
      <c r="N336" s="23"/>
      <c r="O336" s="26" t="s">
        <v>2901</v>
      </c>
      <c r="P336" s="26"/>
      <c r="Q336" s="22">
        <v>41</v>
      </c>
      <c r="R336" s="24">
        <v>45782</v>
      </c>
      <c r="S336" s="24">
        <v>45783</v>
      </c>
      <c r="T336" s="24"/>
      <c r="U336" s="24"/>
      <c r="V336" s="24">
        <v>45783</v>
      </c>
      <c r="W336" s="22" t="s">
        <v>31</v>
      </c>
      <c r="X336" s="4" t="str">
        <f>IF(Tabela2[[#This Row],[sigla]]="","",VLOOKUP(Tabela2[[#This Row],[sigla]],créditos_base!B:C,2,0))</f>
        <v>SILVIA OTOFUJI/ARQUIVO DA EDITORA</v>
      </c>
      <c r="Y336" s="23" t="s">
        <v>152</v>
      </c>
      <c r="Z336" s="23" t="str">
        <f>Tabela2[[#This Row],[ilustrador]]</f>
        <v>SILVIA OTOFUJI/ARQUIVO DA EDITORA</v>
      </c>
      <c r="AA336" s="22">
        <v>13</v>
      </c>
      <c r="AB336" s="20" t="s">
        <v>244</v>
      </c>
      <c r="AC336" s="20" t="s">
        <v>36</v>
      </c>
      <c r="AD336" s="4" t="str">
        <f>"Pitanguá"</f>
        <v>Pitanguá</v>
      </c>
      <c r="AE336" s="14" t="str">
        <f>"Matemática"</f>
        <v>Matemática</v>
      </c>
    </row>
    <row r="337" spans="1:31" s="14" customFormat="1" ht="72" x14ac:dyDescent="0.3">
      <c r="A337" s="23" t="s">
        <v>1876</v>
      </c>
      <c r="B337" s="20" t="s">
        <v>6</v>
      </c>
      <c r="C337" s="20" t="s">
        <v>7</v>
      </c>
      <c r="D337" s="20" t="s">
        <v>8</v>
      </c>
      <c r="E337" s="22">
        <v>40</v>
      </c>
      <c r="F337" s="22">
        <v>3</v>
      </c>
      <c r="G337" s="22">
        <v>2</v>
      </c>
      <c r="H337" s="22"/>
      <c r="I337" s="23" t="s">
        <v>33</v>
      </c>
      <c r="J337" s="23"/>
      <c r="K337" s="22"/>
      <c r="L337" s="22"/>
      <c r="M337" s="23"/>
      <c r="N337" s="23"/>
      <c r="O337" s="26" t="s">
        <v>1877</v>
      </c>
      <c r="P337" s="26" t="s">
        <v>11</v>
      </c>
      <c r="Q337" s="22">
        <v>23</v>
      </c>
      <c r="R337" s="24">
        <v>45750</v>
      </c>
      <c r="S337" s="24">
        <v>45751</v>
      </c>
      <c r="T337" s="24"/>
      <c r="U337" s="24"/>
      <c r="V337" s="24">
        <v>45751</v>
      </c>
      <c r="W337" s="22" t="s">
        <v>31</v>
      </c>
      <c r="X337" s="4" t="str">
        <f>IF(Tabela2[[#This Row],[sigla]]="","",VLOOKUP(Tabela2[[#This Row],[sigla]],créditos_base!B:C,2,0))</f>
        <v>SILVIA OTOFUJI/ARQUIVO DA EDITORA</v>
      </c>
      <c r="Y337" s="23" t="s">
        <v>152</v>
      </c>
      <c r="Z337" s="23" t="str">
        <f>Tabela2[[#This Row],[ilustrador]]</f>
        <v>SILVIA OTOFUJI/ARQUIVO DA EDITORA</v>
      </c>
      <c r="AA337" s="22">
        <v>13</v>
      </c>
      <c r="AB337" s="20" t="s">
        <v>41</v>
      </c>
      <c r="AC337" s="20" t="s">
        <v>36</v>
      </c>
      <c r="AD337" s="4" t="str">
        <f>"Pitanguá"</f>
        <v>Pitanguá</v>
      </c>
      <c r="AE337" s="14" t="str">
        <f>"Matemática"</f>
        <v>Matemática</v>
      </c>
    </row>
    <row r="338" spans="1:31" s="14" customFormat="1" ht="72" x14ac:dyDescent="0.3">
      <c r="A338" s="23" t="s">
        <v>5450</v>
      </c>
      <c r="B338" s="20" t="s">
        <v>16</v>
      </c>
      <c r="C338" s="20" t="s">
        <v>7</v>
      </c>
      <c r="D338" s="20" t="s">
        <v>8</v>
      </c>
      <c r="E338" s="22">
        <v>36</v>
      </c>
      <c r="F338" s="22">
        <v>5</v>
      </c>
      <c r="G338" s="22">
        <v>2</v>
      </c>
      <c r="H338" s="22"/>
      <c r="I338" s="23" t="s">
        <v>33</v>
      </c>
      <c r="J338" s="23"/>
      <c r="K338" s="22"/>
      <c r="L338" s="22"/>
      <c r="M338" s="23"/>
      <c r="N338" s="23"/>
      <c r="O338" s="26" t="s">
        <v>5451</v>
      </c>
      <c r="P338" s="26"/>
      <c r="Q338" s="22">
        <v>129</v>
      </c>
      <c r="R338" s="24">
        <v>45863</v>
      </c>
      <c r="S338" s="24">
        <v>45866</v>
      </c>
      <c r="T338" s="24"/>
      <c r="U338" s="24"/>
      <c r="V338" s="24">
        <v>45867</v>
      </c>
      <c r="W338" s="22" t="s">
        <v>327</v>
      </c>
      <c r="X338" s="4" t="str">
        <f>IF(Tabela2[[#This Row],[sigla]]="","",VLOOKUP(Tabela2[[#This Row],[sigla]],créditos_base!B:C,2,0))</f>
        <v>RAFAEL LAM/ARQUIVO DA EDITORA</v>
      </c>
      <c r="Y338" s="23" t="s">
        <v>433</v>
      </c>
      <c r="Z338" s="23" t="str">
        <f>Tabela2[[#This Row],[ilustrador]]</f>
        <v>RAFAEL LAM/ARQUIVO DA EDITORA</v>
      </c>
      <c r="AA338" s="22">
        <v>13</v>
      </c>
      <c r="AB338" s="20" t="s">
        <v>153</v>
      </c>
      <c r="AC338" s="20" t="s">
        <v>36</v>
      </c>
      <c r="AD338" s="4" t="str">
        <f>"Pitanguá"</f>
        <v>Pitanguá</v>
      </c>
      <c r="AE338" s="14" t="str">
        <f>"Matemática"</f>
        <v>Matemática</v>
      </c>
    </row>
    <row r="339" spans="1:31" s="14" customFormat="1" ht="57.6" x14ac:dyDescent="0.3">
      <c r="A339" s="23" t="s">
        <v>742</v>
      </c>
      <c r="B339" s="20" t="s">
        <v>6</v>
      </c>
      <c r="C339" s="20" t="s">
        <v>89</v>
      </c>
      <c r="D339" s="20" t="s">
        <v>8</v>
      </c>
      <c r="E339" s="22">
        <v>44</v>
      </c>
      <c r="F339" s="22">
        <v>1</v>
      </c>
      <c r="G339" s="22">
        <v>2</v>
      </c>
      <c r="H339" s="22"/>
      <c r="I339" s="23" t="s">
        <v>90</v>
      </c>
      <c r="J339" s="23"/>
      <c r="K339" s="22"/>
      <c r="L339" s="22"/>
      <c r="M339" s="23"/>
      <c r="N339" s="23"/>
      <c r="O339" s="26" t="s">
        <v>743</v>
      </c>
      <c r="P339" s="26" t="s">
        <v>744</v>
      </c>
      <c r="Q339" s="22">
        <v>8</v>
      </c>
      <c r="R339" s="24">
        <v>45733</v>
      </c>
      <c r="S339" s="24"/>
      <c r="T339" s="24"/>
      <c r="U339" s="24"/>
      <c r="V339" s="24"/>
      <c r="W339" s="22"/>
      <c r="X339" s="4" t="str">
        <f>IF(Tabela2[[#This Row],[sigla]]="","",VLOOKUP(Tabela2[[#This Row],[sigla]],créditos_base!B:C,2,0))</f>
        <v/>
      </c>
      <c r="Y339" s="23"/>
      <c r="Z339" s="23" t="str">
        <f>Tabela2[[#This Row],[ilustrador]]</f>
        <v/>
      </c>
      <c r="AA339" s="22"/>
      <c r="AB339" s="20"/>
      <c r="AC339" s="20"/>
      <c r="AD339" s="4" t="str">
        <f>"Pitanguá"</f>
        <v>Pitanguá</v>
      </c>
      <c r="AE339" s="14" t="str">
        <f>"Matemática"</f>
        <v>Matemática</v>
      </c>
    </row>
    <row r="340" spans="1:31" s="14" customFormat="1" ht="72" x14ac:dyDescent="0.3">
      <c r="A340" s="23" t="s">
        <v>2902</v>
      </c>
      <c r="B340" s="20" t="s">
        <v>16</v>
      </c>
      <c r="C340" s="20" t="s">
        <v>7</v>
      </c>
      <c r="D340" s="20" t="s">
        <v>8</v>
      </c>
      <c r="E340" s="22">
        <v>65</v>
      </c>
      <c r="F340" s="22">
        <v>2</v>
      </c>
      <c r="G340" s="22">
        <v>2</v>
      </c>
      <c r="H340" s="22"/>
      <c r="I340" s="23" t="s">
        <v>33</v>
      </c>
      <c r="J340" s="23"/>
      <c r="K340" s="22"/>
      <c r="L340" s="22"/>
      <c r="M340" s="23"/>
      <c r="N340" s="23"/>
      <c r="O340" s="26" t="s">
        <v>2903</v>
      </c>
      <c r="P340" s="26"/>
      <c r="Q340" s="22">
        <v>41</v>
      </c>
      <c r="R340" s="24">
        <v>45782</v>
      </c>
      <c r="S340" s="24">
        <v>45783</v>
      </c>
      <c r="T340" s="24"/>
      <c r="U340" s="24"/>
      <c r="V340" s="24">
        <v>45783</v>
      </c>
      <c r="W340" s="22" t="s">
        <v>31</v>
      </c>
      <c r="X340" s="4" t="str">
        <f>IF(Tabela2[[#This Row],[sigla]]="","",VLOOKUP(Tabela2[[#This Row],[sigla]],créditos_base!B:C,2,0))</f>
        <v>SILVIA OTOFUJI/ARQUIVO DA EDITORA</v>
      </c>
      <c r="Y340" s="23" t="s">
        <v>152</v>
      </c>
      <c r="Z340" s="23" t="str">
        <f>Tabela2[[#This Row],[ilustrador]]</f>
        <v>SILVIA OTOFUJI/ARQUIVO DA EDITORA</v>
      </c>
      <c r="AA340" s="22">
        <v>13</v>
      </c>
      <c r="AB340" s="20" t="s">
        <v>244</v>
      </c>
      <c r="AC340" s="20" t="s">
        <v>36</v>
      </c>
      <c r="AD340" s="4" t="str">
        <f>"Pitanguá"</f>
        <v>Pitanguá</v>
      </c>
      <c r="AE340" s="14" t="str">
        <f>"Matemática"</f>
        <v>Matemática</v>
      </c>
    </row>
    <row r="341" spans="1:31" s="14" customFormat="1" ht="57.6" x14ac:dyDescent="0.3">
      <c r="A341" s="23" t="s">
        <v>1878</v>
      </c>
      <c r="B341" s="20" t="s">
        <v>16</v>
      </c>
      <c r="C341" s="20" t="s">
        <v>89</v>
      </c>
      <c r="D341" s="20" t="s">
        <v>8</v>
      </c>
      <c r="E341" s="22">
        <v>40</v>
      </c>
      <c r="F341" s="22">
        <v>3</v>
      </c>
      <c r="G341" s="22">
        <v>2</v>
      </c>
      <c r="H341" s="22"/>
      <c r="I341" s="23" t="s">
        <v>9</v>
      </c>
      <c r="J341" s="23"/>
      <c r="K341" s="22"/>
      <c r="L341" s="22"/>
      <c r="M341" s="23"/>
      <c r="N341" s="23"/>
      <c r="O341" s="26" t="s">
        <v>1879</v>
      </c>
      <c r="P341" s="26"/>
      <c r="Q341" s="22"/>
      <c r="R341" s="24"/>
      <c r="S341" s="24"/>
      <c r="T341" s="24"/>
      <c r="U341" s="24"/>
      <c r="V341" s="24"/>
      <c r="W341" s="22" t="s">
        <v>468</v>
      </c>
      <c r="X341" s="4" t="str">
        <f>IF(Tabela2[[#This Row],[sigla]]="","",VLOOKUP(Tabela2[[#This Row],[sigla]],créditos_base!B:C,2,0))</f>
        <v>VER DOCUMENTO DE ILS. TÉCNICAS</v>
      </c>
      <c r="Y341" s="23"/>
      <c r="Z341" s="23" t="s">
        <v>689</v>
      </c>
      <c r="AA341" s="22"/>
      <c r="AB341" s="20"/>
      <c r="AC341" s="20"/>
      <c r="AD341" s="4" t="str">
        <f>"Pitanguá"</f>
        <v>Pitanguá</v>
      </c>
      <c r="AE341" s="14" t="str">
        <f>"Matemática"</f>
        <v>Matemática</v>
      </c>
    </row>
    <row r="342" spans="1:31" s="14" customFormat="1" x14ac:dyDescent="0.3">
      <c r="A342" s="23" t="s">
        <v>938</v>
      </c>
      <c r="B342" s="20" t="s">
        <v>16</v>
      </c>
      <c r="C342" s="20" t="s">
        <v>89</v>
      </c>
      <c r="D342" s="20" t="s">
        <v>8</v>
      </c>
      <c r="E342" s="22">
        <v>40</v>
      </c>
      <c r="F342" s="22">
        <v>4</v>
      </c>
      <c r="G342" s="22">
        <v>2</v>
      </c>
      <c r="H342" s="22"/>
      <c r="I342" s="23" t="s">
        <v>9</v>
      </c>
      <c r="J342" s="23"/>
      <c r="K342" s="22"/>
      <c r="L342" s="22"/>
      <c r="M342" s="23"/>
      <c r="N342" s="23"/>
      <c r="O342" s="26" t="s">
        <v>939</v>
      </c>
      <c r="P342" s="26"/>
      <c r="Q342" s="22"/>
      <c r="R342" s="24"/>
      <c r="S342" s="24"/>
      <c r="T342" s="24"/>
      <c r="U342" s="24"/>
      <c r="V342" s="24"/>
      <c r="W342" s="22" t="s">
        <v>940</v>
      </c>
      <c r="X342" s="4" t="str">
        <f>IF(Tabela2[[#This Row],[sigla]]="","",VLOOKUP(Tabela2[[#This Row],[sigla]],créditos_base!B:C,2,0))</f>
        <v>RONALDO LUCENA/ARQUIVO DA EDITORA</v>
      </c>
      <c r="Y342" s="23"/>
      <c r="Z342" s="23" t="str">
        <f>Tabela2[[#This Row],[ilustrador]]</f>
        <v>RONALDO LUCENA/ARQUIVO DA EDITORA</v>
      </c>
      <c r="AA342" s="22"/>
      <c r="AB342" s="20"/>
      <c r="AC342" s="20"/>
      <c r="AD342" s="4" t="str">
        <f>"Pitanguá"</f>
        <v>Pitanguá</v>
      </c>
      <c r="AE342" s="14" t="str">
        <f>"Matemática"</f>
        <v>Matemática</v>
      </c>
    </row>
    <row r="343" spans="1:31" s="14" customFormat="1" ht="28.8" x14ac:dyDescent="0.3">
      <c r="A343" s="23" t="s">
        <v>5452</v>
      </c>
      <c r="B343" s="20" t="s">
        <v>16</v>
      </c>
      <c r="C343" s="20" t="s">
        <v>89</v>
      </c>
      <c r="D343" s="20" t="s">
        <v>8</v>
      </c>
      <c r="E343" s="22">
        <v>36</v>
      </c>
      <c r="F343" s="22">
        <v>5</v>
      </c>
      <c r="G343" s="22">
        <v>2</v>
      </c>
      <c r="H343" s="22"/>
      <c r="I343" s="23" t="s">
        <v>9</v>
      </c>
      <c r="J343" s="23"/>
      <c r="K343" s="22"/>
      <c r="L343" s="22"/>
      <c r="M343" s="23"/>
      <c r="N343" s="23"/>
      <c r="O343" s="20" t="s">
        <v>5453</v>
      </c>
      <c r="P343" s="26"/>
      <c r="Q343" s="22"/>
      <c r="R343" s="24"/>
      <c r="S343" s="24"/>
      <c r="T343" s="24"/>
      <c r="U343" s="24"/>
      <c r="V343" s="24"/>
      <c r="W343" s="22" t="s">
        <v>940</v>
      </c>
      <c r="X343" s="4" t="str">
        <f>IF(Tabela2[[#This Row],[sigla]]="","",VLOOKUP(Tabela2[[#This Row],[sigla]],créditos_base!B:C,2,0))</f>
        <v>RONALDO LUCENA/ARQUIVO DA EDITORA</v>
      </c>
      <c r="Y343" s="23"/>
      <c r="Z343" s="23" t="str">
        <f>Tabela2[[#This Row],[ilustrador]]</f>
        <v>RONALDO LUCENA/ARQUIVO DA EDITORA</v>
      </c>
      <c r="AA343" s="22"/>
      <c r="AB343" s="20"/>
      <c r="AC343" s="20"/>
      <c r="AD343" s="4" t="str">
        <f>"Pitanguá"</f>
        <v>Pitanguá</v>
      </c>
      <c r="AE343" s="14" t="str">
        <f>"Matemática"</f>
        <v>Matemática</v>
      </c>
    </row>
    <row r="344" spans="1:31" s="14" customFormat="1" ht="43.2" x14ac:dyDescent="0.3">
      <c r="A344" s="23" t="s">
        <v>745</v>
      </c>
      <c r="B344" s="20" t="s">
        <v>16</v>
      </c>
      <c r="C344" s="20" t="s">
        <v>89</v>
      </c>
      <c r="D344" s="20" t="s">
        <v>8</v>
      </c>
      <c r="E344" s="22">
        <v>44</v>
      </c>
      <c r="F344" s="22">
        <v>1</v>
      </c>
      <c r="G344" s="22">
        <v>2</v>
      </c>
      <c r="H344" s="22"/>
      <c r="I344" s="23" t="s">
        <v>90</v>
      </c>
      <c r="J344" s="23"/>
      <c r="K344" s="22"/>
      <c r="L344" s="22"/>
      <c r="M344" s="23"/>
      <c r="N344" s="23"/>
      <c r="O344" s="26" t="s">
        <v>746</v>
      </c>
      <c r="P344" s="26"/>
      <c r="Q344" s="22">
        <v>8</v>
      </c>
      <c r="R344" s="24">
        <v>45733</v>
      </c>
      <c r="S344" s="24">
        <v>45734</v>
      </c>
      <c r="T344" s="24"/>
      <c r="U344" s="24"/>
      <c r="V344" s="24">
        <v>45734</v>
      </c>
      <c r="W344" s="22" t="s">
        <v>468</v>
      </c>
      <c r="X344" s="4" t="str">
        <f>IF(Tabela2[[#This Row],[sigla]]="","",VLOOKUP(Tabela2[[#This Row],[sigla]],créditos_base!B:C,2,0))</f>
        <v>VER DOCUMENTO DE ILS. TÉCNICAS</v>
      </c>
      <c r="Y344" s="23" t="s">
        <v>738</v>
      </c>
      <c r="Z344" s="23" t="s">
        <v>689</v>
      </c>
      <c r="AA344" s="22">
        <v>13</v>
      </c>
      <c r="AB344" s="20" t="s">
        <v>747</v>
      </c>
      <c r="AC344" s="20" t="s">
        <v>36</v>
      </c>
      <c r="AD344" s="4" t="str">
        <f>"Pitanguá"</f>
        <v>Pitanguá</v>
      </c>
      <c r="AE344" s="14" t="str">
        <f>"Matemática"</f>
        <v>Matemática</v>
      </c>
    </row>
    <row r="345" spans="1:31" s="14" customFormat="1" ht="43.2" x14ac:dyDescent="0.3">
      <c r="A345" s="23" t="s">
        <v>1246</v>
      </c>
      <c r="B345" s="20" t="s">
        <v>1137</v>
      </c>
      <c r="C345" s="20" t="s">
        <v>7</v>
      </c>
      <c r="D345" s="20" t="s">
        <v>8</v>
      </c>
      <c r="E345" s="22">
        <v>148</v>
      </c>
      <c r="F345" s="22">
        <v>2</v>
      </c>
      <c r="G345" s="22">
        <v>2</v>
      </c>
      <c r="H345" s="22"/>
      <c r="I345" s="23" t="s">
        <v>33</v>
      </c>
      <c r="J345" s="23"/>
      <c r="K345" s="22"/>
      <c r="L345" s="22"/>
      <c r="M345" s="23"/>
      <c r="N345" s="23"/>
      <c r="O345" s="26" t="s">
        <v>1247</v>
      </c>
      <c r="P345" s="26"/>
      <c r="Q345" s="22">
        <v>103</v>
      </c>
      <c r="R345" s="24">
        <v>45847</v>
      </c>
      <c r="S345" s="24">
        <v>45847</v>
      </c>
      <c r="T345" s="24"/>
      <c r="U345" s="24"/>
      <c r="V345" s="24">
        <v>45847</v>
      </c>
      <c r="W345" s="22" t="s">
        <v>12</v>
      </c>
      <c r="X345" s="4" t="str">
        <f>IF(Tabela2[[#This Row],[sigla]]="","",VLOOKUP(Tabela2[[#This Row],[sigla]],créditos_base!B:C,2,0))</f>
        <v>JORGE ZAIBA/ARQUIVO DA EDITORA</v>
      </c>
      <c r="Y345" s="23" t="s">
        <v>152</v>
      </c>
      <c r="Z345" s="23" t="str">
        <f>Tabela2[[#This Row],[ilustrador]]</f>
        <v>JORGE ZAIBA/ARQUIVO DA EDITORA</v>
      </c>
      <c r="AA345" s="22">
        <v>13</v>
      </c>
      <c r="AB345" s="20" t="s">
        <v>153</v>
      </c>
      <c r="AC345" s="20" t="s">
        <v>36</v>
      </c>
      <c r="AD345" s="4" t="str">
        <f>"Pitanguá"</f>
        <v>Pitanguá</v>
      </c>
      <c r="AE345" s="14" t="str">
        <f>"Matemática"</f>
        <v>Matemática</v>
      </c>
    </row>
    <row r="346" spans="1:31" s="14" customFormat="1" ht="57.6" x14ac:dyDescent="0.3">
      <c r="A346" s="23" t="s">
        <v>1880</v>
      </c>
      <c r="B346" s="20" t="s">
        <v>16</v>
      </c>
      <c r="C346" s="20" t="s">
        <v>89</v>
      </c>
      <c r="D346" s="20" t="s">
        <v>8</v>
      </c>
      <c r="E346" s="22">
        <v>40</v>
      </c>
      <c r="F346" s="22">
        <v>3</v>
      </c>
      <c r="G346" s="22">
        <v>2</v>
      </c>
      <c r="H346" s="22"/>
      <c r="I346" s="23" t="s">
        <v>9</v>
      </c>
      <c r="J346" s="23"/>
      <c r="K346" s="22"/>
      <c r="L346" s="22"/>
      <c r="M346" s="23"/>
      <c r="N346" s="23"/>
      <c r="O346" s="26" t="s">
        <v>1881</v>
      </c>
      <c r="P346" s="26"/>
      <c r="Q346" s="22"/>
      <c r="R346" s="24"/>
      <c r="S346" s="24"/>
      <c r="T346" s="24"/>
      <c r="U346" s="24"/>
      <c r="V346" s="24"/>
      <c r="W346" s="22" t="s">
        <v>468</v>
      </c>
      <c r="X346" s="4" t="str">
        <f>IF(Tabela2[[#This Row],[sigla]]="","",VLOOKUP(Tabela2[[#This Row],[sigla]],créditos_base!B:C,2,0))</f>
        <v>VER DOCUMENTO DE ILS. TÉCNICAS</v>
      </c>
      <c r="Y346" s="23"/>
      <c r="Z346" s="23" t="s">
        <v>689</v>
      </c>
      <c r="AA346" s="22"/>
      <c r="AB346" s="20"/>
      <c r="AC346" s="20"/>
      <c r="AD346" s="4" t="str">
        <f>"Pitanguá"</f>
        <v>Pitanguá</v>
      </c>
      <c r="AE346" s="14" t="str">
        <f>"Matemática"</f>
        <v>Matemática</v>
      </c>
    </row>
    <row r="347" spans="1:31" s="14" customFormat="1" x14ac:dyDescent="0.3">
      <c r="A347" s="23" t="s">
        <v>5454</v>
      </c>
      <c r="B347" s="20" t="s">
        <v>16</v>
      </c>
      <c r="C347" s="20" t="s">
        <v>89</v>
      </c>
      <c r="D347" s="20" t="s">
        <v>8</v>
      </c>
      <c r="E347" s="22">
        <v>36</v>
      </c>
      <c r="F347" s="22">
        <v>5</v>
      </c>
      <c r="G347" s="22">
        <v>2</v>
      </c>
      <c r="H347" s="22"/>
      <c r="I347" s="23" t="s">
        <v>9</v>
      </c>
      <c r="J347" s="23"/>
      <c r="K347" s="22"/>
      <c r="L347" s="22"/>
      <c r="M347" s="23"/>
      <c r="N347" s="23"/>
      <c r="O347" s="20" t="s">
        <v>5455</v>
      </c>
      <c r="P347" s="26"/>
      <c r="Q347" s="22"/>
      <c r="R347" s="24"/>
      <c r="S347" s="24"/>
      <c r="T347" s="24"/>
      <c r="U347" s="24"/>
      <c r="V347" s="24"/>
      <c r="W347" s="22" t="s">
        <v>940</v>
      </c>
      <c r="X347" s="4" t="str">
        <f>IF(Tabela2[[#This Row],[sigla]]="","",VLOOKUP(Tabela2[[#This Row],[sigla]],créditos_base!B:C,2,0))</f>
        <v>RONALDO LUCENA/ARQUIVO DA EDITORA</v>
      </c>
      <c r="Y347" s="23"/>
      <c r="Z347" s="23" t="str">
        <f>Tabela2[[#This Row],[ilustrador]]</f>
        <v>RONALDO LUCENA/ARQUIVO DA EDITORA</v>
      </c>
      <c r="AA347" s="22"/>
      <c r="AB347" s="20"/>
      <c r="AC347" s="20"/>
      <c r="AD347" s="4" t="str">
        <f>"Pitanguá"</f>
        <v>Pitanguá</v>
      </c>
      <c r="AE347" s="14" t="str">
        <f>"Matemática"</f>
        <v>Matemática</v>
      </c>
    </row>
    <row r="348" spans="1:31" s="14" customFormat="1" x14ac:dyDescent="0.3">
      <c r="A348" s="23" t="s">
        <v>748</v>
      </c>
      <c r="B348" s="20" t="s">
        <v>6</v>
      </c>
      <c r="C348" s="20" t="s">
        <v>89</v>
      </c>
      <c r="D348" s="20" t="s">
        <v>8</v>
      </c>
      <c r="E348" s="22">
        <v>44</v>
      </c>
      <c r="F348" s="22">
        <v>1</v>
      </c>
      <c r="G348" s="22">
        <v>2</v>
      </c>
      <c r="H348" s="22"/>
      <c r="I348" s="23" t="s">
        <v>90</v>
      </c>
      <c r="J348" s="23"/>
      <c r="K348" s="22"/>
      <c r="L348" s="22"/>
      <c r="M348" s="23"/>
      <c r="N348" s="23"/>
      <c r="O348" s="26" t="s">
        <v>749</v>
      </c>
      <c r="P348" s="26"/>
      <c r="Q348" s="22">
        <v>8</v>
      </c>
      <c r="R348" s="24">
        <v>45733</v>
      </c>
      <c r="S348" s="24">
        <v>45734</v>
      </c>
      <c r="T348" s="24"/>
      <c r="U348" s="24"/>
      <c r="V348" s="24">
        <v>45734</v>
      </c>
      <c r="W348" s="22" t="s">
        <v>468</v>
      </c>
      <c r="X348" s="4" t="str">
        <f>IF(Tabela2[[#This Row],[sigla]]="","",VLOOKUP(Tabela2[[#This Row],[sigla]],créditos_base!B:C,2,0))</f>
        <v>VER DOCUMENTO DE ILS. TÉCNICAS</v>
      </c>
      <c r="Y348" s="23" t="s">
        <v>738</v>
      </c>
      <c r="Z348" s="23" t="s">
        <v>661</v>
      </c>
      <c r="AA348" s="22">
        <v>13</v>
      </c>
      <c r="AB348" s="20" t="s">
        <v>747</v>
      </c>
      <c r="AC348" s="20" t="s">
        <v>36</v>
      </c>
      <c r="AD348" s="4" t="str">
        <f>"Pitanguá"</f>
        <v>Pitanguá</v>
      </c>
      <c r="AE348" s="14" t="str">
        <f>"Matemática"</f>
        <v>Matemática</v>
      </c>
    </row>
    <row r="349" spans="1:31" s="14" customFormat="1" ht="57.6" x14ac:dyDescent="0.3">
      <c r="A349" s="23" t="s">
        <v>1248</v>
      </c>
      <c r="B349" s="20" t="s">
        <v>16</v>
      </c>
      <c r="C349" s="20" t="s">
        <v>7</v>
      </c>
      <c r="D349" s="20" t="s">
        <v>8</v>
      </c>
      <c r="E349" s="22">
        <v>149</v>
      </c>
      <c r="F349" s="22">
        <v>2</v>
      </c>
      <c r="G349" s="22">
        <v>2</v>
      </c>
      <c r="H349" s="22"/>
      <c r="I349" s="23" t="s">
        <v>9</v>
      </c>
      <c r="J349" s="23"/>
      <c r="K349" s="22"/>
      <c r="L349" s="22"/>
      <c r="M349" s="23"/>
      <c r="N349" s="23"/>
      <c r="O349" s="26" t="s">
        <v>1249</v>
      </c>
      <c r="P349" s="26"/>
      <c r="Q349" s="22"/>
      <c r="R349" s="24"/>
      <c r="S349" s="24"/>
      <c r="T349" s="24"/>
      <c r="U349" s="24"/>
      <c r="V349" s="24"/>
      <c r="W349" s="22" t="s">
        <v>230</v>
      </c>
      <c r="X349" s="4" t="str">
        <f>IF(Tabela2[[#This Row],[sigla]]="","",VLOOKUP(Tabela2[[#This Row],[sigla]],créditos_base!B:C,2,0))</f>
        <v>RAFAEL L. GAION/ARQUIVO DA EDITORA</v>
      </c>
      <c r="Y349" s="23"/>
      <c r="Z349" s="23" t="str">
        <f>Tabela2[[#This Row],[ilustrador]]</f>
        <v>RAFAEL L. GAION/ARQUIVO DA EDITORA</v>
      </c>
      <c r="AA349" s="22"/>
      <c r="AB349" s="20"/>
      <c r="AC349" s="20"/>
      <c r="AD349" s="4" t="str">
        <f>"Pitanguá"</f>
        <v>Pitanguá</v>
      </c>
      <c r="AE349" s="14" t="str">
        <f>"Matemática"</f>
        <v>Matemática</v>
      </c>
    </row>
    <row r="350" spans="1:31" s="14" customFormat="1" ht="57.6" x14ac:dyDescent="0.3">
      <c r="A350" s="23" t="s">
        <v>1882</v>
      </c>
      <c r="B350" s="20" t="s">
        <v>16</v>
      </c>
      <c r="C350" s="20" t="s">
        <v>89</v>
      </c>
      <c r="D350" s="20" t="s">
        <v>8</v>
      </c>
      <c r="E350" s="22">
        <v>40</v>
      </c>
      <c r="F350" s="22">
        <v>3</v>
      </c>
      <c r="G350" s="22">
        <v>2</v>
      </c>
      <c r="H350" s="22"/>
      <c r="I350" s="23" t="s">
        <v>9</v>
      </c>
      <c r="J350" s="23"/>
      <c r="K350" s="22"/>
      <c r="L350" s="22"/>
      <c r="M350" s="23"/>
      <c r="N350" s="23"/>
      <c r="O350" s="26" t="s">
        <v>1883</v>
      </c>
      <c r="P350" s="26"/>
      <c r="Q350" s="22"/>
      <c r="R350" s="24"/>
      <c r="S350" s="24"/>
      <c r="T350" s="24"/>
      <c r="U350" s="24"/>
      <c r="V350" s="24"/>
      <c r="W350" s="22" t="s">
        <v>468</v>
      </c>
      <c r="X350" s="4" t="str">
        <f>IF(Tabela2[[#This Row],[sigla]]="","",VLOOKUP(Tabela2[[#This Row],[sigla]],créditos_base!B:C,2,0))</f>
        <v>VER DOCUMENTO DE ILS. TÉCNICAS</v>
      </c>
      <c r="Y350" s="23"/>
      <c r="Z350" s="23" t="s">
        <v>689</v>
      </c>
      <c r="AA350" s="22"/>
      <c r="AB350" s="20"/>
      <c r="AC350" s="20"/>
      <c r="AD350" s="4" t="str">
        <f>"Pitanguá"</f>
        <v>Pitanguá</v>
      </c>
      <c r="AE350" s="14" t="str">
        <f>"Matemática"</f>
        <v>Matemática</v>
      </c>
    </row>
    <row r="351" spans="1:31" s="14" customFormat="1" ht="43.2" x14ac:dyDescent="0.3">
      <c r="A351" s="23" t="s">
        <v>941</v>
      </c>
      <c r="B351" s="20" t="s">
        <v>16</v>
      </c>
      <c r="C351" s="20" t="s">
        <v>89</v>
      </c>
      <c r="D351" s="20" t="s">
        <v>8</v>
      </c>
      <c r="E351" s="22">
        <v>40</v>
      </c>
      <c r="F351" s="22">
        <v>4</v>
      </c>
      <c r="G351" s="22">
        <v>2</v>
      </c>
      <c r="H351" s="22"/>
      <c r="I351" s="23" t="s">
        <v>33</v>
      </c>
      <c r="J351" s="23"/>
      <c r="K351" s="22"/>
      <c r="L351" s="22"/>
      <c r="M351" s="23"/>
      <c r="N351" s="23"/>
      <c r="O351" s="26" t="s">
        <v>942</v>
      </c>
      <c r="P351" s="26"/>
      <c r="Q351" s="22">
        <v>42</v>
      </c>
      <c r="R351" s="24">
        <v>45783</v>
      </c>
      <c r="S351" s="24">
        <v>45783</v>
      </c>
      <c r="T351" s="24"/>
      <c r="U351" s="24"/>
      <c r="V351" s="24">
        <v>45783</v>
      </c>
      <c r="W351" s="22" t="s">
        <v>940</v>
      </c>
      <c r="X351" s="4" t="str">
        <f>IF(Tabela2[[#This Row],[sigla]]="","",VLOOKUP(Tabela2[[#This Row],[sigla]],créditos_base!B:C,2,0))</f>
        <v>RONALDO LUCENA/ARQUIVO DA EDITORA</v>
      </c>
      <c r="Y351" s="23" t="s">
        <v>152</v>
      </c>
      <c r="Z351" s="23" t="str">
        <f>Tabela2[[#This Row],[ilustrador]]</f>
        <v>RONALDO LUCENA/ARQUIVO DA EDITORA</v>
      </c>
      <c r="AA351" s="22">
        <v>13</v>
      </c>
      <c r="AB351" s="20" t="s">
        <v>153</v>
      </c>
      <c r="AC351" s="20" t="s">
        <v>36</v>
      </c>
      <c r="AD351" s="4" t="str">
        <f>"Pitanguá"</f>
        <v>Pitanguá</v>
      </c>
      <c r="AE351" s="14" t="str">
        <f>"Matemática"</f>
        <v>Matemática</v>
      </c>
    </row>
    <row r="352" spans="1:31" s="14" customFormat="1" ht="43.2" x14ac:dyDescent="0.3">
      <c r="A352" s="23" t="s">
        <v>5456</v>
      </c>
      <c r="B352" s="20" t="s">
        <v>16</v>
      </c>
      <c r="C352" s="20" t="s">
        <v>89</v>
      </c>
      <c r="D352" s="20" t="s">
        <v>8</v>
      </c>
      <c r="E352" s="22">
        <v>36</v>
      </c>
      <c r="F352" s="22">
        <v>5</v>
      </c>
      <c r="G352" s="22">
        <v>2</v>
      </c>
      <c r="H352" s="22"/>
      <c r="I352" s="23" t="s">
        <v>9</v>
      </c>
      <c r="J352" s="23"/>
      <c r="K352" s="22"/>
      <c r="L352" s="22"/>
      <c r="M352" s="23"/>
      <c r="N352" s="23"/>
      <c r="O352" s="20" t="s">
        <v>5457</v>
      </c>
      <c r="P352" s="26"/>
      <c r="Q352" s="22"/>
      <c r="R352" s="24"/>
      <c r="S352" s="24"/>
      <c r="T352" s="24"/>
      <c r="U352" s="24"/>
      <c r="V352" s="24"/>
      <c r="W352" s="22" t="s">
        <v>940</v>
      </c>
      <c r="X352" s="4" t="str">
        <f>IF(Tabela2[[#This Row],[sigla]]="","",VLOOKUP(Tabela2[[#This Row],[sigla]],créditos_base!B:C,2,0))</f>
        <v>RONALDO LUCENA/ARQUIVO DA EDITORA</v>
      </c>
      <c r="Y352" s="23"/>
      <c r="Z352" s="23" t="str">
        <f>Tabela2[[#This Row],[ilustrador]]</f>
        <v>RONALDO LUCENA/ARQUIVO DA EDITORA</v>
      </c>
      <c r="AA352" s="22"/>
      <c r="AB352" s="20"/>
      <c r="AC352" s="20"/>
      <c r="AD352" s="4" t="str">
        <f>"Pitanguá"</f>
        <v>Pitanguá</v>
      </c>
      <c r="AE352" s="14" t="str">
        <f>"Matemática"</f>
        <v>Matemática</v>
      </c>
    </row>
    <row r="353" spans="1:31" s="14" customFormat="1" ht="43.2" x14ac:dyDescent="0.3">
      <c r="A353" s="23" t="s">
        <v>750</v>
      </c>
      <c r="B353" s="20" t="s">
        <v>6</v>
      </c>
      <c r="C353" s="20" t="s">
        <v>7</v>
      </c>
      <c r="D353" s="20" t="s">
        <v>8</v>
      </c>
      <c r="E353" s="22">
        <v>45</v>
      </c>
      <c r="F353" s="22">
        <v>1</v>
      </c>
      <c r="G353" s="22">
        <v>2</v>
      </c>
      <c r="H353" s="22"/>
      <c r="I353" s="23" t="s">
        <v>90</v>
      </c>
      <c r="J353" s="23"/>
      <c r="K353" s="22"/>
      <c r="L353" s="22"/>
      <c r="M353" s="23"/>
      <c r="N353" s="23"/>
      <c r="O353" s="26" t="s">
        <v>751</v>
      </c>
      <c r="P353" s="26" t="s">
        <v>35</v>
      </c>
      <c r="Q353" s="22">
        <v>8</v>
      </c>
      <c r="R353" s="24">
        <v>45733</v>
      </c>
      <c r="S353" s="24">
        <v>45734</v>
      </c>
      <c r="T353" s="24"/>
      <c r="U353" s="24"/>
      <c r="V353" s="24">
        <v>45765</v>
      </c>
      <c r="W353" s="22" t="s">
        <v>752</v>
      </c>
      <c r="X353" s="4" t="str">
        <f>IF(Tabela2[[#This Row],[sigla]]="","",VLOOKUP(Tabela2[[#This Row],[sigla]],créditos_base!B:C,2,0))</f>
        <v>FELIPE GRIGOLI/ARQUIVO DA EDITORA</v>
      </c>
      <c r="Y353" s="23"/>
      <c r="Z353" s="23" t="str">
        <f>Tabela2[[#This Row],[ilustrador]]</f>
        <v>FELIPE GRIGOLI/ARQUIVO DA EDITORA</v>
      </c>
      <c r="AA353" s="22">
        <v>13</v>
      </c>
      <c r="AB353" s="20"/>
      <c r="AC353" s="20" t="s">
        <v>36</v>
      </c>
      <c r="AD353" s="4" t="str">
        <f>"Pitanguá"</f>
        <v>Pitanguá</v>
      </c>
      <c r="AE353" s="14" t="str">
        <f>"Matemática"</f>
        <v>Matemática</v>
      </c>
    </row>
    <row r="354" spans="1:31" s="14" customFormat="1" ht="144" x14ac:dyDescent="0.3">
      <c r="A354" s="23" t="s">
        <v>1250</v>
      </c>
      <c r="B354" s="20" t="s">
        <v>16</v>
      </c>
      <c r="C354" s="20" t="s">
        <v>7</v>
      </c>
      <c r="D354" s="20" t="s">
        <v>8</v>
      </c>
      <c r="E354" s="22">
        <v>149</v>
      </c>
      <c r="F354" s="22">
        <v>2</v>
      </c>
      <c r="G354" s="22">
        <v>2</v>
      </c>
      <c r="H354" s="22"/>
      <c r="I354" s="23" t="s">
        <v>9</v>
      </c>
      <c r="J354" s="23"/>
      <c r="K354" s="22"/>
      <c r="L354" s="22"/>
      <c r="M354" s="23"/>
      <c r="N354" s="23"/>
      <c r="O354" s="26" t="s">
        <v>1251</v>
      </c>
      <c r="P354" s="26"/>
      <c r="Q354" s="22"/>
      <c r="R354" s="24"/>
      <c r="S354" s="24"/>
      <c r="T354" s="24"/>
      <c r="U354" s="24"/>
      <c r="V354" s="24"/>
      <c r="W354" s="22" t="s">
        <v>230</v>
      </c>
      <c r="X354" s="4" t="str">
        <f>IF(Tabela2[[#This Row],[sigla]]="","",VLOOKUP(Tabela2[[#This Row],[sigla]],créditos_base!B:C,2,0))</f>
        <v>RAFAEL L. GAION/ARQUIVO DA EDITORA</v>
      </c>
      <c r="Y354" s="23"/>
      <c r="Z354" s="23" t="str">
        <f>Tabela2[[#This Row],[ilustrador]]</f>
        <v>RAFAEL L. GAION/ARQUIVO DA EDITORA</v>
      </c>
      <c r="AA354" s="22"/>
      <c r="AB354" s="20"/>
      <c r="AC354" s="20"/>
      <c r="AD354" s="4" t="str">
        <f>"Pitanguá"</f>
        <v>Pitanguá</v>
      </c>
      <c r="AE354" s="14" t="str">
        <f>"Matemática"</f>
        <v>Matemática</v>
      </c>
    </row>
    <row r="355" spans="1:31" s="14" customFormat="1" x14ac:dyDescent="0.3">
      <c r="A355" s="23" t="s">
        <v>1884</v>
      </c>
      <c r="B355" s="20" t="s">
        <v>16</v>
      </c>
      <c r="C355" s="20" t="s">
        <v>89</v>
      </c>
      <c r="D355" s="20" t="s">
        <v>8</v>
      </c>
      <c r="E355" s="22">
        <v>40</v>
      </c>
      <c r="F355" s="22">
        <v>3</v>
      </c>
      <c r="G355" s="22">
        <v>2</v>
      </c>
      <c r="H355" s="22"/>
      <c r="I355" s="23" t="s">
        <v>9</v>
      </c>
      <c r="J355" s="23"/>
      <c r="K355" s="22"/>
      <c r="L355" s="22"/>
      <c r="M355" s="23"/>
      <c r="N355" s="23"/>
      <c r="O355" s="26" t="s">
        <v>1885</v>
      </c>
      <c r="P355" s="26"/>
      <c r="Q355" s="22"/>
      <c r="R355" s="24"/>
      <c r="S355" s="24"/>
      <c r="T355" s="24"/>
      <c r="U355" s="24"/>
      <c r="V355" s="24"/>
      <c r="W355" s="22" t="s">
        <v>468</v>
      </c>
      <c r="X355" s="4" t="str">
        <f>IF(Tabela2[[#This Row],[sigla]]="","",VLOOKUP(Tabela2[[#This Row],[sigla]],créditos_base!B:C,2,0))</f>
        <v>VER DOCUMENTO DE ILS. TÉCNICAS</v>
      </c>
      <c r="Y355" s="23"/>
      <c r="Z355" s="23" t="s">
        <v>689</v>
      </c>
      <c r="AA355" s="22"/>
      <c r="AB355" s="20"/>
      <c r="AC355" s="20"/>
      <c r="AD355" s="4" t="str">
        <f>"Pitanguá"</f>
        <v>Pitanguá</v>
      </c>
      <c r="AE355" s="14" t="str">
        <f>"Matemática"</f>
        <v>Matemática</v>
      </c>
    </row>
    <row r="356" spans="1:31" s="14" customFormat="1" ht="57.6" x14ac:dyDescent="0.3">
      <c r="A356" s="23" t="s">
        <v>1252</v>
      </c>
      <c r="B356" s="20" t="s">
        <v>16</v>
      </c>
      <c r="C356" s="20" t="s">
        <v>7</v>
      </c>
      <c r="D356" s="20" t="s">
        <v>8</v>
      </c>
      <c r="E356" s="22">
        <v>149</v>
      </c>
      <c r="F356" s="22">
        <v>2</v>
      </c>
      <c r="G356" s="22">
        <v>2</v>
      </c>
      <c r="H356" s="22"/>
      <c r="I356" s="23" t="s">
        <v>9</v>
      </c>
      <c r="J356" s="23"/>
      <c r="K356" s="22"/>
      <c r="L356" s="22"/>
      <c r="M356" s="23"/>
      <c r="N356" s="23"/>
      <c r="O356" s="26" t="s">
        <v>1253</v>
      </c>
      <c r="P356" s="26"/>
      <c r="Q356" s="22"/>
      <c r="R356" s="24"/>
      <c r="S356" s="24"/>
      <c r="T356" s="24"/>
      <c r="U356" s="24"/>
      <c r="V356" s="24"/>
      <c r="W356" s="22" t="s">
        <v>230</v>
      </c>
      <c r="X356" s="4" t="str">
        <f>IF(Tabela2[[#This Row],[sigla]]="","",VLOOKUP(Tabela2[[#This Row],[sigla]],créditos_base!B:C,2,0))</f>
        <v>RAFAEL L. GAION/ARQUIVO DA EDITORA</v>
      </c>
      <c r="Y356" s="23"/>
      <c r="Z356" s="23" t="str">
        <f>Tabela2[[#This Row],[ilustrador]]</f>
        <v>RAFAEL L. GAION/ARQUIVO DA EDITORA</v>
      </c>
      <c r="AA356" s="22"/>
      <c r="AB356" s="20"/>
      <c r="AC356" s="20"/>
      <c r="AD356" s="4" t="str">
        <f>"Pitanguá"</f>
        <v>Pitanguá</v>
      </c>
      <c r="AE356" s="14" t="str">
        <f>"Matemática"</f>
        <v>Matemática</v>
      </c>
    </row>
    <row r="357" spans="1:31" s="14" customFormat="1" ht="86.4" x14ac:dyDescent="0.3">
      <c r="A357" s="23" t="s">
        <v>1886</v>
      </c>
      <c r="B357" s="20" t="s">
        <v>16</v>
      </c>
      <c r="C357" s="20" t="s">
        <v>89</v>
      </c>
      <c r="D357" s="20" t="s">
        <v>8</v>
      </c>
      <c r="E357" s="22">
        <v>40</v>
      </c>
      <c r="F357" s="22">
        <v>3</v>
      </c>
      <c r="G357" s="22">
        <v>2</v>
      </c>
      <c r="H357" s="22"/>
      <c r="I357" s="23" t="s">
        <v>9</v>
      </c>
      <c r="J357" s="23"/>
      <c r="K357" s="22"/>
      <c r="L357" s="22"/>
      <c r="M357" s="23"/>
      <c r="N357" s="23"/>
      <c r="O357" s="26" t="s">
        <v>1887</v>
      </c>
      <c r="P357" s="26"/>
      <c r="Q357" s="22"/>
      <c r="R357" s="24"/>
      <c r="S357" s="24"/>
      <c r="T357" s="24"/>
      <c r="U357" s="24"/>
      <c r="V357" s="24"/>
      <c r="W357" s="22" t="s">
        <v>468</v>
      </c>
      <c r="X357" s="4" t="str">
        <f>IF(Tabela2[[#This Row],[sigla]]="","",VLOOKUP(Tabela2[[#This Row],[sigla]],créditos_base!B:C,2,0))</f>
        <v>VER DOCUMENTO DE ILS. TÉCNICAS</v>
      </c>
      <c r="Y357" s="23"/>
      <c r="Z357" s="23" t="s">
        <v>689</v>
      </c>
      <c r="AA357" s="22"/>
      <c r="AB357" s="20"/>
      <c r="AC357" s="20"/>
      <c r="AD357" s="4" t="str">
        <f>"Pitanguá"</f>
        <v>Pitanguá</v>
      </c>
      <c r="AE357" s="14" t="str">
        <f>"Matemática"</f>
        <v>Matemática</v>
      </c>
    </row>
    <row r="358" spans="1:31" s="14" customFormat="1" ht="57.6" x14ac:dyDescent="0.3">
      <c r="A358" s="23" t="s">
        <v>943</v>
      </c>
      <c r="B358" s="20" t="s">
        <v>16</v>
      </c>
      <c r="C358" s="20" t="s">
        <v>89</v>
      </c>
      <c r="D358" s="20" t="s">
        <v>8</v>
      </c>
      <c r="E358" s="22">
        <v>40</v>
      </c>
      <c r="F358" s="22">
        <v>4</v>
      </c>
      <c r="G358" s="22">
        <v>2</v>
      </c>
      <c r="H358" s="22"/>
      <c r="I358" s="23" t="s">
        <v>9</v>
      </c>
      <c r="J358" s="23"/>
      <c r="K358" s="22"/>
      <c r="L358" s="22"/>
      <c r="M358" s="23"/>
      <c r="N358" s="23"/>
      <c r="O358" s="26" t="s">
        <v>944</v>
      </c>
      <c r="P358" s="26"/>
      <c r="Q358" s="22"/>
      <c r="R358" s="24"/>
      <c r="S358" s="24"/>
      <c r="T358" s="24"/>
      <c r="U358" s="24"/>
      <c r="V358" s="24"/>
      <c r="W358" s="22" t="s">
        <v>940</v>
      </c>
      <c r="X358" s="4" t="str">
        <f>IF(Tabela2[[#This Row],[sigla]]="","",VLOOKUP(Tabela2[[#This Row],[sigla]],créditos_base!B:C,2,0))</f>
        <v>RONALDO LUCENA/ARQUIVO DA EDITORA</v>
      </c>
      <c r="Y358" s="23"/>
      <c r="Z358" s="23" t="str">
        <f>Tabela2[[#This Row],[ilustrador]]</f>
        <v>RONALDO LUCENA/ARQUIVO DA EDITORA</v>
      </c>
      <c r="AA358" s="22"/>
      <c r="AB358" s="20"/>
      <c r="AC358" s="20"/>
      <c r="AD358" s="4" t="str">
        <f>"Pitanguá"</f>
        <v>Pitanguá</v>
      </c>
      <c r="AE358" s="14" t="str">
        <f>"Matemática"</f>
        <v>Matemática</v>
      </c>
    </row>
    <row r="359" spans="1:31" s="14" customFormat="1" ht="43.2" x14ac:dyDescent="0.3">
      <c r="A359" s="23" t="s">
        <v>5460</v>
      </c>
      <c r="B359" s="20" t="s">
        <v>16</v>
      </c>
      <c r="C359" s="20" t="s">
        <v>89</v>
      </c>
      <c r="D359" s="20" t="s">
        <v>8</v>
      </c>
      <c r="E359" s="22">
        <v>37</v>
      </c>
      <c r="F359" s="22">
        <v>5</v>
      </c>
      <c r="G359" s="22">
        <v>2</v>
      </c>
      <c r="H359" s="22"/>
      <c r="I359" s="23" t="s">
        <v>9</v>
      </c>
      <c r="J359" s="23"/>
      <c r="K359" s="22"/>
      <c r="L359" s="22"/>
      <c r="M359" s="23"/>
      <c r="N359" s="23"/>
      <c r="O359" s="26" t="s">
        <v>5461</v>
      </c>
      <c r="P359" s="26"/>
      <c r="Q359" s="22"/>
      <c r="R359" s="24"/>
      <c r="S359" s="24"/>
      <c r="T359" s="24"/>
      <c r="U359" s="24"/>
      <c r="V359" s="24"/>
      <c r="W359" s="22" t="s">
        <v>940</v>
      </c>
      <c r="X359" s="4" t="str">
        <f>IF(Tabela2[[#This Row],[sigla]]="","",VLOOKUP(Tabela2[[#This Row],[sigla]],créditos_base!B:C,2,0))</f>
        <v>RONALDO LUCENA/ARQUIVO DA EDITORA</v>
      </c>
      <c r="Y359" s="23"/>
      <c r="Z359" s="23" t="str">
        <f>Tabela2[[#This Row],[ilustrador]]</f>
        <v>RONALDO LUCENA/ARQUIVO DA EDITORA</v>
      </c>
      <c r="AA359" s="22"/>
      <c r="AB359" s="20"/>
      <c r="AC359" s="20"/>
      <c r="AD359" s="4" t="str">
        <f>"Pitanguá"</f>
        <v>Pitanguá</v>
      </c>
      <c r="AE359" s="14" t="str">
        <f>"Matemática"</f>
        <v>Matemática</v>
      </c>
    </row>
    <row r="360" spans="1:31" s="14" customFormat="1" ht="43.2" x14ac:dyDescent="0.3">
      <c r="A360" s="23" t="s">
        <v>753</v>
      </c>
      <c r="B360" s="20" t="s">
        <v>16</v>
      </c>
      <c r="C360" s="20" t="s">
        <v>7</v>
      </c>
      <c r="D360" s="20" t="s">
        <v>8</v>
      </c>
      <c r="E360" s="22">
        <v>45</v>
      </c>
      <c r="F360" s="22">
        <v>1</v>
      </c>
      <c r="G360" s="22">
        <v>2</v>
      </c>
      <c r="H360" s="22"/>
      <c r="I360" s="23" t="s">
        <v>33</v>
      </c>
      <c r="J360" s="23"/>
      <c r="K360" s="22"/>
      <c r="L360" s="22"/>
      <c r="M360" s="23"/>
      <c r="N360" s="23"/>
      <c r="O360" s="26" t="s">
        <v>754</v>
      </c>
      <c r="P360" s="26"/>
      <c r="Q360" s="22">
        <v>8</v>
      </c>
      <c r="R360" s="24">
        <v>45733</v>
      </c>
      <c r="S360" s="24">
        <v>45734</v>
      </c>
      <c r="T360" s="24"/>
      <c r="U360" s="24"/>
      <c r="V360" s="24">
        <v>45734</v>
      </c>
      <c r="W360" s="22" t="s">
        <v>12</v>
      </c>
      <c r="X360" s="4" t="str">
        <f>IF(Tabela2[[#This Row],[sigla]]="","",VLOOKUP(Tabela2[[#This Row],[sigla]],créditos_base!B:C,2,0))</f>
        <v>JORGE ZAIBA/ARQUIVO DA EDITORA</v>
      </c>
      <c r="Y360" s="23" t="s">
        <v>738</v>
      </c>
      <c r="Z360" s="23" t="str">
        <f>Tabela2[[#This Row],[ilustrador]]</f>
        <v>JORGE ZAIBA/ARQUIVO DA EDITORA</v>
      </c>
      <c r="AA360" s="22">
        <v>13</v>
      </c>
      <c r="AB360" s="20" t="s">
        <v>153</v>
      </c>
      <c r="AC360" s="20" t="s">
        <v>36</v>
      </c>
      <c r="AD360" s="4" t="str">
        <f>"Pitanguá"</f>
        <v>Pitanguá</v>
      </c>
      <c r="AE360" s="14" t="str">
        <f>"Matemática"</f>
        <v>Matemática</v>
      </c>
    </row>
    <row r="361" spans="1:31" s="14" customFormat="1" ht="57.6" x14ac:dyDescent="0.3">
      <c r="A361" s="23" t="s">
        <v>1254</v>
      </c>
      <c r="B361" s="20" t="s">
        <v>16</v>
      </c>
      <c r="C361" s="20" t="s">
        <v>7</v>
      </c>
      <c r="D361" s="20" t="s">
        <v>8</v>
      </c>
      <c r="E361" s="22">
        <v>149</v>
      </c>
      <c r="F361" s="22">
        <v>2</v>
      </c>
      <c r="G361" s="22">
        <v>2</v>
      </c>
      <c r="H361" s="22"/>
      <c r="I361" s="23" t="s">
        <v>9</v>
      </c>
      <c r="J361" s="23"/>
      <c r="K361" s="22"/>
      <c r="L361" s="22"/>
      <c r="M361" s="23"/>
      <c r="N361" s="23"/>
      <c r="O361" s="26" t="s">
        <v>1255</v>
      </c>
      <c r="P361" s="26"/>
      <c r="Q361" s="22"/>
      <c r="R361" s="24"/>
      <c r="S361" s="24"/>
      <c r="T361" s="24"/>
      <c r="U361" s="24"/>
      <c r="V361" s="24"/>
      <c r="W361" s="22" t="s">
        <v>230</v>
      </c>
      <c r="X361" s="4" t="str">
        <f>IF(Tabela2[[#This Row],[sigla]]="","",VLOOKUP(Tabela2[[#This Row],[sigla]],créditos_base!B:C,2,0))</f>
        <v>RAFAEL L. GAION/ARQUIVO DA EDITORA</v>
      </c>
      <c r="Y361" s="23"/>
      <c r="Z361" s="23" t="str">
        <f>Tabela2[[#This Row],[ilustrador]]</f>
        <v>RAFAEL L. GAION/ARQUIVO DA EDITORA</v>
      </c>
      <c r="AA361" s="22"/>
      <c r="AB361" s="20"/>
      <c r="AC361" s="20"/>
      <c r="AD361" s="4" t="str">
        <f>"Pitanguá"</f>
        <v>Pitanguá</v>
      </c>
      <c r="AE361" s="14" t="str">
        <f>"Matemática"</f>
        <v>Matemática</v>
      </c>
    </row>
    <row r="362" spans="1:31" s="14" customFormat="1" ht="43.2" x14ac:dyDescent="0.3">
      <c r="A362" s="23" t="s">
        <v>1888</v>
      </c>
      <c r="B362" s="20" t="s">
        <v>16</v>
      </c>
      <c r="C362" s="20" t="s">
        <v>89</v>
      </c>
      <c r="D362" s="20" t="s">
        <v>8</v>
      </c>
      <c r="E362" s="22">
        <v>40</v>
      </c>
      <c r="F362" s="22">
        <v>3</v>
      </c>
      <c r="G362" s="22">
        <v>2</v>
      </c>
      <c r="H362" s="22"/>
      <c r="I362" s="23" t="s">
        <v>9</v>
      </c>
      <c r="J362" s="23"/>
      <c r="K362" s="22"/>
      <c r="L362" s="22"/>
      <c r="M362" s="23"/>
      <c r="N362" s="23"/>
      <c r="O362" s="26" t="s">
        <v>1889</v>
      </c>
      <c r="P362" s="26"/>
      <c r="Q362" s="22"/>
      <c r="R362" s="24"/>
      <c r="S362" s="24"/>
      <c r="T362" s="24"/>
      <c r="U362" s="24"/>
      <c r="V362" s="24"/>
      <c r="W362" s="22" t="s">
        <v>468</v>
      </c>
      <c r="X362" s="4" t="str">
        <f>IF(Tabela2[[#This Row],[sigla]]="","",VLOOKUP(Tabela2[[#This Row],[sigla]],créditos_base!B:C,2,0))</f>
        <v>VER DOCUMENTO DE ILS. TÉCNICAS</v>
      </c>
      <c r="Y362" s="23"/>
      <c r="Z362" s="23" t="s">
        <v>689</v>
      </c>
      <c r="AA362" s="22"/>
      <c r="AB362" s="20"/>
      <c r="AC362" s="20"/>
      <c r="AD362" s="4" t="str">
        <f>"Pitanguá"</f>
        <v>Pitanguá</v>
      </c>
      <c r="AE362" s="14" t="str">
        <f>"Matemática"</f>
        <v>Matemática</v>
      </c>
    </row>
    <row r="363" spans="1:31" s="14" customFormat="1" ht="57.6" x14ac:dyDescent="0.3">
      <c r="A363" s="23" t="s">
        <v>5462</v>
      </c>
      <c r="B363" s="20" t="s">
        <v>16</v>
      </c>
      <c r="C363" s="20" t="s">
        <v>89</v>
      </c>
      <c r="D363" s="20" t="s">
        <v>8</v>
      </c>
      <c r="E363" s="22">
        <v>37</v>
      </c>
      <c r="F363" s="22">
        <v>5</v>
      </c>
      <c r="G363" s="22">
        <v>2</v>
      </c>
      <c r="H363" s="22"/>
      <c r="I363" s="23" t="s">
        <v>9</v>
      </c>
      <c r="J363" s="23"/>
      <c r="K363" s="22"/>
      <c r="L363" s="22"/>
      <c r="M363" s="23"/>
      <c r="N363" s="23"/>
      <c r="O363" s="26" t="s">
        <v>5463</v>
      </c>
      <c r="P363" s="26"/>
      <c r="Q363" s="22"/>
      <c r="R363" s="24"/>
      <c r="S363" s="24"/>
      <c r="T363" s="24"/>
      <c r="U363" s="24"/>
      <c r="V363" s="24"/>
      <c r="W363" s="22" t="s">
        <v>940</v>
      </c>
      <c r="X363" s="4" t="str">
        <f>IF(Tabela2[[#This Row],[sigla]]="","",VLOOKUP(Tabela2[[#This Row],[sigla]],créditos_base!B:C,2,0))</f>
        <v>RONALDO LUCENA/ARQUIVO DA EDITORA</v>
      </c>
      <c r="Y363" s="23"/>
      <c r="Z363" s="23" t="str">
        <f>Tabela2[[#This Row],[ilustrador]]</f>
        <v>RONALDO LUCENA/ARQUIVO DA EDITORA</v>
      </c>
      <c r="AA363" s="22"/>
      <c r="AB363" s="20"/>
      <c r="AC363" s="20"/>
      <c r="AD363" s="4" t="str">
        <f>"Pitanguá"</f>
        <v>Pitanguá</v>
      </c>
      <c r="AE363" s="14" t="str">
        <f>"Matemática"</f>
        <v>Matemática</v>
      </c>
    </row>
    <row r="364" spans="1:31" s="14" customFormat="1" ht="28.8" x14ac:dyDescent="0.3">
      <c r="A364" s="23" t="s">
        <v>755</v>
      </c>
      <c r="B364" s="20" t="s">
        <v>16</v>
      </c>
      <c r="C364" s="20" t="s">
        <v>7</v>
      </c>
      <c r="D364" s="20" t="s">
        <v>8</v>
      </c>
      <c r="E364" s="22">
        <v>45</v>
      </c>
      <c r="F364" s="22">
        <v>1</v>
      </c>
      <c r="G364" s="22">
        <v>2</v>
      </c>
      <c r="H364" s="22"/>
      <c r="I364" s="23" t="s">
        <v>33</v>
      </c>
      <c r="J364" s="23"/>
      <c r="K364" s="22"/>
      <c r="L364" s="22"/>
      <c r="M364" s="23"/>
      <c r="N364" s="23"/>
      <c r="O364" s="26" t="s">
        <v>756</v>
      </c>
      <c r="P364" s="26"/>
      <c r="Q364" s="22">
        <v>8</v>
      </c>
      <c r="R364" s="24">
        <v>45733</v>
      </c>
      <c r="S364" s="24">
        <v>45734</v>
      </c>
      <c r="T364" s="24"/>
      <c r="U364" s="24"/>
      <c r="V364" s="24">
        <v>45734</v>
      </c>
      <c r="W364" s="22" t="s">
        <v>31</v>
      </c>
      <c r="X364" s="4" t="str">
        <f>IF(Tabela2[[#This Row],[sigla]]="","",VLOOKUP(Tabela2[[#This Row],[sigla]],créditos_base!B:C,2,0))</f>
        <v>SILVIA OTOFUJI/ARQUIVO DA EDITORA</v>
      </c>
      <c r="Y364" s="23" t="s">
        <v>738</v>
      </c>
      <c r="Z364" s="23" t="str">
        <f>Tabela2[[#This Row],[ilustrador]]</f>
        <v>SILVIA OTOFUJI/ARQUIVO DA EDITORA</v>
      </c>
      <c r="AA364" s="22">
        <v>13</v>
      </c>
      <c r="AB364" s="20" t="s">
        <v>153</v>
      </c>
      <c r="AC364" s="20" t="s">
        <v>36</v>
      </c>
      <c r="AD364" s="4" t="str">
        <f>"Pitanguá"</f>
        <v>Pitanguá</v>
      </c>
      <c r="AE364" s="14" t="str">
        <f>"Matemática"</f>
        <v>Matemática</v>
      </c>
    </row>
    <row r="365" spans="1:31" s="14" customFormat="1" ht="28.8" x14ac:dyDescent="0.3">
      <c r="A365" s="23" t="s">
        <v>1256</v>
      </c>
      <c r="B365" s="20" t="s">
        <v>16</v>
      </c>
      <c r="C365" s="20" t="s">
        <v>7</v>
      </c>
      <c r="D365" s="20" t="s">
        <v>8</v>
      </c>
      <c r="E365" s="22">
        <v>150</v>
      </c>
      <c r="F365" s="22">
        <v>2</v>
      </c>
      <c r="G365" s="22">
        <v>2</v>
      </c>
      <c r="H365" s="22"/>
      <c r="I365" s="23" t="s">
        <v>33</v>
      </c>
      <c r="J365" s="23"/>
      <c r="K365" s="22"/>
      <c r="L365" s="22"/>
      <c r="M365" s="23"/>
      <c r="N365" s="23"/>
      <c r="O365" s="26" t="s">
        <v>1257</v>
      </c>
      <c r="P365" s="26"/>
      <c r="Q365" s="22">
        <v>14</v>
      </c>
      <c r="R365" s="24">
        <v>45743</v>
      </c>
      <c r="S365" s="24">
        <v>45743</v>
      </c>
      <c r="T365" s="24"/>
      <c r="U365" s="24"/>
      <c r="V365" s="24">
        <v>45744</v>
      </c>
      <c r="W365" s="22" t="s">
        <v>230</v>
      </c>
      <c r="X365" s="4" t="str">
        <f>IF(Tabela2[[#This Row],[sigla]]="","",VLOOKUP(Tabela2[[#This Row],[sigla]],créditos_base!B:C,2,0))</f>
        <v>RAFAEL L. GAION/ARQUIVO DA EDITORA</v>
      </c>
      <c r="Y365" s="51" t="s">
        <v>813</v>
      </c>
      <c r="Z365" s="23" t="str">
        <f>Tabela2[[#This Row],[ilustrador]]</f>
        <v>RAFAEL L. GAION/ARQUIVO DA EDITORA</v>
      </c>
      <c r="AA365" s="22">
        <v>14</v>
      </c>
      <c r="AB365" s="20" t="s">
        <v>153</v>
      </c>
      <c r="AC365" s="20" t="s">
        <v>36</v>
      </c>
      <c r="AD365" s="4" t="str">
        <f>"Pitanguá"</f>
        <v>Pitanguá</v>
      </c>
      <c r="AE365" s="14" t="str">
        <f>"Matemática"</f>
        <v>Matemática</v>
      </c>
    </row>
    <row r="366" spans="1:31" s="14" customFormat="1" ht="28.8" x14ac:dyDescent="0.3">
      <c r="A366" s="23" t="s">
        <v>1890</v>
      </c>
      <c r="B366" s="20" t="s">
        <v>6</v>
      </c>
      <c r="C366" s="20" t="s">
        <v>7</v>
      </c>
      <c r="D366" s="20" t="s">
        <v>8</v>
      </c>
      <c r="E366" s="22">
        <v>41</v>
      </c>
      <c r="F366" s="22">
        <v>3</v>
      </c>
      <c r="G366" s="22">
        <v>2</v>
      </c>
      <c r="H366" s="22"/>
      <c r="I366" s="23" t="s">
        <v>33</v>
      </c>
      <c r="J366" s="23"/>
      <c r="K366" s="22"/>
      <c r="L366" s="22"/>
      <c r="M366" s="23"/>
      <c r="N366" s="23"/>
      <c r="O366" s="26" t="s">
        <v>1891</v>
      </c>
      <c r="P366" s="26" t="s">
        <v>11</v>
      </c>
      <c r="Q366" s="22">
        <v>23</v>
      </c>
      <c r="R366" s="24">
        <v>45750</v>
      </c>
      <c r="S366" s="24">
        <v>45751</v>
      </c>
      <c r="T366" s="24"/>
      <c r="U366" s="24"/>
      <c r="V366" s="24">
        <v>45751</v>
      </c>
      <c r="W366" s="22" t="s">
        <v>31</v>
      </c>
      <c r="X366" s="4" t="str">
        <f>IF(Tabela2[[#This Row],[sigla]]="","",VLOOKUP(Tabela2[[#This Row],[sigla]],créditos_base!B:C,2,0))</f>
        <v>SILVIA OTOFUJI/ARQUIVO DA EDITORA</v>
      </c>
      <c r="Y366" s="23" t="s">
        <v>152</v>
      </c>
      <c r="Z366" s="23" t="str">
        <f>Tabela2[[#This Row],[ilustrador]]</f>
        <v>SILVIA OTOFUJI/ARQUIVO DA EDITORA</v>
      </c>
      <c r="AA366" s="22">
        <v>13</v>
      </c>
      <c r="AB366" s="20" t="s">
        <v>41</v>
      </c>
      <c r="AC366" s="20" t="s">
        <v>36</v>
      </c>
      <c r="AD366" s="4" t="str">
        <f>"Pitanguá"</f>
        <v>Pitanguá</v>
      </c>
      <c r="AE366" s="14" t="str">
        <f>"Matemática"</f>
        <v>Matemática</v>
      </c>
    </row>
    <row r="367" spans="1:31" s="14" customFormat="1" x14ac:dyDescent="0.3">
      <c r="A367" s="23" t="s">
        <v>945</v>
      </c>
      <c r="B367" s="20" t="s">
        <v>16</v>
      </c>
      <c r="C367" s="20" t="s">
        <v>89</v>
      </c>
      <c r="D367" s="20" t="s">
        <v>8</v>
      </c>
      <c r="E367" s="22">
        <v>40</v>
      </c>
      <c r="F367" s="22">
        <v>4</v>
      </c>
      <c r="G367" s="22">
        <v>2</v>
      </c>
      <c r="H367" s="22"/>
      <c r="I367" s="23" t="s">
        <v>33</v>
      </c>
      <c r="J367" s="23"/>
      <c r="K367" s="22"/>
      <c r="L367" s="22"/>
      <c r="M367" s="23"/>
      <c r="N367" s="23"/>
      <c r="O367" s="26" t="s">
        <v>946</v>
      </c>
      <c r="P367" s="26"/>
      <c r="Q367" s="22">
        <v>42</v>
      </c>
      <c r="R367" s="24">
        <v>45783</v>
      </c>
      <c r="S367" s="24">
        <v>45783</v>
      </c>
      <c r="T367" s="24"/>
      <c r="U367" s="24"/>
      <c r="V367" s="24">
        <v>45783</v>
      </c>
      <c r="W367" s="22" t="s">
        <v>940</v>
      </c>
      <c r="X367" s="4" t="str">
        <f>IF(Tabela2[[#This Row],[sigla]]="","",VLOOKUP(Tabela2[[#This Row],[sigla]],créditos_base!B:C,2,0))</f>
        <v>RONALDO LUCENA/ARQUIVO DA EDITORA</v>
      </c>
      <c r="Y367" s="23" t="s">
        <v>152</v>
      </c>
      <c r="Z367" s="23" t="str">
        <f>Tabela2[[#This Row],[ilustrador]]</f>
        <v>RONALDO LUCENA/ARQUIVO DA EDITORA</v>
      </c>
      <c r="AA367" s="22">
        <v>13</v>
      </c>
      <c r="AB367" s="20" t="s">
        <v>153</v>
      </c>
      <c r="AC367" s="20" t="s">
        <v>36</v>
      </c>
      <c r="AD367" s="4" t="str">
        <f>"Pitanguá"</f>
        <v>Pitanguá</v>
      </c>
      <c r="AE367" s="14" t="str">
        <f>"Matemática"</f>
        <v>Matemática</v>
      </c>
    </row>
    <row r="368" spans="1:31" s="14" customFormat="1" x14ac:dyDescent="0.3">
      <c r="A368" s="23" t="s">
        <v>5464</v>
      </c>
      <c r="B368" s="20" t="s">
        <v>16</v>
      </c>
      <c r="C368" s="20" t="s">
        <v>89</v>
      </c>
      <c r="D368" s="20" t="s">
        <v>8</v>
      </c>
      <c r="E368" s="22">
        <v>37</v>
      </c>
      <c r="F368" s="22">
        <v>5</v>
      </c>
      <c r="G368" s="22">
        <v>2</v>
      </c>
      <c r="H368" s="22"/>
      <c r="I368" s="23" t="s">
        <v>9</v>
      </c>
      <c r="J368" s="23"/>
      <c r="K368" s="22"/>
      <c r="L368" s="22"/>
      <c r="M368" s="23"/>
      <c r="N368" s="23"/>
      <c r="O368" s="26" t="s">
        <v>5465</v>
      </c>
      <c r="P368" s="26"/>
      <c r="Q368" s="22"/>
      <c r="R368" s="24"/>
      <c r="S368" s="24"/>
      <c r="T368" s="24"/>
      <c r="U368" s="24"/>
      <c r="V368" s="24"/>
      <c r="W368" s="22" t="s">
        <v>940</v>
      </c>
      <c r="X368" s="4" t="str">
        <f>IF(Tabela2[[#This Row],[sigla]]="","",VLOOKUP(Tabela2[[#This Row],[sigla]],créditos_base!B:C,2,0))</f>
        <v>RONALDO LUCENA/ARQUIVO DA EDITORA</v>
      </c>
      <c r="Y368" s="23"/>
      <c r="Z368" s="23" t="str">
        <f>Tabela2[[#This Row],[ilustrador]]</f>
        <v>RONALDO LUCENA/ARQUIVO DA EDITORA</v>
      </c>
      <c r="AA368" s="22"/>
      <c r="AB368" s="20"/>
      <c r="AC368" s="20"/>
      <c r="AD368" s="4" t="str">
        <f>"Pitanguá"</f>
        <v>Pitanguá</v>
      </c>
      <c r="AE368" s="14" t="str">
        <f>"Matemática"</f>
        <v>Matemática</v>
      </c>
    </row>
    <row r="369" spans="1:31" s="14" customFormat="1" ht="28.8" x14ac:dyDescent="0.3">
      <c r="A369" s="23" t="s">
        <v>1258</v>
      </c>
      <c r="B369" s="20" t="s">
        <v>16</v>
      </c>
      <c r="C369" s="20" t="s">
        <v>7</v>
      </c>
      <c r="D369" s="20" t="s">
        <v>8</v>
      </c>
      <c r="E369" s="22">
        <v>150</v>
      </c>
      <c r="F369" s="22">
        <v>2</v>
      </c>
      <c r="G369" s="22">
        <v>2</v>
      </c>
      <c r="H369" s="22"/>
      <c r="I369" s="23" t="s">
        <v>9</v>
      </c>
      <c r="J369" s="23"/>
      <c r="K369" s="22"/>
      <c r="L369" s="22"/>
      <c r="M369" s="23"/>
      <c r="N369" s="23"/>
      <c r="O369" s="26" t="s">
        <v>1259</v>
      </c>
      <c r="P369" s="26"/>
      <c r="Q369" s="22"/>
      <c r="R369" s="24"/>
      <c r="S369" s="24"/>
      <c r="T369" s="24"/>
      <c r="U369" s="24"/>
      <c r="V369" s="24"/>
      <c r="W369" s="22" t="s">
        <v>160</v>
      </c>
      <c r="X369" s="4" t="str">
        <f>IF(Tabela2[[#This Row],[sigla]]="","",VLOOKUP(Tabela2[[#This Row],[sigla]],créditos_base!B:C,2,0))</f>
        <v>SERGIO LIMA/ARQUIVO DA EDITORA</v>
      </c>
      <c r="Y369" s="23"/>
      <c r="Z369" s="23" t="str">
        <f>Tabela2[[#This Row],[ilustrador]]</f>
        <v>SERGIO LIMA/ARQUIVO DA EDITORA</v>
      </c>
      <c r="AA369" s="22"/>
      <c r="AB369" s="20"/>
      <c r="AC369" s="20"/>
      <c r="AD369" s="4" t="str">
        <f>"Pitanguá"</f>
        <v>Pitanguá</v>
      </c>
      <c r="AE369" s="14" t="str">
        <f>"Matemática"</f>
        <v>Matemática</v>
      </c>
    </row>
    <row r="370" spans="1:31" s="14" customFormat="1" ht="28.8" x14ac:dyDescent="0.3">
      <c r="A370" s="23" t="s">
        <v>1892</v>
      </c>
      <c r="B370" s="20" t="s">
        <v>6</v>
      </c>
      <c r="C370" s="20" t="s">
        <v>89</v>
      </c>
      <c r="D370" s="20" t="s">
        <v>8</v>
      </c>
      <c r="E370" s="22">
        <v>42</v>
      </c>
      <c r="F370" s="22">
        <v>3</v>
      </c>
      <c r="G370" s="22">
        <v>2</v>
      </c>
      <c r="H370" s="22"/>
      <c r="I370" s="23" t="s">
        <v>9</v>
      </c>
      <c r="J370" s="23"/>
      <c r="K370" s="22"/>
      <c r="L370" s="22"/>
      <c r="M370" s="23"/>
      <c r="N370" s="23"/>
      <c r="O370" s="26" t="s">
        <v>1893</v>
      </c>
      <c r="P370" s="26" t="s">
        <v>11</v>
      </c>
      <c r="Q370" s="22"/>
      <c r="R370" s="24"/>
      <c r="S370" s="24"/>
      <c r="T370" s="24"/>
      <c r="U370" s="24"/>
      <c r="V370" s="24"/>
      <c r="W370" s="22" t="s">
        <v>160</v>
      </c>
      <c r="X370" s="4" t="str">
        <f>IF(Tabela2[[#This Row],[sigla]]="","",VLOOKUP(Tabela2[[#This Row],[sigla]],créditos_base!B:C,2,0))</f>
        <v>SERGIO LIMA/ARQUIVO DA EDITORA</v>
      </c>
      <c r="Y370" s="23"/>
      <c r="Z370" s="23" t="str">
        <f>Tabela2[[#This Row],[ilustrador]]</f>
        <v>SERGIO LIMA/ARQUIVO DA EDITORA</v>
      </c>
      <c r="AA370" s="22"/>
      <c r="AB370" s="20"/>
      <c r="AC370" s="20"/>
      <c r="AD370" s="4" t="str">
        <f>"Pitanguá"</f>
        <v>Pitanguá</v>
      </c>
      <c r="AE370" s="14" t="str">
        <f>"Matemática"</f>
        <v>Matemática</v>
      </c>
    </row>
    <row r="371" spans="1:31" s="14" customFormat="1" x14ac:dyDescent="0.3">
      <c r="A371" s="23" t="s">
        <v>757</v>
      </c>
      <c r="B371" s="20" t="s">
        <v>16</v>
      </c>
      <c r="C371" s="20" t="s">
        <v>7</v>
      </c>
      <c r="D371" s="20" t="s">
        <v>8</v>
      </c>
      <c r="E371" s="22">
        <v>46</v>
      </c>
      <c r="F371" s="22">
        <v>1</v>
      </c>
      <c r="G371" s="22">
        <v>2</v>
      </c>
      <c r="H371" s="22"/>
      <c r="I371" s="23" t="s">
        <v>90</v>
      </c>
      <c r="J371" s="23"/>
      <c r="K371" s="22"/>
      <c r="L371" s="22"/>
      <c r="M371" s="23"/>
      <c r="N371" s="23"/>
      <c r="O371" s="26" t="s">
        <v>758</v>
      </c>
      <c r="P371" s="26"/>
      <c r="Q371" s="22">
        <v>8</v>
      </c>
      <c r="R371" s="24">
        <v>45733</v>
      </c>
      <c r="S371" s="24">
        <v>45734</v>
      </c>
      <c r="T371" s="24">
        <v>45740</v>
      </c>
      <c r="U371" s="24">
        <v>45743</v>
      </c>
      <c r="V371" s="24">
        <v>45747</v>
      </c>
      <c r="W371" s="22" t="s">
        <v>759</v>
      </c>
      <c r="X371" s="4" t="str">
        <f>IF(Tabela2[[#This Row],[sigla]]="","",VLOOKUP(Tabela2[[#This Row],[sigla]],créditos_base!B:C,2,0))</f>
        <v>JULIA PONNICK/ARQUIVO DA EDITORA</v>
      </c>
      <c r="Y371" s="23"/>
      <c r="Z371" s="23" t="str">
        <f>Tabela2[[#This Row],[ilustrador]]</f>
        <v>JULIA PONNICK/ARQUIVO DA EDITORA</v>
      </c>
      <c r="AA371" s="22">
        <v>5</v>
      </c>
      <c r="AB371" s="20" t="s">
        <v>760</v>
      </c>
      <c r="AC371" s="20" t="s">
        <v>310</v>
      </c>
      <c r="AD371" s="4" t="str">
        <f>"Pitanguá"</f>
        <v>Pitanguá</v>
      </c>
      <c r="AE371" s="14" t="str">
        <f>"Matemática"</f>
        <v>Matemática</v>
      </c>
    </row>
    <row r="372" spans="1:31" s="14" customFormat="1" x14ac:dyDescent="0.3">
      <c r="A372" s="23" t="s">
        <v>1260</v>
      </c>
      <c r="B372" s="20" t="s">
        <v>16</v>
      </c>
      <c r="C372" s="20" t="s">
        <v>7</v>
      </c>
      <c r="D372" s="20" t="s">
        <v>8</v>
      </c>
      <c r="E372" s="22">
        <v>150</v>
      </c>
      <c r="F372" s="22">
        <v>2</v>
      </c>
      <c r="G372" s="22">
        <v>2</v>
      </c>
      <c r="H372" s="22"/>
      <c r="I372" s="23" t="s">
        <v>33</v>
      </c>
      <c r="J372" s="23"/>
      <c r="K372" s="22"/>
      <c r="L372" s="22"/>
      <c r="M372" s="23"/>
      <c r="N372" s="23"/>
      <c r="O372" s="26" t="s">
        <v>1261</v>
      </c>
      <c r="P372" s="26"/>
      <c r="Q372" s="22">
        <v>14</v>
      </c>
      <c r="R372" s="24">
        <v>45743</v>
      </c>
      <c r="S372" s="24">
        <v>45743</v>
      </c>
      <c r="T372" s="24"/>
      <c r="U372" s="24"/>
      <c r="V372" s="24">
        <v>45744</v>
      </c>
      <c r="W372" s="22" t="s">
        <v>160</v>
      </c>
      <c r="X372" s="4" t="str">
        <f>IF(Tabela2[[#This Row],[sigla]]="","",VLOOKUP(Tabela2[[#This Row],[sigla]],créditos_base!B:C,2,0))</f>
        <v>SERGIO LIMA/ARQUIVO DA EDITORA</v>
      </c>
      <c r="Y372" s="51" t="s">
        <v>813</v>
      </c>
      <c r="Z372" s="23" t="str">
        <f>Tabela2[[#This Row],[ilustrador]]</f>
        <v>SERGIO LIMA/ARQUIVO DA EDITORA</v>
      </c>
      <c r="AA372" s="22">
        <v>14</v>
      </c>
      <c r="AB372" s="20" t="s">
        <v>153</v>
      </c>
      <c r="AC372" s="20" t="s">
        <v>36</v>
      </c>
      <c r="AD372" s="4" t="str">
        <f>"Pitanguá"</f>
        <v>Pitanguá</v>
      </c>
      <c r="AE372" s="14" t="str">
        <f>"Matemática"</f>
        <v>Matemática</v>
      </c>
    </row>
    <row r="373" spans="1:31" s="14" customFormat="1" x14ac:dyDescent="0.3">
      <c r="A373" s="23" t="s">
        <v>1894</v>
      </c>
      <c r="B373" s="20" t="s">
        <v>6</v>
      </c>
      <c r="C373" s="20" t="s">
        <v>89</v>
      </c>
      <c r="D373" s="20" t="s">
        <v>8</v>
      </c>
      <c r="E373" s="22">
        <v>42</v>
      </c>
      <c r="F373" s="22">
        <v>3</v>
      </c>
      <c r="G373" s="22">
        <v>2</v>
      </c>
      <c r="H373" s="22"/>
      <c r="I373" s="23" t="s">
        <v>33</v>
      </c>
      <c r="J373" s="23"/>
      <c r="K373" s="22"/>
      <c r="L373" s="22"/>
      <c r="M373" s="23"/>
      <c r="N373" s="23"/>
      <c r="O373" s="26" t="s">
        <v>1895</v>
      </c>
      <c r="P373" s="26" t="s">
        <v>11</v>
      </c>
      <c r="Q373" s="22">
        <v>23</v>
      </c>
      <c r="R373" s="24">
        <v>45750</v>
      </c>
      <c r="S373" s="24">
        <v>45751</v>
      </c>
      <c r="T373" s="24"/>
      <c r="U373" s="24"/>
      <c r="V373" s="24">
        <v>45751</v>
      </c>
      <c r="W373" s="22" t="s">
        <v>160</v>
      </c>
      <c r="X373" s="4" t="str">
        <f>IF(Tabela2[[#This Row],[sigla]]="","",VLOOKUP(Tabela2[[#This Row],[sigla]],créditos_base!B:C,2,0))</f>
        <v>SERGIO LIMA/ARQUIVO DA EDITORA</v>
      </c>
      <c r="Y373" s="23" t="s">
        <v>152</v>
      </c>
      <c r="Z373" s="23" t="str">
        <f>Tabela2[[#This Row],[ilustrador]]</f>
        <v>SERGIO LIMA/ARQUIVO DA EDITORA</v>
      </c>
      <c r="AA373" s="22">
        <v>13</v>
      </c>
      <c r="AB373" s="20" t="s">
        <v>41</v>
      </c>
      <c r="AC373" s="20" t="s">
        <v>36</v>
      </c>
      <c r="AD373" s="4" t="str">
        <f>"Pitanguá"</f>
        <v>Pitanguá</v>
      </c>
      <c r="AE373" s="14" t="str">
        <f>"Matemática"</f>
        <v>Matemática</v>
      </c>
    </row>
    <row r="374" spans="1:31" s="14" customFormat="1" x14ac:dyDescent="0.3">
      <c r="A374" s="23" t="s">
        <v>947</v>
      </c>
      <c r="B374" s="20" t="s">
        <v>16</v>
      </c>
      <c r="C374" s="20" t="s">
        <v>89</v>
      </c>
      <c r="D374" s="20" t="s">
        <v>8</v>
      </c>
      <c r="E374" s="22">
        <v>41</v>
      </c>
      <c r="F374" s="22">
        <v>4</v>
      </c>
      <c r="G374" s="22">
        <v>2</v>
      </c>
      <c r="H374" s="22"/>
      <c r="I374" s="23" t="s">
        <v>9</v>
      </c>
      <c r="J374" s="23"/>
      <c r="K374" s="22"/>
      <c r="L374" s="22"/>
      <c r="M374" s="23"/>
      <c r="N374" s="23"/>
      <c r="O374" s="26" t="s">
        <v>948</v>
      </c>
      <c r="P374" s="26"/>
      <c r="Q374" s="22"/>
      <c r="R374" s="24"/>
      <c r="S374" s="24"/>
      <c r="T374" s="24"/>
      <c r="U374" s="24"/>
      <c r="V374" s="24"/>
      <c r="W374" s="22" t="s">
        <v>940</v>
      </c>
      <c r="X374" s="4" t="str">
        <f>IF(Tabela2[[#This Row],[sigla]]="","",VLOOKUP(Tabela2[[#This Row],[sigla]],créditos_base!B:C,2,0))</f>
        <v>RONALDO LUCENA/ARQUIVO DA EDITORA</v>
      </c>
      <c r="Y374" s="23"/>
      <c r="Z374" s="23" t="str">
        <f>Tabela2[[#This Row],[ilustrador]]</f>
        <v>RONALDO LUCENA/ARQUIVO DA EDITORA</v>
      </c>
      <c r="AA374" s="22"/>
      <c r="AB374" s="20"/>
      <c r="AC374" s="20"/>
      <c r="AD374" s="4" t="str">
        <f>"Pitanguá"</f>
        <v>Pitanguá</v>
      </c>
      <c r="AE374" s="14" t="str">
        <f>"Matemática"</f>
        <v>Matemática</v>
      </c>
    </row>
    <row r="375" spans="1:31" s="14" customFormat="1" x14ac:dyDescent="0.3">
      <c r="A375" s="23" t="s">
        <v>5468</v>
      </c>
      <c r="B375" s="20" t="s">
        <v>16</v>
      </c>
      <c r="C375" s="20" t="s">
        <v>89</v>
      </c>
      <c r="D375" s="20" t="s">
        <v>8</v>
      </c>
      <c r="E375" s="22">
        <v>37</v>
      </c>
      <c r="F375" s="22">
        <v>5</v>
      </c>
      <c r="G375" s="22">
        <v>2</v>
      </c>
      <c r="H375" s="22"/>
      <c r="I375" s="23" t="s">
        <v>9</v>
      </c>
      <c r="J375" s="23"/>
      <c r="K375" s="22"/>
      <c r="L375" s="22"/>
      <c r="M375" s="23"/>
      <c r="N375" s="23"/>
      <c r="O375" s="26" t="s">
        <v>5469</v>
      </c>
      <c r="P375" s="26"/>
      <c r="Q375" s="22"/>
      <c r="R375" s="24"/>
      <c r="S375" s="24"/>
      <c r="T375" s="24"/>
      <c r="U375" s="24"/>
      <c r="V375" s="24"/>
      <c r="W375" s="22" t="s">
        <v>940</v>
      </c>
      <c r="X375" s="4" t="str">
        <f>IF(Tabela2[[#This Row],[sigla]]="","",VLOOKUP(Tabela2[[#This Row],[sigla]],créditos_base!B:C,2,0))</f>
        <v>RONALDO LUCENA/ARQUIVO DA EDITORA</v>
      </c>
      <c r="Y375" s="23"/>
      <c r="Z375" s="23" t="str">
        <f>Tabela2[[#This Row],[ilustrador]]</f>
        <v>RONALDO LUCENA/ARQUIVO DA EDITORA</v>
      </c>
      <c r="AA375" s="22"/>
      <c r="AB375" s="20"/>
      <c r="AC375" s="20"/>
      <c r="AD375" s="4" t="str">
        <f>"Pitanguá"</f>
        <v>Pitanguá</v>
      </c>
      <c r="AE375" s="14" t="str">
        <f>"Matemática"</f>
        <v>Matemática</v>
      </c>
    </row>
    <row r="376" spans="1:31" s="14" customFormat="1" x14ac:dyDescent="0.3">
      <c r="A376" s="23" t="s">
        <v>1262</v>
      </c>
      <c r="B376" s="20" t="s">
        <v>16</v>
      </c>
      <c r="C376" s="20" t="s">
        <v>7</v>
      </c>
      <c r="D376" s="20" t="s">
        <v>8</v>
      </c>
      <c r="E376" s="22">
        <v>151</v>
      </c>
      <c r="F376" s="22">
        <v>2</v>
      </c>
      <c r="G376" s="22">
        <v>2</v>
      </c>
      <c r="H376" s="22"/>
      <c r="I376" s="23" t="s">
        <v>33</v>
      </c>
      <c r="J376" s="23"/>
      <c r="K376" s="22"/>
      <c r="L376" s="22"/>
      <c r="M376" s="23"/>
      <c r="N376" s="23"/>
      <c r="O376" s="26" t="s">
        <v>1263</v>
      </c>
      <c r="P376" s="26"/>
      <c r="Q376" s="22">
        <v>41</v>
      </c>
      <c r="R376" s="24">
        <v>45782</v>
      </c>
      <c r="S376" s="24">
        <v>45783</v>
      </c>
      <c r="T376" s="24"/>
      <c r="U376" s="24"/>
      <c r="V376" s="24">
        <v>45783</v>
      </c>
      <c r="W376" s="22" t="s">
        <v>160</v>
      </c>
      <c r="X376" s="4" t="str">
        <f>IF(Tabela2[[#This Row],[sigla]]="","",VLOOKUP(Tabela2[[#This Row],[sigla]],créditos_base!B:C,2,0))</f>
        <v>SERGIO LIMA/ARQUIVO DA EDITORA</v>
      </c>
      <c r="Y376" s="23" t="s">
        <v>152</v>
      </c>
      <c r="Z376" s="23" t="str">
        <f>Tabela2[[#This Row],[ilustrador]]</f>
        <v>SERGIO LIMA/ARQUIVO DA EDITORA</v>
      </c>
      <c r="AA376" s="22">
        <v>13</v>
      </c>
      <c r="AB376" s="20" t="s">
        <v>244</v>
      </c>
      <c r="AC376" s="20" t="s">
        <v>36</v>
      </c>
      <c r="AD376" s="4" t="str">
        <f>"Pitanguá"</f>
        <v>Pitanguá</v>
      </c>
      <c r="AE376" s="14" t="str">
        <f>"Matemática"</f>
        <v>Matemática</v>
      </c>
    </row>
    <row r="377" spans="1:31" s="14" customFormat="1" x14ac:dyDescent="0.3">
      <c r="A377" s="23" t="s">
        <v>1896</v>
      </c>
      <c r="B377" s="20" t="s">
        <v>6</v>
      </c>
      <c r="C377" s="20" t="s">
        <v>89</v>
      </c>
      <c r="D377" s="20" t="s">
        <v>8</v>
      </c>
      <c r="E377" s="22">
        <v>42</v>
      </c>
      <c r="F377" s="22">
        <v>3</v>
      </c>
      <c r="G377" s="22">
        <v>2</v>
      </c>
      <c r="H377" s="22"/>
      <c r="I377" s="23" t="s">
        <v>9</v>
      </c>
      <c r="J377" s="23"/>
      <c r="K377" s="22"/>
      <c r="L377" s="22"/>
      <c r="M377" s="23"/>
      <c r="N377" s="23"/>
      <c r="O377" s="26" t="s">
        <v>1897</v>
      </c>
      <c r="P377" s="26" t="s">
        <v>11</v>
      </c>
      <c r="Q377" s="22"/>
      <c r="R377" s="24"/>
      <c r="S377" s="24"/>
      <c r="T377" s="24"/>
      <c r="U377" s="24"/>
      <c r="V377" s="24"/>
      <c r="W377" s="22" t="s">
        <v>160</v>
      </c>
      <c r="X377" s="4" t="str">
        <f>IF(Tabela2[[#This Row],[sigla]]="","",VLOOKUP(Tabela2[[#This Row],[sigla]],créditos_base!B:C,2,0))</f>
        <v>SERGIO LIMA/ARQUIVO DA EDITORA</v>
      </c>
      <c r="Y377" s="23"/>
      <c r="Z377" s="23" t="str">
        <f>Tabela2[[#This Row],[ilustrador]]</f>
        <v>SERGIO LIMA/ARQUIVO DA EDITORA</v>
      </c>
      <c r="AA377" s="22"/>
      <c r="AB377" s="20"/>
      <c r="AC377" s="20"/>
      <c r="AD377" s="4" t="str">
        <f>"Pitanguá"</f>
        <v>Pitanguá</v>
      </c>
      <c r="AE377" s="14" t="str">
        <f>"Matemática"</f>
        <v>Matemática</v>
      </c>
    </row>
    <row r="378" spans="1:31" s="14" customFormat="1" ht="28.8" x14ac:dyDescent="0.3">
      <c r="A378" s="23" t="s">
        <v>5470</v>
      </c>
      <c r="B378" s="20" t="s">
        <v>16</v>
      </c>
      <c r="C378" s="20" t="s">
        <v>89</v>
      </c>
      <c r="D378" s="20" t="s">
        <v>8</v>
      </c>
      <c r="E378" s="22">
        <v>37</v>
      </c>
      <c r="F378" s="22">
        <v>5</v>
      </c>
      <c r="G378" s="22">
        <v>2</v>
      </c>
      <c r="H378" s="22"/>
      <c r="I378" s="23" t="s">
        <v>9</v>
      </c>
      <c r="J378" s="23"/>
      <c r="K378" s="22"/>
      <c r="L378" s="22"/>
      <c r="M378" s="23"/>
      <c r="N378" s="23"/>
      <c r="O378" s="26" t="s">
        <v>5471</v>
      </c>
      <c r="P378" s="26"/>
      <c r="Q378" s="22"/>
      <c r="R378" s="24"/>
      <c r="S378" s="24"/>
      <c r="T378" s="24"/>
      <c r="U378" s="24"/>
      <c r="V378" s="24"/>
      <c r="W378" s="22" t="s">
        <v>940</v>
      </c>
      <c r="X378" s="4" t="str">
        <f>IF(Tabela2[[#This Row],[sigla]]="","",VLOOKUP(Tabela2[[#This Row],[sigla]],créditos_base!B:C,2,0))</f>
        <v>RONALDO LUCENA/ARQUIVO DA EDITORA</v>
      </c>
      <c r="Y378" s="23"/>
      <c r="Z378" s="23" t="str">
        <f>Tabela2[[#This Row],[ilustrador]]</f>
        <v>RONALDO LUCENA/ARQUIVO DA EDITORA</v>
      </c>
      <c r="AA378" s="22"/>
      <c r="AB378" s="20"/>
      <c r="AC378" s="20"/>
      <c r="AD378" s="4" t="str">
        <f>"Pitanguá"</f>
        <v>Pitanguá</v>
      </c>
      <c r="AE378" s="14" t="str">
        <f>"Matemática"</f>
        <v>Matemática</v>
      </c>
    </row>
    <row r="379" spans="1:31" s="14" customFormat="1" ht="28.8" x14ac:dyDescent="0.3">
      <c r="A379" s="23" t="s">
        <v>1264</v>
      </c>
      <c r="B379" s="20" t="s">
        <v>16</v>
      </c>
      <c r="C379" s="20" t="s">
        <v>7</v>
      </c>
      <c r="D379" s="20" t="s">
        <v>8</v>
      </c>
      <c r="E379" s="22">
        <v>152</v>
      </c>
      <c r="F379" s="22">
        <v>2</v>
      </c>
      <c r="G379" s="22">
        <v>2</v>
      </c>
      <c r="H379" s="22"/>
      <c r="I379" s="23" t="s">
        <v>9</v>
      </c>
      <c r="J379" s="23"/>
      <c r="K379" s="22"/>
      <c r="L379" s="22"/>
      <c r="M379" s="23"/>
      <c r="N379" s="23"/>
      <c r="O379" s="26" t="s">
        <v>1265</v>
      </c>
      <c r="P379" s="26"/>
      <c r="Q379" s="22"/>
      <c r="R379" s="24"/>
      <c r="S379" s="24"/>
      <c r="T379" s="24"/>
      <c r="U379" s="24"/>
      <c r="V379" s="24"/>
      <c r="W379" s="22" t="s">
        <v>12</v>
      </c>
      <c r="X379" s="4" t="str">
        <f>IF(Tabela2[[#This Row],[sigla]]="","",VLOOKUP(Tabela2[[#This Row],[sigla]],créditos_base!B:C,2,0))</f>
        <v>JORGE ZAIBA/ARQUIVO DA EDITORA</v>
      </c>
      <c r="Y379" s="23"/>
      <c r="Z379" s="23" t="str">
        <f>Tabela2[[#This Row],[ilustrador]]</f>
        <v>JORGE ZAIBA/ARQUIVO DA EDITORA</v>
      </c>
      <c r="AA379" s="22"/>
      <c r="AB379" s="20"/>
      <c r="AC379" s="20"/>
      <c r="AD379" s="4" t="str">
        <f>"Pitanguá"</f>
        <v>Pitanguá</v>
      </c>
      <c r="AE379" s="14" t="str">
        <f>"Matemática"</f>
        <v>Matemática</v>
      </c>
    </row>
    <row r="380" spans="1:31" s="14" customFormat="1" ht="28.8" x14ac:dyDescent="0.3">
      <c r="A380" s="23" t="s">
        <v>1898</v>
      </c>
      <c r="B380" s="20" t="s">
        <v>6</v>
      </c>
      <c r="C380" s="20" t="s">
        <v>89</v>
      </c>
      <c r="D380" s="20" t="s">
        <v>8</v>
      </c>
      <c r="E380" s="22">
        <v>42</v>
      </c>
      <c r="F380" s="22">
        <v>3</v>
      </c>
      <c r="G380" s="22">
        <v>2</v>
      </c>
      <c r="H380" s="22"/>
      <c r="I380" s="23" t="s">
        <v>9</v>
      </c>
      <c r="J380" s="23"/>
      <c r="K380" s="22"/>
      <c r="L380" s="22"/>
      <c r="M380" s="23"/>
      <c r="N380" s="23"/>
      <c r="O380" s="26" t="s">
        <v>1899</v>
      </c>
      <c r="P380" s="26" t="s">
        <v>11</v>
      </c>
      <c r="Q380" s="22"/>
      <c r="R380" s="24"/>
      <c r="S380" s="24"/>
      <c r="T380" s="24"/>
      <c r="U380" s="24"/>
      <c r="V380" s="24"/>
      <c r="W380" s="22" t="s">
        <v>468</v>
      </c>
      <c r="X380" s="4" t="str">
        <f>IF(Tabela2[[#This Row],[sigla]]="","",VLOOKUP(Tabela2[[#This Row],[sigla]],créditos_base!B:C,2,0))</f>
        <v>VER DOCUMENTO DE ILS. TÉCNICAS</v>
      </c>
      <c r="Y380" s="23"/>
      <c r="Z380" s="23" t="str">
        <f>Tabela2[[#This Row],[ilustrador]]</f>
        <v>VER DOCUMENTO DE ILS. TÉCNICAS</v>
      </c>
      <c r="AA380" s="22"/>
      <c r="AB380" s="20"/>
      <c r="AC380" s="20"/>
      <c r="AD380" s="4" t="str">
        <f>"Pitanguá"</f>
        <v>Pitanguá</v>
      </c>
      <c r="AE380" s="14" t="str">
        <f>"Matemática"</f>
        <v>Matemática</v>
      </c>
    </row>
    <row r="381" spans="1:31" s="14" customFormat="1" ht="28.8" x14ac:dyDescent="0.3">
      <c r="A381" s="23" t="s">
        <v>949</v>
      </c>
      <c r="B381" s="20" t="s">
        <v>16</v>
      </c>
      <c r="C381" s="20" t="s">
        <v>89</v>
      </c>
      <c r="D381" s="20" t="s">
        <v>8</v>
      </c>
      <c r="E381" s="22">
        <v>41</v>
      </c>
      <c r="F381" s="22">
        <v>4</v>
      </c>
      <c r="G381" s="22">
        <v>2</v>
      </c>
      <c r="H381" s="22"/>
      <c r="I381" s="23" t="s">
        <v>9</v>
      </c>
      <c r="J381" s="23"/>
      <c r="K381" s="22"/>
      <c r="L381" s="22"/>
      <c r="M381" s="23"/>
      <c r="N381" s="23"/>
      <c r="O381" s="26" t="s">
        <v>950</v>
      </c>
      <c r="P381" s="26"/>
      <c r="Q381" s="22"/>
      <c r="R381" s="24"/>
      <c r="S381" s="24"/>
      <c r="T381" s="24"/>
      <c r="U381" s="24"/>
      <c r="V381" s="24"/>
      <c r="W381" s="22" t="s">
        <v>940</v>
      </c>
      <c r="X381" s="4" t="str">
        <f>IF(Tabela2[[#This Row],[sigla]]="","",VLOOKUP(Tabela2[[#This Row],[sigla]],créditos_base!B:C,2,0))</f>
        <v>RONALDO LUCENA/ARQUIVO DA EDITORA</v>
      </c>
      <c r="Y381" s="23"/>
      <c r="Z381" s="23" t="str">
        <f>Tabela2[[#This Row],[ilustrador]]</f>
        <v>RONALDO LUCENA/ARQUIVO DA EDITORA</v>
      </c>
      <c r="AA381" s="22"/>
      <c r="AB381" s="20"/>
      <c r="AC381" s="20"/>
      <c r="AD381" s="4" t="str">
        <f>"Pitanguá"</f>
        <v>Pitanguá</v>
      </c>
      <c r="AE381" s="14" t="str">
        <f>"Matemática"</f>
        <v>Matemática</v>
      </c>
    </row>
    <row r="382" spans="1:31" s="14" customFormat="1" ht="28.8" x14ac:dyDescent="0.3">
      <c r="A382" s="23" t="s">
        <v>5472</v>
      </c>
      <c r="B382" s="20" t="s">
        <v>16</v>
      </c>
      <c r="C382" s="20" t="s">
        <v>89</v>
      </c>
      <c r="D382" s="20" t="s">
        <v>8</v>
      </c>
      <c r="E382" s="22">
        <v>37</v>
      </c>
      <c r="F382" s="22">
        <v>5</v>
      </c>
      <c r="G382" s="22">
        <v>2</v>
      </c>
      <c r="H382" s="22"/>
      <c r="I382" s="23" t="s">
        <v>9</v>
      </c>
      <c r="J382" s="23"/>
      <c r="K382" s="22"/>
      <c r="L382" s="22"/>
      <c r="M382" s="23"/>
      <c r="N382" s="23"/>
      <c r="O382" s="26" t="s">
        <v>5473</v>
      </c>
      <c r="P382" s="26"/>
      <c r="Q382" s="22"/>
      <c r="R382" s="24"/>
      <c r="S382" s="24"/>
      <c r="T382" s="24"/>
      <c r="U382" s="24"/>
      <c r="V382" s="24"/>
      <c r="W382" s="22" t="s">
        <v>940</v>
      </c>
      <c r="X382" s="4" t="str">
        <f>IF(Tabela2[[#This Row],[sigla]]="","",VLOOKUP(Tabela2[[#This Row],[sigla]],créditos_base!B:C,2,0))</f>
        <v>RONALDO LUCENA/ARQUIVO DA EDITORA</v>
      </c>
      <c r="Y382" s="23"/>
      <c r="Z382" s="23" t="str">
        <f>Tabela2[[#This Row],[ilustrador]]</f>
        <v>RONALDO LUCENA/ARQUIVO DA EDITORA</v>
      </c>
      <c r="AA382" s="22"/>
      <c r="AB382" s="20"/>
      <c r="AC382" s="20"/>
      <c r="AD382" s="4" t="str">
        <f>"Pitanguá"</f>
        <v>Pitanguá</v>
      </c>
      <c r="AE382" s="14" t="str">
        <f>"Matemática"</f>
        <v>Matemática</v>
      </c>
    </row>
    <row r="383" spans="1:31" s="14" customFormat="1" x14ac:dyDescent="0.3">
      <c r="A383" s="23" t="s">
        <v>1266</v>
      </c>
      <c r="B383" s="20" t="s">
        <v>6</v>
      </c>
      <c r="C383" s="20" t="s">
        <v>7</v>
      </c>
      <c r="D383" s="20" t="s">
        <v>8</v>
      </c>
      <c r="E383" s="22">
        <v>153</v>
      </c>
      <c r="F383" s="22">
        <v>2</v>
      </c>
      <c r="G383" s="22">
        <v>2</v>
      </c>
      <c r="H383" s="22"/>
      <c r="I383" s="23" t="s">
        <v>9</v>
      </c>
      <c r="J383" s="23"/>
      <c r="K383" s="22"/>
      <c r="L383" s="22"/>
      <c r="M383" s="23"/>
      <c r="N383" s="23"/>
      <c r="O383" s="26" t="s">
        <v>1267</v>
      </c>
      <c r="P383" s="26"/>
      <c r="Q383" s="22"/>
      <c r="R383" s="24"/>
      <c r="S383" s="24"/>
      <c r="T383" s="24"/>
      <c r="U383" s="24"/>
      <c r="V383" s="24"/>
      <c r="W383" s="22" t="s">
        <v>12</v>
      </c>
      <c r="X383" s="4" t="str">
        <f>IF(Tabela2[[#This Row],[sigla]]="","",VLOOKUP(Tabela2[[#This Row],[sigla]],créditos_base!B:C,2,0))</f>
        <v>JORGE ZAIBA/ARQUIVO DA EDITORA</v>
      </c>
      <c r="Y383" s="23"/>
      <c r="Z383" s="23" t="str">
        <f>Tabela2[[#This Row],[ilustrador]]</f>
        <v>JORGE ZAIBA/ARQUIVO DA EDITORA</v>
      </c>
      <c r="AA383" s="22"/>
      <c r="AB383" s="20"/>
      <c r="AC383" s="20"/>
      <c r="AD383" s="4" t="str">
        <f>"Pitanguá"</f>
        <v>Pitanguá</v>
      </c>
      <c r="AE383" s="14" t="str">
        <f>"Matemática"</f>
        <v>Matemática</v>
      </c>
    </row>
    <row r="384" spans="1:31" s="14" customFormat="1" x14ac:dyDescent="0.3">
      <c r="A384" s="23" t="s">
        <v>1900</v>
      </c>
      <c r="B384" s="20" t="s">
        <v>16</v>
      </c>
      <c r="C384" s="20" t="s">
        <v>89</v>
      </c>
      <c r="D384" s="20" t="s">
        <v>8</v>
      </c>
      <c r="E384" s="22">
        <v>42</v>
      </c>
      <c r="F384" s="22">
        <v>3</v>
      </c>
      <c r="G384" s="22">
        <v>2</v>
      </c>
      <c r="H384" s="22"/>
      <c r="I384" s="23" t="s">
        <v>9</v>
      </c>
      <c r="J384" s="23"/>
      <c r="K384" s="22"/>
      <c r="L384" s="22"/>
      <c r="M384" s="23"/>
      <c r="N384" s="23"/>
      <c r="O384" s="26" t="s">
        <v>1901</v>
      </c>
      <c r="P384" s="26"/>
      <c r="Q384" s="22"/>
      <c r="R384" s="24"/>
      <c r="S384" s="24"/>
      <c r="T384" s="24"/>
      <c r="U384" s="24"/>
      <c r="V384" s="24"/>
      <c r="W384" s="22" t="s">
        <v>160</v>
      </c>
      <c r="X384" s="4" t="str">
        <f>IF(Tabela2[[#This Row],[sigla]]="","",VLOOKUP(Tabela2[[#This Row],[sigla]],créditos_base!B:C,2,0))</f>
        <v>SERGIO LIMA/ARQUIVO DA EDITORA</v>
      </c>
      <c r="Y384" s="23"/>
      <c r="Z384" s="23" t="str">
        <f>Tabela2[[#This Row],[ilustrador]]</f>
        <v>SERGIO LIMA/ARQUIVO DA EDITORA</v>
      </c>
      <c r="AA384" s="22"/>
      <c r="AB384" s="20"/>
      <c r="AC384" s="20"/>
      <c r="AD384" s="4" t="str">
        <f>"Pitanguá"</f>
        <v>Pitanguá</v>
      </c>
      <c r="AE384" s="14" t="str">
        <f>"Matemática"</f>
        <v>Matemática</v>
      </c>
    </row>
    <row r="385" spans="1:31" s="14" customFormat="1" x14ac:dyDescent="0.3">
      <c r="A385" s="23" t="s">
        <v>5474</v>
      </c>
      <c r="B385" s="20" t="s">
        <v>16</v>
      </c>
      <c r="C385" s="20" t="s">
        <v>89</v>
      </c>
      <c r="D385" s="20" t="s">
        <v>8</v>
      </c>
      <c r="E385" s="22">
        <v>37</v>
      </c>
      <c r="F385" s="22">
        <v>5</v>
      </c>
      <c r="G385" s="22">
        <v>2</v>
      </c>
      <c r="H385" s="22"/>
      <c r="I385" s="23" t="s">
        <v>9</v>
      </c>
      <c r="J385" s="23"/>
      <c r="K385" s="22"/>
      <c r="L385" s="22"/>
      <c r="M385" s="23"/>
      <c r="N385" s="23"/>
      <c r="O385" s="26" t="s">
        <v>5475</v>
      </c>
      <c r="P385" s="26"/>
      <c r="Q385" s="22"/>
      <c r="R385" s="24"/>
      <c r="S385" s="24"/>
      <c r="T385" s="24"/>
      <c r="U385" s="24"/>
      <c r="V385" s="24"/>
      <c r="W385" s="22" t="s">
        <v>940</v>
      </c>
      <c r="X385" s="4" t="str">
        <f>IF(Tabela2[[#This Row],[sigla]]="","",VLOOKUP(Tabela2[[#This Row],[sigla]],créditos_base!B:C,2,0))</f>
        <v>RONALDO LUCENA/ARQUIVO DA EDITORA</v>
      </c>
      <c r="Y385" s="23"/>
      <c r="Z385" s="23" t="str">
        <f>Tabela2[[#This Row],[ilustrador]]</f>
        <v>RONALDO LUCENA/ARQUIVO DA EDITORA</v>
      </c>
      <c r="AA385" s="22"/>
      <c r="AB385" s="20"/>
      <c r="AC385" s="20"/>
      <c r="AD385" s="4" t="str">
        <f>"Pitanguá"</f>
        <v>Pitanguá</v>
      </c>
      <c r="AE385" s="14" t="str">
        <f>"Matemática"</f>
        <v>Matemática</v>
      </c>
    </row>
    <row r="386" spans="1:31" s="14" customFormat="1" x14ac:dyDescent="0.3">
      <c r="A386" s="23" t="s">
        <v>761</v>
      </c>
      <c r="B386" s="20" t="s">
        <v>6</v>
      </c>
      <c r="C386" s="20" t="s">
        <v>89</v>
      </c>
      <c r="D386" s="20" t="s">
        <v>8</v>
      </c>
      <c r="E386" s="22">
        <v>47</v>
      </c>
      <c r="F386" s="22">
        <v>1</v>
      </c>
      <c r="G386" s="22">
        <v>2</v>
      </c>
      <c r="H386" s="22"/>
      <c r="I386" s="23" t="s">
        <v>90</v>
      </c>
      <c r="J386" s="23"/>
      <c r="K386" s="22"/>
      <c r="L386" s="22"/>
      <c r="M386" s="23"/>
      <c r="N386" s="23"/>
      <c r="O386" s="26" t="s">
        <v>762</v>
      </c>
      <c r="P386" s="26"/>
      <c r="Q386" s="22">
        <v>8</v>
      </c>
      <c r="R386" s="24">
        <v>45733</v>
      </c>
      <c r="S386" s="24">
        <v>45733</v>
      </c>
      <c r="T386" s="24"/>
      <c r="U386" s="24"/>
      <c r="V386" s="24">
        <v>45734</v>
      </c>
      <c r="W386" s="22" t="s">
        <v>763</v>
      </c>
      <c r="X386" s="4" t="str">
        <f>IF(Tabela2[[#This Row],[sigla]]="","",VLOOKUP(Tabela2[[#This Row],[sigla]],créditos_base!B:C,2,0))</f>
        <v>RAFAELA PANISSA/ARQUIVO DA EDITORA</v>
      </c>
      <c r="Y386" s="23"/>
      <c r="Z386" s="23" t="str">
        <f>Tabela2[[#This Row],[ilustrador]]</f>
        <v>RAFAELA PANISSA/ARQUIVO DA EDITORA</v>
      </c>
      <c r="AA386" s="22">
        <v>8</v>
      </c>
      <c r="AB386" s="20"/>
      <c r="AC386" s="20" t="s">
        <v>36</v>
      </c>
      <c r="AD386" s="4" t="str">
        <f>"Pitanguá"</f>
        <v>Pitanguá</v>
      </c>
      <c r="AE386" s="14" t="str">
        <f>"Matemática"</f>
        <v>Matemática</v>
      </c>
    </row>
    <row r="387" spans="1:31" s="14" customFormat="1" x14ac:dyDescent="0.3">
      <c r="A387" s="23" t="s">
        <v>1268</v>
      </c>
      <c r="B387" s="20" t="s">
        <v>6</v>
      </c>
      <c r="C387" s="20" t="s">
        <v>7</v>
      </c>
      <c r="D387" s="20" t="s">
        <v>8</v>
      </c>
      <c r="E387" s="22">
        <v>153</v>
      </c>
      <c r="F387" s="22">
        <v>2</v>
      </c>
      <c r="G387" s="22">
        <v>2</v>
      </c>
      <c r="H387" s="22"/>
      <c r="I387" s="23" t="s">
        <v>9</v>
      </c>
      <c r="J387" s="23"/>
      <c r="K387" s="22"/>
      <c r="L387" s="22"/>
      <c r="M387" s="23"/>
      <c r="N387" s="23"/>
      <c r="O387" s="26" t="s">
        <v>1269</v>
      </c>
      <c r="P387" s="26"/>
      <c r="Q387" s="22"/>
      <c r="R387" s="24"/>
      <c r="S387" s="24"/>
      <c r="T387" s="24"/>
      <c r="U387" s="24"/>
      <c r="V387" s="24"/>
      <c r="W387" s="22" t="s">
        <v>12</v>
      </c>
      <c r="X387" s="4" t="str">
        <f>IF(Tabela2[[#This Row],[sigla]]="","",VLOOKUP(Tabela2[[#This Row],[sigla]],créditos_base!B:C,2,0))</f>
        <v>JORGE ZAIBA/ARQUIVO DA EDITORA</v>
      </c>
      <c r="Y387" s="23"/>
      <c r="Z387" s="23" t="str">
        <f>Tabela2[[#This Row],[ilustrador]]</f>
        <v>JORGE ZAIBA/ARQUIVO DA EDITORA</v>
      </c>
      <c r="AA387" s="22"/>
      <c r="AB387" s="20"/>
      <c r="AC387" s="20"/>
      <c r="AD387" s="4" t="str">
        <f>"Pitanguá"</f>
        <v>Pitanguá</v>
      </c>
      <c r="AE387" s="14" t="str">
        <f>"Matemática"</f>
        <v>Matemática</v>
      </c>
    </row>
    <row r="388" spans="1:31" s="14" customFormat="1" x14ac:dyDescent="0.3">
      <c r="A388" s="23" t="s">
        <v>1902</v>
      </c>
      <c r="B388" s="26" t="s">
        <v>16</v>
      </c>
      <c r="C388" s="20" t="s">
        <v>89</v>
      </c>
      <c r="D388" s="20" t="s">
        <v>8</v>
      </c>
      <c r="E388" s="22">
        <v>43</v>
      </c>
      <c r="F388" s="22">
        <v>3</v>
      </c>
      <c r="G388" s="22">
        <v>2</v>
      </c>
      <c r="H388" s="22"/>
      <c r="I388" s="23" t="s">
        <v>33</v>
      </c>
      <c r="J388" s="23"/>
      <c r="K388" s="22"/>
      <c r="L388" s="22"/>
      <c r="M388" s="23"/>
      <c r="N388" s="23"/>
      <c r="O388" s="26" t="s">
        <v>1903</v>
      </c>
      <c r="P388" s="26"/>
      <c r="Q388" s="22">
        <v>23</v>
      </c>
      <c r="R388" s="24">
        <v>45750</v>
      </c>
      <c r="S388" s="24">
        <v>45751</v>
      </c>
      <c r="T388" s="24"/>
      <c r="U388" s="24"/>
      <c r="V388" s="24">
        <v>45751</v>
      </c>
      <c r="W388" s="22" t="s">
        <v>160</v>
      </c>
      <c r="X388" s="4" t="str">
        <f>IF(Tabela2[[#This Row],[sigla]]="","",VLOOKUP(Tabela2[[#This Row],[sigla]],créditos_base!B:C,2,0))</f>
        <v>SERGIO LIMA/ARQUIVO DA EDITORA</v>
      </c>
      <c r="Y388" s="23" t="s">
        <v>152</v>
      </c>
      <c r="Z388" s="23" t="str">
        <f>Tabela2[[#This Row],[ilustrador]]</f>
        <v>SERGIO LIMA/ARQUIVO DA EDITORA</v>
      </c>
      <c r="AA388" s="22">
        <v>14</v>
      </c>
      <c r="AB388" s="20" t="s">
        <v>41</v>
      </c>
      <c r="AC388" s="20" t="s">
        <v>36</v>
      </c>
      <c r="AD388" s="4" t="str">
        <f>"Pitanguá"</f>
        <v>Pitanguá</v>
      </c>
      <c r="AE388" s="14" t="str">
        <f>"Matemática"</f>
        <v>Matemática</v>
      </c>
    </row>
    <row r="389" spans="1:31" s="14" customFormat="1" x14ac:dyDescent="0.3">
      <c r="A389" s="23" t="s">
        <v>5476</v>
      </c>
      <c r="B389" s="20" t="s">
        <v>16</v>
      </c>
      <c r="C389" s="20" t="s">
        <v>89</v>
      </c>
      <c r="D389" s="20" t="s">
        <v>8</v>
      </c>
      <c r="E389" s="22">
        <v>38</v>
      </c>
      <c r="F389" s="22">
        <v>5</v>
      </c>
      <c r="G389" s="22">
        <v>2</v>
      </c>
      <c r="H389" s="22"/>
      <c r="I389" s="23" t="s">
        <v>9</v>
      </c>
      <c r="J389" s="23"/>
      <c r="K389" s="22"/>
      <c r="L389" s="22"/>
      <c r="M389" s="23"/>
      <c r="N389" s="23"/>
      <c r="O389" s="26" t="s">
        <v>5477</v>
      </c>
      <c r="P389" s="26"/>
      <c r="Q389" s="22"/>
      <c r="R389" s="24"/>
      <c r="S389" s="24"/>
      <c r="T389" s="24"/>
      <c r="U389" s="24"/>
      <c r="V389" s="24"/>
      <c r="W389" s="22" t="s">
        <v>940</v>
      </c>
      <c r="X389" s="4" t="str">
        <f>IF(Tabela2[[#This Row],[sigla]]="","",VLOOKUP(Tabela2[[#This Row],[sigla]],créditos_base!B:C,2,0))</f>
        <v>RONALDO LUCENA/ARQUIVO DA EDITORA</v>
      </c>
      <c r="Y389" s="23"/>
      <c r="Z389" s="23" t="str">
        <f>Tabela2[[#This Row],[ilustrador]]</f>
        <v>RONALDO LUCENA/ARQUIVO DA EDITORA</v>
      </c>
      <c r="AA389" s="22"/>
      <c r="AB389" s="20"/>
      <c r="AC389" s="20"/>
      <c r="AD389" s="4" t="str">
        <f>"Pitanguá"</f>
        <v>Pitanguá</v>
      </c>
      <c r="AE389" s="14" t="str">
        <f>"Matemática"</f>
        <v>Matemática</v>
      </c>
    </row>
    <row r="390" spans="1:31" s="14" customFormat="1" x14ac:dyDescent="0.3">
      <c r="A390" s="23" t="s">
        <v>764</v>
      </c>
      <c r="B390" s="20" t="s">
        <v>16</v>
      </c>
      <c r="C390" s="20" t="s">
        <v>7</v>
      </c>
      <c r="D390" s="20" t="s">
        <v>8</v>
      </c>
      <c r="E390" s="22">
        <v>48</v>
      </c>
      <c r="F390" s="22">
        <v>1</v>
      </c>
      <c r="G390" s="22">
        <v>2</v>
      </c>
      <c r="H390" s="22"/>
      <c r="I390" s="23" t="s">
        <v>33</v>
      </c>
      <c r="J390" s="23"/>
      <c r="K390" s="22"/>
      <c r="L390" s="22"/>
      <c r="M390" s="23"/>
      <c r="N390" s="23"/>
      <c r="O390" s="26" t="s">
        <v>765</v>
      </c>
      <c r="P390" s="26"/>
      <c r="Q390" s="22">
        <v>8</v>
      </c>
      <c r="R390" s="24">
        <v>45733</v>
      </c>
      <c r="S390" s="24">
        <v>45734</v>
      </c>
      <c r="T390" s="24"/>
      <c r="U390" s="24"/>
      <c r="V390" s="24">
        <v>45734</v>
      </c>
      <c r="W390" s="22" t="s">
        <v>12</v>
      </c>
      <c r="X390" s="4" t="str">
        <f>IF(Tabela2[[#This Row],[sigla]]="","",VLOOKUP(Tabela2[[#This Row],[sigla]],créditos_base!B:C,2,0))</f>
        <v>JORGE ZAIBA/ARQUIVO DA EDITORA</v>
      </c>
      <c r="Y390" s="23" t="s">
        <v>738</v>
      </c>
      <c r="Z390" s="23" t="str">
        <f>Tabela2[[#This Row],[ilustrador]]</f>
        <v>JORGE ZAIBA/ARQUIVO DA EDITORA</v>
      </c>
      <c r="AA390" s="22">
        <v>13</v>
      </c>
      <c r="AB390" s="20" t="s">
        <v>153</v>
      </c>
      <c r="AC390" s="20" t="s">
        <v>36</v>
      </c>
      <c r="AD390" s="4" t="str">
        <f>"Pitanguá"</f>
        <v>Pitanguá</v>
      </c>
      <c r="AE390" s="14" t="str">
        <f>"Matemática"</f>
        <v>Matemática</v>
      </c>
    </row>
    <row r="391" spans="1:31" s="14" customFormat="1" x14ac:dyDescent="0.3">
      <c r="A391" s="23" t="s">
        <v>1904</v>
      </c>
      <c r="B391" s="20" t="s">
        <v>16</v>
      </c>
      <c r="C391" s="20" t="s">
        <v>7</v>
      </c>
      <c r="D391" s="20" t="s">
        <v>8</v>
      </c>
      <c r="E391" s="22">
        <v>43</v>
      </c>
      <c r="F391" s="22">
        <v>3</v>
      </c>
      <c r="G391" s="22">
        <v>2</v>
      </c>
      <c r="H391" s="22"/>
      <c r="I391" s="23" t="s">
        <v>9</v>
      </c>
      <c r="J391" s="23"/>
      <c r="K391" s="22"/>
      <c r="L391" s="22"/>
      <c r="M391" s="23"/>
      <c r="N391" s="23"/>
      <c r="O391" s="26" t="s">
        <v>1905</v>
      </c>
      <c r="P391" s="26"/>
      <c r="Q391" s="22"/>
      <c r="R391" s="24"/>
      <c r="S391" s="24"/>
      <c r="T391" s="24"/>
      <c r="U391" s="24"/>
      <c r="V391" s="24"/>
      <c r="W391" s="22" t="s">
        <v>160</v>
      </c>
      <c r="X391" s="4" t="str">
        <f>IF(Tabela2[[#This Row],[sigla]]="","",VLOOKUP(Tabela2[[#This Row],[sigla]],créditos_base!B:C,2,0))</f>
        <v>SERGIO LIMA/ARQUIVO DA EDITORA</v>
      </c>
      <c r="Y391" s="23"/>
      <c r="Z391" s="23" t="str">
        <f>Tabela2[[#This Row],[ilustrador]]</f>
        <v>SERGIO LIMA/ARQUIVO DA EDITORA</v>
      </c>
      <c r="AA391" s="22"/>
      <c r="AB391" s="20"/>
      <c r="AC391" s="20"/>
      <c r="AD391" s="4" t="str">
        <f>"Pitanguá"</f>
        <v>Pitanguá</v>
      </c>
      <c r="AE391" s="14" t="str">
        <f>"Matemática"</f>
        <v>Matemática</v>
      </c>
    </row>
    <row r="392" spans="1:31" s="14" customFormat="1" x14ac:dyDescent="0.3">
      <c r="A392" s="23" t="s">
        <v>5478</v>
      </c>
      <c r="B392" s="20" t="s">
        <v>16</v>
      </c>
      <c r="C392" s="20" t="s">
        <v>89</v>
      </c>
      <c r="D392" s="20" t="s">
        <v>8</v>
      </c>
      <c r="E392" s="22">
        <v>38</v>
      </c>
      <c r="F392" s="22">
        <v>5</v>
      </c>
      <c r="G392" s="22">
        <v>2</v>
      </c>
      <c r="H392" s="22"/>
      <c r="I392" s="23" t="s">
        <v>9</v>
      </c>
      <c r="J392" s="23"/>
      <c r="K392" s="22"/>
      <c r="L392" s="22"/>
      <c r="M392" s="23"/>
      <c r="N392" s="23"/>
      <c r="O392" s="26" t="s">
        <v>5479</v>
      </c>
      <c r="P392" s="26"/>
      <c r="Q392" s="22"/>
      <c r="R392" s="24"/>
      <c r="S392" s="24"/>
      <c r="T392" s="24"/>
      <c r="U392" s="24"/>
      <c r="V392" s="24"/>
      <c r="W392" s="22" t="s">
        <v>940</v>
      </c>
      <c r="X392" s="4" t="str">
        <f>IF(Tabela2[[#This Row],[sigla]]="","",VLOOKUP(Tabela2[[#This Row],[sigla]],créditos_base!B:C,2,0))</f>
        <v>RONALDO LUCENA/ARQUIVO DA EDITORA</v>
      </c>
      <c r="Y392" s="23"/>
      <c r="Z392" s="23" t="str">
        <f>Tabela2[[#This Row],[ilustrador]]</f>
        <v>RONALDO LUCENA/ARQUIVO DA EDITORA</v>
      </c>
      <c r="AA392" s="22"/>
      <c r="AB392" s="20"/>
      <c r="AC392" s="20"/>
      <c r="AD392" s="4" t="str">
        <f>"Pitanguá"</f>
        <v>Pitanguá</v>
      </c>
      <c r="AE392" s="14" t="str">
        <f>"Matemática"</f>
        <v>Matemática</v>
      </c>
    </row>
    <row r="393" spans="1:31" s="14" customFormat="1" x14ac:dyDescent="0.3">
      <c r="A393" s="23" t="s">
        <v>1906</v>
      </c>
      <c r="B393" s="20" t="s">
        <v>6</v>
      </c>
      <c r="C393" s="20" t="s">
        <v>7</v>
      </c>
      <c r="D393" s="20" t="s">
        <v>8</v>
      </c>
      <c r="E393" s="22">
        <v>43</v>
      </c>
      <c r="F393" s="22">
        <v>3</v>
      </c>
      <c r="G393" s="22">
        <v>2</v>
      </c>
      <c r="H393" s="22"/>
      <c r="I393" s="23" t="s">
        <v>9</v>
      </c>
      <c r="J393" s="23"/>
      <c r="K393" s="22"/>
      <c r="L393" s="22"/>
      <c r="M393" s="23"/>
      <c r="N393" s="23"/>
      <c r="O393" s="26" t="s">
        <v>1905</v>
      </c>
      <c r="P393" s="26" t="s">
        <v>11</v>
      </c>
      <c r="Q393" s="22"/>
      <c r="R393" s="24"/>
      <c r="S393" s="24"/>
      <c r="T393" s="24"/>
      <c r="U393" s="24"/>
      <c r="V393" s="24"/>
      <c r="W393" s="22" t="s">
        <v>160</v>
      </c>
      <c r="X393" s="4" t="str">
        <f>IF(Tabela2[[#This Row],[sigla]]="","",VLOOKUP(Tabela2[[#This Row],[sigla]],créditos_base!B:C,2,0))</f>
        <v>SERGIO LIMA/ARQUIVO DA EDITORA</v>
      </c>
      <c r="Y393" s="23"/>
      <c r="Z393" s="23" t="str">
        <f>Tabela2[[#This Row],[ilustrador]]</f>
        <v>SERGIO LIMA/ARQUIVO DA EDITORA</v>
      </c>
      <c r="AA393" s="22"/>
      <c r="AB393" s="20"/>
      <c r="AC393" s="20"/>
      <c r="AD393" s="4" t="str">
        <f>"Pitanguá"</f>
        <v>Pitanguá</v>
      </c>
      <c r="AE393" s="14" t="str">
        <f>"Matemática"</f>
        <v>Matemática</v>
      </c>
    </row>
    <row r="394" spans="1:31" s="14" customFormat="1" x14ac:dyDescent="0.3">
      <c r="A394" s="23" t="s">
        <v>5480</v>
      </c>
      <c r="B394" s="20" t="s">
        <v>16</v>
      </c>
      <c r="C394" s="20" t="s">
        <v>89</v>
      </c>
      <c r="D394" s="20" t="s">
        <v>8</v>
      </c>
      <c r="E394" s="22">
        <v>38</v>
      </c>
      <c r="F394" s="22">
        <v>5</v>
      </c>
      <c r="G394" s="22">
        <v>2</v>
      </c>
      <c r="H394" s="22"/>
      <c r="I394" s="23" t="s">
        <v>9</v>
      </c>
      <c r="J394" s="23"/>
      <c r="K394" s="22"/>
      <c r="L394" s="22"/>
      <c r="M394" s="23"/>
      <c r="N394" s="23"/>
      <c r="O394" s="26" t="s">
        <v>5481</v>
      </c>
      <c r="P394" s="26"/>
      <c r="Q394" s="22"/>
      <c r="R394" s="24"/>
      <c r="S394" s="24"/>
      <c r="T394" s="24"/>
      <c r="U394" s="24"/>
      <c r="V394" s="24"/>
      <c r="W394" s="22" t="s">
        <v>940</v>
      </c>
      <c r="X394" s="4" t="str">
        <f>IF(Tabela2[[#This Row],[sigla]]="","",VLOOKUP(Tabela2[[#This Row],[sigla]],créditos_base!B:C,2,0))</f>
        <v>RONALDO LUCENA/ARQUIVO DA EDITORA</v>
      </c>
      <c r="Y394" s="23"/>
      <c r="Z394" s="23" t="str">
        <f>Tabela2[[#This Row],[ilustrador]]</f>
        <v>RONALDO LUCENA/ARQUIVO DA EDITORA</v>
      </c>
      <c r="AA394" s="22"/>
      <c r="AB394" s="20"/>
      <c r="AC394" s="20"/>
      <c r="AD394" s="4" t="str">
        <f>"Pitanguá"</f>
        <v>Pitanguá</v>
      </c>
      <c r="AE394" s="14" t="str">
        <f>"Matemática"</f>
        <v>Matemática</v>
      </c>
    </row>
    <row r="395" spans="1:31" s="14" customFormat="1" x14ac:dyDescent="0.3">
      <c r="A395" s="23" t="s">
        <v>1907</v>
      </c>
      <c r="B395" s="20" t="s">
        <v>16</v>
      </c>
      <c r="C395" s="20" t="s">
        <v>89</v>
      </c>
      <c r="D395" s="20" t="s">
        <v>8</v>
      </c>
      <c r="E395" s="22">
        <v>43</v>
      </c>
      <c r="F395" s="22">
        <v>3</v>
      </c>
      <c r="G395" s="22">
        <v>2</v>
      </c>
      <c r="H395" s="22"/>
      <c r="I395" s="23" t="s">
        <v>9</v>
      </c>
      <c r="J395" s="23"/>
      <c r="K395" s="22"/>
      <c r="L395" s="22"/>
      <c r="M395" s="23"/>
      <c r="N395" s="23"/>
      <c r="O395" s="26" t="s">
        <v>1908</v>
      </c>
      <c r="P395" s="26"/>
      <c r="Q395" s="22"/>
      <c r="R395" s="24"/>
      <c r="S395" s="24"/>
      <c r="T395" s="24"/>
      <c r="U395" s="24"/>
      <c r="V395" s="24"/>
      <c r="W395" s="22" t="s">
        <v>160</v>
      </c>
      <c r="X395" s="4" t="str">
        <f>IF(Tabela2[[#This Row],[sigla]]="","",VLOOKUP(Tabela2[[#This Row],[sigla]],créditos_base!B:C,2,0))</f>
        <v>SERGIO LIMA/ARQUIVO DA EDITORA</v>
      </c>
      <c r="Y395" s="23"/>
      <c r="Z395" s="23" t="str">
        <f>Tabela2[[#This Row],[ilustrador]]</f>
        <v>SERGIO LIMA/ARQUIVO DA EDITORA</v>
      </c>
      <c r="AA395" s="22"/>
      <c r="AB395" s="20"/>
      <c r="AC395" s="20"/>
      <c r="AD395" s="4" t="str">
        <f>"Pitanguá"</f>
        <v>Pitanguá</v>
      </c>
      <c r="AE395" s="14" t="str">
        <f>"Matemática"</f>
        <v>Matemática</v>
      </c>
    </row>
    <row r="396" spans="1:31" s="14" customFormat="1" x14ac:dyDescent="0.3">
      <c r="A396" s="23" t="s">
        <v>5482</v>
      </c>
      <c r="B396" s="20" t="s">
        <v>16</v>
      </c>
      <c r="C396" s="20" t="s">
        <v>89</v>
      </c>
      <c r="D396" s="20" t="s">
        <v>8</v>
      </c>
      <c r="E396" s="22">
        <v>38</v>
      </c>
      <c r="F396" s="22">
        <v>5</v>
      </c>
      <c r="G396" s="22">
        <v>2</v>
      </c>
      <c r="H396" s="22"/>
      <c r="I396" s="23" t="s">
        <v>9</v>
      </c>
      <c r="J396" s="23"/>
      <c r="K396" s="22"/>
      <c r="L396" s="22"/>
      <c r="M396" s="23"/>
      <c r="N396" s="23"/>
      <c r="O396" s="26" t="s">
        <v>5483</v>
      </c>
      <c r="P396" s="26"/>
      <c r="Q396" s="22"/>
      <c r="R396" s="24"/>
      <c r="S396" s="24"/>
      <c r="T396" s="24"/>
      <c r="U396" s="24"/>
      <c r="V396" s="24"/>
      <c r="W396" s="22" t="s">
        <v>940</v>
      </c>
      <c r="X396" s="4" t="str">
        <f>IF(Tabela2[[#This Row],[sigla]]="","",VLOOKUP(Tabela2[[#This Row],[sigla]],créditos_base!B:C,2,0))</f>
        <v>RONALDO LUCENA/ARQUIVO DA EDITORA</v>
      </c>
      <c r="Y396" s="23"/>
      <c r="Z396" s="23" t="str">
        <f>Tabela2[[#This Row],[ilustrador]]</f>
        <v>RONALDO LUCENA/ARQUIVO DA EDITORA</v>
      </c>
      <c r="AA396" s="22"/>
      <c r="AB396" s="20"/>
      <c r="AC396" s="20"/>
      <c r="AD396" s="4" t="str">
        <f>"Pitanguá"</f>
        <v>Pitanguá</v>
      </c>
      <c r="AE396" s="14" t="str">
        <f>"Matemática"</f>
        <v>Matemática</v>
      </c>
    </row>
    <row r="397" spans="1:31" s="14" customFormat="1" x14ac:dyDescent="0.3">
      <c r="A397" s="23" t="s">
        <v>766</v>
      </c>
      <c r="B397" s="20" t="s">
        <v>16</v>
      </c>
      <c r="C397" s="20" t="s">
        <v>89</v>
      </c>
      <c r="D397" s="20" t="s">
        <v>8</v>
      </c>
      <c r="E397" s="22">
        <v>49</v>
      </c>
      <c r="F397" s="22">
        <v>1</v>
      </c>
      <c r="G397" s="22">
        <v>2</v>
      </c>
      <c r="H397" s="22"/>
      <c r="I397" s="23" t="s">
        <v>33</v>
      </c>
      <c r="J397" s="23"/>
      <c r="K397" s="22"/>
      <c r="L397" s="22"/>
      <c r="M397" s="23"/>
      <c r="N397" s="23"/>
      <c r="O397" s="26" t="s">
        <v>767</v>
      </c>
      <c r="P397" s="26"/>
      <c r="Q397" s="22">
        <v>8</v>
      </c>
      <c r="R397" s="24">
        <v>45733</v>
      </c>
      <c r="S397" s="24">
        <v>45733</v>
      </c>
      <c r="T397" s="24"/>
      <c r="U397" s="24"/>
      <c r="V397" s="24">
        <v>45734</v>
      </c>
      <c r="W397" s="22" t="s">
        <v>72</v>
      </c>
      <c r="X397" s="4" t="str">
        <f>IF(Tabela2[[#This Row],[sigla]]="","",VLOOKUP(Tabela2[[#This Row],[sigla]],créditos_base!B:C,2,0))</f>
        <v>HELOÍSA PINTARELLI/ARQUIVO DA EDITORA</v>
      </c>
      <c r="Y397" s="23" t="s">
        <v>140</v>
      </c>
      <c r="Z397" s="23" t="str">
        <f>Tabela2[[#This Row],[ilustrador]]</f>
        <v>HELOÍSA PINTARELLI/ARQUIVO DA EDITORA</v>
      </c>
      <c r="AA397" s="22">
        <v>13</v>
      </c>
      <c r="AB397" s="20"/>
      <c r="AC397" s="20" t="s">
        <v>36</v>
      </c>
      <c r="AD397" s="4" t="str">
        <f>"Pitanguá"</f>
        <v>Pitanguá</v>
      </c>
      <c r="AE397" s="14" t="str">
        <f>"Matemática"</f>
        <v>Matemática</v>
      </c>
    </row>
    <row r="398" spans="1:31" s="14" customFormat="1" x14ac:dyDescent="0.3">
      <c r="A398" s="23" t="s">
        <v>2904</v>
      </c>
      <c r="B398" s="20" t="s">
        <v>16</v>
      </c>
      <c r="C398" s="20" t="s">
        <v>7</v>
      </c>
      <c r="D398" s="20" t="s">
        <v>8</v>
      </c>
      <c r="E398" s="22"/>
      <c r="F398" s="22">
        <v>2</v>
      </c>
      <c r="G398" s="22">
        <v>2</v>
      </c>
      <c r="H398" s="22"/>
      <c r="I398" s="23" t="s">
        <v>90</v>
      </c>
      <c r="J398" s="23"/>
      <c r="K398" s="22"/>
      <c r="L398" s="22"/>
      <c r="M398" s="23"/>
      <c r="N398" s="23"/>
      <c r="O398" s="26" t="s">
        <v>2905</v>
      </c>
      <c r="P398" s="26"/>
      <c r="Q398" s="22">
        <v>41</v>
      </c>
      <c r="R398" s="24">
        <v>45782</v>
      </c>
      <c r="S398" s="24">
        <v>45783</v>
      </c>
      <c r="T398" s="24">
        <v>45785</v>
      </c>
      <c r="U398" s="24">
        <v>45789</v>
      </c>
      <c r="V398" s="24">
        <v>45791</v>
      </c>
      <c r="W398" s="22" t="s">
        <v>2906</v>
      </c>
      <c r="X398" s="4" t="str">
        <f>IF(Tabela2[[#This Row],[sigla]]="","",VLOOKUP(Tabela2[[#This Row],[sigla]],créditos_base!B:C,2,0))</f>
        <v>LEONARDO DE MOURA AMARAL/ARQUIVO DA EDITORA</v>
      </c>
      <c r="Y398" s="23"/>
      <c r="Z398" s="23" t="str">
        <f>Tabela2[[#This Row],[ilustrador]]</f>
        <v>LEONARDO DE MOURA AMARAL/ARQUIVO DA EDITORA</v>
      </c>
      <c r="AA398" s="22">
        <v>7</v>
      </c>
      <c r="AB398" s="20" t="s">
        <v>2907</v>
      </c>
      <c r="AC398" s="20" t="s">
        <v>310</v>
      </c>
      <c r="AD398" s="4" t="str">
        <f>"Pitanguá"</f>
        <v>Pitanguá</v>
      </c>
      <c r="AE398" s="14" t="str">
        <f>"Matemática"</f>
        <v>Matemática</v>
      </c>
    </row>
    <row r="399" spans="1:31" s="14" customFormat="1" x14ac:dyDescent="0.3">
      <c r="A399" s="23" t="s">
        <v>1909</v>
      </c>
      <c r="B399" s="20" t="s">
        <v>16</v>
      </c>
      <c r="C399" s="20" t="s">
        <v>89</v>
      </c>
      <c r="D399" s="20" t="s">
        <v>8</v>
      </c>
      <c r="E399" s="22">
        <v>44</v>
      </c>
      <c r="F399" s="22">
        <v>3</v>
      </c>
      <c r="G399" s="22">
        <v>2</v>
      </c>
      <c r="H399" s="22"/>
      <c r="I399" s="23" t="s">
        <v>9</v>
      </c>
      <c r="J399" s="23"/>
      <c r="K399" s="22"/>
      <c r="L399" s="22"/>
      <c r="M399" s="23"/>
      <c r="N399" s="23"/>
      <c r="O399" s="26" t="s">
        <v>1910</v>
      </c>
      <c r="P399" s="26"/>
      <c r="Q399" s="22"/>
      <c r="R399" s="24"/>
      <c r="S399" s="24"/>
      <c r="T399" s="24"/>
      <c r="U399" s="24"/>
      <c r="V399" s="24"/>
      <c r="W399" s="22" t="s">
        <v>160</v>
      </c>
      <c r="X399" s="4" t="str">
        <f>IF(Tabela2[[#This Row],[sigla]]="","",VLOOKUP(Tabela2[[#This Row],[sigla]],créditos_base!B:C,2,0))</f>
        <v>SERGIO LIMA/ARQUIVO DA EDITORA</v>
      </c>
      <c r="Y399" s="23"/>
      <c r="Z399" s="23" t="str">
        <f>Tabela2[[#This Row],[ilustrador]]</f>
        <v>SERGIO LIMA/ARQUIVO DA EDITORA</v>
      </c>
      <c r="AA399" s="22"/>
      <c r="AB399" s="20"/>
      <c r="AC399" s="20"/>
      <c r="AD399" s="4" t="str">
        <f>"Pitanguá"</f>
        <v>Pitanguá</v>
      </c>
      <c r="AE399" s="14" t="str">
        <f>"Matemática"</f>
        <v>Matemática</v>
      </c>
    </row>
    <row r="400" spans="1:31" s="14" customFormat="1" x14ac:dyDescent="0.3">
      <c r="A400" s="23" t="s">
        <v>5484</v>
      </c>
      <c r="B400" s="20" t="s">
        <v>16</v>
      </c>
      <c r="C400" s="20" t="s">
        <v>89</v>
      </c>
      <c r="D400" s="20" t="s">
        <v>8</v>
      </c>
      <c r="E400" s="22">
        <v>38</v>
      </c>
      <c r="F400" s="22">
        <v>5</v>
      </c>
      <c r="G400" s="22">
        <v>2</v>
      </c>
      <c r="H400" s="22"/>
      <c r="I400" s="23" t="s">
        <v>9</v>
      </c>
      <c r="J400" s="23"/>
      <c r="K400" s="22"/>
      <c r="L400" s="22"/>
      <c r="M400" s="23"/>
      <c r="N400" s="23"/>
      <c r="O400" s="26" t="s">
        <v>5485</v>
      </c>
      <c r="P400" s="26"/>
      <c r="Q400" s="22"/>
      <c r="R400" s="24"/>
      <c r="S400" s="24"/>
      <c r="T400" s="24"/>
      <c r="U400" s="24"/>
      <c r="V400" s="24"/>
      <c r="W400" s="22" t="s">
        <v>940</v>
      </c>
      <c r="X400" s="4" t="str">
        <f>IF(Tabela2[[#This Row],[sigla]]="","",VLOOKUP(Tabela2[[#This Row],[sigla]],créditos_base!B:C,2,0))</f>
        <v>RONALDO LUCENA/ARQUIVO DA EDITORA</v>
      </c>
      <c r="Y400" s="23"/>
      <c r="Z400" s="23" t="str">
        <f>Tabela2[[#This Row],[ilustrador]]</f>
        <v>RONALDO LUCENA/ARQUIVO DA EDITORA</v>
      </c>
      <c r="AA400" s="22"/>
      <c r="AB400" s="20"/>
      <c r="AC400" s="20"/>
      <c r="AD400" s="4" t="str">
        <f>"Pitanguá"</f>
        <v>Pitanguá</v>
      </c>
      <c r="AE400" s="14" t="str">
        <f>"Matemática"</f>
        <v>Matemática</v>
      </c>
    </row>
    <row r="401" spans="1:31" s="14" customFormat="1" x14ac:dyDescent="0.3">
      <c r="A401" s="23" t="s">
        <v>2908</v>
      </c>
      <c r="B401" s="20" t="s">
        <v>16</v>
      </c>
      <c r="C401" s="20" t="s">
        <v>7</v>
      </c>
      <c r="D401" s="20" t="s">
        <v>8</v>
      </c>
      <c r="E401" s="22"/>
      <c r="F401" s="22">
        <v>2</v>
      </c>
      <c r="G401" s="22">
        <v>2</v>
      </c>
      <c r="H401" s="22"/>
      <c r="I401" s="23" t="s">
        <v>9</v>
      </c>
      <c r="J401" s="23"/>
      <c r="K401" s="22"/>
      <c r="L401" s="22"/>
      <c r="M401" s="23"/>
      <c r="N401" s="23"/>
      <c r="O401" s="26" t="s">
        <v>2909</v>
      </c>
      <c r="P401" s="26"/>
      <c r="Q401" s="22"/>
      <c r="R401" s="24"/>
      <c r="S401" s="24"/>
      <c r="T401" s="24"/>
      <c r="U401" s="24"/>
      <c r="V401" s="24"/>
      <c r="W401" s="22" t="s">
        <v>2910</v>
      </c>
      <c r="X401" s="4" t="str">
        <f>IF(Tabela2[[#This Row],[sigla]]="","",VLOOKUP(Tabela2[[#This Row],[sigla]],créditos_base!B:C,2,0))</f>
        <v>DEIVY LIMA COSTA/ARQUIVO DA EDITORA</v>
      </c>
      <c r="Y401" s="23"/>
      <c r="Z401" s="23" t="str">
        <f>Tabela2[[#This Row],[ilustrador]]</f>
        <v>DEIVY LIMA COSTA/ARQUIVO DA EDITORA</v>
      </c>
      <c r="AA401" s="22"/>
      <c r="AB401" s="20"/>
      <c r="AC401" s="20"/>
      <c r="AD401" s="4" t="str">
        <f>"Pitanguá"</f>
        <v>Pitanguá</v>
      </c>
      <c r="AE401" s="14" t="str">
        <f>"Matemática"</f>
        <v>Matemática</v>
      </c>
    </row>
    <row r="402" spans="1:31" s="14" customFormat="1" x14ac:dyDescent="0.3">
      <c r="A402" s="23" t="s">
        <v>1911</v>
      </c>
      <c r="B402" s="20" t="s">
        <v>16</v>
      </c>
      <c r="C402" s="20" t="s">
        <v>89</v>
      </c>
      <c r="D402" s="20" t="s">
        <v>8</v>
      </c>
      <c r="E402" s="22">
        <v>65</v>
      </c>
      <c r="F402" s="22">
        <v>3</v>
      </c>
      <c r="G402" s="22">
        <v>2</v>
      </c>
      <c r="H402" s="22"/>
      <c r="I402" s="23" t="s">
        <v>33</v>
      </c>
      <c r="J402" s="23"/>
      <c r="K402" s="22"/>
      <c r="L402" s="22"/>
      <c r="M402" s="23"/>
      <c r="N402" s="23"/>
      <c r="O402" s="26" t="s">
        <v>1912</v>
      </c>
      <c r="P402" s="26"/>
      <c r="Q402" s="22">
        <v>65</v>
      </c>
      <c r="R402" s="24">
        <v>45810</v>
      </c>
      <c r="S402" s="24">
        <v>45810</v>
      </c>
      <c r="T402" s="24"/>
      <c r="U402" s="24"/>
      <c r="V402" s="24">
        <v>45810</v>
      </c>
      <c r="W402" s="22" t="s">
        <v>160</v>
      </c>
      <c r="X402" s="4" t="str">
        <f>IF(Tabela2[[#This Row],[sigla]]="","",VLOOKUP(Tabela2[[#This Row],[sigla]],créditos_base!B:C,2,0))</f>
        <v>SERGIO LIMA/ARQUIVO DA EDITORA</v>
      </c>
      <c r="Y402" s="23" t="s">
        <v>1139</v>
      </c>
      <c r="Z402" s="23" t="str">
        <f>Tabela2[[#This Row],[ilustrador]]</f>
        <v>SERGIO LIMA/ARQUIVO DA EDITORA</v>
      </c>
      <c r="AA402" s="22">
        <v>13</v>
      </c>
      <c r="AB402" s="20" t="s">
        <v>1302</v>
      </c>
      <c r="AC402" s="20" t="s">
        <v>36</v>
      </c>
      <c r="AD402" s="4" t="str">
        <f>"Pitanguá"</f>
        <v>Pitanguá</v>
      </c>
      <c r="AE402" s="14" t="str">
        <f>"Matemática"</f>
        <v>Matemática</v>
      </c>
    </row>
    <row r="403" spans="1:31" s="14" customFormat="1" x14ac:dyDescent="0.3">
      <c r="A403" s="23" t="s">
        <v>5486</v>
      </c>
      <c r="B403" s="20" t="s">
        <v>16</v>
      </c>
      <c r="C403" s="20" t="s">
        <v>89</v>
      </c>
      <c r="D403" s="20" t="s">
        <v>8</v>
      </c>
      <c r="E403" s="22">
        <v>38</v>
      </c>
      <c r="F403" s="22">
        <v>5</v>
      </c>
      <c r="G403" s="22">
        <v>2</v>
      </c>
      <c r="H403" s="22"/>
      <c r="I403" s="23" t="s">
        <v>9</v>
      </c>
      <c r="J403" s="23"/>
      <c r="K403" s="22"/>
      <c r="L403" s="22"/>
      <c r="M403" s="23"/>
      <c r="N403" s="23"/>
      <c r="O403" s="26" t="s">
        <v>5487</v>
      </c>
      <c r="P403" s="26"/>
      <c r="Q403" s="22"/>
      <c r="R403" s="24"/>
      <c r="S403" s="24"/>
      <c r="T403" s="24"/>
      <c r="U403" s="24"/>
      <c r="V403" s="24"/>
      <c r="W403" s="22" t="s">
        <v>940</v>
      </c>
      <c r="X403" s="4" t="str">
        <f>IF(Tabela2[[#This Row],[sigla]]="","",VLOOKUP(Tabela2[[#This Row],[sigla]],créditos_base!B:C,2,0))</f>
        <v>RONALDO LUCENA/ARQUIVO DA EDITORA</v>
      </c>
      <c r="Y403" s="23"/>
      <c r="Z403" s="23" t="str">
        <f>Tabela2[[#This Row],[ilustrador]]</f>
        <v>RONALDO LUCENA/ARQUIVO DA EDITORA</v>
      </c>
      <c r="AA403" s="22"/>
      <c r="AB403" s="20"/>
      <c r="AC403" s="20"/>
      <c r="AD403" s="4" t="str">
        <f>"Pitanguá"</f>
        <v>Pitanguá</v>
      </c>
      <c r="AE403" s="14" t="str">
        <f>"Matemática"</f>
        <v>Matemática</v>
      </c>
    </row>
    <row r="404" spans="1:31" s="14" customFormat="1" ht="28.8" x14ac:dyDescent="0.3">
      <c r="A404" s="23" t="s">
        <v>768</v>
      </c>
      <c r="B404" s="20" t="s">
        <v>16</v>
      </c>
      <c r="C404" s="20" t="s">
        <v>89</v>
      </c>
      <c r="D404" s="20" t="s">
        <v>8</v>
      </c>
      <c r="E404" s="22">
        <v>50</v>
      </c>
      <c r="F404" s="22">
        <v>1</v>
      </c>
      <c r="G404" s="22">
        <v>2</v>
      </c>
      <c r="H404" s="22"/>
      <c r="I404" s="23" t="s">
        <v>90</v>
      </c>
      <c r="J404" s="23"/>
      <c r="K404" s="22"/>
      <c r="L404" s="22"/>
      <c r="M404" s="23"/>
      <c r="N404" s="23"/>
      <c r="O404" s="26" t="s">
        <v>769</v>
      </c>
      <c r="P404" s="26"/>
      <c r="Q404" s="22">
        <v>8</v>
      </c>
      <c r="R404" s="24">
        <v>45733</v>
      </c>
      <c r="S404" s="24">
        <v>45733</v>
      </c>
      <c r="T404" s="24"/>
      <c r="U404" s="24"/>
      <c r="V404" s="24">
        <v>45734</v>
      </c>
      <c r="W404" s="22" t="s">
        <v>763</v>
      </c>
      <c r="X404" s="4" t="str">
        <f>IF(Tabela2[[#This Row],[sigla]]="","",VLOOKUP(Tabela2[[#This Row],[sigla]],créditos_base!B:C,2,0))</f>
        <v>RAFAELA PANISSA/ARQUIVO DA EDITORA</v>
      </c>
      <c r="Y404" s="23"/>
      <c r="Z404" s="23" t="str">
        <f>Tabela2[[#This Row],[ilustrador]]</f>
        <v>RAFAELA PANISSA/ARQUIVO DA EDITORA</v>
      </c>
      <c r="AA404" s="22">
        <v>8</v>
      </c>
      <c r="AB404" s="20"/>
      <c r="AC404" s="20" t="s">
        <v>36</v>
      </c>
      <c r="AD404" s="4" t="str">
        <f>"Pitanguá"</f>
        <v>Pitanguá</v>
      </c>
      <c r="AE404" s="14" t="str">
        <f>"Matemática"</f>
        <v>Matemática</v>
      </c>
    </row>
    <row r="405" spans="1:31" s="14" customFormat="1" ht="28.8" x14ac:dyDescent="0.3">
      <c r="A405" s="23" t="s">
        <v>2911</v>
      </c>
      <c r="B405" s="20" t="s">
        <v>16</v>
      </c>
      <c r="C405" s="20" t="s">
        <v>7</v>
      </c>
      <c r="D405" s="20" t="s">
        <v>8</v>
      </c>
      <c r="E405" s="22"/>
      <c r="F405" s="22">
        <v>2</v>
      </c>
      <c r="G405" s="22">
        <v>2</v>
      </c>
      <c r="H405" s="22"/>
      <c r="I405" s="23" t="s">
        <v>90</v>
      </c>
      <c r="J405" s="23"/>
      <c r="K405" s="22"/>
      <c r="L405" s="22"/>
      <c r="M405" s="23"/>
      <c r="N405" s="23"/>
      <c r="O405" s="26" t="s">
        <v>2912</v>
      </c>
      <c r="P405" s="26"/>
      <c r="Q405" s="22">
        <v>41</v>
      </c>
      <c r="R405" s="24">
        <v>45782</v>
      </c>
      <c r="S405" s="24">
        <v>45783</v>
      </c>
      <c r="T405" s="24"/>
      <c r="U405" s="24"/>
      <c r="V405" s="24">
        <v>45783</v>
      </c>
      <c r="W405" s="22" t="s">
        <v>160</v>
      </c>
      <c r="X405" s="4" t="str">
        <f>IF(Tabela2[[#This Row],[sigla]]="","",VLOOKUP(Tabela2[[#This Row],[sigla]],créditos_base!B:C,2,0))</f>
        <v>SERGIO LIMA/ARQUIVO DA EDITORA</v>
      </c>
      <c r="Y405" s="23" t="s">
        <v>152</v>
      </c>
      <c r="Z405" s="23" t="str">
        <f>Tabela2[[#This Row],[ilustrador]]</f>
        <v>SERGIO LIMA/ARQUIVO DA EDITORA</v>
      </c>
      <c r="AA405" s="22">
        <v>13</v>
      </c>
      <c r="AB405" s="20" t="s">
        <v>244</v>
      </c>
      <c r="AC405" s="20" t="s">
        <v>36</v>
      </c>
      <c r="AD405" s="4" t="str">
        <f>"Pitanguá"</f>
        <v>Pitanguá</v>
      </c>
      <c r="AE405" s="14" t="str">
        <f>"Matemática"</f>
        <v>Matemática</v>
      </c>
    </row>
    <row r="406" spans="1:31" s="14" customFormat="1" ht="28.8" x14ac:dyDescent="0.3">
      <c r="A406" s="23" t="s">
        <v>1913</v>
      </c>
      <c r="B406" s="20" t="s">
        <v>16</v>
      </c>
      <c r="C406" s="20" t="s">
        <v>89</v>
      </c>
      <c r="D406" s="20" t="s">
        <v>8</v>
      </c>
      <c r="E406" s="22">
        <v>44</v>
      </c>
      <c r="F406" s="22">
        <v>3</v>
      </c>
      <c r="G406" s="22">
        <v>2</v>
      </c>
      <c r="H406" s="22"/>
      <c r="I406" s="23" t="s">
        <v>33</v>
      </c>
      <c r="J406" s="23"/>
      <c r="K406" s="22"/>
      <c r="L406" s="22"/>
      <c r="M406" s="23"/>
      <c r="N406" s="23"/>
      <c r="O406" s="26" t="s">
        <v>1914</v>
      </c>
      <c r="P406" s="26"/>
      <c r="Q406" s="22">
        <v>211</v>
      </c>
      <c r="R406" s="24">
        <v>45930</v>
      </c>
      <c r="S406" s="24">
        <v>45930</v>
      </c>
      <c r="T406" s="24"/>
      <c r="U406" s="24"/>
      <c r="V406" s="24">
        <v>45930</v>
      </c>
      <c r="W406" s="22" t="s">
        <v>160</v>
      </c>
      <c r="X406" s="4" t="str">
        <f>IF(Tabela2[[#This Row],[sigla]]="","",VLOOKUP(Tabela2[[#This Row],[sigla]],créditos_base!B:C,2,0))</f>
        <v>SERGIO LIMA/ARQUIVO DA EDITORA</v>
      </c>
      <c r="Y406" s="23" t="s">
        <v>813</v>
      </c>
      <c r="Z406" s="23" t="str">
        <f>Tabela2[[#This Row],[ilustrador]]</f>
        <v>SERGIO LIMA/ARQUIVO DA EDITORA</v>
      </c>
      <c r="AA406" s="22">
        <v>13</v>
      </c>
      <c r="AB406" s="20" t="s">
        <v>153</v>
      </c>
      <c r="AC406" s="20"/>
      <c r="AD406" s="4" t="str">
        <f>"Pitanguá"</f>
        <v>Pitanguá</v>
      </c>
      <c r="AE406" s="14" t="str">
        <f>"Matemática"</f>
        <v>Matemática</v>
      </c>
    </row>
    <row r="407" spans="1:31" s="14" customFormat="1" ht="43.2" x14ac:dyDescent="0.3">
      <c r="A407" s="23" t="s">
        <v>5488</v>
      </c>
      <c r="B407" s="20" t="s">
        <v>16</v>
      </c>
      <c r="C407" s="20" t="s">
        <v>89</v>
      </c>
      <c r="D407" s="20" t="s">
        <v>8</v>
      </c>
      <c r="E407" s="22">
        <v>38</v>
      </c>
      <c r="F407" s="22">
        <v>5</v>
      </c>
      <c r="G407" s="22">
        <v>2</v>
      </c>
      <c r="H407" s="22"/>
      <c r="I407" s="23" t="s">
        <v>9</v>
      </c>
      <c r="J407" s="23"/>
      <c r="K407" s="22"/>
      <c r="L407" s="22"/>
      <c r="M407" s="23"/>
      <c r="N407" s="23"/>
      <c r="O407" s="26" t="s">
        <v>5489</v>
      </c>
      <c r="P407" s="26"/>
      <c r="Q407" s="22"/>
      <c r="R407" s="24"/>
      <c r="S407" s="24"/>
      <c r="T407" s="24"/>
      <c r="U407" s="24"/>
      <c r="V407" s="24"/>
      <c r="W407" s="22" t="s">
        <v>940</v>
      </c>
      <c r="X407" s="4" t="str">
        <f>IF(Tabela2[[#This Row],[sigla]]="","",VLOOKUP(Tabela2[[#This Row],[sigla]],créditos_base!B:C,2,0))</f>
        <v>RONALDO LUCENA/ARQUIVO DA EDITORA</v>
      </c>
      <c r="Y407" s="23"/>
      <c r="Z407" s="23" t="str">
        <f>Tabela2[[#This Row],[ilustrador]]</f>
        <v>RONALDO LUCENA/ARQUIVO DA EDITORA</v>
      </c>
      <c r="AA407" s="22"/>
      <c r="AB407" s="20"/>
      <c r="AC407" s="20"/>
      <c r="AD407" s="4" t="str">
        <f>"Pitanguá"</f>
        <v>Pitanguá</v>
      </c>
      <c r="AE407" s="14" t="str">
        <f>"Matemática"</f>
        <v>Matemática</v>
      </c>
    </row>
    <row r="408" spans="1:31" s="14" customFormat="1" x14ac:dyDescent="0.3">
      <c r="A408" s="23" t="s">
        <v>1915</v>
      </c>
      <c r="B408" s="20" t="s">
        <v>16</v>
      </c>
      <c r="C408" s="20" t="s">
        <v>89</v>
      </c>
      <c r="D408" s="20" t="s">
        <v>8</v>
      </c>
      <c r="E408" s="22">
        <v>44</v>
      </c>
      <c r="F408" s="22">
        <v>3</v>
      </c>
      <c r="G408" s="22">
        <v>2</v>
      </c>
      <c r="H408" s="22"/>
      <c r="I408" s="23" t="s">
        <v>33</v>
      </c>
      <c r="J408" s="23"/>
      <c r="K408" s="22"/>
      <c r="L408" s="22"/>
      <c r="M408" s="23"/>
      <c r="N408" s="23"/>
      <c r="O408" s="26" t="s">
        <v>1916</v>
      </c>
      <c r="P408" s="26"/>
      <c r="Q408" s="22">
        <v>211</v>
      </c>
      <c r="R408" s="24">
        <v>45930</v>
      </c>
      <c r="S408" s="24">
        <v>45930</v>
      </c>
      <c r="T408" s="24"/>
      <c r="U408" s="24"/>
      <c r="V408" s="24">
        <v>45930</v>
      </c>
      <c r="W408" s="22" t="s">
        <v>160</v>
      </c>
      <c r="X408" s="4" t="str">
        <f>IF(Tabela2[[#This Row],[sigla]]="","",VLOOKUP(Tabela2[[#This Row],[sigla]],créditos_base!B:C,2,0))</f>
        <v>SERGIO LIMA/ARQUIVO DA EDITORA</v>
      </c>
      <c r="Y408" s="23" t="s">
        <v>813</v>
      </c>
      <c r="Z408" s="23" t="str">
        <f>Tabela2[[#This Row],[ilustrador]]</f>
        <v>SERGIO LIMA/ARQUIVO DA EDITORA</v>
      </c>
      <c r="AA408" s="22">
        <v>13</v>
      </c>
      <c r="AB408" s="20" t="s">
        <v>153</v>
      </c>
      <c r="AC408" s="20"/>
      <c r="AD408" s="4" t="str">
        <f>"Pitanguá"</f>
        <v>Pitanguá</v>
      </c>
      <c r="AE408" s="14" t="str">
        <f>"Matemática"</f>
        <v>Matemática</v>
      </c>
    </row>
    <row r="409" spans="1:31" s="14" customFormat="1" x14ac:dyDescent="0.3">
      <c r="A409" s="23" t="s">
        <v>5490</v>
      </c>
      <c r="B409" s="20" t="s">
        <v>16</v>
      </c>
      <c r="C409" s="20" t="s">
        <v>89</v>
      </c>
      <c r="D409" s="20" t="s">
        <v>8</v>
      </c>
      <c r="E409" s="22">
        <v>39</v>
      </c>
      <c r="F409" s="22">
        <v>5</v>
      </c>
      <c r="G409" s="22">
        <v>2</v>
      </c>
      <c r="H409" s="22"/>
      <c r="I409" s="23" t="s">
        <v>9</v>
      </c>
      <c r="J409" s="23"/>
      <c r="K409" s="22"/>
      <c r="L409" s="22"/>
      <c r="M409" s="23"/>
      <c r="N409" s="23"/>
      <c r="O409" s="26" t="s">
        <v>5491</v>
      </c>
      <c r="P409" s="26"/>
      <c r="Q409" s="22"/>
      <c r="R409" s="24"/>
      <c r="S409" s="24"/>
      <c r="T409" s="24"/>
      <c r="U409" s="24"/>
      <c r="V409" s="24"/>
      <c r="W409" s="22" t="s">
        <v>940</v>
      </c>
      <c r="X409" s="4" t="str">
        <f>IF(Tabela2[[#This Row],[sigla]]="","",VLOOKUP(Tabela2[[#This Row],[sigla]],créditos_base!B:C,2,0))</f>
        <v>RONALDO LUCENA/ARQUIVO DA EDITORA</v>
      </c>
      <c r="Y409" s="23"/>
      <c r="Z409" s="23" t="str">
        <f>Tabela2[[#This Row],[ilustrador]]</f>
        <v>RONALDO LUCENA/ARQUIVO DA EDITORA</v>
      </c>
      <c r="AA409" s="22"/>
      <c r="AB409" s="20"/>
      <c r="AC409" s="20"/>
      <c r="AD409" s="4" t="str">
        <f>"Pitanguá"</f>
        <v>Pitanguá</v>
      </c>
      <c r="AE409" s="14" t="str">
        <f>"Matemática"</f>
        <v>Matemática</v>
      </c>
    </row>
    <row r="410" spans="1:31" s="14" customFormat="1" ht="28.8" x14ac:dyDescent="0.3">
      <c r="A410" s="23" t="s">
        <v>5150</v>
      </c>
      <c r="B410" s="20" t="s">
        <v>16</v>
      </c>
      <c r="C410" s="20" t="s">
        <v>89</v>
      </c>
      <c r="D410" s="20" t="s">
        <v>8</v>
      </c>
      <c r="E410" s="22">
        <v>29</v>
      </c>
      <c r="F410" s="22">
        <v>2</v>
      </c>
      <c r="G410" s="22">
        <v>2</v>
      </c>
      <c r="H410" s="22"/>
      <c r="I410" s="23" t="s">
        <v>90</v>
      </c>
      <c r="J410" s="23"/>
      <c r="K410" s="22"/>
      <c r="L410" s="22"/>
      <c r="M410" s="23"/>
      <c r="N410" s="23"/>
      <c r="O410" s="26" t="s">
        <v>5151</v>
      </c>
      <c r="P410" s="26"/>
      <c r="Q410" s="22">
        <v>102</v>
      </c>
      <c r="R410" s="24">
        <v>45846</v>
      </c>
      <c r="S410" s="24">
        <v>45847</v>
      </c>
      <c r="T410" s="24">
        <v>0</v>
      </c>
      <c r="U410" s="24"/>
      <c r="V410" s="24">
        <v>45847</v>
      </c>
      <c r="W410" s="22" t="s">
        <v>2675</v>
      </c>
      <c r="X410" s="4" t="str">
        <f>IF(Tabela2[[#This Row],[sigla]]="","",VLOOKUP(Tabela2[[#This Row],[sigla]],créditos_base!B:C,2,0))</f>
        <v>INGRIDHI BORGES/ARQUIVO DA EDITORA</v>
      </c>
      <c r="Y410" s="23"/>
      <c r="Z410" s="23" t="str">
        <f>Tabela2[[#This Row],[ilustrador]]</f>
        <v>INGRIDHI BORGES/ARQUIVO DA EDITORA</v>
      </c>
      <c r="AA410" s="22">
        <v>8</v>
      </c>
      <c r="AB410" s="20" t="s">
        <v>243</v>
      </c>
      <c r="AC410" s="20" t="s">
        <v>36</v>
      </c>
      <c r="AD410" s="4" t="str">
        <f>"Pitanguá"</f>
        <v>Pitanguá</v>
      </c>
      <c r="AE410" s="14" t="str">
        <f>"Matemática"</f>
        <v>Matemática</v>
      </c>
    </row>
    <row r="411" spans="1:31" s="14" customFormat="1" x14ac:dyDescent="0.3">
      <c r="A411" s="23" t="s">
        <v>1917</v>
      </c>
      <c r="B411" s="20" t="s">
        <v>16</v>
      </c>
      <c r="C411" s="20" t="s">
        <v>7</v>
      </c>
      <c r="D411" s="20" t="s">
        <v>8</v>
      </c>
      <c r="E411" s="22">
        <v>44</v>
      </c>
      <c r="F411" s="22">
        <v>3</v>
      </c>
      <c r="G411" s="22">
        <v>2</v>
      </c>
      <c r="H411" s="22"/>
      <c r="I411" s="23" t="s">
        <v>33</v>
      </c>
      <c r="J411" s="23"/>
      <c r="K411" s="22"/>
      <c r="L411" s="22"/>
      <c r="M411" s="23"/>
      <c r="N411" s="23"/>
      <c r="O411" s="26" t="s">
        <v>1918</v>
      </c>
      <c r="P411" s="26"/>
      <c r="Q411" s="22">
        <v>211</v>
      </c>
      <c r="R411" s="24">
        <v>45930</v>
      </c>
      <c r="S411" s="24">
        <v>45930</v>
      </c>
      <c r="T411" s="24"/>
      <c r="U411" s="24"/>
      <c r="V411" s="24">
        <v>45930</v>
      </c>
      <c r="W411" s="22" t="s">
        <v>31</v>
      </c>
      <c r="X411" s="4" t="str">
        <f>IF(Tabela2[[#This Row],[sigla]]="","",VLOOKUP(Tabela2[[#This Row],[sigla]],créditos_base!B:C,2,0))</f>
        <v>SILVIA OTOFUJI/ARQUIVO DA EDITORA</v>
      </c>
      <c r="Y411" s="23" t="s">
        <v>813</v>
      </c>
      <c r="Z411" s="23" t="str">
        <f>Tabela2[[#This Row],[ilustrador]]</f>
        <v>SILVIA OTOFUJI/ARQUIVO DA EDITORA</v>
      </c>
      <c r="AA411" s="22">
        <v>13</v>
      </c>
      <c r="AB411" s="20" t="s">
        <v>153</v>
      </c>
      <c r="AC411" s="20"/>
      <c r="AD411" s="4" t="str">
        <f>"Pitanguá"</f>
        <v>Pitanguá</v>
      </c>
      <c r="AE411" s="14" t="str">
        <f>"Matemática"</f>
        <v>Matemática</v>
      </c>
    </row>
    <row r="412" spans="1:31" s="14" customFormat="1" x14ac:dyDescent="0.3">
      <c r="A412" s="43" t="s">
        <v>5492</v>
      </c>
      <c r="B412" s="20" t="s">
        <v>16</v>
      </c>
      <c r="C412" s="20" t="s">
        <v>89</v>
      </c>
      <c r="D412" s="20" t="s">
        <v>8</v>
      </c>
      <c r="E412" s="22">
        <v>39</v>
      </c>
      <c r="F412" s="22">
        <v>5</v>
      </c>
      <c r="G412" s="22">
        <v>2</v>
      </c>
      <c r="H412" s="22"/>
      <c r="I412" s="23" t="s">
        <v>9</v>
      </c>
      <c r="J412" s="23"/>
      <c r="K412" s="22"/>
      <c r="L412" s="22"/>
      <c r="M412" s="23"/>
      <c r="N412" s="23"/>
      <c r="O412" s="26" t="s">
        <v>5493</v>
      </c>
      <c r="P412" s="26"/>
      <c r="Q412" s="22"/>
      <c r="R412" s="24"/>
      <c r="S412" s="24"/>
      <c r="T412" s="24"/>
      <c r="U412" s="24"/>
      <c r="V412" s="24"/>
      <c r="W412" s="22" t="s">
        <v>940</v>
      </c>
      <c r="X412" s="4" t="str">
        <f>IF(Tabela2[[#This Row],[sigla]]="","",VLOOKUP(Tabela2[[#This Row],[sigla]],créditos_base!B:C,2,0))</f>
        <v>RONALDO LUCENA/ARQUIVO DA EDITORA</v>
      </c>
      <c r="Y412" s="23"/>
      <c r="Z412" s="23" t="str">
        <f>Tabela2[[#This Row],[ilustrador]]</f>
        <v>RONALDO LUCENA/ARQUIVO DA EDITORA</v>
      </c>
      <c r="AA412" s="22"/>
      <c r="AB412" s="20"/>
      <c r="AC412" s="20"/>
      <c r="AD412" s="4" t="str">
        <f>"Pitanguá"</f>
        <v>Pitanguá</v>
      </c>
      <c r="AE412" s="14" t="str">
        <f>"Matemática"</f>
        <v>Matemática</v>
      </c>
    </row>
    <row r="413" spans="1:31" s="14" customFormat="1" x14ac:dyDescent="0.3">
      <c r="A413" s="23" t="s">
        <v>1919</v>
      </c>
      <c r="B413" s="20" t="s">
        <v>16</v>
      </c>
      <c r="C413" s="20" t="s">
        <v>89</v>
      </c>
      <c r="D413" s="20" t="s">
        <v>8</v>
      </c>
      <c r="E413" s="22">
        <v>44</v>
      </c>
      <c r="F413" s="22">
        <v>3</v>
      </c>
      <c r="G413" s="22">
        <v>2</v>
      </c>
      <c r="H413" s="22"/>
      <c r="I413" s="23" t="s">
        <v>33</v>
      </c>
      <c r="J413" s="23"/>
      <c r="K413" s="22"/>
      <c r="L413" s="22"/>
      <c r="M413" s="23"/>
      <c r="N413" s="23"/>
      <c r="O413" s="26" t="s">
        <v>1920</v>
      </c>
      <c r="P413" s="26"/>
      <c r="Q413" s="22">
        <v>23</v>
      </c>
      <c r="R413" s="24">
        <v>45750</v>
      </c>
      <c r="S413" s="24">
        <v>45751</v>
      </c>
      <c r="T413" s="24"/>
      <c r="U413" s="24"/>
      <c r="V413" s="24">
        <v>45751</v>
      </c>
      <c r="W413" s="22" t="s">
        <v>31</v>
      </c>
      <c r="X413" s="4" t="str">
        <f>IF(Tabela2[[#This Row],[sigla]]="","",VLOOKUP(Tabela2[[#This Row],[sigla]],créditos_base!B:C,2,0))</f>
        <v>SILVIA OTOFUJI/ARQUIVO DA EDITORA</v>
      </c>
      <c r="Y413" s="23" t="s">
        <v>152</v>
      </c>
      <c r="Z413" s="23" t="str">
        <f>Tabela2[[#This Row],[ilustrador]]</f>
        <v>SILVIA OTOFUJI/ARQUIVO DA EDITORA</v>
      </c>
      <c r="AA413" s="22">
        <v>14</v>
      </c>
      <c r="AB413" s="20" t="s">
        <v>41</v>
      </c>
      <c r="AC413" s="20" t="s">
        <v>36</v>
      </c>
      <c r="AD413" s="4" t="str">
        <f>"Pitanguá"</f>
        <v>Pitanguá</v>
      </c>
      <c r="AE413" s="14" t="str">
        <f>"Matemática"</f>
        <v>Matemática</v>
      </c>
    </row>
    <row r="414" spans="1:31" s="14" customFormat="1" x14ac:dyDescent="0.3">
      <c r="A414" s="43" t="s">
        <v>5494</v>
      </c>
      <c r="B414" s="20" t="s">
        <v>16</v>
      </c>
      <c r="C414" s="20" t="s">
        <v>89</v>
      </c>
      <c r="D414" s="20" t="s">
        <v>8</v>
      </c>
      <c r="E414" s="22">
        <v>39</v>
      </c>
      <c r="F414" s="22">
        <v>5</v>
      </c>
      <c r="G414" s="22">
        <v>2</v>
      </c>
      <c r="H414" s="22"/>
      <c r="I414" s="23" t="s">
        <v>9</v>
      </c>
      <c r="J414" s="23"/>
      <c r="K414" s="22"/>
      <c r="L414" s="22"/>
      <c r="M414" s="23"/>
      <c r="N414" s="23"/>
      <c r="O414" s="26" t="s">
        <v>5495</v>
      </c>
      <c r="P414" s="26"/>
      <c r="Q414" s="22"/>
      <c r="R414" s="24"/>
      <c r="S414" s="24"/>
      <c r="T414" s="24"/>
      <c r="U414" s="24"/>
      <c r="V414" s="24"/>
      <c r="W414" s="22" t="s">
        <v>940</v>
      </c>
      <c r="X414" s="4" t="str">
        <f>IF(Tabela2[[#This Row],[sigla]]="","",VLOOKUP(Tabela2[[#This Row],[sigla]],créditos_base!B:C,2,0))</f>
        <v>RONALDO LUCENA/ARQUIVO DA EDITORA</v>
      </c>
      <c r="Y414" s="23"/>
      <c r="Z414" s="23" t="str">
        <f>Tabela2[[#This Row],[ilustrador]]</f>
        <v>RONALDO LUCENA/ARQUIVO DA EDITORA</v>
      </c>
      <c r="AA414" s="22"/>
      <c r="AB414" s="20"/>
      <c r="AC414" s="20"/>
      <c r="AD414" s="4" t="str">
        <f>"Pitanguá"</f>
        <v>Pitanguá</v>
      </c>
      <c r="AE414" s="14" t="str">
        <f>"Matemática"</f>
        <v>Matemática</v>
      </c>
    </row>
    <row r="415" spans="1:31" s="14" customFormat="1" x14ac:dyDescent="0.3">
      <c r="A415" s="23" t="s">
        <v>1921</v>
      </c>
      <c r="B415" s="20" t="s">
        <v>6</v>
      </c>
      <c r="C415" s="20" t="s">
        <v>89</v>
      </c>
      <c r="D415" s="20" t="s">
        <v>8</v>
      </c>
      <c r="E415" s="22">
        <v>45</v>
      </c>
      <c r="F415" s="22">
        <v>3</v>
      </c>
      <c r="G415" s="22">
        <v>2</v>
      </c>
      <c r="H415" s="22"/>
      <c r="I415" s="23" t="s">
        <v>33</v>
      </c>
      <c r="J415" s="23"/>
      <c r="K415" s="22"/>
      <c r="L415" s="22"/>
      <c r="M415" s="23"/>
      <c r="N415" s="23"/>
      <c r="O415" s="26" t="s">
        <v>1922</v>
      </c>
      <c r="P415" s="26" t="s">
        <v>11</v>
      </c>
      <c r="Q415" s="22">
        <v>23</v>
      </c>
      <c r="R415" s="24">
        <v>45750</v>
      </c>
      <c r="S415" s="24">
        <v>45775</v>
      </c>
      <c r="T415" s="24"/>
      <c r="U415" s="24"/>
      <c r="V415" s="24">
        <v>45775</v>
      </c>
      <c r="W415" s="22" t="s">
        <v>468</v>
      </c>
      <c r="X415" s="4" t="str">
        <f>IF(Tabela2[[#This Row],[sigla]]="","",VLOOKUP(Tabela2[[#This Row],[sigla]],créditos_base!B:C,2,0))</f>
        <v>VER DOCUMENTO DE ILS. TÉCNICAS</v>
      </c>
      <c r="Y415" s="23" t="s">
        <v>152</v>
      </c>
      <c r="Z415" s="23" t="s">
        <v>1923</v>
      </c>
      <c r="AA415" s="22">
        <v>14</v>
      </c>
      <c r="AB415" s="20" t="s">
        <v>244</v>
      </c>
      <c r="AC415" s="20" t="s">
        <v>36</v>
      </c>
      <c r="AD415" s="4" t="str">
        <f>"Pitanguá"</f>
        <v>Pitanguá</v>
      </c>
      <c r="AE415" s="14" t="str">
        <f>"Matemática"</f>
        <v>Matemática</v>
      </c>
    </row>
    <row r="416" spans="1:31" s="14" customFormat="1" x14ac:dyDescent="0.3">
      <c r="A416" s="23" t="s">
        <v>951</v>
      </c>
      <c r="B416" s="20" t="s">
        <v>16</v>
      </c>
      <c r="C416" s="20" t="s">
        <v>89</v>
      </c>
      <c r="D416" s="20" t="s">
        <v>8</v>
      </c>
      <c r="E416" s="22">
        <v>43</v>
      </c>
      <c r="F416" s="22">
        <v>4</v>
      </c>
      <c r="G416" s="22">
        <v>2</v>
      </c>
      <c r="H416" s="22"/>
      <c r="I416" s="23" t="s">
        <v>33</v>
      </c>
      <c r="J416" s="23"/>
      <c r="K416" s="22"/>
      <c r="L416" s="22"/>
      <c r="M416" s="23"/>
      <c r="N416" s="23"/>
      <c r="O416" s="26" t="s">
        <v>952</v>
      </c>
      <c r="P416" s="26"/>
      <c r="Q416" s="22">
        <v>216</v>
      </c>
      <c r="R416" s="24">
        <v>45933</v>
      </c>
      <c r="S416" s="24">
        <v>45933</v>
      </c>
      <c r="T416" s="24"/>
      <c r="U416" s="24"/>
      <c r="V416" s="24">
        <v>45933</v>
      </c>
      <c r="W416" s="22" t="s">
        <v>160</v>
      </c>
      <c r="X416" s="4" t="str">
        <f>IF(Tabela2[[#This Row],[sigla]]="","",VLOOKUP(Tabela2[[#This Row],[sigla]],créditos_base!B:C,2,0))</f>
        <v>SERGIO LIMA/ARQUIVO DA EDITORA</v>
      </c>
      <c r="Y416" s="23" t="s">
        <v>953</v>
      </c>
      <c r="Z416" s="23" t="str">
        <f>Tabela2[[#This Row],[ilustrador]]</f>
        <v>SERGIO LIMA/ARQUIVO DA EDITORA</v>
      </c>
      <c r="AA416" s="22">
        <v>13</v>
      </c>
      <c r="AB416" s="20" t="s">
        <v>954</v>
      </c>
      <c r="AC416" s="20"/>
      <c r="AD416" s="4" t="str">
        <f>"Pitanguá"</f>
        <v>Pitanguá</v>
      </c>
      <c r="AE416" s="14" t="str">
        <f>"Matemática"</f>
        <v>Matemática</v>
      </c>
    </row>
    <row r="417" spans="1:31" s="14" customFormat="1" x14ac:dyDescent="0.3">
      <c r="A417" s="23" t="s">
        <v>1924</v>
      </c>
      <c r="B417" s="20" t="s">
        <v>16</v>
      </c>
      <c r="C417" s="20" t="s">
        <v>89</v>
      </c>
      <c r="D417" s="20" t="s">
        <v>8</v>
      </c>
      <c r="E417" s="22">
        <v>45</v>
      </c>
      <c r="F417" s="22">
        <v>3</v>
      </c>
      <c r="G417" s="22">
        <v>2</v>
      </c>
      <c r="H417" s="22"/>
      <c r="I417" s="23" t="s">
        <v>9</v>
      </c>
      <c r="J417" s="23"/>
      <c r="K417" s="22"/>
      <c r="L417" s="22"/>
      <c r="M417" s="23"/>
      <c r="N417" s="23"/>
      <c r="O417" s="26" t="s">
        <v>1925</v>
      </c>
      <c r="P417" s="26"/>
      <c r="Q417" s="22"/>
      <c r="R417" s="24"/>
      <c r="S417" s="24"/>
      <c r="T417" s="24"/>
      <c r="U417" s="24"/>
      <c r="V417" s="24"/>
      <c r="W417" s="22" t="s">
        <v>160</v>
      </c>
      <c r="X417" s="4" t="str">
        <f>IF(Tabela2[[#This Row],[sigla]]="","",VLOOKUP(Tabela2[[#This Row],[sigla]],créditos_base!B:C,2,0))</f>
        <v>SERGIO LIMA/ARQUIVO DA EDITORA</v>
      </c>
      <c r="Y417" s="23"/>
      <c r="Z417" s="23" t="str">
        <f>Tabela2[[#This Row],[ilustrador]]</f>
        <v>SERGIO LIMA/ARQUIVO DA EDITORA</v>
      </c>
      <c r="AA417" s="22"/>
      <c r="AB417" s="20"/>
      <c r="AC417" s="20"/>
      <c r="AD417" s="4" t="str">
        <f>"Pitanguá"</f>
        <v>Pitanguá</v>
      </c>
      <c r="AE417" s="14" t="str">
        <f>"Matemática"</f>
        <v>Matemática</v>
      </c>
    </row>
    <row r="418" spans="1:31" s="14" customFormat="1" x14ac:dyDescent="0.3">
      <c r="A418" s="23" t="s">
        <v>955</v>
      </c>
      <c r="B418" s="20" t="s">
        <v>16</v>
      </c>
      <c r="C418" s="20" t="s">
        <v>7</v>
      </c>
      <c r="D418" s="20" t="s">
        <v>8</v>
      </c>
      <c r="E418" s="22">
        <v>43</v>
      </c>
      <c r="F418" s="22">
        <v>4</v>
      </c>
      <c r="G418" s="22">
        <v>2</v>
      </c>
      <c r="H418" s="22"/>
      <c r="I418" s="23" t="s">
        <v>33</v>
      </c>
      <c r="J418" s="23"/>
      <c r="K418" s="22"/>
      <c r="L418" s="22"/>
      <c r="M418" s="23"/>
      <c r="N418" s="23"/>
      <c r="O418" s="26" t="s">
        <v>956</v>
      </c>
      <c r="P418" s="26"/>
      <c r="Q418" s="22">
        <v>9</v>
      </c>
      <c r="R418" s="24">
        <v>45733</v>
      </c>
      <c r="S418" s="24">
        <v>45733</v>
      </c>
      <c r="T418" s="24"/>
      <c r="U418" s="24"/>
      <c r="V418" s="24">
        <v>45734</v>
      </c>
      <c r="W418" s="22" t="s">
        <v>87</v>
      </c>
      <c r="X418" s="4" t="str">
        <f>IF(Tabela2[[#This Row],[sigla]]="","",VLOOKUP(Tabela2[[#This Row],[sigla]],créditos_base!B:C,2,0))</f>
        <v>CHRIS BORGES/ARQUIVO DA EDITORA</v>
      </c>
      <c r="Y418" s="23" t="s">
        <v>188</v>
      </c>
      <c r="Z418" s="23" t="str">
        <f>Tabela2[[#This Row],[ilustrador]]</f>
        <v>CHRIS BORGES/ARQUIVO DA EDITORA</v>
      </c>
      <c r="AA418" s="22">
        <v>13</v>
      </c>
      <c r="AB418" s="20" t="s">
        <v>153</v>
      </c>
      <c r="AC418" s="20" t="s">
        <v>36</v>
      </c>
      <c r="AD418" s="4" t="str">
        <f>"Pitanguá"</f>
        <v>Pitanguá</v>
      </c>
      <c r="AE418" s="14" t="str">
        <f>"Matemática"</f>
        <v>Matemática</v>
      </c>
    </row>
    <row r="419" spans="1:31" s="14" customFormat="1" ht="57.6" x14ac:dyDescent="0.3">
      <c r="A419" s="43" t="s">
        <v>5498</v>
      </c>
      <c r="B419" s="20" t="s">
        <v>16</v>
      </c>
      <c r="C419" s="20" t="s">
        <v>89</v>
      </c>
      <c r="D419" s="20" t="s">
        <v>8</v>
      </c>
      <c r="E419" s="22">
        <v>39</v>
      </c>
      <c r="F419" s="22">
        <v>5</v>
      </c>
      <c r="G419" s="22">
        <v>2</v>
      </c>
      <c r="H419" s="22"/>
      <c r="I419" s="23" t="s">
        <v>9</v>
      </c>
      <c r="J419" s="23"/>
      <c r="K419" s="22"/>
      <c r="L419" s="22"/>
      <c r="M419" s="23"/>
      <c r="N419" s="23"/>
      <c r="O419" s="26" t="s">
        <v>5499</v>
      </c>
      <c r="P419" s="26"/>
      <c r="Q419" s="22"/>
      <c r="R419" s="24"/>
      <c r="S419" s="24"/>
      <c r="T419" s="24"/>
      <c r="U419" s="24"/>
      <c r="V419" s="24"/>
      <c r="W419" s="22" t="s">
        <v>940</v>
      </c>
      <c r="X419" s="4" t="str">
        <f>IF(Tabela2[[#This Row],[sigla]]="","",VLOOKUP(Tabela2[[#This Row],[sigla]],créditos_base!B:C,2,0))</f>
        <v>RONALDO LUCENA/ARQUIVO DA EDITORA</v>
      </c>
      <c r="Y419" s="23"/>
      <c r="Z419" s="23" t="str">
        <f>Tabela2[[#This Row],[ilustrador]]</f>
        <v>RONALDO LUCENA/ARQUIVO DA EDITORA</v>
      </c>
      <c r="AA419" s="22"/>
      <c r="AB419" s="20"/>
      <c r="AC419" s="20"/>
      <c r="AD419" s="4" t="str">
        <f>"Pitanguá"</f>
        <v>Pitanguá</v>
      </c>
      <c r="AE419" s="14" t="str">
        <f>"Matemática"</f>
        <v>Matemática</v>
      </c>
    </row>
    <row r="420" spans="1:31" s="14" customFormat="1" x14ac:dyDescent="0.3">
      <c r="A420" s="23" t="s">
        <v>1926</v>
      </c>
      <c r="B420" s="20" t="s">
        <v>16</v>
      </c>
      <c r="C420" s="20" t="s">
        <v>89</v>
      </c>
      <c r="D420" s="20" t="s">
        <v>8</v>
      </c>
      <c r="E420" s="22">
        <v>45</v>
      </c>
      <c r="F420" s="22">
        <v>3</v>
      </c>
      <c r="G420" s="22">
        <v>2</v>
      </c>
      <c r="H420" s="22"/>
      <c r="I420" s="23" t="s">
        <v>9</v>
      </c>
      <c r="J420" s="23"/>
      <c r="K420" s="22"/>
      <c r="L420" s="22"/>
      <c r="M420" s="23"/>
      <c r="N420" s="23"/>
      <c r="O420" s="26" t="s">
        <v>1927</v>
      </c>
      <c r="P420" s="26"/>
      <c r="Q420" s="22"/>
      <c r="R420" s="24"/>
      <c r="S420" s="24"/>
      <c r="T420" s="24"/>
      <c r="U420" s="24"/>
      <c r="V420" s="24"/>
      <c r="W420" s="22" t="s">
        <v>160</v>
      </c>
      <c r="X420" s="4" t="str">
        <f>IF(Tabela2[[#This Row],[sigla]]="","",VLOOKUP(Tabela2[[#This Row],[sigla]],créditos_base!B:C,2,0))</f>
        <v>SERGIO LIMA/ARQUIVO DA EDITORA</v>
      </c>
      <c r="Y420" s="23"/>
      <c r="Z420" s="23" t="str">
        <f>Tabela2[[#This Row],[ilustrador]]</f>
        <v>SERGIO LIMA/ARQUIVO DA EDITORA</v>
      </c>
      <c r="AA420" s="22"/>
      <c r="AB420" s="20"/>
      <c r="AC420" s="20"/>
      <c r="AD420" s="4" t="str">
        <f>"Pitanguá"</f>
        <v>Pitanguá</v>
      </c>
      <c r="AE420" s="14" t="str">
        <f>"Matemática"</f>
        <v>Matemática</v>
      </c>
    </row>
    <row r="421" spans="1:31" s="14" customFormat="1" x14ac:dyDescent="0.3">
      <c r="A421" s="23" t="s">
        <v>957</v>
      </c>
      <c r="B421" s="20" t="s">
        <v>16</v>
      </c>
      <c r="C421" s="20" t="s">
        <v>89</v>
      </c>
      <c r="D421" s="20" t="s">
        <v>8</v>
      </c>
      <c r="E421" s="22">
        <v>44</v>
      </c>
      <c r="F421" s="22">
        <v>4</v>
      </c>
      <c r="G421" s="22">
        <v>2</v>
      </c>
      <c r="H421" s="22"/>
      <c r="I421" s="23" t="s">
        <v>9</v>
      </c>
      <c r="J421" s="23"/>
      <c r="K421" s="22"/>
      <c r="L421" s="22"/>
      <c r="M421" s="23"/>
      <c r="N421" s="23"/>
      <c r="O421" s="26" t="s">
        <v>958</v>
      </c>
      <c r="P421" s="26"/>
      <c r="Q421" s="22"/>
      <c r="R421" s="24"/>
      <c r="S421" s="24"/>
      <c r="T421" s="24"/>
      <c r="U421" s="24"/>
      <c r="V421" s="24"/>
      <c r="W421" s="22" t="s">
        <v>31</v>
      </c>
      <c r="X421" s="4" t="str">
        <f>IF(Tabela2[[#This Row],[sigla]]="","",VLOOKUP(Tabela2[[#This Row],[sigla]],créditos_base!B:C,2,0))</f>
        <v>SILVIA OTOFUJI/ARQUIVO DA EDITORA</v>
      </c>
      <c r="Y421" s="23"/>
      <c r="Z421" s="23" t="str">
        <f>Tabela2[[#This Row],[ilustrador]]</f>
        <v>SILVIA OTOFUJI/ARQUIVO DA EDITORA</v>
      </c>
      <c r="AA421" s="22"/>
      <c r="AB421" s="20"/>
      <c r="AC421" s="20"/>
      <c r="AD421" s="4" t="str">
        <f>"Pitanguá"</f>
        <v>Pitanguá</v>
      </c>
      <c r="AE421" s="14" t="str">
        <f>"Matemática"</f>
        <v>Matemática</v>
      </c>
    </row>
    <row r="422" spans="1:31" s="14" customFormat="1" x14ac:dyDescent="0.3">
      <c r="A422" s="43" t="s">
        <v>5500</v>
      </c>
      <c r="B422" s="20" t="s">
        <v>16</v>
      </c>
      <c r="C422" s="20" t="s">
        <v>89</v>
      </c>
      <c r="D422" s="20" t="s">
        <v>8</v>
      </c>
      <c r="E422" s="22">
        <v>39</v>
      </c>
      <c r="F422" s="22">
        <v>5</v>
      </c>
      <c r="G422" s="22">
        <v>2</v>
      </c>
      <c r="H422" s="22"/>
      <c r="I422" s="23" t="s">
        <v>9</v>
      </c>
      <c r="J422" s="23"/>
      <c r="K422" s="22"/>
      <c r="L422" s="22"/>
      <c r="M422" s="23"/>
      <c r="N422" s="23"/>
      <c r="O422" s="26" t="s">
        <v>5501</v>
      </c>
      <c r="P422" s="26"/>
      <c r="Q422" s="22"/>
      <c r="R422" s="24"/>
      <c r="S422" s="24"/>
      <c r="T422" s="24"/>
      <c r="U422" s="24"/>
      <c r="V422" s="24"/>
      <c r="W422" s="22" t="s">
        <v>940</v>
      </c>
      <c r="X422" s="4" t="str">
        <f>IF(Tabela2[[#This Row],[sigla]]="","",VLOOKUP(Tabela2[[#This Row],[sigla]],créditos_base!B:C,2,0))</f>
        <v>RONALDO LUCENA/ARQUIVO DA EDITORA</v>
      </c>
      <c r="Y422" s="23"/>
      <c r="Z422" s="23" t="str">
        <f>Tabela2[[#This Row],[ilustrador]]</f>
        <v>RONALDO LUCENA/ARQUIVO DA EDITORA</v>
      </c>
      <c r="AA422" s="22"/>
      <c r="AB422" s="20"/>
      <c r="AC422" s="20"/>
      <c r="AD422" s="4" t="str">
        <f>"Pitanguá"</f>
        <v>Pitanguá</v>
      </c>
      <c r="AE422" s="14" t="str">
        <f>"Matemática"</f>
        <v>Matemática</v>
      </c>
    </row>
    <row r="423" spans="1:31" s="14" customFormat="1" x14ac:dyDescent="0.3">
      <c r="A423" s="23" t="s">
        <v>772</v>
      </c>
      <c r="B423" s="20" t="s">
        <v>16</v>
      </c>
      <c r="C423" s="20" t="s">
        <v>7</v>
      </c>
      <c r="D423" s="20" t="s">
        <v>8</v>
      </c>
      <c r="E423" s="22">
        <v>53</v>
      </c>
      <c r="F423" s="22">
        <v>1</v>
      </c>
      <c r="G423" s="22">
        <v>2</v>
      </c>
      <c r="H423" s="22"/>
      <c r="I423" s="23" t="s">
        <v>90</v>
      </c>
      <c r="J423" s="23"/>
      <c r="K423" s="22"/>
      <c r="L423" s="22"/>
      <c r="M423" s="23"/>
      <c r="N423" s="23"/>
      <c r="O423" s="26" t="s">
        <v>773</v>
      </c>
      <c r="P423" s="26"/>
      <c r="Q423" s="22">
        <v>8</v>
      </c>
      <c r="R423" s="24">
        <v>45733</v>
      </c>
      <c r="S423" s="24">
        <v>45734</v>
      </c>
      <c r="T423" s="24">
        <v>45741</v>
      </c>
      <c r="U423" s="24">
        <v>45743</v>
      </c>
      <c r="V423" s="24">
        <v>45747</v>
      </c>
      <c r="W423" s="22" t="s">
        <v>759</v>
      </c>
      <c r="X423" s="4" t="str">
        <f>IF(Tabela2[[#This Row],[sigla]]="","",VLOOKUP(Tabela2[[#This Row],[sigla]],créditos_base!B:C,2,0))</f>
        <v>JULIA PONNICK/ARQUIVO DA EDITORA</v>
      </c>
      <c r="Y423" s="23"/>
      <c r="Z423" s="23" t="str">
        <f>Tabela2[[#This Row],[ilustrador]]</f>
        <v>JULIA PONNICK/ARQUIVO DA EDITORA</v>
      </c>
      <c r="AA423" s="22">
        <v>6</v>
      </c>
      <c r="AB423" s="20" t="s">
        <v>760</v>
      </c>
      <c r="AC423" s="20" t="s">
        <v>310</v>
      </c>
      <c r="AD423" s="4" t="str">
        <f>"Pitanguá"</f>
        <v>Pitanguá</v>
      </c>
      <c r="AE423" s="14" t="str">
        <f>"Matemática"</f>
        <v>Matemática</v>
      </c>
    </row>
    <row r="424" spans="1:31" s="14" customFormat="1" x14ac:dyDescent="0.3">
      <c r="A424" s="23" t="s">
        <v>1928</v>
      </c>
      <c r="B424" s="20" t="s">
        <v>16</v>
      </c>
      <c r="C424" s="20" t="s">
        <v>89</v>
      </c>
      <c r="D424" s="20" t="s">
        <v>8</v>
      </c>
      <c r="E424" s="22">
        <v>45</v>
      </c>
      <c r="F424" s="22">
        <v>3</v>
      </c>
      <c r="G424" s="22">
        <v>2</v>
      </c>
      <c r="H424" s="22"/>
      <c r="I424" s="23" t="s">
        <v>9</v>
      </c>
      <c r="J424" s="23"/>
      <c r="K424" s="22"/>
      <c r="L424" s="22"/>
      <c r="M424" s="23"/>
      <c r="N424" s="23"/>
      <c r="O424" s="26" t="s">
        <v>1929</v>
      </c>
      <c r="P424" s="26"/>
      <c r="Q424" s="22"/>
      <c r="R424" s="24"/>
      <c r="S424" s="24"/>
      <c r="T424" s="24"/>
      <c r="U424" s="24"/>
      <c r="V424" s="24"/>
      <c r="W424" s="22" t="s">
        <v>160</v>
      </c>
      <c r="X424" s="4" t="str">
        <f>IF(Tabela2[[#This Row],[sigla]]="","",VLOOKUP(Tabela2[[#This Row],[sigla]],créditos_base!B:C,2,0))</f>
        <v>SERGIO LIMA/ARQUIVO DA EDITORA</v>
      </c>
      <c r="Y424" s="23"/>
      <c r="Z424" s="23" t="str">
        <f>Tabela2[[#This Row],[ilustrador]]</f>
        <v>SERGIO LIMA/ARQUIVO DA EDITORA</v>
      </c>
      <c r="AA424" s="22"/>
      <c r="AB424" s="20"/>
      <c r="AC424" s="20"/>
      <c r="AD424" s="4" t="str">
        <f>"Pitanguá"</f>
        <v>Pitanguá</v>
      </c>
      <c r="AE424" s="14" t="str">
        <f>"Matemática"</f>
        <v>Matemática</v>
      </c>
    </row>
    <row r="425" spans="1:31" s="14" customFormat="1" x14ac:dyDescent="0.3">
      <c r="A425" s="23" t="s">
        <v>959</v>
      </c>
      <c r="B425" s="20" t="s">
        <v>16</v>
      </c>
      <c r="C425" s="20" t="s">
        <v>7</v>
      </c>
      <c r="D425" s="20" t="s">
        <v>8</v>
      </c>
      <c r="E425" s="22">
        <v>44</v>
      </c>
      <c r="F425" s="22">
        <v>4</v>
      </c>
      <c r="G425" s="22">
        <v>2</v>
      </c>
      <c r="H425" s="22"/>
      <c r="I425" s="23" t="s">
        <v>33</v>
      </c>
      <c r="J425" s="23"/>
      <c r="K425" s="22"/>
      <c r="L425" s="22"/>
      <c r="M425" s="23"/>
      <c r="N425" s="23"/>
      <c r="O425" s="26" t="s">
        <v>960</v>
      </c>
      <c r="P425" s="26"/>
      <c r="Q425" s="22">
        <v>9</v>
      </c>
      <c r="R425" s="24">
        <v>45733</v>
      </c>
      <c r="S425" s="24">
        <v>45733</v>
      </c>
      <c r="T425" s="24"/>
      <c r="U425" s="24"/>
      <c r="V425" s="24">
        <v>45734</v>
      </c>
      <c r="W425" s="22" t="s">
        <v>31</v>
      </c>
      <c r="X425" s="4" t="str">
        <f>IF(Tabela2[[#This Row],[sigla]]="","",VLOOKUP(Tabela2[[#This Row],[sigla]],créditos_base!B:C,2,0))</f>
        <v>SILVIA OTOFUJI/ARQUIVO DA EDITORA</v>
      </c>
      <c r="Y425" s="23" t="s">
        <v>188</v>
      </c>
      <c r="Z425" s="23" t="str">
        <f>Tabela2[[#This Row],[ilustrador]]</f>
        <v>SILVIA OTOFUJI/ARQUIVO DA EDITORA</v>
      </c>
      <c r="AA425" s="22">
        <v>13</v>
      </c>
      <c r="AB425" s="20" t="s">
        <v>153</v>
      </c>
      <c r="AC425" s="20" t="s">
        <v>36</v>
      </c>
      <c r="AD425" s="4" t="str">
        <f>"Pitanguá"</f>
        <v>Pitanguá</v>
      </c>
      <c r="AE425" s="14" t="str">
        <f>"Matemática"</f>
        <v>Matemática</v>
      </c>
    </row>
    <row r="426" spans="1:31" s="14" customFormat="1" ht="28.8" x14ac:dyDescent="0.3">
      <c r="A426" s="23" t="s">
        <v>5502</v>
      </c>
      <c r="B426" s="20" t="s">
        <v>16</v>
      </c>
      <c r="C426" s="20" t="s">
        <v>89</v>
      </c>
      <c r="D426" s="20" t="s">
        <v>8</v>
      </c>
      <c r="E426" s="22">
        <v>39</v>
      </c>
      <c r="F426" s="22">
        <v>5</v>
      </c>
      <c r="G426" s="22">
        <v>2</v>
      </c>
      <c r="H426" s="22"/>
      <c r="I426" s="23" t="s">
        <v>9</v>
      </c>
      <c r="J426" s="23"/>
      <c r="K426" s="22"/>
      <c r="L426" s="22"/>
      <c r="M426" s="23"/>
      <c r="N426" s="23"/>
      <c r="O426" s="26" t="s">
        <v>5503</v>
      </c>
      <c r="P426" s="26"/>
      <c r="Q426" s="22"/>
      <c r="R426" s="24"/>
      <c r="S426" s="24"/>
      <c r="T426" s="24"/>
      <c r="U426" s="24"/>
      <c r="V426" s="24"/>
      <c r="W426" s="22" t="s">
        <v>230</v>
      </c>
      <c r="X426" s="4" t="str">
        <f>IF(Tabela2[[#This Row],[sigla]]="","",VLOOKUP(Tabela2[[#This Row],[sigla]],créditos_base!B:C,2,0))</f>
        <v>RAFAEL L. GAION/ARQUIVO DA EDITORA</v>
      </c>
      <c r="Y426" s="23"/>
      <c r="Z426" s="23" t="str">
        <f>Tabela2[[#This Row],[ilustrador]]</f>
        <v>RAFAEL L. GAION/ARQUIVO DA EDITORA</v>
      </c>
      <c r="AA426" s="22"/>
      <c r="AB426" s="20"/>
      <c r="AC426" s="20"/>
      <c r="AD426" s="4" t="str">
        <f>"Pitanguá"</f>
        <v>Pitanguá</v>
      </c>
      <c r="AE426" s="14" t="str">
        <f>"Matemática"</f>
        <v>Matemática</v>
      </c>
    </row>
    <row r="427" spans="1:31" s="14" customFormat="1" ht="72" x14ac:dyDescent="0.3">
      <c r="A427" s="23" t="s">
        <v>774</v>
      </c>
      <c r="B427" s="20" t="s">
        <v>16</v>
      </c>
      <c r="C427" s="20" t="s">
        <v>7</v>
      </c>
      <c r="D427" s="20" t="s">
        <v>8</v>
      </c>
      <c r="E427" s="22">
        <v>53</v>
      </c>
      <c r="F427" s="22">
        <v>1</v>
      </c>
      <c r="G427" s="22">
        <v>2</v>
      </c>
      <c r="H427" s="22"/>
      <c r="I427" s="23" t="s">
        <v>90</v>
      </c>
      <c r="J427" s="23"/>
      <c r="K427" s="22"/>
      <c r="L427" s="22"/>
      <c r="M427" s="23"/>
      <c r="N427" s="23"/>
      <c r="O427" s="26" t="s">
        <v>775</v>
      </c>
      <c r="P427" s="26"/>
      <c r="Q427" s="22">
        <v>8</v>
      </c>
      <c r="R427" s="24">
        <v>45733</v>
      </c>
      <c r="S427" s="24">
        <v>45734</v>
      </c>
      <c r="T427" s="24"/>
      <c r="U427" s="24"/>
      <c r="V427" s="24">
        <v>45734</v>
      </c>
      <c r="W427" s="22" t="s">
        <v>752</v>
      </c>
      <c r="X427" s="4" t="str">
        <f>IF(Tabela2[[#This Row],[sigla]]="","",VLOOKUP(Tabela2[[#This Row],[sigla]],créditos_base!B:C,2,0))</f>
        <v>FELIPE GRIGOLI/ARQUIVO DA EDITORA</v>
      </c>
      <c r="Y427" s="23" t="s">
        <v>243</v>
      </c>
      <c r="Z427" s="23" t="str">
        <f>Tabela2[[#This Row],[ilustrador]]</f>
        <v>FELIPE GRIGOLI/ARQUIVO DA EDITORA</v>
      </c>
      <c r="AA427" s="22">
        <v>11</v>
      </c>
      <c r="AB427" s="20" t="s">
        <v>747</v>
      </c>
      <c r="AC427" s="20" t="s">
        <v>36</v>
      </c>
      <c r="AD427" s="4" t="str">
        <f>"Pitanguá"</f>
        <v>Pitanguá</v>
      </c>
      <c r="AE427" s="14" t="str">
        <f>"Matemática"</f>
        <v>Matemática</v>
      </c>
    </row>
    <row r="428" spans="1:31" s="14" customFormat="1" x14ac:dyDescent="0.3">
      <c r="A428" s="23" t="s">
        <v>1930</v>
      </c>
      <c r="B428" s="20" t="s">
        <v>16</v>
      </c>
      <c r="C428" s="20" t="s">
        <v>89</v>
      </c>
      <c r="D428" s="20" t="s">
        <v>8</v>
      </c>
      <c r="E428" s="22">
        <v>45</v>
      </c>
      <c r="F428" s="22">
        <v>3</v>
      </c>
      <c r="G428" s="22">
        <v>2</v>
      </c>
      <c r="H428" s="22"/>
      <c r="I428" s="23" t="s">
        <v>9</v>
      </c>
      <c r="J428" s="23"/>
      <c r="K428" s="22"/>
      <c r="L428" s="22"/>
      <c r="M428" s="23"/>
      <c r="N428" s="23"/>
      <c r="O428" s="26" t="s">
        <v>1931</v>
      </c>
      <c r="P428" s="26"/>
      <c r="Q428" s="22"/>
      <c r="R428" s="24"/>
      <c r="S428" s="24"/>
      <c r="T428" s="24"/>
      <c r="U428" s="24"/>
      <c r="V428" s="24"/>
      <c r="W428" s="22" t="s">
        <v>160</v>
      </c>
      <c r="X428" s="4" t="str">
        <f>IF(Tabela2[[#This Row],[sigla]]="","",VLOOKUP(Tabela2[[#This Row],[sigla]],créditos_base!B:C,2,0))</f>
        <v>SERGIO LIMA/ARQUIVO DA EDITORA</v>
      </c>
      <c r="Y428" s="23"/>
      <c r="Z428" s="23" t="str">
        <f>Tabela2[[#This Row],[ilustrador]]</f>
        <v>SERGIO LIMA/ARQUIVO DA EDITORA</v>
      </c>
      <c r="AA428" s="22"/>
      <c r="AB428" s="20"/>
      <c r="AC428" s="20"/>
      <c r="AD428" s="4" t="str">
        <f>"Pitanguá"</f>
        <v>Pitanguá</v>
      </c>
      <c r="AE428" s="14" t="str">
        <f>"Matemática"</f>
        <v>Matemática</v>
      </c>
    </row>
    <row r="429" spans="1:31" s="14" customFormat="1" ht="72" x14ac:dyDescent="0.3">
      <c r="A429" s="23" t="s">
        <v>961</v>
      </c>
      <c r="B429" s="20" t="s">
        <v>16</v>
      </c>
      <c r="C429" s="20" t="s">
        <v>7</v>
      </c>
      <c r="D429" s="20" t="s">
        <v>8</v>
      </c>
      <c r="E429" s="22">
        <v>45</v>
      </c>
      <c r="F429" s="22">
        <v>4</v>
      </c>
      <c r="G429" s="22">
        <v>2</v>
      </c>
      <c r="H429" s="22"/>
      <c r="I429" s="23" t="s">
        <v>33</v>
      </c>
      <c r="J429" s="23"/>
      <c r="K429" s="22"/>
      <c r="L429" s="22"/>
      <c r="M429" s="23"/>
      <c r="N429" s="23"/>
      <c r="O429" s="26" t="s">
        <v>962</v>
      </c>
      <c r="P429" s="26"/>
      <c r="Q429" s="22">
        <v>9</v>
      </c>
      <c r="R429" s="24">
        <v>45733</v>
      </c>
      <c r="S429" s="24">
        <v>45733</v>
      </c>
      <c r="T429" s="24"/>
      <c r="U429" s="24"/>
      <c r="V429" s="24">
        <v>45734</v>
      </c>
      <c r="W429" s="22" t="s">
        <v>31</v>
      </c>
      <c r="X429" s="4" t="str">
        <f>IF(Tabela2[[#This Row],[sigla]]="","",VLOOKUP(Tabela2[[#This Row],[sigla]],créditos_base!B:C,2,0))</f>
        <v>SILVIA OTOFUJI/ARQUIVO DA EDITORA</v>
      </c>
      <c r="Y429" s="23" t="s">
        <v>188</v>
      </c>
      <c r="Z429" s="23" t="str">
        <f>Tabela2[[#This Row],[ilustrador]]</f>
        <v>SILVIA OTOFUJI/ARQUIVO DA EDITORA</v>
      </c>
      <c r="AA429" s="22">
        <v>13</v>
      </c>
      <c r="AB429" s="20" t="s">
        <v>153</v>
      </c>
      <c r="AC429" s="20" t="s">
        <v>36</v>
      </c>
      <c r="AD429" s="4" t="str">
        <f>"Pitanguá"</f>
        <v>Pitanguá</v>
      </c>
      <c r="AE429" s="14" t="str">
        <f>"Matemática"</f>
        <v>Matemática</v>
      </c>
    </row>
    <row r="430" spans="1:31" s="14" customFormat="1" ht="72" x14ac:dyDescent="0.3">
      <c r="A430" s="23" t="s">
        <v>5504</v>
      </c>
      <c r="B430" s="20" t="s">
        <v>16</v>
      </c>
      <c r="C430" s="20" t="s">
        <v>89</v>
      </c>
      <c r="D430" s="20" t="s">
        <v>8</v>
      </c>
      <c r="E430" s="22">
        <v>39</v>
      </c>
      <c r="F430" s="22">
        <v>5</v>
      </c>
      <c r="G430" s="22">
        <v>2</v>
      </c>
      <c r="H430" s="22"/>
      <c r="I430" s="23" t="s">
        <v>9</v>
      </c>
      <c r="J430" s="23"/>
      <c r="K430" s="22"/>
      <c r="L430" s="22"/>
      <c r="M430" s="23"/>
      <c r="N430" s="23"/>
      <c r="O430" s="26" t="s">
        <v>5505</v>
      </c>
      <c r="P430" s="26"/>
      <c r="Q430" s="22"/>
      <c r="R430" s="24"/>
      <c r="S430" s="24"/>
      <c r="T430" s="24"/>
      <c r="U430" s="24"/>
      <c r="V430" s="24"/>
      <c r="W430" s="22" t="s">
        <v>940</v>
      </c>
      <c r="X430" s="4" t="str">
        <f>IF(Tabela2[[#This Row],[sigla]]="","",VLOOKUP(Tabela2[[#This Row],[sigla]],créditos_base!B:C,2,0))</f>
        <v>RONALDO LUCENA/ARQUIVO DA EDITORA</v>
      </c>
      <c r="Y430" s="23"/>
      <c r="Z430" s="23" t="str">
        <f>Tabela2[[#This Row],[ilustrador]]</f>
        <v>RONALDO LUCENA/ARQUIVO DA EDITORA</v>
      </c>
      <c r="AA430" s="22"/>
      <c r="AB430" s="20"/>
      <c r="AC430" s="20"/>
      <c r="AD430" s="4" t="str">
        <f>"Pitanguá"</f>
        <v>Pitanguá</v>
      </c>
      <c r="AE430" s="14" t="str">
        <f>"Matemática"</f>
        <v>Matemática</v>
      </c>
    </row>
    <row r="431" spans="1:31" s="14" customFormat="1" ht="28.8" x14ac:dyDescent="0.3">
      <c r="A431" s="23" t="s">
        <v>776</v>
      </c>
      <c r="B431" s="20" t="s">
        <v>16</v>
      </c>
      <c r="C431" s="20" t="s">
        <v>7</v>
      </c>
      <c r="D431" s="20" t="s">
        <v>8</v>
      </c>
      <c r="E431" s="22">
        <v>53</v>
      </c>
      <c r="F431" s="22">
        <v>1</v>
      </c>
      <c r="G431" s="22">
        <v>2</v>
      </c>
      <c r="H431" s="22"/>
      <c r="I431" s="23" t="s">
        <v>33</v>
      </c>
      <c r="J431" s="23"/>
      <c r="K431" s="22"/>
      <c r="L431" s="22"/>
      <c r="M431" s="23"/>
      <c r="N431" s="23"/>
      <c r="O431" s="26" t="s">
        <v>777</v>
      </c>
      <c r="P431" s="26"/>
      <c r="Q431" s="22">
        <v>8</v>
      </c>
      <c r="R431" s="24">
        <v>45733</v>
      </c>
      <c r="S431" s="24">
        <v>45734</v>
      </c>
      <c r="T431" s="24"/>
      <c r="U431" s="24"/>
      <c r="V431" s="24">
        <v>45734</v>
      </c>
      <c r="W431" s="22" t="s">
        <v>72</v>
      </c>
      <c r="X431" s="4" t="str">
        <f>IF(Tabela2[[#This Row],[sigla]]="","",VLOOKUP(Tabela2[[#This Row],[sigla]],créditos_base!B:C,2,0))</f>
        <v>HELOÍSA PINTARELLI/ARQUIVO DA EDITORA</v>
      </c>
      <c r="Y431" s="23" t="s">
        <v>738</v>
      </c>
      <c r="Z431" s="23" t="str">
        <f>Tabela2[[#This Row],[ilustrador]]</f>
        <v>HELOÍSA PINTARELLI/ARQUIVO DA EDITORA</v>
      </c>
      <c r="AA431" s="22">
        <v>13</v>
      </c>
      <c r="AB431" s="20" t="s">
        <v>153</v>
      </c>
      <c r="AC431" s="20" t="s">
        <v>36</v>
      </c>
      <c r="AD431" s="4" t="str">
        <f>"Pitanguá"</f>
        <v>Pitanguá</v>
      </c>
      <c r="AE431" s="14" t="str">
        <f>"Matemática"</f>
        <v>Matemática</v>
      </c>
    </row>
    <row r="432" spans="1:31" s="14" customFormat="1" x14ac:dyDescent="0.3">
      <c r="A432" s="23" t="s">
        <v>1932</v>
      </c>
      <c r="B432" s="20" t="s">
        <v>16</v>
      </c>
      <c r="C432" s="20" t="s">
        <v>89</v>
      </c>
      <c r="D432" s="20" t="s">
        <v>8</v>
      </c>
      <c r="E432" s="22">
        <v>45</v>
      </c>
      <c r="F432" s="22">
        <v>3</v>
      </c>
      <c r="G432" s="22">
        <v>2</v>
      </c>
      <c r="H432" s="22"/>
      <c r="I432" s="23" t="s">
        <v>9</v>
      </c>
      <c r="J432" s="23"/>
      <c r="K432" s="22"/>
      <c r="L432" s="22"/>
      <c r="M432" s="23"/>
      <c r="N432" s="23"/>
      <c r="O432" s="26" t="s">
        <v>1933</v>
      </c>
      <c r="P432" s="26"/>
      <c r="Q432" s="22"/>
      <c r="R432" s="24"/>
      <c r="S432" s="24"/>
      <c r="T432" s="24"/>
      <c r="U432" s="24"/>
      <c r="V432" s="24"/>
      <c r="W432" s="22" t="s">
        <v>160</v>
      </c>
      <c r="X432" s="4" t="str">
        <f>IF(Tabela2[[#This Row],[sigla]]="","",VLOOKUP(Tabela2[[#This Row],[sigla]],créditos_base!B:C,2,0))</f>
        <v>SERGIO LIMA/ARQUIVO DA EDITORA</v>
      </c>
      <c r="Y432" s="23"/>
      <c r="Z432" s="23" t="str">
        <f>Tabela2[[#This Row],[ilustrador]]</f>
        <v>SERGIO LIMA/ARQUIVO DA EDITORA</v>
      </c>
      <c r="AA432" s="22"/>
      <c r="AB432" s="20"/>
      <c r="AC432" s="20"/>
      <c r="AD432" s="4" t="str">
        <f>"Pitanguá"</f>
        <v>Pitanguá</v>
      </c>
      <c r="AE432" s="14" t="str">
        <f>"Matemática"</f>
        <v>Matemática</v>
      </c>
    </row>
    <row r="433" spans="1:31" s="14" customFormat="1" x14ac:dyDescent="0.3">
      <c r="A433" s="23" t="s">
        <v>963</v>
      </c>
      <c r="B433" s="20" t="s">
        <v>16</v>
      </c>
      <c r="C433" s="20" t="s">
        <v>7</v>
      </c>
      <c r="D433" s="20" t="s">
        <v>8</v>
      </c>
      <c r="E433" s="22">
        <v>45</v>
      </c>
      <c r="F433" s="22">
        <v>4</v>
      </c>
      <c r="G433" s="22">
        <v>2</v>
      </c>
      <c r="H433" s="22"/>
      <c r="I433" s="23" t="s">
        <v>33</v>
      </c>
      <c r="J433" s="23"/>
      <c r="K433" s="22"/>
      <c r="L433" s="22"/>
      <c r="M433" s="23"/>
      <c r="N433" s="23"/>
      <c r="O433" s="26" t="s">
        <v>964</v>
      </c>
      <c r="P433" s="26"/>
      <c r="Q433" s="22">
        <v>42</v>
      </c>
      <c r="R433" s="24">
        <v>45783</v>
      </c>
      <c r="S433" s="24">
        <v>45783</v>
      </c>
      <c r="T433" s="24"/>
      <c r="U433" s="24"/>
      <c r="V433" s="24">
        <v>45783</v>
      </c>
      <c r="W433" s="22" t="s">
        <v>31</v>
      </c>
      <c r="X433" s="4" t="str">
        <f>IF(Tabela2[[#This Row],[sigla]]="","",VLOOKUP(Tabela2[[#This Row],[sigla]],créditos_base!B:C,2,0))</f>
        <v>SILVIA OTOFUJI/ARQUIVO DA EDITORA</v>
      </c>
      <c r="Y433" s="23" t="s">
        <v>152</v>
      </c>
      <c r="Z433" s="23" t="str">
        <f>Tabela2[[#This Row],[ilustrador]]</f>
        <v>SILVIA OTOFUJI/ARQUIVO DA EDITORA</v>
      </c>
      <c r="AA433" s="22">
        <v>13</v>
      </c>
      <c r="AB433" s="20" t="s">
        <v>153</v>
      </c>
      <c r="AC433" s="20" t="s">
        <v>36</v>
      </c>
      <c r="AD433" s="4" t="str">
        <f>"Pitanguá"</f>
        <v>Pitanguá</v>
      </c>
      <c r="AE433" s="14" t="str">
        <f>"Matemática"</f>
        <v>Matemática</v>
      </c>
    </row>
    <row r="434" spans="1:31" s="14" customFormat="1" x14ac:dyDescent="0.3">
      <c r="A434" s="23" t="s">
        <v>5506</v>
      </c>
      <c r="B434" s="20" t="s">
        <v>16</v>
      </c>
      <c r="C434" s="20" t="s">
        <v>89</v>
      </c>
      <c r="D434" s="20" t="s">
        <v>8</v>
      </c>
      <c r="E434" s="22">
        <v>40</v>
      </c>
      <c r="F434" s="22">
        <v>5</v>
      </c>
      <c r="G434" s="22">
        <v>2</v>
      </c>
      <c r="H434" s="22"/>
      <c r="I434" s="23" t="s">
        <v>9</v>
      </c>
      <c r="J434" s="23"/>
      <c r="K434" s="22"/>
      <c r="L434" s="22"/>
      <c r="M434" s="23"/>
      <c r="N434" s="23"/>
      <c r="O434" s="26" t="s">
        <v>5507</v>
      </c>
      <c r="P434" s="26"/>
      <c r="Q434" s="22"/>
      <c r="R434" s="24"/>
      <c r="S434" s="24"/>
      <c r="T434" s="24"/>
      <c r="U434" s="24"/>
      <c r="V434" s="24"/>
      <c r="W434" s="22" t="s">
        <v>940</v>
      </c>
      <c r="X434" s="4" t="str">
        <f>IF(Tabela2[[#This Row],[sigla]]="","",VLOOKUP(Tabela2[[#This Row],[sigla]],créditos_base!B:C,2,0))</f>
        <v>RONALDO LUCENA/ARQUIVO DA EDITORA</v>
      </c>
      <c r="Y434" s="23"/>
      <c r="Z434" s="23" t="str">
        <f>Tabela2[[#This Row],[ilustrador]]</f>
        <v>RONALDO LUCENA/ARQUIVO DA EDITORA</v>
      </c>
      <c r="AA434" s="22"/>
      <c r="AB434" s="20"/>
      <c r="AC434" s="20"/>
      <c r="AD434" s="4" t="str">
        <f>"Pitanguá"</f>
        <v>Pitanguá</v>
      </c>
      <c r="AE434" s="14" t="str">
        <f>"Matemática"</f>
        <v>Matemática</v>
      </c>
    </row>
    <row r="435" spans="1:31" s="14" customFormat="1" x14ac:dyDescent="0.3">
      <c r="A435" s="23" t="s">
        <v>778</v>
      </c>
      <c r="B435" s="20" t="s">
        <v>16</v>
      </c>
      <c r="C435" s="20" t="s">
        <v>89</v>
      </c>
      <c r="D435" s="20" t="s">
        <v>8</v>
      </c>
      <c r="E435" s="22">
        <v>53</v>
      </c>
      <c r="F435" s="22">
        <v>1</v>
      </c>
      <c r="G435" s="22">
        <v>2</v>
      </c>
      <c r="H435" s="22"/>
      <c r="I435" s="23" t="s">
        <v>90</v>
      </c>
      <c r="J435" s="23"/>
      <c r="K435" s="22"/>
      <c r="L435" s="22"/>
      <c r="M435" s="23"/>
      <c r="N435" s="23"/>
      <c r="O435" s="26" t="s">
        <v>779</v>
      </c>
      <c r="P435" s="26"/>
      <c r="Q435" s="22">
        <v>8</v>
      </c>
      <c r="R435" s="24">
        <v>45733</v>
      </c>
      <c r="S435" s="24">
        <v>45734</v>
      </c>
      <c r="T435" s="24"/>
      <c r="U435" s="24"/>
      <c r="V435" s="24">
        <v>45734</v>
      </c>
      <c r="W435" s="22" t="s">
        <v>752</v>
      </c>
      <c r="X435" s="4" t="str">
        <f>IF(Tabela2[[#This Row],[sigla]]="","",VLOOKUP(Tabela2[[#This Row],[sigla]],créditos_base!B:C,2,0))</f>
        <v>FELIPE GRIGOLI/ARQUIVO DA EDITORA</v>
      </c>
      <c r="Y435" s="23" t="s">
        <v>243</v>
      </c>
      <c r="Z435" s="23" t="str">
        <f>Tabela2[[#This Row],[ilustrador]]</f>
        <v>FELIPE GRIGOLI/ARQUIVO DA EDITORA</v>
      </c>
      <c r="AA435" s="22">
        <v>13</v>
      </c>
      <c r="AB435" s="20" t="s">
        <v>153</v>
      </c>
      <c r="AC435" s="20" t="s">
        <v>36</v>
      </c>
      <c r="AD435" s="4" t="str">
        <f>"Pitanguá"</f>
        <v>Pitanguá</v>
      </c>
      <c r="AE435" s="14" t="str">
        <f>"Matemática"</f>
        <v>Matemática</v>
      </c>
    </row>
    <row r="436" spans="1:31" s="14" customFormat="1" x14ac:dyDescent="0.3">
      <c r="A436" s="23" t="s">
        <v>1934</v>
      </c>
      <c r="B436" s="20" t="s">
        <v>16</v>
      </c>
      <c r="C436" s="20" t="s">
        <v>89</v>
      </c>
      <c r="D436" s="20" t="s">
        <v>8</v>
      </c>
      <c r="E436" s="22">
        <v>45</v>
      </c>
      <c r="F436" s="22">
        <v>3</v>
      </c>
      <c r="G436" s="22">
        <v>2</v>
      </c>
      <c r="H436" s="22"/>
      <c r="I436" s="23" t="s">
        <v>9</v>
      </c>
      <c r="J436" s="23"/>
      <c r="K436" s="22"/>
      <c r="L436" s="22"/>
      <c r="M436" s="23"/>
      <c r="N436" s="23"/>
      <c r="O436" s="26" t="s">
        <v>1935</v>
      </c>
      <c r="P436" s="26"/>
      <c r="Q436" s="22"/>
      <c r="R436" s="24"/>
      <c r="S436" s="24"/>
      <c r="T436" s="24"/>
      <c r="U436" s="24"/>
      <c r="V436" s="24"/>
      <c r="W436" s="22" t="s">
        <v>160</v>
      </c>
      <c r="X436" s="4" t="str">
        <f>IF(Tabela2[[#This Row],[sigla]]="","",VLOOKUP(Tabela2[[#This Row],[sigla]],créditos_base!B:C,2,0))</f>
        <v>SERGIO LIMA/ARQUIVO DA EDITORA</v>
      </c>
      <c r="Y436" s="23"/>
      <c r="Z436" s="23" t="str">
        <f>Tabela2[[#This Row],[ilustrador]]</f>
        <v>SERGIO LIMA/ARQUIVO DA EDITORA</v>
      </c>
      <c r="AA436" s="22"/>
      <c r="AB436" s="20"/>
      <c r="AC436" s="20"/>
      <c r="AD436" s="4" t="str">
        <f>"Pitanguá"</f>
        <v>Pitanguá</v>
      </c>
      <c r="AE436" s="14" t="str">
        <f>"Matemática"</f>
        <v>Matemática</v>
      </c>
    </row>
    <row r="437" spans="1:31" s="14" customFormat="1" x14ac:dyDescent="0.3">
      <c r="A437" s="23" t="s">
        <v>965</v>
      </c>
      <c r="B437" s="20" t="s">
        <v>16</v>
      </c>
      <c r="C437" s="20" t="s">
        <v>7</v>
      </c>
      <c r="D437" s="20" t="s">
        <v>8</v>
      </c>
      <c r="E437" s="22">
        <v>46</v>
      </c>
      <c r="F437" s="22">
        <v>4</v>
      </c>
      <c r="G437" s="22">
        <v>2</v>
      </c>
      <c r="H437" s="22"/>
      <c r="I437" s="23" t="s">
        <v>9</v>
      </c>
      <c r="J437" s="23"/>
      <c r="K437" s="22"/>
      <c r="L437" s="22"/>
      <c r="M437" s="23"/>
      <c r="N437" s="23"/>
      <c r="O437" s="26" t="s">
        <v>966</v>
      </c>
      <c r="P437" s="26"/>
      <c r="Q437" s="22"/>
      <c r="R437" s="24"/>
      <c r="S437" s="24"/>
      <c r="T437" s="24"/>
      <c r="U437" s="24"/>
      <c r="V437" s="24"/>
      <c r="W437" s="22" t="s">
        <v>940</v>
      </c>
      <c r="X437" s="4" t="str">
        <f>IF(Tabela2[[#This Row],[sigla]]="","",VLOOKUP(Tabela2[[#This Row],[sigla]],créditos_base!B:C,2,0))</f>
        <v>RONALDO LUCENA/ARQUIVO DA EDITORA</v>
      </c>
      <c r="Y437" s="23"/>
      <c r="Z437" s="23" t="str">
        <f>Tabela2[[#This Row],[ilustrador]]</f>
        <v>RONALDO LUCENA/ARQUIVO DA EDITORA</v>
      </c>
      <c r="AA437" s="22"/>
      <c r="AB437" s="20"/>
      <c r="AC437" s="20"/>
      <c r="AD437" s="4" t="str">
        <f>"Pitanguá"</f>
        <v>Pitanguá</v>
      </c>
      <c r="AE437" s="14" t="str">
        <f>"Matemática"</f>
        <v>Matemática</v>
      </c>
    </row>
    <row r="438" spans="1:31" s="14" customFormat="1" x14ac:dyDescent="0.3">
      <c r="A438" s="43" t="s">
        <v>5508</v>
      </c>
      <c r="B438" s="20" t="s">
        <v>16</v>
      </c>
      <c r="C438" s="20" t="s">
        <v>89</v>
      </c>
      <c r="D438" s="20" t="s">
        <v>8</v>
      </c>
      <c r="E438" s="22">
        <v>40</v>
      </c>
      <c r="F438" s="22">
        <v>5</v>
      </c>
      <c r="G438" s="22">
        <v>2</v>
      </c>
      <c r="H438" s="22"/>
      <c r="I438" s="23" t="s">
        <v>9</v>
      </c>
      <c r="J438" s="23"/>
      <c r="K438" s="22"/>
      <c r="L438" s="22"/>
      <c r="M438" s="23"/>
      <c r="N438" s="23"/>
      <c r="O438" s="26" t="s">
        <v>5509</v>
      </c>
      <c r="P438" s="26"/>
      <c r="Q438" s="22"/>
      <c r="R438" s="24"/>
      <c r="S438" s="24"/>
      <c r="T438" s="24"/>
      <c r="U438" s="24"/>
      <c r="V438" s="24"/>
      <c r="W438" s="22" t="s">
        <v>940</v>
      </c>
      <c r="X438" s="4" t="str">
        <f>IF(Tabela2[[#This Row],[sigla]]="","",VLOOKUP(Tabela2[[#This Row],[sigla]],créditos_base!B:C,2,0))</f>
        <v>RONALDO LUCENA/ARQUIVO DA EDITORA</v>
      </c>
      <c r="Y438" s="23"/>
      <c r="Z438" s="23" t="str">
        <f>Tabela2[[#This Row],[ilustrador]]</f>
        <v>RONALDO LUCENA/ARQUIVO DA EDITORA</v>
      </c>
      <c r="AA438" s="22"/>
      <c r="AB438" s="20"/>
      <c r="AC438" s="20"/>
      <c r="AD438" s="4" t="str">
        <f>"Pitanguá"</f>
        <v>Pitanguá</v>
      </c>
      <c r="AE438" s="14" t="str">
        <f>"Matemática"</f>
        <v>Matemática</v>
      </c>
    </row>
    <row r="439" spans="1:31" s="14" customFormat="1" x14ac:dyDescent="0.3">
      <c r="A439" s="23" t="s">
        <v>780</v>
      </c>
      <c r="B439" s="20" t="s">
        <v>16</v>
      </c>
      <c r="C439" s="20" t="s">
        <v>89</v>
      </c>
      <c r="D439" s="20" t="s">
        <v>8</v>
      </c>
      <c r="E439" s="22">
        <v>53</v>
      </c>
      <c r="F439" s="22">
        <v>1</v>
      </c>
      <c r="G439" s="22">
        <v>2</v>
      </c>
      <c r="H439" s="22"/>
      <c r="I439" s="23" t="s">
        <v>90</v>
      </c>
      <c r="J439" s="23"/>
      <c r="K439" s="22"/>
      <c r="L439" s="22"/>
      <c r="M439" s="23"/>
      <c r="N439" s="23"/>
      <c r="O439" s="26" t="s">
        <v>781</v>
      </c>
      <c r="P439" s="26"/>
      <c r="Q439" s="22">
        <v>8</v>
      </c>
      <c r="R439" s="24">
        <v>45733</v>
      </c>
      <c r="S439" s="24">
        <v>45734</v>
      </c>
      <c r="T439" s="24"/>
      <c r="U439" s="24"/>
      <c r="V439" s="24">
        <v>45734</v>
      </c>
      <c r="W439" s="22" t="s">
        <v>752</v>
      </c>
      <c r="X439" s="4" t="str">
        <f>IF(Tabela2[[#This Row],[sigla]]="","",VLOOKUP(Tabela2[[#This Row],[sigla]],créditos_base!B:C,2,0))</f>
        <v>FELIPE GRIGOLI/ARQUIVO DA EDITORA</v>
      </c>
      <c r="Y439" s="23" t="s">
        <v>243</v>
      </c>
      <c r="Z439" s="23" t="str">
        <f>Tabela2[[#This Row],[ilustrador]]</f>
        <v>FELIPE GRIGOLI/ARQUIVO DA EDITORA</v>
      </c>
      <c r="AA439" s="22">
        <v>13</v>
      </c>
      <c r="AB439" s="20" t="s">
        <v>747</v>
      </c>
      <c r="AC439" s="20" t="s">
        <v>36</v>
      </c>
      <c r="AD439" s="4" t="str">
        <f>"Pitanguá"</f>
        <v>Pitanguá</v>
      </c>
      <c r="AE439" s="14" t="str">
        <f>"Matemática"</f>
        <v>Matemática</v>
      </c>
    </row>
    <row r="440" spans="1:31" s="14" customFormat="1" x14ac:dyDescent="0.3">
      <c r="A440" s="23" t="s">
        <v>967</v>
      </c>
      <c r="B440" s="20" t="s">
        <v>16</v>
      </c>
      <c r="C440" s="20" t="s">
        <v>7</v>
      </c>
      <c r="D440" s="20" t="s">
        <v>8</v>
      </c>
      <c r="E440" s="22">
        <v>46</v>
      </c>
      <c r="F440" s="22">
        <v>4</v>
      </c>
      <c r="G440" s="22">
        <v>2</v>
      </c>
      <c r="H440" s="22"/>
      <c r="I440" s="23" t="s">
        <v>9</v>
      </c>
      <c r="J440" s="23"/>
      <c r="K440" s="22"/>
      <c r="L440" s="22"/>
      <c r="M440" s="23"/>
      <c r="N440" s="23"/>
      <c r="O440" s="26" t="s">
        <v>968</v>
      </c>
      <c r="P440" s="26"/>
      <c r="Q440" s="22"/>
      <c r="R440" s="24"/>
      <c r="S440" s="24"/>
      <c r="T440" s="24"/>
      <c r="U440" s="24"/>
      <c r="V440" s="24"/>
      <c r="W440" s="22" t="s">
        <v>160</v>
      </c>
      <c r="X440" s="4" t="str">
        <f>IF(Tabela2[[#This Row],[sigla]]="","",VLOOKUP(Tabela2[[#This Row],[sigla]],créditos_base!B:C,2,0))</f>
        <v>SERGIO LIMA/ARQUIVO DA EDITORA</v>
      </c>
      <c r="Y440" s="23"/>
      <c r="Z440" s="23" t="str">
        <f>Tabela2[[#This Row],[ilustrador]]</f>
        <v>SERGIO LIMA/ARQUIVO DA EDITORA</v>
      </c>
      <c r="AA440" s="22"/>
      <c r="AB440" s="20"/>
      <c r="AC440" s="20"/>
      <c r="AD440" s="4" t="str">
        <f>"Pitanguá"</f>
        <v>Pitanguá</v>
      </c>
      <c r="AE440" s="14" t="str">
        <f>"Matemática"</f>
        <v>Matemática</v>
      </c>
    </row>
    <row r="441" spans="1:31" s="14" customFormat="1" x14ac:dyDescent="0.3">
      <c r="A441" s="43" t="s">
        <v>5510</v>
      </c>
      <c r="B441" s="20" t="s">
        <v>16</v>
      </c>
      <c r="C441" s="20" t="s">
        <v>89</v>
      </c>
      <c r="D441" s="20" t="s">
        <v>8</v>
      </c>
      <c r="E441" s="22">
        <v>40</v>
      </c>
      <c r="F441" s="22">
        <v>5</v>
      </c>
      <c r="G441" s="22">
        <v>2</v>
      </c>
      <c r="H441" s="22"/>
      <c r="I441" s="23" t="s">
        <v>9</v>
      </c>
      <c r="J441" s="23"/>
      <c r="K441" s="22"/>
      <c r="L441" s="22"/>
      <c r="M441" s="23"/>
      <c r="N441" s="23"/>
      <c r="O441" s="26" t="s">
        <v>5511</v>
      </c>
      <c r="P441" s="26"/>
      <c r="Q441" s="22"/>
      <c r="R441" s="24"/>
      <c r="S441" s="24"/>
      <c r="T441" s="24"/>
      <c r="U441" s="24"/>
      <c r="V441" s="24"/>
      <c r="W441" s="22" t="s">
        <v>940</v>
      </c>
      <c r="X441" s="4" t="str">
        <f>IF(Tabela2[[#This Row],[sigla]]="","",VLOOKUP(Tabela2[[#This Row],[sigla]],créditos_base!B:C,2,0))</f>
        <v>RONALDO LUCENA/ARQUIVO DA EDITORA</v>
      </c>
      <c r="Y441" s="23"/>
      <c r="Z441" s="23" t="str">
        <f>Tabela2[[#This Row],[ilustrador]]</f>
        <v>RONALDO LUCENA/ARQUIVO DA EDITORA</v>
      </c>
      <c r="AA441" s="22"/>
      <c r="AB441" s="20"/>
      <c r="AC441" s="20"/>
      <c r="AD441" s="4" t="str">
        <f>"Pitanguá"</f>
        <v>Pitanguá</v>
      </c>
      <c r="AE441" s="14" t="str">
        <f>"Matemática"</f>
        <v>Matemática</v>
      </c>
    </row>
    <row r="442" spans="1:31" s="14" customFormat="1" ht="57.6" x14ac:dyDescent="0.3">
      <c r="A442" s="23" t="s">
        <v>782</v>
      </c>
      <c r="B442" s="20" t="s">
        <v>16</v>
      </c>
      <c r="C442" s="20" t="s">
        <v>89</v>
      </c>
      <c r="D442" s="20" t="s">
        <v>8</v>
      </c>
      <c r="E442" s="22">
        <v>54</v>
      </c>
      <c r="F442" s="22">
        <v>1</v>
      </c>
      <c r="G442" s="22">
        <v>2</v>
      </c>
      <c r="H442" s="22"/>
      <c r="I442" s="23" t="s">
        <v>33</v>
      </c>
      <c r="J442" s="23"/>
      <c r="K442" s="22"/>
      <c r="L442" s="22"/>
      <c r="M442" s="23"/>
      <c r="N442" s="23"/>
      <c r="O442" s="26" t="s">
        <v>783</v>
      </c>
      <c r="P442" s="26"/>
      <c r="Q442" s="22">
        <v>8</v>
      </c>
      <c r="R442" s="24">
        <v>45733</v>
      </c>
      <c r="S442" s="24">
        <v>45733</v>
      </c>
      <c r="T442" s="24"/>
      <c r="U442" s="24"/>
      <c r="V442" s="24">
        <v>45734</v>
      </c>
      <c r="W442" s="22" t="s">
        <v>12</v>
      </c>
      <c r="X442" s="4" t="str">
        <f>IF(Tabela2[[#This Row],[sigla]]="","",VLOOKUP(Tabela2[[#This Row],[sigla]],créditos_base!B:C,2,0))</f>
        <v>JORGE ZAIBA/ARQUIVO DA EDITORA</v>
      </c>
      <c r="Y442" s="23" t="s">
        <v>140</v>
      </c>
      <c r="Z442" s="23" t="str">
        <f>Tabela2[[#This Row],[ilustrador]]</f>
        <v>JORGE ZAIBA/ARQUIVO DA EDITORA</v>
      </c>
      <c r="AA442" s="22">
        <v>14</v>
      </c>
      <c r="AB442" s="20"/>
      <c r="AC442" s="20" t="s">
        <v>36</v>
      </c>
      <c r="AD442" s="4" t="str">
        <f>"Pitanguá"</f>
        <v>Pitanguá</v>
      </c>
      <c r="AE442" s="14" t="str">
        <f>"Matemática"</f>
        <v>Matemática</v>
      </c>
    </row>
    <row r="443" spans="1:31" s="14" customFormat="1" x14ac:dyDescent="0.3">
      <c r="A443" s="23" t="s">
        <v>969</v>
      </c>
      <c r="B443" s="20" t="s">
        <v>16</v>
      </c>
      <c r="C443" s="20" t="s">
        <v>7</v>
      </c>
      <c r="D443" s="20" t="s">
        <v>8</v>
      </c>
      <c r="E443" s="22">
        <v>46</v>
      </c>
      <c r="F443" s="22">
        <v>4</v>
      </c>
      <c r="G443" s="22">
        <v>2</v>
      </c>
      <c r="H443" s="22"/>
      <c r="I443" s="23" t="s">
        <v>9</v>
      </c>
      <c r="J443" s="23"/>
      <c r="K443" s="22"/>
      <c r="L443" s="22"/>
      <c r="M443" s="23"/>
      <c r="N443" s="23"/>
      <c r="O443" s="26" t="s">
        <v>970</v>
      </c>
      <c r="P443" s="26"/>
      <c r="Q443" s="22"/>
      <c r="R443" s="24"/>
      <c r="S443" s="24"/>
      <c r="T443" s="24"/>
      <c r="U443" s="24"/>
      <c r="V443" s="24"/>
      <c r="W443" s="22" t="s">
        <v>940</v>
      </c>
      <c r="X443" s="4" t="str">
        <f>IF(Tabela2[[#This Row],[sigla]]="","",VLOOKUP(Tabela2[[#This Row],[sigla]],créditos_base!B:C,2,0))</f>
        <v>RONALDO LUCENA/ARQUIVO DA EDITORA</v>
      </c>
      <c r="Y443" s="23"/>
      <c r="Z443" s="23" t="str">
        <f>Tabela2[[#This Row],[ilustrador]]</f>
        <v>RONALDO LUCENA/ARQUIVO DA EDITORA</v>
      </c>
      <c r="AA443" s="22"/>
      <c r="AB443" s="20"/>
      <c r="AC443" s="20"/>
      <c r="AD443" s="4" t="str">
        <f>"Pitanguá"</f>
        <v>Pitanguá</v>
      </c>
      <c r="AE443" s="14" t="str">
        <f>"Matemática"</f>
        <v>Matemática</v>
      </c>
    </row>
    <row r="444" spans="1:31" s="14" customFormat="1" x14ac:dyDescent="0.3">
      <c r="A444" s="43" t="s">
        <v>5512</v>
      </c>
      <c r="B444" s="20" t="s">
        <v>16</v>
      </c>
      <c r="C444" s="20" t="s">
        <v>89</v>
      </c>
      <c r="D444" s="20" t="s">
        <v>8</v>
      </c>
      <c r="E444" s="22">
        <v>40</v>
      </c>
      <c r="F444" s="22">
        <v>5</v>
      </c>
      <c r="G444" s="22">
        <v>2</v>
      </c>
      <c r="H444" s="22"/>
      <c r="I444" s="23" t="s">
        <v>9</v>
      </c>
      <c r="J444" s="23"/>
      <c r="K444" s="22"/>
      <c r="L444" s="22"/>
      <c r="M444" s="23"/>
      <c r="N444" s="23"/>
      <c r="O444" s="26" t="s">
        <v>5513</v>
      </c>
      <c r="P444" s="26"/>
      <c r="Q444" s="22"/>
      <c r="R444" s="24"/>
      <c r="S444" s="24"/>
      <c r="T444" s="24"/>
      <c r="U444" s="24"/>
      <c r="V444" s="24"/>
      <c r="W444" s="22" t="s">
        <v>940</v>
      </c>
      <c r="X444" s="4" t="str">
        <f>IF(Tabela2[[#This Row],[sigla]]="","",VLOOKUP(Tabela2[[#This Row],[sigla]],créditos_base!B:C,2,0))</f>
        <v>RONALDO LUCENA/ARQUIVO DA EDITORA</v>
      </c>
      <c r="Y444" s="23"/>
      <c r="Z444" s="23" t="str">
        <f>Tabela2[[#This Row],[ilustrador]]</f>
        <v>RONALDO LUCENA/ARQUIVO DA EDITORA</v>
      </c>
      <c r="AA444" s="22"/>
      <c r="AB444" s="20"/>
      <c r="AC444" s="20"/>
      <c r="AD444" s="4" t="str">
        <f>"Pitanguá"</f>
        <v>Pitanguá</v>
      </c>
      <c r="AE444" s="14" t="str">
        <f>"Matemática"</f>
        <v>Matemática</v>
      </c>
    </row>
    <row r="445" spans="1:31" s="14" customFormat="1" x14ac:dyDescent="0.3">
      <c r="A445" s="23" t="s">
        <v>1936</v>
      </c>
      <c r="B445" s="20" t="s">
        <v>6</v>
      </c>
      <c r="C445" s="20" t="s">
        <v>7</v>
      </c>
      <c r="D445" s="20" t="s">
        <v>8</v>
      </c>
      <c r="E445" s="22">
        <v>47</v>
      </c>
      <c r="F445" s="22">
        <v>3</v>
      </c>
      <c r="G445" s="22">
        <v>2</v>
      </c>
      <c r="H445" s="22"/>
      <c r="I445" s="23" t="s">
        <v>9</v>
      </c>
      <c r="J445" s="23"/>
      <c r="K445" s="22"/>
      <c r="L445" s="22"/>
      <c r="M445" s="23"/>
      <c r="N445" s="23"/>
      <c r="O445" s="26" t="s">
        <v>1937</v>
      </c>
      <c r="P445" s="26" t="s">
        <v>11</v>
      </c>
      <c r="Q445" s="22"/>
      <c r="R445" s="24"/>
      <c r="S445" s="24"/>
      <c r="T445" s="24"/>
      <c r="U445" s="24"/>
      <c r="V445" s="24"/>
      <c r="W445" s="22" t="s">
        <v>806</v>
      </c>
      <c r="X445" s="4" t="str">
        <f>IF(Tabela2[[#This Row],[sigla]]="","",VLOOKUP(Tabela2[[#This Row],[sigla]],créditos_base!B:C,2,0))</f>
        <v>MARCOS MACHADO/ARQUIVO DA EDITORA</v>
      </c>
      <c r="Y445" s="23"/>
      <c r="Z445" s="23" t="str">
        <f>Tabela2[[#This Row],[ilustrador]]</f>
        <v>MARCOS MACHADO/ARQUIVO DA EDITORA</v>
      </c>
      <c r="AA445" s="22"/>
      <c r="AB445" s="20"/>
      <c r="AC445" s="20"/>
      <c r="AD445" s="4" t="str">
        <f>"Pitanguá"</f>
        <v>Pitanguá</v>
      </c>
      <c r="AE445" s="14" t="str">
        <f>"Matemática"</f>
        <v>Matemática</v>
      </c>
    </row>
    <row r="446" spans="1:31" s="14" customFormat="1" x14ac:dyDescent="0.3">
      <c r="A446" s="23" t="s">
        <v>971</v>
      </c>
      <c r="B446" s="20" t="s">
        <v>16</v>
      </c>
      <c r="C446" s="20" t="s">
        <v>7</v>
      </c>
      <c r="D446" s="20" t="s">
        <v>8</v>
      </c>
      <c r="E446" s="22">
        <v>46</v>
      </c>
      <c r="F446" s="22">
        <v>4</v>
      </c>
      <c r="G446" s="22">
        <v>2</v>
      </c>
      <c r="H446" s="22"/>
      <c r="I446" s="23" t="s">
        <v>9</v>
      </c>
      <c r="J446" s="23"/>
      <c r="K446" s="22"/>
      <c r="L446" s="22"/>
      <c r="M446" s="23"/>
      <c r="N446" s="23"/>
      <c r="O446" s="26" t="s">
        <v>972</v>
      </c>
      <c r="P446" s="26"/>
      <c r="Q446" s="22"/>
      <c r="R446" s="24"/>
      <c r="S446" s="24"/>
      <c r="T446" s="24"/>
      <c r="U446" s="24"/>
      <c r="V446" s="24"/>
      <c r="W446" s="22" t="s">
        <v>940</v>
      </c>
      <c r="X446" s="4" t="str">
        <f>IF(Tabela2[[#This Row],[sigla]]="","",VLOOKUP(Tabela2[[#This Row],[sigla]],créditos_base!B:C,2,0))</f>
        <v>RONALDO LUCENA/ARQUIVO DA EDITORA</v>
      </c>
      <c r="Y446" s="23"/>
      <c r="Z446" s="23" t="str">
        <f>Tabela2[[#This Row],[ilustrador]]</f>
        <v>RONALDO LUCENA/ARQUIVO DA EDITORA</v>
      </c>
      <c r="AA446" s="22"/>
      <c r="AB446" s="20"/>
      <c r="AC446" s="20"/>
      <c r="AD446" s="4" t="str">
        <f>"Pitanguá"</f>
        <v>Pitanguá</v>
      </c>
      <c r="AE446" s="14" t="str">
        <f>"Matemática"</f>
        <v>Matemática</v>
      </c>
    </row>
    <row r="447" spans="1:31" s="14" customFormat="1" x14ac:dyDescent="0.3">
      <c r="A447" s="43" t="s">
        <v>5514</v>
      </c>
      <c r="B447" s="20" t="s">
        <v>16</v>
      </c>
      <c r="C447" s="20" t="s">
        <v>89</v>
      </c>
      <c r="D447" s="20" t="s">
        <v>8</v>
      </c>
      <c r="E447" s="22">
        <v>40</v>
      </c>
      <c r="F447" s="22">
        <v>5</v>
      </c>
      <c r="G447" s="22">
        <v>2</v>
      </c>
      <c r="H447" s="22"/>
      <c r="I447" s="23" t="s">
        <v>9</v>
      </c>
      <c r="J447" s="23"/>
      <c r="K447" s="22"/>
      <c r="L447" s="22"/>
      <c r="M447" s="23"/>
      <c r="N447" s="23"/>
      <c r="O447" s="26" t="s">
        <v>5515</v>
      </c>
      <c r="P447" s="26"/>
      <c r="Q447" s="22"/>
      <c r="R447" s="24"/>
      <c r="S447" s="24"/>
      <c r="T447" s="24"/>
      <c r="U447" s="24"/>
      <c r="V447" s="24"/>
      <c r="W447" s="22" t="s">
        <v>940</v>
      </c>
      <c r="X447" s="4" t="str">
        <f>IF(Tabela2[[#This Row],[sigla]]="","",VLOOKUP(Tabela2[[#This Row],[sigla]],créditos_base!B:C,2,0))</f>
        <v>RONALDO LUCENA/ARQUIVO DA EDITORA</v>
      </c>
      <c r="Y447" s="23"/>
      <c r="Z447" s="23" t="str">
        <f>Tabela2[[#This Row],[ilustrador]]</f>
        <v>RONALDO LUCENA/ARQUIVO DA EDITORA</v>
      </c>
      <c r="AA447" s="22"/>
      <c r="AB447" s="20"/>
      <c r="AC447" s="20"/>
      <c r="AD447" s="4" t="str">
        <f>"Pitanguá"</f>
        <v>Pitanguá</v>
      </c>
      <c r="AE447" s="14" t="str">
        <f>"Matemática"</f>
        <v>Matemática</v>
      </c>
    </row>
    <row r="448" spans="1:31" s="14" customFormat="1" ht="28.8" x14ac:dyDescent="0.3">
      <c r="A448" s="23" t="s">
        <v>1938</v>
      </c>
      <c r="B448" s="20" t="s">
        <v>16</v>
      </c>
      <c r="C448" s="20" t="s">
        <v>89</v>
      </c>
      <c r="D448" s="20" t="s">
        <v>8</v>
      </c>
      <c r="E448" s="22">
        <v>47</v>
      </c>
      <c r="F448" s="22">
        <v>3</v>
      </c>
      <c r="G448" s="22">
        <v>2</v>
      </c>
      <c r="H448" s="22"/>
      <c r="I448" s="23" t="s">
        <v>9</v>
      </c>
      <c r="J448" s="23"/>
      <c r="K448" s="22"/>
      <c r="L448" s="22"/>
      <c r="M448" s="23"/>
      <c r="N448" s="23"/>
      <c r="O448" s="26" t="s">
        <v>1939</v>
      </c>
      <c r="P448" s="26"/>
      <c r="Q448" s="22"/>
      <c r="R448" s="24"/>
      <c r="S448" s="24"/>
      <c r="T448" s="24"/>
      <c r="U448" s="24"/>
      <c r="V448" s="24"/>
      <c r="W448" s="22" t="s">
        <v>230</v>
      </c>
      <c r="X448" s="4" t="str">
        <f>IF(Tabela2[[#This Row],[sigla]]="","",VLOOKUP(Tabela2[[#This Row],[sigla]],créditos_base!B:C,2,0))</f>
        <v>RAFAEL L. GAION/ARQUIVO DA EDITORA</v>
      </c>
      <c r="Y448" s="23"/>
      <c r="Z448" s="23" t="str">
        <f>Tabela2[[#This Row],[ilustrador]]</f>
        <v>RAFAEL L. GAION/ARQUIVO DA EDITORA</v>
      </c>
      <c r="AA448" s="22"/>
      <c r="AB448" s="20"/>
      <c r="AC448" s="20"/>
      <c r="AD448" s="4" t="str">
        <f>"Pitanguá"</f>
        <v>Pitanguá</v>
      </c>
      <c r="AE448" s="14" t="str">
        <f>"Matemática"</f>
        <v>Matemática</v>
      </c>
    </row>
    <row r="449" spans="1:31" s="14" customFormat="1" ht="28.8" x14ac:dyDescent="0.3">
      <c r="A449" s="23" t="s">
        <v>973</v>
      </c>
      <c r="B449" s="20" t="s">
        <v>16</v>
      </c>
      <c r="C449" s="20" t="s">
        <v>7</v>
      </c>
      <c r="D449" s="20" t="s">
        <v>8</v>
      </c>
      <c r="E449" s="22">
        <v>46</v>
      </c>
      <c r="F449" s="22">
        <v>4</v>
      </c>
      <c r="G449" s="22">
        <v>2</v>
      </c>
      <c r="H449" s="22"/>
      <c r="I449" s="23" t="s">
        <v>9</v>
      </c>
      <c r="J449" s="23"/>
      <c r="K449" s="22"/>
      <c r="L449" s="22"/>
      <c r="M449" s="23"/>
      <c r="N449" s="23"/>
      <c r="O449" s="26" t="s">
        <v>974</v>
      </c>
      <c r="P449" s="26"/>
      <c r="Q449" s="22"/>
      <c r="R449" s="24"/>
      <c r="S449" s="24"/>
      <c r="T449" s="24"/>
      <c r="U449" s="24"/>
      <c r="V449" s="24"/>
      <c r="W449" s="22" t="s">
        <v>940</v>
      </c>
      <c r="X449" s="4" t="str">
        <f>IF(Tabela2[[#This Row],[sigla]]="","",VLOOKUP(Tabela2[[#This Row],[sigla]],créditos_base!B:C,2,0))</f>
        <v>RONALDO LUCENA/ARQUIVO DA EDITORA</v>
      </c>
      <c r="Y449" s="23"/>
      <c r="Z449" s="23" t="str">
        <f>Tabela2[[#This Row],[ilustrador]]</f>
        <v>RONALDO LUCENA/ARQUIVO DA EDITORA</v>
      </c>
      <c r="AA449" s="22"/>
      <c r="AB449" s="20"/>
      <c r="AC449" s="20"/>
      <c r="AD449" s="4" t="str">
        <f>"Pitanguá"</f>
        <v>Pitanguá</v>
      </c>
      <c r="AE449" s="14" t="str">
        <f>"Matemática"</f>
        <v>Matemática</v>
      </c>
    </row>
    <row r="450" spans="1:31" s="14" customFormat="1" ht="57.6" x14ac:dyDescent="0.3">
      <c r="A450" s="43" t="s">
        <v>5516</v>
      </c>
      <c r="B450" s="20" t="s">
        <v>16</v>
      </c>
      <c r="C450" s="20" t="s">
        <v>89</v>
      </c>
      <c r="D450" s="20" t="s">
        <v>8</v>
      </c>
      <c r="E450" s="22">
        <v>40</v>
      </c>
      <c r="F450" s="22">
        <v>5</v>
      </c>
      <c r="G450" s="22">
        <v>2</v>
      </c>
      <c r="H450" s="22"/>
      <c r="I450" s="23" t="s">
        <v>9</v>
      </c>
      <c r="J450" s="23"/>
      <c r="K450" s="22"/>
      <c r="L450" s="22"/>
      <c r="M450" s="23"/>
      <c r="N450" s="23"/>
      <c r="O450" s="26" t="s">
        <v>5517</v>
      </c>
      <c r="P450" s="26"/>
      <c r="Q450" s="22"/>
      <c r="R450" s="24"/>
      <c r="S450" s="24"/>
      <c r="T450" s="24"/>
      <c r="U450" s="24"/>
      <c r="V450" s="24"/>
      <c r="W450" s="22" t="s">
        <v>940</v>
      </c>
      <c r="X450" s="4" t="str">
        <f>IF(Tabela2[[#This Row],[sigla]]="","",VLOOKUP(Tabela2[[#This Row],[sigla]],créditos_base!B:C,2,0))</f>
        <v>RONALDO LUCENA/ARQUIVO DA EDITORA</v>
      </c>
      <c r="Y450" s="23"/>
      <c r="Z450" s="23" t="str">
        <f>Tabela2[[#This Row],[ilustrador]]</f>
        <v>RONALDO LUCENA/ARQUIVO DA EDITORA</v>
      </c>
      <c r="AA450" s="22"/>
      <c r="AB450" s="20"/>
      <c r="AC450" s="20"/>
      <c r="AD450" s="4" t="str">
        <f>"Pitanguá"</f>
        <v>Pitanguá</v>
      </c>
      <c r="AE450" s="14" t="str">
        <f>"Matemática"</f>
        <v>Matemática</v>
      </c>
    </row>
    <row r="451" spans="1:31" s="14" customFormat="1" x14ac:dyDescent="0.3">
      <c r="A451" s="23" t="s">
        <v>1940</v>
      </c>
      <c r="B451" s="20" t="s">
        <v>16</v>
      </c>
      <c r="C451" s="20" t="s">
        <v>89</v>
      </c>
      <c r="D451" s="20" t="s">
        <v>8</v>
      </c>
      <c r="E451" s="22">
        <v>47</v>
      </c>
      <c r="F451" s="22">
        <v>3</v>
      </c>
      <c r="G451" s="22">
        <v>2</v>
      </c>
      <c r="H451" s="22"/>
      <c r="I451" s="23" t="s">
        <v>9</v>
      </c>
      <c r="J451" s="23"/>
      <c r="K451" s="22"/>
      <c r="L451" s="22"/>
      <c r="M451" s="23"/>
      <c r="N451" s="23"/>
      <c r="O451" s="26" t="s">
        <v>1941</v>
      </c>
      <c r="P451" s="26"/>
      <c r="Q451" s="22"/>
      <c r="R451" s="24"/>
      <c r="S451" s="24"/>
      <c r="T451" s="24"/>
      <c r="U451" s="24"/>
      <c r="V451" s="24"/>
      <c r="W451" s="22" t="s">
        <v>230</v>
      </c>
      <c r="X451" s="4" t="str">
        <f>IF(Tabela2[[#This Row],[sigla]]="","",VLOOKUP(Tabela2[[#This Row],[sigla]],créditos_base!B:C,2,0))</f>
        <v>RAFAEL L. GAION/ARQUIVO DA EDITORA</v>
      </c>
      <c r="Y451" s="23"/>
      <c r="Z451" s="23" t="str">
        <f>Tabela2[[#This Row],[ilustrador]]</f>
        <v>RAFAEL L. GAION/ARQUIVO DA EDITORA</v>
      </c>
      <c r="AA451" s="22"/>
      <c r="AB451" s="20"/>
      <c r="AC451" s="20"/>
      <c r="AD451" s="4" t="str">
        <f>"Pitanguá"</f>
        <v>Pitanguá</v>
      </c>
      <c r="AE451" s="14" t="str">
        <f>"Matemática"</f>
        <v>Matemática</v>
      </c>
    </row>
    <row r="452" spans="1:31" s="14" customFormat="1" x14ac:dyDescent="0.3">
      <c r="A452" s="23" t="s">
        <v>975</v>
      </c>
      <c r="B452" s="20" t="s">
        <v>16</v>
      </c>
      <c r="C452" s="20" t="s">
        <v>7</v>
      </c>
      <c r="D452" s="20" t="s">
        <v>8</v>
      </c>
      <c r="E452" s="22">
        <v>46</v>
      </c>
      <c r="F452" s="22">
        <v>4</v>
      </c>
      <c r="G452" s="22">
        <v>2</v>
      </c>
      <c r="H452" s="22"/>
      <c r="I452" s="23" t="s">
        <v>9</v>
      </c>
      <c r="J452" s="23"/>
      <c r="K452" s="22"/>
      <c r="L452" s="22"/>
      <c r="M452" s="23"/>
      <c r="N452" s="23"/>
      <c r="O452" s="26" t="s">
        <v>976</v>
      </c>
      <c r="P452" s="26"/>
      <c r="Q452" s="22"/>
      <c r="R452" s="24"/>
      <c r="S452" s="24"/>
      <c r="T452" s="24"/>
      <c r="U452" s="24"/>
      <c r="V452" s="24"/>
      <c r="W452" s="22" t="s">
        <v>940</v>
      </c>
      <c r="X452" s="4" t="str">
        <f>IF(Tabela2[[#This Row],[sigla]]="","",VLOOKUP(Tabela2[[#This Row],[sigla]],créditos_base!B:C,2,0))</f>
        <v>RONALDO LUCENA/ARQUIVO DA EDITORA</v>
      </c>
      <c r="Y452" s="23"/>
      <c r="Z452" s="23" t="str">
        <f>Tabela2[[#This Row],[ilustrador]]</f>
        <v>RONALDO LUCENA/ARQUIVO DA EDITORA</v>
      </c>
      <c r="AA452" s="22"/>
      <c r="AB452" s="20"/>
      <c r="AC452" s="20"/>
      <c r="AD452" s="4" t="str">
        <f>"Pitanguá"</f>
        <v>Pitanguá</v>
      </c>
      <c r="AE452" s="14" t="str">
        <f>"Matemática"</f>
        <v>Matemática</v>
      </c>
    </row>
    <row r="453" spans="1:31" s="14" customFormat="1" ht="28.8" x14ac:dyDescent="0.3">
      <c r="A453" s="43" t="s">
        <v>5518</v>
      </c>
      <c r="B453" s="20" t="s">
        <v>16</v>
      </c>
      <c r="C453" s="20" t="s">
        <v>89</v>
      </c>
      <c r="D453" s="20" t="s">
        <v>8</v>
      </c>
      <c r="E453" s="22">
        <v>40</v>
      </c>
      <c r="F453" s="22">
        <v>5</v>
      </c>
      <c r="G453" s="22">
        <v>2</v>
      </c>
      <c r="H453" s="22"/>
      <c r="I453" s="23" t="s">
        <v>9</v>
      </c>
      <c r="J453" s="23"/>
      <c r="K453" s="22"/>
      <c r="L453" s="22"/>
      <c r="M453" s="23"/>
      <c r="N453" s="23"/>
      <c r="O453" s="26" t="s">
        <v>5519</v>
      </c>
      <c r="P453" s="26"/>
      <c r="Q453" s="22"/>
      <c r="R453" s="24"/>
      <c r="S453" s="24"/>
      <c r="T453" s="24"/>
      <c r="U453" s="24"/>
      <c r="V453" s="24"/>
      <c r="W453" s="22" t="s">
        <v>940</v>
      </c>
      <c r="X453" s="4" t="str">
        <f>IF(Tabela2[[#This Row],[sigla]]="","",VLOOKUP(Tabela2[[#This Row],[sigla]],créditos_base!B:C,2,0))</f>
        <v>RONALDO LUCENA/ARQUIVO DA EDITORA</v>
      </c>
      <c r="Y453" s="23"/>
      <c r="Z453" s="23" t="str">
        <f>Tabela2[[#This Row],[ilustrador]]</f>
        <v>RONALDO LUCENA/ARQUIVO DA EDITORA</v>
      </c>
      <c r="AA453" s="22"/>
      <c r="AB453" s="20"/>
      <c r="AC453" s="20"/>
      <c r="AD453" s="4" t="str">
        <f>"Pitanguá"</f>
        <v>Pitanguá</v>
      </c>
      <c r="AE453" s="14" t="str">
        <f>"Matemática"</f>
        <v>Matemática</v>
      </c>
    </row>
    <row r="454" spans="1:31" s="14" customFormat="1" ht="28.8" x14ac:dyDescent="0.3">
      <c r="A454" s="23" t="s">
        <v>848</v>
      </c>
      <c r="B454" s="20" t="s">
        <v>16</v>
      </c>
      <c r="C454" s="20" t="s">
        <v>7</v>
      </c>
      <c r="D454" s="20" t="s">
        <v>8</v>
      </c>
      <c r="E454" s="22">
        <v>56</v>
      </c>
      <c r="F454" s="22">
        <v>1</v>
      </c>
      <c r="G454" s="22">
        <v>2</v>
      </c>
      <c r="H454" s="22"/>
      <c r="I454" s="23" t="s">
        <v>9</v>
      </c>
      <c r="J454" s="23"/>
      <c r="K454" s="22"/>
      <c r="L454" s="22"/>
      <c r="M454" s="23"/>
      <c r="N454" s="23"/>
      <c r="O454" s="26" t="s">
        <v>849</v>
      </c>
      <c r="P454" s="26"/>
      <c r="Q454" s="22"/>
      <c r="R454" s="24"/>
      <c r="S454" s="24"/>
      <c r="T454" s="24"/>
      <c r="U454" s="24"/>
      <c r="V454" s="24"/>
      <c r="W454" s="22" t="s">
        <v>31</v>
      </c>
      <c r="X454" s="4" t="str">
        <f>IF(Tabela2[[#This Row],[sigla]]="","",VLOOKUP(Tabela2[[#This Row],[sigla]],créditos_base!B:C,2,0))</f>
        <v>SILVIA OTOFUJI/ARQUIVO DA EDITORA</v>
      </c>
      <c r="Y454" s="23"/>
      <c r="Z454" s="23" t="str">
        <f>Tabela2[[#This Row],[ilustrador]]</f>
        <v>SILVIA OTOFUJI/ARQUIVO DA EDITORA</v>
      </c>
      <c r="AA454" s="22"/>
      <c r="AB454" s="20"/>
      <c r="AC454" s="20"/>
      <c r="AD454" s="4" t="str">
        <f>"Pitanguá"</f>
        <v>Pitanguá</v>
      </c>
      <c r="AE454" s="14" t="str">
        <f>"Matemática"</f>
        <v>Matemática</v>
      </c>
    </row>
    <row r="455" spans="1:31" s="14" customFormat="1" x14ac:dyDescent="0.3">
      <c r="A455" s="23" t="s">
        <v>1942</v>
      </c>
      <c r="B455" s="20" t="s">
        <v>16</v>
      </c>
      <c r="C455" s="20" t="s">
        <v>89</v>
      </c>
      <c r="D455" s="20" t="s">
        <v>8</v>
      </c>
      <c r="E455" s="22">
        <v>47</v>
      </c>
      <c r="F455" s="22">
        <v>3</v>
      </c>
      <c r="G455" s="22">
        <v>2</v>
      </c>
      <c r="H455" s="22"/>
      <c r="I455" s="23" t="s">
        <v>9</v>
      </c>
      <c r="J455" s="23"/>
      <c r="K455" s="22"/>
      <c r="L455" s="22"/>
      <c r="M455" s="23"/>
      <c r="N455" s="23"/>
      <c r="O455" s="26" t="s">
        <v>1943</v>
      </c>
      <c r="P455" s="26"/>
      <c r="Q455" s="22"/>
      <c r="R455" s="24"/>
      <c r="S455" s="24"/>
      <c r="T455" s="24"/>
      <c r="U455" s="24"/>
      <c r="V455" s="24"/>
      <c r="W455" s="22" t="s">
        <v>230</v>
      </c>
      <c r="X455" s="4" t="str">
        <f>IF(Tabela2[[#This Row],[sigla]]="","",VLOOKUP(Tabela2[[#This Row],[sigla]],créditos_base!B:C,2,0))</f>
        <v>RAFAEL L. GAION/ARQUIVO DA EDITORA</v>
      </c>
      <c r="Y455" s="23"/>
      <c r="Z455" s="23" t="str">
        <f>Tabela2[[#This Row],[ilustrador]]</f>
        <v>RAFAEL L. GAION/ARQUIVO DA EDITORA</v>
      </c>
      <c r="AA455" s="22"/>
      <c r="AB455" s="20"/>
      <c r="AC455" s="20"/>
      <c r="AD455" s="4" t="str">
        <f>"Pitanguá"</f>
        <v>Pitanguá</v>
      </c>
      <c r="AE455" s="14" t="str">
        <f>"Matemática"</f>
        <v>Matemática</v>
      </c>
    </row>
    <row r="456" spans="1:31" s="14" customFormat="1" ht="28.8" x14ac:dyDescent="0.3">
      <c r="A456" s="23" t="s">
        <v>977</v>
      </c>
      <c r="B456" s="20" t="s">
        <v>16</v>
      </c>
      <c r="C456" s="20" t="s">
        <v>7</v>
      </c>
      <c r="D456" s="20" t="s">
        <v>8</v>
      </c>
      <c r="E456" s="22">
        <v>46</v>
      </c>
      <c r="F456" s="22">
        <v>4</v>
      </c>
      <c r="G456" s="22">
        <v>2</v>
      </c>
      <c r="H456" s="22"/>
      <c r="I456" s="23" t="s">
        <v>9</v>
      </c>
      <c r="J456" s="23"/>
      <c r="K456" s="22"/>
      <c r="L456" s="22"/>
      <c r="M456" s="23"/>
      <c r="N456" s="23"/>
      <c r="O456" s="26" t="s">
        <v>978</v>
      </c>
      <c r="P456" s="26"/>
      <c r="Q456" s="22"/>
      <c r="R456" s="24"/>
      <c r="S456" s="24"/>
      <c r="T456" s="24"/>
      <c r="U456" s="24"/>
      <c r="V456" s="24"/>
      <c r="W456" s="22" t="s">
        <v>940</v>
      </c>
      <c r="X456" s="4" t="str">
        <f>IF(Tabela2[[#This Row],[sigla]]="","",VLOOKUP(Tabela2[[#This Row],[sigla]],créditos_base!B:C,2,0))</f>
        <v>RONALDO LUCENA/ARQUIVO DA EDITORA</v>
      </c>
      <c r="Y456" s="23"/>
      <c r="Z456" s="23" t="str">
        <f>Tabela2[[#This Row],[ilustrador]]</f>
        <v>RONALDO LUCENA/ARQUIVO DA EDITORA</v>
      </c>
      <c r="AA456" s="22"/>
      <c r="AB456" s="20"/>
      <c r="AC456" s="20"/>
      <c r="AD456" s="4" t="str">
        <f>"Pitanguá"</f>
        <v>Pitanguá</v>
      </c>
      <c r="AE456" s="14" t="str">
        <f>"Matemática"</f>
        <v>Matemática</v>
      </c>
    </row>
    <row r="457" spans="1:31" s="14" customFormat="1" ht="28.8" x14ac:dyDescent="0.3">
      <c r="A457" s="43" t="s">
        <v>5520</v>
      </c>
      <c r="B457" s="20" t="s">
        <v>16</v>
      </c>
      <c r="C457" s="20" t="s">
        <v>89</v>
      </c>
      <c r="D457" s="20" t="s">
        <v>8</v>
      </c>
      <c r="E457" s="22">
        <v>40</v>
      </c>
      <c r="F457" s="22">
        <v>5</v>
      </c>
      <c r="G457" s="22">
        <v>2</v>
      </c>
      <c r="H457" s="22"/>
      <c r="I457" s="23" t="s">
        <v>9</v>
      </c>
      <c r="J457" s="23"/>
      <c r="K457" s="22"/>
      <c r="L457" s="22"/>
      <c r="M457" s="23"/>
      <c r="N457" s="23"/>
      <c r="O457" s="26" t="s">
        <v>5521</v>
      </c>
      <c r="P457" s="26"/>
      <c r="Q457" s="22"/>
      <c r="R457" s="24"/>
      <c r="S457" s="24"/>
      <c r="T457" s="24"/>
      <c r="U457" s="24"/>
      <c r="V457" s="24"/>
      <c r="W457" s="22" t="s">
        <v>940</v>
      </c>
      <c r="X457" s="4" t="str">
        <f>IF(Tabela2[[#This Row],[sigla]]="","",VLOOKUP(Tabela2[[#This Row],[sigla]],créditos_base!B:C,2,0))</f>
        <v>RONALDO LUCENA/ARQUIVO DA EDITORA</v>
      </c>
      <c r="Y457" s="23"/>
      <c r="Z457" s="23" t="str">
        <f>Tabela2[[#This Row],[ilustrador]]</f>
        <v>RONALDO LUCENA/ARQUIVO DA EDITORA</v>
      </c>
      <c r="AA457" s="22"/>
      <c r="AB457" s="20"/>
      <c r="AC457" s="20"/>
      <c r="AD457" s="4" t="str">
        <f>"Pitanguá"</f>
        <v>Pitanguá</v>
      </c>
      <c r="AE457" s="14" t="str">
        <f>"Matemática"</f>
        <v>Matemática</v>
      </c>
    </row>
    <row r="458" spans="1:31" s="14" customFormat="1" x14ac:dyDescent="0.3">
      <c r="A458" s="23" t="s">
        <v>979</v>
      </c>
      <c r="B458" s="20" t="s">
        <v>16</v>
      </c>
      <c r="C458" s="20" t="s">
        <v>7</v>
      </c>
      <c r="D458" s="20" t="s">
        <v>8</v>
      </c>
      <c r="E458" s="22">
        <v>46</v>
      </c>
      <c r="F458" s="22">
        <v>4</v>
      </c>
      <c r="G458" s="22">
        <v>2</v>
      </c>
      <c r="H458" s="22"/>
      <c r="I458" s="23" t="s">
        <v>9</v>
      </c>
      <c r="J458" s="23"/>
      <c r="K458" s="22"/>
      <c r="L458" s="22"/>
      <c r="M458" s="23"/>
      <c r="N458" s="23"/>
      <c r="O458" s="26" t="s">
        <v>980</v>
      </c>
      <c r="P458" s="26"/>
      <c r="Q458" s="22"/>
      <c r="R458" s="24"/>
      <c r="S458" s="24"/>
      <c r="T458" s="24"/>
      <c r="U458" s="24"/>
      <c r="V458" s="24"/>
      <c r="W458" s="22" t="s">
        <v>940</v>
      </c>
      <c r="X458" s="4" t="str">
        <f>IF(Tabela2[[#This Row],[sigla]]="","",VLOOKUP(Tabela2[[#This Row],[sigla]],créditos_base!B:C,2,0))</f>
        <v>RONALDO LUCENA/ARQUIVO DA EDITORA</v>
      </c>
      <c r="Y458" s="23"/>
      <c r="Z458" s="23" t="str">
        <f>Tabela2[[#This Row],[ilustrador]]</f>
        <v>RONALDO LUCENA/ARQUIVO DA EDITORA</v>
      </c>
      <c r="AA458" s="22"/>
      <c r="AB458" s="20"/>
      <c r="AC458" s="20"/>
      <c r="AD458" s="4" t="str">
        <f>"Pitanguá"</f>
        <v>Pitanguá</v>
      </c>
      <c r="AE458" s="14" t="str">
        <f>"Matemática"</f>
        <v>Matemática</v>
      </c>
    </row>
    <row r="459" spans="1:31" s="14" customFormat="1" x14ac:dyDescent="0.3">
      <c r="A459" s="43" t="s">
        <v>5522</v>
      </c>
      <c r="B459" s="20" t="s">
        <v>16</v>
      </c>
      <c r="C459" s="20" t="s">
        <v>89</v>
      </c>
      <c r="D459" s="20" t="s">
        <v>8</v>
      </c>
      <c r="E459" s="22">
        <v>40</v>
      </c>
      <c r="F459" s="22">
        <v>5</v>
      </c>
      <c r="G459" s="22">
        <v>2</v>
      </c>
      <c r="H459" s="22"/>
      <c r="I459" s="23" t="s">
        <v>9</v>
      </c>
      <c r="J459" s="23"/>
      <c r="K459" s="22"/>
      <c r="L459" s="22"/>
      <c r="M459" s="23"/>
      <c r="N459" s="23"/>
      <c r="O459" s="26" t="s">
        <v>5523</v>
      </c>
      <c r="P459" s="26"/>
      <c r="Q459" s="22"/>
      <c r="R459" s="24"/>
      <c r="S459" s="24"/>
      <c r="T459" s="24"/>
      <c r="U459" s="24"/>
      <c r="V459" s="24"/>
      <c r="W459" s="22" t="s">
        <v>940</v>
      </c>
      <c r="X459" s="4" t="str">
        <f>IF(Tabela2[[#This Row],[sigla]]="","",VLOOKUP(Tabela2[[#This Row],[sigla]],créditos_base!B:C,2,0))</f>
        <v>RONALDO LUCENA/ARQUIVO DA EDITORA</v>
      </c>
      <c r="Y459" s="23"/>
      <c r="Z459" s="23" t="str">
        <f>Tabela2[[#This Row],[ilustrador]]</f>
        <v>RONALDO LUCENA/ARQUIVO DA EDITORA</v>
      </c>
      <c r="AA459" s="22"/>
      <c r="AB459" s="20"/>
      <c r="AC459" s="20"/>
      <c r="AD459" s="4" t="str">
        <f>"Pitanguá"</f>
        <v>Pitanguá</v>
      </c>
      <c r="AE459" s="14" t="str">
        <f>"Matemática"</f>
        <v>Matemática</v>
      </c>
    </row>
    <row r="460" spans="1:31" s="14" customFormat="1" ht="28.8" x14ac:dyDescent="0.3">
      <c r="A460" s="23" t="s">
        <v>981</v>
      </c>
      <c r="B460" s="20" t="s">
        <v>16</v>
      </c>
      <c r="C460" s="20" t="s">
        <v>7</v>
      </c>
      <c r="D460" s="20" t="s">
        <v>8</v>
      </c>
      <c r="E460" s="22">
        <v>46</v>
      </c>
      <c r="F460" s="22">
        <v>4</v>
      </c>
      <c r="G460" s="22">
        <v>2</v>
      </c>
      <c r="H460" s="22"/>
      <c r="I460" s="23" t="s">
        <v>9</v>
      </c>
      <c r="J460" s="23"/>
      <c r="K460" s="22"/>
      <c r="L460" s="22"/>
      <c r="M460" s="23"/>
      <c r="N460" s="23"/>
      <c r="O460" s="26" t="s">
        <v>982</v>
      </c>
      <c r="P460" s="26"/>
      <c r="Q460" s="22"/>
      <c r="R460" s="24"/>
      <c r="S460" s="24"/>
      <c r="T460" s="24"/>
      <c r="U460" s="24"/>
      <c r="V460" s="24"/>
      <c r="W460" s="22" t="s">
        <v>940</v>
      </c>
      <c r="X460" s="4" t="str">
        <f>IF(Tabela2[[#This Row],[sigla]]="","",VLOOKUP(Tabela2[[#This Row],[sigla]],créditos_base!B:C,2,0))</f>
        <v>RONALDO LUCENA/ARQUIVO DA EDITORA</v>
      </c>
      <c r="Y460" s="23"/>
      <c r="Z460" s="23" t="str">
        <f>Tabela2[[#This Row],[ilustrador]]</f>
        <v>RONALDO LUCENA/ARQUIVO DA EDITORA</v>
      </c>
      <c r="AA460" s="22"/>
      <c r="AB460" s="20"/>
      <c r="AC460" s="20"/>
      <c r="AD460" s="4" t="str">
        <f>"Pitanguá"</f>
        <v>Pitanguá</v>
      </c>
      <c r="AE460" s="14" t="str">
        <f>"Matemática"</f>
        <v>Matemática</v>
      </c>
    </row>
    <row r="461" spans="1:31" s="14" customFormat="1" x14ac:dyDescent="0.3">
      <c r="A461" s="43" t="s">
        <v>5524</v>
      </c>
      <c r="B461" s="20" t="s">
        <v>16</v>
      </c>
      <c r="C461" s="20" t="s">
        <v>89</v>
      </c>
      <c r="D461" s="20" t="s">
        <v>8</v>
      </c>
      <c r="E461" s="22">
        <v>40</v>
      </c>
      <c r="F461" s="22">
        <v>5</v>
      </c>
      <c r="G461" s="22">
        <v>2</v>
      </c>
      <c r="H461" s="22"/>
      <c r="I461" s="23" t="s">
        <v>9</v>
      </c>
      <c r="J461" s="23"/>
      <c r="K461" s="22"/>
      <c r="L461" s="22"/>
      <c r="M461" s="23"/>
      <c r="N461" s="23"/>
      <c r="O461" s="26" t="s">
        <v>5525</v>
      </c>
      <c r="P461" s="26"/>
      <c r="Q461" s="22"/>
      <c r="R461" s="24"/>
      <c r="S461" s="24"/>
      <c r="T461" s="24"/>
      <c r="U461" s="24"/>
      <c r="V461" s="24"/>
      <c r="W461" s="22" t="s">
        <v>940</v>
      </c>
      <c r="X461" s="4" t="str">
        <f>IF(Tabela2[[#This Row],[sigla]]="","",VLOOKUP(Tabela2[[#This Row],[sigla]],créditos_base!B:C,2,0))</f>
        <v>RONALDO LUCENA/ARQUIVO DA EDITORA</v>
      </c>
      <c r="Y461" s="23"/>
      <c r="Z461" s="23" t="str">
        <f>Tabela2[[#This Row],[ilustrador]]</f>
        <v>RONALDO LUCENA/ARQUIVO DA EDITORA</v>
      </c>
      <c r="AA461" s="22"/>
      <c r="AB461" s="20"/>
      <c r="AC461" s="20"/>
      <c r="AD461" s="4" t="str">
        <f>"Pitanguá"</f>
        <v>Pitanguá</v>
      </c>
      <c r="AE461" s="14" t="str">
        <f>"Matemática"</f>
        <v>Matemática</v>
      </c>
    </row>
    <row r="462" spans="1:31" s="14" customFormat="1" x14ac:dyDescent="0.3">
      <c r="A462" s="23" t="s">
        <v>850</v>
      </c>
      <c r="B462" s="20" t="s">
        <v>16</v>
      </c>
      <c r="C462" s="20" t="s">
        <v>7</v>
      </c>
      <c r="D462" s="20" t="s">
        <v>8</v>
      </c>
      <c r="E462" s="22">
        <v>57</v>
      </c>
      <c r="F462" s="22">
        <v>1</v>
      </c>
      <c r="G462" s="22">
        <v>2</v>
      </c>
      <c r="H462" s="22"/>
      <c r="I462" s="23" t="s">
        <v>9</v>
      </c>
      <c r="J462" s="23"/>
      <c r="K462" s="22"/>
      <c r="L462" s="22"/>
      <c r="M462" s="23"/>
      <c r="N462" s="23"/>
      <c r="O462" s="26" t="s">
        <v>851</v>
      </c>
      <c r="P462" s="26"/>
      <c r="Q462" s="22"/>
      <c r="R462" s="24"/>
      <c r="S462" s="24"/>
      <c r="T462" s="24"/>
      <c r="U462" s="24"/>
      <c r="V462" s="24"/>
      <c r="W462" s="22" t="s">
        <v>72</v>
      </c>
      <c r="X462" s="4" t="str">
        <f>IF(Tabela2[[#This Row],[sigla]]="","",VLOOKUP(Tabela2[[#This Row],[sigla]],créditos_base!B:C,2,0))</f>
        <v>HELOÍSA PINTARELLI/ARQUIVO DA EDITORA</v>
      </c>
      <c r="Y462" s="23"/>
      <c r="Z462" s="23" t="str">
        <f>Tabela2[[#This Row],[ilustrador]]</f>
        <v>HELOÍSA PINTARELLI/ARQUIVO DA EDITORA</v>
      </c>
      <c r="AA462" s="22"/>
      <c r="AB462" s="20"/>
      <c r="AC462" s="20"/>
      <c r="AD462" s="4" t="str">
        <f>"Pitanguá"</f>
        <v>Pitanguá</v>
      </c>
      <c r="AE462" s="14" t="str">
        <f>"Matemática"</f>
        <v>Matemática</v>
      </c>
    </row>
    <row r="463" spans="1:31" s="14" customFormat="1" x14ac:dyDescent="0.3">
      <c r="A463" s="23" t="s">
        <v>983</v>
      </c>
      <c r="B463" s="20" t="s">
        <v>16</v>
      </c>
      <c r="C463" s="20" t="s">
        <v>7</v>
      </c>
      <c r="D463" s="20" t="s">
        <v>8</v>
      </c>
      <c r="E463" s="22">
        <v>47</v>
      </c>
      <c r="F463" s="22">
        <v>4</v>
      </c>
      <c r="G463" s="22">
        <v>2</v>
      </c>
      <c r="H463" s="22"/>
      <c r="I463" s="23" t="s">
        <v>9</v>
      </c>
      <c r="J463" s="23"/>
      <c r="K463" s="22"/>
      <c r="L463" s="22"/>
      <c r="M463" s="23"/>
      <c r="N463" s="23"/>
      <c r="O463" s="26" t="s">
        <v>984</v>
      </c>
      <c r="P463" s="26"/>
      <c r="Q463" s="22"/>
      <c r="R463" s="24"/>
      <c r="S463" s="24"/>
      <c r="T463" s="24"/>
      <c r="U463" s="24"/>
      <c r="V463" s="24"/>
      <c r="W463" s="22" t="s">
        <v>940</v>
      </c>
      <c r="X463" s="4" t="str">
        <f>IF(Tabela2[[#This Row],[sigla]]="","",VLOOKUP(Tabela2[[#This Row],[sigla]],créditos_base!B:C,2,0))</f>
        <v>RONALDO LUCENA/ARQUIVO DA EDITORA</v>
      </c>
      <c r="Y463" s="23"/>
      <c r="Z463" s="23" t="str">
        <f>Tabela2[[#This Row],[ilustrador]]</f>
        <v>RONALDO LUCENA/ARQUIVO DA EDITORA</v>
      </c>
      <c r="AA463" s="22"/>
      <c r="AB463" s="20"/>
      <c r="AC463" s="20"/>
      <c r="AD463" s="4" t="str">
        <f>"Pitanguá"</f>
        <v>Pitanguá</v>
      </c>
      <c r="AE463" s="14" t="str">
        <f>"Matemática"</f>
        <v>Matemática</v>
      </c>
    </row>
    <row r="464" spans="1:31" s="14" customFormat="1" x14ac:dyDescent="0.3">
      <c r="A464" s="43" t="s">
        <v>5526</v>
      </c>
      <c r="B464" s="20" t="s">
        <v>16</v>
      </c>
      <c r="C464" s="20" t="s">
        <v>89</v>
      </c>
      <c r="D464" s="20" t="s">
        <v>8</v>
      </c>
      <c r="E464" s="22">
        <v>40</v>
      </c>
      <c r="F464" s="22">
        <v>5</v>
      </c>
      <c r="G464" s="22">
        <v>2</v>
      </c>
      <c r="H464" s="22"/>
      <c r="I464" s="23" t="s">
        <v>9</v>
      </c>
      <c r="J464" s="23"/>
      <c r="K464" s="22"/>
      <c r="L464" s="22"/>
      <c r="M464" s="23"/>
      <c r="N464" s="23"/>
      <c r="O464" s="26" t="s">
        <v>5527</v>
      </c>
      <c r="P464" s="26"/>
      <c r="Q464" s="22"/>
      <c r="R464" s="24"/>
      <c r="S464" s="24"/>
      <c r="T464" s="24"/>
      <c r="U464" s="24"/>
      <c r="V464" s="24"/>
      <c r="W464" s="22" t="s">
        <v>940</v>
      </c>
      <c r="X464" s="4" t="str">
        <f>IF(Tabela2[[#This Row],[sigla]]="","",VLOOKUP(Tabela2[[#This Row],[sigla]],créditos_base!B:C,2,0))</f>
        <v>RONALDO LUCENA/ARQUIVO DA EDITORA</v>
      </c>
      <c r="Y464" s="23"/>
      <c r="Z464" s="23" t="str">
        <f>Tabela2[[#This Row],[ilustrador]]</f>
        <v>RONALDO LUCENA/ARQUIVO DA EDITORA</v>
      </c>
      <c r="AA464" s="22"/>
      <c r="AB464" s="20"/>
      <c r="AC464" s="20"/>
      <c r="AD464" s="4" t="str">
        <f>"Pitanguá"</f>
        <v>Pitanguá</v>
      </c>
      <c r="AE464" s="14" t="str">
        <f>"Matemática"</f>
        <v>Matemática</v>
      </c>
    </row>
    <row r="465" spans="1:31" s="14" customFormat="1" x14ac:dyDescent="0.3">
      <c r="A465" s="23" t="s">
        <v>985</v>
      </c>
      <c r="B465" s="20" t="s">
        <v>16</v>
      </c>
      <c r="C465" s="20" t="s">
        <v>89</v>
      </c>
      <c r="D465" s="20" t="s">
        <v>8</v>
      </c>
      <c r="E465" s="22">
        <v>47</v>
      </c>
      <c r="F465" s="22">
        <v>4</v>
      </c>
      <c r="G465" s="22">
        <v>2</v>
      </c>
      <c r="H465" s="22"/>
      <c r="I465" s="23" t="s">
        <v>33</v>
      </c>
      <c r="J465" s="23"/>
      <c r="K465" s="22"/>
      <c r="L465" s="22"/>
      <c r="M465" s="23"/>
      <c r="N465" s="23"/>
      <c r="O465" s="26" t="s">
        <v>986</v>
      </c>
      <c r="P465" s="26"/>
      <c r="Q465" s="22">
        <v>9</v>
      </c>
      <c r="R465" s="24">
        <v>45733</v>
      </c>
      <c r="S465" s="24">
        <v>45733</v>
      </c>
      <c r="T465" s="24"/>
      <c r="U465" s="24"/>
      <c r="V465" s="24">
        <v>45734</v>
      </c>
      <c r="W465" s="22" t="s">
        <v>160</v>
      </c>
      <c r="X465" s="4" t="str">
        <f>IF(Tabela2[[#This Row],[sigla]]="","",VLOOKUP(Tabela2[[#This Row],[sigla]],créditos_base!B:C,2,0))</f>
        <v>SERGIO LIMA/ARQUIVO DA EDITORA</v>
      </c>
      <c r="Y465" s="23" t="s">
        <v>188</v>
      </c>
      <c r="Z465" s="23" t="str">
        <f>Tabela2[[#This Row],[ilustrador]]</f>
        <v>SERGIO LIMA/ARQUIVO DA EDITORA</v>
      </c>
      <c r="AA465" s="22">
        <v>13</v>
      </c>
      <c r="AB465" s="20" t="s">
        <v>153</v>
      </c>
      <c r="AC465" s="20" t="s">
        <v>36</v>
      </c>
      <c r="AD465" s="4" t="str">
        <f>"Pitanguá"</f>
        <v>Pitanguá</v>
      </c>
      <c r="AE465" s="14" t="str">
        <f>"Matemática"</f>
        <v>Matemática</v>
      </c>
    </row>
    <row r="466" spans="1:31" s="14" customFormat="1" x14ac:dyDescent="0.3">
      <c r="A466" s="23" t="s">
        <v>5528</v>
      </c>
      <c r="B466" s="20" t="s">
        <v>16</v>
      </c>
      <c r="C466" s="20" t="s">
        <v>89</v>
      </c>
      <c r="D466" s="20" t="s">
        <v>8</v>
      </c>
      <c r="E466" s="22">
        <v>41</v>
      </c>
      <c r="F466" s="22">
        <v>5</v>
      </c>
      <c r="G466" s="22">
        <v>2</v>
      </c>
      <c r="H466" s="22"/>
      <c r="I466" s="23" t="s">
        <v>9</v>
      </c>
      <c r="J466" s="23"/>
      <c r="K466" s="22"/>
      <c r="L466" s="22"/>
      <c r="M466" s="23"/>
      <c r="N466" s="23"/>
      <c r="O466" s="26" t="s">
        <v>5529</v>
      </c>
      <c r="P466" s="26"/>
      <c r="Q466" s="22"/>
      <c r="R466" s="24"/>
      <c r="S466" s="24"/>
      <c r="T466" s="24"/>
      <c r="U466" s="24"/>
      <c r="V466" s="24"/>
      <c r="W466" s="22" t="s">
        <v>940</v>
      </c>
      <c r="X466" s="4" t="str">
        <f>IF(Tabela2[[#This Row],[sigla]]="","",VLOOKUP(Tabela2[[#This Row],[sigla]],créditos_base!B:C,2,0))</f>
        <v>RONALDO LUCENA/ARQUIVO DA EDITORA</v>
      </c>
      <c r="Y466" s="23"/>
      <c r="Z466" s="23" t="str">
        <f>Tabela2[[#This Row],[ilustrador]]</f>
        <v>RONALDO LUCENA/ARQUIVO DA EDITORA</v>
      </c>
      <c r="AA466" s="22"/>
      <c r="AB466" s="20"/>
      <c r="AC466" s="20"/>
      <c r="AD466" s="4" t="str">
        <f>"Pitanguá"</f>
        <v>Pitanguá</v>
      </c>
      <c r="AE466" s="14" t="str">
        <f>"Matemática"</f>
        <v>Matemática</v>
      </c>
    </row>
    <row r="467" spans="1:31" s="14" customFormat="1" ht="28.8" x14ac:dyDescent="0.3">
      <c r="A467" s="23" t="s">
        <v>784</v>
      </c>
      <c r="B467" s="20" t="s">
        <v>16</v>
      </c>
      <c r="C467" s="20" t="s">
        <v>89</v>
      </c>
      <c r="D467" s="20" t="s">
        <v>8</v>
      </c>
      <c r="E467" s="22">
        <v>57</v>
      </c>
      <c r="F467" s="22">
        <v>1</v>
      </c>
      <c r="G467" s="22">
        <v>2</v>
      </c>
      <c r="H467" s="22"/>
      <c r="I467" s="23" t="s">
        <v>90</v>
      </c>
      <c r="J467" s="23"/>
      <c r="K467" s="22"/>
      <c r="L467" s="22"/>
      <c r="M467" s="23"/>
      <c r="N467" s="23"/>
      <c r="O467" s="26" t="s">
        <v>785</v>
      </c>
      <c r="P467" s="26"/>
      <c r="Q467" s="22">
        <v>8</v>
      </c>
      <c r="R467" s="24">
        <v>45733</v>
      </c>
      <c r="S467" s="24">
        <v>45733</v>
      </c>
      <c r="T467" s="24"/>
      <c r="U467" s="24"/>
      <c r="V467" s="24">
        <v>45734</v>
      </c>
      <c r="W467" s="22" t="s">
        <v>763</v>
      </c>
      <c r="X467" s="4" t="str">
        <f>IF(Tabela2[[#This Row],[sigla]]="","",VLOOKUP(Tabela2[[#This Row],[sigla]],créditos_base!B:C,2,0))</f>
        <v>RAFAELA PANISSA/ARQUIVO DA EDITORA</v>
      </c>
      <c r="Y467" s="23"/>
      <c r="Z467" s="23" t="str">
        <f>Tabela2[[#This Row],[ilustrador]]</f>
        <v>RAFAELA PANISSA/ARQUIVO DA EDITORA</v>
      </c>
      <c r="AA467" s="22">
        <v>13</v>
      </c>
      <c r="AB467" s="20"/>
      <c r="AC467" s="20" t="s">
        <v>36</v>
      </c>
      <c r="AD467" s="4" t="str">
        <f>"Pitanguá"</f>
        <v>Pitanguá</v>
      </c>
      <c r="AE467" s="14" t="str">
        <f>"Matemática"</f>
        <v>Matemática</v>
      </c>
    </row>
    <row r="468" spans="1:31" s="14" customFormat="1" ht="28.8" x14ac:dyDescent="0.3">
      <c r="A468" s="23" t="s">
        <v>987</v>
      </c>
      <c r="B468" s="20" t="s">
        <v>16</v>
      </c>
      <c r="C468" s="20" t="s">
        <v>7</v>
      </c>
      <c r="D468" s="20" t="s">
        <v>8</v>
      </c>
      <c r="E468" s="22">
        <v>48</v>
      </c>
      <c r="F468" s="22">
        <v>4</v>
      </c>
      <c r="G468" s="22">
        <v>2</v>
      </c>
      <c r="H468" s="22"/>
      <c r="I468" s="23" t="s">
        <v>9</v>
      </c>
      <c r="J468" s="23"/>
      <c r="K468" s="22"/>
      <c r="L468" s="22"/>
      <c r="M468" s="23"/>
      <c r="N468" s="23"/>
      <c r="O468" s="26" t="s">
        <v>988</v>
      </c>
      <c r="P468" s="26"/>
      <c r="Q468" s="22"/>
      <c r="R468" s="24"/>
      <c r="S468" s="24"/>
      <c r="T468" s="24"/>
      <c r="U468" s="24"/>
      <c r="V468" s="24"/>
      <c r="W468" s="22" t="s">
        <v>160</v>
      </c>
      <c r="X468" s="4" t="str">
        <f>IF(Tabela2[[#This Row],[sigla]]="","",VLOOKUP(Tabela2[[#This Row],[sigla]],créditos_base!B:C,2,0))</f>
        <v>SERGIO LIMA/ARQUIVO DA EDITORA</v>
      </c>
      <c r="Y468" s="23"/>
      <c r="Z468" s="23" t="str">
        <f>Tabela2[[#This Row],[ilustrador]]</f>
        <v>SERGIO LIMA/ARQUIVO DA EDITORA</v>
      </c>
      <c r="AA468" s="22"/>
      <c r="AB468" s="20"/>
      <c r="AC468" s="20"/>
      <c r="AD468" s="4" t="str">
        <f>"Pitanguá"</f>
        <v>Pitanguá</v>
      </c>
      <c r="AE468" s="14" t="str">
        <f>"Matemática"</f>
        <v>Matemática</v>
      </c>
    </row>
    <row r="469" spans="1:31" s="14" customFormat="1" x14ac:dyDescent="0.3">
      <c r="A469" s="23" t="s">
        <v>5530</v>
      </c>
      <c r="B469" s="20" t="s">
        <v>16</v>
      </c>
      <c r="C469" s="20" t="s">
        <v>89</v>
      </c>
      <c r="D469" s="20" t="s">
        <v>8</v>
      </c>
      <c r="E469" s="22">
        <v>41</v>
      </c>
      <c r="F469" s="22">
        <v>5</v>
      </c>
      <c r="G469" s="22">
        <v>2</v>
      </c>
      <c r="H469" s="22"/>
      <c r="I469" s="23" t="s">
        <v>9</v>
      </c>
      <c r="J469" s="23"/>
      <c r="K469" s="22"/>
      <c r="L469" s="22"/>
      <c r="M469" s="23"/>
      <c r="N469" s="23"/>
      <c r="O469" s="26" t="s">
        <v>5531</v>
      </c>
      <c r="P469" s="26"/>
      <c r="Q469" s="22"/>
      <c r="R469" s="24"/>
      <c r="S469" s="24"/>
      <c r="T469" s="24"/>
      <c r="U469" s="24"/>
      <c r="V469" s="24"/>
      <c r="W469" s="22" t="s">
        <v>940</v>
      </c>
      <c r="X469" s="4" t="str">
        <f>IF(Tabela2[[#This Row],[sigla]]="","",VLOOKUP(Tabela2[[#This Row],[sigla]],créditos_base!B:C,2,0))</f>
        <v>RONALDO LUCENA/ARQUIVO DA EDITORA</v>
      </c>
      <c r="Y469" s="23"/>
      <c r="Z469" s="23" t="str">
        <f>Tabela2[[#This Row],[ilustrador]]</f>
        <v>RONALDO LUCENA/ARQUIVO DA EDITORA</v>
      </c>
      <c r="AA469" s="22"/>
      <c r="AB469" s="20"/>
      <c r="AC469" s="20"/>
      <c r="AD469" s="4" t="str">
        <f>"Pitanguá"</f>
        <v>Pitanguá</v>
      </c>
      <c r="AE469" s="14" t="str">
        <f>"Matemática"</f>
        <v>Matemática</v>
      </c>
    </row>
    <row r="470" spans="1:31" s="14" customFormat="1" x14ac:dyDescent="0.3">
      <c r="A470" s="23" t="s">
        <v>786</v>
      </c>
      <c r="B470" s="20" t="s">
        <v>16</v>
      </c>
      <c r="C470" s="20" t="s">
        <v>89</v>
      </c>
      <c r="D470" s="20" t="s">
        <v>8</v>
      </c>
      <c r="E470" s="22">
        <v>57</v>
      </c>
      <c r="F470" s="22">
        <v>1</v>
      </c>
      <c r="G470" s="22">
        <v>2</v>
      </c>
      <c r="H470" s="22"/>
      <c r="I470" s="23" t="s">
        <v>90</v>
      </c>
      <c r="J470" s="23"/>
      <c r="K470" s="22"/>
      <c r="L470" s="22"/>
      <c r="M470" s="23"/>
      <c r="N470" s="23"/>
      <c r="O470" s="26" t="s">
        <v>787</v>
      </c>
      <c r="P470" s="26"/>
      <c r="Q470" s="22">
        <v>8</v>
      </c>
      <c r="R470" s="24">
        <v>45733</v>
      </c>
      <c r="S470" s="24">
        <v>45733</v>
      </c>
      <c r="T470" s="24"/>
      <c r="U470" s="24"/>
      <c r="V470" s="24">
        <v>45734</v>
      </c>
      <c r="W470" s="22" t="s">
        <v>763</v>
      </c>
      <c r="X470" s="4" t="str">
        <f>IF(Tabela2[[#This Row],[sigla]]="","",VLOOKUP(Tabela2[[#This Row],[sigla]],créditos_base!B:C,2,0))</f>
        <v>RAFAELA PANISSA/ARQUIVO DA EDITORA</v>
      </c>
      <c r="Y470" s="23"/>
      <c r="Z470" s="23" t="str">
        <f>Tabela2[[#This Row],[ilustrador]]</f>
        <v>RAFAELA PANISSA/ARQUIVO DA EDITORA</v>
      </c>
      <c r="AA470" s="22">
        <v>13</v>
      </c>
      <c r="AB470" s="20"/>
      <c r="AC470" s="20" t="s">
        <v>36</v>
      </c>
      <c r="AD470" s="4" t="str">
        <f>"Pitanguá"</f>
        <v>Pitanguá</v>
      </c>
      <c r="AE470" s="14" t="str">
        <f>"Matemática"</f>
        <v>Matemática</v>
      </c>
    </row>
    <row r="471" spans="1:31" s="14" customFormat="1" x14ac:dyDescent="0.3">
      <c r="A471" s="23" t="s">
        <v>989</v>
      </c>
      <c r="B471" s="20" t="s">
        <v>16</v>
      </c>
      <c r="C471" s="20" t="s">
        <v>7</v>
      </c>
      <c r="D471" s="20" t="s">
        <v>8</v>
      </c>
      <c r="E471" s="22">
        <v>48</v>
      </c>
      <c r="F471" s="22">
        <v>4</v>
      </c>
      <c r="G471" s="22">
        <v>2</v>
      </c>
      <c r="H471" s="22"/>
      <c r="I471" s="23" t="s">
        <v>9</v>
      </c>
      <c r="J471" s="23"/>
      <c r="K471" s="22"/>
      <c r="L471" s="22"/>
      <c r="M471" s="23"/>
      <c r="N471" s="23"/>
      <c r="O471" s="26" t="s">
        <v>990</v>
      </c>
      <c r="P471" s="26"/>
      <c r="Q471" s="22"/>
      <c r="R471" s="24"/>
      <c r="S471" s="24"/>
      <c r="T471" s="24"/>
      <c r="U471" s="24"/>
      <c r="V471" s="24"/>
      <c r="W471" s="22" t="s">
        <v>940</v>
      </c>
      <c r="X471" s="4" t="str">
        <f>IF(Tabela2[[#This Row],[sigla]]="","",VLOOKUP(Tabela2[[#This Row],[sigla]],créditos_base!B:C,2,0))</f>
        <v>RONALDO LUCENA/ARQUIVO DA EDITORA</v>
      </c>
      <c r="Y471" s="23"/>
      <c r="Z471" s="23" t="str">
        <f>Tabela2[[#This Row],[ilustrador]]</f>
        <v>RONALDO LUCENA/ARQUIVO DA EDITORA</v>
      </c>
      <c r="AA471" s="22"/>
      <c r="AB471" s="20"/>
      <c r="AC471" s="20"/>
      <c r="AD471" s="4" t="str">
        <f>"Pitanguá"</f>
        <v>Pitanguá</v>
      </c>
      <c r="AE471" s="14" t="str">
        <f>"Matemática"</f>
        <v>Matemática</v>
      </c>
    </row>
    <row r="472" spans="1:31" s="14" customFormat="1" x14ac:dyDescent="0.3">
      <c r="A472" s="23" t="s">
        <v>5532</v>
      </c>
      <c r="B472" s="20" t="s">
        <v>16</v>
      </c>
      <c r="C472" s="20" t="s">
        <v>89</v>
      </c>
      <c r="D472" s="20" t="s">
        <v>8</v>
      </c>
      <c r="E472" s="22">
        <v>41</v>
      </c>
      <c r="F472" s="22">
        <v>5</v>
      </c>
      <c r="G472" s="22">
        <v>2</v>
      </c>
      <c r="H472" s="22"/>
      <c r="I472" s="23" t="s">
        <v>9</v>
      </c>
      <c r="J472" s="23"/>
      <c r="K472" s="22"/>
      <c r="L472" s="22"/>
      <c r="M472" s="23"/>
      <c r="N472" s="23"/>
      <c r="O472" s="26" t="s">
        <v>5533</v>
      </c>
      <c r="P472" s="26"/>
      <c r="Q472" s="22"/>
      <c r="R472" s="24"/>
      <c r="S472" s="24"/>
      <c r="T472" s="24"/>
      <c r="U472" s="24"/>
      <c r="V472" s="24"/>
      <c r="W472" s="22" t="s">
        <v>940</v>
      </c>
      <c r="X472" s="4" t="str">
        <f>IF(Tabela2[[#This Row],[sigla]]="","",VLOOKUP(Tabela2[[#This Row],[sigla]],créditos_base!B:C,2,0))</f>
        <v>RONALDO LUCENA/ARQUIVO DA EDITORA</v>
      </c>
      <c r="Y472" s="23"/>
      <c r="Z472" s="23" t="str">
        <f>Tabela2[[#This Row],[ilustrador]]</f>
        <v>RONALDO LUCENA/ARQUIVO DA EDITORA</v>
      </c>
      <c r="AA472" s="22"/>
      <c r="AB472" s="20"/>
      <c r="AC472" s="20"/>
      <c r="AD472" s="4" t="str">
        <f>"Pitanguá"</f>
        <v>Pitanguá</v>
      </c>
      <c r="AE472" s="14" t="str">
        <f>"Matemática"</f>
        <v>Matemática</v>
      </c>
    </row>
    <row r="473" spans="1:31" s="14" customFormat="1" x14ac:dyDescent="0.3">
      <c r="A473" s="23" t="s">
        <v>788</v>
      </c>
      <c r="B473" s="20" t="s">
        <v>16</v>
      </c>
      <c r="C473" s="20" t="s">
        <v>7</v>
      </c>
      <c r="D473" s="20" t="s">
        <v>8</v>
      </c>
      <c r="E473" s="22">
        <v>58</v>
      </c>
      <c r="F473" s="22">
        <v>1</v>
      </c>
      <c r="G473" s="22">
        <v>2</v>
      </c>
      <c r="H473" s="22"/>
      <c r="I473" s="23" t="s">
        <v>90</v>
      </c>
      <c r="J473" s="23"/>
      <c r="K473" s="22"/>
      <c r="L473" s="22"/>
      <c r="M473" s="23"/>
      <c r="N473" s="23"/>
      <c r="O473" s="26" t="s">
        <v>789</v>
      </c>
      <c r="P473" s="26"/>
      <c r="Q473" s="22">
        <v>8</v>
      </c>
      <c r="R473" s="24">
        <v>45733</v>
      </c>
      <c r="S473" s="24">
        <v>45733</v>
      </c>
      <c r="T473" s="24"/>
      <c r="U473" s="24"/>
      <c r="V473" s="24">
        <v>45734</v>
      </c>
      <c r="W473" s="22" t="s">
        <v>763</v>
      </c>
      <c r="X473" s="4" t="str">
        <f>IF(Tabela2[[#This Row],[sigla]]="","",VLOOKUP(Tabela2[[#This Row],[sigla]],créditos_base!B:C,2,0))</f>
        <v>RAFAELA PANISSA/ARQUIVO DA EDITORA</v>
      </c>
      <c r="Y473" s="23"/>
      <c r="Z473" s="23" t="str">
        <f>Tabela2[[#This Row],[ilustrador]]</f>
        <v>RAFAELA PANISSA/ARQUIVO DA EDITORA</v>
      </c>
      <c r="AA473" s="22">
        <v>8</v>
      </c>
      <c r="AB473" s="20"/>
      <c r="AC473" s="20" t="s">
        <v>36</v>
      </c>
      <c r="AD473" s="4" t="str">
        <f>"Pitanguá"</f>
        <v>Pitanguá</v>
      </c>
      <c r="AE473" s="14" t="str">
        <f>"Matemática"</f>
        <v>Matemática</v>
      </c>
    </row>
    <row r="474" spans="1:31" s="14" customFormat="1" ht="28.8" x14ac:dyDescent="0.3">
      <c r="A474" s="23" t="s">
        <v>991</v>
      </c>
      <c r="B474" s="20" t="s">
        <v>16</v>
      </c>
      <c r="C474" s="20" t="s">
        <v>7</v>
      </c>
      <c r="D474" s="20" t="s">
        <v>8</v>
      </c>
      <c r="E474" s="22">
        <v>48</v>
      </c>
      <c r="F474" s="22">
        <v>4</v>
      </c>
      <c r="G474" s="22">
        <v>2</v>
      </c>
      <c r="H474" s="22"/>
      <c r="I474" s="23" t="s">
        <v>9</v>
      </c>
      <c r="J474" s="23"/>
      <c r="K474" s="22"/>
      <c r="L474" s="22"/>
      <c r="M474" s="23"/>
      <c r="N474" s="23"/>
      <c r="O474" s="26" t="s">
        <v>992</v>
      </c>
      <c r="P474" s="26"/>
      <c r="Q474" s="22"/>
      <c r="R474" s="24"/>
      <c r="S474" s="24"/>
      <c r="T474" s="24"/>
      <c r="U474" s="24"/>
      <c r="V474" s="24"/>
      <c r="W474" s="22" t="s">
        <v>940</v>
      </c>
      <c r="X474" s="4" t="str">
        <f>IF(Tabela2[[#This Row],[sigla]]="","",VLOOKUP(Tabela2[[#This Row],[sigla]],créditos_base!B:C,2,0))</f>
        <v>RONALDO LUCENA/ARQUIVO DA EDITORA</v>
      </c>
      <c r="Y474" s="23"/>
      <c r="Z474" s="23" t="str">
        <f>Tabela2[[#This Row],[ilustrador]]</f>
        <v>RONALDO LUCENA/ARQUIVO DA EDITORA</v>
      </c>
      <c r="AA474" s="22"/>
      <c r="AB474" s="20"/>
      <c r="AC474" s="20"/>
      <c r="AD474" s="4" t="str">
        <f>"Pitanguá"</f>
        <v>Pitanguá</v>
      </c>
      <c r="AE474" s="14" t="str">
        <f>"Matemática"</f>
        <v>Matemática</v>
      </c>
    </row>
    <row r="475" spans="1:31" s="14" customFormat="1" ht="28.8" x14ac:dyDescent="0.3">
      <c r="A475" s="23" t="s">
        <v>5534</v>
      </c>
      <c r="B475" s="20" t="s">
        <v>16</v>
      </c>
      <c r="C475" s="20" t="s">
        <v>89</v>
      </c>
      <c r="D475" s="20" t="s">
        <v>8</v>
      </c>
      <c r="E475" s="22">
        <v>41</v>
      </c>
      <c r="F475" s="22">
        <v>5</v>
      </c>
      <c r="G475" s="22">
        <v>2</v>
      </c>
      <c r="H475" s="22"/>
      <c r="I475" s="23" t="s">
        <v>9</v>
      </c>
      <c r="J475" s="23"/>
      <c r="K475" s="22"/>
      <c r="L475" s="22"/>
      <c r="M475" s="23"/>
      <c r="N475" s="23"/>
      <c r="O475" s="26" t="s">
        <v>5535</v>
      </c>
      <c r="P475" s="26"/>
      <c r="Q475" s="22"/>
      <c r="R475" s="24"/>
      <c r="S475" s="24"/>
      <c r="T475" s="24"/>
      <c r="U475" s="24"/>
      <c r="V475" s="24"/>
      <c r="W475" s="22" t="s">
        <v>940</v>
      </c>
      <c r="X475" s="4" t="str">
        <f>IF(Tabela2[[#This Row],[sigla]]="","",VLOOKUP(Tabela2[[#This Row],[sigla]],créditos_base!B:C,2,0))</f>
        <v>RONALDO LUCENA/ARQUIVO DA EDITORA</v>
      </c>
      <c r="Y475" s="23"/>
      <c r="Z475" s="23" t="str">
        <f>Tabela2[[#This Row],[ilustrador]]</f>
        <v>RONALDO LUCENA/ARQUIVO DA EDITORA</v>
      </c>
      <c r="AA475" s="22"/>
      <c r="AB475" s="20"/>
      <c r="AC475" s="20"/>
      <c r="AD475" s="4" t="str">
        <f>"Pitanguá"</f>
        <v>Pitanguá</v>
      </c>
      <c r="AE475" s="14" t="str">
        <f>"Matemática"</f>
        <v>Matemática</v>
      </c>
    </row>
    <row r="476" spans="1:31" s="14" customFormat="1" ht="144" x14ac:dyDescent="0.3">
      <c r="A476" s="23" t="s">
        <v>993</v>
      </c>
      <c r="B476" s="20" t="s">
        <v>16</v>
      </c>
      <c r="C476" s="20" t="s">
        <v>7</v>
      </c>
      <c r="D476" s="20" t="s">
        <v>8</v>
      </c>
      <c r="E476" s="22">
        <v>48</v>
      </c>
      <c r="F476" s="22">
        <v>4</v>
      </c>
      <c r="G476" s="22">
        <v>2</v>
      </c>
      <c r="H476" s="22"/>
      <c r="I476" s="23" t="s">
        <v>33</v>
      </c>
      <c r="J476" s="23"/>
      <c r="K476" s="22"/>
      <c r="L476" s="22"/>
      <c r="M476" s="23"/>
      <c r="N476" s="23"/>
      <c r="O476" s="26" t="s">
        <v>994</v>
      </c>
      <c r="P476" s="26"/>
      <c r="Q476" s="22">
        <v>42</v>
      </c>
      <c r="R476" s="24">
        <v>45783</v>
      </c>
      <c r="S476" s="24">
        <v>45783</v>
      </c>
      <c r="T476" s="24"/>
      <c r="U476" s="24"/>
      <c r="V476" s="24">
        <v>45783</v>
      </c>
      <c r="W476" s="22" t="s">
        <v>160</v>
      </c>
      <c r="X476" s="4" t="str">
        <f>IF(Tabela2[[#This Row],[sigla]]="","",VLOOKUP(Tabela2[[#This Row],[sigla]],créditos_base!B:C,2,0))</f>
        <v>SERGIO LIMA/ARQUIVO DA EDITORA</v>
      </c>
      <c r="Y476" s="23" t="s">
        <v>152</v>
      </c>
      <c r="Z476" s="23" t="str">
        <f>Tabela2[[#This Row],[ilustrador]]</f>
        <v>SERGIO LIMA/ARQUIVO DA EDITORA</v>
      </c>
      <c r="AA476" s="22">
        <v>13</v>
      </c>
      <c r="AB476" s="20" t="s">
        <v>153</v>
      </c>
      <c r="AC476" s="20" t="s">
        <v>36</v>
      </c>
      <c r="AD476" s="4" t="str">
        <f>"Pitanguá"</f>
        <v>Pitanguá</v>
      </c>
      <c r="AE476" s="14" t="str">
        <f>"Matemática"</f>
        <v>Matemática</v>
      </c>
    </row>
    <row r="477" spans="1:31" s="14" customFormat="1" ht="86.4" x14ac:dyDescent="0.3">
      <c r="A477" s="23" t="s">
        <v>5536</v>
      </c>
      <c r="B477" s="20" t="s">
        <v>16</v>
      </c>
      <c r="C477" s="20" t="s">
        <v>89</v>
      </c>
      <c r="D477" s="20" t="s">
        <v>8</v>
      </c>
      <c r="E477" s="22">
        <v>41</v>
      </c>
      <c r="F477" s="22">
        <v>5</v>
      </c>
      <c r="G477" s="22">
        <v>2</v>
      </c>
      <c r="H477" s="22"/>
      <c r="I477" s="23" t="s">
        <v>9</v>
      </c>
      <c r="J477" s="23"/>
      <c r="K477" s="22"/>
      <c r="L477" s="22"/>
      <c r="M477" s="23"/>
      <c r="N477" s="23"/>
      <c r="O477" s="26" t="s">
        <v>5537</v>
      </c>
      <c r="P477" s="26"/>
      <c r="Q477" s="22"/>
      <c r="R477" s="24"/>
      <c r="S477" s="24"/>
      <c r="T477" s="24"/>
      <c r="U477" s="24"/>
      <c r="V477" s="24"/>
      <c r="W477" s="22" t="s">
        <v>940</v>
      </c>
      <c r="X477" s="4" t="str">
        <f>IF(Tabela2[[#This Row],[sigla]]="","",VLOOKUP(Tabela2[[#This Row],[sigla]],créditos_base!B:C,2,0))</f>
        <v>RONALDO LUCENA/ARQUIVO DA EDITORA</v>
      </c>
      <c r="Y477" s="23"/>
      <c r="Z477" s="23" t="str">
        <f>Tabela2[[#This Row],[ilustrador]]</f>
        <v>RONALDO LUCENA/ARQUIVO DA EDITORA</v>
      </c>
      <c r="AA477" s="22"/>
      <c r="AB477" s="20"/>
      <c r="AC477" s="20"/>
      <c r="AD477" s="4" t="str">
        <f>"Pitanguá"</f>
        <v>Pitanguá</v>
      </c>
      <c r="AE477" s="14" t="str">
        <f>"Matemática"</f>
        <v>Matemática</v>
      </c>
    </row>
    <row r="478" spans="1:31" s="14" customFormat="1" ht="86.4" x14ac:dyDescent="0.3">
      <c r="A478" s="23" t="s">
        <v>995</v>
      </c>
      <c r="B478" s="20" t="s">
        <v>16</v>
      </c>
      <c r="C478" s="20" t="s">
        <v>7</v>
      </c>
      <c r="D478" s="20" t="s">
        <v>8</v>
      </c>
      <c r="E478" s="22">
        <v>48</v>
      </c>
      <c r="F478" s="22">
        <v>4</v>
      </c>
      <c r="G478" s="22">
        <v>2</v>
      </c>
      <c r="H478" s="22"/>
      <c r="I478" s="23" t="s">
        <v>33</v>
      </c>
      <c r="J478" s="23"/>
      <c r="K478" s="22"/>
      <c r="L478" s="22"/>
      <c r="M478" s="23"/>
      <c r="N478" s="23"/>
      <c r="O478" s="26" t="s">
        <v>996</v>
      </c>
      <c r="P478" s="26"/>
      <c r="Q478" s="22">
        <v>42</v>
      </c>
      <c r="R478" s="24">
        <v>45783</v>
      </c>
      <c r="S478" s="24">
        <v>45783</v>
      </c>
      <c r="T478" s="24"/>
      <c r="U478" s="24"/>
      <c r="V478" s="24">
        <v>45783</v>
      </c>
      <c r="W478" s="22" t="s">
        <v>160</v>
      </c>
      <c r="X478" s="4" t="str">
        <f>IF(Tabela2[[#This Row],[sigla]]="","",VLOOKUP(Tabela2[[#This Row],[sigla]],créditos_base!B:C,2,0))</f>
        <v>SERGIO LIMA/ARQUIVO DA EDITORA</v>
      </c>
      <c r="Y478" s="23" t="s">
        <v>152</v>
      </c>
      <c r="Z478" s="23" t="str">
        <f>Tabela2[[#This Row],[ilustrador]]</f>
        <v>SERGIO LIMA/ARQUIVO DA EDITORA</v>
      </c>
      <c r="AA478" s="22">
        <v>13</v>
      </c>
      <c r="AB478" s="20" t="s">
        <v>153</v>
      </c>
      <c r="AC478" s="20" t="s">
        <v>36</v>
      </c>
      <c r="AD478" s="4" t="str">
        <f>"Pitanguá"</f>
        <v>Pitanguá</v>
      </c>
      <c r="AE478" s="14" t="str">
        <f>"Matemática"</f>
        <v>Matemática</v>
      </c>
    </row>
    <row r="479" spans="1:31" s="14" customFormat="1" ht="86.4" x14ac:dyDescent="0.3">
      <c r="A479" s="23" t="s">
        <v>5538</v>
      </c>
      <c r="B479" s="20" t="s">
        <v>16</v>
      </c>
      <c r="C479" s="20" t="s">
        <v>89</v>
      </c>
      <c r="D479" s="20" t="s">
        <v>8</v>
      </c>
      <c r="E479" s="22">
        <v>41</v>
      </c>
      <c r="F479" s="22">
        <v>5</v>
      </c>
      <c r="G479" s="22">
        <v>2</v>
      </c>
      <c r="H479" s="22"/>
      <c r="I479" s="23" t="s">
        <v>9</v>
      </c>
      <c r="J479" s="23"/>
      <c r="K479" s="22"/>
      <c r="L479" s="22"/>
      <c r="M479" s="23"/>
      <c r="N479" s="23"/>
      <c r="O479" s="26" t="s">
        <v>5539</v>
      </c>
      <c r="P479" s="26"/>
      <c r="Q479" s="22"/>
      <c r="R479" s="24"/>
      <c r="S479" s="24"/>
      <c r="T479" s="24"/>
      <c r="U479" s="24"/>
      <c r="V479" s="24"/>
      <c r="W479" s="22" t="s">
        <v>940</v>
      </c>
      <c r="X479" s="4" t="str">
        <f>IF(Tabela2[[#This Row],[sigla]]="","",VLOOKUP(Tabela2[[#This Row],[sigla]],créditos_base!B:C,2,0))</f>
        <v>RONALDO LUCENA/ARQUIVO DA EDITORA</v>
      </c>
      <c r="Y479" s="23"/>
      <c r="Z479" s="23" t="str">
        <f>Tabela2[[#This Row],[ilustrador]]</f>
        <v>RONALDO LUCENA/ARQUIVO DA EDITORA</v>
      </c>
      <c r="AA479" s="22"/>
      <c r="AB479" s="20"/>
      <c r="AC479" s="20"/>
      <c r="AD479" s="4" t="str">
        <f>"Pitanguá"</f>
        <v>Pitanguá</v>
      </c>
      <c r="AE479" s="14" t="str">
        <f>"Matemática"</f>
        <v>Matemática</v>
      </c>
    </row>
    <row r="480" spans="1:31" s="14" customFormat="1" x14ac:dyDescent="0.3">
      <c r="A480" s="23" t="s">
        <v>997</v>
      </c>
      <c r="B480" s="20" t="s">
        <v>6</v>
      </c>
      <c r="C480" s="20" t="s">
        <v>89</v>
      </c>
      <c r="D480" s="20" t="s">
        <v>8</v>
      </c>
      <c r="E480" s="22">
        <v>49</v>
      </c>
      <c r="F480" s="22">
        <v>4</v>
      </c>
      <c r="G480" s="22">
        <v>2</v>
      </c>
      <c r="H480" s="22"/>
      <c r="I480" s="23" t="s">
        <v>90</v>
      </c>
      <c r="J480" s="23"/>
      <c r="K480" s="22"/>
      <c r="L480" s="22"/>
      <c r="M480" s="23"/>
      <c r="N480" s="23"/>
      <c r="O480" s="26" t="s">
        <v>998</v>
      </c>
      <c r="P480" s="26" t="s">
        <v>11</v>
      </c>
      <c r="Q480" s="22">
        <v>9</v>
      </c>
      <c r="R480" s="24">
        <v>45733</v>
      </c>
      <c r="S480" s="24">
        <v>45733</v>
      </c>
      <c r="T480" s="24"/>
      <c r="U480" s="24"/>
      <c r="V480" s="24">
        <v>45734</v>
      </c>
      <c r="W480" s="22" t="s">
        <v>999</v>
      </c>
      <c r="X480" s="4" t="str">
        <f>IF(Tabela2[[#This Row],[sigla]]="","",VLOOKUP(Tabela2[[#This Row],[sigla]],créditos_base!B:C,2,0))</f>
        <v>VINÍCIUS COSTA/ARQUIVO DA EDITORA</v>
      </c>
      <c r="Y480" s="23"/>
      <c r="Z480" s="23" t="str">
        <f>Tabela2[[#This Row],[ilustrador]]</f>
        <v>VINÍCIUS COSTA/ARQUIVO DA EDITORA</v>
      </c>
      <c r="AA480" s="22">
        <v>8</v>
      </c>
      <c r="AB480" s="20"/>
      <c r="AC480" s="20" t="s">
        <v>36</v>
      </c>
      <c r="AD480" s="4" t="str">
        <f>"Pitanguá"</f>
        <v>Pitanguá</v>
      </c>
      <c r="AE480" s="14" t="str">
        <f>"Matemática"</f>
        <v>Matemática</v>
      </c>
    </row>
    <row r="481" spans="1:32" s="14" customFormat="1" x14ac:dyDescent="0.3">
      <c r="A481" s="23" t="s">
        <v>5540</v>
      </c>
      <c r="B481" s="20" t="s">
        <v>16</v>
      </c>
      <c r="C481" s="20" t="s">
        <v>89</v>
      </c>
      <c r="D481" s="20" t="s">
        <v>8</v>
      </c>
      <c r="E481" s="22">
        <v>41</v>
      </c>
      <c r="F481" s="22">
        <v>5</v>
      </c>
      <c r="G481" s="22">
        <v>2</v>
      </c>
      <c r="H481" s="22"/>
      <c r="I481" s="23" t="s">
        <v>9</v>
      </c>
      <c r="J481" s="23"/>
      <c r="K481" s="22"/>
      <c r="L481" s="22"/>
      <c r="M481" s="23"/>
      <c r="N481" s="23"/>
      <c r="O481" s="26" t="s">
        <v>5541</v>
      </c>
      <c r="P481" s="26"/>
      <c r="Q481" s="22"/>
      <c r="R481" s="24"/>
      <c r="S481" s="24"/>
      <c r="T481" s="24"/>
      <c r="U481" s="24"/>
      <c r="V481" s="24"/>
      <c r="W481" s="22" t="s">
        <v>940</v>
      </c>
      <c r="X481" s="4" t="str">
        <f>IF(Tabela2[[#This Row],[sigla]]="","",VLOOKUP(Tabela2[[#This Row],[sigla]],créditos_base!B:C,2,0))</f>
        <v>RONALDO LUCENA/ARQUIVO DA EDITORA</v>
      </c>
      <c r="Y481" s="23"/>
      <c r="Z481" s="23" t="str">
        <f>Tabela2[[#This Row],[ilustrador]]</f>
        <v>RONALDO LUCENA/ARQUIVO DA EDITORA</v>
      </c>
      <c r="AA481" s="22"/>
      <c r="AB481" s="20"/>
      <c r="AC481" s="20"/>
      <c r="AD481" s="4" t="str">
        <f>"Pitanguá"</f>
        <v>Pitanguá</v>
      </c>
      <c r="AE481" s="14" t="str">
        <f>"Matemática"</f>
        <v>Matemática</v>
      </c>
    </row>
    <row r="482" spans="1:32" s="14" customFormat="1" ht="57.6" x14ac:dyDescent="0.3">
      <c r="A482" s="23" t="s">
        <v>832</v>
      </c>
      <c r="B482" s="20" t="s">
        <v>16</v>
      </c>
      <c r="C482" s="20" t="s">
        <v>7</v>
      </c>
      <c r="D482" s="20" t="s">
        <v>8</v>
      </c>
      <c r="E482" s="22">
        <v>60</v>
      </c>
      <c r="F482" s="22">
        <v>1</v>
      </c>
      <c r="G482" s="22">
        <v>2</v>
      </c>
      <c r="H482" s="22"/>
      <c r="I482" s="23" t="s">
        <v>9</v>
      </c>
      <c r="J482" s="23"/>
      <c r="K482" s="22"/>
      <c r="L482" s="22"/>
      <c r="M482" s="23"/>
      <c r="N482" s="23"/>
      <c r="O482" s="26" t="s">
        <v>833</v>
      </c>
      <c r="P482" s="26"/>
      <c r="Q482" s="22"/>
      <c r="R482" s="24"/>
      <c r="S482" s="24"/>
      <c r="T482" s="24"/>
      <c r="U482" s="24"/>
      <c r="V482" s="24"/>
      <c r="W482" s="22" t="s">
        <v>72</v>
      </c>
      <c r="X482" s="4" t="str">
        <f>IF(Tabela2[[#This Row],[sigla]]="","",VLOOKUP(Tabela2[[#This Row],[sigla]],créditos_base!B:C,2,0))</f>
        <v>HELOÍSA PINTARELLI/ARQUIVO DA EDITORA</v>
      </c>
      <c r="Y482" s="23"/>
      <c r="Z482" s="23" t="str">
        <f>Tabela2[[#This Row],[ilustrador]]</f>
        <v>HELOÍSA PINTARELLI/ARQUIVO DA EDITORA</v>
      </c>
      <c r="AA482" s="22"/>
      <c r="AB482" s="20"/>
      <c r="AC482" s="20"/>
      <c r="AD482" s="4" t="str">
        <f>"Pitanguá"</f>
        <v>Pitanguá</v>
      </c>
      <c r="AE482" s="14" t="str">
        <f>"Matemática"</f>
        <v>Matemática</v>
      </c>
    </row>
    <row r="483" spans="1:32" s="14" customFormat="1" ht="28.8" x14ac:dyDescent="0.3">
      <c r="A483" s="23" t="s">
        <v>1000</v>
      </c>
      <c r="B483" s="20" t="s">
        <v>16</v>
      </c>
      <c r="C483" s="20" t="s">
        <v>89</v>
      </c>
      <c r="D483" s="20" t="s">
        <v>8</v>
      </c>
      <c r="E483" s="22">
        <v>49</v>
      </c>
      <c r="F483" s="22">
        <v>4</v>
      </c>
      <c r="G483" s="22">
        <v>2</v>
      </c>
      <c r="H483" s="22"/>
      <c r="I483" s="23" t="s">
        <v>90</v>
      </c>
      <c r="J483" s="23"/>
      <c r="K483" s="22"/>
      <c r="L483" s="22"/>
      <c r="M483" s="23"/>
      <c r="N483" s="23"/>
      <c r="O483" s="26" t="s">
        <v>1001</v>
      </c>
      <c r="P483" s="26"/>
      <c r="Q483" s="22">
        <v>9</v>
      </c>
      <c r="R483" s="24">
        <v>45733</v>
      </c>
      <c r="S483" s="24">
        <v>45733</v>
      </c>
      <c r="T483" s="24"/>
      <c r="U483" s="24"/>
      <c r="V483" s="24">
        <v>45734</v>
      </c>
      <c r="W483" s="22" t="s">
        <v>999</v>
      </c>
      <c r="X483" s="4" t="str">
        <f>IF(Tabela2[[#This Row],[sigla]]="","",VLOOKUP(Tabela2[[#This Row],[sigla]],créditos_base!B:C,2,0))</f>
        <v>VINÍCIUS COSTA/ARQUIVO DA EDITORA</v>
      </c>
      <c r="Y483" s="23"/>
      <c r="Z483" s="23" t="str">
        <f>Tabela2[[#This Row],[ilustrador]]</f>
        <v>VINÍCIUS COSTA/ARQUIVO DA EDITORA</v>
      </c>
      <c r="AA483" s="22">
        <v>8</v>
      </c>
      <c r="AB483" s="20"/>
      <c r="AC483" s="20" t="s">
        <v>36</v>
      </c>
      <c r="AD483" s="4" t="str">
        <f>"Pitanguá"</f>
        <v>Pitanguá</v>
      </c>
      <c r="AE483" s="14" t="str">
        <f>"Matemática"</f>
        <v>Matemática</v>
      </c>
    </row>
    <row r="484" spans="1:32" s="14" customFormat="1" ht="28.8" x14ac:dyDescent="0.3">
      <c r="A484" s="23" t="s">
        <v>5542</v>
      </c>
      <c r="B484" s="20" t="s">
        <v>16</v>
      </c>
      <c r="C484" s="20" t="s">
        <v>89</v>
      </c>
      <c r="D484" s="20" t="s">
        <v>8</v>
      </c>
      <c r="E484" s="22">
        <v>41</v>
      </c>
      <c r="F484" s="22">
        <v>5</v>
      </c>
      <c r="G484" s="22">
        <v>2</v>
      </c>
      <c r="H484" s="22"/>
      <c r="I484" s="23" t="s">
        <v>9</v>
      </c>
      <c r="J484" s="23"/>
      <c r="K484" s="22"/>
      <c r="L484" s="22"/>
      <c r="M484" s="23"/>
      <c r="N484" s="23"/>
      <c r="O484" s="26" t="s">
        <v>5543</v>
      </c>
      <c r="P484" s="26"/>
      <c r="Q484" s="22"/>
      <c r="R484" s="24"/>
      <c r="S484" s="24"/>
      <c r="T484" s="24"/>
      <c r="U484" s="24"/>
      <c r="V484" s="24"/>
      <c r="W484" s="22" t="s">
        <v>940</v>
      </c>
      <c r="X484" s="4" t="str">
        <f>IF(Tabela2[[#This Row],[sigla]]="","",VLOOKUP(Tabela2[[#This Row],[sigla]],créditos_base!B:C,2,0))</f>
        <v>RONALDO LUCENA/ARQUIVO DA EDITORA</v>
      </c>
      <c r="Y484" s="23"/>
      <c r="Z484" s="23" t="str">
        <f>Tabela2[[#This Row],[ilustrador]]</f>
        <v>RONALDO LUCENA/ARQUIVO DA EDITORA</v>
      </c>
      <c r="AA484" s="22"/>
      <c r="AB484" s="20"/>
      <c r="AC484" s="20"/>
      <c r="AD484" s="4" t="str">
        <f>"Pitanguá"</f>
        <v>Pitanguá</v>
      </c>
      <c r="AE484" s="14" t="str">
        <f>"Matemática"</f>
        <v>Matemática</v>
      </c>
    </row>
    <row r="485" spans="1:32" s="14" customFormat="1" ht="28.8" x14ac:dyDescent="0.3">
      <c r="A485" s="23" t="s">
        <v>840</v>
      </c>
      <c r="B485" s="20" t="s">
        <v>16</v>
      </c>
      <c r="C485" s="20" t="s">
        <v>7</v>
      </c>
      <c r="D485" s="20" t="s">
        <v>8</v>
      </c>
      <c r="E485" s="22">
        <v>60</v>
      </c>
      <c r="F485" s="22">
        <v>1</v>
      </c>
      <c r="G485" s="22">
        <v>2</v>
      </c>
      <c r="H485" s="22"/>
      <c r="I485" s="23" t="s">
        <v>9</v>
      </c>
      <c r="J485" s="23"/>
      <c r="K485" s="22"/>
      <c r="L485" s="22"/>
      <c r="M485" s="23"/>
      <c r="N485" s="23"/>
      <c r="O485" s="26" t="s">
        <v>841</v>
      </c>
      <c r="P485" s="26"/>
      <c r="Q485" s="22"/>
      <c r="R485" s="24"/>
      <c r="S485" s="24"/>
      <c r="T485" s="24"/>
      <c r="U485" s="24"/>
      <c r="V485" s="24"/>
      <c r="W485" s="22" t="s">
        <v>72</v>
      </c>
      <c r="X485" s="4" t="str">
        <f>IF(Tabela2[[#This Row],[sigla]]="","",VLOOKUP(Tabela2[[#This Row],[sigla]],créditos_base!B:C,2,0))</f>
        <v>HELOÍSA PINTARELLI/ARQUIVO DA EDITORA</v>
      </c>
      <c r="Y485" s="23"/>
      <c r="Z485" s="23" t="str">
        <f>Tabela2[[#This Row],[ilustrador]]</f>
        <v>HELOÍSA PINTARELLI/ARQUIVO DA EDITORA</v>
      </c>
      <c r="AA485" s="22"/>
      <c r="AB485" s="20"/>
      <c r="AC485" s="20"/>
      <c r="AD485" s="4" t="str">
        <f>"Pitanguá"</f>
        <v>Pitanguá</v>
      </c>
      <c r="AE485" s="14" t="str">
        <f>"Matemática"</f>
        <v>Matemática</v>
      </c>
    </row>
    <row r="486" spans="1:32" s="14" customFormat="1" ht="28.8" x14ac:dyDescent="0.3">
      <c r="A486" s="23" t="s">
        <v>1002</v>
      </c>
      <c r="B486" s="20" t="s">
        <v>16</v>
      </c>
      <c r="C486" s="20" t="s">
        <v>89</v>
      </c>
      <c r="D486" s="20" t="s">
        <v>8</v>
      </c>
      <c r="E486" s="22">
        <v>49</v>
      </c>
      <c r="F486" s="22">
        <v>4</v>
      </c>
      <c r="G486" s="22">
        <v>2</v>
      </c>
      <c r="H486" s="22"/>
      <c r="I486" s="23" t="s">
        <v>90</v>
      </c>
      <c r="J486" s="23"/>
      <c r="K486" s="22"/>
      <c r="L486" s="22"/>
      <c r="M486" s="23"/>
      <c r="N486" s="23"/>
      <c r="O486" s="26" t="s">
        <v>1003</v>
      </c>
      <c r="P486" s="26"/>
      <c r="Q486" s="22">
        <v>9</v>
      </c>
      <c r="R486" s="24">
        <v>45733</v>
      </c>
      <c r="S486" s="24">
        <v>45733</v>
      </c>
      <c r="T486" s="24"/>
      <c r="U486" s="24"/>
      <c r="V486" s="24">
        <v>45734</v>
      </c>
      <c r="W486" s="22" t="s">
        <v>999</v>
      </c>
      <c r="X486" s="4" t="str">
        <f>IF(Tabela2[[#This Row],[sigla]]="","",VLOOKUP(Tabela2[[#This Row],[sigla]],créditos_base!B:C,2,0))</f>
        <v>VINÍCIUS COSTA/ARQUIVO DA EDITORA</v>
      </c>
      <c r="Y486" s="23"/>
      <c r="Z486" s="23" t="str">
        <f>Tabela2[[#This Row],[ilustrador]]</f>
        <v>VINÍCIUS COSTA/ARQUIVO DA EDITORA</v>
      </c>
      <c r="AA486" s="22">
        <v>8</v>
      </c>
      <c r="AB486" s="20"/>
      <c r="AC486" s="20" t="s">
        <v>36</v>
      </c>
      <c r="AD486" s="4" t="str">
        <f>"Pitanguá"</f>
        <v>Pitanguá</v>
      </c>
      <c r="AE486" s="14" t="str">
        <f>"Matemática"</f>
        <v>Matemática</v>
      </c>
    </row>
    <row r="487" spans="1:32" s="14" customFormat="1" ht="43.2" x14ac:dyDescent="0.3">
      <c r="A487" s="23" t="s">
        <v>5557</v>
      </c>
      <c r="B487" s="20" t="s">
        <v>16</v>
      </c>
      <c r="C487" s="20" t="s">
        <v>7</v>
      </c>
      <c r="D487" s="20" t="s">
        <v>8</v>
      </c>
      <c r="E487" s="22">
        <v>44</v>
      </c>
      <c r="F487" s="22">
        <v>5</v>
      </c>
      <c r="G487" s="22">
        <v>2</v>
      </c>
      <c r="H487" s="22"/>
      <c r="I487" s="23" t="s">
        <v>9</v>
      </c>
      <c r="J487" s="23"/>
      <c r="K487" s="22"/>
      <c r="L487" s="22"/>
      <c r="M487" s="23"/>
      <c r="N487" s="23"/>
      <c r="O487" s="20" t="s">
        <v>5558</v>
      </c>
      <c r="P487" s="26"/>
      <c r="Q487" s="22"/>
      <c r="R487" s="24"/>
      <c r="S487" s="24"/>
      <c r="T487" s="24"/>
      <c r="U487" s="24"/>
      <c r="V487" s="24"/>
      <c r="W487" s="22" t="s">
        <v>272</v>
      </c>
      <c r="X487" s="4" t="str">
        <f>IF(Tabela2[[#This Row],[sigla]]="","",VLOOKUP(Tabela2[[#This Row],[sigla]],créditos_base!B:C,2,0))</f>
        <v>RAFAEL SILVA/ARQUIVO DA EDITORA</v>
      </c>
      <c r="Y487" s="23"/>
      <c r="Z487" s="23" t="str">
        <f>Tabela2[[#This Row],[ilustrador]]</f>
        <v>RAFAEL SILVA/ARQUIVO DA EDITORA</v>
      </c>
      <c r="AA487" s="22"/>
      <c r="AB487" s="20"/>
      <c r="AC487" s="20"/>
      <c r="AD487" s="4" t="str">
        <f>"Pitanguá"</f>
        <v>Pitanguá</v>
      </c>
      <c r="AE487" s="14" t="str">
        <f>"Matemática"</f>
        <v>Matemática</v>
      </c>
    </row>
    <row r="488" spans="1:32" s="14" customFormat="1" ht="43.2" x14ac:dyDescent="0.3">
      <c r="A488" s="23" t="s">
        <v>842</v>
      </c>
      <c r="B488" s="20" t="s">
        <v>16</v>
      </c>
      <c r="C488" s="20" t="s">
        <v>7</v>
      </c>
      <c r="D488" s="20" t="s">
        <v>8</v>
      </c>
      <c r="E488" s="22">
        <v>60</v>
      </c>
      <c r="F488" s="22">
        <v>1</v>
      </c>
      <c r="G488" s="22">
        <v>2</v>
      </c>
      <c r="H488" s="22"/>
      <c r="I488" s="23" t="s">
        <v>9</v>
      </c>
      <c r="J488" s="23"/>
      <c r="K488" s="22"/>
      <c r="L488" s="22"/>
      <c r="M488" s="23"/>
      <c r="N488" s="23"/>
      <c r="O488" s="26" t="s">
        <v>843</v>
      </c>
      <c r="P488" s="26"/>
      <c r="Q488" s="22"/>
      <c r="R488" s="24"/>
      <c r="S488" s="24"/>
      <c r="T488" s="24"/>
      <c r="U488" s="24"/>
      <c r="V488" s="24"/>
      <c r="W488" s="22" t="s">
        <v>72</v>
      </c>
      <c r="X488" s="4" t="str">
        <f>IF(Tabela2[[#This Row],[sigla]]="","",VLOOKUP(Tabela2[[#This Row],[sigla]],créditos_base!B:C,2,0))</f>
        <v>HELOÍSA PINTARELLI/ARQUIVO DA EDITORA</v>
      </c>
      <c r="Y488" s="23"/>
      <c r="Z488" s="23" t="str">
        <f>Tabela2[[#This Row],[ilustrador]]</f>
        <v>HELOÍSA PINTARELLI/ARQUIVO DA EDITORA</v>
      </c>
      <c r="AA488" s="22"/>
      <c r="AB488" s="20"/>
      <c r="AC488" s="20"/>
      <c r="AD488" s="4" t="str">
        <f>"Pitanguá"</f>
        <v>Pitanguá</v>
      </c>
      <c r="AE488" s="14" t="str">
        <f>"Matemática"</f>
        <v>Matemática</v>
      </c>
    </row>
    <row r="489" spans="1:32" s="14" customFormat="1" ht="43.2" x14ac:dyDescent="0.3">
      <c r="A489" s="23" t="s">
        <v>1004</v>
      </c>
      <c r="B489" s="20" t="s">
        <v>16</v>
      </c>
      <c r="C489" s="20" t="s">
        <v>7</v>
      </c>
      <c r="D489" s="20" t="s">
        <v>8</v>
      </c>
      <c r="E489" s="22">
        <v>50</v>
      </c>
      <c r="F489" s="22">
        <v>4</v>
      </c>
      <c r="G489" s="22">
        <v>2</v>
      </c>
      <c r="H489" s="22"/>
      <c r="I489" s="23" t="s">
        <v>33</v>
      </c>
      <c r="J489" s="23"/>
      <c r="K489" s="22"/>
      <c r="L489" s="22"/>
      <c r="M489" s="23"/>
      <c r="N489" s="23"/>
      <c r="O489" s="26" t="s">
        <v>1005</v>
      </c>
      <c r="P489" s="26"/>
      <c r="Q489" s="22">
        <v>42</v>
      </c>
      <c r="R489" s="24">
        <v>45783</v>
      </c>
      <c r="S489" s="24">
        <v>45783</v>
      </c>
      <c r="T489" s="24"/>
      <c r="U489" s="24"/>
      <c r="V489" s="24">
        <v>45783</v>
      </c>
      <c r="W489" s="22" t="s">
        <v>160</v>
      </c>
      <c r="X489" s="4" t="str">
        <f>IF(Tabela2[[#This Row],[sigla]]="","",VLOOKUP(Tabela2[[#This Row],[sigla]],créditos_base!B:C,2,0))</f>
        <v>SERGIO LIMA/ARQUIVO DA EDITORA</v>
      </c>
      <c r="Y489" s="23" t="s">
        <v>152</v>
      </c>
      <c r="Z489" s="23" t="str">
        <f>Tabela2[[#This Row],[ilustrador]]</f>
        <v>SERGIO LIMA/ARQUIVO DA EDITORA</v>
      </c>
      <c r="AA489" s="22">
        <v>13</v>
      </c>
      <c r="AB489" s="20" t="s">
        <v>153</v>
      </c>
      <c r="AC489" s="20" t="s">
        <v>36</v>
      </c>
      <c r="AD489" s="4" t="str">
        <f>"Pitanguá"</f>
        <v>Pitanguá</v>
      </c>
      <c r="AE489" s="14" t="str">
        <f>"Matemática"</f>
        <v>Matemática</v>
      </c>
    </row>
    <row r="490" spans="1:32" s="14" customFormat="1" ht="43.2" x14ac:dyDescent="0.3">
      <c r="A490" s="23" t="s">
        <v>5559</v>
      </c>
      <c r="B490" s="20" t="s">
        <v>16</v>
      </c>
      <c r="C490" s="20" t="s">
        <v>89</v>
      </c>
      <c r="D490" s="20" t="s">
        <v>8</v>
      </c>
      <c r="E490" s="22">
        <v>44</v>
      </c>
      <c r="F490" s="22">
        <v>5</v>
      </c>
      <c r="G490" s="22">
        <v>2</v>
      </c>
      <c r="H490" s="22"/>
      <c r="I490" s="23" t="s">
        <v>33</v>
      </c>
      <c r="J490" s="23"/>
      <c r="K490" s="22"/>
      <c r="L490" s="22"/>
      <c r="M490" s="23"/>
      <c r="N490" s="23"/>
      <c r="O490" s="26" t="s">
        <v>5560</v>
      </c>
      <c r="P490" s="26"/>
      <c r="Q490" s="22">
        <v>129</v>
      </c>
      <c r="R490" s="24">
        <v>45863</v>
      </c>
      <c r="S490" s="24">
        <v>45866</v>
      </c>
      <c r="T490" s="24"/>
      <c r="U490" s="24"/>
      <c r="V490" s="24">
        <v>45867</v>
      </c>
      <c r="W490" s="22" t="s">
        <v>272</v>
      </c>
      <c r="X490" s="4" t="str">
        <f>IF(Tabela2[[#This Row],[sigla]]="","",VLOOKUP(Tabela2[[#This Row],[sigla]],créditos_base!B:C,2,0))</f>
        <v>RAFAEL SILVA/ARQUIVO DA EDITORA</v>
      </c>
      <c r="Y490" s="23" t="s">
        <v>433</v>
      </c>
      <c r="Z490" s="42" t="s">
        <v>1405</v>
      </c>
      <c r="AA490" s="22">
        <v>14</v>
      </c>
      <c r="AB490" s="20" t="s">
        <v>153</v>
      </c>
      <c r="AC490" s="20" t="s">
        <v>36</v>
      </c>
      <c r="AD490" s="4" t="str">
        <f>"Pitanguá"</f>
        <v>Pitanguá</v>
      </c>
      <c r="AE490" s="14" t="str">
        <f>"Matemática"</f>
        <v>Matemática</v>
      </c>
    </row>
    <row r="491" spans="1:32" s="14" customFormat="1" ht="43.2" x14ac:dyDescent="0.3">
      <c r="A491" s="23" t="s">
        <v>844</v>
      </c>
      <c r="B491" s="20" t="s">
        <v>16</v>
      </c>
      <c r="C491" s="20" t="s">
        <v>7</v>
      </c>
      <c r="D491" s="20" t="s">
        <v>8</v>
      </c>
      <c r="E491" s="22">
        <v>61</v>
      </c>
      <c r="F491" s="22">
        <v>1</v>
      </c>
      <c r="G491" s="22">
        <v>2</v>
      </c>
      <c r="H491" s="22"/>
      <c r="I491" s="23" t="s">
        <v>9</v>
      </c>
      <c r="J491" s="23"/>
      <c r="K491" s="22"/>
      <c r="L491" s="22"/>
      <c r="M491" s="23"/>
      <c r="N491" s="23"/>
      <c r="O491" s="26" t="s">
        <v>845</v>
      </c>
      <c r="P491" s="26"/>
      <c r="Q491" s="22"/>
      <c r="R491" s="24"/>
      <c r="S491" s="24"/>
      <c r="T491" s="24"/>
      <c r="U491" s="24"/>
      <c r="V491" s="24"/>
      <c r="W491" s="22" t="s">
        <v>20</v>
      </c>
      <c r="X491" s="4" t="str">
        <f>IF(Tabela2[[#This Row],[sigla]]="","",VLOOKUP(Tabela2[[#This Row],[sigla]],créditos_base!B:C,2,0))</f>
        <v>SONIA HORN/ARQUIVO DA EDITORA</v>
      </c>
      <c r="Y491" s="23"/>
      <c r="Z491" s="23" t="str">
        <f>Tabela2[[#This Row],[ilustrador]]</f>
        <v>SONIA HORN/ARQUIVO DA EDITORA</v>
      </c>
      <c r="AA491" s="22"/>
      <c r="AB491" s="20"/>
      <c r="AC491" s="20"/>
      <c r="AD491" s="4" t="str">
        <f>"Pitanguá"</f>
        <v>Pitanguá</v>
      </c>
      <c r="AE491" s="14" t="str">
        <f>"Matemática"</f>
        <v>Matemática</v>
      </c>
    </row>
    <row r="492" spans="1:32" s="14" customFormat="1" ht="43.2" x14ac:dyDescent="0.3">
      <c r="A492" s="23" t="s">
        <v>1006</v>
      </c>
      <c r="B492" s="20" t="s">
        <v>16</v>
      </c>
      <c r="C492" s="20" t="s">
        <v>7</v>
      </c>
      <c r="D492" s="20" t="s">
        <v>8</v>
      </c>
      <c r="E492" s="22">
        <v>50</v>
      </c>
      <c r="F492" s="22">
        <v>4</v>
      </c>
      <c r="G492" s="22">
        <v>2</v>
      </c>
      <c r="H492" s="22"/>
      <c r="I492" s="23" t="s">
        <v>33</v>
      </c>
      <c r="J492" s="23"/>
      <c r="K492" s="22"/>
      <c r="L492" s="22"/>
      <c r="M492" s="23"/>
      <c r="N492" s="23"/>
      <c r="O492" s="26" t="s">
        <v>1007</v>
      </c>
      <c r="P492" s="26"/>
      <c r="Q492" s="22">
        <v>42</v>
      </c>
      <c r="R492" s="24">
        <v>45783</v>
      </c>
      <c r="S492" s="24">
        <v>45783</v>
      </c>
      <c r="T492" s="24"/>
      <c r="U492" s="24"/>
      <c r="V492" s="24">
        <v>45783</v>
      </c>
      <c r="W492" s="22" t="s">
        <v>160</v>
      </c>
      <c r="X492" s="4" t="str">
        <f>IF(Tabela2[[#This Row],[sigla]]="","",VLOOKUP(Tabela2[[#This Row],[sigla]],créditos_base!B:C,2,0))</f>
        <v>SERGIO LIMA/ARQUIVO DA EDITORA</v>
      </c>
      <c r="Y492" s="23" t="s">
        <v>152</v>
      </c>
      <c r="Z492" s="23" t="str">
        <f>Tabela2[[#This Row],[ilustrador]]</f>
        <v>SERGIO LIMA/ARQUIVO DA EDITORA</v>
      </c>
      <c r="AA492" s="22">
        <v>13</v>
      </c>
      <c r="AB492" s="20" t="s">
        <v>153</v>
      </c>
      <c r="AC492" s="20" t="s">
        <v>36</v>
      </c>
      <c r="AD492" s="4" t="str">
        <f>"Pitanguá"</f>
        <v>Pitanguá</v>
      </c>
      <c r="AE492" s="14" t="str">
        <f>"Matemática"</f>
        <v>Matemática</v>
      </c>
    </row>
    <row r="493" spans="1:32" s="14" customFormat="1" ht="43.2" x14ac:dyDescent="0.3">
      <c r="A493" s="23" t="s">
        <v>5561</v>
      </c>
      <c r="B493" s="20" t="s">
        <v>16</v>
      </c>
      <c r="C493" s="20" t="s">
        <v>89</v>
      </c>
      <c r="D493" s="20" t="s">
        <v>8</v>
      </c>
      <c r="E493" s="22">
        <v>44</v>
      </c>
      <c r="F493" s="22">
        <v>5</v>
      </c>
      <c r="G493" s="22">
        <v>2</v>
      </c>
      <c r="H493" s="22"/>
      <c r="I493" s="23" t="s">
        <v>33</v>
      </c>
      <c r="J493" s="23"/>
      <c r="K493" s="22"/>
      <c r="L493" s="22"/>
      <c r="M493" s="23"/>
      <c r="N493" s="23"/>
      <c r="O493" s="26" t="s">
        <v>5562</v>
      </c>
      <c r="P493" s="26"/>
      <c r="Q493" s="22">
        <v>129</v>
      </c>
      <c r="R493" s="24">
        <v>45863</v>
      </c>
      <c r="S493" s="24">
        <v>45866</v>
      </c>
      <c r="T493" s="24"/>
      <c r="U493" s="24"/>
      <c r="V493" s="24">
        <v>45867</v>
      </c>
      <c r="W493" s="22" t="s">
        <v>272</v>
      </c>
      <c r="X493" s="4" t="str">
        <f>IF(Tabela2[[#This Row],[sigla]]="","",VLOOKUP(Tabela2[[#This Row],[sigla]],créditos_base!B:C,2,0))</f>
        <v>RAFAEL SILVA/ARQUIVO DA EDITORA</v>
      </c>
      <c r="Y493" s="23" t="s">
        <v>433</v>
      </c>
      <c r="Z493" s="42" t="s">
        <v>1405</v>
      </c>
      <c r="AA493" s="22">
        <v>14</v>
      </c>
      <c r="AB493" s="20" t="s">
        <v>153</v>
      </c>
      <c r="AC493" s="20" t="s">
        <v>36</v>
      </c>
      <c r="AD493" s="4" t="str">
        <f>"Pitanguá"</f>
        <v>Pitanguá</v>
      </c>
      <c r="AE493" s="14" t="str">
        <f>"Matemática"</f>
        <v>Matemática</v>
      </c>
    </row>
    <row r="494" spans="1:32" s="14" customFormat="1" ht="43.2" x14ac:dyDescent="0.3">
      <c r="A494" s="23" t="s">
        <v>1008</v>
      </c>
      <c r="B494" s="20" t="s">
        <v>16</v>
      </c>
      <c r="C494" s="20" t="s">
        <v>7</v>
      </c>
      <c r="D494" s="20" t="s">
        <v>8</v>
      </c>
      <c r="E494" s="22">
        <v>50</v>
      </c>
      <c r="F494" s="22">
        <v>4</v>
      </c>
      <c r="G494" s="22">
        <v>2</v>
      </c>
      <c r="H494" s="22"/>
      <c r="I494" s="23" t="s">
        <v>33</v>
      </c>
      <c r="J494" s="23"/>
      <c r="K494" s="22"/>
      <c r="L494" s="22"/>
      <c r="M494" s="23"/>
      <c r="N494" s="23"/>
      <c r="O494" s="26" t="s">
        <v>1009</v>
      </c>
      <c r="P494" s="26"/>
      <c r="Q494" s="22">
        <v>42</v>
      </c>
      <c r="R494" s="24">
        <v>45783</v>
      </c>
      <c r="S494" s="24">
        <v>45783</v>
      </c>
      <c r="T494" s="24"/>
      <c r="U494" s="24"/>
      <c r="V494" s="24">
        <v>45783</v>
      </c>
      <c r="W494" s="22" t="s">
        <v>160</v>
      </c>
      <c r="X494" s="4" t="str">
        <f>IF(Tabela2[[#This Row],[sigla]]="","",VLOOKUP(Tabela2[[#This Row],[sigla]],créditos_base!B:C,2,0))</f>
        <v>SERGIO LIMA/ARQUIVO DA EDITORA</v>
      </c>
      <c r="Y494" s="23" t="s">
        <v>152</v>
      </c>
      <c r="Z494" s="23" t="str">
        <f>Tabela2[[#This Row],[ilustrador]]</f>
        <v>SERGIO LIMA/ARQUIVO DA EDITORA</v>
      </c>
      <c r="AA494" s="22">
        <v>13</v>
      </c>
      <c r="AB494" s="20" t="s">
        <v>153</v>
      </c>
      <c r="AC494" s="20" t="s">
        <v>36</v>
      </c>
      <c r="AD494" s="4" t="str">
        <f>"Pitanguá"</f>
        <v>Pitanguá</v>
      </c>
      <c r="AE494" s="14" t="str">
        <f>"Matemática"</f>
        <v>Matemática</v>
      </c>
    </row>
    <row r="495" spans="1:32" s="14" customFormat="1" ht="43.2" x14ac:dyDescent="0.3">
      <c r="A495" s="23" t="s">
        <v>5563</v>
      </c>
      <c r="B495" s="20" t="s">
        <v>16</v>
      </c>
      <c r="C495" s="20" t="s">
        <v>89</v>
      </c>
      <c r="D495" s="20" t="s">
        <v>8</v>
      </c>
      <c r="E495" s="22">
        <v>44</v>
      </c>
      <c r="F495" s="22">
        <v>5</v>
      </c>
      <c r="G495" s="22">
        <v>2</v>
      </c>
      <c r="H495" s="22"/>
      <c r="I495" s="23" t="s">
        <v>33</v>
      </c>
      <c r="J495" s="23"/>
      <c r="K495" s="22"/>
      <c r="L495" s="22"/>
      <c r="M495" s="23"/>
      <c r="N495" s="23"/>
      <c r="O495" s="26" t="s">
        <v>5564</v>
      </c>
      <c r="P495" s="26"/>
      <c r="Q495" s="22">
        <v>129</v>
      </c>
      <c r="R495" s="24">
        <v>45863</v>
      </c>
      <c r="S495" s="24">
        <v>45866</v>
      </c>
      <c r="T495" s="24"/>
      <c r="U495" s="24"/>
      <c r="V495" s="24">
        <v>45867</v>
      </c>
      <c r="W495" s="22" t="s">
        <v>272</v>
      </c>
      <c r="X495" s="4" t="str">
        <f>IF(Tabela2[[#This Row],[sigla]]="","",VLOOKUP(Tabela2[[#This Row],[sigla]],créditos_base!B:C,2,0))</f>
        <v>RAFAEL SILVA/ARQUIVO DA EDITORA</v>
      </c>
      <c r="Y495" s="23" t="s">
        <v>433</v>
      </c>
      <c r="Z495" s="42" t="s">
        <v>1405</v>
      </c>
      <c r="AA495" s="22">
        <v>14</v>
      </c>
      <c r="AB495" s="20" t="s">
        <v>153</v>
      </c>
      <c r="AC495" s="20" t="s">
        <v>36</v>
      </c>
      <c r="AD495" s="4" t="str">
        <f>"Pitanguá"</f>
        <v>Pitanguá</v>
      </c>
      <c r="AE495" s="14" t="str">
        <f>"Matemática"</f>
        <v>Matemática</v>
      </c>
    </row>
    <row r="496" spans="1:32" ht="43.2" x14ac:dyDescent="0.3">
      <c r="A496" s="23" t="s">
        <v>1010</v>
      </c>
      <c r="B496" s="20" t="s">
        <v>16</v>
      </c>
      <c r="C496" s="20" t="s">
        <v>89</v>
      </c>
      <c r="D496" s="20" t="s">
        <v>8</v>
      </c>
      <c r="E496" s="22">
        <v>50</v>
      </c>
      <c r="F496" s="22">
        <v>4</v>
      </c>
      <c r="G496" s="22">
        <v>2</v>
      </c>
      <c r="H496" s="22"/>
      <c r="I496" s="23" t="s">
        <v>90</v>
      </c>
      <c r="J496" s="23"/>
      <c r="K496" s="22"/>
      <c r="L496" s="22"/>
      <c r="M496" s="23"/>
      <c r="N496" s="23"/>
      <c r="O496" s="26" t="s">
        <v>1011</v>
      </c>
      <c r="P496" s="26"/>
      <c r="Q496" s="22">
        <v>9</v>
      </c>
      <c r="R496" s="24">
        <v>45733</v>
      </c>
      <c r="S496" s="24">
        <v>45733</v>
      </c>
      <c r="T496" s="24"/>
      <c r="U496" s="24"/>
      <c r="V496" s="24">
        <v>45734</v>
      </c>
      <c r="W496" s="22" t="s">
        <v>999</v>
      </c>
      <c r="X496" s="4" t="str">
        <f>IF(Tabela2[[#This Row],[sigla]]="","",VLOOKUP(Tabela2[[#This Row],[sigla]],créditos_base!B:C,2,0))</f>
        <v>VINÍCIUS COSTA/ARQUIVO DA EDITORA</v>
      </c>
      <c r="Y496" s="23"/>
      <c r="Z496" s="23" t="str">
        <f>Tabela2[[#This Row],[ilustrador]]</f>
        <v>VINÍCIUS COSTA/ARQUIVO DA EDITORA</v>
      </c>
      <c r="AA496" s="22">
        <v>8</v>
      </c>
      <c r="AB496" s="20"/>
      <c r="AC496" s="20" t="s">
        <v>36</v>
      </c>
      <c r="AD496" s="4" t="str">
        <f>"Pitanguá"</f>
        <v>Pitanguá</v>
      </c>
      <c r="AE496" s="14" t="str">
        <f>"Matemática"</f>
        <v>Matemática</v>
      </c>
      <c r="AF496" s="14"/>
    </row>
    <row r="497" spans="1:32" ht="57.6" x14ac:dyDescent="0.3">
      <c r="A497" s="23" t="s">
        <v>5565</v>
      </c>
      <c r="B497" s="20" t="s">
        <v>16</v>
      </c>
      <c r="C497" s="20" t="s">
        <v>89</v>
      </c>
      <c r="D497" s="20" t="s">
        <v>8</v>
      </c>
      <c r="E497" s="22">
        <v>44</v>
      </c>
      <c r="F497" s="22">
        <v>5</v>
      </c>
      <c r="G497" s="22">
        <v>2</v>
      </c>
      <c r="H497" s="22"/>
      <c r="I497" s="23" t="s">
        <v>33</v>
      </c>
      <c r="J497" s="23"/>
      <c r="K497" s="22"/>
      <c r="L497" s="22"/>
      <c r="M497" s="23"/>
      <c r="N497" s="23"/>
      <c r="O497" s="26" t="s">
        <v>5566</v>
      </c>
      <c r="P497" s="26"/>
      <c r="Q497" s="22">
        <v>129</v>
      </c>
      <c r="R497" s="24">
        <v>45863</v>
      </c>
      <c r="S497" s="24">
        <v>45866</v>
      </c>
      <c r="T497" s="24"/>
      <c r="U497" s="24"/>
      <c r="V497" s="24">
        <v>45867</v>
      </c>
      <c r="W497" s="22" t="s">
        <v>272</v>
      </c>
      <c r="X497" s="4" t="str">
        <f>IF(Tabela2[[#This Row],[sigla]]="","",VLOOKUP(Tabela2[[#This Row],[sigla]],créditos_base!B:C,2,0))</f>
        <v>RAFAEL SILVA/ARQUIVO DA EDITORA</v>
      </c>
      <c r="Y497" s="23" t="s">
        <v>433</v>
      </c>
      <c r="Z497" s="42" t="s">
        <v>1405</v>
      </c>
      <c r="AA497" s="22">
        <v>14</v>
      </c>
      <c r="AB497" s="20" t="s">
        <v>153</v>
      </c>
      <c r="AC497" s="20" t="s">
        <v>36</v>
      </c>
      <c r="AD497" s="4" t="str">
        <f>"Pitanguá"</f>
        <v>Pitanguá</v>
      </c>
      <c r="AE497" s="14" t="str">
        <f>"Matemática"</f>
        <v>Matemática</v>
      </c>
      <c r="AF497" s="14"/>
    </row>
    <row r="498" spans="1:32" ht="28.8" x14ac:dyDescent="0.3">
      <c r="A498" s="23" t="s">
        <v>1012</v>
      </c>
      <c r="B498" s="20" t="s">
        <v>16</v>
      </c>
      <c r="C498" s="20" t="s">
        <v>7</v>
      </c>
      <c r="D498" s="20" t="s">
        <v>8</v>
      </c>
      <c r="E498" s="22">
        <v>51</v>
      </c>
      <c r="F498" s="22">
        <v>4</v>
      </c>
      <c r="G498" s="22">
        <v>2</v>
      </c>
      <c r="H498" s="22"/>
      <c r="I498" s="23" t="s">
        <v>33</v>
      </c>
      <c r="J498" s="23"/>
      <c r="K498" s="22"/>
      <c r="L498" s="22"/>
      <c r="M498" s="23"/>
      <c r="N498" s="23"/>
      <c r="O498" s="26" t="s">
        <v>1013</v>
      </c>
      <c r="P498" s="26"/>
      <c r="Q498" s="22">
        <v>42</v>
      </c>
      <c r="R498" s="24">
        <v>45783</v>
      </c>
      <c r="S498" s="24">
        <v>45783</v>
      </c>
      <c r="T498" s="24"/>
      <c r="U498" s="24"/>
      <c r="V498" s="24">
        <v>45783</v>
      </c>
      <c r="W498" s="22" t="s">
        <v>160</v>
      </c>
      <c r="X498" s="4" t="str">
        <f>IF(Tabela2[[#This Row],[sigla]]="","",VLOOKUP(Tabela2[[#This Row],[sigla]],créditos_base!B:C,2,0))</f>
        <v>SERGIO LIMA/ARQUIVO DA EDITORA</v>
      </c>
      <c r="Y498" s="23" t="s">
        <v>152</v>
      </c>
      <c r="Z498" s="23" t="str">
        <f>Tabela2[[#This Row],[ilustrador]]</f>
        <v>SERGIO LIMA/ARQUIVO DA EDITORA</v>
      </c>
      <c r="AA498" s="22">
        <v>13</v>
      </c>
      <c r="AB498" s="20" t="s">
        <v>153</v>
      </c>
      <c r="AC498" s="20" t="s">
        <v>36</v>
      </c>
      <c r="AD498" s="4" t="str">
        <f>"Pitanguá"</f>
        <v>Pitanguá</v>
      </c>
      <c r="AE498" s="14" t="str">
        <f>"Matemática"</f>
        <v>Matemática</v>
      </c>
      <c r="AF498" s="14"/>
    </row>
    <row r="499" spans="1:32" ht="28.8" x14ac:dyDescent="0.3">
      <c r="A499" s="23" t="s">
        <v>5544</v>
      </c>
      <c r="B499" s="20" t="s">
        <v>16</v>
      </c>
      <c r="C499" s="20" t="s">
        <v>7</v>
      </c>
      <c r="D499" s="20" t="s">
        <v>8</v>
      </c>
      <c r="E499" s="22">
        <v>42</v>
      </c>
      <c r="F499" s="22">
        <v>5</v>
      </c>
      <c r="G499" s="22">
        <v>2</v>
      </c>
      <c r="H499" s="22"/>
      <c r="I499" s="23" t="s">
        <v>90</v>
      </c>
      <c r="J499" s="23"/>
      <c r="K499" s="22"/>
      <c r="L499" s="22"/>
      <c r="M499" s="23"/>
      <c r="N499" s="23"/>
      <c r="O499" s="26" t="s">
        <v>5545</v>
      </c>
      <c r="P499" s="26"/>
      <c r="Q499" s="22">
        <v>129</v>
      </c>
      <c r="R499" s="24">
        <v>45863</v>
      </c>
      <c r="S499" s="24">
        <v>45866</v>
      </c>
      <c r="T499" s="24">
        <v>45874</v>
      </c>
      <c r="U499" s="24">
        <v>45875</v>
      </c>
      <c r="V499" s="24">
        <v>45882</v>
      </c>
      <c r="W499" s="22" t="s">
        <v>31</v>
      </c>
      <c r="X499" s="4" t="str">
        <f>IF(Tabela2[[#This Row],[sigla]]="","",VLOOKUP(Tabela2[[#This Row],[sigla]],créditos_base!B:C,2,0))</f>
        <v>SILVIA OTOFUJI/ARQUIVO DA EDITORA</v>
      </c>
      <c r="Y499" s="23"/>
      <c r="Z499" s="23" t="str">
        <f>Tabela2[[#This Row],[ilustrador]]</f>
        <v>SILVIA OTOFUJI/ARQUIVO DA EDITORA</v>
      </c>
      <c r="AA499" s="22">
        <v>7</v>
      </c>
      <c r="AB499" s="20" t="s">
        <v>5546</v>
      </c>
      <c r="AC499" s="20" t="s">
        <v>310</v>
      </c>
      <c r="AD499" s="4" t="str">
        <f>"Pitanguá"</f>
        <v>Pitanguá</v>
      </c>
      <c r="AE499" s="14" t="str">
        <f>"Matemática"</f>
        <v>Matemática</v>
      </c>
      <c r="AF499" s="14"/>
    </row>
    <row r="500" spans="1:32" ht="28.8" x14ac:dyDescent="0.3">
      <c r="A500" s="23" t="s">
        <v>1014</v>
      </c>
      <c r="B500" s="20" t="s">
        <v>16</v>
      </c>
      <c r="C500" s="20" t="s">
        <v>7</v>
      </c>
      <c r="D500" s="20" t="s">
        <v>8</v>
      </c>
      <c r="E500" s="22">
        <v>51</v>
      </c>
      <c r="F500" s="22">
        <v>4</v>
      </c>
      <c r="G500" s="22">
        <v>2</v>
      </c>
      <c r="H500" s="22"/>
      <c r="I500" s="23" t="s">
        <v>33</v>
      </c>
      <c r="J500" s="23"/>
      <c r="K500" s="22"/>
      <c r="L500" s="22"/>
      <c r="M500" s="23"/>
      <c r="N500" s="23"/>
      <c r="O500" s="26" t="s">
        <v>1015</v>
      </c>
      <c r="P500" s="26"/>
      <c r="Q500" s="22">
        <v>42</v>
      </c>
      <c r="R500" s="24">
        <v>45783</v>
      </c>
      <c r="S500" s="24">
        <v>45783</v>
      </c>
      <c r="T500" s="24"/>
      <c r="U500" s="24"/>
      <c r="V500" s="24">
        <v>45783</v>
      </c>
      <c r="W500" s="22" t="s">
        <v>160</v>
      </c>
      <c r="X500" s="4" t="str">
        <f>IF(Tabela2[[#This Row],[sigla]]="","",VLOOKUP(Tabela2[[#This Row],[sigla]],créditos_base!B:C,2,0))</f>
        <v>SERGIO LIMA/ARQUIVO DA EDITORA</v>
      </c>
      <c r="Y500" s="23" t="s">
        <v>152</v>
      </c>
      <c r="Z500" s="23" t="str">
        <f>Tabela2[[#This Row],[ilustrador]]</f>
        <v>SERGIO LIMA/ARQUIVO DA EDITORA</v>
      </c>
      <c r="AA500" s="22">
        <v>13</v>
      </c>
      <c r="AB500" s="20" t="s">
        <v>153</v>
      </c>
      <c r="AC500" s="20" t="s">
        <v>36</v>
      </c>
      <c r="AD500" s="4" t="str">
        <f>"Pitanguá"</f>
        <v>Pitanguá</v>
      </c>
      <c r="AE500" s="14" t="str">
        <f>"Matemática"</f>
        <v>Matemática</v>
      </c>
      <c r="AF500" s="14"/>
    </row>
    <row r="501" spans="1:32" ht="28.8" x14ac:dyDescent="0.3">
      <c r="A501" s="23" t="s">
        <v>5547</v>
      </c>
      <c r="B501" s="20" t="s">
        <v>16</v>
      </c>
      <c r="C501" s="20" t="s">
        <v>7</v>
      </c>
      <c r="D501" s="20" t="s">
        <v>8</v>
      </c>
      <c r="E501" s="22">
        <v>42</v>
      </c>
      <c r="F501" s="22">
        <v>5</v>
      </c>
      <c r="G501" s="22">
        <v>2</v>
      </c>
      <c r="H501" s="22"/>
      <c r="I501" s="23" t="s">
        <v>33</v>
      </c>
      <c r="J501" s="23"/>
      <c r="K501" s="22"/>
      <c r="L501" s="22"/>
      <c r="M501" s="23"/>
      <c r="N501" s="23"/>
      <c r="O501" s="26" t="s">
        <v>5548</v>
      </c>
      <c r="P501" s="26"/>
      <c r="Q501" s="22">
        <v>129</v>
      </c>
      <c r="R501" s="24">
        <v>45863</v>
      </c>
      <c r="S501" s="24">
        <v>45866</v>
      </c>
      <c r="T501" s="24"/>
      <c r="U501" s="24"/>
      <c r="V501" s="24">
        <v>45867</v>
      </c>
      <c r="W501" s="22" t="s">
        <v>31</v>
      </c>
      <c r="X501" s="4" t="str">
        <f>IF(Tabela2[[#This Row],[sigla]]="","",VLOOKUP(Tabela2[[#This Row],[sigla]],créditos_base!B:C,2,0))</f>
        <v>SILVIA OTOFUJI/ARQUIVO DA EDITORA</v>
      </c>
      <c r="Y501" s="23" t="s">
        <v>433</v>
      </c>
      <c r="Z501" s="23" t="str">
        <f>Tabela2[[#This Row],[ilustrador]]</f>
        <v>SILVIA OTOFUJI/ARQUIVO DA EDITORA</v>
      </c>
      <c r="AA501" s="22">
        <v>14</v>
      </c>
      <c r="AB501" s="20" t="s">
        <v>153</v>
      </c>
      <c r="AC501" s="20" t="s">
        <v>36</v>
      </c>
      <c r="AD501" s="4" t="str">
        <f>"Pitanguá"</f>
        <v>Pitanguá</v>
      </c>
      <c r="AE501" s="14" t="str">
        <f>"Matemática"</f>
        <v>Matemática</v>
      </c>
      <c r="AF501" s="14"/>
    </row>
    <row r="502" spans="1:32" ht="28.8" x14ac:dyDescent="0.3">
      <c r="A502" s="23" t="s">
        <v>1016</v>
      </c>
      <c r="B502" s="20" t="s">
        <v>16</v>
      </c>
      <c r="C502" s="20" t="s">
        <v>7</v>
      </c>
      <c r="D502" s="20" t="s">
        <v>8</v>
      </c>
      <c r="E502" s="22">
        <v>51</v>
      </c>
      <c r="F502" s="22">
        <v>4</v>
      </c>
      <c r="G502" s="22">
        <v>2</v>
      </c>
      <c r="H502" s="22"/>
      <c r="I502" s="23" t="s">
        <v>33</v>
      </c>
      <c r="J502" s="23"/>
      <c r="K502" s="22"/>
      <c r="L502" s="22"/>
      <c r="M502" s="23"/>
      <c r="N502" s="23"/>
      <c r="O502" s="26" t="s">
        <v>1017</v>
      </c>
      <c r="P502" s="26"/>
      <c r="Q502" s="22">
        <v>42</v>
      </c>
      <c r="R502" s="24">
        <v>45783</v>
      </c>
      <c r="S502" s="24">
        <v>45783</v>
      </c>
      <c r="T502" s="24"/>
      <c r="U502" s="24"/>
      <c r="V502" s="24">
        <v>45783</v>
      </c>
      <c r="W502" s="22" t="s">
        <v>160</v>
      </c>
      <c r="X502" s="4" t="str">
        <f>IF(Tabela2[[#This Row],[sigla]]="","",VLOOKUP(Tabela2[[#This Row],[sigla]],créditos_base!B:C,2,0))</f>
        <v>SERGIO LIMA/ARQUIVO DA EDITORA</v>
      </c>
      <c r="Y502" s="23" t="s">
        <v>152</v>
      </c>
      <c r="Z502" s="23" t="str">
        <f>Tabela2[[#This Row],[ilustrador]]</f>
        <v>SERGIO LIMA/ARQUIVO DA EDITORA</v>
      </c>
      <c r="AA502" s="22">
        <v>13</v>
      </c>
      <c r="AB502" s="20" t="s">
        <v>153</v>
      </c>
      <c r="AC502" s="20" t="s">
        <v>36</v>
      </c>
      <c r="AD502" s="4" t="str">
        <f>"Pitanguá"</f>
        <v>Pitanguá</v>
      </c>
      <c r="AE502" s="14" t="str">
        <f>"Matemática"</f>
        <v>Matemática</v>
      </c>
      <c r="AF502" s="14"/>
    </row>
    <row r="503" spans="1:32" ht="28.8" x14ac:dyDescent="0.3">
      <c r="A503" s="23" t="s">
        <v>5549</v>
      </c>
      <c r="B503" s="20" t="s">
        <v>16</v>
      </c>
      <c r="C503" s="20" t="s">
        <v>7</v>
      </c>
      <c r="D503" s="20" t="s">
        <v>8</v>
      </c>
      <c r="E503" s="22">
        <v>42</v>
      </c>
      <c r="F503" s="22">
        <v>5</v>
      </c>
      <c r="G503" s="22">
        <v>2</v>
      </c>
      <c r="H503" s="22"/>
      <c r="I503" s="23" t="s">
        <v>9</v>
      </c>
      <c r="J503" s="23"/>
      <c r="K503" s="22"/>
      <c r="L503" s="22"/>
      <c r="M503" s="23"/>
      <c r="N503" s="23"/>
      <c r="O503" s="26" t="s">
        <v>5550</v>
      </c>
      <c r="P503" s="26"/>
      <c r="Q503" s="22"/>
      <c r="R503" s="24"/>
      <c r="S503" s="24"/>
      <c r="T503" s="24"/>
      <c r="U503" s="24"/>
      <c r="V503" s="24"/>
      <c r="W503" s="22" t="s">
        <v>31</v>
      </c>
      <c r="X503" s="4" t="str">
        <f>IF(Tabela2[[#This Row],[sigla]]="","",VLOOKUP(Tabela2[[#This Row],[sigla]],créditos_base!B:C,2,0))</f>
        <v>SILVIA OTOFUJI/ARQUIVO DA EDITORA</v>
      </c>
      <c r="Y503" s="23"/>
      <c r="Z503" s="23" t="str">
        <f>Tabela2[[#This Row],[ilustrador]]</f>
        <v>SILVIA OTOFUJI/ARQUIVO DA EDITORA</v>
      </c>
      <c r="AA503" s="22"/>
      <c r="AB503" s="20"/>
      <c r="AD503" s="4" t="str">
        <f>"Pitanguá"</f>
        <v>Pitanguá</v>
      </c>
      <c r="AE503" s="14" t="str">
        <f>"Matemática"</f>
        <v>Matemática</v>
      </c>
      <c r="AF503" s="14"/>
    </row>
    <row r="504" spans="1:32" ht="28.8" x14ac:dyDescent="0.3">
      <c r="A504" s="23" t="s">
        <v>790</v>
      </c>
      <c r="B504" s="20" t="s">
        <v>16</v>
      </c>
      <c r="C504" s="20" t="s">
        <v>7</v>
      </c>
      <c r="D504" s="20" t="s">
        <v>8</v>
      </c>
      <c r="E504" s="22">
        <v>63</v>
      </c>
      <c r="F504" s="22">
        <v>1</v>
      </c>
      <c r="G504" s="22">
        <v>2</v>
      </c>
      <c r="H504" s="22"/>
      <c r="I504" s="23" t="s">
        <v>33</v>
      </c>
      <c r="J504" s="23"/>
      <c r="K504" s="22"/>
      <c r="L504" s="22"/>
      <c r="M504" s="23"/>
      <c r="N504" s="23"/>
      <c r="O504" s="26" t="s">
        <v>791</v>
      </c>
      <c r="P504" s="26"/>
      <c r="Q504" s="22">
        <v>8</v>
      </c>
      <c r="R504" s="24">
        <v>45733</v>
      </c>
      <c r="S504" s="24">
        <v>45733</v>
      </c>
      <c r="T504" s="24"/>
      <c r="U504" s="24"/>
      <c r="V504" s="24">
        <v>45734</v>
      </c>
      <c r="W504" s="22" t="s">
        <v>72</v>
      </c>
      <c r="X504" s="4" t="str">
        <f>IF(Tabela2[[#This Row],[sigla]]="","",VLOOKUP(Tabela2[[#This Row],[sigla]],créditos_base!B:C,2,0))</f>
        <v>HELOÍSA PINTARELLI/ARQUIVO DA EDITORA</v>
      </c>
      <c r="Y504" s="23" t="s">
        <v>140</v>
      </c>
      <c r="Z504" s="23" t="str">
        <f>Tabela2[[#This Row],[ilustrador]]</f>
        <v>HELOÍSA PINTARELLI/ARQUIVO DA EDITORA</v>
      </c>
      <c r="AA504" s="22">
        <v>13</v>
      </c>
      <c r="AB504" s="20"/>
      <c r="AC504" s="20" t="s">
        <v>36</v>
      </c>
      <c r="AD504" s="4" t="str">
        <f>"Pitanguá"</f>
        <v>Pitanguá</v>
      </c>
      <c r="AE504" s="14" t="str">
        <f>"Matemática"</f>
        <v>Matemática</v>
      </c>
      <c r="AF504" s="14"/>
    </row>
    <row r="505" spans="1:32" ht="28.8" x14ac:dyDescent="0.3">
      <c r="A505" s="23" t="s">
        <v>1018</v>
      </c>
      <c r="B505" s="20" t="s">
        <v>16</v>
      </c>
      <c r="C505" s="20" t="s">
        <v>7</v>
      </c>
      <c r="D505" s="20" t="s">
        <v>8</v>
      </c>
      <c r="E505" s="22">
        <v>51</v>
      </c>
      <c r="F505" s="22">
        <v>4</v>
      </c>
      <c r="G505" s="22">
        <v>2</v>
      </c>
      <c r="H505" s="22"/>
      <c r="I505" s="23" t="s">
        <v>33</v>
      </c>
      <c r="J505" s="23"/>
      <c r="K505" s="22"/>
      <c r="L505" s="22"/>
      <c r="M505" s="23"/>
      <c r="N505" s="23"/>
      <c r="O505" s="26" t="s">
        <v>1019</v>
      </c>
      <c r="P505" s="26"/>
      <c r="Q505" s="22">
        <v>42</v>
      </c>
      <c r="R505" s="24">
        <v>45783</v>
      </c>
      <c r="S505" s="24">
        <v>45783</v>
      </c>
      <c r="T505" s="24"/>
      <c r="U505" s="24"/>
      <c r="V505" s="24">
        <v>45783</v>
      </c>
      <c r="W505" s="22" t="s">
        <v>160</v>
      </c>
      <c r="X505" s="4" t="str">
        <f>IF(Tabela2[[#This Row],[sigla]]="","",VLOOKUP(Tabela2[[#This Row],[sigla]],créditos_base!B:C,2,0))</f>
        <v>SERGIO LIMA/ARQUIVO DA EDITORA</v>
      </c>
      <c r="Y505" s="23" t="s">
        <v>152</v>
      </c>
      <c r="Z505" s="23" t="str">
        <f>Tabela2[[#This Row],[ilustrador]]</f>
        <v>SERGIO LIMA/ARQUIVO DA EDITORA</v>
      </c>
      <c r="AA505" s="22">
        <v>13</v>
      </c>
      <c r="AB505" s="20" t="s">
        <v>153</v>
      </c>
      <c r="AC505" s="20" t="s">
        <v>36</v>
      </c>
      <c r="AD505" s="4" t="str">
        <f>"Pitanguá"</f>
        <v>Pitanguá</v>
      </c>
      <c r="AE505" s="14" t="str">
        <f>"Matemática"</f>
        <v>Matemática</v>
      </c>
      <c r="AF505" s="14"/>
    </row>
    <row r="506" spans="1:32" ht="28.8" x14ac:dyDescent="0.3">
      <c r="A506" s="23" t="s">
        <v>5551</v>
      </c>
      <c r="B506" s="20" t="s">
        <v>16</v>
      </c>
      <c r="C506" s="20" t="s">
        <v>7</v>
      </c>
      <c r="D506" s="20" t="s">
        <v>8</v>
      </c>
      <c r="E506" s="22">
        <v>43</v>
      </c>
      <c r="F506" s="22">
        <v>5</v>
      </c>
      <c r="G506" s="22">
        <v>2</v>
      </c>
      <c r="H506" s="22"/>
      <c r="I506" s="23" t="s">
        <v>9</v>
      </c>
      <c r="J506" s="23"/>
      <c r="K506" s="22"/>
      <c r="L506" s="22"/>
      <c r="M506" s="23"/>
      <c r="N506" s="23"/>
      <c r="O506" s="26" t="s">
        <v>5552</v>
      </c>
      <c r="P506" s="26"/>
      <c r="Q506" s="22"/>
      <c r="R506" s="24"/>
      <c r="S506" s="24"/>
      <c r="T506" s="24"/>
      <c r="U506" s="24"/>
      <c r="V506" s="24"/>
      <c r="W506" s="22" t="s">
        <v>31</v>
      </c>
      <c r="X506" s="4" t="str">
        <f>IF(Tabela2[[#This Row],[sigla]]="","",VLOOKUP(Tabela2[[#This Row],[sigla]],créditos_base!B:C,2,0))</f>
        <v>SILVIA OTOFUJI/ARQUIVO DA EDITORA</v>
      </c>
      <c r="Y506" s="23"/>
      <c r="Z506" s="23" t="str">
        <f>Tabela2[[#This Row],[ilustrador]]</f>
        <v>SILVIA OTOFUJI/ARQUIVO DA EDITORA</v>
      </c>
      <c r="AA506" s="22"/>
      <c r="AB506" s="20"/>
      <c r="AD506" s="4" t="str">
        <f>"Pitanguá"</f>
        <v>Pitanguá</v>
      </c>
      <c r="AE506" s="14" t="str">
        <f>"Matemática"</f>
        <v>Matemática</v>
      </c>
      <c r="AF506" s="14"/>
    </row>
    <row r="507" spans="1:32" ht="28.8" x14ac:dyDescent="0.3">
      <c r="A507" s="23" t="s">
        <v>1020</v>
      </c>
      <c r="B507" s="20" t="s">
        <v>16</v>
      </c>
      <c r="C507" s="20" t="s">
        <v>7</v>
      </c>
      <c r="D507" s="20" t="s">
        <v>8</v>
      </c>
      <c r="E507" s="22">
        <v>51</v>
      </c>
      <c r="F507" s="22">
        <v>4</v>
      </c>
      <c r="G507" s="22">
        <v>2</v>
      </c>
      <c r="H507" s="22"/>
      <c r="I507" s="23" t="s">
        <v>33</v>
      </c>
      <c r="J507" s="23"/>
      <c r="K507" s="22"/>
      <c r="L507" s="22"/>
      <c r="M507" s="23"/>
      <c r="N507" s="23"/>
      <c r="O507" s="26" t="s">
        <v>1021</v>
      </c>
      <c r="P507" s="26"/>
      <c r="Q507" s="22">
        <v>42</v>
      </c>
      <c r="R507" s="24">
        <v>45783</v>
      </c>
      <c r="S507" s="24">
        <v>45783</v>
      </c>
      <c r="T507" s="24"/>
      <c r="U507" s="24"/>
      <c r="V507" s="24">
        <v>45783</v>
      </c>
      <c r="W507" s="22" t="s">
        <v>160</v>
      </c>
      <c r="X507" s="4" t="str">
        <f>IF(Tabela2[[#This Row],[sigla]]="","",VLOOKUP(Tabela2[[#This Row],[sigla]],créditos_base!B:C,2,0))</f>
        <v>SERGIO LIMA/ARQUIVO DA EDITORA</v>
      </c>
      <c r="Y507" s="23" t="s">
        <v>152</v>
      </c>
      <c r="Z507" s="23" t="str">
        <f>Tabela2[[#This Row],[ilustrador]]</f>
        <v>SERGIO LIMA/ARQUIVO DA EDITORA</v>
      </c>
      <c r="AA507" s="22">
        <v>13</v>
      </c>
      <c r="AB507" s="20" t="s">
        <v>153</v>
      </c>
      <c r="AC507" s="20" t="s">
        <v>36</v>
      </c>
      <c r="AD507" s="4" t="str">
        <f>"Pitanguá"</f>
        <v>Pitanguá</v>
      </c>
      <c r="AE507" s="14" t="str">
        <f>"Matemática"</f>
        <v>Matemática</v>
      </c>
      <c r="AF507" s="14"/>
    </row>
    <row r="508" spans="1:32" ht="28.8" x14ac:dyDescent="0.3">
      <c r="A508" s="23" t="s">
        <v>1022</v>
      </c>
      <c r="B508" s="20" t="s">
        <v>16</v>
      </c>
      <c r="C508" s="20" t="s">
        <v>7</v>
      </c>
      <c r="D508" s="20" t="s">
        <v>8</v>
      </c>
      <c r="E508" s="22">
        <v>51</v>
      </c>
      <c r="F508" s="22">
        <v>4</v>
      </c>
      <c r="G508" s="22">
        <v>2</v>
      </c>
      <c r="H508" s="22"/>
      <c r="I508" s="23" t="s">
        <v>33</v>
      </c>
      <c r="J508" s="23"/>
      <c r="K508" s="22"/>
      <c r="L508" s="22"/>
      <c r="M508" s="23"/>
      <c r="N508" s="23"/>
      <c r="O508" s="26" t="s">
        <v>1023</v>
      </c>
      <c r="P508" s="26"/>
      <c r="Q508" s="22">
        <v>42</v>
      </c>
      <c r="R508" s="24">
        <v>45783</v>
      </c>
      <c r="S508" s="24">
        <v>45783</v>
      </c>
      <c r="T508" s="24"/>
      <c r="U508" s="24"/>
      <c r="V508" s="24">
        <v>45783</v>
      </c>
      <c r="W508" s="22" t="s">
        <v>160</v>
      </c>
      <c r="X508" s="4" t="str">
        <f>IF(Tabela2[[#This Row],[sigla]]="","",VLOOKUP(Tabela2[[#This Row],[sigla]],créditos_base!B:C,2,0))</f>
        <v>SERGIO LIMA/ARQUIVO DA EDITORA</v>
      </c>
      <c r="Y508" s="23" t="s">
        <v>152</v>
      </c>
      <c r="Z508" s="23" t="str">
        <f>Tabela2[[#This Row],[ilustrador]]</f>
        <v>SERGIO LIMA/ARQUIVO DA EDITORA</v>
      </c>
      <c r="AA508" s="22">
        <v>13</v>
      </c>
      <c r="AB508" s="20" t="s">
        <v>153</v>
      </c>
      <c r="AC508" s="20" t="s">
        <v>36</v>
      </c>
      <c r="AD508" s="4" t="str">
        <f>"Pitanguá"</f>
        <v>Pitanguá</v>
      </c>
      <c r="AE508" s="14" t="str">
        <f>"Matemática"</f>
        <v>Matemática</v>
      </c>
      <c r="AF508" s="14"/>
    </row>
    <row r="509" spans="1:32" ht="144" x14ac:dyDescent="0.3">
      <c r="A509" s="23" t="s">
        <v>5553</v>
      </c>
      <c r="B509" s="20" t="s">
        <v>16</v>
      </c>
      <c r="C509" s="20" t="s">
        <v>7</v>
      </c>
      <c r="D509" s="20" t="s">
        <v>8</v>
      </c>
      <c r="E509" s="22">
        <v>43</v>
      </c>
      <c r="F509" s="22">
        <v>5</v>
      </c>
      <c r="G509" s="22">
        <v>2</v>
      </c>
      <c r="H509" s="22"/>
      <c r="I509" s="23" t="s">
        <v>90</v>
      </c>
      <c r="J509" s="23"/>
      <c r="K509" s="22"/>
      <c r="L509" s="22"/>
      <c r="M509" s="23"/>
      <c r="N509" s="23"/>
      <c r="O509" s="26" t="s">
        <v>5554</v>
      </c>
      <c r="P509" s="26"/>
      <c r="Q509" s="22">
        <v>129</v>
      </c>
      <c r="R509" s="24">
        <v>45863</v>
      </c>
      <c r="S509" s="24">
        <v>45866</v>
      </c>
      <c r="T509" s="24">
        <v>45874</v>
      </c>
      <c r="U509" s="24">
        <v>45875</v>
      </c>
      <c r="V509" s="24">
        <v>45882</v>
      </c>
      <c r="W509" s="22" t="s">
        <v>31</v>
      </c>
      <c r="X509" s="4" t="str">
        <f>IF(Tabela2[[#This Row],[sigla]]="","",VLOOKUP(Tabela2[[#This Row],[sigla]],créditos_base!B:C,2,0))</f>
        <v>SILVIA OTOFUJI/ARQUIVO DA EDITORA</v>
      </c>
      <c r="Y509" s="23"/>
      <c r="Z509" s="23" t="str">
        <f>Tabela2[[#This Row],[ilustrador]]</f>
        <v>SILVIA OTOFUJI/ARQUIVO DA EDITORA</v>
      </c>
      <c r="AA509" s="22">
        <v>7</v>
      </c>
      <c r="AB509" s="20" t="s">
        <v>5546</v>
      </c>
      <c r="AC509" s="20" t="s">
        <v>310</v>
      </c>
      <c r="AD509" s="4" t="str">
        <f>"Pitanguá"</f>
        <v>Pitanguá</v>
      </c>
      <c r="AE509" s="14" t="str">
        <f>"Matemática"</f>
        <v>Matemática</v>
      </c>
      <c r="AF509" s="14"/>
    </row>
    <row r="510" spans="1:32" ht="28.8" x14ac:dyDescent="0.3">
      <c r="A510" s="23" t="s">
        <v>1024</v>
      </c>
      <c r="B510" s="20" t="s">
        <v>16</v>
      </c>
      <c r="C510" s="20" t="s">
        <v>7</v>
      </c>
      <c r="D510" s="20" t="s">
        <v>8</v>
      </c>
      <c r="E510" s="22">
        <v>52</v>
      </c>
      <c r="F510" s="22">
        <v>4</v>
      </c>
      <c r="G510" s="22">
        <v>2</v>
      </c>
      <c r="H510" s="22"/>
      <c r="I510" s="23" t="s">
        <v>9</v>
      </c>
      <c r="J510" s="23"/>
      <c r="K510" s="22"/>
      <c r="L510" s="22"/>
      <c r="M510" s="23"/>
      <c r="N510" s="23"/>
      <c r="O510" s="26" t="s">
        <v>1025</v>
      </c>
      <c r="P510" s="26"/>
      <c r="Q510" s="22"/>
      <c r="R510" s="24"/>
      <c r="S510" s="24"/>
      <c r="T510" s="24"/>
      <c r="U510" s="24"/>
      <c r="V510" s="24"/>
      <c r="W510" s="22" t="s">
        <v>940</v>
      </c>
      <c r="X510" s="4" t="str">
        <f>IF(Tabela2[[#This Row],[sigla]]="","",VLOOKUP(Tabela2[[#This Row],[sigla]],créditos_base!B:C,2,0))</f>
        <v>RONALDO LUCENA/ARQUIVO DA EDITORA</v>
      </c>
      <c r="Y510" s="23"/>
      <c r="Z510" s="23" t="str">
        <f>Tabela2[[#This Row],[ilustrador]]</f>
        <v>RONALDO LUCENA/ARQUIVO DA EDITORA</v>
      </c>
      <c r="AA510" s="22"/>
      <c r="AB510" s="20"/>
      <c r="AD510" s="4" t="str">
        <f>"Pitanguá"</f>
        <v>Pitanguá</v>
      </c>
      <c r="AE510" s="14" t="str">
        <f>"Matemática"</f>
        <v>Matemática</v>
      </c>
      <c r="AF510" s="14"/>
    </row>
    <row r="511" spans="1:32" ht="28.8" x14ac:dyDescent="0.3">
      <c r="A511" s="23" t="s">
        <v>5567</v>
      </c>
      <c r="B511" s="20" t="s">
        <v>16</v>
      </c>
      <c r="C511" s="20" t="s">
        <v>89</v>
      </c>
      <c r="D511" s="20" t="s">
        <v>8</v>
      </c>
      <c r="E511" s="22">
        <v>44</v>
      </c>
      <c r="F511" s="22">
        <v>5</v>
      </c>
      <c r="G511" s="22">
        <v>2</v>
      </c>
      <c r="H511" s="22"/>
      <c r="I511" s="23" t="s">
        <v>9</v>
      </c>
      <c r="J511" s="23"/>
      <c r="K511" s="22"/>
      <c r="L511" s="22"/>
      <c r="M511" s="23"/>
      <c r="N511" s="23"/>
      <c r="O511" s="26" t="s">
        <v>5568</v>
      </c>
      <c r="P511" s="26"/>
      <c r="Q511" s="22"/>
      <c r="R511" s="24"/>
      <c r="S511" s="24"/>
      <c r="T511" s="24"/>
      <c r="U511" s="24"/>
      <c r="V511" s="24"/>
      <c r="W511" s="22" t="s">
        <v>940</v>
      </c>
      <c r="X511" s="4" t="str">
        <f>IF(Tabela2[[#This Row],[sigla]]="","",VLOOKUP(Tabela2[[#This Row],[sigla]],créditos_base!B:C,2,0))</f>
        <v>RONALDO LUCENA/ARQUIVO DA EDITORA</v>
      </c>
      <c r="Y511" s="23"/>
      <c r="Z511" s="23" t="str">
        <f>Tabela2[[#This Row],[ilustrador]]</f>
        <v>RONALDO LUCENA/ARQUIVO DA EDITORA</v>
      </c>
      <c r="AA511" s="22"/>
      <c r="AB511" s="20"/>
      <c r="AD511" s="4" t="str">
        <f>"Pitanguá"</f>
        <v>Pitanguá</v>
      </c>
      <c r="AE511" s="14" t="str">
        <f>"Matemática"</f>
        <v>Matemática</v>
      </c>
      <c r="AF511" s="14"/>
    </row>
    <row r="512" spans="1:32" ht="28.8" x14ac:dyDescent="0.3">
      <c r="A512" s="23" t="s">
        <v>1026</v>
      </c>
      <c r="B512" s="20" t="s">
        <v>16</v>
      </c>
      <c r="C512" s="20" t="s">
        <v>7</v>
      </c>
      <c r="D512" s="20" t="s">
        <v>8</v>
      </c>
      <c r="E512" s="22">
        <v>52</v>
      </c>
      <c r="F512" s="22">
        <v>4</v>
      </c>
      <c r="G512" s="22">
        <v>2</v>
      </c>
      <c r="H512" s="22"/>
      <c r="I512" s="23" t="s">
        <v>9</v>
      </c>
      <c r="J512" s="23"/>
      <c r="K512" s="22"/>
      <c r="L512" s="22"/>
      <c r="M512" s="23"/>
      <c r="N512" s="23"/>
      <c r="O512" s="26" t="s">
        <v>1027</v>
      </c>
      <c r="P512" s="26"/>
      <c r="Q512" s="22"/>
      <c r="R512" s="24"/>
      <c r="S512" s="24"/>
      <c r="T512" s="24"/>
      <c r="U512" s="24"/>
      <c r="V512" s="24"/>
      <c r="W512" s="22" t="s">
        <v>940</v>
      </c>
      <c r="X512" s="4" t="str">
        <f>IF(Tabela2[[#This Row],[sigla]]="","",VLOOKUP(Tabela2[[#This Row],[sigla]],créditos_base!B:C,2,0))</f>
        <v>RONALDO LUCENA/ARQUIVO DA EDITORA</v>
      </c>
      <c r="Y512" s="23"/>
      <c r="Z512" s="23" t="str">
        <f>Tabela2[[#This Row],[ilustrador]]</f>
        <v>RONALDO LUCENA/ARQUIVO DA EDITORA</v>
      </c>
      <c r="AA512" s="22"/>
      <c r="AB512" s="20"/>
      <c r="AD512" s="4" t="str">
        <f>"Pitanguá"</f>
        <v>Pitanguá</v>
      </c>
      <c r="AE512" s="14" t="str">
        <f>"Matemática"</f>
        <v>Matemática</v>
      </c>
      <c r="AF512" s="14"/>
    </row>
    <row r="513" spans="1:32" ht="43.2" x14ac:dyDescent="0.3">
      <c r="A513" s="23" t="s">
        <v>5569</v>
      </c>
      <c r="B513" s="20" t="s">
        <v>16</v>
      </c>
      <c r="C513" s="20" t="s">
        <v>89</v>
      </c>
      <c r="D513" s="20" t="s">
        <v>8</v>
      </c>
      <c r="E513" s="22">
        <v>44</v>
      </c>
      <c r="F513" s="22">
        <v>5</v>
      </c>
      <c r="G513" s="22">
        <v>2</v>
      </c>
      <c r="H513" s="22"/>
      <c r="I513" s="23" t="s">
        <v>9</v>
      </c>
      <c r="J513" s="23"/>
      <c r="K513" s="22"/>
      <c r="L513" s="22"/>
      <c r="M513" s="23"/>
      <c r="N513" s="23"/>
      <c r="O513" s="26" t="s">
        <v>5570</v>
      </c>
      <c r="P513" s="26"/>
      <c r="Q513" s="22"/>
      <c r="R513" s="24"/>
      <c r="S513" s="24"/>
      <c r="T513" s="24"/>
      <c r="U513" s="24"/>
      <c r="V513" s="24"/>
      <c r="W513" s="22" t="s">
        <v>940</v>
      </c>
      <c r="X513" s="4" t="str">
        <f>IF(Tabela2[[#This Row],[sigla]]="","",VLOOKUP(Tabela2[[#This Row],[sigla]],créditos_base!B:C,2,0))</f>
        <v>RONALDO LUCENA/ARQUIVO DA EDITORA</v>
      </c>
      <c r="Y513" s="23"/>
      <c r="Z513" s="23" t="str">
        <f>Tabela2[[#This Row],[ilustrador]]</f>
        <v>RONALDO LUCENA/ARQUIVO DA EDITORA</v>
      </c>
      <c r="AA513" s="22"/>
      <c r="AB513" s="20"/>
      <c r="AD513" s="4" t="str">
        <f>"Pitanguá"</f>
        <v>Pitanguá</v>
      </c>
      <c r="AE513" s="14" t="str">
        <f>"Matemática"</f>
        <v>Matemática</v>
      </c>
      <c r="AF513" s="14"/>
    </row>
    <row r="514" spans="1:32" ht="28.8" x14ac:dyDescent="0.3">
      <c r="A514" s="23" t="s">
        <v>1028</v>
      </c>
      <c r="B514" s="20" t="s">
        <v>16</v>
      </c>
      <c r="C514" s="20" t="s">
        <v>7</v>
      </c>
      <c r="D514" s="20" t="s">
        <v>8</v>
      </c>
      <c r="E514" s="22">
        <v>52</v>
      </c>
      <c r="F514" s="22">
        <v>4</v>
      </c>
      <c r="G514" s="22">
        <v>2</v>
      </c>
      <c r="H514" s="22"/>
      <c r="I514" s="23" t="s">
        <v>9</v>
      </c>
      <c r="J514" s="23"/>
      <c r="K514" s="22"/>
      <c r="L514" s="22"/>
      <c r="M514" s="23"/>
      <c r="N514" s="23"/>
      <c r="O514" s="26" t="s">
        <v>1029</v>
      </c>
      <c r="P514" s="26"/>
      <c r="Q514" s="22"/>
      <c r="R514" s="24"/>
      <c r="S514" s="24"/>
      <c r="T514" s="24"/>
      <c r="U514" s="24"/>
      <c r="V514" s="24"/>
      <c r="W514" s="22" t="s">
        <v>940</v>
      </c>
      <c r="X514" s="4" t="str">
        <f>IF(Tabela2[[#This Row],[sigla]]="","",VLOOKUP(Tabela2[[#This Row],[sigla]],créditos_base!B:C,2,0))</f>
        <v>RONALDO LUCENA/ARQUIVO DA EDITORA</v>
      </c>
      <c r="Y514" s="23"/>
      <c r="Z514" s="23" t="str">
        <f>Tabela2[[#This Row],[ilustrador]]</f>
        <v>RONALDO LUCENA/ARQUIVO DA EDITORA</v>
      </c>
      <c r="AA514" s="22"/>
      <c r="AB514" s="20"/>
      <c r="AD514" s="4" t="str">
        <f>"Pitanguá"</f>
        <v>Pitanguá</v>
      </c>
      <c r="AE514" s="14" t="str">
        <f>"Matemática"</f>
        <v>Matemática</v>
      </c>
      <c r="AF514" s="14"/>
    </row>
    <row r="515" spans="1:32" ht="28.8" x14ac:dyDescent="0.3">
      <c r="A515" s="23" t="s">
        <v>5571</v>
      </c>
      <c r="B515" s="20" t="s">
        <v>16</v>
      </c>
      <c r="C515" s="20" t="s">
        <v>89</v>
      </c>
      <c r="D515" s="20" t="s">
        <v>8</v>
      </c>
      <c r="E515" s="22">
        <v>44</v>
      </c>
      <c r="F515" s="22">
        <v>5</v>
      </c>
      <c r="G515" s="22">
        <v>2</v>
      </c>
      <c r="H515" s="22"/>
      <c r="I515" s="23" t="s">
        <v>9</v>
      </c>
      <c r="J515" s="23"/>
      <c r="K515" s="22"/>
      <c r="L515" s="22"/>
      <c r="M515" s="23"/>
      <c r="N515" s="23"/>
      <c r="O515" s="26" t="s">
        <v>5572</v>
      </c>
      <c r="P515" s="26"/>
      <c r="Q515" s="22"/>
      <c r="R515" s="24"/>
      <c r="S515" s="24"/>
      <c r="T515" s="24"/>
      <c r="U515" s="24"/>
      <c r="V515" s="24"/>
      <c r="W515" s="22" t="s">
        <v>940</v>
      </c>
      <c r="X515" s="4" t="str">
        <f>IF(Tabela2[[#This Row],[sigla]]="","",VLOOKUP(Tabela2[[#This Row],[sigla]],créditos_base!B:C,2,0))</f>
        <v>RONALDO LUCENA/ARQUIVO DA EDITORA</v>
      </c>
      <c r="Y515" s="23"/>
      <c r="Z515" s="23" t="str">
        <f>Tabela2[[#This Row],[ilustrador]]</f>
        <v>RONALDO LUCENA/ARQUIVO DA EDITORA</v>
      </c>
      <c r="AA515" s="22"/>
      <c r="AB515" s="20"/>
      <c r="AD515" s="4" t="str">
        <f>"Pitanguá"</f>
        <v>Pitanguá</v>
      </c>
      <c r="AE515" s="14" t="str">
        <f>"Matemática"</f>
        <v>Matemática</v>
      </c>
      <c r="AF515" s="14"/>
    </row>
    <row r="516" spans="1:32" ht="28.8" x14ac:dyDescent="0.3">
      <c r="A516" s="23" t="s">
        <v>1030</v>
      </c>
      <c r="B516" s="20" t="s">
        <v>16</v>
      </c>
      <c r="C516" s="20" t="s">
        <v>7</v>
      </c>
      <c r="D516" s="20" t="s">
        <v>8</v>
      </c>
      <c r="E516" s="22">
        <v>52</v>
      </c>
      <c r="F516" s="22">
        <v>4</v>
      </c>
      <c r="G516" s="22">
        <v>2</v>
      </c>
      <c r="H516" s="22"/>
      <c r="I516" s="23" t="s">
        <v>9</v>
      </c>
      <c r="J516" s="23"/>
      <c r="K516" s="22"/>
      <c r="L516" s="22"/>
      <c r="M516" s="23"/>
      <c r="N516" s="23"/>
      <c r="O516" s="26" t="s">
        <v>1031</v>
      </c>
      <c r="P516" s="26"/>
      <c r="Q516" s="22"/>
      <c r="R516" s="24"/>
      <c r="S516" s="24"/>
      <c r="T516" s="24"/>
      <c r="U516" s="24"/>
      <c r="V516" s="24"/>
      <c r="W516" s="22" t="s">
        <v>940</v>
      </c>
      <c r="X516" s="4" t="str">
        <f>IF(Tabela2[[#This Row],[sigla]]="","",VLOOKUP(Tabela2[[#This Row],[sigla]],créditos_base!B:C,2,0))</f>
        <v>RONALDO LUCENA/ARQUIVO DA EDITORA</v>
      </c>
      <c r="Y516" s="23"/>
      <c r="Z516" s="23" t="str">
        <f>Tabela2[[#This Row],[ilustrador]]</f>
        <v>RONALDO LUCENA/ARQUIVO DA EDITORA</v>
      </c>
      <c r="AA516" s="22"/>
      <c r="AB516" s="20"/>
      <c r="AD516" s="4" t="str">
        <f>"Pitanguá"</f>
        <v>Pitanguá</v>
      </c>
      <c r="AE516" s="14" t="str">
        <f>"Matemática"</f>
        <v>Matemática</v>
      </c>
      <c r="AF516" s="14"/>
    </row>
    <row r="517" spans="1:32" ht="28.8" x14ac:dyDescent="0.3">
      <c r="A517" s="23" t="s">
        <v>5573</v>
      </c>
      <c r="B517" s="20" t="s">
        <v>16</v>
      </c>
      <c r="C517" s="20" t="s">
        <v>89</v>
      </c>
      <c r="D517" s="20" t="s">
        <v>8</v>
      </c>
      <c r="E517" s="22">
        <v>44</v>
      </c>
      <c r="F517" s="22">
        <v>5</v>
      </c>
      <c r="G517" s="22">
        <v>2</v>
      </c>
      <c r="H517" s="22"/>
      <c r="I517" s="23" t="s">
        <v>9</v>
      </c>
      <c r="J517" s="23"/>
      <c r="K517" s="22"/>
      <c r="L517" s="22"/>
      <c r="M517" s="23"/>
      <c r="N517" s="23"/>
      <c r="O517" s="26" t="s">
        <v>5574</v>
      </c>
      <c r="P517" s="26"/>
      <c r="Q517" s="22"/>
      <c r="R517" s="24"/>
      <c r="S517" s="24"/>
      <c r="T517" s="24"/>
      <c r="U517" s="24"/>
      <c r="V517" s="24"/>
      <c r="W517" s="22" t="s">
        <v>940</v>
      </c>
      <c r="X517" s="4" t="str">
        <f>IF(Tabela2[[#This Row],[sigla]]="","",VLOOKUP(Tabela2[[#This Row],[sigla]],créditos_base!B:C,2,0))</f>
        <v>RONALDO LUCENA/ARQUIVO DA EDITORA</v>
      </c>
      <c r="Y517" s="23"/>
      <c r="Z517" s="23" t="str">
        <f>Tabela2[[#This Row],[ilustrador]]</f>
        <v>RONALDO LUCENA/ARQUIVO DA EDITORA</v>
      </c>
      <c r="AA517" s="22"/>
      <c r="AB517" s="20"/>
      <c r="AD517" s="4" t="str">
        <f>"Pitanguá"</f>
        <v>Pitanguá</v>
      </c>
      <c r="AE517" s="14" t="str">
        <f>"Matemática"</f>
        <v>Matemática</v>
      </c>
      <c r="AF517" s="14"/>
    </row>
    <row r="518" spans="1:32" ht="28.8" x14ac:dyDescent="0.3">
      <c r="A518" s="23" t="s">
        <v>1032</v>
      </c>
      <c r="B518" s="20" t="s">
        <v>16</v>
      </c>
      <c r="C518" s="20" t="s">
        <v>7</v>
      </c>
      <c r="D518" s="20" t="s">
        <v>8</v>
      </c>
      <c r="E518" s="22">
        <v>52</v>
      </c>
      <c r="F518" s="22">
        <v>4</v>
      </c>
      <c r="G518" s="22">
        <v>2</v>
      </c>
      <c r="H518" s="22"/>
      <c r="I518" s="23" t="s">
        <v>9</v>
      </c>
      <c r="J518" s="23"/>
      <c r="K518" s="22"/>
      <c r="L518" s="22"/>
      <c r="M518" s="23"/>
      <c r="N518" s="23"/>
      <c r="O518" s="26" t="s">
        <v>1033</v>
      </c>
      <c r="P518" s="26"/>
      <c r="Q518" s="22"/>
      <c r="R518" s="24"/>
      <c r="S518" s="24"/>
      <c r="T518" s="24"/>
      <c r="U518" s="24"/>
      <c r="V518" s="24"/>
      <c r="W518" s="22" t="s">
        <v>940</v>
      </c>
      <c r="X518" s="4" t="str">
        <f>IF(Tabela2[[#This Row],[sigla]]="","",VLOOKUP(Tabela2[[#This Row],[sigla]],créditos_base!B:C,2,0))</f>
        <v>RONALDO LUCENA/ARQUIVO DA EDITORA</v>
      </c>
      <c r="Y518" s="23"/>
      <c r="Z518" s="23" t="str">
        <f>Tabela2[[#This Row],[ilustrador]]</f>
        <v>RONALDO LUCENA/ARQUIVO DA EDITORA</v>
      </c>
      <c r="AA518" s="22"/>
      <c r="AB518" s="20"/>
      <c r="AD518" s="4" t="str">
        <f>"Pitanguá"</f>
        <v>Pitanguá</v>
      </c>
      <c r="AE518" s="14" t="str">
        <f>"Matemática"</f>
        <v>Matemática</v>
      </c>
      <c r="AF518" s="14"/>
    </row>
    <row r="519" spans="1:32" ht="28.8" x14ac:dyDescent="0.3">
      <c r="A519" s="23" t="s">
        <v>1034</v>
      </c>
      <c r="B519" s="20" t="s">
        <v>16</v>
      </c>
      <c r="C519" s="20" t="s">
        <v>7</v>
      </c>
      <c r="D519" s="20" t="s">
        <v>8</v>
      </c>
      <c r="E519" s="22">
        <v>52</v>
      </c>
      <c r="F519" s="22">
        <v>4</v>
      </c>
      <c r="G519" s="22">
        <v>2</v>
      </c>
      <c r="H519" s="22"/>
      <c r="I519" s="23" t="s">
        <v>9</v>
      </c>
      <c r="J519" s="23"/>
      <c r="K519" s="22"/>
      <c r="L519" s="22"/>
      <c r="M519" s="23"/>
      <c r="N519" s="23"/>
      <c r="O519" s="26" t="s">
        <v>1035</v>
      </c>
      <c r="P519" s="26"/>
      <c r="Q519" s="22"/>
      <c r="R519" s="24"/>
      <c r="S519" s="24"/>
      <c r="T519" s="24"/>
      <c r="U519" s="24"/>
      <c r="V519" s="24"/>
      <c r="W519" s="22" t="s">
        <v>940</v>
      </c>
      <c r="X519" s="4" t="str">
        <f>IF(Tabela2[[#This Row],[sigla]]="","",VLOOKUP(Tabela2[[#This Row],[sigla]],créditos_base!B:C,2,0))</f>
        <v>RONALDO LUCENA/ARQUIVO DA EDITORA</v>
      </c>
      <c r="Y519" s="23"/>
      <c r="Z519" s="23" t="str">
        <f>Tabela2[[#This Row],[ilustrador]]</f>
        <v>RONALDO LUCENA/ARQUIVO DA EDITORA</v>
      </c>
      <c r="AA519" s="22"/>
      <c r="AB519" s="20"/>
      <c r="AD519" s="4" t="str">
        <f>"Pitanguá"</f>
        <v>Pitanguá</v>
      </c>
      <c r="AE519" s="14" t="str">
        <f>"Matemática"</f>
        <v>Matemática</v>
      </c>
      <c r="AF519" s="14"/>
    </row>
    <row r="520" spans="1:32" ht="43.2" x14ac:dyDescent="0.3">
      <c r="A520" s="23" t="s">
        <v>1036</v>
      </c>
      <c r="B520" s="20" t="s">
        <v>16</v>
      </c>
      <c r="C520" s="20" t="s">
        <v>7</v>
      </c>
      <c r="D520" s="20" t="s">
        <v>8</v>
      </c>
      <c r="E520" s="22">
        <v>52</v>
      </c>
      <c r="F520" s="22">
        <v>4</v>
      </c>
      <c r="G520" s="22">
        <v>2</v>
      </c>
      <c r="H520" s="22"/>
      <c r="I520" s="23" t="s">
        <v>9</v>
      </c>
      <c r="J520" s="23"/>
      <c r="K520" s="22"/>
      <c r="L520" s="22"/>
      <c r="M520" s="23"/>
      <c r="N520" s="23"/>
      <c r="O520" s="26" t="s">
        <v>1037</v>
      </c>
      <c r="P520" s="26"/>
      <c r="Q520" s="22"/>
      <c r="R520" s="24"/>
      <c r="S520" s="24"/>
      <c r="T520" s="24"/>
      <c r="U520" s="24"/>
      <c r="V520" s="24"/>
      <c r="W520" s="22" t="s">
        <v>940</v>
      </c>
      <c r="X520" s="4" t="str">
        <f>IF(Tabela2[[#This Row],[sigla]]="","",VLOOKUP(Tabela2[[#This Row],[sigla]],créditos_base!B:C,2,0))</f>
        <v>RONALDO LUCENA/ARQUIVO DA EDITORA</v>
      </c>
      <c r="Y520" s="23"/>
      <c r="Z520" s="23" t="str">
        <f>Tabela2[[#This Row],[ilustrador]]</f>
        <v>RONALDO LUCENA/ARQUIVO DA EDITORA</v>
      </c>
      <c r="AA520" s="22"/>
      <c r="AB520" s="20"/>
      <c r="AD520" s="4" t="str">
        <f>"Pitanguá"</f>
        <v>Pitanguá</v>
      </c>
      <c r="AE520" s="14" t="str">
        <f>"Matemática"</f>
        <v>Matemática</v>
      </c>
      <c r="AF520" s="14"/>
    </row>
    <row r="521" spans="1:32" ht="57.6" x14ac:dyDescent="0.3">
      <c r="A521" s="23" t="s">
        <v>1038</v>
      </c>
      <c r="B521" s="20" t="s">
        <v>16</v>
      </c>
      <c r="C521" s="20" t="s">
        <v>7</v>
      </c>
      <c r="D521" s="20" t="s">
        <v>8</v>
      </c>
      <c r="E521" s="22">
        <v>52</v>
      </c>
      <c r="F521" s="22">
        <v>4</v>
      </c>
      <c r="G521" s="22">
        <v>2</v>
      </c>
      <c r="H521" s="22"/>
      <c r="I521" s="23" t="s">
        <v>9</v>
      </c>
      <c r="J521" s="23"/>
      <c r="K521" s="22"/>
      <c r="L521" s="22"/>
      <c r="M521" s="23"/>
      <c r="N521" s="23"/>
      <c r="O521" s="26" t="s">
        <v>1039</v>
      </c>
      <c r="P521" s="26"/>
      <c r="Q521" s="22"/>
      <c r="R521" s="24"/>
      <c r="S521" s="24"/>
      <c r="T521" s="24"/>
      <c r="U521" s="24"/>
      <c r="V521" s="24"/>
      <c r="W521" s="22" t="s">
        <v>940</v>
      </c>
      <c r="X521" s="4" t="str">
        <f>IF(Tabela2[[#This Row],[sigla]]="","",VLOOKUP(Tabela2[[#This Row],[sigla]],créditos_base!B:C,2,0))</f>
        <v>RONALDO LUCENA/ARQUIVO DA EDITORA</v>
      </c>
      <c r="Y521" s="23"/>
      <c r="Z521" s="23" t="str">
        <f>Tabela2[[#This Row],[ilustrador]]</f>
        <v>RONALDO LUCENA/ARQUIVO DA EDITORA</v>
      </c>
      <c r="AA521" s="22"/>
      <c r="AB521" s="20"/>
      <c r="AD521" s="4" t="str">
        <f>"Pitanguá"</f>
        <v>Pitanguá</v>
      </c>
      <c r="AE521" s="14" t="str">
        <f>"Matemática"</f>
        <v>Matemática</v>
      </c>
      <c r="AF521" s="14"/>
    </row>
    <row r="522" spans="1:32" ht="43.2" x14ac:dyDescent="0.3">
      <c r="A522" s="23" t="s">
        <v>1040</v>
      </c>
      <c r="B522" s="20" t="s">
        <v>16</v>
      </c>
      <c r="C522" s="20" t="s">
        <v>7</v>
      </c>
      <c r="D522" s="20" t="s">
        <v>8</v>
      </c>
      <c r="E522" s="22">
        <v>52</v>
      </c>
      <c r="F522" s="22">
        <v>4</v>
      </c>
      <c r="G522" s="22">
        <v>2</v>
      </c>
      <c r="H522" s="22"/>
      <c r="I522" s="23" t="s">
        <v>9</v>
      </c>
      <c r="J522" s="23"/>
      <c r="K522" s="22"/>
      <c r="L522" s="22"/>
      <c r="M522" s="23"/>
      <c r="N522" s="23"/>
      <c r="O522" s="26" t="s">
        <v>1041</v>
      </c>
      <c r="P522" s="26"/>
      <c r="Q522" s="22"/>
      <c r="R522" s="24"/>
      <c r="S522" s="24"/>
      <c r="T522" s="24"/>
      <c r="U522" s="24"/>
      <c r="V522" s="24"/>
      <c r="W522" s="22" t="s">
        <v>940</v>
      </c>
      <c r="X522" s="4" t="str">
        <f>IF(Tabela2[[#This Row],[sigla]]="","",VLOOKUP(Tabela2[[#This Row],[sigla]],créditos_base!B:C,2,0))</f>
        <v>RONALDO LUCENA/ARQUIVO DA EDITORA</v>
      </c>
      <c r="Y522" s="23"/>
      <c r="Z522" s="23" t="str">
        <f>Tabela2[[#This Row],[ilustrador]]</f>
        <v>RONALDO LUCENA/ARQUIVO DA EDITORA</v>
      </c>
      <c r="AA522" s="22"/>
      <c r="AB522" s="20"/>
      <c r="AD522" s="4" t="str">
        <f>"Pitanguá"</f>
        <v>Pitanguá</v>
      </c>
      <c r="AE522" s="14" t="str">
        <f>"Matemática"</f>
        <v>Matemática</v>
      </c>
      <c r="AF522" s="14"/>
    </row>
    <row r="523" spans="1:32" ht="43.2" x14ac:dyDescent="0.3">
      <c r="A523" s="23" t="s">
        <v>1042</v>
      </c>
      <c r="B523" s="20" t="s">
        <v>16</v>
      </c>
      <c r="C523" s="20" t="s">
        <v>7</v>
      </c>
      <c r="D523" s="20" t="s">
        <v>8</v>
      </c>
      <c r="E523" s="22">
        <v>53</v>
      </c>
      <c r="F523" s="22">
        <v>4</v>
      </c>
      <c r="G523" s="22">
        <v>2</v>
      </c>
      <c r="H523" s="22"/>
      <c r="I523" s="23" t="s">
        <v>33</v>
      </c>
      <c r="J523" s="23"/>
      <c r="K523" s="22"/>
      <c r="L523" s="22"/>
      <c r="M523" s="23"/>
      <c r="N523" s="23"/>
      <c r="O523" s="26" t="s">
        <v>1043</v>
      </c>
      <c r="P523" s="26"/>
      <c r="Q523" s="22">
        <v>42</v>
      </c>
      <c r="R523" s="24">
        <v>45783</v>
      </c>
      <c r="S523" s="24">
        <v>45783</v>
      </c>
      <c r="T523" s="24"/>
      <c r="U523" s="24"/>
      <c r="V523" s="24">
        <v>45783</v>
      </c>
      <c r="W523" s="22" t="s">
        <v>230</v>
      </c>
      <c r="X523" s="4" t="str">
        <f>IF(Tabela2[[#This Row],[sigla]]="","",VLOOKUP(Tabela2[[#This Row],[sigla]],créditos_base!B:C,2,0))</f>
        <v>RAFAEL L. GAION/ARQUIVO DA EDITORA</v>
      </c>
      <c r="Y523" s="23" t="s">
        <v>152</v>
      </c>
      <c r="Z523" s="23" t="str">
        <f>Tabela2[[#This Row],[ilustrador]]</f>
        <v>RAFAEL L. GAION/ARQUIVO DA EDITORA</v>
      </c>
      <c r="AA523" s="22">
        <v>13</v>
      </c>
      <c r="AB523" s="20" t="s">
        <v>153</v>
      </c>
      <c r="AC523" s="20" t="s">
        <v>36</v>
      </c>
      <c r="AD523" s="4" t="str">
        <f>"Pitanguá"</f>
        <v>Pitanguá</v>
      </c>
      <c r="AE523" s="14" t="str">
        <f>"Matemática"</f>
        <v>Matemática</v>
      </c>
      <c r="AF523" s="14"/>
    </row>
    <row r="524" spans="1:32" ht="43.2" x14ac:dyDescent="0.3">
      <c r="A524" s="23" t="s">
        <v>792</v>
      </c>
      <c r="B524" s="20" t="s">
        <v>16</v>
      </c>
      <c r="C524" s="20" t="s">
        <v>7</v>
      </c>
      <c r="D524" s="20" t="s">
        <v>8</v>
      </c>
      <c r="E524" s="22">
        <v>66</v>
      </c>
      <c r="F524" s="22">
        <v>1</v>
      </c>
      <c r="G524" s="22">
        <v>2</v>
      </c>
      <c r="H524" s="22"/>
      <c r="I524" s="23" t="s">
        <v>33</v>
      </c>
      <c r="J524" s="23"/>
      <c r="K524" s="22"/>
      <c r="L524" s="22"/>
      <c r="M524" s="23"/>
      <c r="N524" s="23"/>
      <c r="O524" s="26" t="s">
        <v>793</v>
      </c>
      <c r="P524" s="26"/>
      <c r="Q524" s="22">
        <v>8</v>
      </c>
      <c r="R524" s="24">
        <v>45733</v>
      </c>
      <c r="S524" s="24">
        <v>45733</v>
      </c>
      <c r="T524" s="24"/>
      <c r="U524" s="24"/>
      <c r="V524" s="24">
        <v>45734</v>
      </c>
      <c r="W524" s="22" t="s">
        <v>31</v>
      </c>
      <c r="X524" s="4" t="str">
        <f>IF(Tabela2[[#This Row],[sigla]]="","",VLOOKUP(Tabela2[[#This Row],[sigla]],créditos_base!B:C,2,0))</f>
        <v>SILVIA OTOFUJI/ARQUIVO DA EDITORA</v>
      </c>
      <c r="Y524" s="23" t="s">
        <v>140</v>
      </c>
      <c r="Z524" s="23" t="str">
        <f>Tabela2[[#This Row],[ilustrador]]</f>
        <v>SILVIA OTOFUJI/ARQUIVO DA EDITORA</v>
      </c>
      <c r="AA524" s="22">
        <v>14</v>
      </c>
      <c r="AB524" s="20"/>
      <c r="AC524" s="20" t="s">
        <v>36</v>
      </c>
      <c r="AD524" s="4" t="str">
        <f>"Pitanguá"</f>
        <v>Pitanguá</v>
      </c>
      <c r="AE524" s="14" t="str">
        <f>"Matemática"</f>
        <v>Matemática</v>
      </c>
      <c r="AF524" s="14"/>
    </row>
    <row r="525" spans="1:32" ht="28.8" x14ac:dyDescent="0.3">
      <c r="A525" s="23" t="s">
        <v>1044</v>
      </c>
      <c r="B525" s="20" t="s">
        <v>6</v>
      </c>
      <c r="C525" s="20" t="s">
        <v>7</v>
      </c>
      <c r="D525" s="20" t="s">
        <v>8</v>
      </c>
      <c r="E525" s="22">
        <v>53</v>
      </c>
      <c r="F525" s="22">
        <v>4</v>
      </c>
      <c r="G525" s="22">
        <v>2</v>
      </c>
      <c r="H525" s="22"/>
      <c r="I525" s="23" t="s">
        <v>9</v>
      </c>
      <c r="J525" s="23"/>
      <c r="K525" s="22"/>
      <c r="L525" s="22"/>
      <c r="M525" s="23"/>
      <c r="N525" s="23"/>
      <c r="O525" s="26" t="s">
        <v>1045</v>
      </c>
      <c r="P525" s="26"/>
      <c r="Q525" s="22"/>
      <c r="R525" s="24"/>
      <c r="S525" s="24"/>
      <c r="T525" s="24"/>
      <c r="U525" s="24"/>
      <c r="V525" s="24"/>
      <c r="W525" s="22"/>
      <c r="X525" s="4" t="str">
        <f>IF(Tabela2[[#This Row],[sigla]]="","",VLOOKUP(Tabela2[[#This Row],[sigla]],créditos_base!B:C,2,0))</f>
        <v/>
      </c>
      <c r="Y525" s="23"/>
      <c r="Z525" s="23" t="str">
        <f>Tabela2[[#This Row],[ilustrador]]</f>
        <v/>
      </c>
      <c r="AA525" s="22"/>
      <c r="AB525" s="20"/>
      <c r="AD525" s="4" t="str">
        <f>"Pitanguá"</f>
        <v>Pitanguá</v>
      </c>
      <c r="AE525" s="14" t="str">
        <f>"Matemática"</f>
        <v>Matemática</v>
      </c>
      <c r="AF525" s="14"/>
    </row>
    <row r="526" spans="1:32" ht="28.8" x14ac:dyDescent="0.3">
      <c r="A526" s="23" t="s">
        <v>5577</v>
      </c>
      <c r="B526" s="20" t="s">
        <v>16</v>
      </c>
      <c r="C526" s="20" t="s">
        <v>89</v>
      </c>
      <c r="D526" s="20" t="s">
        <v>8</v>
      </c>
      <c r="E526" s="22">
        <v>45</v>
      </c>
      <c r="F526" s="22">
        <v>5</v>
      </c>
      <c r="G526" s="22">
        <v>2</v>
      </c>
      <c r="H526" s="22"/>
      <c r="I526" s="23" t="s">
        <v>9</v>
      </c>
      <c r="J526" s="23"/>
      <c r="K526" s="22"/>
      <c r="L526" s="22"/>
      <c r="M526" s="23"/>
      <c r="N526" s="23"/>
      <c r="O526" s="26" t="s">
        <v>5578</v>
      </c>
      <c r="P526" s="26"/>
      <c r="Q526" s="22"/>
      <c r="R526" s="24"/>
      <c r="S526" s="24"/>
      <c r="T526" s="24"/>
      <c r="U526" s="24"/>
      <c r="V526" s="24"/>
      <c r="W526" s="22" t="s">
        <v>160</v>
      </c>
      <c r="X526" s="4" t="str">
        <f>IF(Tabela2[[#This Row],[sigla]]="","",VLOOKUP(Tabela2[[#This Row],[sigla]],créditos_base!B:C,2,0))</f>
        <v>SERGIO LIMA/ARQUIVO DA EDITORA</v>
      </c>
      <c r="Y526" s="23"/>
      <c r="Z526" s="23" t="str">
        <f>Tabela2[[#This Row],[ilustrador]]</f>
        <v>SERGIO LIMA/ARQUIVO DA EDITORA</v>
      </c>
      <c r="AA526" s="22"/>
      <c r="AB526" s="20"/>
      <c r="AD526" s="4" t="str">
        <f>"Pitanguá"</f>
        <v>Pitanguá</v>
      </c>
      <c r="AE526" s="14" t="str">
        <f>"Matemática"</f>
        <v>Matemática</v>
      </c>
      <c r="AF526" s="14"/>
    </row>
    <row r="527" spans="1:32" ht="28.8" x14ac:dyDescent="0.3">
      <c r="A527" s="23" t="s">
        <v>1046</v>
      </c>
      <c r="B527" s="20" t="s">
        <v>16</v>
      </c>
      <c r="C527" s="20" t="s">
        <v>7</v>
      </c>
      <c r="D527" s="20" t="s">
        <v>8</v>
      </c>
      <c r="E527" s="22">
        <v>53</v>
      </c>
      <c r="F527" s="22">
        <v>4</v>
      </c>
      <c r="G527" s="22">
        <v>2</v>
      </c>
      <c r="H527" s="22"/>
      <c r="I527" s="23" t="s">
        <v>33</v>
      </c>
      <c r="J527" s="23"/>
      <c r="K527" s="22"/>
      <c r="L527" s="22"/>
      <c r="M527" s="23"/>
      <c r="N527" s="23"/>
      <c r="O527" s="26" t="s">
        <v>1047</v>
      </c>
      <c r="P527" s="26"/>
      <c r="Q527" s="22">
        <v>42</v>
      </c>
      <c r="R527" s="24">
        <v>45783</v>
      </c>
      <c r="S527" s="24">
        <v>45783</v>
      </c>
      <c r="T527" s="24"/>
      <c r="U527" s="24"/>
      <c r="V527" s="24">
        <v>45783</v>
      </c>
      <c r="W527" s="22" t="s">
        <v>230</v>
      </c>
      <c r="X527" s="4" t="str">
        <f>IF(Tabela2[[#This Row],[sigla]]="","",VLOOKUP(Tabela2[[#This Row],[sigla]],créditos_base!B:C,2,0))</f>
        <v>RAFAEL L. GAION/ARQUIVO DA EDITORA</v>
      </c>
      <c r="Y527" s="23" t="s">
        <v>152</v>
      </c>
      <c r="Z527" s="23" t="str">
        <f>Tabela2[[#This Row],[ilustrador]]</f>
        <v>RAFAEL L. GAION/ARQUIVO DA EDITORA</v>
      </c>
      <c r="AA527" s="22">
        <v>13</v>
      </c>
      <c r="AB527" s="20" t="s">
        <v>153</v>
      </c>
      <c r="AC527" s="20" t="s">
        <v>36</v>
      </c>
      <c r="AD527" s="4" t="str">
        <f>"Pitanguá"</f>
        <v>Pitanguá</v>
      </c>
      <c r="AE527" s="14" t="str">
        <f>"Matemática"</f>
        <v>Matemática</v>
      </c>
      <c r="AF527" s="14"/>
    </row>
    <row r="528" spans="1:32" ht="28.8" x14ac:dyDescent="0.3">
      <c r="A528" s="23" t="s">
        <v>5581</v>
      </c>
      <c r="B528" s="20" t="s">
        <v>16</v>
      </c>
      <c r="C528" s="20" t="s">
        <v>89</v>
      </c>
      <c r="D528" s="20" t="s">
        <v>8</v>
      </c>
      <c r="E528" s="22">
        <v>45</v>
      </c>
      <c r="F528" s="22">
        <v>5</v>
      </c>
      <c r="G528" s="22">
        <v>2</v>
      </c>
      <c r="H528" s="22"/>
      <c r="I528" s="23" t="s">
        <v>9</v>
      </c>
      <c r="J528" s="23"/>
      <c r="K528" s="22"/>
      <c r="L528" s="22"/>
      <c r="M528" s="23"/>
      <c r="N528" s="23"/>
      <c r="O528" s="26" t="s">
        <v>5582</v>
      </c>
      <c r="P528" s="26"/>
      <c r="Q528" s="22"/>
      <c r="R528" s="24"/>
      <c r="S528" s="24"/>
      <c r="T528" s="24"/>
      <c r="U528" s="24"/>
      <c r="V528" s="24"/>
      <c r="W528" s="22" t="s">
        <v>940</v>
      </c>
      <c r="X528" s="4" t="str">
        <f>IF(Tabela2[[#This Row],[sigla]]="","",VLOOKUP(Tabela2[[#This Row],[sigla]],créditos_base!B:C,2,0))</f>
        <v>RONALDO LUCENA/ARQUIVO DA EDITORA</v>
      </c>
      <c r="Y528" s="23"/>
      <c r="Z528" s="23" t="str">
        <f>Tabela2[[#This Row],[ilustrador]]</f>
        <v>RONALDO LUCENA/ARQUIVO DA EDITORA</v>
      </c>
      <c r="AA528" s="22"/>
      <c r="AB528" s="20"/>
      <c r="AD528" s="4" t="str">
        <f>"Pitanguá"</f>
        <v>Pitanguá</v>
      </c>
      <c r="AE528" s="14" t="str">
        <f>"Matemática"</f>
        <v>Matemática</v>
      </c>
      <c r="AF528" s="14"/>
    </row>
    <row r="529" spans="1:32" x14ac:dyDescent="0.3">
      <c r="A529" s="23" t="s">
        <v>1048</v>
      </c>
      <c r="B529" s="20" t="s">
        <v>16</v>
      </c>
      <c r="C529" s="20" t="s">
        <v>7</v>
      </c>
      <c r="D529" s="20" t="s">
        <v>8</v>
      </c>
      <c r="E529" s="22">
        <v>53</v>
      </c>
      <c r="F529" s="22">
        <v>4</v>
      </c>
      <c r="G529" s="22">
        <v>2</v>
      </c>
      <c r="H529" s="22"/>
      <c r="I529" s="23" t="s">
        <v>9</v>
      </c>
      <c r="J529" s="23"/>
      <c r="K529" s="22"/>
      <c r="L529" s="22"/>
      <c r="M529" s="23"/>
      <c r="N529" s="23"/>
      <c r="O529" s="26" t="s">
        <v>1049</v>
      </c>
      <c r="P529" s="26"/>
      <c r="Q529" s="22"/>
      <c r="R529" s="24"/>
      <c r="S529" s="24"/>
      <c r="T529" s="24"/>
      <c r="U529" s="24"/>
      <c r="V529" s="24"/>
      <c r="W529" s="22" t="s">
        <v>230</v>
      </c>
      <c r="X529" s="4" t="str">
        <f>IF(Tabela2[[#This Row],[sigla]]="","",VLOOKUP(Tabela2[[#This Row],[sigla]],créditos_base!B:C,2,0))</f>
        <v>RAFAEL L. GAION/ARQUIVO DA EDITORA</v>
      </c>
      <c r="Y529" s="23"/>
      <c r="Z529" s="23" t="str">
        <f>Tabela2[[#This Row],[ilustrador]]</f>
        <v>RAFAEL L. GAION/ARQUIVO DA EDITORA</v>
      </c>
      <c r="AA529" s="22"/>
      <c r="AB529" s="20"/>
      <c r="AD529" s="4" t="str">
        <f>"Pitanguá"</f>
        <v>Pitanguá</v>
      </c>
      <c r="AE529" s="14" t="str">
        <f>"Matemática"</f>
        <v>Matemática</v>
      </c>
      <c r="AF529" s="14"/>
    </row>
    <row r="530" spans="1:32" ht="57.6" x14ac:dyDescent="0.3">
      <c r="A530" s="23" t="s">
        <v>5583</v>
      </c>
      <c r="B530" s="20" t="s">
        <v>16</v>
      </c>
      <c r="C530" s="20" t="s">
        <v>89</v>
      </c>
      <c r="D530" s="20" t="s">
        <v>8</v>
      </c>
      <c r="E530" s="22">
        <v>45</v>
      </c>
      <c r="F530" s="22">
        <v>5</v>
      </c>
      <c r="G530" s="22">
        <v>2</v>
      </c>
      <c r="H530" s="22"/>
      <c r="I530" s="23" t="s">
        <v>9</v>
      </c>
      <c r="J530" s="23"/>
      <c r="K530" s="22"/>
      <c r="L530" s="22"/>
      <c r="M530" s="23"/>
      <c r="N530" s="23"/>
      <c r="O530" s="26" t="s">
        <v>5584</v>
      </c>
      <c r="P530" s="26"/>
      <c r="Q530" s="22"/>
      <c r="R530" s="24"/>
      <c r="S530" s="24"/>
      <c r="T530" s="24"/>
      <c r="U530" s="24"/>
      <c r="V530" s="24"/>
      <c r="W530" s="22" t="s">
        <v>940</v>
      </c>
      <c r="X530" s="4" t="str">
        <f>IF(Tabela2[[#This Row],[sigla]]="","",VLOOKUP(Tabela2[[#This Row],[sigla]],créditos_base!B:C,2,0))</f>
        <v>RONALDO LUCENA/ARQUIVO DA EDITORA</v>
      </c>
      <c r="Y530" s="23"/>
      <c r="Z530" s="23" t="str">
        <f>Tabela2[[#This Row],[ilustrador]]</f>
        <v>RONALDO LUCENA/ARQUIVO DA EDITORA</v>
      </c>
      <c r="AA530" s="22"/>
      <c r="AB530" s="20"/>
      <c r="AD530" s="4" t="str">
        <f>"Pitanguá"</f>
        <v>Pitanguá</v>
      </c>
      <c r="AE530" s="14" t="str">
        <f>"Matemática"</f>
        <v>Matemática</v>
      </c>
      <c r="AF530" s="14"/>
    </row>
    <row r="531" spans="1:32" ht="57.6" x14ac:dyDescent="0.3">
      <c r="A531" s="23" t="s">
        <v>1050</v>
      </c>
      <c r="B531" s="20" t="s">
        <v>6</v>
      </c>
      <c r="C531" s="20" t="s">
        <v>7</v>
      </c>
      <c r="D531" s="20" t="s">
        <v>8</v>
      </c>
      <c r="E531" s="22">
        <v>53</v>
      </c>
      <c r="F531" s="22">
        <v>4</v>
      </c>
      <c r="G531" s="22">
        <v>2</v>
      </c>
      <c r="H531" s="22"/>
      <c r="I531" s="23" t="s">
        <v>9</v>
      </c>
      <c r="J531" s="23"/>
      <c r="K531" s="22"/>
      <c r="L531" s="22"/>
      <c r="M531" s="23"/>
      <c r="N531" s="23"/>
      <c r="O531" s="26" t="s">
        <v>1051</v>
      </c>
      <c r="P531" s="26" t="s">
        <v>11</v>
      </c>
      <c r="Q531" s="22"/>
      <c r="R531" s="24"/>
      <c r="S531" s="24"/>
      <c r="T531" s="24"/>
      <c r="U531" s="24"/>
      <c r="V531" s="24"/>
      <c r="W531" s="22"/>
      <c r="X531" s="4" t="str">
        <f>IF(Tabela2[[#This Row],[sigla]]="","",VLOOKUP(Tabela2[[#This Row],[sigla]],créditos_base!B:C,2,0))</f>
        <v/>
      </c>
      <c r="Y531" s="23"/>
      <c r="Z531" s="23" t="str">
        <f>Tabela2[[#This Row],[ilustrador]]</f>
        <v/>
      </c>
      <c r="AA531" s="22"/>
      <c r="AB531" s="20"/>
      <c r="AD531" s="4" t="str">
        <f>"Pitanguá"</f>
        <v>Pitanguá</v>
      </c>
      <c r="AE531" s="14" t="str">
        <f>"Matemática"</f>
        <v>Matemática</v>
      </c>
      <c r="AF531" s="14"/>
    </row>
    <row r="532" spans="1:32" x14ac:dyDescent="0.3">
      <c r="A532" s="23" t="s">
        <v>5585</v>
      </c>
      <c r="B532" s="20" t="s">
        <v>16</v>
      </c>
      <c r="C532" s="20" t="s">
        <v>89</v>
      </c>
      <c r="D532" s="20" t="s">
        <v>8</v>
      </c>
      <c r="E532" s="22">
        <v>45</v>
      </c>
      <c r="F532" s="22">
        <v>5</v>
      </c>
      <c r="G532" s="22">
        <v>2</v>
      </c>
      <c r="H532" s="22"/>
      <c r="I532" s="23" t="s">
        <v>9</v>
      </c>
      <c r="J532" s="23"/>
      <c r="K532" s="22"/>
      <c r="L532" s="22"/>
      <c r="M532" s="23"/>
      <c r="N532" s="23"/>
      <c r="O532" s="26" t="s">
        <v>5586</v>
      </c>
      <c r="P532" s="26"/>
      <c r="Q532" s="22"/>
      <c r="R532" s="24"/>
      <c r="S532" s="24"/>
      <c r="T532" s="24"/>
      <c r="U532" s="24"/>
      <c r="V532" s="24"/>
      <c r="W532" s="22" t="s">
        <v>160</v>
      </c>
      <c r="X532" s="4" t="str">
        <f>IF(Tabela2[[#This Row],[sigla]]="","",VLOOKUP(Tabela2[[#This Row],[sigla]],créditos_base!B:C,2,0))</f>
        <v>SERGIO LIMA/ARQUIVO DA EDITORA</v>
      </c>
      <c r="Y532" s="23"/>
      <c r="Z532" s="23" t="str">
        <f>Tabela2[[#This Row],[ilustrador]]</f>
        <v>SERGIO LIMA/ARQUIVO DA EDITORA</v>
      </c>
      <c r="AA532" s="22"/>
      <c r="AB532" s="20"/>
      <c r="AD532" s="4" t="str">
        <f>"Pitanguá"</f>
        <v>Pitanguá</v>
      </c>
      <c r="AE532" s="14" t="str">
        <f>"Matemática"</f>
        <v>Matemática</v>
      </c>
      <c r="AF532" s="14"/>
    </row>
    <row r="533" spans="1:32" ht="28.8" x14ac:dyDescent="0.3">
      <c r="A533" s="23" t="s">
        <v>1052</v>
      </c>
      <c r="B533" s="20" t="s">
        <v>6</v>
      </c>
      <c r="C533" s="20" t="s">
        <v>7</v>
      </c>
      <c r="D533" s="20" t="s">
        <v>8</v>
      </c>
      <c r="E533" s="22">
        <v>53</v>
      </c>
      <c r="F533" s="22">
        <v>4</v>
      </c>
      <c r="G533" s="22">
        <v>2</v>
      </c>
      <c r="H533" s="22"/>
      <c r="I533" s="23" t="s">
        <v>9</v>
      </c>
      <c r="J533" s="23"/>
      <c r="K533" s="22"/>
      <c r="L533" s="22"/>
      <c r="M533" s="23"/>
      <c r="N533" s="23"/>
      <c r="O533" s="26" t="s">
        <v>1053</v>
      </c>
      <c r="P533" s="26" t="s">
        <v>11</v>
      </c>
      <c r="Q533" s="22"/>
      <c r="R533" s="24"/>
      <c r="S533" s="24"/>
      <c r="T533" s="24"/>
      <c r="U533" s="24"/>
      <c r="V533" s="24"/>
      <c r="W533" s="22"/>
      <c r="X533" s="4" t="str">
        <f>IF(Tabela2[[#This Row],[sigla]]="","",VLOOKUP(Tabela2[[#This Row],[sigla]],créditos_base!B:C,2,0))</f>
        <v/>
      </c>
      <c r="Y533" s="23"/>
      <c r="Z533" s="23" t="str">
        <f>Tabela2[[#This Row],[ilustrador]]</f>
        <v/>
      </c>
      <c r="AA533" s="22"/>
      <c r="AB533" s="20"/>
      <c r="AD533" s="4" t="str">
        <f>"Pitanguá"</f>
        <v>Pitanguá</v>
      </c>
      <c r="AE533" s="14" t="str">
        <f>"Matemática"</f>
        <v>Matemática</v>
      </c>
      <c r="AF533" s="14"/>
    </row>
    <row r="534" spans="1:32" ht="28.8" x14ac:dyDescent="0.3">
      <c r="A534" s="23" t="s">
        <v>794</v>
      </c>
      <c r="B534" s="20" t="s">
        <v>16</v>
      </c>
      <c r="C534" s="20" t="s">
        <v>89</v>
      </c>
      <c r="D534" s="20" t="s">
        <v>8</v>
      </c>
      <c r="E534" s="22">
        <v>67</v>
      </c>
      <c r="F534" s="22">
        <v>1</v>
      </c>
      <c r="G534" s="22">
        <v>2</v>
      </c>
      <c r="H534" s="22"/>
      <c r="I534" s="23" t="s">
        <v>33</v>
      </c>
      <c r="J534" s="23"/>
      <c r="K534" s="22"/>
      <c r="L534" s="22"/>
      <c r="M534" s="23"/>
      <c r="N534" s="23"/>
      <c r="O534" s="26" t="s">
        <v>795</v>
      </c>
      <c r="P534" s="26"/>
      <c r="Q534" s="22">
        <v>8</v>
      </c>
      <c r="R534" s="24">
        <v>45733</v>
      </c>
      <c r="S534" s="24">
        <v>45733</v>
      </c>
      <c r="T534" s="24"/>
      <c r="U534" s="24"/>
      <c r="V534" s="24">
        <v>45734</v>
      </c>
      <c r="W534" s="22" t="s">
        <v>72</v>
      </c>
      <c r="X534" s="4" t="str">
        <f>IF(Tabela2[[#This Row],[sigla]]="","",VLOOKUP(Tabela2[[#This Row],[sigla]],créditos_base!B:C,2,0))</f>
        <v>HELOÍSA PINTARELLI/ARQUIVO DA EDITORA</v>
      </c>
      <c r="Y534" s="23" t="s">
        <v>140</v>
      </c>
      <c r="Z534" s="23" t="str">
        <f>Tabela2[[#This Row],[ilustrador]]</f>
        <v>HELOÍSA PINTARELLI/ARQUIVO DA EDITORA</v>
      </c>
      <c r="AA534" s="22">
        <v>14</v>
      </c>
      <c r="AB534" s="20"/>
      <c r="AC534" s="20" t="s">
        <v>36</v>
      </c>
      <c r="AD534" s="4" t="str">
        <f>"Pitanguá"</f>
        <v>Pitanguá</v>
      </c>
      <c r="AE534" s="14" t="str">
        <f>"Matemática"</f>
        <v>Matemática</v>
      </c>
      <c r="AF534" s="14"/>
    </row>
    <row r="535" spans="1:32" ht="28.8" x14ac:dyDescent="0.3">
      <c r="A535" s="23" t="s">
        <v>796</v>
      </c>
      <c r="B535" s="20" t="s">
        <v>16</v>
      </c>
      <c r="C535" s="20" t="s">
        <v>89</v>
      </c>
      <c r="D535" s="20" t="s">
        <v>8</v>
      </c>
      <c r="E535" s="22">
        <v>67</v>
      </c>
      <c r="F535" s="22">
        <v>1</v>
      </c>
      <c r="G535" s="22">
        <v>2</v>
      </c>
      <c r="H535" s="22"/>
      <c r="I535" s="23" t="s">
        <v>33</v>
      </c>
      <c r="J535" s="23"/>
      <c r="K535" s="22"/>
      <c r="L535" s="22"/>
      <c r="M535" s="23"/>
      <c r="N535" s="23"/>
      <c r="O535" s="26" t="s">
        <v>797</v>
      </c>
      <c r="P535" s="26"/>
      <c r="Q535" s="22">
        <v>8</v>
      </c>
      <c r="R535" s="24">
        <v>45733</v>
      </c>
      <c r="S535" s="24">
        <v>45733</v>
      </c>
      <c r="T535" s="24"/>
      <c r="U535" s="24"/>
      <c r="V535" s="24">
        <v>45734</v>
      </c>
      <c r="W535" s="22" t="s">
        <v>72</v>
      </c>
      <c r="X535" s="4" t="str">
        <f>IF(Tabela2[[#This Row],[sigla]]="","",VLOOKUP(Tabela2[[#This Row],[sigla]],créditos_base!B:C,2,0))</f>
        <v>HELOÍSA PINTARELLI/ARQUIVO DA EDITORA</v>
      </c>
      <c r="Y535" s="23" t="s">
        <v>140</v>
      </c>
      <c r="Z535" s="23" t="str">
        <f>Tabela2[[#This Row],[ilustrador]]</f>
        <v>HELOÍSA PINTARELLI/ARQUIVO DA EDITORA</v>
      </c>
      <c r="AA535" s="22">
        <v>14</v>
      </c>
      <c r="AB535" s="20"/>
      <c r="AC535" s="20" t="s">
        <v>36</v>
      </c>
      <c r="AD535" s="4" t="str">
        <f>"Pitanguá"</f>
        <v>Pitanguá</v>
      </c>
      <c r="AE535" s="14" t="str">
        <f>"Matemática"</f>
        <v>Matemática</v>
      </c>
      <c r="AF535" s="14"/>
    </row>
    <row r="536" spans="1:32" ht="28.8" x14ac:dyDescent="0.3">
      <c r="A536" s="23" t="s">
        <v>846</v>
      </c>
      <c r="B536" s="20" t="s">
        <v>16</v>
      </c>
      <c r="C536" s="20" t="s">
        <v>7</v>
      </c>
      <c r="D536" s="20" t="s">
        <v>8</v>
      </c>
      <c r="E536" s="22">
        <v>67</v>
      </c>
      <c r="F536" s="22">
        <v>1</v>
      </c>
      <c r="G536" s="22">
        <v>2</v>
      </c>
      <c r="H536" s="22"/>
      <c r="I536" s="23" t="s">
        <v>9</v>
      </c>
      <c r="J536" s="23"/>
      <c r="K536" s="22"/>
      <c r="L536" s="22"/>
      <c r="M536" s="23"/>
      <c r="N536" s="23"/>
      <c r="O536" s="26" t="s">
        <v>847</v>
      </c>
      <c r="P536" s="26"/>
      <c r="Q536" s="22"/>
      <c r="R536" s="24"/>
      <c r="S536" s="24"/>
      <c r="T536" s="24"/>
      <c r="U536" s="24"/>
      <c r="V536" s="24"/>
      <c r="W536" s="22" t="s">
        <v>72</v>
      </c>
      <c r="X536" s="4" t="str">
        <f>IF(Tabela2[[#This Row],[sigla]]="","",VLOOKUP(Tabela2[[#This Row],[sigla]],créditos_base!B:C,2,0))</f>
        <v>HELOÍSA PINTARELLI/ARQUIVO DA EDITORA</v>
      </c>
      <c r="Y536" s="23"/>
      <c r="Z536" s="23" t="str">
        <f>Tabela2[[#This Row],[ilustrador]]</f>
        <v>HELOÍSA PINTARELLI/ARQUIVO DA EDITORA</v>
      </c>
      <c r="AA536" s="22"/>
      <c r="AB536" s="20"/>
      <c r="AD536" s="4" t="str">
        <f>"Pitanguá"</f>
        <v>Pitanguá</v>
      </c>
      <c r="AE536" s="14" t="str">
        <f>"Matemática"</f>
        <v>Matemática</v>
      </c>
      <c r="AF536" s="14"/>
    </row>
    <row r="537" spans="1:32" ht="28.8" x14ac:dyDescent="0.3">
      <c r="A537" s="23" t="s">
        <v>1073</v>
      </c>
      <c r="B537" s="20" t="s">
        <v>16</v>
      </c>
      <c r="C537" s="20" t="s">
        <v>89</v>
      </c>
      <c r="D537" s="20" t="s">
        <v>8</v>
      </c>
      <c r="E537" s="22">
        <v>53</v>
      </c>
      <c r="F537" s="22">
        <v>4</v>
      </c>
      <c r="G537" s="22">
        <v>2</v>
      </c>
      <c r="H537" s="27" t="s">
        <v>1070</v>
      </c>
      <c r="I537" s="23" t="s">
        <v>90</v>
      </c>
      <c r="J537" s="23"/>
      <c r="K537" s="22"/>
      <c r="L537" s="22"/>
      <c r="M537" s="23"/>
      <c r="N537" s="23"/>
      <c r="O537" s="26" t="s">
        <v>1074</v>
      </c>
      <c r="P537" s="26"/>
      <c r="Q537" s="22">
        <v>12</v>
      </c>
      <c r="R537" s="24">
        <v>45737</v>
      </c>
      <c r="S537" s="24">
        <v>45737</v>
      </c>
      <c r="T537" s="24"/>
      <c r="U537" s="24"/>
      <c r="V537" s="24">
        <v>45740</v>
      </c>
      <c r="W537" s="22" t="s">
        <v>468</v>
      </c>
      <c r="X537" s="4" t="str">
        <f>IF(Tabela2[[#This Row],[sigla]]="","",VLOOKUP(Tabela2[[#This Row],[sigla]],créditos_base!B:C,2,0))</f>
        <v>VER DOCUMENTO DE ILS. TÉCNICAS</v>
      </c>
      <c r="Y537" s="23"/>
      <c r="Z537" s="23" t="s">
        <v>1075</v>
      </c>
      <c r="AA537" s="22">
        <v>13</v>
      </c>
      <c r="AB537" s="20"/>
      <c r="AC537" s="20" t="s">
        <v>36</v>
      </c>
      <c r="AD537" s="4" t="str">
        <f>"Pitanguá"</f>
        <v>Pitanguá</v>
      </c>
      <c r="AE537" s="14" t="str">
        <f>"Matemática"</f>
        <v>Matemática</v>
      </c>
      <c r="AF537" s="14"/>
    </row>
    <row r="538" spans="1:32" ht="28.8" x14ac:dyDescent="0.3">
      <c r="A538" s="23" t="s">
        <v>798</v>
      </c>
      <c r="B538" s="20" t="s">
        <v>6</v>
      </c>
      <c r="C538" s="20" t="s">
        <v>7</v>
      </c>
      <c r="D538" s="20" t="s">
        <v>8</v>
      </c>
      <c r="E538" s="22">
        <v>68</v>
      </c>
      <c r="F538" s="22">
        <v>1</v>
      </c>
      <c r="G538" s="22">
        <v>2</v>
      </c>
      <c r="H538" s="22"/>
      <c r="I538" s="23" t="s">
        <v>33</v>
      </c>
      <c r="J538" s="23"/>
      <c r="K538" s="22"/>
      <c r="L538" s="22"/>
      <c r="M538" s="23"/>
      <c r="N538" s="23"/>
      <c r="O538" s="26" t="s">
        <v>799</v>
      </c>
      <c r="P538" s="26" t="s">
        <v>800</v>
      </c>
      <c r="Q538" s="22">
        <v>8</v>
      </c>
      <c r="R538" s="24">
        <v>45733</v>
      </c>
      <c r="S538" s="24">
        <v>45733</v>
      </c>
      <c r="T538" s="24"/>
      <c r="U538" s="24"/>
      <c r="V538" s="24">
        <v>45734</v>
      </c>
      <c r="W538" s="22" t="s">
        <v>31</v>
      </c>
      <c r="X538" s="4" t="str">
        <f>IF(Tabela2[[#This Row],[sigla]]="","",VLOOKUP(Tabela2[[#This Row],[sigla]],créditos_base!B:C,2,0))</f>
        <v>SILVIA OTOFUJI/ARQUIVO DA EDITORA</v>
      </c>
      <c r="Y538" s="23" t="s">
        <v>188</v>
      </c>
      <c r="Z538" s="23" t="str">
        <f>Tabela2[[#This Row],[ilustrador]]</f>
        <v>SILVIA OTOFUJI/ARQUIVO DA EDITORA</v>
      </c>
      <c r="AA538" s="22">
        <v>13</v>
      </c>
      <c r="AB538" s="20" t="s">
        <v>153</v>
      </c>
      <c r="AC538" s="20" t="s">
        <v>36</v>
      </c>
      <c r="AD538" s="4" t="str">
        <f>"Pitanguá"</f>
        <v>Pitanguá</v>
      </c>
      <c r="AE538" s="14" t="str">
        <f>"Matemática"</f>
        <v>Matemática</v>
      </c>
      <c r="AF538" s="14"/>
    </row>
    <row r="539" spans="1:32" ht="28.8" x14ac:dyDescent="0.3">
      <c r="A539" s="23" t="s">
        <v>1076</v>
      </c>
      <c r="B539" s="20" t="s">
        <v>16</v>
      </c>
      <c r="C539" s="20" t="s">
        <v>89</v>
      </c>
      <c r="D539" s="20" t="s">
        <v>8</v>
      </c>
      <c r="E539" s="22">
        <v>53</v>
      </c>
      <c r="F539" s="22">
        <v>4</v>
      </c>
      <c r="G539" s="22">
        <v>2</v>
      </c>
      <c r="H539" s="27" t="s">
        <v>1070</v>
      </c>
      <c r="I539" s="23" t="s">
        <v>90</v>
      </c>
      <c r="J539" s="23"/>
      <c r="K539" s="22"/>
      <c r="L539" s="22"/>
      <c r="M539" s="23"/>
      <c r="N539" s="23"/>
      <c r="O539" s="26" t="s">
        <v>1077</v>
      </c>
      <c r="P539" s="26"/>
      <c r="Q539" s="22">
        <v>12</v>
      </c>
      <c r="R539" s="24">
        <v>45737</v>
      </c>
      <c r="S539" s="24">
        <v>45737</v>
      </c>
      <c r="T539" s="24"/>
      <c r="U539" s="24"/>
      <c r="V539" s="24">
        <v>45740</v>
      </c>
      <c r="W539" s="22" t="s">
        <v>468</v>
      </c>
      <c r="X539" s="4" t="str">
        <f>IF(Tabela2[[#This Row],[sigla]]="","",VLOOKUP(Tabela2[[#This Row],[sigla]],créditos_base!B:C,2,0))</f>
        <v>VER DOCUMENTO DE ILS. TÉCNICAS</v>
      </c>
      <c r="Y539" s="23"/>
      <c r="Z539" s="23" t="s">
        <v>1075</v>
      </c>
      <c r="AA539" s="22">
        <v>13</v>
      </c>
      <c r="AB539" s="20"/>
      <c r="AC539" s="20" t="s">
        <v>36</v>
      </c>
      <c r="AD539" s="4" t="str">
        <f>"Pitanguá"</f>
        <v>Pitanguá</v>
      </c>
      <c r="AE539" s="14" t="str">
        <f>"Matemática"</f>
        <v>Matemática</v>
      </c>
      <c r="AF539" s="14"/>
    </row>
    <row r="540" spans="1:32" ht="28.8" x14ac:dyDescent="0.3">
      <c r="A540" s="23" t="s">
        <v>852</v>
      </c>
      <c r="B540" s="20" t="s">
        <v>6</v>
      </c>
      <c r="C540" s="20" t="s">
        <v>7</v>
      </c>
      <c r="D540" s="20" t="s">
        <v>8</v>
      </c>
      <c r="E540" s="22">
        <v>69</v>
      </c>
      <c r="F540" s="22">
        <v>1</v>
      </c>
      <c r="G540" s="22">
        <v>2</v>
      </c>
      <c r="H540" s="22"/>
      <c r="I540" s="23" t="s">
        <v>9</v>
      </c>
      <c r="J540" s="23"/>
      <c r="K540" s="22"/>
      <c r="L540" s="22"/>
      <c r="M540" s="23"/>
      <c r="N540" s="23"/>
      <c r="O540" s="26" t="s">
        <v>853</v>
      </c>
      <c r="P540" s="26"/>
      <c r="Q540" s="22"/>
      <c r="R540" s="24"/>
      <c r="S540" s="24"/>
      <c r="T540" s="24"/>
      <c r="U540" s="24"/>
      <c r="V540" s="24"/>
      <c r="W540" s="22" t="s">
        <v>160</v>
      </c>
      <c r="X540" s="4" t="str">
        <f>IF(Tabela2[[#This Row],[sigla]]="","",VLOOKUP(Tabela2[[#This Row],[sigla]],créditos_base!B:C,2,0))</f>
        <v>SERGIO LIMA/ARQUIVO DA EDITORA</v>
      </c>
      <c r="Y540" s="23"/>
      <c r="Z540" s="23" t="str">
        <f>Tabela2[[#This Row],[ilustrador]]</f>
        <v>SERGIO LIMA/ARQUIVO DA EDITORA</v>
      </c>
      <c r="AA540" s="22"/>
      <c r="AB540" s="20"/>
      <c r="AD540" s="4" t="str">
        <f>"Pitanguá"</f>
        <v>Pitanguá</v>
      </c>
      <c r="AE540" s="14" t="str">
        <f>"Matemática"</f>
        <v>Matemática</v>
      </c>
      <c r="AF540" s="14"/>
    </row>
    <row r="541" spans="1:32" ht="28.8" x14ac:dyDescent="0.3">
      <c r="A541" s="23" t="s">
        <v>1078</v>
      </c>
      <c r="B541" s="20" t="s">
        <v>16</v>
      </c>
      <c r="C541" s="20" t="s">
        <v>89</v>
      </c>
      <c r="D541" s="20" t="s">
        <v>8</v>
      </c>
      <c r="E541" s="22">
        <v>53</v>
      </c>
      <c r="F541" s="22">
        <v>4</v>
      </c>
      <c r="G541" s="22">
        <v>2</v>
      </c>
      <c r="H541" s="27" t="s">
        <v>1070</v>
      </c>
      <c r="I541" s="23" t="s">
        <v>9</v>
      </c>
      <c r="J541" s="23"/>
      <c r="K541" s="22"/>
      <c r="L541" s="22"/>
      <c r="M541" s="23"/>
      <c r="N541" s="23"/>
      <c r="O541" s="26" t="s">
        <v>984</v>
      </c>
      <c r="P541" s="26"/>
      <c r="Q541" s="22"/>
      <c r="R541" s="24"/>
      <c r="S541" s="24"/>
      <c r="T541" s="24"/>
      <c r="U541" s="24"/>
      <c r="V541" s="24"/>
      <c r="W541" s="22" t="s">
        <v>940</v>
      </c>
      <c r="X541" s="4" t="str">
        <f>IF(Tabela2[[#This Row],[sigla]]="","",VLOOKUP(Tabela2[[#This Row],[sigla]],créditos_base!B:C,2,0))</f>
        <v>RONALDO LUCENA/ARQUIVO DA EDITORA</v>
      </c>
      <c r="Y541" s="23"/>
      <c r="Z541" s="23" t="str">
        <f>Tabela2[[#This Row],[ilustrador]]</f>
        <v>RONALDO LUCENA/ARQUIVO DA EDITORA</v>
      </c>
      <c r="AA541" s="22"/>
      <c r="AB541" s="20"/>
      <c r="AD541" s="4" t="str">
        <f>"Pitanguá"</f>
        <v>Pitanguá</v>
      </c>
      <c r="AE541" s="14" t="str">
        <f>"Matemática"</f>
        <v>Matemática</v>
      </c>
      <c r="AF541" s="14"/>
    </row>
    <row r="542" spans="1:32" ht="28.8" x14ac:dyDescent="0.3">
      <c r="A542" s="23" t="s">
        <v>856</v>
      </c>
      <c r="B542" s="20" t="s">
        <v>6</v>
      </c>
      <c r="C542" s="20" t="s">
        <v>7</v>
      </c>
      <c r="D542" s="20" t="s">
        <v>8</v>
      </c>
      <c r="E542" s="22">
        <v>69</v>
      </c>
      <c r="F542" s="22">
        <v>1</v>
      </c>
      <c r="G542" s="22">
        <v>2</v>
      </c>
      <c r="H542" s="22"/>
      <c r="I542" s="23" t="s">
        <v>9</v>
      </c>
      <c r="J542" s="23"/>
      <c r="K542" s="22"/>
      <c r="L542" s="22"/>
      <c r="M542" s="23"/>
      <c r="N542" s="23"/>
      <c r="O542" s="26" t="s">
        <v>857</v>
      </c>
      <c r="P542" s="26"/>
      <c r="Q542" s="22"/>
      <c r="R542" s="24"/>
      <c r="S542" s="24"/>
      <c r="T542" s="24"/>
      <c r="U542" s="24"/>
      <c r="V542" s="24"/>
      <c r="W542" s="22" t="s">
        <v>160</v>
      </c>
      <c r="X542" s="4" t="str">
        <f>IF(Tabela2[[#This Row],[sigla]]="","",VLOOKUP(Tabela2[[#This Row],[sigla]],créditos_base!B:C,2,0))</f>
        <v>SERGIO LIMA/ARQUIVO DA EDITORA</v>
      </c>
      <c r="Y542" s="23"/>
      <c r="Z542" s="23" t="str">
        <f>Tabela2[[#This Row],[ilustrador]]</f>
        <v>SERGIO LIMA/ARQUIVO DA EDITORA</v>
      </c>
      <c r="AA542" s="22"/>
      <c r="AB542" s="20"/>
      <c r="AD542" s="4" t="str">
        <f>"Pitanguá"</f>
        <v>Pitanguá</v>
      </c>
      <c r="AE542" s="14" t="str">
        <f>"Matemática"</f>
        <v>Matemática</v>
      </c>
      <c r="AF542" s="14"/>
    </row>
    <row r="543" spans="1:32" ht="28.8" x14ac:dyDescent="0.3">
      <c r="A543" s="23" t="s">
        <v>854</v>
      </c>
      <c r="B543" s="20" t="s">
        <v>6</v>
      </c>
      <c r="C543" s="20" t="s">
        <v>7</v>
      </c>
      <c r="D543" s="20" t="s">
        <v>8</v>
      </c>
      <c r="E543" s="22">
        <v>69</v>
      </c>
      <c r="F543" s="22">
        <v>1</v>
      </c>
      <c r="G543" s="22">
        <v>2</v>
      </c>
      <c r="H543" s="22"/>
      <c r="I543" s="23" t="s">
        <v>9</v>
      </c>
      <c r="J543" s="23"/>
      <c r="K543" s="22"/>
      <c r="L543" s="22"/>
      <c r="M543" s="23"/>
      <c r="N543" s="23"/>
      <c r="O543" s="26" t="s">
        <v>855</v>
      </c>
      <c r="P543" s="26"/>
      <c r="Q543" s="22"/>
      <c r="R543" s="24"/>
      <c r="S543" s="24"/>
      <c r="T543" s="24"/>
      <c r="U543" s="24"/>
      <c r="V543" s="24"/>
      <c r="W543" s="22" t="s">
        <v>160</v>
      </c>
      <c r="X543" s="4" t="str">
        <f>IF(Tabela2[[#This Row],[sigla]]="","",VLOOKUP(Tabela2[[#This Row],[sigla]],créditos_base!B:C,2,0))</f>
        <v>SERGIO LIMA/ARQUIVO DA EDITORA</v>
      </c>
      <c r="Y543" s="23"/>
      <c r="Z543" s="23" t="str">
        <f>Tabela2[[#This Row],[ilustrador]]</f>
        <v>SERGIO LIMA/ARQUIVO DA EDITORA</v>
      </c>
      <c r="AA543" s="22"/>
      <c r="AB543" s="20"/>
      <c r="AD543" s="4" t="str">
        <f>"Pitanguá"</f>
        <v>Pitanguá</v>
      </c>
      <c r="AE543" s="14" t="str">
        <f>"Matemática"</f>
        <v>Matemática</v>
      </c>
      <c r="AF543" s="14"/>
    </row>
    <row r="544" spans="1:32" ht="28.8" x14ac:dyDescent="0.3">
      <c r="A544" s="23" t="s">
        <v>858</v>
      </c>
      <c r="B544" s="20" t="s">
        <v>6</v>
      </c>
      <c r="C544" s="20" t="s">
        <v>7</v>
      </c>
      <c r="D544" s="20" t="s">
        <v>8</v>
      </c>
      <c r="E544" s="22">
        <v>69</v>
      </c>
      <c r="F544" s="22">
        <v>1</v>
      </c>
      <c r="G544" s="22">
        <v>2</v>
      </c>
      <c r="H544" s="22"/>
      <c r="I544" s="23" t="s">
        <v>9</v>
      </c>
      <c r="J544" s="23"/>
      <c r="K544" s="22"/>
      <c r="L544" s="22"/>
      <c r="M544" s="23"/>
      <c r="N544" s="23"/>
      <c r="O544" s="26" t="s">
        <v>859</v>
      </c>
      <c r="P544" s="26"/>
      <c r="Q544" s="22"/>
      <c r="R544" s="24"/>
      <c r="S544" s="24"/>
      <c r="T544" s="24"/>
      <c r="U544" s="24"/>
      <c r="V544" s="24"/>
      <c r="W544" s="22" t="s">
        <v>160</v>
      </c>
      <c r="X544" s="4" t="str">
        <f>IF(Tabela2[[#This Row],[sigla]]="","",VLOOKUP(Tabela2[[#This Row],[sigla]],créditos_base!B:C,2,0))</f>
        <v>SERGIO LIMA/ARQUIVO DA EDITORA</v>
      </c>
      <c r="Y544" s="23"/>
      <c r="Z544" s="23" t="str">
        <f>Tabela2[[#This Row],[ilustrador]]</f>
        <v>SERGIO LIMA/ARQUIVO DA EDITORA</v>
      </c>
      <c r="AA544" s="22"/>
      <c r="AB544" s="20"/>
      <c r="AD544" s="4" t="str">
        <f>"Pitanguá"</f>
        <v>Pitanguá</v>
      </c>
      <c r="AE544" s="14" t="str">
        <f>"Matemática"</f>
        <v>Matemática</v>
      </c>
      <c r="AF544" s="14"/>
    </row>
    <row r="545" spans="1:32" ht="28.8" x14ac:dyDescent="0.3">
      <c r="A545" s="23" t="s">
        <v>801</v>
      </c>
      <c r="B545" s="20" t="s">
        <v>6</v>
      </c>
      <c r="C545" s="20" t="s">
        <v>89</v>
      </c>
      <c r="D545" s="20" t="s">
        <v>8</v>
      </c>
      <c r="E545" s="22">
        <v>70</v>
      </c>
      <c r="F545" s="22">
        <v>1</v>
      </c>
      <c r="G545" s="22">
        <v>2</v>
      </c>
      <c r="H545" s="22"/>
      <c r="I545" s="23" t="s">
        <v>90</v>
      </c>
      <c r="J545" s="23"/>
      <c r="K545" s="22"/>
      <c r="L545" s="22"/>
      <c r="M545" s="23"/>
      <c r="N545" s="23"/>
      <c r="O545" s="26" t="s">
        <v>802</v>
      </c>
      <c r="P545" s="26"/>
      <c r="Q545" s="22">
        <v>8</v>
      </c>
      <c r="R545" s="24">
        <v>45733</v>
      </c>
      <c r="S545" s="24">
        <v>45734</v>
      </c>
      <c r="T545" s="24">
        <v>45736</v>
      </c>
      <c r="U545" s="24">
        <v>45740</v>
      </c>
      <c r="V545" s="24">
        <v>45742</v>
      </c>
      <c r="W545" s="22" t="s">
        <v>31</v>
      </c>
      <c r="X545" s="4" t="str">
        <f>IF(Tabela2[[#This Row],[sigla]]="","",VLOOKUP(Tabela2[[#This Row],[sigla]],créditos_base!B:C,2,0))</f>
        <v>SILVIA OTOFUJI/ARQUIVO DA EDITORA</v>
      </c>
      <c r="Y545" s="23"/>
      <c r="Z545" s="23" t="str">
        <f>Tabela2[[#This Row],[ilustrador]]</f>
        <v>SILVIA OTOFUJI/ARQUIVO DA EDITORA</v>
      </c>
      <c r="AA545" s="22">
        <v>7</v>
      </c>
      <c r="AB545" s="20" t="s">
        <v>803</v>
      </c>
      <c r="AC545" s="20" t="s">
        <v>310</v>
      </c>
      <c r="AD545" s="4" t="str">
        <f>"Pitanguá"</f>
        <v>Pitanguá</v>
      </c>
      <c r="AE545" s="14" t="str">
        <f>"Matemática"</f>
        <v>Matemática</v>
      </c>
      <c r="AF545" s="14"/>
    </row>
    <row r="546" spans="1:32" ht="43.2" x14ac:dyDescent="0.3">
      <c r="A546" s="23" t="s">
        <v>860</v>
      </c>
      <c r="B546" s="20" t="s">
        <v>16</v>
      </c>
      <c r="C546" s="20" t="s">
        <v>7</v>
      </c>
      <c r="D546" s="20" t="s">
        <v>8</v>
      </c>
      <c r="E546" s="22">
        <v>72</v>
      </c>
      <c r="F546" s="22">
        <v>1</v>
      </c>
      <c r="G546" s="22">
        <v>2</v>
      </c>
      <c r="H546" s="22"/>
      <c r="I546" s="23" t="s">
        <v>33</v>
      </c>
      <c r="J546" s="23"/>
      <c r="K546" s="22"/>
      <c r="L546" s="22"/>
      <c r="M546" s="23"/>
      <c r="N546" s="23"/>
      <c r="O546" s="26" t="s">
        <v>861</v>
      </c>
      <c r="P546" s="26"/>
      <c r="Q546" s="22">
        <v>44</v>
      </c>
      <c r="R546" s="24">
        <v>45785</v>
      </c>
      <c r="S546" s="24">
        <v>45786</v>
      </c>
      <c r="T546" s="24"/>
      <c r="U546" s="24"/>
      <c r="V546" s="24">
        <v>45786</v>
      </c>
      <c r="W546" s="22" t="s">
        <v>87</v>
      </c>
      <c r="X546" s="4" t="str">
        <f>IF(Tabela2[[#This Row],[sigla]]="","",VLOOKUP(Tabela2[[#This Row],[sigla]],créditos_base!B:C,2,0))</f>
        <v>CHRIS BORGES/ARQUIVO DA EDITORA</v>
      </c>
      <c r="Y546" s="23" t="s">
        <v>152</v>
      </c>
      <c r="Z546" s="23" t="str">
        <f>Tabela2[[#This Row],[ilustrador]]</f>
        <v>CHRIS BORGES/ARQUIVO DA EDITORA</v>
      </c>
      <c r="AA546" s="22">
        <v>13</v>
      </c>
      <c r="AB546" s="20" t="s">
        <v>153</v>
      </c>
      <c r="AC546" s="20" t="s">
        <v>36</v>
      </c>
      <c r="AD546" s="4" t="str">
        <f>"Pitanguá"</f>
        <v>Pitanguá</v>
      </c>
      <c r="AE546" s="14" t="str">
        <f>"Matemática"</f>
        <v>Matemática</v>
      </c>
      <c r="AF546" s="14"/>
    </row>
    <row r="547" spans="1:32" ht="28.8" x14ac:dyDescent="0.3">
      <c r="A547" s="23" t="s">
        <v>862</v>
      </c>
      <c r="B547" s="20" t="s">
        <v>16</v>
      </c>
      <c r="C547" s="20" t="s">
        <v>7</v>
      </c>
      <c r="D547" s="20" t="s">
        <v>8</v>
      </c>
      <c r="E547" s="22">
        <v>72</v>
      </c>
      <c r="F547" s="22">
        <v>1</v>
      </c>
      <c r="G547" s="22">
        <v>2</v>
      </c>
      <c r="H547" s="22"/>
      <c r="I547" s="23" t="s">
        <v>9</v>
      </c>
      <c r="J547" s="23"/>
      <c r="K547" s="22"/>
      <c r="L547" s="22"/>
      <c r="M547" s="23"/>
      <c r="N547" s="23"/>
      <c r="O547" s="26" t="s">
        <v>863</v>
      </c>
      <c r="P547" s="26"/>
      <c r="Q547" s="22"/>
      <c r="R547" s="24"/>
      <c r="S547" s="24"/>
      <c r="T547" s="24"/>
      <c r="U547" s="24"/>
      <c r="V547" s="24"/>
      <c r="W547" s="22" t="s">
        <v>87</v>
      </c>
      <c r="X547" s="4" t="str">
        <f>IF(Tabela2[[#This Row],[sigla]]="","",VLOOKUP(Tabela2[[#This Row],[sigla]],créditos_base!B:C,2,0))</f>
        <v>CHRIS BORGES/ARQUIVO DA EDITORA</v>
      </c>
      <c r="Y547" s="23"/>
      <c r="Z547" s="23" t="str">
        <f>Tabela2[[#This Row],[ilustrador]]</f>
        <v>CHRIS BORGES/ARQUIVO DA EDITORA</v>
      </c>
      <c r="AA547" s="22"/>
      <c r="AB547" s="20"/>
      <c r="AD547" s="4" t="str">
        <f>"Pitanguá"</f>
        <v>Pitanguá</v>
      </c>
      <c r="AE547" s="14" t="str">
        <f>"Matemática"</f>
        <v>Matemática</v>
      </c>
      <c r="AF547" s="14"/>
    </row>
    <row r="548" spans="1:32" ht="57.6" x14ac:dyDescent="0.3">
      <c r="A548" s="23" t="s">
        <v>864</v>
      </c>
      <c r="B548" s="20" t="s">
        <v>16</v>
      </c>
      <c r="C548" s="20" t="s">
        <v>7</v>
      </c>
      <c r="D548" s="20" t="s">
        <v>8</v>
      </c>
      <c r="E548" s="22">
        <v>72</v>
      </c>
      <c r="F548" s="22">
        <v>1</v>
      </c>
      <c r="G548" s="22">
        <v>2</v>
      </c>
      <c r="H548" s="22"/>
      <c r="I548" s="23" t="s">
        <v>9</v>
      </c>
      <c r="J548" s="23"/>
      <c r="K548" s="22"/>
      <c r="L548" s="22"/>
      <c r="M548" s="23"/>
      <c r="N548" s="23"/>
      <c r="O548" s="26" t="s">
        <v>865</v>
      </c>
      <c r="P548" s="26"/>
      <c r="Q548" s="22"/>
      <c r="R548" s="24"/>
      <c r="S548" s="24"/>
      <c r="T548" s="24"/>
      <c r="U548" s="24"/>
      <c r="V548" s="24"/>
      <c r="W548" s="22" t="s">
        <v>87</v>
      </c>
      <c r="X548" s="4" t="str">
        <f>IF(Tabela2[[#This Row],[sigla]]="","",VLOOKUP(Tabela2[[#This Row],[sigla]],créditos_base!B:C,2,0))</f>
        <v>CHRIS BORGES/ARQUIVO DA EDITORA</v>
      </c>
      <c r="Y548" s="23"/>
      <c r="Z548" s="23" t="str">
        <f>Tabela2[[#This Row],[ilustrador]]</f>
        <v>CHRIS BORGES/ARQUIVO DA EDITORA</v>
      </c>
      <c r="AA548" s="22"/>
      <c r="AB548" s="20"/>
      <c r="AD548" s="4" t="str">
        <f>"Pitanguá"</f>
        <v>Pitanguá</v>
      </c>
      <c r="AE548" s="14" t="str">
        <f>"Matemática"</f>
        <v>Matemática</v>
      </c>
      <c r="AF548" s="14"/>
    </row>
    <row r="549" spans="1:32" ht="57.6" x14ac:dyDescent="0.3">
      <c r="A549" s="23" t="s">
        <v>866</v>
      </c>
      <c r="B549" s="20" t="s">
        <v>16</v>
      </c>
      <c r="C549" s="20" t="s">
        <v>7</v>
      </c>
      <c r="D549" s="20" t="s">
        <v>8</v>
      </c>
      <c r="E549" s="22">
        <v>72</v>
      </c>
      <c r="F549" s="22">
        <v>1</v>
      </c>
      <c r="G549" s="22">
        <v>2</v>
      </c>
      <c r="H549" s="22"/>
      <c r="I549" s="23" t="s">
        <v>33</v>
      </c>
      <c r="J549" s="23"/>
      <c r="K549" s="22"/>
      <c r="L549" s="22"/>
      <c r="M549" s="23"/>
      <c r="N549" s="23"/>
      <c r="O549" s="26" t="s">
        <v>867</v>
      </c>
      <c r="P549" s="26"/>
      <c r="Q549" s="22">
        <v>44</v>
      </c>
      <c r="R549" s="24">
        <v>45785</v>
      </c>
      <c r="S549" s="24">
        <v>45786</v>
      </c>
      <c r="T549" s="24"/>
      <c r="U549" s="24"/>
      <c r="V549" s="24">
        <v>45786</v>
      </c>
      <c r="W549" s="22" t="s">
        <v>87</v>
      </c>
      <c r="X549" s="4" t="str">
        <f>IF(Tabela2[[#This Row],[sigla]]="","",VLOOKUP(Tabela2[[#This Row],[sigla]],créditos_base!B:C,2,0))</f>
        <v>CHRIS BORGES/ARQUIVO DA EDITORA</v>
      </c>
      <c r="Y549" s="23" t="s">
        <v>152</v>
      </c>
      <c r="Z549" s="23" t="str">
        <f>Tabela2[[#This Row],[ilustrador]]</f>
        <v>CHRIS BORGES/ARQUIVO DA EDITORA</v>
      </c>
      <c r="AA549" s="22">
        <v>13</v>
      </c>
      <c r="AB549" s="20" t="s">
        <v>153</v>
      </c>
      <c r="AC549" s="20" t="s">
        <v>36</v>
      </c>
      <c r="AD549" s="4" t="str">
        <f>"Pitanguá"</f>
        <v>Pitanguá</v>
      </c>
      <c r="AE549" s="14" t="str">
        <f>"Matemática"</f>
        <v>Matemática</v>
      </c>
      <c r="AF549" s="14"/>
    </row>
    <row r="550" spans="1:32" ht="57.6" x14ac:dyDescent="0.3">
      <c r="A550" s="23" t="s">
        <v>868</v>
      </c>
      <c r="B550" s="20" t="s">
        <v>16</v>
      </c>
      <c r="C550" s="20" t="s">
        <v>7</v>
      </c>
      <c r="D550" s="20" t="s">
        <v>8</v>
      </c>
      <c r="E550" s="22">
        <v>72</v>
      </c>
      <c r="F550" s="22">
        <v>1</v>
      </c>
      <c r="G550" s="22">
        <v>2</v>
      </c>
      <c r="H550" s="22"/>
      <c r="I550" s="23" t="s">
        <v>9</v>
      </c>
      <c r="J550" s="23"/>
      <c r="K550" s="22"/>
      <c r="L550" s="22"/>
      <c r="M550" s="23"/>
      <c r="N550" s="23"/>
      <c r="O550" s="26" t="s">
        <v>869</v>
      </c>
      <c r="P550" s="26"/>
      <c r="Q550" s="22"/>
      <c r="R550" s="24"/>
      <c r="S550" s="24"/>
      <c r="T550" s="24"/>
      <c r="U550" s="24"/>
      <c r="V550" s="24"/>
      <c r="W550" s="22" t="s">
        <v>87</v>
      </c>
      <c r="X550" s="4" t="str">
        <f>IF(Tabela2[[#This Row],[sigla]]="","",VLOOKUP(Tabela2[[#This Row],[sigla]],créditos_base!B:C,2,0))</f>
        <v>CHRIS BORGES/ARQUIVO DA EDITORA</v>
      </c>
      <c r="Y550" s="23"/>
      <c r="Z550" s="23" t="str">
        <f>Tabela2[[#This Row],[ilustrador]]</f>
        <v>CHRIS BORGES/ARQUIVO DA EDITORA</v>
      </c>
      <c r="AA550" s="22"/>
      <c r="AB550" s="20"/>
      <c r="AD550" s="4" t="str">
        <f>"Pitanguá"</f>
        <v>Pitanguá</v>
      </c>
      <c r="AE550" s="14" t="str">
        <f>"Matemática"</f>
        <v>Matemática</v>
      </c>
      <c r="AF550" s="14"/>
    </row>
    <row r="551" spans="1:32" ht="28.8" x14ac:dyDescent="0.3">
      <c r="A551" s="23" t="s">
        <v>804</v>
      </c>
      <c r="B551" s="20" t="s">
        <v>16</v>
      </c>
      <c r="C551" s="20" t="s">
        <v>7</v>
      </c>
      <c r="D551" s="20" t="s">
        <v>8</v>
      </c>
      <c r="E551" s="22">
        <v>74</v>
      </c>
      <c r="F551" s="22">
        <v>1</v>
      </c>
      <c r="G551" s="22">
        <v>2</v>
      </c>
      <c r="H551" s="22"/>
      <c r="I551" s="23" t="s">
        <v>33</v>
      </c>
      <c r="J551" s="23"/>
      <c r="K551" s="22"/>
      <c r="L551" s="22"/>
      <c r="M551" s="23"/>
      <c r="N551" s="23"/>
      <c r="O551" s="26" t="s">
        <v>805</v>
      </c>
      <c r="P551" s="26"/>
      <c r="Q551" s="22">
        <v>8</v>
      </c>
      <c r="R551" s="24">
        <v>45733</v>
      </c>
      <c r="S551" s="24">
        <v>45733</v>
      </c>
      <c r="T551" s="24"/>
      <c r="U551" s="24"/>
      <c r="V551" s="24">
        <v>45734</v>
      </c>
      <c r="W551" s="22" t="s">
        <v>806</v>
      </c>
      <c r="X551" s="4" t="str">
        <f>IF(Tabela2[[#This Row],[sigla]]="","",VLOOKUP(Tabela2[[#This Row],[sigla]],créditos_base!B:C,2,0))</f>
        <v>MARCOS MACHADO/ARQUIVO DA EDITORA</v>
      </c>
      <c r="Y551" s="23" t="s">
        <v>188</v>
      </c>
      <c r="Z551" s="23" t="str">
        <f>Tabela2[[#This Row],[ilustrador]]</f>
        <v>MARCOS MACHADO/ARQUIVO DA EDITORA</v>
      </c>
      <c r="AA551" s="22">
        <v>13</v>
      </c>
      <c r="AB551" s="20" t="s">
        <v>153</v>
      </c>
      <c r="AC551" s="20" t="s">
        <v>36</v>
      </c>
      <c r="AD551" s="4" t="str">
        <f>"Pitanguá"</f>
        <v>Pitanguá</v>
      </c>
      <c r="AE551" s="14" t="str">
        <f>"Matemática"</f>
        <v>Matemática</v>
      </c>
      <c r="AF551" s="14"/>
    </row>
    <row r="552" spans="1:32" ht="86.4" x14ac:dyDescent="0.3">
      <c r="A552" s="23" t="s">
        <v>870</v>
      </c>
      <c r="B552" s="20" t="s">
        <v>16</v>
      </c>
      <c r="C552" s="20" t="s">
        <v>7</v>
      </c>
      <c r="D552" s="20" t="s">
        <v>8</v>
      </c>
      <c r="E552" s="22">
        <v>75</v>
      </c>
      <c r="F552" s="22">
        <v>1</v>
      </c>
      <c r="G552" s="22">
        <v>2</v>
      </c>
      <c r="H552" s="22"/>
      <c r="I552" s="23" t="s">
        <v>9</v>
      </c>
      <c r="J552" s="23"/>
      <c r="K552" s="22"/>
      <c r="L552" s="22"/>
      <c r="M552" s="23"/>
      <c r="N552" s="23"/>
      <c r="O552" s="26" t="s">
        <v>871</v>
      </c>
      <c r="P552" s="26"/>
      <c r="Q552" s="22"/>
      <c r="R552" s="24"/>
      <c r="S552" s="24"/>
      <c r="T552" s="24"/>
      <c r="U552" s="24"/>
      <c r="V552" s="24"/>
      <c r="W552" s="22" t="s">
        <v>223</v>
      </c>
      <c r="X552" s="4" t="str">
        <f>IF(Tabela2[[#This Row],[sigla]]="","",VLOOKUP(Tabela2[[#This Row],[sigla]],créditos_base!B:C,2,0))</f>
        <v>NATANAELE BILMAIA/ARQUIVO DA EDITORA</v>
      </c>
      <c r="Y552" s="23"/>
      <c r="Z552" s="23" t="str">
        <f>Tabela2[[#This Row],[ilustrador]]</f>
        <v>NATANAELE BILMAIA/ARQUIVO DA EDITORA</v>
      </c>
      <c r="AA552" s="22"/>
      <c r="AB552" s="20"/>
      <c r="AD552" s="4" t="str">
        <f>"Pitanguá"</f>
        <v>Pitanguá</v>
      </c>
      <c r="AE552" s="14" t="str">
        <f>"Matemática"</f>
        <v>Matemática</v>
      </c>
      <c r="AF552" s="14"/>
    </row>
    <row r="553" spans="1:32" ht="57.6" x14ac:dyDescent="0.3">
      <c r="A553" s="23" t="s">
        <v>872</v>
      </c>
      <c r="B553" s="20" t="s">
        <v>16</v>
      </c>
      <c r="C553" s="20" t="s">
        <v>7</v>
      </c>
      <c r="D553" s="20" t="s">
        <v>8</v>
      </c>
      <c r="E553" s="22">
        <v>75</v>
      </c>
      <c r="F553" s="22">
        <v>1</v>
      </c>
      <c r="G553" s="22">
        <v>2</v>
      </c>
      <c r="H553" s="22"/>
      <c r="I553" s="23" t="s">
        <v>9</v>
      </c>
      <c r="J553" s="23"/>
      <c r="K553" s="22"/>
      <c r="L553" s="22"/>
      <c r="M553" s="23"/>
      <c r="N553" s="23"/>
      <c r="O553" s="26" t="s">
        <v>873</v>
      </c>
      <c r="P553" s="26"/>
      <c r="Q553" s="22"/>
      <c r="R553" s="24"/>
      <c r="S553" s="24"/>
      <c r="T553" s="24"/>
      <c r="U553" s="24"/>
      <c r="V553" s="24"/>
      <c r="W553" s="22" t="s">
        <v>223</v>
      </c>
      <c r="X553" s="4" t="str">
        <f>IF(Tabela2[[#This Row],[sigla]]="","",VLOOKUP(Tabela2[[#This Row],[sigla]],créditos_base!B:C,2,0))</f>
        <v>NATANAELE BILMAIA/ARQUIVO DA EDITORA</v>
      </c>
      <c r="Y553" s="23"/>
      <c r="Z553" s="23" t="str">
        <f>Tabela2[[#This Row],[ilustrador]]</f>
        <v>NATANAELE BILMAIA/ARQUIVO DA EDITORA</v>
      </c>
      <c r="AA553" s="22"/>
      <c r="AB553" s="20"/>
      <c r="AD553" s="4" t="str">
        <f>"Pitanguá"</f>
        <v>Pitanguá</v>
      </c>
      <c r="AE553" s="14" t="str">
        <f>"Matemática"</f>
        <v>Matemática</v>
      </c>
      <c r="AF553" s="14"/>
    </row>
    <row r="554" spans="1:32" ht="72" x14ac:dyDescent="0.3">
      <c r="A554" s="23" t="s">
        <v>874</v>
      </c>
      <c r="B554" s="20" t="s">
        <v>16</v>
      </c>
      <c r="C554" s="20" t="s">
        <v>7</v>
      </c>
      <c r="D554" s="20" t="s">
        <v>8</v>
      </c>
      <c r="E554" s="22">
        <v>75</v>
      </c>
      <c r="F554" s="22">
        <v>1</v>
      </c>
      <c r="G554" s="22">
        <v>2</v>
      </c>
      <c r="H554" s="22"/>
      <c r="I554" s="23" t="s">
        <v>9</v>
      </c>
      <c r="J554" s="23"/>
      <c r="K554" s="22"/>
      <c r="L554" s="22"/>
      <c r="M554" s="23"/>
      <c r="N554" s="23"/>
      <c r="O554" s="26" t="s">
        <v>875</v>
      </c>
      <c r="P554" s="26"/>
      <c r="Q554" s="22"/>
      <c r="R554" s="24"/>
      <c r="S554" s="24"/>
      <c r="T554" s="24"/>
      <c r="U554" s="24"/>
      <c r="V554" s="24"/>
      <c r="W554" s="22" t="s">
        <v>223</v>
      </c>
      <c r="X554" s="4" t="str">
        <f>IF(Tabela2[[#This Row],[sigla]]="","",VLOOKUP(Tabela2[[#This Row],[sigla]],créditos_base!B:C,2,0))</f>
        <v>NATANAELE BILMAIA/ARQUIVO DA EDITORA</v>
      </c>
      <c r="Y554" s="23"/>
      <c r="Z554" s="23" t="str">
        <f>Tabela2[[#This Row],[ilustrador]]</f>
        <v>NATANAELE BILMAIA/ARQUIVO DA EDITORA</v>
      </c>
      <c r="AA554" s="22"/>
      <c r="AB554" s="20"/>
      <c r="AD554" s="4" t="str">
        <f>"Pitanguá"</f>
        <v>Pitanguá</v>
      </c>
      <c r="AE554" s="14" t="str">
        <f>"Matemática"</f>
        <v>Matemática</v>
      </c>
      <c r="AF554" s="14"/>
    </row>
    <row r="555" spans="1:32" ht="28.8" x14ac:dyDescent="0.3">
      <c r="A555" s="23" t="s">
        <v>876</v>
      </c>
      <c r="B555" s="20" t="s">
        <v>16</v>
      </c>
      <c r="C555" s="20" t="s">
        <v>7</v>
      </c>
      <c r="D555" s="20" t="s">
        <v>8</v>
      </c>
      <c r="E555" s="22">
        <v>75</v>
      </c>
      <c r="F555" s="22">
        <v>1</v>
      </c>
      <c r="G555" s="22">
        <v>2</v>
      </c>
      <c r="H555" s="22"/>
      <c r="I555" s="23" t="s">
        <v>9</v>
      </c>
      <c r="J555" s="23"/>
      <c r="K555" s="22"/>
      <c r="L555" s="22"/>
      <c r="M555" s="23"/>
      <c r="N555" s="23"/>
      <c r="O555" s="26" t="s">
        <v>877</v>
      </c>
      <c r="P555" s="26"/>
      <c r="Q555" s="22"/>
      <c r="R555" s="24"/>
      <c r="S555" s="24"/>
      <c r="T555" s="24"/>
      <c r="U555" s="24"/>
      <c r="V555" s="24"/>
      <c r="W555" s="22" t="s">
        <v>223</v>
      </c>
      <c r="X555" s="4" t="str">
        <f>IF(Tabela2[[#This Row],[sigla]]="","",VLOOKUP(Tabela2[[#This Row],[sigla]],créditos_base!B:C,2,0))</f>
        <v>NATANAELE BILMAIA/ARQUIVO DA EDITORA</v>
      </c>
      <c r="Y555" s="23"/>
      <c r="Z555" s="23" t="str">
        <f>Tabela2[[#This Row],[ilustrador]]</f>
        <v>NATANAELE BILMAIA/ARQUIVO DA EDITORA</v>
      </c>
      <c r="AA555" s="22"/>
      <c r="AB555" s="20"/>
      <c r="AD555" s="4" t="str">
        <f>"Pitanguá"</f>
        <v>Pitanguá</v>
      </c>
      <c r="AE555" s="14" t="str">
        <f>"Matemática"</f>
        <v>Matemática</v>
      </c>
      <c r="AF555" s="14"/>
    </row>
    <row r="556" spans="1:32" ht="28.8" x14ac:dyDescent="0.3">
      <c r="A556" s="23" t="s">
        <v>878</v>
      </c>
      <c r="B556" s="20" t="s">
        <v>16</v>
      </c>
      <c r="C556" s="20" t="s">
        <v>7</v>
      </c>
      <c r="D556" s="20" t="s">
        <v>8</v>
      </c>
      <c r="E556" s="22">
        <v>75</v>
      </c>
      <c r="F556" s="22">
        <v>1</v>
      </c>
      <c r="G556" s="22">
        <v>2</v>
      </c>
      <c r="H556" s="22"/>
      <c r="I556" s="23" t="s">
        <v>33</v>
      </c>
      <c r="J556" s="23"/>
      <c r="K556" s="22"/>
      <c r="L556" s="22"/>
      <c r="M556" s="23"/>
      <c r="N556" s="23"/>
      <c r="O556" s="26" t="s">
        <v>879</v>
      </c>
      <c r="P556" s="26"/>
      <c r="Q556" s="22">
        <v>105</v>
      </c>
      <c r="R556" s="24">
        <v>45847</v>
      </c>
      <c r="S556" s="24">
        <v>45848</v>
      </c>
      <c r="T556" s="24"/>
      <c r="U556" s="24"/>
      <c r="V556" s="24">
        <v>45848</v>
      </c>
      <c r="W556" s="22" t="s">
        <v>223</v>
      </c>
      <c r="X556" s="4" t="str">
        <f>IF(Tabela2[[#This Row],[sigla]]="","",VLOOKUP(Tabela2[[#This Row],[sigla]],créditos_base!B:C,2,0))</f>
        <v>NATANAELE BILMAIA/ARQUIVO DA EDITORA</v>
      </c>
      <c r="Y556" s="23" t="s">
        <v>880</v>
      </c>
      <c r="Z556" s="23" t="str">
        <f>Tabela2[[#This Row],[ilustrador]]</f>
        <v>NATANAELE BILMAIA/ARQUIVO DA EDITORA</v>
      </c>
      <c r="AA556" s="22">
        <v>13</v>
      </c>
      <c r="AB556" s="20" t="s">
        <v>244</v>
      </c>
      <c r="AC556" s="20" t="s">
        <v>36</v>
      </c>
      <c r="AD556" s="4" t="str">
        <f>"Pitanguá"</f>
        <v>Pitanguá</v>
      </c>
      <c r="AE556" s="14" t="str">
        <f>"Matemática"</f>
        <v>Matemática</v>
      </c>
      <c r="AF556" s="14"/>
    </row>
    <row r="557" spans="1:32" ht="57.6" x14ac:dyDescent="0.3">
      <c r="A557" s="23" t="s">
        <v>881</v>
      </c>
      <c r="B557" s="20" t="s">
        <v>16</v>
      </c>
      <c r="C557" s="20" t="s">
        <v>7</v>
      </c>
      <c r="D557" s="20" t="s">
        <v>8</v>
      </c>
      <c r="E557" s="22">
        <v>75</v>
      </c>
      <c r="F557" s="22">
        <v>1</v>
      </c>
      <c r="G557" s="22">
        <v>2</v>
      </c>
      <c r="H557" s="22"/>
      <c r="I557" s="23" t="s">
        <v>33</v>
      </c>
      <c r="J557" s="23"/>
      <c r="K557" s="22"/>
      <c r="L557" s="22"/>
      <c r="M557" s="23"/>
      <c r="N557" s="23"/>
      <c r="O557" s="26" t="s">
        <v>882</v>
      </c>
      <c r="P557" s="26"/>
      <c r="Q557" s="22">
        <v>105</v>
      </c>
      <c r="R557" s="24">
        <v>45847</v>
      </c>
      <c r="S557" s="24">
        <v>45848</v>
      </c>
      <c r="T557" s="24"/>
      <c r="U557" s="24"/>
      <c r="V557" s="24">
        <v>45848</v>
      </c>
      <c r="W557" s="22" t="s">
        <v>223</v>
      </c>
      <c r="X557" s="4" t="str">
        <f>IF(Tabela2[[#This Row],[sigla]]="","",VLOOKUP(Tabela2[[#This Row],[sigla]],créditos_base!B:C,2,0))</f>
        <v>NATANAELE BILMAIA/ARQUIVO DA EDITORA</v>
      </c>
      <c r="Y557" s="23" t="s">
        <v>880</v>
      </c>
      <c r="Z557" s="23" t="str">
        <f>Tabela2[[#This Row],[ilustrador]]</f>
        <v>NATANAELE BILMAIA/ARQUIVO DA EDITORA</v>
      </c>
      <c r="AA557" s="22">
        <v>13</v>
      </c>
      <c r="AB557" s="20" t="s">
        <v>244</v>
      </c>
      <c r="AC557" s="20" t="s">
        <v>36</v>
      </c>
      <c r="AD557" s="4" t="str">
        <f>"Pitanguá"</f>
        <v>Pitanguá</v>
      </c>
      <c r="AE557" s="14" t="str">
        <f>"Matemática"</f>
        <v>Matemática</v>
      </c>
      <c r="AF557" s="14"/>
    </row>
    <row r="558" spans="1:32" ht="28.8" x14ac:dyDescent="0.3">
      <c r="A558" s="23" t="s">
        <v>883</v>
      </c>
      <c r="B558" s="20" t="s">
        <v>16</v>
      </c>
      <c r="C558" s="20" t="s">
        <v>7</v>
      </c>
      <c r="D558" s="20" t="s">
        <v>8</v>
      </c>
      <c r="E558" s="22">
        <v>75</v>
      </c>
      <c r="F558" s="22">
        <v>1</v>
      </c>
      <c r="G558" s="22">
        <v>2</v>
      </c>
      <c r="H558" s="22"/>
      <c r="I558" s="23" t="s">
        <v>33</v>
      </c>
      <c r="J558" s="23"/>
      <c r="K558" s="22"/>
      <c r="L558" s="22"/>
      <c r="M558" s="23"/>
      <c r="N558" s="23"/>
      <c r="O558" s="26" t="s">
        <v>884</v>
      </c>
      <c r="P558" s="26"/>
      <c r="Q558" s="22">
        <v>105</v>
      </c>
      <c r="R558" s="24">
        <v>45847</v>
      </c>
      <c r="S558" s="24">
        <v>45848</v>
      </c>
      <c r="T558" s="24"/>
      <c r="U558" s="24"/>
      <c r="V558" s="24">
        <v>45848</v>
      </c>
      <c r="W558" s="22" t="s">
        <v>223</v>
      </c>
      <c r="X558" s="4" t="str">
        <f>IF(Tabela2[[#This Row],[sigla]]="","",VLOOKUP(Tabela2[[#This Row],[sigla]],créditos_base!B:C,2,0))</f>
        <v>NATANAELE BILMAIA/ARQUIVO DA EDITORA</v>
      </c>
      <c r="Y558" s="23" t="s">
        <v>880</v>
      </c>
      <c r="Z558" s="23" t="str">
        <f>Tabela2[[#This Row],[ilustrador]]</f>
        <v>NATANAELE BILMAIA/ARQUIVO DA EDITORA</v>
      </c>
      <c r="AA558" s="22">
        <v>13</v>
      </c>
      <c r="AB558" s="20" t="s">
        <v>244</v>
      </c>
      <c r="AC558" s="20" t="s">
        <v>36</v>
      </c>
      <c r="AD558" s="4" t="str">
        <f>"Pitanguá"</f>
        <v>Pitanguá</v>
      </c>
      <c r="AE558" s="14" t="str">
        <f>"Matemática"</f>
        <v>Matemática</v>
      </c>
      <c r="AF558" s="14"/>
    </row>
    <row r="559" spans="1:32" ht="57.6" x14ac:dyDescent="0.3">
      <c r="A559" s="23" t="s">
        <v>885</v>
      </c>
      <c r="B559" s="20" t="s">
        <v>16</v>
      </c>
      <c r="C559" s="20" t="s">
        <v>7</v>
      </c>
      <c r="D559" s="20" t="s">
        <v>8</v>
      </c>
      <c r="E559" s="22">
        <v>75</v>
      </c>
      <c r="F559" s="22">
        <v>1</v>
      </c>
      <c r="G559" s="22">
        <v>2</v>
      </c>
      <c r="H559" s="22"/>
      <c r="I559" s="23" t="s">
        <v>33</v>
      </c>
      <c r="J559" s="23"/>
      <c r="K559" s="22"/>
      <c r="L559" s="22"/>
      <c r="M559" s="23"/>
      <c r="N559" s="23"/>
      <c r="O559" s="26" t="s">
        <v>886</v>
      </c>
      <c r="P559" s="26"/>
      <c r="Q559" s="22">
        <v>105</v>
      </c>
      <c r="R559" s="24">
        <v>45847</v>
      </c>
      <c r="S559" s="24">
        <v>45848</v>
      </c>
      <c r="T559" s="24"/>
      <c r="U559" s="24"/>
      <c r="V559" s="24">
        <v>45848</v>
      </c>
      <c r="W559" s="22" t="s">
        <v>223</v>
      </c>
      <c r="X559" s="4" t="str">
        <f>IF(Tabela2[[#This Row],[sigla]]="","",VLOOKUP(Tabela2[[#This Row],[sigla]],créditos_base!B:C,2,0))</f>
        <v>NATANAELE BILMAIA/ARQUIVO DA EDITORA</v>
      </c>
      <c r="Y559" s="23" t="s">
        <v>880</v>
      </c>
      <c r="Z559" s="23" t="str">
        <f>Tabela2[[#This Row],[ilustrador]]</f>
        <v>NATANAELE BILMAIA/ARQUIVO DA EDITORA</v>
      </c>
      <c r="AA559" s="22">
        <v>13</v>
      </c>
      <c r="AB559" s="20" t="s">
        <v>244</v>
      </c>
      <c r="AC559" s="20" t="s">
        <v>36</v>
      </c>
      <c r="AD559" s="4" t="str">
        <f>"Pitanguá"</f>
        <v>Pitanguá</v>
      </c>
      <c r="AE559" s="14" t="str">
        <f>"Matemática"</f>
        <v>Matemática</v>
      </c>
      <c r="AF559" s="14"/>
    </row>
    <row r="560" spans="1:32" ht="57.6" x14ac:dyDescent="0.3">
      <c r="A560" s="23" t="s">
        <v>887</v>
      </c>
      <c r="B560" s="20" t="s">
        <v>16</v>
      </c>
      <c r="C560" s="20" t="s">
        <v>7</v>
      </c>
      <c r="D560" s="20" t="s">
        <v>8</v>
      </c>
      <c r="E560" s="22">
        <v>75</v>
      </c>
      <c r="F560" s="22">
        <v>1</v>
      </c>
      <c r="G560" s="22">
        <v>2</v>
      </c>
      <c r="H560" s="22"/>
      <c r="I560" s="23" t="s">
        <v>33</v>
      </c>
      <c r="J560" s="23"/>
      <c r="K560" s="22"/>
      <c r="L560" s="22"/>
      <c r="M560" s="23"/>
      <c r="N560" s="23"/>
      <c r="O560" s="26" t="s">
        <v>888</v>
      </c>
      <c r="P560" s="26"/>
      <c r="Q560" s="22">
        <v>105</v>
      </c>
      <c r="R560" s="24">
        <v>45847</v>
      </c>
      <c r="S560" s="24">
        <v>45848</v>
      </c>
      <c r="T560" s="24"/>
      <c r="U560" s="24"/>
      <c r="V560" s="24">
        <v>45848</v>
      </c>
      <c r="W560" s="22" t="s">
        <v>223</v>
      </c>
      <c r="X560" s="4" t="str">
        <f>IF(Tabela2[[#This Row],[sigla]]="","",VLOOKUP(Tabela2[[#This Row],[sigla]],créditos_base!B:C,2,0))</f>
        <v>NATANAELE BILMAIA/ARQUIVO DA EDITORA</v>
      </c>
      <c r="Y560" s="23" t="s">
        <v>880</v>
      </c>
      <c r="Z560" s="23" t="str">
        <f>Tabela2[[#This Row],[ilustrador]]</f>
        <v>NATANAELE BILMAIA/ARQUIVO DA EDITORA</v>
      </c>
      <c r="AA560" s="22">
        <v>13</v>
      </c>
      <c r="AB560" s="20" t="s">
        <v>244</v>
      </c>
      <c r="AC560" s="20" t="s">
        <v>36</v>
      </c>
      <c r="AD560" s="4" t="str">
        <f>"Pitanguá"</f>
        <v>Pitanguá</v>
      </c>
      <c r="AE560" s="14" t="str">
        <f>"Matemática"</f>
        <v>Matemática</v>
      </c>
      <c r="AF560" s="14"/>
    </row>
    <row r="561" spans="1:32" ht="43.2" x14ac:dyDescent="0.3">
      <c r="A561" s="23" t="s">
        <v>5458</v>
      </c>
      <c r="B561" s="20" t="s">
        <v>16</v>
      </c>
      <c r="C561" s="20" t="s">
        <v>89</v>
      </c>
      <c r="D561" s="20" t="s">
        <v>8</v>
      </c>
      <c r="E561" s="22">
        <v>37</v>
      </c>
      <c r="F561" s="22">
        <v>5</v>
      </c>
      <c r="G561" s="22">
        <v>2</v>
      </c>
      <c r="H561" s="22"/>
      <c r="I561" s="23" t="s">
        <v>90</v>
      </c>
      <c r="J561" s="23"/>
      <c r="K561" s="22"/>
      <c r="L561" s="22"/>
      <c r="M561" s="23"/>
      <c r="N561" s="23"/>
      <c r="O561" s="26" t="s">
        <v>5459</v>
      </c>
      <c r="P561" s="26"/>
      <c r="Q561" s="22">
        <v>129</v>
      </c>
      <c r="R561" s="24">
        <v>45863</v>
      </c>
      <c r="S561" s="24">
        <v>45866</v>
      </c>
      <c r="T561" s="24"/>
      <c r="U561" s="24"/>
      <c r="V561" s="24">
        <v>45867</v>
      </c>
      <c r="W561" s="22" t="s">
        <v>5046</v>
      </c>
      <c r="X561" s="4" t="str">
        <f>IF(Tabela2[[#This Row],[sigla]]="","",VLOOKUP(Tabela2[[#This Row],[sigla]],créditos_base!B:C,2,0))</f>
        <v>MARYANE VIOTO SILVA/ARQUIVO DA EDITORA</v>
      </c>
      <c r="Y561" s="23"/>
      <c r="Z561" s="23" t="str">
        <f>Tabela2[[#This Row],[ilustrador]]</f>
        <v>MARYANE VIOTO SILVA/ARQUIVO DA EDITORA</v>
      </c>
      <c r="AA561" s="22">
        <v>8</v>
      </c>
      <c r="AB561" s="20" t="s">
        <v>243</v>
      </c>
      <c r="AC561" s="20" t="s">
        <v>36</v>
      </c>
      <c r="AD561" s="4" t="str">
        <f>"Pitanguá"</f>
        <v>Pitanguá</v>
      </c>
      <c r="AE561" s="14" t="str">
        <f>"Matemática"</f>
        <v>Matemática</v>
      </c>
      <c r="AF561" s="14"/>
    </row>
    <row r="562" spans="1:32" ht="57.6" x14ac:dyDescent="0.3">
      <c r="A562" s="23" t="s">
        <v>889</v>
      </c>
      <c r="B562" s="20" t="s">
        <v>16</v>
      </c>
      <c r="C562" s="20" t="s">
        <v>7</v>
      </c>
      <c r="D562" s="20" t="s">
        <v>8</v>
      </c>
      <c r="E562" s="22">
        <v>75</v>
      </c>
      <c r="F562" s="22">
        <v>1</v>
      </c>
      <c r="G562" s="22">
        <v>2</v>
      </c>
      <c r="H562" s="22"/>
      <c r="I562" s="23" t="s">
        <v>33</v>
      </c>
      <c r="J562" s="23"/>
      <c r="K562" s="22"/>
      <c r="L562" s="22"/>
      <c r="M562" s="23"/>
      <c r="N562" s="23"/>
      <c r="O562" s="26" t="s">
        <v>890</v>
      </c>
      <c r="P562" s="26"/>
      <c r="Q562" s="22">
        <v>105</v>
      </c>
      <c r="R562" s="24">
        <v>45847</v>
      </c>
      <c r="S562" s="24">
        <v>45848</v>
      </c>
      <c r="T562" s="24"/>
      <c r="U562" s="24"/>
      <c r="V562" s="24">
        <v>45848</v>
      </c>
      <c r="W562" s="22" t="s">
        <v>223</v>
      </c>
      <c r="X562" s="4" t="str">
        <f>IF(Tabela2[[#This Row],[sigla]]="","",VLOOKUP(Tabela2[[#This Row],[sigla]],créditos_base!B:C,2,0))</f>
        <v>NATANAELE BILMAIA/ARQUIVO DA EDITORA</v>
      </c>
      <c r="Y562" s="23" t="s">
        <v>880</v>
      </c>
      <c r="Z562" s="23" t="str">
        <f>Tabela2[[#This Row],[ilustrador]]</f>
        <v>NATANAELE BILMAIA/ARQUIVO DA EDITORA</v>
      </c>
      <c r="AA562" s="22">
        <v>13</v>
      </c>
      <c r="AB562" s="20" t="s">
        <v>244</v>
      </c>
      <c r="AC562" s="20" t="s">
        <v>36</v>
      </c>
      <c r="AD562" s="4" t="str">
        <f>"Pitanguá"</f>
        <v>Pitanguá</v>
      </c>
      <c r="AE562" s="14" t="str">
        <f>"Matemática"</f>
        <v>Matemática</v>
      </c>
      <c r="AF562" s="14"/>
    </row>
    <row r="563" spans="1:32" ht="28.8" x14ac:dyDescent="0.3">
      <c r="A563" s="23" t="s">
        <v>5466</v>
      </c>
      <c r="B563" s="20" t="s">
        <v>16</v>
      </c>
      <c r="C563" s="20" t="s">
        <v>89</v>
      </c>
      <c r="D563" s="20" t="s">
        <v>8</v>
      </c>
      <c r="E563" s="22">
        <v>37</v>
      </c>
      <c r="F563" s="22">
        <v>5</v>
      </c>
      <c r="G563" s="22">
        <v>2</v>
      </c>
      <c r="H563" s="22"/>
      <c r="I563" s="23" t="s">
        <v>90</v>
      </c>
      <c r="J563" s="23"/>
      <c r="K563" s="22"/>
      <c r="L563" s="22"/>
      <c r="M563" s="23"/>
      <c r="N563" s="23"/>
      <c r="O563" s="26" t="s">
        <v>5467</v>
      </c>
      <c r="P563" s="26"/>
      <c r="Q563" s="22">
        <v>129</v>
      </c>
      <c r="R563" s="24">
        <v>45863</v>
      </c>
      <c r="S563" s="24">
        <v>45866</v>
      </c>
      <c r="T563" s="24"/>
      <c r="U563" s="24"/>
      <c r="V563" s="24">
        <v>45867</v>
      </c>
      <c r="W563" s="22" t="s">
        <v>5046</v>
      </c>
      <c r="X563" s="4" t="str">
        <f>IF(Tabela2[[#This Row],[sigla]]="","",VLOOKUP(Tabela2[[#This Row],[sigla]],créditos_base!B:C,2,0))</f>
        <v>MARYANE VIOTO SILVA/ARQUIVO DA EDITORA</v>
      </c>
      <c r="Y563" s="23"/>
      <c r="Z563" s="23" t="str">
        <f>Tabela2[[#This Row],[ilustrador]]</f>
        <v>MARYANE VIOTO SILVA/ARQUIVO DA EDITORA</v>
      </c>
      <c r="AA563" s="22">
        <v>8</v>
      </c>
      <c r="AB563" s="20" t="s">
        <v>243</v>
      </c>
      <c r="AC563" s="20" t="s">
        <v>36</v>
      </c>
      <c r="AD563" s="4" t="str">
        <f>"Pitanguá"</f>
        <v>Pitanguá</v>
      </c>
      <c r="AE563" s="14" t="str">
        <f>"Matemática"</f>
        <v>Matemática</v>
      </c>
      <c r="AF563" s="14"/>
    </row>
    <row r="564" spans="1:32" ht="57.6" x14ac:dyDescent="0.3">
      <c r="A564" s="43" t="s">
        <v>5496</v>
      </c>
      <c r="B564" s="20" t="s">
        <v>16</v>
      </c>
      <c r="C564" s="20" t="s">
        <v>89</v>
      </c>
      <c r="D564" s="20" t="s">
        <v>8</v>
      </c>
      <c r="E564" s="22">
        <v>39</v>
      </c>
      <c r="F564" s="22">
        <v>5</v>
      </c>
      <c r="G564" s="22">
        <v>2</v>
      </c>
      <c r="H564" s="22"/>
      <c r="I564" s="23" t="s">
        <v>9</v>
      </c>
      <c r="J564" s="23"/>
      <c r="K564" s="22"/>
      <c r="L564" s="22"/>
      <c r="M564" s="23"/>
      <c r="N564" s="23"/>
      <c r="O564" s="26" t="s">
        <v>5497</v>
      </c>
      <c r="P564" s="26"/>
      <c r="Q564" s="22"/>
      <c r="R564" s="24"/>
      <c r="S564" s="24"/>
      <c r="T564" s="24"/>
      <c r="U564" s="24"/>
      <c r="V564" s="24"/>
      <c r="W564" s="22" t="s">
        <v>940</v>
      </c>
      <c r="X564" s="4" t="str">
        <f>IF(Tabela2[[#This Row],[sigla]]="","",VLOOKUP(Tabela2[[#This Row],[sigla]],créditos_base!B:C,2,0))</f>
        <v>RONALDO LUCENA/ARQUIVO DA EDITORA</v>
      </c>
      <c r="Y564" s="23"/>
      <c r="Z564" s="23" t="str">
        <f>Tabela2[[#This Row],[ilustrador]]</f>
        <v>RONALDO LUCENA/ARQUIVO DA EDITORA</v>
      </c>
      <c r="AA564" s="22"/>
      <c r="AB564" s="20"/>
      <c r="AD564" s="4" t="str">
        <f>"Pitanguá"</f>
        <v>Pitanguá</v>
      </c>
      <c r="AE564" s="14" t="str">
        <f>"Matemática"</f>
        <v>Matemática</v>
      </c>
      <c r="AF564" s="14"/>
    </row>
    <row r="565" spans="1:32" ht="28.8" x14ac:dyDescent="0.3">
      <c r="A565" s="23" t="s">
        <v>5555</v>
      </c>
      <c r="B565" s="20" t="s">
        <v>16</v>
      </c>
      <c r="C565" s="20" t="s">
        <v>7</v>
      </c>
      <c r="D565" s="20" t="s">
        <v>8</v>
      </c>
      <c r="E565" s="22">
        <v>43</v>
      </c>
      <c r="F565" s="22">
        <v>5</v>
      </c>
      <c r="G565" s="22">
        <v>2</v>
      </c>
      <c r="H565" s="22"/>
      <c r="I565" s="23" t="s">
        <v>90</v>
      </c>
      <c r="J565" s="23"/>
      <c r="K565" s="22"/>
      <c r="L565" s="22"/>
      <c r="M565" s="23"/>
      <c r="N565" s="23"/>
      <c r="O565" s="26" t="s">
        <v>5556</v>
      </c>
      <c r="P565" s="26"/>
      <c r="Q565" s="22">
        <v>129</v>
      </c>
      <c r="R565" s="24">
        <v>45863</v>
      </c>
      <c r="S565" s="24">
        <v>45866</v>
      </c>
      <c r="T565" s="24">
        <v>45874</v>
      </c>
      <c r="U565" s="24">
        <v>45875</v>
      </c>
      <c r="V565" s="24">
        <v>45882</v>
      </c>
      <c r="W565" s="22" t="s">
        <v>31</v>
      </c>
      <c r="X565" s="4" t="str">
        <f>IF(Tabela2[[#This Row],[sigla]]="","",VLOOKUP(Tabela2[[#This Row],[sigla]],créditos_base!B:C,2,0))</f>
        <v>SILVIA OTOFUJI/ARQUIVO DA EDITORA</v>
      </c>
      <c r="Y565" s="23"/>
      <c r="Z565" s="23" t="str">
        <f>Tabela2[[#This Row],[ilustrador]]</f>
        <v>SILVIA OTOFUJI/ARQUIVO DA EDITORA</v>
      </c>
      <c r="AA565" s="22">
        <v>7</v>
      </c>
      <c r="AB565" s="20" t="s">
        <v>5546</v>
      </c>
      <c r="AC565" s="20" t="s">
        <v>310</v>
      </c>
      <c r="AD565" s="4" t="str">
        <f>"Pitanguá"</f>
        <v>Pitanguá</v>
      </c>
      <c r="AE565" s="14" t="str">
        <f>"Matemática"</f>
        <v>Matemática</v>
      </c>
      <c r="AF565" s="14"/>
    </row>
    <row r="566" spans="1:32" x14ac:dyDescent="0.3">
      <c r="A566" s="23" t="s">
        <v>5575</v>
      </c>
      <c r="B566" s="20" t="s">
        <v>16</v>
      </c>
      <c r="C566" s="20" t="s">
        <v>89</v>
      </c>
      <c r="D566" s="20" t="s">
        <v>8</v>
      </c>
      <c r="E566" s="22">
        <v>45</v>
      </c>
      <c r="F566" s="22">
        <v>5</v>
      </c>
      <c r="G566" s="22">
        <v>2</v>
      </c>
      <c r="H566" s="22"/>
      <c r="I566" s="23" t="s">
        <v>9</v>
      </c>
      <c r="J566" s="23"/>
      <c r="K566" s="22"/>
      <c r="L566" s="22"/>
      <c r="M566" s="23"/>
      <c r="N566" s="23"/>
      <c r="O566" s="26" t="s">
        <v>5576</v>
      </c>
      <c r="P566" s="26"/>
      <c r="Q566" s="22"/>
      <c r="R566" s="24"/>
      <c r="S566" s="24"/>
      <c r="T566" s="24"/>
      <c r="U566" s="24"/>
      <c r="V566" s="24"/>
      <c r="W566" s="22" t="s">
        <v>230</v>
      </c>
      <c r="X566" s="4" t="str">
        <f>IF(Tabela2[[#This Row],[sigla]]="","",VLOOKUP(Tabela2[[#This Row],[sigla]],créditos_base!B:C,2,0))</f>
        <v>RAFAEL L. GAION/ARQUIVO DA EDITORA</v>
      </c>
      <c r="Y566" s="23"/>
      <c r="Z566" s="23" t="str">
        <f>Tabela2[[#This Row],[ilustrador]]</f>
        <v>RAFAEL L. GAION/ARQUIVO DA EDITORA</v>
      </c>
      <c r="AA566" s="22"/>
      <c r="AB566" s="20"/>
      <c r="AD566" s="4" t="str">
        <f>"Pitanguá"</f>
        <v>Pitanguá</v>
      </c>
      <c r="AE566" s="14" t="str">
        <f>"Matemática"</f>
        <v>Matemática</v>
      </c>
      <c r="AF566" s="14"/>
    </row>
    <row r="567" spans="1:32" ht="28.8" x14ac:dyDescent="0.3">
      <c r="A567" s="23" t="s">
        <v>5579</v>
      </c>
      <c r="B567" s="20" t="s">
        <v>16</v>
      </c>
      <c r="C567" s="20" t="s">
        <v>89</v>
      </c>
      <c r="D567" s="20" t="s">
        <v>8</v>
      </c>
      <c r="E567" s="22">
        <v>45</v>
      </c>
      <c r="F567" s="22">
        <v>5</v>
      </c>
      <c r="G567" s="22">
        <v>2</v>
      </c>
      <c r="H567" s="22"/>
      <c r="I567" s="23" t="s">
        <v>9</v>
      </c>
      <c r="J567" s="23"/>
      <c r="K567" s="22"/>
      <c r="L567" s="22"/>
      <c r="M567" s="23"/>
      <c r="N567" s="23"/>
      <c r="O567" s="26" t="s">
        <v>5580</v>
      </c>
      <c r="P567" s="26"/>
      <c r="Q567" s="22"/>
      <c r="R567" s="24"/>
      <c r="S567" s="24"/>
      <c r="T567" s="24"/>
      <c r="U567" s="24"/>
      <c r="V567" s="24"/>
      <c r="W567" s="22" t="s">
        <v>4030</v>
      </c>
      <c r="X567" s="4" t="str">
        <f>IF(Tabela2[[#This Row],[sigla]]="","",VLOOKUP(Tabela2[[#This Row],[sigla]],créditos_base!B:C,2,0))</f>
        <v>GUSTAVO CONTI/ARQUIVO DA EDITORA</v>
      </c>
      <c r="Y567" s="23"/>
      <c r="Z567" s="23" t="str">
        <f>Tabela2[[#This Row],[ilustrador]]</f>
        <v>GUSTAVO CONTI/ARQUIVO DA EDITORA</v>
      </c>
      <c r="AA567" s="22"/>
      <c r="AB567" s="20"/>
      <c r="AD567" s="4" t="str">
        <f>"Pitanguá"</f>
        <v>Pitanguá</v>
      </c>
      <c r="AE567" s="14" t="str">
        <f>"Matemática"</f>
        <v>Matemática</v>
      </c>
      <c r="AF567" s="14"/>
    </row>
    <row r="568" spans="1:32" ht="28.8" x14ac:dyDescent="0.3">
      <c r="A568" s="23" t="s">
        <v>5587</v>
      </c>
      <c r="B568" s="20" t="s">
        <v>16</v>
      </c>
      <c r="C568" s="20" t="s">
        <v>89</v>
      </c>
      <c r="D568" s="20" t="s">
        <v>8</v>
      </c>
      <c r="E568" s="22">
        <v>45</v>
      </c>
      <c r="F568" s="22">
        <v>5</v>
      </c>
      <c r="G568" s="22">
        <v>2</v>
      </c>
      <c r="H568" s="22"/>
      <c r="I568" s="23" t="s">
        <v>33</v>
      </c>
      <c r="J568" s="23"/>
      <c r="K568" s="22"/>
      <c r="L568" s="22"/>
      <c r="M568" s="23"/>
      <c r="N568" s="23"/>
      <c r="O568" s="26" t="s">
        <v>5588</v>
      </c>
      <c r="P568" s="26"/>
      <c r="Q568" s="22">
        <v>199</v>
      </c>
      <c r="R568" s="24">
        <v>45922</v>
      </c>
      <c r="S568" s="24">
        <v>45922</v>
      </c>
      <c r="T568" s="24"/>
      <c r="U568" s="24"/>
      <c r="V568" s="24">
        <v>45923</v>
      </c>
      <c r="W568" s="22" t="s">
        <v>160</v>
      </c>
      <c r="X568" s="4" t="str">
        <f>IF(Tabela2[[#This Row],[sigla]]="","",VLOOKUP(Tabela2[[#This Row],[sigla]],créditos_base!B:C,2,0))</f>
        <v>SERGIO LIMA/ARQUIVO DA EDITORA</v>
      </c>
      <c r="Y568" s="23" t="s">
        <v>953</v>
      </c>
      <c r="Z568" s="23" t="str">
        <f>Tabela2[[#This Row],[ilustrador]]</f>
        <v>SERGIO LIMA/ARQUIVO DA EDITORA</v>
      </c>
      <c r="AA568" s="22">
        <v>13</v>
      </c>
      <c r="AB568" s="20" t="s">
        <v>41</v>
      </c>
      <c r="AC568" s="20" t="s">
        <v>36</v>
      </c>
      <c r="AD568" s="4" t="str">
        <f>"Pitanguá"</f>
        <v>Pitanguá</v>
      </c>
      <c r="AE568" s="14" t="str">
        <f>"Matemática"</f>
        <v>Matemática</v>
      </c>
      <c r="AF568" s="14"/>
    </row>
    <row r="569" spans="1:32" ht="28.8" x14ac:dyDescent="0.3">
      <c r="A569" s="23" t="s">
        <v>5589</v>
      </c>
      <c r="B569" s="20" t="s">
        <v>16</v>
      </c>
      <c r="C569" s="20" t="s">
        <v>89</v>
      </c>
      <c r="D569" s="20" t="s">
        <v>8</v>
      </c>
      <c r="E569" s="22">
        <v>45</v>
      </c>
      <c r="F569" s="22">
        <v>5</v>
      </c>
      <c r="G569" s="22">
        <v>2</v>
      </c>
      <c r="H569" s="22"/>
      <c r="I569" s="23" t="s">
        <v>9</v>
      </c>
      <c r="J569" s="23"/>
      <c r="K569" s="22"/>
      <c r="L569" s="22"/>
      <c r="M569" s="23"/>
      <c r="N569" s="23"/>
      <c r="O569" s="26" t="s">
        <v>5590</v>
      </c>
      <c r="P569" s="26"/>
      <c r="Q569" s="22"/>
      <c r="R569" s="24"/>
      <c r="S569" s="24"/>
      <c r="T569" s="24"/>
      <c r="U569" s="24"/>
      <c r="V569" s="24"/>
      <c r="W569" s="22" t="s">
        <v>940</v>
      </c>
      <c r="X569" s="4" t="str">
        <f>IF(Tabela2[[#This Row],[sigla]]="","",VLOOKUP(Tabela2[[#This Row],[sigla]],créditos_base!B:C,2,0))</f>
        <v>RONALDO LUCENA/ARQUIVO DA EDITORA</v>
      </c>
      <c r="Y569" s="23"/>
      <c r="Z569" s="23" t="str">
        <f>Tabela2[[#This Row],[ilustrador]]</f>
        <v>RONALDO LUCENA/ARQUIVO DA EDITORA</v>
      </c>
      <c r="AA569" s="22"/>
      <c r="AB569" s="20"/>
      <c r="AD569" s="4" t="str">
        <f>"Pitanguá"</f>
        <v>Pitanguá</v>
      </c>
      <c r="AE569" s="14" t="str">
        <f>"Matemática"</f>
        <v>Matemática</v>
      </c>
      <c r="AF569" s="14"/>
    </row>
    <row r="570" spans="1:32" ht="28.8" x14ac:dyDescent="0.3">
      <c r="A570" s="23" t="s">
        <v>5591</v>
      </c>
      <c r="B570" s="20" t="s">
        <v>16</v>
      </c>
      <c r="C570" s="20" t="s">
        <v>89</v>
      </c>
      <c r="D570" s="20" t="s">
        <v>8</v>
      </c>
      <c r="E570" s="22">
        <v>45</v>
      </c>
      <c r="F570" s="22">
        <v>5</v>
      </c>
      <c r="G570" s="22">
        <v>2</v>
      </c>
      <c r="H570" s="22"/>
      <c r="I570" s="23" t="s">
        <v>33</v>
      </c>
      <c r="J570" s="23"/>
      <c r="K570" s="22"/>
      <c r="L570" s="22"/>
      <c r="M570" s="23"/>
      <c r="N570" s="23"/>
      <c r="O570" s="26" t="s">
        <v>5592</v>
      </c>
      <c r="P570" s="26"/>
      <c r="Q570" s="22">
        <v>199</v>
      </c>
      <c r="R570" s="24">
        <v>45922</v>
      </c>
      <c r="S570" s="24">
        <v>45922</v>
      </c>
      <c r="T570" s="24"/>
      <c r="U570" s="24"/>
      <c r="V570" s="24">
        <v>45923</v>
      </c>
      <c r="W570" s="22" t="s">
        <v>160</v>
      </c>
      <c r="X570" s="4" t="str">
        <f>IF(Tabela2[[#This Row],[sigla]]="","",VLOOKUP(Tabela2[[#This Row],[sigla]],créditos_base!B:C,2,0))</f>
        <v>SERGIO LIMA/ARQUIVO DA EDITORA</v>
      </c>
      <c r="Y570" s="23" t="s">
        <v>696</v>
      </c>
      <c r="Z570" s="23" t="str">
        <f>Tabela2[[#This Row],[ilustrador]]</f>
        <v>SERGIO LIMA/ARQUIVO DA EDITORA</v>
      </c>
      <c r="AA570" s="22">
        <v>13</v>
      </c>
      <c r="AB570" s="20" t="s">
        <v>41</v>
      </c>
      <c r="AC570" s="20" t="s">
        <v>36</v>
      </c>
      <c r="AD570" s="4" t="str">
        <f>"Pitanguá"</f>
        <v>Pitanguá</v>
      </c>
      <c r="AE570" s="14" t="str">
        <f>"Matemática"</f>
        <v>Matemática</v>
      </c>
      <c r="AF570" s="14"/>
    </row>
    <row r="571" spans="1:32" ht="72" x14ac:dyDescent="0.3">
      <c r="A571" s="23" t="s">
        <v>891</v>
      </c>
      <c r="B571" s="20" t="s">
        <v>16</v>
      </c>
      <c r="C571" s="20" t="s">
        <v>7</v>
      </c>
      <c r="D571" s="20" t="s">
        <v>8</v>
      </c>
      <c r="E571" s="22">
        <v>76</v>
      </c>
      <c r="F571" s="22">
        <v>1</v>
      </c>
      <c r="G571" s="22">
        <v>2</v>
      </c>
      <c r="H571" s="22"/>
      <c r="I571" s="23" t="s">
        <v>9</v>
      </c>
      <c r="J571" s="23"/>
      <c r="K571" s="22"/>
      <c r="L571" s="22"/>
      <c r="M571" s="23"/>
      <c r="N571" s="23"/>
      <c r="O571" s="26" t="s">
        <v>892</v>
      </c>
      <c r="P571" s="26"/>
      <c r="Q571" s="22"/>
      <c r="R571" s="24"/>
      <c r="S571" s="24"/>
      <c r="T571" s="24"/>
      <c r="U571" s="24"/>
      <c r="V571" s="24"/>
      <c r="W571" s="22" t="s">
        <v>12</v>
      </c>
      <c r="X571" s="4" t="str">
        <f>IF(Tabela2[[#This Row],[sigla]]="","",VLOOKUP(Tabela2[[#This Row],[sigla]],créditos_base!B:C,2,0))</f>
        <v>JORGE ZAIBA/ARQUIVO DA EDITORA</v>
      </c>
      <c r="Y571" s="29"/>
      <c r="Z571" s="23" t="str">
        <f>Tabela2[[#This Row],[ilustrador]]</f>
        <v>JORGE ZAIBA/ARQUIVO DA EDITORA</v>
      </c>
      <c r="AA571" s="22"/>
      <c r="AB571" s="20"/>
      <c r="AD571" s="4" t="str">
        <f>"Pitanguá"</f>
        <v>Pitanguá</v>
      </c>
      <c r="AE571" s="14" t="str">
        <f>"Matemática"</f>
        <v>Matemática</v>
      </c>
      <c r="AF571" s="14"/>
    </row>
    <row r="572" spans="1:32" ht="28.8" x14ac:dyDescent="0.3">
      <c r="A572" s="23" t="s">
        <v>893</v>
      </c>
      <c r="B572" s="20" t="s">
        <v>16</v>
      </c>
      <c r="C572" s="20" t="s">
        <v>7</v>
      </c>
      <c r="D572" s="20" t="s">
        <v>8</v>
      </c>
      <c r="E572" s="22">
        <v>77</v>
      </c>
      <c r="F572" s="22">
        <v>1</v>
      </c>
      <c r="G572" s="22">
        <v>2</v>
      </c>
      <c r="H572" s="22"/>
      <c r="I572" s="23" t="s">
        <v>9</v>
      </c>
      <c r="J572" s="23"/>
      <c r="K572" s="22"/>
      <c r="L572" s="22"/>
      <c r="M572" s="23"/>
      <c r="N572" s="23"/>
      <c r="O572" s="26" t="s">
        <v>894</v>
      </c>
      <c r="P572" s="26"/>
      <c r="Q572" s="22"/>
      <c r="R572" s="24"/>
      <c r="S572" s="24"/>
      <c r="T572" s="24"/>
      <c r="U572" s="24"/>
      <c r="V572" s="24"/>
      <c r="W572" s="22" t="s">
        <v>160</v>
      </c>
      <c r="X572" s="4" t="str">
        <f>IF(Tabela2[[#This Row],[sigla]]="","",VLOOKUP(Tabela2[[#This Row],[sigla]],créditos_base!B:C,2,0))</f>
        <v>SERGIO LIMA/ARQUIVO DA EDITORA</v>
      </c>
      <c r="Y572" s="23"/>
      <c r="Z572" s="23" t="str">
        <f>Tabela2[[#This Row],[ilustrador]]</f>
        <v>SERGIO LIMA/ARQUIVO DA EDITORA</v>
      </c>
      <c r="AA572" s="22"/>
      <c r="AB572" s="20"/>
      <c r="AD572" s="4" t="str">
        <f>"Pitanguá"</f>
        <v>Pitanguá</v>
      </c>
      <c r="AE572" s="14" t="str">
        <f>"Matemática"</f>
        <v>Matemática</v>
      </c>
      <c r="AF572" s="14"/>
    </row>
    <row r="573" spans="1:32" ht="57.6" x14ac:dyDescent="0.3">
      <c r="A573" s="23" t="s">
        <v>895</v>
      </c>
      <c r="B573" s="20" t="s">
        <v>16</v>
      </c>
      <c r="C573" s="20" t="s">
        <v>7</v>
      </c>
      <c r="D573" s="20" t="s">
        <v>8</v>
      </c>
      <c r="E573" s="22">
        <v>77</v>
      </c>
      <c r="F573" s="22">
        <v>1</v>
      </c>
      <c r="G573" s="22">
        <v>2</v>
      </c>
      <c r="H573" s="22"/>
      <c r="I573" s="23" t="s">
        <v>9</v>
      </c>
      <c r="J573" s="23"/>
      <c r="K573" s="22"/>
      <c r="L573" s="22"/>
      <c r="M573" s="23"/>
      <c r="N573" s="23"/>
      <c r="O573" s="26" t="s">
        <v>896</v>
      </c>
      <c r="P573" s="26"/>
      <c r="Q573" s="22"/>
      <c r="R573" s="24"/>
      <c r="S573" s="24"/>
      <c r="T573" s="24"/>
      <c r="U573" s="24"/>
      <c r="V573" s="24"/>
      <c r="W573" s="22" t="s">
        <v>31</v>
      </c>
      <c r="X573" s="4" t="str">
        <f>IF(Tabela2[[#This Row],[sigla]]="","",VLOOKUP(Tabela2[[#This Row],[sigla]],créditos_base!B:C,2,0))</f>
        <v>SILVIA OTOFUJI/ARQUIVO DA EDITORA</v>
      </c>
      <c r="Y573" s="29"/>
      <c r="Z573" s="23" t="str">
        <f>Tabela2[[#This Row],[ilustrador]]</f>
        <v>SILVIA OTOFUJI/ARQUIVO DA EDITORA</v>
      </c>
      <c r="AA573" s="22"/>
      <c r="AB573" s="20"/>
      <c r="AD573" s="4" t="str">
        <f>"Pitanguá"</f>
        <v>Pitanguá</v>
      </c>
      <c r="AE573" s="14" t="str">
        <f>"Matemática"</f>
        <v>Matemática</v>
      </c>
      <c r="AF573" s="14"/>
    </row>
    <row r="574" spans="1:32" ht="28.8" x14ac:dyDescent="0.3">
      <c r="A574" s="23" t="s">
        <v>807</v>
      </c>
      <c r="B574" s="20" t="s">
        <v>16</v>
      </c>
      <c r="C574" s="20" t="s">
        <v>7</v>
      </c>
      <c r="D574" s="20" t="s">
        <v>8</v>
      </c>
      <c r="E574" s="22">
        <v>78</v>
      </c>
      <c r="F574" s="22">
        <v>1</v>
      </c>
      <c r="G574" s="22">
        <v>2</v>
      </c>
      <c r="H574" s="22"/>
      <c r="I574" s="23" t="s">
        <v>33</v>
      </c>
      <c r="J574" s="23"/>
      <c r="K574" s="22"/>
      <c r="L574" s="22"/>
      <c r="M574" s="23"/>
      <c r="N574" s="23"/>
      <c r="O574" s="26" t="s">
        <v>808</v>
      </c>
      <c r="P574" s="26"/>
      <c r="Q574" s="22">
        <v>8</v>
      </c>
      <c r="R574" s="24">
        <v>45733</v>
      </c>
      <c r="S574" s="24">
        <v>45733</v>
      </c>
      <c r="T574" s="24"/>
      <c r="U574" s="24"/>
      <c r="V574" s="24">
        <v>45734</v>
      </c>
      <c r="W574" s="22" t="s">
        <v>12</v>
      </c>
      <c r="X574" s="4" t="str">
        <f>IF(Tabela2[[#This Row],[sigla]]="","",VLOOKUP(Tabela2[[#This Row],[sigla]],créditos_base!B:C,2,0))</f>
        <v>JORGE ZAIBA/ARQUIVO DA EDITORA</v>
      </c>
      <c r="Y574" s="23" t="s">
        <v>188</v>
      </c>
      <c r="Z574" s="23" t="str">
        <f>Tabela2[[#This Row],[ilustrador]]</f>
        <v>JORGE ZAIBA/ARQUIVO DA EDITORA</v>
      </c>
      <c r="AA574" s="22">
        <v>13</v>
      </c>
      <c r="AB574" s="20" t="s">
        <v>153</v>
      </c>
      <c r="AC574" s="20" t="s">
        <v>36</v>
      </c>
      <c r="AD574" s="4" t="str">
        <f>"Pitanguá"</f>
        <v>Pitanguá</v>
      </c>
      <c r="AE574" s="14" t="str">
        <f>"Matemática"</f>
        <v>Matemática</v>
      </c>
      <c r="AF574" s="14"/>
    </row>
    <row r="575" spans="1:32" ht="28.8" x14ac:dyDescent="0.3">
      <c r="A575" s="23" t="s">
        <v>809</v>
      </c>
      <c r="B575" s="20" t="s">
        <v>16</v>
      </c>
      <c r="C575" s="20" t="s">
        <v>7</v>
      </c>
      <c r="D575" s="20" t="s">
        <v>8</v>
      </c>
      <c r="E575" s="22">
        <v>79</v>
      </c>
      <c r="F575" s="22">
        <v>1</v>
      </c>
      <c r="G575" s="22">
        <v>2</v>
      </c>
      <c r="H575" s="22"/>
      <c r="I575" s="23" t="s">
        <v>33</v>
      </c>
      <c r="J575" s="23"/>
      <c r="K575" s="22"/>
      <c r="L575" s="22"/>
      <c r="M575" s="23"/>
      <c r="N575" s="23"/>
      <c r="O575" s="26" t="s">
        <v>810</v>
      </c>
      <c r="P575" s="26"/>
      <c r="Q575" s="22">
        <v>8</v>
      </c>
      <c r="R575" s="24">
        <v>45733</v>
      </c>
      <c r="S575" s="24">
        <v>45733</v>
      </c>
      <c r="T575" s="24"/>
      <c r="U575" s="24"/>
      <c r="V575" s="24">
        <v>45734</v>
      </c>
      <c r="W575" s="22" t="s">
        <v>31</v>
      </c>
      <c r="X575" s="4" t="str">
        <f>IF(Tabela2[[#This Row],[sigla]]="","",VLOOKUP(Tabela2[[#This Row],[sigla]],créditos_base!B:C,2,0))</f>
        <v>SILVIA OTOFUJI/ARQUIVO DA EDITORA</v>
      </c>
      <c r="Y575" s="23" t="s">
        <v>188</v>
      </c>
      <c r="Z575" s="23" t="str">
        <f>Tabela2[[#This Row],[ilustrador]]</f>
        <v>SILVIA OTOFUJI/ARQUIVO DA EDITORA</v>
      </c>
      <c r="AA575" s="22">
        <v>13</v>
      </c>
      <c r="AB575" s="20" t="s">
        <v>153</v>
      </c>
      <c r="AC575" s="20" t="s">
        <v>36</v>
      </c>
      <c r="AD575" s="4" t="str">
        <f>"Pitanguá"</f>
        <v>Pitanguá</v>
      </c>
      <c r="AE575" s="14" t="str">
        <f>"Matemática"</f>
        <v>Matemática</v>
      </c>
      <c r="AF575" s="14"/>
    </row>
    <row r="576" spans="1:32" ht="28.8" x14ac:dyDescent="0.3">
      <c r="A576" s="23" t="s">
        <v>897</v>
      </c>
      <c r="B576" s="20" t="s">
        <v>16</v>
      </c>
      <c r="C576" s="20" t="s">
        <v>7</v>
      </c>
      <c r="D576" s="20" t="s">
        <v>8</v>
      </c>
      <c r="E576" s="22">
        <v>80</v>
      </c>
      <c r="F576" s="22">
        <v>1</v>
      </c>
      <c r="G576" s="22">
        <v>2</v>
      </c>
      <c r="H576" s="22"/>
      <c r="I576" s="23" t="s">
        <v>9</v>
      </c>
      <c r="J576" s="23"/>
      <c r="K576" s="22"/>
      <c r="L576" s="22"/>
      <c r="M576" s="23"/>
      <c r="N576" s="23"/>
      <c r="O576" s="26" t="s">
        <v>898</v>
      </c>
      <c r="P576" s="26"/>
      <c r="Q576" s="22"/>
      <c r="R576" s="24"/>
      <c r="S576" s="24"/>
      <c r="T576" s="24"/>
      <c r="U576" s="24"/>
      <c r="V576" s="24"/>
      <c r="W576" s="22" t="s">
        <v>31</v>
      </c>
      <c r="X576" s="4" t="str">
        <f>IF(Tabela2[[#This Row],[sigla]]="","",VLOOKUP(Tabela2[[#This Row],[sigla]],créditos_base!B:C,2,0))</f>
        <v>SILVIA OTOFUJI/ARQUIVO DA EDITORA</v>
      </c>
      <c r="Y576" s="23"/>
      <c r="Z576" s="23" t="str">
        <f>Tabela2[[#This Row],[ilustrador]]</f>
        <v>SILVIA OTOFUJI/ARQUIVO DA EDITORA</v>
      </c>
      <c r="AA576" s="22"/>
      <c r="AB576" s="20"/>
      <c r="AD576" s="4" t="str">
        <f>"Pitanguá"</f>
        <v>Pitanguá</v>
      </c>
      <c r="AE576" s="14" t="str">
        <f>"Matemática"</f>
        <v>Matemática</v>
      </c>
      <c r="AF576" s="14"/>
    </row>
    <row r="577" spans="1:32" ht="28.8" x14ac:dyDescent="0.3">
      <c r="A577" s="23" t="s">
        <v>899</v>
      </c>
      <c r="B577" s="20" t="s">
        <v>16</v>
      </c>
      <c r="C577" s="20" t="s">
        <v>7</v>
      </c>
      <c r="D577" s="20" t="s">
        <v>8</v>
      </c>
      <c r="E577" s="22">
        <v>80</v>
      </c>
      <c r="F577" s="22">
        <v>1</v>
      </c>
      <c r="G577" s="22">
        <v>2</v>
      </c>
      <c r="H577" s="22"/>
      <c r="I577" s="23" t="s">
        <v>9</v>
      </c>
      <c r="J577" s="23"/>
      <c r="K577" s="22"/>
      <c r="L577" s="22"/>
      <c r="M577" s="23"/>
      <c r="N577" s="23"/>
      <c r="O577" s="26" t="s">
        <v>900</v>
      </c>
      <c r="P577" s="26"/>
      <c r="Q577" s="22"/>
      <c r="R577" s="24"/>
      <c r="S577" s="24"/>
      <c r="T577" s="24"/>
      <c r="U577" s="24"/>
      <c r="V577" s="24"/>
      <c r="W577" s="22" t="s">
        <v>31</v>
      </c>
      <c r="X577" s="4" t="str">
        <f>IF(Tabela2[[#This Row],[sigla]]="","",VLOOKUP(Tabela2[[#This Row],[sigla]],créditos_base!B:C,2,0))</f>
        <v>SILVIA OTOFUJI/ARQUIVO DA EDITORA</v>
      </c>
      <c r="Y577" s="23"/>
      <c r="Z577" s="23" t="str">
        <f>Tabela2[[#This Row],[ilustrador]]</f>
        <v>SILVIA OTOFUJI/ARQUIVO DA EDITORA</v>
      </c>
      <c r="AA577" s="22"/>
      <c r="AB577" s="20"/>
      <c r="AD577" s="4" t="str">
        <f>"Pitanguá"</f>
        <v>Pitanguá</v>
      </c>
      <c r="AE577" s="14" t="str">
        <f>"Matemática"</f>
        <v>Matemática</v>
      </c>
      <c r="AF577" s="14"/>
    </row>
    <row r="578" spans="1:32" ht="43.2" x14ac:dyDescent="0.3">
      <c r="A578" s="23" t="s">
        <v>901</v>
      </c>
      <c r="B578" s="20" t="s">
        <v>6</v>
      </c>
      <c r="C578" s="20" t="s">
        <v>7</v>
      </c>
      <c r="D578" s="20" t="s">
        <v>8</v>
      </c>
      <c r="E578" s="22">
        <v>81</v>
      </c>
      <c r="F578" s="22">
        <v>1</v>
      </c>
      <c r="G578" s="22">
        <v>2</v>
      </c>
      <c r="H578" s="22"/>
      <c r="I578" s="23" t="s">
        <v>9</v>
      </c>
      <c r="J578" s="23"/>
      <c r="K578" s="22"/>
      <c r="L578" s="22"/>
      <c r="M578" s="23"/>
      <c r="N578" s="23"/>
      <c r="O578" s="26" t="s">
        <v>902</v>
      </c>
      <c r="P578" s="26"/>
      <c r="Q578" s="22"/>
      <c r="R578" s="24"/>
      <c r="S578" s="24"/>
      <c r="T578" s="24"/>
      <c r="U578" s="24"/>
      <c r="V578" s="24"/>
      <c r="W578" s="22" t="s">
        <v>223</v>
      </c>
      <c r="X578" s="4" t="str">
        <f>IF(Tabela2[[#This Row],[sigla]]="","",VLOOKUP(Tabela2[[#This Row],[sigla]],créditos_base!B:C,2,0))</f>
        <v>NATANAELE BILMAIA/ARQUIVO DA EDITORA</v>
      </c>
      <c r="Y578" s="23"/>
      <c r="Z578" s="23" t="str">
        <f>Tabela2[[#This Row],[ilustrador]]</f>
        <v>NATANAELE BILMAIA/ARQUIVO DA EDITORA</v>
      </c>
      <c r="AA578" s="22"/>
      <c r="AB578" s="20"/>
      <c r="AD578" s="4" t="str">
        <f>"Pitanguá"</f>
        <v>Pitanguá</v>
      </c>
      <c r="AE578" s="14" t="str">
        <f>"Matemática"</f>
        <v>Matemática</v>
      </c>
      <c r="AF578" s="14"/>
    </row>
    <row r="579" spans="1:32" ht="43.2" x14ac:dyDescent="0.3">
      <c r="A579" s="23" t="s">
        <v>903</v>
      </c>
      <c r="B579" s="20" t="s">
        <v>6</v>
      </c>
      <c r="C579" s="20" t="s">
        <v>7</v>
      </c>
      <c r="D579" s="20" t="s">
        <v>8</v>
      </c>
      <c r="E579" s="22">
        <v>81</v>
      </c>
      <c r="F579" s="22">
        <v>1</v>
      </c>
      <c r="G579" s="22">
        <v>2</v>
      </c>
      <c r="H579" s="22"/>
      <c r="I579" s="23" t="s">
        <v>9</v>
      </c>
      <c r="J579" s="23"/>
      <c r="K579" s="22"/>
      <c r="L579" s="22"/>
      <c r="M579" s="23"/>
      <c r="N579" s="23"/>
      <c r="O579" s="26" t="s">
        <v>904</v>
      </c>
      <c r="P579" s="26"/>
      <c r="Q579" s="22"/>
      <c r="R579" s="24"/>
      <c r="S579" s="24"/>
      <c r="T579" s="24"/>
      <c r="U579" s="24"/>
      <c r="V579" s="24"/>
      <c r="W579" s="22" t="s">
        <v>223</v>
      </c>
      <c r="X579" s="4" t="str">
        <f>IF(Tabela2[[#This Row],[sigla]]="","",VLOOKUP(Tabela2[[#This Row],[sigla]],créditos_base!B:C,2,0))</f>
        <v>NATANAELE BILMAIA/ARQUIVO DA EDITORA</v>
      </c>
      <c r="Y579" s="23"/>
      <c r="Z579" s="23" t="str">
        <f>Tabela2[[#This Row],[ilustrador]]</f>
        <v>NATANAELE BILMAIA/ARQUIVO DA EDITORA</v>
      </c>
      <c r="AA579" s="22"/>
      <c r="AB579" s="20"/>
      <c r="AD579" s="4" t="str">
        <f>"Pitanguá"</f>
        <v>Pitanguá</v>
      </c>
      <c r="AE579" s="14" t="str">
        <f>"Matemática"</f>
        <v>Matemática</v>
      </c>
      <c r="AF579" s="14"/>
    </row>
    <row r="580" spans="1:32" ht="43.2" x14ac:dyDescent="0.3">
      <c r="A580" s="23" t="s">
        <v>811</v>
      </c>
      <c r="B580" s="20" t="s">
        <v>16</v>
      </c>
      <c r="C580" s="20" t="s">
        <v>89</v>
      </c>
      <c r="D580" s="20" t="s">
        <v>8</v>
      </c>
      <c r="E580" s="22">
        <v>81</v>
      </c>
      <c r="F580" s="22">
        <v>1</v>
      </c>
      <c r="G580" s="22">
        <v>2</v>
      </c>
      <c r="H580" s="22"/>
      <c r="I580" s="23" t="s">
        <v>33</v>
      </c>
      <c r="J580" s="23"/>
      <c r="K580" s="22"/>
      <c r="L580" s="22"/>
      <c r="M580" s="23"/>
      <c r="N580" s="23"/>
      <c r="O580" s="26" t="s">
        <v>812</v>
      </c>
      <c r="P580" s="26"/>
      <c r="Q580" s="22">
        <v>8</v>
      </c>
      <c r="R580" s="24">
        <v>45733</v>
      </c>
      <c r="S580" s="24">
        <v>45733</v>
      </c>
      <c r="T580" s="24"/>
      <c r="U580" s="24"/>
      <c r="V580" s="24">
        <v>45742</v>
      </c>
      <c r="W580" s="22" t="s">
        <v>223</v>
      </c>
      <c r="X580" s="4" t="str">
        <f>IF(Tabela2[[#This Row],[sigla]]="","",VLOOKUP(Tabela2[[#This Row],[sigla]],créditos_base!B:C,2,0))</f>
        <v>NATANAELE BILMAIA/ARQUIVO DA EDITORA</v>
      </c>
      <c r="Y580" s="23" t="s">
        <v>813</v>
      </c>
      <c r="Z580" s="23" t="str">
        <f>Tabela2[[#This Row],[ilustrador]]</f>
        <v>NATANAELE BILMAIA/ARQUIVO DA EDITORA</v>
      </c>
      <c r="AA580" s="22">
        <v>14</v>
      </c>
      <c r="AB580" s="20" t="s">
        <v>153</v>
      </c>
      <c r="AC580" s="20" t="s">
        <v>36</v>
      </c>
      <c r="AD580" s="4" t="str">
        <f>"Pitanguá"</f>
        <v>Pitanguá</v>
      </c>
      <c r="AE580" s="14" t="str">
        <f>"Matemática"</f>
        <v>Matemática</v>
      </c>
      <c r="AF580" s="14"/>
    </row>
    <row r="581" spans="1:32" ht="43.2" x14ac:dyDescent="0.3">
      <c r="A581" s="23" t="s">
        <v>814</v>
      </c>
      <c r="B581" s="20" t="s">
        <v>16</v>
      </c>
      <c r="C581" s="20" t="s">
        <v>7</v>
      </c>
      <c r="D581" s="20" t="s">
        <v>8</v>
      </c>
      <c r="E581" s="22">
        <v>82</v>
      </c>
      <c r="F581" s="22">
        <v>1</v>
      </c>
      <c r="G581" s="22">
        <v>2</v>
      </c>
      <c r="H581" s="22"/>
      <c r="I581" s="23" t="s">
        <v>33</v>
      </c>
      <c r="J581" s="23"/>
      <c r="K581" s="22"/>
      <c r="L581" s="22"/>
      <c r="M581" s="23"/>
      <c r="N581" s="23"/>
      <c r="O581" s="26" t="s">
        <v>815</v>
      </c>
      <c r="P581" s="26"/>
      <c r="Q581" s="22">
        <v>8</v>
      </c>
      <c r="R581" s="24">
        <v>45733</v>
      </c>
      <c r="S581" s="24">
        <v>45733</v>
      </c>
      <c r="T581" s="24"/>
      <c r="U581" s="24"/>
      <c r="V581" s="24">
        <v>45734</v>
      </c>
      <c r="W581" s="22" t="s">
        <v>12</v>
      </c>
      <c r="X581" s="4" t="str">
        <f>IF(Tabela2[[#This Row],[sigla]]="","",VLOOKUP(Tabela2[[#This Row],[sigla]],créditos_base!B:C,2,0))</f>
        <v>JORGE ZAIBA/ARQUIVO DA EDITORA</v>
      </c>
      <c r="Y581" s="23" t="s">
        <v>188</v>
      </c>
      <c r="Z581" s="23" t="str">
        <f>Tabela2[[#This Row],[ilustrador]]</f>
        <v>JORGE ZAIBA/ARQUIVO DA EDITORA</v>
      </c>
      <c r="AA581" s="22">
        <v>13</v>
      </c>
      <c r="AB581" s="20" t="s">
        <v>153</v>
      </c>
      <c r="AC581" s="20" t="s">
        <v>36</v>
      </c>
      <c r="AD581" s="4" t="str">
        <f>"Pitanguá"</f>
        <v>Pitanguá</v>
      </c>
      <c r="AE581" s="14" t="str">
        <f>"Matemática"</f>
        <v>Matemática</v>
      </c>
      <c r="AF581" s="14"/>
    </row>
    <row r="582" spans="1:32" ht="43.2" x14ac:dyDescent="0.3">
      <c r="A582" s="23" t="s">
        <v>905</v>
      </c>
      <c r="B582" s="20" t="s">
        <v>6</v>
      </c>
      <c r="C582" s="20" t="s">
        <v>7</v>
      </c>
      <c r="D582" s="20" t="s">
        <v>8</v>
      </c>
      <c r="E582" s="22">
        <v>83</v>
      </c>
      <c r="F582" s="22">
        <v>1</v>
      </c>
      <c r="G582" s="22">
        <v>2</v>
      </c>
      <c r="H582" s="22"/>
      <c r="I582" s="23" t="s">
        <v>9</v>
      </c>
      <c r="J582" s="23"/>
      <c r="K582" s="22"/>
      <c r="L582" s="22"/>
      <c r="M582" s="23"/>
      <c r="N582" s="23"/>
      <c r="O582" s="26" t="s">
        <v>906</v>
      </c>
      <c r="P582" s="26" t="s">
        <v>11</v>
      </c>
      <c r="Q582" s="22"/>
      <c r="R582" s="24"/>
      <c r="S582" s="24"/>
      <c r="T582" s="24"/>
      <c r="U582" s="24"/>
      <c r="V582" s="24"/>
      <c r="W582" s="22" t="s">
        <v>133</v>
      </c>
      <c r="X582" s="4" t="str">
        <f>IF(Tabela2[[#This Row],[sigla]]="","",VLOOKUP(Tabela2[[#This Row],[sigla]],créditos_base!B:C,2,0))</f>
        <v>JANAINA OLIVEIRA/ARQUIVO DA EDITORA</v>
      </c>
      <c r="Y582" s="23"/>
      <c r="Z582" s="23" t="str">
        <f>Tabela2[[#This Row],[ilustrador]]</f>
        <v>JANAINA OLIVEIRA/ARQUIVO DA EDITORA</v>
      </c>
      <c r="AA582" s="22"/>
      <c r="AB582" s="20"/>
      <c r="AD582" s="4" t="str">
        <f>"Pitanguá"</f>
        <v>Pitanguá</v>
      </c>
      <c r="AE582" s="14" t="str">
        <f>"Matemática"</f>
        <v>Matemática</v>
      </c>
      <c r="AF582" s="14"/>
    </row>
    <row r="583" spans="1:32" ht="43.2" x14ac:dyDescent="0.3">
      <c r="A583" s="23" t="s">
        <v>816</v>
      </c>
      <c r="B583" s="20" t="s">
        <v>6</v>
      </c>
      <c r="C583" s="20" t="s">
        <v>7</v>
      </c>
      <c r="D583" s="20" t="s">
        <v>8</v>
      </c>
      <c r="E583" s="22">
        <v>83</v>
      </c>
      <c r="F583" s="22">
        <v>1</v>
      </c>
      <c r="G583" s="22">
        <v>2</v>
      </c>
      <c r="H583" s="22"/>
      <c r="I583" s="23" t="s">
        <v>33</v>
      </c>
      <c r="J583" s="23"/>
      <c r="K583" s="22"/>
      <c r="L583" s="22"/>
      <c r="M583" s="23"/>
      <c r="N583" s="23"/>
      <c r="O583" s="26" t="s">
        <v>817</v>
      </c>
      <c r="P583" s="26" t="s">
        <v>11</v>
      </c>
      <c r="Q583" s="22">
        <v>8</v>
      </c>
      <c r="R583" s="24">
        <v>45733</v>
      </c>
      <c r="S583" s="24">
        <v>45733</v>
      </c>
      <c r="T583" s="24"/>
      <c r="U583" s="24"/>
      <c r="V583" s="24">
        <v>45734</v>
      </c>
      <c r="W583" s="22" t="s">
        <v>133</v>
      </c>
      <c r="X583" s="4" t="str">
        <f>IF(Tabela2[[#This Row],[sigla]]="","",VLOOKUP(Tabela2[[#This Row],[sigla]],créditos_base!B:C,2,0))</f>
        <v>JANAINA OLIVEIRA/ARQUIVO DA EDITORA</v>
      </c>
      <c r="Y583" s="23" t="s">
        <v>188</v>
      </c>
      <c r="Z583" s="23" t="str">
        <f>Tabela2[[#This Row],[ilustrador]]</f>
        <v>JANAINA OLIVEIRA/ARQUIVO DA EDITORA</v>
      </c>
      <c r="AA583" s="22">
        <v>13</v>
      </c>
      <c r="AB583" s="20" t="s">
        <v>153</v>
      </c>
      <c r="AC583" s="20" t="s">
        <v>36</v>
      </c>
      <c r="AD583" s="4" t="str">
        <f>"Pitanguá"</f>
        <v>Pitanguá</v>
      </c>
      <c r="AE583" s="14" t="str">
        <f>"Matemática"</f>
        <v>Matemática</v>
      </c>
      <c r="AF583" s="14"/>
    </row>
    <row r="584" spans="1:32" ht="43.2" x14ac:dyDescent="0.3">
      <c r="A584" s="23" t="s">
        <v>1064</v>
      </c>
      <c r="B584" s="20" t="s">
        <v>16</v>
      </c>
      <c r="C584" s="20" t="s">
        <v>89</v>
      </c>
      <c r="D584" s="20" t="s">
        <v>8</v>
      </c>
      <c r="E584" s="22">
        <v>46</v>
      </c>
      <c r="F584" s="22">
        <v>1</v>
      </c>
      <c r="G584" s="22">
        <v>2</v>
      </c>
      <c r="H584" s="22"/>
      <c r="I584" s="23" t="s">
        <v>90</v>
      </c>
      <c r="J584" s="23"/>
      <c r="K584" s="22"/>
      <c r="L584" s="22"/>
      <c r="M584" s="23"/>
      <c r="N584" s="23"/>
      <c r="O584" s="26" t="s">
        <v>1065</v>
      </c>
      <c r="P584" s="26"/>
      <c r="Q584" s="22">
        <v>11</v>
      </c>
      <c r="R584" s="24">
        <v>45735</v>
      </c>
      <c r="S584" s="24">
        <v>45736</v>
      </c>
      <c r="T584" s="24"/>
      <c r="U584" s="24"/>
      <c r="V584" s="24">
        <v>45741</v>
      </c>
      <c r="W584" s="22" t="s">
        <v>72</v>
      </c>
      <c r="X584" s="4" t="str">
        <f>IF(Tabela2[[#This Row],[sigla]]="","",VLOOKUP(Tabela2[[#This Row],[sigla]],créditos_base!B:C,2,0))</f>
        <v>HELOÍSA PINTARELLI/ARQUIVO DA EDITORA</v>
      </c>
      <c r="Y584" s="23"/>
      <c r="Z584" s="23" t="str">
        <f>Tabela2[[#This Row],[ilustrador]]</f>
        <v>HELOÍSA PINTARELLI/ARQUIVO DA EDITORA</v>
      </c>
      <c r="AA584" s="22">
        <v>7</v>
      </c>
      <c r="AB584" s="20" t="s">
        <v>1066</v>
      </c>
      <c r="AC584" s="20" t="s">
        <v>310</v>
      </c>
      <c r="AD584" s="4" t="str">
        <f>"Pitanguá"</f>
        <v>Pitanguá</v>
      </c>
      <c r="AE584" s="14" t="str">
        <f>"Matemática"</f>
        <v>Matemática</v>
      </c>
      <c r="AF584" s="14"/>
    </row>
    <row r="585" spans="1:32" ht="72" x14ac:dyDescent="0.3">
      <c r="A585" s="23" t="s">
        <v>1067</v>
      </c>
      <c r="B585" s="20" t="s">
        <v>16</v>
      </c>
      <c r="C585" s="20" t="s">
        <v>7</v>
      </c>
      <c r="D585" s="20" t="s">
        <v>8</v>
      </c>
      <c r="E585" s="22">
        <v>70</v>
      </c>
      <c r="F585" s="22">
        <v>1</v>
      </c>
      <c r="G585" s="22">
        <v>2</v>
      </c>
      <c r="H585" s="22"/>
      <c r="I585" s="23" t="s">
        <v>9</v>
      </c>
      <c r="J585" s="23"/>
      <c r="K585" s="22"/>
      <c r="L585" s="22"/>
      <c r="M585" s="23"/>
      <c r="N585" s="23"/>
      <c r="O585" s="26" t="s">
        <v>1068</v>
      </c>
      <c r="P585" s="26"/>
      <c r="Q585" s="22"/>
      <c r="R585" s="24"/>
      <c r="S585" s="24"/>
      <c r="T585" s="24"/>
      <c r="U585" s="24"/>
      <c r="V585" s="24"/>
      <c r="W585" s="22" t="s">
        <v>31</v>
      </c>
      <c r="X585" s="4" t="str">
        <f>IF(Tabela2[[#This Row],[sigla]]="","",VLOOKUP(Tabela2[[#This Row],[sigla]],créditos_base!B:C,2,0))</f>
        <v>SILVIA OTOFUJI/ARQUIVO DA EDITORA</v>
      </c>
      <c r="Y585" s="23"/>
      <c r="Z585" s="23" t="str">
        <f>Tabela2[[#This Row],[ilustrador]]</f>
        <v>SILVIA OTOFUJI/ARQUIVO DA EDITORA</v>
      </c>
      <c r="AA585" s="22"/>
      <c r="AB585" s="20"/>
      <c r="AD585" s="4" t="str">
        <f>"Pitanguá"</f>
        <v>Pitanguá</v>
      </c>
      <c r="AE585" s="14" t="str">
        <f>"Matemática"</f>
        <v>Matemática</v>
      </c>
      <c r="AF585" s="14"/>
    </row>
    <row r="586" spans="1:32" ht="43.2" x14ac:dyDescent="0.3">
      <c r="A586" s="23" t="s">
        <v>2913</v>
      </c>
      <c r="B586" s="20" t="s">
        <v>135</v>
      </c>
      <c r="C586" s="20" t="s">
        <v>7</v>
      </c>
      <c r="D586" s="20" t="s">
        <v>8</v>
      </c>
      <c r="E586" s="22">
        <v>78</v>
      </c>
      <c r="F586" s="22">
        <v>1</v>
      </c>
      <c r="G586" s="22">
        <v>2</v>
      </c>
      <c r="H586" s="22"/>
      <c r="I586" s="23" t="s">
        <v>9</v>
      </c>
      <c r="J586" s="23"/>
      <c r="K586" s="22"/>
      <c r="L586" s="22"/>
      <c r="M586" s="23"/>
      <c r="N586" s="23"/>
      <c r="O586" s="26" t="s">
        <v>2914</v>
      </c>
      <c r="P586" s="26"/>
      <c r="Q586" s="22"/>
      <c r="R586" s="24"/>
      <c r="S586" s="24"/>
      <c r="T586" s="24"/>
      <c r="U586" s="24"/>
      <c r="V586" s="24"/>
      <c r="W586" s="22" t="s">
        <v>31</v>
      </c>
      <c r="X586" s="4" t="str">
        <f>IF(Tabela2[[#This Row],[sigla]]="","",VLOOKUP(Tabela2[[#This Row],[sigla]],créditos_base!B:C,2,0))</f>
        <v>SILVIA OTOFUJI/ARQUIVO DA EDITORA</v>
      </c>
      <c r="Y586" s="23"/>
      <c r="Z586" s="23" t="str">
        <f>Tabela2[[#This Row],[ilustrador]]</f>
        <v>SILVIA OTOFUJI/ARQUIVO DA EDITORA</v>
      </c>
      <c r="AA586" s="22"/>
      <c r="AB586" s="20"/>
      <c r="AD586" s="4" t="str">
        <f>"Pitanguá"</f>
        <v>Pitanguá</v>
      </c>
      <c r="AE586" s="14" t="str">
        <f>"Matemática"</f>
        <v>Matemática</v>
      </c>
      <c r="AF586" s="14"/>
    </row>
    <row r="587" spans="1:32" ht="43.2" x14ac:dyDescent="0.3">
      <c r="A587" s="23" t="s">
        <v>2915</v>
      </c>
      <c r="B587" s="20" t="s">
        <v>135</v>
      </c>
      <c r="C587" s="20" t="s">
        <v>7</v>
      </c>
      <c r="D587" s="20" t="s">
        <v>8</v>
      </c>
      <c r="E587" s="22">
        <v>78</v>
      </c>
      <c r="F587" s="22">
        <v>1</v>
      </c>
      <c r="G587" s="22">
        <v>2</v>
      </c>
      <c r="H587" s="22"/>
      <c r="I587" s="23" t="s">
        <v>9</v>
      </c>
      <c r="J587" s="23"/>
      <c r="K587" s="22"/>
      <c r="L587" s="22"/>
      <c r="M587" s="23"/>
      <c r="N587" s="23"/>
      <c r="O587" s="26" t="s">
        <v>2916</v>
      </c>
      <c r="P587" s="26"/>
      <c r="Q587" s="22"/>
      <c r="R587" s="24"/>
      <c r="S587" s="24"/>
      <c r="T587" s="24"/>
      <c r="U587" s="24"/>
      <c r="V587" s="24"/>
      <c r="W587" s="22" t="s">
        <v>31</v>
      </c>
      <c r="X587" s="4" t="str">
        <f>IF(Tabela2[[#This Row],[sigla]]="","",VLOOKUP(Tabela2[[#This Row],[sigla]],créditos_base!B:C,2,0))</f>
        <v>SILVIA OTOFUJI/ARQUIVO DA EDITORA</v>
      </c>
      <c r="Y587" s="23"/>
      <c r="Z587" s="23" t="str">
        <f>Tabela2[[#This Row],[ilustrador]]</f>
        <v>SILVIA OTOFUJI/ARQUIVO DA EDITORA</v>
      </c>
      <c r="AA587" s="22"/>
      <c r="AB587" s="20"/>
      <c r="AD587" s="4" t="str">
        <f>"Pitanguá"</f>
        <v>Pitanguá</v>
      </c>
      <c r="AE587" s="14" t="str">
        <f>"Matemática"</f>
        <v>Matemática</v>
      </c>
      <c r="AF587" s="14"/>
    </row>
    <row r="588" spans="1:32" ht="43.2" x14ac:dyDescent="0.3">
      <c r="A588" s="23" t="s">
        <v>2917</v>
      </c>
      <c r="B588" s="20" t="s">
        <v>135</v>
      </c>
      <c r="C588" s="20" t="s">
        <v>7</v>
      </c>
      <c r="D588" s="20" t="s">
        <v>8</v>
      </c>
      <c r="E588" s="22">
        <v>78</v>
      </c>
      <c r="F588" s="22">
        <v>1</v>
      </c>
      <c r="G588" s="22">
        <v>2</v>
      </c>
      <c r="H588" s="22"/>
      <c r="I588" s="23" t="s">
        <v>9</v>
      </c>
      <c r="J588" s="23"/>
      <c r="K588" s="22"/>
      <c r="L588" s="22"/>
      <c r="M588" s="23"/>
      <c r="N588" s="23"/>
      <c r="O588" s="26" t="s">
        <v>2918</v>
      </c>
      <c r="P588" s="26"/>
      <c r="Q588" s="22"/>
      <c r="R588" s="24"/>
      <c r="S588" s="24"/>
      <c r="T588" s="24"/>
      <c r="U588" s="24"/>
      <c r="V588" s="24"/>
      <c r="W588" s="22" t="s">
        <v>31</v>
      </c>
      <c r="X588" s="4" t="str">
        <f>IF(Tabela2[[#This Row],[sigla]]="","",VLOOKUP(Tabela2[[#This Row],[sigla]],créditos_base!B:C,2,0))</f>
        <v>SILVIA OTOFUJI/ARQUIVO DA EDITORA</v>
      </c>
      <c r="Y588" s="23"/>
      <c r="Z588" s="23" t="str">
        <f>Tabela2[[#This Row],[ilustrador]]</f>
        <v>SILVIA OTOFUJI/ARQUIVO DA EDITORA</v>
      </c>
      <c r="AA588" s="22"/>
      <c r="AB588" s="20"/>
      <c r="AD588" s="4" t="str">
        <f>"Pitanguá"</f>
        <v>Pitanguá</v>
      </c>
      <c r="AE588" s="14" t="str">
        <f>"Matemática"</f>
        <v>Matemática</v>
      </c>
      <c r="AF588" s="14"/>
    </row>
    <row r="589" spans="1:32" ht="43.2" x14ac:dyDescent="0.3">
      <c r="A589" s="23" t="s">
        <v>2919</v>
      </c>
      <c r="B589" s="20" t="s">
        <v>135</v>
      </c>
      <c r="C589" s="20" t="s">
        <v>7</v>
      </c>
      <c r="D589" s="20" t="s">
        <v>8</v>
      </c>
      <c r="E589" s="22">
        <v>78</v>
      </c>
      <c r="F589" s="22">
        <v>1</v>
      </c>
      <c r="G589" s="22">
        <v>2</v>
      </c>
      <c r="H589" s="22"/>
      <c r="I589" s="23" t="s">
        <v>9</v>
      </c>
      <c r="J589" s="23"/>
      <c r="K589" s="22"/>
      <c r="L589" s="22"/>
      <c r="M589" s="23"/>
      <c r="N589" s="23"/>
      <c r="O589" s="26" t="s">
        <v>2920</v>
      </c>
      <c r="P589" s="26"/>
      <c r="Q589" s="22"/>
      <c r="R589" s="24"/>
      <c r="S589" s="24"/>
      <c r="T589" s="24"/>
      <c r="U589" s="24"/>
      <c r="V589" s="24"/>
      <c r="W589" s="22" t="s">
        <v>31</v>
      </c>
      <c r="X589" s="4" t="str">
        <f>IF(Tabela2[[#This Row],[sigla]]="","",VLOOKUP(Tabela2[[#This Row],[sigla]],créditos_base!B:C,2,0))</f>
        <v>SILVIA OTOFUJI/ARQUIVO DA EDITORA</v>
      </c>
      <c r="Y589" s="23"/>
      <c r="Z589" s="23" t="str">
        <f>Tabela2[[#This Row],[ilustrador]]</f>
        <v>SILVIA OTOFUJI/ARQUIVO DA EDITORA</v>
      </c>
      <c r="AA589" s="22"/>
      <c r="AB589" s="20"/>
      <c r="AD589" s="4" t="str">
        <f>"Pitanguá"</f>
        <v>Pitanguá</v>
      </c>
      <c r="AE589" s="14" t="str">
        <f>"Matemática"</f>
        <v>Matemática</v>
      </c>
      <c r="AF589" s="14"/>
    </row>
    <row r="590" spans="1:32" ht="43.2" x14ac:dyDescent="0.3">
      <c r="A590" s="23" t="s">
        <v>2921</v>
      </c>
      <c r="B590" s="20" t="s">
        <v>135</v>
      </c>
      <c r="C590" s="20" t="s">
        <v>7</v>
      </c>
      <c r="D590" s="20" t="s">
        <v>8</v>
      </c>
      <c r="E590" s="22">
        <v>78</v>
      </c>
      <c r="F590" s="22">
        <v>1</v>
      </c>
      <c r="G590" s="22">
        <v>2</v>
      </c>
      <c r="H590" s="22"/>
      <c r="I590" s="23" t="s">
        <v>9</v>
      </c>
      <c r="J590" s="23"/>
      <c r="K590" s="22"/>
      <c r="L590" s="22"/>
      <c r="M590" s="23"/>
      <c r="N590" s="23"/>
      <c r="O590" s="26" t="s">
        <v>2922</v>
      </c>
      <c r="P590" s="26"/>
      <c r="Q590" s="22"/>
      <c r="R590" s="24"/>
      <c r="S590" s="24"/>
      <c r="T590" s="24"/>
      <c r="U590" s="24"/>
      <c r="V590" s="24"/>
      <c r="W590" s="22" t="s">
        <v>31</v>
      </c>
      <c r="X590" s="4" t="str">
        <f>IF(Tabela2[[#This Row],[sigla]]="","",VLOOKUP(Tabela2[[#This Row],[sigla]],créditos_base!B:C,2,0))</f>
        <v>SILVIA OTOFUJI/ARQUIVO DA EDITORA</v>
      </c>
      <c r="Y590" s="23"/>
      <c r="Z590" s="23" t="str">
        <f>Tabela2[[#This Row],[ilustrador]]</f>
        <v>SILVIA OTOFUJI/ARQUIVO DA EDITORA</v>
      </c>
      <c r="AA590" s="22"/>
      <c r="AB590" s="20"/>
      <c r="AD590" s="4" t="str">
        <f>"Pitanguá"</f>
        <v>Pitanguá</v>
      </c>
      <c r="AE590" s="14" t="str">
        <f>"Matemática"</f>
        <v>Matemática</v>
      </c>
      <c r="AF590" s="14"/>
    </row>
    <row r="591" spans="1:32" ht="43.2" x14ac:dyDescent="0.3">
      <c r="A591" s="23" t="s">
        <v>2923</v>
      </c>
      <c r="B591" s="20" t="s">
        <v>135</v>
      </c>
      <c r="C591" s="20" t="s">
        <v>7</v>
      </c>
      <c r="D591" s="20" t="s">
        <v>8</v>
      </c>
      <c r="E591" s="22">
        <v>78</v>
      </c>
      <c r="F591" s="22">
        <v>1</v>
      </c>
      <c r="G591" s="22">
        <v>2</v>
      </c>
      <c r="H591" s="22"/>
      <c r="I591" s="23" t="s">
        <v>9</v>
      </c>
      <c r="J591" s="23"/>
      <c r="K591" s="22"/>
      <c r="L591" s="22"/>
      <c r="M591" s="23"/>
      <c r="N591" s="23"/>
      <c r="O591" s="26" t="s">
        <v>2924</v>
      </c>
      <c r="P591" s="26"/>
      <c r="Q591" s="22"/>
      <c r="R591" s="24"/>
      <c r="S591" s="24"/>
      <c r="T591" s="24"/>
      <c r="U591" s="24"/>
      <c r="V591" s="24"/>
      <c r="W591" s="22" t="s">
        <v>31</v>
      </c>
      <c r="X591" s="4" t="str">
        <f>IF(Tabela2[[#This Row],[sigla]]="","",VLOOKUP(Tabela2[[#This Row],[sigla]],créditos_base!B:C,2,0))</f>
        <v>SILVIA OTOFUJI/ARQUIVO DA EDITORA</v>
      </c>
      <c r="Y591" s="23"/>
      <c r="Z591" s="23" t="str">
        <f>Tabela2[[#This Row],[ilustrador]]</f>
        <v>SILVIA OTOFUJI/ARQUIVO DA EDITORA</v>
      </c>
      <c r="AA591" s="22"/>
      <c r="AB591" s="20"/>
      <c r="AD591" s="4" t="str">
        <f>"Pitanguá"</f>
        <v>Pitanguá</v>
      </c>
      <c r="AE591" s="14" t="str">
        <f>"Matemática"</f>
        <v>Matemática</v>
      </c>
      <c r="AF591" s="14"/>
    </row>
    <row r="592" spans="1:32" ht="57.6" x14ac:dyDescent="0.3">
      <c r="A592" s="23" t="s">
        <v>268</v>
      </c>
      <c r="B592" s="20" t="s">
        <v>16</v>
      </c>
      <c r="C592" s="20" t="s">
        <v>7</v>
      </c>
      <c r="D592" s="20" t="s">
        <v>8</v>
      </c>
      <c r="E592" s="22">
        <v>62</v>
      </c>
      <c r="F592" s="22">
        <v>1</v>
      </c>
      <c r="G592" s="22">
        <v>3</v>
      </c>
      <c r="H592" s="22"/>
      <c r="I592" s="23" t="s">
        <v>33</v>
      </c>
      <c r="J592" s="23"/>
      <c r="K592" s="22"/>
      <c r="L592" s="22"/>
      <c r="M592" s="23"/>
      <c r="N592" s="23"/>
      <c r="O592" s="26" t="s">
        <v>269</v>
      </c>
      <c r="P592" s="26"/>
      <c r="Q592" s="22">
        <v>3</v>
      </c>
      <c r="R592" s="24">
        <v>45726</v>
      </c>
      <c r="S592" s="24">
        <v>45726</v>
      </c>
      <c r="T592" s="24"/>
      <c r="U592" s="24"/>
      <c r="V592" s="24">
        <v>45727</v>
      </c>
      <c r="W592" s="22" t="s">
        <v>87</v>
      </c>
      <c r="X592" s="4" t="str">
        <f>IF(Tabela2[[#This Row],[sigla]]="","",VLOOKUP(Tabela2[[#This Row],[sigla]],créditos_base!B:C,2,0))</f>
        <v>CHRIS BORGES/ARQUIVO DA EDITORA</v>
      </c>
      <c r="Y592" s="23" t="s">
        <v>13</v>
      </c>
      <c r="Z592" s="23" t="str">
        <f>Tabela2[[#This Row],[ilustrador]]</f>
        <v>CHRIS BORGES/ARQUIVO DA EDITORA</v>
      </c>
      <c r="AA592" s="22">
        <v>14</v>
      </c>
      <c r="AB592" s="20"/>
      <c r="AC592" s="20" t="s">
        <v>36</v>
      </c>
      <c r="AD592" s="4" t="str">
        <f>"Pitanguá"</f>
        <v>Pitanguá</v>
      </c>
      <c r="AE592" s="14" t="str">
        <f>"Matemática"</f>
        <v>Matemática</v>
      </c>
      <c r="AF592" s="14"/>
    </row>
    <row r="593" spans="1:32" ht="57.6" x14ac:dyDescent="0.3">
      <c r="A593" s="23" t="s">
        <v>1944</v>
      </c>
      <c r="B593" s="20" t="s">
        <v>16</v>
      </c>
      <c r="C593" s="20" t="s">
        <v>7</v>
      </c>
      <c r="D593" s="20" t="s">
        <v>8</v>
      </c>
      <c r="E593" s="22">
        <v>50</v>
      </c>
      <c r="F593" s="22">
        <v>3</v>
      </c>
      <c r="G593" s="22">
        <v>3</v>
      </c>
      <c r="H593" s="22"/>
      <c r="I593" s="23" t="s">
        <v>33</v>
      </c>
      <c r="J593" s="23"/>
      <c r="K593" s="22"/>
      <c r="L593" s="22"/>
      <c r="M593" s="23"/>
      <c r="N593" s="23"/>
      <c r="O593" s="26" t="s">
        <v>1945</v>
      </c>
      <c r="P593" s="26"/>
      <c r="Q593" s="22">
        <v>61</v>
      </c>
      <c r="R593" s="24">
        <v>45807</v>
      </c>
      <c r="S593" s="24">
        <v>45807</v>
      </c>
      <c r="T593" s="24"/>
      <c r="U593" s="24"/>
      <c r="V593" s="24">
        <v>45807</v>
      </c>
      <c r="W593" s="22" t="s">
        <v>230</v>
      </c>
      <c r="X593" s="4" t="str">
        <f>IF(Tabela2[[#This Row],[sigla]]="","",VLOOKUP(Tabela2[[#This Row],[sigla]],créditos_base!B:C,2,0))</f>
        <v>RAFAEL L. GAION/ARQUIVO DA EDITORA</v>
      </c>
      <c r="Y593" s="23" t="s">
        <v>152</v>
      </c>
      <c r="Z593" s="23" t="str">
        <f>Tabela2[[#This Row],[ilustrador]]</f>
        <v>RAFAEL L. GAION/ARQUIVO DA EDITORA</v>
      </c>
      <c r="AA593" s="22">
        <v>13</v>
      </c>
      <c r="AB593" s="20" t="s">
        <v>153</v>
      </c>
      <c r="AC593" s="20" t="s">
        <v>36</v>
      </c>
      <c r="AD593" s="4" t="str">
        <f>"Pitanguá"</f>
        <v>Pitanguá</v>
      </c>
      <c r="AE593" s="14" t="str">
        <f>"Matemática"</f>
        <v>Matemática</v>
      </c>
      <c r="AF593" s="14"/>
    </row>
    <row r="594" spans="1:32" ht="28.8" x14ac:dyDescent="0.3">
      <c r="A594" s="23" t="s">
        <v>5657</v>
      </c>
      <c r="B594" s="20" t="s">
        <v>16</v>
      </c>
      <c r="C594" s="20" t="s">
        <v>7</v>
      </c>
      <c r="D594" s="20" t="s">
        <v>8</v>
      </c>
      <c r="E594" s="22">
        <v>48</v>
      </c>
      <c r="F594" s="22">
        <v>5</v>
      </c>
      <c r="G594" s="22">
        <v>3</v>
      </c>
      <c r="H594" s="22"/>
      <c r="I594" s="23" t="s">
        <v>90</v>
      </c>
      <c r="J594" s="23"/>
      <c r="K594" s="22"/>
      <c r="L594" s="22"/>
      <c r="M594" s="23"/>
      <c r="N594" s="23"/>
      <c r="O594" s="26" t="s">
        <v>5658</v>
      </c>
      <c r="P594" s="26"/>
      <c r="Q594" s="22">
        <v>135</v>
      </c>
      <c r="R594" s="24">
        <v>45866</v>
      </c>
      <c r="S594" s="24">
        <v>45842</v>
      </c>
      <c r="T594" s="24"/>
      <c r="U594" s="24"/>
      <c r="V594" s="24">
        <v>45875</v>
      </c>
      <c r="W594" s="22" t="s">
        <v>4778</v>
      </c>
      <c r="X594" s="4" t="str">
        <f>IF(Tabela2[[#This Row],[sigla]]="","",VLOOKUP(Tabela2[[#This Row],[sigla]],créditos_base!B:C,2,0))</f>
        <v>WERLLEN HOLANDA/ARQUIVO DA EDITORA</v>
      </c>
      <c r="Y594" s="23" t="s">
        <v>243</v>
      </c>
      <c r="Z594" s="23" t="str">
        <f>Tabela2[[#This Row],[ilustrador]]</f>
        <v>WERLLEN HOLANDA/ARQUIVO DA EDITORA</v>
      </c>
      <c r="AA594" s="22">
        <v>13</v>
      </c>
      <c r="AB594" s="20" t="s">
        <v>244</v>
      </c>
      <c r="AC594" s="20" t="s">
        <v>36</v>
      </c>
      <c r="AD594" s="4" t="str">
        <f>"Pitanguá"</f>
        <v>Pitanguá</v>
      </c>
      <c r="AE594" s="14" t="str">
        <f>"Matemática"</f>
        <v>Matemática</v>
      </c>
      <c r="AF594" s="14"/>
    </row>
    <row r="595" spans="1:32" ht="57.6" x14ac:dyDescent="0.3">
      <c r="A595" s="23" t="s">
        <v>270</v>
      </c>
      <c r="B595" s="20" t="s">
        <v>16</v>
      </c>
      <c r="C595" s="20" t="s">
        <v>89</v>
      </c>
      <c r="D595" s="20" t="s">
        <v>8</v>
      </c>
      <c r="E595" s="22">
        <v>63</v>
      </c>
      <c r="F595" s="22">
        <v>1</v>
      </c>
      <c r="G595" s="22">
        <v>3</v>
      </c>
      <c r="H595" s="22"/>
      <c r="I595" s="23" t="s">
        <v>9</v>
      </c>
      <c r="J595" s="23"/>
      <c r="K595" s="22"/>
      <c r="L595" s="22"/>
      <c r="M595" s="23"/>
      <c r="N595" s="23"/>
      <c r="O595" s="26" t="s">
        <v>271</v>
      </c>
      <c r="P595" s="26"/>
      <c r="Q595" s="22"/>
      <c r="R595" s="24"/>
      <c r="S595" s="24"/>
      <c r="T595" s="24"/>
      <c r="U595" s="24"/>
      <c r="V595" s="24"/>
      <c r="W595" s="22" t="s">
        <v>272</v>
      </c>
      <c r="X595" s="4" t="str">
        <f>IF(Tabela2[[#This Row],[sigla]]="","",VLOOKUP(Tabela2[[#This Row],[sigla]],créditos_base!B:C,2,0))</f>
        <v>RAFAEL SILVA/ARQUIVO DA EDITORA</v>
      </c>
      <c r="Y595" s="23"/>
      <c r="Z595" s="23" t="str">
        <f>Tabela2[[#This Row],[ilustrador]]</f>
        <v>RAFAEL SILVA/ARQUIVO DA EDITORA</v>
      </c>
      <c r="AA595" s="22"/>
      <c r="AB595" s="20"/>
      <c r="AD595" s="4" t="str">
        <f>"Pitanguá"</f>
        <v>Pitanguá</v>
      </c>
      <c r="AE595" s="14" t="str">
        <f>"Matemática"</f>
        <v>Matemática</v>
      </c>
      <c r="AF595" s="14"/>
    </row>
    <row r="596" spans="1:32" ht="43.2" x14ac:dyDescent="0.3">
      <c r="A596" s="23" t="s">
        <v>4340</v>
      </c>
      <c r="B596" s="20" t="s">
        <v>16</v>
      </c>
      <c r="C596" s="20" t="s">
        <v>7</v>
      </c>
      <c r="D596" s="20" t="s">
        <v>8</v>
      </c>
      <c r="E596" s="22">
        <v>76</v>
      </c>
      <c r="F596" s="22">
        <v>2</v>
      </c>
      <c r="G596" s="22">
        <v>3</v>
      </c>
      <c r="H596" s="22"/>
      <c r="I596" s="23" t="s">
        <v>33</v>
      </c>
      <c r="J596" s="23"/>
      <c r="K596" s="22"/>
      <c r="L596" s="22"/>
      <c r="M596" s="23"/>
      <c r="N596" s="23"/>
      <c r="O596" s="26" t="s">
        <v>4341</v>
      </c>
      <c r="P596" s="26"/>
      <c r="Q596" s="22">
        <v>64</v>
      </c>
      <c r="R596" s="24">
        <v>45810</v>
      </c>
      <c r="S596" s="24">
        <v>45811</v>
      </c>
      <c r="T596" s="24"/>
      <c r="U596" s="24"/>
      <c r="V596" s="24">
        <v>45811</v>
      </c>
      <c r="W596" s="22" t="s">
        <v>460</v>
      </c>
      <c r="X596" s="4" t="str">
        <f>IF(Tabela2[[#This Row],[sigla]]="","",VLOOKUP(Tabela2[[#This Row],[sigla]],créditos_base!B:C,2,0))</f>
        <v>CLAUDIA SOUZA/ARQUIVO DA EDITORA</v>
      </c>
      <c r="Y596" s="23" t="s">
        <v>1139</v>
      </c>
      <c r="Z596" s="23" t="str">
        <f>Tabela2[[#This Row],[ilustrador]]</f>
        <v>CLAUDIA SOUZA/ARQUIVO DA EDITORA</v>
      </c>
      <c r="AA596" s="22">
        <v>13</v>
      </c>
      <c r="AB596" s="20" t="s">
        <v>1302</v>
      </c>
      <c r="AC596" s="20" t="s">
        <v>36</v>
      </c>
      <c r="AD596" s="4" t="str">
        <f>"Pitanguá"</f>
        <v>Pitanguá</v>
      </c>
      <c r="AE596" s="14" t="str">
        <f>"Matemática"</f>
        <v>Matemática</v>
      </c>
      <c r="AF596" s="14"/>
    </row>
    <row r="597" spans="1:32" ht="43.2" x14ac:dyDescent="0.3">
      <c r="A597" s="23" t="s">
        <v>1946</v>
      </c>
      <c r="B597" s="20" t="s">
        <v>16</v>
      </c>
      <c r="C597" s="20" t="s">
        <v>7</v>
      </c>
      <c r="D597" s="20" t="s">
        <v>8</v>
      </c>
      <c r="E597" s="22">
        <v>50</v>
      </c>
      <c r="F597" s="22">
        <v>3</v>
      </c>
      <c r="G597" s="22">
        <v>3</v>
      </c>
      <c r="H597" s="22"/>
      <c r="I597" s="23" t="s">
        <v>33</v>
      </c>
      <c r="J597" s="23"/>
      <c r="K597" s="22"/>
      <c r="L597" s="22"/>
      <c r="M597" s="23"/>
      <c r="N597" s="23"/>
      <c r="O597" s="26" t="s">
        <v>1947</v>
      </c>
      <c r="P597" s="26"/>
      <c r="Q597" s="22">
        <v>61</v>
      </c>
      <c r="R597" s="24">
        <v>45807</v>
      </c>
      <c r="S597" s="24">
        <v>45807</v>
      </c>
      <c r="T597" s="24"/>
      <c r="U597" s="24"/>
      <c r="V597" s="24">
        <v>45807</v>
      </c>
      <c r="W597" s="22" t="s">
        <v>230</v>
      </c>
      <c r="X597" s="4" t="str">
        <f>IF(Tabela2[[#This Row],[sigla]]="","",VLOOKUP(Tabela2[[#This Row],[sigla]],créditos_base!B:C,2,0))</f>
        <v>RAFAEL L. GAION/ARQUIVO DA EDITORA</v>
      </c>
      <c r="Y597" s="23" t="s">
        <v>152</v>
      </c>
      <c r="Z597" s="23" t="str">
        <f>Tabela2[[#This Row],[ilustrador]]</f>
        <v>RAFAEL L. GAION/ARQUIVO DA EDITORA</v>
      </c>
      <c r="AA597" s="22">
        <v>13</v>
      </c>
      <c r="AB597" s="20" t="s">
        <v>153</v>
      </c>
      <c r="AC597" s="20" t="s">
        <v>36</v>
      </c>
      <c r="AD597" s="4" t="str">
        <f>"Pitanguá"</f>
        <v>Pitanguá</v>
      </c>
      <c r="AE597" s="14" t="str">
        <f>"Matemática"</f>
        <v>Matemática</v>
      </c>
      <c r="AF597" s="14"/>
    </row>
    <row r="598" spans="1:32" ht="43.2" x14ac:dyDescent="0.3">
      <c r="A598" s="23" t="s">
        <v>2925</v>
      </c>
      <c r="B598" s="20" t="s">
        <v>16</v>
      </c>
      <c r="C598" s="20" t="s">
        <v>7</v>
      </c>
      <c r="D598" s="20" t="s">
        <v>8</v>
      </c>
      <c r="E598" s="22">
        <v>61</v>
      </c>
      <c r="F598" s="22">
        <v>4</v>
      </c>
      <c r="G598" s="22">
        <v>3</v>
      </c>
      <c r="H598" s="22"/>
      <c r="I598" s="23" t="s">
        <v>9</v>
      </c>
      <c r="J598" s="23"/>
      <c r="K598" s="22"/>
      <c r="L598" s="22"/>
      <c r="M598" s="23"/>
      <c r="N598" s="23"/>
      <c r="O598" s="26" t="s">
        <v>2926</v>
      </c>
      <c r="P598" s="26"/>
      <c r="Q598" s="22"/>
      <c r="R598" s="24"/>
      <c r="S598" s="24"/>
      <c r="T598" s="24"/>
      <c r="U598" s="24"/>
      <c r="V598" s="24"/>
      <c r="W598" s="22" t="s">
        <v>468</v>
      </c>
      <c r="X598" s="4" t="str">
        <f>IF(Tabela2[[#This Row],[sigla]]="","",VLOOKUP(Tabela2[[#This Row],[sigla]],créditos_base!B:C,2,0))</f>
        <v>VER DOCUMENTO DE ILS. TÉCNICAS</v>
      </c>
      <c r="Y598" s="23"/>
      <c r="Z598" s="23" t="s">
        <v>469</v>
      </c>
      <c r="AA598" s="22"/>
      <c r="AB598" s="20"/>
      <c r="AD598" s="4" t="str">
        <f>"Pitanguá"</f>
        <v>Pitanguá</v>
      </c>
      <c r="AE598" s="14" t="str">
        <f>"Matemática"</f>
        <v>Matemática</v>
      </c>
      <c r="AF598" s="14"/>
    </row>
    <row r="599" spans="1:32" ht="43.2" x14ac:dyDescent="0.3">
      <c r="A599" s="23" t="s">
        <v>3809</v>
      </c>
      <c r="B599" s="20" t="s">
        <v>16</v>
      </c>
      <c r="C599" s="20" t="s">
        <v>7</v>
      </c>
      <c r="D599" s="20" t="s">
        <v>8</v>
      </c>
      <c r="E599" s="22">
        <v>50</v>
      </c>
      <c r="F599" s="22">
        <v>5</v>
      </c>
      <c r="G599" s="22">
        <v>3</v>
      </c>
      <c r="H599" s="22"/>
      <c r="I599" s="23" t="s">
        <v>9</v>
      </c>
      <c r="J599" s="23"/>
      <c r="K599" s="22"/>
      <c r="L599" s="22"/>
      <c r="M599" s="23"/>
      <c r="N599" s="23"/>
      <c r="O599" s="26" t="s">
        <v>3810</v>
      </c>
      <c r="P599" s="26"/>
      <c r="Q599" s="22"/>
      <c r="R599" s="24"/>
      <c r="S599" s="24"/>
      <c r="T599" s="24"/>
      <c r="U599" s="24"/>
      <c r="V599" s="24"/>
      <c r="W599" s="22" t="s">
        <v>31</v>
      </c>
      <c r="X599" s="4" t="str">
        <f>IF(Tabela2[[#This Row],[sigla]]="","",VLOOKUP(Tabela2[[#This Row],[sigla]],créditos_base!B:C,2,0))</f>
        <v>SILVIA OTOFUJI/ARQUIVO DA EDITORA</v>
      </c>
      <c r="Y599" s="23"/>
      <c r="Z599" s="23" t="str">
        <f>Tabela2[[#This Row],[ilustrador]]</f>
        <v>SILVIA OTOFUJI/ARQUIVO DA EDITORA</v>
      </c>
      <c r="AA599" s="22"/>
      <c r="AB599" s="20"/>
      <c r="AD599" s="4" t="str">
        <f>"Pitanguá"</f>
        <v>Pitanguá</v>
      </c>
      <c r="AE599" s="14" t="str">
        <f>"Matemática"</f>
        <v>Matemática</v>
      </c>
      <c r="AF599" s="14"/>
    </row>
    <row r="600" spans="1:32" ht="43.2" x14ac:dyDescent="0.3">
      <c r="A600" s="23" t="s">
        <v>273</v>
      </c>
      <c r="B600" s="20" t="s">
        <v>16</v>
      </c>
      <c r="C600" s="20" t="s">
        <v>89</v>
      </c>
      <c r="D600" s="20" t="s">
        <v>8</v>
      </c>
      <c r="E600" s="22">
        <v>63</v>
      </c>
      <c r="F600" s="22">
        <v>1</v>
      </c>
      <c r="G600" s="22">
        <v>3</v>
      </c>
      <c r="H600" s="22"/>
      <c r="I600" s="23" t="s">
        <v>9</v>
      </c>
      <c r="J600" s="23"/>
      <c r="K600" s="22"/>
      <c r="L600" s="22"/>
      <c r="M600" s="23"/>
      <c r="N600" s="23"/>
      <c r="O600" s="26" t="s">
        <v>274</v>
      </c>
      <c r="P600" s="26"/>
      <c r="Q600" s="22"/>
      <c r="R600" s="24"/>
      <c r="S600" s="24"/>
      <c r="T600" s="24"/>
      <c r="U600" s="24"/>
      <c r="V600" s="24"/>
      <c r="W600" s="22" t="s">
        <v>272</v>
      </c>
      <c r="X600" s="4" t="str">
        <f>IF(Tabela2[[#This Row],[sigla]]="","",VLOOKUP(Tabela2[[#This Row],[sigla]],créditos_base!B:C,2,0))</f>
        <v>RAFAEL SILVA/ARQUIVO DA EDITORA</v>
      </c>
      <c r="Y600" s="23"/>
      <c r="Z600" s="23" t="str">
        <f>Tabela2[[#This Row],[ilustrador]]</f>
        <v>RAFAEL SILVA/ARQUIVO DA EDITORA</v>
      </c>
      <c r="AA600" s="22"/>
      <c r="AB600" s="20"/>
      <c r="AD600" s="4" t="str">
        <f>"Pitanguá"</f>
        <v>Pitanguá</v>
      </c>
      <c r="AE600" s="14" t="str">
        <f>"Matemática"</f>
        <v>Matemática</v>
      </c>
      <c r="AF600" s="14"/>
    </row>
    <row r="601" spans="1:32" ht="43.2" x14ac:dyDescent="0.3">
      <c r="A601" s="23" t="s">
        <v>2927</v>
      </c>
      <c r="B601" s="20" t="s">
        <v>16</v>
      </c>
      <c r="C601" s="20" t="s">
        <v>7</v>
      </c>
      <c r="D601" s="20" t="s">
        <v>8</v>
      </c>
      <c r="E601" s="22">
        <v>61</v>
      </c>
      <c r="F601" s="22">
        <v>4</v>
      </c>
      <c r="G601" s="22">
        <v>3</v>
      </c>
      <c r="H601" s="22"/>
      <c r="I601" s="23" t="s">
        <v>9</v>
      </c>
      <c r="J601" s="23"/>
      <c r="K601" s="22"/>
      <c r="L601" s="22"/>
      <c r="M601" s="23"/>
      <c r="N601" s="23"/>
      <c r="O601" s="26" t="s">
        <v>2928</v>
      </c>
      <c r="P601" s="26"/>
      <c r="Q601" s="22"/>
      <c r="R601" s="24"/>
      <c r="S601" s="24"/>
      <c r="T601" s="24"/>
      <c r="U601" s="24"/>
      <c r="V601" s="24"/>
      <c r="W601" s="22" t="s">
        <v>468</v>
      </c>
      <c r="X601" s="4" t="str">
        <f>IF(Tabela2[[#This Row],[sigla]]="","",VLOOKUP(Tabela2[[#This Row],[sigla]],créditos_base!B:C,2,0))</f>
        <v>VER DOCUMENTO DE ILS. TÉCNICAS</v>
      </c>
      <c r="Y601" s="23"/>
      <c r="Z601" s="23" t="s">
        <v>469</v>
      </c>
      <c r="AA601" s="22"/>
      <c r="AB601" s="20"/>
      <c r="AD601" s="4" t="str">
        <f>"Pitanguá"</f>
        <v>Pitanguá</v>
      </c>
      <c r="AE601" s="14" t="str">
        <f>"Matemática"</f>
        <v>Matemática</v>
      </c>
      <c r="AF601" s="14"/>
    </row>
    <row r="602" spans="1:32" ht="57.6" x14ac:dyDescent="0.3">
      <c r="A602" s="23" t="s">
        <v>3811</v>
      </c>
      <c r="B602" s="20" t="s">
        <v>16</v>
      </c>
      <c r="C602" s="20" t="s">
        <v>7</v>
      </c>
      <c r="D602" s="20" t="s">
        <v>8</v>
      </c>
      <c r="E602" s="22">
        <v>53</v>
      </c>
      <c r="F602" s="22">
        <v>5</v>
      </c>
      <c r="G602" s="22">
        <v>3</v>
      </c>
      <c r="H602" s="22"/>
      <c r="I602" s="23" t="s">
        <v>33</v>
      </c>
      <c r="J602" s="23"/>
      <c r="K602" s="22"/>
      <c r="L602" s="22"/>
      <c r="M602" s="23"/>
      <c r="N602" s="23"/>
      <c r="O602" s="26" t="s">
        <v>3812</v>
      </c>
      <c r="P602" s="26"/>
      <c r="Q602" s="22">
        <v>55</v>
      </c>
      <c r="R602" s="24">
        <v>45803</v>
      </c>
      <c r="S602" s="24">
        <v>45810</v>
      </c>
      <c r="T602" s="24"/>
      <c r="U602" s="24"/>
      <c r="V602" s="24">
        <v>45810</v>
      </c>
      <c r="W602" s="22" t="s">
        <v>87</v>
      </c>
      <c r="X602" s="4" t="str">
        <f>IF(Tabela2[[#This Row],[sigla]]="","",VLOOKUP(Tabela2[[#This Row],[sigla]],créditos_base!B:C,2,0))</f>
        <v>CHRIS BORGES/ARQUIVO DA EDITORA</v>
      </c>
      <c r="Y602" s="23" t="s">
        <v>1503</v>
      </c>
      <c r="Z602" s="23" t="str">
        <f>Tabela2[[#This Row],[ilustrador]]</f>
        <v>CHRIS BORGES/ARQUIVO DA EDITORA</v>
      </c>
      <c r="AA602" s="22"/>
      <c r="AB602" s="28" t="s">
        <v>41</v>
      </c>
      <c r="AC602" s="20" t="s">
        <v>36</v>
      </c>
      <c r="AD602" s="4" t="str">
        <f>"Pitanguá"</f>
        <v>Pitanguá</v>
      </c>
      <c r="AE602" s="14" t="str">
        <f>"Matemática"</f>
        <v>Matemática</v>
      </c>
      <c r="AF602" s="14"/>
    </row>
    <row r="603" spans="1:32" ht="43.2" x14ac:dyDescent="0.3">
      <c r="A603" s="23" t="s">
        <v>275</v>
      </c>
      <c r="B603" s="20" t="s">
        <v>16</v>
      </c>
      <c r="C603" s="20" t="s">
        <v>89</v>
      </c>
      <c r="D603" s="20" t="s">
        <v>8</v>
      </c>
      <c r="E603" s="22">
        <v>63</v>
      </c>
      <c r="F603" s="22">
        <v>1</v>
      </c>
      <c r="G603" s="22">
        <v>3</v>
      </c>
      <c r="H603" s="22"/>
      <c r="I603" s="23" t="s">
        <v>9</v>
      </c>
      <c r="J603" s="23"/>
      <c r="K603" s="22"/>
      <c r="L603" s="22"/>
      <c r="M603" s="23"/>
      <c r="N603" s="23"/>
      <c r="O603" s="26" t="s">
        <v>276</v>
      </c>
      <c r="P603" s="26"/>
      <c r="Q603" s="22"/>
      <c r="R603" s="24"/>
      <c r="S603" s="24"/>
      <c r="T603" s="24"/>
      <c r="U603" s="24"/>
      <c r="V603" s="24"/>
      <c r="W603" s="22" t="s">
        <v>272</v>
      </c>
      <c r="X603" s="4" t="str">
        <f>IF(Tabela2[[#This Row],[sigla]]="","",VLOOKUP(Tabela2[[#This Row],[sigla]],créditos_base!B:C,2,0))</f>
        <v>RAFAEL SILVA/ARQUIVO DA EDITORA</v>
      </c>
      <c r="Y603" s="23"/>
      <c r="Z603" s="23" t="str">
        <f>Tabela2[[#This Row],[ilustrador]]</f>
        <v>RAFAEL SILVA/ARQUIVO DA EDITORA</v>
      </c>
      <c r="AA603" s="22"/>
      <c r="AB603" s="20"/>
      <c r="AD603" s="4" t="str">
        <f>"Pitanguá"</f>
        <v>Pitanguá</v>
      </c>
      <c r="AE603" s="14" t="str">
        <f>"Matemática"</f>
        <v>Matemática</v>
      </c>
      <c r="AF603" s="14"/>
    </row>
    <row r="604" spans="1:32" ht="43.2" x14ac:dyDescent="0.3">
      <c r="A604" s="23" t="s">
        <v>4342</v>
      </c>
      <c r="B604" s="20" t="s">
        <v>16</v>
      </c>
      <c r="C604" s="20" t="s">
        <v>89</v>
      </c>
      <c r="D604" s="20" t="s">
        <v>8</v>
      </c>
      <c r="E604" s="22">
        <v>77</v>
      </c>
      <c r="F604" s="22">
        <v>2</v>
      </c>
      <c r="G604" s="22">
        <v>3</v>
      </c>
      <c r="H604" s="22"/>
      <c r="I604" s="23" t="s">
        <v>33</v>
      </c>
      <c r="J604" s="23"/>
      <c r="K604" s="22"/>
      <c r="L604" s="22"/>
      <c r="M604" s="23"/>
      <c r="N604" s="23"/>
      <c r="O604" s="26" t="s">
        <v>4343</v>
      </c>
      <c r="P604" s="26"/>
      <c r="Q604" s="22">
        <v>64</v>
      </c>
      <c r="R604" s="24">
        <v>45810</v>
      </c>
      <c r="S604" s="24">
        <v>45811</v>
      </c>
      <c r="T604" s="24"/>
      <c r="U604" s="24"/>
      <c r="V604" s="24">
        <v>45811</v>
      </c>
      <c r="W604" s="22" t="s">
        <v>468</v>
      </c>
      <c r="X604" s="4" t="str">
        <f>IF(Tabela2[[#This Row],[sigla]]="","",VLOOKUP(Tabela2[[#This Row],[sigla]],créditos_base!B:C,2,0))</f>
        <v>VER DOCUMENTO DE ILS. TÉCNICAS</v>
      </c>
      <c r="Y604" s="23" t="s">
        <v>1139</v>
      </c>
      <c r="Z604" s="28" t="s">
        <v>2691</v>
      </c>
      <c r="AA604" s="22">
        <v>13</v>
      </c>
      <c r="AB604" s="20" t="s">
        <v>1425</v>
      </c>
      <c r="AC604" s="20" t="s">
        <v>36</v>
      </c>
      <c r="AD604" s="4" t="str">
        <f>"Pitanguá"</f>
        <v>Pitanguá</v>
      </c>
      <c r="AE604" s="14" t="str">
        <f>"Matemática"</f>
        <v>Matemática</v>
      </c>
      <c r="AF604" s="14"/>
    </row>
    <row r="605" spans="1:32" ht="43.2" x14ac:dyDescent="0.3">
      <c r="A605" s="23" t="s">
        <v>2929</v>
      </c>
      <c r="B605" s="20" t="s">
        <v>16</v>
      </c>
      <c r="C605" s="20" t="s">
        <v>7</v>
      </c>
      <c r="D605" s="20" t="s">
        <v>8</v>
      </c>
      <c r="E605" s="22">
        <v>61</v>
      </c>
      <c r="F605" s="22">
        <v>4</v>
      </c>
      <c r="G605" s="22">
        <v>3</v>
      </c>
      <c r="H605" s="22"/>
      <c r="I605" s="23" t="s">
        <v>9</v>
      </c>
      <c r="J605" s="23"/>
      <c r="K605" s="22"/>
      <c r="L605" s="22"/>
      <c r="M605" s="23"/>
      <c r="N605" s="23"/>
      <c r="O605" s="26" t="s">
        <v>2930</v>
      </c>
      <c r="P605" s="26"/>
      <c r="Q605" s="22"/>
      <c r="R605" s="24"/>
      <c r="S605" s="24"/>
      <c r="T605" s="24"/>
      <c r="U605" s="24"/>
      <c r="V605" s="24"/>
      <c r="W605" s="22" t="s">
        <v>468</v>
      </c>
      <c r="X605" s="4" t="str">
        <f>IF(Tabela2[[#This Row],[sigla]]="","",VLOOKUP(Tabela2[[#This Row],[sigla]],créditos_base!B:C,2,0))</f>
        <v>VER DOCUMENTO DE ILS. TÉCNICAS</v>
      </c>
      <c r="Y605" s="23"/>
      <c r="Z605" s="23" t="s">
        <v>469</v>
      </c>
      <c r="AA605" s="22"/>
      <c r="AB605" s="20"/>
      <c r="AD605" s="4" t="str">
        <f>"Pitanguá"</f>
        <v>Pitanguá</v>
      </c>
      <c r="AE605" s="14" t="str">
        <f>"Matemática"</f>
        <v>Matemática</v>
      </c>
      <c r="AF605" s="14"/>
    </row>
    <row r="606" spans="1:32" ht="43.2" x14ac:dyDescent="0.3">
      <c r="A606" s="23" t="s">
        <v>3813</v>
      </c>
      <c r="B606" s="20" t="s">
        <v>16</v>
      </c>
      <c r="C606" s="20" t="s">
        <v>89</v>
      </c>
      <c r="D606" s="20" t="s">
        <v>8</v>
      </c>
      <c r="E606" s="22">
        <v>55</v>
      </c>
      <c r="F606" s="22">
        <v>5</v>
      </c>
      <c r="G606" s="22">
        <v>3</v>
      </c>
      <c r="H606" s="22"/>
      <c r="I606" s="23" t="s">
        <v>33</v>
      </c>
      <c r="J606" s="23"/>
      <c r="K606" s="22"/>
      <c r="L606" s="22"/>
      <c r="M606" s="23"/>
      <c r="N606" s="23"/>
      <c r="O606" s="26" t="s">
        <v>3814</v>
      </c>
      <c r="P606" s="26"/>
      <c r="Q606" s="22">
        <v>135</v>
      </c>
      <c r="R606" s="24">
        <v>45866</v>
      </c>
      <c r="S606" s="24">
        <v>45874</v>
      </c>
      <c r="T606" s="24"/>
      <c r="U606" s="24"/>
      <c r="V606" s="24">
        <v>45874</v>
      </c>
      <c r="W606" s="22" t="s">
        <v>468</v>
      </c>
      <c r="X606" s="4" t="str">
        <f>IF(Tabela2[[#This Row],[sigla]]="","",VLOOKUP(Tabela2[[#This Row],[sigla]],créditos_base!B:C,2,0))</f>
        <v>VER DOCUMENTO DE ILS. TÉCNICAS</v>
      </c>
      <c r="Y606" s="23" t="s">
        <v>243</v>
      </c>
      <c r="Z606" s="23" t="s">
        <v>2967</v>
      </c>
      <c r="AA606" s="22">
        <v>13</v>
      </c>
      <c r="AB606" s="20" t="s">
        <v>244</v>
      </c>
      <c r="AC606" s="20" t="s">
        <v>36</v>
      </c>
      <c r="AD606" s="4" t="str">
        <f>"Pitanguá"</f>
        <v>Pitanguá</v>
      </c>
      <c r="AE606" s="14" t="str">
        <f>"Matemática"</f>
        <v>Matemática</v>
      </c>
      <c r="AF606" s="14"/>
    </row>
    <row r="607" spans="1:32" ht="43.2" x14ac:dyDescent="0.3">
      <c r="A607" s="23" t="s">
        <v>277</v>
      </c>
      <c r="B607" s="20" t="s">
        <v>16</v>
      </c>
      <c r="C607" s="20" t="s">
        <v>89</v>
      </c>
      <c r="D607" s="20" t="s">
        <v>8</v>
      </c>
      <c r="E607" s="22">
        <v>63</v>
      </c>
      <c r="F607" s="22">
        <v>1</v>
      </c>
      <c r="G607" s="22">
        <v>3</v>
      </c>
      <c r="H607" s="22"/>
      <c r="I607" s="23" t="s">
        <v>9</v>
      </c>
      <c r="J607" s="23"/>
      <c r="K607" s="22"/>
      <c r="L607" s="22"/>
      <c r="M607" s="23"/>
      <c r="N607" s="23"/>
      <c r="O607" s="26" t="s">
        <v>278</v>
      </c>
      <c r="P607" s="26"/>
      <c r="Q607" s="22"/>
      <c r="R607" s="24"/>
      <c r="S607" s="24"/>
      <c r="T607" s="24"/>
      <c r="U607" s="24"/>
      <c r="V607" s="24"/>
      <c r="W607" s="22" t="s">
        <v>272</v>
      </c>
      <c r="X607" s="4" t="str">
        <f>IF(Tabela2[[#This Row],[sigla]]="","",VLOOKUP(Tabela2[[#This Row],[sigla]],créditos_base!B:C,2,0))</f>
        <v>RAFAEL SILVA/ARQUIVO DA EDITORA</v>
      </c>
      <c r="Y607" s="23"/>
      <c r="Z607" s="23" t="str">
        <f>Tabela2[[#This Row],[ilustrador]]</f>
        <v>RAFAEL SILVA/ARQUIVO DA EDITORA</v>
      </c>
      <c r="AA607" s="22"/>
      <c r="AB607" s="20"/>
      <c r="AD607" s="4" t="str">
        <f>"Pitanguá"</f>
        <v>Pitanguá</v>
      </c>
      <c r="AE607" s="14" t="str">
        <f>"Matemática"</f>
        <v>Matemática</v>
      </c>
      <c r="AF607" s="14"/>
    </row>
    <row r="608" spans="1:32" ht="57.6" x14ac:dyDescent="0.3">
      <c r="A608" s="23" t="s">
        <v>1948</v>
      </c>
      <c r="B608" s="20" t="s">
        <v>16</v>
      </c>
      <c r="C608" s="20" t="s">
        <v>7</v>
      </c>
      <c r="D608" s="20" t="s">
        <v>8</v>
      </c>
      <c r="E608" s="22">
        <v>51</v>
      </c>
      <c r="F608" s="22">
        <v>3</v>
      </c>
      <c r="G608" s="22">
        <v>3</v>
      </c>
      <c r="H608" s="22"/>
      <c r="I608" s="23" t="s">
        <v>9</v>
      </c>
      <c r="J608" s="23"/>
      <c r="K608" s="22"/>
      <c r="L608" s="22"/>
      <c r="M608" s="23"/>
      <c r="N608" s="23"/>
      <c r="O608" s="26" t="s">
        <v>1949</v>
      </c>
      <c r="P608" s="26"/>
      <c r="Q608" s="22"/>
      <c r="R608" s="24"/>
      <c r="S608" s="24"/>
      <c r="T608" s="24"/>
      <c r="U608" s="24"/>
      <c r="V608" s="24"/>
      <c r="W608" s="22" t="s">
        <v>160</v>
      </c>
      <c r="X608" s="4" t="str">
        <f>IF(Tabela2[[#This Row],[sigla]]="","",VLOOKUP(Tabela2[[#This Row],[sigla]],créditos_base!B:C,2,0))</f>
        <v>SERGIO LIMA/ARQUIVO DA EDITORA</v>
      </c>
      <c r="Y608" s="23"/>
      <c r="Z608" s="23" t="str">
        <f>Tabela2[[#This Row],[ilustrador]]</f>
        <v>SERGIO LIMA/ARQUIVO DA EDITORA</v>
      </c>
      <c r="AA608" s="22"/>
      <c r="AB608" s="20"/>
      <c r="AD608" s="4" t="str">
        <f>"Pitanguá"</f>
        <v>Pitanguá</v>
      </c>
      <c r="AE608" s="14" t="str">
        <f>"Matemática"</f>
        <v>Matemática</v>
      </c>
      <c r="AF608" s="14"/>
    </row>
    <row r="609" spans="1:32" ht="43.2" x14ac:dyDescent="0.3">
      <c r="A609" s="23" t="s">
        <v>2931</v>
      </c>
      <c r="B609" s="20" t="s">
        <v>16</v>
      </c>
      <c r="C609" s="20" t="s">
        <v>7</v>
      </c>
      <c r="D609" s="20" t="s">
        <v>8</v>
      </c>
      <c r="E609" s="22">
        <v>61</v>
      </c>
      <c r="F609" s="22">
        <v>4</v>
      </c>
      <c r="G609" s="22">
        <v>3</v>
      </c>
      <c r="H609" s="22"/>
      <c r="I609" s="23" t="s">
        <v>9</v>
      </c>
      <c r="J609" s="23"/>
      <c r="K609" s="22"/>
      <c r="L609" s="22"/>
      <c r="M609" s="23"/>
      <c r="N609" s="23"/>
      <c r="O609" s="26" t="s">
        <v>2932</v>
      </c>
      <c r="P609" s="26"/>
      <c r="Q609" s="22"/>
      <c r="R609" s="24"/>
      <c r="S609" s="24"/>
      <c r="T609" s="24"/>
      <c r="U609" s="24"/>
      <c r="V609" s="24"/>
      <c r="W609" s="22" t="s">
        <v>468</v>
      </c>
      <c r="X609" s="4" t="str">
        <f>IF(Tabela2[[#This Row],[sigla]]="","",VLOOKUP(Tabela2[[#This Row],[sigla]],créditos_base!B:C,2,0))</f>
        <v>VER DOCUMENTO DE ILS. TÉCNICAS</v>
      </c>
      <c r="Y609" s="23"/>
      <c r="Z609" s="23" t="s">
        <v>469</v>
      </c>
      <c r="AA609" s="22"/>
      <c r="AB609" s="20"/>
      <c r="AD609" s="4" t="str">
        <f>"Pitanguá"</f>
        <v>Pitanguá</v>
      </c>
      <c r="AE609" s="14" t="str">
        <f>"Matemática"</f>
        <v>Matemática</v>
      </c>
      <c r="AF609" s="14"/>
    </row>
    <row r="610" spans="1:32" x14ac:dyDescent="0.3">
      <c r="A610" s="23" t="s">
        <v>3815</v>
      </c>
      <c r="B610" s="20" t="s">
        <v>16</v>
      </c>
      <c r="C610" s="20" t="s">
        <v>7</v>
      </c>
      <c r="D610" s="20" t="s">
        <v>8</v>
      </c>
      <c r="E610" s="22">
        <v>55</v>
      </c>
      <c r="F610" s="22">
        <v>5</v>
      </c>
      <c r="G610" s="22">
        <v>3</v>
      </c>
      <c r="H610" s="22"/>
      <c r="I610" s="23" t="s">
        <v>33</v>
      </c>
      <c r="J610" s="23"/>
      <c r="K610" s="22"/>
      <c r="L610" s="22"/>
      <c r="M610" s="23"/>
      <c r="N610" s="23"/>
      <c r="O610" s="26" t="s">
        <v>3816</v>
      </c>
      <c r="P610" s="26"/>
      <c r="Q610" s="22">
        <v>135</v>
      </c>
      <c r="R610" s="24">
        <v>45866</v>
      </c>
      <c r="S610" s="24">
        <v>45874</v>
      </c>
      <c r="T610" s="24"/>
      <c r="U610" s="24"/>
      <c r="V610" s="24">
        <v>45874</v>
      </c>
      <c r="W610" s="22" t="s">
        <v>87</v>
      </c>
      <c r="X610" s="4" t="str">
        <f>IF(Tabela2[[#This Row],[sigla]]="","",VLOOKUP(Tabela2[[#This Row],[sigla]],créditos_base!B:C,2,0))</f>
        <v>CHRIS BORGES/ARQUIVO DA EDITORA</v>
      </c>
      <c r="Y610" s="23" t="s">
        <v>243</v>
      </c>
      <c r="Z610" s="23" t="str">
        <f>Tabela2[[#This Row],[ilustrador]]</f>
        <v>CHRIS BORGES/ARQUIVO DA EDITORA</v>
      </c>
      <c r="AA610" s="22">
        <v>13</v>
      </c>
      <c r="AB610" s="20" t="s">
        <v>244</v>
      </c>
      <c r="AC610" s="20" t="s">
        <v>36</v>
      </c>
      <c r="AD610" s="4" t="str">
        <f>"Pitanguá"</f>
        <v>Pitanguá</v>
      </c>
      <c r="AE610" s="14" t="str">
        <f>"Matemática"</f>
        <v>Matemática</v>
      </c>
      <c r="AF610" s="14"/>
    </row>
    <row r="611" spans="1:32" ht="57.6" x14ac:dyDescent="0.3">
      <c r="A611" s="23" t="s">
        <v>279</v>
      </c>
      <c r="B611" s="20" t="s">
        <v>16</v>
      </c>
      <c r="C611" s="20" t="s">
        <v>89</v>
      </c>
      <c r="D611" s="20" t="s">
        <v>8</v>
      </c>
      <c r="E611" s="22">
        <v>63</v>
      </c>
      <c r="F611" s="22">
        <v>1</v>
      </c>
      <c r="G611" s="22">
        <v>3</v>
      </c>
      <c r="H611" s="22"/>
      <c r="I611" s="23" t="s">
        <v>9</v>
      </c>
      <c r="J611" s="23"/>
      <c r="K611" s="22"/>
      <c r="L611" s="22"/>
      <c r="M611" s="23"/>
      <c r="N611" s="23"/>
      <c r="O611" s="26" t="s">
        <v>280</v>
      </c>
      <c r="P611" s="26"/>
      <c r="Q611" s="22"/>
      <c r="R611" s="24"/>
      <c r="S611" s="24"/>
      <c r="T611" s="24"/>
      <c r="U611" s="24"/>
      <c r="V611" s="24"/>
      <c r="W611" s="22" t="s">
        <v>272</v>
      </c>
      <c r="X611" s="4" t="str">
        <f>IF(Tabela2[[#This Row],[sigla]]="","",VLOOKUP(Tabela2[[#This Row],[sigla]],créditos_base!B:C,2,0))</f>
        <v>RAFAEL SILVA/ARQUIVO DA EDITORA</v>
      </c>
      <c r="Y611" s="23"/>
      <c r="Z611" s="23"/>
      <c r="AA611" s="22"/>
      <c r="AB611" s="20"/>
      <c r="AD611" s="4" t="str">
        <f>"Pitanguá"</f>
        <v>Pitanguá</v>
      </c>
      <c r="AE611" s="14" t="str">
        <f>"Matemática"</f>
        <v>Matemática</v>
      </c>
      <c r="AF611" s="14"/>
    </row>
    <row r="612" spans="1:32" ht="57.6" x14ac:dyDescent="0.3">
      <c r="A612" s="23" t="s">
        <v>1270</v>
      </c>
      <c r="B612" s="20" t="s">
        <v>16</v>
      </c>
      <c r="C612" s="20" t="s">
        <v>7</v>
      </c>
      <c r="D612" s="20" t="s">
        <v>8</v>
      </c>
      <c r="E612" s="22">
        <v>46</v>
      </c>
      <c r="F612" s="22">
        <v>2</v>
      </c>
      <c r="G612" s="22">
        <v>3</v>
      </c>
      <c r="H612" s="22"/>
      <c r="I612" s="23" t="s">
        <v>33</v>
      </c>
      <c r="J612" s="23"/>
      <c r="K612" s="22"/>
      <c r="L612" s="22"/>
      <c r="M612" s="23"/>
      <c r="N612" s="23"/>
      <c r="O612" s="26" t="s">
        <v>1271</v>
      </c>
      <c r="P612" s="26"/>
      <c r="Q612" s="22">
        <v>76</v>
      </c>
      <c r="R612" s="24">
        <v>45819</v>
      </c>
      <c r="S612" s="24">
        <v>45819</v>
      </c>
      <c r="T612" s="24"/>
      <c r="U612" s="24"/>
      <c r="V612" s="24">
        <v>45820</v>
      </c>
      <c r="W612" s="22" t="s">
        <v>87</v>
      </c>
      <c r="X612" s="4" t="str">
        <f>IF(Tabela2[[#This Row],[sigla]]="","",VLOOKUP(Tabela2[[#This Row],[sigla]],créditos_base!B:C,2,0))</f>
        <v>CHRIS BORGES/ARQUIVO DA EDITORA</v>
      </c>
      <c r="Y612" s="23" t="s">
        <v>524</v>
      </c>
      <c r="Z612" s="23" t="str">
        <f>Tabela2[[#This Row],[ilustrador]]</f>
        <v>CHRIS BORGES/ARQUIVO DA EDITORA</v>
      </c>
      <c r="AA612" s="22">
        <v>13</v>
      </c>
      <c r="AB612" s="20"/>
      <c r="AC612" s="20" t="s">
        <v>36</v>
      </c>
      <c r="AD612" s="4" t="str">
        <f>"Pitanguá"</f>
        <v>Pitanguá</v>
      </c>
      <c r="AE612" s="14" t="str">
        <f>"Matemática"</f>
        <v>Matemática</v>
      </c>
      <c r="AF612" s="14"/>
    </row>
    <row r="613" spans="1:32" x14ac:dyDescent="0.3">
      <c r="A613" s="23" t="s">
        <v>1950</v>
      </c>
      <c r="B613" s="20" t="s">
        <v>16</v>
      </c>
      <c r="C613" s="20" t="s">
        <v>89</v>
      </c>
      <c r="D613" s="20" t="s">
        <v>8</v>
      </c>
      <c r="E613" s="22">
        <v>51</v>
      </c>
      <c r="F613" s="22">
        <v>3</v>
      </c>
      <c r="G613" s="22">
        <v>3</v>
      </c>
      <c r="H613" s="22"/>
      <c r="I613" s="23" t="s">
        <v>33</v>
      </c>
      <c r="J613" s="23"/>
      <c r="K613" s="22"/>
      <c r="L613" s="22"/>
      <c r="M613" s="23"/>
      <c r="N613" s="23"/>
      <c r="O613" s="26" t="s">
        <v>1951</v>
      </c>
      <c r="P613" s="26"/>
      <c r="Q613" s="22">
        <v>24</v>
      </c>
      <c r="R613" s="24">
        <v>45751</v>
      </c>
      <c r="S613" s="24">
        <v>45751</v>
      </c>
      <c r="T613" s="24"/>
      <c r="U613" s="24"/>
      <c r="V613" s="24">
        <v>45751</v>
      </c>
      <c r="W613" s="22" t="s">
        <v>160</v>
      </c>
      <c r="X613" s="4" t="str">
        <f>IF(Tabela2[[#This Row],[sigla]]="","",VLOOKUP(Tabela2[[#This Row],[sigla]],créditos_base!B:C,2,0))</f>
        <v>SERGIO LIMA/ARQUIVO DA EDITORA</v>
      </c>
      <c r="Y613" s="23" t="s">
        <v>524</v>
      </c>
      <c r="Z613" s="23" t="str">
        <f>Tabela2[[#This Row],[ilustrador]]</f>
        <v>SERGIO LIMA/ARQUIVO DA EDITORA</v>
      </c>
      <c r="AA613" s="22">
        <v>14</v>
      </c>
      <c r="AB613" s="20" t="s">
        <v>1500</v>
      </c>
      <c r="AC613" s="20" t="s">
        <v>36</v>
      </c>
      <c r="AD613" s="4" t="str">
        <f>"Pitanguá"</f>
        <v>Pitanguá</v>
      </c>
      <c r="AE613" s="14" t="str">
        <f>"Matemática"</f>
        <v>Matemática</v>
      </c>
      <c r="AF613" s="14"/>
    </row>
    <row r="614" spans="1:32" x14ac:dyDescent="0.3">
      <c r="A614" s="23" t="s">
        <v>3817</v>
      </c>
      <c r="B614" s="20" t="s">
        <v>16</v>
      </c>
      <c r="C614" s="20" t="s">
        <v>7</v>
      </c>
      <c r="D614" s="20" t="s">
        <v>8</v>
      </c>
      <c r="E614" s="22">
        <v>57</v>
      </c>
      <c r="F614" s="22">
        <v>5</v>
      </c>
      <c r="G614" s="22">
        <v>3</v>
      </c>
      <c r="H614" s="22"/>
      <c r="I614" s="23" t="s">
        <v>9</v>
      </c>
      <c r="J614" s="23"/>
      <c r="K614" s="22"/>
      <c r="L614" s="22"/>
      <c r="M614" s="23"/>
      <c r="N614" s="23"/>
      <c r="O614" s="26" t="s">
        <v>3818</v>
      </c>
      <c r="P614" s="26"/>
      <c r="Q614" s="22"/>
      <c r="R614" s="24"/>
      <c r="S614" s="24"/>
      <c r="T614" s="24"/>
      <c r="U614" s="24"/>
      <c r="V614" s="24"/>
      <c r="W614" s="22" t="s">
        <v>12</v>
      </c>
      <c r="X614" s="4" t="str">
        <f>IF(Tabela2[[#This Row],[sigla]]="","",VLOOKUP(Tabela2[[#This Row],[sigla]],créditos_base!B:C,2,0))</f>
        <v>JORGE ZAIBA/ARQUIVO DA EDITORA</v>
      </c>
      <c r="Y614" s="23"/>
      <c r="Z614" s="23" t="str">
        <f>Tabela2[[#This Row],[ilustrador]]</f>
        <v>JORGE ZAIBA/ARQUIVO DA EDITORA</v>
      </c>
      <c r="AA614" s="22"/>
      <c r="AB614" s="20"/>
      <c r="AD614" s="4" t="str">
        <f>"Pitanguá"</f>
        <v>Pitanguá</v>
      </c>
      <c r="AE614" s="14" t="str">
        <f>"Matemática"</f>
        <v>Matemática</v>
      </c>
      <c r="AF614" s="14"/>
    </row>
    <row r="615" spans="1:32" x14ac:dyDescent="0.3">
      <c r="A615" s="23" t="s">
        <v>281</v>
      </c>
      <c r="B615" s="20" t="s">
        <v>16</v>
      </c>
      <c r="C615" s="20" t="s">
        <v>89</v>
      </c>
      <c r="D615" s="20" t="s">
        <v>8</v>
      </c>
      <c r="E615" s="22">
        <v>63</v>
      </c>
      <c r="F615" s="22">
        <v>1</v>
      </c>
      <c r="G615" s="22">
        <v>3</v>
      </c>
      <c r="H615" s="22"/>
      <c r="I615" s="23" t="s">
        <v>9</v>
      </c>
      <c r="J615" s="23"/>
      <c r="K615" s="22"/>
      <c r="L615" s="22"/>
      <c r="M615" s="23"/>
      <c r="N615" s="23"/>
      <c r="O615" s="26" t="s">
        <v>282</v>
      </c>
      <c r="P615" s="26"/>
      <c r="Q615" s="22"/>
      <c r="R615" s="24"/>
      <c r="S615" s="24"/>
      <c r="T615" s="24"/>
      <c r="U615" s="24"/>
      <c r="V615" s="24"/>
      <c r="W615" s="22" t="s">
        <v>272</v>
      </c>
      <c r="X615" s="4" t="str">
        <f>IF(Tabela2[[#This Row],[sigla]]="","",VLOOKUP(Tabela2[[#This Row],[sigla]],créditos_base!B:C,2,0))</f>
        <v>RAFAEL SILVA/ARQUIVO DA EDITORA</v>
      </c>
      <c r="Y615" s="23"/>
      <c r="Z615" s="23" t="str">
        <f>Tabela2[[#This Row],[ilustrador]]</f>
        <v>RAFAEL SILVA/ARQUIVO DA EDITORA</v>
      </c>
      <c r="AA615" s="22"/>
      <c r="AB615" s="20"/>
      <c r="AD615" s="4" t="str">
        <f>"Pitanguá"</f>
        <v>Pitanguá</v>
      </c>
      <c r="AE615" s="14" t="str">
        <f>"Matemática"</f>
        <v>Matemática</v>
      </c>
      <c r="AF615" s="14"/>
    </row>
    <row r="616" spans="1:32" x14ac:dyDescent="0.3">
      <c r="A616" s="23" t="s">
        <v>1272</v>
      </c>
      <c r="B616" s="20" t="s">
        <v>16</v>
      </c>
      <c r="C616" s="20" t="s">
        <v>89</v>
      </c>
      <c r="D616" s="20" t="s">
        <v>8</v>
      </c>
      <c r="E616" s="22">
        <v>46</v>
      </c>
      <c r="F616" s="22">
        <v>2</v>
      </c>
      <c r="G616" s="22">
        <v>3</v>
      </c>
      <c r="H616" s="22"/>
      <c r="I616" s="23" t="s">
        <v>9</v>
      </c>
      <c r="J616" s="23"/>
      <c r="K616" s="22"/>
      <c r="L616" s="22"/>
      <c r="M616" s="23"/>
      <c r="N616" s="23"/>
      <c r="O616" s="26" t="s">
        <v>1273</v>
      </c>
      <c r="P616" s="26"/>
      <c r="Q616" s="22"/>
      <c r="R616" s="24"/>
      <c r="S616" s="24"/>
      <c r="T616" s="24"/>
      <c r="U616" s="24"/>
      <c r="V616" s="24"/>
      <c r="W616" s="22" t="s">
        <v>468</v>
      </c>
      <c r="X616" s="4" t="str">
        <f>IF(Tabela2[[#This Row],[sigla]]="","",VLOOKUP(Tabela2[[#This Row],[sigla]],créditos_base!B:C,2,0))</f>
        <v>VER DOCUMENTO DE ILS. TÉCNICAS</v>
      </c>
      <c r="Y616" s="23"/>
      <c r="Z616" s="23" t="s">
        <v>661</v>
      </c>
      <c r="AA616" s="22"/>
      <c r="AB616" s="20"/>
      <c r="AD616" s="4" t="str">
        <f>"Pitanguá"</f>
        <v>Pitanguá</v>
      </c>
      <c r="AE616" s="14" t="str">
        <f>"Matemática"</f>
        <v>Matemática</v>
      </c>
      <c r="AF616" s="14"/>
    </row>
    <row r="617" spans="1:32" x14ac:dyDescent="0.3">
      <c r="A617" s="23" t="s">
        <v>1274</v>
      </c>
      <c r="B617" s="20" t="s">
        <v>16</v>
      </c>
      <c r="C617" s="20" t="s">
        <v>89</v>
      </c>
      <c r="D617" s="20" t="s">
        <v>8</v>
      </c>
      <c r="E617" s="22">
        <v>46</v>
      </c>
      <c r="F617" s="22">
        <v>2</v>
      </c>
      <c r="G617" s="22">
        <v>3</v>
      </c>
      <c r="H617" s="22"/>
      <c r="I617" s="23" t="s">
        <v>9</v>
      </c>
      <c r="J617" s="23"/>
      <c r="K617" s="22"/>
      <c r="L617" s="22"/>
      <c r="M617" s="23"/>
      <c r="N617" s="23"/>
      <c r="O617" s="26" t="s">
        <v>1275</v>
      </c>
      <c r="P617" s="26"/>
      <c r="Q617" s="22"/>
      <c r="R617" s="24"/>
      <c r="S617" s="24"/>
      <c r="T617" s="24"/>
      <c r="U617" s="24"/>
      <c r="V617" s="24"/>
      <c r="W617" s="22" t="s">
        <v>468</v>
      </c>
      <c r="X617" s="4" t="str">
        <f>IF(Tabela2[[#This Row],[sigla]]="","",VLOOKUP(Tabela2[[#This Row],[sigla]],créditos_base!B:C,2,0))</f>
        <v>VER DOCUMENTO DE ILS. TÉCNICAS</v>
      </c>
      <c r="Y617" s="23"/>
      <c r="Z617" s="23" t="s">
        <v>661</v>
      </c>
      <c r="AA617" s="22"/>
      <c r="AB617" s="20"/>
      <c r="AD617" s="4" t="str">
        <f>"Pitanguá"</f>
        <v>Pitanguá</v>
      </c>
      <c r="AE617" s="14" t="str">
        <f>"Matemática"</f>
        <v>Matemática</v>
      </c>
      <c r="AF617" s="14"/>
    </row>
    <row r="618" spans="1:32" x14ac:dyDescent="0.3">
      <c r="A618" s="23" t="s">
        <v>283</v>
      </c>
      <c r="B618" s="20" t="s">
        <v>16</v>
      </c>
      <c r="C618" s="20" t="s">
        <v>89</v>
      </c>
      <c r="D618" s="20" t="s">
        <v>8</v>
      </c>
      <c r="E618" s="22">
        <v>64</v>
      </c>
      <c r="F618" s="22">
        <v>1</v>
      </c>
      <c r="G618" s="22">
        <v>3</v>
      </c>
      <c r="H618" s="22"/>
      <c r="I618" s="23" t="s">
        <v>9</v>
      </c>
      <c r="J618" s="23"/>
      <c r="K618" s="22"/>
      <c r="L618" s="22"/>
      <c r="M618" s="23"/>
      <c r="N618" s="23"/>
      <c r="O618" s="26" t="s">
        <v>284</v>
      </c>
      <c r="P618" s="26"/>
      <c r="Q618" s="22"/>
      <c r="R618" s="24"/>
      <c r="S618" s="24"/>
      <c r="T618" s="24"/>
      <c r="U618" s="24"/>
      <c r="V618" s="24"/>
      <c r="W618" s="22" t="s">
        <v>230</v>
      </c>
      <c r="X618" s="4" t="str">
        <f>IF(Tabela2[[#This Row],[sigla]]="","",VLOOKUP(Tabela2[[#This Row],[sigla]],créditos_base!B:C,2,0))</f>
        <v>RAFAEL L. GAION/ARQUIVO DA EDITORA</v>
      </c>
      <c r="Y618" s="23"/>
      <c r="Z618" s="23" t="str">
        <f>Tabela2[[#This Row],[ilustrador]]</f>
        <v>RAFAEL L. GAION/ARQUIVO DA EDITORA</v>
      </c>
      <c r="AA618" s="22"/>
      <c r="AB618" s="20"/>
      <c r="AD618" s="4" t="str">
        <f>"Pitanguá"</f>
        <v>Pitanguá</v>
      </c>
      <c r="AE618" s="14" t="str">
        <f>"Matemática"</f>
        <v>Matemática</v>
      </c>
      <c r="AF618" s="14"/>
    </row>
    <row r="619" spans="1:32" x14ac:dyDescent="0.3">
      <c r="A619" s="23" t="s">
        <v>1276</v>
      </c>
      <c r="B619" s="20" t="s">
        <v>16</v>
      </c>
      <c r="C619" s="20" t="s">
        <v>89</v>
      </c>
      <c r="D619" s="20" t="s">
        <v>8</v>
      </c>
      <c r="E619" s="22">
        <v>47</v>
      </c>
      <c r="F619" s="22">
        <v>2</v>
      </c>
      <c r="G619" s="22">
        <v>3</v>
      </c>
      <c r="H619" s="22"/>
      <c r="I619" s="23" t="s">
        <v>9</v>
      </c>
      <c r="J619" s="23"/>
      <c r="K619" s="22"/>
      <c r="L619" s="22"/>
      <c r="M619" s="23"/>
      <c r="N619" s="23"/>
      <c r="O619" s="26" t="s">
        <v>1277</v>
      </c>
      <c r="P619" s="26"/>
      <c r="Q619" s="22"/>
      <c r="R619" s="24"/>
      <c r="S619" s="24"/>
      <c r="T619" s="24"/>
      <c r="U619" s="24"/>
      <c r="V619" s="24"/>
      <c r="W619" s="22" t="s">
        <v>468</v>
      </c>
      <c r="X619" s="4" t="str">
        <f>IF(Tabela2[[#This Row],[sigla]]="","",VLOOKUP(Tabela2[[#This Row],[sigla]],créditos_base!B:C,2,0))</f>
        <v>VER DOCUMENTO DE ILS. TÉCNICAS</v>
      </c>
      <c r="Y619" s="23"/>
      <c r="Z619" s="23" t="s">
        <v>661</v>
      </c>
      <c r="AA619" s="22"/>
      <c r="AB619" s="20"/>
      <c r="AD619" s="4" t="str">
        <f>"Pitanguá"</f>
        <v>Pitanguá</v>
      </c>
      <c r="AE619" s="14" t="str">
        <f>"Matemática"</f>
        <v>Matemática</v>
      </c>
      <c r="AF619" s="14"/>
    </row>
    <row r="620" spans="1:32" x14ac:dyDescent="0.3">
      <c r="A620" s="23" t="s">
        <v>3823</v>
      </c>
      <c r="B620" s="20" t="s">
        <v>6</v>
      </c>
      <c r="C620" s="20" t="s">
        <v>7</v>
      </c>
      <c r="D620" s="20" t="s">
        <v>8</v>
      </c>
      <c r="E620" s="22">
        <v>103</v>
      </c>
      <c r="F620" s="22">
        <v>5</v>
      </c>
      <c r="G620" s="22">
        <v>3</v>
      </c>
      <c r="H620" s="22"/>
      <c r="I620" s="23" t="s">
        <v>9</v>
      </c>
      <c r="J620" s="23"/>
      <c r="K620" s="22"/>
      <c r="L620" s="22"/>
      <c r="M620" s="23"/>
      <c r="N620" s="23"/>
      <c r="O620" s="20" t="s">
        <v>3824</v>
      </c>
      <c r="P620" s="26"/>
      <c r="Q620" s="22"/>
      <c r="R620" s="24"/>
      <c r="S620" s="24"/>
      <c r="T620" s="24"/>
      <c r="U620" s="24"/>
      <c r="V620" s="24"/>
      <c r="W620" s="22" t="s">
        <v>327</v>
      </c>
      <c r="X620" s="4" t="str">
        <f>IF(Tabela2[[#This Row],[sigla]]="","",VLOOKUP(Tabela2[[#This Row],[sigla]],créditos_base!B:C,2,0))</f>
        <v>RAFAEL LAM/ARQUIVO DA EDITORA</v>
      </c>
      <c r="Y620" s="23"/>
      <c r="Z620" s="23" t="str">
        <f>Tabela2[[#This Row],[ilustrador]]</f>
        <v>RAFAEL LAM/ARQUIVO DA EDITORA</v>
      </c>
      <c r="AA620" s="22"/>
      <c r="AB620" s="20"/>
      <c r="AD620" s="4" t="str">
        <f>"Pitanguá"</f>
        <v>Pitanguá</v>
      </c>
      <c r="AE620" s="14" t="str">
        <f>"Matemática"</f>
        <v>Matemática</v>
      </c>
      <c r="AF620" s="14"/>
    </row>
    <row r="621" spans="1:32" x14ac:dyDescent="0.3">
      <c r="A621" s="23" t="s">
        <v>285</v>
      </c>
      <c r="B621" s="20" t="s">
        <v>16</v>
      </c>
      <c r="C621" s="20" t="s">
        <v>7</v>
      </c>
      <c r="D621" s="20" t="s">
        <v>8</v>
      </c>
      <c r="E621" s="22">
        <v>65</v>
      </c>
      <c r="F621" s="22">
        <v>1</v>
      </c>
      <c r="G621" s="22">
        <v>3</v>
      </c>
      <c r="H621" s="22"/>
      <c r="I621" s="23" t="s">
        <v>9</v>
      </c>
      <c r="J621" s="23"/>
      <c r="K621" s="22"/>
      <c r="L621" s="22"/>
      <c r="M621" s="23"/>
      <c r="N621" s="23"/>
      <c r="O621" s="26" t="s">
        <v>286</v>
      </c>
      <c r="P621" s="26"/>
      <c r="Q621" s="22"/>
      <c r="R621" s="24"/>
      <c r="S621" s="24"/>
      <c r="T621" s="24"/>
      <c r="U621" s="24"/>
      <c r="V621" s="24"/>
      <c r="W621" s="22" t="s">
        <v>20</v>
      </c>
      <c r="X621" s="4" t="str">
        <f>IF(Tabela2[[#This Row],[sigla]]="","",VLOOKUP(Tabela2[[#This Row],[sigla]],créditos_base!B:C,2,0))</f>
        <v>SONIA HORN/ARQUIVO DA EDITORA</v>
      </c>
      <c r="Y621" s="23"/>
      <c r="Z621" s="23" t="str">
        <f>Tabela2[[#This Row],[ilustrador]]</f>
        <v>SONIA HORN/ARQUIVO DA EDITORA</v>
      </c>
      <c r="AA621" s="22"/>
      <c r="AB621" s="20"/>
      <c r="AD621" s="4" t="str">
        <f>"Pitanguá"</f>
        <v>Pitanguá</v>
      </c>
      <c r="AE621" s="14" t="str">
        <f>"Matemática"</f>
        <v>Matemática</v>
      </c>
      <c r="AF621" s="14"/>
    </row>
    <row r="622" spans="1:32" x14ac:dyDescent="0.3">
      <c r="A622" s="23" t="s">
        <v>1278</v>
      </c>
      <c r="B622" s="20" t="s">
        <v>16</v>
      </c>
      <c r="C622" s="20" t="s">
        <v>89</v>
      </c>
      <c r="D622" s="20" t="s">
        <v>8</v>
      </c>
      <c r="E622" s="22">
        <v>47</v>
      </c>
      <c r="F622" s="22">
        <v>2</v>
      </c>
      <c r="G622" s="22">
        <v>3</v>
      </c>
      <c r="H622" s="22"/>
      <c r="I622" s="23" t="s">
        <v>9</v>
      </c>
      <c r="J622" s="23"/>
      <c r="K622" s="22"/>
      <c r="L622" s="22"/>
      <c r="M622" s="23"/>
      <c r="N622" s="23"/>
      <c r="O622" s="26" t="s">
        <v>1279</v>
      </c>
      <c r="P622" s="26"/>
      <c r="Q622" s="22"/>
      <c r="R622" s="24"/>
      <c r="S622" s="24"/>
      <c r="T622" s="24"/>
      <c r="U622" s="24"/>
      <c r="V622" s="24"/>
      <c r="W622" s="22" t="s">
        <v>940</v>
      </c>
      <c r="X622" s="4" t="str">
        <f>IF(Tabela2[[#This Row],[sigla]]="","",VLOOKUP(Tabela2[[#This Row],[sigla]],créditos_base!B:C,2,0))</f>
        <v>RONALDO LUCENA/ARQUIVO DA EDITORA</v>
      </c>
      <c r="Y622" s="23"/>
      <c r="Z622" s="23" t="str">
        <f>Tabela2[[#This Row],[ilustrador]]</f>
        <v>RONALDO LUCENA/ARQUIVO DA EDITORA</v>
      </c>
      <c r="AA622" s="22"/>
      <c r="AB622" s="20"/>
      <c r="AD622" s="4" t="str">
        <f>"Pitanguá"</f>
        <v>Pitanguá</v>
      </c>
      <c r="AE622" s="14" t="str">
        <f>"Matemática"</f>
        <v>Matemática</v>
      </c>
      <c r="AF622" s="14"/>
    </row>
    <row r="623" spans="1:32" x14ac:dyDescent="0.3">
      <c r="A623" s="23" t="s">
        <v>1952</v>
      </c>
      <c r="B623" s="20" t="s">
        <v>16</v>
      </c>
      <c r="C623" s="20" t="s">
        <v>7</v>
      </c>
      <c r="D623" s="20" t="s">
        <v>8</v>
      </c>
      <c r="E623" s="22">
        <v>52</v>
      </c>
      <c r="F623" s="22">
        <v>3</v>
      </c>
      <c r="G623" s="22">
        <v>3</v>
      </c>
      <c r="H623" s="22"/>
      <c r="I623" s="23" t="s">
        <v>9</v>
      </c>
      <c r="J623" s="23"/>
      <c r="K623" s="22"/>
      <c r="L623" s="22"/>
      <c r="M623" s="23"/>
      <c r="N623" s="23"/>
      <c r="O623" s="26" t="s">
        <v>1953</v>
      </c>
      <c r="P623" s="26"/>
      <c r="Q623" s="22"/>
      <c r="R623" s="24"/>
      <c r="S623" s="24"/>
      <c r="T623" s="24"/>
      <c r="U623" s="24"/>
      <c r="V623" s="24"/>
      <c r="W623" s="22" t="s">
        <v>20</v>
      </c>
      <c r="X623" s="4" t="str">
        <f>IF(Tabela2[[#This Row],[sigla]]="","",VLOOKUP(Tabela2[[#This Row],[sigla]],créditos_base!B:C,2,0))</f>
        <v>SONIA HORN/ARQUIVO DA EDITORA</v>
      </c>
      <c r="Y623" s="23"/>
      <c r="Z623" s="23" t="str">
        <f>Tabela2[[#This Row],[ilustrador]]</f>
        <v>SONIA HORN/ARQUIVO DA EDITORA</v>
      </c>
      <c r="AA623" s="22"/>
      <c r="AB623" s="20"/>
      <c r="AD623" s="4" t="str">
        <f>"Pitanguá"</f>
        <v>Pitanguá</v>
      </c>
      <c r="AE623" s="14" t="str">
        <f>"Matemática"</f>
        <v>Matemática</v>
      </c>
      <c r="AF623" s="14"/>
    </row>
    <row r="624" spans="1:32" x14ac:dyDescent="0.3">
      <c r="A624" s="23" t="s">
        <v>2933</v>
      </c>
      <c r="B624" s="20" t="s">
        <v>135</v>
      </c>
      <c r="C624" s="20" t="s">
        <v>7</v>
      </c>
      <c r="D624" s="20" t="s">
        <v>8</v>
      </c>
      <c r="E624" s="22">
        <v>32</v>
      </c>
      <c r="F624" s="22">
        <v>4</v>
      </c>
      <c r="G624" s="22">
        <v>2</v>
      </c>
      <c r="H624" s="22"/>
      <c r="I624" s="23" t="s">
        <v>9</v>
      </c>
      <c r="J624" s="23"/>
      <c r="K624" s="22"/>
      <c r="L624" s="22"/>
      <c r="M624" s="23"/>
      <c r="N624" s="23"/>
      <c r="O624" s="26" t="s">
        <v>2934</v>
      </c>
      <c r="P624" s="26"/>
      <c r="Q624" s="22"/>
      <c r="R624" s="24"/>
      <c r="S624" s="24"/>
      <c r="T624" s="24"/>
      <c r="U624" s="24"/>
      <c r="V624" s="24"/>
      <c r="W624" s="22" t="s">
        <v>31</v>
      </c>
      <c r="X624" s="4" t="str">
        <f>IF(Tabela2[[#This Row],[sigla]]="","",VLOOKUP(Tabela2[[#This Row],[sigla]],créditos_base!B:C,2,0))</f>
        <v>SILVIA OTOFUJI/ARQUIVO DA EDITORA</v>
      </c>
      <c r="Y624" s="23"/>
      <c r="Z624" s="23" t="str">
        <f>Tabela2[[#This Row],[ilustrador]]</f>
        <v>SILVIA OTOFUJI/ARQUIVO DA EDITORA</v>
      </c>
      <c r="AA624" s="22"/>
      <c r="AB624" s="20"/>
      <c r="AD624" s="4" t="str">
        <f>"Pitanguá"</f>
        <v>Pitanguá</v>
      </c>
      <c r="AE624" s="14" t="str">
        <f>"Matemática"</f>
        <v>Matemática</v>
      </c>
      <c r="AF624" s="14"/>
    </row>
    <row r="625" spans="1:32" x14ac:dyDescent="0.3">
      <c r="A625" s="23" t="s">
        <v>287</v>
      </c>
      <c r="B625" s="20" t="s">
        <v>16</v>
      </c>
      <c r="C625" s="20" t="s">
        <v>7</v>
      </c>
      <c r="D625" s="20" t="s">
        <v>8</v>
      </c>
      <c r="E625" s="22">
        <v>65</v>
      </c>
      <c r="F625" s="22">
        <v>1</v>
      </c>
      <c r="G625" s="22">
        <v>3</v>
      </c>
      <c r="H625" s="22"/>
      <c r="I625" s="23" t="s">
        <v>9</v>
      </c>
      <c r="J625" s="23"/>
      <c r="K625" s="22"/>
      <c r="L625" s="22"/>
      <c r="M625" s="23"/>
      <c r="N625" s="23"/>
      <c r="O625" s="26" t="s">
        <v>288</v>
      </c>
      <c r="P625" s="26"/>
      <c r="Q625" s="22"/>
      <c r="R625" s="24"/>
      <c r="S625" s="24"/>
      <c r="T625" s="24"/>
      <c r="U625" s="24"/>
      <c r="V625" s="24"/>
      <c r="W625" s="22" t="s">
        <v>20</v>
      </c>
      <c r="X625" s="4" t="str">
        <f>IF(Tabela2[[#This Row],[sigla]]="","",VLOOKUP(Tabela2[[#This Row],[sigla]],créditos_base!B:C,2,0))</f>
        <v>SONIA HORN/ARQUIVO DA EDITORA</v>
      </c>
      <c r="Y625" s="23"/>
      <c r="Z625" s="23" t="str">
        <f>Tabela2[[#This Row],[ilustrador]]</f>
        <v>SONIA HORN/ARQUIVO DA EDITORA</v>
      </c>
      <c r="AA625" s="22"/>
      <c r="AB625" s="20"/>
      <c r="AD625" s="4" t="str">
        <f>"Pitanguá"</f>
        <v>Pitanguá</v>
      </c>
      <c r="AE625" s="14" t="str">
        <f>"Matemática"</f>
        <v>Matemática</v>
      </c>
      <c r="AF625" s="14"/>
    </row>
    <row r="626" spans="1:32" ht="43.2" x14ac:dyDescent="0.3">
      <c r="A626" s="23" t="s">
        <v>1280</v>
      </c>
      <c r="B626" s="20" t="s">
        <v>6</v>
      </c>
      <c r="C626" s="20" t="s">
        <v>89</v>
      </c>
      <c r="D626" s="20" t="s">
        <v>8</v>
      </c>
      <c r="E626" s="22">
        <v>49</v>
      </c>
      <c r="F626" s="22">
        <v>2</v>
      </c>
      <c r="G626" s="22">
        <v>3</v>
      </c>
      <c r="H626" s="22"/>
      <c r="I626" s="23" t="s">
        <v>9</v>
      </c>
      <c r="J626" s="23"/>
      <c r="K626" s="22"/>
      <c r="L626" s="22"/>
      <c r="M626" s="23"/>
      <c r="N626" s="23"/>
      <c r="O626" s="26" t="s">
        <v>1281</v>
      </c>
      <c r="P626" s="26" t="s">
        <v>11</v>
      </c>
      <c r="Q626" s="22"/>
      <c r="R626" s="24"/>
      <c r="S626" s="24"/>
      <c r="T626" s="24"/>
      <c r="U626" s="24"/>
      <c r="V626" s="24"/>
      <c r="W626" s="22" t="s">
        <v>425</v>
      </c>
      <c r="X626" s="4" t="str">
        <f>IF(Tabela2[[#This Row],[sigla]]="","",VLOOKUP(Tabela2[[#This Row],[sigla]],créditos_base!B:C,2,0))</f>
        <v>BÁRBARA SARZI/ARQUIVO DA EDITORA</v>
      </c>
      <c r="Y626" s="23"/>
      <c r="Z626" s="23" t="str">
        <f>Tabela2[[#This Row],[ilustrador]]</f>
        <v>BÁRBARA SARZI/ARQUIVO DA EDITORA</v>
      </c>
      <c r="AA626" s="22"/>
      <c r="AB626" s="20"/>
      <c r="AD626" s="4" t="str">
        <f>"Pitanguá"</f>
        <v>Pitanguá</v>
      </c>
      <c r="AE626" s="14" t="str">
        <f>"Matemática"</f>
        <v>Matemática</v>
      </c>
      <c r="AF626" s="14"/>
    </row>
    <row r="627" spans="1:32" ht="43.2" x14ac:dyDescent="0.3">
      <c r="A627" s="23" t="s">
        <v>1954</v>
      </c>
      <c r="B627" s="20" t="s">
        <v>6</v>
      </c>
      <c r="C627" s="20" t="s">
        <v>7</v>
      </c>
      <c r="D627" s="20" t="s">
        <v>8</v>
      </c>
      <c r="E627" s="22">
        <v>53</v>
      </c>
      <c r="F627" s="22">
        <v>3</v>
      </c>
      <c r="G627" s="22">
        <v>3</v>
      </c>
      <c r="H627" s="22"/>
      <c r="I627" s="23" t="s">
        <v>9</v>
      </c>
      <c r="J627" s="23"/>
      <c r="K627" s="22"/>
      <c r="L627" s="22"/>
      <c r="M627" s="23"/>
      <c r="N627" s="23"/>
      <c r="O627" s="26" t="s">
        <v>1955</v>
      </c>
      <c r="P627" s="26" t="s">
        <v>11</v>
      </c>
      <c r="Q627" s="22"/>
      <c r="R627" s="24"/>
      <c r="S627" s="24"/>
      <c r="T627" s="24"/>
      <c r="U627" s="24"/>
      <c r="V627" s="24"/>
      <c r="W627" s="22" t="s">
        <v>468</v>
      </c>
      <c r="X627" s="4" t="str">
        <f>IF(Tabela2[[#This Row],[sigla]]="","",VLOOKUP(Tabela2[[#This Row],[sigla]],créditos_base!B:C,2,0))</f>
        <v>VER DOCUMENTO DE ILS. TÉCNICAS</v>
      </c>
      <c r="Y627" s="23"/>
      <c r="Z627" s="23" t="str">
        <f>Tabela2[[#This Row],[ilustrador]]</f>
        <v>VER DOCUMENTO DE ILS. TÉCNICAS</v>
      </c>
      <c r="AA627" s="22"/>
      <c r="AB627" s="20"/>
      <c r="AD627" s="4" t="str">
        <f>"Pitanguá"</f>
        <v>Pitanguá</v>
      </c>
      <c r="AE627" s="14" t="str">
        <f>"Matemática"</f>
        <v>Matemática</v>
      </c>
      <c r="AF627" s="14"/>
    </row>
    <row r="628" spans="1:32" ht="43.2" x14ac:dyDescent="0.3">
      <c r="A628" s="23" t="s">
        <v>2935</v>
      </c>
      <c r="B628" s="20" t="s">
        <v>6</v>
      </c>
      <c r="C628" s="20" t="s">
        <v>7</v>
      </c>
      <c r="D628" s="20" t="s">
        <v>8</v>
      </c>
      <c r="E628" s="22">
        <v>32</v>
      </c>
      <c r="F628" s="22">
        <v>4</v>
      </c>
      <c r="G628" s="22">
        <v>2</v>
      </c>
      <c r="H628" s="22"/>
      <c r="I628" s="23" t="s">
        <v>33</v>
      </c>
      <c r="J628" s="23"/>
      <c r="K628" s="22"/>
      <c r="L628" s="22"/>
      <c r="M628" s="23"/>
      <c r="N628" s="23"/>
      <c r="O628" s="26" t="s">
        <v>2936</v>
      </c>
      <c r="P628" s="26"/>
      <c r="Q628" s="22">
        <v>42</v>
      </c>
      <c r="R628" s="24">
        <v>45787</v>
      </c>
      <c r="S628" s="24">
        <v>45787</v>
      </c>
      <c r="T628" s="24"/>
      <c r="U628" s="24"/>
      <c r="V628" s="24">
        <v>45791</v>
      </c>
      <c r="W628" s="22" t="s">
        <v>31</v>
      </c>
      <c r="X628" s="4" t="str">
        <f>IF(Tabela2[[#This Row],[sigla]]="","",VLOOKUP(Tabela2[[#This Row],[sigla]],créditos_base!B:C,2,0))</f>
        <v>SILVIA OTOFUJI/ARQUIVO DA EDITORA</v>
      </c>
      <c r="Y628" s="23" t="s">
        <v>13</v>
      </c>
      <c r="Z628" s="23" t="str">
        <f>Tabela2[[#This Row],[ilustrador]]</f>
        <v>SILVIA OTOFUJI/ARQUIVO DA EDITORA</v>
      </c>
      <c r="AA628" s="22">
        <v>14</v>
      </c>
      <c r="AB628" s="20" t="s">
        <v>153</v>
      </c>
      <c r="AC628" s="20" t="s">
        <v>36</v>
      </c>
      <c r="AD628" s="4" t="str">
        <f>"Pitanguá"</f>
        <v>Pitanguá</v>
      </c>
      <c r="AE628" s="14" t="str">
        <f>"Matemática"</f>
        <v>Matemática</v>
      </c>
      <c r="AF628" s="14"/>
    </row>
    <row r="629" spans="1:32" x14ac:dyDescent="0.3">
      <c r="A629" s="23" t="s">
        <v>289</v>
      </c>
      <c r="B629" s="20" t="s">
        <v>16</v>
      </c>
      <c r="C629" s="20" t="s">
        <v>89</v>
      </c>
      <c r="D629" s="20" t="s">
        <v>8</v>
      </c>
      <c r="E629" s="22">
        <v>66</v>
      </c>
      <c r="F629" s="22">
        <v>1</v>
      </c>
      <c r="G629" s="22">
        <v>3</v>
      </c>
      <c r="H629" s="22"/>
      <c r="I629" s="23" t="s">
        <v>9</v>
      </c>
      <c r="J629" s="23"/>
      <c r="K629" s="22"/>
      <c r="L629" s="22"/>
      <c r="M629" s="23"/>
      <c r="N629" s="23"/>
      <c r="O629" s="26" t="s">
        <v>290</v>
      </c>
      <c r="P629" s="26"/>
      <c r="Q629" s="22"/>
      <c r="R629" s="24"/>
      <c r="S629" s="24"/>
      <c r="T629" s="24"/>
      <c r="U629" s="24"/>
      <c r="V629" s="24"/>
      <c r="W629" s="22" t="s">
        <v>230</v>
      </c>
      <c r="X629" s="4" t="str">
        <f>IF(Tabela2[[#This Row],[sigla]]="","",VLOOKUP(Tabela2[[#This Row],[sigla]],créditos_base!B:C,2,0))</f>
        <v>RAFAEL L. GAION/ARQUIVO DA EDITORA</v>
      </c>
      <c r="Y629" s="23"/>
      <c r="Z629" s="23" t="str">
        <f>Tabela2[[#This Row],[ilustrador]]</f>
        <v>RAFAEL L. GAION/ARQUIVO DA EDITORA</v>
      </c>
      <c r="AA629" s="22"/>
      <c r="AB629" s="20"/>
      <c r="AD629" s="4" t="str">
        <f>"Pitanguá"</f>
        <v>Pitanguá</v>
      </c>
      <c r="AE629" s="14" t="str">
        <f>"Matemática"</f>
        <v>Matemática</v>
      </c>
      <c r="AF629" s="14"/>
    </row>
    <row r="630" spans="1:32" x14ac:dyDescent="0.3">
      <c r="A630" s="23" t="s">
        <v>1282</v>
      </c>
      <c r="B630" s="20" t="s">
        <v>6</v>
      </c>
      <c r="C630" s="20" t="s">
        <v>89</v>
      </c>
      <c r="D630" s="20" t="s">
        <v>8</v>
      </c>
      <c r="E630" s="22">
        <v>49</v>
      </c>
      <c r="F630" s="22">
        <v>2</v>
      </c>
      <c r="G630" s="22">
        <v>3</v>
      </c>
      <c r="H630" s="22"/>
      <c r="I630" s="23" t="s">
        <v>9</v>
      </c>
      <c r="J630" s="23"/>
      <c r="K630" s="22"/>
      <c r="L630" s="22"/>
      <c r="M630" s="23"/>
      <c r="N630" s="23"/>
      <c r="O630" s="26" t="s">
        <v>1283</v>
      </c>
      <c r="P630" s="26" t="s">
        <v>11</v>
      </c>
      <c r="Q630" s="22"/>
      <c r="R630" s="24"/>
      <c r="S630" s="24"/>
      <c r="T630" s="24"/>
      <c r="U630" s="24"/>
      <c r="V630" s="24"/>
      <c r="W630" s="22" t="s">
        <v>425</v>
      </c>
      <c r="X630" s="4" t="str">
        <f>IF(Tabela2[[#This Row],[sigla]]="","",VLOOKUP(Tabela2[[#This Row],[sigla]],créditos_base!B:C,2,0))</f>
        <v>BÁRBARA SARZI/ARQUIVO DA EDITORA</v>
      </c>
      <c r="Y630" s="23"/>
      <c r="Z630" s="23" t="str">
        <f>Tabela2[[#This Row],[ilustrador]]</f>
        <v>BÁRBARA SARZI/ARQUIVO DA EDITORA</v>
      </c>
      <c r="AA630" s="22"/>
      <c r="AB630" s="20"/>
      <c r="AD630" s="4" t="str">
        <f>"Pitanguá"</f>
        <v>Pitanguá</v>
      </c>
      <c r="AE630" s="14" t="str">
        <f>"Matemática"</f>
        <v>Matemática</v>
      </c>
      <c r="AF630" s="14"/>
    </row>
    <row r="631" spans="1:32" x14ac:dyDescent="0.3">
      <c r="A631" s="23" t="s">
        <v>1956</v>
      </c>
      <c r="B631" s="20" t="s">
        <v>6</v>
      </c>
      <c r="C631" s="20" t="s">
        <v>89</v>
      </c>
      <c r="D631" s="20" t="s">
        <v>8</v>
      </c>
      <c r="E631" s="22">
        <v>53</v>
      </c>
      <c r="F631" s="22">
        <v>3</v>
      </c>
      <c r="G631" s="22">
        <v>3</v>
      </c>
      <c r="H631" s="22"/>
      <c r="I631" s="23" t="s">
        <v>9</v>
      </c>
      <c r="J631" s="23"/>
      <c r="K631" s="22"/>
      <c r="L631" s="22"/>
      <c r="M631" s="23"/>
      <c r="N631" s="23"/>
      <c r="O631" s="26" t="s">
        <v>1957</v>
      </c>
      <c r="P631" s="26"/>
      <c r="Q631" s="22"/>
      <c r="R631" s="24"/>
      <c r="S631" s="24"/>
      <c r="T631" s="24"/>
      <c r="U631" s="24"/>
      <c r="V631" s="24"/>
      <c r="W631" s="22"/>
      <c r="X631" s="4" t="str">
        <f>IF(Tabela2[[#This Row],[sigla]]="","",VLOOKUP(Tabela2[[#This Row],[sigla]],créditos_base!B:C,2,0))</f>
        <v/>
      </c>
      <c r="Y631" s="23"/>
      <c r="Z631" s="23" t="s">
        <v>469</v>
      </c>
      <c r="AA631" s="22"/>
      <c r="AB631" s="20"/>
      <c r="AD631" s="4" t="str">
        <f>"Pitanguá"</f>
        <v>Pitanguá</v>
      </c>
      <c r="AE631" s="14" t="str">
        <f>"Matemática"</f>
        <v>Matemática</v>
      </c>
      <c r="AF631" s="14"/>
    </row>
    <row r="632" spans="1:32" x14ac:dyDescent="0.3">
      <c r="A632" s="23" t="s">
        <v>291</v>
      </c>
      <c r="B632" s="20" t="s">
        <v>16</v>
      </c>
      <c r="C632" s="20" t="s">
        <v>89</v>
      </c>
      <c r="D632" s="20" t="s">
        <v>8</v>
      </c>
      <c r="E632" s="22">
        <v>66</v>
      </c>
      <c r="F632" s="22">
        <v>1</v>
      </c>
      <c r="G632" s="22">
        <v>3</v>
      </c>
      <c r="H632" s="22"/>
      <c r="I632" s="23" t="s">
        <v>9</v>
      </c>
      <c r="J632" s="23"/>
      <c r="K632" s="22"/>
      <c r="L632" s="22"/>
      <c r="M632" s="23"/>
      <c r="N632" s="23"/>
      <c r="O632" s="26" t="s">
        <v>292</v>
      </c>
      <c r="P632" s="26"/>
      <c r="Q632" s="22"/>
      <c r="R632" s="24"/>
      <c r="S632" s="24">
        <v>45744</v>
      </c>
      <c r="T632" s="24"/>
      <c r="U632" s="24"/>
      <c r="V632" s="24">
        <v>45744</v>
      </c>
      <c r="W632" s="22" t="s">
        <v>230</v>
      </c>
      <c r="X632" s="4" t="str">
        <f>IF(Tabela2[[#This Row],[sigla]]="","",VLOOKUP(Tabela2[[#This Row],[sigla]],créditos_base!B:C,2,0))</f>
        <v>RAFAEL L. GAION/ARQUIVO DA EDITORA</v>
      </c>
      <c r="Y632" s="23" t="s">
        <v>152</v>
      </c>
      <c r="Z632" s="23" t="str">
        <f>Tabela2[[#This Row],[ilustrador]]</f>
        <v>RAFAEL L. GAION/ARQUIVO DA EDITORA</v>
      </c>
      <c r="AA632" s="22">
        <v>14</v>
      </c>
      <c r="AB632" s="20" t="s">
        <v>244</v>
      </c>
      <c r="AC632" s="20" t="s">
        <v>36</v>
      </c>
      <c r="AD632" s="4" t="str">
        <f>"Pitanguá"</f>
        <v>Pitanguá</v>
      </c>
      <c r="AE632" s="14" t="str">
        <f>"Matemática"</f>
        <v>Matemática</v>
      </c>
      <c r="AF632" s="14"/>
    </row>
    <row r="633" spans="1:32" ht="28.8" x14ac:dyDescent="0.3">
      <c r="A633" s="23" t="s">
        <v>1284</v>
      </c>
      <c r="B633" s="20" t="s">
        <v>6</v>
      </c>
      <c r="C633" s="20" t="s">
        <v>89</v>
      </c>
      <c r="D633" s="20" t="s">
        <v>8</v>
      </c>
      <c r="E633" s="22">
        <v>49</v>
      </c>
      <c r="F633" s="22">
        <v>2</v>
      </c>
      <c r="G633" s="22">
        <v>3</v>
      </c>
      <c r="H633" s="22"/>
      <c r="I633" s="23" t="s">
        <v>33</v>
      </c>
      <c r="J633" s="23"/>
      <c r="K633" s="22"/>
      <c r="L633" s="22"/>
      <c r="M633" s="23"/>
      <c r="N633" s="23"/>
      <c r="O633" s="26" t="s">
        <v>1285</v>
      </c>
      <c r="P633" s="26" t="s">
        <v>11</v>
      </c>
      <c r="Q633" s="22">
        <v>15</v>
      </c>
      <c r="R633" s="24">
        <v>45744</v>
      </c>
      <c r="S633" s="24">
        <v>45744</v>
      </c>
      <c r="T633" s="24"/>
      <c r="U633" s="24"/>
      <c r="V633" s="24">
        <v>45744</v>
      </c>
      <c r="W633" s="22" t="s">
        <v>425</v>
      </c>
      <c r="X633" s="4" t="str">
        <f>IF(Tabela2[[#This Row],[sigla]]="","",VLOOKUP(Tabela2[[#This Row],[sigla]],créditos_base!B:C,2,0))</f>
        <v>BÁRBARA SARZI/ARQUIVO DA EDITORA</v>
      </c>
      <c r="Y633" s="23" t="s">
        <v>152</v>
      </c>
      <c r="Z633" s="23" t="str">
        <f>Tabela2[[#This Row],[ilustrador]]</f>
        <v>BÁRBARA SARZI/ARQUIVO DA EDITORA</v>
      </c>
      <c r="AA633" s="22">
        <v>13</v>
      </c>
      <c r="AB633" s="20" t="s">
        <v>153</v>
      </c>
      <c r="AC633" s="20" t="s">
        <v>36</v>
      </c>
      <c r="AD633" s="4" t="str">
        <f>"Pitanguá"</f>
        <v>Pitanguá</v>
      </c>
      <c r="AE633" s="14" t="str">
        <f>"Matemática"</f>
        <v>Matemática</v>
      </c>
      <c r="AF633" s="14"/>
    </row>
    <row r="634" spans="1:32" ht="28.8" x14ac:dyDescent="0.3">
      <c r="A634" s="23" t="s">
        <v>1958</v>
      </c>
      <c r="B634" s="20" t="s">
        <v>6</v>
      </c>
      <c r="C634" s="20" t="s">
        <v>89</v>
      </c>
      <c r="D634" s="20" t="s">
        <v>8</v>
      </c>
      <c r="E634" s="22">
        <v>53</v>
      </c>
      <c r="F634" s="22">
        <v>3</v>
      </c>
      <c r="G634" s="22">
        <v>3</v>
      </c>
      <c r="H634" s="22"/>
      <c r="I634" s="23" t="s">
        <v>9</v>
      </c>
      <c r="J634" s="23"/>
      <c r="K634" s="22"/>
      <c r="L634" s="22"/>
      <c r="M634" s="23"/>
      <c r="N634" s="23"/>
      <c r="O634" s="26" t="s">
        <v>1959</v>
      </c>
      <c r="P634" s="26"/>
      <c r="Q634" s="22"/>
      <c r="R634" s="24"/>
      <c r="S634" s="24"/>
      <c r="T634" s="24"/>
      <c r="U634" s="24"/>
      <c r="V634" s="24"/>
      <c r="W634" s="22"/>
      <c r="X634" s="4" t="str">
        <f>IF(Tabela2[[#This Row],[sigla]]="","",VLOOKUP(Tabela2[[#This Row],[sigla]],créditos_base!B:C,2,0))</f>
        <v/>
      </c>
      <c r="Y634" s="23"/>
      <c r="Z634" s="23" t="s">
        <v>469</v>
      </c>
      <c r="AA634" s="22"/>
      <c r="AB634" s="20"/>
      <c r="AD634" s="4" t="str">
        <f>"Pitanguá"</f>
        <v>Pitanguá</v>
      </c>
      <c r="AE634" s="14" t="str">
        <f>"Matemática"</f>
        <v>Matemática</v>
      </c>
      <c r="AF634" s="14"/>
    </row>
    <row r="635" spans="1:32" ht="28.8" x14ac:dyDescent="0.3">
      <c r="A635" s="23" t="s">
        <v>2937</v>
      </c>
      <c r="B635" s="20" t="s">
        <v>16</v>
      </c>
      <c r="C635" s="20" t="s">
        <v>7</v>
      </c>
      <c r="D635" s="20" t="s">
        <v>8</v>
      </c>
      <c r="E635" s="22">
        <v>66</v>
      </c>
      <c r="F635" s="22">
        <v>4</v>
      </c>
      <c r="G635" s="22">
        <v>3</v>
      </c>
      <c r="H635" s="22"/>
      <c r="I635" s="23" t="s">
        <v>9</v>
      </c>
      <c r="J635" s="23"/>
      <c r="K635" s="22"/>
      <c r="L635" s="22"/>
      <c r="M635" s="23"/>
      <c r="N635" s="23"/>
      <c r="O635" s="26" t="s">
        <v>2938</v>
      </c>
      <c r="P635" s="26"/>
      <c r="Q635" s="22"/>
      <c r="R635" s="24"/>
      <c r="S635" s="24"/>
      <c r="T635" s="24"/>
      <c r="U635" s="24"/>
      <c r="V635" s="24"/>
      <c r="W635" s="22" t="s">
        <v>230</v>
      </c>
      <c r="X635" s="4" t="str">
        <f>IF(Tabela2[[#This Row],[sigla]]="","",VLOOKUP(Tabela2[[#This Row],[sigla]],créditos_base!B:C,2,0))</f>
        <v>RAFAEL L. GAION/ARQUIVO DA EDITORA</v>
      </c>
      <c r="Y635" s="23"/>
      <c r="Z635" s="23" t="str">
        <f>Tabela2[[#This Row],[ilustrador]]</f>
        <v>RAFAEL L. GAION/ARQUIVO DA EDITORA</v>
      </c>
      <c r="AA635" s="22"/>
      <c r="AB635" s="20"/>
      <c r="AD635" s="4" t="str">
        <f>"Pitanguá"</f>
        <v>Pitanguá</v>
      </c>
      <c r="AE635" s="14" t="str">
        <f>"Matemática"</f>
        <v>Matemática</v>
      </c>
      <c r="AF635" s="14"/>
    </row>
    <row r="636" spans="1:32" ht="28.8" x14ac:dyDescent="0.3">
      <c r="A636" s="23" t="s">
        <v>3831</v>
      </c>
      <c r="B636" s="20" t="s">
        <v>16</v>
      </c>
      <c r="C636" s="20" t="s">
        <v>89</v>
      </c>
      <c r="D636" s="20" t="s">
        <v>8</v>
      </c>
      <c r="E636" s="22">
        <v>61</v>
      </c>
      <c r="F636" s="22">
        <v>5</v>
      </c>
      <c r="G636" s="22">
        <v>3</v>
      </c>
      <c r="H636" s="22"/>
      <c r="I636" s="23" t="s">
        <v>33</v>
      </c>
      <c r="J636" s="23"/>
      <c r="K636" s="22"/>
      <c r="L636" s="22"/>
      <c r="M636" s="23"/>
      <c r="N636" s="23"/>
      <c r="O636" s="26" t="s">
        <v>3832</v>
      </c>
      <c r="P636" s="26"/>
      <c r="Q636" s="22">
        <v>55</v>
      </c>
      <c r="R636" s="24">
        <v>45803</v>
      </c>
      <c r="S636" s="24">
        <v>45810</v>
      </c>
      <c r="T636" s="24"/>
      <c r="U636" s="24"/>
      <c r="V636" s="24">
        <v>45810</v>
      </c>
      <c r="W636" s="22" t="s">
        <v>356</v>
      </c>
      <c r="X636" s="4" t="str">
        <f>IF(Tabela2[[#This Row],[sigla]]="","",VLOOKUP(Tabela2[[#This Row],[sigla]],créditos_base!B:C,2,0))</f>
        <v>CAMILA CARMONA/ARQUIVO DA EDITORA</v>
      </c>
      <c r="Y636" s="23" t="s">
        <v>1503</v>
      </c>
      <c r="Z636" s="23" t="str">
        <f>Tabela2[[#This Row],[ilustrador]]</f>
        <v>CAMILA CARMONA/ARQUIVO DA EDITORA</v>
      </c>
      <c r="AA636" s="22"/>
      <c r="AB636" s="28" t="s">
        <v>41</v>
      </c>
      <c r="AC636" s="20" t="s">
        <v>36</v>
      </c>
      <c r="AD636" s="4" t="str">
        <f>"Pitanguá"</f>
        <v>Pitanguá</v>
      </c>
      <c r="AE636" s="14" t="str">
        <f>"Matemática"</f>
        <v>Matemática</v>
      </c>
      <c r="AF636" s="14"/>
    </row>
    <row r="637" spans="1:32" ht="57.6" x14ac:dyDescent="0.3">
      <c r="A637" s="23" t="s">
        <v>293</v>
      </c>
      <c r="B637" s="20" t="s">
        <v>16</v>
      </c>
      <c r="C637" s="20" t="s">
        <v>89</v>
      </c>
      <c r="D637" s="20" t="s">
        <v>8</v>
      </c>
      <c r="E637" s="22">
        <v>66</v>
      </c>
      <c r="F637" s="22">
        <v>1</v>
      </c>
      <c r="G637" s="22">
        <v>3</v>
      </c>
      <c r="H637" s="22"/>
      <c r="I637" s="23" t="s">
        <v>33</v>
      </c>
      <c r="J637" s="23"/>
      <c r="K637" s="22"/>
      <c r="L637" s="22"/>
      <c r="M637" s="23"/>
      <c r="N637" s="23"/>
      <c r="O637" s="26" t="s">
        <v>294</v>
      </c>
      <c r="P637" s="26"/>
      <c r="Q637" s="22">
        <v>3</v>
      </c>
      <c r="R637" s="24">
        <v>45726</v>
      </c>
      <c r="S637" s="24">
        <v>45726</v>
      </c>
      <c r="T637" s="24"/>
      <c r="U637" s="24"/>
      <c r="V637" s="24">
        <v>45727</v>
      </c>
      <c r="W637" s="22" t="s">
        <v>12</v>
      </c>
      <c r="X637" s="4" t="str">
        <f>IF(Tabela2[[#This Row],[sigla]]="","",VLOOKUP(Tabela2[[#This Row],[sigla]],créditos_base!B:C,2,0))</f>
        <v>JORGE ZAIBA/ARQUIVO DA EDITORA</v>
      </c>
      <c r="Y637" s="23" t="s">
        <v>13</v>
      </c>
      <c r="Z637" s="23" t="str">
        <f>Tabela2[[#This Row],[ilustrador]]</f>
        <v>JORGE ZAIBA/ARQUIVO DA EDITORA</v>
      </c>
      <c r="AA637" s="22">
        <v>14</v>
      </c>
      <c r="AB637" s="20"/>
      <c r="AC637" s="20" t="s">
        <v>36</v>
      </c>
      <c r="AD637" s="4" t="str">
        <f>"Pitanguá"</f>
        <v>Pitanguá</v>
      </c>
      <c r="AE637" s="14" t="str">
        <f>"Matemática"</f>
        <v>Matemática</v>
      </c>
      <c r="AF637" s="14"/>
    </row>
    <row r="638" spans="1:32" ht="28.8" x14ac:dyDescent="0.3">
      <c r="A638" s="23" t="s">
        <v>1286</v>
      </c>
      <c r="B638" s="20" t="s">
        <v>16</v>
      </c>
      <c r="C638" s="20" t="s">
        <v>89</v>
      </c>
      <c r="D638" s="20" t="s">
        <v>8</v>
      </c>
      <c r="E638" s="22">
        <v>50</v>
      </c>
      <c r="F638" s="22">
        <v>2</v>
      </c>
      <c r="G638" s="22">
        <v>3</v>
      </c>
      <c r="H638" s="22"/>
      <c r="I638" s="23" t="s">
        <v>9</v>
      </c>
      <c r="J638" s="23"/>
      <c r="K638" s="22"/>
      <c r="L638" s="22"/>
      <c r="M638" s="23"/>
      <c r="N638" s="23"/>
      <c r="O638" s="26" t="s">
        <v>1287</v>
      </c>
      <c r="P638" s="26"/>
      <c r="Q638" s="22"/>
      <c r="R638" s="24"/>
      <c r="S638" s="24"/>
      <c r="T638" s="24"/>
      <c r="U638" s="24"/>
      <c r="V638" s="24"/>
      <c r="W638" s="22" t="s">
        <v>468</v>
      </c>
      <c r="X638" s="4" t="str">
        <f>IF(Tabela2[[#This Row],[sigla]]="","",VLOOKUP(Tabela2[[#This Row],[sigla]],créditos_base!B:C,2,0))</f>
        <v>VER DOCUMENTO DE ILS. TÉCNICAS</v>
      </c>
      <c r="Y638" s="23"/>
      <c r="Z638" s="23" t="s">
        <v>661</v>
      </c>
      <c r="AA638" s="22"/>
      <c r="AB638" s="20"/>
      <c r="AD638" s="4" t="str">
        <f>"Pitanguá"</f>
        <v>Pitanguá</v>
      </c>
      <c r="AE638" s="14" t="str">
        <f>"Matemática"</f>
        <v>Matemática</v>
      </c>
      <c r="AF638" s="14"/>
    </row>
    <row r="639" spans="1:32" ht="28.8" x14ac:dyDescent="0.3">
      <c r="A639" s="23" t="s">
        <v>1960</v>
      </c>
      <c r="B639" s="20" t="s">
        <v>6</v>
      </c>
      <c r="C639" s="20" t="s">
        <v>89</v>
      </c>
      <c r="D639" s="20" t="s">
        <v>8</v>
      </c>
      <c r="E639" s="22">
        <v>53</v>
      </c>
      <c r="F639" s="22">
        <v>3</v>
      </c>
      <c r="G639" s="22">
        <v>3</v>
      </c>
      <c r="H639" s="22"/>
      <c r="I639" s="23" t="s">
        <v>33</v>
      </c>
      <c r="J639" s="23"/>
      <c r="K639" s="22"/>
      <c r="L639" s="22"/>
      <c r="M639" s="23"/>
      <c r="N639" s="23"/>
      <c r="O639" s="26" t="s">
        <v>1961</v>
      </c>
      <c r="P639" s="26" t="s">
        <v>1962</v>
      </c>
      <c r="Q639" s="22">
        <v>24</v>
      </c>
      <c r="R639" s="24">
        <v>45751</v>
      </c>
      <c r="S639" s="24">
        <v>45751</v>
      </c>
      <c r="T639" s="24"/>
      <c r="U639" s="24"/>
      <c r="V639" s="24">
        <v>45751</v>
      </c>
      <c r="W639" s="22"/>
      <c r="X639" s="4" t="str">
        <f>IF(Tabela2[[#This Row],[sigla]]="","",VLOOKUP(Tabela2[[#This Row],[sigla]],créditos_base!B:C,2,0))</f>
        <v/>
      </c>
      <c r="Y639" s="23" t="s">
        <v>524</v>
      </c>
      <c r="Z639" s="23" t="s">
        <v>469</v>
      </c>
      <c r="AA639" s="22">
        <v>14</v>
      </c>
      <c r="AB639" s="20" t="s">
        <v>1500</v>
      </c>
      <c r="AC639" s="20" t="s">
        <v>36</v>
      </c>
      <c r="AD639" s="4" t="str">
        <f>"Pitanguá"</f>
        <v>Pitanguá</v>
      </c>
      <c r="AE639" s="14" t="str">
        <f>"Matemática"</f>
        <v>Matemática</v>
      </c>
      <c r="AF639" s="14"/>
    </row>
    <row r="640" spans="1:32" ht="28.8" x14ac:dyDescent="0.3">
      <c r="A640" s="23" t="s">
        <v>3833</v>
      </c>
      <c r="B640" s="20" t="s">
        <v>1137</v>
      </c>
      <c r="C640" s="20" t="s">
        <v>7</v>
      </c>
      <c r="D640" s="20" t="s">
        <v>8</v>
      </c>
      <c r="E640" s="22">
        <v>63</v>
      </c>
      <c r="F640" s="22">
        <v>5</v>
      </c>
      <c r="G640" s="22">
        <v>3</v>
      </c>
      <c r="H640" s="22"/>
      <c r="I640" s="23" t="s">
        <v>33</v>
      </c>
      <c r="J640" s="23"/>
      <c r="K640" s="22"/>
      <c r="L640" s="22"/>
      <c r="M640" s="23"/>
      <c r="N640" s="23"/>
      <c r="O640" s="26" t="s">
        <v>3834</v>
      </c>
      <c r="P640" s="26"/>
      <c r="Q640" s="22">
        <v>217</v>
      </c>
      <c r="R640" s="24">
        <v>45935</v>
      </c>
      <c r="S640" s="24"/>
      <c r="T640" s="24"/>
      <c r="U640" s="24"/>
      <c r="V640" s="24"/>
      <c r="W640" s="22" t="s">
        <v>230</v>
      </c>
      <c r="X640" s="4" t="str">
        <f>IF(Tabela2[[#This Row],[sigla]]="","",VLOOKUP(Tabela2[[#This Row],[sigla]],créditos_base!B:C,2,0))</f>
        <v>RAFAEL L. GAION/ARQUIVO DA EDITORA</v>
      </c>
      <c r="Y640" s="23"/>
      <c r="Z640" s="23" t="str">
        <f>Tabela2[[#This Row],[ilustrador]]</f>
        <v>RAFAEL L. GAION/ARQUIVO DA EDITORA</v>
      </c>
      <c r="AA640" s="22"/>
      <c r="AB640" s="20"/>
      <c r="AD640" s="4" t="str">
        <f>"Pitanguá"</f>
        <v>Pitanguá</v>
      </c>
      <c r="AE640" s="14" t="str">
        <f>"Matemática"</f>
        <v>Matemática</v>
      </c>
      <c r="AF640" s="14"/>
    </row>
    <row r="641" spans="1:32" ht="28.8" x14ac:dyDescent="0.3">
      <c r="A641" s="23" t="s">
        <v>295</v>
      </c>
      <c r="B641" s="20" t="s">
        <v>16</v>
      </c>
      <c r="C641" s="20" t="s">
        <v>89</v>
      </c>
      <c r="D641" s="20" t="s">
        <v>8</v>
      </c>
      <c r="E641" s="22">
        <v>67</v>
      </c>
      <c r="F641" s="22">
        <v>1</v>
      </c>
      <c r="G641" s="22">
        <v>3</v>
      </c>
      <c r="H641" s="22"/>
      <c r="I641" s="23" t="s">
        <v>33</v>
      </c>
      <c r="J641" s="23"/>
      <c r="K641" s="22"/>
      <c r="L641" s="22"/>
      <c r="M641" s="23"/>
      <c r="N641" s="23"/>
      <c r="O641" s="26" t="s">
        <v>296</v>
      </c>
      <c r="P641" s="26"/>
      <c r="Q641" s="22">
        <v>3</v>
      </c>
      <c r="R641" s="24">
        <v>45726</v>
      </c>
      <c r="S641" s="24">
        <v>45726</v>
      </c>
      <c r="T641" s="24"/>
      <c r="U641" s="24"/>
      <c r="V641" s="24">
        <v>45727</v>
      </c>
      <c r="W641" s="22" t="s">
        <v>230</v>
      </c>
      <c r="X641" s="4" t="str">
        <f>IF(Tabela2[[#This Row],[sigla]]="","",VLOOKUP(Tabela2[[#This Row],[sigla]],créditos_base!B:C,2,0))</f>
        <v>RAFAEL L. GAION/ARQUIVO DA EDITORA</v>
      </c>
      <c r="Y641" s="23" t="s">
        <v>13</v>
      </c>
      <c r="Z641" s="23" t="str">
        <f>Tabela2[[#This Row],[ilustrador]]</f>
        <v>RAFAEL L. GAION/ARQUIVO DA EDITORA</v>
      </c>
      <c r="AA641" s="22">
        <v>14</v>
      </c>
      <c r="AB641" s="20"/>
      <c r="AC641" s="20" t="s">
        <v>36</v>
      </c>
      <c r="AD641" s="4" t="str">
        <f>"Pitanguá"</f>
        <v>Pitanguá</v>
      </c>
      <c r="AE641" s="14" t="str">
        <f>"Matemática"</f>
        <v>Matemática</v>
      </c>
      <c r="AF641" s="14"/>
    </row>
    <row r="642" spans="1:32" ht="57.6" x14ac:dyDescent="0.3">
      <c r="A642" s="23" t="s">
        <v>1288</v>
      </c>
      <c r="B642" s="20" t="s">
        <v>16</v>
      </c>
      <c r="C642" s="20" t="s">
        <v>89</v>
      </c>
      <c r="D642" s="20" t="s">
        <v>8</v>
      </c>
      <c r="E642" s="22">
        <v>50</v>
      </c>
      <c r="F642" s="22">
        <v>2</v>
      </c>
      <c r="G642" s="22">
        <v>3</v>
      </c>
      <c r="H642" s="22"/>
      <c r="I642" s="23" t="s">
        <v>9</v>
      </c>
      <c r="J642" s="23"/>
      <c r="K642" s="22"/>
      <c r="L642" s="22"/>
      <c r="M642" s="23"/>
      <c r="N642" s="23"/>
      <c r="O642" s="26" t="s">
        <v>1289</v>
      </c>
      <c r="P642" s="26"/>
      <c r="Q642" s="22"/>
      <c r="R642" s="24"/>
      <c r="S642" s="24"/>
      <c r="T642" s="24"/>
      <c r="U642" s="24"/>
      <c r="V642" s="24"/>
      <c r="W642" s="22" t="s">
        <v>468</v>
      </c>
      <c r="X642" s="4" t="str">
        <f>IF(Tabela2[[#This Row],[sigla]]="","",VLOOKUP(Tabela2[[#This Row],[sigla]],créditos_base!B:C,2,0))</f>
        <v>VER DOCUMENTO DE ILS. TÉCNICAS</v>
      </c>
      <c r="Y642" s="23"/>
      <c r="Z642" s="23" t="s">
        <v>661</v>
      </c>
      <c r="AA642" s="22"/>
      <c r="AB642" s="20"/>
      <c r="AD642" s="4" t="str">
        <f>"Pitanguá"</f>
        <v>Pitanguá</v>
      </c>
      <c r="AE642" s="14" t="str">
        <f>"Matemática"</f>
        <v>Matemática</v>
      </c>
      <c r="AF642" s="14"/>
    </row>
    <row r="643" spans="1:32" ht="43.2" x14ac:dyDescent="0.3">
      <c r="A643" s="23" t="s">
        <v>1963</v>
      </c>
      <c r="B643" s="20" t="s">
        <v>6</v>
      </c>
      <c r="C643" s="20" t="s">
        <v>89</v>
      </c>
      <c r="D643" s="20" t="s">
        <v>8</v>
      </c>
      <c r="E643" s="22">
        <v>53</v>
      </c>
      <c r="F643" s="22">
        <v>3</v>
      </c>
      <c r="G643" s="22">
        <v>3</v>
      </c>
      <c r="H643" s="22"/>
      <c r="I643" s="23" t="s">
        <v>33</v>
      </c>
      <c r="J643" s="23"/>
      <c r="K643" s="22"/>
      <c r="L643" s="22"/>
      <c r="M643" s="23"/>
      <c r="N643" s="23"/>
      <c r="O643" s="26" t="s">
        <v>1964</v>
      </c>
      <c r="P643" s="26"/>
      <c r="Q643" s="22">
        <v>24</v>
      </c>
      <c r="R643" s="24">
        <v>45751</v>
      </c>
      <c r="S643" s="24">
        <v>45751</v>
      </c>
      <c r="T643" s="24"/>
      <c r="U643" s="24"/>
      <c r="V643" s="24">
        <v>45751</v>
      </c>
      <c r="W643" s="22"/>
      <c r="X643" s="4" t="str">
        <f>IF(Tabela2[[#This Row],[sigla]]="","",VLOOKUP(Tabela2[[#This Row],[sigla]],créditos_base!B:C,2,0))</f>
        <v/>
      </c>
      <c r="Y643" s="23" t="s">
        <v>524</v>
      </c>
      <c r="Z643" s="23" t="s">
        <v>469</v>
      </c>
      <c r="AA643" s="22">
        <v>14</v>
      </c>
      <c r="AB643" s="20" t="s">
        <v>1500</v>
      </c>
      <c r="AC643" s="20" t="s">
        <v>36</v>
      </c>
      <c r="AD643" s="4" t="str">
        <f>"Pitanguá"</f>
        <v>Pitanguá</v>
      </c>
      <c r="AE643" s="14" t="str">
        <f>"Matemática"</f>
        <v>Matemática</v>
      </c>
      <c r="AF643" s="14"/>
    </row>
    <row r="644" spans="1:32" x14ac:dyDescent="0.3">
      <c r="A644" s="23" t="s">
        <v>3835</v>
      </c>
      <c r="B644" s="20" t="s">
        <v>16</v>
      </c>
      <c r="C644" s="20" t="s">
        <v>7</v>
      </c>
      <c r="D644" s="20" t="s">
        <v>8</v>
      </c>
      <c r="E644" s="22">
        <v>64</v>
      </c>
      <c r="F644" s="22">
        <v>5</v>
      </c>
      <c r="G644" s="22">
        <v>3</v>
      </c>
      <c r="H644" s="22"/>
      <c r="I644" s="23" t="s">
        <v>9</v>
      </c>
      <c r="J644" s="23"/>
      <c r="K644" s="22"/>
      <c r="L644" s="22"/>
      <c r="M644" s="23"/>
      <c r="N644" s="23"/>
      <c r="O644" s="26" t="s">
        <v>3836</v>
      </c>
      <c r="P644" s="26"/>
      <c r="Q644" s="22"/>
      <c r="R644" s="24"/>
      <c r="S644" s="24"/>
      <c r="T644" s="24"/>
      <c r="U644" s="24"/>
      <c r="V644" s="24"/>
      <c r="W644" s="22" t="s">
        <v>327</v>
      </c>
      <c r="X644" s="4" t="str">
        <f>IF(Tabela2[[#This Row],[sigla]]="","",VLOOKUP(Tabela2[[#This Row],[sigla]],créditos_base!B:C,2,0))</f>
        <v>RAFAEL LAM/ARQUIVO DA EDITORA</v>
      </c>
      <c r="Y644" s="23"/>
      <c r="Z644" s="23" t="str">
        <f>Tabela2[[#This Row],[ilustrador]]</f>
        <v>RAFAEL LAM/ARQUIVO DA EDITORA</v>
      </c>
      <c r="AA644" s="22"/>
      <c r="AB644" s="20"/>
      <c r="AD644" s="4" t="str">
        <f>"Pitanguá"</f>
        <v>Pitanguá</v>
      </c>
      <c r="AE644" s="14" t="str">
        <f>"Matemática"</f>
        <v>Matemática</v>
      </c>
      <c r="AF644" s="14"/>
    </row>
    <row r="645" spans="1:32" x14ac:dyDescent="0.3">
      <c r="A645" s="23" t="s">
        <v>297</v>
      </c>
      <c r="B645" s="20" t="s">
        <v>16</v>
      </c>
      <c r="C645" s="20" t="s">
        <v>89</v>
      </c>
      <c r="D645" s="20" t="s">
        <v>8</v>
      </c>
      <c r="E645" s="22">
        <v>67</v>
      </c>
      <c r="F645" s="22">
        <v>1</v>
      </c>
      <c r="G645" s="22">
        <v>3</v>
      </c>
      <c r="H645" s="22"/>
      <c r="I645" s="23" t="s">
        <v>33</v>
      </c>
      <c r="J645" s="23"/>
      <c r="K645" s="22"/>
      <c r="L645" s="22"/>
      <c r="M645" s="23"/>
      <c r="N645" s="23"/>
      <c r="O645" s="26" t="s">
        <v>298</v>
      </c>
      <c r="P645" s="26"/>
      <c r="Q645" s="22">
        <v>3</v>
      </c>
      <c r="R645" s="24">
        <v>45726</v>
      </c>
      <c r="S645" s="24">
        <v>45726</v>
      </c>
      <c r="T645" s="24"/>
      <c r="U645" s="24"/>
      <c r="V645" s="24">
        <v>45727</v>
      </c>
      <c r="W645" s="22" t="s">
        <v>230</v>
      </c>
      <c r="X645" s="4" t="str">
        <f>IF(Tabela2[[#This Row],[sigla]]="","",VLOOKUP(Tabela2[[#This Row],[sigla]],créditos_base!B:C,2,0))</f>
        <v>RAFAEL L. GAION/ARQUIVO DA EDITORA</v>
      </c>
      <c r="Y645" s="23" t="s">
        <v>13</v>
      </c>
      <c r="Z645" s="23" t="str">
        <f>Tabela2[[#This Row],[ilustrador]]</f>
        <v>RAFAEL L. GAION/ARQUIVO DA EDITORA</v>
      </c>
      <c r="AA645" s="22">
        <v>14</v>
      </c>
      <c r="AB645" s="20"/>
      <c r="AC645" s="20" t="s">
        <v>36</v>
      </c>
      <c r="AD645" s="4" t="str">
        <f>"Pitanguá"</f>
        <v>Pitanguá</v>
      </c>
      <c r="AE645" s="14" t="str">
        <f>"Matemática"</f>
        <v>Matemática</v>
      </c>
      <c r="AF645" s="14"/>
    </row>
    <row r="646" spans="1:32" x14ac:dyDescent="0.3">
      <c r="A646" s="23" t="s">
        <v>1290</v>
      </c>
      <c r="B646" s="20" t="s">
        <v>16</v>
      </c>
      <c r="C646" s="20" t="s">
        <v>89</v>
      </c>
      <c r="D646" s="20" t="s">
        <v>8</v>
      </c>
      <c r="E646" s="22">
        <v>50</v>
      </c>
      <c r="F646" s="22">
        <v>2</v>
      </c>
      <c r="G646" s="22">
        <v>3</v>
      </c>
      <c r="H646" s="22"/>
      <c r="I646" s="23" t="s">
        <v>9</v>
      </c>
      <c r="J646" s="23"/>
      <c r="K646" s="22"/>
      <c r="L646" s="22"/>
      <c r="M646" s="23"/>
      <c r="N646" s="23"/>
      <c r="O646" s="26" t="s">
        <v>1291</v>
      </c>
      <c r="P646" s="26"/>
      <c r="Q646" s="22"/>
      <c r="R646" s="24"/>
      <c r="S646" s="24"/>
      <c r="T646" s="24"/>
      <c r="U646" s="24"/>
      <c r="V646" s="24"/>
      <c r="W646" s="22" t="s">
        <v>468</v>
      </c>
      <c r="X646" s="4" t="str">
        <f>IF(Tabela2[[#This Row],[sigla]]="","",VLOOKUP(Tabela2[[#This Row],[sigla]],créditos_base!B:C,2,0))</f>
        <v>VER DOCUMENTO DE ILS. TÉCNICAS</v>
      </c>
      <c r="Y646" s="23"/>
      <c r="Z646" s="23" t="s">
        <v>661</v>
      </c>
      <c r="AA646" s="22"/>
      <c r="AB646" s="20"/>
      <c r="AD646" s="4" t="str">
        <f>"Pitanguá"</f>
        <v>Pitanguá</v>
      </c>
      <c r="AE646" s="14" t="str">
        <f>"Matemática"</f>
        <v>Matemática</v>
      </c>
      <c r="AF646" s="14"/>
    </row>
    <row r="647" spans="1:32" x14ac:dyDescent="0.3">
      <c r="A647" s="23" t="s">
        <v>299</v>
      </c>
      <c r="B647" s="20" t="s">
        <v>16</v>
      </c>
      <c r="C647" s="20" t="s">
        <v>89</v>
      </c>
      <c r="D647" s="20" t="s">
        <v>8</v>
      </c>
      <c r="E647" s="22">
        <v>67</v>
      </c>
      <c r="F647" s="22">
        <v>1</v>
      </c>
      <c r="G647" s="22">
        <v>3</v>
      </c>
      <c r="H647" s="22"/>
      <c r="I647" s="23" t="s">
        <v>33</v>
      </c>
      <c r="J647" s="23"/>
      <c r="K647" s="22"/>
      <c r="L647" s="22"/>
      <c r="M647" s="23"/>
      <c r="N647" s="23"/>
      <c r="O647" s="26" t="s">
        <v>300</v>
      </c>
      <c r="P647" s="26"/>
      <c r="Q647" s="22">
        <v>3</v>
      </c>
      <c r="R647" s="24">
        <v>45726</v>
      </c>
      <c r="S647" s="24">
        <v>45726</v>
      </c>
      <c r="T647" s="24"/>
      <c r="U647" s="24"/>
      <c r="V647" s="24">
        <v>45727</v>
      </c>
      <c r="W647" s="22" t="s">
        <v>230</v>
      </c>
      <c r="X647" s="4" t="str">
        <f>IF(Tabela2[[#This Row],[sigla]]="","",VLOOKUP(Tabela2[[#This Row],[sigla]],créditos_base!B:C,2,0))</f>
        <v>RAFAEL L. GAION/ARQUIVO DA EDITORA</v>
      </c>
      <c r="Y647" s="23" t="s">
        <v>13</v>
      </c>
      <c r="Z647" s="23" t="str">
        <f>Tabela2[[#This Row],[ilustrador]]</f>
        <v>RAFAEL L. GAION/ARQUIVO DA EDITORA</v>
      </c>
      <c r="AA647" s="22">
        <v>14</v>
      </c>
      <c r="AB647" s="20"/>
      <c r="AC647" s="20" t="s">
        <v>36</v>
      </c>
      <c r="AD647" s="4" t="str">
        <f>"Pitanguá"</f>
        <v>Pitanguá</v>
      </c>
      <c r="AE647" s="14" t="str">
        <f>"Matemática"</f>
        <v>Matemática</v>
      </c>
      <c r="AF647" s="14"/>
    </row>
    <row r="648" spans="1:32" x14ac:dyDescent="0.3">
      <c r="A648" s="23" t="s">
        <v>301</v>
      </c>
      <c r="B648" s="20" t="s">
        <v>16</v>
      </c>
      <c r="C648" s="20" t="s">
        <v>89</v>
      </c>
      <c r="D648" s="20" t="s">
        <v>8</v>
      </c>
      <c r="E648" s="22">
        <v>67</v>
      </c>
      <c r="F648" s="22">
        <v>1</v>
      </c>
      <c r="G648" s="22">
        <v>3</v>
      </c>
      <c r="H648" s="22"/>
      <c r="I648" s="23" t="s">
        <v>33</v>
      </c>
      <c r="J648" s="23"/>
      <c r="K648" s="22"/>
      <c r="L648" s="22"/>
      <c r="M648" s="23"/>
      <c r="N648" s="23"/>
      <c r="O648" s="26" t="s">
        <v>302</v>
      </c>
      <c r="P648" s="26"/>
      <c r="Q648" s="22">
        <v>3</v>
      </c>
      <c r="R648" s="24">
        <v>45726</v>
      </c>
      <c r="S648" s="24">
        <v>45726</v>
      </c>
      <c r="T648" s="24"/>
      <c r="U648" s="24"/>
      <c r="V648" s="24">
        <v>45727</v>
      </c>
      <c r="W648" s="22" t="s">
        <v>230</v>
      </c>
      <c r="X648" s="4" t="str">
        <f>IF(Tabela2[[#This Row],[sigla]]="","",VLOOKUP(Tabela2[[#This Row],[sigla]],créditos_base!B:C,2,0))</f>
        <v>RAFAEL L. GAION/ARQUIVO DA EDITORA</v>
      </c>
      <c r="Y648" s="23" t="s">
        <v>13</v>
      </c>
      <c r="Z648" s="23" t="str">
        <f>Tabela2[[#This Row],[ilustrador]]</f>
        <v>RAFAEL L. GAION/ARQUIVO DA EDITORA</v>
      </c>
      <c r="AA648" s="22">
        <v>14</v>
      </c>
      <c r="AB648" s="20"/>
      <c r="AC648" s="20" t="s">
        <v>36</v>
      </c>
      <c r="AD648" s="4" t="str">
        <f>"Pitanguá"</f>
        <v>Pitanguá</v>
      </c>
      <c r="AE648" s="14" t="str">
        <f>"Matemática"</f>
        <v>Matemática</v>
      </c>
      <c r="AF648" s="14"/>
    </row>
    <row r="649" spans="1:32" ht="28.8" x14ac:dyDescent="0.3">
      <c r="A649" s="23" t="s">
        <v>2939</v>
      </c>
      <c r="B649" s="20" t="s">
        <v>16</v>
      </c>
      <c r="C649" s="20" t="s">
        <v>7</v>
      </c>
      <c r="D649" s="20" t="s">
        <v>8</v>
      </c>
      <c r="E649" s="22">
        <v>69</v>
      </c>
      <c r="F649" s="22">
        <v>4</v>
      </c>
      <c r="G649" s="22">
        <v>3</v>
      </c>
      <c r="H649" s="22"/>
      <c r="I649" s="23" t="s">
        <v>33</v>
      </c>
      <c r="J649" s="23"/>
      <c r="K649" s="22"/>
      <c r="L649" s="22"/>
      <c r="M649" s="23"/>
      <c r="N649" s="23"/>
      <c r="O649" s="26" t="s">
        <v>2940</v>
      </c>
      <c r="P649" s="26"/>
      <c r="Q649" s="22">
        <v>149</v>
      </c>
      <c r="R649" s="24">
        <v>45881</v>
      </c>
      <c r="S649" s="24">
        <v>45881</v>
      </c>
      <c r="T649" s="24"/>
      <c r="U649" s="24"/>
      <c r="V649" s="24">
        <v>45881</v>
      </c>
      <c r="W649" s="22" t="s">
        <v>468</v>
      </c>
      <c r="X649" s="4" t="str">
        <f>IF(Tabela2[[#This Row],[sigla]]="","",VLOOKUP(Tabela2[[#This Row],[sigla]],créditos_base!B:C,2,0))</f>
        <v>VER DOCUMENTO DE ILS. TÉCNICAS</v>
      </c>
      <c r="Y649" s="23" t="s">
        <v>524</v>
      </c>
      <c r="Z649" s="23" t="s">
        <v>1327</v>
      </c>
      <c r="AA649" s="22">
        <v>13</v>
      </c>
      <c r="AB649" s="20" t="s">
        <v>525</v>
      </c>
      <c r="AC649" s="20" t="s">
        <v>36</v>
      </c>
      <c r="AD649" s="4" t="str">
        <f>"Pitanguá"</f>
        <v>Pitanguá</v>
      </c>
      <c r="AE649" s="14" t="str">
        <f>"Matemática"</f>
        <v>Matemática</v>
      </c>
      <c r="AF649" s="14"/>
    </row>
    <row r="650" spans="1:32" ht="28.8" x14ac:dyDescent="0.3">
      <c r="A650" s="23" t="s">
        <v>303</v>
      </c>
      <c r="B650" s="20" t="s">
        <v>6</v>
      </c>
      <c r="C650" s="20" t="s">
        <v>89</v>
      </c>
      <c r="D650" s="20" t="s">
        <v>8</v>
      </c>
      <c r="E650" s="22">
        <v>67</v>
      </c>
      <c r="F650" s="22">
        <v>1</v>
      </c>
      <c r="G650" s="22">
        <v>3</v>
      </c>
      <c r="H650" s="22"/>
      <c r="I650" s="23" t="s">
        <v>9</v>
      </c>
      <c r="J650" s="23"/>
      <c r="K650" s="22"/>
      <c r="L650" s="22"/>
      <c r="M650" s="23"/>
      <c r="N650" s="23"/>
      <c r="O650" s="26" t="s">
        <v>304</v>
      </c>
      <c r="P650" s="26" t="s">
        <v>11</v>
      </c>
      <c r="Q650" s="22"/>
      <c r="R650" s="24"/>
      <c r="S650" s="24"/>
      <c r="T650" s="24"/>
      <c r="U650" s="24"/>
      <c r="V650" s="24"/>
      <c r="W650" s="22" t="s">
        <v>31</v>
      </c>
      <c r="X650" s="4" t="str">
        <f>IF(Tabela2[[#This Row],[sigla]]="","",VLOOKUP(Tabela2[[#This Row],[sigla]],créditos_base!B:C,2,0))</f>
        <v>SILVIA OTOFUJI/ARQUIVO DA EDITORA</v>
      </c>
      <c r="Y650" s="23"/>
      <c r="Z650" s="23" t="str">
        <f>Tabela2[[#This Row],[ilustrador]]</f>
        <v>SILVIA OTOFUJI/ARQUIVO DA EDITORA</v>
      </c>
      <c r="AA650" s="22"/>
      <c r="AB650" s="20"/>
      <c r="AD650" s="4" t="str">
        <f>"Pitanguá"</f>
        <v>Pitanguá</v>
      </c>
      <c r="AE650" s="14" t="str">
        <f>"Matemática"</f>
        <v>Matemática</v>
      </c>
      <c r="AF650" s="14"/>
    </row>
    <row r="651" spans="1:32" x14ac:dyDescent="0.3">
      <c r="A651" s="23" t="s">
        <v>1292</v>
      </c>
      <c r="B651" s="20" t="s">
        <v>16</v>
      </c>
      <c r="C651" s="20" t="s">
        <v>7</v>
      </c>
      <c r="D651" s="20" t="s">
        <v>8</v>
      </c>
      <c r="E651" s="22">
        <v>53</v>
      </c>
      <c r="F651" s="22">
        <v>2</v>
      </c>
      <c r="G651" s="22">
        <v>3</v>
      </c>
      <c r="H651" s="22"/>
      <c r="I651" s="23" t="s">
        <v>9</v>
      </c>
      <c r="J651" s="23"/>
      <c r="K651" s="22"/>
      <c r="L651" s="22"/>
      <c r="M651" s="23"/>
      <c r="N651" s="23"/>
      <c r="O651" s="26" t="s">
        <v>1293</v>
      </c>
      <c r="P651" s="26"/>
      <c r="Q651" s="22"/>
      <c r="R651" s="24"/>
      <c r="S651" s="24"/>
      <c r="T651" s="24"/>
      <c r="U651" s="24"/>
      <c r="V651" s="24"/>
      <c r="W651" s="22" t="s">
        <v>468</v>
      </c>
      <c r="X651" s="4" t="str">
        <f>IF(Tabela2[[#This Row],[sigla]]="","",VLOOKUP(Tabela2[[#This Row],[sigla]],créditos_base!B:C,2,0))</f>
        <v>VER DOCUMENTO DE ILS. TÉCNICAS</v>
      </c>
      <c r="Y651" s="23"/>
      <c r="Z651" s="23" t="s">
        <v>482</v>
      </c>
      <c r="AA651" s="22"/>
      <c r="AB651" s="20"/>
      <c r="AD651" s="4" t="str">
        <f>"Pitanguá"</f>
        <v>Pitanguá</v>
      </c>
      <c r="AE651" s="14" t="str">
        <f>"Matemática"</f>
        <v>Matemática</v>
      </c>
      <c r="AF651" s="14"/>
    </row>
    <row r="652" spans="1:32" x14ac:dyDescent="0.3">
      <c r="A652" s="23" t="s">
        <v>305</v>
      </c>
      <c r="B652" s="20" t="s">
        <v>16</v>
      </c>
      <c r="C652" s="20" t="s">
        <v>7</v>
      </c>
      <c r="D652" s="20" t="s">
        <v>8</v>
      </c>
      <c r="E652" s="22">
        <v>68</v>
      </c>
      <c r="F652" s="22">
        <v>1</v>
      </c>
      <c r="G652" s="22">
        <v>3</v>
      </c>
      <c r="H652" s="22"/>
      <c r="I652" s="23" t="s">
        <v>9</v>
      </c>
      <c r="J652" s="23"/>
      <c r="K652" s="22"/>
      <c r="L652" s="22"/>
      <c r="M652" s="23"/>
      <c r="N652" s="23"/>
      <c r="O652" s="26" t="s">
        <v>306</v>
      </c>
      <c r="P652" s="26"/>
      <c r="Q652" s="22"/>
      <c r="R652" s="24"/>
      <c r="S652" s="24"/>
      <c r="T652" s="24"/>
      <c r="U652" s="24"/>
      <c r="V652" s="24"/>
      <c r="W652" s="22" t="s">
        <v>31</v>
      </c>
      <c r="X652" s="4" t="str">
        <f>IF(Tabela2[[#This Row],[sigla]]="","",VLOOKUP(Tabela2[[#This Row],[sigla]],créditos_base!B:C,2,0))</f>
        <v>SILVIA OTOFUJI/ARQUIVO DA EDITORA</v>
      </c>
      <c r="Y652" s="23"/>
      <c r="Z652" s="23" t="str">
        <f>Tabela2[[#This Row],[ilustrador]]</f>
        <v>SILVIA OTOFUJI/ARQUIVO DA EDITORA</v>
      </c>
      <c r="AA652" s="22"/>
      <c r="AB652" s="20"/>
      <c r="AD652" s="4" t="str">
        <f>"Pitanguá"</f>
        <v>Pitanguá</v>
      </c>
      <c r="AE652" s="14" t="str">
        <f>"Matemática"</f>
        <v>Matemática</v>
      </c>
      <c r="AF652" s="14"/>
    </row>
    <row r="653" spans="1:32" x14ac:dyDescent="0.3">
      <c r="A653" s="23" t="s">
        <v>1294</v>
      </c>
      <c r="B653" s="20" t="s">
        <v>16</v>
      </c>
      <c r="C653" s="20" t="s">
        <v>89</v>
      </c>
      <c r="D653" s="20" t="s">
        <v>1229</v>
      </c>
      <c r="E653" s="22">
        <v>89</v>
      </c>
      <c r="F653" s="22">
        <v>2</v>
      </c>
      <c r="G653" s="22">
        <v>3</v>
      </c>
      <c r="H653" s="22"/>
      <c r="I653" s="23" t="s">
        <v>33</v>
      </c>
      <c r="J653" s="23"/>
      <c r="K653" s="22"/>
      <c r="L653" s="22"/>
      <c r="M653" s="23"/>
      <c r="N653" s="23"/>
      <c r="O653" s="26" t="s">
        <v>1295</v>
      </c>
      <c r="P653" s="26" t="s">
        <v>1296</v>
      </c>
      <c r="Q653" s="22"/>
      <c r="R653" s="24"/>
      <c r="S653" s="24">
        <v>45859</v>
      </c>
      <c r="T653" s="24"/>
      <c r="U653" s="24"/>
      <c r="V653" s="24">
        <v>45860</v>
      </c>
      <c r="W653" s="22" t="s">
        <v>223</v>
      </c>
      <c r="X653" s="4" t="str">
        <f>IF(Tabela2[[#This Row],[sigla]]="","",VLOOKUP(Tabela2[[#This Row],[sigla]],créditos_base!B:C,2,0))</f>
        <v>NATANAELE BILMAIA/ARQUIVO DA EDITORA</v>
      </c>
      <c r="Y653" s="23" t="s">
        <v>243</v>
      </c>
      <c r="Z653" s="23" t="str">
        <f>Tabela2[[#This Row],[ilustrador]]</f>
        <v>NATANAELE BILMAIA/ARQUIVO DA EDITORA</v>
      </c>
      <c r="AA653" s="22">
        <v>13</v>
      </c>
      <c r="AB653" s="20" t="s">
        <v>244</v>
      </c>
      <c r="AC653" s="20" t="s">
        <v>36</v>
      </c>
      <c r="AD653" s="4" t="str">
        <f>"Pitanguá"</f>
        <v>Pitanguá</v>
      </c>
      <c r="AE653" s="14" t="str">
        <f>"Matemática"</f>
        <v>Matemática</v>
      </c>
      <c r="AF653" s="14"/>
    </row>
    <row r="654" spans="1:32" x14ac:dyDescent="0.3">
      <c r="A654" s="23" t="s">
        <v>1968</v>
      </c>
      <c r="B654" s="20" t="s">
        <v>16</v>
      </c>
      <c r="C654" s="20" t="s">
        <v>89</v>
      </c>
      <c r="D654" s="20" t="s">
        <v>8</v>
      </c>
      <c r="E654" s="22">
        <v>56</v>
      </c>
      <c r="F654" s="22">
        <v>3</v>
      </c>
      <c r="G654" s="22">
        <v>3</v>
      </c>
      <c r="H654" s="22"/>
      <c r="I654" s="23" t="s">
        <v>9</v>
      </c>
      <c r="J654" s="23"/>
      <c r="K654" s="22"/>
      <c r="L654" s="22"/>
      <c r="M654" s="23"/>
      <c r="N654" s="23"/>
      <c r="O654" s="26" t="s">
        <v>1969</v>
      </c>
      <c r="P654" s="26"/>
      <c r="Q654" s="22"/>
      <c r="R654" s="24"/>
      <c r="S654" s="24"/>
      <c r="T654" s="24"/>
      <c r="U654" s="24"/>
      <c r="V654" s="24"/>
      <c r="W654" s="22" t="s">
        <v>468</v>
      </c>
      <c r="X654" s="4" t="str">
        <f>IF(Tabela2[[#This Row],[sigla]]="","",VLOOKUP(Tabela2[[#This Row],[sigla]],créditos_base!B:C,2,0))</f>
        <v>VER DOCUMENTO DE ILS. TÉCNICAS</v>
      </c>
      <c r="Y654" s="23"/>
      <c r="Z654" s="23" t="s">
        <v>661</v>
      </c>
      <c r="AA654" s="22"/>
      <c r="AB654" s="20"/>
      <c r="AD654" s="4" t="str">
        <f>"Pitanguá"</f>
        <v>Pitanguá</v>
      </c>
      <c r="AE654" s="14" t="str">
        <f>"Matemática"</f>
        <v>Matemática</v>
      </c>
      <c r="AF654" s="14"/>
    </row>
    <row r="655" spans="1:32" x14ac:dyDescent="0.3">
      <c r="A655" s="23" t="s">
        <v>307</v>
      </c>
      <c r="B655" s="20" t="s">
        <v>16</v>
      </c>
      <c r="C655" s="20" t="s">
        <v>89</v>
      </c>
      <c r="D655" s="20" t="s">
        <v>8</v>
      </c>
      <c r="E655" s="22">
        <v>68</v>
      </c>
      <c r="F655" s="22">
        <v>1</v>
      </c>
      <c r="G655" s="22">
        <v>3</v>
      </c>
      <c r="H655" s="22"/>
      <c r="I655" s="23" t="s">
        <v>90</v>
      </c>
      <c r="J655" s="23"/>
      <c r="K655" s="22"/>
      <c r="L655" s="22"/>
      <c r="M655" s="23"/>
      <c r="N655" s="23"/>
      <c r="O655" s="26" t="s">
        <v>308</v>
      </c>
      <c r="P655" s="26"/>
      <c r="Q655" s="22">
        <v>3</v>
      </c>
      <c r="R655" s="24">
        <v>45726</v>
      </c>
      <c r="S655" s="24">
        <v>45727</v>
      </c>
      <c r="T655" s="24"/>
      <c r="U655" s="24"/>
      <c r="V655" s="24">
        <v>45733</v>
      </c>
      <c r="W655" s="22" t="s">
        <v>72</v>
      </c>
      <c r="X655" s="4" t="str">
        <f>IF(Tabela2[[#This Row],[sigla]]="","",VLOOKUP(Tabela2[[#This Row],[sigla]],créditos_base!B:C,2,0))</f>
        <v>HELOÍSA PINTARELLI/ARQUIVO DA EDITORA</v>
      </c>
      <c r="Y655" s="23"/>
      <c r="Z655" s="23" t="str">
        <f>Tabela2[[#This Row],[ilustrador]]</f>
        <v>HELOÍSA PINTARELLI/ARQUIVO DA EDITORA</v>
      </c>
      <c r="AA655" s="22">
        <v>8</v>
      </c>
      <c r="AB655" s="20" t="s">
        <v>309</v>
      </c>
      <c r="AC655" s="20" t="s">
        <v>310</v>
      </c>
      <c r="AD655" s="4" t="str">
        <f>"Pitanguá"</f>
        <v>Pitanguá</v>
      </c>
      <c r="AE655" s="14" t="str">
        <f>"Matemática"</f>
        <v>Matemática</v>
      </c>
      <c r="AF655" s="14"/>
    </row>
    <row r="656" spans="1:32" ht="28.8" x14ac:dyDescent="0.3">
      <c r="A656" s="23" t="s">
        <v>1297</v>
      </c>
      <c r="B656" s="20" t="s">
        <v>16</v>
      </c>
      <c r="C656" s="20" t="s">
        <v>89</v>
      </c>
      <c r="D656" s="20" t="s">
        <v>8</v>
      </c>
      <c r="E656" s="22">
        <v>54</v>
      </c>
      <c r="F656" s="22">
        <v>2</v>
      </c>
      <c r="G656" s="22">
        <v>3</v>
      </c>
      <c r="H656" s="22"/>
      <c r="I656" s="23" t="s">
        <v>33</v>
      </c>
      <c r="J656" s="23"/>
      <c r="K656" s="22"/>
      <c r="L656" s="22"/>
      <c r="M656" s="23"/>
      <c r="N656" s="23"/>
      <c r="O656" s="26" t="s">
        <v>1298</v>
      </c>
      <c r="P656" s="26"/>
      <c r="Q656" s="22">
        <v>106</v>
      </c>
      <c r="R656" s="24">
        <v>45848</v>
      </c>
      <c r="S656" s="24">
        <v>45848</v>
      </c>
      <c r="T656" s="24"/>
      <c r="U656" s="24"/>
      <c r="V656" s="24">
        <v>45848</v>
      </c>
      <c r="W656" s="22" t="s">
        <v>223</v>
      </c>
      <c r="X656" s="4" t="str">
        <f>IF(Tabela2[[#This Row],[sigla]]="","",VLOOKUP(Tabela2[[#This Row],[sigla]],créditos_base!B:C,2,0))</f>
        <v>NATANAELE BILMAIA/ARQUIVO DA EDITORA</v>
      </c>
      <c r="Y656" s="23" t="s">
        <v>152</v>
      </c>
      <c r="Z656" s="23" t="str">
        <f>Tabela2[[#This Row],[ilustrador]]</f>
        <v>NATANAELE BILMAIA/ARQUIVO DA EDITORA</v>
      </c>
      <c r="AA656" s="22">
        <v>13</v>
      </c>
      <c r="AB656" s="20" t="s">
        <v>244</v>
      </c>
      <c r="AC656" s="20" t="s">
        <v>36</v>
      </c>
      <c r="AD656" s="4" t="str">
        <f>"Pitanguá"</f>
        <v>Pitanguá</v>
      </c>
      <c r="AE656" s="14" t="str">
        <f>"Matemática"</f>
        <v>Matemática</v>
      </c>
      <c r="AF656" s="14"/>
    </row>
    <row r="657" spans="1:32" x14ac:dyDescent="0.3">
      <c r="A657" s="23" t="s">
        <v>1970</v>
      </c>
      <c r="B657" s="20" t="s">
        <v>16</v>
      </c>
      <c r="C657" s="20" t="s">
        <v>89</v>
      </c>
      <c r="D657" s="20" t="s">
        <v>8</v>
      </c>
      <c r="E657" s="22">
        <v>56</v>
      </c>
      <c r="F657" s="22">
        <v>3</v>
      </c>
      <c r="G657" s="22">
        <v>3</v>
      </c>
      <c r="H657" s="22"/>
      <c r="I657" s="23" t="s">
        <v>9</v>
      </c>
      <c r="J657" s="23"/>
      <c r="K657" s="22"/>
      <c r="L657" s="22"/>
      <c r="M657" s="23"/>
      <c r="N657" s="23"/>
      <c r="O657" s="26" t="s">
        <v>1971</v>
      </c>
      <c r="P657" s="26"/>
      <c r="Q657" s="22"/>
      <c r="R657" s="24"/>
      <c r="S657" s="24"/>
      <c r="T657" s="24"/>
      <c r="U657" s="24"/>
      <c r="V657" s="24"/>
      <c r="W657" s="22" t="s">
        <v>468</v>
      </c>
      <c r="X657" s="4" t="str">
        <f>IF(Tabela2[[#This Row],[sigla]]="","",VLOOKUP(Tabela2[[#This Row],[sigla]],créditos_base!B:C,2,0))</f>
        <v>VER DOCUMENTO DE ILS. TÉCNICAS</v>
      </c>
      <c r="Y657" s="23"/>
      <c r="Z657" s="23" t="s">
        <v>661</v>
      </c>
      <c r="AA657" s="22"/>
      <c r="AB657" s="20"/>
      <c r="AD657" s="4" t="str">
        <f>"Pitanguá"</f>
        <v>Pitanguá</v>
      </c>
      <c r="AE657" s="14" t="str">
        <f>"Matemática"</f>
        <v>Matemática</v>
      </c>
      <c r="AF657" s="14"/>
    </row>
    <row r="658" spans="1:32" x14ac:dyDescent="0.3">
      <c r="A658" s="23" t="s">
        <v>311</v>
      </c>
      <c r="B658" s="20" t="s">
        <v>16</v>
      </c>
      <c r="C658" s="20" t="s">
        <v>89</v>
      </c>
      <c r="D658" s="20" t="s">
        <v>8</v>
      </c>
      <c r="E658" s="22">
        <v>68</v>
      </c>
      <c r="F658" s="22">
        <v>1</v>
      </c>
      <c r="G658" s="22">
        <v>3</v>
      </c>
      <c r="H658" s="22"/>
      <c r="I658" s="23" t="s">
        <v>9</v>
      </c>
      <c r="J658" s="23"/>
      <c r="K658" s="22"/>
      <c r="L658" s="22"/>
      <c r="M658" s="23"/>
      <c r="N658" s="23"/>
      <c r="O658" s="26" t="s">
        <v>312</v>
      </c>
      <c r="P658" s="26"/>
      <c r="Q658" s="22"/>
      <c r="R658" s="24"/>
      <c r="S658" s="24"/>
      <c r="T658" s="24"/>
      <c r="U658" s="24"/>
      <c r="V658" s="24"/>
      <c r="W658" s="22" t="s">
        <v>31</v>
      </c>
      <c r="X658" s="4" t="str">
        <f>IF(Tabela2[[#This Row],[sigla]]="","",VLOOKUP(Tabela2[[#This Row],[sigla]],créditos_base!B:C,2,0))</f>
        <v>SILVIA OTOFUJI/ARQUIVO DA EDITORA</v>
      </c>
      <c r="Y658" s="23"/>
      <c r="Z658" s="23"/>
      <c r="AA658" s="22"/>
      <c r="AB658" s="20"/>
      <c r="AD658" s="4" t="str">
        <f>"Pitanguá"</f>
        <v>Pitanguá</v>
      </c>
      <c r="AE658" s="14" t="str">
        <f>"Matemática"</f>
        <v>Matemática</v>
      </c>
      <c r="AF658" s="14"/>
    </row>
    <row r="659" spans="1:32" x14ac:dyDescent="0.3">
      <c r="A659" s="23" t="s">
        <v>1972</v>
      </c>
      <c r="B659" s="20" t="s">
        <v>16</v>
      </c>
      <c r="C659" s="20" t="s">
        <v>89</v>
      </c>
      <c r="D659" s="20" t="s">
        <v>8</v>
      </c>
      <c r="E659" s="22">
        <v>57</v>
      </c>
      <c r="F659" s="22">
        <v>3</v>
      </c>
      <c r="G659" s="22">
        <v>3</v>
      </c>
      <c r="H659" s="22"/>
      <c r="I659" s="23" t="s">
        <v>33</v>
      </c>
      <c r="J659" s="23"/>
      <c r="K659" s="22"/>
      <c r="L659" s="22"/>
      <c r="M659" s="23"/>
      <c r="N659" s="23"/>
      <c r="O659" s="26" t="s">
        <v>1973</v>
      </c>
      <c r="P659" s="26"/>
      <c r="Q659" s="22">
        <v>24</v>
      </c>
      <c r="R659" s="24">
        <v>45751</v>
      </c>
      <c r="S659" s="24">
        <v>45751</v>
      </c>
      <c r="T659" s="24"/>
      <c r="U659" s="24"/>
      <c r="V659" s="24">
        <v>45751</v>
      </c>
      <c r="W659" s="22" t="s">
        <v>468</v>
      </c>
      <c r="X659" s="4" t="str">
        <f>IF(Tabela2[[#This Row],[sigla]]="","",VLOOKUP(Tabela2[[#This Row],[sigla]],créditos_base!B:C,2,0))</f>
        <v>VER DOCUMENTO DE ILS. TÉCNICAS</v>
      </c>
      <c r="Y659" s="23" t="s">
        <v>524</v>
      </c>
      <c r="Z659" s="23" t="s">
        <v>661</v>
      </c>
      <c r="AA659" s="22">
        <v>14</v>
      </c>
      <c r="AB659" s="20" t="s">
        <v>1500</v>
      </c>
      <c r="AC659" s="20" t="s">
        <v>36</v>
      </c>
      <c r="AD659" s="4" t="str">
        <f>"Pitanguá"</f>
        <v>Pitanguá</v>
      </c>
      <c r="AE659" s="14" t="str">
        <f>"Matemática"</f>
        <v>Matemática</v>
      </c>
      <c r="AF659" s="14"/>
    </row>
    <row r="660" spans="1:32" x14ac:dyDescent="0.3">
      <c r="A660" s="23" t="s">
        <v>2943</v>
      </c>
      <c r="B660" s="20" t="s">
        <v>16</v>
      </c>
      <c r="C660" s="20" t="s">
        <v>7</v>
      </c>
      <c r="D660" s="20" t="s">
        <v>8</v>
      </c>
      <c r="E660" s="22">
        <v>73</v>
      </c>
      <c r="F660" s="22">
        <v>4</v>
      </c>
      <c r="G660" s="22">
        <v>3</v>
      </c>
      <c r="H660" s="22"/>
      <c r="I660" s="23" t="s">
        <v>9</v>
      </c>
      <c r="J660" s="23"/>
      <c r="K660" s="22"/>
      <c r="L660" s="22"/>
      <c r="M660" s="23"/>
      <c r="N660" s="23"/>
      <c r="O660" s="26" t="s">
        <v>2944</v>
      </c>
      <c r="P660" s="26"/>
      <c r="Q660" s="22"/>
      <c r="R660" s="24"/>
      <c r="S660" s="24"/>
      <c r="T660" s="24"/>
      <c r="U660" s="24"/>
      <c r="V660" s="24"/>
      <c r="W660" s="22" t="s">
        <v>460</v>
      </c>
      <c r="X660" s="4" t="str">
        <f>IF(Tabela2[[#This Row],[sigla]]="","",VLOOKUP(Tabela2[[#This Row],[sigla]],créditos_base!B:C,2,0))</f>
        <v>CLAUDIA SOUZA/ARQUIVO DA EDITORA</v>
      </c>
      <c r="Y660" s="23"/>
      <c r="Z660" s="23" t="str">
        <f>Tabela2[[#This Row],[ilustrador]]</f>
        <v>CLAUDIA SOUZA/ARQUIVO DA EDITORA</v>
      </c>
      <c r="AA660" s="22"/>
      <c r="AB660" s="20"/>
      <c r="AD660" s="4" t="str">
        <f>"Pitanguá"</f>
        <v>Pitanguá</v>
      </c>
      <c r="AE660" s="14" t="str">
        <f>"Matemática"</f>
        <v>Matemática</v>
      </c>
      <c r="AF660" s="14"/>
    </row>
    <row r="661" spans="1:32" x14ac:dyDescent="0.3">
      <c r="A661" s="23" t="s">
        <v>313</v>
      </c>
      <c r="B661" s="20" t="s">
        <v>16</v>
      </c>
      <c r="C661" s="20" t="s">
        <v>89</v>
      </c>
      <c r="D661" s="20" t="s">
        <v>8</v>
      </c>
      <c r="E661" s="22">
        <v>68</v>
      </c>
      <c r="F661" s="22">
        <v>1</v>
      </c>
      <c r="G661" s="22">
        <v>3</v>
      </c>
      <c r="H661" s="22"/>
      <c r="I661" s="23" t="s">
        <v>9</v>
      </c>
      <c r="J661" s="23"/>
      <c r="K661" s="22"/>
      <c r="L661" s="22"/>
      <c r="M661" s="23"/>
      <c r="N661" s="23"/>
      <c r="O661" s="26" t="s">
        <v>314</v>
      </c>
      <c r="P661" s="26"/>
      <c r="Q661" s="22"/>
      <c r="R661" s="24"/>
      <c r="S661" s="24"/>
      <c r="T661" s="24"/>
      <c r="U661" s="24"/>
      <c r="V661" s="24"/>
      <c r="W661" s="22" t="s">
        <v>31</v>
      </c>
      <c r="X661" s="4" t="str">
        <f>IF(Tabela2[[#This Row],[sigla]]="","",VLOOKUP(Tabela2[[#This Row],[sigla]],créditos_base!B:C,2,0))</f>
        <v>SILVIA OTOFUJI/ARQUIVO DA EDITORA</v>
      </c>
      <c r="Y661" s="23"/>
      <c r="Z661" s="23"/>
      <c r="AA661" s="22"/>
      <c r="AB661" s="20"/>
      <c r="AD661" s="4" t="str">
        <f>"Pitanguá"</f>
        <v>Pitanguá</v>
      </c>
      <c r="AE661" s="14" t="str">
        <f>"Matemática"</f>
        <v>Matemática</v>
      </c>
      <c r="AF661" s="14"/>
    </row>
    <row r="662" spans="1:32" x14ac:dyDescent="0.3">
      <c r="A662" s="23" t="s">
        <v>1974</v>
      </c>
      <c r="B662" s="20" t="s">
        <v>16</v>
      </c>
      <c r="C662" s="20" t="s">
        <v>89</v>
      </c>
      <c r="D662" s="20" t="s">
        <v>8</v>
      </c>
      <c r="E662" s="22">
        <v>57</v>
      </c>
      <c r="F662" s="22">
        <v>3</v>
      </c>
      <c r="G662" s="22">
        <v>3</v>
      </c>
      <c r="H662" s="22"/>
      <c r="I662" s="23" t="s">
        <v>33</v>
      </c>
      <c r="J662" s="23"/>
      <c r="K662" s="22"/>
      <c r="L662" s="22"/>
      <c r="M662" s="23"/>
      <c r="N662" s="23"/>
      <c r="O662" s="26" t="s">
        <v>1975</v>
      </c>
      <c r="P662" s="26"/>
      <c r="Q662" s="22">
        <v>24</v>
      </c>
      <c r="R662" s="24">
        <v>45751</v>
      </c>
      <c r="S662" s="24">
        <v>45751</v>
      </c>
      <c r="T662" s="24"/>
      <c r="U662" s="24"/>
      <c r="V662" s="24">
        <v>45751</v>
      </c>
      <c r="W662" s="22" t="s">
        <v>468</v>
      </c>
      <c r="X662" s="4" t="str">
        <f>IF(Tabela2[[#This Row],[sigla]]="","",VLOOKUP(Tabela2[[#This Row],[sigla]],créditos_base!B:C,2,0))</f>
        <v>VER DOCUMENTO DE ILS. TÉCNICAS</v>
      </c>
      <c r="Y662" s="23" t="s">
        <v>524</v>
      </c>
      <c r="Z662" s="23" t="s">
        <v>661</v>
      </c>
      <c r="AA662" s="22">
        <v>14</v>
      </c>
      <c r="AB662" s="20" t="s">
        <v>1500</v>
      </c>
      <c r="AC662" s="20" t="s">
        <v>36</v>
      </c>
      <c r="AD662" s="4" t="str">
        <f>"Pitanguá"</f>
        <v>Pitanguá</v>
      </c>
      <c r="AE662" s="14" t="str">
        <f>"Matemática"</f>
        <v>Matemática</v>
      </c>
      <c r="AF662" s="14"/>
    </row>
    <row r="663" spans="1:32" x14ac:dyDescent="0.3">
      <c r="A663" s="23" t="s">
        <v>2945</v>
      </c>
      <c r="B663" s="20" t="s">
        <v>16</v>
      </c>
      <c r="C663" s="20" t="s">
        <v>7</v>
      </c>
      <c r="D663" s="20" t="s">
        <v>8</v>
      </c>
      <c r="E663" s="22">
        <v>76</v>
      </c>
      <c r="F663" s="22">
        <v>4</v>
      </c>
      <c r="G663" s="22">
        <v>3</v>
      </c>
      <c r="H663" s="22"/>
      <c r="I663" s="23" t="s">
        <v>9</v>
      </c>
      <c r="J663" s="23"/>
      <c r="K663" s="22"/>
      <c r="L663" s="22"/>
      <c r="M663" s="23"/>
      <c r="N663" s="23"/>
      <c r="O663" s="26" t="s">
        <v>2946</v>
      </c>
      <c r="P663" s="26"/>
      <c r="Q663" s="22"/>
      <c r="R663" s="24"/>
      <c r="S663" s="24"/>
      <c r="T663" s="24"/>
      <c r="U663" s="24"/>
      <c r="V663" s="24"/>
      <c r="W663" s="22" t="s">
        <v>460</v>
      </c>
      <c r="X663" s="4" t="str">
        <f>IF(Tabela2[[#This Row],[sigla]]="","",VLOOKUP(Tabela2[[#This Row],[sigla]],créditos_base!B:C,2,0))</f>
        <v>CLAUDIA SOUZA/ARQUIVO DA EDITORA</v>
      </c>
      <c r="Y663" s="23"/>
      <c r="Z663" s="23" t="str">
        <f>Tabela2[[#This Row],[ilustrador]]</f>
        <v>CLAUDIA SOUZA/ARQUIVO DA EDITORA</v>
      </c>
      <c r="AA663" s="22"/>
      <c r="AB663" s="20"/>
      <c r="AD663" s="4" t="str">
        <f>"Pitanguá"</f>
        <v>Pitanguá</v>
      </c>
      <c r="AE663" s="14" t="str">
        <f>"Matemática"</f>
        <v>Matemática</v>
      </c>
      <c r="AF663" s="14"/>
    </row>
    <row r="664" spans="1:32" x14ac:dyDescent="0.3">
      <c r="A664" s="23" t="s">
        <v>3839</v>
      </c>
      <c r="B664" s="20" t="s">
        <v>16</v>
      </c>
      <c r="C664" s="20" t="s">
        <v>7</v>
      </c>
      <c r="D664" s="20" t="s">
        <v>8</v>
      </c>
      <c r="E664" s="22">
        <v>73</v>
      </c>
      <c r="F664" s="22">
        <v>5</v>
      </c>
      <c r="G664" s="22">
        <v>3</v>
      </c>
      <c r="H664" s="22"/>
      <c r="I664" s="23" t="s">
        <v>9</v>
      </c>
      <c r="J664" s="23"/>
      <c r="K664" s="22"/>
      <c r="L664" s="22"/>
      <c r="M664" s="23"/>
      <c r="N664" s="23"/>
      <c r="O664" s="26" t="s">
        <v>3840</v>
      </c>
      <c r="P664" s="26"/>
      <c r="Q664" s="22"/>
      <c r="R664" s="24"/>
      <c r="S664" s="24"/>
      <c r="T664" s="24"/>
      <c r="U664" s="24"/>
      <c r="V664" s="24"/>
      <c r="W664" s="22" t="s">
        <v>31</v>
      </c>
      <c r="X664" s="4" t="str">
        <f>IF(Tabela2[[#This Row],[sigla]]="","",VLOOKUP(Tabela2[[#This Row],[sigla]],créditos_base!B:C,2,0))</f>
        <v>SILVIA OTOFUJI/ARQUIVO DA EDITORA</v>
      </c>
      <c r="Y664" s="23"/>
      <c r="Z664" s="23" t="str">
        <f>Tabela2[[#This Row],[ilustrador]]</f>
        <v>SILVIA OTOFUJI/ARQUIVO DA EDITORA</v>
      </c>
      <c r="AA664" s="22"/>
      <c r="AB664" s="20"/>
      <c r="AD664" s="4" t="str">
        <f>"Pitanguá"</f>
        <v>Pitanguá</v>
      </c>
      <c r="AE664" s="14" t="str">
        <f>"Matemática"</f>
        <v>Matemática</v>
      </c>
      <c r="AF664" s="14"/>
    </row>
    <row r="665" spans="1:32" x14ac:dyDescent="0.3">
      <c r="A665" s="23" t="s">
        <v>315</v>
      </c>
      <c r="B665" s="20" t="s">
        <v>16</v>
      </c>
      <c r="C665" s="20" t="s">
        <v>89</v>
      </c>
      <c r="D665" s="20" t="s">
        <v>8</v>
      </c>
      <c r="E665" s="22">
        <v>68</v>
      </c>
      <c r="F665" s="22">
        <v>1</v>
      </c>
      <c r="G665" s="22">
        <v>3</v>
      </c>
      <c r="H665" s="22"/>
      <c r="I665" s="23" t="s">
        <v>9</v>
      </c>
      <c r="J665" s="23"/>
      <c r="K665" s="22"/>
      <c r="L665" s="22"/>
      <c r="M665" s="23"/>
      <c r="N665" s="23"/>
      <c r="O665" s="26" t="s">
        <v>316</v>
      </c>
      <c r="P665" s="26"/>
      <c r="Q665" s="22"/>
      <c r="R665" s="24"/>
      <c r="S665" s="24"/>
      <c r="T665" s="24"/>
      <c r="U665" s="24"/>
      <c r="V665" s="24"/>
      <c r="W665" s="22" t="s">
        <v>31</v>
      </c>
      <c r="X665" s="4" t="str">
        <f>IF(Tabela2[[#This Row],[sigla]]="","",VLOOKUP(Tabela2[[#This Row],[sigla]],créditos_base!B:C,2,0))</f>
        <v>SILVIA OTOFUJI/ARQUIVO DA EDITORA</v>
      </c>
      <c r="Y665" s="23"/>
      <c r="Z665" s="23" t="str">
        <f>Tabela2[[#This Row],[ilustrador]]</f>
        <v>SILVIA OTOFUJI/ARQUIVO DA EDITORA</v>
      </c>
      <c r="AA665" s="22"/>
      <c r="AB665" s="20"/>
      <c r="AD665" s="4" t="str">
        <f>"Pitanguá"</f>
        <v>Pitanguá</v>
      </c>
      <c r="AE665" s="14" t="str">
        <f>"Matemática"</f>
        <v>Matemática</v>
      </c>
      <c r="AF665" s="14"/>
    </row>
    <row r="666" spans="1:32" x14ac:dyDescent="0.3">
      <c r="A666" s="23" t="s">
        <v>2947</v>
      </c>
      <c r="B666" s="20" t="s">
        <v>16</v>
      </c>
      <c r="C666" s="20" t="s">
        <v>7</v>
      </c>
      <c r="D666" s="20" t="s">
        <v>8</v>
      </c>
      <c r="E666" s="22">
        <v>76</v>
      </c>
      <c r="F666" s="22">
        <v>4</v>
      </c>
      <c r="G666" s="22">
        <v>3</v>
      </c>
      <c r="H666" s="22"/>
      <c r="I666" s="23" t="s">
        <v>9</v>
      </c>
      <c r="J666" s="23"/>
      <c r="K666" s="22"/>
      <c r="L666" s="22"/>
      <c r="M666" s="23"/>
      <c r="N666" s="23"/>
      <c r="O666" s="26" t="s">
        <v>2948</v>
      </c>
      <c r="P666" s="26"/>
      <c r="Q666" s="22"/>
      <c r="R666" s="24"/>
      <c r="S666" s="24"/>
      <c r="T666" s="24"/>
      <c r="U666" s="24"/>
      <c r="V666" s="24"/>
      <c r="W666" s="22" t="s">
        <v>460</v>
      </c>
      <c r="X666" s="4" t="str">
        <f>IF(Tabela2[[#This Row],[sigla]]="","",VLOOKUP(Tabela2[[#This Row],[sigla]],créditos_base!B:C,2,0))</f>
        <v>CLAUDIA SOUZA/ARQUIVO DA EDITORA</v>
      </c>
      <c r="Y666" s="23"/>
      <c r="Z666" s="23" t="str">
        <f>Tabela2[[#This Row],[ilustrador]]</f>
        <v>CLAUDIA SOUZA/ARQUIVO DA EDITORA</v>
      </c>
      <c r="AA666" s="22"/>
      <c r="AB666" s="20"/>
      <c r="AD666" s="4" t="str">
        <f>"Pitanguá"</f>
        <v>Pitanguá</v>
      </c>
      <c r="AE666" s="14" t="str">
        <f>"Matemática"</f>
        <v>Matemática</v>
      </c>
      <c r="AF666" s="14"/>
    </row>
    <row r="667" spans="1:32" x14ac:dyDescent="0.3">
      <c r="A667" s="23" t="s">
        <v>3841</v>
      </c>
      <c r="B667" s="20" t="s">
        <v>16</v>
      </c>
      <c r="C667" s="20" t="s">
        <v>7</v>
      </c>
      <c r="D667" s="20" t="s">
        <v>8</v>
      </c>
      <c r="E667" s="22">
        <v>77</v>
      </c>
      <c r="F667" s="22">
        <v>5</v>
      </c>
      <c r="G667" s="22">
        <v>3</v>
      </c>
      <c r="H667" s="22"/>
      <c r="I667" s="23" t="s">
        <v>9</v>
      </c>
      <c r="J667" s="23"/>
      <c r="K667" s="22"/>
      <c r="L667" s="22"/>
      <c r="M667" s="23"/>
      <c r="N667" s="23"/>
      <c r="O667" s="26" t="s">
        <v>3842</v>
      </c>
      <c r="P667" s="26"/>
      <c r="Q667" s="22"/>
      <c r="R667" s="24"/>
      <c r="S667" s="24"/>
      <c r="T667" s="24"/>
      <c r="U667" s="24"/>
      <c r="V667" s="24"/>
      <c r="W667" s="22" t="s">
        <v>327</v>
      </c>
      <c r="X667" s="4" t="str">
        <f>IF(Tabela2[[#This Row],[sigla]]="","",VLOOKUP(Tabela2[[#This Row],[sigla]],créditos_base!B:C,2,0))</f>
        <v>RAFAEL LAM/ARQUIVO DA EDITORA</v>
      </c>
      <c r="Y667" s="23"/>
      <c r="Z667" s="23" t="str">
        <f>Tabela2[[#This Row],[ilustrador]]</f>
        <v>RAFAEL LAM/ARQUIVO DA EDITORA</v>
      </c>
      <c r="AA667" s="22"/>
      <c r="AB667" s="20"/>
      <c r="AD667" s="4" t="str">
        <f>"Pitanguá"</f>
        <v>Pitanguá</v>
      </c>
      <c r="AE667" s="14" t="str">
        <f>"Matemática"</f>
        <v>Matemática</v>
      </c>
      <c r="AF667" s="14"/>
    </row>
    <row r="668" spans="1:32" x14ac:dyDescent="0.3">
      <c r="A668" s="23" t="s">
        <v>317</v>
      </c>
      <c r="B668" s="20" t="s">
        <v>16</v>
      </c>
      <c r="C668" s="20" t="s">
        <v>89</v>
      </c>
      <c r="D668" s="20" t="s">
        <v>8</v>
      </c>
      <c r="E668" s="22">
        <v>69</v>
      </c>
      <c r="F668" s="22">
        <v>1</v>
      </c>
      <c r="G668" s="22">
        <v>3</v>
      </c>
      <c r="H668" s="22"/>
      <c r="I668" s="23" t="s">
        <v>9</v>
      </c>
      <c r="J668" s="23"/>
      <c r="K668" s="22"/>
      <c r="L668" s="22"/>
      <c r="M668" s="23"/>
      <c r="N668" s="23"/>
      <c r="O668" s="26" t="s">
        <v>318</v>
      </c>
      <c r="P668" s="26"/>
      <c r="Q668" s="22"/>
      <c r="R668" s="24"/>
      <c r="S668" s="24"/>
      <c r="T668" s="24"/>
      <c r="U668" s="24"/>
      <c r="V668" s="24"/>
      <c r="W668" s="22" t="s">
        <v>12</v>
      </c>
      <c r="X668" s="4" t="str">
        <f>IF(Tabela2[[#This Row],[sigla]]="","",VLOOKUP(Tabela2[[#This Row],[sigla]],créditos_base!B:C,2,0))</f>
        <v>JORGE ZAIBA/ARQUIVO DA EDITORA</v>
      </c>
      <c r="Y668" s="23"/>
      <c r="Z668" s="23" t="str">
        <f>Tabela2[[#This Row],[ilustrador]]</f>
        <v>JORGE ZAIBA/ARQUIVO DA EDITORA</v>
      </c>
      <c r="AA668" s="22"/>
      <c r="AB668" s="20"/>
      <c r="AD668" s="4" t="str">
        <f>"Pitanguá"</f>
        <v>Pitanguá</v>
      </c>
      <c r="AE668" s="14" t="str">
        <f>"Matemática"</f>
        <v>Matemática</v>
      </c>
      <c r="AF668" s="14"/>
    </row>
    <row r="669" spans="1:32" x14ac:dyDescent="0.3">
      <c r="A669" s="23" t="s">
        <v>2949</v>
      </c>
      <c r="B669" s="20" t="s">
        <v>16</v>
      </c>
      <c r="C669" s="20" t="s">
        <v>7</v>
      </c>
      <c r="D669" s="20" t="s">
        <v>8</v>
      </c>
      <c r="E669" s="22">
        <v>78</v>
      </c>
      <c r="F669" s="22">
        <v>4</v>
      </c>
      <c r="G669" s="22">
        <v>3</v>
      </c>
      <c r="H669" s="22"/>
      <c r="I669" s="23" t="s">
        <v>33</v>
      </c>
      <c r="J669" s="23"/>
      <c r="K669" s="22"/>
      <c r="L669" s="22"/>
      <c r="M669" s="23"/>
      <c r="N669" s="23"/>
      <c r="O669" s="26" t="s">
        <v>2950</v>
      </c>
      <c r="P669" s="26"/>
      <c r="Q669" s="22">
        <v>131</v>
      </c>
      <c r="R669" s="24"/>
      <c r="S669" s="24">
        <v>45866</v>
      </c>
      <c r="T669" s="24"/>
      <c r="U669" s="24"/>
      <c r="V669" s="24">
        <v>45866</v>
      </c>
      <c r="W669" s="22" t="s">
        <v>12</v>
      </c>
      <c r="X669" s="4" t="str">
        <f>IF(Tabela2[[#This Row],[sigla]]="","",VLOOKUP(Tabela2[[#This Row],[sigla]],créditos_base!B:C,2,0))</f>
        <v>JORGE ZAIBA/ARQUIVO DA EDITORA</v>
      </c>
      <c r="Y669" s="23" t="s">
        <v>2951</v>
      </c>
      <c r="Z669" s="23" t="str">
        <f>Tabela2[[#This Row],[ilustrador]]</f>
        <v>JORGE ZAIBA/ARQUIVO DA EDITORA</v>
      </c>
      <c r="AA669" s="22">
        <v>14</v>
      </c>
      <c r="AB669" s="20" t="s">
        <v>1500</v>
      </c>
      <c r="AC669" s="20" t="s">
        <v>36</v>
      </c>
      <c r="AD669" s="4" t="str">
        <f>"Pitanguá"</f>
        <v>Pitanguá</v>
      </c>
      <c r="AE669" s="14" t="str">
        <f>"Matemática"</f>
        <v>Matemática</v>
      </c>
      <c r="AF669" s="14"/>
    </row>
    <row r="670" spans="1:32" ht="28.8" x14ac:dyDescent="0.3">
      <c r="A670" s="23" t="s">
        <v>3843</v>
      </c>
      <c r="B670" s="20" t="s">
        <v>16</v>
      </c>
      <c r="C670" s="20" t="s">
        <v>7</v>
      </c>
      <c r="D670" s="20" t="s">
        <v>8</v>
      </c>
      <c r="E670" s="22">
        <v>77</v>
      </c>
      <c r="F670" s="22">
        <v>5</v>
      </c>
      <c r="G670" s="22">
        <v>3</v>
      </c>
      <c r="H670" s="22"/>
      <c r="I670" s="23" t="s">
        <v>9</v>
      </c>
      <c r="J670" s="23"/>
      <c r="K670" s="22"/>
      <c r="L670" s="22"/>
      <c r="M670" s="23"/>
      <c r="N670" s="23"/>
      <c r="O670" s="26" t="s">
        <v>3844</v>
      </c>
      <c r="P670" s="26"/>
      <c r="Q670" s="22"/>
      <c r="R670" s="24"/>
      <c r="S670" s="24"/>
      <c r="T670" s="24"/>
      <c r="U670" s="24"/>
      <c r="V670" s="24"/>
      <c r="W670" s="22" t="s">
        <v>230</v>
      </c>
      <c r="X670" s="4" t="str">
        <f>IF(Tabela2[[#This Row],[sigla]]="","",VLOOKUP(Tabela2[[#This Row],[sigla]],créditos_base!B:C,2,0))</f>
        <v>RAFAEL L. GAION/ARQUIVO DA EDITORA</v>
      </c>
      <c r="Y670" s="23"/>
      <c r="Z670" s="23" t="str">
        <f>Tabela2[[#This Row],[ilustrador]]</f>
        <v>RAFAEL L. GAION/ARQUIVO DA EDITORA</v>
      </c>
      <c r="AA670" s="22"/>
      <c r="AB670" s="20"/>
      <c r="AD670" s="4" t="str">
        <f>"Pitanguá"</f>
        <v>Pitanguá</v>
      </c>
      <c r="AE670" s="14" t="str">
        <f>"Matemática"</f>
        <v>Matemática</v>
      </c>
      <c r="AF670" s="14"/>
    </row>
    <row r="671" spans="1:32" ht="28.8" x14ac:dyDescent="0.3">
      <c r="A671" s="23" t="s">
        <v>319</v>
      </c>
      <c r="B671" s="20" t="s">
        <v>16</v>
      </c>
      <c r="C671" s="20" t="s">
        <v>89</v>
      </c>
      <c r="D671" s="20" t="s">
        <v>8</v>
      </c>
      <c r="E671" s="22">
        <v>69</v>
      </c>
      <c r="F671" s="22">
        <v>1</v>
      </c>
      <c r="G671" s="22">
        <v>3</v>
      </c>
      <c r="H671" s="22"/>
      <c r="I671" s="23" t="s">
        <v>9</v>
      </c>
      <c r="J671" s="23"/>
      <c r="K671" s="22"/>
      <c r="L671" s="22"/>
      <c r="M671" s="23"/>
      <c r="N671" s="23"/>
      <c r="O671" s="26" t="s">
        <v>320</v>
      </c>
      <c r="P671" s="26"/>
      <c r="Q671" s="22"/>
      <c r="R671" s="24"/>
      <c r="S671" s="24"/>
      <c r="T671" s="24"/>
      <c r="U671" s="24"/>
      <c r="V671" s="24"/>
      <c r="W671" s="22" t="s">
        <v>12</v>
      </c>
      <c r="X671" s="4" t="str">
        <f>IF(Tabela2[[#This Row],[sigla]]="","",VLOOKUP(Tabela2[[#This Row],[sigla]],créditos_base!B:C,2,0))</f>
        <v>JORGE ZAIBA/ARQUIVO DA EDITORA</v>
      </c>
      <c r="Y671" s="23"/>
      <c r="Z671" s="23" t="str">
        <f>Tabela2[[#This Row],[ilustrador]]</f>
        <v>JORGE ZAIBA/ARQUIVO DA EDITORA</v>
      </c>
      <c r="AA671" s="22"/>
      <c r="AB671" s="20"/>
      <c r="AD671" s="4" t="str">
        <f>"Pitanguá"</f>
        <v>Pitanguá</v>
      </c>
      <c r="AE671" s="14" t="str">
        <f>"Matemática"</f>
        <v>Matemática</v>
      </c>
      <c r="AF671" s="14"/>
    </row>
    <row r="672" spans="1:32" ht="28.8" x14ac:dyDescent="0.3">
      <c r="A672" s="23" t="s">
        <v>2952</v>
      </c>
      <c r="B672" s="20" t="s">
        <v>16</v>
      </c>
      <c r="C672" s="20" t="s">
        <v>7</v>
      </c>
      <c r="D672" s="20" t="s">
        <v>8</v>
      </c>
      <c r="E672" s="22">
        <v>82</v>
      </c>
      <c r="F672" s="22">
        <v>4</v>
      </c>
      <c r="G672" s="22">
        <v>3</v>
      </c>
      <c r="H672" s="22"/>
      <c r="I672" s="23" t="s">
        <v>33</v>
      </c>
      <c r="J672" s="23"/>
      <c r="K672" s="22"/>
      <c r="L672" s="22"/>
      <c r="M672" s="23"/>
      <c r="N672" s="23"/>
      <c r="O672" s="26" t="s">
        <v>2953</v>
      </c>
      <c r="P672" s="26"/>
      <c r="Q672" s="22">
        <v>97</v>
      </c>
      <c r="R672" s="24">
        <v>45845</v>
      </c>
      <c r="S672" s="24">
        <v>45852</v>
      </c>
      <c r="T672" s="24"/>
      <c r="U672" s="24"/>
      <c r="V672" s="24">
        <v>45861</v>
      </c>
      <c r="W672" s="22" t="s">
        <v>230</v>
      </c>
      <c r="X672" s="4" t="str">
        <f>IF(Tabela2[[#This Row],[sigla]]="","",VLOOKUP(Tabela2[[#This Row],[sigla]],créditos_base!B:C,2,0))</f>
        <v>RAFAEL L. GAION/ARQUIVO DA EDITORA</v>
      </c>
      <c r="Y672" s="23" t="s">
        <v>433</v>
      </c>
      <c r="Z672" s="23" t="s">
        <v>482</v>
      </c>
      <c r="AA672" s="22">
        <v>13</v>
      </c>
      <c r="AB672" s="20" t="s">
        <v>153</v>
      </c>
      <c r="AC672" s="20" t="s">
        <v>36</v>
      </c>
      <c r="AD672" s="4" t="str">
        <f>"Pitanguá"</f>
        <v>Pitanguá</v>
      </c>
      <c r="AE672" s="14" t="str">
        <f>"Matemática"</f>
        <v>Matemática</v>
      </c>
      <c r="AF672" s="14"/>
    </row>
    <row r="673" spans="1:32" ht="28.8" x14ac:dyDescent="0.3">
      <c r="A673" s="23" t="s">
        <v>3845</v>
      </c>
      <c r="B673" s="20" t="s">
        <v>16</v>
      </c>
      <c r="C673" s="20" t="s">
        <v>7</v>
      </c>
      <c r="D673" s="20" t="s">
        <v>8</v>
      </c>
      <c r="E673" s="22">
        <v>78</v>
      </c>
      <c r="F673" s="22">
        <v>5</v>
      </c>
      <c r="G673" s="22">
        <v>3</v>
      </c>
      <c r="H673" s="22"/>
      <c r="I673" s="23" t="s">
        <v>33</v>
      </c>
      <c r="J673" s="23"/>
      <c r="K673" s="22"/>
      <c r="L673" s="22"/>
      <c r="M673" s="23"/>
      <c r="N673" s="23"/>
      <c r="O673" s="26" t="s">
        <v>3846</v>
      </c>
      <c r="P673" s="26"/>
      <c r="Q673" s="22">
        <v>55</v>
      </c>
      <c r="R673" s="24">
        <v>45803</v>
      </c>
      <c r="S673" s="24">
        <v>45810</v>
      </c>
      <c r="T673" s="24"/>
      <c r="U673" s="24"/>
      <c r="V673" s="24">
        <v>45810</v>
      </c>
      <c r="W673" s="22" t="s">
        <v>460</v>
      </c>
      <c r="X673" s="4" t="str">
        <f>IF(Tabela2[[#This Row],[sigla]]="","",VLOOKUP(Tabela2[[#This Row],[sigla]],créditos_base!B:C,2,0))</f>
        <v>CLAUDIA SOUZA/ARQUIVO DA EDITORA</v>
      </c>
      <c r="Y673" s="23" t="s">
        <v>1503</v>
      </c>
      <c r="Z673" s="23" t="str">
        <f>Tabela2[[#This Row],[ilustrador]]</f>
        <v>CLAUDIA SOUZA/ARQUIVO DA EDITORA</v>
      </c>
      <c r="AA673" s="22"/>
      <c r="AB673" s="28" t="s">
        <v>41</v>
      </c>
      <c r="AC673" s="20" t="s">
        <v>36</v>
      </c>
      <c r="AD673" s="4" t="str">
        <f>"Pitanguá"</f>
        <v>Pitanguá</v>
      </c>
      <c r="AE673" s="14" t="str">
        <f>"Matemática"</f>
        <v>Matemática</v>
      </c>
      <c r="AF673" s="14"/>
    </row>
    <row r="674" spans="1:32" ht="28.8" x14ac:dyDescent="0.3">
      <c r="A674" s="23" t="s">
        <v>321</v>
      </c>
      <c r="B674" s="20" t="s">
        <v>16</v>
      </c>
      <c r="C674" s="20" t="s">
        <v>89</v>
      </c>
      <c r="D674" s="20" t="s">
        <v>8</v>
      </c>
      <c r="E674" s="22">
        <v>70</v>
      </c>
      <c r="F674" s="22">
        <v>1</v>
      </c>
      <c r="G674" s="22">
        <v>3</v>
      </c>
      <c r="H674" s="22"/>
      <c r="I674" s="23" t="s">
        <v>9</v>
      </c>
      <c r="J674" s="23"/>
      <c r="K674" s="22"/>
      <c r="L674" s="22"/>
      <c r="M674" s="23"/>
      <c r="N674" s="23"/>
      <c r="O674" s="26" t="s">
        <v>322</v>
      </c>
      <c r="P674" s="26"/>
      <c r="Q674" s="22"/>
      <c r="R674" s="24"/>
      <c r="S674" s="24"/>
      <c r="T674" s="24"/>
      <c r="U674" s="24"/>
      <c r="V674" s="24"/>
      <c r="W674" s="22" t="s">
        <v>230</v>
      </c>
      <c r="X674" s="4" t="str">
        <f>IF(Tabela2[[#This Row],[sigla]]="","",VLOOKUP(Tabela2[[#This Row],[sigla]],créditos_base!B:C,2,0))</f>
        <v>RAFAEL L. GAION/ARQUIVO DA EDITORA</v>
      </c>
      <c r="Y674" s="23"/>
      <c r="Z674" s="23" t="str">
        <f>Tabela2[[#This Row],[ilustrador]]</f>
        <v>RAFAEL L. GAION/ARQUIVO DA EDITORA</v>
      </c>
      <c r="AA674" s="22"/>
      <c r="AB674" s="20"/>
      <c r="AD674" s="4" t="str">
        <f>"Pitanguá"</f>
        <v>Pitanguá</v>
      </c>
      <c r="AE674" s="14" t="str">
        <f>"Matemática"</f>
        <v>Matemática</v>
      </c>
      <c r="AF674" s="14"/>
    </row>
    <row r="675" spans="1:32" x14ac:dyDescent="0.3">
      <c r="A675" s="23" t="s">
        <v>1976</v>
      </c>
      <c r="B675" s="20" t="s">
        <v>16</v>
      </c>
      <c r="C675" s="20" t="s">
        <v>89</v>
      </c>
      <c r="D675" s="20" t="s">
        <v>8</v>
      </c>
      <c r="E675" s="22">
        <v>61</v>
      </c>
      <c r="F675" s="22">
        <v>3</v>
      </c>
      <c r="G675" s="22">
        <v>3</v>
      </c>
      <c r="H675" s="22"/>
      <c r="I675" s="23" t="s">
        <v>9</v>
      </c>
      <c r="J675" s="23"/>
      <c r="K675" s="22"/>
      <c r="L675" s="22"/>
      <c r="M675" s="23"/>
      <c r="N675" s="23"/>
      <c r="O675" s="26" t="s">
        <v>1977</v>
      </c>
      <c r="P675" s="26"/>
      <c r="Q675" s="22"/>
      <c r="R675" s="24"/>
      <c r="S675" s="24"/>
      <c r="T675" s="24"/>
      <c r="U675" s="24"/>
      <c r="V675" s="24"/>
      <c r="W675" s="22" t="s">
        <v>468</v>
      </c>
      <c r="X675" s="4" t="str">
        <f>IF(Tabela2[[#This Row],[sigla]]="","",VLOOKUP(Tabela2[[#This Row],[sigla]],créditos_base!B:C,2,0))</f>
        <v>VER DOCUMENTO DE ILS. TÉCNICAS</v>
      </c>
      <c r="Y675" s="23"/>
      <c r="Z675" s="23" t="s">
        <v>482</v>
      </c>
      <c r="AA675" s="22"/>
      <c r="AB675" s="20"/>
      <c r="AD675" s="4" t="str">
        <f>"Pitanguá"</f>
        <v>Pitanguá</v>
      </c>
      <c r="AE675" s="14" t="str">
        <f>"Matemática"</f>
        <v>Matemática</v>
      </c>
      <c r="AF675" s="14"/>
    </row>
    <row r="676" spans="1:32" ht="28.8" x14ac:dyDescent="0.3">
      <c r="A676" s="23" t="s">
        <v>323</v>
      </c>
      <c r="B676" s="20" t="s">
        <v>16</v>
      </c>
      <c r="C676" s="20" t="s">
        <v>89</v>
      </c>
      <c r="D676" s="20" t="s">
        <v>8</v>
      </c>
      <c r="E676" s="22">
        <v>70</v>
      </c>
      <c r="F676" s="22">
        <v>1</v>
      </c>
      <c r="G676" s="22">
        <v>3</v>
      </c>
      <c r="H676" s="22"/>
      <c r="I676" s="23" t="s">
        <v>9</v>
      </c>
      <c r="J676" s="23"/>
      <c r="K676" s="22"/>
      <c r="L676" s="22"/>
      <c r="M676" s="23"/>
      <c r="N676" s="23"/>
      <c r="O676" s="26" t="s">
        <v>324</v>
      </c>
      <c r="P676" s="26"/>
      <c r="Q676" s="22"/>
      <c r="R676" s="24"/>
      <c r="S676" s="24"/>
      <c r="T676" s="24"/>
      <c r="U676" s="24"/>
      <c r="V676" s="24"/>
      <c r="W676" s="22" t="s">
        <v>230</v>
      </c>
      <c r="X676" s="4" t="str">
        <f>IF(Tabela2[[#This Row],[sigla]]="","",VLOOKUP(Tabela2[[#This Row],[sigla]],créditos_base!B:C,2,0))</f>
        <v>RAFAEL L. GAION/ARQUIVO DA EDITORA</v>
      </c>
      <c r="Y676" s="23"/>
      <c r="Z676" s="23" t="str">
        <f>Tabela2[[#This Row],[ilustrador]]</f>
        <v>RAFAEL L. GAION/ARQUIVO DA EDITORA</v>
      </c>
      <c r="AA676" s="22"/>
      <c r="AB676" s="20"/>
      <c r="AD676" s="4" t="str">
        <f>"Pitanguá"</f>
        <v>Pitanguá</v>
      </c>
      <c r="AE676" s="14" t="str">
        <f>"Matemática"</f>
        <v>Matemática</v>
      </c>
      <c r="AF676" s="14"/>
    </row>
    <row r="677" spans="1:32" ht="28.8" x14ac:dyDescent="0.3">
      <c r="A677" s="23" t="s">
        <v>1299</v>
      </c>
      <c r="B677" s="20" t="s">
        <v>16</v>
      </c>
      <c r="C677" s="20" t="s">
        <v>7</v>
      </c>
      <c r="D677" s="20" t="s">
        <v>8</v>
      </c>
      <c r="E677" s="22" t="s">
        <v>1300</v>
      </c>
      <c r="F677" s="22">
        <v>2</v>
      </c>
      <c r="G677" s="22">
        <v>3</v>
      </c>
      <c r="H677" s="22"/>
      <c r="I677" s="23" t="s">
        <v>33</v>
      </c>
      <c r="J677" s="23"/>
      <c r="K677" s="22"/>
      <c r="L677" s="22"/>
      <c r="M677" s="23"/>
      <c r="N677" s="23"/>
      <c r="O677" s="26" t="s">
        <v>1301</v>
      </c>
      <c r="P677" s="26"/>
      <c r="Q677" s="22">
        <v>64</v>
      </c>
      <c r="R677" s="24">
        <v>45810</v>
      </c>
      <c r="S677" s="24">
        <v>45811</v>
      </c>
      <c r="T677" s="24"/>
      <c r="U677" s="24"/>
      <c r="V677" s="24">
        <v>45811</v>
      </c>
      <c r="W677" s="22" t="s">
        <v>327</v>
      </c>
      <c r="X677" s="4" t="str">
        <f>IF(Tabela2[[#This Row],[sigla]]="","",VLOOKUP(Tabela2[[#This Row],[sigla]],créditos_base!B:C,2,0))</f>
        <v>RAFAEL LAM/ARQUIVO DA EDITORA</v>
      </c>
      <c r="Y677" s="23" t="s">
        <v>1139</v>
      </c>
      <c r="Z677" s="23" t="str">
        <f>Tabela2[[#This Row],[ilustrador]]</f>
        <v>RAFAEL LAM/ARQUIVO DA EDITORA</v>
      </c>
      <c r="AA677" s="22">
        <v>13</v>
      </c>
      <c r="AB677" s="20" t="s">
        <v>1302</v>
      </c>
      <c r="AC677" s="20" t="s">
        <v>36</v>
      </c>
      <c r="AD677" s="4" t="str">
        <f>"Pitanguá"</f>
        <v>Pitanguá</v>
      </c>
      <c r="AE677" s="14" t="str">
        <f>"Matemática"</f>
        <v>Matemática</v>
      </c>
      <c r="AF677" s="14"/>
    </row>
    <row r="678" spans="1:32" ht="28.8" x14ac:dyDescent="0.3">
      <c r="A678" s="23" t="s">
        <v>325</v>
      </c>
      <c r="B678" s="20" t="s">
        <v>16</v>
      </c>
      <c r="C678" s="20" t="s">
        <v>89</v>
      </c>
      <c r="D678" s="20" t="s">
        <v>8</v>
      </c>
      <c r="E678" s="22">
        <v>70</v>
      </c>
      <c r="F678" s="22">
        <v>1</v>
      </c>
      <c r="G678" s="22">
        <v>3</v>
      </c>
      <c r="H678" s="22"/>
      <c r="I678" s="23" t="s">
        <v>9</v>
      </c>
      <c r="J678" s="23"/>
      <c r="K678" s="22"/>
      <c r="L678" s="22"/>
      <c r="M678" s="23"/>
      <c r="N678" s="23"/>
      <c r="O678" s="26" t="s">
        <v>326</v>
      </c>
      <c r="P678" s="26"/>
      <c r="Q678" s="22"/>
      <c r="R678" s="24"/>
      <c r="S678" s="24"/>
      <c r="T678" s="24"/>
      <c r="U678" s="24"/>
      <c r="V678" s="24"/>
      <c r="W678" s="22" t="s">
        <v>327</v>
      </c>
      <c r="X678" s="4" t="str">
        <f>IF(Tabela2[[#This Row],[sigla]]="","",VLOOKUP(Tabela2[[#This Row],[sigla]],créditos_base!B:C,2,0))</f>
        <v>RAFAEL LAM/ARQUIVO DA EDITORA</v>
      </c>
      <c r="Y678" s="23"/>
      <c r="Z678" s="23" t="str">
        <f>Tabela2[[#This Row],[ilustrador]]</f>
        <v>RAFAEL LAM/ARQUIVO DA EDITORA</v>
      </c>
      <c r="AA678" s="22"/>
      <c r="AB678" s="20"/>
      <c r="AD678" s="4" t="str">
        <f>"Pitanguá"</f>
        <v>Pitanguá</v>
      </c>
      <c r="AE678" s="14" t="str">
        <f>"Matemática"</f>
        <v>Matemática</v>
      </c>
      <c r="AF678" s="14"/>
    </row>
    <row r="679" spans="1:32" ht="28.8" x14ac:dyDescent="0.3">
      <c r="A679" s="23" t="s">
        <v>4416</v>
      </c>
      <c r="B679" s="20" t="s">
        <v>16</v>
      </c>
      <c r="C679" s="20" t="s">
        <v>7</v>
      </c>
      <c r="D679" s="20" t="s">
        <v>8</v>
      </c>
      <c r="E679" s="22">
        <v>92</v>
      </c>
      <c r="F679" s="22">
        <v>2</v>
      </c>
      <c r="G679" s="22">
        <v>3</v>
      </c>
      <c r="H679" s="22"/>
      <c r="I679" s="23" t="s">
        <v>33</v>
      </c>
      <c r="J679" s="23"/>
      <c r="K679" s="22"/>
      <c r="L679" s="22"/>
      <c r="M679" s="23"/>
      <c r="N679" s="23"/>
      <c r="O679" s="26" t="s">
        <v>4417</v>
      </c>
      <c r="P679" s="26"/>
      <c r="Q679" s="22">
        <v>64</v>
      </c>
      <c r="R679" s="24">
        <v>45810</v>
      </c>
      <c r="S679" s="24">
        <v>45811</v>
      </c>
      <c r="T679" s="24"/>
      <c r="U679" s="24"/>
      <c r="V679" s="24">
        <v>45811</v>
      </c>
      <c r="W679" s="22" t="s">
        <v>468</v>
      </c>
      <c r="X679" s="4" t="str">
        <f>IF(Tabela2[[#This Row],[sigla]]="","",VLOOKUP(Tabela2[[#This Row],[sigla]],créditos_base!B:C,2,0))</f>
        <v>VER DOCUMENTO DE ILS. TÉCNICAS</v>
      </c>
      <c r="Y679" s="23" t="s">
        <v>1139</v>
      </c>
      <c r="Z679" s="23" t="s">
        <v>482</v>
      </c>
      <c r="AA679" s="22">
        <v>13</v>
      </c>
      <c r="AB679" s="20" t="s">
        <v>1302</v>
      </c>
      <c r="AC679" s="20" t="s">
        <v>36</v>
      </c>
      <c r="AD679" s="4" t="str">
        <f>"Pitanguá"</f>
        <v>Pitanguá</v>
      </c>
      <c r="AE679" s="14" t="str">
        <f>"Matemática"</f>
        <v>Matemática</v>
      </c>
      <c r="AF679" s="14"/>
    </row>
    <row r="680" spans="1:32" ht="28.8" x14ac:dyDescent="0.3">
      <c r="A680" s="23" t="s">
        <v>2954</v>
      </c>
      <c r="B680" s="20" t="s">
        <v>16</v>
      </c>
      <c r="C680" s="20" t="s">
        <v>7</v>
      </c>
      <c r="D680" s="20" t="s">
        <v>8</v>
      </c>
      <c r="E680" s="22">
        <v>81</v>
      </c>
      <c r="F680" s="22">
        <v>4</v>
      </c>
      <c r="G680" s="22">
        <v>3</v>
      </c>
      <c r="H680" s="22"/>
      <c r="I680" s="23" t="s">
        <v>33</v>
      </c>
      <c r="J680" s="23"/>
      <c r="K680" s="22"/>
      <c r="L680" s="22"/>
      <c r="M680" s="23"/>
      <c r="N680" s="23"/>
      <c r="O680" s="26" t="s">
        <v>2955</v>
      </c>
      <c r="P680" s="26"/>
      <c r="Q680" s="22">
        <v>131</v>
      </c>
      <c r="R680" s="24"/>
      <c r="S680" s="24">
        <v>45866</v>
      </c>
      <c r="T680" s="24"/>
      <c r="U680" s="24"/>
      <c r="V680" s="24">
        <v>45866</v>
      </c>
      <c r="W680" s="22" t="s">
        <v>87</v>
      </c>
      <c r="X680" s="4" t="str">
        <f>IF(Tabela2[[#This Row],[sigla]]="","",VLOOKUP(Tabela2[[#This Row],[sigla]],créditos_base!B:C,2,0))</f>
        <v>CHRIS BORGES/ARQUIVO DA EDITORA</v>
      </c>
      <c r="Y680" s="23" t="s">
        <v>2951</v>
      </c>
      <c r="Z680" s="23" t="str">
        <f>Tabela2[[#This Row],[ilustrador]]</f>
        <v>CHRIS BORGES/ARQUIVO DA EDITORA</v>
      </c>
      <c r="AA680" s="22">
        <v>14</v>
      </c>
      <c r="AB680" s="20" t="s">
        <v>1500</v>
      </c>
      <c r="AC680" s="20" t="s">
        <v>36</v>
      </c>
      <c r="AD680" s="4" t="str">
        <f>"Pitanguá"</f>
        <v>Pitanguá</v>
      </c>
      <c r="AE680" s="14" t="str">
        <f>"Matemática"</f>
        <v>Matemática</v>
      </c>
      <c r="AF680" s="14"/>
    </row>
    <row r="681" spans="1:32" x14ac:dyDescent="0.3">
      <c r="A681" s="23" t="s">
        <v>328</v>
      </c>
      <c r="B681" s="20" t="s">
        <v>16</v>
      </c>
      <c r="C681" s="20" t="s">
        <v>89</v>
      </c>
      <c r="D681" s="20" t="s">
        <v>8</v>
      </c>
      <c r="E681" s="22">
        <v>70</v>
      </c>
      <c r="F681" s="22">
        <v>1</v>
      </c>
      <c r="G681" s="22">
        <v>3</v>
      </c>
      <c r="H681" s="22"/>
      <c r="I681" s="23" t="s">
        <v>9</v>
      </c>
      <c r="J681" s="23"/>
      <c r="K681" s="22"/>
      <c r="L681" s="22"/>
      <c r="M681" s="23"/>
      <c r="N681" s="23"/>
      <c r="O681" s="26" t="s">
        <v>329</v>
      </c>
      <c r="P681" s="26"/>
      <c r="Q681" s="22"/>
      <c r="R681" s="24"/>
      <c r="S681" s="24"/>
      <c r="T681" s="24"/>
      <c r="U681" s="24"/>
      <c r="V681" s="24"/>
      <c r="W681" s="22" t="s">
        <v>327</v>
      </c>
      <c r="X681" s="4" t="str">
        <f>IF(Tabela2[[#This Row],[sigla]]="","",VLOOKUP(Tabela2[[#This Row],[sigla]],créditos_base!B:C,2,0))</f>
        <v>RAFAEL LAM/ARQUIVO DA EDITORA</v>
      </c>
      <c r="Y681" s="23"/>
      <c r="Z681" s="23" t="str">
        <f>Tabela2[[#This Row],[ilustrador]]</f>
        <v>RAFAEL LAM/ARQUIVO DA EDITORA</v>
      </c>
      <c r="AA681" s="22"/>
      <c r="AB681" s="20"/>
      <c r="AD681" s="4" t="str">
        <f>"Pitanguá"</f>
        <v>Pitanguá</v>
      </c>
      <c r="AE681" s="14" t="str">
        <f>"Matemática"</f>
        <v>Matemática</v>
      </c>
      <c r="AF681" s="14"/>
    </row>
    <row r="682" spans="1:32" ht="43.2" x14ac:dyDescent="0.3">
      <c r="A682" s="23" t="s">
        <v>2956</v>
      </c>
      <c r="B682" s="20" t="s">
        <v>16</v>
      </c>
      <c r="C682" s="20" t="s">
        <v>7</v>
      </c>
      <c r="D682" s="20" t="s">
        <v>8</v>
      </c>
      <c r="E682" s="22">
        <v>83</v>
      </c>
      <c r="F682" s="22">
        <v>4</v>
      </c>
      <c r="G682" s="22">
        <v>3</v>
      </c>
      <c r="H682" s="22"/>
      <c r="I682" s="23" t="s">
        <v>9</v>
      </c>
      <c r="J682" s="23"/>
      <c r="K682" s="22"/>
      <c r="L682" s="22"/>
      <c r="M682" s="23"/>
      <c r="N682" s="23"/>
      <c r="O682" s="26" t="s">
        <v>2957</v>
      </c>
      <c r="P682" s="26"/>
      <c r="Q682" s="22"/>
      <c r="R682" s="24"/>
      <c r="S682" s="24"/>
      <c r="T682" s="24"/>
      <c r="U682" s="24"/>
      <c r="V682" s="24"/>
      <c r="W682" s="22" t="s">
        <v>468</v>
      </c>
      <c r="X682" s="4" t="str">
        <f>IF(Tabela2[[#This Row],[sigla]]="","",VLOOKUP(Tabela2[[#This Row],[sigla]],créditos_base!B:C,2,0))</f>
        <v>VER DOCUMENTO DE ILS. TÉCNICAS</v>
      </c>
      <c r="Y682" s="23"/>
      <c r="Z682" s="23" t="s">
        <v>2958</v>
      </c>
      <c r="AA682" s="22"/>
      <c r="AB682" s="20"/>
      <c r="AD682" s="4" t="str">
        <f>"Pitanguá"</f>
        <v>Pitanguá</v>
      </c>
      <c r="AE682" s="14" t="str">
        <f>"Matemática"</f>
        <v>Matemática</v>
      </c>
      <c r="AF682" s="14"/>
    </row>
    <row r="683" spans="1:32" x14ac:dyDescent="0.3">
      <c r="A683" s="23" t="s">
        <v>330</v>
      </c>
      <c r="B683" s="20" t="s">
        <v>16</v>
      </c>
      <c r="C683" s="20" t="s">
        <v>89</v>
      </c>
      <c r="D683" s="20" t="s">
        <v>8</v>
      </c>
      <c r="E683" s="22">
        <v>71</v>
      </c>
      <c r="F683" s="22">
        <v>1</v>
      </c>
      <c r="G683" s="22">
        <v>3</v>
      </c>
      <c r="H683" s="22"/>
      <c r="I683" s="23" t="s">
        <v>9</v>
      </c>
      <c r="J683" s="23"/>
      <c r="K683" s="22"/>
      <c r="L683" s="22"/>
      <c r="M683" s="23"/>
      <c r="N683" s="23"/>
      <c r="O683" s="26" t="s">
        <v>331</v>
      </c>
      <c r="P683" s="26"/>
      <c r="Q683" s="22"/>
      <c r="R683" s="24"/>
      <c r="S683" s="24"/>
      <c r="T683" s="24"/>
      <c r="U683" s="24"/>
      <c r="V683" s="24"/>
      <c r="W683" s="22" t="s">
        <v>332</v>
      </c>
      <c r="X683" s="4" t="str">
        <f>IF(Tabela2[[#This Row],[sigla]]="","",VLOOKUP(Tabela2[[#This Row],[sigla]],créditos_base!B:C,2,0))</f>
        <v>CYNTHIA SEKIGUCHI/ARQUIVO DA EDITORA</v>
      </c>
      <c r="Y683" s="23"/>
      <c r="Z683" s="23" t="str">
        <f>Tabela2[[#This Row],[ilustrador]]</f>
        <v>CYNTHIA SEKIGUCHI/ARQUIVO DA EDITORA</v>
      </c>
      <c r="AA683" s="22"/>
      <c r="AB683" s="20"/>
      <c r="AD683" s="4" t="str">
        <f>"Pitanguá"</f>
        <v>Pitanguá</v>
      </c>
      <c r="AE683" s="14" t="str">
        <f>"Matemática"</f>
        <v>Matemática</v>
      </c>
      <c r="AF683" s="14"/>
    </row>
    <row r="684" spans="1:32" x14ac:dyDescent="0.3">
      <c r="A684" s="23" t="s">
        <v>1305</v>
      </c>
      <c r="B684" s="20" t="s">
        <v>16</v>
      </c>
      <c r="C684" s="20" t="s">
        <v>7</v>
      </c>
      <c r="D684" s="20" t="s">
        <v>8</v>
      </c>
      <c r="E684" s="22">
        <v>56</v>
      </c>
      <c r="F684" s="22">
        <v>2</v>
      </c>
      <c r="G684" s="22">
        <v>3</v>
      </c>
      <c r="H684" s="22"/>
      <c r="I684" s="23" t="s">
        <v>9</v>
      </c>
      <c r="J684" s="23"/>
      <c r="K684" s="22"/>
      <c r="L684" s="22"/>
      <c r="M684" s="23"/>
      <c r="N684" s="23"/>
      <c r="O684" s="26" t="s">
        <v>1306</v>
      </c>
      <c r="P684" s="26"/>
      <c r="Q684" s="22"/>
      <c r="R684" s="24"/>
      <c r="S684" s="24"/>
      <c r="T684" s="24"/>
      <c r="U684" s="24"/>
      <c r="V684" s="24"/>
      <c r="W684" s="22" t="s">
        <v>31</v>
      </c>
      <c r="X684" s="4" t="str">
        <f>IF(Tabela2[[#This Row],[sigla]]="","",VLOOKUP(Tabela2[[#This Row],[sigla]],créditos_base!B:C,2,0))</f>
        <v>SILVIA OTOFUJI/ARQUIVO DA EDITORA</v>
      </c>
      <c r="Y684" s="23"/>
      <c r="Z684" s="23" t="str">
        <f>Tabela2[[#This Row],[ilustrador]]</f>
        <v>SILVIA OTOFUJI/ARQUIVO DA EDITORA</v>
      </c>
      <c r="AA684" s="22"/>
      <c r="AB684" s="20"/>
      <c r="AD684" s="4" t="str">
        <f>"Pitanguá"</f>
        <v>Pitanguá</v>
      </c>
      <c r="AE684" s="14" t="str">
        <f>"Matemática"</f>
        <v>Matemática</v>
      </c>
      <c r="AF684" s="14"/>
    </row>
    <row r="685" spans="1:32" x14ac:dyDescent="0.3">
      <c r="A685" s="23" t="s">
        <v>333</v>
      </c>
      <c r="B685" s="20" t="s">
        <v>16</v>
      </c>
      <c r="C685" s="20" t="s">
        <v>89</v>
      </c>
      <c r="D685" s="20" t="s">
        <v>8</v>
      </c>
      <c r="E685" s="22">
        <v>71</v>
      </c>
      <c r="F685" s="22">
        <v>1</v>
      </c>
      <c r="G685" s="22">
        <v>3</v>
      </c>
      <c r="H685" s="22"/>
      <c r="I685" s="23" t="s">
        <v>9</v>
      </c>
      <c r="J685" s="23"/>
      <c r="K685" s="22"/>
      <c r="L685" s="22"/>
      <c r="M685" s="23"/>
      <c r="N685" s="23"/>
      <c r="O685" s="26" t="s">
        <v>334</v>
      </c>
      <c r="P685" s="26"/>
      <c r="Q685" s="22"/>
      <c r="R685" s="24"/>
      <c r="S685" s="24"/>
      <c r="T685" s="24"/>
      <c r="U685" s="24"/>
      <c r="V685" s="24"/>
      <c r="W685" s="22" t="s">
        <v>332</v>
      </c>
      <c r="X685" s="4" t="str">
        <f>IF(Tabela2[[#This Row],[sigla]]="","",VLOOKUP(Tabela2[[#This Row],[sigla]],créditos_base!B:C,2,0))</f>
        <v>CYNTHIA SEKIGUCHI/ARQUIVO DA EDITORA</v>
      </c>
      <c r="Y685" s="23"/>
      <c r="Z685" s="23" t="str">
        <f>Tabela2[[#This Row],[ilustrador]]</f>
        <v>CYNTHIA SEKIGUCHI/ARQUIVO DA EDITORA</v>
      </c>
      <c r="AA685" s="22"/>
      <c r="AB685" s="20"/>
      <c r="AD685" s="4" t="str">
        <f>"Pitanguá"</f>
        <v>Pitanguá</v>
      </c>
      <c r="AE685" s="14" t="str">
        <f>"Matemática"</f>
        <v>Matemática</v>
      </c>
      <c r="AF685" s="14"/>
    </row>
    <row r="686" spans="1:32" x14ac:dyDescent="0.3">
      <c r="A686" s="23" t="s">
        <v>1307</v>
      </c>
      <c r="B686" s="20" t="s">
        <v>16</v>
      </c>
      <c r="C686" s="20" t="s">
        <v>7</v>
      </c>
      <c r="D686" s="20" t="s">
        <v>8</v>
      </c>
      <c r="E686" s="22">
        <v>56</v>
      </c>
      <c r="F686" s="22">
        <v>2</v>
      </c>
      <c r="G686" s="22">
        <v>3</v>
      </c>
      <c r="H686" s="22"/>
      <c r="I686" s="23" t="s">
        <v>9</v>
      </c>
      <c r="J686" s="23"/>
      <c r="K686" s="22"/>
      <c r="L686" s="22"/>
      <c r="M686" s="23"/>
      <c r="N686" s="23"/>
      <c r="O686" s="26" t="s">
        <v>1308</v>
      </c>
      <c r="P686" s="26"/>
      <c r="Q686" s="22"/>
      <c r="R686" s="24"/>
      <c r="S686" s="24"/>
      <c r="T686" s="24"/>
      <c r="U686" s="24"/>
      <c r="V686" s="24"/>
      <c r="W686" s="22" t="s">
        <v>31</v>
      </c>
      <c r="X686" s="4" t="str">
        <f>IF(Tabela2[[#This Row],[sigla]]="","",VLOOKUP(Tabela2[[#This Row],[sigla]],créditos_base!B:C,2,0))</f>
        <v>SILVIA OTOFUJI/ARQUIVO DA EDITORA</v>
      </c>
      <c r="Y686" s="23"/>
      <c r="Z686" s="23" t="str">
        <f>Tabela2[[#This Row],[ilustrador]]</f>
        <v>SILVIA OTOFUJI/ARQUIVO DA EDITORA</v>
      </c>
      <c r="AA686" s="22"/>
      <c r="AB686" s="20"/>
      <c r="AD686" s="4" t="str">
        <f>"Pitanguá"</f>
        <v>Pitanguá</v>
      </c>
      <c r="AE686" s="14" t="str">
        <f>"Matemática"</f>
        <v>Matemática</v>
      </c>
      <c r="AF686" s="14"/>
    </row>
    <row r="687" spans="1:32" ht="43.2" x14ac:dyDescent="0.3">
      <c r="A687" s="23" t="s">
        <v>2961</v>
      </c>
      <c r="B687" s="20" t="s">
        <v>6</v>
      </c>
      <c r="C687" s="20" t="s">
        <v>7</v>
      </c>
      <c r="D687" s="20" t="s">
        <v>8</v>
      </c>
      <c r="E687" s="22" t="s">
        <v>1300</v>
      </c>
      <c r="F687" s="22">
        <v>4</v>
      </c>
      <c r="G687" s="22">
        <v>2</v>
      </c>
      <c r="H687" s="22"/>
      <c r="I687" s="23" t="s">
        <v>9</v>
      </c>
      <c r="J687" s="23"/>
      <c r="K687" s="22"/>
      <c r="L687" s="22"/>
      <c r="M687" s="23"/>
      <c r="N687" s="23"/>
      <c r="O687" s="26" t="s">
        <v>2962</v>
      </c>
      <c r="P687" s="26"/>
      <c r="Q687" s="22"/>
      <c r="R687" s="24"/>
      <c r="S687" s="24"/>
      <c r="T687" s="24"/>
      <c r="U687" s="24"/>
      <c r="V687" s="24"/>
      <c r="W687" s="22" t="s">
        <v>940</v>
      </c>
      <c r="X687" s="4" t="str">
        <f>IF(Tabela2[[#This Row],[sigla]]="","",VLOOKUP(Tabela2[[#This Row],[sigla]],créditos_base!B:C,2,0))</f>
        <v>RONALDO LUCENA/ARQUIVO DA EDITORA</v>
      </c>
      <c r="Y687" s="23"/>
      <c r="Z687" s="23" t="str">
        <f>Tabela2[[#This Row],[ilustrador]]</f>
        <v>RONALDO LUCENA/ARQUIVO DA EDITORA</v>
      </c>
      <c r="AA687" s="22"/>
      <c r="AB687" s="20"/>
      <c r="AD687" s="4" t="str">
        <f>"Pitanguá"</f>
        <v>Pitanguá</v>
      </c>
      <c r="AE687" s="14" t="str">
        <f>"Matemática"</f>
        <v>Matemática</v>
      </c>
      <c r="AF687" s="14"/>
    </row>
    <row r="688" spans="1:32" ht="57.6" x14ac:dyDescent="0.3">
      <c r="A688" s="23" t="s">
        <v>335</v>
      </c>
      <c r="B688" s="20" t="s">
        <v>16</v>
      </c>
      <c r="C688" s="20" t="s">
        <v>89</v>
      </c>
      <c r="D688" s="20" t="s">
        <v>8</v>
      </c>
      <c r="E688" s="22">
        <v>71</v>
      </c>
      <c r="F688" s="22">
        <v>1</v>
      </c>
      <c r="G688" s="22">
        <v>3</v>
      </c>
      <c r="H688" s="22"/>
      <c r="I688" s="23" t="s">
        <v>9</v>
      </c>
      <c r="J688" s="23"/>
      <c r="K688" s="22"/>
      <c r="L688" s="22"/>
      <c r="M688" s="23"/>
      <c r="N688" s="23"/>
      <c r="O688" s="26" t="s">
        <v>336</v>
      </c>
      <c r="P688" s="26"/>
      <c r="Q688" s="22"/>
      <c r="R688" s="24"/>
      <c r="S688" s="24"/>
      <c r="T688" s="24"/>
      <c r="U688" s="24"/>
      <c r="V688" s="24"/>
      <c r="W688" s="22" t="s">
        <v>332</v>
      </c>
      <c r="X688" s="4" t="str">
        <f>IF(Tabela2[[#This Row],[sigla]]="","",VLOOKUP(Tabela2[[#This Row],[sigla]],créditos_base!B:C,2,0))</f>
        <v>CYNTHIA SEKIGUCHI/ARQUIVO DA EDITORA</v>
      </c>
      <c r="Y688" s="23"/>
      <c r="Z688" s="23" t="str">
        <f>Tabela2[[#This Row],[ilustrador]]</f>
        <v>CYNTHIA SEKIGUCHI/ARQUIVO DA EDITORA</v>
      </c>
      <c r="AA688" s="22"/>
      <c r="AB688" s="20"/>
      <c r="AD688" s="4" t="str">
        <f>"Pitanguá"</f>
        <v>Pitanguá</v>
      </c>
      <c r="AE688" s="14" t="str">
        <f>"Matemática"</f>
        <v>Matemática</v>
      </c>
      <c r="AF688" s="14"/>
    </row>
    <row r="689" spans="1:32" ht="28.8" x14ac:dyDescent="0.3">
      <c r="A689" s="23" t="s">
        <v>1309</v>
      </c>
      <c r="B689" s="20" t="s">
        <v>16</v>
      </c>
      <c r="C689" s="20" t="s">
        <v>7</v>
      </c>
      <c r="D689" s="20" t="s">
        <v>8</v>
      </c>
      <c r="E689" s="22">
        <v>56</v>
      </c>
      <c r="F689" s="22">
        <v>2</v>
      </c>
      <c r="G689" s="22">
        <v>3</v>
      </c>
      <c r="H689" s="22"/>
      <c r="I689" s="23" t="s">
        <v>9</v>
      </c>
      <c r="J689" s="23"/>
      <c r="K689" s="22"/>
      <c r="L689" s="22"/>
      <c r="M689" s="23"/>
      <c r="N689" s="23"/>
      <c r="O689" s="26" t="s">
        <v>1310</v>
      </c>
      <c r="P689" s="26"/>
      <c r="Q689" s="22"/>
      <c r="R689" s="24"/>
      <c r="S689" s="24"/>
      <c r="T689" s="24"/>
      <c r="U689" s="24"/>
      <c r="V689" s="24"/>
      <c r="W689" s="22" t="s">
        <v>31</v>
      </c>
      <c r="X689" s="4" t="str">
        <f>IF(Tabela2[[#This Row],[sigla]]="","",VLOOKUP(Tabela2[[#This Row],[sigla]],créditos_base!B:C,2,0))</f>
        <v>SILVIA OTOFUJI/ARQUIVO DA EDITORA</v>
      </c>
      <c r="Y689" s="23"/>
      <c r="Z689" s="23" t="str">
        <f>Tabela2[[#This Row],[ilustrador]]</f>
        <v>SILVIA OTOFUJI/ARQUIVO DA EDITORA</v>
      </c>
      <c r="AA689" s="22"/>
      <c r="AB689" s="20"/>
      <c r="AD689" s="4" t="str">
        <f>"Pitanguá"</f>
        <v>Pitanguá</v>
      </c>
      <c r="AE689" s="14" t="str">
        <f>"Matemática"</f>
        <v>Matemática</v>
      </c>
      <c r="AF689" s="14"/>
    </row>
    <row r="690" spans="1:32" ht="28.8" x14ac:dyDescent="0.3">
      <c r="A690" s="23" t="s">
        <v>1978</v>
      </c>
      <c r="B690" s="20" t="s">
        <v>16</v>
      </c>
      <c r="C690" s="20" t="s">
        <v>7</v>
      </c>
      <c r="D690" s="20" t="s">
        <v>8</v>
      </c>
      <c r="E690" s="22">
        <v>63</v>
      </c>
      <c r="F690" s="22">
        <v>3</v>
      </c>
      <c r="G690" s="22">
        <v>3</v>
      </c>
      <c r="H690" s="22"/>
      <c r="I690" s="23" t="s">
        <v>9</v>
      </c>
      <c r="J690" s="23"/>
      <c r="K690" s="22"/>
      <c r="L690" s="22"/>
      <c r="M690" s="23"/>
      <c r="N690" s="23"/>
      <c r="O690" s="26" t="s">
        <v>1979</v>
      </c>
      <c r="P690" s="26"/>
      <c r="Q690" s="22"/>
      <c r="R690" s="24"/>
      <c r="S690" s="24"/>
      <c r="T690" s="24"/>
      <c r="U690" s="24"/>
      <c r="V690" s="24"/>
      <c r="W690" s="22" t="s">
        <v>468</v>
      </c>
      <c r="X690" s="4" t="str">
        <f>IF(Tabela2[[#This Row],[sigla]]="","",VLOOKUP(Tabela2[[#This Row],[sigla]],créditos_base!B:C,2,0))</f>
        <v>VER DOCUMENTO DE ILS. TÉCNICAS</v>
      </c>
      <c r="Y690" s="23"/>
      <c r="Z690" s="23" t="s">
        <v>482</v>
      </c>
      <c r="AA690" s="22"/>
      <c r="AB690" s="20"/>
      <c r="AD690" s="4" t="str">
        <f>"Pitanguá"</f>
        <v>Pitanguá</v>
      </c>
      <c r="AE690" s="14" t="str">
        <f>"Matemática"</f>
        <v>Matemática</v>
      </c>
      <c r="AF690" s="14"/>
    </row>
    <row r="691" spans="1:32" ht="28.8" x14ac:dyDescent="0.3">
      <c r="A691" s="23" t="s">
        <v>337</v>
      </c>
      <c r="B691" s="20" t="s">
        <v>16</v>
      </c>
      <c r="C691" s="20" t="s">
        <v>89</v>
      </c>
      <c r="D691" s="20" t="s">
        <v>8</v>
      </c>
      <c r="E691" s="22">
        <v>71</v>
      </c>
      <c r="F691" s="22">
        <v>1</v>
      </c>
      <c r="G691" s="22">
        <v>3</v>
      </c>
      <c r="H691" s="22"/>
      <c r="I691" s="23" t="s">
        <v>9</v>
      </c>
      <c r="J691" s="23"/>
      <c r="K691" s="22"/>
      <c r="L691" s="22"/>
      <c r="M691" s="23"/>
      <c r="N691" s="23"/>
      <c r="O691" s="26" t="s">
        <v>338</v>
      </c>
      <c r="P691" s="26"/>
      <c r="Q691" s="22"/>
      <c r="R691" s="24"/>
      <c r="S691" s="24"/>
      <c r="T691" s="24"/>
      <c r="U691" s="24"/>
      <c r="V691" s="24"/>
      <c r="W691" s="22" t="s">
        <v>332</v>
      </c>
      <c r="X691" s="4" t="str">
        <f>IF(Tabela2[[#This Row],[sigla]]="","",VLOOKUP(Tabela2[[#This Row],[sigla]],créditos_base!B:C,2,0))</f>
        <v>CYNTHIA SEKIGUCHI/ARQUIVO DA EDITORA</v>
      </c>
      <c r="Y691" s="23"/>
      <c r="Z691" s="23" t="str">
        <f>Tabela2[[#This Row],[ilustrador]]</f>
        <v>CYNTHIA SEKIGUCHI/ARQUIVO DA EDITORA</v>
      </c>
      <c r="AA691" s="22"/>
      <c r="AB691" s="20"/>
      <c r="AD691" s="4" t="str">
        <f>"Pitanguá"</f>
        <v>Pitanguá</v>
      </c>
      <c r="AE691" s="14" t="str">
        <f>"Matemática"</f>
        <v>Matemática</v>
      </c>
      <c r="AF691" s="14"/>
    </row>
    <row r="692" spans="1:32" ht="28.8" x14ac:dyDescent="0.3">
      <c r="A692" s="23" t="s">
        <v>339</v>
      </c>
      <c r="B692" s="20" t="s">
        <v>16</v>
      </c>
      <c r="C692" s="20" t="s">
        <v>7</v>
      </c>
      <c r="D692" s="20" t="s">
        <v>8</v>
      </c>
      <c r="E692" s="22">
        <v>72</v>
      </c>
      <c r="F692" s="22">
        <v>1</v>
      </c>
      <c r="G692" s="22">
        <v>3</v>
      </c>
      <c r="H692" s="22"/>
      <c r="I692" s="23" t="s">
        <v>9</v>
      </c>
      <c r="J692" s="23"/>
      <c r="K692" s="22"/>
      <c r="L692" s="22"/>
      <c r="M692" s="23"/>
      <c r="N692" s="23"/>
      <c r="O692" s="26" t="s">
        <v>340</v>
      </c>
      <c r="P692" s="26"/>
      <c r="Q692" s="22"/>
      <c r="R692" s="24"/>
      <c r="S692" s="24"/>
      <c r="T692" s="24"/>
      <c r="U692" s="24"/>
      <c r="V692" s="24"/>
      <c r="W692" s="22" t="s">
        <v>31</v>
      </c>
      <c r="X692" s="4" t="str">
        <f>IF(Tabela2[[#This Row],[sigla]]="","",VLOOKUP(Tabela2[[#This Row],[sigla]],créditos_base!B:C,2,0))</f>
        <v>SILVIA OTOFUJI/ARQUIVO DA EDITORA</v>
      </c>
      <c r="Y692" s="23"/>
      <c r="Z692" s="23" t="str">
        <f>Tabela2[[#This Row],[ilustrador]]</f>
        <v>SILVIA OTOFUJI/ARQUIVO DA EDITORA</v>
      </c>
      <c r="AA692" s="22"/>
      <c r="AB692" s="20"/>
      <c r="AD692" s="4" t="str">
        <f>"Pitanguá"</f>
        <v>Pitanguá</v>
      </c>
      <c r="AE692" s="14" t="str">
        <f>"Matemática"</f>
        <v>Matemática</v>
      </c>
      <c r="AF692" s="14"/>
    </row>
    <row r="693" spans="1:32" ht="28.8" x14ac:dyDescent="0.3">
      <c r="A693" s="23" t="s">
        <v>1311</v>
      </c>
      <c r="B693" s="20" t="s">
        <v>16</v>
      </c>
      <c r="C693" s="20" t="s">
        <v>89</v>
      </c>
      <c r="D693" s="20" t="s">
        <v>8</v>
      </c>
      <c r="E693" s="22">
        <v>57</v>
      </c>
      <c r="F693" s="22">
        <v>2</v>
      </c>
      <c r="G693" s="22">
        <v>3</v>
      </c>
      <c r="H693" s="22"/>
      <c r="I693" s="23" t="s">
        <v>9</v>
      </c>
      <c r="J693" s="23"/>
      <c r="K693" s="22"/>
      <c r="L693" s="22"/>
      <c r="M693" s="23"/>
      <c r="N693" s="23"/>
      <c r="O693" s="26" t="s">
        <v>1312</v>
      </c>
      <c r="P693" s="26"/>
      <c r="Q693" s="22"/>
      <c r="R693" s="24"/>
      <c r="S693" s="24"/>
      <c r="T693" s="24"/>
      <c r="U693" s="24"/>
      <c r="V693" s="24"/>
      <c r="W693" s="22" t="s">
        <v>468</v>
      </c>
      <c r="X693" s="4" t="str">
        <f>IF(Tabela2[[#This Row],[sigla]]="","",VLOOKUP(Tabela2[[#This Row],[sigla]],créditos_base!B:C,2,0))</f>
        <v>VER DOCUMENTO DE ILS. TÉCNICAS</v>
      </c>
      <c r="Y693" s="23"/>
      <c r="Z693" s="23" t="s">
        <v>689</v>
      </c>
      <c r="AA693" s="22"/>
      <c r="AB693" s="20"/>
      <c r="AD693" s="4" t="str">
        <f>"Pitanguá"</f>
        <v>Pitanguá</v>
      </c>
      <c r="AE693" s="14" t="str">
        <f>"Matemática"</f>
        <v>Matemática</v>
      </c>
      <c r="AF693" s="14"/>
    </row>
    <row r="694" spans="1:32" ht="28.8" x14ac:dyDescent="0.3">
      <c r="A694" s="23" t="s">
        <v>1982</v>
      </c>
      <c r="B694" s="20" t="s">
        <v>6</v>
      </c>
      <c r="C694" s="20" t="s">
        <v>89</v>
      </c>
      <c r="D694" s="20" t="s">
        <v>8</v>
      </c>
      <c r="E694" s="22">
        <v>195</v>
      </c>
      <c r="F694" s="22">
        <v>3</v>
      </c>
      <c r="G694" s="22">
        <v>3</v>
      </c>
      <c r="H694" s="22"/>
      <c r="I694" s="23" t="s">
        <v>9</v>
      </c>
      <c r="J694" s="23"/>
      <c r="K694" s="22"/>
      <c r="L694" s="22"/>
      <c r="M694" s="23"/>
      <c r="N694" s="23"/>
      <c r="O694" s="26" t="s">
        <v>1983</v>
      </c>
      <c r="P694" s="26" t="s">
        <v>11</v>
      </c>
      <c r="Q694" s="22"/>
      <c r="R694" s="24"/>
      <c r="S694" s="24"/>
      <c r="T694" s="24"/>
      <c r="U694" s="24"/>
      <c r="V694" s="24"/>
      <c r="W694" s="22" t="s">
        <v>356</v>
      </c>
      <c r="X694" s="4" t="str">
        <f>IF(Tabela2[[#This Row],[sigla]]="","",VLOOKUP(Tabela2[[#This Row],[sigla]],créditos_base!B:C,2,0))</f>
        <v>CAMILA CARMONA/ARQUIVO DA EDITORA</v>
      </c>
      <c r="Y694" s="23"/>
      <c r="Z694" s="23" t="str">
        <f>Tabela2[[#This Row],[ilustrador]]</f>
        <v>CAMILA CARMONA/ARQUIVO DA EDITORA</v>
      </c>
      <c r="AA694" s="22"/>
      <c r="AB694" s="20"/>
      <c r="AD694" s="4" t="str">
        <f>"Pitanguá"</f>
        <v>Pitanguá</v>
      </c>
      <c r="AE694" s="14" t="str">
        <f>"Matemática"</f>
        <v>Matemática</v>
      </c>
      <c r="AF694" s="14"/>
    </row>
    <row r="695" spans="1:32" ht="28.8" x14ac:dyDescent="0.3">
      <c r="A695" s="23" t="s">
        <v>2965</v>
      </c>
      <c r="B695" s="20" t="s">
        <v>16</v>
      </c>
      <c r="C695" s="20" t="s">
        <v>7</v>
      </c>
      <c r="D695" s="20" t="s">
        <v>8</v>
      </c>
      <c r="E695" s="22">
        <v>86</v>
      </c>
      <c r="F695" s="22">
        <v>4</v>
      </c>
      <c r="G695" s="22">
        <v>3</v>
      </c>
      <c r="H695" s="22"/>
      <c r="I695" s="23" t="s">
        <v>33</v>
      </c>
      <c r="J695" s="23"/>
      <c r="K695" s="22"/>
      <c r="L695" s="22"/>
      <c r="M695" s="23"/>
      <c r="N695" s="23"/>
      <c r="O695" s="26" t="s">
        <v>2966</v>
      </c>
      <c r="P695" s="26"/>
      <c r="Q695" s="22">
        <v>42</v>
      </c>
      <c r="R695" s="24">
        <v>45787</v>
      </c>
      <c r="S695" s="24">
        <v>45787</v>
      </c>
      <c r="T695" s="24"/>
      <c r="U695" s="24"/>
      <c r="V695" s="24">
        <v>45791</v>
      </c>
      <c r="W695" s="22" t="s">
        <v>468</v>
      </c>
      <c r="X695" s="4" t="str">
        <f>IF(Tabela2[[#This Row],[sigla]]="","",VLOOKUP(Tabela2[[#This Row],[sigla]],créditos_base!B:C,2,0))</f>
        <v>VER DOCUMENTO DE ILS. TÉCNICAS</v>
      </c>
      <c r="Y695" s="23" t="s">
        <v>13</v>
      </c>
      <c r="Z695" s="23" t="s">
        <v>2967</v>
      </c>
      <c r="AA695" s="22">
        <v>14</v>
      </c>
      <c r="AB695" s="20" t="s">
        <v>153</v>
      </c>
      <c r="AC695" s="20" t="s">
        <v>36</v>
      </c>
      <c r="AD695" s="4" t="str">
        <f>"Pitanguá"</f>
        <v>Pitanguá</v>
      </c>
      <c r="AE695" s="14" t="str">
        <f>"Matemática"</f>
        <v>Matemática</v>
      </c>
      <c r="AF695" s="14"/>
    </row>
    <row r="696" spans="1:32" ht="28.8" x14ac:dyDescent="0.3">
      <c r="A696" s="23" t="s">
        <v>341</v>
      </c>
      <c r="B696" s="20" t="s">
        <v>16</v>
      </c>
      <c r="C696" s="20" t="s">
        <v>7</v>
      </c>
      <c r="D696" s="20" t="s">
        <v>8</v>
      </c>
      <c r="E696" s="22">
        <v>73</v>
      </c>
      <c r="F696" s="22">
        <v>1</v>
      </c>
      <c r="G696" s="22">
        <v>3</v>
      </c>
      <c r="H696" s="22"/>
      <c r="I696" s="23" t="s">
        <v>9</v>
      </c>
      <c r="J696" s="23"/>
      <c r="K696" s="22"/>
      <c r="L696" s="22"/>
      <c r="M696" s="23"/>
      <c r="N696" s="23"/>
      <c r="O696" s="26" t="s">
        <v>342</v>
      </c>
      <c r="P696" s="26"/>
      <c r="Q696" s="22"/>
      <c r="R696" s="24"/>
      <c r="S696" s="24"/>
      <c r="T696" s="24"/>
      <c r="U696" s="24"/>
      <c r="V696" s="24"/>
      <c r="W696" s="22" t="s">
        <v>12</v>
      </c>
      <c r="X696" s="4" t="str">
        <f>IF(Tabela2[[#This Row],[sigla]]="","",VLOOKUP(Tabela2[[#This Row],[sigla]],créditos_base!B:C,2,0))</f>
        <v>JORGE ZAIBA/ARQUIVO DA EDITORA</v>
      </c>
      <c r="Y696" s="23"/>
      <c r="Z696" s="23" t="str">
        <f>Tabela2[[#This Row],[ilustrador]]</f>
        <v>JORGE ZAIBA/ARQUIVO DA EDITORA</v>
      </c>
      <c r="AA696" s="22"/>
      <c r="AB696" s="20"/>
      <c r="AD696" s="4" t="str">
        <f>"Pitanguá"</f>
        <v>Pitanguá</v>
      </c>
      <c r="AE696" s="14" t="str">
        <f>"Matemática"</f>
        <v>Matemática</v>
      </c>
      <c r="AF696" s="14"/>
    </row>
    <row r="697" spans="1:32" ht="28.8" x14ac:dyDescent="0.3">
      <c r="A697" s="23" t="s">
        <v>1313</v>
      </c>
      <c r="B697" s="20" t="s">
        <v>16</v>
      </c>
      <c r="C697" s="20" t="s">
        <v>89</v>
      </c>
      <c r="D697" s="20" t="s">
        <v>8</v>
      </c>
      <c r="E697" s="22">
        <v>57</v>
      </c>
      <c r="F697" s="22">
        <v>2</v>
      </c>
      <c r="G697" s="22">
        <v>3</v>
      </c>
      <c r="H697" s="22"/>
      <c r="I697" s="23" t="s">
        <v>9</v>
      </c>
      <c r="J697" s="23"/>
      <c r="K697" s="22"/>
      <c r="L697" s="22"/>
      <c r="M697" s="23"/>
      <c r="N697" s="23"/>
      <c r="O697" s="26" t="s">
        <v>1314</v>
      </c>
      <c r="P697" s="26"/>
      <c r="Q697" s="22"/>
      <c r="R697" s="24"/>
      <c r="S697" s="24"/>
      <c r="T697" s="24"/>
      <c r="U697" s="24"/>
      <c r="V697" s="24"/>
      <c r="W697" s="22" t="s">
        <v>468</v>
      </c>
      <c r="X697" s="4" t="str">
        <f>IF(Tabela2[[#This Row],[sigla]]="","",VLOOKUP(Tabela2[[#This Row],[sigla]],créditos_base!B:C,2,0))</f>
        <v>VER DOCUMENTO DE ILS. TÉCNICAS</v>
      </c>
      <c r="Y697" s="23"/>
      <c r="Z697" s="23" t="s">
        <v>689</v>
      </c>
      <c r="AA697" s="22"/>
      <c r="AB697" s="20"/>
      <c r="AD697" s="4" t="str">
        <f>"Pitanguá"</f>
        <v>Pitanguá</v>
      </c>
      <c r="AE697" s="14" t="str">
        <f>"Matemática"</f>
        <v>Matemática</v>
      </c>
      <c r="AF697" s="14"/>
    </row>
    <row r="698" spans="1:32" ht="28.8" x14ac:dyDescent="0.3">
      <c r="A698" s="23" t="s">
        <v>2883</v>
      </c>
      <c r="B698" s="20" t="s">
        <v>16</v>
      </c>
      <c r="C698" s="20" t="s">
        <v>7</v>
      </c>
      <c r="D698" s="20" t="s">
        <v>8</v>
      </c>
      <c r="E698" s="22">
        <v>62</v>
      </c>
      <c r="F698" s="22">
        <v>3</v>
      </c>
      <c r="G698" s="22">
        <v>2</v>
      </c>
      <c r="H698" s="22"/>
      <c r="I698" s="23" t="s">
        <v>33</v>
      </c>
      <c r="J698" s="23"/>
      <c r="K698" s="22"/>
      <c r="L698" s="22"/>
      <c r="M698" s="23"/>
      <c r="N698" s="23"/>
      <c r="O698" s="26" t="s">
        <v>2884</v>
      </c>
      <c r="P698" s="26"/>
      <c r="Q698" s="22">
        <v>40</v>
      </c>
      <c r="R698" s="24">
        <v>45782</v>
      </c>
      <c r="S698" s="24">
        <v>45783</v>
      </c>
      <c r="T698" s="24"/>
      <c r="U698" s="24"/>
      <c r="V698" s="24">
        <v>45783</v>
      </c>
      <c r="W698" s="22" t="s">
        <v>31</v>
      </c>
      <c r="X698" s="4" t="str">
        <f>IF(Tabela2[[#This Row],[sigla]]="","",VLOOKUP(Tabela2[[#This Row],[sigla]],créditos_base!B:C,2,0))</f>
        <v>SILVIA OTOFUJI/ARQUIVO DA EDITORA</v>
      </c>
      <c r="Y698" s="23" t="s">
        <v>152</v>
      </c>
      <c r="Z698" s="23" t="str">
        <f>Tabela2[[#This Row],[ilustrador]]</f>
        <v>SILVIA OTOFUJI/ARQUIVO DA EDITORA</v>
      </c>
      <c r="AA698" s="22">
        <v>13</v>
      </c>
      <c r="AB698" s="20" t="s">
        <v>244</v>
      </c>
      <c r="AC698" s="20" t="s">
        <v>36</v>
      </c>
      <c r="AD698" s="4" t="str">
        <f>"Pitanguá"</f>
        <v>Pitanguá</v>
      </c>
      <c r="AE698" s="14" t="str">
        <f>"Matemática"</f>
        <v>Matemática</v>
      </c>
      <c r="AF698" s="14"/>
    </row>
    <row r="699" spans="1:32" ht="57.6" x14ac:dyDescent="0.3">
      <c r="A699" s="23" t="s">
        <v>343</v>
      </c>
      <c r="B699" s="20" t="s">
        <v>16</v>
      </c>
      <c r="C699" s="20" t="s">
        <v>89</v>
      </c>
      <c r="D699" s="20" t="s">
        <v>8</v>
      </c>
      <c r="E699" s="22">
        <v>74</v>
      </c>
      <c r="F699" s="22">
        <v>1</v>
      </c>
      <c r="G699" s="22">
        <v>3</v>
      </c>
      <c r="H699" s="22"/>
      <c r="I699" s="23" t="s">
        <v>9</v>
      </c>
      <c r="J699" s="23"/>
      <c r="K699" s="22"/>
      <c r="L699" s="22"/>
      <c r="M699" s="23"/>
      <c r="N699" s="23"/>
      <c r="O699" s="26" t="s">
        <v>344</v>
      </c>
      <c r="P699" s="26"/>
      <c r="Q699" s="22"/>
      <c r="R699" s="24"/>
      <c r="S699" s="24"/>
      <c r="T699" s="24"/>
      <c r="U699" s="24"/>
      <c r="V699" s="24"/>
      <c r="W699" s="22" t="s">
        <v>230</v>
      </c>
      <c r="X699" s="4" t="str">
        <f>IF(Tabela2[[#This Row],[sigla]]="","",VLOOKUP(Tabela2[[#This Row],[sigla]],créditos_base!B:C,2,0))</f>
        <v>RAFAEL L. GAION/ARQUIVO DA EDITORA</v>
      </c>
      <c r="Y699" s="23"/>
      <c r="Z699" s="23" t="str">
        <f>Tabela2[[#This Row],[ilustrador]]</f>
        <v>RAFAEL L. GAION/ARQUIVO DA EDITORA</v>
      </c>
      <c r="AA699" s="22"/>
      <c r="AB699" s="20"/>
      <c r="AD699" s="4" t="str">
        <f>"Pitanguá"</f>
        <v>Pitanguá</v>
      </c>
      <c r="AE699" s="14" t="str">
        <f>"Matemática"</f>
        <v>Matemática</v>
      </c>
      <c r="AF699" s="14"/>
    </row>
    <row r="700" spans="1:32" ht="28.8" x14ac:dyDescent="0.3">
      <c r="A700" s="23" t="s">
        <v>1315</v>
      </c>
      <c r="B700" s="20" t="s">
        <v>16</v>
      </c>
      <c r="C700" s="20" t="s">
        <v>89</v>
      </c>
      <c r="D700" s="20" t="s">
        <v>8</v>
      </c>
      <c r="E700" s="22">
        <v>57</v>
      </c>
      <c r="F700" s="22">
        <v>2</v>
      </c>
      <c r="G700" s="22">
        <v>3</v>
      </c>
      <c r="H700" s="22"/>
      <c r="I700" s="23" t="s">
        <v>9</v>
      </c>
      <c r="J700" s="23"/>
      <c r="K700" s="22"/>
      <c r="L700" s="22"/>
      <c r="M700" s="23"/>
      <c r="N700" s="23"/>
      <c r="O700" s="26" t="s">
        <v>1316</v>
      </c>
      <c r="P700" s="26"/>
      <c r="Q700" s="22"/>
      <c r="R700" s="24"/>
      <c r="S700" s="24"/>
      <c r="T700" s="24"/>
      <c r="U700" s="24"/>
      <c r="V700" s="24"/>
      <c r="W700" s="22" t="s">
        <v>468</v>
      </c>
      <c r="X700" s="4" t="str">
        <f>IF(Tabela2[[#This Row],[sigla]]="","",VLOOKUP(Tabela2[[#This Row],[sigla]],créditos_base!B:C,2,0))</f>
        <v>VER DOCUMENTO DE ILS. TÉCNICAS</v>
      </c>
      <c r="Y700" s="23"/>
      <c r="Z700" s="23" t="s">
        <v>689</v>
      </c>
      <c r="AA700" s="22"/>
      <c r="AB700" s="20"/>
      <c r="AD700" s="4" t="str">
        <f>"Pitanguá"</f>
        <v>Pitanguá</v>
      </c>
      <c r="AE700" s="14" t="str">
        <f>"Matemática"</f>
        <v>Matemática</v>
      </c>
      <c r="AF700" s="14"/>
    </row>
    <row r="701" spans="1:32" ht="28.8" x14ac:dyDescent="0.3">
      <c r="A701" s="23" t="s">
        <v>2885</v>
      </c>
      <c r="B701" s="20" t="s">
        <v>16</v>
      </c>
      <c r="C701" s="20" t="s">
        <v>7</v>
      </c>
      <c r="D701" s="20" t="s">
        <v>8</v>
      </c>
      <c r="E701" s="22">
        <v>63</v>
      </c>
      <c r="F701" s="22">
        <v>3</v>
      </c>
      <c r="G701" s="22">
        <v>2</v>
      </c>
      <c r="H701" s="22"/>
      <c r="I701" s="23" t="s">
        <v>33</v>
      </c>
      <c r="J701" s="23"/>
      <c r="K701" s="22"/>
      <c r="L701" s="22"/>
      <c r="M701" s="23"/>
      <c r="N701" s="23"/>
      <c r="O701" s="26" t="s">
        <v>2886</v>
      </c>
      <c r="P701" s="26"/>
      <c r="Q701" s="22">
        <v>40</v>
      </c>
      <c r="R701" s="24">
        <v>45782</v>
      </c>
      <c r="S701" s="24">
        <v>45783</v>
      </c>
      <c r="T701" s="24"/>
      <c r="U701" s="24"/>
      <c r="V701" s="24">
        <v>45783</v>
      </c>
      <c r="W701" s="22" t="s">
        <v>31</v>
      </c>
      <c r="X701" s="4" t="str">
        <f>IF(Tabela2[[#This Row],[sigla]]="","",VLOOKUP(Tabela2[[#This Row],[sigla]],créditos_base!B:C,2,0))</f>
        <v>SILVIA OTOFUJI/ARQUIVO DA EDITORA</v>
      </c>
      <c r="Y701" s="23" t="s">
        <v>152</v>
      </c>
      <c r="Z701" s="23" t="str">
        <f>Tabela2[[#This Row],[ilustrador]]</f>
        <v>SILVIA OTOFUJI/ARQUIVO DA EDITORA</v>
      </c>
      <c r="AA701" s="22">
        <v>13</v>
      </c>
      <c r="AB701" s="20" t="s">
        <v>244</v>
      </c>
      <c r="AC701" s="20" t="s">
        <v>36</v>
      </c>
      <c r="AD701" s="4" t="str">
        <f>"Pitanguá"</f>
        <v>Pitanguá</v>
      </c>
      <c r="AE701" s="14" t="str">
        <f>"Matemática"</f>
        <v>Matemática</v>
      </c>
      <c r="AF701" s="14"/>
    </row>
    <row r="702" spans="1:32" ht="28.8" x14ac:dyDescent="0.3">
      <c r="A702" s="23" t="s">
        <v>345</v>
      </c>
      <c r="B702" s="20" t="s">
        <v>16</v>
      </c>
      <c r="C702" s="20" t="s">
        <v>89</v>
      </c>
      <c r="D702" s="20" t="s">
        <v>8</v>
      </c>
      <c r="E702" s="22">
        <v>74</v>
      </c>
      <c r="F702" s="22">
        <v>1</v>
      </c>
      <c r="G702" s="22">
        <v>3</v>
      </c>
      <c r="H702" s="22"/>
      <c r="I702" s="23" t="s">
        <v>9</v>
      </c>
      <c r="J702" s="23"/>
      <c r="K702" s="22"/>
      <c r="L702" s="22"/>
      <c r="M702" s="23"/>
      <c r="N702" s="23"/>
      <c r="O702" s="26" t="s">
        <v>346</v>
      </c>
      <c r="P702" s="26"/>
      <c r="Q702" s="22"/>
      <c r="R702" s="24"/>
      <c r="S702" s="24"/>
      <c r="T702" s="24"/>
      <c r="U702" s="24"/>
      <c r="V702" s="24"/>
      <c r="W702" s="22"/>
      <c r="X702" s="4" t="str">
        <f>IF(Tabela2[[#This Row],[sigla]]="","",VLOOKUP(Tabela2[[#This Row],[sigla]],créditos_base!B:C,2,0))</f>
        <v/>
      </c>
      <c r="Y702" s="23"/>
      <c r="Z702" s="23" t="s">
        <v>347</v>
      </c>
      <c r="AA702" s="22"/>
      <c r="AB702" s="20"/>
      <c r="AD702" s="4" t="str">
        <f>"Pitanguá"</f>
        <v>Pitanguá</v>
      </c>
      <c r="AE702" s="14" t="str">
        <f>"Matemática"</f>
        <v>Matemática</v>
      </c>
      <c r="AF702" s="14"/>
    </row>
    <row r="703" spans="1:32" ht="28.8" x14ac:dyDescent="0.3">
      <c r="A703" s="23" t="s">
        <v>1317</v>
      </c>
      <c r="B703" s="20" t="s">
        <v>16</v>
      </c>
      <c r="C703" s="20" t="s">
        <v>89</v>
      </c>
      <c r="D703" s="20" t="s">
        <v>8</v>
      </c>
      <c r="E703" s="22">
        <v>57</v>
      </c>
      <c r="F703" s="22">
        <v>2</v>
      </c>
      <c r="G703" s="22">
        <v>3</v>
      </c>
      <c r="H703" s="22"/>
      <c r="I703" s="23" t="s">
        <v>9</v>
      </c>
      <c r="J703" s="23"/>
      <c r="K703" s="22"/>
      <c r="L703" s="22"/>
      <c r="M703" s="23"/>
      <c r="N703" s="23"/>
      <c r="O703" s="26" t="s">
        <v>1318</v>
      </c>
      <c r="P703" s="26"/>
      <c r="Q703" s="22"/>
      <c r="R703" s="24"/>
      <c r="S703" s="24"/>
      <c r="T703" s="24"/>
      <c r="U703" s="24"/>
      <c r="V703" s="24"/>
      <c r="W703" s="22" t="s">
        <v>468</v>
      </c>
      <c r="X703" s="4" t="str">
        <f>IF(Tabela2[[#This Row],[sigla]]="","",VLOOKUP(Tabela2[[#This Row],[sigla]],créditos_base!B:C,2,0))</f>
        <v>VER DOCUMENTO DE ILS. TÉCNICAS</v>
      </c>
      <c r="Y703" s="23"/>
      <c r="Z703" s="23" t="s">
        <v>689</v>
      </c>
      <c r="AA703" s="22"/>
      <c r="AB703" s="20"/>
      <c r="AD703" s="4" t="str">
        <f>"Pitanguá"</f>
        <v>Pitanguá</v>
      </c>
      <c r="AE703" s="14" t="str">
        <f>"Matemática"</f>
        <v>Matemática</v>
      </c>
      <c r="AF703" s="14"/>
    </row>
    <row r="704" spans="1:32" ht="28.8" x14ac:dyDescent="0.3">
      <c r="A704" s="23" t="s">
        <v>2887</v>
      </c>
      <c r="B704" s="20" t="s">
        <v>16</v>
      </c>
      <c r="C704" s="20" t="s">
        <v>7</v>
      </c>
      <c r="D704" s="20" t="s">
        <v>8</v>
      </c>
      <c r="E704" s="22">
        <v>67</v>
      </c>
      <c r="F704" s="22">
        <v>3</v>
      </c>
      <c r="G704" s="22">
        <v>2</v>
      </c>
      <c r="H704" s="22"/>
      <c r="I704" s="23" t="s">
        <v>33</v>
      </c>
      <c r="J704" s="23"/>
      <c r="K704" s="22"/>
      <c r="L704" s="22"/>
      <c r="M704" s="23"/>
      <c r="N704" s="23"/>
      <c r="O704" s="26" t="s">
        <v>2888</v>
      </c>
      <c r="P704" s="26"/>
      <c r="Q704" s="22">
        <v>40</v>
      </c>
      <c r="R704" s="24">
        <v>45782</v>
      </c>
      <c r="S704" s="24">
        <v>45783</v>
      </c>
      <c r="T704" s="24"/>
      <c r="U704" s="24"/>
      <c r="V704" s="24">
        <v>45783</v>
      </c>
      <c r="W704" s="22" t="s">
        <v>468</v>
      </c>
      <c r="X704" s="4" t="str">
        <f>IF(Tabela2[[#This Row],[sigla]]="","",VLOOKUP(Tabela2[[#This Row],[sigla]],créditos_base!B:C,2,0))</f>
        <v>VER DOCUMENTO DE ILS. TÉCNICAS</v>
      </c>
      <c r="Y704" s="23" t="s">
        <v>152</v>
      </c>
      <c r="Z704" s="23" t="s">
        <v>689</v>
      </c>
      <c r="AA704" s="22">
        <v>13</v>
      </c>
      <c r="AB704" s="20" t="s">
        <v>244</v>
      </c>
      <c r="AC704" s="20" t="s">
        <v>36</v>
      </c>
      <c r="AD704" s="4" t="str">
        <f>"Pitanguá"</f>
        <v>Pitanguá</v>
      </c>
      <c r="AE704" s="14" t="str">
        <f>"Matemática"</f>
        <v>Matemática</v>
      </c>
      <c r="AF704" s="14"/>
    </row>
    <row r="705" spans="1:32" ht="28.8" x14ac:dyDescent="0.3">
      <c r="A705" s="23" t="s">
        <v>2889</v>
      </c>
      <c r="B705" s="20" t="s">
        <v>16</v>
      </c>
      <c r="C705" s="20" t="s">
        <v>89</v>
      </c>
      <c r="D705" s="20" t="s">
        <v>8</v>
      </c>
      <c r="E705" s="22">
        <v>69</v>
      </c>
      <c r="F705" s="22">
        <v>3</v>
      </c>
      <c r="G705" s="22">
        <v>2</v>
      </c>
      <c r="H705" s="22"/>
      <c r="I705" s="23" t="s">
        <v>9</v>
      </c>
      <c r="J705" s="23"/>
      <c r="K705" s="22"/>
      <c r="L705" s="22"/>
      <c r="M705" s="23"/>
      <c r="N705" s="23"/>
      <c r="O705" s="26" t="s">
        <v>2890</v>
      </c>
      <c r="P705" s="26"/>
      <c r="Q705" s="22"/>
      <c r="R705" s="24"/>
      <c r="S705" s="24"/>
      <c r="T705" s="24"/>
      <c r="U705" s="24"/>
      <c r="V705" s="24"/>
      <c r="W705" s="22" t="s">
        <v>160</v>
      </c>
      <c r="X705" s="4" t="str">
        <f>IF(Tabela2[[#This Row],[sigla]]="","",VLOOKUP(Tabela2[[#This Row],[sigla]],créditos_base!B:C,2,0))</f>
        <v>SERGIO LIMA/ARQUIVO DA EDITORA</v>
      </c>
      <c r="Y705" s="23"/>
      <c r="Z705" s="23" t="str">
        <f>Tabela2[[#This Row],[ilustrador]]</f>
        <v>SERGIO LIMA/ARQUIVO DA EDITORA</v>
      </c>
      <c r="AA705" s="22"/>
      <c r="AB705" s="20"/>
      <c r="AD705" s="4" t="str">
        <f>"Pitanguá"</f>
        <v>Pitanguá</v>
      </c>
      <c r="AE705" s="14" t="str">
        <f>"Matemática"</f>
        <v>Matemática</v>
      </c>
      <c r="AF705" s="14"/>
    </row>
    <row r="706" spans="1:32" ht="28.8" x14ac:dyDescent="0.3">
      <c r="A706" s="23" t="s">
        <v>5092</v>
      </c>
      <c r="B706" s="20" t="s">
        <v>16</v>
      </c>
      <c r="C706" s="20" t="s">
        <v>89</v>
      </c>
      <c r="D706" s="20" t="s">
        <v>8</v>
      </c>
      <c r="E706" s="22">
        <v>58</v>
      </c>
      <c r="F706" s="22">
        <v>4</v>
      </c>
      <c r="G706" s="22">
        <v>3</v>
      </c>
      <c r="H706" s="22"/>
      <c r="I706" s="23" t="s">
        <v>90</v>
      </c>
      <c r="J706" s="23"/>
      <c r="K706" s="22"/>
      <c r="L706" s="22"/>
      <c r="M706" s="23"/>
      <c r="N706" s="23"/>
      <c r="O706" s="26" t="s">
        <v>5093</v>
      </c>
      <c r="P706" s="26"/>
      <c r="Q706" s="22">
        <v>97</v>
      </c>
      <c r="R706" s="24">
        <v>45845</v>
      </c>
      <c r="S706" s="24">
        <v>45852</v>
      </c>
      <c r="T706" s="24"/>
      <c r="U706" s="24"/>
      <c r="V706" s="24">
        <v>45861</v>
      </c>
      <c r="W706" s="22" t="s">
        <v>468</v>
      </c>
      <c r="X706" s="4" t="str">
        <f>IF(Tabela2[[#This Row],[sigla]]="","",VLOOKUP(Tabela2[[#This Row],[sigla]],créditos_base!B:C,2,0))</f>
        <v>VER DOCUMENTO DE ILS. TÉCNICAS</v>
      </c>
      <c r="Y706" s="23"/>
      <c r="Z706" s="23" t="s">
        <v>5062</v>
      </c>
      <c r="AA706" s="22">
        <v>8</v>
      </c>
      <c r="AB706" s="20" t="s">
        <v>243</v>
      </c>
      <c r="AC706" s="20" t="s">
        <v>36</v>
      </c>
      <c r="AD706" s="4" t="str">
        <f>"Pitanguá"</f>
        <v>Pitanguá</v>
      </c>
      <c r="AE706" s="14" t="str">
        <f>"Matemática"</f>
        <v>Matemática</v>
      </c>
      <c r="AF706" s="14"/>
    </row>
    <row r="707" spans="1:32" ht="28.8" x14ac:dyDescent="0.3">
      <c r="A707" s="23" t="s">
        <v>348</v>
      </c>
      <c r="B707" s="20" t="s">
        <v>16</v>
      </c>
      <c r="C707" s="20" t="s">
        <v>89</v>
      </c>
      <c r="D707" s="20" t="s">
        <v>8</v>
      </c>
      <c r="E707" s="22">
        <v>75</v>
      </c>
      <c r="F707" s="22">
        <v>1</v>
      </c>
      <c r="G707" s="22">
        <v>3</v>
      </c>
      <c r="H707" s="22"/>
      <c r="I707" s="23" t="s">
        <v>9</v>
      </c>
      <c r="J707" s="23"/>
      <c r="K707" s="22"/>
      <c r="L707" s="22"/>
      <c r="M707" s="23"/>
      <c r="N707" s="23"/>
      <c r="O707" s="26" t="s">
        <v>349</v>
      </c>
      <c r="P707" s="26"/>
      <c r="Q707" s="22"/>
      <c r="R707" s="24"/>
      <c r="S707" s="24"/>
      <c r="T707" s="24"/>
      <c r="U707" s="24"/>
      <c r="V707" s="24"/>
      <c r="W707" s="22" t="s">
        <v>230</v>
      </c>
      <c r="X707" s="4" t="str">
        <f>IF(Tabela2[[#This Row],[sigla]]="","",VLOOKUP(Tabela2[[#This Row],[sigla]],créditos_base!B:C,2,0))</f>
        <v>RAFAEL L. GAION/ARQUIVO DA EDITORA</v>
      </c>
      <c r="Y707" s="23"/>
      <c r="Z707" s="23" t="str">
        <f>Tabela2[[#This Row],[ilustrador]]</f>
        <v>RAFAEL L. GAION/ARQUIVO DA EDITORA</v>
      </c>
      <c r="AA707" s="22"/>
      <c r="AB707" s="20"/>
      <c r="AD707" s="4" t="str">
        <f>"Pitanguá"</f>
        <v>Pitanguá</v>
      </c>
      <c r="AE707" s="14" t="str">
        <f>"Matemática"</f>
        <v>Matemática</v>
      </c>
      <c r="AF707" s="14"/>
    </row>
    <row r="708" spans="1:32" ht="28.8" x14ac:dyDescent="0.3">
      <c r="A708" s="23" t="s">
        <v>2891</v>
      </c>
      <c r="B708" s="20" t="s">
        <v>16</v>
      </c>
      <c r="C708" s="20" t="s">
        <v>89</v>
      </c>
      <c r="D708" s="20" t="s">
        <v>8</v>
      </c>
      <c r="E708" s="22">
        <v>69</v>
      </c>
      <c r="F708" s="22">
        <v>3</v>
      </c>
      <c r="G708" s="22">
        <v>2</v>
      </c>
      <c r="H708" s="22"/>
      <c r="I708" s="23" t="s">
        <v>9</v>
      </c>
      <c r="J708" s="23"/>
      <c r="K708" s="22"/>
      <c r="L708" s="22"/>
      <c r="M708" s="23"/>
      <c r="N708" s="23"/>
      <c r="O708" s="26" t="s">
        <v>2892</v>
      </c>
      <c r="P708" s="26"/>
      <c r="Q708" s="22"/>
      <c r="R708" s="24"/>
      <c r="S708" s="24"/>
      <c r="T708" s="24"/>
      <c r="U708" s="24"/>
      <c r="V708" s="24"/>
      <c r="W708" s="22" t="s">
        <v>160</v>
      </c>
      <c r="X708" s="4" t="str">
        <f>IF(Tabela2[[#This Row],[sigla]]="","",VLOOKUP(Tabela2[[#This Row],[sigla]],créditos_base!B:C,2,0))</f>
        <v>SERGIO LIMA/ARQUIVO DA EDITORA</v>
      </c>
      <c r="Y708" s="23"/>
      <c r="Z708" s="23" t="str">
        <f>Tabela2[[#This Row],[ilustrador]]</f>
        <v>SERGIO LIMA/ARQUIVO DA EDITORA</v>
      </c>
      <c r="AA708" s="22"/>
      <c r="AB708" s="20"/>
      <c r="AD708" s="4" t="str">
        <f>"Pitanguá"</f>
        <v>Pitanguá</v>
      </c>
      <c r="AE708" s="14" t="str">
        <f>"Matemática"</f>
        <v>Matemática</v>
      </c>
      <c r="AF708" s="14"/>
    </row>
    <row r="709" spans="1:32" ht="28.8" x14ac:dyDescent="0.3">
      <c r="A709" s="23" t="s">
        <v>5094</v>
      </c>
      <c r="B709" s="20" t="s">
        <v>16</v>
      </c>
      <c r="C709" s="20" t="s">
        <v>89</v>
      </c>
      <c r="D709" s="20" t="s">
        <v>8</v>
      </c>
      <c r="E709" s="22">
        <v>58</v>
      </c>
      <c r="F709" s="22">
        <v>4</v>
      </c>
      <c r="G709" s="22">
        <v>3</v>
      </c>
      <c r="H709" s="22"/>
      <c r="I709" s="23" t="s">
        <v>90</v>
      </c>
      <c r="J709" s="23"/>
      <c r="K709" s="22"/>
      <c r="L709" s="22"/>
      <c r="M709" s="23"/>
      <c r="N709" s="23"/>
      <c r="O709" s="26" t="s">
        <v>5095</v>
      </c>
      <c r="P709" s="26"/>
      <c r="Q709" s="22">
        <v>97</v>
      </c>
      <c r="R709" s="24">
        <v>45845</v>
      </c>
      <c r="S709" s="24">
        <v>45852</v>
      </c>
      <c r="T709" s="24"/>
      <c r="U709" s="24"/>
      <c r="V709" s="24">
        <v>45861</v>
      </c>
      <c r="W709" s="22" t="s">
        <v>468</v>
      </c>
      <c r="X709" s="4" t="str">
        <f>IF(Tabela2[[#This Row],[sigla]]="","",VLOOKUP(Tabela2[[#This Row],[sigla]],créditos_base!B:C,2,0))</f>
        <v>VER DOCUMENTO DE ILS. TÉCNICAS</v>
      </c>
      <c r="Y709" s="23"/>
      <c r="Z709" s="23" t="s">
        <v>5062</v>
      </c>
      <c r="AA709" s="22">
        <v>8</v>
      </c>
      <c r="AB709" s="20" t="s">
        <v>243</v>
      </c>
      <c r="AC709" s="20" t="s">
        <v>36</v>
      </c>
      <c r="AD709" s="4" t="str">
        <f>"Pitanguá"</f>
        <v>Pitanguá</v>
      </c>
      <c r="AE709" s="14" t="str">
        <f>"Matemática"</f>
        <v>Matemática</v>
      </c>
      <c r="AF709" s="14"/>
    </row>
    <row r="710" spans="1:32" ht="28.8" x14ac:dyDescent="0.3">
      <c r="A710" s="23" t="s">
        <v>350</v>
      </c>
      <c r="B710" s="20" t="s">
        <v>16</v>
      </c>
      <c r="C710" s="20" t="s">
        <v>89</v>
      </c>
      <c r="D710" s="20" t="s">
        <v>8</v>
      </c>
      <c r="E710" s="22">
        <v>75</v>
      </c>
      <c r="F710" s="22">
        <v>1</v>
      </c>
      <c r="G710" s="22">
        <v>3</v>
      </c>
      <c r="H710" s="22"/>
      <c r="I710" s="23" t="s">
        <v>33</v>
      </c>
      <c r="J710" s="23"/>
      <c r="K710" s="22"/>
      <c r="L710" s="22"/>
      <c r="M710" s="23"/>
      <c r="N710" s="23"/>
      <c r="O710" s="26" t="s">
        <v>351</v>
      </c>
      <c r="P710" s="26"/>
      <c r="Q710" s="22">
        <v>112</v>
      </c>
      <c r="R710" s="24">
        <v>45855</v>
      </c>
      <c r="S710" s="24">
        <v>45855</v>
      </c>
      <c r="T710" s="24"/>
      <c r="U710" s="24"/>
      <c r="V710" s="24">
        <v>45855</v>
      </c>
      <c r="W710" s="22" t="s">
        <v>230</v>
      </c>
      <c r="X710" s="4" t="str">
        <f>IF(Tabela2[[#This Row],[sigla]]="","",VLOOKUP(Tabela2[[#This Row],[sigla]],créditos_base!B:C,2,0))</f>
        <v>RAFAEL L. GAION/ARQUIVO DA EDITORA</v>
      </c>
      <c r="Y710" s="23" t="s">
        <v>152</v>
      </c>
      <c r="Z710" s="23" t="str">
        <f>Tabela2[[#This Row],[ilustrador]]</f>
        <v>RAFAEL L. GAION/ARQUIVO DA EDITORA</v>
      </c>
      <c r="AA710" s="22">
        <v>13</v>
      </c>
      <c r="AB710" s="20" t="s">
        <v>153</v>
      </c>
      <c r="AC710" s="20" t="s">
        <v>36</v>
      </c>
      <c r="AD710" s="4" t="str">
        <f>"Pitanguá"</f>
        <v>Pitanguá</v>
      </c>
      <c r="AE710" s="14" t="str">
        <f>"Matemática"</f>
        <v>Matemática</v>
      </c>
      <c r="AF710" s="14"/>
    </row>
    <row r="711" spans="1:32" ht="43.2" x14ac:dyDescent="0.3">
      <c r="A711" s="23" t="s">
        <v>2893</v>
      </c>
      <c r="B711" s="20" t="s">
        <v>16</v>
      </c>
      <c r="C711" s="20" t="s">
        <v>89</v>
      </c>
      <c r="D711" s="20" t="s">
        <v>8</v>
      </c>
      <c r="E711" s="22">
        <v>69</v>
      </c>
      <c r="F711" s="22">
        <v>3</v>
      </c>
      <c r="G711" s="22">
        <v>2</v>
      </c>
      <c r="H711" s="22"/>
      <c r="I711" s="23" t="s">
        <v>9</v>
      </c>
      <c r="J711" s="23"/>
      <c r="K711" s="22"/>
      <c r="L711" s="22"/>
      <c r="M711" s="23"/>
      <c r="N711" s="23"/>
      <c r="O711" s="26" t="s">
        <v>1939</v>
      </c>
      <c r="P711" s="26"/>
      <c r="Q711" s="22"/>
      <c r="R711" s="24"/>
      <c r="S711" s="24"/>
      <c r="T711" s="24"/>
      <c r="U711" s="24"/>
      <c r="V711" s="24"/>
      <c r="W711" s="22" t="s">
        <v>160</v>
      </c>
      <c r="X711" s="4" t="str">
        <f>IF(Tabela2[[#This Row],[sigla]]="","",VLOOKUP(Tabela2[[#This Row],[sigla]],créditos_base!B:C,2,0))</f>
        <v>SERGIO LIMA/ARQUIVO DA EDITORA</v>
      </c>
      <c r="Y711" s="23"/>
      <c r="Z711" s="23" t="str">
        <f>Tabela2[[#This Row],[ilustrador]]</f>
        <v>SERGIO LIMA/ARQUIVO DA EDITORA</v>
      </c>
      <c r="AA711" s="22"/>
      <c r="AB711" s="20"/>
      <c r="AD711" s="4" t="str">
        <f>"Pitanguá"</f>
        <v>Pitanguá</v>
      </c>
      <c r="AE711" s="14" t="str">
        <f>"Matemática"</f>
        <v>Matemática</v>
      </c>
      <c r="AF711" s="14"/>
    </row>
    <row r="712" spans="1:32" ht="86.4" x14ac:dyDescent="0.3">
      <c r="A712" s="23" t="s">
        <v>5096</v>
      </c>
      <c r="B712" s="20" t="s">
        <v>16</v>
      </c>
      <c r="C712" s="20" t="s">
        <v>89</v>
      </c>
      <c r="D712" s="20" t="s">
        <v>8</v>
      </c>
      <c r="E712" s="22">
        <v>59</v>
      </c>
      <c r="F712" s="22">
        <v>4</v>
      </c>
      <c r="G712" s="22">
        <v>3</v>
      </c>
      <c r="H712" s="22"/>
      <c r="I712" s="23" t="s">
        <v>90</v>
      </c>
      <c r="J712" s="23"/>
      <c r="K712" s="22"/>
      <c r="L712" s="22"/>
      <c r="M712" s="23"/>
      <c r="N712" s="23"/>
      <c r="O712" s="26" t="s">
        <v>5097</v>
      </c>
      <c r="P712" s="26"/>
      <c r="Q712" s="22">
        <v>97</v>
      </c>
      <c r="R712" s="24">
        <v>45845</v>
      </c>
      <c r="S712" s="24">
        <v>45852</v>
      </c>
      <c r="T712" s="24"/>
      <c r="U712" s="24"/>
      <c r="V712" s="24">
        <v>45861</v>
      </c>
      <c r="W712" s="22" t="s">
        <v>468</v>
      </c>
      <c r="X712" s="4" t="str">
        <f>IF(Tabela2[[#This Row],[sigla]]="","",VLOOKUP(Tabela2[[#This Row],[sigla]],créditos_base!B:C,2,0))</f>
        <v>VER DOCUMENTO DE ILS. TÉCNICAS</v>
      </c>
      <c r="Y712" s="23"/>
      <c r="Z712" s="23" t="s">
        <v>5062</v>
      </c>
      <c r="AA712" s="22">
        <v>8</v>
      </c>
      <c r="AB712" s="20" t="s">
        <v>243</v>
      </c>
      <c r="AC712" s="20" t="s">
        <v>36</v>
      </c>
      <c r="AD712" s="4" t="str">
        <f>"Pitanguá"</f>
        <v>Pitanguá</v>
      </c>
      <c r="AE712" s="14" t="str">
        <f>"Matemática"</f>
        <v>Matemática</v>
      </c>
      <c r="AF712" s="14"/>
    </row>
    <row r="713" spans="1:32" ht="86.4" x14ac:dyDescent="0.3">
      <c r="A713" s="23" t="s">
        <v>352</v>
      </c>
      <c r="B713" s="20" t="s">
        <v>16</v>
      </c>
      <c r="C713" s="20" t="s">
        <v>89</v>
      </c>
      <c r="D713" s="20" t="s">
        <v>8</v>
      </c>
      <c r="E713" s="22">
        <v>75</v>
      </c>
      <c r="F713" s="22">
        <v>1</v>
      </c>
      <c r="G713" s="22">
        <v>3</v>
      </c>
      <c r="H713" s="22"/>
      <c r="I713" s="23" t="s">
        <v>9</v>
      </c>
      <c r="J713" s="23"/>
      <c r="K713" s="22"/>
      <c r="L713" s="22"/>
      <c r="M713" s="23"/>
      <c r="N713" s="23"/>
      <c r="O713" s="26" t="s">
        <v>353</v>
      </c>
      <c r="P713" s="26"/>
      <c r="Q713" s="22"/>
      <c r="R713" s="24"/>
      <c r="S713" s="24"/>
      <c r="T713" s="24"/>
      <c r="U713" s="24"/>
      <c r="V713" s="24"/>
      <c r="W713" s="22" t="s">
        <v>230</v>
      </c>
      <c r="X713" s="4" t="str">
        <f>IF(Tabela2[[#This Row],[sigla]]="","",VLOOKUP(Tabela2[[#This Row],[sigla]],créditos_base!B:C,2,0))</f>
        <v>RAFAEL L. GAION/ARQUIVO DA EDITORA</v>
      </c>
      <c r="Y713" s="23"/>
      <c r="Z713" s="23" t="str">
        <f>Tabela2[[#This Row],[ilustrador]]</f>
        <v>RAFAEL L. GAION/ARQUIVO DA EDITORA</v>
      </c>
      <c r="AA713" s="22"/>
      <c r="AB713" s="20"/>
      <c r="AD713" s="4" t="str">
        <f>"Pitanguá"</f>
        <v>Pitanguá</v>
      </c>
      <c r="AE713" s="14" t="str">
        <f>"Matemática"</f>
        <v>Matemática</v>
      </c>
      <c r="AF713" s="14"/>
    </row>
    <row r="714" spans="1:32" ht="28.8" x14ac:dyDescent="0.3">
      <c r="A714" s="23" t="s">
        <v>2894</v>
      </c>
      <c r="B714" s="20" t="s">
        <v>16</v>
      </c>
      <c r="C714" s="20" t="s">
        <v>89</v>
      </c>
      <c r="D714" s="20" t="s">
        <v>8</v>
      </c>
      <c r="E714" s="22">
        <v>69</v>
      </c>
      <c r="F714" s="22">
        <v>3</v>
      </c>
      <c r="G714" s="22">
        <v>2</v>
      </c>
      <c r="H714" s="22"/>
      <c r="I714" s="23" t="s">
        <v>9</v>
      </c>
      <c r="J714" s="23"/>
      <c r="K714" s="22"/>
      <c r="L714" s="22"/>
      <c r="M714" s="23"/>
      <c r="N714" s="23"/>
      <c r="O714" s="26" t="s">
        <v>2895</v>
      </c>
      <c r="P714" s="26"/>
      <c r="Q714" s="22"/>
      <c r="R714" s="24"/>
      <c r="S714" s="24"/>
      <c r="T714" s="24"/>
      <c r="U714" s="24"/>
      <c r="V714" s="24"/>
      <c r="W714" s="22" t="s">
        <v>160</v>
      </c>
      <c r="X714" s="4" t="str">
        <f>IF(Tabela2[[#This Row],[sigla]]="","",VLOOKUP(Tabela2[[#This Row],[sigla]],créditos_base!B:C,2,0))</f>
        <v>SERGIO LIMA/ARQUIVO DA EDITORA</v>
      </c>
      <c r="Y714" s="23"/>
      <c r="Z714" s="23" t="str">
        <f>Tabela2[[#This Row],[ilustrador]]</f>
        <v>SERGIO LIMA/ARQUIVO DA EDITORA</v>
      </c>
      <c r="AA714" s="22"/>
      <c r="AB714" s="20"/>
      <c r="AD714" s="4" t="str">
        <f>"Pitanguá"</f>
        <v>Pitanguá</v>
      </c>
      <c r="AE714" s="14" t="str">
        <f>"Matemática"</f>
        <v>Matemática</v>
      </c>
      <c r="AF714" s="14"/>
    </row>
    <row r="715" spans="1:32" ht="28.8" x14ac:dyDescent="0.3">
      <c r="A715" s="23" t="s">
        <v>5098</v>
      </c>
      <c r="B715" s="20" t="s">
        <v>16</v>
      </c>
      <c r="C715" s="20" t="s">
        <v>89</v>
      </c>
      <c r="D715" s="20" t="s">
        <v>8</v>
      </c>
      <c r="E715" s="22">
        <v>59</v>
      </c>
      <c r="F715" s="22">
        <v>4</v>
      </c>
      <c r="G715" s="22">
        <v>3</v>
      </c>
      <c r="H715" s="22"/>
      <c r="I715" s="23" t="s">
        <v>90</v>
      </c>
      <c r="J715" s="23"/>
      <c r="K715" s="22"/>
      <c r="L715" s="22"/>
      <c r="M715" s="23"/>
      <c r="N715" s="23"/>
      <c r="O715" s="26" t="s">
        <v>5099</v>
      </c>
      <c r="P715" s="26"/>
      <c r="Q715" s="22">
        <v>97</v>
      </c>
      <c r="R715" s="24">
        <v>45845</v>
      </c>
      <c r="S715" s="24">
        <v>45852</v>
      </c>
      <c r="T715" s="24"/>
      <c r="U715" s="24"/>
      <c r="V715" s="24">
        <v>45861</v>
      </c>
      <c r="W715" s="22" t="s">
        <v>468</v>
      </c>
      <c r="X715" s="4" t="str">
        <f>IF(Tabela2[[#This Row],[sigla]]="","",VLOOKUP(Tabela2[[#This Row],[sigla]],créditos_base!B:C,2,0))</f>
        <v>VER DOCUMENTO DE ILS. TÉCNICAS</v>
      </c>
      <c r="Y715" s="23"/>
      <c r="Z715" s="23" t="s">
        <v>5062</v>
      </c>
      <c r="AA715" s="22">
        <v>8</v>
      </c>
      <c r="AB715" s="20" t="s">
        <v>243</v>
      </c>
      <c r="AC715" s="20" t="s">
        <v>36</v>
      </c>
      <c r="AD715" s="4" t="str">
        <f>"Pitanguá"</f>
        <v>Pitanguá</v>
      </c>
      <c r="AE715" s="14" t="str">
        <f>"Matemática"</f>
        <v>Matemática</v>
      </c>
      <c r="AF715" s="14"/>
    </row>
    <row r="716" spans="1:32" ht="28.8" x14ac:dyDescent="0.3">
      <c r="A716" s="23" t="s">
        <v>354</v>
      </c>
      <c r="B716" s="20" t="s">
        <v>16</v>
      </c>
      <c r="C716" s="20" t="s">
        <v>89</v>
      </c>
      <c r="D716" s="20" t="s">
        <v>8</v>
      </c>
      <c r="E716" s="22">
        <v>75</v>
      </c>
      <c r="F716" s="22">
        <v>1</v>
      </c>
      <c r="G716" s="22">
        <v>3</v>
      </c>
      <c r="H716" s="22"/>
      <c r="I716" s="23" t="s">
        <v>9</v>
      </c>
      <c r="J716" s="23"/>
      <c r="K716" s="22"/>
      <c r="L716" s="22"/>
      <c r="M716" s="23"/>
      <c r="N716" s="23"/>
      <c r="O716" s="26" t="s">
        <v>355</v>
      </c>
      <c r="P716" s="26"/>
      <c r="Q716" s="22"/>
      <c r="R716" s="24"/>
      <c r="S716" s="24"/>
      <c r="T716" s="24"/>
      <c r="U716" s="24"/>
      <c r="V716" s="24"/>
      <c r="W716" s="22" t="s">
        <v>356</v>
      </c>
      <c r="X716" s="4" t="str">
        <f>IF(Tabela2[[#This Row],[sigla]]="","",VLOOKUP(Tabela2[[#This Row],[sigla]],créditos_base!B:C,2,0))</f>
        <v>CAMILA CARMONA/ARQUIVO DA EDITORA</v>
      </c>
      <c r="Y716" s="23"/>
      <c r="Z716" s="23" t="str">
        <f>Tabela2[[#This Row],[ilustrador]]</f>
        <v>CAMILA CARMONA/ARQUIVO DA EDITORA</v>
      </c>
      <c r="AA716" s="22"/>
      <c r="AB716" s="20"/>
      <c r="AD716" s="4" t="str">
        <f>"Pitanguá"</f>
        <v>Pitanguá</v>
      </c>
      <c r="AE716" s="14" t="str">
        <f>"Matemática"</f>
        <v>Matemática</v>
      </c>
      <c r="AF716" s="14"/>
    </row>
    <row r="717" spans="1:32" x14ac:dyDescent="0.3">
      <c r="A717" s="23" t="s">
        <v>2896</v>
      </c>
      <c r="B717" s="20" t="s">
        <v>16</v>
      </c>
      <c r="C717" s="20" t="s">
        <v>89</v>
      </c>
      <c r="D717" s="20" t="s">
        <v>8</v>
      </c>
      <c r="E717" s="22">
        <v>69</v>
      </c>
      <c r="F717" s="22">
        <v>3</v>
      </c>
      <c r="G717" s="22">
        <v>2</v>
      </c>
      <c r="H717" s="22"/>
      <c r="I717" s="23" t="s">
        <v>90</v>
      </c>
      <c r="J717" s="23"/>
      <c r="K717" s="22"/>
      <c r="L717" s="22"/>
      <c r="M717" s="23"/>
      <c r="N717" s="23"/>
      <c r="O717" s="26" t="s">
        <v>2897</v>
      </c>
      <c r="P717" s="26"/>
      <c r="Q717" s="22">
        <v>40</v>
      </c>
      <c r="R717" s="24">
        <v>45782</v>
      </c>
      <c r="S717" s="24">
        <v>45783</v>
      </c>
      <c r="T717" s="24"/>
      <c r="U717" s="24"/>
      <c r="V717" s="24">
        <v>45783</v>
      </c>
      <c r="W717" s="22" t="s">
        <v>1217</v>
      </c>
      <c r="X717" s="4" t="str">
        <f>IF(Tabela2[[#This Row],[sigla]]="","",VLOOKUP(Tabela2[[#This Row],[sigla]],créditos_base!B:C,2,0))</f>
        <v>KEITHY MOSTACHI/ARQUIVO DA EDITORA</v>
      </c>
      <c r="Y717" s="23"/>
      <c r="Z717" s="23" t="str">
        <f>Tabela2[[#This Row],[ilustrador]]</f>
        <v>KEITHY MOSTACHI/ARQUIVO DA EDITORA</v>
      </c>
      <c r="AA717" s="22">
        <v>13</v>
      </c>
      <c r="AB717" s="20" t="s">
        <v>747</v>
      </c>
      <c r="AC717" s="20" t="s">
        <v>36</v>
      </c>
      <c r="AD717" s="4" t="str">
        <f>"Pitanguá"</f>
        <v>Pitanguá</v>
      </c>
      <c r="AE717" s="14" t="str">
        <f>"Matemática"</f>
        <v>Matemática</v>
      </c>
      <c r="AF717" s="14"/>
    </row>
    <row r="718" spans="1:32" ht="28.8" x14ac:dyDescent="0.3">
      <c r="A718" s="23" t="s">
        <v>5100</v>
      </c>
      <c r="B718" s="20" t="s">
        <v>16</v>
      </c>
      <c r="C718" s="20" t="s">
        <v>89</v>
      </c>
      <c r="D718" s="20" t="s">
        <v>8</v>
      </c>
      <c r="E718" s="22">
        <v>59</v>
      </c>
      <c r="F718" s="22">
        <v>4</v>
      </c>
      <c r="G718" s="22">
        <v>3</v>
      </c>
      <c r="H718" s="22"/>
      <c r="I718" s="23" t="s">
        <v>90</v>
      </c>
      <c r="J718" s="23"/>
      <c r="K718" s="22"/>
      <c r="L718" s="22"/>
      <c r="M718" s="23"/>
      <c r="N718" s="23"/>
      <c r="O718" s="26" t="s">
        <v>5101</v>
      </c>
      <c r="P718" s="26"/>
      <c r="Q718" s="22">
        <v>97</v>
      </c>
      <c r="R718" s="24">
        <v>45845</v>
      </c>
      <c r="S718" s="24">
        <v>45852</v>
      </c>
      <c r="T718" s="24"/>
      <c r="U718" s="24"/>
      <c r="V718" s="24">
        <v>45861</v>
      </c>
      <c r="W718" s="22" t="s">
        <v>468</v>
      </c>
      <c r="X718" s="4" t="str">
        <f>IF(Tabela2[[#This Row],[sigla]]="","",VLOOKUP(Tabela2[[#This Row],[sigla]],créditos_base!B:C,2,0))</f>
        <v>VER DOCUMENTO DE ILS. TÉCNICAS</v>
      </c>
      <c r="Y718" s="23"/>
      <c r="Z718" s="23" t="s">
        <v>5062</v>
      </c>
      <c r="AA718" s="22">
        <v>8</v>
      </c>
      <c r="AB718" s="20" t="s">
        <v>243</v>
      </c>
      <c r="AC718" s="20" t="s">
        <v>36</v>
      </c>
      <c r="AD718" s="4" t="str">
        <f>"Pitanguá"</f>
        <v>Pitanguá</v>
      </c>
      <c r="AE718" s="14" t="str">
        <f>"Matemática"</f>
        <v>Matemática</v>
      </c>
      <c r="AF718" s="14"/>
    </row>
    <row r="719" spans="1:32" ht="28.8" x14ac:dyDescent="0.3">
      <c r="A719" s="23" t="s">
        <v>2898</v>
      </c>
      <c r="B719" s="20" t="s">
        <v>16</v>
      </c>
      <c r="C719" s="20" t="s">
        <v>89</v>
      </c>
      <c r="D719" s="20" t="s">
        <v>8</v>
      </c>
      <c r="E719" s="22">
        <v>69</v>
      </c>
      <c r="F719" s="22">
        <v>3</v>
      </c>
      <c r="G719" s="22">
        <v>2</v>
      </c>
      <c r="H719" s="22"/>
      <c r="I719" s="23" t="s">
        <v>9</v>
      </c>
      <c r="J719" s="23"/>
      <c r="K719" s="22"/>
      <c r="L719" s="22"/>
      <c r="M719" s="23"/>
      <c r="N719" s="23"/>
      <c r="O719" s="26" t="s">
        <v>2899</v>
      </c>
      <c r="P719" s="26"/>
      <c r="Q719" s="22"/>
      <c r="R719" s="24"/>
      <c r="S719" s="24"/>
      <c r="T719" s="24"/>
      <c r="U719" s="24"/>
      <c r="V719" s="24"/>
      <c r="W719" s="22" t="s">
        <v>160</v>
      </c>
      <c r="X719" s="4" t="str">
        <f>IF(Tabela2[[#This Row],[sigla]]="","",VLOOKUP(Tabela2[[#This Row],[sigla]],créditos_base!B:C,2,0))</f>
        <v>SERGIO LIMA/ARQUIVO DA EDITORA</v>
      </c>
      <c r="Y719" s="23"/>
      <c r="Z719" s="23" t="str">
        <f>Tabela2[[#This Row],[ilustrador]]</f>
        <v>SERGIO LIMA/ARQUIVO DA EDITORA</v>
      </c>
      <c r="AA719" s="22"/>
      <c r="AB719" s="20"/>
      <c r="AD719" s="4" t="str">
        <f>"Pitanguá"</f>
        <v>Pitanguá</v>
      </c>
      <c r="AE719" s="14" t="str">
        <f>"Matemática"</f>
        <v>Matemática</v>
      </c>
      <c r="AF719" s="14"/>
    </row>
    <row r="720" spans="1:32" ht="28.8" x14ac:dyDescent="0.3">
      <c r="A720" s="23" t="s">
        <v>5102</v>
      </c>
      <c r="B720" s="20" t="s">
        <v>16</v>
      </c>
      <c r="C720" s="20" t="s">
        <v>89</v>
      </c>
      <c r="D720" s="20" t="s">
        <v>8</v>
      </c>
      <c r="E720" s="22">
        <v>59</v>
      </c>
      <c r="F720" s="22">
        <v>4</v>
      </c>
      <c r="G720" s="22">
        <v>3</v>
      </c>
      <c r="H720" s="22"/>
      <c r="I720" s="23" t="s">
        <v>90</v>
      </c>
      <c r="J720" s="23"/>
      <c r="K720" s="22"/>
      <c r="L720" s="22"/>
      <c r="M720" s="23"/>
      <c r="N720" s="23"/>
      <c r="O720" s="26" t="s">
        <v>5103</v>
      </c>
      <c r="P720" s="26"/>
      <c r="Q720" s="22">
        <v>97</v>
      </c>
      <c r="R720" s="24">
        <v>45845</v>
      </c>
      <c r="S720" s="24">
        <v>45852</v>
      </c>
      <c r="T720" s="24"/>
      <c r="U720" s="24"/>
      <c r="V720" s="24">
        <v>45861</v>
      </c>
      <c r="W720" s="22" t="s">
        <v>468</v>
      </c>
      <c r="X720" s="4" t="str">
        <f>IF(Tabela2[[#This Row],[sigla]]="","",VLOOKUP(Tabela2[[#This Row],[sigla]],créditos_base!B:C,2,0))</f>
        <v>VER DOCUMENTO DE ILS. TÉCNICAS</v>
      </c>
      <c r="Y720" s="23"/>
      <c r="Z720" s="23" t="s">
        <v>5062</v>
      </c>
      <c r="AA720" s="22">
        <v>8</v>
      </c>
      <c r="AB720" s="20" t="s">
        <v>243</v>
      </c>
      <c r="AC720" s="20" t="s">
        <v>36</v>
      </c>
      <c r="AD720" s="4" t="str">
        <f>"Pitanguá"</f>
        <v>Pitanguá</v>
      </c>
      <c r="AE720" s="14" t="str">
        <f>"Matemática"</f>
        <v>Matemática</v>
      </c>
      <c r="AF720" s="14"/>
    </row>
    <row r="721" spans="1:32" ht="28.8" x14ac:dyDescent="0.3">
      <c r="A721" s="23" t="s">
        <v>4426</v>
      </c>
      <c r="B721" s="20" t="s">
        <v>16</v>
      </c>
      <c r="C721" s="20" t="s">
        <v>89</v>
      </c>
      <c r="D721" s="20" t="s">
        <v>8</v>
      </c>
      <c r="E721" s="22">
        <v>97</v>
      </c>
      <c r="F721" s="22">
        <v>2</v>
      </c>
      <c r="G721" s="22">
        <v>3</v>
      </c>
      <c r="H721" s="22"/>
      <c r="I721" s="23" t="s">
        <v>90</v>
      </c>
      <c r="J721" s="23"/>
      <c r="K721" s="22"/>
      <c r="L721" s="22"/>
      <c r="M721" s="23"/>
      <c r="N721" s="23"/>
      <c r="O721" s="26" t="s">
        <v>4427</v>
      </c>
      <c r="P721" s="26"/>
      <c r="Q721" s="22">
        <v>64</v>
      </c>
      <c r="R721" s="24">
        <v>45810</v>
      </c>
      <c r="S721" s="24">
        <v>45811</v>
      </c>
      <c r="T721" s="24"/>
      <c r="U721" s="24"/>
      <c r="V721" s="24">
        <v>45811</v>
      </c>
      <c r="W721" s="22" t="s">
        <v>468</v>
      </c>
      <c r="X721" s="4" t="str">
        <f>IF(Tabela2[[#This Row],[sigla]]="","",VLOOKUP(Tabela2[[#This Row],[sigla]],créditos_base!B:C,2,0))</f>
        <v>VER DOCUMENTO DE ILS. TÉCNICAS</v>
      </c>
      <c r="Y721" s="23"/>
      <c r="Z721" s="23" t="s">
        <v>4428</v>
      </c>
      <c r="AA721" s="22">
        <v>13</v>
      </c>
      <c r="AB721" s="20" t="s">
        <v>2564</v>
      </c>
      <c r="AC721" s="20" t="s">
        <v>36</v>
      </c>
      <c r="AD721" s="4" t="str">
        <f>"Pitanguá"</f>
        <v>Pitanguá</v>
      </c>
      <c r="AE721" s="14" t="str">
        <f>"Matemática"</f>
        <v>Matemática</v>
      </c>
      <c r="AF721" s="14"/>
    </row>
    <row r="722" spans="1:32" ht="28.8" x14ac:dyDescent="0.3">
      <c r="A722" s="23" t="s">
        <v>2970</v>
      </c>
      <c r="B722" s="20" t="s">
        <v>16</v>
      </c>
      <c r="C722" s="20" t="s">
        <v>7</v>
      </c>
      <c r="D722" s="20" t="s">
        <v>8</v>
      </c>
      <c r="E722" s="22">
        <v>76</v>
      </c>
      <c r="F722" s="22">
        <v>3</v>
      </c>
      <c r="G722" s="22">
        <v>3</v>
      </c>
      <c r="H722" s="22"/>
      <c r="I722" s="23" t="s">
        <v>33</v>
      </c>
      <c r="J722" s="23"/>
      <c r="K722" s="22"/>
      <c r="L722" s="22"/>
      <c r="M722" s="23"/>
      <c r="N722" s="23"/>
      <c r="O722" s="26" t="s">
        <v>2971</v>
      </c>
      <c r="P722" s="26"/>
      <c r="Q722" s="22">
        <v>43</v>
      </c>
      <c r="R722" s="24">
        <v>45790</v>
      </c>
      <c r="S722" s="24">
        <v>45790</v>
      </c>
      <c r="T722" s="24"/>
      <c r="U722" s="24"/>
      <c r="V722" s="24">
        <v>45790</v>
      </c>
      <c r="W722" s="22" t="s">
        <v>31</v>
      </c>
      <c r="X722" s="4" t="str">
        <f>IF(Tabela2[[#This Row],[sigla]]="","",VLOOKUP(Tabela2[[#This Row],[sigla]],créditos_base!B:C,2,0))</f>
        <v>SILVIA OTOFUJI/ARQUIVO DA EDITORA</v>
      </c>
      <c r="Y722" s="23" t="s">
        <v>13</v>
      </c>
      <c r="Z722" s="23" t="str">
        <f>Tabela2[[#This Row],[ilustrador]]</f>
        <v>SILVIA OTOFUJI/ARQUIVO DA EDITORA</v>
      </c>
      <c r="AA722" s="22">
        <v>13</v>
      </c>
      <c r="AB722" s="20" t="s">
        <v>153</v>
      </c>
      <c r="AC722" s="20" t="s">
        <v>36</v>
      </c>
      <c r="AD722" s="4" t="str">
        <f>"Pitanguá"</f>
        <v>Pitanguá</v>
      </c>
      <c r="AE722" s="14" t="str">
        <f>"Matemática"</f>
        <v>Matemática</v>
      </c>
      <c r="AF722" s="14"/>
    </row>
    <row r="723" spans="1:32" ht="28.8" x14ac:dyDescent="0.3">
      <c r="A723" s="23" t="s">
        <v>5104</v>
      </c>
      <c r="B723" s="20" t="s">
        <v>16</v>
      </c>
      <c r="C723" s="20" t="s">
        <v>89</v>
      </c>
      <c r="D723" s="20" t="s">
        <v>8</v>
      </c>
      <c r="E723" s="22">
        <v>59</v>
      </c>
      <c r="F723" s="22">
        <v>4</v>
      </c>
      <c r="G723" s="22">
        <v>3</v>
      </c>
      <c r="H723" s="22"/>
      <c r="I723" s="23" t="s">
        <v>90</v>
      </c>
      <c r="J723" s="23"/>
      <c r="K723" s="22"/>
      <c r="L723" s="22"/>
      <c r="M723" s="23"/>
      <c r="N723" s="23"/>
      <c r="O723" s="26" t="s">
        <v>5105</v>
      </c>
      <c r="P723" s="26"/>
      <c r="Q723" s="22">
        <v>97</v>
      </c>
      <c r="R723" s="24">
        <v>45845</v>
      </c>
      <c r="S723" s="24">
        <v>45852</v>
      </c>
      <c r="T723" s="24"/>
      <c r="U723" s="24"/>
      <c r="V723" s="24">
        <v>45861</v>
      </c>
      <c r="W723" s="22" t="s">
        <v>468</v>
      </c>
      <c r="X723" s="4" t="str">
        <f>IF(Tabela2[[#This Row],[sigla]]="","",VLOOKUP(Tabela2[[#This Row],[sigla]],créditos_base!B:C,2,0))</f>
        <v>VER DOCUMENTO DE ILS. TÉCNICAS</v>
      </c>
      <c r="Y723" s="23"/>
      <c r="Z723" s="23" t="s">
        <v>5062</v>
      </c>
      <c r="AA723" s="22">
        <v>8</v>
      </c>
      <c r="AB723" s="20" t="s">
        <v>243</v>
      </c>
      <c r="AC723" s="20" t="s">
        <v>36</v>
      </c>
      <c r="AD723" s="4" t="str">
        <f>"Pitanguá"</f>
        <v>Pitanguá</v>
      </c>
      <c r="AE723" s="14" t="str">
        <f>"Matemática"</f>
        <v>Matemática</v>
      </c>
      <c r="AF723" s="14"/>
    </row>
    <row r="724" spans="1:32" ht="28.8" x14ac:dyDescent="0.3">
      <c r="A724" s="23" t="s">
        <v>1319</v>
      </c>
      <c r="B724" s="20" t="s">
        <v>16</v>
      </c>
      <c r="C724" s="20" t="s">
        <v>89</v>
      </c>
      <c r="D724" s="20" t="s">
        <v>8</v>
      </c>
      <c r="E724" s="22">
        <v>60</v>
      </c>
      <c r="F724" s="22">
        <v>2</v>
      </c>
      <c r="G724" s="22">
        <v>3</v>
      </c>
      <c r="H724" s="22"/>
      <c r="I724" s="23" t="s">
        <v>9</v>
      </c>
      <c r="J724" s="23"/>
      <c r="K724" s="22"/>
      <c r="L724" s="22"/>
      <c r="M724" s="23"/>
      <c r="N724" s="23"/>
      <c r="O724" s="26" t="s">
        <v>1320</v>
      </c>
      <c r="P724" s="26"/>
      <c r="Q724" s="22"/>
      <c r="R724" s="24"/>
      <c r="S724" s="24"/>
      <c r="T724" s="24"/>
      <c r="U724" s="24"/>
      <c r="V724" s="24"/>
      <c r="W724" s="22" t="s">
        <v>468</v>
      </c>
      <c r="X724" s="4" t="str">
        <f>IF(Tabela2[[#This Row],[sigla]]="","",VLOOKUP(Tabela2[[#This Row],[sigla]],créditos_base!B:C,2,0))</f>
        <v>VER DOCUMENTO DE ILS. TÉCNICAS</v>
      </c>
      <c r="Y724" s="23"/>
      <c r="Z724" s="23" t="s">
        <v>661</v>
      </c>
      <c r="AA724" s="22"/>
      <c r="AB724" s="20"/>
      <c r="AD724" s="4" t="str">
        <f>"Pitanguá"</f>
        <v>Pitanguá</v>
      </c>
      <c r="AE724" s="14" t="str">
        <f>"Matemática"</f>
        <v>Matemática</v>
      </c>
      <c r="AF724" s="14"/>
    </row>
    <row r="725" spans="1:32" ht="28.8" x14ac:dyDescent="0.3">
      <c r="A725" s="23" t="s">
        <v>2978</v>
      </c>
      <c r="B725" s="20" t="s">
        <v>16</v>
      </c>
      <c r="C725" s="20" t="s">
        <v>7</v>
      </c>
      <c r="D725" s="20" t="s">
        <v>8</v>
      </c>
      <c r="E725" s="22">
        <v>77</v>
      </c>
      <c r="F725" s="22">
        <v>3</v>
      </c>
      <c r="G725" s="22">
        <v>3</v>
      </c>
      <c r="H725" s="22"/>
      <c r="I725" s="23" t="s">
        <v>33</v>
      </c>
      <c r="J725" s="23"/>
      <c r="K725" s="22"/>
      <c r="L725" s="22"/>
      <c r="M725" s="23"/>
      <c r="N725" s="23"/>
      <c r="O725" s="26" t="s">
        <v>2979</v>
      </c>
      <c r="P725" s="26"/>
      <c r="Q725" s="22">
        <v>121</v>
      </c>
      <c r="R725" s="24">
        <v>45860</v>
      </c>
      <c r="S725" s="24">
        <v>45861</v>
      </c>
      <c r="T725" s="24"/>
      <c r="U725" s="24"/>
      <c r="V725" s="24">
        <v>45861</v>
      </c>
      <c r="W725" s="22" t="s">
        <v>31</v>
      </c>
      <c r="X725" s="4" t="str">
        <f>IF(Tabela2[[#This Row],[sigla]]="","",VLOOKUP(Tabela2[[#This Row],[sigla]],créditos_base!B:C,2,0))</f>
        <v>SILVIA OTOFUJI/ARQUIVO DA EDITORA</v>
      </c>
      <c r="Y725" s="23" t="s">
        <v>152</v>
      </c>
      <c r="Z725" s="23" t="str">
        <f>Tabela2[[#This Row],[ilustrador]]</f>
        <v>SILVIA OTOFUJI/ARQUIVO DA EDITORA</v>
      </c>
      <c r="AA725" s="22">
        <v>13</v>
      </c>
      <c r="AB725" s="20" t="s">
        <v>244</v>
      </c>
      <c r="AC725" s="20" t="s">
        <v>36</v>
      </c>
      <c r="AD725" s="4" t="str">
        <f>"Pitanguá"</f>
        <v>Pitanguá</v>
      </c>
      <c r="AE725" s="14" t="str">
        <f>"Matemática"</f>
        <v>Matemática</v>
      </c>
      <c r="AF725" s="14"/>
    </row>
    <row r="726" spans="1:32" ht="28.8" x14ac:dyDescent="0.3">
      <c r="A726" s="23" t="s">
        <v>5106</v>
      </c>
      <c r="B726" s="20" t="s">
        <v>16</v>
      </c>
      <c r="C726" s="20" t="s">
        <v>89</v>
      </c>
      <c r="D726" s="20" t="s">
        <v>8</v>
      </c>
      <c r="E726" s="22">
        <v>59</v>
      </c>
      <c r="F726" s="22">
        <v>4</v>
      </c>
      <c r="G726" s="22">
        <v>3</v>
      </c>
      <c r="H726" s="22"/>
      <c r="I726" s="23" t="s">
        <v>90</v>
      </c>
      <c r="J726" s="23"/>
      <c r="K726" s="22"/>
      <c r="L726" s="22"/>
      <c r="M726" s="23"/>
      <c r="N726" s="23"/>
      <c r="O726" s="26" t="s">
        <v>5107</v>
      </c>
      <c r="P726" s="26"/>
      <c r="Q726" s="22">
        <v>97</v>
      </c>
      <c r="R726" s="24">
        <v>45845</v>
      </c>
      <c r="S726" s="24">
        <v>45852</v>
      </c>
      <c r="T726" s="24"/>
      <c r="U726" s="24"/>
      <c r="V726" s="24">
        <v>45861</v>
      </c>
      <c r="W726" s="22" t="s">
        <v>468</v>
      </c>
      <c r="X726" s="4" t="str">
        <f>IF(Tabela2[[#This Row],[sigla]]="","",VLOOKUP(Tabela2[[#This Row],[sigla]],créditos_base!B:C,2,0))</f>
        <v>VER DOCUMENTO DE ILS. TÉCNICAS</v>
      </c>
      <c r="Y726" s="23"/>
      <c r="Z726" s="23" t="s">
        <v>5062</v>
      </c>
      <c r="AA726" s="22">
        <v>8</v>
      </c>
      <c r="AB726" s="20" t="s">
        <v>243</v>
      </c>
      <c r="AC726" s="20" t="s">
        <v>36</v>
      </c>
      <c r="AD726" s="4" t="str">
        <f>"Pitanguá"</f>
        <v>Pitanguá</v>
      </c>
      <c r="AE726" s="14" t="str">
        <f>"Matemática"</f>
        <v>Matemática</v>
      </c>
      <c r="AF726" s="14"/>
    </row>
    <row r="727" spans="1:32" ht="28.8" x14ac:dyDescent="0.3">
      <c r="A727" s="23" t="s">
        <v>1321</v>
      </c>
      <c r="B727" s="20" t="s">
        <v>16</v>
      </c>
      <c r="C727" s="20" t="s">
        <v>89</v>
      </c>
      <c r="D727" s="20" t="s">
        <v>8</v>
      </c>
      <c r="E727" s="22">
        <v>60</v>
      </c>
      <c r="F727" s="22">
        <v>2</v>
      </c>
      <c r="G727" s="22">
        <v>3</v>
      </c>
      <c r="H727" s="22"/>
      <c r="I727" s="23" t="s">
        <v>9</v>
      </c>
      <c r="J727" s="23"/>
      <c r="K727" s="22"/>
      <c r="L727" s="22"/>
      <c r="M727" s="23"/>
      <c r="N727" s="23"/>
      <c r="O727" s="26" t="s">
        <v>1322</v>
      </c>
      <c r="P727" s="26"/>
      <c r="Q727" s="22"/>
      <c r="R727" s="24"/>
      <c r="S727" s="24"/>
      <c r="T727" s="24"/>
      <c r="U727" s="24"/>
      <c r="V727" s="24"/>
      <c r="W727" s="22" t="s">
        <v>468</v>
      </c>
      <c r="X727" s="4" t="str">
        <f>IF(Tabela2[[#This Row],[sigla]]="","",VLOOKUP(Tabela2[[#This Row],[sigla]],créditos_base!B:C,2,0))</f>
        <v>VER DOCUMENTO DE ILS. TÉCNICAS</v>
      </c>
      <c r="Y727" s="23"/>
      <c r="Z727" s="23" t="s">
        <v>661</v>
      </c>
      <c r="AA727" s="22"/>
      <c r="AB727" s="20"/>
      <c r="AD727" s="4" t="str">
        <f>"Pitanguá"</f>
        <v>Pitanguá</v>
      </c>
      <c r="AE727" s="14" t="str">
        <f>"Matemática"</f>
        <v>Matemática</v>
      </c>
      <c r="AF727" s="14"/>
    </row>
    <row r="728" spans="1:32" ht="28.8" x14ac:dyDescent="0.3">
      <c r="A728" s="23" t="s">
        <v>2980</v>
      </c>
      <c r="B728" s="20" t="s">
        <v>16</v>
      </c>
      <c r="C728" s="20" t="s">
        <v>7</v>
      </c>
      <c r="D728" s="20" t="s">
        <v>8</v>
      </c>
      <c r="E728" s="22">
        <v>77</v>
      </c>
      <c r="F728" s="22">
        <v>3</v>
      </c>
      <c r="G728" s="22">
        <v>3</v>
      </c>
      <c r="H728" s="22"/>
      <c r="I728" s="23" t="s">
        <v>33</v>
      </c>
      <c r="J728" s="23"/>
      <c r="K728" s="22"/>
      <c r="L728" s="22"/>
      <c r="M728" s="23"/>
      <c r="N728" s="23"/>
      <c r="O728" s="26" t="s">
        <v>2981</v>
      </c>
      <c r="P728" s="26"/>
      <c r="Q728" s="22">
        <v>43</v>
      </c>
      <c r="R728" s="24">
        <v>45790</v>
      </c>
      <c r="S728" s="24">
        <v>45790</v>
      </c>
      <c r="T728" s="24"/>
      <c r="U728" s="24"/>
      <c r="V728" s="24">
        <v>45790</v>
      </c>
      <c r="W728" s="22" t="s">
        <v>31</v>
      </c>
      <c r="X728" s="4" t="str">
        <f>IF(Tabela2[[#This Row],[sigla]]="","",VLOOKUP(Tabela2[[#This Row],[sigla]],créditos_base!B:C,2,0))</f>
        <v>SILVIA OTOFUJI/ARQUIVO DA EDITORA</v>
      </c>
      <c r="Y728" s="23" t="s">
        <v>13</v>
      </c>
      <c r="Z728" s="23" t="str">
        <f>Tabela2[[#This Row],[ilustrador]]</f>
        <v>SILVIA OTOFUJI/ARQUIVO DA EDITORA</v>
      </c>
      <c r="AA728" s="22">
        <v>13</v>
      </c>
      <c r="AB728" s="20" t="s">
        <v>153</v>
      </c>
      <c r="AC728" s="20" t="s">
        <v>36</v>
      </c>
      <c r="AD728" s="4" t="str">
        <f>"Pitanguá"</f>
        <v>Pitanguá</v>
      </c>
      <c r="AE728" s="14" t="str">
        <f>"Matemática"</f>
        <v>Matemática</v>
      </c>
      <c r="AF728" s="14"/>
    </row>
    <row r="729" spans="1:32" ht="43.2" x14ac:dyDescent="0.3">
      <c r="A729" s="23" t="s">
        <v>5108</v>
      </c>
      <c r="B729" s="20" t="s">
        <v>16</v>
      </c>
      <c r="C729" s="20" t="s">
        <v>89</v>
      </c>
      <c r="D729" s="20" t="s">
        <v>8</v>
      </c>
      <c r="E729" s="22">
        <v>59</v>
      </c>
      <c r="F729" s="22">
        <v>4</v>
      </c>
      <c r="G729" s="22">
        <v>3</v>
      </c>
      <c r="H729" s="22"/>
      <c r="I729" s="23" t="s">
        <v>90</v>
      </c>
      <c r="J729" s="23"/>
      <c r="K729" s="22"/>
      <c r="L729" s="22"/>
      <c r="M729" s="23"/>
      <c r="N729" s="23"/>
      <c r="O729" s="26" t="s">
        <v>5109</v>
      </c>
      <c r="P729" s="26"/>
      <c r="Q729" s="22">
        <v>97</v>
      </c>
      <c r="R729" s="24">
        <v>45845</v>
      </c>
      <c r="S729" s="24">
        <v>45852</v>
      </c>
      <c r="T729" s="24"/>
      <c r="U729" s="24"/>
      <c r="V729" s="24">
        <v>45861</v>
      </c>
      <c r="W729" s="22" t="s">
        <v>468</v>
      </c>
      <c r="X729" s="4" t="str">
        <f>IF(Tabela2[[#This Row],[sigla]]="","",VLOOKUP(Tabela2[[#This Row],[sigla]],créditos_base!B:C,2,0))</f>
        <v>VER DOCUMENTO DE ILS. TÉCNICAS</v>
      </c>
      <c r="Y729" s="23"/>
      <c r="Z729" s="23" t="s">
        <v>5062</v>
      </c>
      <c r="AA729" s="22">
        <v>8</v>
      </c>
      <c r="AB729" s="20" t="s">
        <v>243</v>
      </c>
      <c r="AC729" s="20" t="s">
        <v>36</v>
      </c>
      <c r="AD729" s="4" t="str">
        <f>"Pitanguá"</f>
        <v>Pitanguá</v>
      </c>
      <c r="AE729" s="14" t="str">
        <f>"Matemática"</f>
        <v>Matemática</v>
      </c>
      <c r="AF729" s="14"/>
    </row>
    <row r="730" spans="1:32" ht="28.8" x14ac:dyDescent="0.3">
      <c r="A730" s="23" t="s">
        <v>1323</v>
      </c>
      <c r="B730" s="20" t="s">
        <v>16</v>
      </c>
      <c r="C730" s="20" t="s">
        <v>7</v>
      </c>
      <c r="D730" s="20" t="s">
        <v>8</v>
      </c>
      <c r="E730" s="22">
        <v>61</v>
      </c>
      <c r="F730" s="22">
        <v>2</v>
      </c>
      <c r="G730" s="22">
        <v>3</v>
      </c>
      <c r="H730" s="22"/>
      <c r="I730" s="23" t="s">
        <v>9</v>
      </c>
      <c r="J730" s="23"/>
      <c r="K730" s="22"/>
      <c r="L730" s="22"/>
      <c r="M730" s="23"/>
      <c r="N730" s="23"/>
      <c r="O730" s="26" t="s">
        <v>1324</v>
      </c>
      <c r="P730" s="26"/>
      <c r="Q730" s="22"/>
      <c r="R730" s="24"/>
      <c r="S730" s="24"/>
      <c r="T730" s="24"/>
      <c r="U730" s="24"/>
      <c r="V730" s="24"/>
      <c r="W730" s="22" t="s">
        <v>230</v>
      </c>
      <c r="X730" s="4" t="str">
        <f>IF(Tabela2[[#This Row],[sigla]]="","",VLOOKUP(Tabela2[[#This Row],[sigla]],créditos_base!B:C,2,0))</f>
        <v>RAFAEL L. GAION/ARQUIVO DA EDITORA</v>
      </c>
      <c r="Y730" s="23"/>
      <c r="Z730" s="23" t="str">
        <f>Tabela2[[#This Row],[ilustrador]]</f>
        <v>RAFAEL L. GAION/ARQUIVO DA EDITORA</v>
      </c>
      <c r="AA730" s="22"/>
      <c r="AB730" s="20"/>
      <c r="AD730" s="4" t="str">
        <f>"Pitanguá"</f>
        <v>Pitanguá</v>
      </c>
      <c r="AE730" s="14" t="str">
        <f>"Matemática"</f>
        <v>Matemática</v>
      </c>
      <c r="AF730" s="14"/>
    </row>
    <row r="731" spans="1:32" ht="28.8" x14ac:dyDescent="0.3">
      <c r="A731" s="23" t="s">
        <v>2982</v>
      </c>
      <c r="B731" s="20" t="s">
        <v>16</v>
      </c>
      <c r="C731" s="20" t="s">
        <v>7</v>
      </c>
      <c r="D731" s="20" t="s">
        <v>8</v>
      </c>
      <c r="E731" s="22">
        <v>77</v>
      </c>
      <c r="F731" s="22">
        <v>3</v>
      </c>
      <c r="G731" s="22">
        <v>3</v>
      </c>
      <c r="H731" s="22"/>
      <c r="I731" s="23" t="s">
        <v>33</v>
      </c>
      <c r="J731" s="23"/>
      <c r="K731" s="22"/>
      <c r="L731" s="22"/>
      <c r="M731" s="23"/>
      <c r="N731" s="23"/>
      <c r="O731" s="26" t="s">
        <v>2983</v>
      </c>
      <c r="P731" s="26"/>
      <c r="Q731" s="22">
        <v>121</v>
      </c>
      <c r="R731" s="24">
        <v>45860</v>
      </c>
      <c r="S731" s="24">
        <v>45861</v>
      </c>
      <c r="T731" s="24"/>
      <c r="U731" s="24"/>
      <c r="V731" s="24">
        <v>45861</v>
      </c>
      <c r="W731" s="22" t="s">
        <v>31</v>
      </c>
      <c r="X731" s="4" t="str">
        <f>IF(Tabela2[[#This Row],[sigla]]="","",VLOOKUP(Tabela2[[#This Row],[sigla]],créditos_base!B:C,2,0))</f>
        <v>SILVIA OTOFUJI/ARQUIVO DA EDITORA</v>
      </c>
      <c r="Y731" s="23" t="s">
        <v>152</v>
      </c>
      <c r="Z731" s="23" t="str">
        <f>Tabela2[[#This Row],[ilustrador]]</f>
        <v>SILVIA OTOFUJI/ARQUIVO DA EDITORA</v>
      </c>
      <c r="AA731" s="22">
        <v>13</v>
      </c>
      <c r="AB731" s="20" t="s">
        <v>244</v>
      </c>
      <c r="AC731" s="20" t="s">
        <v>36</v>
      </c>
      <c r="AD731" s="4" t="str">
        <f>"Pitanguá"</f>
        <v>Pitanguá</v>
      </c>
      <c r="AE731" s="14" t="str">
        <f>"Matemática"</f>
        <v>Matemática</v>
      </c>
      <c r="AF731" s="14"/>
    </row>
    <row r="732" spans="1:32" ht="43.2" x14ac:dyDescent="0.3">
      <c r="A732" s="23" t="s">
        <v>2984</v>
      </c>
      <c r="B732" s="20" t="s">
        <v>16</v>
      </c>
      <c r="C732" s="20" t="s">
        <v>7</v>
      </c>
      <c r="D732" s="20" t="s">
        <v>8</v>
      </c>
      <c r="E732" s="22">
        <v>77</v>
      </c>
      <c r="F732" s="22">
        <v>3</v>
      </c>
      <c r="G732" s="22">
        <v>3</v>
      </c>
      <c r="H732" s="22"/>
      <c r="I732" s="23" t="s">
        <v>33</v>
      </c>
      <c r="J732" s="23"/>
      <c r="K732" s="22"/>
      <c r="L732" s="22"/>
      <c r="M732" s="23"/>
      <c r="N732" s="23"/>
      <c r="O732" s="26" t="s">
        <v>2985</v>
      </c>
      <c r="P732" s="26"/>
      <c r="Q732" s="22">
        <v>63</v>
      </c>
      <c r="R732" s="24">
        <v>45807</v>
      </c>
      <c r="S732" s="24">
        <v>45810</v>
      </c>
      <c r="T732" s="24"/>
      <c r="U732" s="24"/>
      <c r="V732" s="24">
        <v>45810</v>
      </c>
      <c r="W732" s="22" t="s">
        <v>31</v>
      </c>
      <c r="X732" s="4" t="str">
        <f>IF(Tabela2[[#This Row],[sigla]]="","",VLOOKUP(Tabela2[[#This Row],[sigla]],créditos_base!B:C,2,0))</f>
        <v>SILVIA OTOFUJI/ARQUIVO DA EDITORA</v>
      </c>
      <c r="Y732" s="23" t="s">
        <v>1139</v>
      </c>
      <c r="Z732" s="23" t="str">
        <f>Tabela2[[#This Row],[ilustrador]]</f>
        <v>SILVIA OTOFUJI/ARQUIVO DA EDITORA</v>
      </c>
      <c r="AA732" s="22">
        <v>13</v>
      </c>
      <c r="AB732" s="20" t="s">
        <v>1425</v>
      </c>
      <c r="AC732" s="20" t="s">
        <v>36</v>
      </c>
      <c r="AD732" s="4" t="str">
        <f>"Pitanguá"</f>
        <v>Pitanguá</v>
      </c>
      <c r="AE732" s="14" t="str">
        <f>"Matemática"</f>
        <v>Matemática</v>
      </c>
      <c r="AF732" s="14"/>
    </row>
    <row r="733" spans="1:32" ht="28.8" x14ac:dyDescent="0.3">
      <c r="A733" s="23" t="s">
        <v>364</v>
      </c>
      <c r="B733" s="20" t="s">
        <v>16</v>
      </c>
      <c r="C733" s="20" t="s">
        <v>89</v>
      </c>
      <c r="D733" s="20" t="s">
        <v>8</v>
      </c>
      <c r="E733" s="22">
        <v>77</v>
      </c>
      <c r="F733" s="22">
        <v>1</v>
      </c>
      <c r="G733" s="22">
        <v>3</v>
      </c>
      <c r="H733" s="22"/>
      <c r="I733" s="23" t="s">
        <v>9</v>
      </c>
      <c r="J733" s="23"/>
      <c r="K733" s="22"/>
      <c r="L733" s="22"/>
      <c r="M733" s="23"/>
      <c r="N733" s="23"/>
      <c r="O733" s="26" t="s">
        <v>365</v>
      </c>
      <c r="P733" s="26"/>
      <c r="Q733" s="22"/>
      <c r="R733" s="24"/>
      <c r="S733" s="24"/>
      <c r="T733" s="24"/>
      <c r="U733" s="24"/>
      <c r="V733" s="24"/>
      <c r="W733" s="22" t="s">
        <v>230</v>
      </c>
      <c r="X733" s="4" t="str">
        <f>IF(Tabela2[[#This Row],[sigla]]="","",VLOOKUP(Tabela2[[#This Row],[sigla]],créditos_base!B:C,2,0))</f>
        <v>RAFAEL L. GAION/ARQUIVO DA EDITORA</v>
      </c>
      <c r="Y733" s="23"/>
      <c r="Z733" s="23" t="str">
        <f>Tabela2[[#This Row],[ilustrador]]</f>
        <v>RAFAEL L. GAION/ARQUIVO DA EDITORA</v>
      </c>
      <c r="AA733" s="22"/>
      <c r="AB733" s="20"/>
      <c r="AD733" s="4" t="str">
        <f>"Pitanguá"</f>
        <v>Pitanguá</v>
      </c>
      <c r="AE733" s="14" t="str">
        <f>"Matemática"</f>
        <v>Matemática</v>
      </c>
      <c r="AF733" s="14"/>
    </row>
    <row r="734" spans="1:32" ht="28.8" x14ac:dyDescent="0.3">
      <c r="A734" s="23" t="s">
        <v>366</v>
      </c>
      <c r="B734" s="20" t="s">
        <v>16</v>
      </c>
      <c r="C734" s="20" t="s">
        <v>89</v>
      </c>
      <c r="D734" s="20" t="s">
        <v>8</v>
      </c>
      <c r="E734" s="22">
        <v>77</v>
      </c>
      <c r="F734" s="22">
        <v>1</v>
      </c>
      <c r="G734" s="22">
        <v>3</v>
      </c>
      <c r="H734" s="22"/>
      <c r="I734" s="23" t="s">
        <v>9</v>
      </c>
      <c r="J734" s="23"/>
      <c r="K734" s="22"/>
      <c r="L734" s="22"/>
      <c r="M734" s="23"/>
      <c r="N734" s="23"/>
      <c r="O734" s="26" t="s">
        <v>367</v>
      </c>
      <c r="P734" s="26"/>
      <c r="Q734" s="22"/>
      <c r="R734" s="24"/>
      <c r="S734" s="24"/>
      <c r="T734" s="24"/>
      <c r="U734" s="24"/>
      <c r="V734" s="24"/>
      <c r="W734" s="22" t="s">
        <v>230</v>
      </c>
      <c r="X734" s="4" t="str">
        <f>IF(Tabela2[[#This Row],[sigla]]="","",VLOOKUP(Tabela2[[#This Row],[sigla]],créditos_base!B:C,2,0))</f>
        <v>RAFAEL L. GAION/ARQUIVO DA EDITORA</v>
      </c>
      <c r="Y734" s="23"/>
      <c r="Z734" s="23" t="str">
        <f>Tabela2[[#This Row],[ilustrador]]</f>
        <v>RAFAEL L. GAION/ARQUIVO DA EDITORA</v>
      </c>
      <c r="AA734" s="22"/>
      <c r="AB734" s="20"/>
      <c r="AD734" s="4" t="str">
        <f>"Pitanguá"</f>
        <v>Pitanguá</v>
      </c>
      <c r="AE734" s="14" t="str">
        <f>"Matemática"</f>
        <v>Matemática</v>
      </c>
      <c r="AF734" s="14"/>
    </row>
    <row r="735" spans="1:32" ht="28.8" x14ac:dyDescent="0.3">
      <c r="A735" s="23" t="s">
        <v>1325</v>
      </c>
      <c r="B735" s="20" t="s">
        <v>16</v>
      </c>
      <c r="C735" s="20" t="s">
        <v>7</v>
      </c>
      <c r="D735" s="20" t="s">
        <v>8</v>
      </c>
      <c r="E735" s="22">
        <v>63</v>
      </c>
      <c r="F735" s="22">
        <v>2</v>
      </c>
      <c r="G735" s="22">
        <v>3</v>
      </c>
      <c r="H735" s="22"/>
      <c r="I735" s="23" t="s">
        <v>33</v>
      </c>
      <c r="J735" s="23"/>
      <c r="K735" s="22"/>
      <c r="L735" s="22"/>
      <c r="M735" s="23"/>
      <c r="N735" s="23"/>
      <c r="O735" s="26" t="s">
        <v>1326</v>
      </c>
      <c r="P735" s="26"/>
      <c r="Q735" s="22">
        <v>145</v>
      </c>
      <c r="R735" s="24">
        <v>45875</v>
      </c>
      <c r="S735" s="24">
        <v>45876</v>
      </c>
      <c r="T735" s="24"/>
      <c r="U735" s="24"/>
      <c r="V735" s="24">
        <v>45876</v>
      </c>
      <c r="W735" s="22" t="s">
        <v>468</v>
      </c>
      <c r="X735" s="4" t="str">
        <f>IF(Tabela2[[#This Row],[sigla]]="","",VLOOKUP(Tabela2[[#This Row],[sigla]],créditos_base!B:C,2,0))</f>
        <v>VER DOCUMENTO DE ILS. TÉCNICAS</v>
      </c>
      <c r="Y735" s="23" t="s">
        <v>243</v>
      </c>
      <c r="Z735" s="23" t="s">
        <v>1327</v>
      </c>
      <c r="AA735" s="22">
        <v>13</v>
      </c>
      <c r="AB735" s="20" t="s">
        <v>244</v>
      </c>
      <c r="AC735" s="20" t="s">
        <v>36</v>
      </c>
      <c r="AD735" s="4" t="str">
        <f>"Pitanguá"</f>
        <v>Pitanguá</v>
      </c>
      <c r="AE735" s="14" t="str">
        <f>"Matemática"</f>
        <v>Matemática</v>
      </c>
      <c r="AF735" s="14"/>
    </row>
    <row r="736" spans="1:32" ht="28.8" x14ac:dyDescent="0.3">
      <c r="A736" s="23" t="s">
        <v>368</v>
      </c>
      <c r="B736" s="20" t="s">
        <v>16</v>
      </c>
      <c r="C736" s="20" t="s">
        <v>89</v>
      </c>
      <c r="D736" s="20" t="s">
        <v>8</v>
      </c>
      <c r="E736" s="22">
        <v>77</v>
      </c>
      <c r="F736" s="22">
        <v>1</v>
      </c>
      <c r="G736" s="22">
        <v>3</v>
      </c>
      <c r="H736" s="22"/>
      <c r="I736" s="23" t="s">
        <v>90</v>
      </c>
      <c r="J736" s="23"/>
      <c r="K736" s="22"/>
      <c r="L736" s="22"/>
      <c r="M736" s="23"/>
      <c r="N736" s="23"/>
      <c r="O736" s="26" t="s">
        <v>369</v>
      </c>
      <c r="P736" s="26"/>
      <c r="Q736" s="22">
        <v>3</v>
      </c>
      <c r="R736" s="24">
        <v>45726</v>
      </c>
      <c r="S736" s="24">
        <v>45727</v>
      </c>
      <c r="T736" s="24"/>
      <c r="U736" s="24"/>
      <c r="V736" s="24">
        <v>45733</v>
      </c>
      <c r="W736" s="22" t="s">
        <v>72</v>
      </c>
      <c r="X736" s="4" t="str">
        <f>IF(Tabela2[[#This Row],[sigla]]="","",VLOOKUP(Tabela2[[#This Row],[sigla]],créditos_base!B:C,2,0))</f>
        <v>HELOÍSA PINTARELLI/ARQUIVO DA EDITORA</v>
      </c>
      <c r="Y736" s="23"/>
      <c r="Z736" s="23" t="str">
        <f>Tabela2[[#This Row],[ilustrador]]</f>
        <v>HELOÍSA PINTARELLI/ARQUIVO DA EDITORA</v>
      </c>
      <c r="AA736" s="22">
        <v>8</v>
      </c>
      <c r="AB736" s="20" t="s">
        <v>309</v>
      </c>
      <c r="AC736" s="20" t="s">
        <v>310</v>
      </c>
      <c r="AD736" s="4" t="str">
        <f>"Pitanguá"</f>
        <v>Pitanguá</v>
      </c>
      <c r="AE736" s="14" t="str">
        <f>"Matemática"</f>
        <v>Matemática</v>
      </c>
      <c r="AF736" s="14"/>
    </row>
    <row r="737" spans="1:32" x14ac:dyDescent="0.3">
      <c r="A737" s="23" t="s">
        <v>370</v>
      </c>
      <c r="B737" s="20" t="s">
        <v>16</v>
      </c>
      <c r="C737" s="20" t="s">
        <v>89</v>
      </c>
      <c r="D737" s="20" t="s">
        <v>8</v>
      </c>
      <c r="E737" s="22">
        <v>77</v>
      </c>
      <c r="F737" s="22">
        <v>1</v>
      </c>
      <c r="G737" s="22">
        <v>3</v>
      </c>
      <c r="H737" s="22"/>
      <c r="I737" s="23" t="s">
        <v>90</v>
      </c>
      <c r="J737" s="23"/>
      <c r="K737" s="22"/>
      <c r="L737" s="22"/>
      <c r="M737" s="23"/>
      <c r="N737" s="23"/>
      <c r="O737" s="26" t="s">
        <v>371</v>
      </c>
      <c r="P737" s="26"/>
      <c r="Q737" s="22">
        <v>3</v>
      </c>
      <c r="R737" s="24">
        <v>45726</v>
      </c>
      <c r="S737" s="24">
        <v>45727</v>
      </c>
      <c r="T737" s="24"/>
      <c r="U737" s="24"/>
      <c r="V737" s="24">
        <v>45733</v>
      </c>
      <c r="W737" s="22" t="s">
        <v>72</v>
      </c>
      <c r="X737" s="4" t="str">
        <f>IF(Tabela2[[#This Row],[sigla]]="","",VLOOKUP(Tabela2[[#This Row],[sigla]],créditos_base!B:C,2,0))</f>
        <v>HELOÍSA PINTARELLI/ARQUIVO DA EDITORA</v>
      </c>
      <c r="Y737" s="23"/>
      <c r="Z737" s="23" t="str">
        <f>Tabela2[[#This Row],[ilustrador]]</f>
        <v>HELOÍSA PINTARELLI/ARQUIVO DA EDITORA</v>
      </c>
      <c r="AA737" s="22">
        <v>13</v>
      </c>
      <c r="AB737" s="20" t="s">
        <v>309</v>
      </c>
      <c r="AC737" s="20" t="s">
        <v>310</v>
      </c>
      <c r="AD737" s="4" t="str">
        <f>"Pitanguá"</f>
        <v>Pitanguá</v>
      </c>
      <c r="AE737" s="14" t="str">
        <f>"Matemática"</f>
        <v>Matemática</v>
      </c>
      <c r="AF737" s="14"/>
    </row>
    <row r="738" spans="1:32" ht="28.8" x14ac:dyDescent="0.3">
      <c r="A738" s="23" t="s">
        <v>372</v>
      </c>
      <c r="B738" s="20" t="s">
        <v>16</v>
      </c>
      <c r="C738" s="20" t="s">
        <v>89</v>
      </c>
      <c r="D738" s="20" t="s">
        <v>8</v>
      </c>
      <c r="E738" s="22">
        <v>78</v>
      </c>
      <c r="F738" s="22">
        <v>1</v>
      </c>
      <c r="G738" s="22">
        <v>3</v>
      </c>
      <c r="H738" s="22"/>
      <c r="I738" s="23" t="s">
        <v>90</v>
      </c>
      <c r="J738" s="23"/>
      <c r="K738" s="22"/>
      <c r="L738" s="22"/>
      <c r="M738" s="23"/>
      <c r="N738" s="23"/>
      <c r="O738" s="26" t="s">
        <v>373</v>
      </c>
      <c r="P738" s="26"/>
      <c r="Q738" s="22">
        <v>3</v>
      </c>
      <c r="R738" s="24">
        <v>45726</v>
      </c>
      <c r="S738" s="24">
        <v>45727</v>
      </c>
      <c r="T738" s="24"/>
      <c r="U738" s="24"/>
      <c r="V738" s="24">
        <v>45733</v>
      </c>
      <c r="W738" s="22" t="s">
        <v>72</v>
      </c>
      <c r="X738" s="4" t="str">
        <f>IF(Tabela2[[#This Row],[sigla]]="","",VLOOKUP(Tabela2[[#This Row],[sigla]],créditos_base!B:C,2,0))</f>
        <v>HELOÍSA PINTARELLI/ARQUIVO DA EDITORA</v>
      </c>
      <c r="Y738" s="23"/>
      <c r="Z738" s="23" t="str">
        <f>Tabela2[[#This Row],[ilustrador]]</f>
        <v>HELOÍSA PINTARELLI/ARQUIVO DA EDITORA</v>
      </c>
      <c r="AA738" s="22">
        <v>7</v>
      </c>
      <c r="AB738" s="20" t="s">
        <v>309</v>
      </c>
      <c r="AC738" s="20" t="s">
        <v>310</v>
      </c>
      <c r="AD738" s="4" t="str">
        <f>"Pitanguá"</f>
        <v>Pitanguá</v>
      </c>
      <c r="AE738" s="14" t="str">
        <f>"Matemática"</f>
        <v>Matemática</v>
      </c>
      <c r="AF738" s="14"/>
    </row>
    <row r="739" spans="1:32" x14ac:dyDescent="0.3">
      <c r="A739" s="23" t="s">
        <v>1328</v>
      </c>
      <c r="B739" s="20" t="s">
        <v>16</v>
      </c>
      <c r="C739" s="20" t="s">
        <v>7</v>
      </c>
      <c r="D739" s="20" t="s">
        <v>8</v>
      </c>
      <c r="E739" s="22">
        <v>65</v>
      </c>
      <c r="F739" s="22">
        <v>2</v>
      </c>
      <c r="G739" s="22">
        <v>3</v>
      </c>
      <c r="H739" s="22"/>
      <c r="I739" s="23" t="s">
        <v>9</v>
      </c>
      <c r="J739" s="23"/>
      <c r="K739" s="22"/>
      <c r="L739" s="22"/>
      <c r="M739" s="23"/>
      <c r="N739" s="23"/>
      <c r="O739" s="26" t="s">
        <v>1329</v>
      </c>
      <c r="P739" s="26"/>
      <c r="Q739" s="22"/>
      <c r="R739" s="24"/>
      <c r="S739" s="24"/>
      <c r="T739" s="24"/>
      <c r="U739" s="24"/>
      <c r="V739" s="24"/>
      <c r="W739" s="22" t="s">
        <v>87</v>
      </c>
      <c r="X739" s="4" t="str">
        <f>IF(Tabela2[[#This Row],[sigla]]="","",VLOOKUP(Tabela2[[#This Row],[sigla]],créditos_base!B:C,2,0))</f>
        <v>CHRIS BORGES/ARQUIVO DA EDITORA</v>
      </c>
      <c r="Y739" s="23"/>
      <c r="Z739" s="23" t="str">
        <f>Tabela2[[#This Row],[ilustrador]]</f>
        <v>CHRIS BORGES/ARQUIVO DA EDITORA</v>
      </c>
      <c r="AA739" s="22"/>
      <c r="AB739" s="20"/>
      <c r="AD739" s="4" t="str">
        <f>"Pitanguá"</f>
        <v>Pitanguá</v>
      </c>
      <c r="AE739" s="14" t="str">
        <f>"Matemática"</f>
        <v>Matemática</v>
      </c>
      <c r="AF739" s="14"/>
    </row>
    <row r="740" spans="1:32" ht="28.8" x14ac:dyDescent="0.3">
      <c r="A740" s="23" t="s">
        <v>2989</v>
      </c>
      <c r="B740" s="20" t="s">
        <v>16</v>
      </c>
      <c r="C740" s="20" t="s">
        <v>89</v>
      </c>
      <c r="D740" s="20" t="s">
        <v>8</v>
      </c>
      <c r="E740" s="22">
        <v>95</v>
      </c>
      <c r="F740" s="22">
        <v>3</v>
      </c>
      <c r="G740" s="22">
        <v>3</v>
      </c>
      <c r="H740" s="22"/>
      <c r="I740" s="23" t="s">
        <v>33</v>
      </c>
      <c r="J740" s="23"/>
      <c r="K740" s="22"/>
      <c r="L740" s="22"/>
      <c r="M740" s="23"/>
      <c r="N740" s="23"/>
      <c r="O740" s="26" t="s">
        <v>2990</v>
      </c>
      <c r="P740" s="26"/>
      <c r="Q740" s="22">
        <v>43</v>
      </c>
      <c r="R740" s="24">
        <v>45790</v>
      </c>
      <c r="S740" s="24">
        <v>45790</v>
      </c>
      <c r="T740" s="24"/>
      <c r="U740" s="24"/>
      <c r="V740" s="24">
        <v>45790</v>
      </c>
      <c r="W740" s="22" t="s">
        <v>160</v>
      </c>
      <c r="X740" s="4" t="str">
        <f>IF(Tabela2[[#This Row],[sigla]]="","",VLOOKUP(Tabela2[[#This Row],[sigla]],créditos_base!B:C,2,0))</f>
        <v>SERGIO LIMA/ARQUIVO DA EDITORA</v>
      </c>
      <c r="Y740" s="23" t="s">
        <v>13</v>
      </c>
      <c r="Z740" s="23" t="str">
        <f>Tabela2[[#This Row],[ilustrador]]</f>
        <v>SERGIO LIMA/ARQUIVO DA EDITORA</v>
      </c>
      <c r="AA740" s="22">
        <v>14</v>
      </c>
      <c r="AB740" s="20" t="s">
        <v>153</v>
      </c>
      <c r="AC740" s="20" t="s">
        <v>36</v>
      </c>
      <c r="AD740" s="4" t="str">
        <f>"Pitanguá"</f>
        <v>Pitanguá</v>
      </c>
      <c r="AE740" s="14" t="str">
        <f>"Matemática"</f>
        <v>Matemática</v>
      </c>
      <c r="AF740" s="14"/>
    </row>
    <row r="741" spans="1:32" ht="28.8" x14ac:dyDescent="0.3">
      <c r="A741" s="23" t="s">
        <v>374</v>
      </c>
      <c r="B741" s="20" t="s">
        <v>16</v>
      </c>
      <c r="C741" s="20" t="s">
        <v>89</v>
      </c>
      <c r="D741" s="20" t="s">
        <v>8</v>
      </c>
      <c r="E741" s="22">
        <v>78</v>
      </c>
      <c r="F741" s="22">
        <v>1</v>
      </c>
      <c r="G741" s="22">
        <v>3</v>
      </c>
      <c r="H741" s="22"/>
      <c r="I741" s="23" t="s">
        <v>9</v>
      </c>
      <c r="J741" s="23"/>
      <c r="K741" s="22"/>
      <c r="L741" s="22"/>
      <c r="M741" s="23"/>
      <c r="N741" s="23"/>
      <c r="O741" s="26" t="s">
        <v>375</v>
      </c>
      <c r="P741" s="26"/>
      <c r="Q741" s="22"/>
      <c r="R741" s="24"/>
      <c r="S741" s="24"/>
      <c r="T741" s="24"/>
      <c r="U741" s="24"/>
      <c r="V741" s="24"/>
      <c r="W741" s="22" t="s">
        <v>376</v>
      </c>
      <c r="X741" s="4" t="str">
        <f>IF(Tabela2[[#This Row],[sigla]]="","",VLOOKUP(Tabela2[[#This Row],[sigla]],créditos_base!B:C,2,0))</f>
        <v>EDUARDO CARRIÇA/ARQUIVO DA EDITORA</v>
      </c>
      <c r="Y741" s="23"/>
      <c r="Z741" s="23" t="str">
        <f>Tabela2[[#This Row],[ilustrador]]</f>
        <v>EDUARDO CARRIÇA/ARQUIVO DA EDITORA</v>
      </c>
      <c r="AA741" s="22"/>
      <c r="AB741" s="20"/>
      <c r="AD741" s="4" t="str">
        <f>"Pitanguá"</f>
        <v>Pitanguá</v>
      </c>
      <c r="AE741" s="14" t="str">
        <f>"Matemática"</f>
        <v>Matemática</v>
      </c>
      <c r="AF741" s="14"/>
    </row>
    <row r="742" spans="1:32" ht="28.8" x14ac:dyDescent="0.3">
      <c r="A742" s="23" t="s">
        <v>1330</v>
      </c>
      <c r="B742" s="20" t="s">
        <v>16</v>
      </c>
      <c r="C742" s="20" t="s">
        <v>89</v>
      </c>
      <c r="D742" s="20" t="s">
        <v>8</v>
      </c>
      <c r="E742" s="22">
        <v>65</v>
      </c>
      <c r="F742" s="22">
        <v>2</v>
      </c>
      <c r="G742" s="22">
        <v>3</v>
      </c>
      <c r="H742" s="22"/>
      <c r="I742" s="23" t="s">
        <v>9</v>
      </c>
      <c r="J742" s="23"/>
      <c r="K742" s="22"/>
      <c r="L742" s="22"/>
      <c r="M742" s="23"/>
      <c r="N742" s="23"/>
      <c r="O742" s="26" t="s">
        <v>1331</v>
      </c>
      <c r="P742" s="26"/>
      <c r="Q742" s="22"/>
      <c r="R742" s="24"/>
      <c r="S742" s="24"/>
      <c r="T742" s="24"/>
      <c r="U742" s="24"/>
      <c r="V742" s="24"/>
      <c r="W742" s="22" t="s">
        <v>468</v>
      </c>
      <c r="X742" s="4" t="str">
        <f>IF(Tabela2[[#This Row],[sigla]]="","",VLOOKUP(Tabela2[[#This Row],[sigla]],créditos_base!B:C,2,0))</f>
        <v>VER DOCUMENTO DE ILS. TÉCNICAS</v>
      </c>
      <c r="Y742" s="23"/>
      <c r="Z742" s="23" t="s">
        <v>661</v>
      </c>
      <c r="AA742" s="22"/>
      <c r="AB742" s="20"/>
      <c r="AD742" s="4" t="str">
        <f>"Pitanguá"</f>
        <v>Pitanguá</v>
      </c>
      <c r="AE742" s="14" t="str">
        <f>"Matemática"</f>
        <v>Matemática</v>
      </c>
      <c r="AF742" s="14"/>
    </row>
    <row r="743" spans="1:32" ht="57.6" x14ac:dyDescent="0.3">
      <c r="A743" s="23" t="s">
        <v>2991</v>
      </c>
      <c r="B743" s="20" t="s">
        <v>6</v>
      </c>
      <c r="C743" s="20" t="s">
        <v>89</v>
      </c>
      <c r="D743" s="20" t="s">
        <v>8</v>
      </c>
      <c r="E743" s="22">
        <v>95</v>
      </c>
      <c r="F743" s="22">
        <v>3</v>
      </c>
      <c r="G743" s="22">
        <v>3</v>
      </c>
      <c r="H743" s="22"/>
      <c r="I743" s="23" t="s">
        <v>33</v>
      </c>
      <c r="J743" s="23"/>
      <c r="K743" s="22"/>
      <c r="L743" s="22"/>
      <c r="M743" s="23"/>
      <c r="N743" s="23"/>
      <c r="O743" s="26" t="s">
        <v>2992</v>
      </c>
      <c r="P743" s="26"/>
      <c r="Q743" s="22">
        <v>43</v>
      </c>
      <c r="R743" s="24">
        <v>45790</v>
      </c>
      <c r="S743" s="24">
        <v>45790</v>
      </c>
      <c r="T743" s="24"/>
      <c r="U743" s="24"/>
      <c r="V743" s="24">
        <v>45790</v>
      </c>
      <c r="W743" s="22" t="s">
        <v>468</v>
      </c>
      <c r="X743" s="4" t="str">
        <f>IF(Tabela2[[#This Row],[sigla]]="","",VLOOKUP(Tabela2[[#This Row],[sigla]],créditos_base!B:C,2,0))</f>
        <v>VER DOCUMENTO DE ILS. TÉCNICAS</v>
      </c>
      <c r="Y743" s="23" t="s">
        <v>13</v>
      </c>
      <c r="Z743" s="23" t="s">
        <v>469</v>
      </c>
      <c r="AA743" s="22">
        <v>14</v>
      </c>
      <c r="AB743" s="20" t="s">
        <v>153</v>
      </c>
      <c r="AC743" s="20" t="s">
        <v>36</v>
      </c>
      <c r="AD743" s="4" t="str">
        <f>"Pitanguá"</f>
        <v>Pitanguá</v>
      </c>
      <c r="AE743" s="14" t="str">
        <f>"Matemática"</f>
        <v>Matemática</v>
      </c>
      <c r="AF743" s="14"/>
    </row>
    <row r="744" spans="1:32" ht="43.2" x14ac:dyDescent="0.3">
      <c r="A744" s="23" t="s">
        <v>1332</v>
      </c>
      <c r="B744" s="20" t="s">
        <v>16</v>
      </c>
      <c r="C744" s="20" t="s">
        <v>89</v>
      </c>
      <c r="D744" s="20" t="s">
        <v>8</v>
      </c>
      <c r="E744" s="22">
        <v>65</v>
      </c>
      <c r="F744" s="22">
        <v>2</v>
      </c>
      <c r="G744" s="22">
        <v>3</v>
      </c>
      <c r="H744" s="22"/>
      <c r="I744" s="23" t="s">
        <v>9</v>
      </c>
      <c r="J744" s="23"/>
      <c r="K744" s="22"/>
      <c r="L744" s="22"/>
      <c r="M744" s="23"/>
      <c r="N744" s="23"/>
      <c r="O744" s="26" t="s">
        <v>1333</v>
      </c>
      <c r="P744" s="26"/>
      <c r="Q744" s="22"/>
      <c r="R744" s="24"/>
      <c r="S744" s="24"/>
      <c r="T744" s="24"/>
      <c r="U744" s="24"/>
      <c r="V744" s="24"/>
      <c r="W744" s="22" t="s">
        <v>468</v>
      </c>
      <c r="X744" s="4" t="str">
        <f>IF(Tabela2[[#This Row],[sigla]]="","",VLOOKUP(Tabela2[[#This Row],[sigla]],créditos_base!B:C,2,0))</f>
        <v>VER DOCUMENTO DE ILS. TÉCNICAS</v>
      </c>
      <c r="Y744" s="23"/>
      <c r="Z744" s="23" t="s">
        <v>661</v>
      </c>
      <c r="AA744" s="22"/>
      <c r="AB744" s="20"/>
      <c r="AD744" s="4" t="str">
        <f>"Pitanguá"</f>
        <v>Pitanguá</v>
      </c>
      <c r="AE744" s="14" t="str">
        <f>"Matemática"</f>
        <v>Matemática</v>
      </c>
      <c r="AF744" s="14"/>
    </row>
    <row r="745" spans="1:32" ht="57.6" x14ac:dyDescent="0.3">
      <c r="A745" s="23" t="s">
        <v>2972</v>
      </c>
      <c r="B745" s="20" t="s">
        <v>16</v>
      </c>
      <c r="C745" s="20" t="s">
        <v>89</v>
      </c>
      <c r="D745" s="20" t="s">
        <v>8</v>
      </c>
      <c r="E745" s="22">
        <v>76</v>
      </c>
      <c r="F745" s="22">
        <v>3</v>
      </c>
      <c r="G745" s="22">
        <v>3</v>
      </c>
      <c r="H745" s="22"/>
      <c r="I745" s="23" t="s">
        <v>9</v>
      </c>
      <c r="J745" s="23"/>
      <c r="K745" s="22"/>
      <c r="L745" s="22"/>
      <c r="M745" s="23"/>
      <c r="N745" s="23"/>
      <c r="O745" s="26" t="s">
        <v>2973</v>
      </c>
      <c r="P745" s="26"/>
      <c r="Q745" s="22"/>
      <c r="R745" s="24"/>
      <c r="S745" s="24"/>
      <c r="T745" s="24"/>
      <c r="U745" s="24"/>
      <c r="V745" s="24"/>
      <c r="W745" s="22" t="s">
        <v>468</v>
      </c>
      <c r="X745" s="4" t="str">
        <f>IF(Tabela2[[#This Row],[sigla]]="","",VLOOKUP(Tabela2[[#This Row],[sigla]],créditos_base!B:C,2,0))</f>
        <v>VER DOCUMENTO DE ILS. TÉCNICAS</v>
      </c>
      <c r="Y745" s="23"/>
      <c r="Z745" s="23" t="s">
        <v>469</v>
      </c>
      <c r="AA745" s="22"/>
      <c r="AB745" s="20"/>
      <c r="AD745" s="4" t="str">
        <f>"Pitanguá"</f>
        <v>Pitanguá</v>
      </c>
      <c r="AE745" s="14" t="str">
        <f>"Matemática"</f>
        <v>Matemática</v>
      </c>
      <c r="AF745" s="14"/>
    </row>
    <row r="746" spans="1:32" x14ac:dyDescent="0.3">
      <c r="A746" s="23" t="s">
        <v>2050</v>
      </c>
      <c r="B746" s="20" t="s">
        <v>16</v>
      </c>
      <c r="C746" s="20" t="s">
        <v>7</v>
      </c>
      <c r="D746" s="20" t="s">
        <v>8</v>
      </c>
      <c r="E746" s="22">
        <v>103</v>
      </c>
      <c r="F746" s="22">
        <v>1</v>
      </c>
      <c r="G746" s="22">
        <v>3</v>
      </c>
      <c r="H746" s="22"/>
      <c r="I746" s="23" t="s">
        <v>9</v>
      </c>
      <c r="J746" s="23"/>
      <c r="K746" s="22"/>
      <c r="L746" s="22"/>
      <c r="M746" s="23"/>
      <c r="N746" s="23"/>
      <c r="O746" s="26" t="s">
        <v>2051</v>
      </c>
      <c r="P746" s="26"/>
      <c r="Q746" s="22"/>
      <c r="R746" s="24"/>
      <c r="S746" s="24"/>
      <c r="T746" s="24"/>
      <c r="U746" s="24"/>
      <c r="V746" s="24"/>
      <c r="W746" s="22" t="s">
        <v>20</v>
      </c>
      <c r="X746" s="4" t="str">
        <f>IF(Tabela2[[#This Row],[sigla]]="","",VLOOKUP(Tabela2[[#This Row],[sigla]],créditos_base!B:C,2,0))</f>
        <v>SONIA HORN/ARQUIVO DA EDITORA</v>
      </c>
      <c r="Y746" s="23"/>
      <c r="Z746" s="23" t="str">
        <f>Tabela2[[#This Row],[ilustrador]]</f>
        <v>SONIA HORN/ARQUIVO DA EDITORA</v>
      </c>
      <c r="AA746" s="22"/>
      <c r="AB746" s="20"/>
      <c r="AD746" s="4" t="str">
        <f>"Pitanguá"</f>
        <v>Pitanguá</v>
      </c>
      <c r="AE746" s="14" t="str">
        <f>"Matemática"</f>
        <v>Matemática</v>
      </c>
      <c r="AF746" s="14"/>
    </row>
    <row r="747" spans="1:32" ht="72" x14ac:dyDescent="0.3">
      <c r="A747" s="23" t="s">
        <v>1334</v>
      </c>
      <c r="B747" s="20" t="s">
        <v>16</v>
      </c>
      <c r="C747" s="20" t="s">
        <v>89</v>
      </c>
      <c r="D747" s="20" t="s">
        <v>8</v>
      </c>
      <c r="E747" s="22">
        <v>65</v>
      </c>
      <c r="F747" s="22">
        <v>2</v>
      </c>
      <c r="G747" s="22">
        <v>3</v>
      </c>
      <c r="H747" s="22"/>
      <c r="I747" s="23" t="s">
        <v>9</v>
      </c>
      <c r="J747" s="23"/>
      <c r="K747" s="22"/>
      <c r="L747" s="22"/>
      <c r="M747" s="23"/>
      <c r="N747" s="23"/>
      <c r="O747" s="26" t="s">
        <v>1335</v>
      </c>
      <c r="P747" s="26"/>
      <c r="Q747" s="22"/>
      <c r="R747" s="24"/>
      <c r="S747" s="24"/>
      <c r="T747" s="24"/>
      <c r="U747" s="24"/>
      <c r="V747" s="24"/>
      <c r="W747" s="22" t="s">
        <v>468</v>
      </c>
      <c r="X747" s="4" t="str">
        <f>IF(Tabela2[[#This Row],[sigla]]="","",VLOOKUP(Tabela2[[#This Row],[sigla]],créditos_base!B:C,2,0))</f>
        <v>VER DOCUMENTO DE ILS. TÉCNICAS</v>
      </c>
      <c r="Y747" s="23"/>
      <c r="Z747" s="23" t="s">
        <v>661</v>
      </c>
      <c r="AA747" s="22"/>
      <c r="AB747" s="20"/>
      <c r="AD747" s="4" t="str">
        <f>"Pitanguá"</f>
        <v>Pitanguá</v>
      </c>
      <c r="AE747" s="14" t="str">
        <f>"Matemática"</f>
        <v>Matemática</v>
      </c>
      <c r="AF747" s="14"/>
    </row>
    <row r="748" spans="1:32" ht="43.2" x14ac:dyDescent="0.3">
      <c r="A748" s="23" t="s">
        <v>2974</v>
      </c>
      <c r="B748" s="20" t="s">
        <v>16</v>
      </c>
      <c r="C748" s="20" t="s">
        <v>89</v>
      </c>
      <c r="D748" s="20" t="s">
        <v>8</v>
      </c>
      <c r="E748" s="22">
        <v>76</v>
      </c>
      <c r="F748" s="22">
        <v>3</v>
      </c>
      <c r="G748" s="22">
        <v>3</v>
      </c>
      <c r="H748" s="22"/>
      <c r="I748" s="23" t="s">
        <v>9</v>
      </c>
      <c r="J748" s="23"/>
      <c r="K748" s="22"/>
      <c r="L748" s="22"/>
      <c r="M748" s="23"/>
      <c r="N748" s="23"/>
      <c r="O748" s="26" t="s">
        <v>2975</v>
      </c>
      <c r="P748" s="26"/>
      <c r="Q748" s="22"/>
      <c r="R748" s="24"/>
      <c r="S748" s="24"/>
      <c r="T748" s="24"/>
      <c r="U748" s="24"/>
      <c r="V748" s="24"/>
      <c r="W748" s="22" t="s">
        <v>468</v>
      </c>
      <c r="X748" s="4" t="str">
        <f>IF(Tabela2[[#This Row],[sigla]]="","",VLOOKUP(Tabela2[[#This Row],[sigla]],créditos_base!B:C,2,0))</f>
        <v>VER DOCUMENTO DE ILS. TÉCNICAS</v>
      </c>
      <c r="Y748" s="23"/>
      <c r="Z748" s="23" t="s">
        <v>469</v>
      </c>
      <c r="AA748" s="22"/>
      <c r="AB748" s="20"/>
      <c r="AD748" s="4" t="str">
        <f>"Pitanguá"</f>
        <v>Pitanguá</v>
      </c>
      <c r="AE748" s="14" t="str">
        <f>"Matemática"</f>
        <v>Matemática</v>
      </c>
      <c r="AF748" s="14"/>
    </row>
    <row r="749" spans="1:32" ht="43.2" x14ac:dyDescent="0.3">
      <c r="A749" s="23" t="s">
        <v>5112</v>
      </c>
      <c r="B749" s="20" t="s">
        <v>16</v>
      </c>
      <c r="C749" s="20" t="s">
        <v>89</v>
      </c>
      <c r="D749" s="20" t="s">
        <v>8</v>
      </c>
      <c r="E749" s="22">
        <v>73</v>
      </c>
      <c r="F749" s="22">
        <v>4</v>
      </c>
      <c r="G749" s="22">
        <v>3</v>
      </c>
      <c r="H749" s="22"/>
      <c r="I749" s="23" t="s">
        <v>90</v>
      </c>
      <c r="J749" s="23"/>
      <c r="K749" s="22"/>
      <c r="L749" s="22"/>
      <c r="M749" s="23"/>
      <c r="N749" s="23"/>
      <c r="O749" s="26" t="s">
        <v>5113</v>
      </c>
      <c r="P749" s="26"/>
      <c r="Q749" s="22">
        <v>97</v>
      </c>
      <c r="R749" s="24">
        <v>45845</v>
      </c>
      <c r="S749" s="24">
        <v>45852</v>
      </c>
      <c r="T749" s="24"/>
      <c r="U749" s="24"/>
      <c r="V749" s="24">
        <v>45861</v>
      </c>
      <c r="W749" s="22" t="s">
        <v>468</v>
      </c>
      <c r="X749" s="4" t="str">
        <f>IF(Tabela2[[#This Row],[sigla]]="","",VLOOKUP(Tabela2[[#This Row],[sigla]],créditos_base!B:C,2,0))</f>
        <v>VER DOCUMENTO DE ILS. TÉCNICAS</v>
      </c>
      <c r="Y749" s="23"/>
      <c r="Z749" s="23" t="s">
        <v>5062</v>
      </c>
      <c r="AA749" s="22">
        <v>8</v>
      </c>
      <c r="AB749" s="20" t="s">
        <v>243</v>
      </c>
      <c r="AC749" s="20" t="s">
        <v>36</v>
      </c>
      <c r="AD749" s="4" t="str">
        <f>"Pitanguá"</f>
        <v>Pitanguá</v>
      </c>
      <c r="AE749" s="14" t="str">
        <f>"Matemática"</f>
        <v>Matemática</v>
      </c>
      <c r="AF749" s="14"/>
    </row>
    <row r="750" spans="1:32" ht="57.6" x14ac:dyDescent="0.3">
      <c r="A750" s="23" t="s">
        <v>2052</v>
      </c>
      <c r="B750" s="20" t="s">
        <v>16</v>
      </c>
      <c r="C750" s="20" t="s">
        <v>7</v>
      </c>
      <c r="D750" s="20" t="s">
        <v>8</v>
      </c>
      <c r="E750" s="22">
        <v>103</v>
      </c>
      <c r="F750" s="22">
        <v>1</v>
      </c>
      <c r="G750" s="22">
        <v>3</v>
      </c>
      <c r="H750" s="22"/>
      <c r="I750" s="23" t="s">
        <v>9</v>
      </c>
      <c r="J750" s="23"/>
      <c r="K750" s="22"/>
      <c r="L750" s="22"/>
      <c r="M750" s="23"/>
      <c r="N750" s="23"/>
      <c r="O750" s="26" t="s">
        <v>2053</v>
      </c>
      <c r="P750" s="26"/>
      <c r="Q750" s="22"/>
      <c r="R750" s="24"/>
      <c r="S750" s="24"/>
      <c r="T750" s="24"/>
      <c r="U750" s="24"/>
      <c r="V750" s="24"/>
      <c r="W750" s="22" t="s">
        <v>20</v>
      </c>
      <c r="X750" s="4" t="str">
        <f>IF(Tabela2[[#This Row],[sigla]]="","",VLOOKUP(Tabela2[[#This Row],[sigla]],créditos_base!B:C,2,0))</f>
        <v>SONIA HORN/ARQUIVO DA EDITORA</v>
      </c>
      <c r="Y750" s="23"/>
      <c r="Z750" s="23" t="str">
        <f>Tabela2[[#This Row],[ilustrador]]</f>
        <v>SONIA HORN/ARQUIVO DA EDITORA</v>
      </c>
      <c r="AA750" s="22"/>
      <c r="AB750" s="20"/>
      <c r="AD750" s="4" t="str">
        <f>"Pitanguá"</f>
        <v>Pitanguá</v>
      </c>
      <c r="AE750" s="14" t="str">
        <f>"Matemática"</f>
        <v>Matemática</v>
      </c>
      <c r="AF750" s="14"/>
    </row>
    <row r="751" spans="1:32" ht="28.8" x14ac:dyDescent="0.3">
      <c r="A751" s="23" t="s">
        <v>4429</v>
      </c>
      <c r="B751" s="20" t="s">
        <v>16</v>
      </c>
      <c r="C751" s="20" t="s">
        <v>7</v>
      </c>
      <c r="D751" s="20" t="s">
        <v>8</v>
      </c>
      <c r="E751" s="22">
        <v>108</v>
      </c>
      <c r="F751" s="22">
        <v>2</v>
      </c>
      <c r="G751" s="22">
        <v>3</v>
      </c>
      <c r="H751" s="22"/>
      <c r="I751" s="23" t="s">
        <v>33</v>
      </c>
      <c r="J751" s="23"/>
      <c r="K751" s="22"/>
      <c r="L751" s="22"/>
      <c r="M751" s="23"/>
      <c r="N751" s="23"/>
      <c r="O751" s="26" t="s">
        <v>4430</v>
      </c>
      <c r="P751" s="26"/>
      <c r="Q751" s="22">
        <v>64</v>
      </c>
      <c r="R751" s="24">
        <v>45810</v>
      </c>
      <c r="S751" s="24">
        <v>45811</v>
      </c>
      <c r="T751" s="24"/>
      <c r="U751" s="24"/>
      <c r="V751" s="24">
        <v>45811</v>
      </c>
      <c r="W751" s="22" t="s">
        <v>31</v>
      </c>
      <c r="X751" s="4" t="str">
        <f>IF(Tabela2[[#This Row],[sigla]]="","",VLOOKUP(Tabela2[[#This Row],[sigla]],créditos_base!B:C,2,0))</f>
        <v>SILVIA OTOFUJI/ARQUIVO DA EDITORA</v>
      </c>
      <c r="Y751" s="23" t="s">
        <v>1139</v>
      </c>
      <c r="Z751" s="23" t="str">
        <f>Tabela2[[#This Row],[ilustrador]]</f>
        <v>SILVIA OTOFUJI/ARQUIVO DA EDITORA</v>
      </c>
      <c r="AA751" s="22">
        <v>13</v>
      </c>
      <c r="AB751" s="20" t="s">
        <v>1425</v>
      </c>
      <c r="AC751" s="20" t="s">
        <v>36</v>
      </c>
      <c r="AD751" s="4" t="str">
        <f>"Pitanguá"</f>
        <v>Pitanguá</v>
      </c>
      <c r="AE751" s="14" t="str">
        <f>"Matemática"</f>
        <v>Matemática</v>
      </c>
      <c r="AF751" s="14"/>
    </row>
    <row r="752" spans="1:32" x14ac:dyDescent="0.3">
      <c r="A752" s="23" t="s">
        <v>2976</v>
      </c>
      <c r="B752" s="20" t="s">
        <v>16</v>
      </c>
      <c r="C752" s="20" t="s">
        <v>89</v>
      </c>
      <c r="D752" s="20" t="s">
        <v>8</v>
      </c>
      <c r="E752" s="22">
        <v>76</v>
      </c>
      <c r="F752" s="22">
        <v>3</v>
      </c>
      <c r="G752" s="22">
        <v>3</v>
      </c>
      <c r="H752" s="22"/>
      <c r="I752" s="23" t="s">
        <v>9</v>
      </c>
      <c r="J752" s="23"/>
      <c r="K752" s="22"/>
      <c r="L752" s="22"/>
      <c r="M752" s="23"/>
      <c r="N752" s="23"/>
      <c r="O752" s="26" t="s">
        <v>2977</v>
      </c>
      <c r="P752" s="26"/>
      <c r="Q752" s="22"/>
      <c r="R752" s="24"/>
      <c r="S752" s="24"/>
      <c r="T752" s="24"/>
      <c r="U752" s="24"/>
      <c r="V752" s="24"/>
      <c r="W752" s="22" t="s">
        <v>468</v>
      </c>
      <c r="X752" s="4" t="str">
        <f>IF(Tabela2[[#This Row],[sigla]]="","",VLOOKUP(Tabela2[[#This Row],[sigla]],créditos_base!B:C,2,0))</f>
        <v>VER DOCUMENTO DE ILS. TÉCNICAS</v>
      </c>
      <c r="Y752" s="23"/>
      <c r="Z752" s="23" t="s">
        <v>469</v>
      </c>
      <c r="AA752" s="22"/>
      <c r="AB752" s="20"/>
      <c r="AD752" s="4" t="str">
        <f>"Pitanguá"</f>
        <v>Pitanguá</v>
      </c>
      <c r="AE752" s="14" t="str">
        <f>"Matemática"</f>
        <v>Matemática</v>
      </c>
      <c r="AF752" s="14"/>
    </row>
    <row r="753" spans="1:32" ht="28.8" x14ac:dyDescent="0.3">
      <c r="A753" s="23" t="s">
        <v>5114</v>
      </c>
      <c r="B753" s="20" t="s">
        <v>16</v>
      </c>
      <c r="C753" s="20" t="s">
        <v>89</v>
      </c>
      <c r="D753" s="20" t="s">
        <v>8</v>
      </c>
      <c r="E753" s="22">
        <v>73</v>
      </c>
      <c r="F753" s="22">
        <v>4</v>
      </c>
      <c r="G753" s="22">
        <v>3</v>
      </c>
      <c r="H753" s="22"/>
      <c r="I753" s="23" t="s">
        <v>90</v>
      </c>
      <c r="J753" s="23"/>
      <c r="K753" s="22"/>
      <c r="L753" s="22"/>
      <c r="M753" s="23"/>
      <c r="N753" s="23"/>
      <c r="O753" s="26" t="s">
        <v>5115</v>
      </c>
      <c r="P753" s="26"/>
      <c r="Q753" s="22">
        <v>97</v>
      </c>
      <c r="R753" s="24">
        <v>45845</v>
      </c>
      <c r="S753" s="24">
        <v>45852</v>
      </c>
      <c r="T753" s="24"/>
      <c r="U753" s="24"/>
      <c r="V753" s="24">
        <v>45861</v>
      </c>
      <c r="W753" s="22" t="s">
        <v>468</v>
      </c>
      <c r="X753" s="4" t="str">
        <f>IF(Tabela2[[#This Row],[sigla]]="","",VLOOKUP(Tabela2[[#This Row],[sigla]],créditos_base!B:C,2,0))</f>
        <v>VER DOCUMENTO DE ILS. TÉCNICAS</v>
      </c>
      <c r="Y753" s="23"/>
      <c r="Z753" s="23" t="s">
        <v>5062</v>
      </c>
      <c r="AA753" s="22">
        <v>8</v>
      </c>
      <c r="AB753" s="20" t="s">
        <v>243</v>
      </c>
      <c r="AC753" s="20" t="s">
        <v>36</v>
      </c>
      <c r="AD753" s="4" t="str">
        <f>"Pitanguá"</f>
        <v>Pitanguá</v>
      </c>
      <c r="AE753" s="14" t="str">
        <f>"Matemática"</f>
        <v>Matemática</v>
      </c>
      <c r="AF753" s="14"/>
    </row>
    <row r="754" spans="1:32" ht="28.8" x14ac:dyDescent="0.3">
      <c r="A754" s="23" t="s">
        <v>5116</v>
      </c>
      <c r="B754" s="20" t="s">
        <v>16</v>
      </c>
      <c r="C754" s="20" t="s">
        <v>89</v>
      </c>
      <c r="D754" s="20" t="s">
        <v>8</v>
      </c>
      <c r="E754" s="22">
        <v>74</v>
      </c>
      <c r="F754" s="22">
        <v>4</v>
      </c>
      <c r="G754" s="22">
        <v>3</v>
      </c>
      <c r="H754" s="22"/>
      <c r="I754" s="23" t="s">
        <v>90</v>
      </c>
      <c r="J754" s="23"/>
      <c r="K754" s="22"/>
      <c r="L754" s="22"/>
      <c r="M754" s="23"/>
      <c r="N754" s="23"/>
      <c r="O754" s="26" t="s">
        <v>5117</v>
      </c>
      <c r="P754" s="26"/>
      <c r="Q754" s="22">
        <v>97</v>
      </c>
      <c r="R754" s="24">
        <v>45845</v>
      </c>
      <c r="S754" s="24">
        <v>45852</v>
      </c>
      <c r="T754" s="24"/>
      <c r="U754" s="24"/>
      <c r="V754" s="24">
        <v>45861</v>
      </c>
      <c r="W754" s="22" t="s">
        <v>468</v>
      </c>
      <c r="X754" s="4" t="str">
        <f>IF(Tabela2[[#This Row],[sigla]]="","",VLOOKUP(Tabela2[[#This Row],[sigla]],créditos_base!B:C,2,0))</f>
        <v>VER DOCUMENTO DE ILS. TÉCNICAS</v>
      </c>
      <c r="Y754" s="23"/>
      <c r="Z754" s="23" t="s">
        <v>5062</v>
      </c>
      <c r="AA754" s="22">
        <v>8</v>
      </c>
      <c r="AB754" s="20" t="s">
        <v>243</v>
      </c>
      <c r="AC754" s="20" t="s">
        <v>36</v>
      </c>
      <c r="AD754" s="4" t="str">
        <f>"Pitanguá"</f>
        <v>Pitanguá</v>
      </c>
      <c r="AE754" s="14" t="str">
        <f>"Matemática"</f>
        <v>Matemática</v>
      </c>
      <c r="AF754" s="14"/>
    </row>
    <row r="755" spans="1:32" x14ac:dyDescent="0.3">
      <c r="A755" s="23" t="s">
        <v>5118</v>
      </c>
      <c r="B755" s="20" t="s">
        <v>16</v>
      </c>
      <c r="C755" s="20" t="s">
        <v>89</v>
      </c>
      <c r="D755" s="20" t="s">
        <v>8</v>
      </c>
      <c r="E755" s="22">
        <v>74</v>
      </c>
      <c r="F755" s="22">
        <v>4</v>
      </c>
      <c r="G755" s="22">
        <v>3</v>
      </c>
      <c r="H755" s="22"/>
      <c r="I755" s="23" t="s">
        <v>90</v>
      </c>
      <c r="J755" s="23"/>
      <c r="K755" s="22"/>
      <c r="L755" s="22"/>
      <c r="M755" s="23"/>
      <c r="N755" s="23"/>
      <c r="O755" s="26" t="s">
        <v>5119</v>
      </c>
      <c r="P755" s="26"/>
      <c r="Q755" s="22">
        <v>97</v>
      </c>
      <c r="R755" s="24">
        <v>45845</v>
      </c>
      <c r="S755" s="24">
        <v>45852</v>
      </c>
      <c r="T755" s="24"/>
      <c r="U755" s="24"/>
      <c r="V755" s="24">
        <v>45861</v>
      </c>
      <c r="W755" s="22" t="s">
        <v>468</v>
      </c>
      <c r="X755" s="4" t="str">
        <f>IF(Tabela2[[#This Row],[sigla]]="","",VLOOKUP(Tabela2[[#This Row],[sigla]],créditos_base!B:C,2,0))</f>
        <v>VER DOCUMENTO DE ILS. TÉCNICAS</v>
      </c>
      <c r="Y755" s="23"/>
      <c r="Z755" s="23" t="s">
        <v>5062</v>
      </c>
      <c r="AA755" s="22">
        <v>8</v>
      </c>
      <c r="AB755" s="20" t="s">
        <v>243</v>
      </c>
      <c r="AC755" s="20" t="s">
        <v>36</v>
      </c>
      <c r="AD755" s="4" t="str">
        <f>"Pitanguá"</f>
        <v>Pitanguá</v>
      </c>
      <c r="AE755" s="14" t="str">
        <f>"Matemática"</f>
        <v>Matemática</v>
      </c>
      <c r="AF755" s="14"/>
    </row>
    <row r="756" spans="1:32" x14ac:dyDescent="0.3">
      <c r="A756" s="23" t="s">
        <v>377</v>
      </c>
      <c r="B756" s="20" t="s">
        <v>16</v>
      </c>
      <c r="C756" s="20" t="s">
        <v>89</v>
      </c>
      <c r="D756" s="20" t="s">
        <v>8</v>
      </c>
      <c r="E756" s="22">
        <v>80</v>
      </c>
      <c r="F756" s="22">
        <v>1</v>
      </c>
      <c r="G756" s="22">
        <v>3</v>
      </c>
      <c r="H756" s="22"/>
      <c r="I756" s="23" t="s">
        <v>9</v>
      </c>
      <c r="J756" s="23"/>
      <c r="K756" s="22"/>
      <c r="L756" s="22"/>
      <c r="M756" s="23"/>
      <c r="N756" s="23"/>
      <c r="O756" s="26" t="s">
        <v>378</v>
      </c>
      <c r="P756" s="26"/>
      <c r="Q756" s="22"/>
      <c r="R756" s="24"/>
      <c r="S756" s="24"/>
      <c r="T756" s="24"/>
      <c r="U756" s="24"/>
      <c r="V756" s="24"/>
      <c r="W756" s="22" t="s">
        <v>332</v>
      </c>
      <c r="X756" s="4" t="str">
        <f>IF(Tabela2[[#This Row],[sigla]]="","",VLOOKUP(Tabela2[[#This Row],[sigla]],créditos_base!B:C,2,0))</f>
        <v>CYNTHIA SEKIGUCHI/ARQUIVO DA EDITORA</v>
      </c>
      <c r="Y756" s="23"/>
      <c r="Z756" s="23" t="str">
        <f>Tabela2[[#This Row],[ilustrador]]</f>
        <v>CYNTHIA SEKIGUCHI/ARQUIVO DA EDITORA</v>
      </c>
      <c r="AA756" s="22"/>
      <c r="AB756" s="20"/>
      <c r="AD756" s="4" t="str">
        <f>"Pitanguá"</f>
        <v>Pitanguá</v>
      </c>
      <c r="AE756" s="14" t="str">
        <f>"Matemática"</f>
        <v>Matemática</v>
      </c>
      <c r="AF756" s="14"/>
    </row>
    <row r="757" spans="1:32" x14ac:dyDescent="0.3">
      <c r="A757" s="23" t="s">
        <v>4414</v>
      </c>
      <c r="B757" s="20" t="s">
        <v>16</v>
      </c>
      <c r="C757" s="20" t="s">
        <v>89</v>
      </c>
      <c r="D757" s="20" t="s">
        <v>8</v>
      </c>
      <c r="E757" s="22">
        <v>89</v>
      </c>
      <c r="F757" s="22">
        <v>2</v>
      </c>
      <c r="G757" s="22">
        <v>3</v>
      </c>
      <c r="H757" s="22"/>
      <c r="I757" s="23" t="s">
        <v>33</v>
      </c>
      <c r="J757" s="23"/>
      <c r="K757" s="22"/>
      <c r="L757" s="22"/>
      <c r="M757" s="23"/>
      <c r="N757" s="23"/>
      <c r="O757" s="26" t="s">
        <v>4415</v>
      </c>
      <c r="P757" s="26"/>
      <c r="Q757" s="22">
        <v>64</v>
      </c>
      <c r="R757" s="24">
        <v>45810</v>
      </c>
      <c r="S757" s="24">
        <v>45811</v>
      </c>
      <c r="T757" s="24"/>
      <c r="U757" s="24"/>
      <c r="V757" s="24">
        <v>45811</v>
      </c>
      <c r="W757" s="22" t="s">
        <v>223</v>
      </c>
      <c r="X757" s="4" t="str">
        <f>IF(Tabela2[[#This Row],[sigla]]="","",VLOOKUP(Tabela2[[#This Row],[sigla]],créditos_base!B:C,2,0))</f>
        <v>NATANAELE BILMAIA/ARQUIVO DA EDITORA</v>
      </c>
      <c r="Y757" s="23" t="s">
        <v>1139</v>
      </c>
      <c r="Z757" s="23" t="str">
        <f>Tabela2[[#This Row],[ilustrador]]</f>
        <v>NATANAELE BILMAIA/ARQUIVO DA EDITORA</v>
      </c>
      <c r="AA757" s="22">
        <v>13</v>
      </c>
      <c r="AB757" s="20" t="s">
        <v>1302</v>
      </c>
      <c r="AC757" s="20" t="s">
        <v>36</v>
      </c>
      <c r="AD757" s="4" t="str">
        <f>"Pitanguá"</f>
        <v>Pitanguá</v>
      </c>
      <c r="AE757" s="14" t="str">
        <f>"Matemática"</f>
        <v>Matemática</v>
      </c>
      <c r="AF757" s="14"/>
    </row>
    <row r="758" spans="1:32" x14ac:dyDescent="0.3">
      <c r="A758" s="23" t="s">
        <v>5317</v>
      </c>
      <c r="B758" s="20" t="s">
        <v>16</v>
      </c>
      <c r="C758" s="20" t="s">
        <v>89</v>
      </c>
      <c r="D758" s="20" t="s">
        <v>8</v>
      </c>
      <c r="E758" s="22">
        <v>75</v>
      </c>
      <c r="F758" s="22">
        <v>3</v>
      </c>
      <c r="G758" s="22">
        <v>3</v>
      </c>
      <c r="H758" s="22"/>
      <c r="I758" s="23" t="s">
        <v>90</v>
      </c>
      <c r="J758" s="23"/>
      <c r="K758" s="22"/>
      <c r="L758" s="22"/>
      <c r="M758" s="23"/>
      <c r="N758" s="23"/>
      <c r="O758" s="26" t="s">
        <v>5318</v>
      </c>
      <c r="P758" s="26"/>
      <c r="Q758" s="22">
        <v>121</v>
      </c>
      <c r="R758" s="24">
        <v>45860</v>
      </c>
      <c r="S758" s="24">
        <v>45861</v>
      </c>
      <c r="T758" s="24"/>
      <c r="U758" s="24"/>
      <c r="V758" s="24">
        <v>45861</v>
      </c>
      <c r="W758" s="22" t="s">
        <v>468</v>
      </c>
      <c r="X758" s="4" t="str">
        <f>IF(Tabela2[[#This Row],[sigla]]="","",VLOOKUP(Tabela2[[#This Row],[sigla]],créditos_base!B:C,2,0))</f>
        <v>VER DOCUMENTO DE ILS. TÉCNICAS</v>
      </c>
      <c r="Y758" s="23" t="s">
        <v>152</v>
      </c>
      <c r="Z758" s="23" t="s">
        <v>5062</v>
      </c>
      <c r="AA758" s="22">
        <v>13</v>
      </c>
      <c r="AB758" s="20" t="s">
        <v>747</v>
      </c>
      <c r="AC758" s="20" t="s">
        <v>36</v>
      </c>
      <c r="AD758" s="4" t="str">
        <f>"Pitanguá"</f>
        <v>Pitanguá</v>
      </c>
      <c r="AE758" s="14" t="str">
        <f>"Matemática"</f>
        <v>Matemática</v>
      </c>
      <c r="AF758" s="14"/>
    </row>
    <row r="759" spans="1:32" ht="28.8" x14ac:dyDescent="0.3">
      <c r="A759" s="23" t="s">
        <v>5120</v>
      </c>
      <c r="B759" s="20" t="s">
        <v>16</v>
      </c>
      <c r="C759" s="20" t="s">
        <v>89</v>
      </c>
      <c r="D759" s="20" t="s">
        <v>8</v>
      </c>
      <c r="E759" s="22">
        <v>74</v>
      </c>
      <c r="F759" s="22">
        <v>4</v>
      </c>
      <c r="G759" s="22">
        <v>3</v>
      </c>
      <c r="H759" s="22"/>
      <c r="I759" s="23" t="s">
        <v>90</v>
      </c>
      <c r="J759" s="23"/>
      <c r="K759" s="22"/>
      <c r="L759" s="22"/>
      <c r="M759" s="23"/>
      <c r="N759" s="23"/>
      <c r="O759" s="26" t="s">
        <v>5121</v>
      </c>
      <c r="P759" s="26"/>
      <c r="Q759" s="22">
        <v>97</v>
      </c>
      <c r="R759" s="24">
        <v>45845</v>
      </c>
      <c r="S759" s="24">
        <v>45852</v>
      </c>
      <c r="T759" s="24"/>
      <c r="U759" s="24"/>
      <c r="V759" s="24">
        <v>45861</v>
      </c>
      <c r="W759" s="22" t="s">
        <v>468</v>
      </c>
      <c r="X759" s="4" t="str">
        <f>IF(Tabela2[[#This Row],[sigla]]="","",VLOOKUP(Tabela2[[#This Row],[sigla]],créditos_base!B:C,2,0))</f>
        <v>VER DOCUMENTO DE ILS. TÉCNICAS</v>
      </c>
      <c r="Y759" s="23"/>
      <c r="Z759" s="23" t="s">
        <v>5062</v>
      </c>
      <c r="AA759" s="22">
        <v>8</v>
      </c>
      <c r="AB759" s="20" t="s">
        <v>243</v>
      </c>
      <c r="AC759" s="20" t="s">
        <v>36</v>
      </c>
      <c r="AD759" s="4" t="str">
        <f>"Pitanguá"</f>
        <v>Pitanguá</v>
      </c>
      <c r="AE759" s="14" t="str">
        <f>"Matemática"</f>
        <v>Matemática</v>
      </c>
      <c r="AF759" s="14"/>
    </row>
    <row r="760" spans="1:32" ht="28.8" x14ac:dyDescent="0.3">
      <c r="A760" s="23" t="s">
        <v>379</v>
      </c>
      <c r="B760" s="20" t="s">
        <v>6</v>
      </c>
      <c r="C760" s="20" t="s">
        <v>89</v>
      </c>
      <c r="D760" s="20" t="s">
        <v>8</v>
      </c>
      <c r="E760" s="22">
        <v>80</v>
      </c>
      <c r="F760" s="22">
        <v>1</v>
      </c>
      <c r="G760" s="22">
        <v>3</v>
      </c>
      <c r="H760" s="22"/>
      <c r="I760" s="23" t="s">
        <v>9</v>
      </c>
      <c r="J760" s="23"/>
      <c r="K760" s="22"/>
      <c r="L760" s="22"/>
      <c r="M760" s="23"/>
      <c r="N760" s="23"/>
      <c r="O760" s="26" t="s">
        <v>380</v>
      </c>
      <c r="P760" s="26" t="s">
        <v>11</v>
      </c>
      <c r="Q760" s="22"/>
      <c r="R760" s="24"/>
      <c r="S760" s="24"/>
      <c r="T760" s="24"/>
      <c r="U760" s="24"/>
      <c r="V760" s="24"/>
      <c r="W760" s="22" t="s">
        <v>31</v>
      </c>
      <c r="X760" s="4" t="str">
        <f>IF(Tabela2[[#This Row],[sigla]]="","",VLOOKUP(Tabela2[[#This Row],[sigla]],créditos_base!B:C,2,0))</f>
        <v>SILVIA OTOFUJI/ARQUIVO DA EDITORA</v>
      </c>
      <c r="Y760" s="23"/>
      <c r="Z760" s="23" t="str">
        <f>Tabela2[[#This Row],[ilustrador]]</f>
        <v>SILVIA OTOFUJI/ARQUIVO DA EDITORA</v>
      </c>
      <c r="AA760" s="22"/>
      <c r="AB760" s="20"/>
      <c r="AD760" s="4" t="str">
        <f>"Pitanguá"</f>
        <v>Pitanguá</v>
      </c>
      <c r="AE760" s="14" t="str">
        <f>"Matemática"</f>
        <v>Matemática</v>
      </c>
      <c r="AF760" s="14"/>
    </row>
    <row r="761" spans="1:32" ht="28.8" x14ac:dyDescent="0.3">
      <c r="A761" s="23" t="s">
        <v>5319</v>
      </c>
      <c r="B761" s="20" t="s">
        <v>16</v>
      </c>
      <c r="C761" s="20" t="s">
        <v>89</v>
      </c>
      <c r="D761" s="20" t="s">
        <v>8</v>
      </c>
      <c r="E761" s="22">
        <v>75</v>
      </c>
      <c r="F761" s="22">
        <v>3</v>
      </c>
      <c r="G761" s="22">
        <v>3</v>
      </c>
      <c r="H761" s="22"/>
      <c r="I761" s="23" t="s">
        <v>90</v>
      </c>
      <c r="J761" s="23"/>
      <c r="K761" s="22"/>
      <c r="L761" s="22"/>
      <c r="M761" s="23"/>
      <c r="N761" s="23"/>
      <c r="O761" s="26" t="s">
        <v>5320</v>
      </c>
      <c r="P761" s="26"/>
      <c r="Q761" s="22">
        <v>121</v>
      </c>
      <c r="R761" s="24">
        <v>45860</v>
      </c>
      <c r="S761" s="24">
        <v>45861</v>
      </c>
      <c r="T761" s="24"/>
      <c r="U761" s="24"/>
      <c r="V761" s="24">
        <v>45861</v>
      </c>
      <c r="W761" s="22" t="s">
        <v>468</v>
      </c>
      <c r="X761" s="4" t="str">
        <f>IF(Tabela2[[#This Row],[sigla]]="","",VLOOKUP(Tabela2[[#This Row],[sigla]],créditos_base!B:C,2,0))</f>
        <v>VER DOCUMENTO DE ILS. TÉCNICAS</v>
      </c>
      <c r="Y761" s="23" t="s">
        <v>152</v>
      </c>
      <c r="Z761" s="23" t="s">
        <v>5062</v>
      </c>
      <c r="AA761" s="22">
        <v>13</v>
      </c>
      <c r="AB761" s="20" t="s">
        <v>747</v>
      </c>
      <c r="AC761" s="20" t="s">
        <v>36</v>
      </c>
      <c r="AD761" s="4" t="str">
        <f>"Pitanguá"</f>
        <v>Pitanguá</v>
      </c>
      <c r="AE761" s="14" t="str">
        <f>"Matemática"</f>
        <v>Matemática</v>
      </c>
      <c r="AF761" s="14"/>
    </row>
    <row r="762" spans="1:32" ht="28.8" x14ac:dyDescent="0.3">
      <c r="A762" s="23" t="s">
        <v>5122</v>
      </c>
      <c r="B762" s="20" t="s">
        <v>16</v>
      </c>
      <c r="C762" s="20" t="s">
        <v>89</v>
      </c>
      <c r="D762" s="20" t="s">
        <v>8</v>
      </c>
      <c r="E762" s="22">
        <v>74</v>
      </c>
      <c r="F762" s="22">
        <v>4</v>
      </c>
      <c r="G762" s="22">
        <v>3</v>
      </c>
      <c r="H762" s="22"/>
      <c r="I762" s="23" t="s">
        <v>90</v>
      </c>
      <c r="J762" s="23"/>
      <c r="K762" s="22"/>
      <c r="L762" s="22"/>
      <c r="M762" s="23"/>
      <c r="N762" s="23"/>
      <c r="O762" s="26" t="s">
        <v>5123</v>
      </c>
      <c r="P762" s="26"/>
      <c r="Q762" s="22">
        <v>97</v>
      </c>
      <c r="R762" s="24">
        <v>45845</v>
      </c>
      <c r="S762" s="24">
        <v>45852</v>
      </c>
      <c r="T762" s="24"/>
      <c r="U762" s="24"/>
      <c r="V762" s="24">
        <v>45861</v>
      </c>
      <c r="W762" s="22" t="s">
        <v>468</v>
      </c>
      <c r="X762" s="4" t="str">
        <f>IF(Tabela2[[#This Row],[sigla]]="","",VLOOKUP(Tabela2[[#This Row],[sigla]],créditos_base!B:C,2,0))</f>
        <v>VER DOCUMENTO DE ILS. TÉCNICAS</v>
      </c>
      <c r="Y762" s="23"/>
      <c r="Z762" s="23" t="s">
        <v>5062</v>
      </c>
      <c r="AA762" s="22">
        <v>8</v>
      </c>
      <c r="AB762" s="20" t="s">
        <v>243</v>
      </c>
      <c r="AC762" s="20" t="s">
        <v>36</v>
      </c>
      <c r="AD762" s="4" t="str">
        <f>"Pitanguá"</f>
        <v>Pitanguá</v>
      </c>
      <c r="AE762" s="14" t="str">
        <f>"Matemática"</f>
        <v>Matemática</v>
      </c>
      <c r="AF762" s="14"/>
    </row>
    <row r="763" spans="1:32" x14ac:dyDescent="0.3">
      <c r="A763" s="23" t="s">
        <v>381</v>
      </c>
      <c r="B763" s="20" t="s">
        <v>6</v>
      </c>
      <c r="C763" s="20" t="s">
        <v>89</v>
      </c>
      <c r="D763" s="20" t="s">
        <v>8</v>
      </c>
      <c r="E763" s="22">
        <v>81</v>
      </c>
      <c r="F763" s="22">
        <v>1</v>
      </c>
      <c r="G763" s="22">
        <v>3</v>
      </c>
      <c r="H763" s="22"/>
      <c r="I763" s="23" t="s">
        <v>33</v>
      </c>
      <c r="J763" s="23"/>
      <c r="K763" s="22"/>
      <c r="L763" s="22"/>
      <c r="M763" s="23"/>
      <c r="N763" s="23"/>
      <c r="O763" s="26" t="s">
        <v>382</v>
      </c>
      <c r="P763" s="26" t="s">
        <v>11</v>
      </c>
      <c r="Q763" s="22">
        <v>3</v>
      </c>
      <c r="R763" s="24">
        <v>45726</v>
      </c>
      <c r="S763" s="24">
        <v>45726</v>
      </c>
      <c r="T763" s="24"/>
      <c r="U763" s="24"/>
      <c r="V763" s="24">
        <v>45727</v>
      </c>
      <c r="W763" s="22" t="s">
        <v>12</v>
      </c>
      <c r="X763" s="4" t="str">
        <f>IF(Tabela2[[#This Row],[sigla]]="","",VLOOKUP(Tabela2[[#This Row],[sigla]],créditos_base!B:C,2,0))</f>
        <v>JORGE ZAIBA/ARQUIVO DA EDITORA</v>
      </c>
      <c r="Y763" s="23" t="s">
        <v>13</v>
      </c>
      <c r="Z763" s="23" t="str">
        <f>Tabela2[[#This Row],[ilustrador]]</f>
        <v>JORGE ZAIBA/ARQUIVO DA EDITORA</v>
      </c>
      <c r="AA763" s="22">
        <v>14</v>
      </c>
      <c r="AB763" s="20"/>
      <c r="AC763" s="20" t="s">
        <v>36</v>
      </c>
      <c r="AD763" s="4" t="str">
        <f>"Pitanguá"</f>
        <v>Pitanguá</v>
      </c>
      <c r="AE763" s="14" t="str">
        <f>"Matemática"</f>
        <v>Matemática</v>
      </c>
      <c r="AF763" s="14"/>
    </row>
    <row r="764" spans="1:32" ht="28.8" x14ac:dyDescent="0.3">
      <c r="A764" s="23" t="s">
        <v>5321</v>
      </c>
      <c r="B764" s="20" t="s">
        <v>16</v>
      </c>
      <c r="C764" s="20" t="s">
        <v>89</v>
      </c>
      <c r="D764" s="20" t="s">
        <v>8</v>
      </c>
      <c r="E764" s="22">
        <v>75</v>
      </c>
      <c r="F764" s="22">
        <v>3</v>
      </c>
      <c r="G764" s="22">
        <v>3</v>
      </c>
      <c r="H764" s="22"/>
      <c r="I764" s="23" t="s">
        <v>90</v>
      </c>
      <c r="J764" s="23"/>
      <c r="K764" s="22"/>
      <c r="L764" s="22"/>
      <c r="M764" s="23"/>
      <c r="N764" s="23"/>
      <c r="O764" s="26" t="s">
        <v>5322</v>
      </c>
      <c r="P764" s="26"/>
      <c r="Q764" s="22">
        <v>121</v>
      </c>
      <c r="R764" s="24">
        <v>45860</v>
      </c>
      <c r="S764" s="24">
        <v>45861</v>
      </c>
      <c r="T764" s="24"/>
      <c r="U764" s="24"/>
      <c r="V764" s="24">
        <v>45861</v>
      </c>
      <c r="W764" s="22" t="s">
        <v>468</v>
      </c>
      <c r="X764" s="4" t="str">
        <f>IF(Tabela2[[#This Row],[sigla]]="","",VLOOKUP(Tabela2[[#This Row],[sigla]],créditos_base!B:C,2,0))</f>
        <v>VER DOCUMENTO DE ILS. TÉCNICAS</v>
      </c>
      <c r="Y764" s="23" t="s">
        <v>152</v>
      </c>
      <c r="Z764" s="23" t="s">
        <v>5062</v>
      </c>
      <c r="AA764" s="22">
        <v>13</v>
      </c>
      <c r="AB764" s="20" t="s">
        <v>747</v>
      </c>
      <c r="AC764" s="20" t="s">
        <v>36</v>
      </c>
      <c r="AD764" s="4" t="str">
        <f>"Pitanguá"</f>
        <v>Pitanguá</v>
      </c>
      <c r="AE764" s="14" t="str">
        <f>"Matemática"</f>
        <v>Matemática</v>
      </c>
      <c r="AF764" s="14"/>
    </row>
    <row r="765" spans="1:32" x14ac:dyDescent="0.3">
      <c r="A765" s="23" t="s">
        <v>5124</v>
      </c>
      <c r="B765" s="20" t="s">
        <v>16</v>
      </c>
      <c r="C765" s="20" t="s">
        <v>89</v>
      </c>
      <c r="D765" s="20" t="s">
        <v>8</v>
      </c>
      <c r="E765" s="22">
        <v>74</v>
      </c>
      <c r="F765" s="22">
        <v>4</v>
      </c>
      <c r="G765" s="22">
        <v>3</v>
      </c>
      <c r="H765" s="22"/>
      <c r="I765" s="23" t="s">
        <v>90</v>
      </c>
      <c r="J765" s="23"/>
      <c r="K765" s="22"/>
      <c r="L765" s="22"/>
      <c r="M765" s="23"/>
      <c r="N765" s="23"/>
      <c r="O765" s="26" t="s">
        <v>5125</v>
      </c>
      <c r="P765" s="26"/>
      <c r="Q765" s="22">
        <v>97</v>
      </c>
      <c r="R765" s="24">
        <v>45845</v>
      </c>
      <c r="S765" s="24">
        <v>45852</v>
      </c>
      <c r="T765" s="24"/>
      <c r="U765" s="24"/>
      <c r="V765" s="24">
        <v>45861</v>
      </c>
      <c r="W765" s="22" t="s">
        <v>468</v>
      </c>
      <c r="X765" s="4" t="str">
        <f>IF(Tabela2[[#This Row],[sigla]]="","",VLOOKUP(Tabela2[[#This Row],[sigla]],créditos_base!B:C,2,0))</f>
        <v>VER DOCUMENTO DE ILS. TÉCNICAS</v>
      </c>
      <c r="Y765" s="23"/>
      <c r="Z765" s="23" t="s">
        <v>5062</v>
      </c>
      <c r="AA765" s="22">
        <v>8</v>
      </c>
      <c r="AB765" s="20" t="s">
        <v>243</v>
      </c>
      <c r="AC765" s="20" t="s">
        <v>36</v>
      </c>
      <c r="AD765" s="4" t="str">
        <f>"Pitanguá"</f>
        <v>Pitanguá</v>
      </c>
      <c r="AE765" s="14" t="str">
        <f>"Matemática"</f>
        <v>Matemática</v>
      </c>
      <c r="AF765" s="14"/>
    </row>
    <row r="766" spans="1:32" ht="28.8" x14ac:dyDescent="0.3">
      <c r="A766" s="23" t="s">
        <v>383</v>
      </c>
      <c r="B766" s="20" t="s">
        <v>6</v>
      </c>
      <c r="C766" s="20" t="s">
        <v>89</v>
      </c>
      <c r="D766" s="20" t="s">
        <v>8</v>
      </c>
      <c r="E766" s="22">
        <v>81</v>
      </c>
      <c r="F766" s="22">
        <v>1</v>
      </c>
      <c r="G766" s="22">
        <v>3</v>
      </c>
      <c r="H766" s="22"/>
      <c r="I766" s="23" t="s">
        <v>9</v>
      </c>
      <c r="J766" s="23"/>
      <c r="K766" s="22"/>
      <c r="L766" s="22"/>
      <c r="M766" s="23"/>
      <c r="N766" s="23"/>
      <c r="O766" s="26" t="s">
        <v>384</v>
      </c>
      <c r="P766" s="26" t="s">
        <v>11</v>
      </c>
      <c r="Q766" s="22"/>
      <c r="R766" s="24"/>
      <c r="S766" s="24"/>
      <c r="T766" s="24"/>
      <c r="U766" s="24"/>
      <c r="V766" s="24"/>
      <c r="W766" s="22" t="s">
        <v>230</v>
      </c>
      <c r="X766" s="4" t="str">
        <f>IF(Tabela2[[#This Row],[sigla]]="","",VLOOKUP(Tabela2[[#This Row],[sigla]],créditos_base!B:C,2,0))</f>
        <v>RAFAEL L. GAION/ARQUIVO DA EDITORA</v>
      </c>
      <c r="Y766" s="23"/>
      <c r="Z766" s="23" t="str">
        <f>Tabela2[[#This Row],[ilustrador]]</f>
        <v>RAFAEL L. GAION/ARQUIVO DA EDITORA</v>
      </c>
      <c r="AA766" s="22"/>
      <c r="AB766" s="20"/>
      <c r="AD766" s="4" t="str">
        <f>"Pitanguá"</f>
        <v>Pitanguá</v>
      </c>
      <c r="AE766" s="14" t="str">
        <f>"Matemática"</f>
        <v>Matemática</v>
      </c>
      <c r="AF766" s="14"/>
    </row>
    <row r="767" spans="1:32" x14ac:dyDescent="0.3">
      <c r="A767" s="23" t="s">
        <v>5325</v>
      </c>
      <c r="B767" s="20" t="s">
        <v>16</v>
      </c>
      <c r="C767" s="20" t="s">
        <v>89</v>
      </c>
      <c r="D767" s="20" t="s">
        <v>8</v>
      </c>
      <c r="E767" s="22">
        <v>76</v>
      </c>
      <c r="F767" s="22">
        <v>3</v>
      </c>
      <c r="G767" s="22">
        <v>3</v>
      </c>
      <c r="H767" s="22"/>
      <c r="I767" s="23" t="s">
        <v>90</v>
      </c>
      <c r="J767" s="23"/>
      <c r="K767" s="22"/>
      <c r="L767" s="22"/>
      <c r="M767" s="23"/>
      <c r="N767" s="23"/>
      <c r="O767" s="26" t="s">
        <v>5326</v>
      </c>
      <c r="P767" s="26"/>
      <c r="Q767" s="22">
        <v>121</v>
      </c>
      <c r="R767" s="24">
        <v>45860</v>
      </c>
      <c r="S767" s="24">
        <v>45861</v>
      </c>
      <c r="T767" s="24"/>
      <c r="U767" s="24"/>
      <c r="V767" s="24">
        <v>45861</v>
      </c>
      <c r="W767" s="22" t="s">
        <v>468</v>
      </c>
      <c r="X767" s="4" t="str">
        <f>IF(Tabela2[[#This Row],[sigla]]="","",VLOOKUP(Tabela2[[#This Row],[sigla]],créditos_base!B:C,2,0))</f>
        <v>VER DOCUMENTO DE ILS. TÉCNICAS</v>
      </c>
      <c r="Y767" s="23" t="s">
        <v>152</v>
      </c>
      <c r="Z767" s="23" t="s">
        <v>5062</v>
      </c>
      <c r="AA767" s="22">
        <v>13</v>
      </c>
      <c r="AB767" s="20" t="s">
        <v>747</v>
      </c>
      <c r="AC767" s="20" t="s">
        <v>36</v>
      </c>
      <c r="AD767" s="4" t="str">
        <f>"Pitanguá"</f>
        <v>Pitanguá</v>
      </c>
      <c r="AE767" s="14" t="str">
        <f>"Matemática"</f>
        <v>Matemática</v>
      </c>
      <c r="AF767" s="14"/>
    </row>
    <row r="768" spans="1:32" ht="43.2" x14ac:dyDescent="0.3">
      <c r="A768" s="23" t="s">
        <v>5306</v>
      </c>
      <c r="B768" s="20" t="s">
        <v>16</v>
      </c>
      <c r="C768" s="20" t="s">
        <v>7</v>
      </c>
      <c r="D768" s="20" t="s">
        <v>8</v>
      </c>
      <c r="E768" s="22">
        <v>64</v>
      </c>
      <c r="F768" s="22">
        <v>4</v>
      </c>
      <c r="G768" s="22">
        <v>3</v>
      </c>
      <c r="H768" s="22"/>
      <c r="I768" s="23" t="s">
        <v>90</v>
      </c>
      <c r="J768" s="23"/>
      <c r="K768" s="22"/>
      <c r="L768" s="22"/>
      <c r="M768" s="23"/>
      <c r="N768" s="23"/>
      <c r="O768" s="26" t="s">
        <v>5307</v>
      </c>
      <c r="P768" s="26"/>
      <c r="Q768" s="22">
        <v>119</v>
      </c>
      <c r="R768" s="24">
        <v>45859</v>
      </c>
      <c r="S768" s="24">
        <v>45860</v>
      </c>
      <c r="T768" s="24">
        <v>45861</v>
      </c>
      <c r="U768" s="24">
        <v>45861</v>
      </c>
      <c r="V768" s="24">
        <v>45863</v>
      </c>
      <c r="W768" s="22" t="s">
        <v>4778</v>
      </c>
      <c r="X768" s="4" t="str">
        <f>IF(Tabela2[[#This Row],[sigla]]="","",VLOOKUP(Tabela2[[#This Row],[sigla]],créditos_base!B:C,2,0))</f>
        <v>WERLLEN HOLANDA/ARQUIVO DA EDITORA</v>
      </c>
      <c r="Y768" s="23"/>
      <c r="Z768" s="23" t="str">
        <f>Tabela2[[#This Row],[ilustrador]]</f>
        <v>WERLLEN HOLANDA/ARQUIVO DA EDITORA</v>
      </c>
      <c r="AA768" s="22">
        <v>4</v>
      </c>
      <c r="AB768" s="26" t="s">
        <v>5308</v>
      </c>
      <c r="AC768" s="20" t="s">
        <v>310</v>
      </c>
      <c r="AD768" s="4" t="str">
        <f>"Pitanguá"</f>
        <v>Pitanguá</v>
      </c>
      <c r="AE768" s="14" t="str">
        <f>"Matemática"</f>
        <v>Matemática</v>
      </c>
      <c r="AF768" s="14"/>
    </row>
    <row r="769" spans="1:32" ht="43.2" x14ac:dyDescent="0.3">
      <c r="A769" s="23" t="s">
        <v>385</v>
      </c>
      <c r="B769" s="20" t="s">
        <v>6</v>
      </c>
      <c r="C769" s="20" t="s">
        <v>89</v>
      </c>
      <c r="D769" s="20" t="s">
        <v>8</v>
      </c>
      <c r="E769" s="22">
        <v>81</v>
      </c>
      <c r="F769" s="22">
        <v>1</v>
      </c>
      <c r="G769" s="22">
        <v>3</v>
      </c>
      <c r="H769" s="22"/>
      <c r="I769" s="23" t="s">
        <v>9</v>
      </c>
      <c r="J769" s="23"/>
      <c r="K769" s="22"/>
      <c r="L769" s="22"/>
      <c r="M769" s="23"/>
      <c r="N769" s="23"/>
      <c r="O769" s="26" t="s">
        <v>386</v>
      </c>
      <c r="P769" s="26" t="s">
        <v>11</v>
      </c>
      <c r="Q769" s="22"/>
      <c r="R769" s="24"/>
      <c r="S769" s="24"/>
      <c r="T769" s="24"/>
      <c r="U769" s="24"/>
      <c r="V769" s="24"/>
      <c r="W769" s="22" t="s">
        <v>230</v>
      </c>
      <c r="X769" s="4" t="str">
        <f>IF(Tabela2[[#This Row],[sigla]]="","",VLOOKUP(Tabela2[[#This Row],[sigla]],créditos_base!B:C,2,0))</f>
        <v>RAFAEL L. GAION/ARQUIVO DA EDITORA</v>
      </c>
      <c r="Y769" s="23"/>
      <c r="Z769" s="23" t="str">
        <f>Tabela2[[#This Row],[ilustrador]]</f>
        <v>RAFAEL L. GAION/ARQUIVO DA EDITORA</v>
      </c>
      <c r="AA769" s="22"/>
      <c r="AB769" s="20"/>
      <c r="AD769" s="4" t="str">
        <f>"Pitanguá"</f>
        <v>Pitanguá</v>
      </c>
      <c r="AE769" s="14" t="str">
        <f>"Matemática"</f>
        <v>Matemática</v>
      </c>
      <c r="AF769" s="14"/>
    </row>
    <row r="770" spans="1:32" ht="43.2" x14ac:dyDescent="0.3">
      <c r="A770" s="23" t="s">
        <v>5327</v>
      </c>
      <c r="B770" s="20" t="s">
        <v>16</v>
      </c>
      <c r="C770" s="20" t="s">
        <v>89</v>
      </c>
      <c r="D770" s="20" t="s">
        <v>8</v>
      </c>
      <c r="E770" s="22">
        <v>76</v>
      </c>
      <c r="F770" s="22">
        <v>3</v>
      </c>
      <c r="G770" s="22">
        <v>3</v>
      </c>
      <c r="H770" s="22"/>
      <c r="I770" s="23" t="s">
        <v>90</v>
      </c>
      <c r="J770" s="23"/>
      <c r="K770" s="22"/>
      <c r="L770" s="22"/>
      <c r="M770" s="23"/>
      <c r="N770" s="23"/>
      <c r="O770" s="26" t="s">
        <v>5328</v>
      </c>
      <c r="P770" s="26"/>
      <c r="Q770" s="22">
        <v>121</v>
      </c>
      <c r="R770" s="24">
        <v>45860</v>
      </c>
      <c r="S770" s="24">
        <v>45861</v>
      </c>
      <c r="T770" s="24"/>
      <c r="U770" s="24"/>
      <c r="V770" s="24">
        <v>45861</v>
      </c>
      <c r="W770" s="22" t="s">
        <v>468</v>
      </c>
      <c r="X770" s="4" t="str">
        <f>IF(Tabela2[[#This Row],[sigla]]="","",VLOOKUP(Tabela2[[#This Row],[sigla]],créditos_base!B:C,2,0))</f>
        <v>VER DOCUMENTO DE ILS. TÉCNICAS</v>
      </c>
      <c r="Y770" s="23" t="s">
        <v>152</v>
      </c>
      <c r="Z770" s="23" t="s">
        <v>5062</v>
      </c>
      <c r="AA770" s="22">
        <v>13</v>
      </c>
      <c r="AB770" s="20" t="s">
        <v>747</v>
      </c>
      <c r="AC770" s="20" t="s">
        <v>36</v>
      </c>
      <c r="AD770" s="4" t="str">
        <f>"Pitanguá"</f>
        <v>Pitanguá</v>
      </c>
      <c r="AE770" s="14" t="str">
        <f>"Matemática"</f>
        <v>Matemática</v>
      </c>
      <c r="AF770" s="14"/>
    </row>
    <row r="771" spans="1:32" ht="43.2" x14ac:dyDescent="0.3">
      <c r="A771" s="23" t="s">
        <v>5309</v>
      </c>
      <c r="B771" s="20" t="s">
        <v>16</v>
      </c>
      <c r="C771" s="20" t="s">
        <v>7</v>
      </c>
      <c r="D771" s="20" t="s">
        <v>8</v>
      </c>
      <c r="E771" s="22">
        <v>65</v>
      </c>
      <c r="F771" s="22">
        <v>4</v>
      </c>
      <c r="G771" s="22">
        <v>3</v>
      </c>
      <c r="H771" s="22"/>
      <c r="I771" s="23" t="s">
        <v>90</v>
      </c>
      <c r="J771" s="23"/>
      <c r="K771" s="22"/>
      <c r="L771" s="22"/>
      <c r="M771" s="23"/>
      <c r="N771" s="23"/>
      <c r="O771" s="26" t="s">
        <v>5310</v>
      </c>
      <c r="P771" s="26"/>
      <c r="Q771" s="22">
        <v>119</v>
      </c>
      <c r="R771" s="24">
        <v>45859</v>
      </c>
      <c r="S771" s="24">
        <v>45860</v>
      </c>
      <c r="T771" s="24">
        <v>45861</v>
      </c>
      <c r="U771" s="24">
        <v>45861</v>
      </c>
      <c r="V771" s="24">
        <v>45863</v>
      </c>
      <c r="W771" s="22" t="s">
        <v>4778</v>
      </c>
      <c r="X771" s="4" t="str">
        <f>IF(Tabela2[[#This Row],[sigla]]="","",VLOOKUP(Tabela2[[#This Row],[sigla]],créditos_base!B:C,2,0))</f>
        <v>WERLLEN HOLANDA/ARQUIVO DA EDITORA</v>
      </c>
      <c r="Y771" s="23"/>
      <c r="Z771" s="23" t="str">
        <f>Tabela2[[#This Row],[ilustrador]]</f>
        <v>WERLLEN HOLANDA/ARQUIVO DA EDITORA</v>
      </c>
      <c r="AA771" s="22">
        <v>4</v>
      </c>
      <c r="AB771" s="26" t="s">
        <v>5308</v>
      </c>
      <c r="AC771" s="20" t="s">
        <v>310</v>
      </c>
      <c r="AD771" s="4" t="str">
        <f>"Pitanguá"</f>
        <v>Pitanguá</v>
      </c>
      <c r="AE771" s="14" t="str">
        <f>"Matemática"</f>
        <v>Matemática</v>
      </c>
      <c r="AF771" s="14"/>
    </row>
    <row r="772" spans="1:32" ht="72" x14ac:dyDescent="0.3">
      <c r="A772" s="23" t="s">
        <v>387</v>
      </c>
      <c r="B772" s="20" t="s">
        <v>6</v>
      </c>
      <c r="C772" s="20" t="s">
        <v>89</v>
      </c>
      <c r="D772" s="20" t="s">
        <v>8</v>
      </c>
      <c r="E772" s="22">
        <v>135</v>
      </c>
      <c r="F772" s="22">
        <v>1</v>
      </c>
      <c r="G772" s="22">
        <v>3</v>
      </c>
      <c r="H772" s="22"/>
      <c r="I772" s="23" t="s">
        <v>9</v>
      </c>
      <c r="J772" s="23"/>
      <c r="K772" s="22"/>
      <c r="L772" s="22"/>
      <c r="M772" s="23"/>
      <c r="N772" s="23"/>
      <c r="O772" s="26" t="s">
        <v>388</v>
      </c>
      <c r="P772" s="26"/>
      <c r="Q772" s="22"/>
      <c r="R772" s="24"/>
      <c r="S772" s="24"/>
      <c r="T772" s="24"/>
      <c r="U772" s="24"/>
      <c r="V772" s="24"/>
      <c r="W772" s="22" t="s">
        <v>257</v>
      </c>
      <c r="X772" s="4" t="str">
        <f>IF(Tabela2[[#This Row],[sigla]]="","",VLOOKUP(Tabela2[[#This Row],[sigla]],créditos_base!B:C,2,0))</f>
        <v>CARMEN MARTINEZ/ARQUIVO DA EDITORA</v>
      </c>
      <c r="Y772" s="23"/>
      <c r="Z772" s="23" t="str">
        <f>Tabela2[[#This Row],[ilustrador]]</f>
        <v>CARMEN MARTINEZ/ARQUIVO DA EDITORA</v>
      </c>
      <c r="AA772" s="22"/>
      <c r="AB772" s="20"/>
      <c r="AD772" s="4" t="str">
        <f>"Pitanguá"</f>
        <v>Pitanguá</v>
      </c>
      <c r="AE772" s="14" t="str">
        <f>"Matemática"</f>
        <v>Matemática</v>
      </c>
      <c r="AF772" s="14"/>
    </row>
    <row r="773" spans="1:32" ht="28.8" x14ac:dyDescent="0.3">
      <c r="A773" s="23" t="s">
        <v>5329</v>
      </c>
      <c r="B773" s="20" t="s">
        <v>16</v>
      </c>
      <c r="C773" s="20" t="s">
        <v>89</v>
      </c>
      <c r="D773" s="20" t="s">
        <v>8</v>
      </c>
      <c r="E773" s="22">
        <v>95</v>
      </c>
      <c r="F773" s="22">
        <v>3</v>
      </c>
      <c r="G773" s="22">
        <v>3</v>
      </c>
      <c r="H773" s="22"/>
      <c r="I773" s="23" t="s">
        <v>90</v>
      </c>
      <c r="J773" s="23"/>
      <c r="K773" s="22"/>
      <c r="L773" s="22"/>
      <c r="M773" s="23"/>
      <c r="N773" s="23"/>
      <c r="O773" s="26" t="s">
        <v>5330</v>
      </c>
      <c r="P773" s="26"/>
      <c r="Q773" s="22">
        <v>121</v>
      </c>
      <c r="R773" s="24">
        <v>45860</v>
      </c>
      <c r="S773" s="24">
        <v>45861</v>
      </c>
      <c r="T773" s="24"/>
      <c r="U773" s="24"/>
      <c r="V773" s="24">
        <v>45861</v>
      </c>
      <c r="W773" s="22" t="s">
        <v>468</v>
      </c>
      <c r="X773" s="4" t="str">
        <f>IF(Tabela2[[#This Row],[sigla]]="","",VLOOKUP(Tabela2[[#This Row],[sigla]],créditos_base!B:C,2,0))</f>
        <v>VER DOCUMENTO DE ILS. TÉCNICAS</v>
      </c>
      <c r="Y773" s="23" t="s">
        <v>152</v>
      </c>
      <c r="Z773" s="23" t="s">
        <v>5062</v>
      </c>
      <c r="AA773" s="22">
        <v>13</v>
      </c>
      <c r="AB773" s="20" t="s">
        <v>747</v>
      </c>
      <c r="AC773" s="20" t="s">
        <v>36</v>
      </c>
      <c r="AD773" s="4" t="str">
        <f>"Pitanguá"</f>
        <v>Pitanguá</v>
      </c>
      <c r="AE773" s="14" t="str">
        <f>"Matemática"</f>
        <v>Matemática</v>
      </c>
      <c r="AF773" s="14"/>
    </row>
    <row r="774" spans="1:32" ht="28.8" x14ac:dyDescent="0.3">
      <c r="A774" s="23" t="s">
        <v>5323</v>
      </c>
      <c r="B774" s="20" t="s">
        <v>16</v>
      </c>
      <c r="C774" s="20" t="s">
        <v>89</v>
      </c>
      <c r="D774" s="20" t="s">
        <v>8</v>
      </c>
      <c r="E774" s="22">
        <v>76</v>
      </c>
      <c r="F774" s="22">
        <v>3</v>
      </c>
      <c r="G774" s="22">
        <v>3</v>
      </c>
      <c r="H774" s="22"/>
      <c r="I774" s="23" t="s">
        <v>90</v>
      </c>
      <c r="J774" s="23"/>
      <c r="K774" s="22"/>
      <c r="L774" s="22"/>
      <c r="M774" s="23"/>
      <c r="N774" s="23"/>
      <c r="O774" s="26" t="s">
        <v>5324</v>
      </c>
      <c r="P774" s="26"/>
      <c r="Q774" s="22"/>
      <c r="R774" s="24"/>
      <c r="S774" s="24">
        <v>45866</v>
      </c>
      <c r="T774" s="24"/>
      <c r="U774" s="24"/>
      <c r="V774" s="24">
        <v>45866</v>
      </c>
      <c r="W774" s="22" t="s">
        <v>468</v>
      </c>
      <c r="X774" s="4" t="str">
        <f>IF(Tabela2[[#This Row],[sigla]]="","",VLOOKUP(Tabela2[[#This Row],[sigla]],créditos_base!B:C,2,0))</f>
        <v>VER DOCUMENTO DE ILS. TÉCNICAS</v>
      </c>
      <c r="Y774" s="23" t="s">
        <v>243</v>
      </c>
      <c r="Z774" s="23" t="s">
        <v>5062</v>
      </c>
      <c r="AA774" s="22">
        <v>8</v>
      </c>
      <c r="AB774" s="20" t="s">
        <v>2058</v>
      </c>
      <c r="AC774" s="20" t="s">
        <v>36</v>
      </c>
      <c r="AD774" s="4" t="str">
        <f>"Pitanguá"</f>
        <v>Pitanguá</v>
      </c>
      <c r="AE774" s="14" t="str">
        <f>"Matemática"</f>
        <v>Matemática</v>
      </c>
      <c r="AF774" s="14"/>
    </row>
    <row r="775" spans="1:32" ht="28.8" x14ac:dyDescent="0.3">
      <c r="A775" s="23" t="s">
        <v>389</v>
      </c>
      <c r="B775" s="20" t="s">
        <v>6</v>
      </c>
      <c r="C775" s="20" t="s">
        <v>89</v>
      </c>
      <c r="D775" s="20" t="s">
        <v>8</v>
      </c>
      <c r="E775" s="22">
        <v>136</v>
      </c>
      <c r="F775" s="22">
        <v>1</v>
      </c>
      <c r="G775" s="22">
        <v>3</v>
      </c>
      <c r="H775" s="22"/>
      <c r="I775" s="23" t="s">
        <v>9</v>
      </c>
      <c r="J775" s="23"/>
      <c r="K775" s="22"/>
      <c r="L775" s="22"/>
      <c r="M775" s="23"/>
      <c r="N775" s="23"/>
      <c r="O775" s="26" t="s">
        <v>390</v>
      </c>
      <c r="P775" s="26" t="s">
        <v>11</v>
      </c>
      <c r="Q775" s="22"/>
      <c r="R775" s="24"/>
      <c r="S775" s="24"/>
      <c r="T775" s="24"/>
      <c r="U775" s="24"/>
      <c r="V775" s="24"/>
      <c r="W775" s="22" t="s">
        <v>87</v>
      </c>
      <c r="X775" s="4" t="str">
        <f>IF(Tabela2[[#This Row],[sigla]]="","",VLOOKUP(Tabela2[[#This Row],[sigla]],créditos_base!B:C,2,0))</f>
        <v>CHRIS BORGES/ARQUIVO DA EDITORA</v>
      </c>
      <c r="Y775" s="23"/>
      <c r="Z775" s="23" t="str">
        <f>Tabela2[[#This Row],[ilustrador]]</f>
        <v>CHRIS BORGES/ARQUIVO DA EDITORA</v>
      </c>
      <c r="AA775" s="22"/>
      <c r="AB775" s="20"/>
      <c r="AD775" s="4" t="str">
        <f>"Pitanguá"</f>
        <v>Pitanguá</v>
      </c>
      <c r="AE775" s="14" t="str">
        <f>"Matemática"</f>
        <v>Matemática</v>
      </c>
      <c r="AF775" s="14"/>
    </row>
    <row r="776" spans="1:32" ht="28.8" x14ac:dyDescent="0.3">
      <c r="A776" s="23" t="s">
        <v>391</v>
      </c>
      <c r="B776" s="20" t="s">
        <v>6</v>
      </c>
      <c r="C776" s="20" t="s">
        <v>89</v>
      </c>
      <c r="D776" s="20" t="s">
        <v>8</v>
      </c>
      <c r="E776" s="22">
        <v>136</v>
      </c>
      <c r="F776" s="22">
        <v>1</v>
      </c>
      <c r="G776" s="22">
        <v>3</v>
      </c>
      <c r="H776" s="22"/>
      <c r="I776" s="23" t="s">
        <v>9</v>
      </c>
      <c r="J776" s="23"/>
      <c r="K776" s="22"/>
      <c r="L776" s="22"/>
      <c r="M776" s="23"/>
      <c r="N776" s="23"/>
      <c r="O776" s="26" t="s">
        <v>392</v>
      </c>
      <c r="P776" s="26" t="s">
        <v>11</v>
      </c>
      <c r="Q776" s="22"/>
      <c r="R776" s="24"/>
      <c r="S776" s="24"/>
      <c r="T776" s="24"/>
      <c r="U776" s="24"/>
      <c r="V776" s="24"/>
      <c r="W776" s="22" t="s">
        <v>72</v>
      </c>
      <c r="X776" s="4" t="str">
        <f>IF(Tabela2[[#This Row],[sigla]]="","",VLOOKUP(Tabela2[[#This Row],[sigla]],créditos_base!B:C,2,0))</f>
        <v>HELOÍSA PINTARELLI/ARQUIVO DA EDITORA</v>
      </c>
      <c r="Y776" s="23"/>
      <c r="Z776" s="23" t="str">
        <f>Tabela2[[#This Row],[ilustrador]]</f>
        <v>HELOÍSA PINTARELLI/ARQUIVO DA EDITORA</v>
      </c>
      <c r="AA776" s="22"/>
      <c r="AB776" s="20"/>
      <c r="AD776" s="4" t="str">
        <f>"Pitanguá"</f>
        <v>Pitanguá</v>
      </c>
      <c r="AE776" s="14" t="str">
        <f>"Matemática"</f>
        <v>Matemática</v>
      </c>
      <c r="AF776" s="14"/>
    </row>
    <row r="777" spans="1:32" ht="28.8" x14ac:dyDescent="0.3">
      <c r="A777" s="23" t="s">
        <v>4418</v>
      </c>
      <c r="B777" s="20" t="s">
        <v>6</v>
      </c>
      <c r="C777" s="20" t="s">
        <v>89</v>
      </c>
      <c r="D777" s="20" t="s">
        <v>8</v>
      </c>
      <c r="E777" s="22">
        <v>86</v>
      </c>
      <c r="F777" s="22">
        <v>2</v>
      </c>
      <c r="G777" s="22">
        <v>3</v>
      </c>
      <c r="H777" s="22"/>
      <c r="I777" s="23" t="s">
        <v>90</v>
      </c>
      <c r="J777" s="23"/>
      <c r="K777" s="22"/>
      <c r="L777" s="22"/>
      <c r="M777" s="23"/>
      <c r="N777" s="23"/>
      <c r="O777" s="26" t="s">
        <v>4419</v>
      </c>
      <c r="P777" s="26" t="s">
        <v>11</v>
      </c>
      <c r="Q777" s="22">
        <v>64</v>
      </c>
      <c r="R777" s="24">
        <v>45810</v>
      </c>
      <c r="S777" s="24">
        <v>45811</v>
      </c>
      <c r="T777" s="24"/>
      <c r="U777" s="24"/>
      <c r="V777" s="24">
        <v>45811</v>
      </c>
      <c r="W777" s="22" t="s">
        <v>425</v>
      </c>
      <c r="X777" s="4" t="str">
        <f>IF(Tabela2[[#This Row],[sigla]]="","",VLOOKUP(Tabela2[[#This Row],[sigla]],créditos_base!B:C,2,0))</f>
        <v>BÁRBARA SARZI/ARQUIVO DA EDITORA</v>
      </c>
      <c r="Y777" s="23"/>
      <c r="Z777" s="23" t="str">
        <f>Tabela2[[#This Row],[ilustrador]]</f>
        <v>BÁRBARA SARZI/ARQUIVO DA EDITORA</v>
      </c>
      <c r="AA777" s="22">
        <v>13</v>
      </c>
      <c r="AB777" s="20" t="s">
        <v>2564</v>
      </c>
      <c r="AC777" s="20" t="s">
        <v>36</v>
      </c>
      <c r="AD777" s="4" t="str">
        <f>"Pitanguá"</f>
        <v>Pitanguá</v>
      </c>
      <c r="AE777" s="14" t="str">
        <f>"Matemática"</f>
        <v>Matemática</v>
      </c>
      <c r="AF777" s="14"/>
    </row>
    <row r="778" spans="1:32" ht="28.8" x14ac:dyDescent="0.3">
      <c r="A778" s="23" t="s">
        <v>393</v>
      </c>
      <c r="B778" s="20" t="s">
        <v>6</v>
      </c>
      <c r="C778" s="20" t="s">
        <v>89</v>
      </c>
      <c r="D778" s="20" t="s">
        <v>8</v>
      </c>
      <c r="E778" s="22">
        <v>136</v>
      </c>
      <c r="F778" s="22">
        <v>1</v>
      </c>
      <c r="G778" s="22">
        <v>3</v>
      </c>
      <c r="H778" s="22"/>
      <c r="I778" s="23" t="s">
        <v>9</v>
      </c>
      <c r="J778" s="23"/>
      <c r="K778" s="22"/>
      <c r="L778" s="22"/>
      <c r="M778" s="23"/>
      <c r="N778" s="23"/>
      <c r="O778" s="26" t="s">
        <v>394</v>
      </c>
      <c r="P778" s="26" t="s">
        <v>11</v>
      </c>
      <c r="Q778" s="22"/>
      <c r="R778" s="24"/>
      <c r="S778" s="24"/>
      <c r="T778" s="24"/>
      <c r="U778" s="24"/>
      <c r="V778" s="24"/>
      <c r="W778" s="22" t="s">
        <v>72</v>
      </c>
      <c r="X778" s="4" t="str">
        <f>IF(Tabela2[[#This Row],[sigla]]="","",VLOOKUP(Tabela2[[#This Row],[sigla]],créditos_base!B:C,2,0))</f>
        <v>HELOÍSA PINTARELLI/ARQUIVO DA EDITORA</v>
      </c>
      <c r="Y778" s="23"/>
      <c r="Z778" s="23" t="str">
        <f>Tabela2[[#This Row],[ilustrador]]</f>
        <v>HELOÍSA PINTARELLI/ARQUIVO DA EDITORA</v>
      </c>
      <c r="AA778" s="22"/>
      <c r="AB778" s="20"/>
      <c r="AD778" s="4" t="str">
        <f>"Pitanguá"</f>
        <v>Pitanguá</v>
      </c>
      <c r="AE778" s="14" t="str">
        <f>"Matemática"</f>
        <v>Matemática</v>
      </c>
      <c r="AF778" s="14"/>
    </row>
    <row r="779" spans="1:32" ht="43.2" x14ac:dyDescent="0.3">
      <c r="A779" s="23" t="s">
        <v>4420</v>
      </c>
      <c r="B779" s="20" t="s">
        <v>6</v>
      </c>
      <c r="C779" s="20" t="s">
        <v>89</v>
      </c>
      <c r="D779" s="20" t="s">
        <v>8</v>
      </c>
      <c r="E779" s="22">
        <v>86</v>
      </c>
      <c r="F779" s="22">
        <v>2</v>
      </c>
      <c r="G779" s="22">
        <v>3</v>
      </c>
      <c r="H779" s="22"/>
      <c r="I779" s="23" t="s">
        <v>90</v>
      </c>
      <c r="J779" s="23"/>
      <c r="K779" s="22"/>
      <c r="L779" s="22"/>
      <c r="M779" s="23"/>
      <c r="N779" s="23"/>
      <c r="O779" s="26" t="s">
        <v>4421</v>
      </c>
      <c r="P779" s="26" t="s">
        <v>11</v>
      </c>
      <c r="Q779" s="22">
        <v>64</v>
      </c>
      <c r="R779" s="24">
        <v>45810</v>
      </c>
      <c r="S779" s="24">
        <v>45811</v>
      </c>
      <c r="T779" s="24"/>
      <c r="U779" s="24"/>
      <c r="V779" s="24">
        <v>45811</v>
      </c>
      <c r="W779" s="22" t="s">
        <v>425</v>
      </c>
      <c r="X779" s="4" t="str">
        <f>IF(Tabela2[[#This Row],[sigla]]="","",VLOOKUP(Tabela2[[#This Row],[sigla]],créditos_base!B:C,2,0))</f>
        <v>BÁRBARA SARZI/ARQUIVO DA EDITORA</v>
      </c>
      <c r="Y779" s="23"/>
      <c r="Z779" s="23" t="str">
        <f>Tabela2[[#This Row],[ilustrador]]</f>
        <v>BÁRBARA SARZI/ARQUIVO DA EDITORA</v>
      </c>
      <c r="AA779" s="22">
        <v>13</v>
      </c>
      <c r="AB779" s="20" t="s">
        <v>2564</v>
      </c>
      <c r="AC779" s="20" t="s">
        <v>36</v>
      </c>
      <c r="AD779" s="4" t="str">
        <f>"Pitanguá"</f>
        <v>Pitanguá</v>
      </c>
      <c r="AE779" s="14" t="str">
        <f>"Matemática"</f>
        <v>Matemática</v>
      </c>
      <c r="AF779" s="14"/>
    </row>
    <row r="780" spans="1:32" ht="43.2" x14ac:dyDescent="0.3">
      <c r="A780" s="23" t="s">
        <v>395</v>
      </c>
      <c r="B780" s="20" t="s">
        <v>6</v>
      </c>
      <c r="C780" s="20" t="s">
        <v>89</v>
      </c>
      <c r="D780" s="20" t="s">
        <v>8</v>
      </c>
      <c r="E780" s="22">
        <v>136</v>
      </c>
      <c r="F780" s="22">
        <v>1</v>
      </c>
      <c r="G780" s="22">
        <v>3</v>
      </c>
      <c r="H780" s="22"/>
      <c r="I780" s="23" t="s">
        <v>9</v>
      </c>
      <c r="J780" s="23"/>
      <c r="K780" s="22"/>
      <c r="L780" s="22"/>
      <c r="M780" s="23"/>
      <c r="N780" s="23"/>
      <c r="O780" s="26" t="s">
        <v>396</v>
      </c>
      <c r="P780" s="26" t="s">
        <v>11</v>
      </c>
      <c r="Q780" s="22"/>
      <c r="R780" s="24"/>
      <c r="S780" s="24"/>
      <c r="T780" s="24"/>
      <c r="U780" s="24"/>
      <c r="V780" s="24"/>
      <c r="W780" s="22" t="s">
        <v>72</v>
      </c>
      <c r="X780" s="4" t="str">
        <f>IF(Tabela2[[#This Row],[sigla]]="","",VLOOKUP(Tabela2[[#This Row],[sigla]],créditos_base!B:C,2,0))</f>
        <v>HELOÍSA PINTARELLI/ARQUIVO DA EDITORA</v>
      </c>
      <c r="Y780" s="23"/>
      <c r="Z780" s="23" t="str">
        <f>Tabela2[[#This Row],[ilustrador]]</f>
        <v>HELOÍSA PINTARELLI/ARQUIVO DA EDITORA</v>
      </c>
      <c r="AA780" s="22"/>
      <c r="AB780" s="20"/>
      <c r="AD780" s="4" t="str">
        <f>"Pitanguá"</f>
        <v>Pitanguá</v>
      </c>
      <c r="AE780" s="14" t="str">
        <f>"Matemática"</f>
        <v>Matemática</v>
      </c>
      <c r="AF780" s="14"/>
    </row>
    <row r="781" spans="1:32" ht="43.2" x14ac:dyDescent="0.3">
      <c r="A781" s="23" t="s">
        <v>4422</v>
      </c>
      <c r="B781" s="20" t="s">
        <v>6</v>
      </c>
      <c r="C781" s="20" t="s">
        <v>89</v>
      </c>
      <c r="D781" s="20" t="s">
        <v>8</v>
      </c>
      <c r="E781" s="22">
        <v>86</v>
      </c>
      <c r="F781" s="22">
        <v>2</v>
      </c>
      <c r="G781" s="22">
        <v>3</v>
      </c>
      <c r="H781" s="22"/>
      <c r="I781" s="23" t="s">
        <v>90</v>
      </c>
      <c r="J781" s="23"/>
      <c r="K781" s="22"/>
      <c r="L781" s="22"/>
      <c r="M781" s="23"/>
      <c r="N781" s="23"/>
      <c r="O781" s="26" t="s">
        <v>4423</v>
      </c>
      <c r="P781" s="26" t="s">
        <v>11</v>
      </c>
      <c r="Q781" s="22">
        <v>64</v>
      </c>
      <c r="R781" s="24">
        <v>45810</v>
      </c>
      <c r="S781" s="24">
        <v>45811</v>
      </c>
      <c r="T781" s="24"/>
      <c r="U781" s="24"/>
      <c r="V781" s="24">
        <v>45811</v>
      </c>
      <c r="W781" s="22" t="s">
        <v>425</v>
      </c>
      <c r="X781" s="4" t="str">
        <f>IF(Tabela2[[#This Row],[sigla]]="","",VLOOKUP(Tabela2[[#This Row],[sigla]],créditos_base!B:C,2,0))</f>
        <v>BÁRBARA SARZI/ARQUIVO DA EDITORA</v>
      </c>
      <c r="Y781" s="23"/>
      <c r="Z781" s="23" t="str">
        <f>Tabela2[[#This Row],[ilustrador]]</f>
        <v>BÁRBARA SARZI/ARQUIVO DA EDITORA</v>
      </c>
      <c r="AA781" s="22">
        <v>13</v>
      </c>
      <c r="AB781" s="20" t="s">
        <v>2564</v>
      </c>
      <c r="AC781" s="20" t="s">
        <v>36</v>
      </c>
      <c r="AD781" s="4" t="str">
        <f>"Pitanguá"</f>
        <v>Pitanguá</v>
      </c>
      <c r="AE781" s="14" t="str">
        <f>"Matemática"</f>
        <v>Matemática</v>
      </c>
      <c r="AF781" s="14"/>
    </row>
    <row r="782" spans="1:32" ht="43.2" x14ac:dyDescent="0.3">
      <c r="A782" s="23" t="s">
        <v>397</v>
      </c>
      <c r="B782" s="20" t="s">
        <v>6</v>
      </c>
      <c r="C782" s="20" t="s">
        <v>89</v>
      </c>
      <c r="D782" s="20" t="s">
        <v>8</v>
      </c>
      <c r="E782" s="22">
        <v>136</v>
      </c>
      <c r="F782" s="22">
        <v>1</v>
      </c>
      <c r="G782" s="22">
        <v>3</v>
      </c>
      <c r="H782" s="22"/>
      <c r="I782" s="23" t="s">
        <v>9</v>
      </c>
      <c r="J782" s="23"/>
      <c r="K782" s="22"/>
      <c r="L782" s="22"/>
      <c r="M782" s="23"/>
      <c r="N782" s="23"/>
      <c r="O782" s="26" t="s">
        <v>398</v>
      </c>
      <c r="P782" s="26" t="s">
        <v>11</v>
      </c>
      <c r="Q782" s="22"/>
      <c r="R782" s="24"/>
      <c r="S782" s="24"/>
      <c r="T782" s="24"/>
      <c r="U782" s="24"/>
      <c r="V782" s="24"/>
      <c r="W782" s="22" t="s">
        <v>72</v>
      </c>
      <c r="X782" s="4" t="str">
        <f>IF(Tabela2[[#This Row],[sigla]]="","",VLOOKUP(Tabela2[[#This Row],[sigla]],créditos_base!B:C,2,0))</f>
        <v>HELOÍSA PINTARELLI/ARQUIVO DA EDITORA</v>
      </c>
      <c r="Y782" s="23"/>
      <c r="Z782" s="23" t="str">
        <f>Tabela2[[#This Row],[ilustrador]]</f>
        <v>HELOÍSA PINTARELLI/ARQUIVO DA EDITORA</v>
      </c>
      <c r="AA782" s="22"/>
      <c r="AB782" s="20"/>
      <c r="AD782" s="4" t="str">
        <f>"Pitanguá"</f>
        <v>Pitanguá</v>
      </c>
      <c r="AE782" s="14" t="str">
        <f>"Matemática"</f>
        <v>Matemática</v>
      </c>
      <c r="AF782" s="14"/>
    </row>
    <row r="783" spans="1:32" ht="43.2" x14ac:dyDescent="0.3">
      <c r="A783" s="23" t="s">
        <v>4424</v>
      </c>
      <c r="B783" s="20" t="s">
        <v>6</v>
      </c>
      <c r="C783" s="20" t="s">
        <v>89</v>
      </c>
      <c r="D783" s="20" t="s">
        <v>8</v>
      </c>
      <c r="E783" s="22">
        <v>86</v>
      </c>
      <c r="F783" s="22">
        <v>2</v>
      </c>
      <c r="G783" s="22">
        <v>3</v>
      </c>
      <c r="H783" s="22"/>
      <c r="I783" s="23" t="s">
        <v>90</v>
      </c>
      <c r="J783" s="23"/>
      <c r="K783" s="22"/>
      <c r="L783" s="22"/>
      <c r="M783" s="23"/>
      <c r="N783" s="23"/>
      <c r="O783" s="26" t="s">
        <v>4425</v>
      </c>
      <c r="P783" s="26" t="s">
        <v>11</v>
      </c>
      <c r="Q783" s="22">
        <v>64</v>
      </c>
      <c r="R783" s="24">
        <v>45810</v>
      </c>
      <c r="S783" s="24">
        <v>45811</v>
      </c>
      <c r="T783" s="24"/>
      <c r="U783" s="24"/>
      <c r="V783" s="24">
        <v>45811</v>
      </c>
      <c r="W783" s="22" t="s">
        <v>425</v>
      </c>
      <c r="X783" s="4" t="str">
        <f>IF(Tabela2[[#This Row],[sigla]]="","",VLOOKUP(Tabela2[[#This Row],[sigla]],créditos_base!B:C,2,0))</f>
        <v>BÁRBARA SARZI/ARQUIVO DA EDITORA</v>
      </c>
      <c r="Y783" s="23"/>
      <c r="Z783" s="23" t="str">
        <f>Tabela2[[#This Row],[ilustrador]]</f>
        <v>BÁRBARA SARZI/ARQUIVO DA EDITORA</v>
      </c>
      <c r="AA783" s="22">
        <v>13</v>
      </c>
      <c r="AB783" s="20" t="s">
        <v>2564</v>
      </c>
      <c r="AC783" s="20" t="s">
        <v>36</v>
      </c>
      <c r="AD783" s="4" t="str">
        <f>"Pitanguá"</f>
        <v>Pitanguá</v>
      </c>
      <c r="AE783" s="14" t="str">
        <f>"Matemática"</f>
        <v>Matemática</v>
      </c>
      <c r="AF783" s="14"/>
    </row>
    <row r="784" spans="1:32" ht="43.2" x14ac:dyDescent="0.3">
      <c r="A784" s="23" t="s">
        <v>399</v>
      </c>
      <c r="B784" s="20" t="s">
        <v>6</v>
      </c>
      <c r="C784" s="20" t="s">
        <v>89</v>
      </c>
      <c r="D784" s="20" t="s">
        <v>8</v>
      </c>
      <c r="E784" s="22">
        <v>136</v>
      </c>
      <c r="F784" s="22">
        <v>1</v>
      </c>
      <c r="G784" s="22">
        <v>3</v>
      </c>
      <c r="H784" s="22"/>
      <c r="I784" s="23" t="s">
        <v>9</v>
      </c>
      <c r="J784" s="23"/>
      <c r="K784" s="22"/>
      <c r="L784" s="22"/>
      <c r="M784" s="23"/>
      <c r="N784" s="23"/>
      <c r="O784" s="26" t="s">
        <v>400</v>
      </c>
      <c r="P784" s="26" t="s">
        <v>11</v>
      </c>
      <c r="Q784" s="22"/>
      <c r="R784" s="24"/>
      <c r="S784" s="24"/>
      <c r="T784" s="24"/>
      <c r="U784" s="24"/>
      <c r="V784" s="24"/>
      <c r="W784" s="22" t="s">
        <v>72</v>
      </c>
      <c r="X784" s="4" t="str">
        <f>IF(Tabela2[[#This Row],[sigla]]="","",VLOOKUP(Tabela2[[#This Row],[sigla]],créditos_base!B:C,2,0))</f>
        <v>HELOÍSA PINTARELLI/ARQUIVO DA EDITORA</v>
      </c>
      <c r="Y784" s="23"/>
      <c r="Z784" s="23" t="str">
        <f>Tabela2[[#This Row],[ilustrador]]</f>
        <v>HELOÍSA PINTARELLI/ARQUIVO DA EDITORA</v>
      </c>
      <c r="AA784" s="22"/>
      <c r="AB784" s="20"/>
      <c r="AD784" s="4" t="str">
        <f>"Pitanguá"</f>
        <v>Pitanguá</v>
      </c>
      <c r="AE784" s="14" t="str">
        <f>"Matemática"</f>
        <v>Matemática</v>
      </c>
      <c r="AF784" s="14"/>
    </row>
    <row r="785" spans="1:32" ht="43.2" x14ac:dyDescent="0.3">
      <c r="A785" s="23" t="s">
        <v>5157</v>
      </c>
      <c r="B785" s="20" t="s">
        <v>16</v>
      </c>
      <c r="C785" s="20" t="s">
        <v>89</v>
      </c>
      <c r="D785" s="20" t="s">
        <v>8</v>
      </c>
      <c r="E785" s="22">
        <v>79</v>
      </c>
      <c r="F785" s="22">
        <v>2</v>
      </c>
      <c r="G785" s="22">
        <v>3</v>
      </c>
      <c r="H785" s="22"/>
      <c r="I785" s="23" t="s">
        <v>90</v>
      </c>
      <c r="J785" s="23"/>
      <c r="K785" s="22"/>
      <c r="L785" s="22"/>
      <c r="M785" s="23"/>
      <c r="N785" s="23"/>
      <c r="O785" s="26" t="s">
        <v>5158</v>
      </c>
      <c r="P785" s="26"/>
      <c r="Q785" s="22">
        <v>106</v>
      </c>
      <c r="R785" s="24">
        <v>45848</v>
      </c>
      <c r="S785" s="24">
        <v>45848</v>
      </c>
      <c r="T785" s="24"/>
      <c r="U785" s="24"/>
      <c r="V785" s="24">
        <v>45848</v>
      </c>
      <c r="W785" s="22" t="s">
        <v>468</v>
      </c>
      <c r="X785" s="4" t="str">
        <f>IF(Tabela2[[#This Row],[sigla]]="","",VLOOKUP(Tabela2[[#This Row],[sigla]],créditos_base!B:C,2,0))</f>
        <v>VER DOCUMENTO DE ILS. TÉCNICAS</v>
      </c>
      <c r="Y785" s="23" t="s">
        <v>152</v>
      </c>
      <c r="Z785" s="23" t="s">
        <v>5062</v>
      </c>
      <c r="AA785" s="22">
        <v>13</v>
      </c>
      <c r="AB785" s="20" t="s">
        <v>747</v>
      </c>
      <c r="AC785" s="20" t="s">
        <v>36</v>
      </c>
      <c r="AD785" s="4" t="str">
        <f>"Pitanguá"</f>
        <v>Pitanguá</v>
      </c>
      <c r="AE785" s="14" t="str">
        <f>"Matemática"</f>
        <v>Matemática</v>
      </c>
      <c r="AF785" s="14"/>
    </row>
    <row r="786" spans="1:32" x14ac:dyDescent="0.3">
      <c r="A786" s="23" t="s">
        <v>5159</v>
      </c>
      <c r="B786" s="20" t="s">
        <v>16</v>
      </c>
      <c r="C786" s="20" t="s">
        <v>89</v>
      </c>
      <c r="D786" s="20" t="s">
        <v>8</v>
      </c>
      <c r="E786" s="22">
        <v>79</v>
      </c>
      <c r="F786" s="22">
        <v>2</v>
      </c>
      <c r="G786" s="22">
        <v>3</v>
      </c>
      <c r="H786" s="22"/>
      <c r="I786" s="23" t="s">
        <v>90</v>
      </c>
      <c r="J786" s="23"/>
      <c r="K786" s="22"/>
      <c r="L786" s="22"/>
      <c r="M786" s="23"/>
      <c r="N786" s="23"/>
      <c r="O786" s="26" t="s">
        <v>5160</v>
      </c>
      <c r="P786" s="26"/>
      <c r="Q786" s="22">
        <v>106</v>
      </c>
      <c r="R786" s="24">
        <v>45848</v>
      </c>
      <c r="S786" s="24">
        <v>45848</v>
      </c>
      <c r="T786" s="24"/>
      <c r="U786" s="24"/>
      <c r="V786" s="24">
        <v>45848</v>
      </c>
      <c r="W786" s="22" t="s">
        <v>468</v>
      </c>
      <c r="X786" s="4" t="str">
        <f>IF(Tabela2[[#This Row],[sigla]]="","",VLOOKUP(Tabela2[[#This Row],[sigla]],créditos_base!B:C,2,0))</f>
        <v>VER DOCUMENTO DE ILS. TÉCNICAS</v>
      </c>
      <c r="Y786" s="23" t="s">
        <v>152</v>
      </c>
      <c r="Z786" s="23" t="s">
        <v>5062</v>
      </c>
      <c r="AA786" s="22">
        <v>13</v>
      </c>
      <c r="AB786" s="20" t="s">
        <v>747</v>
      </c>
      <c r="AC786" s="20" t="s">
        <v>36</v>
      </c>
      <c r="AD786" s="4" t="str">
        <f>"Pitanguá"</f>
        <v>Pitanguá</v>
      </c>
      <c r="AE786" s="14" t="str">
        <f>"Matemática"</f>
        <v>Matemática</v>
      </c>
      <c r="AF786" s="14"/>
    </row>
    <row r="787" spans="1:32" x14ac:dyDescent="0.3">
      <c r="A787" s="23" t="s">
        <v>5161</v>
      </c>
      <c r="B787" s="20" t="s">
        <v>16</v>
      </c>
      <c r="C787" s="20" t="s">
        <v>89</v>
      </c>
      <c r="D787" s="20" t="s">
        <v>8</v>
      </c>
      <c r="E787" s="22">
        <v>85</v>
      </c>
      <c r="F787" s="22">
        <v>2</v>
      </c>
      <c r="G787" s="22">
        <v>3</v>
      </c>
      <c r="H787" s="22"/>
      <c r="I787" s="23" t="s">
        <v>90</v>
      </c>
      <c r="J787" s="23"/>
      <c r="K787" s="22"/>
      <c r="L787" s="22"/>
      <c r="M787" s="23"/>
      <c r="N787" s="23"/>
      <c r="O787" s="26" t="s">
        <v>5162</v>
      </c>
      <c r="P787" s="26"/>
      <c r="Q787" s="22">
        <v>106</v>
      </c>
      <c r="R787" s="24">
        <v>45848</v>
      </c>
      <c r="S787" s="24">
        <v>45848</v>
      </c>
      <c r="T787" s="24"/>
      <c r="U787" s="24"/>
      <c r="V787" s="24">
        <v>45848</v>
      </c>
      <c r="W787" s="22" t="s">
        <v>468</v>
      </c>
      <c r="X787" s="4" t="str">
        <f>IF(Tabela2[[#This Row],[sigla]]="","",VLOOKUP(Tabela2[[#This Row],[sigla]],créditos_base!B:C,2,0))</f>
        <v>VER DOCUMENTO DE ILS. TÉCNICAS</v>
      </c>
      <c r="Y787" s="23" t="s">
        <v>152</v>
      </c>
      <c r="Z787" s="23" t="s">
        <v>5062</v>
      </c>
      <c r="AA787" s="22">
        <v>13</v>
      </c>
      <c r="AB787" s="20" t="s">
        <v>747</v>
      </c>
      <c r="AC787" s="20" t="s">
        <v>36</v>
      </c>
      <c r="AD787" s="4" t="str">
        <f>"Pitanguá"</f>
        <v>Pitanguá</v>
      </c>
      <c r="AE787" s="14" t="str">
        <f>"Matemática"</f>
        <v>Matemática</v>
      </c>
      <c r="AF787" s="14"/>
    </row>
    <row r="788" spans="1:32" x14ac:dyDescent="0.3">
      <c r="A788" s="23" t="s">
        <v>2045</v>
      </c>
      <c r="B788" s="20" t="s">
        <v>16</v>
      </c>
      <c r="C788" s="20" t="s">
        <v>89</v>
      </c>
      <c r="D788" s="20" t="s">
        <v>8</v>
      </c>
      <c r="E788" s="22">
        <v>102</v>
      </c>
      <c r="F788" s="22">
        <v>1</v>
      </c>
      <c r="G788" s="22">
        <v>3</v>
      </c>
      <c r="H788" s="22"/>
      <c r="I788" s="23" t="s">
        <v>90</v>
      </c>
      <c r="J788" s="23"/>
      <c r="K788" s="22"/>
      <c r="L788" s="22"/>
      <c r="M788" s="23"/>
      <c r="N788" s="23"/>
      <c r="O788" s="26" t="s">
        <v>2046</v>
      </c>
      <c r="P788" s="26"/>
      <c r="Q788" s="22">
        <v>27</v>
      </c>
      <c r="R788" s="24">
        <v>45754</v>
      </c>
      <c r="S788" s="24">
        <v>45754</v>
      </c>
      <c r="T788" s="24">
        <v>45758</v>
      </c>
      <c r="U788" s="24">
        <v>45758</v>
      </c>
      <c r="V788" s="24">
        <v>45762</v>
      </c>
      <c r="W788" s="22" t="s">
        <v>31</v>
      </c>
      <c r="X788" s="4" t="str">
        <f>IF(Tabela2[[#This Row],[sigla]]="","",VLOOKUP(Tabela2[[#This Row],[sigla]],créditos_base!B:C,2,0))</f>
        <v>SILVIA OTOFUJI/ARQUIVO DA EDITORA</v>
      </c>
      <c r="Y788" s="23"/>
      <c r="Z788" s="23" t="str">
        <f>Tabela2[[#This Row],[ilustrador]]</f>
        <v>SILVIA OTOFUJI/ARQUIVO DA EDITORA</v>
      </c>
      <c r="AA788" s="22">
        <v>7</v>
      </c>
      <c r="AB788" s="20" t="s">
        <v>2047</v>
      </c>
      <c r="AC788" s="20" t="s">
        <v>310</v>
      </c>
      <c r="AD788" s="4" t="str">
        <f>"Pitanguá"</f>
        <v>Pitanguá</v>
      </c>
      <c r="AE788" s="14" t="str">
        <f>"Matemática"</f>
        <v>Matemática</v>
      </c>
      <c r="AF788" s="14"/>
    </row>
    <row r="789" spans="1:32" ht="43.2" x14ac:dyDescent="0.3">
      <c r="A789" s="23" t="s">
        <v>5163</v>
      </c>
      <c r="B789" s="20" t="s">
        <v>16</v>
      </c>
      <c r="C789" s="20" t="s">
        <v>89</v>
      </c>
      <c r="D789" s="20" t="s">
        <v>8</v>
      </c>
      <c r="E789" s="22">
        <v>85</v>
      </c>
      <c r="F789" s="22">
        <v>2</v>
      </c>
      <c r="G789" s="22">
        <v>3</v>
      </c>
      <c r="H789" s="22"/>
      <c r="I789" s="23" t="s">
        <v>90</v>
      </c>
      <c r="J789" s="23"/>
      <c r="K789" s="22"/>
      <c r="L789" s="22"/>
      <c r="M789" s="23"/>
      <c r="N789" s="23"/>
      <c r="O789" s="26" t="s">
        <v>5164</v>
      </c>
      <c r="P789" s="26"/>
      <c r="Q789" s="22">
        <v>106</v>
      </c>
      <c r="R789" s="24">
        <v>45848</v>
      </c>
      <c r="S789" s="24">
        <v>45848</v>
      </c>
      <c r="T789" s="24"/>
      <c r="U789" s="24"/>
      <c r="V789" s="24">
        <v>45848</v>
      </c>
      <c r="W789" s="22" t="s">
        <v>468</v>
      </c>
      <c r="X789" s="4" t="str">
        <f>IF(Tabela2[[#This Row],[sigla]]="","",VLOOKUP(Tabela2[[#This Row],[sigla]],créditos_base!B:C,2,0))</f>
        <v>VER DOCUMENTO DE ILS. TÉCNICAS</v>
      </c>
      <c r="Y789" s="23" t="s">
        <v>152</v>
      </c>
      <c r="Z789" s="23" t="s">
        <v>5062</v>
      </c>
      <c r="AA789" s="22">
        <v>13</v>
      </c>
      <c r="AB789" s="20" t="s">
        <v>747</v>
      </c>
      <c r="AC789" s="20" t="s">
        <v>36</v>
      </c>
      <c r="AD789" s="4" t="str">
        <f>"Pitanguá"</f>
        <v>Pitanguá</v>
      </c>
      <c r="AE789" s="14" t="str">
        <f>"Matemática"</f>
        <v>Matemática</v>
      </c>
      <c r="AF789" s="14"/>
    </row>
    <row r="790" spans="1:32" ht="28.8" x14ac:dyDescent="0.3">
      <c r="A790" s="23" t="s">
        <v>2048</v>
      </c>
      <c r="B790" s="20" t="s">
        <v>16</v>
      </c>
      <c r="C790" s="20" t="s">
        <v>89</v>
      </c>
      <c r="D790" s="20" t="s">
        <v>8</v>
      </c>
      <c r="E790" s="22">
        <v>102</v>
      </c>
      <c r="F790" s="22">
        <v>1</v>
      </c>
      <c r="G790" s="22">
        <v>3</v>
      </c>
      <c r="H790" s="22"/>
      <c r="I790" s="23" t="s">
        <v>90</v>
      </c>
      <c r="J790" s="23"/>
      <c r="K790" s="22"/>
      <c r="L790" s="22"/>
      <c r="M790" s="23"/>
      <c r="N790" s="23"/>
      <c r="O790" s="26" t="s">
        <v>2049</v>
      </c>
      <c r="P790" s="26"/>
      <c r="Q790" s="22">
        <v>27</v>
      </c>
      <c r="R790" s="24">
        <v>45754</v>
      </c>
      <c r="S790" s="24">
        <v>45754</v>
      </c>
      <c r="T790" s="24">
        <v>45758</v>
      </c>
      <c r="U790" s="24">
        <v>45758</v>
      </c>
      <c r="V790" s="24">
        <v>45762</v>
      </c>
      <c r="W790" s="22" t="s">
        <v>31</v>
      </c>
      <c r="X790" s="4" t="str">
        <f>IF(Tabela2[[#This Row],[sigla]]="","",VLOOKUP(Tabela2[[#This Row],[sigla]],créditos_base!B:C,2,0))</f>
        <v>SILVIA OTOFUJI/ARQUIVO DA EDITORA</v>
      </c>
      <c r="Y790" s="23"/>
      <c r="Z790" s="23" t="str">
        <f>Tabela2[[#This Row],[ilustrador]]</f>
        <v>SILVIA OTOFUJI/ARQUIVO DA EDITORA</v>
      </c>
      <c r="AA790" s="22">
        <v>13</v>
      </c>
      <c r="AB790" s="20" t="s">
        <v>2047</v>
      </c>
      <c r="AC790" s="20" t="s">
        <v>310</v>
      </c>
      <c r="AD790" s="4" t="str">
        <f>"Pitanguá"</f>
        <v>Pitanguá</v>
      </c>
      <c r="AE790" s="14" t="str">
        <f>"Matemática"</f>
        <v>Matemática</v>
      </c>
      <c r="AF790" s="14"/>
    </row>
    <row r="791" spans="1:32" ht="57.6" x14ac:dyDescent="0.3">
      <c r="A791" s="23" t="s">
        <v>5165</v>
      </c>
      <c r="B791" s="20" t="s">
        <v>16</v>
      </c>
      <c r="C791" s="20" t="s">
        <v>89</v>
      </c>
      <c r="D791" s="20" t="s">
        <v>8</v>
      </c>
      <c r="E791" s="22">
        <v>85</v>
      </c>
      <c r="F791" s="22">
        <v>2</v>
      </c>
      <c r="G791" s="22">
        <v>3</v>
      </c>
      <c r="H791" s="22"/>
      <c r="I791" s="23" t="s">
        <v>90</v>
      </c>
      <c r="J791" s="23"/>
      <c r="K791" s="22"/>
      <c r="L791" s="22"/>
      <c r="M791" s="23"/>
      <c r="N791" s="23"/>
      <c r="O791" s="26" t="s">
        <v>5166</v>
      </c>
      <c r="P791" s="26"/>
      <c r="Q791" s="22">
        <v>106</v>
      </c>
      <c r="R791" s="24">
        <v>45848</v>
      </c>
      <c r="S791" s="24">
        <v>45848</v>
      </c>
      <c r="T791" s="24"/>
      <c r="U791" s="24"/>
      <c r="V791" s="24">
        <v>45848</v>
      </c>
      <c r="W791" s="22" t="s">
        <v>468</v>
      </c>
      <c r="X791" s="4" t="str">
        <f>IF(Tabela2[[#This Row],[sigla]]="","",VLOOKUP(Tabela2[[#This Row],[sigla]],créditos_base!B:C,2,0))</f>
        <v>VER DOCUMENTO DE ILS. TÉCNICAS</v>
      </c>
      <c r="Y791" s="23" t="s">
        <v>152</v>
      </c>
      <c r="Z791" s="23" t="s">
        <v>5062</v>
      </c>
      <c r="AA791" s="22">
        <v>13</v>
      </c>
      <c r="AB791" s="20" t="s">
        <v>747</v>
      </c>
      <c r="AC791" s="20" t="s">
        <v>36</v>
      </c>
      <c r="AD791" s="4" t="str">
        <f>"Pitanguá"</f>
        <v>Pitanguá</v>
      </c>
      <c r="AE791" s="14" t="str">
        <f>"Matemática"</f>
        <v>Matemática</v>
      </c>
      <c r="AF791" s="14"/>
    </row>
    <row r="792" spans="1:32" ht="28.8" x14ac:dyDescent="0.3">
      <c r="A792" s="23" t="s">
        <v>5167</v>
      </c>
      <c r="B792" s="20" t="s">
        <v>16</v>
      </c>
      <c r="C792" s="20" t="s">
        <v>89</v>
      </c>
      <c r="D792" s="20" t="s">
        <v>8</v>
      </c>
      <c r="E792" s="22">
        <v>85</v>
      </c>
      <c r="F792" s="22">
        <v>2</v>
      </c>
      <c r="G792" s="22">
        <v>3</v>
      </c>
      <c r="H792" s="22"/>
      <c r="I792" s="23" t="s">
        <v>90</v>
      </c>
      <c r="J792" s="23"/>
      <c r="K792" s="22"/>
      <c r="L792" s="22"/>
      <c r="M792" s="23"/>
      <c r="N792" s="23"/>
      <c r="O792" s="26" t="s">
        <v>5168</v>
      </c>
      <c r="P792" s="26"/>
      <c r="Q792" s="22">
        <v>106</v>
      </c>
      <c r="R792" s="24">
        <v>45848</v>
      </c>
      <c r="S792" s="24">
        <v>45848</v>
      </c>
      <c r="T792" s="24"/>
      <c r="U792" s="24"/>
      <c r="V792" s="24">
        <v>45848</v>
      </c>
      <c r="W792" s="22" t="s">
        <v>468</v>
      </c>
      <c r="X792" s="4" t="str">
        <f>IF(Tabela2[[#This Row],[sigla]]="","",VLOOKUP(Tabela2[[#This Row],[sigla]],créditos_base!B:C,2,0))</f>
        <v>VER DOCUMENTO DE ILS. TÉCNICAS</v>
      </c>
      <c r="Y792" s="23" t="s">
        <v>152</v>
      </c>
      <c r="Z792" s="23" t="s">
        <v>5062</v>
      </c>
      <c r="AA792" s="22">
        <v>13</v>
      </c>
      <c r="AB792" s="20" t="s">
        <v>747</v>
      </c>
      <c r="AC792" s="20" t="s">
        <v>36</v>
      </c>
      <c r="AD792" s="4" t="str">
        <f>"Pitanguá"</f>
        <v>Pitanguá</v>
      </c>
      <c r="AE792" s="14" t="str">
        <f>"Matemática"</f>
        <v>Matemática</v>
      </c>
      <c r="AF792" s="14"/>
    </row>
    <row r="793" spans="1:32" ht="57.6" x14ac:dyDescent="0.3">
      <c r="A793" s="23" t="s">
        <v>2054</v>
      </c>
      <c r="B793" s="20" t="s">
        <v>16</v>
      </c>
      <c r="C793" s="20" t="s">
        <v>89</v>
      </c>
      <c r="D793" s="20" t="s">
        <v>8</v>
      </c>
      <c r="E793" s="22">
        <v>105</v>
      </c>
      <c r="F793" s="22">
        <v>1</v>
      </c>
      <c r="G793" s="22">
        <v>3</v>
      </c>
      <c r="H793" s="22"/>
      <c r="I793" s="23" t="s">
        <v>90</v>
      </c>
      <c r="J793" s="23"/>
      <c r="K793" s="22"/>
      <c r="L793" s="22"/>
      <c r="M793" s="23"/>
      <c r="N793" s="23"/>
      <c r="O793" s="26" t="s">
        <v>2055</v>
      </c>
      <c r="P793" s="26"/>
      <c r="Q793" s="22">
        <v>27</v>
      </c>
      <c r="R793" s="24">
        <v>45754</v>
      </c>
      <c r="S793" s="24">
        <v>45755</v>
      </c>
      <c r="T793" s="24"/>
      <c r="U793" s="24"/>
      <c r="V793" s="24">
        <v>45755</v>
      </c>
      <c r="W793" s="22" t="s">
        <v>468</v>
      </c>
      <c r="X793" s="4" t="str">
        <f>IF(Tabela2[[#This Row],[sigla]]="","",VLOOKUP(Tabela2[[#This Row],[sigla]],créditos_base!B:C,2,0))</f>
        <v>VER DOCUMENTO DE ILS. TÉCNICAS</v>
      </c>
      <c r="Y793" s="23" t="s">
        <v>152</v>
      </c>
      <c r="Z793" s="23" t="s">
        <v>1327</v>
      </c>
      <c r="AA793" s="22">
        <v>13</v>
      </c>
      <c r="AB793" s="20" t="s">
        <v>747</v>
      </c>
      <c r="AC793" s="20" t="s">
        <v>36</v>
      </c>
      <c r="AD793" s="4" t="str">
        <f>"Pitanguá"</f>
        <v>Pitanguá</v>
      </c>
      <c r="AE793" s="14" t="str">
        <f>"Matemática"</f>
        <v>Matemática</v>
      </c>
      <c r="AF793" s="14"/>
    </row>
    <row r="794" spans="1:32" ht="28.8" x14ac:dyDescent="0.3">
      <c r="A794" s="23" t="s">
        <v>5169</v>
      </c>
      <c r="B794" s="20" t="s">
        <v>16</v>
      </c>
      <c r="C794" s="20" t="s">
        <v>89</v>
      </c>
      <c r="D794" s="20" t="s">
        <v>8</v>
      </c>
      <c r="E794" s="22">
        <v>98</v>
      </c>
      <c r="F794" s="22">
        <v>2</v>
      </c>
      <c r="G794" s="22">
        <v>3</v>
      </c>
      <c r="H794" s="22"/>
      <c r="I794" s="23" t="s">
        <v>90</v>
      </c>
      <c r="J794" s="23"/>
      <c r="K794" s="22"/>
      <c r="L794" s="22"/>
      <c r="M794" s="23"/>
      <c r="N794" s="23"/>
      <c r="O794" s="26" t="s">
        <v>5170</v>
      </c>
      <c r="P794" s="26"/>
      <c r="Q794" s="22">
        <v>106</v>
      </c>
      <c r="R794" s="24">
        <v>45848</v>
      </c>
      <c r="S794" s="24">
        <v>45848</v>
      </c>
      <c r="T794" s="24"/>
      <c r="U794" s="24"/>
      <c r="V794" s="24">
        <v>45848</v>
      </c>
      <c r="W794" s="22" t="s">
        <v>468</v>
      </c>
      <c r="X794" s="4" t="str">
        <f>IF(Tabela2[[#This Row],[sigla]]="","",VLOOKUP(Tabela2[[#This Row],[sigla]],créditos_base!B:C,2,0))</f>
        <v>VER DOCUMENTO DE ILS. TÉCNICAS</v>
      </c>
      <c r="Y794" s="23" t="s">
        <v>152</v>
      </c>
      <c r="Z794" s="23" t="s">
        <v>5062</v>
      </c>
      <c r="AA794" s="22">
        <v>13</v>
      </c>
      <c r="AB794" s="20" t="s">
        <v>747</v>
      </c>
      <c r="AC794" s="20" t="s">
        <v>36</v>
      </c>
      <c r="AD794" s="4" t="str">
        <f>"Pitanguá"</f>
        <v>Pitanguá</v>
      </c>
      <c r="AE794" s="14" t="str">
        <f>"Matemática"</f>
        <v>Matemática</v>
      </c>
      <c r="AF794" s="14"/>
    </row>
    <row r="795" spans="1:32" ht="28.8" x14ac:dyDescent="0.3">
      <c r="A795" s="23" t="s">
        <v>2059</v>
      </c>
      <c r="B795" s="20" t="s">
        <v>16</v>
      </c>
      <c r="C795" s="20" t="s">
        <v>7</v>
      </c>
      <c r="D795" s="20" t="s">
        <v>8</v>
      </c>
      <c r="E795" s="22">
        <v>107</v>
      </c>
      <c r="F795" s="22">
        <v>1</v>
      </c>
      <c r="G795" s="22">
        <v>3</v>
      </c>
      <c r="H795" s="22"/>
      <c r="I795" s="23" t="s">
        <v>33</v>
      </c>
      <c r="J795" s="23"/>
      <c r="K795" s="22"/>
      <c r="L795" s="22"/>
      <c r="M795" s="23"/>
      <c r="N795" s="23"/>
      <c r="O795" s="26" t="s">
        <v>2060</v>
      </c>
      <c r="P795" s="26"/>
      <c r="Q795" s="22">
        <v>27</v>
      </c>
      <c r="R795" s="24">
        <v>45754</v>
      </c>
      <c r="S795" s="24">
        <v>45755</v>
      </c>
      <c r="T795" s="24"/>
      <c r="U795" s="24"/>
      <c r="V795" s="24">
        <v>45755</v>
      </c>
      <c r="W795" s="22" t="s">
        <v>327</v>
      </c>
      <c r="X795" s="4" t="str">
        <f>IF(Tabela2[[#This Row],[sigla]]="","",VLOOKUP(Tabela2[[#This Row],[sigla]],créditos_base!B:C,2,0))</f>
        <v>RAFAEL LAM/ARQUIVO DA EDITORA</v>
      </c>
      <c r="Y795" s="23" t="s">
        <v>152</v>
      </c>
      <c r="Z795" s="23" t="str">
        <f>Tabela2[[#This Row],[ilustrador]]</f>
        <v>RAFAEL LAM/ARQUIVO DA EDITORA</v>
      </c>
      <c r="AA795" s="22">
        <v>13</v>
      </c>
      <c r="AB795" s="20" t="s">
        <v>244</v>
      </c>
      <c r="AC795" s="20" t="s">
        <v>36</v>
      </c>
      <c r="AD795" s="4" t="str">
        <f>"Pitanguá"</f>
        <v>Pitanguá</v>
      </c>
      <c r="AE795" s="14" t="str">
        <f>"Matemática"</f>
        <v>Matemática</v>
      </c>
      <c r="AF795" s="14"/>
    </row>
    <row r="796" spans="1:32" ht="43.2" x14ac:dyDescent="0.3">
      <c r="A796" s="23" t="s">
        <v>5171</v>
      </c>
      <c r="B796" s="20" t="s">
        <v>16</v>
      </c>
      <c r="C796" s="20" t="s">
        <v>89</v>
      </c>
      <c r="D796" s="20" t="s">
        <v>8</v>
      </c>
      <c r="E796" s="22">
        <v>99</v>
      </c>
      <c r="F796" s="22">
        <v>2</v>
      </c>
      <c r="G796" s="22">
        <v>3</v>
      </c>
      <c r="H796" s="22"/>
      <c r="I796" s="23" t="s">
        <v>90</v>
      </c>
      <c r="J796" s="23"/>
      <c r="K796" s="22"/>
      <c r="L796" s="22"/>
      <c r="M796" s="23"/>
      <c r="N796" s="23"/>
      <c r="O796" s="26" t="s">
        <v>5172</v>
      </c>
      <c r="P796" s="26"/>
      <c r="Q796" s="22">
        <v>106</v>
      </c>
      <c r="R796" s="24">
        <v>45848</v>
      </c>
      <c r="S796" s="24">
        <v>45848</v>
      </c>
      <c r="T796" s="24"/>
      <c r="U796" s="24"/>
      <c r="V796" s="24">
        <v>45848</v>
      </c>
      <c r="W796" s="22" t="s">
        <v>468</v>
      </c>
      <c r="X796" s="4" t="str">
        <f>IF(Tabela2[[#This Row],[sigla]]="","",VLOOKUP(Tabela2[[#This Row],[sigla]],créditos_base!B:C,2,0))</f>
        <v>VER DOCUMENTO DE ILS. TÉCNICAS</v>
      </c>
      <c r="Y796" s="23" t="s">
        <v>152</v>
      </c>
      <c r="Z796" s="23" t="s">
        <v>5062</v>
      </c>
      <c r="AA796" s="22">
        <v>13</v>
      </c>
      <c r="AB796" s="20" t="s">
        <v>747</v>
      </c>
      <c r="AC796" s="20" t="s">
        <v>36</v>
      </c>
      <c r="AD796" s="4" t="str">
        <f>"Pitanguá"</f>
        <v>Pitanguá</v>
      </c>
      <c r="AE796" s="14" t="str">
        <f>"Matemática"</f>
        <v>Matemática</v>
      </c>
      <c r="AF796" s="14"/>
    </row>
    <row r="797" spans="1:32" ht="28.8" x14ac:dyDescent="0.3">
      <c r="A797" s="23" t="s">
        <v>2061</v>
      </c>
      <c r="B797" s="20" t="s">
        <v>16</v>
      </c>
      <c r="C797" s="20" t="s">
        <v>89</v>
      </c>
      <c r="D797" s="20" t="s">
        <v>8</v>
      </c>
      <c r="E797" s="22">
        <v>107</v>
      </c>
      <c r="F797" s="22">
        <v>1</v>
      </c>
      <c r="G797" s="22">
        <v>3</v>
      </c>
      <c r="H797" s="22"/>
      <c r="I797" s="23" t="s">
        <v>33</v>
      </c>
      <c r="J797" s="23"/>
      <c r="K797" s="22"/>
      <c r="L797" s="22"/>
      <c r="M797" s="23"/>
      <c r="N797" s="23"/>
      <c r="O797" s="26" t="s">
        <v>2062</v>
      </c>
      <c r="P797" s="26"/>
      <c r="Q797" s="22">
        <v>27</v>
      </c>
      <c r="R797" s="24">
        <v>45754</v>
      </c>
      <c r="S797" s="24">
        <v>45755</v>
      </c>
      <c r="T797" s="24"/>
      <c r="U797" s="24"/>
      <c r="V797" s="24">
        <v>45755</v>
      </c>
      <c r="W797" s="22" t="s">
        <v>332</v>
      </c>
      <c r="X797" s="4" t="str">
        <f>IF(Tabela2[[#This Row],[sigla]]="","",VLOOKUP(Tabela2[[#This Row],[sigla]],créditos_base!B:C,2,0))</f>
        <v>CYNTHIA SEKIGUCHI/ARQUIVO DA EDITORA</v>
      </c>
      <c r="Y797" s="23" t="s">
        <v>152</v>
      </c>
      <c r="Z797" s="23" t="str">
        <f>Tabela2[[#This Row],[ilustrador]]</f>
        <v>CYNTHIA SEKIGUCHI/ARQUIVO DA EDITORA</v>
      </c>
      <c r="AA797" s="22">
        <v>13</v>
      </c>
      <c r="AB797" s="20" t="s">
        <v>747</v>
      </c>
      <c r="AC797" s="20" t="s">
        <v>36</v>
      </c>
      <c r="AD797" s="4" t="str">
        <f>"Pitanguá"</f>
        <v>Pitanguá</v>
      </c>
      <c r="AE797" s="14" t="str">
        <f>"Matemática"</f>
        <v>Matemática</v>
      </c>
      <c r="AF797" s="14"/>
    </row>
    <row r="798" spans="1:32" ht="28.8" x14ac:dyDescent="0.3">
      <c r="A798" s="23" t="s">
        <v>2065</v>
      </c>
      <c r="B798" s="20" t="s">
        <v>16</v>
      </c>
      <c r="C798" s="20" t="s">
        <v>7</v>
      </c>
      <c r="D798" s="20" t="s">
        <v>8</v>
      </c>
      <c r="E798" s="22">
        <v>107</v>
      </c>
      <c r="F798" s="22">
        <v>1</v>
      </c>
      <c r="G798" s="22">
        <v>3</v>
      </c>
      <c r="H798" s="22"/>
      <c r="I798" s="23" t="s">
        <v>9</v>
      </c>
      <c r="J798" s="23"/>
      <c r="K798" s="22"/>
      <c r="L798" s="22"/>
      <c r="M798" s="23"/>
      <c r="N798" s="23"/>
      <c r="O798" s="26" t="s">
        <v>2066</v>
      </c>
      <c r="P798" s="26"/>
      <c r="Q798" s="22"/>
      <c r="R798" s="24"/>
      <c r="S798" s="24"/>
      <c r="T798" s="24"/>
      <c r="U798" s="24"/>
      <c r="V798" s="24"/>
      <c r="W798" s="22" t="s">
        <v>327</v>
      </c>
      <c r="X798" s="4" t="str">
        <f>IF(Tabela2[[#This Row],[sigla]]="","",VLOOKUP(Tabela2[[#This Row],[sigla]],créditos_base!B:C,2,0))</f>
        <v>RAFAEL LAM/ARQUIVO DA EDITORA</v>
      </c>
      <c r="Y798" s="23"/>
      <c r="Z798" s="23" t="str">
        <f>Tabela2[[#This Row],[ilustrador]]</f>
        <v>RAFAEL LAM/ARQUIVO DA EDITORA</v>
      </c>
      <c r="AA798" s="22"/>
      <c r="AB798" s="20"/>
      <c r="AD798" s="4" t="str">
        <f>"Pitanguá"</f>
        <v>Pitanguá</v>
      </c>
      <c r="AE798" s="14" t="str">
        <f>"Matemática"</f>
        <v>Matemática</v>
      </c>
      <c r="AF798" s="14"/>
    </row>
    <row r="799" spans="1:32" x14ac:dyDescent="0.3">
      <c r="A799" s="23" t="s">
        <v>2067</v>
      </c>
      <c r="B799" s="20" t="s">
        <v>16</v>
      </c>
      <c r="C799" s="20" t="s">
        <v>89</v>
      </c>
      <c r="D799" s="20" t="s">
        <v>8</v>
      </c>
      <c r="E799" s="22">
        <v>107</v>
      </c>
      <c r="F799" s="22">
        <v>1</v>
      </c>
      <c r="G799" s="22">
        <v>3</v>
      </c>
      <c r="H799" s="22"/>
      <c r="I799" s="23" t="s">
        <v>33</v>
      </c>
      <c r="J799" s="23"/>
      <c r="K799" s="22"/>
      <c r="L799" s="22"/>
      <c r="M799" s="23"/>
      <c r="N799" s="23"/>
      <c r="O799" s="26" t="s">
        <v>2068</v>
      </c>
      <c r="P799" s="26"/>
      <c r="Q799" s="22">
        <v>27</v>
      </c>
      <c r="R799" s="24">
        <v>45754</v>
      </c>
      <c r="S799" s="24">
        <v>45755</v>
      </c>
      <c r="T799" s="24"/>
      <c r="U799" s="24"/>
      <c r="V799" s="24">
        <v>45755</v>
      </c>
      <c r="W799" s="22" t="s">
        <v>332</v>
      </c>
      <c r="X799" s="4" t="str">
        <f>IF(Tabela2[[#This Row],[sigla]]="","",VLOOKUP(Tabela2[[#This Row],[sigla]],créditos_base!B:C,2,0))</f>
        <v>CYNTHIA SEKIGUCHI/ARQUIVO DA EDITORA</v>
      </c>
      <c r="Y799" s="23" t="s">
        <v>152</v>
      </c>
      <c r="Z799" s="23" t="str">
        <f>Tabela2[[#This Row],[ilustrador]]</f>
        <v>CYNTHIA SEKIGUCHI/ARQUIVO DA EDITORA</v>
      </c>
      <c r="AA799" s="22">
        <v>13</v>
      </c>
      <c r="AB799" s="20" t="s">
        <v>747</v>
      </c>
      <c r="AC799" s="20" t="s">
        <v>36</v>
      </c>
      <c r="AD799" s="4" t="str">
        <f>"Pitanguá"</f>
        <v>Pitanguá</v>
      </c>
      <c r="AE799" s="14" t="str">
        <f>"Matemática"</f>
        <v>Matemática</v>
      </c>
      <c r="AF799" s="14"/>
    </row>
    <row r="800" spans="1:32" x14ac:dyDescent="0.3">
      <c r="A800" s="23" t="s">
        <v>2056</v>
      </c>
      <c r="B800" s="20" t="s">
        <v>16</v>
      </c>
      <c r="C800" s="20" t="s">
        <v>89</v>
      </c>
      <c r="D800" s="20" t="s">
        <v>8</v>
      </c>
      <c r="E800" s="22">
        <v>107</v>
      </c>
      <c r="F800" s="22">
        <v>1</v>
      </c>
      <c r="G800" s="22">
        <v>3</v>
      </c>
      <c r="H800" s="22"/>
      <c r="I800" s="23" t="s">
        <v>90</v>
      </c>
      <c r="J800" s="23"/>
      <c r="K800" s="22"/>
      <c r="L800" s="22"/>
      <c r="M800" s="23"/>
      <c r="N800" s="23"/>
      <c r="O800" s="26" t="s">
        <v>2057</v>
      </c>
      <c r="P800" s="26"/>
      <c r="Q800" s="22">
        <v>27</v>
      </c>
      <c r="R800" s="24">
        <v>45754</v>
      </c>
      <c r="S800" s="24">
        <v>45755</v>
      </c>
      <c r="T800" s="24"/>
      <c r="U800" s="24"/>
      <c r="V800" s="24">
        <v>45755</v>
      </c>
      <c r="W800" s="22" t="s">
        <v>1217</v>
      </c>
      <c r="X800" s="4" t="str">
        <f>IF(Tabela2[[#This Row],[sigla]]="","",VLOOKUP(Tabela2[[#This Row],[sigla]],créditos_base!B:C,2,0))</f>
        <v>KEITHY MOSTACHI/ARQUIVO DA EDITORA</v>
      </c>
      <c r="Y800" s="23" t="s">
        <v>243</v>
      </c>
      <c r="Z800" s="23" t="str">
        <f>Tabela2[[#This Row],[ilustrador]]</f>
        <v>KEITHY MOSTACHI/ARQUIVO DA EDITORA</v>
      </c>
      <c r="AA800" s="22">
        <v>8</v>
      </c>
      <c r="AB800" s="20" t="s">
        <v>2058</v>
      </c>
      <c r="AC800" s="20" t="s">
        <v>36</v>
      </c>
      <c r="AD800" s="4" t="str">
        <f>"Pitanguá"</f>
        <v>Pitanguá</v>
      </c>
      <c r="AE800" s="14" t="str">
        <f>"Matemática"</f>
        <v>Matemática</v>
      </c>
      <c r="AF800" s="14"/>
    </row>
    <row r="801" spans="1:32" x14ac:dyDescent="0.3">
      <c r="A801" s="23" t="s">
        <v>2063</v>
      </c>
      <c r="B801" s="20" t="s">
        <v>16</v>
      </c>
      <c r="C801" s="20" t="s">
        <v>89</v>
      </c>
      <c r="D801" s="20" t="s">
        <v>8</v>
      </c>
      <c r="E801" s="22">
        <v>107</v>
      </c>
      <c r="F801" s="22">
        <v>1</v>
      </c>
      <c r="G801" s="22">
        <v>3</v>
      </c>
      <c r="H801" s="22"/>
      <c r="I801" s="23" t="s">
        <v>90</v>
      </c>
      <c r="J801" s="23"/>
      <c r="K801" s="22"/>
      <c r="L801" s="22"/>
      <c r="M801" s="23"/>
      <c r="N801" s="23"/>
      <c r="O801" s="26" t="s">
        <v>2064</v>
      </c>
      <c r="P801" s="26"/>
      <c r="Q801" s="22">
        <v>27</v>
      </c>
      <c r="R801" s="24">
        <v>45754</v>
      </c>
      <c r="S801" s="24">
        <v>45755</v>
      </c>
      <c r="T801" s="24"/>
      <c r="U801" s="24"/>
      <c r="V801" s="24">
        <v>45755</v>
      </c>
      <c r="W801" s="22" t="s">
        <v>1217</v>
      </c>
      <c r="X801" s="4" t="str">
        <f>IF(Tabela2[[#This Row],[sigla]]="","",VLOOKUP(Tabela2[[#This Row],[sigla]],créditos_base!B:C,2,0))</f>
        <v>KEITHY MOSTACHI/ARQUIVO DA EDITORA</v>
      </c>
      <c r="Y801" s="23" t="s">
        <v>243</v>
      </c>
      <c r="Z801" s="23" t="str">
        <f>Tabela2[[#This Row],[ilustrador]]</f>
        <v>KEITHY MOSTACHI/ARQUIVO DA EDITORA</v>
      </c>
      <c r="AA801" s="22">
        <v>8</v>
      </c>
      <c r="AB801" s="20" t="s">
        <v>2058</v>
      </c>
      <c r="AC801" s="20" t="s">
        <v>36</v>
      </c>
      <c r="AD801" s="4" t="str">
        <f>"Pitanguá"</f>
        <v>Pitanguá</v>
      </c>
      <c r="AE801" s="14" t="str">
        <f>"Matemática"</f>
        <v>Matemática</v>
      </c>
      <c r="AF801" s="14"/>
    </row>
    <row r="802" spans="1:32" x14ac:dyDescent="0.3">
      <c r="A802" s="23" t="s">
        <v>134</v>
      </c>
      <c r="B802" s="20" t="s">
        <v>135</v>
      </c>
      <c r="C802" s="20" t="s">
        <v>89</v>
      </c>
      <c r="D802" s="20" t="s">
        <v>8</v>
      </c>
      <c r="E802" s="22">
        <v>185</v>
      </c>
      <c r="F802" s="22">
        <v>1</v>
      </c>
      <c r="G802" s="22">
        <v>4</v>
      </c>
      <c r="H802" s="22"/>
      <c r="I802" s="23" t="s">
        <v>9</v>
      </c>
      <c r="J802" s="23"/>
      <c r="K802" s="22"/>
      <c r="L802" s="22"/>
      <c r="M802" s="23"/>
      <c r="N802" s="23"/>
      <c r="O802" s="26" t="s">
        <v>136</v>
      </c>
      <c r="P802" s="26"/>
      <c r="Q802" s="22"/>
      <c r="R802" s="24"/>
      <c r="S802" s="24"/>
      <c r="T802" s="24"/>
      <c r="U802" s="24"/>
      <c r="V802" s="24"/>
      <c r="W802" s="22"/>
      <c r="X802" s="4" t="str">
        <f>IF(Tabela2[[#This Row],[sigla]]="","",VLOOKUP(Tabela2[[#This Row],[sigla]],créditos_base!B:C,2,0))</f>
        <v/>
      </c>
      <c r="Y802" s="23"/>
      <c r="Z802" s="23" t="s">
        <v>137</v>
      </c>
      <c r="AA802" s="22"/>
      <c r="AB802" s="20"/>
      <c r="AD802" s="4" t="str">
        <f>"Pitanguá"</f>
        <v>Pitanguá</v>
      </c>
      <c r="AE802" s="14" t="str">
        <f>"Matemática"</f>
        <v>Matemática</v>
      </c>
      <c r="AF802" s="14"/>
    </row>
    <row r="803" spans="1:32" x14ac:dyDescent="0.3">
      <c r="A803" s="23" t="s">
        <v>1986</v>
      </c>
      <c r="B803" s="20" t="s">
        <v>16</v>
      </c>
      <c r="C803" s="20" t="s">
        <v>7</v>
      </c>
      <c r="D803" s="20" t="s">
        <v>8</v>
      </c>
      <c r="E803" s="22">
        <v>64</v>
      </c>
      <c r="F803" s="22">
        <v>3</v>
      </c>
      <c r="G803" s="22">
        <v>4</v>
      </c>
      <c r="H803" s="22"/>
      <c r="I803" s="23" t="s">
        <v>9</v>
      </c>
      <c r="J803" s="23"/>
      <c r="K803" s="22"/>
      <c r="L803" s="22"/>
      <c r="M803" s="23"/>
      <c r="N803" s="23"/>
      <c r="O803" s="26" t="s">
        <v>1987</v>
      </c>
      <c r="P803" s="26"/>
      <c r="Q803" s="22"/>
      <c r="R803" s="24"/>
      <c r="S803" s="24"/>
      <c r="T803" s="24"/>
      <c r="U803" s="24"/>
      <c r="V803" s="24"/>
      <c r="W803" s="22" t="s">
        <v>151</v>
      </c>
      <c r="X803" s="4" t="str">
        <f>IF(Tabela2[[#This Row],[sigla]]="","",VLOOKUP(Tabela2[[#This Row],[sigla]],créditos_base!B:C,2,0))</f>
        <v>ROGÉRIO CASAGRANDE/ARQUIVO DA EDITORA</v>
      </c>
      <c r="Y803" s="23"/>
      <c r="Z803" s="23" t="str">
        <f>Tabela2[[#This Row],[ilustrador]]</f>
        <v>ROGÉRIO CASAGRANDE/ARQUIVO DA EDITORA</v>
      </c>
      <c r="AA803" s="22"/>
      <c r="AB803" s="20"/>
      <c r="AD803" s="4" t="str">
        <f>"Pitanguá"</f>
        <v>Pitanguá</v>
      </c>
      <c r="AE803" s="14" t="str">
        <f>"Matemática"</f>
        <v>Matemática</v>
      </c>
      <c r="AF803" s="14"/>
    </row>
    <row r="804" spans="1:32" x14ac:dyDescent="0.3">
      <c r="A804" s="23" t="s">
        <v>2993</v>
      </c>
      <c r="B804" s="20" t="s">
        <v>6</v>
      </c>
      <c r="C804" s="20" t="s">
        <v>7</v>
      </c>
      <c r="D804" s="20" t="s">
        <v>8</v>
      </c>
      <c r="E804" s="22">
        <v>78</v>
      </c>
      <c r="F804" s="22">
        <v>4</v>
      </c>
      <c r="G804" s="22">
        <v>4</v>
      </c>
      <c r="H804" s="22"/>
      <c r="I804" s="23" t="s">
        <v>9</v>
      </c>
      <c r="J804" s="23"/>
      <c r="K804" s="22"/>
      <c r="L804" s="22"/>
      <c r="M804" s="23"/>
      <c r="N804" s="23"/>
      <c r="O804" s="26" t="s">
        <v>2994</v>
      </c>
      <c r="P804" s="26"/>
      <c r="Q804" s="22"/>
      <c r="R804" s="24"/>
      <c r="S804" s="24"/>
      <c r="T804" s="24"/>
      <c r="U804" s="24"/>
      <c r="V804" s="24"/>
      <c r="W804" s="22" t="s">
        <v>327</v>
      </c>
      <c r="X804" s="4" t="str">
        <f>IF(Tabela2[[#This Row],[sigla]]="","",VLOOKUP(Tabela2[[#This Row],[sigla]],créditos_base!B:C,2,0))</f>
        <v>RAFAEL LAM/ARQUIVO DA EDITORA</v>
      </c>
      <c r="Y804" s="23"/>
      <c r="Z804" s="23" t="str">
        <f>Tabela2[[#This Row],[ilustrador]]</f>
        <v>RAFAEL LAM/ARQUIVO DA EDITORA</v>
      </c>
      <c r="AA804" s="22"/>
      <c r="AB804" s="20"/>
      <c r="AD804" s="4" t="str">
        <f>"Pitanguá"</f>
        <v>Pitanguá</v>
      </c>
      <c r="AE804" s="14" t="str">
        <f>"Matemática"</f>
        <v>Matemática</v>
      </c>
      <c r="AF804" s="14"/>
    </row>
    <row r="805" spans="1:32" x14ac:dyDescent="0.3">
      <c r="A805" s="23" t="s">
        <v>4483</v>
      </c>
      <c r="B805" s="20" t="s">
        <v>16</v>
      </c>
      <c r="C805" s="20" t="s">
        <v>7</v>
      </c>
      <c r="D805" s="20" t="s">
        <v>8</v>
      </c>
      <c r="E805" s="22">
        <v>112</v>
      </c>
      <c r="F805" s="22">
        <v>2</v>
      </c>
      <c r="G805" s="22">
        <v>4</v>
      </c>
      <c r="H805" s="22"/>
      <c r="I805" s="23" t="s">
        <v>90</v>
      </c>
      <c r="J805" s="23"/>
      <c r="K805" s="22"/>
      <c r="L805" s="22"/>
      <c r="M805" s="23"/>
      <c r="N805" s="23"/>
      <c r="O805" s="26" t="s">
        <v>4484</v>
      </c>
      <c r="P805" s="26"/>
      <c r="Q805" s="22">
        <v>68</v>
      </c>
      <c r="R805" s="24">
        <v>45812</v>
      </c>
      <c r="S805" s="24">
        <v>45813</v>
      </c>
      <c r="T805" s="24"/>
      <c r="U805" s="24"/>
      <c r="V805" s="24">
        <v>45813</v>
      </c>
      <c r="W805" s="22" t="s">
        <v>468</v>
      </c>
      <c r="X805" s="4" t="str">
        <f>IF(Tabela2[[#This Row],[sigla]]="","",VLOOKUP(Tabela2[[#This Row],[sigla]],créditos_base!B:C,2,0))</f>
        <v>VER DOCUMENTO DE ILS. TÉCNICAS</v>
      </c>
      <c r="Y805" s="23" t="s">
        <v>1139</v>
      </c>
      <c r="Z805" s="7" t="s">
        <v>482</v>
      </c>
      <c r="AA805" s="22">
        <v>13</v>
      </c>
      <c r="AB805" s="20" t="s">
        <v>2564</v>
      </c>
      <c r="AC805" s="20" t="s">
        <v>36</v>
      </c>
      <c r="AD805" s="4" t="str">
        <f>"Pitanguá"</f>
        <v>Pitanguá</v>
      </c>
      <c r="AE805" s="14" t="str">
        <f>"Matemática"</f>
        <v>Matemática</v>
      </c>
      <c r="AF805" s="14"/>
    </row>
    <row r="806" spans="1:32" x14ac:dyDescent="0.3">
      <c r="A806" s="23" t="s">
        <v>2995</v>
      </c>
      <c r="B806" s="20" t="s">
        <v>16</v>
      </c>
      <c r="C806" s="20" t="s">
        <v>89</v>
      </c>
      <c r="D806" s="20" t="s">
        <v>8</v>
      </c>
      <c r="E806" s="22">
        <v>78</v>
      </c>
      <c r="F806" s="22">
        <v>4</v>
      </c>
      <c r="G806" s="22">
        <v>4</v>
      </c>
      <c r="H806" s="22"/>
      <c r="I806" s="23" t="s">
        <v>9</v>
      </c>
      <c r="J806" s="23"/>
      <c r="K806" s="22"/>
      <c r="L806" s="22"/>
      <c r="M806" s="23"/>
      <c r="N806" s="23"/>
      <c r="O806" s="26" t="s">
        <v>2996</v>
      </c>
      <c r="P806" s="26"/>
      <c r="Q806" s="22"/>
      <c r="R806" s="24"/>
      <c r="S806" s="24"/>
      <c r="T806" s="24"/>
      <c r="U806" s="24"/>
      <c r="V806" s="24"/>
      <c r="W806" s="22" t="s">
        <v>160</v>
      </c>
      <c r="X806" s="4" t="str">
        <f>IF(Tabela2[[#This Row],[sigla]]="","",VLOOKUP(Tabela2[[#This Row],[sigla]],créditos_base!B:C,2,0))</f>
        <v>SERGIO LIMA/ARQUIVO DA EDITORA</v>
      </c>
      <c r="Y806" s="23"/>
      <c r="Z806" s="23" t="str">
        <f>Tabela2[[#This Row],[ilustrador]]</f>
        <v>SERGIO LIMA/ARQUIVO DA EDITORA</v>
      </c>
      <c r="AA806" s="22"/>
      <c r="AB806" s="20"/>
      <c r="AD806" s="4" t="str">
        <f>"Pitanguá"</f>
        <v>Pitanguá</v>
      </c>
      <c r="AE806" s="14" t="str">
        <f>"Matemática"</f>
        <v>Matemática</v>
      </c>
      <c r="AF806" s="14"/>
    </row>
    <row r="807" spans="1:32" x14ac:dyDescent="0.3">
      <c r="A807" s="23" t="s">
        <v>3863</v>
      </c>
      <c r="B807" s="20" t="s">
        <v>16</v>
      </c>
      <c r="C807" s="20" t="s">
        <v>89</v>
      </c>
      <c r="D807" s="20" t="s">
        <v>8</v>
      </c>
      <c r="E807" s="22">
        <v>82</v>
      </c>
      <c r="F807" s="22">
        <v>5</v>
      </c>
      <c r="G807" s="22">
        <v>4</v>
      </c>
      <c r="H807" s="22"/>
      <c r="I807" s="23" t="s">
        <v>9</v>
      </c>
      <c r="J807" s="23"/>
      <c r="K807" s="22"/>
      <c r="L807" s="22"/>
      <c r="M807" s="23"/>
      <c r="N807" s="23"/>
      <c r="O807" s="26" t="s">
        <v>3864</v>
      </c>
      <c r="P807" s="26"/>
      <c r="Q807" s="22"/>
      <c r="R807" s="24"/>
      <c r="S807" s="24"/>
      <c r="T807" s="24"/>
      <c r="U807" s="24"/>
      <c r="V807" s="24"/>
      <c r="W807" s="22" t="s">
        <v>230</v>
      </c>
      <c r="X807" s="4" t="str">
        <f>IF(Tabela2[[#This Row],[sigla]]="","",VLOOKUP(Tabela2[[#This Row],[sigla]],créditos_base!B:C,2,0))</f>
        <v>RAFAEL L. GAION/ARQUIVO DA EDITORA</v>
      </c>
      <c r="Y807" s="23"/>
      <c r="Z807" s="23" t="str">
        <f>Tabela2[[#This Row],[ilustrador]]</f>
        <v>RAFAEL L. GAION/ARQUIVO DA EDITORA</v>
      </c>
      <c r="AA807" s="22"/>
      <c r="AB807" s="20"/>
      <c r="AD807" s="4" t="str">
        <f>"Pitanguá"</f>
        <v>Pitanguá</v>
      </c>
      <c r="AE807" s="14" t="str">
        <f>"Matemática"</f>
        <v>Matemática</v>
      </c>
      <c r="AF807" s="14"/>
    </row>
    <row r="808" spans="1:32" x14ac:dyDescent="0.3">
      <c r="A808" s="23" t="s">
        <v>1336</v>
      </c>
      <c r="B808" s="20" t="s">
        <v>16</v>
      </c>
      <c r="C808" s="20" t="s">
        <v>7</v>
      </c>
      <c r="D808" s="20" t="s">
        <v>8</v>
      </c>
      <c r="E808" s="22">
        <v>195</v>
      </c>
      <c r="F808" s="22">
        <v>2</v>
      </c>
      <c r="G808" s="22">
        <v>4</v>
      </c>
      <c r="H808" s="22"/>
      <c r="I808" s="23" t="s">
        <v>33</v>
      </c>
      <c r="J808" s="23"/>
      <c r="K808" s="22"/>
      <c r="L808" s="22"/>
      <c r="M808" s="23"/>
      <c r="N808" s="23"/>
      <c r="O808" s="26" t="s">
        <v>1337</v>
      </c>
      <c r="P808" s="26"/>
      <c r="Q808" s="22">
        <v>16</v>
      </c>
      <c r="R808" s="24">
        <v>45744</v>
      </c>
      <c r="S808" s="24">
        <v>45747</v>
      </c>
      <c r="T808" s="24"/>
      <c r="U808" s="24"/>
      <c r="V808" s="24">
        <v>45747</v>
      </c>
      <c r="W808" s="22" t="s">
        <v>468</v>
      </c>
      <c r="X808" s="4" t="str">
        <f>IF(Tabela2[[#This Row],[sigla]]="","",VLOOKUP(Tabela2[[#This Row],[sigla]],créditos_base!B:C,2,0))</f>
        <v>VER DOCUMENTO DE ILS. TÉCNICAS</v>
      </c>
      <c r="Y808" s="23" t="s">
        <v>813</v>
      </c>
      <c r="Z808" s="23" t="s">
        <v>482</v>
      </c>
      <c r="AA808" s="22">
        <v>14</v>
      </c>
      <c r="AB808" s="20" t="s">
        <v>153</v>
      </c>
      <c r="AC808" s="20" t="s">
        <v>36</v>
      </c>
      <c r="AD808" s="4" t="str">
        <f>"Pitanguá"</f>
        <v>Pitanguá</v>
      </c>
      <c r="AE808" s="14" t="str">
        <f>"Matemática"</f>
        <v>Matemática</v>
      </c>
      <c r="AF808" s="14"/>
    </row>
    <row r="809" spans="1:32" ht="28.8" x14ac:dyDescent="0.3">
      <c r="A809" s="23" t="s">
        <v>2997</v>
      </c>
      <c r="B809" s="20" t="s">
        <v>6</v>
      </c>
      <c r="C809" s="20" t="s">
        <v>7</v>
      </c>
      <c r="D809" s="20" t="s">
        <v>8</v>
      </c>
      <c r="E809" s="22">
        <v>78</v>
      </c>
      <c r="F809" s="22">
        <v>4</v>
      </c>
      <c r="G809" s="22">
        <v>4</v>
      </c>
      <c r="H809" s="22"/>
      <c r="I809" s="23" t="s">
        <v>33</v>
      </c>
      <c r="J809" s="23"/>
      <c r="K809" s="22"/>
      <c r="L809" s="22"/>
      <c r="M809" s="23"/>
      <c r="N809" s="23"/>
      <c r="O809" s="26" t="s">
        <v>2998</v>
      </c>
      <c r="P809" s="26"/>
      <c r="Q809" s="22">
        <v>44</v>
      </c>
      <c r="R809" s="24">
        <v>45791</v>
      </c>
      <c r="S809" s="24">
        <v>45797</v>
      </c>
      <c r="T809" s="24"/>
      <c r="U809" s="24"/>
      <c r="V809" s="24">
        <v>45797</v>
      </c>
      <c r="W809" s="22" t="s">
        <v>327</v>
      </c>
      <c r="X809" s="4" t="str">
        <f>IF(Tabela2[[#This Row],[sigla]]="","",VLOOKUP(Tabela2[[#This Row],[sigla]],créditos_base!B:C,2,0))</f>
        <v>RAFAEL LAM/ARQUIVO DA EDITORA</v>
      </c>
      <c r="Y809" s="23" t="s">
        <v>152</v>
      </c>
      <c r="Z809" s="23" t="str">
        <f>Tabela2[[#This Row],[ilustrador]]</f>
        <v>RAFAEL LAM/ARQUIVO DA EDITORA</v>
      </c>
      <c r="AA809" s="22">
        <v>14</v>
      </c>
      <c r="AB809" s="20" t="s">
        <v>153</v>
      </c>
      <c r="AC809" s="20" t="s">
        <v>36</v>
      </c>
      <c r="AD809" s="4" t="str">
        <f>"Pitanguá"</f>
        <v>Pitanguá</v>
      </c>
      <c r="AE809" s="14" t="str">
        <f>"Matemática"</f>
        <v>Matemática</v>
      </c>
      <c r="AF809" s="14"/>
    </row>
    <row r="810" spans="1:32" x14ac:dyDescent="0.3">
      <c r="A810" s="23" t="s">
        <v>3865</v>
      </c>
      <c r="B810" s="20" t="s">
        <v>16</v>
      </c>
      <c r="C810" s="20" t="s">
        <v>89</v>
      </c>
      <c r="D810" s="20" t="s">
        <v>8</v>
      </c>
      <c r="E810" s="22">
        <v>82</v>
      </c>
      <c r="F810" s="22">
        <v>5</v>
      </c>
      <c r="G810" s="22">
        <v>4</v>
      </c>
      <c r="H810" s="22"/>
      <c r="I810" s="23" t="s">
        <v>9</v>
      </c>
      <c r="J810" s="23"/>
      <c r="K810" s="22"/>
      <c r="L810" s="22"/>
      <c r="M810" s="23"/>
      <c r="N810" s="23"/>
      <c r="O810" s="26" t="s">
        <v>3866</v>
      </c>
      <c r="P810" s="26"/>
      <c r="Q810" s="22"/>
      <c r="R810" s="24"/>
      <c r="S810" s="24"/>
      <c r="T810" s="24"/>
      <c r="U810" s="24"/>
      <c r="V810" s="24"/>
      <c r="W810" s="22" t="s">
        <v>230</v>
      </c>
      <c r="X810" s="4" t="str">
        <f>IF(Tabela2[[#This Row],[sigla]]="","",VLOOKUP(Tabela2[[#This Row],[sigla]],créditos_base!B:C,2,0))</f>
        <v>RAFAEL L. GAION/ARQUIVO DA EDITORA</v>
      </c>
      <c r="Y810" s="23"/>
      <c r="Z810" s="23" t="str">
        <f>Tabela2[[#This Row],[ilustrador]]</f>
        <v>RAFAEL L. GAION/ARQUIVO DA EDITORA</v>
      </c>
      <c r="AA810" s="22"/>
      <c r="AB810" s="20"/>
      <c r="AD810" s="4" t="str">
        <f>"Pitanguá"</f>
        <v>Pitanguá</v>
      </c>
      <c r="AE810" s="14" t="str">
        <f>"Matemática"</f>
        <v>Matemática</v>
      </c>
      <c r="AF810" s="14"/>
    </row>
    <row r="811" spans="1:32" ht="28.8" x14ac:dyDescent="0.3">
      <c r="A811" s="23" t="s">
        <v>138</v>
      </c>
      <c r="B811" s="20" t="s">
        <v>135</v>
      </c>
      <c r="C811" s="20" t="s">
        <v>7</v>
      </c>
      <c r="D811" s="20" t="s">
        <v>8</v>
      </c>
      <c r="E811" s="22">
        <v>186</v>
      </c>
      <c r="F811" s="22">
        <v>1</v>
      </c>
      <c r="G811" s="22">
        <v>4</v>
      </c>
      <c r="H811" s="22"/>
      <c r="I811" s="23" t="s">
        <v>33</v>
      </c>
      <c r="J811" s="23"/>
      <c r="K811" s="22"/>
      <c r="L811" s="22"/>
      <c r="M811" s="23"/>
      <c r="N811" s="23"/>
      <c r="O811" s="26" t="s">
        <v>139</v>
      </c>
      <c r="P811" s="26"/>
      <c r="Q811" s="22">
        <v>2</v>
      </c>
      <c r="R811" s="24">
        <v>45722</v>
      </c>
      <c r="S811" s="24">
        <v>45722</v>
      </c>
      <c r="T811" s="24"/>
      <c r="U811" s="24"/>
      <c r="V811" s="24">
        <v>45722</v>
      </c>
      <c r="W811" s="22" t="s">
        <v>20</v>
      </c>
      <c r="X811" s="4" t="str">
        <f>IF(Tabela2[[#This Row],[sigla]]="","",VLOOKUP(Tabela2[[#This Row],[sigla]],créditos_base!B:C,2,0))</f>
        <v>SONIA HORN/ARQUIVO DA EDITORA</v>
      </c>
      <c r="Y811" s="23" t="s">
        <v>140</v>
      </c>
      <c r="Z811" s="23" t="str">
        <f>Tabela2[[#This Row],[ilustrador]]</f>
        <v>SONIA HORN/ARQUIVO DA EDITORA</v>
      </c>
      <c r="AA811" s="22">
        <v>14</v>
      </c>
      <c r="AB811" s="20"/>
      <c r="AC811" s="20" t="s">
        <v>36</v>
      </c>
      <c r="AD811" s="4" t="str">
        <f>"Pitanguá"</f>
        <v>Pitanguá</v>
      </c>
      <c r="AE811" s="14" t="str">
        <f>"Matemática"</f>
        <v>Matemática</v>
      </c>
      <c r="AF811" s="14"/>
    </row>
    <row r="812" spans="1:32" ht="28.8" x14ac:dyDescent="0.3">
      <c r="A812" s="23" t="s">
        <v>1338</v>
      </c>
      <c r="B812" s="20" t="s">
        <v>16</v>
      </c>
      <c r="C812" s="20" t="s">
        <v>7</v>
      </c>
      <c r="D812" s="20" t="s">
        <v>8</v>
      </c>
      <c r="E812" s="22">
        <v>196</v>
      </c>
      <c r="F812" s="22">
        <v>2</v>
      </c>
      <c r="G812" s="22">
        <v>4</v>
      </c>
      <c r="H812" s="22"/>
      <c r="I812" s="23" t="s">
        <v>9</v>
      </c>
      <c r="J812" s="23"/>
      <c r="K812" s="22"/>
      <c r="L812" s="22"/>
      <c r="M812" s="23"/>
      <c r="N812" s="23"/>
      <c r="O812" s="26" t="s">
        <v>1339</v>
      </c>
      <c r="P812" s="26"/>
      <c r="Q812" s="22"/>
      <c r="R812" s="24"/>
      <c r="S812" s="24"/>
      <c r="T812" s="24"/>
      <c r="U812" s="24"/>
      <c r="V812" s="24"/>
      <c r="W812" s="22" t="s">
        <v>87</v>
      </c>
      <c r="X812" s="4" t="str">
        <f>IF(Tabela2[[#This Row],[sigla]]="","",VLOOKUP(Tabela2[[#This Row],[sigla]],créditos_base!B:C,2,0))</f>
        <v>CHRIS BORGES/ARQUIVO DA EDITORA</v>
      </c>
      <c r="Y812" s="23"/>
      <c r="Z812" s="23" t="str">
        <f>Tabela2[[#This Row],[ilustrador]]</f>
        <v>CHRIS BORGES/ARQUIVO DA EDITORA</v>
      </c>
      <c r="AA812" s="22"/>
      <c r="AB812" s="20"/>
      <c r="AD812" s="4" t="str">
        <f>"Pitanguá"</f>
        <v>Pitanguá</v>
      </c>
      <c r="AE812" s="14" t="str">
        <f>"Matemática"</f>
        <v>Matemática</v>
      </c>
      <c r="AF812" s="14"/>
    </row>
    <row r="813" spans="1:32" ht="28.8" x14ac:dyDescent="0.3">
      <c r="A813" s="23" t="s">
        <v>1988</v>
      </c>
      <c r="B813" s="20" t="s">
        <v>16</v>
      </c>
      <c r="C813" s="20" t="s">
        <v>89</v>
      </c>
      <c r="D813" s="20" t="s">
        <v>8</v>
      </c>
      <c r="E813" s="22">
        <v>65</v>
      </c>
      <c r="F813" s="22">
        <v>3</v>
      </c>
      <c r="G813" s="22">
        <v>4</v>
      </c>
      <c r="H813" s="22"/>
      <c r="I813" s="23" t="s">
        <v>9</v>
      </c>
      <c r="J813" s="23"/>
      <c r="K813" s="22"/>
      <c r="L813" s="22"/>
      <c r="M813" s="23"/>
      <c r="N813" s="23"/>
      <c r="O813" s="26" t="s">
        <v>1989</v>
      </c>
      <c r="P813" s="26"/>
      <c r="Q813" s="22"/>
      <c r="R813" s="24"/>
      <c r="S813" s="24"/>
      <c r="T813" s="24"/>
      <c r="U813" s="24"/>
      <c r="V813" s="24"/>
      <c r="W813" s="22" t="s">
        <v>160</v>
      </c>
      <c r="X813" s="4" t="str">
        <f>IF(Tabela2[[#This Row],[sigla]]="","",VLOOKUP(Tabela2[[#This Row],[sigla]],créditos_base!B:C,2,0))</f>
        <v>SERGIO LIMA/ARQUIVO DA EDITORA</v>
      </c>
      <c r="Y813" s="23"/>
      <c r="Z813" s="23" t="str">
        <f>Tabela2[[#This Row],[ilustrador]]</f>
        <v>SERGIO LIMA/ARQUIVO DA EDITORA</v>
      </c>
      <c r="AA813" s="22"/>
      <c r="AB813" s="20"/>
      <c r="AD813" s="4" t="str">
        <f>"Pitanguá"</f>
        <v>Pitanguá</v>
      </c>
      <c r="AE813" s="14" t="str">
        <f>"Matemática"</f>
        <v>Matemática</v>
      </c>
      <c r="AF813" s="14"/>
    </row>
    <row r="814" spans="1:32" ht="28.8" x14ac:dyDescent="0.3">
      <c r="A814" s="23" t="s">
        <v>2999</v>
      </c>
      <c r="B814" s="20" t="s">
        <v>16</v>
      </c>
      <c r="C814" s="20" t="s">
        <v>89</v>
      </c>
      <c r="D814" s="20" t="s">
        <v>8</v>
      </c>
      <c r="E814" s="22">
        <v>79</v>
      </c>
      <c r="F814" s="22">
        <v>4</v>
      </c>
      <c r="G814" s="22">
        <v>4</v>
      </c>
      <c r="H814" s="22"/>
      <c r="I814" s="23" t="s">
        <v>9</v>
      </c>
      <c r="J814" s="23"/>
      <c r="K814" s="22"/>
      <c r="L814" s="22"/>
      <c r="M814" s="23"/>
      <c r="N814" s="23"/>
      <c r="O814" s="26" t="s">
        <v>3000</v>
      </c>
      <c r="P814" s="26"/>
      <c r="Q814" s="22"/>
      <c r="R814" s="24"/>
      <c r="S814" s="24"/>
      <c r="T814" s="24"/>
      <c r="U814" s="24"/>
      <c r="V814" s="24"/>
      <c r="W814" s="22" t="s">
        <v>160</v>
      </c>
      <c r="X814" s="4" t="str">
        <f>IF(Tabela2[[#This Row],[sigla]]="","",VLOOKUP(Tabela2[[#This Row],[sigla]],créditos_base!B:C,2,0))</f>
        <v>SERGIO LIMA/ARQUIVO DA EDITORA</v>
      </c>
      <c r="Y814" s="23"/>
      <c r="Z814" s="23" t="str">
        <f>Tabela2[[#This Row],[ilustrador]]</f>
        <v>SERGIO LIMA/ARQUIVO DA EDITORA</v>
      </c>
      <c r="AA814" s="22"/>
      <c r="AB814" s="20"/>
      <c r="AD814" s="4" t="str">
        <f>"Pitanguá"</f>
        <v>Pitanguá</v>
      </c>
      <c r="AE814" s="14" t="str">
        <f>"Matemática"</f>
        <v>Matemática</v>
      </c>
      <c r="AF814" s="14"/>
    </row>
    <row r="815" spans="1:32" ht="43.2" x14ac:dyDescent="0.3">
      <c r="A815" s="23" t="s">
        <v>3867</v>
      </c>
      <c r="B815" s="20" t="s">
        <v>16</v>
      </c>
      <c r="C815" s="20" t="s">
        <v>89</v>
      </c>
      <c r="D815" s="20" t="s">
        <v>8</v>
      </c>
      <c r="E815" s="22">
        <v>82</v>
      </c>
      <c r="F815" s="22">
        <v>5</v>
      </c>
      <c r="G815" s="22">
        <v>4</v>
      </c>
      <c r="H815" s="22"/>
      <c r="I815" s="23" t="s">
        <v>9</v>
      </c>
      <c r="J815" s="23"/>
      <c r="K815" s="22"/>
      <c r="L815" s="22"/>
      <c r="M815" s="23"/>
      <c r="N815" s="23"/>
      <c r="O815" s="26" t="s">
        <v>3868</v>
      </c>
      <c r="P815" s="26"/>
      <c r="Q815" s="22"/>
      <c r="R815" s="24"/>
      <c r="S815" s="24"/>
      <c r="T815" s="24"/>
      <c r="U815" s="24"/>
      <c r="V815" s="24"/>
      <c r="W815" s="22" t="s">
        <v>230</v>
      </c>
      <c r="X815" s="4" t="str">
        <f>IF(Tabela2[[#This Row],[sigla]]="","",VLOOKUP(Tabela2[[#This Row],[sigla]],créditos_base!B:C,2,0))</f>
        <v>RAFAEL L. GAION/ARQUIVO DA EDITORA</v>
      </c>
      <c r="Y815" s="23"/>
      <c r="Z815" s="23" t="str">
        <f>Tabela2[[#This Row],[ilustrador]]</f>
        <v>RAFAEL L. GAION/ARQUIVO DA EDITORA</v>
      </c>
      <c r="AA815" s="22"/>
      <c r="AB815" s="20"/>
      <c r="AD815" s="4" t="str">
        <f>"Pitanguá"</f>
        <v>Pitanguá</v>
      </c>
      <c r="AE815" s="14" t="str">
        <f>"Matemática"</f>
        <v>Matemática</v>
      </c>
      <c r="AF815" s="14"/>
    </row>
    <row r="816" spans="1:32" ht="28.8" x14ac:dyDescent="0.3">
      <c r="A816" s="23" t="s">
        <v>141</v>
      </c>
      <c r="B816" s="20" t="s">
        <v>135</v>
      </c>
      <c r="C816" s="20" t="s">
        <v>7</v>
      </c>
      <c r="D816" s="20" t="s">
        <v>8</v>
      </c>
      <c r="E816" s="22">
        <v>186</v>
      </c>
      <c r="F816" s="22">
        <v>1</v>
      </c>
      <c r="G816" s="22">
        <v>4</v>
      </c>
      <c r="H816" s="22"/>
      <c r="I816" s="23" t="s">
        <v>33</v>
      </c>
      <c r="J816" s="23"/>
      <c r="K816" s="22"/>
      <c r="L816" s="22"/>
      <c r="M816" s="23"/>
      <c r="N816" s="23"/>
      <c r="O816" s="26" t="s">
        <v>142</v>
      </c>
      <c r="P816" s="26"/>
      <c r="Q816" s="22">
        <v>2</v>
      </c>
      <c r="R816" s="24">
        <v>45722</v>
      </c>
      <c r="S816" s="24">
        <v>45722</v>
      </c>
      <c r="T816" s="24"/>
      <c r="U816" s="24"/>
      <c r="V816" s="24">
        <v>45722</v>
      </c>
      <c r="W816" s="22" t="s">
        <v>20</v>
      </c>
      <c r="X816" s="4" t="str">
        <f>IF(Tabela2[[#This Row],[sigla]]="","",VLOOKUP(Tabela2[[#This Row],[sigla]],créditos_base!B:C,2,0))</f>
        <v>SONIA HORN/ARQUIVO DA EDITORA</v>
      </c>
      <c r="Y816" s="23" t="s">
        <v>140</v>
      </c>
      <c r="Z816" s="23" t="str">
        <f>Tabela2[[#This Row],[ilustrador]]</f>
        <v>SONIA HORN/ARQUIVO DA EDITORA</v>
      </c>
      <c r="AA816" s="22">
        <v>14</v>
      </c>
      <c r="AB816" s="20"/>
      <c r="AC816" s="20" t="s">
        <v>36</v>
      </c>
      <c r="AD816" s="4" t="str">
        <f>"Pitanguá"</f>
        <v>Pitanguá</v>
      </c>
      <c r="AE816" s="14" t="str">
        <f>"Matemática"</f>
        <v>Matemática</v>
      </c>
      <c r="AF816" s="14"/>
    </row>
    <row r="817" spans="1:32" ht="28.8" x14ac:dyDescent="0.3">
      <c r="A817" s="23" t="s">
        <v>1340</v>
      </c>
      <c r="B817" s="20" t="s">
        <v>6</v>
      </c>
      <c r="C817" s="20" t="s">
        <v>7</v>
      </c>
      <c r="D817" s="20" t="s">
        <v>8</v>
      </c>
      <c r="E817" s="22">
        <v>197</v>
      </c>
      <c r="F817" s="22">
        <v>2</v>
      </c>
      <c r="G817" s="22">
        <v>4</v>
      </c>
      <c r="H817" s="22"/>
      <c r="I817" s="23" t="s">
        <v>9</v>
      </c>
      <c r="J817" s="23"/>
      <c r="K817" s="22"/>
      <c r="L817" s="22"/>
      <c r="M817" s="23"/>
      <c r="N817" s="23"/>
      <c r="O817" s="26" t="s">
        <v>1341</v>
      </c>
      <c r="P817" s="26" t="s">
        <v>1342</v>
      </c>
      <c r="Q817" s="22"/>
      <c r="R817" s="24"/>
      <c r="S817" s="24"/>
      <c r="T817" s="24"/>
      <c r="U817" s="24"/>
      <c r="V817" s="24"/>
      <c r="W817" s="22" t="s">
        <v>31</v>
      </c>
      <c r="X817" s="4" t="str">
        <f>IF(Tabela2[[#This Row],[sigla]]="","",VLOOKUP(Tabela2[[#This Row],[sigla]],créditos_base!B:C,2,0))</f>
        <v>SILVIA OTOFUJI/ARQUIVO DA EDITORA</v>
      </c>
      <c r="Y817" s="23"/>
      <c r="Z817" s="23" t="str">
        <f>Tabela2[[#This Row],[ilustrador]]</f>
        <v>SILVIA OTOFUJI/ARQUIVO DA EDITORA</v>
      </c>
      <c r="AA817" s="22"/>
      <c r="AB817" s="20"/>
      <c r="AD817" s="4" t="str">
        <f>"Pitanguá"</f>
        <v>Pitanguá</v>
      </c>
      <c r="AE817" s="14" t="str">
        <f>"Matemática"</f>
        <v>Matemática</v>
      </c>
      <c r="AF817" s="14"/>
    </row>
    <row r="818" spans="1:32" ht="57.6" x14ac:dyDescent="0.3">
      <c r="A818" s="23" t="s">
        <v>1990</v>
      </c>
      <c r="B818" s="20" t="s">
        <v>16</v>
      </c>
      <c r="C818" s="20" t="s">
        <v>89</v>
      </c>
      <c r="D818" s="20" t="s">
        <v>8</v>
      </c>
      <c r="E818" s="22">
        <v>65</v>
      </c>
      <c r="F818" s="22">
        <v>3</v>
      </c>
      <c r="G818" s="22">
        <v>4</v>
      </c>
      <c r="H818" s="22"/>
      <c r="I818" s="23" t="s">
        <v>33</v>
      </c>
      <c r="J818" s="23"/>
      <c r="K818" s="22"/>
      <c r="L818" s="22"/>
      <c r="M818" s="23"/>
      <c r="N818" s="23"/>
      <c r="O818" s="26" t="s">
        <v>1991</v>
      </c>
      <c r="P818" s="26"/>
      <c r="Q818" s="22">
        <v>26</v>
      </c>
      <c r="R818" s="24">
        <v>45751</v>
      </c>
      <c r="S818" s="24">
        <v>45751</v>
      </c>
      <c r="T818" s="24"/>
      <c r="U818" s="24"/>
      <c r="V818" s="24">
        <v>45751</v>
      </c>
      <c r="W818" s="22" t="s">
        <v>160</v>
      </c>
      <c r="X818" s="4" t="str">
        <f>IF(Tabela2[[#This Row],[sigla]]="","",VLOOKUP(Tabela2[[#This Row],[sigla]],créditos_base!B:C,2,0))</f>
        <v>SERGIO LIMA/ARQUIVO DA EDITORA</v>
      </c>
      <c r="Y818" s="23" t="s">
        <v>524</v>
      </c>
      <c r="Z818" s="23" t="str">
        <f>Tabela2[[#This Row],[ilustrador]]</f>
        <v>SERGIO LIMA/ARQUIVO DA EDITORA</v>
      </c>
      <c r="AA818" s="22">
        <v>14</v>
      </c>
      <c r="AB818" s="20" t="s">
        <v>1500</v>
      </c>
      <c r="AC818" s="20" t="s">
        <v>36</v>
      </c>
      <c r="AD818" s="4" t="str">
        <f>"Pitanguá"</f>
        <v>Pitanguá</v>
      </c>
      <c r="AE818" s="14" t="str">
        <f>"Matemática"</f>
        <v>Matemática</v>
      </c>
      <c r="AF818" s="14"/>
    </row>
    <row r="819" spans="1:32" ht="72" x14ac:dyDescent="0.3">
      <c r="A819" s="23" t="s">
        <v>3001</v>
      </c>
      <c r="B819" s="20" t="s">
        <v>16</v>
      </c>
      <c r="C819" s="20" t="s">
        <v>89</v>
      </c>
      <c r="D819" s="20" t="s">
        <v>8</v>
      </c>
      <c r="E819" s="22">
        <v>79</v>
      </c>
      <c r="F819" s="22">
        <v>4</v>
      </c>
      <c r="G819" s="22">
        <v>4</v>
      </c>
      <c r="H819" s="22"/>
      <c r="I819" s="23" t="s">
        <v>9</v>
      </c>
      <c r="J819" s="23"/>
      <c r="K819" s="22"/>
      <c r="L819" s="22"/>
      <c r="M819" s="23"/>
      <c r="N819" s="23"/>
      <c r="O819" s="26" t="s">
        <v>3002</v>
      </c>
      <c r="P819" s="26"/>
      <c r="Q819" s="22"/>
      <c r="R819" s="24"/>
      <c r="S819" s="24"/>
      <c r="T819" s="24"/>
      <c r="U819" s="24"/>
      <c r="V819" s="24"/>
      <c r="W819" s="22" t="s">
        <v>160</v>
      </c>
      <c r="X819" s="4" t="str">
        <f>IF(Tabela2[[#This Row],[sigla]]="","",VLOOKUP(Tabela2[[#This Row],[sigla]],créditos_base!B:C,2,0))</f>
        <v>SERGIO LIMA/ARQUIVO DA EDITORA</v>
      </c>
      <c r="Y819" s="23"/>
      <c r="Z819" s="23" t="str">
        <f>Tabela2[[#This Row],[ilustrador]]</f>
        <v>SERGIO LIMA/ARQUIVO DA EDITORA</v>
      </c>
      <c r="AA819" s="22"/>
      <c r="AB819" s="20"/>
      <c r="AD819" s="4" t="str">
        <f>"Pitanguá"</f>
        <v>Pitanguá</v>
      </c>
      <c r="AE819" s="14" t="str">
        <f>"Matemática"</f>
        <v>Matemática</v>
      </c>
      <c r="AF819" s="14"/>
    </row>
    <row r="820" spans="1:32" ht="28.8" x14ac:dyDescent="0.3">
      <c r="A820" s="23" t="s">
        <v>3869</v>
      </c>
      <c r="B820" s="20" t="s">
        <v>16</v>
      </c>
      <c r="C820" s="20" t="s">
        <v>89</v>
      </c>
      <c r="D820" s="20" t="s">
        <v>8</v>
      </c>
      <c r="E820" s="22">
        <v>82</v>
      </c>
      <c r="F820" s="22">
        <v>5</v>
      </c>
      <c r="G820" s="22">
        <v>4</v>
      </c>
      <c r="H820" s="22"/>
      <c r="I820" s="23" t="s">
        <v>9</v>
      </c>
      <c r="J820" s="23"/>
      <c r="K820" s="22"/>
      <c r="L820" s="22"/>
      <c r="M820" s="23"/>
      <c r="N820" s="23"/>
      <c r="O820" s="26" t="s">
        <v>3870</v>
      </c>
      <c r="P820" s="26"/>
      <c r="Q820" s="22"/>
      <c r="R820" s="24"/>
      <c r="S820" s="24"/>
      <c r="T820" s="24"/>
      <c r="U820" s="24"/>
      <c r="V820" s="24"/>
      <c r="W820" s="22" t="s">
        <v>230</v>
      </c>
      <c r="X820" s="4" t="str">
        <f>IF(Tabela2[[#This Row],[sigla]]="","",VLOOKUP(Tabela2[[#This Row],[sigla]],créditos_base!B:C,2,0))</f>
        <v>RAFAEL L. GAION/ARQUIVO DA EDITORA</v>
      </c>
      <c r="Y820" s="23"/>
      <c r="Z820" s="23" t="str">
        <f>Tabela2[[#This Row],[ilustrador]]</f>
        <v>RAFAEL L. GAION/ARQUIVO DA EDITORA</v>
      </c>
      <c r="AA820" s="22"/>
      <c r="AB820" s="20"/>
      <c r="AD820" s="4" t="str">
        <f>"Pitanguá"</f>
        <v>Pitanguá</v>
      </c>
      <c r="AE820" s="14" t="str">
        <f>"Matemática"</f>
        <v>Matemática</v>
      </c>
      <c r="AF820" s="14"/>
    </row>
    <row r="821" spans="1:32" ht="28.8" x14ac:dyDescent="0.3">
      <c r="A821" s="23" t="s">
        <v>1343</v>
      </c>
      <c r="B821" s="20" t="s">
        <v>6</v>
      </c>
      <c r="C821" s="20" t="s">
        <v>7</v>
      </c>
      <c r="D821" s="20" t="s">
        <v>8</v>
      </c>
      <c r="E821" s="22">
        <v>197</v>
      </c>
      <c r="F821" s="22">
        <v>2</v>
      </c>
      <c r="G821" s="22">
        <v>4</v>
      </c>
      <c r="H821" s="22"/>
      <c r="I821" s="23" t="s">
        <v>9</v>
      </c>
      <c r="J821" s="23"/>
      <c r="K821" s="22"/>
      <c r="L821" s="22"/>
      <c r="M821" s="23"/>
      <c r="N821" s="23"/>
      <c r="O821" s="26" t="s">
        <v>1344</v>
      </c>
      <c r="P821" s="26" t="s">
        <v>1345</v>
      </c>
      <c r="Q821" s="22"/>
      <c r="R821" s="24"/>
      <c r="S821" s="24"/>
      <c r="T821" s="24"/>
      <c r="U821" s="24"/>
      <c r="V821" s="24"/>
      <c r="W821" s="22" t="s">
        <v>31</v>
      </c>
      <c r="X821" s="4" t="str">
        <f>IF(Tabela2[[#This Row],[sigla]]="","",VLOOKUP(Tabela2[[#This Row],[sigla]],créditos_base!B:C,2,0))</f>
        <v>SILVIA OTOFUJI/ARQUIVO DA EDITORA</v>
      </c>
      <c r="Y821" s="23"/>
      <c r="Z821" s="23" t="str">
        <f>Tabela2[[#This Row],[ilustrador]]</f>
        <v>SILVIA OTOFUJI/ARQUIVO DA EDITORA</v>
      </c>
      <c r="AA821" s="22"/>
      <c r="AB821" s="20"/>
      <c r="AD821" s="4" t="str">
        <f>"Pitanguá"</f>
        <v>Pitanguá</v>
      </c>
      <c r="AE821" s="14" t="str">
        <f>"Matemática"</f>
        <v>Matemática</v>
      </c>
      <c r="AF821" s="14"/>
    </row>
    <row r="822" spans="1:32" x14ac:dyDescent="0.3">
      <c r="A822" s="23" t="s">
        <v>3871</v>
      </c>
      <c r="B822" s="20" t="s">
        <v>16</v>
      </c>
      <c r="C822" s="20" t="s">
        <v>89</v>
      </c>
      <c r="D822" s="20" t="s">
        <v>8</v>
      </c>
      <c r="E822" s="22">
        <v>82</v>
      </c>
      <c r="F822" s="22">
        <v>5</v>
      </c>
      <c r="G822" s="22">
        <v>4</v>
      </c>
      <c r="H822" s="22"/>
      <c r="I822" s="23" t="s">
        <v>9</v>
      </c>
      <c r="J822" s="23"/>
      <c r="K822" s="22"/>
      <c r="L822" s="22"/>
      <c r="M822" s="23"/>
      <c r="N822" s="23"/>
      <c r="O822" s="26" t="s">
        <v>3872</v>
      </c>
      <c r="P822" s="26"/>
      <c r="Q822" s="22"/>
      <c r="R822" s="24"/>
      <c r="S822" s="24"/>
      <c r="T822" s="24"/>
      <c r="U822" s="24"/>
      <c r="V822" s="24"/>
      <c r="W822" s="22" t="s">
        <v>230</v>
      </c>
      <c r="X822" s="4" t="str">
        <f>IF(Tabela2[[#This Row],[sigla]]="","",VLOOKUP(Tabela2[[#This Row],[sigla]],créditos_base!B:C,2,0))</f>
        <v>RAFAEL L. GAION/ARQUIVO DA EDITORA</v>
      </c>
      <c r="Y822" s="23"/>
      <c r="Z822" s="23" t="str">
        <f>Tabela2[[#This Row],[ilustrador]]</f>
        <v>RAFAEL L. GAION/ARQUIVO DA EDITORA</v>
      </c>
      <c r="AA822" s="22"/>
      <c r="AB822" s="20"/>
      <c r="AD822" s="4" t="str">
        <f>"Pitanguá"</f>
        <v>Pitanguá</v>
      </c>
      <c r="AE822" s="14" t="str">
        <f>"Matemática"</f>
        <v>Matemática</v>
      </c>
      <c r="AF822" s="14"/>
    </row>
    <row r="823" spans="1:32" ht="57.6" x14ac:dyDescent="0.3">
      <c r="A823" s="23" t="s">
        <v>3003</v>
      </c>
      <c r="B823" s="20" t="s">
        <v>16</v>
      </c>
      <c r="C823" s="20" t="s">
        <v>89</v>
      </c>
      <c r="D823" s="20" t="s">
        <v>8</v>
      </c>
      <c r="E823" s="22">
        <v>79</v>
      </c>
      <c r="F823" s="22">
        <v>4</v>
      </c>
      <c r="G823" s="22">
        <v>4</v>
      </c>
      <c r="H823" s="22"/>
      <c r="I823" s="23" t="s">
        <v>33</v>
      </c>
      <c r="J823" s="23"/>
      <c r="K823" s="22"/>
      <c r="L823" s="22"/>
      <c r="M823" s="23"/>
      <c r="N823" s="23"/>
      <c r="O823" s="26" t="s">
        <v>3004</v>
      </c>
      <c r="P823" s="26"/>
      <c r="Q823" s="22">
        <v>101</v>
      </c>
      <c r="R823" s="24">
        <v>45846</v>
      </c>
      <c r="S823" s="24">
        <v>45856</v>
      </c>
      <c r="T823" s="24"/>
      <c r="U823" s="24"/>
      <c r="V823" s="24">
        <v>45856</v>
      </c>
      <c r="W823" s="22" t="s">
        <v>160</v>
      </c>
      <c r="X823" s="4" t="str">
        <f>IF(Tabela2[[#This Row],[sigla]]="","",VLOOKUP(Tabela2[[#This Row],[sigla]],créditos_base!B:C,2,0))</f>
        <v>SERGIO LIMA/ARQUIVO DA EDITORA</v>
      </c>
      <c r="Y823" s="23" t="s">
        <v>2951</v>
      </c>
      <c r="Z823" s="23" t="str">
        <f>Tabela2[[#This Row],[ilustrador]]</f>
        <v>SERGIO LIMA/ARQUIVO DA EDITORA</v>
      </c>
      <c r="AA823" s="22">
        <v>14</v>
      </c>
      <c r="AB823" s="20" t="s">
        <v>1500</v>
      </c>
      <c r="AC823" s="20" t="s">
        <v>36</v>
      </c>
      <c r="AD823" s="4" t="str">
        <f>"Pitanguá"</f>
        <v>Pitanguá</v>
      </c>
      <c r="AE823" s="14" t="str">
        <f>"Matemática"</f>
        <v>Matemática</v>
      </c>
      <c r="AF823" s="14"/>
    </row>
    <row r="824" spans="1:32" ht="57.6" x14ac:dyDescent="0.3">
      <c r="A824" s="23" t="s">
        <v>3873</v>
      </c>
      <c r="B824" s="20" t="s">
        <v>16</v>
      </c>
      <c r="C824" s="20" t="s">
        <v>89</v>
      </c>
      <c r="D824" s="20" t="s">
        <v>8</v>
      </c>
      <c r="E824" s="22">
        <v>83</v>
      </c>
      <c r="F824" s="22">
        <v>5</v>
      </c>
      <c r="G824" s="22">
        <v>4</v>
      </c>
      <c r="H824" s="22"/>
      <c r="I824" s="23" t="s">
        <v>9</v>
      </c>
      <c r="J824" s="23"/>
      <c r="K824" s="22"/>
      <c r="L824" s="22"/>
      <c r="M824" s="23"/>
      <c r="N824" s="23"/>
      <c r="O824" s="26" t="s">
        <v>3874</v>
      </c>
      <c r="P824" s="26"/>
      <c r="Q824" s="22"/>
      <c r="R824" s="24"/>
      <c r="S824" s="24"/>
      <c r="T824" s="24"/>
      <c r="U824" s="24"/>
      <c r="V824" s="24"/>
      <c r="W824" s="22" t="s">
        <v>940</v>
      </c>
      <c r="X824" s="4" t="str">
        <f>IF(Tabela2[[#This Row],[sigla]]="","",VLOOKUP(Tabela2[[#This Row],[sigla]],créditos_base!B:C,2,0))</f>
        <v>RONALDO LUCENA/ARQUIVO DA EDITORA</v>
      </c>
      <c r="Y824" s="23"/>
      <c r="Z824" s="23" t="str">
        <f>Tabela2[[#This Row],[ilustrador]]</f>
        <v>RONALDO LUCENA/ARQUIVO DA EDITORA</v>
      </c>
      <c r="AA824" s="22"/>
      <c r="AB824" s="20"/>
      <c r="AD824" s="4" t="str">
        <f>"Pitanguá"</f>
        <v>Pitanguá</v>
      </c>
      <c r="AE824" s="14" t="str">
        <f>"Matemática"</f>
        <v>Matemática</v>
      </c>
      <c r="AF824" s="14"/>
    </row>
    <row r="825" spans="1:32" ht="28.8" x14ac:dyDescent="0.3">
      <c r="A825" s="23" t="s">
        <v>143</v>
      </c>
      <c r="B825" s="20" t="s">
        <v>16</v>
      </c>
      <c r="C825" s="20" t="s">
        <v>7</v>
      </c>
      <c r="D825" s="20" t="s">
        <v>8</v>
      </c>
      <c r="E825" s="22">
        <v>188</v>
      </c>
      <c r="F825" s="22">
        <v>1</v>
      </c>
      <c r="G825" s="22">
        <v>4</v>
      </c>
      <c r="H825" s="22"/>
      <c r="I825" s="23" t="s">
        <v>33</v>
      </c>
      <c r="J825" s="23"/>
      <c r="K825" s="22"/>
      <c r="L825" s="22"/>
      <c r="M825" s="23"/>
      <c r="N825" s="23"/>
      <c r="O825" s="26" t="s">
        <v>144</v>
      </c>
      <c r="P825" s="26"/>
      <c r="Q825" s="22">
        <v>2</v>
      </c>
      <c r="R825" s="24">
        <v>45722</v>
      </c>
      <c r="S825" s="24">
        <v>45722</v>
      </c>
      <c r="T825" s="24"/>
      <c r="U825" s="24"/>
      <c r="V825" s="24">
        <v>45722</v>
      </c>
      <c r="W825" s="22" t="s">
        <v>31</v>
      </c>
      <c r="X825" s="4" t="str">
        <f>IF(Tabela2[[#This Row],[sigla]]="","",VLOOKUP(Tabela2[[#This Row],[sigla]],créditos_base!B:C,2,0))</f>
        <v>SILVIA OTOFUJI/ARQUIVO DA EDITORA</v>
      </c>
      <c r="Y825" s="23" t="s">
        <v>140</v>
      </c>
      <c r="Z825" s="23" t="str">
        <f>Tabela2[[#This Row],[ilustrador]]</f>
        <v>SILVIA OTOFUJI/ARQUIVO DA EDITORA</v>
      </c>
      <c r="AA825" s="22">
        <v>14</v>
      </c>
      <c r="AB825" s="20"/>
      <c r="AC825" s="20" t="s">
        <v>36</v>
      </c>
      <c r="AD825" s="4" t="str">
        <f>"Pitanguá"</f>
        <v>Pitanguá</v>
      </c>
      <c r="AE825" s="14" t="str">
        <f>"Matemática"</f>
        <v>Matemática</v>
      </c>
      <c r="AF825" s="14"/>
    </row>
    <row r="826" spans="1:32" ht="43.2" x14ac:dyDescent="0.3">
      <c r="A826" s="23" t="s">
        <v>4485</v>
      </c>
      <c r="B826" s="20" t="s">
        <v>16</v>
      </c>
      <c r="C826" s="20" t="s">
        <v>7</v>
      </c>
      <c r="D826" s="20" t="s">
        <v>8</v>
      </c>
      <c r="E826" s="22">
        <v>115</v>
      </c>
      <c r="F826" s="22">
        <v>2</v>
      </c>
      <c r="G826" s="22">
        <v>4</v>
      </c>
      <c r="H826" s="22"/>
      <c r="I826" s="23" t="s">
        <v>9</v>
      </c>
      <c r="J826" s="23"/>
      <c r="K826" s="22"/>
      <c r="L826" s="22"/>
      <c r="M826" s="23"/>
      <c r="N826" s="23"/>
      <c r="O826" s="26" t="s">
        <v>4486</v>
      </c>
      <c r="P826" s="26"/>
      <c r="Q826" s="22"/>
      <c r="R826" s="24"/>
      <c r="S826" s="24"/>
      <c r="T826" s="24"/>
      <c r="U826" s="24"/>
      <c r="V826" s="24"/>
      <c r="W826" s="22" t="s">
        <v>87</v>
      </c>
      <c r="X826" s="4" t="str">
        <f>IF(Tabela2[[#This Row],[sigla]]="","",VLOOKUP(Tabela2[[#This Row],[sigla]],créditos_base!B:C,2,0))</f>
        <v>CHRIS BORGES/ARQUIVO DA EDITORA</v>
      </c>
      <c r="Y826" s="23"/>
      <c r="Z826" s="23" t="str">
        <f>Tabela2[[#This Row],[ilustrador]]</f>
        <v>CHRIS BORGES/ARQUIVO DA EDITORA</v>
      </c>
      <c r="AA826" s="22"/>
      <c r="AB826" s="20"/>
      <c r="AD826" s="4" t="str">
        <f>"Pitanguá"</f>
        <v>Pitanguá</v>
      </c>
      <c r="AE826" s="14" t="str">
        <f>"Matemática"</f>
        <v>Matemática</v>
      </c>
      <c r="AF826" s="14"/>
    </row>
    <row r="827" spans="1:32" x14ac:dyDescent="0.3">
      <c r="A827" s="23" t="s">
        <v>1992</v>
      </c>
      <c r="B827" s="20" t="s">
        <v>16</v>
      </c>
      <c r="C827" s="20" t="s">
        <v>89</v>
      </c>
      <c r="D827" s="20" t="s">
        <v>8</v>
      </c>
      <c r="E827" s="22">
        <v>65</v>
      </c>
      <c r="F827" s="22">
        <v>3</v>
      </c>
      <c r="G827" s="22">
        <v>4</v>
      </c>
      <c r="H827" s="22"/>
      <c r="I827" s="23" t="s">
        <v>33</v>
      </c>
      <c r="J827" s="23"/>
      <c r="K827" s="22"/>
      <c r="L827" s="22"/>
      <c r="M827" s="23"/>
      <c r="N827" s="23"/>
      <c r="O827" s="26" t="s">
        <v>1993</v>
      </c>
      <c r="P827" s="26"/>
      <c r="Q827" s="22">
        <v>48</v>
      </c>
      <c r="R827" s="24">
        <v>45797</v>
      </c>
      <c r="S827" s="24">
        <v>45797</v>
      </c>
      <c r="T827" s="24"/>
      <c r="U827" s="24"/>
      <c r="V827" s="24">
        <v>45798</v>
      </c>
      <c r="W827" s="22" t="s">
        <v>230</v>
      </c>
      <c r="X827" s="4" t="str">
        <f>IF(Tabela2[[#This Row],[sigla]]="","",VLOOKUP(Tabela2[[#This Row],[sigla]],créditos_base!B:C,2,0))</f>
        <v>RAFAEL L. GAION/ARQUIVO DA EDITORA</v>
      </c>
      <c r="Y827" s="23" t="s">
        <v>13</v>
      </c>
      <c r="Z827" s="23" t="str">
        <f>Tabela2[[#This Row],[ilustrador]]</f>
        <v>RAFAEL L. GAION/ARQUIVO DA EDITORA</v>
      </c>
      <c r="AA827" s="22">
        <v>14</v>
      </c>
      <c r="AB827" s="20" t="s">
        <v>153</v>
      </c>
      <c r="AC827" s="20" t="s">
        <v>36</v>
      </c>
      <c r="AD827" s="4" t="str">
        <f>"Pitanguá"</f>
        <v>Pitanguá</v>
      </c>
      <c r="AE827" s="14" t="str">
        <f>"Matemática"</f>
        <v>Matemática</v>
      </c>
      <c r="AF827" s="14"/>
    </row>
    <row r="828" spans="1:32" x14ac:dyDescent="0.3">
      <c r="A828" s="23" t="s">
        <v>3005</v>
      </c>
      <c r="B828" s="20" t="s">
        <v>16</v>
      </c>
      <c r="C828" s="20" t="s">
        <v>89</v>
      </c>
      <c r="D828" s="20" t="s">
        <v>8</v>
      </c>
      <c r="E828" s="22">
        <v>79</v>
      </c>
      <c r="F828" s="22">
        <v>4</v>
      </c>
      <c r="G828" s="22">
        <v>4</v>
      </c>
      <c r="H828" s="22"/>
      <c r="I828" s="23" t="s">
        <v>33</v>
      </c>
      <c r="J828" s="23"/>
      <c r="K828" s="22"/>
      <c r="L828" s="22"/>
      <c r="M828" s="23"/>
      <c r="N828" s="23"/>
      <c r="O828" s="26" t="s">
        <v>3006</v>
      </c>
      <c r="P828" s="26"/>
      <c r="Q828" s="22">
        <v>101</v>
      </c>
      <c r="R828" s="24">
        <v>45846</v>
      </c>
      <c r="S828" s="24">
        <v>45856</v>
      </c>
      <c r="T828" s="24"/>
      <c r="U828" s="24"/>
      <c r="V828" s="24">
        <v>45856</v>
      </c>
      <c r="W828" s="22" t="s">
        <v>160</v>
      </c>
      <c r="X828" s="4" t="str">
        <f>IF(Tabela2[[#This Row],[sigla]]="","",VLOOKUP(Tabela2[[#This Row],[sigla]],créditos_base!B:C,2,0))</f>
        <v>SERGIO LIMA/ARQUIVO DA EDITORA</v>
      </c>
      <c r="Y828" s="23" t="s">
        <v>2951</v>
      </c>
      <c r="Z828" s="23" t="str">
        <f>Tabela2[[#This Row],[ilustrador]]</f>
        <v>SERGIO LIMA/ARQUIVO DA EDITORA</v>
      </c>
      <c r="AA828" s="22">
        <v>14</v>
      </c>
      <c r="AB828" s="20" t="s">
        <v>1500</v>
      </c>
      <c r="AC828" s="20" t="s">
        <v>36</v>
      </c>
      <c r="AD828" s="4" t="str">
        <f>"Pitanguá"</f>
        <v>Pitanguá</v>
      </c>
      <c r="AE828" s="14" t="str">
        <f>"Matemática"</f>
        <v>Matemática</v>
      </c>
      <c r="AF828" s="14"/>
    </row>
    <row r="829" spans="1:32" x14ac:dyDescent="0.3">
      <c r="A829" s="23" t="s">
        <v>3875</v>
      </c>
      <c r="B829" s="20" t="s">
        <v>16</v>
      </c>
      <c r="C829" s="20" t="s">
        <v>89</v>
      </c>
      <c r="D829" s="20" t="s">
        <v>8</v>
      </c>
      <c r="E829" s="22">
        <v>83</v>
      </c>
      <c r="F829" s="22">
        <v>5</v>
      </c>
      <c r="G829" s="22">
        <v>4</v>
      </c>
      <c r="H829" s="22"/>
      <c r="I829" s="23" t="s">
        <v>9</v>
      </c>
      <c r="J829" s="23"/>
      <c r="K829" s="22"/>
      <c r="L829" s="22"/>
      <c r="M829" s="23"/>
      <c r="N829" s="23"/>
      <c r="O829" s="26" t="s">
        <v>3876</v>
      </c>
      <c r="P829" s="26"/>
      <c r="Q829" s="22"/>
      <c r="R829" s="24"/>
      <c r="S829" s="24"/>
      <c r="T829" s="24"/>
      <c r="U829" s="24"/>
      <c r="V829" s="24"/>
      <c r="W829" s="22" t="s">
        <v>940</v>
      </c>
      <c r="X829" s="4" t="str">
        <f>IF(Tabela2[[#This Row],[sigla]]="","",VLOOKUP(Tabela2[[#This Row],[sigla]],créditos_base!B:C,2,0))</f>
        <v>RONALDO LUCENA/ARQUIVO DA EDITORA</v>
      </c>
      <c r="Y829" s="23"/>
      <c r="Z829" s="23" t="str">
        <f>Tabela2[[#This Row],[ilustrador]]</f>
        <v>RONALDO LUCENA/ARQUIVO DA EDITORA</v>
      </c>
      <c r="AA829" s="22"/>
      <c r="AB829" s="20"/>
      <c r="AD829" s="4" t="str">
        <f>"Pitanguá"</f>
        <v>Pitanguá</v>
      </c>
      <c r="AE829" s="14" t="str">
        <f>"Matemática"</f>
        <v>Matemática</v>
      </c>
      <c r="AF829" s="14"/>
    </row>
    <row r="830" spans="1:32" ht="28.8" x14ac:dyDescent="0.3">
      <c r="A830" s="23" t="s">
        <v>145</v>
      </c>
      <c r="B830" s="20" t="s">
        <v>135</v>
      </c>
      <c r="C830" s="20" t="s">
        <v>7</v>
      </c>
      <c r="D830" s="20" t="s">
        <v>8</v>
      </c>
      <c r="E830" s="22">
        <v>189</v>
      </c>
      <c r="F830" s="22">
        <v>1</v>
      </c>
      <c r="G830" s="22">
        <v>4</v>
      </c>
      <c r="H830" s="22"/>
      <c r="I830" s="23" t="s">
        <v>33</v>
      </c>
      <c r="J830" s="23"/>
      <c r="K830" s="22"/>
      <c r="L830" s="22"/>
      <c r="M830" s="23"/>
      <c r="N830" s="23"/>
      <c r="O830" s="26" t="s">
        <v>146</v>
      </c>
      <c r="P830" s="26"/>
      <c r="Q830" s="22">
        <v>2</v>
      </c>
      <c r="R830" s="24">
        <v>45722</v>
      </c>
      <c r="S830" s="24">
        <v>45722</v>
      </c>
      <c r="T830" s="24"/>
      <c r="U830" s="24"/>
      <c r="V830" s="24">
        <v>45722</v>
      </c>
      <c r="W830" s="22" t="s">
        <v>31</v>
      </c>
      <c r="X830" s="4" t="str">
        <f>IF(Tabela2[[#This Row],[sigla]]="","",VLOOKUP(Tabela2[[#This Row],[sigla]],créditos_base!B:C,2,0))</f>
        <v>SILVIA OTOFUJI/ARQUIVO DA EDITORA</v>
      </c>
      <c r="Y830" s="23" t="s">
        <v>140</v>
      </c>
      <c r="Z830" s="23" t="str">
        <f>Tabela2[[#This Row],[ilustrador]]</f>
        <v>SILVIA OTOFUJI/ARQUIVO DA EDITORA</v>
      </c>
      <c r="AA830" s="22">
        <v>14</v>
      </c>
      <c r="AB830" s="20"/>
      <c r="AC830" s="20" t="s">
        <v>36</v>
      </c>
      <c r="AD830" s="4" t="str">
        <f>"Pitanguá"</f>
        <v>Pitanguá</v>
      </c>
      <c r="AE830" s="14" t="str">
        <f>"Matemática"</f>
        <v>Matemática</v>
      </c>
      <c r="AF830" s="14"/>
    </row>
    <row r="831" spans="1:32" ht="43.2" x14ac:dyDescent="0.3">
      <c r="A831" s="23" t="s">
        <v>4487</v>
      </c>
      <c r="B831" s="20" t="s">
        <v>16</v>
      </c>
      <c r="C831" s="20" t="s">
        <v>7</v>
      </c>
      <c r="D831" s="20" t="s">
        <v>8</v>
      </c>
      <c r="E831" s="22">
        <v>115</v>
      </c>
      <c r="F831" s="22">
        <v>2</v>
      </c>
      <c r="G831" s="22">
        <v>4</v>
      </c>
      <c r="H831" s="22"/>
      <c r="I831" s="23" t="s">
        <v>9</v>
      </c>
      <c r="J831" s="23"/>
      <c r="K831" s="22"/>
      <c r="L831" s="22"/>
      <c r="M831" s="23"/>
      <c r="N831" s="23"/>
      <c r="O831" s="26" t="s">
        <v>4488</v>
      </c>
      <c r="P831" s="26"/>
      <c r="Q831" s="22"/>
      <c r="R831" s="24"/>
      <c r="S831" s="24"/>
      <c r="T831" s="24"/>
      <c r="U831" s="24"/>
      <c r="V831" s="24"/>
      <c r="W831" s="22" t="s">
        <v>87</v>
      </c>
      <c r="X831" s="4" t="str">
        <f>IF(Tabela2[[#This Row],[sigla]]="","",VLOOKUP(Tabela2[[#This Row],[sigla]],créditos_base!B:C,2,0))</f>
        <v>CHRIS BORGES/ARQUIVO DA EDITORA</v>
      </c>
      <c r="Y831" s="23"/>
      <c r="Z831" s="23" t="str">
        <f>Tabela2[[#This Row],[ilustrador]]</f>
        <v>CHRIS BORGES/ARQUIVO DA EDITORA</v>
      </c>
      <c r="AA831" s="22"/>
      <c r="AB831" s="20"/>
      <c r="AD831" s="4" t="str">
        <f>"Pitanguá"</f>
        <v>Pitanguá</v>
      </c>
      <c r="AE831" s="14" t="str">
        <f>"Matemática"</f>
        <v>Matemática</v>
      </c>
      <c r="AF831" s="14"/>
    </row>
    <row r="832" spans="1:32" x14ac:dyDescent="0.3">
      <c r="A832" s="23" t="s">
        <v>1994</v>
      </c>
      <c r="B832" s="20" t="s">
        <v>16</v>
      </c>
      <c r="C832" s="20" t="s">
        <v>7</v>
      </c>
      <c r="D832" s="20" t="s">
        <v>8</v>
      </c>
      <c r="E832" s="22">
        <v>66</v>
      </c>
      <c r="F832" s="22">
        <v>3</v>
      </c>
      <c r="G832" s="22">
        <v>4</v>
      </c>
      <c r="H832" s="22"/>
      <c r="I832" s="23" t="s">
        <v>9</v>
      </c>
      <c r="J832" s="23"/>
      <c r="K832" s="22"/>
      <c r="L832" s="22"/>
      <c r="M832" s="23"/>
      <c r="N832" s="23"/>
      <c r="O832" s="26" t="s">
        <v>1995</v>
      </c>
      <c r="P832" s="26"/>
      <c r="Q832" s="22"/>
      <c r="R832" s="24"/>
      <c r="S832" s="24"/>
      <c r="T832" s="24"/>
      <c r="U832" s="24"/>
      <c r="V832" s="24"/>
      <c r="W832" s="22" t="s">
        <v>20</v>
      </c>
      <c r="X832" s="4" t="str">
        <f>IF(Tabela2[[#This Row],[sigla]]="","",VLOOKUP(Tabela2[[#This Row],[sigla]],créditos_base!B:C,2,0))</f>
        <v>SONIA HORN/ARQUIVO DA EDITORA</v>
      </c>
      <c r="Y832" s="23"/>
      <c r="Z832" s="23" t="str">
        <f>Tabela2[[#This Row],[ilustrador]]</f>
        <v>SONIA HORN/ARQUIVO DA EDITORA</v>
      </c>
      <c r="AA832" s="22"/>
      <c r="AB832" s="20"/>
      <c r="AD832" s="4" t="str">
        <f>"Pitanguá"</f>
        <v>Pitanguá</v>
      </c>
      <c r="AE832" s="14" t="str">
        <f>"Matemática"</f>
        <v>Matemática</v>
      </c>
      <c r="AF832" s="14"/>
    </row>
    <row r="833" spans="1:32" ht="43.2" x14ac:dyDescent="0.3">
      <c r="A833" s="23" t="s">
        <v>3007</v>
      </c>
      <c r="B833" s="20" t="s">
        <v>16</v>
      </c>
      <c r="C833" s="20" t="s">
        <v>89</v>
      </c>
      <c r="D833" s="20" t="s">
        <v>8</v>
      </c>
      <c r="E833" s="22">
        <v>79</v>
      </c>
      <c r="F833" s="22">
        <v>4</v>
      </c>
      <c r="G833" s="22">
        <v>4</v>
      </c>
      <c r="H833" s="22"/>
      <c r="I833" s="23" t="s">
        <v>33</v>
      </c>
      <c r="J833" s="23"/>
      <c r="K833" s="22"/>
      <c r="L833" s="22"/>
      <c r="M833" s="23"/>
      <c r="N833" s="23"/>
      <c r="O833" s="26" t="s">
        <v>3008</v>
      </c>
      <c r="P833" s="26"/>
      <c r="Q833" s="22">
        <v>101</v>
      </c>
      <c r="R833" s="24">
        <v>45846</v>
      </c>
      <c r="S833" s="24">
        <v>45856</v>
      </c>
      <c r="T833" s="24"/>
      <c r="U833" s="24"/>
      <c r="V833" s="24">
        <v>45856</v>
      </c>
      <c r="W833" s="22" t="s">
        <v>160</v>
      </c>
      <c r="X833" s="4" t="str">
        <f>IF(Tabela2[[#This Row],[sigla]]="","",VLOOKUP(Tabela2[[#This Row],[sigla]],créditos_base!B:C,2,0))</f>
        <v>SERGIO LIMA/ARQUIVO DA EDITORA</v>
      </c>
      <c r="Y833" s="23" t="s">
        <v>2951</v>
      </c>
      <c r="Z833" s="23" t="str">
        <f>Tabela2[[#This Row],[ilustrador]]</f>
        <v>SERGIO LIMA/ARQUIVO DA EDITORA</v>
      </c>
      <c r="AA833" s="22">
        <v>14</v>
      </c>
      <c r="AB833" s="20" t="s">
        <v>1500</v>
      </c>
      <c r="AC833" s="20" t="s">
        <v>36</v>
      </c>
      <c r="AD833" s="4" t="str">
        <f>"Pitanguá"</f>
        <v>Pitanguá</v>
      </c>
      <c r="AE833" s="14" t="str">
        <f>"Matemática"</f>
        <v>Matemática</v>
      </c>
      <c r="AF833" s="14"/>
    </row>
    <row r="834" spans="1:32" ht="57.6" x14ac:dyDescent="0.3">
      <c r="A834" s="23" t="s">
        <v>3877</v>
      </c>
      <c r="B834" s="20" t="s">
        <v>16</v>
      </c>
      <c r="C834" s="20" t="s">
        <v>89</v>
      </c>
      <c r="D834" s="20" t="s">
        <v>8</v>
      </c>
      <c r="E834" s="22">
        <v>84</v>
      </c>
      <c r="F834" s="22">
        <v>5</v>
      </c>
      <c r="G834" s="22">
        <v>4</v>
      </c>
      <c r="H834" s="22"/>
      <c r="I834" s="23" t="s">
        <v>9</v>
      </c>
      <c r="J834" s="23"/>
      <c r="K834" s="22"/>
      <c r="L834" s="22"/>
      <c r="M834" s="23"/>
      <c r="N834" s="23"/>
      <c r="O834" s="26" t="s">
        <v>3878</v>
      </c>
      <c r="P834" s="26"/>
      <c r="Q834" s="22"/>
      <c r="R834" s="24"/>
      <c r="S834" s="24"/>
      <c r="T834" s="24"/>
      <c r="U834" s="24"/>
      <c r="V834" s="24"/>
      <c r="W834" s="22" t="s">
        <v>940</v>
      </c>
      <c r="X834" s="4" t="str">
        <f>IF(Tabela2[[#This Row],[sigla]]="","",VLOOKUP(Tabela2[[#This Row],[sigla]],créditos_base!B:C,2,0))</f>
        <v>RONALDO LUCENA/ARQUIVO DA EDITORA</v>
      </c>
      <c r="Y834" s="23"/>
      <c r="Z834" s="23" t="str">
        <f>Tabela2[[#This Row],[ilustrador]]</f>
        <v>RONALDO LUCENA/ARQUIVO DA EDITORA</v>
      </c>
      <c r="AA834" s="22"/>
      <c r="AB834" s="20"/>
      <c r="AD834" s="4" t="str">
        <f>"Pitanguá"</f>
        <v>Pitanguá</v>
      </c>
      <c r="AE834" s="14" t="str">
        <f>"Matemática"</f>
        <v>Matemática</v>
      </c>
      <c r="AF834" s="14"/>
    </row>
    <row r="835" spans="1:32" ht="43.2" x14ac:dyDescent="0.3">
      <c r="A835" s="23" t="s">
        <v>149</v>
      </c>
      <c r="B835" s="20" t="s">
        <v>16</v>
      </c>
      <c r="C835" s="20" t="s">
        <v>89</v>
      </c>
      <c r="D835" s="20" t="s">
        <v>8</v>
      </c>
      <c r="E835" s="22">
        <v>190</v>
      </c>
      <c r="F835" s="22">
        <v>1</v>
      </c>
      <c r="G835" s="22">
        <v>4</v>
      </c>
      <c r="H835" s="22"/>
      <c r="I835" s="23" t="s">
        <v>33</v>
      </c>
      <c r="J835" s="23"/>
      <c r="K835" s="22"/>
      <c r="L835" s="22"/>
      <c r="M835" s="23"/>
      <c r="N835" s="23"/>
      <c r="O835" s="26" t="s">
        <v>150</v>
      </c>
      <c r="P835" s="26"/>
      <c r="Q835" s="22">
        <v>62</v>
      </c>
      <c r="R835" s="24">
        <v>45807</v>
      </c>
      <c r="S835" s="24">
        <v>45807</v>
      </c>
      <c r="T835" s="24"/>
      <c r="U835" s="24"/>
      <c r="V835" s="24">
        <v>45807</v>
      </c>
      <c r="W835" s="22" t="s">
        <v>151</v>
      </c>
      <c r="X835" s="4" t="str">
        <f>IF(Tabela2[[#This Row],[sigla]]="","",VLOOKUP(Tabela2[[#This Row],[sigla]],créditos_base!B:C,2,0))</f>
        <v>ROGÉRIO CASAGRANDE/ARQUIVO DA EDITORA</v>
      </c>
      <c r="Y835" s="23" t="s">
        <v>152</v>
      </c>
      <c r="Z835" s="23" t="str">
        <f>Tabela2[[#This Row],[ilustrador]]</f>
        <v>ROGÉRIO CASAGRANDE/ARQUIVO DA EDITORA</v>
      </c>
      <c r="AA835" s="22">
        <v>13</v>
      </c>
      <c r="AB835" s="20" t="s">
        <v>153</v>
      </c>
      <c r="AC835" s="20" t="s">
        <v>36</v>
      </c>
      <c r="AD835" s="4" t="str">
        <f>"Pitanguá"</f>
        <v>Pitanguá</v>
      </c>
      <c r="AE835" s="14" t="str">
        <f>"Matemática"</f>
        <v>Matemática</v>
      </c>
      <c r="AF835" s="14"/>
    </row>
    <row r="836" spans="1:32" ht="28.8" x14ac:dyDescent="0.3">
      <c r="A836" s="23" t="s">
        <v>4489</v>
      </c>
      <c r="B836" s="20" t="s">
        <v>16</v>
      </c>
      <c r="C836" s="20" t="s">
        <v>7</v>
      </c>
      <c r="D836" s="20" t="s">
        <v>8</v>
      </c>
      <c r="E836" s="22">
        <v>115</v>
      </c>
      <c r="F836" s="22">
        <v>2</v>
      </c>
      <c r="G836" s="22">
        <v>4</v>
      </c>
      <c r="H836" s="22"/>
      <c r="I836" s="23" t="s">
        <v>9</v>
      </c>
      <c r="J836" s="23"/>
      <c r="K836" s="22"/>
      <c r="L836" s="22"/>
      <c r="M836" s="23"/>
      <c r="N836" s="23"/>
      <c r="O836" s="26" t="s">
        <v>4490</v>
      </c>
      <c r="P836" s="26"/>
      <c r="Q836" s="22"/>
      <c r="R836" s="24"/>
      <c r="S836" s="24"/>
      <c r="T836" s="24"/>
      <c r="U836" s="24"/>
      <c r="V836" s="24"/>
      <c r="W836" s="22" t="s">
        <v>87</v>
      </c>
      <c r="X836" s="4" t="str">
        <f>IF(Tabela2[[#This Row],[sigla]]="","",VLOOKUP(Tabela2[[#This Row],[sigla]],créditos_base!B:C,2,0))</f>
        <v>CHRIS BORGES/ARQUIVO DA EDITORA</v>
      </c>
      <c r="Y836" s="23"/>
      <c r="Z836" s="23" t="str">
        <f>Tabela2[[#This Row],[ilustrador]]</f>
        <v>CHRIS BORGES/ARQUIVO DA EDITORA</v>
      </c>
      <c r="AA836" s="22"/>
      <c r="AB836" s="20"/>
      <c r="AD836" s="4" t="str">
        <f>"Pitanguá"</f>
        <v>Pitanguá</v>
      </c>
      <c r="AE836" s="14" t="str">
        <f>"Matemática"</f>
        <v>Matemática</v>
      </c>
      <c r="AF836" s="14"/>
    </row>
    <row r="837" spans="1:32" ht="28.8" x14ac:dyDescent="0.3">
      <c r="A837" s="23" t="s">
        <v>1996</v>
      </c>
      <c r="B837" s="20" t="s">
        <v>16</v>
      </c>
      <c r="C837" s="20" t="s">
        <v>7</v>
      </c>
      <c r="D837" s="20" t="s">
        <v>8</v>
      </c>
      <c r="E837" s="22">
        <v>67</v>
      </c>
      <c r="F837" s="22">
        <v>3</v>
      </c>
      <c r="G837" s="22">
        <v>4</v>
      </c>
      <c r="H837" s="22"/>
      <c r="I837" s="23" t="s">
        <v>9</v>
      </c>
      <c r="J837" s="23"/>
      <c r="K837" s="22"/>
      <c r="L837" s="22"/>
      <c r="M837" s="23"/>
      <c r="N837" s="23"/>
      <c r="O837" s="26" t="s">
        <v>1997</v>
      </c>
      <c r="P837" s="26"/>
      <c r="Q837" s="22"/>
      <c r="R837" s="24"/>
      <c r="S837" s="24"/>
      <c r="T837" s="24"/>
      <c r="U837" s="24"/>
      <c r="V837" s="24"/>
      <c r="W837" s="22" t="s">
        <v>72</v>
      </c>
      <c r="X837" s="4" t="str">
        <f>IF(Tabela2[[#This Row],[sigla]]="","",VLOOKUP(Tabela2[[#This Row],[sigla]],créditos_base!B:C,2,0))</f>
        <v>HELOÍSA PINTARELLI/ARQUIVO DA EDITORA</v>
      </c>
      <c r="Y837" s="23"/>
      <c r="Z837" s="23" t="str">
        <f>Tabela2[[#This Row],[ilustrador]]</f>
        <v>HELOÍSA PINTARELLI/ARQUIVO DA EDITORA</v>
      </c>
      <c r="AA837" s="22"/>
      <c r="AB837" s="20"/>
      <c r="AD837" s="4" t="str">
        <f>"Pitanguá"</f>
        <v>Pitanguá</v>
      </c>
      <c r="AE837" s="14" t="str">
        <f>"Matemática"</f>
        <v>Matemática</v>
      </c>
      <c r="AF837" s="14"/>
    </row>
    <row r="838" spans="1:32" ht="28.8" x14ac:dyDescent="0.3">
      <c r="A838" s="23" t="s">
        <v>3009</v>
      </c>
      <c r="B838" s="20" t="s">
        <v>16</v>
      </c>
      <c r="C838" s="20" t="s">
        <v>89</v>
      </c>
      <c r="D838" s="20" t="s">
        <v>8</v>
      </c>
      <c r="E838" s="22">
        <v>79</v>
      </c>
      <c r="F838" s="22">
        <v>4</v>
      </c>
      <c r="G838" s="22">
        <v>4</v>
      </c>
      <c r="H838" s="22"/>
      <c r="I838" s="23" t="s">
        <v>9</v>
      </c>
      <c r="J838" s="23"/>
      <c r="K838" s="22"/>
      <c r="L838" s="22"/>
      <c r="M838" s="23"/>
      <c r="N838" s="23"/>
      <c r="O838" s="26" t="s">
        <v>3010</v>
      </c>
      <c r="P838" s="26"/>
      <c r="Q838" s="22"/>
      <c r="R838" s="24"/>
      <c r="S838" s="24"/>
      <c r="T838" s="24"/>
      <c r="U838" s="24"/>
      <c r="V838" s="24"/>
      <c r="W838" s="22" t="s">
        <v>940</v>
      </c>
      <c r="X838" s="4" t="str">
        <f>IF(Tabela2[[#This Row],[sigla]]="","",VLOOKUP(Tabela2[[#This Row],[sigla]],créditos_base!B:C,2,0))</f>
        <v>RONALDO LUCENA/ARQUIVO DA EDITORA</v>
      </c>
      <c r="Y838" s="23"/>
      <c r="Z838" s="23" t="str">
        <f>Tabela2[[#This Row],[ilustrador]]</f>
        <v>RONALDO LUCENA/ARQUIVO DA EDITORA</v>
      </c>
      <c r="AA838" s="22"/>
      <c r="AB838" s="20"/>
      <c r="AD838" s="4" t="str">
        <f>"Pitanguá"</f>
        <v>Pitanguá</v>
      </c>
      <c r="AE838" s="14" t="str">
        <f>"Matemática"</f>
        <v>Matemática</v>
      </c>
      <c r="AF838" s="14"/>
    </row>
    <row r="839" spans="1:32" ht="28.8" x14ac:dyDescent="0.3">
      <c r="A839" s="23" t="s">
        <v>3879</v>
      </c>
      <c r="B839" s="20" t="s">
        <v>16</v>
      </c>
      <c r="C839" s="20" t="s">
        <v>89</v>
      </c>
      <c r="D839" s="20" t="s">
        <v>8</v>
      </c>
      <c r="E839" s="22">
        <v>84</v>
      </c>
      <c r="F839" s="22">
        <v>5</v>
      </c>
      <c r="G839" s="22">
        <v>4</v>
      </c>
      <c r="H839" s="22"/>
      <c r="I839" s="23" t="s">
        <v>9</v>
      </c>
      <c r="J839" s="23"/>
      <c r="K839" s="22"/>
      <c r="L839" s="22"/>
      <c r="M839" s="23"/>
      <c r="N839" s="23"/>
      <c r="O839" s="26" t="s">
        <v>3880</v>
      </c>
      <c r="P839" s="26"/>
      <c r="Q839" s="22"/>
      <c r="R839" s="24"/>
      <c r="S839" s="24"/>
      <c r="T839" s="24"/>
      <c r="U839" s="24"/>
      <c r="V839" s="24"/>
      <c r="W839" s="22" t="s">
        <v>940</v>
      </c>
      <c r="X839" s="4" t="str">
        <f>IF(Tabela2[[#This Row],[sigla]]="","",VLOOKUP(Tabela2[[#This Row],[sigla]],créditos_base!B:C,2,0))</f>
        <v>RONALDO LUCENA/ARQUIVO DA EDITORA</v>
      </c>
      <c r="Y839" s="23"/>
      <c r="Z839" s="23" t="str">
        <f>Tabela2[[#This Row],[ilustrador]]</f>
        <v>RONALDO LUCENA/ARQUIVO DA EDITORA</v>
      </c>
      <c r="AA839" s="22"/>
      <c r="AB839" s="20"/>
      <c r="AD839" s="4" t="str">
        <f>"Pitanguá"</f>
        <v>Pitanguá</v>
      </c>
      <c r="AE839" s="14" t="str">
        <f>"Matemática"</f>
        <v>Matemática</v>
      </c>
      <c r="AF839" s="14"/>
    </row>
    <row r="840" spans="1:32" ht="28.8" x14ac:dyDescent="0.3">
      <c r="A840" s="23" t="s">
        <v>154</v>
      </c>
      <c r="B840" s="20" t="s">
        <v>16</v>
      </c>
      <c r="C840" s="20" t="s">
        <v>89</v>
      </c>
      <c r="D840" s="20" t="s">
        <v>8</v>
      </c>
      <c r="E840" s="22">
        <v>190</v>
      </c>
      <c r="F840" s="22">
        <v>1</v>
      </c>
      <c r="G840" s="22">
        <v>4</v>
      </c>
      <c r="H840" s="22"/>
      <c r="I840" s="23" t="s">
        <v>33</v>
      </c>
      <c r="J840" s="23"/>
      <c r="K840" s="22"/>
      <c r="L840" s="22"/>
      <c r="M840" s="23"/>
      <c r="N840" s="23"/>
      <c r="O840" s="26" t="s">
        <v>155</v>
      </c>
      <c r="P840" s="26"/>
      <c r="Q840" s="22">
        <v>62</v>
      </c>
      <c r="R840" s="24">
        <v>45807</v>
      </c>
      <c r="S840" s="24">
        <v>45807</v>
      </c>
      <c r="T840" s="24"/>
      <c r="U840" s="24"/>
      <c r="V840" s="24">
        <v>45807</v>
      </c>
      <c r="W840" s="22" t="s">
        <v>151</v>
      </c>
      <c r="X840" s="4" t="str">
        <f>IF(Tabela2[[#This Row],[sigla]]="","",VLOOKUP(Tabela2[[#This Row],[sigla]],créditos_base!B:C,2,0))</f>
        <v>ROGÉRIO CASAGRANDE/ARQUIVO DA EDITORA</v>
      </c>
      <c r="Y840" s="23" t="s">
        <v>152</v>
      </c>
      <c r="Z840" s="23" t="str">
        <f>Tabela2[[#This Row],[ilustrador]]</f>
        <v>ROGÉRIO CASAGRANDE/ARQUIVO DA EDITORA</v>
      </c>
      <c r="AA840" s="22">
        <v>13</v>
      </c>
      <c r="AB840" s="20" t="s">
        <v>153</v>
      </c>
      <c r="AC840" s="20" t="s">
        <v>36</v>
      </c>
      <c r="AD840" s="4" t="str">
        <f>"Pitanguá"</f>
        <v>Pitanguá</v>
      </c>
      <c r="AE840" s="14" t="str">
        <f>"Matemática"</f>
        <v>Matemática</v>
      </c>
      <c r="AF840" s="14"/>
    </row>
    <row r="841" spans="1:32" x14ac:dyDescent="0.3">
      <c r="A841" s="23" t="s">
        <v>3337</v>
      </c>
      <c r="B841" s="20" t="s">
        <v>16</v>
      </c>
      <c r="C841" s="20" t="s">
        <v>7</v>
      </c>
      <c r="D841" s="20" t="s">
        <v>8</v>
      </c>
      <c r="E841" s="22">
        <v>102</v>
      </c>
      <c r="F841" s="22">
        <v>3</v>
      </c>
      <c r="G841" s="22">
        <v>4</v>
      </c>
      <c r="H841" s="22"/>
      <c r="I841" s="23" t="s">
        <v>90</v>
      </c>
      <c r="J841" s="23"/>
      <c r="K841" s="22"/>
      <c r="L841" s="22"/>
      <c r="M841" s="23"/>
      <c r="N841" s="23"/>
      <c r="O841" s="26" t="s">
        <v>3338</v>
      </c>
      <c r="P841" s="26"/>
      <c r="Q841" s="22">
        <v>48</v>
      </c>
      <c r="R841" s="24">
        <v>45797</v>
      </c>
      <c r="S841" s="24">
        <v>45797</v>
      </c>
      <c r="T841" s="24"/>
      <c r="U841" s="24"/>
      <c r="V841" s="24">
        <v>45798</v>
      </c>
      <c r="W841" s="22" t="s">
        <v>92</v>
      </c>
      <c r="X841" s="4" t="str">
        <f>IF(Tabela2[[#This Row],[sigla]]="","",VLOOKUP(Tabela2[[#This Row],[sigla]],créditos_base!B:C,2,0))</f>
        <v>BRUNA CAMPOS/ARQUIVO DA EDITORA</v>
      </c>
      <c r="Y841" s="23"/>
      <c r="Z841" s="23" t="s">
        <v>3339</v>
      </c>
      <c r="AA841" s="22">
        <v>13</v>
      </c>
      <c r="AB841" s="20" t="s">
        <v>243</v>
      </c>
      <c r="AC841" s="20" t="s">
        <v>36</v>
      </c>
      <c r="AD841" s="4" t="str">
        <f>"Pitanguá"</f>
        <v>Pitanguá</v>
      </c>
      <c r="AE841" s="14" t="str">
        <f>"Matemática"</f>
        <v>Matemática</v>
      </c>
      <c r="AF841" s="14"/>
    </row>
    <row r="842" spans="1:32" x14ac:dyDescent="0.3">
      <c r="A842" s="23" t="s">
        <v>5141</v>
      </c>
      <c r="B842" s="20" t="s">
        <v>16</v>
      </c>
      <c r="C842" s="20" t="s">
        <v>7</v>
      </c>
      <c r="D842" s="20" t="s">
        <v>8</v>
      </c>
      <c r="E842" s="22">
        <v>92</v>
      </c>
      <c r="F842" s="22">
        <v>4</v>
      </c>
      <c r="G842" s="22">
        <v>4</v>
      </c>
      <c r="H842" s="22"/>
      <c r="I842" s="23" t="s">
        <v>33</v>
      </c>
      <c r="J842" s="23"/>
      <c r="K842" s="22"/>
      <c r="L842" s="22"/>
      <c r="M842" s="23"/>
      <c r="N842" s="23"/>
      <c r="O842" s="26" t="s">
        <v>5142</v>
      </c>
      <c r="P842" s="26"/>
      <c r="Q842" s="22">
        <v>101</v>
      </c>
      <c r="R842" s="24">
        <v>45846</v>
      </c>
      <c r="S842" s="24">
        <v>45856</v>
      </c>
      <c r="T842" s="24"/>
      <c r="U842" s="24"/>
      <c r="V842" s="24">
        <v>45856</v>
      </c>
      <c r="W842" s="22" t="s">
        <v>12</v>
      </c>
      <c r="X842" s="4" t="str">
        <f>IF(Tabela2[[#This Row],[sigla]]="","",VLOOKUP(Tabela2[[#This Row],[sigla]],créditos_base!B:C,2,0))</f>
        <v>JORGE ZAIBA/ARQUIVO DA EDITORA</v>
      </c>
      <c r="Y842" s="23" t="s">
        <v>2951</v>
      </c>
      <c r="Z842" s="23" t="str">
        <f>Tabela2[[#This Row],[ilustrador]]</f>
        <v>JORGE ZAIBA/ARQUIVO DA EDITORA</v>
      </c>
      <c r="AA842" s="22">
        <v>14</v>
      </c>
      <c r="AB842" s="20" t="s">
        <v>1500</v>
      </c>
      <c r="AC842" s="20" t="s">
        <v>36</v>
      </c>
      <c r="AD842" s="4" t="str">
        <f>"Pitanguá"</f>
        <v>Pitanguá</v>
      </c>
      <c r="AE842" s="14" t="str">
        <f>"Matemática"</f>
        <v>Matemática</v>
      </c>
      <c r="AF842" s="14"/>
    </row>
    <row r="843" spans="1:32" x14ac:dyDescent="0.3">
      <c r="A843" s="23" t="s">
        <v>3881</v>
      </c>
      <c r="B843" s="20" t="s">
        <v>16</v>
      </c>
      <c r="C843" s="20" t="s">
        <v>89</v>
      </c>
      <c r="D843" s="20" t="s">
        <v>8</v>
      </c>
      <c r="E843" s="22">
        <v>84</v>
      </c>
      <c r="F843" s="22">
        <v>5</v>
      </c>
      <c r="G843" s="22">
        <v>4</v>
      </c>
      <c r="H843" s="22"/>
      <c r="I843" s="23" t="s">
        <v>9</v>
      </c>
      <c r="J843" s="23"/>
      <c r="K843" s="22"/>
      <c r="L843" s="22"/>
      <c r="M843" s="23"/>
      <c r="N843" s="23"/>
      <c r="O843" s="26" t="s">
        <v>3882</v>
      </c>
      <c r="P843" s="26"/>
      <c r="Q843" s="22"/>
      <c r="R843" s="24"/>
      <c r="S843" s="24"/>
      <c r="T843" s="24"/>
      <c r="U843" s="24"/>
      <c r="V843" s="24"/>
      <c r="W843" s="22" t="s">
        <v>940</v>
      </c>
      <c r="X843" s="4" t="str">
        <f>IF(Tabela2[[#This Row],[sigla]]="","",VLOOKUP(Tabela2[[#This Row],[sigla]],créditos_base!B:C,2,0))</f>
        <v>RONALDO LUCENA/ARQUIVO DA EDITORA</v>
      </c>
      <c r="Y843" s="23"/>
      <c r="Z843" s="23" t="str">
        <f>Tabela2[[#This Row],[ilustrador]]</f>
        <v>RONALDO LUCENA/ARQUIVO DA EDITORA</v>
      </c>
      <c r="AA843" s="22"/>
      <c r="AB843" s="20"/>
      <c r="AD843" s="4" t="str">
        <f>"Pitanguá"</f>
        <v>Pitanguá</v>
      </c>
      <c r="AE843" s="14" t="str">
        <f>"Matemática"</f>
        <v>Matemática</v>
      </c>
      <c r="AF843" s="14"/>
    </row>
    <row r="844" spans="1:32" x14ac:dyDescent="0.3">
      <c r="A844" s="23" t="s">
        <v>156</v>
      </c>
      <c r="B844" s="20" t="s">
        <v>16</v>
      </c>
      <c r="C844" s="20" t="s">
        <v>89</v>
      </c>
      <c r="D844" s="20" t="s">
        <v>8</v>
      </c>
      <c r="E844" s="22">
        <v>190</v>
      </c>
      <c r="F844" s="22">
        <v>1</v>
      </c>
      <c r="G844" s="22">
        <v>4</v>
      </c>
      <c r="H844" s="22"/>
      <c r="I844" s="23" t="s">
        <v>33</v>
      </c>
      <c r="J844" s="23"/>
      <c r="K844" s="22"/>
      <c r="L844" s="22"/>
      <c r="M844" s="23"/>
      <c r="N844" s="23"/>
      <c r="O844" s="26" t="s">
        <v>157</v>
      </c>
      <c r="P844" s="26"/>
      <c r="Q844" s="22">
        <v>62</v>
      </c>
      <c r="R844" s="24">
        <v>45807</v>
      </c>
      <c r="S844" s="24">
        <v>45807</v>
      </c>
      <c r="T844" s="24"/>
      <c r="U844" s="24"/>
      <c r="V844" s="24">
        <v>45807</v>
      </c>
      <c r="W844" s="22" t="s">
        <v>151</v>
      </c>
      <c r="X844" s="4" t="str">
        <f>IF(Tabela2[[#This Row],[sigla]]="","",VLOOKUP(Tabela2[[#This Row],[sigla]],créditos_base!B:C,2,0))</f>
        <v>ROGÉRIO CASAGRANDE/ARQUIVO DA EDITORA</v>
      </c>
      <c r="Y844" s="23" t="s">
        <v>152</v>
      </c>
      <c r="Z844" s="23" t="str">
        <f>Tabela2[[#This Row],[ilustrador]]</f>
        <v>ROGÉRIO CASAGRANDE/ARQUIVO DA EDITORA</v>
      </c>
      <c r="AA844" s="22">
        <v>13</v>
      </c>
      <c r="AB844" s="20" t="s">
        <v>153</v>
      </c>
      <c r="AC844" s="20" t="s">
        <v>36</v>
      </c>
      <c r="AD844" s="4" t="str">
        <f>"Pitanguá"</f>
        <v>Pitanguá</v>
      </c>
      <c r="AE844" s="14" t="str">
        <f>"Matemática"</f>
        <v>Matemática</v>
      </c>
      <c r="AF844" s="14"/>
    </row>
    <row r="845" spans="1:32" x14ac:dyDescent="0.3">
      <c r="A845" s="23" t="s">
        <v>4491</v>
      </c>
      <c r="B845" s="20" t="s">
        <v>16</v>
      </c>
      <c r="C845" s="20" t="s">
        <v>7</v>
      </c>
      <c r="D845" s="20" t="s">
        <v>8</v>
      </c>
      <c r="E845" s="22">
        <v>116</v>
      </c>
      <c r="F845" s="22">
        <v>2</v>
      </c>
      <c r="G845" s="22">
        <v>4</v>
      </c>
      <c r="H845" s="22"/>
      <c r="I845" s="23" t="s">
        <v>9</v>
      </c>
      <c r="J845" s="23"/>
      <c r="K845" s="22"/>
      <c r="L845" s="22"/>
      <c r="M845" s="23"/>
      <c r="N845" s="23"/>
      <c r="O845" s="26" t="s">
        <v>4492</v>
      </c>
      <c r="P845" s="26"/>
      <c r="Q845" s="22"/>
      <c r="R845" s="24"/>
      <c r="S845" s="24"/>
      <c r="T845" s="24"/>
      <c r="U845" s="24"/>
      <c r="V845" s="24"/>
      <c r="W845" s="22" t="s">
        <v>87</v>
      </c>
      <c r="X845" s="4" t="str">
        <f>IF(Tabela2[[#This Row],[sigla]]="","",VLOOKUP(Tabela2[[#This Row],[sigla]],créditos_base!B:C,2,0))</f>
        <v>CHRIS BORGES/ARQUIVO DA EDITORA</v>
      </c>
      <c r="Y845" s="23"/>
      <c r="Z845" s="23" t="str">
        <f>Tabela2[[#This Row],[ilustrador]]</f>
        <v>CHRIS BORGES/ARQUIVO DA EDITORA</v>
      </c>
      <c r="AA845" s="22"/>
      <c r="AB845" s="20"/>
      <c r="AD845" s="4" t="str">
        <f>"Pitanguá"</f>
        <v>Pitanguá</v>
      </c>
      <c r="AE845" s="14" t="str">
        <f>"Matemática"</f>
        <v>Matemática</v>
      </c>
      <c r="AF845" s="14"/>
    </row>
    <row r="846" spans="1:32" ht="28.8" x14ac:dyDescent="0.3">
      <c r="A846" s="23" t="s">
        <v>3011</v>
      </c>
      <c r="B846" s="20" t="s">
        <v>16</v>
      </c>
      <c r="C846" s="20" t="s">
        <v>89</v>
      </c>
      <c r="D846" s="20" t="s">
        <v>8</v>
      </c>
      <c r="E846" s="22">
        <v>80</v>
      </c>
      <c r="F846" s="22">
        <v>4</v>
      </c>
      <c r="G846" s="22">
        <v>4</v>
      </c>
      <c r="H846" s="22"/>
      <c r="I846" s="23" t="s">
        <v>33</v>
      </c>
      <c r="J846" s="23"/>
      <c r="K846" s="22"/>
      <c r="L846" s="22"/>
      <c r="M846" s="23"/>
      <c r="N846" s="23"/>
      <c r="O846" s="26" t="s">
        <v>3012</v>
      </c>
      <c r="P846" s="26"/>
      <c r="Q846" s="22">
        <v>44</v>
      </c>
      <c r="R846" s="24">
        <v>45791</v>
      </c>
      <c r="S846" s="24">
        <v>45797</v>
      </c>
      <c r="T846" s="24"/>
      <c r="U846" s="24"/>
      <c r="V846" s="24">
        <v>45797</v>
      </c>
      <c r="W846" s="22" t="s">
        <v>160</v>
      </c>
      <c r="X846" s="4" t="str">
        <f>IF(Tabela2[[#This Row],[sigla]]="","",VLOOKUP(Tabela2[[#This Row],[sigla]],créditos_base!B:C,2,0))</f>
        <v>SERGIO LIMA/ARQUIVO DA EDITORA</v>
      </c>
      <c r="Y846" s="23" t="s">
        <v>152</v>
      </c>
      <c r="Z846" s="23" t="str">
        <f>Tabela2[[#This Row],[ilustrador]]</f>
        <v>SERGIO LIMA/ARQUIVO DA EDITORA</v>
      </c>
      <c r="AA846" s="22">
        <v>14</v>
      </c>
      <c r="AB846" s="20" t="s">
        <v>153</v>
      </c>
      <c r="AC846" s="20" t="s">
        <v>36</v>
      </c>
      <c r="AD846" s="4" t="str">
        <f>"Pitanguá"</f>
        <v>Pitanguá</v>
      </c>
      <c r="AE846" s="14" t="str">
        <f>"Matemática"</f>
        <v>Matemática</v>
      </c>
      <c r="AF846" s="14"/>
    </row>
    <row r="847" spans="1:32" x14ac:dyDescent="0.3">
      <c r="A847" s="23" t="s">
        <v>3883</v>
      </c>
      <c r="B847" s="20" t="s">
        <v>16</v>
      </c>
      <c r="C847" s="20" t="s">
        <v>89</v>
      </c>
      <c r="D847" s="20" t="s">
        <v>8</v>
      </c>
      <c r="E847" s="22">
        <v>84</v>
      </c>
      <c r="F847" s="22">
        <v>5</v>
      </c>
      <c r="G847" s="22">
        <v>4</v>
      </c>
      <c r="H847" s="22"/>
      <c r="I847" s="23" t="s">
        <v>9</v>
      </c>
      <c r="J847" s="23"/>
      <c r="K847" s="22"/>
      <c r="L847" s="22"/>
      <c r="M847" s="23"/>
      <c r="N847" s="23"/>
      <c r="O847" s="26" t="s">
        <v>3884</v>
      </c>
      <c r="P847" s="26"/>
      <c r="Q847" s="22"/>
      <c r="R847" s="24"/>
      <c r="S847" s="24"/>
      <c r="T847" s="24"/>
      <c r="U847" s="24"/>
      <c r="V847" s="24"/>
      <c r="W847" s="22" t="s">
        <v>940</v>
      </c>
      <c r="X847" s="4" t="str">
        <f>IF(Tabela2[[#This Row],[sigla]]="","",VLOOKUP(Tabela2[[#This Row],[sigla]],créditos_base!B:C,2,0))</f>
        <v>RONALDO LUCENA/ARQUIVO DA EDITORA</v>
      </c>
      <c r="Y847" s="23"/>
      <c r="Z847" s="23" t="str">
        <f>Tabela2[[#This Row],[ilustrador]]</f>
        <v>RONALDO LUCENA/ARQUIVO DA EDITORA</v>
      </c>
      <c r="AA847" s="22"/>
      <c r="AB847" s="20"/>
      <c r="AD847" s="4" t="str">
        <f>"Pitanguá"</f>
        <v>Pitanguá</v>
      </c>
      <c r="AE847" s="14" t="str">
        <f>"Matemática"</f>
        <v>Matemática</v>
      </c>
      <c r="AF847" s="14"/>
    </row>
    <row r="848" spans="1:32" x14ac:dyDescent="0.3">
      <c r="A848" s="23" t="s">
        <v>158</v>
      </c>
      <c r="B848" s="20" t="s">
        <v>135</v>
      </c>
      <c r="C848" s="20" t="s">
        <v>89</v>
      </c>
      <c r="D848" s="20" t="s">
        <v>8</v>
      </c>
      <c r="E848" s="22">
        <v>190</v>
      </c>
      <c r="F848" s="22">
        <v>1</v>
      </c>
      <c r="G848" s="22">
        <v>4</v>
      </c>
      <c r="H848" s="22"/>
      <c r="I848" s="23" t="s">
        <v>9</v>
      </c>
      <c r="J848" s="23"/>
      <c r="K848" s="22"/>
      <c r="L848" s="22"/>
      <c r="M848" s="23"/>
      <c r="N848" s="23"/>
      <c r="O848" s="26" t="s">
        <v>159</v>
      </c>
      <c r="P848" s="26"/>
      <c r="Q848" s="22"/>
      <c r="R848" s="24"/>
      <c r="S848" s="24"/>
      <c r="T848" s="24"/>
      <c r="U848" s="24"/>
      <c r="V848" s="24"/>
      <c r="W848" s="22" t="s">
        <v>160</v>
      </c>
      <c r="X848" s="4" t="str">
        <f>IF(Tabela2[[#This Row],[sigla]]="","",VLOOKUP(Tabela2[[#This Row],[sigla]],créditos_base!B:C,2,0))</f>
        <v>SERGIO LIMA/ARQUIVO DA EDITORA</v>
      </c>
      <c r="Y848" s="23"/>
      <c r="Z848" s="23" t="str">
        <f>Tabela2[[#This Row],[ilustrador]]</f>
        <v>SERGIO LIMA/ARQUIVO DA EDITORA</v>
      </c>
      <c r="AA848" s="22"/>
      <c r="AB848" s="20"/>
      <c r="AD848" s="4" t="str">
        <f>"Pitanguá"</f>
        <v>Pitanguá</v>
      </c>
      <c r="AE848" s="14" t="str">
        <f>"Matemática"</f>
        <v>Matemática</v>
      </c>
      <c r="AF848" s="14"/>
    </row>
    <row r="849" spans="1:32" x14ac:dyDescent="0.3">
      <c r="A849" s="23" t="s">
        <v>4493</v>
      </c>
      <c r="B849" s="20" t="s">
        <v>16</v>
      </c>
      <c r="C849" s="20" t="s">
        <v>7</v>
      </c>
      <c r="D849" s="20" t="s">
        <v>8</v>
      </c>
      <c r="E849" s="22">
        <v>116</v>
      </c>
      <c r="F849" s="22">
        <v>2</v>
      </c>
      <c r="G849" s="22">
        <v>4</v>
      </c>
      <c r="H849" s="22"/>
      <c r="I849" s="23" t="s">
        <v>9</v>
      </c>
      <c r="J849" s="23"/>
      <c r="K849" s="22"/>
      <c r="L849" s="22"/>
      <c r="M849" s="23"/>
      <c r="N849" s="23"/>
      <c r="O849" s="26" t="s">
        <v>4494</v>
      </c>
      <c r="P849" s="26"/>
      <c r="Q849" s="22"/>
      <c r="R849" s="24"/>
      <c r="S849" s="24"/>
      <c r="T849" s="24"/>
      <c r="U849" s="24"/>
      <c r="V849" s="24"/>
      <c r="W849" s="22" t="s">
        <v>87</v>
      </c>
      <c r="X849" s="4" t="str">
        <f>IF(Tabela2[[#This Row],[sigla]]="","",VLOOKUP(Tabela2[[#This Row],[sigla]],créditos_base!B:C,2,0))</f>
        <v>CHRIS BORGES/ARQUIVO DA EDITORA</v>
      </c>
      <c r="Y849" s="23"/>
      <c r="Z849" s="23" t="str">
        <f>Tabela2[[#This Row],[ilustrador]]</f>
        <v>CHRIS BORGES/ARQUIVO DA EDITORA</v>
      </c>
      <c r="AA849" s="22"/>
      <c r="AB849" s="20"/>
      <c r="AD849" s="4" t="str">
        <f>"Pitanguá"</f>
        <v>Pitanguá</v>
      </c>
      <c r="AE849" s="14" t="str">
        <f>"Matemática"</f>
        <v>Matemática</v>
      </c>
      <c r="AF849" s="14"/>
    </row>
    <row r="850" spans="1:32" x14ac:dyDescent="0.3">
      <c r="A850" s="23" t="s">
        <v>3013</v>
      </c>
      <c r="B850" s="20" t="s">
        <v>16</v>
      </c>
      <c r="C850" s="20" t="s">
        <v>89</v>
      </c>
      <c r="D850" s="20" t="s">
        <v>8</v>
      </c>
      <c r="E850" s="22">
        <v>80</v>
      </c>
      <c r="F850" s="22">
        <v>4</v>
      </c>
      <c r="G850" s="22">
        <v>4</v>
      </c>
      <c r="H850" s="22"/>
      <c r="I850" s="23" t="s">
        <v>33</v>
      </c>
      <c r="J850" s="23"/>
      <c r="K850" s="22"/>
      <c r="L850" s="22"/>
      <c r="M850" s="23"/>
      <c r="N850" s="23"/>
      <c r="O850" s="26" t="s">
        <v>3014</v>
      </c>
      <c r="P850" s="26"/>
      <c r="Q850" s="22">
        <v>44</v>
      </c>
      <c r="R850" s="24">
        <v>45791</v>
      </c>
      <c r="S850" s="24">
        <v>45797</v>
      </c>
      <c r="T850" s="24"/>
      <c r="U850" s="24"/>
      <c r="V850" s="24">
        <v>45797</v>
      </c>
      <c r="W850" s="22" t="s">
        <v>160</v>
      </c>
      <c r="X850" s="4" t="str">
        <f>IF(Tabela2[[#This Row],[sigla]]="","",VLOOKUP(Tabela2[[#This Row],[sigla]],créditos_base!B:C,2,0))</f>
        <v>SERGIO LIMA/ARQUIVO DA EDITORA</v>
      </c>
      <c r="Y850" s="23" t="s">
        <v>152</v>
      </c>
      <c r="Z850" s="23" t="str">
        <f>Tabela2[[#This Row],[ilustrador]]</f>
        <v>SERGIO LIMA/ARQUIVO DA EDITORA</v>
      </c>
      <c r="AA850" s="22">
        <v>14</v>
      </c>
      <c r="AB850" s="20" t="s">
        <v>153</v>
      </c>
      <c r="AC850" s="20" t="s">
        <v>36</v>
      </c>
      <c r="AD850" s="4" t="str">
        <f>"Pitanguá"</f>
        <v>Pitanguá</v>
      </c>
      <c r="AE850" s="14" t="str">
        <f>"Matemática"</f>
        <v>Matemática</v>
      </c>
      <c r="AF850" s="14"/>
    </row>
    <row r="851" spans="1:32" x14ac:dyDescent="0.3">
      <c r="A851" s="23" t="s">
        <v>3885</v>
      </c>
      <c r="B851" s="20" t="s">
        <v>16</v>
      </c>
      <c r="C851" s="20" t="s">
        <v>89</v>
      </c>
      <c r="D851" s="20" t="s">
        <v>8</v>
      </c>
      <c r="E851" s="22">
        <v>84</v>
      </c>
      <c r="F851" s="22">
        <v>5</v>
      </c>
      <c r="G851" s="22">
        <v>4</v>
      </c>
      <c r="H851" s="22"/>
      <c r="I851" s="23" t="s">
        <v>9</v>
      </c>
      <c r="J851" s="23"/>
      <c r="K851" s="22"/>
      <c r="L851" s="22"/>
      <c r="M851" s="23"/>
      <c r="N851" s="23"/>
      <c r="O851" s="26" t="s">
        <v>3886</v>
      </c>
      <c r="P851" s="26"/>
      <c r="Q851" s="22"/>
      <c r="R851" s="24"/>
      <c r="S851" s="24"/>
      <c r="T851" s="24"/>
      <c r="U851" s="24"/>
      <c r="V851" s="24"/>
      <c r="W851" s="22" t="s">
        <v>356</v>
      </c>
      <c r="X851" s="4" t="str">
        <f>IF(Tabela2[[#This Row],[sigla]]="","",VLOOKUP(Tabela2[[#This Row],[sigla]],créditos_base!B:C,2,0))</f>
        <v>CAMILA CARMONA/ARQUIVO DA EDITORA</v>
      </c>
      <c r="Y851" s="23"/>
      <c r="Z851" s="23" t="str">
        <f>Tabela2[[#This Row],[ilustrador]]</f>
        <v>CAMILA CARMONA/ARQUIVO DA EDITORA</v>
      </c>
      <c r="AA851" s="22"/>
      <c r="AB851" s="20"/>
      <c r="AD851" s="4" t="str">
        <f>"Pitanguá"</f>
        <v>Pitanguá</v>
      </c>
      <c r="AE851" s="14" t="str">
        <f>"Matemática"</f>
        <v>Matemática</v>
      </c>
      <c r="AF851" s="14"/>
    </row>
    <row r="852" spans="1:32" ht="28.8" x14ac:dyDescent="0.3">
      <c r="A852" s="23" t="s">
        <v>161</v>
      </c>
      <c r="B852" s="20" t="s">
        <v>6</v>
      </c>
      <c r="C852" s="20" t="s">
        <v>89</v>
      </c>
      <c r="D852" s="20" t="s">
        <v>8</v>
      </c>
      <c r="E852" s="22">
        <v>191</v>
      </c>
      <c r="F852" s="22">
        <v>1</v>
      </c>
      <c r="G852" s="22">
        <v>4</v>
      </c>
      <c r="H852" s="22"/>
      <c r="I852" s="23" t="s">
        <v>9</v>
      </c>
      <c r="J852" s="23"/>
      <c r="K852" s="22"/>
      <c r="L852" s="22"/>
      <c r="M852" s="23"/>
      <c r="N852" s="23"/>
      <c r="O852" s="26" t="s">
        <v>162</v>
      </c>
      <c r="P852" s="26" t="s">
        <v>11</v>
      </c>
      <c r="Q852" s="22"/>
      <c r="R852" s="24"/>
      <c r="S852" s="24"/>
      <c r="T852" s="24"/>
      <c r="U852" s="24"/>
      <c r="V852" s="24"/>
      <c r="W852" s="22" t="s">
        <v>151</v>
      </c>
      <c r="X852" s="4" t="str">
        <f>IF(Tabela2[[#This Row],[sigla]]="","",VLOOKUP(Tabela2[[#This Row],[sigla]],créditos_base!B:C,2,0))</f>
        <v>ROGÉRIO CASAGRANDE/ARQUIVO DA EDITORA</v>
      </c>
      <c r="Y852" s="23"/>
      <c r="Z852" s="23" t="str">
        <f>Tabela2[[#This Row],[ilustrador]]</f>
        <v>ROGÉRIO CASAGRANDE/ARQUIVO DA EDITORA</v>
      </c>
      <c r="AA852" s="22"/>
      <c r="AB852" s="20"/>
      <c r="AD852" s="4" t="str">
        <f>"Pitanguá"</f>
        <v>Pitanguá</v>
      </c>
      <c r="AE852" s="14" t="str">
        <f>"Matemática"</f>
        <v>Matemática</v>
      </c>
      <c r="AF852" s="14"/>
    </row>
    <row r="853" spans="1:32" ht="28.8" x14ac:dyDescent="0.3">
      <c r="A853" s="23" t="s">
        <v>4495</v>
      </c>
      <c r="B853" s="20" t="s">
        <v>16</v>
      </c>
      <c r="C853" s="20" t="s">
        <v>7</v>
      </c>
      <c r="D853" s="20" t="s">
        <v>8</v>
      </c>
      <c r="E853" s="22">
        <v>116</v>
      </c>
      <c r="F853" s="22">
        <v>2</v>
      </c>
      <c r="G853" s="22">
        <v>4</v>
      </c>
      <c r="H853" s="22"/>
      <c r="I853" s="23" t="s">
        <v>9</v>
      </c>
      <c r="J853" s="23"/>
      <c r="K853" s="22"/>
      <c r="L853" s="22"/>
      <c r="M853" s="23"/>
      <c r="N853" s="23"/>
      <c r="O853" s="26" t="s">
        <v>4496</v>
      </c>
      <c r="P853" s="26"/>
      <c r="Q853" s="22"/>
      <c r="R853" s="24"/>
      <c r="S853" s="24"/>
      <c r="T853" s="24"/>
      <c r="U853" s="24"/>
      <c r="V853" s="24"/>
      <c r="W853" s="22" t="s">
        <v>87</v>
      </c>
      <c r="X853" s="4" t="str">
        <f>IF(Tabela2[[#This Row],[sigla]]="","",VLOOKUP(Tabela2[[#This Row],[sigla]],créditos_base!B:C,2,0))</f>
        <v>CHRIS BORGES/ARQUIVO DA EDITORA</v>
      </c>
      <c r="Y853" s="23"/>
      <c r="Z853" s="23" t="str">
        <f>Tabela2[[#This Row],[ilustrador]]</f>
        <v>CHRIS BORGES/ARQUIVO DA EDITORA</v>
      </c>
      <c r="AA853" s="22"/>
      <c r="AB853" s="20"/>
      <c r="AD853" s="4" t="str">
        <f>"Pitanguá"</f>
        <v>Pitanguá</v>
      </c>
      <c r="AE853" s="14" t="str">
        <f>"Matemática"</f>
        <v>Matemática</v>
      </c>
      <c r="AF853" s="14"/>
    </row>
    <row r="854" spans="1:32" ht="28.8" x14ac:dyDescent="0.3">
      <c r="A854" s="23" t="s">
        <v>2007</v>
      </c>
      <c r="B854" s="20" t="s">
        <v>16</v>
      </c>
      <c r="C854" s="20" t="s">
        <v>7</v>
      </c>
      <c r="D854" s="20" t="s">
        <v>8</v>
      </c>
      <c r="E854" s="22">
        <v>69</v>
      </c>
      <c r="F854" s="22">
        <v>3</v>
      </c>
      <c r="G854" s="22">
        <v>4</v>
      </c>
      <c r="H854" s="22"/>
      <c r="I854" s="23" t="s">
        <v>9</v>
      </c>
      <c r="J854" s="23"/>
      <c r="K854" s="22"/>
      <c r="L854" s="22"/>
      <c r="M854" s="23"/>
      <c r="N854" s="23"/>
      <c r="O854" s="26" t="s">
        <v>2008</v>
      </c>
      <c r="P854" s="26"/>
      <c r="Q854" s="22"/>
      <c r="R854" s="24"/>
      <c r="S854" s="24"/>
      <c r="T854" s="24"/>
      <c r="U854" s="24"/>
      <c r="V854" s="24"/>
      <c r="W854" s="22" t="s">
        <v>72</v>
      </c>
      <c r="X854" s="4" t="str">
        <f>IF(Tabela2[[#This Row],[sigla]]="","",VLOOKUP(Tabela2[[#This Row],[sigla]],créditos_base!B:C,2,0))</f>
        <v>HELOÍSA PINTARELLI/ARQUIVO DA EDITORA</v>
      </c>
      <c r="Y854" s="23"/>
      <c r="Z854" s="23" t="str">
        <f>Tabela2[[#This Row],[ilustrador]]</f>
        <v>HELOÍSA PINTARELLI/ARQUIVO DA EDITORA</v>
      </c>
      <c r="AA854" s="22"/>
      <c r="AB854" s="20"/>
      <c r="AD854" s="4" t="str">
        <f>"Pitanguá"</f>
        <v>Pitanguá</v>
      </c>
      <c r="AE854" s="14" t="str">
        <f>"Matemática"</f>
        <v>Matemática</v>
      </c>
      <c r="AF854" s="14"/>
    </row>
    <row r="855" spans="1:32" ht="57.6" x14ac:dyDescent="0.3">
      <c r="A855" s="23" t="s">
        <v>3015</v>
      </c>
      <c r="B855" s="20" t="s">
        <v>16</v>
      </c>
      <c r="C855" s="20" t="s">
        <v>89</v>
      </c>
      <c r="D855" s="20" t="s">
        <v>8</v>
      </c>
      <c r="E855" s="22">
        <v>80</v>
      </c>
      <c r="F855" s="22">
        <v>4</v>
      </c>
      <c r="G855" s="22">
        <v>4</v>
      </c>
      <c r="H855" s="22"/>
      <c r="I855" s="23" t="s">
        <v>33</v>
      </c>
      <c r="J855" s="23"/>
      <c r="K855" s="22"/>
      <c r="L855" s="22"/>
      <c r="M855" s="23"/>
      <c r="N855" s="23"/>
      <c r="O855" s="26" t="s">
        <v>3016</v>
      </c>
      <c r="P855" s="26"/>
      <c r="Q855" s="22">
        <v>44</v>
      </c>
      <c r="R855" s="24">
        <v>45791</v>
      </c>
      <c r="S855" s="24">
        <v>45797</v>
      </c>
      <c r="T855" s="24"/>
      <c r="U855" s="24"/>
      <c r="V855" s="24">
        <v>45797</v>
      </c>
      <c r="W855" s="22" t="s">
        <v>160</v>
      </c>
      <c r="X855" s="4" t="str">
        <f>IF(Tabela2[[#This Row],[sigla]]="","",VLOOKUP(Tabela2[[#This Row],[sigla]],créditos_base!B:C,2,0))</f>
        <v>SERGIO LIMA/ARQUIVO DA EDITORA</v>
      </c>
      <c r="Y855" s="23" t="s">
        <v>152</v>
      </c>
      <c r="Z855" s="23" t="str">
        <f>Tabela2[[#This Row],[ilustrador]]</f>
        <v>SERGIO LIMA/ARQUIVO DA EDITORA</v>
      </c>
      <c r="AA855" s="22">
        <v>14</v>
      </c>
      <c r="AB855" s="20" t="s">
        <v>153</v>
      </c>
      <c r="AC855" s="20" t="s">
        <v>36</v>
      </c>
      <c r="AD855" s="4" t="str">
        <f>"Pitanguá"</f>
        <v>Pitanguá</v>
      </c>
      <c r="AE855" s="14" t="str">
        <f>"Matemática"</f>
        <v>Matemática</v>
      </c>
      <c r="AF855" s="14"/>
    </row>
    <row r="856" spans="1:32" ht="43.2" x14ac:dyDescent="0.3">
      <c r="A856" s="23" t="s">
        <v>3887</v>
      </c>
      <c r="B856" s="20" t="s">
        <v>16</v>
      </c>
      <c r="C856" s="20" t="s">
        <v>89</v>
      </c>
      <c r="D856" s="20" t="s">
        <v>8</v>
      </c>
      <c r="E856" s="22">
        <v>84</v>
      </c>
      <c r="F856" s="22">
        <v>5</v>
      </c>
      <c r="G856" s="22">
        <v>4</v>
      </c>
      <c r="H856" s="22"/>
      <c r="I856" s="23" t="s">
        <v>33</v>
      </c>
      <c r="J856" s="23"/>
      <c r="K856" s="22"/>
      <c r="L856" s="22"/>
      <c r="M856" s="23"/>
      <c r="N856" s="23"/>
      <c r="O856" s="26" t="s">
        <v>3888</v>
      </c>
      <c r="P856" s="26"/>
      <c r="Q856" s="22">
        <v>57</v>
      </c>
      <c r="R856" s="24">
        <v>45805</v>
      </c>
      <c r="S856" s="24">
        <v>45811</v>
      </c>
      <c r="T856" s="24"/>
      <c r="U856" s="24"/>
      <c r="V856" s="24">
        <v>45811</v>
      </c>
      <c r="W856" s="22" t="s">
        <v>356</v>
      </c>
      <c r="X856" s="4" t="str">
        <f>IF(Tabela2[[#This Row],[sigla]]="","",VLOOKUP(Tabela2[[#This Row],[sigla]],créditos_base!B:C,2,0))</f>
        <v>CAMILA CARMONA/ARQUIVO DA EDITORA</v>
      </c>
      <c r="Y856" s="23" t="s">
        <v>1503</v>
      </c>
      <c r="Z856" s="23" t="str">
        <f>Tabela2[[#This Row],[ilustrador]]</f>
        <v>CAMILA CARMONA/ARQUIVO DA EDITORA</v>
      </c>
      <c r="AA856" s="22"/>
      <c r="AB856" s="20" t="s">
        <v>41</v>
      </c>
      <c r="AC856" s="20" t="s">
        <v>36</v>
      </c>
      <c r="AD856" s="4" t="str">
        <f>"Pitanguá"</f>
        <v>Pitanguá</v>
      </c>
      <c r="AE856" s="14" t="str">
        <f>"Matemática"</f>
        <v>Matemática</v>
      </c>
      <c r="AF856" s="14"/>
    </row>
    <row r="857" spans="1:32" x14ac:dyDescent="0.3">
      <c r="A857" s="23" t="s">
        <v>163</v>
      </c>
      <c r="B857" s="20" t="s">
        <v>6</v>
      </c>
      <c r="C857" s="20" t="s">
        <v>89</v>
      </c>
      <c r="D857" s="20" t="s">
        <v>8</v>
      </c>
      <c r="E857" s="22">
        <v>191</v>
      </c>
      <c r="F857" s="22">
        <v>1</v>
      </c>
      <c r="G857" s="22">
        <v>4</v>
      </c>
      <c r="H857" s="22"/>
      <c r="I857" s="23" t="s">
        <v>9</v>
      </c>
      <c r="J857" s="23"/>
      <c r="K857" s="22"/>
      <c r="L857" s="22"/>
      <c r="M857" s="23"/>
      <c r="N857" s="23"/>
      <c r="O857" s="26" t="s">
        <v>164</v>
      </c>
      <c r="P857" s="26" t="s">
        <v>11</v>
      </c>
      <c r="Q857" s="22"/>
      <c r="R857" s="24"/>
      <c r="S857" s="24"/>
      <c r="T857" s="24"/>
      <c r="U857" s="24"/>
      <c r="V857" s="24"/>
      <c r="W857" s="22" t="s">
        <v>151</v>
      </c>
      <c r="X857" s="4" t="str">
        <f>IF(Tabela2[[#This Row],[sigla]]="","",VLOOKUP(Tabela2[[#This Row],[sigla]],créditos_base!B:C,2,0))</f>
        <v>ROGÉRIO CASAGRANDE/ARQUIVO DA EDITORA</v>
      </c>
      <c r="Y857" s="23"/>
      <c r="Z857" s="23" t="str">
        <f>Tabela2[[#This Row],[ilustrador]]</f>
        <v>ROGÉRIO CASAGRANDE/ARQUIVO DA EDITORA</v>
      </c>
      <c r="AA857" s="22"/>
      <c r="AB857" s="20"/>
      <c r="AD857" s="4" t="str">
        <f>"Pitanguá"</f>
        <v>Pitanguá</v>
      </c>
      <c r="AE857" s="14" t="str">
        <f>"Matemática"</f>
        <v>Matemática</v>
      </c>
      <c r="AF857" s="14"/>
    </row>
    <row r="858" spans="1:32" ht="28.8" x14ac:dyDescent="0.3">
      <c r="A858" s="23" t="s">
        <v>1346</v>
      </c>
      <c r="B858" s="20" t="s">
        <v>16</v>
      </c>
      <c r="C858" s="20" t="s">
        <v>7</v>
      </c>
      <c r="D858" s="20" t="s">
        <v>8</v>
      </c>
      <c r="E858" s="22">
        <v>200</v>
      </c>
      <c r="F858" s="22">
        <v>2</v>
      </c>
      <c r="G858" s="22">
        <v>4</v>
      </c>
      <c r="H858" s="22"/>
      <c r="I858" s="23" t="s">
        <v>9</v>
      </c>
      <c r="J858" s="23"/>
      <c r="K858" s="22"/>
      <c r="L858" s="22"/>
      <c r="M858" s="23"/>
      <c r="N858" s="23"/>
      <c r="O858" s="26" t="s">
        <v>1347</v>
      </c>
      <c r="P858" s="26"/>
      <c r="Q858" s="22"/>
      <c r="R858" s="24"/>
      <c r="S858" s="24"/>
      <c r="T858" s="24"/>
      <c r="U858" s="24"/>
      <c r="V858" s="24"/>
      <c r="W858" s="22" t="s">
        <v>468</v>
      </c>
      <c r="X858" s="4" t="str">
        <f>IF(Tabela2[[#This Row],[sigla]]="","",VLOOKUP(Tabela2[[#This Row],[sigla]],créditos_base!B:C,2,0))</f>
        <v>VER DOCUMENTO DE ILS. TÉCNICAS</v>
      </c>
      <c r="Y858" s="23"/>
      <c r="Z858" s="23" t="s">
        <v>1327</v>
      </c>
      <c r="AA858" s="22"/>
      <c r="AB858" s="20"/>
      <c r="AD858" s="4" t="str">
        <f>"Pitanguá"</f>
        <v>Pitanguá</v>
      </c>
      <c r="AE858" s="14" t="str">
        <f>"Matemática"</f>
        <v>Matemática</v>
      </c>
      <c r="AF858" s="14"/>
    </row>
    <row r="859" spans="1:32" x14ac:dyDescent="0.3">
      <c r="A859" s="23" t="s">
        <v>2009</v>
      </c>
      <c r="B859" s="20" t="s">
        <v>6</v>
      </c>
      <c r="C859" s="20" t="s">
        <v>89</v>
      </c>
      <c r="D859" s="20" t="s">
        <v>8</v>
      </c>
      <c r="E859" s="22">
        <v>69</v>
      </c>
      <c r="F859" s="22">
        <v>3</v>
      </c>
      <c r="G859" s="22">
        <v>4</v>
      </c>
      <c r="H859" s="22"/>
      <c r="I859" s="23" t="s">
        <v>9</v>
      </c>
      <c r="J859" s="23"/>
      <c r="K859" s="22"/>
      <c r="L859" s="22"/>
      <c r="M859" s="23"/>
      <c r="N859" s="23"/>
      <c r="O859" s="26" t="s">
        <v>2010</v>
      </c>
      <c r="P859" s="26" t="s">
        <v>2011</v>
      </c>
      <c r="Q859" s="22"/>
      <c r="R859" s="24"/>
      <c r="S859" s="24"/>
      <c r="T859" s="24"/>
      <c r="U859" s="24"/>
      <c r="V859" s="24"/>
      <c r="W859" s="22" t="s">
        <v>72</v>
      </c>
      <c r="X859" s="4" t="str">
        <f>IF(Tabela2[[#This Row],[sigla]]="","",VLOOKUP(Tabela2[[#This Row],[sigla]],créditos_base!B:C,2,0))</f>
        <v>HELOÍSA PINTARELLI/ARQUIVO DA EDITORA</v>
      </c>
      <c r="Y859" s="23"/>
      <c r="Z859" s="23" t="str">
        <f>Tabela2[[#This Row],[ilustrador]]</f>
        <v>HELOÍSA PINTARELLI/ARQUIVO DA EDITORA</v>
      </c>
      <c r="AA859" s="22"/>
      <c r="AB859" s="20"/>
      <c r="AD859" s="4" t="str">
        <f>"Pitanguá"</f>
        <v>Pitanguá</v>
      </c>
      <c r="AE859" s="14" t="str">
        <f>"Matemática"</f>
        <v>Matemática</v>
      </c>
      <c r="AF859" s="14"/>
    </row>
    <row r="860" spans="1:32" x14ac:dyDescent="0.3">
      <c r="A860" s="23" t="s">
        <v>3017</v>
      </c>
      <c r="B860" s="20" t="s">
        <v>16</v>
      </c>
      <c r="C860" s="20" t="s">
        <v>89</v>
      </c>
      <c r="D860" s="20" t="s">
        <v>8</v>
      </c>
      <c r="E860" s="22">
        <v>80</v>
      </c>
      <c r="F860" s="22">
        <v>4</v>
      </c>
      <c r="G860" s="22">
        <v>4</v>
      </c>
      <c r="H860" s="22"/>
      <c r="I860" s="23" t="s">
        <v>33</v>
      </c>
      <c r="J860" s="23"/>
      <c r="K860" s="22"/>
      <c r="L860" s="22"/>
      <c r="M860" s="23"/>
      <c r="N860" s="23"/>
      <c r="O860" s="26" t="s">
        <v>3018</v>
      </c>
      <c r="P860" s="26"/>
      <c r="Q860" s="22">
        <v>44</v>
      </c>
      <c r="R860" s="24">
        <v>45791</v>
      </c>
      <c r="S860" s="24">
        <v>45797</v>
      </c>
      <c r="T860" s="24"/>
      <c r="U860" s="24"/>
      <c r="V860" s="24">
        <v>45797</v>
      </c>
      <c r="W860" s="22" t="s">
        <v>160</v>
      </c>
      <c r="X860" s="4" t="str">
        <f>IF(Tabela2[[#This Row],[sigla]]="","",VLOOKUP(Tabela2[[#This Row],[sigla]],créditos_base!B:C,2,0))</f>
        <v>SERGIO LIMA/ARQUIVO DA EDITORA</v>
      </c>
      <c r="Y860" s="23" t="s">
        <v>152</v>
      </c>
      <c r="Z860" s="23" t="str">
        <f>Tabela2[[#This Row],[ilustrador]]</f>
        <v>SERGIO LIMA/ARQUIVO DA EDITORA</v>
      </c>
      <c r="AA860" s="22">
        <v>14</v>
      </c>
      <c r="AB860" s="20" t="s">
        <v>153</v>
      </c>
      <c r="AC860" s="20" t="s">
        <v>36</v>
      </c>
      <c r="AD860" s="4" t="str">
        <f>"Pitanguá"</f>
        <v>Pitanguá</v>
      </c>
      <c r="AE860" s="14" t="str">
        <f>"Matemática"</f>
        <v>Matemática</v>
      </c>
      <c r="AF860" s="14"/>
    </row>
    <row r="861" spans="1:32" ht="43.2" x14ac:dyDescent="0.3">
      <c r="A861" s="23" t="s">
        <v>3889</v>
      </c>
      <c r="B861" s="20" t="s">
        <v>16</v>
      </c>
      <c r="C861" s="20" t="s">
        <v>89</v>
      </c>
      <c r="D861" s="20" t="s">
        <v>8</v>
      </c>
      <c r="E861" s="22">
        <v>84</v>
      </c>
      <c r="F861" s="22">
        <v>5</v>
      </c>
      <c r="G861" s="22">
        <v>4</v>
      </c>
      <c r="H861" s="22"/>
      <c r="I861" s="23" t="s">
        <v>33</v>
      </c>
      <c r="J861" s="23"/>
      <c r="K861" s="22"/>
      <c r="L861" s="22"/>
      <c r="M861" s="23"/>
      <c r="N861" s="23"/>
      <c r="O861" s="26" t="s">
        <v>3890</v>
      </c>
      <c r="P861" s="26"/>
      <c r="Q861" s="22">
        <v>57</v>
      </c>
      <c r="R861" s="24">
        <v>45805</v>
      </c>
      <c r="S861" s="24">
        <v>45811</v>
      </c>
      <c r="T861" s="24"/>
      <c r="U861" s="24"/>
      <c r="V861" s="24">
        <v>45811</v>
      </c>
      <c r="W861" s="22" t="s">
        <v>356</v>
      </c>
      <c r="X861" s="4" t="str">
        <f>IF(Tabela2[[#This Row],[sigla]]="","",VLOOKUP(Tabela2[[#This Row],[sigla]],créditos_base!B:C,2,0))</f>
        <v>CAMILA CARMONA/ARQUIVO DA EDITORA</v>
      </c>
      <c r="Y861" s="23" t="s">
        <v>1503</v>
      </c>
      <c r="Z861" s="23" t="str">
        <f>Tabela2[[#This Row],[ilustrador]]</f>
        <v>CAMILA CARMONA/ARQUIVO DA EDITORA</v>
      </c>
      <c r="AA861" s="22"/>
      <c r="AB861" s="28" t="s">
        <v>41</v>
      </c>
      <c r="AC861" s="20" t="s">
        <v>36</v>
      </c>
      <c r="AD861" s="4" t="str">
        <f>"Pitanguá"</f>
        <v>Pitanguá</v>
      </c>
      <c r="AE861" s="14" t="str">
        <f>"Matemática"</f>
        <v>Matemática</v>
      </c>
      <c r="AF861" s="14"/>
    </row>
    <row r="862" spans="1:32" ht="43.2" x14ac:dyDescent="0.3">
      <c r="A862" s="23" t="s">
        <v>165</v>
      </c>
      <c r="B862" s="20" t="s">
        <v>6</v>
      </c>
      <c r="C862" s="20" t="s">
        <v>89</v>
      </c>
      <c r="D862" s="20" t="s">
        <v>8</v>
      </c>
      <c r="E862" s="22">
        <v>191</v>
      </c>
      <c r="F862" s="22">
        <v>1</v>
      </c>
      <c r="G862" s="22">
        <v>4</v>
      </c>
      <c r="H862" s="22"/>
      <c r="I862" s="23" t="s">
        <v>9</v>
      </c>
      <c r="J862" s="23"/>
      <c r="K862" s="22"/>
      <c r="L862" s="22"/>
      <c r="M862" s="23"/>
      <c r="N862" s="23"/>
      <c r="O862" s="26" t="s">
        <v>166</v>
      </c>
      <c r="P862" s="26" t="s">
        <v>11</v>
      </c>
      <c r="Q862" s="22"/>
      <c r="R862" s="24"/>
      <c r="S862" s="24"/>
      <c r="T862" s="24"/>
      <c r="U862" s="24"/>
      <c r="V862" s="24"/>
      <c r="W862" s="22" t="s">
        <v>151</v>
      </c>
      <c r="X862" s="4" t="str">
        <f>IF(Tabela2[[#This Row],[sigla]]="","",VLOOKUP(Tabela2[[#This Row],[sigla]],créditos_base!B:C,2,0))</f>
        <v>ROGÉRIO CASAGRANDE/ARQUIVO DA EDITORA</v>
      </c>
      <c r="Y862" s="23"/>
      <c r="Z862" s="23" t="str">
        <f>Tabela2[[#This Row],[ilustrador]]</f>
        <v>ROGÉRIO CASAGRANDE/ARQUIVO DA EDITORA</v>
      </c>
      <c r="AA862" s="22"/>
      <c r="AB862" s="20"/>
      <c r="AD862" s="4" t="str">
        <f>"Pitanguá"</f>
        <v>Pitanguá</v>
      </c>
      <c r="AE862" s="14" t="str">
        <f>"Matemática"</f>
        <v>Matemática</v>
      </c>
      <c r="AF862" s="14"/>
    </row>
    <row r="863" spans="1:32" x14ac:dyDescent="0.3">
      <c r="A863" s="23" t="s">
        <v>1348</v>
      </c>
      <c r="B863" s="20" t="s">
        <v>16</v>
      </c>
      <c r="C863" s="20" t="s">
        <v>7</v>
      </c>
      <c r="D863" s="20" t="s">
        <v>8</v>
      </c>
      <c r="E863" s="22">
        <v>200</v>
      </c>
      <c r="F863" s="22">
        <v>2</v>
      </c>
      <c r="G863" s="22">
        <v>4</v>
      </c>
      <c r="H863" s="22"/>
      <c r="I863" s="23" t="s">
        <v>9</v>
      </c>
      <c r="J863" s="23"/>
      <c r="K863" s="22"/>
      <c r="L863" s="22"/>
      <c r="M863" s="23"/>
      <c r="N863" s="23"/>
      <c r="O863" s="26" t="s">
        <v>1349</v>
      </c>
      <c r="P863" s="26"/>
      <c r="Q863" s="22"/>
      <c r="R863" s="24"/>
      <c r="S863" s="24"/>
      <c r="T863" s="24"/>
      <c r="U863" s="24"/>
      <c r="V863" s="24"/>
      <c r="W863" s="22" t="s">
        <v>468</v>
      </c>
      <c r="X863" s="4" t="str">
        <f>IF(Tabela2[[#This Row],[sigla]]="","",VLOOKUP(Tabela2[[#This Row],[sigla]],créditos_base!B:C,2,0))</f>
        <v>VER DOCUMENTO DE ILS. TÉCNICAS</v>
      </c>
      <c r="Y863" s="23"/>
      <c r="Z863" s="23" t="s">
        <v>1327</v>
      </c>
      <c r="AA863" s="22"/>
      <c r="AB863" s="20"/>
      <c r="AD863" s="4" t="str">
        <f>"Pitanguá"</f>
        <v>Pitanguá</v>
      </c>
      <c r="AE863" s="14" t="str">
        <f>"Matemática"</f>
        <v>Matemática</v>
      </c>
      <c r="AF863" s="14"/>
    </row>
    <row r="864" spans="1:32" x14ac:dyDescent="0.3">
      <c r="A864" s="23" t="s">
        <v>3019</v>
      </c>
      <c r="B864" s="20" t="s">
        <v>16</v>
      </c>
      <c r="C864" s="20" t="s">
        <v>89</v>
      </c>
      <c r="D864" s="20" t="s">
        <v>8</v>
      </c>
      <c r="E864" s="22">
        <v>80</v>
      </c>
      <c r="F864" s="22">
        <v>4</v>
      </c>
      <c r="G864" s="22">
        <v>4</v>
      </c>
      <c r="H864" s="22"/>
      <c r="I864" s="23" t="s">
        <v>33</v>
      </c>
      <c r="J864" s="23"/>
      <c r="K864" s="22"/>
      <c r="L864" s="22"/>
      <c r="M864" s="23"/>
      <c r="N864" s="23"/>
      <c r="O864" s="26" t="s">
        <v>3020</v>
      </c>
      <c r="P864" s="26"/>
      <c r="Q864" s="22">
        <v>44</v>
      </c>
      <c r="R864" s="24">
        <v>45791</v>
      </c>
      <c r="S864" s="24">
        <v>45797</v>
      </c>
      <c r="T864" s="24"/>
      <c r="U864" s="24"/>
      <c r="V864" s="24">
        <v>45797</v>
      </c>
      <c r="W864" s="22" t="s">
        <v>160</v>
      </c>
      <c r="X864" s="4" t="str">
        <f>IF(Tabela2[[#This Row],[sigla]]="","",VLOOKUP(Tabela2[[#This Row],[sigla]],créditos_base!B:C,2,0))</f>
        <v>SERGIO LIMA/ARQUIVO DA EDITORA</v>
      </c>
      <c r="Y864" s="23" t="s">
        <v>152</v>
      </c>
      <c r="Z864" s="23" t="str">
        <f>Tabela2[[#This Row],[ilustrador]]</f>
        <v>SERGIO LIMA/ARQUIVO DA EDITORA</v>
      </c>
      <c r="AA864" s="22">
        <v>14</v>
      </c>
      <c r="AB864" s="20" t="s">
        <v>153</v>
      </c>
      <c r="AC864" s="20" t="s">
        <v>36</v>
      </c>
      <c r="AD864" s="4" t="str">
        <f>"Pitanguá"</f>
        <v>Pitanguá</v>
      </c>
      <c r="AE864" s="14" t="str">
        <f>"Matemática"</f>
        <v>Matemática</v>
      </c>
      <c r="AF864" s="14"/>
    </row>
    <row r="865" spans="1:32" ht="43.2" x14ac:dyDescent="0.3">
      <c r="A865" s="23" t="s">
        <v>3891</v>
      </c>
      <c r="B865" s="20" t="s">
        <v>16</v>
      </c>
      <c r="C865" s="20" t="s">
        <v>89</v>
      </c>
      <c r="D865" s="20" t="s">
        <v>8</v>
      </c>
      <c r="E865" s="22">
        <v>85</v>
      </c>
      <c r="F865" s="22">
        <v>5</v>
      </c>
      <c r="G865" s="22">
        <v>4</v>
      </c>
      <c r="H865" s="22"/>
      <c r="I865" s="23" t="s">
        <v>9</v>
      </c>
      <c r="J865" s="23"/>
      <c r="K865" s="22"/>
      <c r="L865" s="22"/>
      <c r="M865" s="23"/>
      <c r="N865" s="23"/>
      <c r="O865" s="26" t="s">
        <v>3892</v>
      </c>
      <c r="P865" s="26"/>
      <c r="Q865" s="22"/>
      <c r="R865" s="24"/>
      <c r="S865" s="24"/>
      <c r="T865" s="24"/>
      <c r="U865" s="24"/>
      <c r="V865" s="24"/>
      <c r="W865" s="22" t="s">
        <v>940</v>
      </c>
      <c r="X865" s="4" t="str">
        <f>IF(Tabela2[[#This Row],[sigla]]="","",VLOOKUP(Tabela2[[#This Row],[sigla]],créditos_base!B:C,2,0))</f>
        <v>RONALDO LUCENA/ARQUIVO DA EDITORA</v>
      </c>
      <c r="Y865" s="23"/>
      <c r="Z865" s="23" t="str">
        <f>Tabela2[[#This Row],[ilustrador]]</f>
        <v>RONALDO LUCENA/ARQUIVO DA EDITORA</v>
      </c>
      <c r="AA865" s="22"/>
      <c r="AB865" s="20"/>
      <c r="AD865" s="4" t="str">
        <f>"Pitanguá"</f>
        <v>Pitanguá</v>
      </c>
      <c r="AE865" s="14" t="str">
        <f>"Matemática"</f>
        <v>Matemática</v>
      </c>
      <c r="AF865" s="14"/>
    </row>
    <row r="866" spans="1:32" ht="43.2" x14ac:dyDescent="0.3">
      <c r="A866" s="23" t="s">
        <v>167</v>
      </c>
      <c r="B866" s="20" t="s">
        <v>6</v>
      </c>
      <c r="C866" s="20" t="s">
        <v>89</v>
      </c>
      <c r="D866" s="20" t="s">
        <v>8</v>
      </c>
      <c r="E866" s="22">
        <v>191</v>
      </c>
      <c r="F866" s="22">
        <v>1</v>
      </c>
      <c r="G866" s="22">
        <v>4</v>
      </c>
      <c r="H866" s="22"/>
      <c r="I866" s="23" t="s">
        <v>9</v>
      </c>
      <c r="J866" s="23"/>
      <c r="K866" s="22"/>
      <c r="L866" s="22"/>
      <c r="M866" s="23"/>
      <c r="N866" s="23"/>
      <c r="O866" s="26" t="s">
        <v>168</v>
      </c>
      <c r="P866" s="26" t="s">
        <v>11</v>
      </c>
      <c r="Q866" s="22"/>
      <c r="R866" s="24"/>
      <c r="S866" s="24"/>
      <c r="T866" s="24"/>
      <c r="U866" s="24"/>
      <c r="V866" s="24"/>
      <c r="W866" s="22" t="s">
        <v>169</v>
      </c>
      <c r="X866" s="4" t="str">
        <f>IF(Tabela2[[#This Row],[sigla]]="","",VLOOKUP(Tabela2[[#This Row],[sigla]],créditos_base!B:C,2,0))</f>
        <v>RENAN FONSECA/ARQUIVO DA EDITORA</v>
      </c>
      <c r="Y866" s="23"/>
      <c r="Z866" s="23" t="str">
        <f>Tabela2[[#This Row],[ilustrador]]</f>
        <v>RENAN FONSECA/ARQUIVO DA EDITORA</v>
      </c>
      <c r="AA866" s="22"/>
      <c r="AB866" s="20"/>
      <c r="AD866" s="4" t="str">
        <f>"Pitanguá"</f>
        <v>Pitanguá</v>
      </c>
      <c r="AE866" s="14" t="str">
        <f>"Matemática"</f>
        <v>Matemática</v>
      </c>
      <c r="AF866" s="14"/>
    </row>
    <row r="867" spans="1:32" x14ac:dyDescent="0.3">
      <c r="A867" s="23" t="s">
        <v>1350</v>
      </c>
      <c r="B867" s="20" t="s">
        <v>16</v>
      </c>
      <c r="C867" s="20" t="s">
        <v>7</v>
      </c>
      <c r="D867" s="20" t="s">
        <v>8</v>
      </c>
      <c r="E867" s="22">
        <v>200</v>
      </c>
      <c r="F867" s="22">
        <v>2</v>
      </c>
      <c r="G867" s="22">
        <v>4</v>
      </c>
      <c r="H867" s="22"/>
      <c r="I867" s="23" t="s">
        <v>9</v>
      </c>
      <c r="J867" s="23"/>
      <c r="K867" s="22"/>
      <c r="L867" s="22"/>
      <c r="M867" s="23"/>
      <c r="N867" s="23"/>
      <c r="O867" s="26" t="s">
        <v>1351</v>
      </c>
      <c r="P867" s="26"/>
      <c r="Q867" s="22"/>
      <c r="R867" s="24"/>
      <c r="S867" s="24"/>
      <c r="T867" s="24"/>
      <c r="U867" s="24"/>
      <c r="V867" s="24"/>
      <c r="W867" s="22" t="s">
        <v>468</v>
      </c>
      <c r="X867" s="4" t="str">
        <f>IF(Tabela2[[#This Row],[sigla]]="","",VLOOKUP(Tabela2[[#This Row],[sigla]],créditos_base!B:C,2,0))</f>
        <v>VER DOCUMENTO DE ILS. TÉCNICAS</v>
      </c>
      <c r="Y867" s="23"/>
      <c r="Z867" s="23" t="s">
        <v>1327</v>
      </c>
      <c r="AA867" s="22"/>
      <c r="AB867" s="20"/>
      <c r="AD867" s="4" t="str">
        <f>"Pitanguá"</f>
        <v>Pitanguá</v>
      </c>
      <c r="AE867" s="14" t="str">
        <f>"Matemática"</f>
        <v>Matemática</v>
      </c>
      <c r="AF867" s="14"/>
    </row>
    <row r="868" spans="1:32" x14ac:dyDescent="0.3">
      <c r="A868" s="23" t="s">
        <v>2014</v>
      </c>
      <c r="B868" s="20" t="s">
        <v>16</v>
      </c>
      <c r="C868" s="20" t="s">
        <v>89</v>
      </c>
      <c r="D868" s="20" t="s">
        <v>8</v>
      </c>
      <c r="E868" s="22">
        <v>70</v>
      </c>
      <c r="F868" s="22">
        <v>3</v>
      </c>
      <c r="G868" s="22">
        <v>4</v>
      </c>
      <c r="H868" s="22"/>
      <c r="I868" s="23" t="s">
        <v>9</v>
      </c>
      <c r="J868" s="23"/>
      <c r="K868" s="22"/>
      <c r="L868" s="22"/>
      <c r="M868" s="23"/>
      <c r="N868" s="23"/>
      <c r="O868" s="26" t="s">
        <v>2015</v>
      </c>
      <c r="P868" s="26"/>
      <c r="Q868" s="22"/>
      <c r="R868" s="24"/>
      <c r="S868" s="24"/>
      <c r="T868" s="24"/>
      <c r="U868" s="24"/>
      <c r="V868" s="24"/>
      <c r="W868" s="22" t="s">
        <v>468</v>
      </c>
      <c r="X868" s="4" t="str">
        <f>IF(Tabela2[[#This Row],[sigla]]="","",VLOOKUP(Tabela2[[#This Row],[sigla]],créditos_base!B:C,2,0))</f>
        <v>VER DOCUMENTO DE ILS. TÉCNICAS</v>
      </c>
      <c r="Y868" s="23"/>
      <c r="Z868" s="23" t="s">
        <v>661</v>
      </c>
      <c r="AA868" s="22"/>
      <c r="AB868" s="20"/>
      <c r="AD868" s="4" t="str">
        <f>"Pitanguá"</f>
        <v>Pitanguá</v>
      </c>
      <c r="AE868" s="14" t="str">
        <f>"Matemática"</f>
        <v>Matemática</v>
      </c>
      <c r="AF868" s="14"/>
    </row>
    <row r="869" spans="1:32" x14ac:dyDescent="0.3">
      <c r="A869" s="23" t="s">
        <v>3021</v>
      </c>
      <c r="B869" s="20" t="s">
        <v>16</v>
      </c>
      <c r="C869" s="20" t="s">
        <v>89</v>
      </c>
      <c r="D869" s="20" t="s">
        <v>8</v>
      </c>
      <c r="E869" s="22">
        <v>80</v>
      </c>
      <c r="F869" s="22">
        <v>4</v>
      </c>
      <c r="G869" s="22">
        <v>4</v>
      </c>
      <c r="H869" s="22"/>
      <c r="I869" s="23" t="s">
        <v>9</v>
      </c>
      <c r="J869" s="23"/>
      <c r="K869" s="22"/>
      <c r="L869" s="22"/>
      <c r="M869" s="23"/>
      <c r="N869" s="23"/>
      <c r="O869" s="26" t="s">
        <v>3022</v>
      </c>
      <c r="P869" s="26"/>
      <c r="Q869" s="22"/>
      <c r="R869" s="24"/>
      <c r="S869" s="24"/>
      <c r="T869" s="24"/>
      <c r="U869" s="24"/>
      <c r="V869" s="24"/>
      <c r="W869" s="22" t="s">
        <v>160</v>
      </c>
      <c r="X869" s="4" t="str">
        <f>IF(Tabela2[[#This Row],[sigla]]="","",VLOOKUP(Tabela2[[#This Row],[sigla]],créditos_base!B:C,2,0))</f>
        <v>SERGIO LIMA/ARQUIVO DA EDITORA</v>
      </c>
      <c r="Y869" s="23"/>
      <c r="Z869" s="23" t="str">
        <f>Tabela2[[#This Row],[ilustrador]]</f>
        <v>SERGIO LIMA/ARQUIVO DA EDITORA</v>
      </c>
      <c r="AA869" s="22"/>
      <c r="AB869" s="20"/>
      <c r="AD869" s="4" t="str">
        <f>"Pitanguá"</f>
        <v>Pitanguá</v>
      </c>
      <c r="AE869" s="14" t="str">
        <f>"Matemática"</f>
        <v>Matemática</v>
      </c>
      <c r="AF869" s="14"/>
    </row>
    <row r="870" spans="1:32" ht="57.6" x14ac:dyDescent="0.3">
      <c r="A870" s="23" t="s">
        <v>3893</v>
      </c>
      <c r="B870" s="20" t="s">
        <v>16</v>
      </c>
      <c r="C870" s="20" t="s">
        <v>89</v>
      </c>
      <c r="D870" s="20" t="s">
        <v>8</v>
      </c>
      <c r="E870" s="22">
        <v>85</v>
      </c>
      <c r="F870" s="22">
        <v>5</v>
      </c>
      <c r="G870" s="22">
        <v>4</v>
      </c>
      <c r="H870" s="22"/>
      <c r="I870" s="23" t="s">
        <v>9</v>
      </c>
      <c r="J870" s="23"/>
      <c r="K870" s="22"/>
      <c r="L870" s="22"/>
      <c r="M870" s="23"/>
      <c r="N870" s="23"/>
      <c r="O870" s="26" t="s">
        <v>3894</v>
      </c>
      <c r="P870" s="26"/>
      <c r="Q870" s="22"/>
      <c r="R870" s="24"/>
      <c r="S870" s="24"/>
      <c r="T870" s="24"/>
      <c r="U870" s="24"/>
      <c r="V870" s="24"/>
      <c r="W870" s="22" t="s">
        <v>940</v>
      </c>
      <c r="X870" s="4" t="str">
        <f>IF(Tabela2[[#This Row],[sigla]]="","",VLOOKUP(Tabela2[[#This Row],[sigla]],créditos_base!B:C,2,0))</f>
        <v>RONALDO LUCENA/ARQUIVO DA EDITORA</v>
      </c>
      <c r="Y870" s="23"/>
      <c r="Z870" s="23" t="str">
        <f>Tabela2[[#This Row],[ilustrador]]</f>
        <v>RONALDO LUCENA/ARQUIVO DA EDITORA</v>
      </c>
      <c r="AA870" s="22"/>
      <c r="AB870" s="20"/>
      <c r="AD870" s="4" t="str">
        <f>"Pitanguá"</f>
        <v>Pitanguá</v>
      </c>
      <c r="AE870" s="14" t="str">
        <f>"Matemática"</f>
        <v>Matemática</v>
      </c>
      <c r="AF870" s="14"/>
    </row>
    <row r="871" spans="1:32" ht="28.8" x14ac:dyDescent="0.3">
      <c r="A871" s="23" t="s">
        <v>170</v>
      </c>
      <c r="B871" s="20" t="s">
        <v>6</v>
      </c>
      <c r="C871" s="20" t="s">
        <v>89</v>
      </c>
      <c r="D871" s="20" t="s">
        <v>8</v>
      </c>
      <c r="E871" s="22">
        <v>191</v>
      </c>
      <c r="F871" s="22">
        <v>1</v>
      </c>
      <c r="G871" s="22">
        <v>4</v>
      </c>
      <c r="H871" s="22"/>
      <c r="I871" s="23" t="s">
        <v>9</v>
      </c>
      <c r="J871" s="23"/>
      <c r="K871" s="22"/>
      <c r="L871" s="22"/>
      <c r="M871" s="23"/>
      <c r="N871" s="23"/>
      <c r="O871" s="26" t="s">
        <v>171</v>
      </c>
      <c r="P871" s="26" t="s">
        <v>11</v>
      </c>
      <c r="Q871" s="22"/>
      <c r="R871" s="24"/>
      <c r="S871" s="24"/>
      <c r="T871" s="24"/>
      <c r="U871" s="24"/>
      <c r="V871" s="24"/>
      <c r="W871" s="22" t="s">
        <v>169</v>
      </c>
      <c r="X871" s="4" t="str">
        <f>IF(Tabela2[[#This Row],[sigla]]="","",VLOOKUP(Tabela2[[#This Row],[sigla]],créditos_base!B:C,2,0))</f>
        <v>RENAN FONSECA/ARQUIVO DA EDITORA</v>
      </c>
      <c r="Y871" s="23"/>
      <c r="Z871" s="23" t="str">
        <f>Tabela2[[#This Row],[ilustrador]]</f>
        <v>RENAN FONSECA/ARQUIVO DA EDITORA</v>
      </c>
      <c r="AA871" s="22"/>
      <c r="AB871" s="20"/>
      <c r="AD871" s="4" t="str">
        <f>"Pitanguá"</f>
        <v>Pitanguá</v>
      </c>
      <c r="AE871" s="14" t="str">
        <f>"Matemática"</f>
        <v>Matemática</v>
      </c>
      <c r="AF871" s="14"/>
    </row>
    <row r="872" spans="1:32" x14ac:dyDescent="0.3">
      <c r="A872" s="23" t="s">
        <v>1352</v>
      </c>
      <c r="B872" s="20" t="s">
        <v>16</v>
      </c>
      <c r="C872" s="20" t="s">
        <v>7</v>
      </c>
      <c r="D872" s="20" t="s">
        <v>8</v>
      </c>
      <c r="E872" s="22">
        <v>200</v>
      </c>
      <c r="F872" s="22">
        <v>2</v>
      </c>
      <c r="G872" s="22">
        <v>4</v>
      </c>
      <c r="H872" s="22"/>
      <c r="I872" s="23" t="s">
        <v>9</v>
      </c>
      <c r="J872" s="23"/>
      <c r="K872" s="22"/>
      <c r="L872" s="22"/>
      <c r="M872" s="23"/>
      <c r="N872" s="23"/>
      <c r="O872" s="26" t="s">
        <v>1353</v>
      </c>
      <c r="P872" s="26"/>
      <c r="Q872" s="22"/>
      <c r="R872" s="24"/>
      <c r="S872" s="24"/>
      <c r="T872" s="24"/>
      <c r="U872" s="24"/>
      <c r="V872" s="24"/>
      <c r="W872" s="22" t="s">
        <v>468</v>
      </c>
      <c r="X872" s="4" t="str">
        <f>IF(Tabela2[[#This Row],[sigla]]="","",VLOOKUP(Tabela2[[#This Row],[sigla]],créditos_base!B:C,2,0))</f>
        <v>VER DOCUMENTO DE ILS. TÉCNICAS</v>
      </c>
      <c r="Y872" s="23"/>
      <c r="Z872" s="23" t="s">
        <v>1327</v>
      </c>
      <c r="AA872" s="22"/>
      <c r="AB872" s="20"/>
      <c r="AD872" s="4" t="str">
        <f>"Pitanguá"</f>
        <v>Pitanguá</v>
      </c>
      <c r="AE872" s="14" t="str">
        <f>"Matemática"</f>
        <v>Matemática</v>
      </c>
      <c r="AF872" s="14"/>
    </row>
    <row r="873" spans="1:32" x14ac:dyDescent="0.3">
      <c r="A873" s="23" t="s">
        <v>2016</v>
      </c>
      <c r="B873" s="20" t="s">
        <v>16</v>
      </c>
      <c r="C873" s="20" t="s">
        <v>89</v>
      </c>
      <c r="D873" s="20" t="s">
        <v>8</v>
      </c>
      <c r="E873" s="22">
        <v>70</v>
      </c>
      <c r="F873" s="22">
        <v>3</v>
      </c>
      <c r="G873" s="22">
        <v>4</v>
      </c>
      <c r="H873" s="22"/>
      <c r="I873" s="23" t="s">
        <v>9</v>
      </c>
      <c r="J873" s="23"/>
      <c r="K873" s="22"/>
      <c r="L873" s="22"/>
      <c r="M873" s="23"/>
      <c r="N873" s="23"/>
      <c r="O873" s="26" t="s">
        <v>2017</v>
      </c>
      <c r="P873" s="26"/>
      <c r="Q873" s="22"/>
      <c r="R873" s="24"/>
      <c r="S873" s="24"/>
      <c r="T873" s="24"/>
      <c r="U873" s="24"/>
      <c r="V873" s="24"/>
      <c r="W873" s="22" t="s">
        <v>468</v>
      </c>
      <c r="X873" s="4" t="str">
        <f>IF(Tabela2[[#This Row],[sigla]]="","",VLOOKUP(Tabela2[[#This Row],[sigla]],créditos_base!B:C,2,0))</f>
        <v>VER DOCUMENTO DE ILS. TÉCNICAS</v>
      </c>
      <c r="Y873" s="23"/>
      <c r="Z873" s="23" t="s">
        <v>661</v>
      </c>
      <c r="AA873" s="22"/>
      <c r="AB873" s="20"/>
      <c r="AD873" s="4" t="str">
        <f>"Pitanguá"</f>
        <v>Pitanguá</v>
      </c>
      <c r="AE873" s="14" t="str">
        <f>"Matemática"</f>
        <v>Matemática</v>
      </c>
      <c r="AF873" s="14"/>
    </row>
    <row r="874" spans="1:32" x14ac:dyDescent="0.3">
      <c r="A874" s="23" t="s">
        <v>3023</v>
      </c>
      <c r="B874" s="20" t="s">
        <v>16</v>
      </c>
      <c r="C874" s="20" t="s">
        <v>89</v>
      </c>
      <c r="D874" s="20" t="s">
        <v>8</v>
      </c>
      <c r="E874" s="22">
        <v>80</v>
      </c>
      <c r="F874" s="22">
        <v>4</v>
      </c>
      <c r="G874" s="22">
        <v>4</v>
      </c>
      <c r="H874" s="22"/>
      <c r="I874" s="23" t="s">
        <v>9</v>
      </c>
      <c r="J874" s="23"/>
      <c r="K874" s="22"/>
      <c r="L874" s="22"/>
      <c r="M874" s="23"/>
      <c r="N874" s="23"/>
      <c r="O874" s="26" t="s">
        <v>3024</v>
      </c>
      <c r="P874" s="26"/>
      <c r="Q874" s="22"/>
      <c r="R874" s="24"/>
      <c r="S874" s="24"/>
      <c r="T874" s="24"/>
      <c r="U874" s="24"/>
      <c r="V874" s="24"/>
      <c r="W874" s="22" t="s">
        <v>160</v>
      </c>
      <c r="X874" s="4" t="str">
        <f>IF(Tabela2[[#This Row],[sigla]]="","",VLOOKUP(Tabela2[[#This Row],[sigla]],créditos_base!B:C,2,0))</f>
        <v>SERGIO LIMA/ARQUIVO DA EDITORA</v>
      </c>
      <c r="Y874" s="23"/>
      <c r="Z874" s="23" t="str">
        <f>Tabela2[[#This Row],[ilustrador]]</f>
        <v>SERGIO LIMA/ARQUIVO DA EDITORA</v>
      </c>
      <c r="AA874" s="22"/>
      <c r="AB874" s="20"/>
      <c r="AD874" s="4" t="str">
        <f>"Pitanguá"</f>
        <v>Pitanguá</v>
      </c>
      <c r="AE874" s="14" t="str">
        <f>"Matemática"</f>
        <v>Matemática</v>
      </c>
      <c r="AF874" s="14"/>
    </row>
    <row r="875" spans="1:32" x14ac:dyDescent="0.3">
      <c r="A875" s="23" t="s">
        <v>3895</v>
      </c>
      <c r="B875" s="20" t="s">
        <v>16</v>
      </c>
      <c r="C875" s="20" t="s">
        <v>89</v>
      </c>
      <c r="D875" s="20" t="s">
        <v>8</v>
      </c>
      <c r="E875" s="22">
        <v>85</v>
      </c>
      <c r="F875" s="22">
        <v>5</v>
      </c>
      <c r="G875" s="22">
        <v>4</v>
      </c>
      <c r="H875" s="22"/>
      <c r="I875" s="23" t="s">
        <v>9</v>
      </c>
      <c r="J875" s="23"/>
      <c r="K875" s="22"/>
      <c r="L875" s="22"/>
      <c r="M875" s="23"/>
      <c r="N875" s="23"/>
      <c r="O875" s="26" t="s">
        <v>3896</v>
      </c>
      <c r="P875" s="26"/>
      <c r="Q875" s="22"/>
      <c r="R875" s="24"/>
      <c r="S875" s="24"/>
      <c r="T875" s="24"/>
      <c r="U875" s="24"/>
      <c r="V875" s="24"/>
      <c r="W875" s="22" t="s">
        <v>940</v>
      </c>
      <c r="X875" s="4" t="str">
        <f>IF(Tabela2[[#This Row],[sigla]]="","",VLOOKUP(Tabela2[[#This Row],[sigla]],créditos_base!B:C,2,0))</f>
        <v>RONALDO LUCENA/ARQUIVO DA EDITORA</v>
      </c>
      <c r="Y875" s="23"/>
      <c r="Z875" s="23" t="str">
        <f>Tabela2[[#This Row],[ilustrador]]</f>
        <v>RONALDO LUCENA/ARQUIVO DA EDITORA</v>
      </c>
      <c r="AA875" s="22"/>
      <c r="AB875" s="20"/>
      <c r="AD875" s="4" t="str">
        <f>"Pitanguá"</f>
        <v>Pitanguá</v>
      </c>
      <c r="AE875" s="14" t="str">
        <f>"Matemática"</f>
        <v>Matemática</v>
      </c>
      <c r="AF875" s="14"/>
    </row>
    <row r="876" spans="1:32" x14ac:dyDescent="0.3">
      <c r="A876" s="23" t="s">
        <v>147</v>
      </c>
      <c r="B876" s="20" t="s">
        <v>135</v>
      </c>
      <c r="C876" s="20" t="s">
        <v>7</v>
      </c>
      <c r="D876" s="20" t="s">
        <v>8</v>
      </c>
      <c r="E876" s="22">
        <v>189</v>
      </c>
      <c r="F876" s="22">
        <v>1</v>
      </c>
      <c r="G876" s="22">
        <v>4</v>
      </c>
      <c r="H876" s="22"/>
      <c r="I876" s="23" t="s">
        <v>33</v>
      </c>
      <c r="J876" s="23"/>
      <c r="K876" s="22"/>
      <c r="L876" s="22"/>
      <c r="M876" s="23"/>
      <c r="N876" s="23"/>
      <c r="O876" s="26" t="s">
        <v>148</v>
      </c>
      <c r="P876" s="26"/>
      <c r="Q876" s="22">
        <v>2</v>
      </c>
      <c r="R876" s="24">
        <v>45722</v>
      </c>
      <c r="S876" s="24">
        <v>45722</v>
      </c>
      <c r="T876" s="24"/>
      <c r="U876" s="24"/>
      <c r="V876" s="24">
        <v>45722</v>
      </c>
      <c r="W876" s="22" t="s">
        <v>31</v>
      </c>
      <c r="X876" s="4" t="str">
        <f>IF(Tabela2[[#This Row],[sigla]]="","",VLOOKUP(Tabela2[[#This Row],[sigla]],créditos_base!B:C,2,0))</f>
        <v>SILVIA OTOFUJI/ARQUIVO DA EDITORA</v>
      </c>
      <c r="Y876" s="23" t="s">
        <v>140</v>
      </c>
      <c r="Z876" s="23" t="str">
        <f>Tabela2[[#This Row],[ilustrador]]</f>
        <v>SILVIA OTOFUJI/ARQUIVO DA EDITORA</v>
      </c>
      <c r="AA876" s="22">
        <v>14</v>
      </c>
      <c r="AB876" s="20"/>
      <c r="AC876" s="20" t="s">
        <v>36</v>
      </c>
      <c r="AD876" s="4" t="str">
        <f>"Pitanguá"</f>
        <v>Pitanguá</v>
      </c>
      <c r="AE876" s="14" t="str">
        <f>"Matemática"</f>
        <v>Matemática</v>
      </c>
      <c r="AF876" s="14"/>
    </row>
    <row r="877" spans="1:32" ht="72" x14ac:dyDescent="0.3">
      <c r="A877" s="23" t="s">
        <v>1354</v>
      </c>
      <c r="B877" s="20" t="s">
        <v>16</v>
      </c>
      <c r="C877" s="20" t="s">
        <v>7</v>
      </c>
      <c r="D877" s="20" t="s">
        <v>8</v>
      </c>
      <c r="E877" s="22">
        <v>200</v>
      </c>
      <c r="F877" s="22">
        <v>2</v>
      </c>
      <c r="G877" s="22">
        <v>4</v>
      </c>
      <c r="H877" s="22"/>
      <c r="I877" s="23" t="s">
        <v>9</v>
      </c>
      <c r="J877" s="23"/>
      <c r="K877" s="22"/>
      <c r="L877" s="22"/>
      <c r="M877" s="23"/>
      <c r="N877" s="23"/>
      <c r="O877" s="26" t="s">
        <v>1353</v>
      </c>
      <c r="P877" s="26"/>
      <c r="Q877" s="22"/>
      <c r="R877" s="24"/>
      <c r="S877" s="24"/>
      <c r="T877" s="24"/>
      <c r="U877" s="24"/>
      <c r="V877" s="24"/>
      <c r="W877" s="22" t="s">
        <v>468</v>
      </c>
      <c r="X877" s="4" t="str">
        <f>IF(Tabela2[[#This Row],[sigla]]="","",VLOOKUP(Tabela2[[#This Row],[sigla]],créditos_base!B:C,2,0))</f>
        <v>VER DOCUMENTO DE ILS. TÉCNICAS</v>
      </c>
      <c r="Y877" s="23"/>
      <c r="Z877" s="23" t="s">
        <v>1327</v>
      </c>
      <c r="AA877" s="22"/>
      <c r="AB877" s="20"/>
      <c r="AD877" s="4" t="str">
        <f>"Pitanguá"</f>
        <v>Pitanguá</v>
      </c>
      <c r="AE877" s="14" t="str">
        <f>"Matemática"</f>
        <v>Matemática</v>
      </c>
      <c r="AF877" s="14"/>
    </row>
    <row r="878" spans="1:32" ht="28.8" x14ac:dyDescent="0.3">
      <c r="A878" s="23" t="s">
        <v>2018</v>
      </c>
      <c r="B878" s="20" t="s">
        <v>16</v>
      </c>
      <c r="C878" s="20" t="s">
        <v>89</v>
      </c>
      <c r="D878" s="20" t="s">
        <v>8</v>
      </c>
      <c r="E878" s="22">
        <v>72</v>
      </c>
      <c r="F878" s="22">
        <v>3</v>
      </c>
      <c r="G878" s="22">
        <v>4</v>
      </c>
      <c r="H878" s="22"/>
      <c r="I878" s="23" t="s">
        <v>33</v>
      </c>
      <c r="J878" s="23"/>
      <c r="K878" s="22"/>
      <c r="L878" s="22"/>
      <c r="M878" s="23"/>
      <c r="N878" s="23"/>
      <c r="O878" s="26" t="s">
        <v>2019</v>
      </c>
      <c r="P878" s="26"/>
      <c r="Q878" s="22">
        <v>26</v>
      </c>
      <c r="R878" s="24">
        <v>45751</v>
      </c>
      <c r="S878" s="24">
        <v>45751</v>
      </c>
      <c r="T878" s="24"/>
      <c r="U878" s="24"/>
      <c r="V878" s="24">
        <v>45751</v>
      </c>
      <c r="W878" s="22" t="s">
        <v>468</v>
      </c>
      <c r="X878" s="4" t="str">
        <f>IF(Tabela2[[#This Row],[sigla]]="","",VLOOKUP(Tabela2[[#This Row],[sigla]],créditos_base!B:C,2,0))</f>
        <v>VER DOCUMENTO DE ILS. TÉCNICAS</v>
      </c>
      <c r="Y878" s="23" t="s">
        <v>524</v>
      </c>
      <c r="Z878" s="23" t="s">
        <v>661</v>
      </c>
      <c r="AA878" s="22">
        <v>14</v>
      </c>
      <c r="AB878" s="20" t="s">
        <v>1500</v>
      </c>
      <c r="AC878" s="20" t="s">
        <v>36</v>
      </c>
      <c r="AD878" s="4" t="str">
        <f>"Pitanguá"</f>
        <v>Pitanguá</v>
      </c>
      <c r="AE878" s="14" t="str">
        <f>"Matemática"</f>
        <v>Matemática</v>
      </c>
      <c r="AF878" s="14"/>
    </row>
    <row r="879" spans="1:32" ht="57.6" x14ac:dyDescent="0.3">
      <c r="A879" s="23" t="s">
        <v>3025</v>
      </c>
      <c r="B879" s="20" t="s">
        <v>16</v>
      </c>
      <c r="C879" s="20" t="s">
        <v>89</v>
      </c>
      <c r="D879" s="20" t="s">
        <v>8</v>
      </c>
      <c r="E879" s="22">
        <v>80</v>
      </c>
      <c r="F879" s="22">
        <v>4</v>
      </c>
      <c r="G879" s="22">
        <v>4</v>
      </c>
      <c r="H879" s="22"/>
      <c r="I879" s="23" t="s">
        <v>9</v>
      </c>
      <c r="J879" s="23"/>
      <c r="K879" s="22"/>
      <c r="L879" s="22"/>
      <c r="M879" s="23"/>
      <c r="N879" s="23"/>
      <c r="O879" s="26" t="s">
        <v>3026</v>
      </c>
      <c r="P879" s="26"/>
      <c r="Q879" s="22"/>
      <c r="R879" s="24"/>
      <c r="S879" s="24"/>
      <c r="T879" s="24"/>
      <c r="U879" s="24"/>
      <c r="V879" s="24"/>
      <c r="W879" s="22" t="s">
        <v>160</v>
      </c>
      <c r="X879" s="4" t="str">
        <f>IF(Tabela2[[#This Row],[sigla]]="","",VLOOKUP(Tabela2[[#This Row],[sigla]],créditos_base!B:C,2,0))</f>
        <v>SERGIO LIMA/ARQUIVO DA EDITORA</v>
      </c>
      <c r="Y879" s="23"/>
      <c r="Z879" s="23" t="str">
        <f>Tabela2[[#This Row],[ilustrador]]</f>
        <v>SERGIO LIMA/ARQUIVO DA EDITORA</v>
      </c>
      <c r="AA879" s="22"/>
      <c r="AB879" s="20"/>
      <c r="AD879" s="4" t="str">
        <f>"Pitanguá"</f>
        <v>Pitanguá</v>
      </c>
      <c r="AE879" s="14" t="str">
        <f>"Matemática"</f>
        <v>Matemática</v>
      </c>
      <c r="AF879" s="14"/>
    </row>
    <row r="880" spans="1:32" ht="28.8" x14ac:dyDescent="0.3">
      <c r="A880" s="23" t="s">
        <v>3897</v>
      </c>
      <c r="B880" s="20" t="s">
        <v>16</v>
      </c>
      <c r="C880" s="20" t="s">
        <v>89</v>
      </c>
      <c r="D880" s="20" t="s">
        <v>8</v>
      </c>
      <c r="E880" s="22">
        <v>85</v>
      </c>
      <c r="F880" s="22">
        <v>5</v>
      </c>
      <c r="G880" s="22">
        <v>4</v>
      </c>
      <c r="H880" s="22"/>
      <c r="I880" s="23" t="s">
        <v>9</v>
      </c>
      <c r="J880" s="23"/>
      <c r="K880" s="22"/>
      <c r="L880" s="22"/>
      <c r="M880" s="23"/>
      <c r="N880" s="23"/>
      <c r="O880" s="26" t="s">
        <v>3898</v>
      </c>
      <c r="P880" s="26"/>
      <c r="Q880" s="22"/>
      <c r="R880" s="24"/>
      <c r="S880" s="24"/>
      <c r="T880" s="24"/>
      <c r="U880" s="24"/>
      <c r="V880" s="24"/>
      <c r="W880" s="22" t="s">
        <v>940</v>
      </c>
      <c r="X880" s="4" t="str">
        <f>IF(Tabela2[[#This Row],[sigla]]="","",VLOOKUP(Tabela2[[#This Row],[sigla]],créditos_base!B:C,2,0))</f>
        <v>RONALDO LUCENA/ARQUIVO DA EDITORA</v>
      </c>
      <c r="Y880" s="23"/>
      <c r="Z880" s="23" t="str">
        <f>Tabela2[[#This Row],[ilustrador]]</f>
        <v>RONALDO LUCENA/ARQUIVO DA EDITORA</v>
      </c>
      <c r="AA880" s="22"/>
      <c r="AB880" s="20"/>
      <c r="AD880" s="4" t="str">
        <f>"Pitanguá"</f>
        <v>Pitanguá</v>
      </c>
      <c r="AE880" s="14" t="str">
        <f>"Matemática"</f>
        <v>Matemática</v>
      </c>
      <c r="AF880" s="14"/>
    </row>
    <row r="881" spans="1:32" ht="28.8" x14ac:dyDescent="0.3">
      <c r="A881" s="23" t="s">
        <v>1355</v>
      </c>
      <c r="B881" s="20" t="s">
        <v>16</v>
      </c>
      <c r="C881" s="20" t="s">
        <v>7</v>
      </c>
      <c r="D881" s="20" t="s">
        <v>8</v>
      </c>
      <c r="E881" s="22">
        <v>200</v>
      </c>
      <c r="F881" s="22">
        <v>2</v>
      </c>
      <c r="G881" s="22">
        <v>4</v>
      </c>
      <c r="H881" s="22"/>
      <c r="I881" s="23" t="s">
        <v>9</v>
      </c>
      <c r="J881" s="23"/>
      <c r="K881" s="22"/>
      <c r="L881" s="22"/>
      <c r="M881" s="23"/>
      <c r="N881" s="23"/>
      <c r="O881" s="26" t="s">
        <v>1356</v>
      </c>
      <c r="P881" s="26"/>
      <c r="Q881" s="22"/>
      <c r="R881" s="24"/>
      <c r="S881" s="24"/>
      <c r="T881" s="24"/>
      <c r="U881" s="24"/>
      <c r="V881" s="24"/>
      <c r="W881" s="22" t="s">
        <v>468</v>
      </c>
      <c r="X881" s="4" t="str">
        <f>IF(Tabela2[[#This Row],[sigla]]="","",VLOOKUP(Tabela2[[#This Row],[sigla]],créditos_base!B:C,2,0))</f>
        <v>VER DOCUMENTO DE ILS. TÉCNICAS</v>
      </c>
      <c r="Y881" s="23"/>
      <c r="Z881" s="23" t="s">
        <v>1327</v>
      </c>
      <c r="AA881" s="22"/>
      <c r="AB881" s="20"/>
      <c r="AD881" s="4" t="str">
        <f>"Pitanguá"</f>
        <v>Pitanguá</v>
      </c>
      <c r="AE881" s="14" t="str">
        <f>"Matemática"</f>
        <v>Matemática</v>
      </c>
      <c r="AF881" s="14"/>
    </row>
    <row r="882" spans="1:32" x14ac:dyDescent="0.3">
      <c r="A882" s="23" t="s">
        <v>2020</v>
      </c>
      <c r="B882" s="20" t="s">
        <v>16</v>
      </c>
      <c r="C882" s="20" t="s">
        <v>7</v>
      </c>
      <c r="D882" s="20" t="s">
        <v>8</v>
      </c>
      <c r="E882" s="22">
        <v>72</v>
      </c>
      <c r="F882" s="22">
        <v>3</v>
      </c>
      <c r="G882" s="22">
        <v>4</v>
      </c>
      <c r="H882" s="22"/>
      <c r="I882" s="23" t="s">
        <v>33</v>
      </c>
      <c r="J882" s="23"/>
      <c r="K882" s="22"/>
      <c r="L882" s="22"/>
      <c r="M882" s="23"/>
      <c r="N882" s="23"/>
      <c r="O882" s="26" t="s">
        <v>2021</v>
      </c>
      <c r="P882" s="26"/>
      <c r="Q882" s="22">
        <v>213</v>
      </c>
      <c r="R882" s="24">
        <v>45930</v>
      </c>
      <c r="S882" s="24">
        <v>45930</v>
      </c>
      <c r="T882" s="24"/>
      <c r="U882" s="24"/>
      <c r="V882" s="24">
        <v>45930</v>
      </c>
      <c r="W882" s="22" t="s">
        <v>87</v>
      </c>
      <c r="X882" s="4" t="str">
        <f>IF(Tabela2[[#This Row],[sigla]]="","",VLOOKUP(Tabela2[[#This Row],[sigla]],créditos_base!B:C,2,0))</f>
        <v>CHRIS BORGES/ARQUIVO DA EDITORA</v>
      </c>
      <c r="Y882" s="23" t="s">
        <v>1139</v>
      </c>
      <c r="Z882" s="23" t="str">
        <f>Tabela2[[#This Row],[ilustrador]]</f>
        <v>CHRIS BORGES/ARQUIVO DA EDITORA</v>
      </c>
      <c r="AA882" s="22">
        <v>13</v>
      </c>
      <c r="AB882" s="20" t="s">
        <v>2022</v>
      </c>
      <c r="AD882" s="4" t="str">
        <f>"Pitanguá"</f>
        <v>Pitanguá</v>
      </c>
      <c r="AE882" s="14" t="str">
        <f>"Matemática"</f>
        <v>Matemática</v>
      </c>
      <c r="AF882" s="14"/>
    </row>
    <row r="883" spans="1:32" ht="57.6" x14ac:dyDescent="0.3">
      <c r="A883" s="23" t="s">
        <v>3027</v>
      </c>
      <c r="B883" s="20" t="s">
        <v>16</v>
      </c>
      <c r="C883" s="20" t="s">
        <v>89</v>
      </c>
      <c r="D883" s="20" t="s">
        <v>8</v>
      </c>
      <c r="E883" s="22">
        <v>80</v>
      </c>
      <c r="F883" s="22">
        <v>4</v>
      </c>
      <c r="G883" s="22">
        <v>4</v>
      </c>
      <c r="H883" s="22"/>
      <c r="I883" s="23" t="s">
        <v>9</v>
      </c>
      <c r="J883" s="23"/>
      <c r="K883" s="22"/>
      <c r="L883" s="22"/>
      <c r="M883" s="23"/>
      <c r="N883" s="23"/>
      <c r="O883" s="26" t="s">
        <v>3028</v>
      </c>
      <c r="P883" s="26"/>
      <c r="Q883" s="22"/>
      <c r="R883" s="24"/>
      <c r="S883" s="24"/>
      <c r="T883" s="24"/>
      <c r="U883" s="24"/>
      <c r="V883" s="24"/>
      <c r="W883" s="22" t="s">
        <v>160</v>
      </c>
      <c r="X883" s="4" t="str">
        <f>IF(Tabela2[[#This Row],[sigla]]="","",VLOOKUP(Tabela2[[#This Row],[sigla]],créditos_base!B:C,2,0))</f>
        <v>SERGIO LIMA/ARQUIVO DA EDITORA</v>
      </c>
      <c r="Y883" s="23"/>
      <c r="Z883" s="23" t="str">
        <f>Tabela2[[#This Row],[ilustrador]]</f>
        <v>SERGIO LIMA/ARQUIVO DA EDITORA</v>
      </c>
      <c r="AA883" s="22"/>
      <c r="AB883" s="20"/>
      <c r="AD883" s="4" t="str">
        <f>"Pitanguá"</f>
        <v>Pitanguá</v>
      </c>
      <c r="AE883" s="14" t="str">
        <f>"Matemática"</f>
        <v>Matemática</v>
      </c>
      <c r="AF883" s="14"/>
    </row>
    <row r="884" spans="1:32" ht="28.8" x14ac:dyDescent="0.3">
      <c r="A884" s="23" t="s">
        <v>3899</v>
      </c>
      <c r="B884" s="20" t="s">
        <v>16</v>
      </c>
      <c r="C884" s="20" t="s">
        <v>89</v>
      </c>
      <c r="D884" s="20" t="s">
        <v>8</v>
      </c>
      <c r="E884" s="22">
        <v>85</v>
      </c>
      <c r="F884" s="22">
        <v>5</v>
      </c>
      <c r="G884" s="22">
        <v>4</v>
      </c>
      <c r="H884" s="22"/>
      <c r="I884" s="23" t="s">
        <v>9</v>
      </c>
      <c r="J884" s="23"/>
      <c r="K884" s="22"/>
      <c r="L884" s="22"/>
      <c r="M884" s="23"/>
      <c r="N884" s="23"/>
      <c r="O884" s="26" t="s">
        <v>3900</v>
      </c>
      <c r="P884" s="26"/>
      <c r="Q884" s="22"/>
      <c r="R884" s="24"/>
      <c r="S884" s="24"/>
      <c r="T884" s="24"/>
      <c r="U884" s="24"/>
      <c r="V884" s="24"/>
      <c r="W884" s="22" t="s">
        <v>940</v>
      </c>
      <c r="X884" s="4" t="str">
        <f>IF(Tabela2[[#This Row],[sigla]]="","",VLOOKUP(Tabela2[[#This Row],[sigla]],créditos_base!B:C,2,0))</f>
        <v>RONALDO LUCENA/ARQUIVO DA EDITORA</v>
      </c>
      <c r="Y884" s="23"/>
      <c r="Z884" s="23" t="str">
        <f>Tabela2[[#This Row],[ilustrador]]</f>
        <v>RONALDO LUCENA/ARQUIVO DA EDITORA</v>
      </c>
      <c r="AA884" s="22"/>
      <c r="AB884" s="20"/>
      <c r="AD884" s="4" t="str">
        <f>"Pitanguá"</f>
        <v>Pitanguá</v>
      </c>
      <c r="AE884" s="14" t="str">
        <f>"Matemática"</f>
        <v>Matemática</v>
      </c>
      <c r="AF884" s="14"/>
    </row>
    <row r="885" spans="1:32" ht="28.8" x14ac:dyDescent="0.3">
      <c r="A885" s="23" t="s">
        <v>1357</v>
      </c>
      <c r="B885" s="20" t="s">
        <v>16</v>
      </c>
      <c r="C885" s="20" t="s">
        <v>7</v>
      </c>
      <c r="D885" s="20" t="s">
        <v>8</v>
      </c>
      <c r="E885" s="22">
        <v>200</v>
      </c>
      <c r="F885" s="22">
        <v>2</v>
      </c>
      <c r="G885" s="22">
        <v>4</v>
      </c>
      <c r="H885" s="22"/>
      <c r="I885" s="23" t="s">
        <v>9</v>
      </c>
      <c r="J885" s="23"/>
      <c r="K885" s="22"/>
      <c r="L885" s="22"/>
      <c r="M885" s="23"/>
      <c r="N885" s="23"/>
      <c r="O885" s="26" t="s">
        <v>1351</v>
      </c>
      <c r="P885" s="26"/>
      <c r="Q885" s="22"/>
      <c r="R885" s="24"/>
      <c r="S885" s="24"/>
      <c r="T885" s="24"/>
      <c r="U885" s="24"/>
      <c r="V885" s="24"/>
      <c r="W885" s="22" t="s">
        <v>468</v>
      </c>
      <c r="X885" s="4" t="str">
        <f>IF(Tabela2[[#This Row],[sigla]]="","",VLOOKUP(Tabela2[[#This Row],[sigla]],créditos_base!B:C,2,0))</f>
        <v>VER DOCUMENTO DE ILS. TÉCNICAS</v>
      </c>
      <c r="Y885" s="23"/>
      <c r="Z885" s="23" t="s">
        <v>1327</v>
      </c>
      <c r="AA885" s="22"/>
      <c r="AB885" s="20"/>
      <c r="AD885" s="4" t="str">
        <f>"Pitanguá"</f>
        <v>Pitanguá</v>
      </c>
      <c r="AE885" s="14" t="str">
        <f>"Matemática"</f>
        <v>Matemática</v>
      </c>
      <c r="AF885" s="14"/>
    </row>
    <row r="886" spans="1:32" ht="28.8" x14ac:dyDescent="0.3">
      <c r="A886" s="23" t="s">
        <v>2023</v>
      </c>
      <c r="B886" s="20" t="s">
        <v>16</v>
      </c>
      <c r="C886" s="20" t="s">
        <v>7</v>
      </c>
      <c r="D886" s="20" t="s">
        <v>8</v>
      </c>
      <c r="E886" s="22">
        <v>72</v>
      </c>
      <c r="F886" s="22">
        <v>3</v>
      </c>
      <c r="G886" s="22">
        <v>4</v>
      </c>
      <c r="H886" s="22"/>
      <c r="I886" s="23" t="s">
        <v>33</v>
      </c>
      <c r="J886" s="23"/>
      <c r="K886" s="22"/>
      <c r="L886" s="22"/>
      <c r="M886" s="23"/>
      <c r="N886" s="23"/>
      <c r="O886" s="26" t="s">
        <v>2024</v>
      </c>
      <c r="P886" s="26"/>
      <c r="Q886" s="22">
        <v>213</v>
      </c>
      <c r="R886" s="24">
        <v>45930</v>
      </c>
      <c r="S886" s="24">
        <v>45930</v>
      </c>
      <c r="T886" s="24"/>
      <c r="U886" s="24"/>
      <c r="V886" s="24">
        <v>45930</v>
      </c>
      <c r="W886" s="22" t="s">
        <v>87</v>
      </c>
      <c r="X886" s="4" t="str">
        <f>IF(Tabela2[[#This Row],[sigla]]="","",VLOOKUP(Tabela2[[#This Row],[sigla]],créditos_base!B:C,2,0))</f>
        <v>CHRIS BORGES/ARQUIVO DA EDITORA</v>
      </c>
      <c r="Y886" s="23" t="s">
        <v>1139</v>
      </c>
      <c r="Z886" s="23" t="str">
        <f>Tabela2[[#This Row],[ilustrador]]</f>
        <v>CHRIS BORGES/ARQUIVO DA EDITORA</v>
      </c>
      <c r="AA886" s="22">
        <v>13</v>
      </c>
      <c r="AB886" s="20" t="s">
        <v>2022</v>
      </c>
      <c r="AD886" s="4" t="str">
        <f>"Pitanguá"</f>
        <v>Pitanguá</v>
      </c>
      <c r="AE886" s="14" t="str">
        <f>"Matemática"</f>
        <v>Matemática</v>
      </c>
      <c r="AF886" s="14"/>
    </row>
    <row r="887" spans="1:32" ht="28.8" x14ac:dyDescent="0.3">
      <c r="A887" s="23" t="s">
        <v>3029</v>
      </c>
      <c r="B887" s="20" t="s">
        <v>135</v>
      </c>
      <c r="C887" s="20" t="s">
        <v>7</v>
      </c>
      <c r="D887" s="20" t="s">
        <v>8</v>
      </c>
      <c r="E887" s="22">
        <v>81</v>
      </c>
      <c r="F887" s="22">
        <v>4</v>
      </c>
      <c r="G887" s="22">
        <v>4</v>
      </c>
      <c r="H887" s="22"/>
      <c r="I887" s="23" t="s">
        <v>33</v>
      </c>
      <c r="J887" s="23"/>
      <c r="K887" s="22"/>
      <c r="L887" s="22"/>
      <c r="M887" s="23"/>
      <c r="N887" s="23"/>
      <c r="O887" s="26" t="s">
        <v>3030</v>
      </c>
      <c r="P887" s="26"/>
      <c r="Q887" s="22">
        <v>183</v>
      </c>
      <c r="R887" s="24">
        <v>45908</v>
      </c>
      <c r="S887" s="24">
        <v>45909</v>
      </c>
      <c r="T887" s="24"/>
      <c r="U887" s="24"/>
      <c r="V887" s="24">
        <v>45909</v>
      </c>
      <c r="W887" s="22" t="s">
        <v>12</v>
      </c>
      <c r="X887" s="4" t="str">
        <f>IF(Tabela2[[#This Row],[sigla]]="","",VLOOKUP(Tabela2[[#This Row],[sigla]],créditos_base!B:C,2,0))</f>
        <v>JORGE ZAIBA/ARQUIVO DA EDITORA</v>
      </c>
      <c r="Y887" s="23" t="s">
        <v>188</v>
      </c>
      <c r="Z887" s="23" t="str">
        <f>Tabela2[[#This Row],[ilustrador]]</f>
        <v>JORGE ZAIBA/ARQUIVO DA EDITORA</v>
      </c>
      <c r="AA887" s="22">
        <v>13</v>
      </c>
      <c r="AB887" s="20" t="s">
        <v>2022</v>
      </c>
      <c r="AC887" s="20" t="s">
        <v>36</v>
      </c>
      <c r="AD887" s="4" t="str">
        <f>"Pitanguá"</f>
        <v>Pitanguá</v>
      </c>
      <c r="AE887" s="14" t="str">
        <f>"Matemática"</f>
        <v>Matemática</v>
      </c>
      <c r="AF887" s="14"/>
    </row>
    <row r="888" spans="1:32" ht="57.6" x14ac:dyDescent="0.3">
      <c r="A888" s="23" t="s">
        <v>3901</v>
      </c>
      <c r="B888" s="20" t="s">
        <v>16</v>
      </c>
      <c r="C888" s="20" t="s">
        <v>89</v>
      </c>
      <c r="D888" s="20" t="s">
        <v>8</v>
      </c>
      <c r="E888" s="22">
        <v>67</v>
      </c>
      <c r="F888" s="22">
        <v>5</v>
      </c>
      <c r="G888" s="22">
        <v>4</v>
      </c>
      <c r="H888" s="22"/>
      <c r="I888" s="23" t="s">
        <v>9</v>
      </c>
      <c r="J888" s="23"/>
      <c r="K888" s="22"/>
      <c r="L888" s="22"/>
      <c r="M888" s="23"/>
      <c r="N888" s="23"/>
      <c r="O888" s="26" t="s">
        <v>3902</v>
      </c>
      <c r="P888" s="26"/>
      <c r="Q888" s="22"/>
      <c r="R888" s="24"/>
      <c r="S888" s="24"/>
      <c r="T888" s="24"/>
      <c r="U888" s="24"/>
      <c r="V888" s="24"/>
      <c r="W888" s="22" t="s">
        <v>940</v>
      </c>
      <c r="X888" s="4" t="str">
        <f>IF(Tabela2[[#This Row],[sigla]]="","",VLOOKUP(Tabela2[[#This Row],[sigla]],créditos_base!B:C,2,0))</f>
        <v>RONALDO LUCENA/ARQUIVO DA EDITORA</v>
      </c>
      <c r="Y888" s="23"/>
      <c r="Z888" s="23" t="str">
        <f>Tabela2[[#This Row],[ilustrador]]</f>
        <v>RONALDO LUCENA/ARQUIVO DA EDITORA</v>
      </c>
      <c r="AA888" s="22"/>
      <c r="AB888" s="20"/>
      <c r="AD888" s="4" t="str">
        <f>"Pitanguá"</f>
        <v>Pitanguá</v>
      </c>
      <c r="AE888" s="14" t="str">
        <f>"Matemática"</f>
        <v>Matemática</v>
      </c>
      <c r="AF888" s="14"/>
    </row>
    <row r="889" spans="1:32" x14ac:dyDescent="0.3">
      <c r="A889" s="23" t="s">
        <v>1358</v>
      </c>
      <c r="B889" s="20" t="s">
        <v>16</v>
      </c>
      <c r="C889" s="20" t="s">
        <v>7</v>
      </c>
      <c r="D889" s="20" t="s">
        <v>8</v>
      </c>
      <c r="E889" s="22">
        <v>201</v>
      </c>
      <c r="F889" s="22">
        <v>2</v>
      </c>
      <c r="G889" s="22">
        <v>4</v>
      </c>
      <c r="H889" s="22"/>
      <c r="I889" s="23" t="s">
        <v>33</v>
      </c>
      <c r="J889" s="23"/>
      <c r="K889" s="22"/>
      <c r="L889" s="22"/>
      <c r="M889" s="23"/>
      <c r="N889" s="23"/>
      <c r="O889" s="26" t="s">
        <v>1359</v>
      </c>
      <c r="P889" s="26"/>
      <c r="Q889" s="22">
        <v>146</v>
      </c>
      <c r="R889" s="24">
        <v>45876</v>
      </c>
      <c r="S889" s="24">
        <v>45876</v>
      </c>
      <c r="T889" s="24"/>
      <c r="U889" s="24"/>
      <c r="V889" s="24">
        <v>45876</v>
      </c>
      <c r="W889" s="22" t="s">
        <v>468</v>
      </c>
      <c r="X889" s="4" t="str">
        <f>IF(Tabela2[[#This Row],[sigla]]="","",VLOOKUP(Tabela2[[#This Row],[sigla]],créditos_base!B:C,2,0))</f>
        <v>VER DOCUMENTO DE ILS. TÉCNICAS</v>
      </c>
      <c r="Y889" s="23" t="s">
        <v>243</v>
      </c>
      <c r="Z889" s="23" t="s">
        <v>1327</v>
      </c>
      <c r="AA889" s="22">
        <v>13</v>
      </c>
      <c r="AB889" s="20" t="s">
        <v>244</v>
      </c>
      <c r="AC889" s="20" t="s">
        <v>36</v>
      </c>
      <c r="AD889" s="4" t="str">
        <f>"Pitanguá"</f>
        <v>Pitanguá</v>
      </c>
      <c r="AE889" s="14" t="str">
        <f>"Matemática"</f>
        <v>Matemática</v>
      </c>
      <c r="AF889" s="14"/>
    </row>
    <row r="890" spans="1:32" x14ac:dyDescent="0.3">
      <c r="A890" s="23" t="s">
        <v>3031</v>
      </c>
      <c r="B890" s="20" t="s">
        <v>6</v>
      </c>
      <c r="C890" s="20" t="s">
        <v>89</v>
      </c>
      <c r="D890" s="20" t="s">
        <v>8</v>
      </c>
      <c r="E890" s="22">
        <v>81</v>
      </c>
      <c r="F890" s="22">
        <v>4</v>
      </c>
      <c r="G890" s="22">
        <v>4</v>
      </c>
      <c r="H890" s="22"/>
      <c r="I890" s="23" t="s">
        <v>33</v>
      </c>
      <c r="J890" s="23"/>
      <c r="K890" s="22"/>
      <c r="L890" s="22"/>
      <c r="M890" s="23"/>
      <c r="N890" s="23"/>
      <c r="O890" s="26" t="s">
        <v>3032</v>
      </c>
      <c r="P890" s="26"/>
      <c r="Q890" s="22">
        <v>44</v>
      </c>
      <c r="R890" s="24">
        <v>45791</v>
      </c>
      <c r="S890" s="24">
        <v>45797</v>
      </c>
      <c r="T890" s="24"/>
      <c r="U890" s="24"/>
      <c r="V890" s="24">
        <v>45909</v>
      </c>
      <c r="W890" s="22" t="s">
        <v>160</v>
      </c>
      <c r="X890" s="4" t="str">
        <f>IF(Tabela2[[#This Row],[sigla]]="","",VLOOKUP(Tabela2[[#This Row],[sigla]],créditos_base!B:C,2,0))</f>
        <v>SERGIO LIMA/ARQUIVO DA EDITORA</v>
      </c>
      <c r="Y890" s="23" t="s">
        <v>152</v>
      </c>
      <c r="Z890" s="23" t="str">
        <f>Tabela2[[#This Row],[ilustrador]]</f>
        <v>SERGIO LIMA/ARQUIVO DA EDITORA</v>
      </c>
      <c r="AA890" s="22">
        <v>14</v>
      </c>
      <c r="AB890" s="20" t="s">
        <v>153</v>
      </c>
      <c r="AC890" s="20" t="s">
        <v>36</v>
      </c>
      <c r="AD890" s="4" t="str">
        <f>"Pitanguá"</f>
        <v>Pitanguá</v>
      </c>
      <c r="AE890" s="14" t="str">
        <f>"Matemática"</f>
        <v>Matemática</v>
      </c>
      <c r="AF890" s="14"/>
    </row>
    <row r="891" spans="1:32" ht="28.8" x14ac:dyDescent="0.3">
      <c r="A891" s="23" t="s">
        <v>5662</v>
      </c>
      <c r="B891" s="20" t="s">
        <v>16</v>
      </c>
      <c r="C891" s="20" t="s">
        <v>7</v>
      </c>
      <c r="D891" s="20" t="s">
        <v>8</v>
      </c>
      <c r="E891" s="22">
        <v>86</v>
      </c>
      <c r="F891" s="22">
        <v>5</v>
      </c>
      <c r="G891" s="22">
        <v>4</v>
      </c>
      <c r="H891" s="22"/>
      <c r="I891" s="23" t="s">
        <v>33</v>
      </c>
      <c r="J891" s="23"/>
      <c r="K891" s="22"/>
      <c r="L891" s="22"/>
      <c r="M891" s="23"/>
      <c r="N891" s="23"/>
      <c r="O891" s="26" t="s">
        <v>5663</v>
      </c>
      <c r="P891" s="26"/>
      <c r="Q891" s="22">
        <v>136</v>
      </c>
      <c r="R891" s="24">
        <v>45866</v>
      </c>
      <c r="S891" s="24">
        <v>45875</v>
      </c>
      <c r="T891" s="24"/>
      <c r="U891" s="24"/>
      <c r="V891" s="24">
        <v>45877</v>
      </c>
      <c r="W891" s="22" t="s">
        <v>460</v>
      </c>
      <c r="X891" s="4" t="str">
        <f>IF(Tabela2[[#This Row],[sigla]]="","",VLOOKUP(Tabela2[[#This Row],[sigla]],créditos_base!B:C,2,0))</f>
        <v>CLAUDIA SOUZA/ARQUIVO DA EDITORA</v>
      </c>
      <c r="Y891" s="23" t="s">
        <v>243</v>
      </c>
      <c r="Z891" s="23" t="str">
        <f>Tabela2[[#This Row],[ilustrador]]</f>
        <v>CLAUDIA SOUZA/ARQUIVO DA EDITORA</v>
      </c>
      <c r="AA891" s="22">
        <v>13</v>
      </c>
      <c r="AB891" s="20" t="s">
        <v>244</v>
      </c>
      <c r="AC891" s="20" t="s">
        <v>36</v>
      </c>
      <c r="AD891" s="4" t="str">
        <f>"Pitanguá"</f>
        <v>Pitanguá</v>
      </c>
      <c r="AE891" s="14" t="str">
        <f>"Matemática"</f>
        <v>Matemática</v>
      </c>
      <c r="AF891" s="14"/>
    </row>
    <row r="892" spans="1:32" ht="57.6" x14ac:dyDescent="0.3">
      <c r="A892" s="23" t="s">
        <v>1360</v>
      </c>
      <c r="B892" s="20" t="s">
        <v>16</v>
      </c>
      <c r="C892" s="20" t="s">
        <v>7</v>
      </c>
      <c r="D892" s="20" t="s">
        <v>8</v>
      </c>
      <c r="E892" s="22">
        <v>201</v>
      </c>
      <c r="F892" s="22">
        <v>2</v>
      </c>
      <c r="G892" s="22">
        <v>4</v>
      </c>
      <c r="H892" s="22"/>
      <c r="I892" s="23" t="s">
        <v>9</v>
      </c>
      <c r="J892" s="23"/>
      <c r="K892" s="22"/>
      <c r="L892" s="22"/>
      <c r="M892" s="23"/>
      <c r="N892" s="23"/>
      <c r="O892" s="26" t="s">
        <v>1361</v>
      </c>
      <c r="P892" s="26"/>
      <c r="Q892" s="22"/>
      <c r="R892" s="24"/>
      <c r="S892" s="24"/>
      <c r="T892" s="24"/>
      <c r="U892" s="24"/>
      <c r="V892" s="24"/>
      <c r="W892" s="22" t="s">
        <v>468</v>
      </c>
      <c r="X892" s="4" t="str">
        <f>IF(Tabela2[[#This Row],[sigla]]="","",VLOOKUP(Tabela2[[#This Row],[sigla]],créditos_base!B:C,2,0))</f>
        <v>VER DOCUMENTO DE ILS. TÉCNICAS</v>
      </c>
      <c r="Y892" s="23"/>
      <c r="Z892" s="23" t="s">
        <v>1327</v>
      </c>
      <c r="AA892" s="22"/>
      <c r="AB892" s="20"/>
      <c r="AD892" s="4" t="str">
        <f>"Pitanguá"</f>
        <v>Pitanguá</v>
      </c>
      <c r="AE892" s="14" t="str">
        <f>"Matemática"</f>
        <v>Matemática</v>
      </c>
      <c r="AF892" s="14"/>
    </row>
    <row r="893" spans="1:32" ht="57.6" x14ac:dyDescent="0.3">
      <c r="A893" s="23" t="s">
        <v>3033</v>
      </c>
      <c r="B893" s="20" t="s">
        <v>16</v>
      </c>
      <c r="C893" s="20" t="s">
        <v>89</v>
      </c>
      <c r="D893" s="20" t="s">
        <v>8</v>
      </c>
      <c r="E893" s="22">
        <v>81</v>
      </c>
      <c r="F893" s="22">
        <v>4</v>
      </c>
      <c r="G893" s="22">
        <v>4</v>
      </c>
      <c r="H893" s="22"/>
      <c r="I893" s="23" t="s">
        <v>9</v>
      </c>
      <c r="J893" s="23"/>
      <c r="K893" s="22"/>
      <c r="L893" s="22"/>
      <c r="M893" s="23"/>
      <c r="N893" s="23"/>
      <c r="O893" s="26" t="s">
        <v>3034</v>
      </c>
      <c r="P893" s="26"/>
      <c r="Q893" s="22"/>
      <c r="R893" s="24"/>
      <c r="S893" s="24"/>
      <c r="T893" s="24"/>
      <c r="U893" s="24"/>
      <c r="V893" s="24"/>
      <c r="W893" s="22" t="s">
        <v>160</v>
      </c>
      <c r="X893" s="4" t="str">
        <f>IF(Tabela2[[#This Row],[sigla]]="","",VLOOKUP(Tabela2[[#This Row],[sigla]],créditos_base!B:C,2,0))</f>
        <v>SERGIO LIMA/ARQUIVO DA EDITORA</v>
      </c>
      <c r="Y893" s="23"/>
      <c r="Z893" s="23" t="str">
        <f>Tabela2[[#This Row],[ilustrador]]</f>
        <v>SERGIO LIMA/ARQUIVO DA EDITORA</v>
      </c>
      <c r="AA893" s="22"/>
      <c r="AB893" s="20"/>
      <c r="AD893" s="4" t="str">
        <f>"Pitanguá"</f>
        <v>Pitanguá</v>
      </c>
      <c r="AE893" s="14" t="str">
        <f>"Matemática"</f>
        <v>Matemática</v>
      </c>
      <c r="AF893" s="14"/>
    </row>
    <row r="894" spans="1:32" x14ac:dyDescent="0.3">
      <c r="A894" s="23" t="s">
        <v>3903</v>
      </c>
      <c r="B894" s="20" t="s">
        <v>16</v>
      </c>
      <c r="C894" s="20" t="s">
        <v>89</v>
      </c>
      <c r="D894" s="20" t="s">
        <v>8</v>
      </c>
      <c r="E894" s="22">
        <v>87</v>
      </c>
      <c r="F894" s="22">
        <v>5</v>
      </c>
      <c r="G894" s="22">
        <v>4</v>
      </c>
      <c r="H894" s="22"/>
      <c r="I894" s="23" t="s">
        <v>9</v>
      </c>
      <c r="J894" s="23"/>
      <c r="K894" s="22"/>
      <c r="L894" s="22"/>
      <c r="M894" s="23"/>
      <c r="N894" s="23"/>
      <c r="O894" s="26" t="s">
        <v>3904</v>
      </c>
      <c r="P894" s="26"/>
      <c r="Q894" s="22"/>
      <c r="R894" s="24"/>
      <c r="S894" s="24"/>
      <c r="T894" s="24"/>
      <c r="U894" s="24"/>
      <c r="V894" s="24"/>
      <c r="W894" s="22" t="s">
        <v>160</v>
      </c>
      <c r="X894" s="4" t="str">
        <f>IF(Tabela2[[#This Row],[sigla]]="","",VLOOKUP(Tabela2[[#This Row],[sigla]],créditos_base!B:C,2,0))</f>
        <v>SERGIO LIMA/ARQUIVO DA EDITORA</v>
      </c>
      <c r="Y894" s="23"/>
      <c r="Z894" s="23" t="str">
        <f>Tabela2[[#This Row],[ilustrador]]</f>
        <v>SERGIO LIMA/ARQUIVO DA EDITORA</v>
      </c>
      <c r="AA894" s="22"/>
      <c r="AB894" s="20"/>
      <c r="AD894" s="4" t="str">
        <f>"Pitanguá"</f>
        <v>Pitanguá</v>
      </c>
      <c r="AE894" s="14" t="str">
        <f>"Matemática"</f>
        <v>Matemática</v>
      </c>
      <c r="AF894" s="14"/>
    </row>
    <row r="895" spans="1:32" ht="43.2" x14ac:dyDescent="0.3">
      <c r="A895" s="23" t="s">
        <v>2025</v>
      </c>
      <c r="B895" s="20" t="s">
        <v>16</v>
      </c>
      <c r="C895" s="20" t="s">
        <v>7</v>
      </c>
      <c r="D895" s="20" t="s">
        <v>8</v>
      </c>
      <c r="E895" s="22">
        <v>75</v>
      </c>
      <c r="F895" s="22">
        <v>3</v>
      </c>
      <c r="G895" s="22">
        <v>4</v>
      </c>
      <c r="H895" s="22"/>
      <c r="I895" s="23" t="s">
        <v>9</v>
      </c>
      <c r="J895" s="23"/>
      <c r="K895" s="22"/>
      <c r="L895" s="22"/>
      <c r="M895" s="23"/>
      <c r="N895" s="23"/>
      <c r="O895" s="26" t="s">
        <v>2026</v>
      </c>
      <c r="P895" s="26"/>
      <c r="Q895" s="22"/>
      <c r="R895" s="24"/>
      <c r="S895" s="24"/>
      <c r="T895" s="24"/>
      <c r="U895" s="24"/>
      <c r="V895" s="24"/>
      <c r="W895" s="22" t="s">
        <v>327</v>
      </c>
      <c r="X895" s="4" t="str">
        <f>IF(Tabela2[[#This Row],[sigla]]="","",VLOOKUP(Tabela2[[#This Row],[sigla]],créditos_base!B:C,2,0))</f>
        <v>RAFAEL LAM/ARQUIVO DA EDITORA</v>
      </c>
      <c r="Y895" s="23"/>
      <c r="Z895" s="23" t="str">
        <f>Tabela2[[#This Row],[ilustrador]]</f>
        <v>RAFAEL LAM/ARQUIVO DA EDITORA</v>
      </c>
      <c r="AA895" s="22"/>
      <c r="AB895" s="20"/>
      <c r="AD895" s="4" t="str">
        <f>"Pitanguá"</f>
        <v>Pitanguá</v>
      </c>
      <c r="AE895" s="14" t="str">
        <f>"Matemática"</f>
        <v>Matemática</v>
      </c>
      <c r="AF895" s="14"/>
    </row>
    <row r="896" spans="1:32" x14ac:dyDescent="0.3">
      <c r="A896" s="23" t="s">
        <v>3035</v>
      </c>
      <c r="B896" s="20" t="s">
        <v>16</v>
      </c>
      <c r="C896" s="20" t="s">
        <v>7</v>
      </c>
      <c r="D896" s="20" t="s">
        <v>8</v>
      </c>
      <c r="E896" s="22">
        <v>82</v>
      </c>
      <c r="F896" s="22">
        <v>4</v>
      </c>
      <c r="G896" s="22">
        <v>4</v>
      </c>
      <c r="H896" s="22"/>
      <c r="I896" s="23" t="s">
        <v>33</v>
      </c>
      <c r="J896" s="23"/>
      <c r="K896" s="22"/>
      <c r="L896" s="22"/>
      <c r="M896" s="23"/>
      <c r="N896" s="23"/>
      <c r="O896" s="26" t="s">
        <v>3036</v>
      </c>
      <c r="P896" s="26"/>
      <c r="Q896" s="22">
        <v>183</v>
      </c>
      <c r="R896" s="24">
        <v>45908</v>
      </c>
      <c r="S896" s="24">
        <v>45909</v>
      </c>
      <c r="T896" s="24"/>
      <c r="U896" s="24"/>
      <c r="V896" s="24">
        <v>45909</v>
      </c>
      <c r="W896" s="22" t="s">
        <v>12</v>
      </c>
      <c r="X896" s="4" t="str">
        <f>IF(Tabela2[[#This Row],[sigla]]="","",VLOOKUP(Tabela2[[#This Row],[sigla]],créditos_base!B:C,2,0))</f>
        <v>JORGE ZAIBA/ARQUIVO DA EDITORA</v>
      </c>
      <c r="Y896" s="23" t="s">
        <v>188</v>
      </c>
      <c r="Z896" s="23" t="str">
        <f>Tabela2[[#This Row],[ilustrador]]</f>
        <v>JORGE ZAIBA/ARQUIVO DA EDITORA</v>
      </c>
      <c r="AA896" s="22">
        <v>13</v>
      </c>
      <c r="AB896" s="20" t="s">
        <v>2022</v>
      </c>
      <c r="AC896" s="20" t="s">
        <v>36</v>
      </c>
      <c r="AD896" s="4" t="str">
        <f>"Pitanguá"</f>
        <v>Pitanguá</v>
      </c>
      <c r="AE896" s="14" t="str">
        <f>"Matemática"</f>
        <v>Matemática</v>
      </c>
      <c r="AF896" s="14"/>
    </row>
    <row r="897" spans="1:32" ht="28.8" x14ac:dyDescent="0.3">
      <c r="A897" s="23" t="s">
        <v>3905</v>
      </c>
      <c r="B897" s="20" t="s">
        <v>16</v>
      </c>
      <c r="C897" s="20" t="s">
        <v>89</v>
      </c>
      <c r="D897" s="20" t="s">
        <v>8</v>
      </c>
      <c r="E897" s="22">
        <v>87</v>
      </c>
      <c r="F897" s="22">
        <v>5</v>
      </c>
      <c r="G897" s="22">
        <v>4</v>
      </c>
      <c r="H897" s="22"/>
      <c r="I897" s="23" t="s">
        <v>33</v>
      </c>
      <c r="J897" s="23"/>
      <c r="K897" s="22"/>
      <c r="L897" s="22"/>
      <c r="M897" s="23"/>
      <c r="N897" s="23"/>
      <c r="O897" s="26" t="s">
        <v>3906</v>
      </c>
      <c r="P897" s="26"/>
      <c r="Q897" s="22">
        <v>202</v>
      </c>
      <c r="R897" s="24">
        <v>45924</v>
      </c>
      <c r="S897" s="24">
        <v>45924</v>
      </c>
      <c r="T897" s="24"/>
      <c r="U897" s="24"/>
      <c r="V897" s="24">
        <v>45924</v>
      </c>
      <c r="W897" s="22" t="s">
        <v>940</v>
      </c>
      <c r="X897" s="4" t="str">
        <f>IF(Tabela2[[#This Row],[sigla]]="","",VLOOKUP(Tabela2[[#This Row],[sigla]],créditos_base!B:C,2,0))</f>
        <v>RONALDO LUCENA/ARQUIVO DA EDITORA</v>
      </c>
      <c r="Y897" s="23" t="s">
        <v>696</v>
      </c>
      <c r="Z897" s="23" t="str">
        <f>Tabela2[[#This Row],[ilustrador]]</f>
        <v>RONALDO LUCENA/ARQUIVO DA EDITORA</v>
      </c>
      <c r="AA897" s="22">
        <v>13</v>
      </c>
      <c r="AB897" s="20" t="s">
        <v>153</v>
      </c>
      <c r="AC897" s="20" t="s">
        <v>36</v>
      </c>
      <c r="AD897" s="4" t="str">
        <f>"Pitanguá"</f>
        <v>Pitanguá</v>
      </c>
      <c r="AE897" s="14" t="str">
        <f>"Matemática"</f>
        <v>Matemática</v>
      </c>
      <c r="AF897" s="14"/>
    </row>
    <row r="898" spans="1:32" ht="28.8" x14ac:dyDescent="0.3">
      <c r="A898" s="23" t="s">
        <v>2027</v>
      </c>
      <c r="B898" s="20" t="s">
        <v>16</v>
      </c>
      <c r="C898" s="20" t="s">
        <v>7</v>
      </c>
      <c r="D898" s="20" t="s">
        <v>8</v>
      </c>
      <c r="E898" s="22">
        <v>76</v>
      </c>
      <c r="F898" s="22">
        <v>3</v>
      </c>
      <c r="G898" s="22">
        <v>4</v>
      </c>
      <c r="H898" s="22"/>
      <c r="I898" s="23" t="s">
        <v>33</v>
      </c>
      <c r="J898" s="23"/>
      <c r="K898" s="22"/>
      <c r="L898" s="22"/>
      <c r="M898" s="23"/>
      <c r="N898" s="23"/>
      <c r="O898" s="26" t="s">
        <v>2028</v>
      </c>
      <c r="P898" s="26"/>
      <c r="Q898" s="22">
        <v>167</v>
      </c>
      <c r="R898" s="24">
        <v>45894</v>
      </c>
      <c r="S898" s="24">
        <v>45895</v>
      </c>
      <c r="T898" s="24"/>
      <c r="U898" s="24"/>
      <c r="V898" s="24">
        <v>45895</v>
      </c>
      <c r="W898" s="22" t="s">
        <v>20</v>
      </c>
      <c r="X898" s="4" t="str">
        <f>IF(Tabela2[[#This Row],[sigla]]="","",VLOOKUP(Tabela2[[#This Row],[sigla]],créditos_base!B:C,2,0))</f>
        <v>SONIA HORN/ARQUIVO DA EDITORA</v>
      </c>
      <c r="Y898" s="23" t="s">
        <v>433</v>
      </c>
      <c r="Z898" s="23" t="str">
        <f>Tabela2[[#This Row],[ilustrador]]</f>
        <v>SONIA HORN/ARQUIVO DA EDITORA</v>
      </c>
      <c r="AA898" s="22">
        <v>13</v>
      </c>
      <c r="AB898" s="20" t="s">
        <v>153</v>
      </c>
      <c r="AC898" s="20" t="s">
        <v>36</v>
      </c>
      <c r="AD898" s="4" t="str">
        <f>"Pitanguá"</f>
        <v>Pitanguá</v>
      </c>
      <c r="AE898" s="14" t="str">
        <f>"Matemática"</f>
        <v>Matemática</v>
      </c>
      <c r="AF898" s="14"/>
    </row>
    <row r="899" spans="1:32" ht="28.8" x14ac:dyDescent="0.3">
      <c r="A899" s="23" t="s">
        <v>3037</v>
      </c>
      <c r="B899" s="20" t="s">
        <v>16</v>
      </c>
      <c r="C899" s="20" t="s">
        <v>89</v>
      </c>
      <c r="D899" s="20" t="s">
        <v>8</v>
      </c>
      <c r="E899" s="22">
        <v>82</v>
      </c>
      <c r="F899" s="22">
        <v>4</v>
      </c>
      <c r="G899" s="22">
        <v>4</v>
      </c>
      <c r="H899" s="22"/>
      <c r="I899" s="23" t="s">
        <v>9</v>
      </c>
      <c r="J899" s="23"/>
      <c r="K899" s="22"/>
      <c r="L899" s="22"/>
      <c r="M899" s="23"/>
      <c r="N899" s="23"/>
      <c r="O899" s="26" t="s">
        <v>3038</v>
      </c>
      <c r="P899" s="26"/>
      <c r="Q899" s="22"/>
      <c r="R899" s="24"/>
      <c r="S899" s="24"/>
      <c r="T899" s="24"/>
      <c r="U899" s="24"/>
      <c r="V899" s="24"/>
      <c r="W899" s="22" t="s">
        <v>160</v>
      </c>
      <c r="X899" s="4" t="str">
        <f>IF(Tabela2[[#This Row],[sigla]]="","",VLOOKUP(Tabela2[[#This Row],[sigla]],créditos_base!B:C,2,0))</f>
        <v>SERGIO LIMA/ARQUIVO DA EDITORA</v>
      </c>
      <c r="Y899" s="23"/>
      <c r="Z899" s="23" t="str">
        <f>Tabela2[[#This Row],[ilustrador]]</f>
        <v>SERGIO LIMA/ARQUIVO DA EDITORA</v>
      </c>
      <c r="AA899" s="22"/>
      <c r="AB899" s="20"/>
      <c r="AD899" s="4" t="str">
        <f>"Pitanguá"</f>
        <v>Pitanguá</v>
      </c>
      <c r="AE899" s="14" t="str">
        <f>"Matemática"</f>
        <v>Matemática</v>
      </c>
      <c r="AF899" s="14"/>
    </row>
    <row r="900" spans="1:32" ht="28.8" x14ac:dyDescent="0.3">
      <c r="A900" s="23" t="s">
        <v>3907</v>
      </c>
      <c r="B900" s="20" t="s">
        <v>16</v>
      </c>
      <c r="C900" s="20" t="s">
        <v>89</v>
      </c>
      <c r="D900" s="20" t="s">
        <v>8</v>
      </c>
      <c r="E900" s="22">
        <v>87</v>
      </c>
      <c r="F900" s="22">
        <v>5</v>
      </c>
      <c r="G900" s="22">
        <v>4</v>
      </c>
      <c r="H900" s="22"/>
      <c r="I900" s="23" t="s">
        <v>9</v>
      </c>
      <c r="J900" s="23"/>
      <c r="K900" s="22"/>
      <c r="L900" s="22"/>
      <c r="M900" s="23"/>
      <c r="N900" s="23"/>
      <c r="O900" s="26" t="s">
        <v>3908</v>
      </c>
      <c r="P900" s="26"/>
      <c r="Q900" s="22"/>
      <c r="R900" s="24"/>
      <c r="S900" s="24"/>
      <c r="T900" s="24"/>
      <c r="U900" s="24"/>
      <c r="V900" s="24"/>
      <c r="W900" s="22" t="s">
        <v>272</v>
      </c>
      <c r="X900" s="4" t="str">
        <f>IF(Tabela2[[#This Row],[sigla]]="","",VLOOKUP(Tabela2[[#This Row],[sigla]],créditos_base!B:C,2,0))</f>
        <v>RAFAEL SILVA/ARQUIVO DA EDITORA</v>
      </c>
      <c r="Y900" s="23"/>
      <c r="Z900" s="23" t="str">
        <f>Tabela2[[#This Row],[ilustrador]]</f>
        <v>RAFAEL SILVA/ARQUIVO DA EDITORA</v>
      </c>
      <c r="AA900" s="22"/>
      <c r="AB900" s="20"/>
      <c r="AD900" s="4" t="str">
        <f>"Pitanguá"</f>
        <v>Pitanguá</v>
      </c>
      <c r="AE900" s="14" t="str">
        <f>"Matemática"</f>
        <v>Matemática</v>
      </c>
      <c r="AF900" s="14"/>
    </row>
    <row r="901" spans="1:32" x14ac:dyDescent="0.3">
      <c r="A901" s="23" t="s">
        <v>1362</v>
      </c>
      <c r="B901" s="20" t="s">
        <v>6</v>
      </c>
      <c r="C901" s="20" t="s">
        <v>7</v>
      </c>
      <c r="D901" s="20" t="s">
        <v>8</v>
      </c>
      <c r="E901" s="22">
        <v>201</v>
      </c>
      <c r="F901" s="22">
        <v>2</v>
      </c>
      <c r="G901" s="22">
        <v>4</v>
      </c>
      <c r="H901" s="22"/>
      <c r="I901" s="23" t="s">
        <v>9</v>
      </c>
      <c r="J901" s="23"/>
      <c r="K901" s="22"/>
      <c r="L901" s="22"/>
      <c r="M901" s="23"/>
      <c r="N901" s="23"/>
      <c r="O901" s="26" t="s">
        <v>1363</v>
      </c>
      <c r="P901" s="26" t="s">
        <v>465</v>
      </c>
      <c r="Q901" s="22"/>
      <c r="R901" s="24"/>
      <c r="S901" s="24"/>
      <c r="T901" s="24"/>
      <c r="U901" s="24"/>
      <c r="V901" s="24"/>
      <c r="W901" s="22" t="s">
        <v>468</v>
      </c>
      <c r="X901" s="4" t="str">
        <f>IF(Tabela2[[#This Row],[sigla]]="","",VLOOKUP(Tabela2[[#This Row],[sigla]],créditos_base!B:C,2,0))</f>
        <v>VER DOCUMENTO DE ILS. TÉCNICAS</v>
      </c>
      <c r="Y901" s="23"/>
      <c r="Z901" s="23" t="str">
        <f>Tabela2[[#This Row],[ilustrador]]</f>
        <v>VER DOCUMENTO DE ILS. TÉCNICAS</v>
      </c>
      <c r="AA901" s="22"/>
      <c r="AB901" s="20"/>
      <c r="AD901" s="4" t="str">
        <f>"Pitanguá"</f>
        <v>Pitanguá</v>
      </c>
      <c r="AE901" s="14" t="str">
        <f>"Matemática"</f>
        <v>Matemática</v>
      </c>
      <c r="AF901" s="14"/>
    </row>
    <row r="902" spans="1:32" x14ac:dyDescent="0.3">
      <c r="A902" s="23" t="s">
        <v>3039</v>
      </c>
      <c r="B902" s="20" t="s">
        <v>16</v>
      </c>
      <c r="C902" s="20" t="s">
        <v>89</v>
      </c>
      <c r="D902" s="20" t="s">
        <v>8</v>
      </c>
      <c r="E902" s="22">
        <v>82</v>
      </c>
      <c r="F902" s="22">
        <v>4</v>
      </c>
      <c r="G902" s="22">
        <v>4</v>
      </c>
      <c r="H902" s="22"/>
      <c r="I902" s="23" t="s">
        <v>9</v>
      </c>
      <c r="J902" s="23"/>
      <c r="K902" s="22"/>
      <c r="L902" s="22"/>
      <c r="M902" s="23"/>
      <c r="N902" s="23"/>
      <c r="O902" s="26" t="s">
        <v>3040</v>
      </c>
      <c r="P902" s="26"/>
      <c r="Q902" s="22"/>
      <c r="R902" s="24"/>
      <c r="S902" s="24"/>
      <c r="T902" s="24"/>
      <c r="U902" s="24"/>
      <c r="V902" s="24"/>
      <c r="W902" s="22" t="s">
        <v>160</v>
      </c>
      <c r="X902" s="4" t="str">
        <f>IF(Tabela2[[#This Row],[sigla]]="","",VLOOKUP(Tabela2[[#This Row],[sigla]],créditos_base!B:C,2,0))</f>
        <v>SERGIO LIMA/ARQUIVO DA EDITORA</v>
      </c>
      <c r="Y902" s="23"/>
      <c r="Z902" s="23" t="str">
        <f>Tabela2[[#This Row],[ilustrador]]</f>
        <v>SERGIO LIMA/ARQUIVO DA EDITORA</v>
      </c>
      <c r="AA902" s="22"/>
      <c r="AB902" s="20"/>
      <c r="AD902" s="4" t="str">
        <f>"Pitanguá"</f>
        <v>Pitanguá</v>
      </c>
      <c r="AE902" s="14" t="str">
        <f>"Matemática"</f>
        <v>Matemática</v>
      </c>
      <c r="AF902" s="14"/>
    </row>
    <row r="903" spans="1:32" ht="28.8" x14ac:dyDescent="0.3">
      <c r="A903" s="23" t="s">
        <v>3041</v>
      </c>
      <c r="B903" s="20" t="s">
        <v>16</v>
      </c>
      <c r="C903" s="20" t="s">
        <v>89</v>
      </c>
      <c r="D903" s="20" t="s">
        <v>8</v>
      </c>
      <c r="E903" s="22">
        <v>82</v>
      </c>
      <c r="F903" s="22">
        <v>4</v>
      </c>
      <c r="G903" s="22">
        <v>4</v>
      </c>
      <c r="H903" s="22"/>
      <c r="I903" s="23" t="s">
        <v>9</v>
      </c>
      <c r="J903" s="23"/>
      <c r="K903" s="22"/>
      <c r="L903" s="22"/>
      <c r="M903" s="23"/>
      <c r="N903" s="23"/>
      <c r="O903" s="26" t="s">
        <v>3042</v>
      </c>
      <c r="P903" s="26"/>
      <c r="Q903" s="22"/>
      <c r="R903" s="24"/>
      <c r="S903" s="24"/>
      <c r="T903" s="24"/>
      <c r="U903" s="24"/>
      <c r="V903" s="24"/>
      <c r="W903" s="22" t="s">
        <v>160</v>
      </c>
      <c r="X903" s="4" t="str">
        <f>IF(Tabela2[[#This Row],[sigla]]="","",VLOOKUP(Tabela2[[#This Row],[sigla]],créditos_base!B:C,2,0))</f>
        <v>SERGIO LIMA/ARQUIVO DA EDITORA</v>
      </c>
      <c r="Y903" s="23"/>
      <c r="Z903" s="23" t="str">
        <f>Tabela2[[#This Row],[ilustrador]]</f>
        <v>SERGIO LIMA/ARQUIVO DA EDITORA</v>
      </c>
      <c r="AA903" s="22"/>
      <c r="AB903" s="20"/>
      <c r="AD903" s="4" t="str">
        <f>"Pitanguá"</f>
        <v>Pitanguá</v>
      </c>
      <c r="AE903" s="14" t="str">
        <f>"Matemática"</f>
        <v>Matemática</v>
      </c>
      <c r="AF903" s="14"/>
    </row>
    <row r="904" spans="1:32" ht="28.8" x14ac:dyDescent="0.3">
      <c r="A904" s="23" t="s">
        <v>2219</v>
      </c>
      <c r="B904" s="20" t="s">
        <v>135</v>
      </c>
      <c r="C904" s="20" t="s">
        <v>7</v>
      </c>
      <c r="D904" s="20" t="s">
        <v>8</v>
      </c>
      <c r="E904" s="22">
        <v>119</v>
      </c>
      <c r="F904" s="22">
        <v>1</v>
      </c>
      <c r="G904" s="22">
        <v>4</v>
      </c>
      <c r="H904" s="22"/>
      <c r="I904" s="23" t="s">
        <v>90</v>
      </c>
      <c r="J904" s="23"/>
      <c r="K904" s="22"/>
      <c r="L904" s="22"/>
      <c r="M904" s="23"/>
      <c r="N904" s="23"/>
      <c r="O904" s="26" t="s">
        <v>2220</v>
      </c>
      <c r="P904" s="26"/>
      <c r="Q904" s="22">
        <v>30</v>
      </c>
      <c r="R904" s="24">
        <v>45755</v>
      </c>
      <c r="S904" s="24">
        <v>45756</v>
      </c>
      <c r="T904" s="24">
        <v>45758</v>
      </c>
      <c r="U904" s="24">
        <v>45761</v>
      </c>
      <c r="V904" s="24">
        <v>45764</v>
      </c>
      <c r="W904" s="22" t="s">
        <v>2221</v>
      </c>
      <c r="X904" s="4" t="str">
        <f>IF(Tabela2[[#This Row],[sigla]]="","",VLOOKUP(Tabela2[[#This Row],[sigla]],créditos_base!B:C,2,0))</f>
        <v>REINALDO ROSA/ARQUIVO DA EDITORA</v>
      </c>
      <c r="Y904" s="23"/>
      <c r="Z904" s="23" t="str">
        <f>Tabela2[[#This Row],[ilustrador]]</f>
        <v>REINALDO ROSA/ARQUIVO DA EDITORA</v>
      </c>
      <c r="AA904" s="22">
        <v>7</v>
      </c>
      <c r="AB904" s="20" t="s">
        <v>2222</v>
      </c>
      <c r="AC904" s="20" t="s">
        <v>310</v>
      </c>
      <c r="AD904" s="4" t="str">
        <f>"Pitanguá"</f>
        <v>Pitanguá</v>
      </c>
      <c r="AE904" s="14" t="str">
        <f>"Matemática"</f>
        <v>Matemática</v>
      </c>
      <c r="AF904" s="14"/>
    </row>
    <row r="905" spans="1:32" ht="28.8" x14ac:dyDescent="0.3">
      <c r="A905" s="23" t="s">
        <v>2031</v>
      </c>
      <c r="B905" s="20" t="s">
        <v>6</v>
      </c>
      <c r="C905" s="20" t="s">
        <v>7</v>
      </c>
      <c r="D905" s="20" t="s">
        <v>8</v>
      </c>
      <c r="E905" s="22">
        <v>78</v>
      </c>
      <c r="F905" s="22">
        <v>3</v>
      </c>
      <c r="G905" s="22">
        <v>4</v>
      </c>
      <c r="H905" s="22"/>
      <c r="I905" s="23" t="s">
        <v>33</v>
      </c>
      <c r="J905" s="23"/>
      <c r="K905" s="22"/>
      <c r="L905" s="22"/>
      <c r="M905" s="23"/>
      <c r="N905" s="23"/>
      <c r="O905" s="26" t="s">
        <v>2032</v>
      </c>
      <c r="P905" s="26" t="s">
        <v>11</v>
      </c>
      <c r="Q905" s="22">
        <v>26</v>
      </c>
      <c r="R905" s="24">
        <v>45751</v>
      </c>
      <c r="S905" s="24">
        <v>45751</v>
      </c>
      <c r="T905" s="24"/>
      <c r="U905" s="24"/>
      <c r="V905" s="24">
        <v>45751</v>
      </c>
      <c r="W905" s="22" t="s">
        <v>31</v>
      </c>
      <c r="X905" s="4" t="str">
        <f>IF(Tabela2[[#This Row],[sigla]]="","",VLOOKUP(Tabela2[[#This Row],[sigla]],créditos_base!B:C,2,0))</f>
        <v>SILVIA OTOFUJI/ARQUIVO DA EDITORA</v>
      </c>
      <c r="Y905" s="23" t="s">
        <v>524</v>
      </c>
      <c r="Z905" s="23" t="str">
        <f>Tabela2[[#This Row],[ilustrador]]</f>
        <v>SILVIA OTOFUJI/ARQUIVO DA EDITORA</v>
      </c>
      <c r="AA905" s="22">
        <v>14</v>
      </c>
      <c r="AB905" s="20" t="s">
        <v>1500</v>
      </c>
      <c r="AC905" s="20" t="s">
        <v>36</v>
      </c>
      <c r="AD905" s="4" t="str">
        <f>"Pitanguá"</f>
        <v>Pitanguá</v>
      </c>
      <c r="AE905" s="14" t="str">
        <f>"Matemática"</f>
        <v>Matemática</v>
      </c>
      <c r="AF905" s="14"/>
    </row>
    <row r="906" spans="1:32" x14ac:dyDescent="0.3">
      <c r="A906" s="23" t="s">
        <v>3043</v>
      </c>
      <c r="B906" s="20" t="s">
        <v>16</v>
      </c>
      <c r="C906" s="20" t="s">
        <v>89</v>
      </c>
      <c r="D906" s="20" t="s">
        <v>8</v>
      </c>
      <c r="E906" s="22">
        <v>82</v>
      </c>
      <c r="F906" s="22">
        <v>4</v>
      </c>
      <c r="G906" s="22">
        <v>4</v>
      </c>
      <c r="H906" s="22"/>
      <c r="I906" s="23" t="s">
        <v>9</v>
      </c>
      <c r="J906" s="23"/>
      <c r="K906" s="22"/>
      <c r="L906" s="22"/>
      <c r="M906" s="23"/>
      <c r="N906" s="23"/>
      <c r="O906" s="26" t="s">
        <v>3044</v>
      </c>
      <c r="P906" s="26"/>
      <c r="Q906" s="22"/>
      <c r="R906" s="24"/>
      <c r="S906" s="24"/>
      <c r="T906" s="24"/>
      <c r="U906" s="24"/>
      <c r="V906" s="24"/>
      <c r="W906" s="22" t="s">
        <v>160</v>
      </c>
      <c r="X906" s="4" t="str">
        <f>IF(Tabela2[[#This Row],[sigla]]="","",VLOOKUP(Tabela2[[#This Row],[sigla]],créditos_base!B:C,2,0))</f>
        <v>SERGIO LIMA/ARQUIVO DA EDITORA</v>
      </c>
      <c r="Y906" s="23"/>
      <c r="Z906" s="23" t="str">
        <f>Tabela2[[#This Row],[ilustrador]]</f>
        <v>SERGIO LIMA/ARQUIVO DA EDITORA</v>
      </c>
      <c r="AA906" s="22"/>
      <c r="AB906" s="20"/>
      <c r="AD906" s="4" t="str">
        <f>"Pitanguá"</f>
        <v>Pitanguá</v>
      </c>
      <c r="AE906" s="14" t="str">
        <f>"Matemática"</f>
        <v>Matemática</v>
      </c>
      <c r="AF906" s="14"/>
    </row>
    <row r="907" spans="1:32" ht="43.2" x14ac:dyDescent="0.3">
      <c r="A907" s="23" t="s">
        <v>3909</v>
      </c>
      <c r="B907" s="20" t="s">
        <v>16</v>
      </c>
      <c r="C907" s="20" t="s">
        <v>7</v>
      </c>
      <c r="D907" s="20" t="s">
        <v>8</v>
      </c>
      <c r="E907" s="22">
        <v>88</v>
      </c>
      <c r="F907" s="22">
        <v>5</v>
      </c>
      <c r="G907" s="22">
        <v>4</v>
      </c>
      <c r="H907" s="22"/>
      <c r="I907" s="23" t="s">
        <v>9</v>
      </c>
      <c r="J907" s="23"/>
      <c r="K907" s="22"/>
      <c r="L907" s="22"/>
      <c r="M907" s="23"/>
      <c r="N907" s="23"/>
      <c r="O907" s="26" t="s">
        <v>3910</v>
      </c>
      <c r="P907" s="26"/>
      <c r="Q907" s="22"/>
      <c r="R907" s="24"/>
      <c r="S907" s="24"/>
      <c r="T907" s="24"/>
      <c r="U907" s="24"/>
      <c r="V907" s="24"/>
      <c r="W907" s="22" t="s">
        <v>230</v>
      </c>
      <c r="X907" s="4" t="str">
        <f>IF(Tabela2[[#This Row],[sigla]]="","",VLOOKUP(Tabela2[[#This Row],[sigla]],créditos_base!B:C,2,0))</f>
        <v>RAFAEL L. GAION/ARQUIVO DA EDITORA</v>
      </c>
      <c r="Y907" s="23"/>
      <c r="Z907" s="23" t="str">
        <f>Tabela2[[#This Row],[ilustrador]]</f>
        <v>RAFAEL L. GAION/ARQUIVO DA EDITORA</v>
      </c>
      <c r="AA907" s="22"/>
      <c r="AB907" s="20"/>
      <c r="AD907" s="4" t="str">
        <f>"Pitanguá"</f>
        <v>Pitanguá</v>
      </c>
      <c r="AE907" s="14" t="str">
        <f>"Matemática"</f>
        <v>Matemática</v>
      </c>
      <c r="AF907" s="14"/>
    </row>
    <row r="908" spans="1:32" x14ac:dyDescent="0.3">
      <c r="A908" s="23" t="s">
        <v>2223</v>
      </c>
      <c r="B908" s="20" t="s">
        <v>135</v>
      </c>
      <c r="C908" s="20" t="s">
        <v>7</v>
      </c>
      <c r="D908" s="20" t="s">
        <v>8</v>
      </c>
      <c r="E908" s="22">
        <v>119</v>
      </c>
      <c r="F908" s="22">
        <v>1</v>
      </c>
      <c r="G908" s="22">
        <v>4</v>
      </c>
      <c r="H908" s="22"/>
      <c r="I908" s="23" t="s">
        <v>90</v>
      </c>
      <c r="J908" s="23"/>
      <c r="K908" s="22"/>
      <c r="L908" s="22"/>
      <c r="M908" s="23"/>
      <c r="N908" s="23"/>
      <c r="O908" s="26" t="s">
        <v>2224</v>
      </c>
      <c r="P908" s="26"/>
      <c r="Q908" s="22">
        <v>30</v>
      </c>
      <c r="R908" s="24">
        <v>45755</v>
      </c>
      <c r="S908" s="24">
        <v>45756</v>
      </c>
      <c r="T908" s="24">
        <v>45758</v>
      </c>
      <c r="U908" s="24">
        <v>45761</v>
      </c>
      <c r="V908" s="24">
        <v>45764</v>
      </c>
      <c r="W908" s="22" t="s">
        <v>2221</v>
      </c>
      <c r="X908" s="4" t="str">
        <f>IF(Tabela2[[#This Row],[sigla]]="","",VLOOKUP(Tabela2[[#This Row],[sigla]],créditos_base!B:C,2,0))</f>
        <v>REINALDO ROSA/ARQUIVO DA EDITORA</v>
      </c>
      <c r="Y908" s="23"/>
      <c r="Z908" s="23" t="str">
        <f>Tabela2[[#This Row],[ilustrador]]</f>
        <v>REINALDO ROSA/ARQUIVO DA EDITORA</v>
      </c>
      <c r="AA908" s="22">
        <v>7</v>
      </c>
      <c r="AB908" s="20" t="s">
        <v>2222</v>
      </c>
      <c r="AC908" s="20" t="s">
        <v>310</v>
      </c>
      <c r="AD908" s="4" t="str">
        <f>"Pitanguá"</f>
        <v>Pitanguá</v>
      </c>
      <c r="AE908" s="14" t="str">
        <f>"Matemática"</f>
        <v>Matemática</v>
      </c>
      <c r="AF908" s="14"/>
    </row>
    <row r="909" spans="1:32" ht="28.8" x14ac:dyDescent="0.3">
      <c r="A909" s="23" t="s">
        <v>1364</v>
      </c>
      <c r="B909" s="20" t="s">
        <v>16</v>
      </c>
      <c r="C909" s="20" t="s">
        <v>7</v>
      </c>
      <c r="D909" s="20" t="s">
        <v>8</v>
      </c>
      <c r="E909" s="22">
        <v>201</v>
      </c>
      <c r="F909" s="22">
        <v>2</v>
      </c>
      <c r="G909" s="22">
        <v>4</v>
      </c>
      <c r="H909" s="22"/>
      <c r="I909" s="23" t="s">
        <v>9</v>
      </c>
      <c r="J909" s="23"/>
      <c r="K909" s="22"/>
      <c r="L909" s="22"/>
      <c r="M909" s="23"/>
      <c r="N909" s="23"/>
      <c r="O909" s="26" t="s">
        <v>1365</v>
      </c>
      <c r="P909" s="26"/>
      <c r="Q909" s="22"/>
      <c r="R909" s="24"/>
      <c r="S909" s="24"/>
      <c r="T909" s="24"/>
      <c r="U909" s="24"/>
      <c r="V909" s="24"/>
      <c r="W909" s="22" t="s">
        <v>468</v>
      </c>
      <c r="X909" s="4" t="str">
        <f>IF(Tabela2[[#This Row],[sigla]]="","",VLOOKUP(Tabela2[[#This Row],[sigla]],créditos_base!B:C,2,0))</f>
        <v>VER DOCUMENTO DE ILS. TÉCNICAS</v>
      </c>
      <c r="Y909" s="23"/>
      <c r="Z909" s="23" t="s">
        <v>1327</v>
      </c>
      <c r="AA909" s="22"/>
      <c r="AB909" s="20"/>
      <c r="AD909" s="4" t="str">
        <f>"Pitanguá"</f>
        <v>Pitanguá</v>
      </c>
      <c r="AE909" s="14" t="str">
        <f>"Matemática"</f>
        <v>Matemática</v>
      </c>
      <c r="AF909" s="14"/>
    </row>
    <row r="910" spans="1:32" x14ac:dyDescent="0.3">
      <c r="A910" s="23" t="s">
        <v>2033</v>
      </c>
      <c r="B910" s="20" t="s">
        <v>6</v>
      </c>
      <c r="C910" s="20" t="s">
        <v>7</v>
      </c>
      <c r="D910" s="20" t="s">
        <v>8</v>
      </c>
      <c r="E910" s="22">
        <v>192</v>
      </c>
      <c r="F910" s="22">
        <v>3</v>
      </c>
      <c r="G910" s="22">
        <v>4</v>
      </c>
      <c r="H910" s="22"/>
      <c r="I910" s="23" t="s">
        <v>9</v>
      </c>
      <c r="J910" s="23"/>
      <c r="K910" s="22"/>
      <c r="L910" s="22"/>
      <c r="M910" s="23"/>
      <c r="N910" s="23"/>
      <c r="O910" s="26" t="s">
        <v>2034</v>
      </c>
      <c r="P910" s="26" t="s">
        <v>11</v>
      </c>
      <c r="Q910" s="22"/>
      <c r="R910" s="24"/>
      <c r="S910" s="24"/>
      <c r="T910" s="24"/>
      <c r="U910" s="24"/>
      <c r="V910" s="24"/>
      <c r="W910" s="22" t="s">
        <v>31</v>
      </c>
      <c r="X910" s="4" t="str">
        <f>IF(Tabela2[[#This Row],[sigla]]="","",VLOOKUP(Tabela2[[#This Row],[sigla]],créditos_base!B:C,2,0))</f>
        <v>SILVIA OTOFUJI/ARQUIVO DA EDITORA</v>
      </c>
      <c r="Y910" s="23"/>
      <c r="Z910" s="23" t="str">
        <f>Tabela2[[#This Row],[ilustrador]]</f>
        <v>SILVIA OTOFUJI/ARQUIVO DA EDITORA</v>
      </c>
      <c r="AA910" s="22"/>
      <c r="AB910" s="20"/>
      <c r="AD910" s="4" t="str">
        <f>"Pitanguá"</f>
        <v>Pitanguá</v>
      </c>
      <c r="AE910" s="14" t="str">
        <f>"Matemática"</f>
        <v>Matemática</v>
      </c>
      <c r="AF910" s="14"/>
    </row>
    <row r="911" spans="1:32" x14ac:dyDescent="0.3">
      <c r="A911" s="23" t="s">
        <v>3045</v>
      </c>
      <c r="B911" s="20" t="s">
        <v>16</v>
      </c>
      <c r="C911" s="20" t="s">
        <v>89</v>
      </c>
      <c r="D911" s="20" t="s">
        <v>8</v>
      </c>
      <c r="E911" s="22">
        <v>82</v>
      </c>
      <c r="F911" s="22">
        <v>4</v>
      </c>
      <c r="G911" s="22">
        <v>4</v>
      </c>
      <c r="H911" s="22"/>
      <c r="I911" s="23" t="s">
        <v>9</v>
      </c>
      <c r="J911" s="23"/>
      <c r="K911" s="22"/>
      <c r="L911" s="22"/>
      <c r="M911" s="23"/>
      <c r="N911" s="23"/>
      <c r="O911" s="26" t="s">
        <v>3046</v>
      </c>
      <c r="P911" s="26"/>
      <c r="Q911" s="22"/>
      <c r="R911" s="24"/>
      <c r="S911" s="24"/>
      <c r="T911" s="24"/>
      <c r="U911" s="24"/>
      <c r="V911" s="24"/>
      <c r="W911" s="22" t="s">
        <v>160</v>
      </c>
      <c r="X911" s="4" t="str">
        <f>IF(Tabela2[[#This Row],[sigla]]="","",VLOOKUP(Tabela2[[#This Row],[sigla]],créditos_base!B:C,2,0))</f>
        <v>SERGIO LIMA/ARQUIVO DA EDITORA</v>
      </c>
      <c r="Y911" s="23"/>
      <c r="Z911" s="23" t="str">
        <f>Tabela2[[#This Row],[ilustrador]]</f>
        <v>SERGIO LIMA/ARQUIVO DA EDITORA</v>
      </c>
      <c r="AA911" s="22"/>
      <c r="AB911" s="20"/>
      <c r="AD911" s="4" t="str">
        <f>"Pitanguá"</f>
        <v>Pitanguá</v>
      </c>
      <c r="AE911" s="14" t="str">
        <f>"Matemática"</f>
        <v>Matemática</v>
      </c>
      <c r="AF911" s="14"/>
    </row>
    <row r="912" spans="1:32" ht="86.4" x14ac:dyDescent="0.3">
      <c r="A912" s="23" t="s">
        <v>3911</v>
      </c>
      <c r="B912" s="20" t="s">
        <v>16</v>
      </c>
      <c r="C912" s="20" t="s">
        <v>7</v>
      </c>
      <c r="D912" s="20" t="s">
        <v>8</v>
      </c>
      <c r="E912" s="22">
        <v>88</v>
      </c>
      <c r="F912" s="22">
        <v>5</v>
      </c>
      <c r="G912" s="22">
        <v>4</v>
      </c>
      <c r="H912" s="22"/>
      <c r="I912" s="23" t="s">
        <v>9</v>
      </c>
      <c r="J912" s="23"/>
      <c r="K912" s="22"/>
      <c r="L912" s="22"/>
      <c r="M912" s="23"/>
      <c r="N912" s="23"/>
      <c r="O912" s="26" t="s">
        <v>3912</v>
      </c>
      <c r="P912" s="26"/>
      <c r="Q912" s="22"/>
      <c r="R912" s="24"/>
      <c r="S912" s="24"/>
      <c r="T912" s="24"/>
      <c r="U912" s="24"/>
      <c r="V912" s="24"/>
      <c r="W912" s="22" t="s">
        <v>230</v>
      </c>
      <c r="X912" s="4" t="str">
        <f>IF(Tabela2[[#This Row],[sigla]]="","",VLOOKUP(Tabela2[[#This Row],[sigla]],créditos_base!B:C,2,0))</f>
        <v>RAFAEL L. GAION/ARQUIVO DA EDITORA</v>
      </c>
      <c r="Y912" s="23"/>
      <c r="Z912" s="23" t="str">
        <f>Tabela2[[#This Row],[ilustrador]]</f>
        <v>RAFAEL L. GAION/ARQUIVO DA EDITORA</v>
      </c>
      <c r="AA912" s="22"/>
      <c r="AB912" s="20"/>
      <c r="AD912" s="4" t="str">
        <f>"Pitanguá"</f>
        <v>Pitanguá</v>
      </c>
      <c r="AE912" s="14" t="str">
        <f>"Matemática"</f>
        <v>Matemática</v>
      </c>
      <c r="AF912" s="14"/>
    </row>
    <row r="913" spans="1:32" ht="43.2" x14ac:dyDescent="0.3">
      <c r="A913" s="23" t="s">
        <v>1366</v>
      </c>
      <c r="B913" s="20" t="s">
        <v>6</v>
      </c>
      <c r="C913" s="20" t="s">
        <v>7</v>
      </c>
      <c r="D913" s="20" t="s">
        <v>8</v>
      </c>
      <c r="E913" s="22">
        <v>201</v>
      </c>
      <c r="F913" s="22">
        <v>2</v>
      </c>
      <c r="G913" s="22">
        <v>4</v>
      </c>
      <c r="H913" s="22"/>
      <c r="I913" s="23" t="s">
        <v>9</v>
      </c>
      <c r="J913" s="23"/>
      <c r="K913" s="22"/>
      <c r="L913" s="22"/>
      <c r="M913" s="23"/>
      <c r="N913" s="23"/>
      <c r="O913" s="26" t="s">
        <v>1367</v>
      </c>
      <c r="P913" s="26"/>
      <c r="Q913" s="22"/>
      <c r="R913" s="24"/>
      <c r="S913" s="24"/>
      <c r="T913" s="24"/>
      <c r="U913" s="24"/>
      <c r="V913" s="24"/>
      <c r="W913" s="22" t="s">
        <v>468</v>
      </c>
      <c r="X913" s="4" t="str">
        <f>IF(Tabela2[[#This Row],[sigla]]="","",VLOOKUP(Tabela2[[#This Row],[sigla]],créditos_base!B:C,2,0))</f>
        <v>VER DOCUMENTO DE ILS. TÉCNICAS</v>
      </c>
      <c r="Y913" s="23"/>
      <c r="Z913" s="23" t="s">
        <v>1327</v>
      </c>
      <c r="AA913" s="22"/>
      <c r="AB913" s="20"/>
      <c r="AD913" s="4" t="str">
        <f>"Pitanguá"</f>
        <v>Pitanguá</v>
      </c>
      <c r="AE913" s="14" t="str">
        <f>"Matemática"</f>
        <v>Matemática</v>
      </c>
      <c r="AF913" s="14"/>
    </row>
    <row r="914" spans="1:32" ht="43.2" x14ac:dyDescent="0.3">
      <c r="A914" s="23" t="s">
        <v>3047</v>
      </c>
      <c r="B914" s="20" t="s">
        <v>16</v>
      </c>
      <c r="C914" s="20" t="s">
        <v>89</v>
      </c>
      <c r="D914" s="20" t="s">
        <v>8</v>
      </c>
      <c r="E914" s="22">
        <v>82</v>
      </c>
      <c r="F914" s="22">
        <v>4</v>
      </c>
      <c r="G914" s="22">
        <v>4</v>
      </c>
      <c r="H914" s="22"/>
      <c r="I914" s="23" t="s">
        <v>9</v>
      </c>
      <c r="J914" s="23"/>
      <c r="K914" s="22"/>
      <c r="L914" s="22"/>
      <c r="M914" s="23"/>
      <c r="N914" s="23"/>
      <c r="O914" s="26" t="s">
        <v>3048</v>
      </c>
      <c r="P914" s="26"/>
      <c r="Q914" s="22"/>
      <c r="R914" s="24"/>
      <c r="S914" s="24"/>
      <c r="T914" s="24"/>
      <c r="U914" s="24"/>
      <c r="V914" s="24"/>
      <c r="W914" s="22" t="s">
        <v>160</v>
      </c>
      <c r="X914" s="4" t="str">
        <f>IF(Tabela2[[#This Row],[sigla]]="","",VLOOKUP(Tabela2[[#This Row],[sigla]],créditos_base!B:C,2,0))</f>
        <v>SERGIO LIMA/ARQUIVO DA EDITORA</v>
      </c>
      <c r="Y914" s="23"/>
      <c r="Z914" s="23" t="str">
        <f>Tabela2[[#This Row],[ilustrador]]</f>
        <v>SERGIO LIMA/ARQUIVO DA EDITORA</v>
      </c>
      <c r="AA914" s="22"/>
      <c r="AB914" s="20"/>
      <c r="AD914" s="4" t="str">
        <f>"Pitanguá"</f>
        <v>Pitanguá</v>
      </c>
      <c r="AE914" s="14" t="str">
        <f>"Matemática"</f>
        <v>Matemática</v>
      </c>
      <c r="AF914" s="14"/>
    </row>
    <row r="915" spans="1:32" x14ac:dyDescent="0.3">
      <c r="A915" s="23" t="s">
        <v>1368</v>
      </c>
      <c r="B915" s="20" t="s">
        <v>16</v>
      </c>
      <c r="C915" s="20" t="s">
        <v>7</v>
      </c>
      <c r="D915" s="20" t="s">
        <v>8</v>
      </c>
      <c r="E915" s="22">
        <v>201</v>
      </c>
      <c r="F915" s="22">
        <v>2</v>
      </c>
      <c r="G915" s="22">
        <v>4</v>
      </c>
      <c r="H915" s="22"/>
      <c r="I915" s="23" t="s">
        <v>9</v>
      </c>
      <c r="J915" s="23"/>
      <c r="K915" s="22"/>
      <c r="L915" s="22"/>
      <c r="M915" s="23"/>
      <c r="N915" s="23"/>
      <c r="O915" s="26" t="s">
        <v>1369</v>
      </c>
      <c r="P915" s="26"/>
      <c r="Q915" s="22"/>
      <c r="R915" s="24"/>
      <c r="S915" s="24"/>
      <c r="T915" s="24"/>
      <c r="U915" s="24"/>
      <c r="V915" s="24"/>
      <c r="W915" s="22" t="s">
        <v>468</v>
      </c>
      <c r="X915" s="4" t="str">
        <f>IF(Tabela2[[#This Row],[sigla]]="","",VLOOKUP(Tabela2[[#This Row],[sigla]],créditos_base!B:C,2,0))</f>
        <v>VER DOCUMENTO DE ILS. TÉCNICAS</v>
      </c>
      <c r="Y915" s="23"/>
      <c r="Z915" s="23" t="s">
        <v>1327</v>
      </c>
      <c r="AA915" s="22"/>
      <c r="AB915" s="20"/>
      <c r="AD915" s="4" t="str">
        <f>"Pitanguá"</f>
        <v>Pitanguá</v>
      </c>
      <c r="AE915" s="14" t="str">
        <f>"Matemática"</f>
        <v>Matemática</v>
      </c>
      <c r="AF915" s="14"/>
    </row>
    <row r="916" spans="1:32" x14ac:dyDescent="0.3">
      <c r="A916" s="23" t="s">
        <v>3049</v>
      </c>
      <c r="B916" s="20" t="s">
        <v>16</v>
      </c>
      <c r="C916" s="20" t="s">
        <v>7</v>
      </c>
      <c r="D916" s="20" t="s">
        <v>8</v>
      </c>
      <c r="E916" s="22">
        <v>83</v>
      </c>
      <c r="F916" s="22">
        <v>4</v>
      </c>
      <c r="G916" s="22">
        <v>4</v>
      </c>
      <c r="H916" s="22"/>
      <c r="I916" s="23" t="s">
        <v>9</v>
      </c>
      <c r="J916" s="23"/>
      <c r="K916" s="22"/>
      <c r="L916" s="22"/>
      <c r="M916" s="23"/>
      <c r="N916" s="23"/>
      <c r="O916" s="26" t="s">
        <v>3050</v>
      </c>
      <c r="P916" s="26"/>
      <c r="Q916" s="22"/>
      <c r="R916" s="24"/>
      <c r="S916" s="24"/>
      <c r="T916" s="24"/>
      <c r="U916" s="24"/>
      <c r="V916" s="24"/>
      <c r="W916" s="22" t="s">
        <v>31</v>
      </c>
      <c r="X916" s="4" t="str">
        <f>IF(Tabela2[[#This Row],[sigla]]="","",VLOOKUP(Tabela2[[#This Row],[sigla]],créditos_base!B:C,2,0))</f>
        <v>SILVIA OTOFUJI/ARQUIVO DA EDITORA</v>
      </c>
      <c r="Y916" s="23"/>
      <c r="Z916" s="23" t="str">
        <f>Tabela2[[#This Row],[ilustrador]]</f>
        <v>SILVIA OTOFUJI/ARQUIVO DA EDITORA</v>
      </c>
      <c r="AA916" s="22"/>
      <c r="AB916" s="20"/>
      <c r="AD916" s="4" t="str">
        <f>"Pitanguá"</f>
        <v>Pitanguá</v>
      </c>
      <c r="AE916" s="14" t="str">
        <f>"Matemática"</f>
        <v>Matemática</v>
      </c>
      <c r="AF916" s="14"/>
    </row>
    <row r="917" spans="1:32" ht="43.2" x14ac:dyDescent="0.3">
      <c r="A917" s="23" t="s">
        <v>3913</v>
      </c>
      <c r="B917" s="20" t="s">
        <v>16</v>
      </c>
      <c r="C917" s="20" t="s">
        <v>7</v>
      </c>
      <c r="D917" s="20" t="s">
        <v>8</v>
      </c>
      <c r="E917" s="22">
        <v>91</v>
      </c>
      <c r="F917" s="22">
        <v>5</v>
      </c>
      <c r="G917" s="22">
        <v>4</v>
      </c>
      <c r="H917" s="22"/>
      <c r="I917" s="23" t="s">
        <v>33</v>
      </c>
      <c r="J917" s="23"/>
      <c r="K917" s="22"/>
      <c r="L917" s="22"/>
      <c r="M917" s="23"/>
      <c r="N917" s="23"/>
      <c r="O917" s="26" t="s">
        <v>3914</v>
      </c>
      <c r="P917" s="26"/>
      <c r="Q917" s="22">
        <v>202</v>
      </c>
      <c r="R917" s="24">
        <v>45924</v>
      </c>
      <c r="S917" s="24">
        <v>45924</v>
      </c>
      <c r="T917" s="24"/>
      <c r="U917" s="24"/>
      <c r="V917" s="24">
        <v>45924</v>
      </c>
      <c r="W917" s="22" t="s">
        <v>151</v>
      </c>
      <c r="X917" s="4" t="str">
        <f>IF(Tabela2[[#This Row],[sigla]]="","",VLOOKUP(Tabela2[[#This Row],[sigla]],créditos_base!B:C,2,0))</f>
        <v>ROGÉRIO CASAGRANDE/ARQUIVO DA EDITORA</v>
      </c>
      <c r="Y917" s="23" t="s">
        <v>696</v>
      </c>
      <c r="Z917" s="23" t="str">
        <f>Tabela2[[#This Row],[ilustrador]]</f>
        <v>ROGÉRIO CASAGRANDE/ARQUIVO DA EDITORA</v>
      </c>
      <c r="AA917" s="22">
        <v>13</v>
      </c>
      <c r="AB917" s="20" t="s">
        <v>153</v>
      </c>
      <c r="AC917" s="20" t="s">
        <v>36</v>
      </c>
      <c r="AD917" s="4" t="str">
        <f>"Pitanguá"</f>
        <v>Pitanguá</v>
      </c>
      <c r="AE917" s="14" t="str">
        <f>"Matemática"</f>
        <v>Matemática</v>
      </c>
      <c r="AF917" s="14"/>
    </row>
    <row r="918" spans="1:32" ht="43.2" x14ac:dyDescent="0.3">
      <c r="A918" s="23" t="s">
        <v>1370</v>
      </c>
      <c r="B918" s="20" t="s">
        <v>16</v>
      </c>
      <c r="C918" s="20" t="s">
        <v>89</v>
      </c>
      <c r="D918" s="20" t="s">
        <v>8</v>
      </c>
      <c r="E918" s="22">
        <v>202</v>
      </c>
      <c r="F918" s="22">
        <v>2</v>
      </c>
      <c r="G918" s="22">
        <v>4</v>
      </c>
      <c r="H918" s="22"/>
      <c r="I918" s="23" t="s">
        <v>33</v>
      </c>
      <c r="J918" s="23"/>
      <c r="K918" s="22"/>
      <c r="L918" s="22"/>
      <c r="M918" s="23"/>
      <c r="N918" s="23"/>
      <c r="O918" s="26" t="s">
        <v>1371</v>
      </c>
      <c r="P918" s="26"/>
      <c r="Q918" s="22">
        <v>16</v>
      </c>
      <c r="R918" s="24">
        <v>45744</v>
      </c>
      <c r="S918" s="24">
        <v>45747</v>
      </c>
      <c r="T918" s="24"/>
      <c r="U918" s="24"/>
      <c r="V918" s="24">
        <v>45747</v>
      </c>
      <c r="W918" s="22" t="s">
        <v>160</v>
      </c>
      <c r="X918" s="4" t="str">
        <f>IF(Tabela2[[#This Row],[sigla]]="","",VLOOKUP(Tabela2[[#This Row],[sigla]],créditos_base!B:C,2,0))</f>
        <v>SERGIO LIMA/ARQUIVO DA EDITORA</v>
      </c>
      <c r="Y918" s="23" t="s">
        <v>813</v>
      </c>
      <c r="Z918" s="23" t="str">
        <f>Tabela2[[#This Row],[ilustrador]]</f>
        <v>SERGIO LIMA/ARQUIVO DA EDITORA</v>
      </c>
      <c r="AA918" s="22">
        <v>14</v>
      </c>
      <c r="AB918" s="20" t="s">
        <v>153</v>
      </c>
      <c r="AC918" s="20" t="s">
        <v>36</v>
      </c>
      <c r="AD918" s="4" t="str">
        <f>"Pitanguá"</f>
        <v>Pitanguá</v>
      </c>
      <c r="AE918" s="14" t="str">
        <f>"Matemática"</f>
        <v>Matemática</v>
      </c>
      <c r="AF918" s="14"/>
    </row>
    <row r="919" spans="1:32" x14ac:dyDescent="0.3">
      <c r="A919" s="31" t="s">
        <v>2012</v>
      </c>
      <c r="B919" s="20" t="s">
        <v>16</v>
      </c>
      <c r="C919" s="20" t="s">
        <v>89</v>
      </c>
      <c r="D919" s="20" t="s">
        <v>8</v>
      </c>
      <c r="E919" s="22">
        <v>69</v>
      </c>
      <c r="F919" s="22">
        <v>3</v>
      </c>
      <c r="G919" s="22">
        <v>4</v>
      </c>
      <c r="H919" s="22"/>
      <c r="I919" s="23" t="s">
        <v>33</v>
      </c>
      <c r="J919" s="23"/>
      <c r="K919" s="22"/>
      <c r="L919" s="22"/>
      <c r="M919" s="23"/>
      <c r="N919" s="23"/>
      <c r="O919" s="26" t="s">
        <v>2013</v>
      </c>
      <c r="P919" s="26"/>
      <c r="Q919" s="22">
        <v>167</v>
      </c>
      <c r="R919" s="24">
        <v>45894</v>
      </c>
      <c r="S919" s="24">
        <v>45895</v>
      </c>
      <c r="T919" s="24"/>
      <c r="U919" s="24"/>
      <c r="V919" s="24">
        <v>45895</v>
      </c>
      <c r="W919" s="22" t="s">
        <v>230</v>
      </c>
      <c r="X919" s="4" t="str">
        <f>IF(Tabela2[[#This Row],[sigla]]="","",VLOOKUP(Tabela2[[#This Row],[sigla]],créditos_base!B:C,2,0))</f>
        <v>RAFAEL L. GAION/ARQUIVO DA EDITORA</v>
      </c>
      <c r="Y919" s="23" t="s">
        <v>433</v>
      </c>
      <c r="Z919" s="23" t="str">
        <f>Tabela2[[#This Row],[ilustrador]]</f>
        <v>RAFAEL L. GAION/ARQUIVO DA EDITORA</v>
      </c>
      <c r="AA919" s="22">
        <v>14</v>
      </c>
      <c r="AB919" s="20" t="s">
        <v>153</v>
      </c>
      <c r="AC919" s="20" t="s">
        <v>36</v>
      </c>
      <c r="AD919" s="4" t="str">
        <f>"Pitanguá"</f>
        <v>Pitanguá</v>
      </c>
      <c r="AE919" s="14" t="str">
        <f>"Matemática"</f>
        <v>Matemática</v>
      </c>
      <c r="AF919" s="14"/>
    </row>
    <row r="920" spans="1:32" x14ac:dyDescent="0.3">
      <c r="A920" s="23" t="s">
        <v>3051</v>
      </c>
      <c r="B920" s="20" t="s">
        <v>16</v>
      </c>
      <c r="C920" s="20" t="s">
        <v>89</v>
      </c>
      <c r="D920" s="20" t="s">
        <v>8</v>
      </c>
      <c r="E920" s="22">
        <v>83</v>
      </c>
      <c r="F920" s="22">
        <v>4</v>
      </c>
      <c r="G920" s="22">
        <v>4</v>
      </c>
      <c r="H920" s="22"/>
      <c r="I920" s="23" t="s">
        <v>9</v>
      </c>
      <c r="J920" s="23"/>
      <c r="K920" s="22"/>
      <c r="L920" s="22"/>
      <c r="M920" s="23"/>
      <c r="N920" s="23"/>
      <c r="O920" s="26" t="s">
        <v>3052</v>
      </c>
      <c r="P920" s="26"/>
      <c r="Q920" s="22"/>
      <c r="R920" s="24"/>
      <c r="S920" s="24"/>
      <c r="T920" s="24"/>
      <c r="U920" s="24"/>
      <c r="V920" s="24"/>
      <c r="W920" s="22" t="s">
        <v>160</v>
      </c>
      <c r="X920" s="4" t="str">
        <f>IF(Tabela2[[#This Row],[sigla]]="","",VLOOKUP(Tabela2[[#This Row],[sigla]],créditos_base!B:C,2,0))</f>
        <v>SERGIO LIMA/ARQUIVO DA EDITORA</v>
      </c>
      <c r="Y920" s="23"/>
      <c r="Z920" s="23" t="str">
        <f>Tabela2[[#This Row],[ilustrador]]</f>
        <v>SERGIO LIMA/ARQUIVO DA EDITORA</v>
      </c>
      <c r="AA920" s="22"/>
      <c r="AB920" s="20"/>
      <c r="AD920" s="4" t="str">
        <f>"Pitanguá"</f>
        <v>Pitanguá</v>
      </c>
      <c r="AE920" s="14" t="str">
        <f>"Matemática"</f>
        <v>Matemática</v>
      </c>
      <c r="AF920" s="14"/>
    </row>
    <row r="921" spans="1:32" ht="28.8" x14ac:dyDescent="0.3">
      <c r="A921" s="23" t="s">
        <v>3915</v>
      </c>
      <c r="B921" s="20" t="s">
        <v>16</v>
      </c>
      <c r="C921" s="20" t="s">
        <v>7</v>
      </c>
      <c r="D921" s="20" t="s">
        <v>8</v>
      </c>
      <c r="E921" s="22">
        <v>91</v>
      </c>
      <c r="F921" s="22">
        <v>5</v>
      </c>
      <c r="G921" s="22">
        <v>4</v>
      </c>
      <c r="H921" s="22"/>
      <c r="I921" s="23" t="s">
        <v>33</v>
      </c>
      <c r="J921" s="23"/>
      <c r="K921" s="22"/>
      <c r="L921" s="22"/>
      <c r="M921" s="23"/>
      <c r="N921" s="23"/>
      <c r="O921" s="26" t="s">
        <v>3916</v>
      </c>
      <c r="P921" s="26"/>
      <c r="Q921" s="22">
        <v>57</v>
      </c>
      <c r="R921" s="24">
        <v>45805</v>
      </c>
      <c r="S921" s="24">
        <v>45811</v>
      </c>
      <c r="T921" s="24"/>
      <c r="U921" s="24"/>
      <c r="V921" s="24">
        <v>45811</v>
      </c>
      <c r="W921" s="22" t="s">
        <v>151</v>
      </c>
      <c r="X921" s="4" t="str">
        <f>IF(Tabela2[[#This Row],[sigla]]="","",VLOOKUP(Tabela2[[#This Row],[sigla]],créditos_base!B:C,2,0))</f>
        <v>ROGÉRIO CASAGRANDE/ARQUIVO DA EDITORA</v>
      </c>
      <c r="Y921" s="23" t="s">
        <v>1503</v>
      </c>
      <c r="Z921" s="23" t="str">
        <f>Tabela2[[#This Row],[ilustrador]]</f>
        <v>ROGÉRIO CASAGRANDE/ARQUIVO DA EDITORA</v>
      </c>
      <c r="AA921" s="22"/>
      <c r="AB921" s="28" t="s">
        <v>41</v>
      </c>
      <c r="AC921" s="20" t="s">
        <v>36</v>
      </c>
      <c r="AD921" s="4" t="str">
        <f>"Pitanguá"</f>
        <v>Pitanguá</v>
      </c>
      <c r="AE921" s="14" t="str">
        <f>"Matemática"</f>
        <v>Matemática</v>
      </c>
      <c r="AF921" s="14"/>
    </row>
    <row r="922" spans="1:32" ht="28.8" x14ac:dyDescent="0.3">
      <c r="A922" s="23" t="s">
        <v>1372</v>
      </c>
      <c r="B922" s="20" t="s">
        <v>16</v>
      </c>
      <c r="C922" s="20" t="s">
        <v>7</v>
      </c>
      <c r="D922" s="20" t="s">
        <v>8</v>
      </c>
      <c r="E922" s="22">
        <v>202</v>
      </c>
      <c r="F922" s="22">
        <v>2</v>
      </c>
      <c r="G922" s="22">
        <v>4</v>
      </c>
      <c r="H922" s="22"/>
      <c r="I922" s="23" t="s">
        <v>33</v>
      </c>
      <c r="J922" s="23"/>
      <c r="K922" s="22"/>
      <c r="L922" s="22"/>
      <c r="M922" s="23"/>
      <c r="N922" s="23"/>
      <c r="O922" s="26" t="s">
        <v>1373</v>
      </c>
      <c r="P922" s="26"/>
      <c r="Q922" s="22">
        <v>16</v>
      </c>
      <c r="R922" s="24">
        <v>45744</v>
      </c>
      <c r="S922" s="24">
        <v>45747</v>
      </c>
      <c r="T922" s="24"/>
      <c r="U922" s="24"/>
      <c r="V922" s="24">
        <v>45747</v>
      </c>
      <c r="W922" s="22" t="s">
        <v>160</v>
      </c>
      <c r="X922" s="4" t="str">
        <f>IF(Tabela2[[#This Row],[sigla]]="","",VLOOKUP(Tabela2[[#This Row],[sigla]],créditos_base!B:C,2,0))</f>
        <v>SERGIO LIMA/ARQUIVO DA EDITORA</v>
      </c>
      <c r="Y922" s="23" t="s">
        <v>813</v>
      </c>
      <c r="Z922" s="23" t="str">
        <f>Tabela2[[#This Row],[ilustrador]]</f>
        <v>SERGIO LIMA/ARQUIVO DA EDITORA</v>
      </c>
      <c r="AA922" s="22">
        <v>14</v>
      </c>
      <c r="AB922" s="20" t="s">
        <v>153</v>
      </c>
      <c r="AC922" s="20" t="s">
        <v>36</v>
      </c>
      <c r="AD922" s="4" t="str">
        <f>"Pitanguá"</f>
        <v>Pitanguá</v>
      </c>
      <c r="AE922" s="14" t="str">
        <f>"Matemática"</f>
        <v>Matemática</v>
      </c>
      <c r="AF922" s="14"/>
    </row>
    <row r="923" spans="1:32" ht="72" x14ac:dyDescent="0.3">
      <c r="A923" s="23" t="s">
        <v>3053</v>
      </c>
      <c r="B923" s="20" t="s">
        <v>16</v>
      </c>
      <c r="C923" s="20" t="s">
        <v>7</v>
      </c>
      <c r="D923" s="20" t="s">
        <v>8</v>
      </c>
      <c r="E923" s="22">
        <v>83</v>
      </c>
      <c r="F923" s="22">
        <v>4</v>
      </c>
      <c r="G923" s="22">
        <v>4</v>
      </c>
      <c r="H923" s="22"/>
      <c r="I923" s="23" t="s">
        <v>9</v>
      </c>
      <c r="J923" s="23"/>
      <c r="K923" s="22"/>
      <c r="L923" s="22"/>
      <c r="M923" s="23"/>
      <c r="N923" s="23"/>
      <c r="O923" s="26" t="s">
        <v>3054</v>
      </c>
      <c r="P923" s="26"/>
      <c r="Q923" s="22"/>
      <c r="R923" s="24"/>
      <c r="S923" s="24"/>
      <c r="T923" s="24"/>
      <c r="U923" s="24"/>
      <c r="V923" s="24"/>
      <c r="W923" s="22" t="s">
        <v>31</v>
      </c>
      <c r="X923" s="4" t="str">
        <f>IF(Tabela2[[#This Row],[sigla]]="","",VLOOKUP(Tabela2[[#This Row],[sigla]],créditos_base!B:C,2,0))</f>
        <v>SILVIA OTOFUJI/ARQUIVO DA EDITORA</v>
      </c>
      <c r="Y923" s="23"/>
      <c r="Z923" s="23" t="str">
        <f>Tabela2[[#This Row],[ilustrador]]</f>
        <v>SILVIA OTOFUJI/ARQUIVO DA EDITORA</v>
      </c>
      <c r="AA923" s="22"/>
      <c r="AB923" s="20"/>
      <c r="AD923" s="4" t="str">
        <f>"Pitanguá"</f>
        <v>Pitanguá</v>
      </c>
      <c r="AE923" s="14" t="str">
        <f>"Matemática"</f>
        <v>Matemática</v>
      </c>
      <c r="AF923" s="14"/>
    </row>
    <row r="924" spans="1:32" ht="28.8" x14ac:dyDescent="0.3">
      <c r="A924" s="23" t="s">
        <v>1374</v>
      </c>
      <c r="B924" s="20" t="s">
        <v>16</v>
      </c>
      <c r="C924" s="20" t="s">
        <v>7</v>
      </c>
      <c r="D924" s="20" t="s">
        <v>8</v>
      </c>
      <c r="E924" s="22">
        <v>202</v>
      </c>
      <c r="F924" s="22">
        <v>2</v>
      </c>
      <c r="G924" s="22">
        <v>4</v>
      </c>
      <c r="H924" s="22"/>
      <c r="I924" s="23" t="s">
        <v>33</v>
      </c>
      <c r="J924" s="23"/>
      <c r="K924" s="22"/>
      <c r="L924" s="22"/>
      <c r="M924" s="23"/>
      <c r="N924" s="23"/>
      <c r="O924" s="26" t="s">
        <v>1375</v>
      </c>
      <c r="P924" s="26"/>
      <c r="Q924" s="22">
        <v>16</v>
      </c>
      <c r="R924" s="24">
        <v>45744</v>
      </c>
      <c r="S924" s="24">
        <v>45747</v>
      </c>
      <c r="T924" s="24"/>
      <c r="U924" s="24"/>
      <c r="V924" s="24">
        <v>45747</v>
      </c>
      <c r="W924" s="22" t="s">
        <v>468</v>
      </c>
      <c r="X924" s="4" t="str">
        <f>IF(Tabela2[[#This Row],[sigla]]="","",VLOOKUP(Tabela2[[#This Row],[sigla]],créditos_base!B:C,2,0))</f>
        <v>VER DOCUMENTO DE ILS. TÉCNICAS</v>
      </c>
      <c r="Y924" s="23" t="s">
        <v>813</v>
      </c>
      <c r="Z924" s="23" t="s">
        <v>1327</v>
      </c>
      <c r="AA924" s="22">
        <v>14</v>
      </c>
      <c r="AB924" s="20" t="s">
        <v>153</v>
      </c>
      <c r="AC924" s="20" t="s">
        <v>36</v>
      </c>
      <c r="AD924" s="4" t="str">
        <f>"Pitanguá"</f>
        <v>Pitanguá</v>
      </c>
      <c r="AE924" s="14" t="str">
        <f>"Matemática"</f>
        <v>Matemática</v>
      </c>
      <c r="AF924" s="14"/>
    </row>
    <row r="925" spans="1:32" ht="28.8" x14ac:dyDescent="0.3">
      <c r="A925" s="23" t="s">
        <v>3340</v>
      </c>
      <c r="B925" s="20" t="s">
        <v>6</v>
      </c>
      <c r="C925" s="20" t="s">
        <v>7</v>
      </c>
      <c r="D925" s="20" t="s">
        <v>8</v>
      </c>
      <c r="E925" s="22">
        <v>102</v>
      </c>
      <c r="F925" s="22">
        <v>3</v>
      </c>
      <c r="G925" s="22">
        <v>4</v>
      </c>
      <c r="H925" s="22"/>
      <c r="I925" s="23" t="s">
        <v>9</v>
      </c>
      <c r="J925" s="23"/>
      <c r="K925" s="22"/>
      <c r="L925" s="22"/>
      <c r="M925" s="23"/>
      <c r="N925" s="23"/>
      <c r="O925" s="26" t="s">
        <v>3341</v>
      </c>
      <c r="P925" s="26"/>
      <c r="Q925" s="22"/>
      <c r="R925" s="24"/>
      <c r="S925" s="24"/>
      <c r="T925" s="24"/>
      <c r="U925" s="24"/>
      <c r="V925" s="24"/>
      <c r="W925" s="22" t="s">
        <v>468</v>
      </c>
      <c r="X925" s="4" t="str">
        <f>IF(Tabela2[[#This Row],[sigla]]="","",VLOOKUP(Tabela2[[#This Row],[sigla]],créditos_base!B:C,2,0))</f>
        <v>VER DOCUMENTO DE ILS. TÉCNICAS</v>
      </c>
      <c r="Y925" s="23"/>
      <c r="Z925" s="23" t="s">
        <v>469</v>
      </c>
      <c r="AA925" s="22"/>
      <c r="AB925" s="20"/>
      <c r="AD925" s="4" t="str">
        <f>"Pitanguá"</f>
        <v>Pitanguá</v>
      </c>
      <c r="AE925" s="14" t="str">
        <f>"Matemática"</f>
        <v>Matemática</v>
      </c>
      <c r="AF925" s="14"/>
    </row>
    <row r="926" spans="1:32" ht="57.6" x14ac:dyDescent="0.3">
      <c r="A926" s="23" t="s">
        <v>3055</v>
      </c>
      <c r="B926" s="20" t="s">
        <v>16</v>
      </c>
      <c r="C926" s="20" t="s">
        <v>89</v>
      </c>
      <c r="D926" s="20" t="s">
        <v>8</v>
      </c>
      <c r="E926" s="22">
        <v>83</v>
      </c>
      <c r="F926" s="22">
        <v>4</v>
      </c>
      <c r="G926" s="22">
        <v>4</v>
      </c>
      <c r="H926" s="22"/>
      <c r="I926" s="23" t="s">
        <v>9</v>
      </c>
      <c r="J926" s="23"/>
      <c r="K926" s="22"/>
      <c r="L926" s="22"/>
      <c r="M926" s="23"/>
      <c r="N926" s="23"/>
      <c r="O926" s="26" t="s">
        <v>3056</v>
      </c>
      <c r="P926" s="26"/>
      <c r="Q926" s="22"/>
      <c r="R926" s="24"/>
      <c r="S926" s="24"/>
      <c r="T926" s="24"/>
      <c r="U926" s="24"/>
      <c r="V926" s="24"/>
      <c r="W926" s="22" t="s">
        <v>160</v>
      </c>
      <c r="X926" s="4" t="str">
        <f>IF(Tabela2[[#This Row],[sigla]]="","",VLOOKUP(Tabela2[[#This Row],[sigla]],créditos_base!B:C,2,0))</f>
        <v>SERGIO LIMA/ARQUIVO DA EDITORA</v>
      </c>
      <c r="Y926" s="23"/>
      <c r="Z926" s="23" t="str">
        <f>Tabela2[[#This Row],[ilustrador]]</f>
        <v>SERGIO LIMA/ARQUIVO DA EDITORA</v>
      </c>
      <c r="AA926" s="22"/>
      <c r="AB926" s="20"/>
      <c r="AD926" s="4" t="str">
        <f>"Pitanguá"</f>
        <v>Pitanguá</v>
      </c>
      <c r="AE926" s="14" t="str">
        <f>"Matemática"</f>
        <v>Matemática</v>
      </c>
      <c r="AF926" s="14"/>
    </row>
    <row r="927" spans="1:32" ht="28.8" x14ac:dyDescent="0.3">
      <c r="A927" s="23" t="s">
        <v>5669</v>
      </c>
      <c r="B927" s="20" t="s">
        <v>16</v>
      </c>
      <c r="C927" s="20" t="s">
        <v>7</v>
      </c>
      <c r="D927" s="20" t="s">
        <v>8</v>
      </c>
      <c r="E927" s="22">
        <v>94</v>
      </c>
      <c r="F927" s="22">
        <v>5</v>
      </c>
      <c r="G927" s="22">
        <v>4</v>
      </c>
      <c r="H927" s="22"/>
      <c r="I927" s="23" t="s">
        <v>33</v>
      </c>
      <c r="J927" s="23"/>
      <c r="K927" s="22"/>
      <c r="L927" s="22"/>
      <c r="M927" s="23"/>
      <c r="N927" s="23"/>
      <c r="O927" s="26" t="s">
        <v>5670</v>
      </c>
      <c r="P927" s="26"/>
      <c r="Q927" s="22">
        <v>136</v>
      </c>
      <c r="R927" s="24">
        <v>45866</v>
      </c>
      <c r="S927" s="24">
        <v>45875</v>
      </c>
      <c r="T927" s="24"/>
      <c r="U927" s="24"/>
      <c r="V927" s="24">
        <v>45877</v>
      </c>
      <c r="W927" s="22" t="s">
        <v>460</v>
      </c>
      <c r="X927" s="4" t="str">
        <f>IF(Tabela2[[#This Row],[sigla]]="","",VLOOKUP(Tabela2[[#This Row],[sigla]],créditos_base!B:C,2,0))</f>
        <v>CLAUDIA SOUZA/ARQUIVO DA EDITORA</v>
      </c>
      <c r="Y927" s="23" t="s">
        <v>243</v>
      </c>
      <c r="Z927" s="23" t="str">
        <f>Tabela2[[#This Row],[ilustrador]]</f>
        <v>CLAUDIA SOUZA/ARQUIVO DA EDITORA</v>
      </c>
      <c r="AA927" s="22">
        <v>13</v>
      </c>
      <c r="AB927" s="20" t="s">
        <v>244</v>
      </c>
      <c r="AC927" s="20" t="s">
        <v>36</v>
      </c>
      <c r="AD927" s="4" t="str">
        <f>"Pitanguá"</f>
        <v>Pitanguá</v>
      </c>
      <c r="AE927" s="14" t="str">
        <f>"Matemática"</f>
        <v>Matemática</v>
      </c>
      <c r="AF927" s="14"/>
    </row>
    <row r="928" spans="1:32" ht="28.8" x14ac:dyDescent="0.3">
      <c r="A928" s="23" t="s">
        <v>1376</v>
      </c>
      <c r="B928" s="20" t="s">
        <v>522</v>
      </c>
      <c r="C928" s="20" t="s">
        <v>7</v>
      </c>
      <c r="D928" s="20" t="s">
        <v>8</v>
      </c>
      <c r="E928" s="22">
        <v>203</v>
      </c>
      <c r="F928" s="22">
        <v>2</v>
      </c>
      <c r="G928" s="22">
        <v>4</v>
      </c>
      <c r="H928" s="22"/>
      <c r="I928" s="23" t="s">
        <v>33</v>
      </c>
      <c r="J928" s="23"/>
      <c r="K928" s="22"/>
      <c r="L928" s="22"/>
      <c r="M928" s="23"/>
      <c r="N928" s="23"/>
      <c r="O928" s="26" t="s">
        <v>1377</v>
      </c>
      <c r="P928" s="26"/>
      <c r="Q928" s="22">
        <v>209</v>
      </c>
      <c r="R928" s="24">
        <v>45926</v>
      </c>
      <c r="S928" s="24">
        <v>45926</v>
      </c>
      <c r="T928" s="24"/>
      <c r="U928" s="24"/>
      <c r="V928" s="24">
        <v>45927</v>
      </c>
      <c r="W928" s="22" t="s">
        <v>87</v>
      </c>
      <c r="X928" s="4" t="str">
        <f>IF(Tabela2[[#This Row],[sigla]]="","",VLOOKUP(Tabela2[[#This Row],[sigla]],créditos_base!B:C,2,0))</f>
        <v>CHRIS BORGES/ARQUIVO DA EDITORA</v>
      </c>
      <c r="Y928" s="23" t="s">
        <v>696</v>
      </c>
      <c r="Z928" s="23" t="str">
        <f>Tabela2[[#This Row],[ilustrador]]</f>
        <v>CHRIS BORGES/ARQUIVO DA EDITORA</v>
      </c>
      <c r="AA928" s="22">
        <v>13</v>
      </c>
      <c r="AB928" s="20" t="s">
        <v>41</v>
      </c>
      <c r="AD928" s="4" t="str">
        <f>"Pitanguá"</f>
        <v>Pitanguá</v>
      </c>
      <c r="AE928" s="14" t="str">
        <f>"Matemática"</f>
        <v>Matemática</v>
      </c>
      <c r="AF928" s="14"/>
    </row>
    <row r="929" spans="1:32" ht="28.8" x14ac:dyDescent="0.3">
      <c r="A929" s="23" t="s">
        <v>3342</v>
      </c>
      <c r="B929" s="20" t="s">
        <v>6</v>
      </c>
      <c r="C929" s="20"/>
      <c r="D929" s="20" t="s">
        <v>8</v>
      </c>
      <c r="E929" s="22">
        <v>102</v>
      </c>
      <c r="F929" s="22">
        <v>3</v>
      </c>
      <c r="G929" s="22">
        <v>4</v>
      </c>
      <c r="H929" s="22"/>
      <c r="I929" s="23" t="s">
        <v>33</v>
      </c>
      <c r="J929" s="23"/>
      <c r="K929" s="22"/>
      <c r="L929" s="22"/>
      <c r="M929" s="23"/>
      <c r="N929" s="23"/>
      <c r="O929" s="26" t="s">
        <v>3343</v>
      </c>
      <c r="P929" s="26"/>
      <c r="Q929" s="22">
        <v>48</v>
      </c>
      <c r="R929" s="24">
        <v>45797</v>
      </c>
      <c r="S929" s="24">
        <v>45797</v>
      </c>
      <c r="T929" s="24"/>
      <c r="U929" s="24"/>
      <c r="V929" s="24">
        <v>45798</v>
      </c>
      <c r="W929" s="22" t="s">
        <v>468</v>
      </c>
      <c r="X929" s="4" t="str">
        <f>IF(Tabela2[[#This Row],[sigla]]="","",VLOOKUP(Tabela2[[#This Row],[sigla]],créditos_base!B:C,2,0))</f>
        <v>VER DOCUMENTO DE ILS. TÉCNICAS</v>
      </c>
      <c r="Y929" s="23" t="s">
        <v>13</v>
      </c>
      <c r="Z929" s="23" t="s">
        <v>469</v>
      </c>
      <c r="AA929" s="22">
        <v>13</v>
      </c>
      <c r="AB929" s="20" t="s">
        <v>153</v>
      </c>
      <c r="AC929" s="20" t="s">
        <v>36</v>
      </c>
      <c r="AD929" s="4" t="str">
        <f>"Pitanguá"</f>
        <v>Pitanguá</v>
      </c>
      <c r="AE929" s="14" t="str">
        <f>"Matemática"</f>
        <v>Matemática</v>
      </c>
      <c r="AF929" s="14"/>
    </row>
    <row r="930" spans="1:32" ht="28.8" x14ac:dyDescent="0.3">
      <c r="A930" s="23" t="s">
        <v>3057</v>
      </c>
      <c r="B930" s="20" t="s">
        <v>16</v>
      </c>
      <c r="C930" s="20" t="s">
        <v>89</v>
      </c>
      <c r="D930" s="20" t="s">
        <v>8</v>
      </c>
      <c r="E930" s="22">
        <v>83</v>
      </c>
      <c r="F930" s="22">
        <v>4</v>
      </c>
      <c r="G930" s="22">
        <v>4</v>
      </c>
      <c r="H930" s="22"/>
      <c r="I930" s="23" t="s">
        <v>9</v>
      </c>
      <c r="J930" s="23"/>
      <c r="K930" s="22"/>
      <c r="L930" s="22"/>
      <c r="M930" s="23"/>
      <c r="N930" s="23"/>
      <c r="O930" s="26" t="s">
        <v>3058</v>
      </c>
      <c r="P930" s="26"/>
      <c r="Q930" s="22"/>
      <c r="R930" s="24"/>
      <c r="S930" s="24"/>
      <c r="T930" s="24"/>
      <c r="U930" s="24"/>
      <c r="V930" s="24"/>
      <c r="W930" s="22" t="s">
        <v>160</v>
      </c>
      <c r="X930" s="4" t="str">
        <f>IF(Tabela2[[#This Row],[sigla]]="","",VLOOKUP(Tabela2[[#This Row],[sigla]],créditos_base!B:C,2,0))</f>
        <v>SERGIO LIMA/ARQUIVO DA EDITORA</v>
      </c>
      <c r="Y930" s="23"/>
      <c r="Z930" s="23" t="str">
        <f>Tabela2[[#This Row],[ilustrador]]</f>
        <v>SERGIO LIMA/ARQUIVO DA EDITORA</v>
      </c>
      <c r="AA930" s="22"/>
      <c r="AB930" s="20"/>
      <c r="AD930" s="4" t="str">
        <f>"Pitanguá"</f>
        <v>Pitanguá</v>
      </c>
      <c r="AE930" s="14" t="str">
        <f>"Matemática"</f>
        <v>Matemática</v>
      </c>
      <c r="AF930" s="14"/>
    </row>
    <row r="931" spans="1:32" ht="43.2" x14ac:dyDescent="0.3">
      <c r="A931" s="23" t="s">
        <v>3917</v>
      </c>
      <c r="B931" s="20" t="s">
        <v>16</v>
      </c>
      <c r="C931" s="20" t="s">
        <v>7</v>
      </c>
      <c r="D931" s="20" t="s">
        <v>8</v>
      </c>
      <c r="E931" s="22">
        <v>94</v>
      </c>
      <c r="F931" s="22">
        <v>5</v>
      </c>
      <c r="G931" s="22">
        <v>4</v>
      </c>
      <c r="H931" s="22"/>
      <c r="I931" s="23" t="s">
        <v>9</v>
      </c>
      <c r="J931" s="23"/>
      <c r="K931" s="22"/>
      <c r="L931" s="22"/>
      <c r="M931" s="23"/>
      <c r="N931" s="23"/>
      <c r="O931" s="26" t="s">
        <v>3918</v>
      </c>
      <c r="P931" s="26"/>
      <c r="Q931" s="22"/>
      <c r="R931" s="24"/>
      <c r="S931" s="24"/>
      <c r="T931" s="24"/>
      <c r="U931" s="24"/>
      <c r="V931" s="24"/>
      <c r="W931" s="22" t="s">
        <v>332</v>
      </c>
      <c r="X931" s="4" t="str">
        <f>IF(Tabela2[[#This Row],[sigla]]="","",VLOOKUP(Tabela2[[#This Row],[sigla]],créditos_base!B:C,2,0))</f>
        <v>CYNTHIA SEKIGUCHI/ARQUIVO DA EDITORA</v>
      </c>
      <c r="Y931" s="23"/>
      <c r="Z931" s="23" t="str">
        <f>Tabela2[[#This Row],[ilustrador]]</f>
        <v>CYNTHIA SEKIGUCHI/ARQUIVO DA EDITORA</v>
      </c>
      <c r="AA931" s="22"/>
      <c r="AB931" s="20"/>
      <c r="AD931" s="4" t="str">
        <f>"Pitanguá"</f>
        <v>Pitanguá</v>
      </c>
      <c r="AE931" s="14" t="str">
        <f>"Matemática"</f>
        <v>Matemática</v>
      </c>
      <c r="AF931" s="14"/>
    </row>
    <row r="932" spans="1:32" ht="43.2" x14ac:dyDescent="0.3">
      <c r="A932" s="23" t="s">
        <v>1442</v>
      </c>
      <c r="B932" s="20" t="s">
        <v>6</v>
      </c>
      <c r="C932" s="20" t="s">
        <v>89</v>
      </c>
      <c r="D932" s="20" t="s">
        <v>8</v>
      </c>
      <c r="E932" s="22">
        <v>205</v>
      </c>
      <c r="F932" s="22">
        <v>2</v>
      </c>
      <c r="G932" s="22">
        <v>4</v>
      </c>
      <c r="H932" s="22"/>
      <c r="I932" s="23" t="s">
        <v>9</v>
      </c>
      <c r="J932" s="23"/>
      <c r="K932" s="22"/>
      <c r="L932" s="22"/>
      <c r="M932" s="23"/>
      <c r="N932" s="23"/>
      <c r="O932" s="26" t="s">
        <v>1443</v>
      </c>
      <c r="P932" s="26"/>
      <c r="Q932" s="22"/>
      <c r="R932" s="24"/>
      <c r="S932" s="24"/>
      <c r="T932" s="24"/>
      <c r="U932" s="24"/>
      <c r="V932" s="24"/>
      <c r="W932" s="22" t="s">
        <v>160</v>
      </c>
      <c r="X932" s="4" t="str">
        <f>IF(Tabela2[[#This Row],[sigla]]="","",VLOOKUP(Tabela2[[#This Row],[sigla]],créditos_base!B:C,2,0))</f>
        <v>SERGIO LIMA/ARQUIVO DA EDITORA</v>
      </c>
      <c r="Y932" s="23"/>
      <c r="Z932" s="23" t="str">
        <f>Tabela2[[#This Row],[ilustrador]]</f>
        <v>SERGIO LIMA/ARQUIVO DA EDITORA</v>
      </c>
      <c r="AA932" s="22"/>
      <c r="AB932" s="20"/>
      <c r="AD932" s="4" t="str">
        <f>"Pitanguá"</f>
        <v>Pitanguá</v>
      </c>
      <c r="AE932" s="14" t="str">
        <f>"Matemática"</f>
        <v>Matemática</v>
      </c>
      <c r="AF932" s="14"/>
    </row>
    <row r="933" spans="1:32" ht="43.2" x14ac:dyDescent="0.3">
      <c r="A933" s="23" t="s">
        <v>3059</v>
      </c>
      <c r="B933" s="20" t="s">
        <v>16</v>
      </c>
      <c r="C933" s="20" t="s">
        <v>7</v>
      </c>
      <c r="D933" s="20" t="s">
        <v>8</v>
      </c>
      <c r="E933" s="22">
        <v>84</v>
      </c>
      <c r="F933" s="22">
        <v>4</v>
      </c>
      <c r="G933" s="22">
        <v>4</v>
      </c>
      <c r="H933" s="22"/>
      <c r="I933" s="23" t="s">
        <v>9</v>
      </c>
      <c r="J933" s="23"/>
      <c r="K933" s="22"/>
      <c r="L933" s="22"/>
      <c r="M933" s="23"/>
      <c r="N933" s="23"/>
      <c r="O933" s="26" t="s">
        <v>3060</v>
      </c>
      <c r="P933" s="26"/>
      <c r="Q933" s="22"/>
      <c r="R933" s="24"/>
      <c r="S933" s="24"/>
      <c r="T933" s="24"/>
      <c r="U933" s="24"/>
      <c r="V933" s="24"/>
      <c r="W933" s="22" t="s">
        <v>940</v>
      </c>
      <c r="X933" s="4" t="str">
        <f>IF(Tabela2[[#This Row],[sigla]]="","",VLOOKUP(Tabela2[[#This Row],[sigla]],créditos_base!B:C,2,0))</f>
        <v>RONALDO LUCENA/ARQUIVO DA EDITORA</v>
      </c>
      <c r="Y933" s="23"/>
      <c r="Z933" s="23" t="str">
        <f>Tabela2[[#This Row],[ilustrador]]</f>
        <v>RONALDO LUCENA/ARQUIVO DA EDITORA</v>
      </c>
      <c r="AA933" s="22"/>
      <c r="AB933" s="20"/>
      <c r="AD933" s="4" t="str">
        <f>"Pitanguá"</f>
        <v>Pitanguá</v>
      </c>
      <c r="AE933" s="14" t="str">
        <f>"Matemática"</f>
        <v>Matemática</v>
      </c>
      <c r="AF933" s="14"/>
    </row>
    <row r="934" spans="1:32" ht="57.6" x14ac:dyDescent="0.3">
      <c r="A934" s="23" t="s">
        <v>3919</v>
      </c>
      <c r="B934" s="20" t="s">
        <v>16</v>
      </c>
      <c r="C934" s="20" t="s">
        <v>89</v>
      </c>
      <c r="D934" s="20" t="s">
        <v>8</v>
      </c>
      <c r="E934" s="22">
        <v>94</v>
      </c>
      <c r="F934" s="22">
        <v>5</v>
      </c>
      <c r="G934" s="22">
        <v>4</v>
      </c>
      <c r="H934" s="22"/>
      <c r="I934" s="23" t="s">
        <v>9</v>
      </c>
      <c r="J934" s="23"/>
      <c r="K934" s="22"/>
      <c r="L934" s="22"/>
      <c r="M934" s="23"/>
      <c r="N934" s="23"/>
      <c r="O934" s="26" t="s">
        <v>3920</v>
      </c>
      <c r="P934" s="26"/>
      <c r="Q934" s="22"/>
      <c r="R934" s="24"/>
      <c r="S934" s="24"/>
      <c r="T934" s="24"/>
      <c r="U934" s="24"/>
      <c r="V934" s="24"/>
      <c r="W934" s="22" t="s">
        <v>940</v>
      </c>
      <c r="X934" s="4" t="str">
        <f>IF(Tabela2[[#This Row],[sigla]]="","",VLOOKUP(Tabela2[[#This Row],[sigla]],créditos_base!B:C,2,0))</f>
        <v>RONALDO LUCENA/ARQUIVO DA EDITORA</v>
      </c>
      <c r="Y934" s="23"/>
      <c r="Z934" s="23" t="str">
        <f>Tabela2[[#This Row],[ilustrador]]</f>
        <v>RONALDO LUCENA/ARQUIVO DA EDITORA</v>
      </c>
      <c r="AA934" s="22"/>
      <c r="AB934" s="20"/>
      <c r="AD934" s="4" t="str">
        <f>"Pitanguá"</f>
        <v>Pitanguá</v>
      </c>
      <c r="AE934" s="14" t="str">
        <f>"Matemática"</f>
        <v>Matemática</v>
      </c>
      <c r="AF934" s="14"/>
    </row>
    <row r="935" spans="1:32" ht="28.8" x14ac:dyDescent="0.3">
      <c r="A935" s="23" t="s">
        <v>1444</v>
      </c>
      <c r="B935" s="20" t="s">
        <v>6</v>
      </c>
      <c r="C935" s="20" t="s">
        <v>7</v>
      </c>
      <c r="D935" s="20" t="s">
        <v>8</v>
      </c>
      <c r="E935" s="22">
        <v>205</v>
      </c>
      <c r="F935" s="22">
        <v>2</v>
      </c>
      <c r="G935" s="22">
        <v>4</v>
      </c>
      <c r="H935" s="22"/>
      <c r="I935" s="23" t="s">
        <v>9</v>
      </c>
      <c r="J935" s="23"/>
      <c r="K935" s="22"/>
      <c r="L935" s="22"/>
      <c r="M935" s="23"/>
      <c r="N935" s="23"/>
      <c r="O935" s="26" t="s">
        <v>1445</v>
      </c>
      <c r="P935" s="26"/>
      <c r="Q935" s="22"/>
      <c r="R935" s="24"/>
      <c r="S935" s="24"/>
      <c r="T935" s="24"/>
      <c r="U935" s="24"/>
      <c r="V935" s="24"/>
      <c r="W935" s="22" t="s">
        <v>468</v>
      </c>
      <c r="X935" s="4" t="str">
        <f>IF(Tabela2[[#This Row],[sigla]]="","",VLOOKUP(Tabela2[[#This Row],[sigla]],créditos_base!B:C,2,0))</f>
        <v>VER DOCUMENTO DE ILS. TÉCNICAS</v>
      </c>
      <c r="Y935" s="23"/>
      <c r="Z935" s="23" t="str">
        <f>Tabela2[[#This Row],[ilustrador]]</f>
        <v>VER DOCUMENTO DE ILS. TÉCNICAS</v>
      </c>
      <c r="AA935" s="22"/>
      <c r="AB935" s="20"/>
      <c r="AD935" s="4" t="str">
        <f>"Pitanguá"</f>
        <v>Pitanguá</v>
      </c>
      <c r="AE935" s="14" t="str">
        <f>"Matemática"</f>
        <v>Matemática</v>
      </c>
      <c r="AF935" s="14"/>
    </row>
    <row r="936" spans="1:32" ht="28.8" x14ac:dyDescent="0.3">
      <c r="A936" s="23" t="s">
        <v>3344</v>
      </c>
      <c r="B936" s="20" t="s">
        <v>16</v>
      </c>
      <c r="C936" s="20" t="s">
        <v>7</v>
      </c>
      <c r="D936" s="20" t="s">
        <v>8</v>
      </c>
      <c r="E936" s="22">
        <v>113</v>
      </c>
      <c r="F936" s="22">
        <v>3</v>
      </c>
      <c r="G936" s="22">
        <v>4</v>
      </c>
      <c r="H936" s="22"/>
      <c r="I936" s="23" t="s">
        <v>9</v>
      </c>
      <c r="J936" s="23"/>
      <c r="K936" s="22"/>
      <c r="L936" s="22"/>
      <c r="M936" s="23"/>
      <c r="N936" s="23"/>
      <c r="O936" s="26" t="s">
        <v>3345</v>
      </c>
      <c r="P936" s="26"/>
      <c r="Q936" s="22"/>
      <c r="R936" s="24"/>
      <c r="S936" s="24"/>
      <c r="T936" s="24"/>
      <c r="U936" s="24"/>
      <c r="V936" s="24"/>
      <c r="W936" s="22" t="s">
        <v>230</v>
      </c>
      <c r="X936" s="4" t="str">
        <f>IF(Tabela2[[#This Row],[sigla]]="","",VLOOKUP(Tabela2[[#This Row],[sigla]],créditos_base!B:C,2,0))</f>
        <v>RAFAEL L. GAION/ARQUIVO DA EDITORA</v>
      </c>
      <c r="Y936" s="23"/>
      <c r="Z936" s="23" t="str">
        <f>Tabela2[[#This Row],[ilustrador]]</f>
        <v>RAFAEL L. GAION/ARQUIVO DA EDITORA</v>
      </c>
      <c r="AA936" s="22"/>
      <c r="AB936" s="20"/>
      <c r="AD936" s="4" t="str">
        <f>"Pitanguá"</f>
        <v>Pitanguá</v>
      </c>
      <c r="AE936" s="14" t="str">
        <f>"Matemática"</f>
        <v>Matemática</v>
      </c>
      <c r="AF936" s="14"/>
    </row>
    <row r="937" spans="1:32" x14ac:dyDescent="0.3">
      <c r="A937" s="23" t="s">
        <v>3061</v>
      </c>
      <c r="B937" s="20" t="s">
        <v>6</v>
      </c>
      <c r="C937" s="20" t="s">
        <v>7</v>
      </c>
      <c r="D937" s="20" t="s">
        <v>8</v>
      </c>
      <c r="E937" s="22">
        <v>84</v>
      </c>
      <c r="F937" s="22">
        <v>4</v>
      </c>
      <c r="G937" s="22">
        <v>4</v>
      </c>
      <c r="H937" s="22"/>
      <c r="I937" s="23" t="s">
        <v>9</v>
      </c>
      <c r="J937" s="23"/>
      <c r="K937" s="22"/>
      <c r="L937" s="22"/>
      <c r="M937" s="23"/>
      <c r="N937" s="23"/>
      <c r="O937" s="26" t="s">
        <v>3062</v>
      </c>
      <c r="P937" s="26" t="s">
        <v>11</v>
      </c>
      <c r="Q937" s="22"/>
      <c r="R937" s="24"/>
      <c r="S937" s="24"/>
      <c r="T937" s="24"/>
      <c r="U937" s="24"/>
      <c r="V937" s="24"/>
      <c r="W937" s="22" t="s">
        <v>151</v>
      </c>
      <c r="X937" s="4" t="str">
        <f>IF(Tabela2[[#This Row],[sigla]]="","",VLOOKUP(Tabela2[[#This Row],[sigla]],créditos_base!B:C,2,0))</f>
        <v>ROGÉRIO CASAGRANDE/ARQUIVO DA EDITORA</v>
      </c>
      <c r="Y937" s="23"/>
      <c r="Z937" s="23" t="str">
        <f>Tabela2[[#This Row],[ilustrador]]</f>
        <v>ROGÉRIO CASAGRANDE/ARQUIVO DA EDITORA</v>
      </c>
      <c r="AA937" s="22"/>
      <c r="AB937" s="20"/>
      <c r="AD937" s="4" t="str">
        <f>"Pitanguá"</f>
        <v>Pitanguá</v>
      </c>
      <c r="AE937" s="14" t="str">
        <f>"Matemática"</f>
        <v>Matemática</v>
      </c>
      <c r="AF937" s="14"/>
    </row>
    <row r="938" spans="1:32" x14ac:dyDescent="0.3">
      <c r="A938" s="23" t="s">
        <v>3921</v>
      </c>
      <c r="B938" s="20" t="s">
        <v>16</v>
      </c>
      <c r="C938" s="20" t="s">
        <v>89</v>
      </c>
      <c r="D938" s="20" t="s">
        <v>8</v>
      </c>
      <c r="E938" s="22">
        <v>95</v>
      </c>
      <c r="F938" s="22">
        <v>5</v>
      </c>
      <c r="G938" s="22">
        <v>4</v>
      </c>
      <c r="H938" s="22"/>
      <c r="I938" s="23" t="s">
        <v>9</v>
      </c>
      <c r="J938" s="23"/>
      <c r="K938" s="22"/>
      <c r="L938" s="22"/>
      <c r="M938" s="23"/>
      <c r="N938" s="23"/>
      <c r="O938" s="26" t="s">
        <v>3922</v>
      </c>
      <c r="P938" s="26"/>
      <c r="Q938" s="22"/>
      <c r="R938" s="24"/>
      <c r="S938" s="24"/>
      <c r="T938" s="24"/>
      <c r="U938" s="24"/>
      <c r="V938" s="24"/>
      <c r="W938" s="22" t="s">
        <v>940</v>
      </c>
      <c r="X938" s="4" t="str">
        <f>IF(Tabela2[[#This Row],[sigla]]="","",VLOOKUP(Tabela2[[#This Row],[sigla]],créditos_base!B:C,2,0))</f>
        <v>RONALDO LUCENA/ARQUIVO DA EDITORA</v>
      </c>
      <c r="Y938" s="23"/>
      <c r="Z938" s="23" t="str">
        <f>Tabela2[[#This Row],[ilustrador]]</f>
        <v>RONALDO LUCENA/ARQUIVO DA EDITORA</v>
      </c>
      <c r="AA938" s="22"/>
      <c r="AB938" s="20"/>
      <c r="AD938" s="4" t="str">
        <f>"Pitanguá"</f>
        <v>Pitanguá</v>
      </c>
      <c r="AE938" s="14" t="str">
        <f>"Matemática"</f>
        <v>Matemática</v>
      </c>
      <c r="AF938" s="14"/>
    </row>
    <row r="939" spans="1:32" ht="86.4" x14ac:dyDescent="0.3">
      <c r="A939" s="23" t="s">
        <v>1446</v>
      </c>
      <c r="B939" s="20" t="s">
        <v>6</v>
      </c>
      <c r="C939" s="20" t="s">
        <v>7</v>
      </c>
      <c r="D939" s="20" t="s">
        <v>8</v>
      </c>
      <c r="E939" s="22">
        <v>205</v>
      </c>
      <c r="F939" s="22">
        <v>2</v>
      </c>
      <c r="G939" s="22">
        <v>4</v>
      </c>
      <c r="H939" s="22"/>
      <c r="I939" s="23" t="s">
        <v>9</v>
      </c>
      <c r="J939" s="23"/>
      <c r="K939" s="22"/>
      <c r="L939" s="22"/>
      <c r="M939" s="23"/>
      <c r="N939" s="23"/>
      <c r="O939" s="26" t="s">
        <v>1447</v>
      </c>
      <c r="P939" s="26"/>
      <c r="Q939" s="22"/>
      <c r="R939" s="24"/>
      <c r="S939" s="24"/>
      <c r="T939" s="24"/>
      <c r="U939" s="24"/>
      <c r="V939" s="24"/>
      <c r="W939" s="22" t="s">
        <v>468</v>
      </c>
      <c r="X939" s="4" t="str">
        <f>IF(Tabela2[[#This Row],[sigla]]="","",VLOOKUP(Tabela2[[#This Row],[sigla]],créditos_base!B:C,2,0))</f>
        <v>VER DOCUMENTO DE ILS. TÉCNICAS</v>
      </c>
      <c r="Y939" s="23"/>
      <c r="Z939" s="23" t="str">
        <f>Tabela2[[#This Row],[ilustrador]]</f>
        <v>VER DOCUMENTO DE ILS. TÉCNICAS</v>
      </c>
      <c r="AA939" s="22"/>
      <c r="AB939" s="20"/>
      <c r="AD939" s="4" t="str">
        <f>"Pitanguá"</f>
        <v>Pitanguá</v>
      </c>
      <c r="AE939" s="14" t="str">
        <f>"Matemática"</f>
        <v>Matemática</v>
      </c>
      <c r="AF939" s="14"/>
    </row>
    <row r="940" spans="1:32" x14ac:dyDescent="0.3">
      <c r="A940" s="23" t="s">
        <v>3063</v>
      </c>
      <c r="B940" s="20" t="s">
        <v>16</v>
      </c>
      <c r="C940" s="20" t="s">
        <v>7</v>
      </c>
      <c r="D940" s="20" t="s">
        <v>8</v>
      </c>
      <c r="E940" s="22">
        <v>84</v>
      </c>
      <c r="F940" s="22">
        <v>4</v>
      </c>
      <c r="G940" s="22">
        <v>4</v>
      </c>
      <c r="H940" s="22"/>
      <c r="I940" s="23" t="s">
        <v>9</v>
      </c>
      <c r="J940" s="23"/>
      <c r="K940" s="22"/>
      <c r="L940" s="22"/>
      <c r="M940" s="23"/>
      <c r="N940" s="23"/>
      <c r="O940" s="26" t="s">
        <v>3064</v>
      </c>
      <c r="P940" s="26"/>
      <c r="Q940" s="22"/>
      <c r="R940" s="24"/>
      <c r="S940" s="24"/>
      <c r="T940" s="24"/>
      <c r="U940" s="24"/>
      <c r="V940" s="24"/>
      <c r="W940" s="22" t="s">
        <v>940</v>
      </c>
      <c r="X940" s="4" t="str">
        <f>IF(Tabela2[[#This Row],[sigla]]="","",VLOOKUP(Tabela2[[#This Row],[sigla]],créditos_base!B:C,2,0))</f>
        <v>RONALDO LUCENA/ARQUIVO DA EDITORA</v>
      </c>
      <c r="Y940" s="23"/>
      <c r="Z940" s="23" t="str">
        <f>Tabela2[[#This Row],[ilustrador]]</f>
        <v>RONALDO LUCENA/ARQUIVO DA EDITORA</v>
      </c>
      <c r="AA940" s="22"/>
      <c r="AB940" s="20"/>
      <c r="AD940" s="4" t="str">
        <f>"Pitanguá"</f>
        <v>Pitanguá</v>
      </c>
      <c r="AE940" s="14" t="str">
        <f>"Matemática"</f>
        <v>Matemática</v>
      </c>
      <c r="AF940" s="14"/>
    </row>
    <row r="941" spans="1:32" ht="28.8" x14ac:dyDescent="0.3">
      <c r="A941" s="23" t="s">
        <v>3923</v>
      </c>
      <c r="B941" s="20" t="s">
        <v>16</v>
      </c>
      <c r="C941" s="20" t="s">
        <v>89</v>
      </c>
      <c r="D941" s="20" t="s">
        <v>8</v>
      </c>
      <c r="E941" s="22">
        <v>95</v>
      </c>
      <c r="F941" s="22">
        <v>5</v>
      </c>
      <c r="G941" s="22">
        <v>4</v>
      </c>
      <c r="H941" s="22"/>
      <c r="I941" s="23" t="s">
        <v>9</v>
      </c>
      <c r="J941" s="23"/>
      <c r="K941" s="22"/>
      <c r="L941" s="22"/>
      <c r="M941" s="23"/>
      <c r="N941" s="23"/>
      <c r="O941" s="26" t="s">
        <v>3924</v>
      </c>
      <c r="P941" s="26"/>
      <c r="Q941" s="22"/>
      <c r="R941" s="24"/>
      <c r="S941" s="24"/>
      <c r="T941" s="24"/>
      <c r="U941" s="24"/>
      <c r="V941" s="24"/>
      <c r="W941" s="22" t="s">
        <v>940</v>
      </c>
      <c r="X941" s="4" t="str">
        <f>IF(Tabela2[[#This Row],[sigla]]="","",VLOOKUP(Tabela2[[#This Row],[sigla]],créditos_base!B:C,2,0))</f>
        <v>RONALDO LUCENA/ARQUIVO DA EDITORA</v>
      </c>
      <c r="Y941" s="23"/>
      <c r="Z941" s="23" t="str">
        <f>Tabela2[[#This Row],[ilustrador]]</f>
        <v>RONALDO LUCENA/ARQUIVO DA EDITORA</v>
      </c>
      <c r="AA941" s="22"/>
      <c r="AB941" s="20"/>
      <c r="AD941" s="4" t="str">
        <f>"Pitanguá"</f>
        <v>Pitanguá</v>
      </c>
      <c r="AE941" s="14" t="str">
        <f>"Matemática"</f>
        <v>Matemática</v>
      </c>
      <c r="AF941" s="14"/>
    </row>
    <row r="942" spans="1:32" ht="28.8" x14ac:dyDescent="0.3">
      <c r="A942" s="23" t="s">
        <v>1378</v>
      </c>
      <c r="B942" s="20" t="s">
        <v>16</v>
      </c>
      <c r="C942" s="20" t="s">
        <v>7</v>
      </c>
      <c r="D942" s="20" t="s">
        <v>8</v>
      </c>
      <c r="E942" s="22">
        <v>183</v>
      </c>
      <c r="F942" s="22">
        <v>2</v>
      </c>
      <c r="G942" s="22">
        <v>4</v>
      </c>
      <c r="H942" s="22"/>
      <c r="I942" s="23" t="s">
        <v>9</v>
      </c>
      <c r="J942" s="23"/>
      <c r="K942" s="22"/>
      <c r="L942" s="22"/>
      <c r="M942" s="23"/>
      <c r="N942" s="23"/>
      <c r="O942" s="26" t="s">
        <v>1379</v>
      </c>
      <c r="P942" s="26"/>
      <c r="Q942" s="22"/>
      <c r="R942" s="24"/>
      <c r="S942" s="24"/>
      <c r="T942" s="24"/>
      <c r="U942" s="24"/>
      <c r="V942" s="24"/>
      <c r="W942" s="22" t="s">
        <v>546</v>
      </c>
      <c r="X942" s="4" t="str">
        <f>IF(Tabela2[[#This Row],[sigla]]="","",VLOOKUP(Tabela2[[#This Row],[sigla]],créditos_base!B:C,2,0))</f>
        <v>GUILHERME ARANEGA/ARQUIVO DA EDITORA</v>
      </c>
      <c r="Y942" s="23"/>
      <c r="Z942" s="23" t="str">
        <f>Tabela2[[#This Row],[ilustrador]]</f>
        <v>GUILHERME ARANEGA/ARQUIVO DA EDITORA</v>
      </c>
      <c r="AA942" s="22"/>
      <c r="AB942" s="20"/>
      <c r="AD942" s="4" t="str">
        <f>"Pitanguá"</f>
        <v>Pitanguá</v>
      </c>
      <c r="AE942" s="14" t="str">
        <f>"Matemática"</f>
        <v>Matemática</v>
      </c>
      <c r="AF942" s="14"/>
    </row>
    <row r="943" spans="1:32" ht="28.8" x14ac:dyDescent="0.3">
      <c r="A943" s="23" t="s">
        <v>3065</v>
      </c>
      <c r="B943" s="20" t="s">
        <v>16</v>
      </c>
      <c r="C943" s="20" t="s">
        <v>89</v>
      </c>
      <c r="D943" s="20" t="s">
        <v>8</v>
      </c>
      <c r="E943" s="22">
        <v>84</v>
      </c>
      <c r="F943" s="22">
        <v>4</v>
      </c>
      <c r="G943" s="22">
        <v>4</v>
      </c>
      <c r="H943" s="22"/>
      <c r="I943" s="23" t="s">
        <v>9</v>
      </c>
      <c r="J943" s="23"/>
      <c r="K943" s="22"/>
      <c r="L943" s="22"/>
      <c r="M943" s="23"/>
      <c r="N943" s="23"/>
      <c r="O943" s="26" t="s">
        <v>3066</v>
      </c>
      <c r="P943" s="26"/>
      <c r="Q943" s="22"/>
      <c r="R943" s="24"/>
      <c r="S943" s="24"/>
      <c r="T943" s="24"/>
      <c r="U943" s="24"/>
      <c r="V943" s="24"/>
      <c r="W943" s="22" t="s">
        <v>160</v>
      </c>
      <c r="X943" s="4" t="str">
        <f>IF(Tabela2[[#This Row],[sigla]]="","",VLOOKUP(Tabela2[[#This Row],[sigla]],créditos_base!B:C,2,0))</f>
        <v>SERGIO LIMA/ARQUIVO DA EDITORA</v>
      </c>
      <c r="Y943" s="23"/>
      <c r="Z943" s="23" t="str">
        <f>Tabela2[[#This Row],[ilustrador]]</f>
        <v>SERGIO LIMA/ARQUIVO DA EDITORA</v>
      </c>
      <c r="AA943" s="22"/>
      <c r="AB943" s="20"/>
      <c r="AD943" s="4" t="str">
        <f>"Pitanguá"</f>
        <v>Pitanguá</v>
      </c>
      <c r="AE943" s="14" t="str">
        <f>"Matemática"</f>
        <v>Matemática</v>
      </c>
      <c r="AF943" s="14"/>
    </row>
    <row r="944" spans="1:32" ht="43.2" x14ac:dyDescent="0.3">
      <c r="A944" s="23" t="s">
        <v>3925</v>
      </c>
      <c r="B944" s="20" t="s">
        <v>16</v>
      </c>
      <c r="C944" s="20" t="s">
        <v>89</v>
      </c>
      <c r="D944" s="20" t="s">
        <v>8</v>
      </c>
      <c r="E944" s="22">
        <v>96</v>
      </c>
      <c r="F944" s="22">
        <v>5</v>
      </c>
      <c r="G944" s="22">
        <v>4</v>
      </c>
      <c r="H944" s="22"/>
      <c r="I944" s="23" t="s">
        <v>33</v>
      </c>
      <c r="J944" s="23"/>
      <c r="K944" s="22"/>
      <c r="L944" s="22"/>
      <c r="M944" s="23"/>
      <c r="N944" s="23"/>
      <c r="O944" s="26" t="s">
        <v>3926</v>
      </c>
      <c r="P944" s="26"/>
      <c r="Q944" s="22">
        <v>57</v>
      </c>
      <c r="R944" s="24">
        <v>45805</v>
      </c>
      <c r="S944" s="24">
        <v>45811</v>
      </c>
      <c r="T944" s="24"/>
      <c r="U944" s="24"/>
      <c r="V944" s="24">
        <v>45811</v>
      </c>
      <c r="W944" s="22" t="s">
        <v>356</v>
      </c>
      <c r="X944" s="4" t="str">
        <f>IF(Tabela2[[#This Row],[sigla]]="","",VLOOKUP(Tabela2[[#This Row],[sigla]],créditos_base!B:C,2,0))</f>
        <v>CAMILA CARMONA/ARQUIVO DA EDITORA</v>
      </c>
      <c r="Y944" s="23" t="s">
        <v>1503</v>
      </c>
      <c r="Z944" s="23" t="str">
        <f>Tabela2[[#This Row],[ilustrador]]</f>
        <v>CAMILA CARMONA/ARQUIVO DA EDITORA</v>
      </c>
      <c r="AA944" s="22"/>
      <c r="AB944" s="28" t="s">
        <v>41</v>
      </c>
      <c r="AC944" s="20" t="s">
        <v>36</v>
      </c>
      <c r="AD944" s="4" t="str">
        <f>"Pitanguá"</f>
        <v>Pitanguá</v>
      </c>
      <c r="AE944" s="14" t="str">
        <f>"Matemática"</f>
        <v>Matemática</v>
      </c>
      <c r="AF944" s="14"/>
    </row>
    <row r="945" spans="1:32" ht="57.6" x14ac:dyDescent="0.3">
      <c r="A945" s="23" t="s">
        <v>1380</v>
      </c>
      <c r="B945" s="20" t="s">
        <v>16</v>
      </c>
      <c r="C945" s="20" t="s">
        <v>7</v>
      </c>
      <c r="D945" s="20" t="s">
        <v>8</v>
      </c>
      <c r="E945" s="22">
        <v>183</v>
      </c>
      <c r="F945" s="22">
        <v>2</v>
      </c>
      <c r="G945" s="22">
        <v>4</v>
      </c>
      <c r="H945" s="22"/>
      <c r="I945" s="23" t="s">
        <v>9</v>
      </c>
      <c r="J945" s="23"/>
      <c r="K945" s="22"/>
      <c r="L945" s="22"/>
      <c r="M945" s="23"/>
      <c r="N945" s="23"/>
      <c r="O945" s="26" t="s">
        <v>1381</v>
      </c>
      <c r="P945" s="26"/>
      <c r="Q945" s="22"/>
      <c r="R945" s="24"/>
      <c r="S945" s="24"/>
      <c r="T945" s="24"/>
      <c r="U945" s="24"/>
      <c r="V945" s="24"/>
      <c r="W945" s="22" t="s">
        <v>546</v>
      </c>
      <c r="X945" s="4" t="str">
        <f>IF(Tabela2[[#This Row],[sigla]]="","",VLOOKUP(Tabela2[[#This Row],[sigla]],créditos_base!B:C,2,0))</f>
        <v>GUILHERME ARANEGA/ARQUIVO DA EDITORA</v>
      </c>
      <c r="Y945" s="23"/>
      <c r="Z945" s="23" t="str">
        <f>Tabela2[[#This Row],[ilustrador]]</f>
        <v>GUILHERME ARANEGA/ARQUIVO DA EDITORA</v>
      </c>
      <c r="AA945" s="22"/>
      <c r="AB945" s="20"/>
      <c r="AD945" s="4" t="str">
        <f>"Pitanguá"</f>
        <v>Pitanguá</v>
      </c>
      <c r="AE945" s="14" t="str">
        <f>"Matemática"</f>
        <v>Matemática</v>
      </c>
      <c r="AF945" s="14"/>
    </row>
    <row r="946" spans="1:32" ht="28.8" x14ac:dyDescent="0.3">
      <c r="A946" s="23" t="s">
        <v>3067</v>
      </c>
      <c r="B946" s="20" t="s">
        <v>16</v>
      </c>
      <c r="C946" s="20" t="s">
        <v>89</v>
      </c>
      <c r="D946" s="20" t="s">
        <v>8</v>
      </c>
      <c r="E946" s="22">
        <v>84</v>
      </c>
      <c r="F946" s="22">
        <v>4</v>
      </c>
      <c r="G946" s="22">
        <v>4</v>
      </c>
      <c r="H946" s="22"/>
      <c r="I946" s="23" t="s">
        <v>9</v>
      </c>
      <c r="J946" s="23"/>
      <c r="K946" s="22"/>
      <c r="L946" s="22"/>
      <c r="M946" s="23"/>
      <c r="N946" s="23"/>
      <c r="O946" s="26" t="s">
        <v>3068</v>
      </c>
      <c r="P946" s="26"/>
      <c r="Q946" s="22"/>
      <c r="R946" s="24"/>
      <c r="S946" s="24"/>
      <c r="T946" s="24"/>
      <c r="U946" s="24"/>
      <c r="V946" s="24"/>
      <c r="W946" s="22" t="s">
        <v>160</v>
      </c>
      <c r="X946" s="4" t="str">
        <f>IF(Tabela2[[#This Row],[sigla]]="","",VLOOKUP(Tabela2[[#This Row],[sigla]],créditos_base!B:C,2,0))</f>
        <v>SERGIO LIMA/ARQUIVO DA EDITORA</v>
      </c>
      <c r="Y946" s="23"/>
      <c r="Z946" s="23" t="str">
        <f>Tabela2[[#This Row],[ilustrador]]</f>
        <v>SERGIO LIMA/ARQUIVO DA EDITORA</v>
      </c>
      <c r="AA946" s="22"/>
      <c r="AB946" s="20"/>
      <c r="AD946" s="4" t="str">
        <f>"Pitanguá"</f>
        <v>Pitanguá</v>
      </c>
      <c r="AE946" s="14" t="str">
        <f>"Matemática"</f>
        <v>Matemática</v>
      </c>
      <c r="AF946" s="14"/>
    </row>
    <row r="947" spans="1:32" ht="43.2" x14ac:dyDescent="0.3">
      <c r="A947" s="23" t="s">
        <v>1382</v>
      </c>
      <c r="B947" s="20" t="s">
        <v>16</v>
      </c>
      <c r="C947" s="20" t="s">
        <v>7</v>
      </c>
      <c r="D947" s="20" t="s">
        <v>8</v>
      </c>
      <c r="E947" s="22">
        <v>183</v>
      </c>
      <c r="F947" s="22">
        <v>2</v>
      </c>
      <c r="G947" s="22">
        <v>4</v>
      </c>
      <c r="H947" s="22"/>
      <c r="I947" s="23" t="s">
        <v>9</v>
      </c>
      <c r="J947" s="23"/>
      <c r="K947" s="22"/>
      <c r="L947" s="22"/>
      <c r="M947" s="23"/>
      <c r="N947" s="23"/>
      <c r="O947" s="26" t="s">
        <v>1383</v>
      </c>
      <c r="P947" s="26"/>
      <c r="Q947" s="22"/>
      <c r="R947" s="24"/>
      <c r="S947" s="24"/>
      <c r="T947" s="24"/>
      <c r="U947" s="24"/>
      <c r="V947" s="24"/>
      <c r="W947" s="22" t="s">
        <v>546</v>
      </c>
      <c r="X947" s="4" t="str">
        <f>IF(Tabela2[[#This Row],[sigla]]="","",VLOOKUP(Tabela2[[#This Row],[sigla]],créditos_base!B:C,2,0))</f>
        <v>GUILHERME ARANEGA/ARQUIVO DA EDITORA</v>
      </c>
      <c r="Y947" s="23"/>
      <c r="Z947" s="23" t="str">
        <f>Tabela2[[#This Row],[ilustrador]]</f>
        <v>GUILHERME ARANEGA/ARQUIVO DA EDITORA</v>
      </c>
      <c r="AA947" s="22"/>
      <c r="AB947" s="20"/>
      <c r="AD947" s="4" t="str">
        <f>"Pitanguá"</f>
        <v>Pitanguá</v>
      </c>
      <c r="AE947" s="14" t="str">
        <f>"Matemática"</f>
        <v>Matemática</v>
      </c>
      <c r="AF947" s="14"/>
    </row>
    <row r="948" spans="1:32" ht="28.8" x14ac:dyDescent="0.3">
      <c r="A948" s="23" t="s">
        <v>3069</v>
      </c>
      <c r="B948" s="20" t="s">
        <v>16</v>
      </c>
      <c r="C948" s="20" t="s">
        <v>89</v>
      </c>
      <c r="D948" s="20" t="s">
        <v>8</v>
      </c>
      <c r="E948" s="22">
        <v>84</v>
      </c>
      <c r="F948" s="22">
        <v>4</v>
      </c>
      <c r="G948" s="22">
        <v>4</v>
      </c>
      <c r="H948" s="22"/>
      <c r="I948" s="23" t="s">
        <v>9</v>
      </c>
      <c r="J948" s="23"/>
      <c r="K948" s="22"/>
      <c r="L948" s="22"/>
      <c r="M948" s="23"/>
      <c r="N948" s="23"/>
      <c r="O948" s="26" t="s">
        <v>3070</v>
      </c>
      <c r="P948" s="26"/>
      <c r="Q948" s="22"/>
      <c r="R948" s="24"/>
      <c r="S948" s="24"/>
      <c r="T948" s="24"/>
      <c r="U948" s="24"/>
      <c r="V948" s="24"/>
      <c r="W948" s="22" t="s">
        <v>160</v>
      </c>
      <c r="X948" s="4" t="str">
        <f>IF(Tabela2[[#This Row],[sigla]]="","",VLOOKUP(Tabela2[[#This Row],[sigla]],créditos_base!B:C,2,0))</f>
        <v>SERGIO LIMA/ARQUIVO DA EDITORA</v>
      </c>
      <c r="Y948" s="23"/>
      <c r="Z948" s="23" t="str">
        <f>Tabela2[[#This Row],[ilustrador]]</f>
        <v>SERGIO LIMA/ARQUIVO DA EDITORA</v>
      </c>
      <c r="AA948" s="22"/>
      <c r="AB948" s="20"/>
      <c r="AD948" s="4" t="str">
        <f>"Pitanguá"</f>
        <v>Pitanguá</v>
      </c>
      <c r="AE948" s="14" t="str">
        <f>"Matemática"</f>
        <v>Matemática</v>
      </c>
      <c r="AF948" s="14"/>
    </row>
    <row r="949" spans="1:32" ht="28.8" x14ac:dyDescent="0.3">
      <c r="A949" s="23" t="s">
        <v>3927</v>
      </c>
      <c r="B949" s="20" t="s">
        <v>16</v>
      </c>
      <c r="C949" s="20" t="s">
        <v>89</v>
      </c>
      <c r="D949" s="20" t="s">
        <v>8</v>
      </c>
      <c r="E949" s="22">
        <v>96</v>
      </c>
      <c r="F949" s="22">
        <v>5</v>
      </c>
      <c r="G949" s="22">
        <v>4</v>
      </c>
      <c r="H949" s="22"/>
      <c r="I949" s="23" t="s">
        <v>33</v>
      </c>
      <c r="J949" s="23"/>
      <c r="K949" s="22"/>
      <c r="L949" s="22"/>
      <c r="M949" s="23"/>
      <c r="N949" s="23"/>
      <c r="O949" s="26" t="s">
        <v>3928</v>
      </c>
      <c r="P949" s="26"/>
      <c r="Q949" s="22">
        <v>57</v>
      </c>
      <c r="R949" s="24">
        <v>45805</v>
      </c>
      <c r="S949" s="24">
        <v>45811</v>
      </c>
      <c r="T949" s="24"/>
      <c r="U949" s="24"/>
      <c r="V949" s="24">
        <v>45811</v>
      </c>
      <c r="W949" s="22" t="s">
        <v>356</v>
      </c>
      <c r="X949" s="4" t="str">
        <f>IF(Tabela2[[#This Row],[sigla]]="","",VLOOKUP(Tabela2[[#This Row],[sigla]],créditos_base!B:C,2,0))</f>
        <v>CAMILA CARMONA/ARQUIVO DA EDITORA</v>
      </c>
      <c r="Y949" s="23" t="s">
        <v>1503</v>
      </c>
      <c r="Z949" s="23" t="str">
        <f>Tabela2[[#This Row],[ilustrador]]</f>
        <v>CAMILA CARMONA/ARQUIVO DA EDITORA</v>
      </c>
      <c r="AA949" s="22"/>
      <c r="AB949" s="28" t="s">
        <v>41</v>
      </c>
      <c r="AC949" s="20" t="s">
        <v>36</v>
      </c>
      <c r="AD949" s="4" t="str">
        <f>"Pitanguá"</f>
        <v>Pitanguá</v>
      </c>
      <c r="AE949" s="14" t="str">
        <f>"Matemática"</f>
        <v>Matemática</v>
      </c>
      <c r="AF949" s="14"/>
    </row>
    <row r="950" spans="1:32" ht="28.8" x14ac:dyDescent="0.3">
      <c r="A950" s="23" t="s">
        <v>1384</v>
      </c>
      <c r="B950" s="20" t="s">
        <v>16</v>
      </c>
      <c r="C950" s="20" t="s">
        <v>7</v>
      </c>
      <c r="D950" s="20" t="s">
        <v>8</v>
      </c>
      <c r="E950" s="22">
        <v>183</v>
      </c>
      <c r="F950" s="22">
        <v>2</v>
      </c>
      <c r="G950" s="22">
        <v>4</v>
      </c>
      <c r="H950" s="22"/>
      <c r="I950" s="23" t="s">
        <v>9</v>
      </c>
      <c r="J950" s="23"/>
      <c r="K950" s="22"/>
      <c r="L950" s="22"/>
      <c r="M950" s="23"/>
      <c r="N950" s="23"/>
      <c r="O950" s="26" t="s">
        <v>1385</v>
      </c>
      <c r="P950" s="26"/>
      <c r="Q950" s="22"/>
      <c r="R950" s="24"/>
      <c r="S950" s="24"/>
      <c r="T950" s="24"/>
      <c r="U950" s="24"/>
      <c r="V950" s="24"/>
      <c r="W950" s="22" t="s">
        <v>546</v>
      </c>
      <c r="X950" s="4" t="str">
        <f>IF(Tabela2[[#This Row],[sigla]]="","",VLOOKUP(Tabela2[[#This Row],[sigla]],créditos_base!B:C,2,0))</f>
        <v>GUILHERME ARANEGA/ARQUIVO DA EDITORA</v>
      </c>
      <c r="Y950" s="23"/>
      <c r="Z950" s="23" t="str">
        <f>Tabela2[[#This Row],[ilustrador]]</f>
        <v>GUILHERME ARANEGA/ARQUIVO DA EDITORA</v>
      </c>
      <c r="AA950" s="22"/>
      <c r="AB950" s="20"/>
      <c r="AD950" s="4" t="str">
        <f>"Pitanguá"</f>
        <v>Pitanguá</v>
      </c>
      <c r="AE950" s="14" t="str">
        <f>"Matemática"</f>
        <v>Matemática</v>
      </c>
      <c r="AF950" s="14"/>
    </row>
    <row r="951" spans="1:32" ht="28.8" x14ac:dyDescent="0.3">
      <c r="A951" s="23" t="s">
        <v>4844</v>
      </c>
      <c r="B951" s="20" t="s">
        <v>16</v>
      </c>
      <c r="C951" s="20" t="s">
        <v>89</v>
      </c>
      <c r="D951" s="20" t="s">
        <v>8</v>
      </c>
      <c r="E951" s="22">
        <v>121</v>
      </c>
      <c r="F951" s="22">
        <v>3</v>
      </c>
      <c r="G951" s="22">
        <v>4</v>
      </c>
      <c r="H951" s="22"/>
      <c r="I951" s="23" t="s">
        <v>33</v>
      </c>
      <c r="J951" s="23"/>
      <c r="K951" s="22"/>
      <c r="L951" s="22"/>
      <c r="M951" s="23"/>
      <c r="N951" s="23"/>
      <c r="O951" s="26" t="s">
        <v>4845</v>
      </c>
      <c r="P951" s="26"/>
      <c r="Q951" s="22">
        <v>81</v>
      </c>
      <c r="R951" s="24">
        <v>45824</v>
      </c>
      <c r="S951" s="24">
        <v>45824</v>
      </c>
      <c r="T951" s="24"/>
      <c r="U951" s="24"/>
      <c r="V951" s="24">
        <v>45824</v>
      </c>
      <c r="W951" s="22" t="s">
        <v>160</v>
      </c>
      <c r="X951" s="4" t="str">
        <f>IF(Tabela2[[#This Row],[sigla]]="","",VLOOKUP(Tabela2[[#This Row],[sigla]],créditos_base!B:C,2,0))</f>
        <v>SERGIO LIMA/ARQUIVO DA EDITORA</v>
      </c>
      <c r="Y951" s="23" t="s">
        <v>1503</v>
      </c>
      <c r="Z951" s="23" t="str">
        <f>Tabela2[[#This Row],[ilustrador]]</f>
        <v>SERGIO LIMA/ARQUIVO DA EDITORA</v>
      </c>
      <c r="AA951" s="22">
        <v>13</v>
      </c>
      <c r="AB951" s="20" t="s">
        <v>153</v>
      </c>
      <c r="AC951" s="20" t="s">
        <v>36</v>
      </c>
      <c r="AD951" s="4" t="str">
        <f>"Pitanguá"</f>
        <v>Pitanguá</v>
      </c>
      <c r="AE951" s="14" t="str">
        <f>"Matemática"</f>
        <v>Matemática</v>
      </c>
      <c r="AF951" s="14"/>
    </row>
    <row r="952" spans="1:32" ht="28.8" x14ac:dyDescent="0.3">
      <c r="A952" s="23" t="s">
        <v>3071</v>
      </c>
      <c r="B952" s="20" t="s">
        <v>16</v>
      </c>
      <c r="C952" s="20" t="s">
        <v>89</v>
      </c>
      <c r="D952" s="20" t="s">
        <v>8</v>
      </c>
      <c r="E952" s="22">
        <v>84</v>
      </c>
      <c r="F952" s="22">
        <v>4</v>
      </c>
      <c r="G952" s="22">
        <v>4</v>
      </c>
      <c r="H952" s="22"/>
      <c r="I952" s="23" t="s">
        <v>9</v>
      </c>
      <c r="J952" s="23"/>
      <c r="K952" s="22"/>
      <c r="L952" s="22"/>
      <c r="M952" s="23"/>
      <c r="N952" s="23"/>
      <c r="O952" s="26" t="s">
        <v>3072</v>
      </c>
      <c r="P952" s="26"/>
      <c r="Q952" s="22"/>
      <c r="R952" s="24"/>
      <c r="S952" s="24"/>
      <c r="T952" s="24"/>
      <c r="U952" s="24"/>
      <c r="V952" s="24"/>
      <c r="W952" s="22" t="s">
        <v>160</v>
      </c>
      <c r="X952" s="4" t="str">
        <f>IF(Tabela2[[#This Row],[sigla]]="","",VLOOKUP(Tabela2[[#This Row],[sigla]],créditos_base!B:C,2,0))</f>
        <v>SERGIO LIMA/ARQUIVO DA EDITORA</v>
      </c>
      <c r="Y952" s="23"/>
      <c r="Z952" s="23" t="str">
        <f>Tabela2[[#This Row],[ilustrador]]</f>
        <v>SERGIO LIMA/ARQUIVO DA EDITORA</v>
      </c>
      <c r="AA952" s="22"/>
      <c r="AB952" s="20"/>
      <c r="AD952" s="4" t="str">
        <f>"Pitanguá"</f>
        <v>Pitanguá</v>
      </c>
      <c r="AE952" s="14" t="str">
        <f>"Matemática"</f>
        <v>Matemática</v>
      </c>
      <c r="AF952" s="14"/>
    </row>
    <row r="953" spans="1:32" ht="28.8" x14ac:dyDescent="0.3">
      <c r="A953" s="23" t="s">
        <v>3929</v>
      </c>
      <c r="B953" s="20" t="s">
        <v>16</v>
      </c>
      <c r="C953" s="20" t="s">
        <v>89</v>
      </c>
      <c r="D953" s="20" t="s">
        <v>8</v>
      </c>
      <c r="E953" s="22">
        <v>96</v>
      </c>
      <c r="F953" s="22">
        <v>5</v>
      </c>
      <c r="G953" s="22">
        <v>4</v>
      </c>
      <c r="H953" s="22"/>
      <c r="I953" s="23" t="s">
        <v>33</v>
      </c>
      <c r="J953" s="23"/>
      <c r="K953" s="22"/>
      <c r="L953" s="22"/>
      <c r="M953" s="23"/>
      <c r="N953" s="23"/>
      <c r="O953" s="26" t="s">
        <v>3930</v>
      </c>
      <c r="P953" s="26"/>
      <c r="Q953" s="22">
        <v>57</v>
      </c>
      <c r="R953" s="24">
        <v>45805</v>
      </c>
      <c r="S953" s="24">
        <v>45811</v>
      </c>
      <c r="T953" s="24"/>
      <c r="U953" s="24"/>
      <c r="V953" s="24">
        <v>45811</v>
      </c>
      <c r="W953" s="22" t="s">
        <v>356</v>
      </c>
      <c r="X953" s="4" t="str">
        <f>IF(Tabela2[[#This Row],[sigla]]="","",VLOOKUP(Tabela2[[#This Row],[sigla]],créditos_base!B:C,2,0))</f>
        <v>CAMILA CARMONA/ARQUIVO DA EDITORA</v>
      </c>
      <c r="Y953" s="23" t="s">
        <v>1503</v>
      </c>
      <c r="Z953" s="23" t="str">
        <f>Tabela2[[#This Row],[ilustrador]]</f>
        <v>CAMILA CARMONA/ARQUIVO DA EDITORA</v>
      </c>
      <c r="AA953" s="22"/>
      <c r="AB953" s="28" t="s">
        <v>41</v>
      </c>
      <c r="AC953" s="20" t="s">
        <v>36</v>
      </c>
      <c r="AD953" s="4" t="str">
        <f>"Pitanguá"</f>
        <v>Pitanguá</v>
      </c>
      <c r="AE953" s="14" t="str">
        <f>"Matemática"</f>
        <v>Matemática</v>
      </c>
      <c r="AF953" s="14"/>
    </row>
    <row r="954" spans="1:32" ht="28.8" x14ac:dyDescent="0.3">
      <c r="A954" s="23" t="s">
        <v>1386</v>
      </c>
      <c r="B954" s="20" t="s">
        <v>16</v>
      </c>
      <c r="C954" s="20" t="s">
        <v>7</v>
      </c>
      <c r="D954" s="20" t="s">
        <v>8</v>
      </c>
      <c r="E954" s="22">
        <v>183</v>
      </c>
      <c r="F954" s="22">
        <v>2</v>
      </c>
      <c r="G954" s="22">
        <v>4</v>
      </c>
      <c r="H954" s="22"/>
      <c r="I954" s="23" t="s">
        <v>9</v>
      </c>
      <c r="J954" s="23"/>
      <c r="K954" s="22"/>
      <c r="L954" s="22"/>
      <c r="M954" s="23"/>
      <c r="N954" s="23"/>
      <c r="O954" s="26" t="s">
        <v>1387</v>
      </c>
      <c r="P954" s="26"/>
      <c r="Q954" s="22"/>
      <c r="R954" s="24"/>
      <c r="S954" s="24"/>
      <c r="T954" s="24"/>
      <c r="U954" s="24"/>
      <c r="V954" s="24"/>
      <c r="W954" s="22" t="s">
        <v>546</v>
      </c>
      <c r="X954" s="4" t="str">
        <f>IF(Tabela2[[#This Row],[sigla]]="","",VLOOKUP(Tabela2[[#This Row],[sigla]],créditos_base!B:C,2,0))</f>
        <v>GUILHERME ARANEGA/ARQUIVO DA EDITORA</v>
      </c>
      <c r="Y954" s="23"/>
      <c r="Z954" s="23" t="str">
        <f>Tabela2[[#This Row],[ilustrador]]</f>
        <v>GUILHERME ARANEGA/ARQUIVO DA EDITORA</v>
      </c>
      <c r="AA954" s="22"/>
      <c r="AB954" s="20"/>
      <c r="AD954" s="4" t="str">
        <f>"Pitanguá"</f>
        <v>Pitanguá</v>
      </c>
      <c r="AE954" s="14" t="str">
        <f>"Matemática"</f>
        <v>Matemática</v>
      </c>
      <c r="AF954" s="14"/>
    </row>
    <row r="955" spans="1:32" ht="28.8" x14ac:dyDescent="0.3">
      <c r="A955" s="23" t="s">
        <v>4846</v>
      </c>
      <c r="B955" s="20" t="s">
        <v>6</v>
      </c>
      <c r="C955" s="20" t="s">
        <v>89</v>
      </c>
      <c r="D955" s="20" t="s">
        <v>8</v>
      </c>
      <c r="E955" s="22">
        <v>121</v>
      </c>
      <c r="F955" s="22">
        <v>3</v>
      </c>
      <c r="G955" s="22">
        <v>4</v>
      </c>
      <c r="H955" s="22"/>
      <c r="I955" s="23" t="s">
        <v>33</v>
      </c>
      <c r="J955" s="23"/>
      <c r="K955" s="22"/>
      <c r="L955" s="22"/>
      <c r="M955" s="23"/>
      <c r="N955" s="23"/>
      <c r="O955" s="26" t="s">
        <v>4847</v>
      </c>
      <c r="P955" s="26"/>
      <c r="Q955" s="22">
        <v>81</v>
      </c>
      <c r="R955" s="24">
        <v>45824</v>
      </c>
      <c r="S955" s="24">
        <v>45824</v>
      </c>
      <c r="T955" s="24"/>
      <c r="U955" s="24"/>
      <c r="V955" s="24">
        <v>45824</v>
      </c>
      <c r="W955" s="22" t="s">
        <v>468</v>
      </c>
      <c r="X955" s="4" t="str">
        <f>IF(Tabela2[[#This Row],[sigla]]="","",VLOOKUP(Tabela2[[#This Row],[sigla]],créditos_base!B:C,2,0))</f>
        <v>VER DOCUMENTO DE ILS. TÉCNICAS</v>
      </c>
      <c r="Y955" s="23" t="s">
        <v>1503</v>
      </c>
      <c r="Z955" s="23" t="s">
        <v>469</v>
      </c>
      <c r="AA955" s="22">
        <v>13</v>
      </c>
      <c r="AB955" s="20" t="s">
        <v>153</v>
      </c>
      <c r="AC955" s="20" t="s">
        <v>36</v>
      </c>
      <c r="AD955" s="4" t="str">
        <f>"Pitanguá"</f>
        <v>Pitanguá</v>
      </c>
      <c r="AE955" s="14" t="str">
        <f>"Matemática"</f>
        <v>Matemática</v>
      </c>
      <c r="AF955" s="14"/>
    </row>
    <row r="956" spans="1:32" x14ac:dyDescent="0.3">
      <c r="A956" s="23" t="s">
        <v>3073</v>
      </c>
      <c r="B956" s="20" t="s">
        <v>16</v>
      </c>
      <c r="C956" s="20" t="s">
        <v>7</v>
      </c>
      <c r="D956" s="20" t="s">
        <v>8</v>
      </c>
      <c r="E956" s="22">
        <v>85</v>
      </c>
      <c r="F956" s="22">
        <v>4</v>
      </c>
      <c r="G956" s="22">
        <v>4</v>
      </c>
      <c r="H956" s="22"/>
      <c r="I956" s="23" t="s">
        <v>33</v>
      </c>
      <c r="J956" s="23"/>
      <c r="K956" s="22"/>
      <c r="L956" s="22"/>
      <c r="M956" s="23"/>
      <c r="N956" s="23"/>
      <c r="O956" s="26" t="s">
        <v>3074</v>
      </c>
      <c r="P956" s="26"/>
      <c r="Q956" s="22">
        <v>151</v>
      </c>
      <c r="R956" s="24">
        <v>45881</v>
      </c>
      <c r="S956" s="24"/>
      <c r="T956" s="24"/>
      <c r="U956" s="24"/>
      <c r="V956" s="24">
        <v>45881</v>
      </c>
      <c r="W956" s="22" t="s">
        <v>332</v>
      </c>
      <c r="X956" s="4" t="str">
        <f>IF(Tabela2[[#This Row],[sigla]]="","",VLOOKUP(Tabela2[[#This Row],[sigla]],créditos_base!B:C,2,0))</f>
        <v>CYNTHIA SEKIGUCHI/ARQUIVO DA EDITORA</v>
      </c>
      <c r="Y956" s="23" t="s">
        <v>524</v>
      </c>
      <c r="Z956" s="23" t="str">
        <f>Tabela2[[#This Row],[ilustrador]]</f>
        <v>CYNTHIA SEKIGUCHI/ARQUIVO DA EDITORA</v>
      </c>
      <c r="AA956" s="22">
        <v>13</v>
      </c>
      <c r="AB956" s="20" t="s">
        <v>525</v>
      </c>
      <c r="AC956" s="20" t="s">
        <v>36</v>
      </c>
      <c r="AD956" s="4" t="str">
        <f>"Pitanguá"</f>
        <v>Pitanguá</v>
      </c>
      <c r="AE956" s="14" t="str">
        <f>"Matemática"</f>
        <v>Matemática</v>
      </c>
      <c r="AF956" s="14"/>
    </row>
    <row r="957" spans="1:32" x14ac:dyDescent="0.3">
      <c r="A957" s="23" t="s">
        <v>3931</v>
      </c>
      <c r="B957" s="20" t="s">
        <v>16</v>
      </c>
      <c r="C957" s="20" t="s">
        <v>89</v>
      </c>
      <c r="D957" s="20" t="s">
        <v>8</v>
      </c>
      <c r="E957" s="22">
        <v>96</v>
      </c>
      <c r="F957" s="22">
        <v>5</v>
      </c>
      <c r="G957" s="22">
        <v>4</v>
      </c>
      <c r="H957" s="22"/>
      <c r="I957" s="23" t="s">
        <v>33</v>
      </c>
      <c r="J957" s="23"/>
      <c r="K957" s="22"/>
      <c r="L957" s="22"/>
      <c r="M957" s="23"/>
      <c r="N957" s="23"/>
      <c r="O957" s="26" t="s">
        <v>3932</v>
      </c>
      <c r="P957" s="26"/>
      <c r="Q957" s="22">
        <v>57</v>
      </c>
      <c r="R957" s="24">
        <v>45805</v>
      </c>
      <c r="S957" s="24">
        <v>45811</v>
      </c>
      <c r="T957" s="24"/>
      <c r="U957" s="24"/>
      <c r="V957" s="24">
        <v>45811</v>
      </c>
      <c r="W957" s="22" t="s">
        <v>356</v>
      </c>
      <c r="X957" s="4" t="str">
        <f>IF(Tabela2[[#This Row],[sigla]]="","",VLOOKUP(Tabela2[[#This Row],[sigla]],créditos_base!B:C,2,0))</f>
        <v>CAMILA CARMONA/ARQUIVO DA EDITORA</v>
      </c>
      <c r="Y957" s="23" t="s">
        <v>1503</v>
      </c>
      <c r="Z957" s="23" t="str">
        <f>Tabela2[[#This Row],[ilustrador]]</f>
        <v>CAMILA CARMONA/ARQUIVO DA EDITORA</v>
      </c>
      <c r="AA957" s="22"/>
      <c r="AB957" s="28" t="s">
        <v>41</v>
      </c>
      <c r="AC957" s="20" t="s">
        <v>36</v>
      </c>
      <c r="AD957" s="4" t="str">
        <f>"Pitanguá"</f>
        <v>Pitanguá</v>
      </c>
      <c r="AE957" s="14" t="str">
        <f>"Matemática"</f>
        <v>Matemática</v>
      </c>
      <c r="AF957" s="14"/>
    </row>
    <row r="958" spans="1:32" ht="72" x14ac:dyDescent="0.3">
      <c r="A958" s="23" t="s">
        <v>1388</v>
      </c>
      <c r="B958" s="20" t="s">
        <v>16</v>
      </c>
      <c r="C958" s="20" t="s">
        <v>89</v>
      </c>
      <c r="D958" s="20" t="s">
        <v>8</v>
      </c>
      <c r="E958" s="22">
        <v>184</v>
      </c>
      <c r="F958" s="22">
        <v>2</v>
      </c>
      <c r="G958" s="22">
        <v>4</v>
      </c>
      <c r="H958" s="22"/>
      <c r="I958" s="23" t="s">
        <v>9</v>
      </c>
      <c r="J958" s="23"/>
      <c r="K958" s="22"/>
      <c r="L958" s="22"/>
      <c r="M958" s="23"/>
      <c r="N958" s="23"/>
      <c r="O958" s="26" t="s">
        <v>1389</v>
      </c>
      <c r="P958" s="26"/>
      <c r="Q958" s="22"/>
      <c r="R958" s="24"/>
      <c r="S958" s="24"/>
      <c r="T958" s="24"/>
      <c r="U958" s="24"/>
      <c r="V958" s="24"/>
      <c r="W958" s="22" t="s">
        <v>468</v>
      </c>
      <c r="X958" s="4" t="str">
        <f>IF(Tabela2[[#This Row],[sigla]]="","",VLOOKUP(Tabela2[[#This Row],[sigla]],créditos_base!B:C,2,0))</f>
        <v>VER DOCUMENTO DE ILS. TÉCNICAS</v>
      </c>
      <c r="Y958" s="23"/>
      <c r="Z958" s="23" t="s">
        <v>482</v>
      </c>
      <c r="AA958" s="22"/>
      <c r="AB958" s="20"/>
      <c r="AD958" s="4" t="str">
        <f>"Pitanguá"</f>
        <v>Pitanguá</v>
      </c>
      <c r="AE958" s="14" t="str">
        <f>"Matemática"</f>
        <v>Matemática</v>
      </c>
      <c r="AF958" s="14"/>
    </row>
    <row r="959" spans="1:32" ht="43.2" x14ac:dyDescent="0.3">
      <c r="A959" s="23" t="s">
        <v>3075</v>
      </c>
      <c r="B959" s="20" t="s">
        <v>16</v>
      </c>
      <c r="C959" s="20" t="s">
        <v>7</v>
      </c>
      <c r="D959" s="20" t="s">
        <v>8</v>
      </c>
      <c r="E959" s="22">
        <v>85</v>
      </c>
      <c r="F959" s="22">
        <v>4</v>
      </c>
      <c r="G959" s="22">
        <v>4</v>
      </c>
      <c r="H959" s="22"/>
      <c r="I959" s="23" t="s">
        <v>33</v>
      </c>
      <c r="J959" s="23"/>
      <c r="K959" s="22"/>
      <c r="L959" s="22"/>
      <c r="M959" s="23"/>
      <c r="N959" s="23"/>
      <c r="O959" s="26" t="s">
        <v>3076</v>
      </c>
      <c r="P959" s="26"/>
      <c r="Q959" s="22">
        <v>151</v>
      </c>
      <c r="R959" s="24">
        <v>45881</v>
      </c>
      <c r="S959" s="24"/>
      <c r="T959" s="24"/>
      <c r="U959" s="24"/>
      <c r="V959" s="24">
        <v>45881</v>
      </c>
      <c r="W959" s="22" t="s">
        <v>332</v>
      </c>
      <c r="X959" s="4" t="str">
        <f>IF(Tabela2[[#This Row],[sigla]]="","",VLOOKUP(Tabela2[[#This Row],[sigla]],créditos_base!B:C,2,0))</f>
        <v>CYNTHIA SEKIGUCHI/ARQUIVO DA EDITORA</v>
      </c>
      <c r="Y959" s="23" t="s">
        <v>524</v>
      </c>
      <c r="Z959" s="23" t="str">
        <f>Tabela2[[#This Row],[ilustrador]]</f>
        <v>CYNTHIA SEKIGUCHI/ARQUIVO DA EDITORA</v>
      </c>
      <c r="AA959" s="22">
        <v>13</v>
      </c>
      <c r="AB959" s="20" t="s">
        <v>525</v>
      </c>
      <c r="AC959" s="20" t="s">
        <v>36</v>
      </c>
      <c r="AD959" s="4" t="str">
        <f>"Pitanguá"</f>
        <v>Pitanguá</v>
      </c>
      <c r="AE959" s="14" t="str">
        <f>"Matemática"</f>
        <v>Matemática</v>
      </c>
      <c r="AF959" s="14"/>
    </row>
    <row r="960" spans="1:32" x14ac:dyDescent="0.3">
      <c r="A960" s="23" t="s">
        <v>3933</v>
      </c>
      <c r="B960" s="20" t="s">
        <v>16</v>
      </c>
      <c r="C960" s="20" t="s">
        <v>7</v>
      </c>
      <c r="D960" s="20" t="s">
        <v>8</v>
      </c>
      <c r="E960" s="22">
        <v>97</v>
      </c>
      <c r="F960" s="22">
        <v>5</v>
      </c>
      <c r="G960" s="22">
        <v>4</v>
      </c>
      <c r="H960" s="22"/>
      <c r="I960" s="23" t="s">
        <v>9</v>
      </c>
      <c r="J960" s="23"/>
      <c r="K960" s="22"/>
      <c r="L960" s="22"/>
      <c r="M960" s="23"/>
      <c r="N960" s="23"/>
      <c r="O960" s="26" t="s">
        <v>3934</v>
      </c>
      <c r="P960" s="26"/>
      <c r="Q960" s="22"/>
      <c r="R960" s="24"/>
      <c r="S960" s="24"/>
      <c r="T960" s="24"/>
      <c r="U960" s="24"/>
      <c r="V960" s="24"/>
      <c r="W960" s="22" t="s">
        <v>12</v>
      </c>
      <c r="X960" s="4" t="str">
        <f>IF(Tabela2[[#This Row],[sigla]]="","",VLOOKUP(Tabela2[[#This Row],[sigla]],créditos_base!B:C,2,0))</f>
        <v>JORGE ZAIBA/ARQUIVO DA EDITORA</v>
      </c>
      <c r="Y960" s="23"/>
      <c r="Z960" s="23" t="str">
        <f>Tabela2[[#This Row],[ilustrador]]</f>
        <v>JORGE ZAIBA/ARQUIVO DA EDITORA</v>
      </c>
      <c r="AA960" s="22"/>
      <c r="AB960" s="20"/>
      <c r="AD960" s="4" t="str">
        <f>"Pitanguá"</f>
        <v>Pitanguá</v>
      </c>
      <c r="AE960" s="14" t="str">
        <f>"Matemática"</f>
        <v>Matemática</v>
      </c>
      <c r="AF960" s="14"/>
    </row>
    <row r="961" spans="1:32" x14ac:dyDescent="0.3">
      <c r="A961" s="23" t="s">
        <v>3077</v>
      </c>
      <c r="B961" s="20" t="s">
        <v>16</v>
      </c>
      <c r="C961" s="20" t="s">
        <v>7</v>
      </c>
      <c r="D961" s="20" t="s">
        <v>8</v>
      </c>
      <c r="E961" s="22">
        <v>85</v>
      </c>
      <c r="F961" s="22">
        <v>4</v>
      </c>
      <c r="G961" s="22">
        <v>4</v>
      </c>
      <c r="H961" s="22"/>
      <c r="I961" s="23" t="s">
        <v>33</v>
      </c>
      <c r="J961" s="23"/>
      <c r="K961" s="22"/>
      <c r="L961" s="22"/>
      <c r="M961" s="23"/>
      <c r="N961" s="23"/>
      <c r="O961" s="26" t="s">
        <v>3078</v>
      </c>
      <c r="P961" s="26"/>
      <c r="Q961" s="22">
        <v>151</v>
      </c>
      <c r="R961" s="24">
        <v>45881</v>
      </c>
      <c r="S961" s="24"/>
      <c r="T961" s="24"/>
      <c r="U961" s="24"/>
      <c r="V961" s="24">
        <v>45881</v>
      </c>
      <c r="W961" s="22" t="s">
        <v>332</v>
      </c>
      <c r="X961" s="4" t="str">
        <f>IF(Tabela2[[#This Row],[sigla]]="","",VLOOKUP(Tabela2[[#This Row],[sigla]],créditos_base!B:C,2,0))</f>
        <v>CYNTHIA SEKIGUCHI/ARQUIVO DA EDITORA</v>
      </c>
      <c r="Y961" s="23" t="s">
        <v>524</v>
      </c>
      <c r="Z961" s="23" t="str">
        <f>Tabela2[[#This Row],[ilustrador]]</f>
        <v>CYNTHIA SEKIGUCHI/ARQUIVO DA EDITORA</v>
      </c>
      <c r="AA961" s="22">
        <v>13</v>
      </c>
      <c r="AB961" s="20" t="s">
        <v>525</v>
      </c>
      <c r="AC961" s="20" t="s">
        <v>36</v>
      </c>
      <c r="AD961" s="4" t="str">
        <f>"Pitanguá"</f>
        <v>Pitanguá</v>
      </c>
      <c r="AE961" s="14" t="str">
        <f>"Matemática"</f>
        <v>Matemática</v>
      </c>
      <c r="AF961" s="14"/>
    </row>
    <row r="962" spans="1:32" ht="43.2" x14ac:dyDescent="0.3">
      <c r="A962" s="23" t="s">
        <v>3935</v>
      </c>
      <c r="B962" s="20" t="s">
        <v>16</v>
      </c>
      <c r="C962" s="20" t="s">
        <v>89</v>
      </c>
      <c r="D962" s="20" t="s">
        <v>8</v>
      </c>
      <c r="E962" s="22">
        <v>97</v>
      </c>
      <c r="F962" s="22">
        <v>5</v>
      </c>
      <c r="G962" s="22">
        <v>4</v>
      </c>
      <c r="H962" s="22"/>
      <c r="I962" s="23" t="s">
        <v>9</v>
      </c>
      <c r="J962" s="23"/>
      <c r="K962" s="22"/>
      <c r="L962" s="22"/>
      <c r="M962" s="23"/>
      <c r="N962" s="23"/>
      <c r="O962" s="26" t="s">
        <v>3936</v>
      </c>
      <c r="P962" s="26"/>
      <c r="Q962" s="22"/>
      <c r="R962" s="24"/>
      <c r="S962" s="24"/>
      <c r="T962" s="24"/>
      <c r="U962" s="24"/>
      <c r="V962" s="24"/>
      <c r="W962" s="22" t="s">
        <v>940</v>
      </c>
      <c r="X962" s="4" t="str">
        <f>IF(Tabela2[[#This Row],[sigla]]="","",VLOOKUP(Tabela2[[#This Row],[sigla]],créditos_base!B:C,2,0))</f>
        <v>RONALDO LUCENA/ARQUIVO DA EDITORA</v>
      </c>
      <c r="Y962" s="23"/>
      <c r="Z962" s="23" t="str">
        <f>Tabela2[[#This Row],[ilustrador]]</f>
        <v>RONALDO LUCENA/ARQUIVO DA EDITORA</v>
      </c>
      <c r="AA962" s="22"/>
      <c r="AB962" s="20"/>
      <c r="AD962" s="4" t="str">
        <f>"Pitanguá"</f>
        <v>Pitanguá</v>
      </c>
      <c r="AE962" s="14" t="str">
        <f>"Matemática"</f>
        <v>Matemática</v>
      </c>
      <c r="AF962" s="14"/>
    </row>
    <row r="963" spans="1:32" ht="115.2" x14ac:dyDescent="0.3">
      <c r="A963" s="23" t="s">
        <v>1393</v>
      </c>
      <c r="B963" s="20" t="s">
        <v>6</v>
      </c>
      <c r="C963" s="20" t="s">
        <v>7</v>
      </c>
      <c r="D963" s="20" t="s">
        <v>8</v>
      </c>
      <c r="E963" s="22">
        <v>185</v>
      </c>
      <c r="F963" s="22">
        <v>2</v>
      </c>
      <c r="G963" s="22">
        <v>4</v>
      </c>
      <c r="H963" s="22"/>
      <c r="I963" s="23" t="s">
        <v>9</v>
      </c>
      <c r="J963" s="23"/>
      <c r="K963" s="22"/>
      <c r="L963" s="22"/>
      <c r="M963" s="23"/>
      <c r="N963" s="23"/>
      <c r="O963" s="26" t="s">
        <v>1394</v>
      </c>
      <c r="P963" s="26" t="s">
        <v>1395</v>
      </c>
      <c r="Q963" s="22"/>
      <c r="R963" s="24"/>
      <c r="S963" s="24"/>
      <c r="T963" s="24"/>
      <c r="U963" s="24"/>
      <c r="V963" s="24"/>
      <c r="W963" s="22" t="s">
        <v>230</v>
      </c>
      <c r="X963" s="4" t="str">
        <f>IF(Tabela2[[#This Row],[sigla]]="","",VLOOKUP(Tabela2[[#This Row],[sigla]],créditos_base!B:C,2,0))</f>
        <v>RAFAEL L. GAION/ARQUIVO DA EDITORA</v>
      </c>
      <c r="Y963" s="23"/>
      <c r="Z963" s="23" t="str">
        <f>Tabela2[[#This Row],[ilustrador]]</f>
        <v>RAFAEL L. GAION/ARQUIVO DA EDITORA</v>
      </c>
      <c r="AA963" s="22"/>
      <c r="AB963" s="20"/>
      <c r="AD963" s="4" t="str">
        <f>"Pitanguá"</f>
        <v>Pitanguá</v>
      </c>
      <c r="AE963" s="14" t="str">
        <f>"Matemática"</f>
        <v>Matemática</v>
      </c>
      <c r="AF963" s="14"/>
    </row>
    <row r="964" spans="1:32" ht="43.2" x14ac:dyDescent="0.3">
      <c r="A964" s="23" t="s">
        <v>1393</v>
      </c>
      <c r="B964" s="20" t="s">
        <v>16</v>
      </c>
      <c r="C964" s="20" t="s">
        <v>7</v>
      </c>
      <c r="D964" s="20" t="s">
        <v>8</v>
      </c>
      <c r="E964" s="22">
        <v>127</v>
      </c>
      <c r="F964" s="22">
        <v>2</v>
      </c>
      <c r="G964" s="22">
        <v>4</v>
      </c>
      <c r="H964" s="22"/>
      <c r="I964" s="23" t="s">
        <v>33</v>
      </c>
      <c r="J964" s="23"/>
      <c r="K964" s="22"/>
      <c r="L964" s="22"/>
      <c r="M964" s="23"/>
      <c r="N964" s="23"/>
      <c r="O964" s="26" t="s">
        <v>4504</v>
      </c>
      <c r="P964" s="26"/>
      <c r="Q964" s="22">
        <v>68</v>
      </c>
      <c r="R964" s="24">
        <v>45812</v>
      </c>
      <c r="S964" s="24">
        <v>45812</v>
      </c>
      <c r="T964" s="24"/>
      <c r="U964" s="24"/>
      <c r="V964" s="24">
        <v>45812</v>
      </c>
      <c r="W964" s="22" t="s">
        <v>230</v>
      </c>
      <c r="X964" s="4" t="str">
        <f>IF(Tabela2[[#This Row],[sigla]]="","",VLOOKUP(Tabela2[[#This Row],[sigla]],créditos_base!B:C,2,0))</f>
        <v>RAFAEL L. GAION/ARQUIVO DA EDITORA</v>
      </c>
      <c r="Y964" s="23" t="s">
        <v>1139</v>
      </c>
      <c r="Z964" s="28" t="s">
        <v>686</v>
      </c>
      <c r="AA964" s="22">
        <v>13</v>
      </c>
      <c r="AB964" s="20" t="s">
        <v>1425</v>
      </c>
      <c r="AC964" s="20" t="s">
        <v>36</v>
      </c>
      <c r="AD964" s="4" t="str">
        <f>"Pitanguá"</f>
        <v>Pitanguá</v>
      </c>
      <c r="AE964" s="14" t="str">
        <f>"Matemática"</f>
        <v>Matemática</v>
      </c>
      <c r="AF964" s="14"/>
    </row>
    <row r="965" spans="1:32" ht="43.2" x14ac:dyDescent="0.3">
      <c r="A965" s="23" t="s">
        <v>4546</v>
      </c>
      <c r="B965" s="20" t="s">
        <v>16</v>
      </c>
      <c r="C965" s="20" t="s">
        <v>7</v>
      </c>
      <c r="D965" s="20" t="s">
        <v>8</v>
      </c>
      <c r="E965" s="22">
        <v>106</v>
      </c>
      <c r="F965" s="22">
        <v>3</v>
      </c>
      <c r="G965" s="22">
        <v>4</v>
      </c>
      <c r="H965" s="22"/>
      <c r="I965" s="23" t="s">
        <v>90</v>
      </c>
      <c r="J965" s="23"/>
      <c r="K965" s="22"/>
      <c r="L965" s="22"/>
      <c r="M965" s="23"/>
      <c r="N965" s="23"/>
      <c r="O965" s="26" t="s">
        <v>4547</v>
      </c>
      <c r="P965" s="26"/>
      <c r="Q965" s="22">
        <v>74</v>
      </c>
      <c r="R965" s="24">
        <v>45814</v>
      </c>
      <c r="S965" s="24">
        <v>45818</v>
      </c>
      <c r="T965" s="24"/>
      <c r="U965" s="24"/>
      <c r="V965" s="24">
        <v>45838</v>
      </c>
      <c r="W965" s="22" t="s">
        <v>31</v>
      </c>
      <c r="X965" s="4" t="str">
        <f>IF(Tabela2[[#This Row],[sigla]]="","",VLOOKUP(Tabela2[[#This Row],[sigla]],créditos_base!B:C,2,0))</f>
        <v>SILVIA OTOFUJI/ARQUIVO DA EDITORA</v>
      </c>
      <c r="Y965" s="23" t="s">
        <v>880</v>
      </c>
      <c r="Z965" s="23" t="str">
        <f>Tabela2[[#This Row],[ilustrador]]</f>
        <v>SILVIA OTOFUJI/ARQUIVO DA EDITORA</v>
      </c>
      <c r="AA965" s="22">
        <v>13</v>
      </c>
      <c r="AB965" s="20" t="s">
        <v>244</v>
      </c>
      <c r="AC965" s="20" t="s">
        <v>36</v>
      </c>
      <c r="AD965" s="4" t="str">
        <f>"Pitanguá"</f>
        <v>Pitanguá</v>
      </c>
      <c r="AE965" s="14" t="str">
        <f>"Matemática"</f>
        <v>Matemática</v>
      </c>
      <c r="AF965" s="14"/>
    </row>
    <row r="966" spans="1:32" ht="43.2" x14ac:dyDescent="0.3">
      <c r="A966" s="23" t="s">
        <v>3079</v>
      </c>
      <c r="B966" s="20" t="s">
        <v>16</v>
      </c>
      <c r="C966" s="20" t="s">
        <v>7</v>
      </c>
      <c r="D966" s="20" t="s">
        <v>8</v>
      </c>
      <c r="E966" s="22">
        <v>85</v>
      </c>
      <c r="F966" s="22">
        <v>4</v>
      </c>
      <c r="G966" s="22">
        <v>4</v>
      </c>
      <c r="H966" s="22"/>
      <c r="I966" s="23" t="s">
        <v>33</v>
      </c>
      <c r="J966" s="23"/>
      <c r="K966" s="22"/>
      <c r="L966" s="22"/>
      <c r="M966" s="23"/>
      <c r="N966" s="23"/>
      <c r="O966" s="26" t="s">
        <v>3080</v>
      </c>
      <c r="P966" s="26"/>
      <c r="Q966" s="22">
        <v>151</v>
      </c>
      <c r="R966" s="24">
        <v>45881</v>
      </c>
      <c r="S966" s="24"/>
      <c r="T966" s="24"/>
      <c r="U966" s="24"/>
      <c r="V966" s="24">
        <v>45881</v>
      </c>
      <c r="W966" s="22" t="s">
        <v>332</v>
      </c>
      <c r="X966" s="4" t="str">
        <f>IF(Tabela2[[#This Row],[sigla]]="","",VLOOKUP(Tabela2[[#This Row],[sigla]],créditos_base!B:C,2,0))</f>
        <v>CYNTHIA SEKIGUCHI/ARQUIVO DA EDITORA</v>
      </c>
      <c r="Y966" s="23" t="s">
        <v>524</v>
      </c>
      <c r="Z966" s="23" t="str">
        <f>Tabela2[[#This Row],[ilustrador]]</f>
        <v>CYNTHIA SEKIGUCHI/ARQUIVO DA EDITORA</v>
      </c>
      <c r="AA966" s="22">
        <v>13</v>
      </c>
      <c r="AB966" s="20" t="s">
        <v>525</v>
      </c>
      <c r="AC966" s="20" t="s">
        <v>36</v>
      </c>
      <c r="AD966" s="4" t="str">
        <f>"Pitanguá"</f>
        <v>Pitanguá</v>
      </c>
      <c r="AE966" s="14" t="str">
        <f>"Matemática"</f>
        <v>Matemática</v>
      </c>
      <c r="AF966" s="14"/>
    </row>
    <row r="967" spans="1:32" ht="28.8" x14ac:dyDescent="0.3">
      <c r="A967" s="23" t="s">
        <v>3937</v>
      </c>
      <c r="B967" s="20" t="s">
        <v>16</v>
      </c>
      <c r="C967" s="20" t="s">
        <v>89</v>
      </c>
      <c r="D967" s="20" t="s">
        <v>8</v>
      </c>
      <c r="E967" s="22">
        <v>97</v>
      </c>
      <c r="F967" s="22">
        <v>5</v>
      </c>
      <c r="G967" s="22">
        <v>4</v>
      </c>
      <c r="H967" s="22"/>
      <c r="I967" s="23" t="s">
        <v>9</v>
      </c>
      <c r="J967" s="23"/>
      <c r="K967" s="22"/>
      <c r="L967" s="22"/>
      <c r="M967" s="23"/>
      <c r="N967" s="23"/>
      <c r="O967" s="26" t="s">
        <v>3938</v>
      </c>
      <c r="P967" s="26"/>
      <c r="Q967" s="22"/>
      <c r="R967" s="24"/>
      <c r="S967" s="24"/>
      <c r="T967" s="24"/>
      <c r="U967" s="24"/>
      <c r="V967" s="24"/>
      <c r="W967" s="22" t="s">
        <v>940</v>
      </c>
      <c r="X967" s="4" t="str">
        <f>IF(Tabela2[[#This Row],[sigla]]="","",VLOOKUP(Tabela2[[#This Row],[sigla]],créditos_base!B:C,2,0))</f>
        <v>RONALDO LUCENA/ARQUIVO DA EDITORA</v>
      </c>
      <c r="Y967" s="23"/>
      <c r="Z967" s="23" t="str">
        <f>Tabela2[[#This Row],[ilustrador]]</f>
        <v>RONALDO LUCENA/ARQUIVO DA EDITORA</v>
      </c>
      <c r="AA967" s="22"/>
      <c r="AB967" s="20"/>
      <c r="AD967" s="4" t="str">
        <f>"Pitanguá"</f>
        <v>Pitanguá</v>
      </c>
      <c r="AE967" s="14" t="str">
        <f>"Matemática"</f>
        <v>Matemática</v>
      </c>
      <c r="AF967" s="14"/>
    </row>
    <row r="968" spans="1:32" ht="43.2" x14ac:dyDescent="0.3">
      <c r="A968" s="23" t="s">
        <v>1396</v>
      </c>
      <c r="B968" s="20" t="s">
        <v>16</v>
      </c>
      <c r="C968" s="20" t="s">
        <v>7</v>
      </c>
      <c r="D968" s="20" t="s">
        <v>8</v>
      </c>
      <c r="E968" s="22">
        <v>185</v>
      </c>
      <c r="F968" s="22">
        <v>2</v>
      </c>
      <c r="G968" s="22">
        <v>4</v>
      </c>
      <c r="H968" s="22"/>
      <c r="I968" s="23" t="s">
        <v>9</v>
      </c>
      <c r="J968" s="23"/>
      <c r="K968" s="22"/>
      <c r="L968" s="22"/>
      <c r="M968" s="23"/>
      <c r="N968" s="23"/>
      <c r="O968" s="26" t="s">
        <v>1397</v>
      </c>
      <c r="P968" s="26"/>
      <c r="Q968" s="22"/>
      <c r="R968" s="24"/>
      <c r="S968" s="24"/>
      <c r="T968" s="24"/>
      <c r="U968" s="24"/>
      <c r="V968" s="24"/>
      <c r="W968" s="22" t="s">
        <v>230</v>
      </c>
      <c r="X968" s="4" t="str">
        <f>IF(Tabela2[[#This Row],[sigla]]="","",VLOOKUP(Tabela2[[#This Row],[sigla]],créditos_base!B:C,2,0))</f>
        <v>RAFAEL L. GAION/ARQUIVO DA EDITORA</v>
      </c>
      <c r="Y968" s="23"/>
      <c r="Z968" s="23" t="s">
        <v>686</v>
      </c>
      <c r="AA968" s="22"/>
      <c r="AB968" s="20"/>
      <c r="AD968" s="4" t="str">
        <f>"Pitanguá"</f>
        <v>Pitanguá</v>
      </c>
      <c r="AE968" s="14" t="str">
        <f>"Matemática"</f>
        <v>Matemática</v>
      </c>
      <c r="AF968" s="14"/>
    </row>
    <row r="969" spans="1:32" ht="28.8" x14ac:dyDescent="0.3">
      <c r="A969" s="23" t="s">
        <v>4548</v>
      </c>
      <c r="B969" s="20" t="s">
        <v>16</v>
      </c>
      <c r="C969" s="20" t="s">
        <v>7</v>
      </c>
      <c r="D969" s="20" t="s">
        <v>8</v>
      </c>
      <c r="E969" s="22">
        <v>106</v>
      </c>
      <c r="F969" s="22">
        <v>3</v>
      </c>
      <c r="G969" s="22">
        <v>4</v>
      </c>
      <c r="H969" s="22"/>
      <c r="I969" s="23" t="s">
        <v>33</v>
      </c>
      <c r="J969" s="23"/>
      <c r="K969" s="22"/>
      <c r="L969" s="22"/>
      <c r="M969" s="23"/>
      <c r="N969" s="23"/>
      <c r="O969" s="26" t="s">
        <v>4549</v>
      </c>
      <c r="P969" s="26"/>
      <c r="Q969" s="22">
        <v>74</v>
      </c>
      <c r="R969" s="24">
        <v>45814</v>
      </c>
      <c r="S969" s="24">
        <v>45817</v>
      </c>
      <c r="T969" s="24"/>
      <c r="U969" s="24"/>
      <c r="V969" s="24">
        <v>45820</v>
      </c>
      <c r="W969" s="22" t="s">
        <v>31</v>
      </c>
      <c r="X969" s="4" t="str">
        <f>IF(Tabela2[[#This Row],[sigla]]="","",VLOOKUP(Tabela2[[#This Row],[sigla]],créditos_base!B:C,2,0))</f>
        <v>SILVIA OTOFUJI/ARQUIVO DA EDITORA</v>
      </c>
      <c r="Y969" s="23" t="s">
        <v>880</v>
      </c>
      <c r="Z969" s="23" t="str">
        <f>Tabela2[[#This Row],[ilustrador]]</f>
        <v>SILVIA OTOFUJI/ARQUIVO DA EDITORA</v>
      </c>
      <c r="AA969" s="22">
        <v>13</v>
      </c>
      <c r="AB969" s="20" t="s">
        <v>244</v>
      </c>
      <c r="AC969" s="20" t="s">
        <v>36</v>
      </c>
      <c r="AD969" s="4" t="str">
        <f>"Pitanguá"</f>
        <v>Pitanguá</v>
      </c>
      <c r="AE969" s="14" t="str">
        <f>"Matemática"</f>
        <v>Matemática</v>
      </c>
      <c r="AF969" s="14"/>
    </row>
    <row r="970" spans="1:32" ht="28.8" x14ac:dyDescent="0.3">
      <c r="A970" s="23" t="s">
        <v>3081</v>
      </c>
      <c r="B970" s="20" t="s">
        <v>16</v>
      </c>
      <c r="C970" s="20" t="s">
        <v>7</v>
      </c>
      <c r="D970" s="20" t="s">
        <v>8</v>
      </c>
      <c r="E970" s="22">
        <v>85</v>
      </c>
      <c r="F970" s="22">
        <v>4</v>
      </c>
      <c r="G970" s="22">
        <v>4</v>
      </c>
      <c r="H970" s="22"/>
      <c r="I970" s="23" t="s">
        <v>33</v>
      </c>
      <c r="J970" s="23"/>
      <c r="K970" s="22"/>
      <c r="L970" s="22"/>
      <c r="M970" s="23"/>
      <c r="N970" s="23"/>
      <c r="O970" s="26" t="s">
        <v>3082</v>
      </c>
      <c r="P970" s="26"/>
      <c r="Q970" s="22">
        <v>151</v>
      </c>
      <c r="R970" s="24">
        <v>45881</v>
      </c>
      <c r="S970" s="24"/>
      <c r="T970" s="24"/>
      <c r="U970" s="24"/>
      <c r="V970" s="24">
        <v>45881</v>
      </c>
      <c r="W970" s="22" t="s">
        <v>332</v>
      </c>
      <c r="X970" s="4" t="str">
        <f>IF(Tabela2[[#This Row],[sigla]]="","",VLOOKUP(Tabela2[[#This Row],[sigla]],créditos_base!B:C,2,0))</f>
        <v>CYNTHIA SEKIGUCHI/ARQUIVO DA EDITORA</v>
      </c>
      <c r="Y970" s="23" t="s">
        <v>524</v>
      </c>
      <c r="Z970" s="23" t="str">
        <f>Tabela2[[#This Row],[ilustrador]]</f>
        <v>CYNTHIA SEKIGUCHI/ARQUIVO DA EDITORA</v>
      </c>
      <c r="AA970" s="22">
        <v>13</v>
      </c>
      <c r="AB970" s="20" t="s">
        <v>525</v>
      </c>
      <c r="AC970" s="20" t="s">
        <v>36</v>
      </c>
      <c r="AD970" s="4" t="str">
        <f>"Pitanguá"</f>
        <v>Pitanguá</v>
      </c>
      <c r="AE970" s="14" t="str">
        <f>"Matemática"</f>
        <v>Matemática</v>
      </c>
      <c r="AF970" s="14"/>
    </row>
    <row r="971" spans="1:32" ht="28.8" x14ac:dyDescent="0.3">
      <c r="A971" s="23" t="s">
        <v>3939</v>
      </c>
      <c r="B971" s="20" t="s">
        <v>16</v>
      </c>
      <c r="C971" s="20" t="s">
        <v>89</v>
      </c>
      <c r="D971" s="20" t="s">
        <v>8</v>
      </c>
      <c r="E971" s="22">
        <v>97</v>
      </c>
      <c r="F971" s="22">
        <v>5</v>
      </c>
      <c r="G971" s="22">
        <v>4</v>
      </c>
      <c r="H971" s="22"/>
      <c r="I971" s="23" t="s">
        <v>9</v>
      </c>
      <c r="J971" s="23"/>
      <c r="K971" s="22"/>
      <c r="L971" s="22"/>
      <c r="M971" s="23"/>
      <c r="N971" s="23"/>
      <c r="O971" s="26" t="s">
        <v>3940</v>
      </c>
      <c r="P971" s="26"/>
      <c r="Q971" s="22"/>
      <c r="R971" s="24"/>
      <c r="S971" s="24"/>
      <c r="T971" s="24"/>
      <c r="U971" s="24"/>
      <c r="V971" s="24"/>
      <c r="W971" s="22" t="s">
        <v>940</v>
      </c>
      <c r="X971" s="4" t="str">
        <f>IF(Tabela2[[#This Row],[sigla]]="","",VLOOKUP(Tabela2[[#This Row],[sigla]],créditos_base!B:C,2,0))</f>
        <v>RONALDO LUCENA/ARQUIVO DA EDITORA</v>
      </c>
      <c r="Y971" s="23"/>
      <c r="Z971" s="23" t="str">
        <f>Tabela2[[#This Row],[ilustrador]]</f>
        <v>RONALDO LUCENA/ARQUIVO DA EDITORA</v>
      </c>
      <c r="AA971" s="22"/>
      <c r="AB971" s="20"/>
      <c r="AD971" s="4" t="str">
        <f>"Pitanguá"</f>
        <v>Pitanguá</v>
      </c>
      <c r="AE971" s="14" t="str">
        <f>"Matemática"</f>
        <v>Matemática</v>
      </c>
      <c r="AF971" s="14"/>
    </row>
    <row r="972" spans="1:32" ht="28.8" x14ac:dyDescent="0.3">
      <c r="A972" s="23" t="s">
        <v>1398</v>
      </c>
      <c r="B972" s="20" t="s">
        <v>16</v>
      </c>
      <c r="C972" s="20" t="s">
        <v>7</v>
      </c>
      <c r="D972" s="20" t="s">
        <v>8</v>
      </c>
      <c r="E972" s="22">
        <v>185</v>
      </c>
      <c r="F972" s="22">
        <v>2</v>
      </c>
      <c r="G972" s="22">
        <v>4</v>
      </c>
      <c r="H972" s="22"/>
      <c r="I972" s="23" t="s">
        <v>9</v>
      </c>
      <c r="J972" s="23"/>
      <c r="K972" s="22"/>
      <c r="L972" s="22"/>
      <c r="M972" s="23"/>
      <c r="N972" s="23"/>
      <c r="O972" s="26" t="s">
        <v>1399</v>
      </c>
      <c r="P972" s="26"/>
      <c r="Q972" s="22"/>
      <c r="R972" s="24"/>
      <c r="S972" s="24"/>
      <c r="T972" s="24"/>
      <c r="U972" s="24"/>
      <c r="V972" s="24"/>
      <c r="W972" s="22" t="s">
        <v>230</v>
      </c>
      <c r="X972" s="4" t="str">
        <f>IF(Tabela2[[#This Row],[sigla]]="","",VLOOKUP(Tabela2[[#This Row],[sigla]],créditos_base!B:C,2,0))</f>
        <v>RAFAEL L. GAION/ARQUIVO DA EDITORA</v>
      </c>
      <c r="Y972" s="23"/>
      <c r="Z972" s="23" t="str">
        <f>Tabela2[[#This Row],[ilustrador]]</f>
        <v>RAFAEL L. GAION/ARQUIVO DA EDITORA</v>
      </c>
      <c r="AA972" s="22"/>
      <c r="AB972" s="20"/>
      <c r="AD972" s="4" t="str">
        <f>"Pitanguá"</f>
        <v>Pitanguá</v>
      </c>
      <c r="AE972" s="14" t="str">
        <f>"Matemática"</f>
        <v>Matemática</v>
      </c>
      <c r="AF972" s="14"/>
    </row>
    <row r="973" spans="1:32" ht="57.6" x14ac:dyDescent="0.3">
      <c r="A973" s="23" t="s">
        <v>4550</v>
      </c>
      <c r="B973" s="20" t="s">
        <v>16</v>
      </c>
      <c r="C973" s="20" t="s">
        <v>7</v>
      </c>
      <c r="D973" s="20" t="s">
        <v>8</v>
      </c>
      <c r="E973" s="22">
        <v>106</v>
      </c>
      <c r="F973" s="22">
        <v>3</v>
      </c>
      <c r="G973" s="22">
        <v>4</v>
      </c>
      <c r="H973" s="22"/>
      <c r="I973" s="23" t="s">
        <v>33</v>
      </c>
      <c r="J973" s="23"/>
      <c r="K973" s="22"/>
      <c r="L973" s="22"/>
      <c r="M973" s="23"/>
      <c r="N973" s="23"/>
      <c r="O973" s="26" t="s">
        <v>4551</v>
      </c>
      <c r="P973" s="26"/>
      <c r="Q973" s="22">
        <v>74</v>
      </c>
      <c r="R973" s="24">
        <v>45814</v>
      </c>
      <c r="S973" s="24">
        <v>45817</v>
      </c>
      <c r="T973" s="24"/>
      <c r="U973" s="24"/>
      <c r="V973" s="24">
        <v>45820</v>
      </c>
      <c r="W973" s="22" t="s">
        <v>31</v>
      </c>
      <c r="X973" s="4" t="str">
        <f>IF(Tabela2[[#This Row],[sigla]]="","",VLOOKUP(Tabela2[[#This Row],[sigla]],créditos_base!B:C,2,0))</f>
        <v>SILVIA OTOFUJI/ARQUIVO DA EDITORA</v>
      </c>
      <c r="Y973" s="23" t="s">
        <v>880</v>
      </c>
      <c r="Z973" s="23" t="str">
        <f>Tabela2[[#This Row],[ilustrador]]</f>
        <v>SILVIA OTOFUJI/ARQUIVO DA EDITORA</v>
      </c>
      <c r="AA973" s="22">
        <v>13</v>
      </c>
      <c r="AB973" s="20" t="s">
        <v>244</v>
      </c>
      <c r="AC973" s="20" t="s">
        <v>36</v>
      </c>
      <c r="AD973" s="4" t="str">
        <f>"Pitanguá"</f>
        <v>Pitanguá</v>
      </c>
      <c r="AE973" s="14" t="str">
        <f>"Matemática"</f>
        <v>Matemática</v>
      </c>
      <c r="AF973" s="14"/>
    </row>
    <row r="974" spans="1:32" ht="43.2" x14ac:dyDescent="0.3">
      <c r="A974" s="23" t="s">
        <v>3083</v>
      </c>
      <c r="B974" s="20" t="s">
        <v>16</v>
      </c>
      <c r="C974" s="20" t="s">
        <v>7</v>
      </c>
      <c r="D974" s="20" t="s">
        <v>8</v>
      </c>
      <c r="E974" s="22">
        <v>85</v>
      </c>
      <c r="F974" s="22">
        <v>4</v>
      </c>
      <c r="G974" s="22">
        <v>4</v>
      </c>
      <c r="H974" s="22"/>
      <c r="I974" s="23" t="s">
        <v>33</v>
      </c>
      <c r="J974" s="23"/>
      <c r="K974" s="22"/>
      <c r="L974" s="22"/>
      <c r="M974" s="23"/>
      <c r="N974" s="23"/>
      <c r="O974" s="26" t="s">
        <v>3084</v>
      </c>
      <c r="P974" s="26"/>
      <c r="Q974" s="22">
        <v>151</v>
      </c>
      <c r="R974" s="24">
        <v>45881</v>
      </c>
      <c r="S974" s="24"/>
      <c r="T974" s="24"/>
      <c r="U974" s="24"/>
      <c r="V974" s="24">
        <v>45881</v>
      </c>
      <c r="W974" s="22" t="s">
        <v>332</v>
      </c>
      <c r="X974" s="4" t="str">
        <f>IF(Tabela2[[#This Row],[sigla]]="","",VLOOKUP(Tabela2[[#This Row],[sigla]],créditos_base!B:C,2,0))</f>
        <v>CYNTHIA SEKIGUCHI/ARQUIVO DA EDITORA</v>
      </c>
      <c r="Y974" s="23" t="s">
        <v>524</v>
      </c>
      <c r="Z974" s="23" t="str">
        <f>Tabela2[[#This Row],[ilustrador]]</f>
        <v>CYNTHIA SEKIGUCHI/ARQUIVO DA EDITORA</v>
      </c>
      <c r="AA974" s="22">
        <v>13</v>
      </c>
      <c r="AB974" s="20" t="s">
        <v>525</v>
      </c>
      <c r="AC974" s="20" t="s">
        <v>36</v>
      </c>
      <c r="AD974" s="4" t="str">
        <f>"Pitanguá"</f>
        <v>Pitanguá</v>
      </c>
      <c r="AE974" s="14" t="str">
        <f>"Matemática"</f>
        <v>Matemática</v>
      </c>
      <c r="AF974" s="14"/>
    </row>
    <row r="975" spans="1:32" ht="43.2" x14ac:dyDescent="0.3">
      <c r="A975" s="23" t="s">
        <v>3941</v>
      </c>
      <c r="B975" s="20" t="s">
        <v>16</v>
      </c>
      <c r="C975" s="20" t="s">
        <v>89</v>
      </c>
      <c r="D975" s="20" t="s">
        <v>8</v>
      </c>
      <c r="E975" s="22">
        <v>98</v>
      </c>
      <c r="F975" s="22">
        <v>5</v>
      </c>
      <c r="G975" s="22">
        <v>4</v>
      </c>
      <c r="H975" s="22"/>
      <c r="I975" s="23" t="s">
        <v>9</v>
      </c>
      <c r="J975" s="23"/>
      <c r="K975" s="22"/>
      <c r="L975" s="22"/>
      <c r="M975" s="23"/>
      <c r="N975" s="23"/>
      <c r="O975" s="26" t="s">
        <v>3942</v>
      </c>
      <c r="P975" s="26"/>
      <c r="Q975" s="22"/>
      <c r="R975" s="24"/>
      <c r="S975" s="24"/>
      <c r="T975" s="24"/>
      <c r="U975" s="24"/>
      <c r="V975" s="24"/>
      <c r="W975" s="22" t="s">
        <v>940</v>
      </c>
      <c r="X975" s="4" t="str">
        <f>IF(Tabela2[[#This Row],[sigla]]="","",VLOOKUP(Tabela2[[#This Row],[sigla]],créditos_base!B:C,2,0))</f>
        <v>RONALDO LUCENA/ARQUIVO DA EDITORA</v>
      </c>
      <c r="Y975" s="23"/>
      <c r="Z975" s="23" t="str">
        <f>Tabela2[[#This Row],[ilustrador]]</f>
        <v>RONALDO LUCENA/ARQUIVO DA EDITORA</v>
      </c>
      <c r="AA975" s="22"/>
      <c r="AB975" s="20"/>
      <c r="AD975" s="4" t="str">
        <f>"Pitanguá"</f>
        <v>Pitanguá</v>
      </c>
      <c r="AE975" s="14" t="str">
        <f>"Matemática"</f>
        <v>Matemática</v>
      </c>
      <c r="AF975" s="14"/>
    </row>
    <row r="976" spans="1:32" ht="57.6" x14ac:dyDescent="0.3">
      <c r="A976" s="23" t="s">
        <v>1400</v>
      </c>
      <c r="B976" s="20" t="s">
        <v>16</v>
      </c>
      <c r="C976" s="20" t="s">
        <v>7</v>
      </c>
      <c r="D976" s="20" t="s">
        <v>8</v>
      </c>
      <c r="E976" s="22">
        <v>186</v>
      </c>
      <c r="F976" s="22">
        <v>2</v>
      </c>
      <c r="G976" s="22">
        <v>4</v>
      </c>
      <c r="H976" s="22"/>
      <c r="I976" s="23" t="s">
        <v>9</v>
      </c>
      <c r="J976" s="23"/>
      <c r="K976" s="22"/>
      <c r="L976" s="22"/>
      <c r="M976" s="23"/>
      <c r="N976" s="23"/>
      <c r="O976" s="26" t="s">
        <v>1401</v>
      </c>
      <c r="P976" s="26"/>
      <c r="Q976" s="22"/>
      <c r="R976" s="24"/>
      <c r="S976" s="24"/>
      <c r="T976" s="24"/>
      <c r="U976" s="24"/>
      <c r="V976" s="24"/>
      <c r="W976" s="22" t="s">
        <v>468</v>
      </c>
      <c r="X976" s="4" t="str">
        <f>IF(Tabela2[[#This Row],[sigla]]="","",VLOOKUP(Tabela2[[#This Row],[sigla]],créditos_base!B:C,2,0))</f>
        <v>VER DOCUMENTO DE ILS. TÉCNICAS</v>
      </c>
      <c r="Y976" s="23"/>
      <c r="Z976" s="23" t="s">
        <v>1402</v>
      </c>
      <c r="AA976" s="22"/>
      <c r="AB976" s="20"/>
      <c r="AD976" s="4" t="str">
        <f>"Pitanguá"</f>
        <v>Pitanguá</v>
      </c>
      <c r="AE976" s="14" t="str">
        <f>"Matemática"</f>
        <v>Matemática</v>
      </c>
      <c r="AF976" s="14"/>
    </row>
    <row r="977" spans="1:32" ht="57.6" x14ac:dyDescent="0.3">
      <c r="A977" s="23" t="s">
        <v>4552</v>
      </c>
      <c r="B977" s="20" t="s">
        <v>16</v>
      </c>
      <c r="C977" s="20" t="s">
        <v>7</v>
      </c>
      <c r="D977" s="20" t="s">
        <v>8</v>
      </c>
      <c r="E977" s="22">
        <v>107</v>
      </c>
      <c r="F977" s="22">
        <v>3</v>
      </c>
      <c r="G977" s="22">
        <v>4</v>
      </c>
      <c r="H977" s="22"/>
      <c r="I977" s="23" t="s">
        <v>33</v>
      </c>
      <c r="J977" s="23"/>
      <c r="K977" s="22"/>
      <c r="L977" s="22"/>
      <c r="M977" s="23"/>
      <c r="N977" s="23"/>
      <c r="O977" s="26" t="s">
        <v>4553</v>
      </c>
      <c r="P977" s="26"/>
      <c r="Q977" s="22">
        <v>74</v>
      </c>
      <c r="R977" s="24">
        <v>45814</v>
      </c>
      <c r="S977" s="24">
        <v>45817</v>
      </c>
      <c r="T977" s="24"/>
      <c r="U977" s="24"/>
      <c r="V977" s="24">
        <v>45820</v>
      </c>
      <c r="W977" s="22" t="s">
        <v>31</v>
      </c>
      <c r="X977" s="4" t="str">
        <f>IF(Tabela2[[#This Row],[sigla]]="","",VLOOKUP(Tabela2[[#This Row],[sigla]],créditos_base!B:C,2,0))</f>
        <v>SILVIA OTOFUJI/ARQUIVO DA EDITORA</v>
      </c>
      <c r="Y977" s="23" t="s">
        <v>880</v>
      </c>
      <c r="Z977" s="23" t="str">
        <f>Tabela2[[#This Row],[ilustrador]]</f>
        <v>SILVIA OTOFUJI/ARQUIVO DA EDITORA</v>
      </c>
      <c r="AA977" s="22">
        <v>13</v>
      </c>
      <c r="AB977" s="20" t="s">
        <v>244</v>
      </c>
      <c r="AC977" s="20" t="s">
        <v>36</v>
      </c>
      <c r="AD977" s="4" t="str">
        <f>"Pitanguá"</f>
        <v>Pitanguá</v>
      </c>
      <c r="AE977" s="14" t="str">
        <f>"Matemática"</f>
        <v>Matemática</v>
      </c>
      <c r="AF977" s="14"/>
    </row>
    <row r="978" spans="1:32" ht="28.8" x14ac:dyDescent="0.3">
      <c r="A978" s="23" t="s">
        <v>3085</v>
      </c>
      <c r="B978" s="20" t="s">
        <v>16</v>
      </c>
      <c r="C978" s="20" t="s">
        <v>89</v>
      </c>
      <c r="D978" s="20" t="s">
        <v>8</v>
      </c>
      <c r="E978" s="22">
        <v>86</v>
      </c>
      <c r="F978" s="22">
        <v>4</v>
      </c>
      <c r="G978" s="22">
        <v>4</v>
      </c>
      <c r="H978" s="22"/>
      <c r="I978" s="23" t="s">
        <v>33</v>
      </c>
      <c r="J978" s="23"/>
      <c r="K978" s="22"/>
      <c r="L978" s="22"/>
      <c r="M978" s="23"/>
      <c r="N978" s="23"/>
      <c r="O978" s="26" t="s">
        <v>3086</v>
      </c>
      <c r="P978" s="26"/>
      <c r="Q978" s="22">
        <v>151</v>
      </c>
      <c r="R978" s="24">
        <v>45881</v>
      </c>
      <c r="S978" s="24">
        <v>45881</v>
      </c>
      <c r="T978" s="24"/>
      <c r="U978" s="24"/>
      <c r="V978" s="24">
        <v>45881</v>
      </c>
      <c r="W978" s="22" t="s">
        <v>160</v>
      </c>
      <c r="X978" s="4" t="str">
        <f>IF(Tabela2[[#This Row],[sigla]]="","",VLOOKUP(Tabela2[[#This Row],[sigla]],créditos_base!B:C,2,0))</f>
        <v>SERGIO LIMA/ARQUIVO DA EDITORA</v>
      </c>
      <c r="Y978" s="23" t="s">
        <v>524</v>
      </c>
      <c r="Z978" s="23" t="str">
        <f>Tabela2[[#This Row],[ilustrador]]</f>
        <v>SERGIO LIMA/ARQUIVO DA EDITORA</v>
      </c>
      <c r="AA978" s="22">
        <v>13</v>
      </c>
      <c r="AB978" s="20" t="s">
        <v>525</v>
      </c>
      <c r="AC978" s="20" t="s">
        <v>36</v>
      </c>
      <c r="AD978" s="4" t="str">
        <f>"Pitanguá"</f>
        <v>Pitanguá</v>
      </c>
      <c r="AE978" s="14" t="str">
        <f>"Matemática"</f>
        <v>Matemática</v>
      </c>
      <c r="AF978" s="14"/>
    </row>
    <row r="979" spans="1:32" ht="28.8" x14ac:dyDescent="0.3">
      <c r="A979" s="23" t="s">
        <v>3943</v>
      </c>
      <c r="B979" s="20" t="s">
        <v>16</v>
      </c>
      <c r="C979" s="20" t="s">
        <v>89</v>
      </c>
      <c r="D979" s="20" t="s">
        <v>8</v>
      </c>
      <c r="E979" s="22">
        <v>98</v>
      </c>
      <c r="F979" s="22">
        <v>5</v>
      </c>
      <c r="G979" s="22">
        <v>4</v>
      </c>
      <c r="H979" s="22"/>
      <c r="I979" s="23" t="s">
        <v>9</v>
      </c>
      <c r="J979" s="23"/>
      <c r="K979" s="22"/>
      <c r="L979" s="22"/>
      <c r="M979" s="23"/>
      <c r="N979" s="23"/>
      <c r="O979" s="26" t="s">
        <v>3944</v>
      </c>
      <c r="P979" s="26"/>
      <c r="Q979" s="22"/>
      <c r="R979" s="24"/>
      <c r="S979" s="24"/>
      <c r="T979" s="24"/>
      <c r="U979" s="24"/>
      <c r="V979" s="24"/>
      <c r="W979" s="22" t="s">
        <v>940</v>
      </c>
      <c r="X979" s="4" t="str">
        <f>IF(Tabela2[[#This Row],[sigla]]="","",VLOOKUP(Tabela2[[#This Row],[sigla]],créditos_base!B:C,2,0))</f>
        <v>RONALDO LUCENA/ARQUIVO DA EDITORA</v>
      </c>
      <c r="Y979" s="23"/>
      <c r="Z979" s="23" t="str">
        <f>Tabela2[[#This Row],[ilustrador]]</f>
        <v>RONALDO LUCENA/ARQUIVO DA EDITORA</v>
      </c>
      <c r="AA979" s="22"/>
      <c r="AB979" s="20"/>
      <c r="AD979" s="4" t="str">
        <f>"Pitanguá"</f>
        <v>Pitanguá</v>
      </c>
      <c r="AE979" s="14" t="str">
        <f>"Matemática"</f>
        <v>Matemática</v>
      </c>
      <c r="AF979" s="14"/>
    </row>
    <row r="980" spans="1:32" ht="28.8" x14ac:dyDescent="0.3">
      <c r="A980" s="23" t="s">
        <v>1403</v>
      </c>
      <c r="B980" s="20" t="s">
        <v>16</v>
      </c>
      <c r="C980" s="20" t="s">
        <v>7</v>
      </c>
      <c r="D980" s="20" t="s">
        <v>8</v>
      </c>
      <c r="E980" s="22">
        <v>186</v>
      </c>
      <c r="F980" s="22">
        <v>2</v>
      </c>
      <c r="G980" s="22">
        <v>4</v>
      </c>
      <c r="H980" s="22"/>
      <c r="I980" s="23" t="s">
        <v>9</v>
      </c>
      <c r="J980" s="23"/>
      <c r="K980" s="22"/>
      <c r="L980" s="22"/>
      <c r="M980" s="23"/>
      <c r="N980" s="23"/>
      <c r="O980" s="26" t="s">
        <v>1404</v>
      </c>
      <c r="P980" s="26"/>
      <c r="Q980" s="22"/>
      <c r="R980" s="24"/>
      <c r="S980" s="24"/>
      <c r="T980" s="24"/>
      <c r="U980" s="24"/>
      <c r="V980" s="24"/>
      <c r="W980" s="22" t="s">
        <v>468</v>
      </c>
      <c r="X980" s="4" t="str">
        <f>IF(Tabela2[[#This Row],[sigla]]="","",VLOOKUP(Tabela2[[#This Row],[sigla]],créditos_base!B:C,2,0))</f>
        <v>VER DOCUMENTO DE ILS. TÉCNICAS</v>
      </c>
      <c r="Y980" s="23"/>
      <c r="Z980" s="23" t="s">
        <v>1405</v>
      </c>
      <c r="AA980" s="22"/>
      <c r="AB980" s="20"/>
      <c r="AD980" s="4" t="str">
        <f>"Pitanguá"</f>
        <v>Pitanguá</v>
      </c>
      <c r="AE980" s="14" t="str">
        <f>"Matemática"</f>
        <v>Matemática</v>
      </c>
      <c r="AF980" s="14"/>
    </row>
    <row r="981" spans="1:32" ht="28.8" x14ac:dyDescent="0.3">
      <c r="A981" s="23" t="s">
        <v>4554</v>
      </c>
      <c r="B981" s="20" t="s">
        <v>16</v>
      </c>
      <c r="C981" s="20" t="s">
        <v>7</v>
      </c>
      <c r="D981" s="20" t="s">
        <v>8</v>
      </c>
      <c r="E981" s="22">
        <v>107</v>
      </c>
      <c r="F981" s="22">
        <v>3</v>
      </c>
      <c r="G981" s="22">
        <v>4</v>
      </c>
      <c r="H981" s="22"/>
      <c r="I981" s="23" t="s">
        <v>33</v>
      </c>
      <c r="J981" s="23"/>
      <c r="K981" s="22"/>
      <c r="L981" s="22"/>
      <c r="M981" s="23"/>
      <c r="N981" s="23"/>
      <c r="O981" s="26" t="s">
        <v>4555</v>
      </c>
      <c r="P981" s="26"/>
      <c r="Q981" s="22">
        <v>74</v>
      </c>
      <c r="R981" s="24">
        <v>45814</v>
      </c>
      <c r="S981" s="24">
        <v>45817</v>
      </c>
      <c r="T981" s="24"/>
      <c r="U981" s="24"/>
      <c r="V981" s="24">
        <v>45820</v>
      </c>
      <c r="W981" s="22" t="s">
        <v>31</v>
      </c>
      <c r="X981" s="4" t="str">
        <f>IF(Tabela2[[#This Row],[sigla]]="","",VLOOKUP(Tabela2[[#This Row],[sigla]],créditos_base!B:C,2,0))</f>
        <v>SILVIA OTOFUJI/ARQUIVO DA EDITORA</v>
      </c>
      <c r="Y981" s="23" t="s">
        <v>880</v>
      </c>
      <c r="Z981" s="23" t="str">
        <f>Tabela2[[#This Row],[ilustrador]]</f>
        <v>SILVIA OTOFUJI/ARQUIVO DA EDITORA</v>
      </c>
      <c r="AA981" s="22">
        <v>13</v>
      </c>
      <c r="AB981" s="20" t="s">
        <v>244</v>
      </c>
      <c r="AC981" s="20" t="s">
        <v>36</v>
      </c>
      <c r="AD981" s="4" t="str">
        <f>"Pitanguá"</f>
        <v>Pitanguá</v>
      </c>
      <c r="AE981" s="14" t="str">
        <f>"Matemática"</f>
        <v>Matemática</v>
      </c>
      <c r="AF981" s="14"/>
    </row>
    <row r="982" spans="1:32" ht="28.8" x14ac:dyDescent="0.3">
      <c r="A982" s="23" t="s">
        <v>3087</v>
      </c>
      <c r="B982" s="20" t="s">
        <v>16</v>
      </c>
      <c r="C982" s="20" t="s">
        <v>89</v>
      </c>
      <c r="D982" s="20" t="s">
        <v>8</v>
      </c>
      <c r="E982" s="22">
        <v>86</v>
      </c>
      <c r="F982" s="22">
        <v>4</v>
      </c>
      <c r="G982" s="22">
        <v>4</v>
      </c>
      <c r="H982" s="22"/>
      <c r="I982" s="23" t="s">
        <v>33</v>
      </c>
      <c r="J982" s="23"/>
      <c r="K982" s="22"/>
      <c r="L982" s="22"/>
      <c r="M982" s="23"/>
      <c r="N982" s="23"/>
      <c r="O982" s="26" t="s">
        <v>3088</v>
      </c>
      <c r="P982" s="26"/>
      <c r="Q982" s="22">
        <v>151</v>
      </c>
      <c r="R982" s="24">
        <v>45881</v>
      </c>
      <c r="S982" s="24">
        <v>45881</v>
      </c>
      <c r="T982" s="24"/>
      <c r="U982" s="24"/>
      <c r="V982" s="24">
        <v>45881</v>
      </c>
      <c r="W982" s="22" t="s">
        <v>160</v>
      </c>
      <c r="X982" s="4" t="str">
        <f>IF(Tabela2[[#This Row],[sigla]]="","",VLOOKUP(Tabela2[[#This Row],[sigla]],créditos_base!B:C,2,0))</f>
        <v>SERGIO LIMA/ARQUIVO DA EDITORA</v>
      </c>
      <c r="Y982" s="23" t="s">
        <v>524</v>
      </c>
      <c r="Z982" s="23" t="str">
        <f>Tabela2[[#This Row],[ilustrador]]</f>
        <v>SERGIO LIMA/ARQUIVO DA EDITORA</v>
      </c>
      <c r="AA982" s="22">
        <v>13</v>
      </c>
      <c r="AB982" s="20" t="s">
        <v>525</v>
      </c>
      <c r="AC982" s="20" t="s">
        <v>36</v>
      </c>
      <c r="AD982" s="4" t="str">
        <f>"Pitanguá"</f>
        <v>Pitanguá</v>
      </c>
      <c r="AE982" s="14" t="str">
        <f>"Matemática"</f>
        <v>Matemática</v>
      </c>
      <c r="AF982" s="14"/>
    </row>
    <row r="983" spans="1:32" ht="28.8" x14ac:dyDescent="0.3">
      <c r="A983" s="23" t="s">
        <v>3945</v>
      </c>
      <c r="B983" s="20" t="s">
        <v>16</v>
      </c>
      <c r="C983" s="20" t="s">
        <v>89</v>
      </c>
      <c r="D983" s="20" t="s">
        <v>8</v>
      </c>
      <c r="E983" s="22">
        <v>98</v>
      </c>
      <c r="F983" s="22">
        <v>5</v>
      </c>
      <c r="G983" s="22">
        <v>4</v>
      </c>
      <c r="H983" s="22"/>
      <c r="I983" s="23" t="s">
        <v>9</v>
      </c>
      <c r="J983" s="23"/>
      <c r="K983" s="22"/>
      <c r="L983" s="22"/>
      <c r="M983" s="23"/>
      <c r="N983" s="23"/>
      <c r="O983" s="26" t="s">
        <v>3946</v>
      </c>
      <c r="P983" s="26"/>
      <c r="Q983" s="22"/>
      <c r="R983" s="24"/>
      <c r="S983" s="24"/>
      <c r="T983" s="24"/>
      <c r="U983" s="24"/>
      <c r="V983" s="24"/>
      <c r="W983" s="22" t="s">
        <v>940</v>
      </c>
      <c r="X983" s="4" t="str">
        <f>IF(Tabela2[[#This Row],[sigla]]="","",VLOOKUP(Tabela2[[#This Row],[sigla]],créditos_base!B:C,2,0))</f>
        <v>RONALDO LUCENA/ARQUIVO DA EDITORA</v>
      </c>
      <c r="Y983" s="23"/>
      <c r="Z983" s="23" t="str">
        <f>Tabela2[[#This Row],[ilustrador]]</f>
        <v>RONALDO LUCENA/ARQUIVO DA EDITORA</v>
      </c>
      <c r="AA983" s="22"/>
      <c r="AB983" s="20"/>
      <c r="AD983" s="4" t="str">
        <f>"Pitanguá"</f>
        <v>Pitanguá</v>
      </c>
      <c r="AE983" s="14" t="str">
        <f>"Matemática"</f>
        <v>Matemática</v>
      </c>
      <c r="AF983" s="14"/>
    </row>
    <row r="984" spans="1:32" ht="28.8" x14ac:dyDescent="0.3">
      <c r="A984" s="23" t="s">
        <v>1406</v>
      </c>
      <c r="B984" s="20" t="s">
        <v>16</v>
      </c>
      <c r="C984" s="20" t="s">
        <v>89</v>
      </c>
      <c r="D984" s="20" t="s">
        <v>8</v>
      </c>
      <c r="E984" s="22">
        <v>186</v>
      </c>
      <c r="F984" s="22">
        <v>2</v>
      </c>
      <c r="G984" s="22">
        <v>4</v>
      </c>
      <c r="H984" s="22"/>
      <c r="I984" s="23" t="s">
        <v>33</v>
      </c>
      <c r="J984" s="23"/>
      <c r="K984" s="22"/>
      <c r="L984" s="22"/>
      <c r="M984" s="23"/>
      <c r="N984" s="23"/>
      <c r="O984" s="26" t="s">
        <v>1407</v>
      </c>
      <c r="P984" s="26"/>
      <c r="Q984" s="22">
        <v>83</v>
      </c>
      <c r="R984" s="24">
        <v>45831</v>
      </c>
      <c r="S984" s="24">
        <v>45832</v>
      </c>
      <c r="T984" s="24"/>
      <c r="U984" s="24"/>
      <c r="V984" s="24">
        <v>45832</v>
      </c>
      <c r="W984" s="22" t="s">
        <v>160</v>
      </c>
      <c r="X984" s="4" t="str">
        <f>IF(Tabela2[[#This Row],[sigla]]="","",VLOOKUP(Tabela2[[#This Row],[sigla]],créditos_base!B:C,2,0))</f>
        <v>SERGIO LIMA/ARQUIVO DA EDITORA</v>
      </c>
      <c r="Y984" s="23" t="s">
        <v>433</v>
      </c>
      <c r="Z984" s="23" t="str">
        <f>Tabela2[[#This Row],[ilustrador]]</f>
        <v>SERGIO LIMA/ARQUIVO DA EDITORA</v>
      </c>
      <c r="AA984" s="22">
        <v>14</v>
      </c>
      <c r="AB984" s="20" t="s">
        <v>153</v>
      </c>
      <c r="AC984" s="20" t="s">
        <v>36</v>
      </c>
      <c r="AD984" s="4" t="str">
        <f>"Pitanguá"</f>
        <v>Pitanguá</v>
      </c>
      <c r="AE984" s="14" t="str">
        <f>"Matemática"</f>
        <v>Matemática</v>
      </c>
      <c r="AF984" s="14"/>
    </row>
    <row r="985" spans="1:32" ht="28.8" x14ac:dyDescent="0.3">
      <c r="A985" s="23" t="s">
        <v>4556</v>
      </c>
      <c r="B985" s="20" t="s">
        <v>16</v>
      </c>
      <c r="C985" s="20" t="s">
        <v>7</v>
      </c>
      <c r="D985" s="20" t="s">
        <v>8</v>
      </c>
      <c r="E985" s="22">
        <v>107</v>
      </c>
      <c r="F985" s="22">
        <v>3</v>
      </c>
      <c r="G985" s="22">
        <v>4</v>
      </c>
      <c r="H985" s="22"/>
      <c r="I985" s="23" t="s">
        <v>33</v>
      </c>
      <c r="J985" s="23"/>
      <c r="K985" s="22"/>
      <c r="L985" s="22"/>
      <c r="M985" s="23"/>
      <c r="N985" s="23"/>
      <c r="O985" s="26" t="s">
        <v>4557</v>
      </c>
      <c r="P985" s="26"/>
      <c r="Q985" s="22">
        <v>74</v>
      </c>
      <c r="R985" s="24">
        <v>45814</v>
      </c>
      <c r="S985" s="24">
        <v>45817</v>
      </c>
      <c r="T985" s="24"/>
      <c r="U985" s="24"/>
      <c r="V985" s="24">
        <v>45820</v>
      </c>
      <c r="W985" s="22" t="s">
        <v>31</v>
      </c>
      <c r="X985" s="4" t="str">
        <f>IF(Tabela2[[#This Row],[sigla]]="","",VLOOKUP(Tabela2[[#This Row],[sigla]],créditos_base!B:C,2,0))</f>
        <v>SILVIA OTOFUJI/ARQUIVO DA EDITORA</v>
      </c>
      <c r="Y985" s="23" t="s">
        <v>880</v>
      </c>
      <c r="Z985" s="23" t="str">
        <f>Tabela2[[#This Row],[ilustrador]]</f>
        <v>SILVIA OTOFUJI/ARQUIVO DA EDITORA</v>
      </c>
      <c r="AA985" s="22">
        <v>13</v>
      </c>
      <c r="AB985" s="20" t="s">
        <v>244</v>
      </c>
      <c r="AC985" s="20" t="s">
        <v>36</v>
      </c>
      <c r="AD985" s="4" t="str">
        <f>"Pitanguá"</f>
        <v>Pitanguá</v>
      </c>
      <c r="AE985" s="14" t="str">
        <f>"Matemática"</f>
        <v>Matemática</v>
      </c>
      <c r="AF985" s="14"/>
    </row>
    <row r="986" spans="1:32" ht="28.8" x14ac:dyDescent="0.3">
      <c r="A986" s="23" t="s">
        <v>3089</v>
      </c>
      <c r="B986" s="20" t="s">
        <v>16</v>
      </c>
      <c r="C986" s="20" t="s">
        <v>89</v>
      </c>
      <c r="D986" s="20" t="s">
        <v>8</v>
      </c>
      <c r="E986" s="22">
        <v>86</v>
      </c>
      <c r="F986" s="22">
        <v>4</v>
      </c>
      <c r="G986" s="22">
        <v>4</v>
      </c>
      <c r="H986" s="22"/>
      <c r="I986" s="23" t="s">
        <v>33</v>
      </c>
      <c r="J986" s="23"/>
      <c r="K986" s="22"/>
      <c r="L986" s="22"/>
      <c r="M986" s="23"/>
      <c r="N986" s="23"/>
      <c r="O986" s="26" t="s">
        <v>3090</v>
      </c>
      <c r="P986" s="26"/>
      <c r="Q986" s="22">
        <v>151</v>
      </c>
      <c r="R986" s="24">
        <v>45881</v>
      </c>
      <c r="S986" s="24">
        <v>45881</v>
      </c>
      <c r="T986" s="24"/>
      <c r="U986" s="24"/>
      <c r="V986" s="24">
        <v>45881</v>
      </c>
      <c r="W986" s="22" t="s">
        <v>160</v>
      </c>
      <c r="X986" s="4" t="str">
        <f>IF(Tabela2[[#This Row],[sigla]]="","",VLOOKUP(Tabela2[[#This Row],[sigla]],créditos_base!B:C,2,0))</f>
        <v>SERGIO LIMA/ARQUIVO DA EDITORA</v>
      </c>
      <c r="Y986" s="23" t="s">
        <v>524</v>
      </c>
      <c r="Z986" s="23" t="str">
        <f>Tabela2[[#This Row],[ilustrador]]</f>
        <v>SERGIO LIMA/ARQUIVO DA EDITORA</v>
      </c>
      <c r="AA986" s="22">
        <v>13</v>
      </c>
      <c r="AB986" s="20" t="s">
        <v>525</v>
      </c>
      <c r="AC986" s="20" t="s">
        <v>36</v>
      </c>
      <c r="AD986" s="4" t="str">
        <f>"Pitanguá"</f>
        <v>Pitanguá</v>
      </c>
      <c r="AE986" s="14" t="str">
        <f>"Matemática"</f>
        <v>Matemática</v>
      </c>
      <c r="AF986" s="14"/>
    </row>
    <row r="987" spans="1:32" ht="28.8" x14ac:dyDescent="0.3">
      <c r="A987" s="23" t="s">
        <v>3947</v>
      </c>
      <c r="B987" s="20" t="s">
        <v>16</v>
      </c>
      <c r="C987" s="20" t="s">
        <v>89</v>
      </c>
      <c r="D987" s="20" t="s">
        <v>8</v>
      </c>
      <c r="E987" s="22">
        <v>99</v>
      </c>
      <c r="F987" s="22">
        <v>5</v>
      </c>
      <c r="G987" s="22">
        <v>4</v>
      </c>
      <c r="H987" s="22"/>
      <c r="I987" s="23" t="s">
        <v>33</v>
      </c>
      <c r="J987" s="23"/>
      <c r="K987" s="22"/>
      <c r="L987" s="22"/>
      <c r="M987" s="23"/>
      <c r="N987" s="23"/>
      <c r="O987" s="26" t="s">
        <v>3948</v>
      </c>
      <c r="P987" s="26"/>
      <c r="Q987" s="22">
        <v>202</v>
      </c>
      <c r="R987" s="24">
        <v>45924</v>
      </c>
      <c r="S987" s="24">
        <v>45924</v>
      </c>
      <c r="T987" s="24"/>
      <c r="U987" s="24"/>
      <c r="V987" s="24">
        <v>45924</v>
      </c>
      <c r="W987" s="22" t="s">
        <v>940</v>
      </c>
      <c r="X987" s="4" t="str">
        <f>IF(Tabela2[[#This Row],[sigla]]="","",VLOOKUP(Tabela2[[#This Row],[sigla]],créditos_base!B:C,2,0))</f>
        <v>RONALDO LUCENA/ARQUIVO DA EDITORA</v>
      </c>
      <c r="Y987" s="23" t="s">
        <v>696</v>
      </c>
      <c r="Z987" s="23" t="str">
        <f>Tabela2[[#This Row],[ilustrador]]</f>
        <v>RONALDO LUCENA/ARQUIVO DA EDITORA</v>
      </c>
      <c r="AA987" s="22">
        <v>13</v>
      </c>
      <c r="AB987" s="20" t="s">
        <v>153</v>
      </c>
      <c r="AC987" s="20" t="s">
        <v>36</v>
      </c>
      <c r="AD987" s="4" t="str">
        <f>"Pitanguá"</f>
        <v>Pitanguá</v>
      </c>
      <c r="AE987" s="14" t="str">
        <f>"Matemática"</f>
        <v>Matemática</v>
      </c>
      <c r="AF987" s="14"/>
    </row>
    <row r="988" spans="1:32" ht="28.8" x14ac:dyDescent="0.3">
      <c r="A988" s="23" t="s">
        <v>1408</v>
      </c>
      <c r="B988" s="20" t="s">
        <v>16</v>
      </c>
      <c r="C988" s="20" t="s">
        <v>89</v>
      </c>
      <c r="D988" s="20" t="s">
        <v>8</v>
      </c>
      <c r="E988" s="22">
        <v>186</v>
      </c>
      <c r="F988" s="22">
        <v>2</v>
      </c>
      <c r="G988" s="22">
        <v>4</v>
      </c>
      <c r="H988" s="22"/>
      <c r="I988" s="23" t="s">
        <v>9</v>
      </c>
      <c r="J988" s="23"/>
      <c r="K988" s="22"/>
      <c r="L988" s="22"/>
      <c r="M988" s="23"/>
      <c r="N988" s="23"/>
      <c r="O988" s="26" t="s">
        <v>1409</v>
      </c>
      <c r="P988" s="26"/>
      <c r="Q988" s="22"/>
      <c r="R988" s="24"/>
      <c r="S988" s="24"/>
      <c r="T988" s="24"/>
      <c r="U988" s="24"/>
      <c r="V988" s="24"/>
      <c r="W988" s="22" t="s">
        <v>160</v>
      </c>
      <c r="X988" s="4" t="str">
        <f>IF(Tabela2[[#This Row],[sigla]]="","",VLOOKUP(Tabela2[[#This Row],[sigla]],créditos_base!B:C,2,0))</f>
        <v>SERGIO LIMA/ARQUIVO DA EDITORA</v>
      </c>
      <c r="Y988" s="23"/>
      <c r="Z988" s="23" t="str">
        <f>Tabela2[[#This Row],[ilustrador]]</f>
        <v>SERGIO LIMA/ARQUIVO DA EDITORA</v>
      </c>
      <c r="AA988" s="22"/>
      <c r="AB988" s="20"/>
      <c r="AD988" s="4" t="str">
        <f>"Pitanguá"</f>
        <v>Pitanguá</v>
      </c>
      <c r="AE988" s="14" t="str">
        <f>"Matemática"</f>
        <v>Matemática</v>
      </c>
      <c r="AF988" s="14"/>
    </row>
    <row r="989" spans="1:32" ht="28.8" x14ac:dyDescent="0.3">
      <c r="A989" s="23" t="s">
        <v>4558</v>
      </c>
      <c r="B989" s="20" t="s">
        <v>16</v>
      </c>
      <c r="C989" s="20" t="s">
        <v>7</v>
      </c>
      <c r="D989" s="20" t="s">
        <v>8</v>
      </c>
      <c r="E989" s="22">
        <v>107</v>
      </c>
      <c r="F989" s="22">
        <v>3</v>
      </c>
      <c r="G989" s="22">
        <v>4</v>
      </c>
      <c r="H989" s="22"/>
      <c r="I989" s="23" t="s">
        <v>90</v>
      </c>
      <c r="J989" s="23"/>
      <c r="K989" s="22"/>
      <c r="L989" s="22"/>
      <c r="M989" s="23"/>
      <c r="N989" s="23"/>
      <c r="O989" s="26" t="s">
        <v>4559</v>
      </c>
      <c r="P989" s="26"/>
      <c r="Q989" s="22">
        <v>74</v>
      </c>
      <c r="R989" s="24">
        <v>45814</v>
      </c>
      <c r="S989" s="24">
        <v>45818</v>
      </c>
      <c r="T989" s="24"/>
      <c r="U989" s="24"/>
      <c r="V989" s="24">
        <v>45838</v>
      </c>
      <c r="W989" s="22" t="s">
        <v>31</v>
      </c>
      <c r="X989" s="4" t="str">
        <f>IF(Tabela2[[#This Row],[sigla]]="","",VLOOKUP(Tabela2[[#This Row],[sigla]],créditos_base!B:C,2,0))</f>
        <v>SILVIA OTOFUJI/ARQUIVO DA EDITORA</v>
      </c>
      <c r="Y989" s="23" t="s">
        <v>880</v>
      </c>
      <c r="Z989" s="23" t="str">
        <f>Tabela2[[#This Row],[ilustrador]]</f>
        <v>SILVIA OTOFUJI/ARQUIVO DA EDITORA</v>
      </c>
      <c r="AA989" s="22">
        <v>13</v>
      </c>
      <c r="AB989" s="20" t="s">
        <v>244</v>
      </c>
      <c r="AC989" s="20" t="s">
        <v>36</v>
      </c>
      <c r="AD989" s="4" t="str">
        <f>"Pitanguá"</f>
        <v>Pitanguá</v>
      </c>
      <c r="AE989" s="14" t="str">
        <f>"Matemática"</f>
        <v>Matemática</v>
      </c>
      <c r="AF989" s="14"/>
    </row>
    <row r="990" spans="1:32" ht="43.2" x14ac:dyDescent="0.3">
      <c r="A990" s="23" t="s">
        <v>3091</v>
      </c>
      <c r="B990" s="20" t="s">
        <v>16</v>
      </c>
      <c r="C990" s="20" t="s">
        <v>89</v>
      </c>
      <c r="D990" s="20" t="s">
        <v>8</v>
      </c>
      <c r="E990" s="22">
        <v>86</v>
      </c>
      <c r="F990" s="22">
        <v>4</v>
      </c>
      <c r="G990" s="22">
        <v>4</v>
      </c>
      <c r="H990" s="22"/>
      <c r="I990" s="23" t="s">
        <v>33</v>
      </c>
      <c r="J990" s="23"/>
      <c r="K990" s="22"/>
      <c r="L990" s="22"/>
      <c r="M990" s="23"/>
      <c r="N990" s="23"/>
      <c r="O990" s="26" t="s">
        <v>3092</v>
      </c>
      <c r="P990" s="26"/>
      <c r="Q990" s="22">
        <v>151</v>
      </c>
      <c r="R990" s="24">
        <v>45881</v>
      </c>
      <c r="S990" s="24">
        <v>45881</v>
      </c>
      <c r="T990" s="24"/>
      <c r="U990" s="24"/>
      <c r="V990" s="24">
        <v>45881</v>
      </c>
      <c r="W990" s="22" t="s">
        <v>160</v>
      </c>
      <c r="X990" s="4" t="str">
        <f>IF(Tabela2[[#This Row],[sigla]]="","",VLOOKUP(Tabela2[[#This Row],[sigla]],créditos_base!B:C,2,0))</f>
        <v>SERGIO LIMA/ARQUIVO DA EDITORA</v>
      </c>
      <c r="Y990" s="23" t="s">
        <v>524</v>
      </c>
      <c r="Z990" s="23" t="str">
        <f>Tabela2[[#This Row],[ilustrador]]</f>
        <v>SERGIO LIMA/ARQUIVO DA EDITORA</v>
      </c>
      <c r="AA990" s="22">
        <v>13</v>
      </c>
      <c r="AB990" s="20" t="s">
        <v>525</v>
      </c>
      <c r="AC990" s="20" t="s">
        <v>36</v>
      </c>
      <c r="AD990" s="4" t="str">
        <f>"Pitanguá"</f>
        <v>Pitanguá</v>
      </c>
      <c r="AE990" s="14" t="str">
        <f>"Matemática"</f>
        <v>Matemática</v>
      </c>
      <c r="AF990" s="14"/>
    </row>
    <row r="991" spans="1:32" ht="43.2" x14ac:dyDescent="0.3">
      <c r="A991" s="23" t="s">
        <v>3949</v>
      </c>
      <c r="B991" s="20" t="s">
        <v>16</v>
      </c>
      <c r="C991" s="20" t="s">
        <v>89</v>
      </c>
      <c r="D991" s="20" t="s">
        <v>8</v>
      </c>
      <c r="E991" s="22">
        <v>99</v>
      </c>
      <c r="F991" s="22">
        <v>5</v>
      </c>
      <c r="G991" s="22">
        <v>4</v>
      </c>
      <c r="H991" s="22"/>
      <c r="I991" s="23" t="s">
        <v>33</v>
      </c>
      <c r="J991" s="23"/>
      <c r="K991" s="22"/>
      <c r="L991" s="22"/>
      <c r="M991" s="23"/>
      <c r="N991" s="23"/>
      <c r="O991" s="26" t="s">
        <v>3950</v>
      </c>
      <c r="P991" s="26"/>
      <c r="Q991" s="22">
        <v>202</v>
      </c>
      <c r="R991" s="24">
        <v>45924</v>
      </c>
      <c r="S991" s="24">
        <v>45924</v>
      </c>
      <c r="T991" s="24"/>
      <c r="U991" s="24"/>
      <c r="V991" s="24">
        <v>45924</v>
      </c>
      <c r="W991" s="22" t="s">
        <v>940</v>
      </c>
      <c r="X991" s="4" t="str">
        <f>IF(Tabela2[[#This Row],[sigla]]="","",VLOOKUP(Tabela2[[#This Row],[sigla]],créditos_base!B:C,2,0))</f>
        <v>RONALDO LUCENA/ARQUIVO DA EDITORA</v>
      </c>
      <c r="Y991" s="23" t="s">
        <v>696</v>
      </c>
      <c r="Z991" s="23" t="str">
        <f>Tabela2[[#This Row],[ilustrador]]</f>
        <v>RONALDO LUCENA/ARQUIVO DA EDITORA</v>
      </c>
      <c r="AA991" s="22">
        <v>13</v>
      </c>
      <c r="AB991" s="20" t="s">
        <v>153</v>
      </c>
      <c r="AC991" s="20" t="s">
        <v>36</v>
      </c>
      <c r="AD991" s="4" t="str">
        <f>"Pitanguá"</f>
        <v>Pitanguá</v>
      </c>
      <c r="AE991" s="14" t="str">
        <f>"Matemática"</f>
        <v>Matemática</v>
      </c>
      <c r="AF991" s="14"/>
    </row>
    <row r="992" spans="1:32" ht="28.8" x14ac:dyDescent="0.3">
      <c r="A992" s="23" t="s">
        <v>1410</v>
      </c>
      <c r="B992" s="20" t="s">
        <v>16</v>
      </c>
      <c r="C992" s="20" t="s">
        <v>89</v>
      </c>
      <c r="D992" s="20" t="s">
        <v>8</v>
      </c>
      <c r="E992" s="22">
        <v>186</v>
      </c>
      <c r="F992" s="22">
        <v>2</v>
      </c>
      <c r="G992" s="22">
        <v>4</v>
      </c>
      <c r="H992" s="22"/>
      <c r="I992" s="23" t="s">
        <v>9</v>
      </c>
      <c r="J992" s="23"/>
      <c r="K992" s="22"/>
      <c r="L992" s="22"/>
      <c r="M992" s="23"/>
      <c r="N992" s="23"/>
      <c r="O992" s="26" t="s">
        <v>1411</v>
      </c>
      <c r="P992" s="26"/>
      <c r="Q992" s="22"/>
      <c r="R992" s="24"/>
      <c r="S992" s="24"/>
      <c r="T992" s="24"/>
      <c r="U992" s="24"/>
      <c r="V992" s="24"/>
      <c r="W992" s="22" t="s">
        <v>160</v>
      </c>
      <c r="X992" s="4" t="str">
        <f>IF(Tabela2[[#This Row],[sigla]]="","",VLOOKUP(Tabela2[[#This Row],[sigla]],créditos_base!B:C,2,0))</f>
        <v>SERGIO LIMA/ARQUIVO DA EDITORA</v>
      </c>
      <c r="Y992" s="23"/>
      <c r="Z992" s="23" t="str">
        <f>Tabela2[[#This Row],[ilustrador]]</f>
        <v>SERGIO LIMA/ARQUIVO DA EDITORA</v>
      </c>
      <c r="AA992" s="22"/>
      <c r="AB992" s="20"/>
      <c r="AD992" s="4" t="str">
        <f>"Pitanguá"</f>
        <v>Pitanguá</v>
      </c>
      <c r="AE992" s="14" t="str">
        <f>"Matemática"</f>
        <v>Matemática</v>
      </c>
      <c r="AF992" s="14"/>
    </row>
    <row r="993" spans="1:32" ht="28.8" x14ac:dyDescent="0.3">
      <c r="A993" s="23" t="s">
        <v>5331</v>
      </c>
      <c r="B993" s="20" t="s">
        <v>16</v>
      </c>
      <c r="C993" s="20" t="s">
        <v>89</v>
      </c>
      <c r="D993" s="20" t="s">
        <v>8</v>
      </c>
      <c r="E993" s="22">
        <v>102</v>
      </c>
      <c r="F993" s="22">
        <v>3</v>
      </c>
      <c r="G993" s="22">
        <v>4</v>
      </c>
      <c r="H993" s="22"/>
      <c r="I993" s="23" t="s">
        <v>90</v>
      </c>
      <c r="J993" s="23"/>
      <c r="K993" s="22"/>
      <c r="L993" s="22"/>
      <c r="M993" s="23"/>
      <c r="N993" s="23"/>
      <c r="O993" s="26" t="s">
        <v>5320</v>
      </c>
      <c r="P993" s="26"/>
      <c r="Q993" s="22">
        <v>122</v>
      </c>
      <c r="R993" s="24">
        <v>45860</v>
      </c>
      <c r="S993" s="24">
        <v>45861</v>
      </c>
      <c r="T993" s="24"/>
      <c r="U993" s="24"/>
      <c r="V993" s="24">
        <v>45861</v>
      </c>
      <c r="W993" s="22" t="s">
        <v>468</v>
      </c>
      <c r="X993" s="4" t="str">
        <f>IF(Tabela2[[#This Row],[sigla]]="","",VLOOKUP(Tabela2[[#This Row],[sigla]],créditos_base!B:C,2,0))</f>
        <v>VER DOCUMENTO DE ILS. TÉCNICAS</v>
      </c>
      <c r="Y993" s="23"/>
      <c r="Z993" s="23" t="s">
        <v>5062</v>
      </c>
      <c r="AA993" s="22">
        <v>8</v>
      </c>
      <c r="AB993" s="20" t="s">
        <v>243</v>
      </c>
      <c r="AC993" s="20" t="s">
        <v>36</v>
      </c>
      <c r="AD993" s="4" t="str">
        <f>"Pitanguá"</f>
        <v>Pitanguá</v>
      </c>
      <c r="AE993" s="14" t="str">
        <f>"Matemática"</f>
        <v>Matemática</v>
      </c>
      <c r="AF993" s="14"/>
    </row>
    <row r="994" spans="1:32" ht="28.8" x14ac:dyDescent="0.3">
      <c r="A994" s="23" t="s">
        <v>3093</v>
      </c>
      <c r="B994" s="20" t="s">
        <v>16</v>
      </c>
      <c r="C994" s="20" t="s">
        <v>89</v>
      </c>
      <c r="D994" s="20" t="s">
        <v>8</v>
      </c>
      <c r="E994" s="22">
        <v>86</v>
      </c>
      <c r="F994" s="22">
        <v>4</v>
      </c>
      <c r="G994" s="22">
        <v>4</v>
      </c>
      <c r="H994" s="22"/>
      <c r="I994" s="23" t="s">
        <v>9</v>
      </c>
      <c r="J994" s="23"/>
      <c r="K994" s="22"/>
      <c r="L994" s="22"/>
      <c r="M994" s="23"/>
      <c r="N994" s="23"/>
      <c r="O994" s="26" t="s">
        <v>3094</v>
      </c>
      <c r="P994" s="26"/>
      <c r="Q994" s="22"/>
      <c r="R994" s="24"/>
      <c r="S994" s="24"/>
      <c r="T994" s="24"/>
      <c r="U994" s="24"/>
      <c r="V994" s="24"/>
      <c r="W994" s="22" t="s">
        <v>160</v>
      </c>
      <c r="X994" s="4" t="str">
        <f>IF(Tabela2[[#This Row],[sigla]]="","",VLOOKUP(Tabela2[[#This Row],[sigla]],créditos_base!B:C,2,0))</f>
        <v>SERGIO LIMA/ARQUIVO DA EDITORA</v>
      </c>
      <c r="Y994" s="23"/>
      <c r="Z994" s="23" t="str">
        <f>Tabela2[[#This Row],[ilustrador]]</f>
        <v>SERGIO LIMA/ARQUIVO DA EDITORA</v>
      </c>
      <c r="AA994" s="22"/>
      <c r="AB994" s="20"/>
      <c r="AD994" s="4" t="str">
        <f>"Pitanguá"</f>
        <v>Pitanguá</v>
      </c>
      <c r="AE994" s="14" t="str">
        <f>"Matemática"</f>
        <v>Matemática</v>
      </c>
      <c r="AF994" s="14"/>
    </row>
    <row r="995" spans="1:32" ht="28.8" x14ac:dyDescent="0.3">
      <c r="A995" s="23" t="s">
        <v>3951</v>
      </c>
      <c r="B995" s="20" t="s">
        <v>16</v>
      </c>
      <c r="C995" s="20" t="s">
        <v>89</v>
      </c>
      <c r="D995" s="20" t="s">
        <v>8</v>
      </c>
      <c r="E995" s="22">
        <v>100</v>
      </c>
      <c r="F995" s="22">
        <v>5</v>
      </c>
      <c r="G995" s="22">
        <v>4</v>
      </c>
      <c r="H995" s="22"/>
      <c r="I995" s="23" t="s">
        <v>9</v>
      </c>
      <c r="J995" s="23"/>
      <c r="K995" s="22"/>
      <c r="L995" s="22"/>
      <c r="M995" s="23"/>
      <c r="N995" s="23"/>
      <c r="O995" s="26" t="s">
        <v>3952</v>
      </c>
      <c r="P995" s="26"/>
      <c r="Q995" s="22"/>
      <c r="R995" s="24"/>
      <c r="S995" s="24"/>
      <c r="T995" s="24"/>
      <c r="U995" s="24"/>
      <c r="V995" s="24"/>
      <c r="W995" s="22" t="s">
        <v>940</v>
      </c>
      <c r="X995" s="4" t="str">
        <f>IF(Tabela2[[#This Row],[sigla]]="","",VLOOKUP(Tabela2[[#This Row],[sigla]],créditos_base!B:C,2,0))</f>
        <v>RONALDO LUCENA/ARQUIVO DA EDITORA</v>
      </c>
      <c r="Y995" s="23"/>
      <c r="Z995" s="23" t="str">
        <f>Tabela2[[#This Row],[ilustrador]]</f>
        <v>RONALDO LUCENA/ARQUIVO DA EDITORA</v>
      </c>
      <c r="AA995" s="22"/>
      <c r="AB995" s="20"/>
      <c r="AD995" s="4" t="str">
        <f>"Pitanguá"</f>
        <v>Pitanguá</v>
      </c>
      <c r="AE995" s="14" t="str">
        <f>"Matemática"</f>
        <v>Matemática</v>
      </c>
      <c r="AF995" s="14"/>
    </row>
    <row r="996" spans="1:32" ht="28.8" x14ac:dyDescent="0.3">
      <c r="A996" s="23" t="s">
        <v>1412</v>
      </c>
      <c r="B996" s="20" t="s">
        <v>16</v>
      </c>
      <c r="C996" s="20" t="s">
        <v>89</v>
      </c>
      <c r="D996" s="20" t="s">
        <v>8</v>
      </c>
      <c r="E996" s="22">
        <v>186</v>
      </c>
      <c r="F996" s="22">
        <v>2</v>
      </c>
      <c r="G996" s="22">
        <v>4</v>
      </c>
      <c r="H996" s="22"/>
      <c r="I996" s="23" t="s">
        <v>9</v>
      </c>
      <c r="J996" s="23"/>
      <c r="K996" s="22"/>
      <c r="L996" s="22"/>
      <c r="M996" s="23"/>
      <c r="N996" s="23"/>
      <c r="O996" s="26" t="s">
        <v>1413</v>
      </c>
      <c r="P996" s="26"/>
      <c r="Q996" s="22"/>
      <c r="R996" s="24"/>
      <c r="S996" s="24"/>
      <c r="T996" s="24"/>
      <c r="U996" s="24"/>
      <c r="V996" s="24"/>
      <c r="W996" s="22" t="s">
        <v>160</v>
      </c>
      <c r="X996" s="4" t="str">
        <f>IF(Tabela2[[#This Row],[sigla]]="","",VLOOKUP(Tabela2[[#This Row],[sigla]],créditos_base!B:C,2,0))</f>
        <v>SERGIO LIMA/ARQUIVO DA EDITORA</v>
      </c>
      <c r="Y996" s="23"/>
      <c r="Z996" s="23" t="str">
        <f>Tabela2[[#This Row],[ilustrador]]</f>
        <v>SERGIO LIMA/ARQUIVO DA EDITORA</v>
      </c>
      <c r="AA996" s="22"/>
      <c r="AB996" s="20"/>
      <c r="AD996" s="4" t="str">
        <f>"Pitanguá"</f>
        <v>Pitanguá</v>
      </c>
      <c r="AE996" s="14" t="str">
        <f>"Matemática"</f>
        <v>Matemática</v>
      </c>
      <c r="AF996" s="14"/>
    </row>
    <row r="997" spans="1:32" ht="28.8" x14ac:dyDescent="0.3">
      <c r="A997" s="23" t="s">
        <v>5332</v>
      </c>
      <c r="B997" s="20" t="s">
        <v>16</v>
      </c>
      <c r="C997" s="20" t="s">
        <v>89</v>
      </c>
      <c r="D997" s="20" t="s">
        <v>8</v>
      </c>
      <c r="E997" s="22">
        <v>102</v>
      </c>
      <c r="F997" s="22">
        <v>3</v>
      </c>
      <c r="G997" s="22">
        <v>4</v>
      </c>
      <c r="H997" s="22"/>
      <c r="I997" s="23" t="s">
        <v>90</v>
      </c>
      <c r="J997" s="23"/>
      <c r="K997" s="22"/>
      <c r="L997" s="22"/>
      <c r="M997" s="23"/>
      <c r="N997" s="23"/>
      <c r="O997" s="26" t="s">
        <v>5333</v>
      </c>
      <c r="P997" s="26"/>
      <c r="Q997" s="22">
        <v>122</v>
      </c>
      <c r="R997" s="24">
        <v>45860</v>
      </c>
      <c r="S997" s="24">
        <v>45861</v>
      </c>
      <c r="T997" s="24"/>
      <c r="U997" s="24"/>
      <c r="V997" s="24">
        <v>45861</v>
      </c>
      <c r="W997" s="22" t="s">
        <v>468</v>
      </c>
      <c r="X997" s="4" t="str">
        <f>IF(Tabela2[[#This Row],[sigla]]="","",VLOOKUP(Tabela2[[#This Row],[sigla]],créditos_base!B:C,2,0))</f>
        <v>VER DOCUMENTO DE ILS. TÉCNICAS</v>
      </c>
      <c r="Y997" s="23"/>
      <c r="Z997" s="23" t="s">
        <v>5062</v>
      </c>
      <c r="AA997" s="22">
        <v>8</v>
      </c>
      <c r="AB997" s="20" t="s">
        <v>243</v>
      </c>
      <c r="AC997" s="20" t="s">
        <v>36</v>
      </c>
      <c r="AD997" s="4" t="str">
        <f>"Pitanguá"</f>
        <v>Pitanguá</v>
      </c>
      <c r="AE997" s="14" t="str">
        <f>"Matemática"</f>
        <v>Matemática</v>
      </c>
      <c r="AF997" s="14"/>
    </row>
    <row r="998" spans="1:32" ht="28.8" x14ac:dyDescent="0.3">
      <c r="A998" s="23" t="s">
        <v>3095</v>
      </c>
      <c r="B998" s="20" t="s">
        <v>16</v>
      </c>
      <c r="C998" s="20" t="s">
        <v>7</v>
      </c>
      <c r="D998" s="20" t="s">
        <v>8</v>
      </c>
      <c r="E998" s="22">
        <v>87</v>
      </c>
      <c r="F998" s="22">
        <v>4</v>
      </c>
      <c r="G998" s="22">
        <v>4</v>
      </c>
      <c r="H998" s="22"/>
      <c r="I998" s="23" t="s">
        <v>9</v>
      </c>
      <c r="J998" s="23"/>
      <c r="K998" s="22"/>
      <c r="L998" s="22"/>
      <c r="M998" s="23"/>
      <c r="N998" s="23"/>
      <c r="O998" s="26" t="s">
        <v>3096</v>
      </c>
      <c r="P998" s="26"/>
      <c r="Q998" s="22"/>
      <c r="R998" s="24"/>
      <c r="S998" s="24"/>
      <c r="T998" s="24"/>
      <c r="U998" s="24"/>
      <c r="V998" s="24"/>
      <c r="W998" s="22" t="s">
        <v>151</v>
      </c>
      <c r="X998" s="4" t="str">
        <f>IF(Tabela2[[#This Row],[sigla]]="","",VLOOKUP(Tabela2[[#This Row],[sigla]],créditos_base!B:C,2,0))</f>
        <v>ROGÉRIO CASAGRANDE/ARQUIVO DA EDITORA</v>
      </c>
      <c r="Y998" s="23"/>
      <c r="Z998" s="23" t="str">
        <f>Tabela2[[#This Row],[ilustrador]]</f>
        <v>ROGÉRIO CASAGRANDE/ARQUIVO DA EDITORA</v>
      </c>
      <c r="AA998" s="22"/>
      <c r="AB998" s="20"/>
      <c r="AD998" s="4" t="str">
        <f>"Pitanguá"</f>
        <v>Pitanguá</v>
      </c>
      <c r="AE998" s="14" t="str">
        <f>"Matemática"</f>
        <v>Matemática</v>
      </c>
      <c r="AF998" s="14"/>
    </row>
    <row r="999" spans="1:32" ht="57.6" x14ac:dyDescent="0.3">
      <c r="A999" s="23" t="s">
        <v>3953</v>
      </c>
      <c r="B999" s="20" t="s">
        <v>16</v>
      </c>
      <c r="C999" s="20" t="s">
        <v>7</v>
      </c>
      <c r="D999" s="20" t="s">
        <v>8</v>
      </c>
      <c r="E999" s="22">
        <v>102</v>
      </c>
      <c r="F999" s="22">
        <v>5</v>
      </c>
      <c r="G999" s="22">
        <v>4</v>
      </c>
      <c r="H999" s="22"/>
      <c r="I999" s="23" t="s">
        <v>9</v>
      </c>
      <c r="J999" s="23"/>
      <c r="K999" s="22"/>
      <c r="L999" s="22"/>
      <c r="M999" s="23"/>
      <c r="N999" s="23"/>
      <c r="O999" s="26" t="s">
        <v>3954</v>
      </c>
      <c r="P999" s="26"/>
      <c r="Q999" s="22"/>
      <c r="R999" s="24"/>
      <c r="S999" s="24"/>
      <c r="T999" s="24"/>
      <c r="U999" s="24"/>
      <c r="V999" s="24"/>
      <c r="W999" s="22" t="s">
        <v>151</v>
      </c>
      <c r="X999" s="4" t="str">
        <f>IF(Tabela2[[#This Row],[sigla]]="","",VLOOKUP(Tabela2[[#This Row],[sigla]],créditos_base!B:C,2,0))</f>
        <v>ROGÉRIO CASAGRANDE/ARQUIVO DA EDITORA</v>
      </c>
      <c r="Y999" s="23"/>
      <c r="Z999" s="23" t="str">
        <f>Tabela2[[#This Row],[ilustrador]]</f>
        <v>ROGÉRIO CASAGRANDE/ARQUIVO DA EDITORA</v>
      </c>
      <c r="AA999" s="22"/>
      <c r="AB999" s="20"/>
      <c r="AD999" s="4" t="str">
        <f>"Pitanguá"</f>
        <v>Pitanguá</v>
      </c>
      <c r="AE999" s="14" t="str">
        <f>"Matemática"</f>
        <v>Matemática</v>
      </c>
      <c r="AF999" s="14"/>
    </row>
    <row r="1000" spans="1:32" ht="72" x14ac:dyDescent="0.3">
      <c r="A1000" s="23" t="s">
        <v>1414</v>
      </c>
      <c r="B1000" s="20" t="s">
        <v>16</v>
      </c>
      <c r="C1000" s="20" t="s">
        <v>89</v>
      </c>
      <c r="D1000" s="20" t="s">
        <v>8</v>
      </c>
      <c r="E1000" s="22">
        <v>186</v>
      </c>
      <c r="F1000" s="22">
        <v>2</v>
      </c>
      <c r="G1000" s="22">
        <v>4</v>
      </c>
      <c r="H1000" s="22"/>
      <c r="I1000" s="23" t="s">
        <v>9</v>
      </c>
      <c r="J1000" s="23"/>
      <c r="K1000" s="22"/>
      <c r="L1000" s="22"/>
      <c r="M1000" s="23"/>
      <c r="N1000" s="23"/>
      <c r="O1000" s="26" t="s">
        <v>1415</v>
      </c>
      <c r="P1000" s="26"/>
      <c r="Q1000" s="22"/>
      <c r="R1000" s="24"/>
      <c r="S1000" s="24"/>
      <c r="T1000" s="24"/>
      <c r="U1000" s="24"/>
      <c r="V1000" s="24"/>
      <c r="W1000" s="22" t="s">
        <v>160</v>
      </c>
      <c r="X1000" s="4" t="str">
        <f>IF(Tabela2[[#This Row],[sigla]]="","",VLOOKUP(Tabela2[[#This Row],[sigla]],créditos_base!B:C,2,0))</f>
        <v>SERGIO LIMA/ARQUIVO DA EDITORA</v>
      </c>
      <c r="Y1000" s="23"/>
      <c r="Z1000" s="23" t="str">
        <f>Tabela2[[#This Row],[ilustrador]]</f>
        <v>SERGIO LIMA/ARQUIVO DA EDITORA</v>
      </c>
      <c r="AA1000" s="22"/>
      <c r="AB1000" s="20"/>
      <c r="AD1000" s="4" t="str">
        <f>"Pitanguá"</f>
        <v>Pitanguá</v>
      </c>
      <c r="AE1000" s="14" t="str">
        <f>"Matemática"</f>
        <v>Matemática</v>
      </c>
      <c r="AF1000" s="14"/>
    </row>
    <row r="1001" spans="1:32" ht="28.8" x14ac:dyDescent="0.3">
      <c r="A1001" s="23" t="s">
        <v>5334</v>
      </c>
      <c r="B1001" s="20" t="s">
        <v>16</v>
      </c>
      <c r="C1001" s="20" t="s">
        <v>89</v>
      </c>
      <c r="D1001" s="20" t="s">
        <v>8</v>
      </c>
      <c r="E1001" s="22">
        <v>121</v>
      </c>
      <c r="F1001" s="22">
        <v>3</v>
      </c>
      <c r="G1001" s="22">
        <v>4</v>
      </c>
      <c r="H1001" s="22"/>
      <c r="I1001" s="23" t="s">
        <v>90</v>
      </c>
      <c r="J1001" s="23"/>
      <c r="K1001" s="22"/>
      <c r="L1001" s="22"/>
      <c r="M1001" s="23"/>
      <c r="N1001" s="23"/>
      <c r="O1001" s="26" t="s">
        <v>5335</v>
      </c>
      <c r="P1001" s="26"/>
      <c r="Q1001" s="22">
        <v>122</v>
      </c>
      <c r="R1001" s="24">
        <v>45860</v>
      </c>
      <c r="S1001" s="24">
        <v>45861</v>
      </c>
      <c r="T1001" s="24"/>
      <c r="U1001" s="24"/>
      <c r="V1001" s="24">
        <v>45861</v>
      </c>
      <c r="W1001" s="22" t="s">
        <v>468</v>
      </c>
      <c r="X1001" s="4" t="str">
        <f>IF(Tabela2[[#This Row],[sigla]]="","",VLOOKUP(Tabela2[[#This Row],[sigla]],créditos_base!B:C,2,0))</f>
        <v>VER DOCUMENTO DE ILS. TÉCNICAS</v>
      </c>
      <c r="Y1001" s="23"/>
      <c r="Z1001" s="23" t="s">
        <v>5062</v>
      </c>
      <c r="AA1001" s="22">
        <v>8</v>
      </c>
      <c r="AB1001" s="20" t="s">
        <v>243</v>
      </c>
      <c r="AC1001" s="20" t="s">
        <v>36</v>
      </c>
      <c r="AD1001" s="4" t="str">
        <f>"Pitanguá"</f>
        <v>Pitanguá</v>
      </c>
      <c r="AE1001" s="14" t="str">
        <f>"Matemática"</f>
        <v>Matemática</v>
      </c>
      <c r="AF1001" s="14"/>
    </row>
    <row r="1002" spans="1:32" ht="28.8" x14ac:dyDescent="0.3">
      <c r="A1002" s="23" t="s">
        <v>3097</v>
      </c>
      <c r="B1002" s="20" t="s">
        <v>16</v>
      </c>
      <c r="C1002" s="20" t="s">
        <v>89</v>
      </c>
      <c r="D1002" s="20" t="s">
        <v>8</v>
      </c>
      <c r="E1002" s="22">
        <v>87</v>
      </c>
      <c r="F1002" s="22">
        <v>4</v>
      </c>
      <c r="G1002" s="22">
        <v>4</v>
      </c>
      <c r="H1002" s="22"/>
      <c r="I1002" s="23" t="s">
        <v>33</v>
      </c>
      <c r="J1002" s="23"/>
      <c r="K1002" s="22"/>
      <c r="L1002" s="22"/>
      <c r="M1002" s="23"/>
      <c r="N1002" s="23"/>
      <c r="O1002" s="26" t="s">
        <v>3098</v>
      </c>
      <c r="P1002" s="26"/>
      <c r="Q1002" s="22">
        <v>44</v>
      </c>
      <c r="R1002" s="24">
        <v>45791</v>
      </c>
      <c r="S1002" s="24">
        <v>45797</v>
      </c>
      <c r="T1002" s="24"/>
      <c r="U1002" s="24"/>
      <c r="V1002" s="24">
        <v>45797</v>
      </c>
      <c r="W1002" s="22" t="s">
        <v>468</v>
      </c>
      <c r="X1002" s="4" t="str">
        <f>IF(Tabela2[[#This Row],[sigla]]="","",VLOOKUP(Tabela2[[#This Row],[sigla]],créditos_base!B:C,2,0))</f>
        <v>VER DOCUMENTO DE ILS. TÉCNICAS</v>
      </c>
      <c r="Y1002" s="23" t="s">
        <v>152</v>
      </c>
      <c r="Z1002" s="23" t="s">
        <v>1327</v>
      </c>
      <c r="AA1002" s="22">
        <v>14</v>
      </c>
      <c r="AB1002" s="20" t="s">
        <v>153</v>
      </c>
      <c r="AC1002" s="20" t="s">
        <v>36</v>
      </c>
      <c r="AD1002" s="4" t="str">
        <f>"Pitanguá"</f>
        <v>Pitanguá</v>
      </c>
      <c r="AE1002" s="14" t="str">
        <f>"Matemática"</f>
        <v>Matemática</v>
      </c>
      <c r="AF1002" s="14"/>
    </row>
    <row r="1003" spans="1:32" ht="43.2" x14ac:dyDescent="0.3">
      <c r="A1003" s="23" t="s">
        <v>3955</v>
      </c>
      <c r="B1003" s="20" t="s">
        <v>16</v>
      </c>
      <c r="C1003" s="20" t="s">
        <v>89</v>
      </c>
      <c r="D1003" s="20" t="s">
        <v>8</v>
      </c>
      <c r="E1003" s="22">
        <v>102</v>
      </c>
      <c r="F1003" s="22">
        <v>5</v>
      </c>
      <c r="G1003" s="22">
        <v>4</v>
      </c>
      <c r="H1003" s="22"/>
      <c r="I1003" s="23" t="s">
        <v>33</v>
      </c>
      <c r="J1003" s="23"/>
      <c r="K1003" s="22"/>
      <c r="L1003" s="22"/>
      <c r="M1003" s="23"/>
      <c r="N1003" s="23"/>
      <c r="O1003" s="26" t="s">
        <v>3956</v>
      </c>
      <c r="P1003" s="26"/>
      <c r="Q1003" s="22">
        <v>202</v>
      </c>
      <c r="R1003" s="24">
        <v>45924</v>
      </c>
      <c r="S1003" s="24">
        <v>45924</v>
      </c>
      <c r="T1003" s="24"/>
      <c r="U1003" s="24"/>
      <c r="V1003" s="24">
        <v>45924</v>
      </c>
      <c r="W1003" s="22" t="s">
        <v>940</v>
      </c>
      <c r="X1003" s="4" t="str">
        <f>IF(Tabela2[[#This Row],[sigla]]="","",VLOOKUP(Tabela2[[#This Row],[sigla]],créditos_base!B:C,2,0))</f>
        <v>RONALDO LUCENA/ARQUIVO DA EDITORA</v>
      </c>
      <c r="Y1003" s="23" t="s">
        <v>696</v>
      </c>
      <c r="Z1003" s="23" t="str">
        <f>Tabela2[[#This Row],[ilustrador]]</f>
        <v>RONALDO LUCENA/ARQUIVO DA EDITORA</v>
      </c>
      <c r="AA1003" s="22">
        <v>13</v>
      </c>
      <c r="AB1003" s="20" t="s">
        <v>153</v>
      </c>
      <c r="AC1003" s="20" t="s">
        <v>36</v>
      </c>
      <c r="AD1003" s="4" t="str">
        <f>"Pitanguá"</f>
        <v>Pitanguá</v>
      </c>
      <c r="AE1003" s="14" t="str">
        <f>"Matemática"</f>
        <v>Matemática</v>
      </c>
      <c r="AF1003" s="14"/>
    </row>
    <row r="1004" spans="1:32" ht="28.8" x14ac:dyDescent="0.3">
      <c r="A1004" s="23" t="s">
        <v>1416</v>
      </c>
      <c r="B1004" s="20" t="s">
        <v>16</v>
      </c>
      <c r="C1004" s="20" t="s">
        <v>89</v>
      </c>
      <c r="D1004" s="20" t="s">
        <v>8</v>
      </c>
      <c r="E1004" s="22">
        <v>186</v>
      </c>
      <c r="F1004" s="22">
        <v>2</v>
      </c>
      <c r="G1004" s="22">
        <v>4</v>
      </c>
      <c r="H1004" s="22"/>
      <c r="I1004" s="23" t="s">
        <v>9</v>
      </c>
      <c r="J1004" s="23"/>
      <c r="K1004" s="22"/>
      <c r="L1004" s="22"/>
      <c r="M1004" s="23"/>
      <c r="N1004" s="23"/>
      <c r="O1004" s="26" t="s">
        <v>1417</v>
      </c>
      <c r="P1004" s="26"/>
      <c r="Q1004" s="22"/>
      <c r="R1004" s="24"/>
      <c r="S1004" s="24"/>
      <c r="T1004" s="24"/>
      <c r="U1004" s="24"/>
      <c r="V1004" s="24"/>
      <c r="W1004" s="22" t="s">
        <v>160</v>
      </c>
      <c r="X1004" s="4" t="str">
        <f>IF(Tabela2[[#This Row],[sigla]]="","",VLOOKUP(Tabela2[[#This Row],[sigla]],créditos_base!B:C,2,0))</f>
        <v>SERGIO LIMA/ARQUIVO DA EDITORA</v>
      </c>
      <c r="Y1004" s="23"/>
      <c r="Z1004" s="23" t="str">
        <f>Tabela2[[#This Row],[ilustrador]]</f>
        <v>SERGIO LIMA/ARQUIVO DA EDITORA</v>
      </c>
      <c r="AA1004" s="22"/>
      <c r="AB1004" s="20"/>
      <c r="AD1004" s="4" t="str">
        <f>"Pitanguá"</f>
        <v>Pitanguá</v>
      </c>
      <c r="AE1004" s="14" t="str">
        <f>"Matemática"</f>
        <v>Matemática</v>
      </c>
      <c r="AF1004" s="14"/>
    </row>
    <row r="1005" spans="1:32" ht="28.8" x14ac:dyDescent="0.3">
      <c r="A1005" s="23" t="s">
        <v>3099</v>
      </c>
      <c r="B1005" s="20" t="s">
        <v>16</v>
      </c>
      <c r="C1005" s="20" t="s">
        <v>89</v>
      </c>
      <c r="D1005" s="20" t="s">
        <v>8</v>
      </c>
      <c r="E1005" s="22">
        <v>87</v>
      </c>
      <c r="F1005" s="22">
        <v>4</v>
      </c>
      <c r="G1005" s="22">
        <v>4</v>
      </c>
      <c r="H1005" s="22"/>
      <c r="I1005" s="23" t="s">
        <v>33</v>
      </c>
      <c r="J1005" s="23"/>
      <c r="K1005" s="22"/>
      <c r="L1005" s="22"/>
      <c r="M1005" s="23"/>
      <c r="N1005" s="23"/>
      <c r="O1005" s="26" t="s">
        <v>3100</v>
      </c>
      <c r="P1005" s="26"/>
      <c r="Q1005" s="22">
        <v>44</v>
      </c>
      <c r="R1005" s="24">
        <v>45791</v>
      </c>
      <c r="S1005" s="24">
        <v>45797</v>
      </c>
      <c r="T1005" s="24"/>
      <c r="U1005" s="24"/>
      <c r="V1005" s="24">
        <v>45797</v>
      </c>
      <c r="W1005" s="22" t="s">
        <v>468</v>
      </c>
      <c r="X1005" s="4" t="str">
        <f>IF(Tabela2[[#This Row],[sigla]]="","",VLOOKUP(Tabela2[[#This Row],[sigla]],créditos_base!B:C,2,0))</f>
        <v>VER DOCUMENTO DE ILS. TÉCNICAS</v>
      </c>
      <c r="Y1005" s="23" t="s">
        <v>152</v>
      </c>
      <c r="Z1005" s="23" t="s">
        <v>1327</v>
      </c>
      <c r="AA1005" s="22">
        <v>14</v>
      </c>
      <c r="AB1005" s="20" t="s">
        <v>153</v>
      </c>
      <c r="AC1005" s="20" t="s">
        <v>36</v>
      </c>
      <c r="AD1005" s="4" t="str">
        <f>"Pitanguá"</f>
        <v>Pitanguá</v>
      </c>
      <c r="AE1005" s="14" t="str">
        <f>"Matemática"</f>
        <v>Matemática</v>
      </c>
      <c r="AF1005" s="14"/>
    </row>
    <row r="1006" spans="1:32" ht="28.8" x14ac:dyDescent="0.3">
      <c r="A1006" s="23" t="s">
        <v>3957</v>
      </c>
      <c r="B1006" s="20" t="s">
        <v>16</v>
      </c>
      <c r="C1006" s="20" t="s">
        <v>89</v>
      </c>
      <c r="D1006" s="20" t="s">
        <v>8</v>
      </c>
      <c r="E1006" s="22">
        <v>102</v>
      </c>
      <c r="F1006" s="22">
        <v>5</v>
      </c>
      <c r="G1006" s="22">
        <v>4</v>
      </c>
      <c r="H1006" s="22"/>
      <c r="I1006" s="23" t="s">
        <v>33</v>
      </c>
      <c r="J1006" s="23"/>
      <c r="K1006" s="22"/>
      <c r="L1006" s="22"/>
      <c r="M1006" s="23"/>
      <c r="N1006" s="23"/>
      <c r="O1006" s="26" t="s">
        <v>3958</v>
      </c>
      <c r="P1006" s="26"/>
      <c r="Q1006" s="22">
        <v>202</v>
      </c>
      <c r="R1006" s="24">
        <v>45924</v>
      </c>
      <c r="S1006" s="24">
        <v>45924</v>
      </c>
      <c r="T1006" s="24"/>
      <c r="U1006" s="24"/>
      <c r="V1006" s="24">
        <v>45924</v>
      </c>
      <c r="W1006" s="22" t="s">
        <v>940</v>
      </c>
      <c r="X1006" s="4" t="str">
        <f>IF(Tabela2[[#This Row],[sigla]]="","",VLOOKUP(Tabela2[[#This Row],[sigla]],créditos_base!B:C,2,0))</f>
        <v>RONALDO LUCENA/ARQUIVO DA EDITORA</v>
      </c>
      <c r="Y1006" s="23" t="s">
        <v>696</v>
      </c>
      <c r="Z1006" s="23" t="str">
        <f>Tabela2[[#This Row],[ilustrador]]</f>
        <v>RONALDO LUCENA/ARQUIVO DA EDITORA</v>
      </c>
      <c r="AA1006" s="22">
        <v>13</v>
      </c>
      <c r="AB1006" s="20" t="s">
        <v>153</v>
      </c>
      <c r="AC1006" s="20" t="s">
        <v>36</v>
      </c>
      <c r="AD1006" s="4" t="str">
        <f>"Pitanguá"</f>
        <v>Pitanguá</v>
      </c>
      <c r="AE1006" s="14" t="str">
        <f>"Matemática"</f>
        <v>Matemática</v>
      </c>
      <c r="AF1006" s="14"/>
    </row>
    <row r="1007" spans="1:32" ht="57.6" x14ac:dyDescent="0.3">
      <c r="A1007" s="23" t="s">
        <v>1418</v>
      </c>
      <c r="B1007" s="20" t="s">
        <v>16</v>
      </c>
      <c r="C1007" s="20" t="s">
        <v>89</v>
      </c>
      <c r="D1007" s="20" t="s">
        <v>8</v>
      </c>
      <c r="E1007" s="22">
        <v>186</v>
      </c>
      <c r="F1007" s="22">
        <v>2</v>
      </c>
      <c r="G1007" s="22">
        <v>4</v>
      </c>
      <c r="H1007" s="22"/>
      <c r="I1007" s="23" t="s">
        <v>9</v>
      </c>
      <c r="J1007" s="23"/>
      <c r="K1007" s="22"/>
      <c r="L1007" s="22"/>
      <c r="M1007" s="23"/>
      <c r="N1007" s="23"/>
      <c r="O1007" s="26" t="s">
        <v>1419</v>
      </c>
      <c r="P1007" s="26"/>
      <c r="Q1007" s="22"/>
      <c r="R1007" s="24"/>
      <c r="S1007" s="24"/>
      <c r="T1007" s="24"/>
      <c r="U1007" s="24"/>
      <c r="V1007" s="24"/>
      <c r="W1007" s="22" t="s">
        <v>160</v>
      </c>
      <c r="X1007" s="4" t="str">
        <f>IF(Tabela2[[#This Row],[sigla]]="","",VLOOKUP(Tabela2[[#This Row],[sigla]],créditos_base!B:C,2,0))</f>
        <v>SERGIO LIMA/ARQUIVO DA EDITORA</v>
      </c>
      <c r="Y1007" s="23"/>
      <c r="Z1007" s="23" t="str">
        <f>Tabela2[[#This Row],[ilustrador]]</f>
        <v>SERGIO LIMA/ARQUIVO DA EDITORA</v>
      </c>
      <c r="AA1007" s="22"/>
      <c r="AB1007" s="20"/>
      <c r="AD1007" s="4" t="str">
        <f>"Pitanguá"</f>
        <v>Pitanguá</v>
      </c>
      <c r="AE1007" s="14" t="str">
        <f>"Matemática"</f>
        <v>Matemática</v>
      </c>
      <c r="AF1007" s="14"/>
    </row>
    <row r="1008" spans="1:32" ht="57.6" x14ac:dyDescent="0.3">
      <c r="A1008" s="23" t="s">
        <v>3101</v>
      </c>
      <c r="B1008" s="20" t="s">
        <v>16</v>
      </c>
      <c r="C1008" s="20" t="s">
        <v>89</v>
      </c>
      <c r="D1008" s="20" t="s">
        <v>8</v>
      </c>
      <c r="E1008" s="22">
        <v>87</v>
      </c>
      <c r="F1008" s="22">
        <v>4</v>
      </c>
      <c r="G1008" s="22">
        <v>4</v>
      </c>
      <c r="H1008" s="22"/>
      <c r="I1008" s="23" t="s">
        <v>9</v>
      </c>
      <c r="J1008" s="23"/>
      <c r="K1008" s="22"/>
      <c r="L1008" s="22"/>
      <c r="M1008" s="23"/>
      <c r="N1008" s="23"/>
      <c r="O1008" s="26" t="s">
        <v>3102</v>
      </c>
      <c r="P1008" s="26"/>
      <c r="Q1008" s="22"/>
      <c r="R1008" s="24"/>
      <c r="S1008" s="24"/>
      <c r="T1008" s="24"/>
      <c r="U1008" s="24"/>
      <c r="V1008" s="24"/>
      <c r="W1008" s="22" t="s">
        <v>160</v>
      </c>
      <c r="X1008" s="4" t="str">
        <f>IF(Tabela2[[#This Row],[sigla]]="","",VLOOKUP(Tabela2[[#This Row],[sigla]],créditos_base!B:C,2,0))</f>
        <v>SERGIO LIMA/ARQUIVO DA EDITORA</v>
      </c>
      <c r="Y1008" s="23"/>
      <c r="Z1008" s="23" t="str">
        <f>Tabela2[[#This Row],[ilustrador]]</f>
        <v>SERGIO LIMA/ARQUIVO DA EDITORA</v>
      </c>
      <c r="AA1008" s="22"/>
      <c r="AB1008" s="20"/>
      <c r="AD1008" s="4" t="str">
        <f>"Pitanguá"</f>
        <v>Pitanguá</v>
      </c>
      <c r="AE1008" s="14" t="str">
        <f>"Matemática"</f>
        <v>Matemática</v>
      </c>
      <c r="AF1008" s="14"/>
    </row>
    <row r="1009" spans="1:32" ht="28.8" x14ac:dyDescent="0.3">
      <c r="A1009" s="23" t="s">
        <v>3959</v>
      </c>
      <c r="B1009" s="20" t="s">
        <v>6</v>
      </c>
      <c r="C1009" s="20" t="s">
        <v>89</v>
      </c>
      <c r="D1009" s="20" t="s">
        <v>8</v>
      </c>
      <c r="E1009" s="22">
        <v>82</v>
      </c>
      <c r="F1009" s="22">
        <v>5</v>
      </c>
      <c r="G1009" s="22">
        <v>4</v>
      </c>
      <c r="H1009" s="22"/>
      <c r="I1009" s="23" t="s">
        <v>9</v>
      </c>
      <c r="J1009" s="23"/>
      <c r="K1009" s="22"/>
      <c r="L1009" s="22"/>
      <c r="M1009" s="23"/>
      <c r="N1009" s="23"/>
      <c r="O1009" s="26" t="s">
        <v>3960</v>
      </c>
      <c r="P1009" s="26"/>
      <c r="Q1009" s="22"/>
      <c r="R1009" s="24"/>
      <c r="S1009" s="24"/>
      <c r="T1009" s="24"/>
      <c r="U1009" s="24"/>
      <c r="V1009" s="24"/>
      <c r="W1009" s="22" t="s">
        <v>940</v>
      </c>
      <c r="X1009" s="4" t="str">
        <f>IF(Tabela2[[#This Row],[sigla]]="","",VLOOKUP(Tabela2[[#This Row],[sigla]],créditos_base!B:C,2,0))</f>
        <v>RONALDO LUCENA/ARQUIVO DA EDITORA</v>
      </c>
      <c r="Y1009" s="23"/>
      <c r="Z1009" s="23" t="str">
        <f>Tabela2[[#This Row],[ilustrador]]</f>
        <v>RONALDO LUCENA/ARQUIVO DA EDITORA</v>
      </c>
      <c r="AA1009" s="22"/>
      <c r="AB1009" s="20"/>
      <c r="AD1009" s="4" t="str">
        <f>"Pitanguá"</f>
        <v>Pitanguá</v>
      </c>
      <c r="AE1009" s="14" t="str">
        <f>"Matemática"</f>
        <v>Matemática</v>
      </c>
      <c r="AF1009" s="14"/>
    </row>
    <row r="1010" spans="1:32" ht="43.2" x14ac:dyDescent="0.3">
      <c r="A1010" s="23" t="s">
        <v>1420</v>
      </c>
      <c r="B1010" s="20" t="s">
        <v>16</v>
      </c>
      <c r="C1010" s="20" t="s">
        <v>7</v>
      </c>
      <c r="D1010" s="20" t="s">
        <v>8</v>
      </c>
      <c r="E1010" s="22">
        <v>187</v>
      </c>
      <c r="F1010" s="22">
        <v>2</v>
      </c>
      <c r="G1010" s="22">
        <v>4</v>
      </c>
      <c r="H1010" s="22"/>
      <c r="I1010" s="23" t="s">
        <v>9</v>
      </c>
      <c r="J1010" s="23"/>
      <c r="K1010" s="22"/>
      <c r="L1010" s="22"/>
      <c r="M1010" s="23"/>
      <c r="N1010" s="23"/>
      <c r="O1010" s="26" t="s">
        <v>1421</v>
      </c>
      <c r="P1010" s="26"/>
      <c r="Q1010" s="22"/>
      <c r="R1010" s="24"/>
      <c r="S1010" s="24"/>
      <c r="T1010" s="24"/>
      <c r="U1010" s="24"/>
      <c r="V1010" s="24"/>
      <c r="W1010" s="22" t="s">
        <v>468</v>
      </c>
      <c r="X1010" s="4" t="str">
        <f>IF(Tabela2[[#This Row],[sigla]]="","",VLOOKUP(Tabela2[[#This Row],[sigla]],créditos_base!B:C,2,0))</f>
        <v>VER DOCUMENTO DE ILS. TÉCNICAS</v>
      </c>
      <c r="Y1010" s="23"/>
      <c r="Z1010" s="23" t="s">
        <v>1422</v>
      </c>
      <c r="AA1010" s="22"/>
      <c r="AB1010" s="20"/>
      <c r="AD1010" s="4" t="str">
        <f>"Pitanguá"</f>
        <v>Pitanguá</v>
      </c>
      <c r="AE1010" s="14" t="str">
        <f>"Matemática"</f>
        <v>Matemática</v>
      </c>
      <c r="AF1010" s="14"/>
    </row>
    <row r="1011" spans="1:32" ht="28.8" x14ac:dyDescent="0.3">
      <c r="A1011" s="23" t="s">
        <v>3103</v>
      </c>
      <c r="B1011" s="20" t="s">
        <v>16</v>
      </c>
      <c r="C1011" s="20" t="s">
        <v>89</v>
      </c>
      <c r="D1011" s="20" t="s">
        <v>8</v>
      </c>
      <c r="E1011" s="22">
        <v>87</v>
      </c>
      <c r="F1011" s="22">
        <v>4</v>
      </c>
      <c r="G1011" s="22">
        <v>4</v>
      </c>
      <c r="H1011" s="22"/>
      <c r="I1011" s="23" t="s">
        <v>9</v>
      </c>
      <c r="J1011" s="23"/>
      <c r="K1011" s="22"/>
      <c r="L1011" s="22"/>
      <c r="M1011" s="23"/>
      <c r="N1011" s="23"/>
      <c r="O1011" s="26" t="s">
        <v>3104</v>
      </c>
      <c r="P1011" s="26"/>
      <c r="Q1011" s="22"/>
      <c r="R1011" s="24"/>
      <c r="S1011" s="24"/>
      <c r="T1011" s="24"/>
      <c r="U1011" s="24"/>
      <c r="V1011" s="24"/>
      <c r="W1011" s="22" t="s">
        <v>160</v>
      </c>
      <c r="X1011" s="4" t="str">
        <f>IF(Tabela2[[#This Row],[sigla]]="","",VLOOKUP(Tabela2[[#This Row],[sigla]],créditos_base!B:C,2,0))</f>
        <v>SERGIO LIMA/ARQUIVO DA EDITORA</v>
      </c>
      <c r="Y1011" s="23"/>
      <c r="Z1011" s="23" t="str">
        <f>Tabela2[[#This Row],[ilustrador]]</f>
        <v>SERGIO LIMA/ARQUIVO DA EDITORA</v>
      </c>
      <c r="AA1011" s="22"/>
      <c r="AB1011" s="20"/>
      <c r="AD1011" s="4" t="str">
        <f>"Pitanguá"</f>
        <v>Pitanguá</v>
      </c>
      <c r="AE1011" s="14" t="str">
        <f>"Matemática"</f>
        <v>Matemática</v>
      </c>
      <c r="AF1011" s="14"/>
    </row>
    <row r="1012" spans="1:32" ht="72" x14ac:dyDescent="0.3">
      <c r="A1012" s="23" t="s">
        <v>3961</v>
      </c>
      <c r="B1012" s="20" t="s">
        <v>16</v>
      </c>
      <c r="C1012" s="20" t="s">
        <v>89</v>
      </c>
      <c r="D1012" s="20" t="s">
        <v>8</v>
      </c>
      <c r="E1012" s="22">
        <v>103</v>
      </c>
      <c r="F1012" s="22">
        <v>5</v>
      </c>
      <c r="G1012" s="22">
        <v>4</v>
      </c>
      <c r="H1012" s="22"/>
      <c r="I1012" s="23" t="s">
        <v>33</v>
      </c>
      <c r="J1012" s="23"/>
      <c r="K1012" s="22"/>
      <c r="L1012" s="22"/>
      <c r="M1012" s="23"/>
      <c r="N1012" s="23"/>
      <c r="O1012" s="26" t="s">
        <v>3962</v>
      </c>
      <c r="P1012" s="26"/>
      <c r="Q1012" s="22">
        <v>202</v>
      </c>
      <c r="R1012" s="24">
        <v>45924</v>
      </c>
      <c r="S1012" s="24">
        <v>45924</v>
      </c>
      <c r="T1012" s="24"/>
      <c r="U1012" s="24"/>
      <c r="V1012" s="24">
        <v>45924</v>
      </c>
      <c r="W1012" s="22" t="s">
        <v>940</v>
      </c>
      <c r="X1012" s="4" t="str">
        <f>IF(Tabela2[[#This Row],[sigla]]="","",VLOOKUP(Tabela2[[#This Row],[sigla]],créditos_base!B:C,2,0))</f>
        <v>RONALDO LUCENA/ARQUIVO DA EDITORA</v>
      </c>
      <c r="Y1012" s="23" t="s">
        <v>696</v>
      </c>
      <c r="Z1012" s="23" t="str">
        <f>Tabela2[[#This Row],[ilustrador]]</f>
        <v>RONALDO LUCENA/ARQUIVO DA EDITORA</v>
      </c>
      <c r="AA1012" s="22">
        <v>13</v>
      </c>
      <c r="AB1012" s="20" t="s">
        <v>153</v>
      </c>
      <c r="AC1012" s="20" t="s">
        <v>36</v>
      </c>
      <c r="AD1012" s="4" t="str">
        <f>"Pitanguá"</f>
        <v>Pitanguá</v>
      </c>
      <c r="AE1012" s="14" t="str">
        <f>"Matemática"</f>
        <v>Matemática</v>
      </c>
      <c r="AF1012" s="14"/>
    </row>
    <row r="1013" spans="1:32" ht="57.6" x14ac:dyDescent="0.3">
      <c r="A1013" s="23" t="s">
        <v>1423</v>
      </c>
      <c r="B1013" s="20" t="s">
        <v>16</v>
      </c>
      <c r="C1013" s="20" t="s">
        <v>7</v>
      </c>
      <c r="D1013" s="20" t="s">
        <v>8</v>
      </c>
      <c r="E1013" s="22">
        <v>187</v>
      </c>
      <c r="F1013" s="22">
        <v>2</v>
      </c>
      <c r="G1013" s="22">
        <v>4</v>
      </c>
      <c r="H1013" s="22"/>
      <c r="I1013" s="23" t="s">
        <v>33</v>
      </c>
      <c r="J1013" s="23"/>
      <c r="K1013" s="22"/>
      <c r="L1013" s="22"/>
      <c r="M1013" s="23"/>
      <c r="N1013" s="23"/>
      <c r="O1013" s="26" t="s">
        <v>1424</v>
      </c>
      <c r="P1013" s="26"/>
      <c r="Q1013" s="22">
        <v>68</v>
      </c>
      <c r="R1013" s="24">
        <v>45812</v>
      </c>
      <c r="S1013" s="24">
        <v>45812</v>
      </c>
      <c r="T1013" s="24"/>
      <c r="U1013" s="24"/>
      <c r="V1013" s="24">
        <v>45812</v>
      </c>
      <c r="W1013" s="22" t="s">
        <v>468</v>
      </c>
      <c r="X1013" s="4" t="str">
        <f>IF(Tabela2[[#This Row],[sigla]]="","",VLOOKUP(Tabela2[[#This Row],[sigla]],créditos_base!B:C,2,0))</f>
        <v>VER DOCUMENTO DE ILS. TÉCNICAS</v>
      </c>
      <c r="Y1013" s="23" t="s">
        <v>1139</v>
      </c>
      <c r="Z1013" s="23" t="s">
        <v>686</v>
      </c>
      <c r="AA1013" s="22">
        <v>13</v>
      </c>
      <c r="AB1013" s="20" t="s">
        <v>1425</v>
      </c>
      <c r="AC1013" s="20" t="s">
        <v>36</v>
      </c>
      <c r="AD1013" s="4" t="str">
        <f>"Pitanguá"</f>
        <v>Pitanguá</v>
      </c>
      <c r="AE1013" s="14" t="str">
        <f>"Matemática"</f>
        <v>Matemática</v>
      </c>
      <c r="AF1013" s="14"/>
    </row>
    <row r="1014" spans="1:32" ht="57.6" x14ac:dyDescent="0.3">
      <c r="A1014" s="23" t="s">
        <v>3105</v>
      </c>
      <c r="B1014" s="20" t="s">
        <v>16</v>
      </c>
      <c r="C1014" s="20" t="s">
        <v>89</v>
      </c>
      <c r="D1014" s="20" t="s">
        <v>8</v>
      </c>
      <c r="E1014" s="22">
        <v>87</v>
      </c>
      <c r="F1014" s="22">
        <v>4</v>
      </c>
      <c r="G1014" s="22">
        <v>4</v>
      </c>
      <c r="H1014" s="22"/>
      <c r="I1014" s="23" t="s">
        <v>9</v>
      </c>
      <c r="J1014" s="23"/>
      <c r="K1014" s="22"/>
      <c r="L1014" s="22"/>
      <c r="M1014" s="23"/>
      <c r="N1014" s="23"/>
      <c r="O1014" s="26" t="s">
        <v>3106</v>
      </c>
      <c r="P1014" s="26"/>
      <c r="Q1014" s="22"/>
      <c r="R1014" s="24"/>
      <c r="S1014" s="24"/>
      <c r="T1014" s="24"/>
      <c r="U1014" s="24"/>
      <c r="V1014" s="24"/>
      <c r="W1014" s="22" t="s">
        <v>160</v>
      </c>
      <c r="X1014" s="4" t="str">
        <f>IF(Tabela2[[#This Row],[sigla]]="","",VLOOKUP(Tabela2[[#This Row],[sigla]],créditos_base!B:C,2,0))</f>
        <v>SERGIO LIMA/ARQUIVO DA EDITORA</v>
      </c>
      <c r="Y1014" s="23"/>
      <c r="Z1014" s="23" t="str">
        <f>Tabela2[[#This Row],[ilustrador]]</f>
        <v>SERGIO LIMA/ARQUIVO DA EDITORA</v>
      </c>
      <c r="AA1014" s="22"/>
      <c r="AB1014" s="20"/>
      <c r="AD1014" s="4" t="str">
        <f>"Pitanguá"</f>
        <v>Pitanguá</v>
      </c>
      <c r="AE1014" s="14" t="str">
        <f>"Matemática"</f>
        <v>Matemática</v>
      </c>
      <c r="AF1014" s="14"/>
    </row>
    <row r="1015" spans="1:32" ht="57.6" x14ac:dyDescent="0.3">
      <c r="A1015" s="23" t="s">
        <v>3963</v>
      </c>
      <c r="B1015" s="20" t="s">
        <v>16</v>
      </c>
      <c r="C1015" s="20" t="s">
        <v>89</v>
      </c>
      <c r="D1015" s="20" t="s">
        <v>8</v>
      </c>
      <c r="E1015" s="22">
        <v>103</v>
      </c>
      <c r="F1015" s="22">
        <v>5</v>
      </c>
      <c r="G1015" s="22">
        <v>4</v>
      </c>
      <c r="H1015" s="22"/>
      <c r="I1015" s="23" t="s">
        <v>33</v>
      </c>
      <c r="J1015" s="23"/>
      <c r="K1015" s="22"/>
      <c r="L1015" s="22"/>
      <c r="M1015" s="23"/>
      <c r="N1015" s="23"/>
      <c r="O1015" s="26" t="s">
        <v>3964</v>
      </c>
      <c r="P1015" s="26"/>
      <c r="Q1015" s="22">
        <v>202</v>
      </c>
      <c r="R1015" s="24">
        <v>45924</v>
      </c>
      <c r="S1015" s="24">
        <v>45924</v>
      </c>
      <c r="T1015" s="24"/>
      <c r="U1015" s="24"/>
      <c r="V1015" s="24">
        <v>45924</v>
      </c>
      <c r="W1015" s="22" t="s">
        <v>940</v>
      </c>
      <c r="X1015" s="4" t="str">
        <f>IF(Tabela2[[#This Row],[sigla]]="","",VLOOKUP(Tabela2[[#This Row],[sigla]],créditos_base!B:C,2,0))</f>
        <v>RONALDO LUCENA/ARQUIVO DA EDITORA</v>
      </c>
      <c r="Y1015" s="23" t="s">
        <v>696</v>
      </c>
      <c r="Z1015" s="23" t="str">
        <f>Tabela2[[#This Row],[ilustrador]]</f>
        <v>RONALDO LUCENA/ARQUIVO DA EDITORA</v>
      </c>
      <c r="AA1015" s="22">
        <v>13</v>
      </c>
      <c r="AB1015" s="20" t="s">
        <v>153</v>
      </c>
      <c r="AC1015" s="20" t="s">
        <v>36</v>
      </c>
      <c r="AD1015" s="4" t="str">
        <f>"Pitanguá"</f>
        <v>Pitanguá</v>
      </c>
      <c r="AE1015" s="14" t="str">
        <f>"Matemática"</f>
        <v>Matemática</v>
      </c>
      <c r="AF1015" s="14"/>
    </row>
    <row r="1016" spans="1:32" ht="28.8" x14ac:dyDescent="0.3">
      <c r="A1016" s="23" t="s">
        <v>1426</v>
      </c>
      <c r="B1016" s="20" t="s">
        <v>16</v>
      </c>
      <c r="C1016" s="20" t="s">
        <v>7</v>
      </c>
      <c r="D1016" s="20" t="s">
        <v>8</v>
      </c>
      <c r="E1016" s="22">
        <v>187</v>
      </c>
      <c r="F1016" s="22">
        <v>2</v>
      </c>
      <c r="G1016" s="22">
        <v>4</v>
      </c>
      <c r="H1016" s="22"/>
      <c r="I1016" s="23" t="s">
        <v>33</v>
      </c>
      <c r="J1016" s="23"/>
      <c r="K1016" s="22"/>
      <c r="L1016" s="22"/>
      <c r="M1016" s="23"/>
      <c r="N1016" s="23"/>
      <c r="O1016" s="26" t="s">
        <v>1427</v>
      </c>
      <c r="P1016" s="26"/>
      <c r="Q1016" s="22">
        <v>104</v>
      </c>
      <c r="R1016" s="24">
        <v>45847</v>
      </c>
      <c r="S1016" s="24">
        <v>45848</v>
      </c>
      <c r="T1016" s="24"/>
      <c r="U1016" s="24"/>
      <c r="V1016" s="24">
        <v>45848</v>
      </c>
      <c r="W1016" s="22" t="s">
        <v>468</v>
      </c>
      <c r="X1016" s="4" t="str">
        <f>IF(Tabela2[[#This Row],[sigla]]="","",VLOOKUP(Tabela2[[#This Row],[sigla]],créditos_base!B:C,2,0))</f>
        <v>VER DOCUMENTO DE ILS. TÉCNICAS</v>
      </c>
      <c r="Y1016" s="23" t="s">
        <v>243</v>
      </c>
      <c r="Z1016" s="23" t="s">
        <v>1428</v>
      </c>
      <c r="AA1016" s="22">
        <v>13</v>
      </c>
      <c r="AB1016" s="20" t="s">
        <v>1429</v>
      </c>
      <c r="AC1016" s="20" t="s">
        <v>36</v>
      </c>
      <c r="AD1016" s="4" t="str">
        <f>"Pitanguá"</f>
        <v>Pitanguá</v>
      </c>
      <c r="AE1016" s="14" t="str">
        <f>"Matemática"</f>
        <v>Matemática</v>
      </c>
      <c r="AF1016" s="14"/>
    </row>
    <row r="1017" spans="1:32" ht="28.8" x14ac:dyDescent="0.3">
      <c r="A1017" s="23" t="s">
        <v>3107</v>
      </c>
      <c r="B1017" s="20" t="s">
        <v>16</v>
      </c>
      <c r="C1017" s="20" t="s">
        <v>89</v>
      </c>
      <c r="D1017" s="20" t="s">
        <v>8</v>
      </c>
      <c r="E1017" s="22">
        <v>87</v>
      </c>
      <c r="F1017" s="22">
        <v>4</v>
      </c>
      <c r="G1017" s="22">
        <v>4</v>
      </c>
      <c r="H1017" s="22"/>
      <c r="I1017" s="23" t="s">
        <v>9</v>
      </c>
      <c r="J1017" s="23"/>
      <c r="K1017" s="22"/>
      <c r="L1017" s="22"/>
      <c r="M1017" s="23"/>
      <c r="N1017" s="23"/>
      <c r="O1017" s="26" t="s">
        <v>3108</v>
      </c>
      <c r="P1017" s="26"/>
      <c r="Q1017" s="22"/>
      <c r="R1017" s="24"/>
      <c r="S1017" s="24"/>
      <c r="T1017" s="24"/>
      <c r="U1017" s="24"/>
      <c r="V1017" s="24"/>
      <c r="W1017" s="22" t="s">
        <v>160</v>
      </c>
      <c r="X1017" s="4" t="str">
        <f>IF(Tabela2[[#This Row],[sigla]]="","",VLOOKUP(Tabela2[[#This Row],[sigla]],créditos_base!B:C,2,0))</f>
        <v>SERGIO LIMA/ARQUIVO DA EDITORA</v>
      </c>
      <c r="Y1017" s="23"/>
      <c r="Z1017" s="23" t="str">
        <f>Tabela2[[#This Row],[ilustrador]]</f>
        <v>SERGIO LIMA/ARQUIVO DA EDITORA</v>
      </c>
      <c r="AA1017" s="22"/>
      <c r="AB1017" s="20"/>
      <c r="AD1017" s="4" t="str">
        <f>"Pitanguá"</f>
        <v>Pitanguá</v>
      </c>
      <c r="AE1017" s="14" t="str">
        <f>"Matemática"</f>
        <v>Matemática</v>
      </c>
      <c r="AF1017" s="14"/>
    </row>
    <row r="1018" spans="1:32" ht="28.8" x14ac:dyDescent="0.3">
      <c r="A1018" s="23" t="s">
        <v>3965</v>
      </c>
      <c r="B1018" s="20" t="s">
        <v>16</v>
      </c>
      <c r="C1018" s="20" t="s">
        <v>89</v>
      </c>
      <c r="D1018" s="20" t="s">
        <v>8</v>
      </c>
      <c r="E1018" s="22">
        <v>103</v>
      </c>
      <c r="F1018" s="22">
        <v>5</v>
      </c>
      <c r="G1018" s="22">
        <v>4</v>
      </c>
      <c r="H1018" s="22"/>
      <c r="I1018" s="23" t="s">
        <v>33</v>
      </c>
      <c r="J1018" s="23"/>
      <c r="K1018" s="22"/>
      <c r="L1018" s="22"/>
      <c r="M1018" s="23"/>
      <c r="N1018" s="23"/>
      <c r="O1018" s="26" t="s">
        <v>3966</v>
      </c>
      <c r="P1018" s="26"/>
      <c r="Q1018" s="22">
        <v>202</v>
      </c>
      <c r="R1018" s="24">
        <v>45924</v>
      </c>
      <c r="S1018" s="24">
        <v>45924</v>
      </c>
      <c r="T1018" s="24"/>
      <c r="U1018" s="24"/>
      <c r="V1018" s="24">
        <v>45924</v>
      </c>
      <c r="W1018" s="22" t="s">
        <v>940</v>
      </c>
      <c r="X1018" s="4" t="str">
        <f>IF(Tabela2[[#This Row],[sigla]]="","",VLOOKUP(Tabela2[[#This Row],[sigla]],créditos_base!B:C,2,0))</f>
        <v>RONALDO LUCENA/ARQUIVO DA EDITORA</v>
      </c>
      <c r="Y1018" s="23" t="s">
        <v>696</v>
      </c>
      <c r="Z1018" s="23" t="str">
        <f>Tabela2[[#This Row],[ilustrador]]</f>
        <v>RONALDO LUCENA/ARQUIVO DA EDITORA</v>
      </c>
      <c r="AA1018" s="22">
        <v>13</v>
      </c>
      <c r="AB1018" s="20" t="s">
        <v>153</v>
      </c>
      <c r="AC1018" s="20" t="s">
        <v>36</v>
      </c>
      <c r="AD1018" s="4" t="str">
        <f>"Pitanguá"</f>
        <v>Pitanguá</v>
      </c>
      <c r="AE1018" s="14" t="str">
        <f>"Matemática"</f>
        <v>Matemática</v>
      </c>
      <c r="AF1018" s="14"/>
    </row>
    <row r="1019" spans="1:32" ht="28.8" x14ac:dyDescent="0.3">
      <c r="A1019" s="23" t="s">
        <v>1430</v>
      </c>
      <c r="B1019" s="20" t="s">
        <v>16</v>
      </c>
      <c r="C1019" s="20" t="s">
        <v>89</v>
      </c>
      <c r="D1019" s="20" t="s">
        <v>8</v>
      </c>
      <c r="E1019" s="22">
        <v>187</v>
      </c>
      <c r="F1019" s="22">
        <v>2</v>
      </c>
      <c r="G1019" s="22">
        <v>4</v>
      </c>
      <c r="H1019" s="22"/>
      <c r="I1019" s="23" t="s">
        <v>9</v>
      </c>
      <c r="J1019" s="23"/>
      <c r="K1019" s="22"/>
      <c r="L1019" s="22"/>
      <c r="M1019" s="23"/>
      <c r="N1019" s="23"/>
      <c r="O1019" s="26" t="s">
        <v>1431</v>
      </c>
      <c r="P1019" s="26"/>
      <c r="Q1019" s="22"/>
      <c r="R1019" s="24"/>
      <c r="S1019" s="24"/>
      <c r="T1019" s="24"/>
      <c r="U1019" s="24"/>
      <c r="V1019" s="24"/>
      <c r="W1019" s="22" t="s">
        <v>160</v>
      </c>
      <c r="X1019" s="4" t="str">
        <f>IF(Tabela2[[#This Row],[sigla]]="","",VLOOKUP(Tabela2[[#This Row],[sigla]],créditos_base!B:C,2,0))</f>
        <v>SERGIO LIMA/ARQUIVO DA EDITORA</v>
      </c>
      <c r="Y1019" s="23"/>
      <c r="Z1019" s="23" t="str">
        <f>Tabela2[[#This Row],[ilustrador]]</f>
        <v>SERGIO LIMA/ARQUIVO DA EDITORA</v>
      </c>
      <c r="AA1019" s="22"/>
      <c r="AB1019" s="20"/>
      <c r="AD1019" s="4" t="str">
        <f>"Pitanguá"</f>
        <v>Pitanguá</v>
      </c>
      <c r="AE1019" s="14" t="str">
        <f>"Matemática"</f>
        <v>Matemática</v>
      </c>
      <c r="AF1019" s="14"/>
    </row>
    <row r="1020" spans="1:32" ht="28.8" x14ac:dyDescent="0.3">
      <c r="A1020" s="23" t="s">
        <v>3109</v>
      </c>
      <c r="B1020" s="20" t="s">
        <v>16</v>
      </c>
      <c r="C1020" s="20" t="s">
        <v>89</v>
      </c>
      <c r="D1020" s="20" t="s">
        <v>8</v>
      </c>
      <c r="E1020" s="22">
        <v>87</v>
      </c>
      <c r="F1020" s="22">
        <v>4</v>
      </c>
      <c r="G1020" s="22">
        <v>4</v>
      </c>
      <c r="H1020" s="22"/>
      <c r="I1020" s="23" t="s">
        <v>9</v>
      </c>
      <c r="J1020" s="23"/>
      <c r="K1020" s="22"/>
      <c r="L1020" s="22"/>
      <c r="M1020" s="23"/>
      <c r="N1020" s="23"/>
      <c r="O1020" s="26" t="s">
        <v>3110</v>
      </c>
      <c r="P1020" s="26"/>
      <c r="Q1020" s="22"/>
      <c r="R1020" s="24"/>
      <c r="S1020" s="24"/>
      <c r="T1020" s="24"/>
      <c r="U1020" s="24"/>
      <c r="V1020" s="24"/>
      <c r="W1020" s="22" t="s">
        <v>160</v>
      </c>
      <c r="X1020" s="4" t="str">
        <f>IF(Tabela2[[#This Row],[sigla]]="","",VLOOKUP(Tabela2[[#This Row],[sigla]],créditos_base!B:C,2,0))</f>
        <v>SERGIO LIMA/ARQUIVO DA EDITORA</v>
      </c>
      <c r="Y1020" s="23"/>
      <c r="Z1020" s="23" t="str">
        <f>Tabela2[[#This Row],[ilustrador]]</f>
        <v>SERGIO LIMA/ARQUIVO DA EDITORA</v>
      </c>
      <c r="AA1020" s="22"/>
      <c r="AB1020" s="20"/>
      <c r="AD1020" s="4" t="str">
        <f>"Pitanguá"</f>
        <v>Pitanguá</v>
      </c>
      <c r="AE1020" s="14" t="str">
        <f>"Matemática"</f>
        <v>Matemática</v>
      </c>
      <c r="AF1020" s="14"/>
    </row>
    <row r="1021" spans="1:32" ht="28.8" x14ac:dyDescent="0.3">
      <c r="A1021" s="23" t="s">
        <v>3967</v>
      </c>
      <c r="B1021" s="20" t="s">
        <v>16</v>
      </c>
      <c r="C1021" s="20" t="s">
        <v>7</v>
      </c>
      <c r="D1021" s="20" t="s">
        <v>8</v>
      </c>
      <c r="E1021" s="22">
        <v>104</v>
      </c>
      <c r="F1021" s="22">
        <v>5</v>
      </c>
      <c r="G1021" s="22">
        <v>4</v>
      </c>
      <c r="H1021" s="22"/>
      <c r="I1021" s="23" t="s">
        <v>9</v>
      </c>
      <c r="J1021" s="23"/>
      <c r="K1021" s="22"/>
      <c r="L1021" s="22"/>
      <c r="M1021" s="23"/>
      <c r="N1021" s="23"/>
      <c r="O1021" s="26" t="s">
        <v>3968</v>
      </c>
      <c r="P1021" s="26"/>
      <c r="Q1021" s="22"/>
      <c r="R1021" s="24"/>
      <c r="S1021" s="24"/>
      <c r="T1021" s="24"/>
      <c r="U1021" s="24"/>
      <c r="V1021" s="24"/>
      <c r="W1021" s="22" t="s">
        <v>3189</v>
      </c>
      <c r="X1021" s="4" t="str">
        <f>IF(Tabela2[[#This Row],[sigla]]="","",VLOOKUP(Tabela2[[#This Row],[sigla]],créditos_base!B:C,2,0))</f>
        <v>ANDRÉ AGUIAR/ARQUIVO DA EDITORA</v>
      </c>
      <c r="Y1021" s="23"/>
      <c r="Z1021" s="23" t="str">
        <f>Tabela2[[#This Row],[ilustrador]]</f>
        <v>ANDRÉ AGUIAR/ARQUIVO DA EDITORA</v>
      </c>
      <c r="AA1021" s="22"/>
      <c r="AB1021" s="20"/>
      <c r="AD1021" s="4" t="str">
        <f>"Pitanguá"</f>
        <v>Pitanguá</v>
      </c>
      <c r="AE1021" s="14" t="str">
        <f>"Matemática"</f>
        <v>Matemática</v>
      </c>
      <c r="AF1021" s="14"/>
    </row>
    <row r="1022" spans="1:32" ht="28.8" x14ac:dyDescent="0.3">
      <c r="A1022" s="30" t="s">
        <v>1432</v>
      </c>
      <c r="B1022" s="20" t="s">
        <v>16</v>
      </c>
      <c r="C1022" s="20" t="s">
        <v>89</v>
      </c>
      <c r="D1022" s="20" t="s">
        <v>8</v>
      </c>
      <c r="E1022" s="22">
        <v>187</v>
      </c>
      <c r="F1022" s="22">
        <v>2</v>
      </c>
      <c r="G1022" s="22">
        <v>4</v>
      </c>
      <c r="H1022" s="22"/>
      <c r="I1022" s="23" t="s">
        <v>9</v>
      </c>
      <c r="J1022" s="23"/>
      <c r="K1022" s="22"/>
      <c r="L1022" s="22"/>
      <c r="M1022" s="23"/>
      <c r="N1022" s="23"/>
      <c r="O1022" s="26" t="s">
        <v>1433</v>
      </c>
      <c r="P1022" s="26"/>
      <c r="Q1022" s="22"/>
      <c r="R1022" s="24"/>
      <c r="S1022" s="24"/>
      <c r="T1022" s="24"/>
      <c r="U1022" s="24"/>
      <c r="V1022" s="24"/>
      <c r="W1022" s="22" t="s">
        <v>160</v>
      </c>
      <c r="X1022" s="4" t="str">
        <f>IF(Tabela2[[#This Row],[sigla]]="","",VLOOKUP(Tabela2[[#This Row],[sigla]],créditos_base!B:C,2,0))</f>
        <v>SERGIO LIMA/ARQUIVO DA EDITORA</v>
      </c>
      <c r="Y1022" s="23"/>
      <c r="Z1022" s="23" t="str">
        <f>Tabela2[[#This Row],[ilustrador]]</f>
        <v>SERGIO LIMA/ARQUIVO DA EDITORA</v>
      </c>
      <c r="AA1022" s="22"/>
      <c r="AB1022" s="20"/>
      <c r="AD1022" s="4" t="str">
        <f>"Pitanguá"</f>
        <v>Pitanguá</v>
      </c>
      <c r="AE1022" s="14" t="str">
        <f>"Matemática"</f>
        <v>Matemática</v>
      </c>
      <c r="AF1022" s="14"/>
    </row>
    <row r="1023" spans="1:32" ht="28.8" x14ac:dyDescent="0.3">
      <c r="A1023" s="23" t="s">
        <v>3111</v>
      </c>
      <c r="B1023" s="20" t="s">
        <v>16</v>
      </c>
      <c r="C1023" s="20" t="s">
        <v>7</v>
      </c>
      <c r="D1023" s="20" t="s">
        <v>8</v>
      </c>
      <c r="E1023" s="22">
        <v>88</v>
      </c>
      <c r="F1023" s="22">
        <v>4</v>
      </c>
      <c r="G1023" s="22">
        <v>4</v>
      </c>
      <c r="H1023" s="22"/>
      <c r="I1023" s="23" t="s">
        <v>9</v>
      </c>
      <c r="J1023" s="23"/>
      <c r="K1023" s="22"/>
      <c r="L1023" s="22"/>
      <c r="M1023" s="23"/>
      <c r="N1023" s="23"/>
      <c r="O1023" s="26" t="s">
        <v>3112</v>
      </c>
      <c r="P1023" s="26"/>
      <c r="Q1023" s="22"/>
      <c r="R1023" s="24"/>
      <c r="S1023" s="24"/>
      <c r="T1023" s="24"/>
      <c r="U1023" s="24"/>
      <c r="V1023" s="24"/>
      <c r="W1023" s="22" t="s">
        <v>12</v>
      </c>
      <c r="X1023" s="4" t="str">
        <f>IF(Tabela2[[#This Row],[sigla]]="","",VLOOKUP(Tabela2[[#This Row],[sigla]],créditos_base!B:C,2,0))</f>
        <v>JORGE ZAIBA/ARQUIVO DA EDITORA</v>
      </c>
      <c r="Y1023" s="23"/>
      <c r="Z1023" s="23" t="str">
        <f>Tabela2[[#This Row],[ilustrador]]</f>
        <v>JORGE ZAIBA/ARQUIVO DA EDITORA</v>
      </c>
      <c r="AA1023" s="22"/>
      <c r="AB1023" s="20"/>
      <c r="AD1023" s="4" t="str">
        <f>"Pitanguá"</f>
        <v>Pitanguá</v>
      </c>
      <c r="AE1023" s="14" t="str">
        <f>"Matemática"</f>
        <v>Matemática</v>
      </c>
      <c r="AF1023" s="14"/>
    </row>
    <row r="1024" spans="1:32" ht="28.8" x14ac:dyDescent="0.3">
      <c r="A1024" s="23" t="s">
        <v>3969</v>
      </c>
      <c r="B1024" s="20" t="s">
        <v>16</v>
      </c>
      <c r="C1024" s="20" t="s">
        <v>89</v>
      </c>
      <c r="D1024" s="20" t="s">
        <v>8</v>
      </c>
      <c r="E1024" s="22">
        <v>104</v>
      </c>
      <c r="F1024" s="22">
        <v>5</v>
      </c>
      <c r="G1024" s="22">
        <v>4</v>
      </c>
      <c r="H1024" s="22"/>
      <c r="I1024" s="23" t="s">
        <v>33</v>
      </c>
      <c r="J1024" s="23"/>
      <c r="K1024" s="22"/>
      <c r="L1024" s="22"/>
      <c r="M1024" s="23"/>
      <c r="N1024" s="23"/>
      <c r="O1024" s="26" t="s">
        <v>3970</v>
      </c>
      <c r="P1024" s="26"/>
      <c r="Q1024" s="22"/>
      <c r="R1024" s="24"/>
      <c r="S1024" s="24">
        <v>45811</v>
      </c>
      <c r="T1024" s="24"/>
      <c r="U1024" s="24"/>
      <c r="V1024" s="24">
        <v>45811</v>
      </c>
      <c r="W1024" s="22" t="s">
        <v>356</v>
      </c>
      <c r="X1024" s="4" t="str">
        <f>IF(Tabela2[[#This Row],[sigla]]="","",VLOOKUP(Tabela2[[#This Row],[sigla]],créditos_base!B:C,2,0))</f>
        <v>CAMILA CARMONA/ARQUIVO DA EDITORA</v>
      </c>
      <c r="Y1024" s="23" t="s">
        <v>1503</v>
      </c>
      <c r="Z1024" s="23" t="str">
        <f>Tabela2[[#This Row],[ilustrador]]</f>
        <v>CAMILA CARMONA/ARQUIVO DA EDITORA</v>
      </c>
      <c r="AA1024" s="22"/>
      <c r="AB1024" s="28" t="s">
        <v>41</v>
      </c>
      <c r="AC1024" s="20" t="s">
        <v>36</v>
      </c>
      <c r="AD1024" s="4" t="str">
        <f>"Pitanguá"</f>
        <v>Pitanguá</v>
      </c>
      <c r="AE1024" s="14" t="str">
        <f>"Matemática"</f>
        <v>Matemática</v>
      </c>
      <c r="AF1024" s="14"/>
    </row>
    <row r="1025" spans="1:32" ht="57.6" x14ac:dyDescent="0.3">
      <c r="A1025" s="23" t="s">
        <v>1434</v>
      </c>
      <c r="B1025" s="20" t="s">
        <v>16</v>
      </c>
      <c r="C1025" s="20" t="s">
        <v>89</v>
      </c>
      <c r="D1025" s="20" t="s">
        <v>8</v>
      </c>
      <c r="E1025" s="22">
        <v>187</v>
      </c>
      <c r="F1025" s="22">
        <v>2</v>
      </c>
      <c r="G1025" s="22">
        <v>4</v>
      </c>
      <c r="H1025" s="22"/>
      <c r="I1025" s="23" t="s">
        <v>9</v>
      </c>
      <c r="J1025" s="23"/>
      <c r="K1025" s="22"/>
      <c r="L1025" s="22"/>
      <c r="M1025" s="23"/>
      <c r="N1025" s="23"/>
      <c r="O1025" s="26" t="s">
        <v>1435</v>
      </c>
      <c r="P1025" s="26"/>
      <c r="Q1025" s="22"/>
      <c r="R1025" s="24"/>
      <c r="S1025" s="24"/>
      <c r="T1025" s="24"/>
      <c r="U1025" s="24"/>
      <c r="V1025" s="24"/>
      <c r="W1025" s="22" t="s">
        <v>160</v>
      </c>
      <c r="X1025" s="4" t="str">
        <f>IF(Tabela2[[#This Row],[sigla]]="","",VLOOKUP(Tabela2[[#This Row],[sigla]],créditos_base!B:C,2,0))</f>
        <v>SERGIO LIMA/ARQUIVO DA EDITORA</v>
      </c>
      <c r="Y1025" s="23"/>
      <c r="Z1025" s="23" t="str">
        <f>Tabela2[[#This Row],[ilustrador]]</f>
        <v>SERGIO LIMA/ARQUIVO DA EDITORA</v>
      </c>
      <c r="AA1025" s="22"/>
      <c r="AB1025" s="20"/>
      <c r="AD1025" s="4" t="str">
        <f>"Pitanguá"</f>
        <v>Pitanguá</v>
      </c>
      <c r="AE1025" s="14" t="str">
        <f>"Matemática"</f>
        <v>Matemática</v>
      </c>
      <c r="AF1025" s="14"/>
    </row>
    <row r="1026" spans="1:32" ht="187.2" x14ac:dyDescent="0.3">
      <c r="A1026" s="23" t="s">
        <v>3113</v>
      </c>
      <c r="B1026" s="20" t="s">
        <v>16</v>
      </c>
      <c r="C1026" s="20" t="s">
        <v>7</v>
      </c>
      <c r="D1026" s="20" t="s">
        <v>8</v>
      </c>
      <c r="E1026" s="22">
        <v>88</v>
      </c>
      <c r="F1026" s="22">
        <v>4</v>
      </c>
      <c r="G1026" s="22">
        <v>4</v>
      </c>
      <c r="H1026" s="22"/>
      <c r="I1026" s="23" t="s">
        <v>33</v>
      </c>
      <c r="J1026" s="23"/>
      <c r="K1026" s="22"/>
      <c r="L1026" s="22"/>
      <c r="M1026" s="23"/>
      <c r="N1026" s="23"/>
      <c r="O1026" s="26" t="s">
        <v>3114</v>
      </c>
      <c r="P1026" s="26"/>
      <c r="Q1026" s="22">
        <v>101</v>
      </c>
      <c r="R1026" s="24">
        <v>45846</v>
      </c>
      <c r="S1026" s="24">
        <v>45856</v>
      </c>
      <c r="T1026" s="24"/>
      <c r="U1026" s="24"/>
      <c r="V1026" s="24">
        <v>45856</v>
      </c>
      <c r="W1026" s="22" t="s">
        <v>12</v>
      </c>
      <c r="X1026" s="4" t="str">
        <f>IF(Tabela2[[#This Row],[sigla]]="","",VLOOKUP(Tabela2[[#This Row],[sigla]],créditos_base!B:C,2,0))</f>
        <v>JORGE ZAIBA/ARQUIVO DA EDITORA</v>
      </c>
      <c r="Y1026" s="23" t="s">
        <v>2951</v>
      </c>
      <c r="Z1026" s="23" t="str">
        <f>Tabela2[[#This Row],[ilustrador]]</f>
        <v>JORGE ZAIBA/ARQUIVO DA EDITORA</v>
      </c>
      <c r="AA1026" s="22">
        <v>14</v>
      </c>
      <c r="AB1026" s="20" t="s">
        <v>1500</v>
      </c>
      <c r="AC1026" s="20" t="s">
        <v>36</v>
      </c>
      <c r="AD1026" s="4" t="str">
        <f>"Pitanguá"</f>
        <v>Pitanguá</v>
      </c>
      <c r="AE1026" s="14" t="str">
        <f>"Matemática"</f>
        <v>Matemática</v>
      </c>
      <c r="AF1026" s="14"/>
    </row>
    <row r="1027" spans="1:32" ht="187.2" x14ac:dyDescent="0.3">
      <c r="A1027" s="23" t="s">
        <v>1436</v>
      </c>
      <c r="B1027" s="20" t="s">
        <v>16</v>
      </c>
      <c r="C1027" s="20" t="s">
        <v>89</v>
      </c>
      <c r="D1027" s="20" t="s">
        <v>8</v>
      </c>
      <c r="E1027" s="22">
        <v>187</v>
      </c>
      <c r="F1027" s="22">
        <v>2</v>
      </c>
      <c r="G1027" s="22">
        <v>4</v>
      </c>
      <c r="H1027" s="22"/>
      <c r="I1027" s="23" t="s">
        <v>9</v>
      </c>
      <c r="J1027" s="23"/>
      <c r="K1027" s="22"/>
      <c r="L1027" s="22"/>
      <c r="M1027" s="23"/>
      <c r="N1027" s="23"/>
      <c r="O1027" s="26" t="s">
        <v>1437</v>
      </c>
      <c r="P1027" s="26"/>
      <c r="Q1027" s="22"/>
      <c r="R1027" s="24"/>
      <c r="S1027" s="24"/>
      <c r="T1027" s="24"/>
      <c r="U1027" s="24"/>
      <c r="V1027" s="24"/>
      <c r="W1027" s="22" t="s">
        <v>160</v>
      </c>
      <c r="X1027" s="4" t="str">
        <f>IF(Tabela2[[#This Row],[sigla]]="","",VLOOKUP(Tabela2[[#This Row],[sigla]],créditos_base!B:C,2,0))</f>
        <v>SERGIO LIMA/ARQUIVO DA EDITORA</v>
      </c>
      <c r="Y1027" s="23"/>
      <c r="Z1027" s="23" t="str">
        <f>Tabela2[[#This Row],[ilustrador]]</f>
        <v>SERGIO LIMA/ARQUIVO DA EDITORA</v>
      </c>
      <c r="AA1027" s="22"/>
      <c r="AB1027" s="20"/>
      <c r="AD1027" s="4" t="str">
        <f>"Pitanguá"</f>
        <v>Pitanguá</v>
      </c>
      <c r="AE1027" s="14" t="str">
        <f>"Matemática"</f>
        <v>Matemática</v>
      </c>
      <c r="AF1027" s="14"/>
    </row>
    <row r="1028" spans="1:32" ht="187.2" x14ac:dyDescent="0.3">
      <c r="A1028" s="23" t="s">
        <v>3115</v>
      </c>
      <c r="B1028" s="20" t="s">
        <v>16</v>
      </c>
      <c r="C1028" s="20" t="s">
        <v>7</v>
      </c>
      <c r="D1028" s="20" t="s">
        <v>8</v>
      </c>
      <c r="E1028" s="22">
        <v>88</v>
      </c>
      <c r="F1028" s="22">
        <v>4</v>
      </c>
      <c r="G1028" s="22">
        <v>4</v>
      </c>
      <c r="H1028" s="22"/>
      <c r="I1028" s="23" t="s">
        <v>33</v>
      </c>
      <c r="J1028" s="23"/>
      <c r="K1028" s="22"/>
      <c r="L1028" s="22"/>
      <c r="M1028" s="23"/>
      <c r="N1028" s="23"/>
      <c r="O1028" s="26" t="s">
        <v>3116</v>
      </c>
      <c r="P1028" s="26"/>
      <c r="Q1028" s="22">
        <v>101</v>
      </c>
      <c r="R1028" s="24">
        <v>45846</v>
      </c>
      <c r="S1028" s="24">
        <v>45856</v>
      </c>
      <c r="T1028" s="24"/>
      <c r="U1028" s="24"/>
      <c r="V1028" s="24">
        <v>45856</v>
      </c>
      <c r="W1028" s="22" t="s">
        <v>12</v>
      </c>
      <c r="X1028" s="4" t="str">
        <f>IF(Tabela2[[#This Row],[sigla]]="","",VLOOKUP(Tabela2[[#This Row],[sigla]],créditos_base!B:C,2,0))</f>
        <v>JORGE ZAIBA/ARQUIVO DA EDITORA</v>
      </c>
      <c r="Y1028" s="23" t="s">
        <v>2951</v>
      </c>
      <c r="Z1028" s="23" t="str">
        <f>Tabela2[[#This Row],[ilustrador]]</f>
        <v>JORGE ZAIBA/ARQUIVO DA EDITORA</v>
      </c>
      <c r="AA1028" s="22">
        <v>14</v>
      </c>
      <c r="AB1028" s="20" t="s">
        <v>1500</v>
      </c>
      <c r="AC1028" s="20" t="s">
        <v>36</v>
      </c>
      <c r="AD1028" s="4" t="str">
        <f>"Pitanguá"</f>
        <v>Pitanguá</v>
      </c>
      <c r="AE1028" s="14" t="str">
        <f>"Matemática"</f>
        <v>Matemática</v>
      </c>
      <c r="AF1028" s="14"/>
    </row>
    <row r="1029" spans="1:32" ht="187.2" x14ac:dyDescent="0.3">
      <c r="A1029" s="23" t="s">
        <v>3971</v>
      </c>
      <c r="B1029" s="20" t="s">
        <v>16</v>
      </c>
      <c r="C1029" s="20" t="s">
        <v>89</v>
      </c>
      <c r="D1029" s="20" t="s">
        <v>8</v>
      </c>
      <c r="E1029" s="22">
        <v>107</v>
      </c>
      <c r="F1029" s="22">
        <v>5</v>
      </c>
      <c r="G1029" s="22">
        <v>4</v>
      </c>
      <c r="H1029" s="22"/>
      <c r="I1029" s="23" t="s">
        <v>33</v>
      </c>
      <c r="J1029" s="23"/>
      <c r="K1029" s="22"/>
      <c r="L1029" s="22"/>
      <c r="M1029" s="23"/>
      <c r="N1029" s="23"/>
      <c r="O1029" s="26" t="s">
        <v>3972</v>
      </c>
      <c r="P1029" s="26"/>
      <c r="Q1029" s="22">
        <v>136</v>
      </c>
      <c r="R1029" s="24">
        <v>45866</v>
      </c>
      <c r="S1029" s="24">
        <v>45814</v>
      </c>
      <c r="T1029" s="24"/>
      <c r="U1029" s="24"/>
      <c r="V1029" s="24">
        <v>45877</v>
      </c>
      <c r="W1029" s="22" t="s">
        <v>3189</v>
      </c>
      <c r="X1029" s="4" t="str">
        <f>IF(Tabela2[[#This Row],[sigla]]="","",VLOOKUP(Tabela2[[#This Row],[sigla]],créditos_base!B:C,2,0))</f>
        <v>ANDRÉ AGUIAR/ARQUIVO DA EDITORA</v>
      </c>
      <c r="Y1029" s="23" t="s">
        <v>243</v>
      </c>
      <c r="Z1029" s="23" t="str">
        <f>Tabela2[[#This Row],[ilustrador]]</f>
        <v>ANDRÉ AGUIAR/ARQUIVO DA EDITORA</v>
      </c>
      <c r="AA1029" s="22">
        <v>13</v>
      </c>
      <c r="AB1029" s="20" t="s">
        <v>244</v>
      </c>
      <c r="AC1029" s="20" t="s">
        <v>36</v>
      </c>
      <c r="AD1029" s="4" t="str">
        <f>"Pitanguá"</f>
        <v>Pitanguá</v>
      </c>
      <c r="AE1029" s="14" t="str">
        <f>"Matemática"</f>
        <v>Matemática</v>
      </c>
      <c r="AF1029" s="14"/>
    </row>
    <row r="1030" spans="1:32" ht="187.2" x14ac:dyDescent="0.3">
      <c r="A1030" s="23" t="s">
        <v>3117</v>
      </c>
      <c r="B1030" s="20" t="s">
        <v>16</v>
      </c>
      <c r="C1030" s="20" t="s">
        <v>89</v>
      </c>
      <c r="D1030" s="20" t="s">
        <v>8</v>
      </c>
      <c r="E1030" s="22">
        <v>88</v>
      </c>
      <c r="F1030" s="22">
        <v>4</v>
      </c>
      <c r="G1030" s="22">
        <v>4</v>
      </c>
      <c r="H1030" s="22"/>
      <c r="I1030" s="23" t="s">
        <v>9</v>
      </c>
      <c r="J1030" s="23"/>
      <c r="K1030" s="22"/>
      <c r="L1030" s="22"/>
      <c r="M1030" s="23"/>
      <c r="N1030" s="23"/>
      <c r="O1030" s="26" t="s">
        <v>3118</v>
      </c>
      <c r="P1030" s="26"/>
      <c r="Q1030" s="22"/>
      <c r="R1030" s="24"/>
      <c r="S1030" s="24"/>
      <c r="T1030" s="24"/>
      <c r="U1030" s="24"/>
      <c r="V1030" s="24"/>
      <c r="W1030" s="22" t="s">
        <v>160</v>
      </c>
      <c r="X1030" s="4" t="str">
        <f>IF(Tabela2[[#This Row],[sigla]]="","",VLOOKUP(Tabela2[[#This Row],[sigla]],créditos_base!B:C,2,0))</f>
        <v>SERGIO LIMA/ARQUIVO DA EDITORA</v>
      </c>
      <c r="Y1030" s="23"/>
      <c r="Z1030" s="23" t="str">
        <f>Tabela2[[#This Row],[ilustrador]]</f>
        <v>SERGIO LIMA/ARQUIVO DA EDITORA</v>
      </c>
      <c r="AA1030" s="22"/>
      <c r="AB1030" s="20"/>
      <c r="AD1030" s="4" t="str">
        <f>"Pitanguá"</f>
        <v>Pitanguá</v>
      </c>
      <c r="AE1030" s="14" t="str">
        <f>"Matemática"</f>
        <v>Matemática</v>
      </c>
      <c r="AF1030" s="14"/>
    </row>
    <row r="1031" spans="1:32" ht="57.6" x14ac:dyDescent="0.3">
      <c r="A1031" s="23" t="s">
        <v>3973</v>
      </c>
      <c r="B1031" s="20" t="s">
        <v>6</v>
      </c>
      <c r="C1031" s="20" t="s">
        <v>7</v>
      </c>
      <c r="D1031" s="20" t="s">
        <v>8</v>
      </c>
      <c r="E1031" s="22">
        <v>86</v>
      </c>
      <c r="F1031" s="22">
        <v>5</v>
      </c>
      <c r="G1031" s="22">
        <v>4</v>
      </c>
      <c r="H1031" s="22"/>
      <c r="I1031" s="23" t="s">
        <v>9</v>
      </c>
      <c r="J1031" s="23"/>
      <c r="K1031" s="22"/>
      <c r="L1031" s="22"/>
      <c r="M1031" s="23"/>
      <c r="N1031" s="23"/>
      <c r="O1031" s="26" t="s">
        <v>3974</v>
      </c>
      <c r="P1031" s="26"/>
      <c r="Q1031" s="22"/>
      <c r="R1031" s="24"/>
      <c r="S1031" s="24"/>
      <c r="T1031" s="24"/>
      <c r="U1031" s="24"/>
      <c r="V1031" s="24"/>
      <c r="W1031" s="22" t="s">
        <v>3189</v>
      </c>
      <c r="X1031" s="4" t="str">
        <f>IF(Tabela2[[#This Row],[sigla]]="","",VLOOKUP(Tabela2[[#This Row],[sigla]],créditos_base!B:C,2,0))</f>
        <v>ANDRÉ AGUIAR/ARQUIVO DA EDITORA</v>
      </c>
      <c r="Y1031" s="23"/>
      <c r="Z1031" s="23" t="str">
        <f>Tabela2[[#This Row],[ilustrador]]</f>
        <v>ANDRÉ AGUIAR/ARQUIVO DA EDITORA</v>
      </c>
      <c r="AA1031" s="22"/>
      <c r="AB1031" s="20"/>
      <c r="AD1031" s="4" t="str">
        <f>"Pitanguá"</f>
        <v>Pitanguá</v>
      </c>
      <c r="AE1031" s="14" t="str">
        <f>"Matemática"</f>
        <v>Matemática</v>
      </c>
      <c r="AF1031" s="14"/>
    </row>
    <row r="1032" spans="1:32" ht="115.2" x14ac:dyDescent="0.3">
      <c r="A1032" s="23" t="s">
        <v>3119</v>
      </c>
      <c r="B1032" s="20" t="s">
        <v>16</v>
      </c>
      <c r="C1032" s="20" t="s">
        <v>89</v>
      </c>
      <c r="D1032" s="20" t="s">
        <v>8</v>
      </c>
      <c r="E1032" s="22">
        <v>89</v>
      </c>
      <c r="F1032" s="22">
        <v>4</v>
      </c>
      <c r="G1032" s="22">
        <v>4</v>
      </c>
      <c r="H1032" s="22"/>
      <c r="I1032" s="23" t="s">
        <v>9</v>
      </c>
      <c r="J1032" s="23"/>
      <c r="K1032" s="22"/>
      <c r="L1032" s="22"/>
      <c r="M1032" s="23"/>
      <c r="N1032" s="23"/>
      <c r="O1032" s="26" t="s">
        <v>3120</v>
      </c>
      <c r="P1032" s="26"/>
      <c r="Q1032" s="22"/>
      <c r="R1032" s="24"/>
      <c r="S1032" s="24"/>
      <c r="T1032" s="24"/>
      <c r="U1032" s="24"/>
      <c r="V1032" s="24"/>
      <c r="W1032" s="22" t="s">
        <v>940</v>
      </c>
      <c r="X1032" s="4" t="str">
        <f>IF(Tabela2[[#This Row],[sigla]]="","",VLOOKUP(Tabela2[[#This Row],[sigla]],créditos_base!B:C,2,0))</f>
        <v>RONALDO LUCENA/ARQUIVO DA EDITORA</v>
      </c>
      <c r="Y1032" s="23"/>
      <c r="Z1032" s="23" t="str">
        <f>Tabela2[[#This Row],[ilustrador]]</f>
        <v>RONALDO LUCENA/ARQUIVO DA EDITORA</v>
      </c>
      <c r="AA1032" s="22"/>
      <c r="AB1032" s="20"/>
      <c r="AD1032" s="4" t="str">
        <f>"Pitanguá"</f>
        <v>Pitanguá</v>
      </c>
      <c r="AE1032" s="14" t="str">
        <f>"Matemática"</f>
        <v>Matemática</v>
      </c>
      <c r="AF1032" s="14"/>
    </row>
    <row r="1033" spans="1:32" ht="43.2" x14ac:dyDescent="0.3">
      <c r="A1033" s="23" t="s">
        <v>3121</v>
      </c>
      <c r="B1033" s="20" t="s">
        <v>16</v>
      </c>
      <c r="C1033" s="20" t="s">
        <v>89</v>
      </c>
      <c r="D1033" s="20" t="s">
        <v>8</v>
      </c>
      <c r="E1033" s="22">
        <v>89</v>
      </c>
      <c r="F1033" s="22">
        <v>4</v>
      </c>
      <c r="G1033" s="22">
        <v>4</v>
      </c>
      <c r="H1033" s="22"/>
      <c r="I1033" s="23" t="s">
        <v>9</v>
      </c>
      <c r="J1033" s="23"/>
      <c r="K1033" s="22"/>
      <c r="L1033" s="22"/>
      <c r="M1033" s="23"/>
      <c r="N1033" s="23"/>
      <c r="O1033" s="26" t="s">
        <v>3122</v>
      </c>
      <c r="P1033" s="26"/>
      <c r="Q1033" s="22"/>
      <c r="R1033" s="24"/>
      <c r="S1033" s="24"/>
      <c r="T1033" s="24"/>
      <c r="U1033" s="24"/>
      <c r="V1033" s="24"/>
      <c r="W1033" s="22" t="s">
        <v>160</v>
      </c>
      <c r="X1033" s="4" t="str">
        <f>IF(Tabela2[[#This Row],[sigla]]="","",VLOOKUP(Tabela2[[#This Row],[sigla]],créditos_base!B:C,2,0))</f>
        <v>SERGIO LIMA/ARQUIVO DA EDITORA</v>
      </c>
      <c r="Y1033" s="23"/>
      <c r="Z1033" s="23" t="str">
        <f>Tabela2[[#This Row],[ilustrador]]</f>
        <v>SERGIO LIMA/ARQUIVO DA EDITORA</v>
      </c>
      <c r="AA1033" s="22"/>
      <c r="AB1033" s="20"/>
      <c r="AD1033" s="4" t="str">
        <f>"Pitanguá"</f>
        <v>Pitanguá</v>
      </c>
      <c r="AE1033" s="14" t="str">
        <f>"Matemática"</f>
        <v>Matemática</v>
      </c>
      <c r="AF1033" s="14"/>
    </row>
    <row r="1034" spans="1:32" ht="43.2" x14ac:dyDescent="0.3">
      <c r="A1034" s="23" t="s">
        <v>3975</v>
      </c>
      <c r="B1034" s="20" t="s">
        <v>16</v>
      </c>
      <c r="C1034" s="20" t="s">
        <v>89</v>
      </c>
      <c r="D1034" s="20" t="s">
        <v>8</v>
      </c>
      <c r="E1034" s="22">
        <v>108</v>
      </c>
      <c r="F1034" s="22">
        <v>5</v>
      </c>
      <c r="G1034" s="22">
        <v>4</v>
      </c>
      <c r="H1034" s="22"/>
      <c r="I1034" s="23" t="s">
        <v>33</v>
      </c>
      <c r="J1034" s="23"/>
      <c r="K1034" s="22"/>
      <c r="L1034" s="22"/>
      <c r="M1034" s="23"/>
      <c r="N1034" s="23"/>
      <c r="O1034" s="26" t="s">
        <v>3976</v>
      </c>
      <c r="P1034" s="26"/>
      <c r="Q1034" s="22">
        <v>202</v>
      </c>
      <c r="R1034" s="24">
        <v>45924</v>
      </c>
      <c r="S1034" s="24">
        <v>45924</v>
      </c>
      <c r="T1034" s="24"/>
      <c r="U1034" s="24"/>
      <c r="V1034" s="24">
        <v>45924</v>
      </c>
      <c r="W1034" s="22" t="s">
        <v>940</v>
      </c>
      <c r="X1034" s="4" t="str">
        <f>IF(Tabela2[[#This Row],[sigla]]="","",VLOOKUP(Tabela2[[#This Row],[sigla]],créditos_base!B:C,2,0))</f>
        <v>RONALDO LUCENA/ARQUIVO DA EDITORA</v>
      </c>
      <c r="Y1034" s="23" t="s">
        <v>696</v>
      </c>
      <c r="Z1034" s="23" t="str">
        <f>Tabela2[[#This Row],[ilustrador]]</f>
        <v>RONALDO LUCENA/ARQUIVO DA EDITORA</v>
      </c>
      <c r="AA1034" s="22">
        <v>13</v>
      </c>
      <c r="AB1034" s="20" t="s">
        <v>153</v>
      </c>
      <c r="AC1034" s="20" t="s">
        <v>36</v>
      </c>
      <c r="AD1034" s="4" t="str">
        <f>"Pitanguá"</f>
        <v>Pitanguá</v>
      </c>
      <c r="AE1034" s="14" t="str">
        <f>"Matemática"</f>
        <v>Matemática</v>
      </c>
      <c r="AF1034" s="14"/>
    </row>
    <row r="1035" spans="1:32" ht="115.2" x14ac:dyDescent="0.3">
      <c r="A1035" s="23" t="s">
        <v>1438</v>
      </c>
      <c r="B1035" s="20" t="s">
        <v>6</v>
      </c>
      <c r="C1035" s="20" t="s">
        <v>7</v>
      </c>
      <c r="D1035" s="20" t="s">
        <v>8</v>
      </c>
      <c r="E1035" s="22">
        <v>188</v>
      </c>
      <c r="F1035" s="22">
        <v>2</v>
      </c>
      <c r="G1035" s="22">
        <v>4</v>
      </c>
      <c r="H1035" s="22"/>
      <c r="I1035" s="23" t="s">
        <v>9</v>
      </c>
      <c r="J1035" s="23"/>
      <c r="K1035" s="22"/>
      <c r="L1035" s="22"/>
      <c r="M1035" s="23"/>
      <c r="N1035" s="23"/>
      <c r="O1035" s="26" t="s">
        <v>1439</v>
      </c>
      <c r="P1035" s="26" t="s">
        <v>11</v>
      </c>
      <c r="Q1035" s="22"/>
      <c r="R1035" s="24"/>
      <c r="S1035" s="24"/>
      <c r="T1035" s="24"/>
      <c r="U1035" s="24"/>
      <c r="V1035" s="24"/>
      <c r="W1035" s="22" t="s">
        <v>546</v>
      </c>
      <c r="X1035" s="4" t="str">
        <f>IF(Tabela2[[#This Row],[sigla]]="","",VLOOKUP(Tabela2[[#This Row],[sigla]],créditos_base!B:C,2,0))</f>
        <v>GUILHERME ARANEGA/ARQUIVO DA EDITORA</v>
      </c>
      <c r="Y1035" s="23"/>
      <c r="Z1035" s="23" t="str">
        <f>Tabela2[[#This Row],[ilustrador]]</f>
        <v>GUILHERME ARANEGA/ARQUIVO DA EDITORA</v>
      </c>
      <c r="AA1035" s="22"/>
      <c r="AB1035" s="20"/>
      <c r="AD1035" s="4" t="str">
        <f>"Pitanguá"</f>
        <v>Pitanguá</v>
      </c>
      <c r="AE1035" s="14" t="str">
        <f>"Matemática"</f>
        <v>Matemática</v>
      </c>
      <c r="AF1035" s="14"/>
    </row>
    <row r="1036" spans="1:32" ht="28.8" x14ac:dyDescent="0.3">
      <c r="A1036" s="23" t="s">
        <v>3123</v>
      </c>
      <c r="B1036" s="20" t="s">
        <v>16</v>
      </c>
      <c r="C1036" s="20" t="s">
        <v>89</v>
      </c>
      <c r="D1036" s="20" t="s">
        <v>8</v>
      </c>
      <c r="E1036" s="22">
        <v>89</v>
      </c>
      <c r="F1036" s="22">
        <v>4</v>
      </c>
      <c r="G1036" s="22">
        <v>4</v>
      </c>
      <c r="H1036" s="22"/>
      <c r="I1036" s="23" t="s">
        <v>9</v>
      </c>
      <c r="J1036" s="23"/>
      <c r="K1036" s="22"/>
      <c r="L1036" s="22"/>
      <c r="M1036" s="23"/>
      <c r="N1036" s="23"/>
      <c r="O1036" s="26" t="s">
        <v>3124</v>
      </c>
      <c r="P1036" s="26"/>
      <c r="Q1036" s="22"/>
      <c r="R1036" s="24"/>
      <c r="S1036" s="24"/>
      <c r="T1036" s="24"/>
      <c r="U1036" s="24"/>
      <c r="V1036" s="24"/>
      <c r="W1036" s="22" t="s">
        <v>160</v>
      </c>
      <c r="X1036" s="4" t="str">
        <f>IF(Tabela2[[#This Row],[sigla]]="","",VLOOKUP(Tabela2[[#This Row],[sigla]],créditos_base!B:C,2,0))</f>
        <v>SERGIO LIMA/ARQUIVO DA EDITORA</v>
      </c>
      <c r="Y1036" s="23"/>
      <c r="Z1036" s="23" t="str">
        <f>Tabela2[[#This Row],[ilustrador]]</f>
        <v>SERGIO LIMA/ARQUIVO DA EDITORA</v>
      </c>
      <c r="AA1036" s="22"/>
      <c r="AB1036" s="20"/>
      <c r="AD1036" s="4" t="str">
        <f>"Pitanguá"</f>
        <v>Pitanguá</v>
      </c>
      <c r="AE1036" s="14" t="str">
        <f>"Matemática"</f>
        <v>Matemática</v>
      </c>
      <c r="AF1036" s="14"/>
    </row>
    <row r="1037" spans="1:32" x14ac:dyDescent="0.3">
      <c r="A1037" s="23" t="s">
        <v>3977</v>
      </c>
      <c r="B1037" s="20" t="s">
        <v>16</v>
      </c>
      <c r="C1037" s="20" t="s">
        <v>89</v>
      </c>
      <c r="D1037" s="20" t="s">
        <v>8</v>
      </c>
      <c r="E1037" s="22">
        <v>109</v>
      </c>
      <c r="F1037" s="22">
        <v>5</v>
      </c>
      <c r="G1037" s="22">
        <v>4</v>
      </c>
      <c r="H1037" s="22"/>
      <c r="I1037" s="23" t="s">
        <v>9</v>
      </c>
      <c r="J1037" s="23"/>
      <c r="K1037" s="22"/>
      <c r="L1037" s="22"/>
      <c r="M1037" s="23"/>
      <c r="N1037" s="23"/>
      <c r="O1037" s="26" t="s">
        <v>3978</v>
      </c>
      <c r="P1037" s="26"/>
      <c r="Q1037" s="22"/>
      <c r="R1037" s="24"/>
      <c r="S1037" s="24"/>
      <c r="T1037" s="24"/>
      <c r="U1037" s="24"/>
      <c r="V1037" s="24"/>
      <c r="W1037" s="22" t="s">
        <v>940</v>
      </c>
      <c r="X1037" s="4" t="str">
        <f>IF(Tabela2[[#This Row],[sigla]]="","",VLOOKUP(Tabela2[[#This Row],[sigla]],créditos_base!B:C,2,0))</f>
        <v>RONALDO LUCENA/ARQUIVO DA EDITORA</v>
      </c>
      <c r="Y1037" s="23"/>
      <c r="Z1037" s="23" t="str">
        <f>Tabela2[[#This Row],[ilustrador]]</f>
        <v>RONALDO LUCENA/ARQUIVO DA EDITORA</v>
      </c>
      <c r="AA1037" s="22"/>
      <c r="AB1037" s="20"/>
      <c r="AD1037" s="4" t="str">
        <f>"Pitanguá"</f>
        <v>Pitanguá</v>
      </c>
      <c r="AE1037" s="14" t="str">
        <f>"Matemática"</f>
        <v>Matemática</v>
      </c>
      <c r="AF1037" s="14"/>
    </row>
    <row r="1038" spans="1:32" x14ac:dyDescent="0.3">
      <c r="A1038" s="23" t="s">
        <v>1440</v>
      </c>
      <c r="B1038" s="20" t="s">
        <v>16</v>
      </c>
      <c r="C1038" s="20" t="s">
        <v>7</v>
      </c>
      <c r="D1038" s="20" t="s">
        <v>8</v>
      </c>
      <c r="E1038" s="22">
        <v>189</v>
      </c>
      <c r="F1038" s="22">
        <v>2</v>
      </c>
      <c r="G1038" s="22">
        <v>4</v>
      </c>
      <c r="H1038" s="22"/>
      <c r="I1038" s="23" t="s">
        <v>33</v>
      </c>
      <c r="J1038" s="23"/>
      <c r="K1038" s="22"/>
      <c r="L1038" s="22"/>
      <c r="M1038" s="23"/>
      <c r="N1038" s="23"/>
      <c r="O1038" s="26" t="s">
        <v>1441</v>
      </c>
      <c r="P1038" s="26"/>
      <c r="Q1038" s="22">
        <v>104</v>
      </c>
      <c r="R1038" s="24">
        <v>45847</v>
      </c>
      <c r="S1038" s="24">
        <v>45848</v>
      </c>
      <c r="T1038" s="24"/>
      <c r="U1038" s="24"/>
      <c r="V1038" s="24">
        <v>45848</v>
      </c>
      <c r="W1038" s="22" t="s">
        <v>546</v>
      </c>
      <c r="X1038" s="4" t="str">
        <f>IF(Tabela2[[#This Row],[sigla]]="","",VLOOKUP(Tabela2[[#This Row],[sigla]],créditos_base!B:C,2,0))</f>
        <v>GUILHERME ARANEGA/ARQUIVO DA EDITORA</v>
      </c>
      <c r="Y1038" s="23" t="s">
        <v>243</v>
      </c>
      <c r="Z1038" s="23" t="str">
        <f>Tabela2[[#This Row],[ilustrador]]</f>
        <v>GUILHERME ARANEGA/ARQUIVO DA EDITORA</v>
      </c>
      <c r="AA1038" s="22">
        <v>13</v>
      </c>
      <c r="AB1038" s="20" t="s">
        <v>244</v>
      </c>
      <c r="AC1038" s="20" t="s">
        <v>36</v>
      </c>
      <c r="AD1038" s="4" t="str">
        <f>"Pitanguá"</f>
        <v>Pitanguá</v>
      </c>
      <c r="AE1038" s="14" t="str">
        <f>"Matemática"</f>
        <v>Matemática</v>
      </c>
      <c r="AF1038" s="14"/>
    </row>
    <row r="1039" spans="1:32" x14ac:dyDescent="0.3">
      <c r="A1039" s="23" t="s">
        <v>3125</v>
      </c>
      <c r="B1039" s="20" t="s">
        <v>16</v>
      </c>
      <c r="C1039" s="20" t="s">
        <v>89</v>
      </c>
      <c r="D1039" s="20" t="s">
        <v>8</v>
      </c>
      <c r="E1039" s="22">
        <v>89</v>
      </c>
      <c r="F1039" s="22">
        <v>4</v>
      </c>
      <c r="G1039" s="22">
        <v>4</v>
      </c>
      <c r="H1039" s="22"/>
      <c r="I1039" s="23" t="s">
        <v>9</v>
      </c>
      <c r="J1039" s="23"/>
      <c r="K1039" s="22"/>
      <c r="L1039" s="22"/>
      <c r="M1039" s="23"/>
      <c r="N1039" s="23"/>
      <c r="O1039" s="26" t="s">
        <v>3126</v>
      </c>
      <c r="P1039" s="26"/>
      <c r="Q1039" s="22"/>
      <c r="R1039" s="24"/>
      <c r="S1039" s="24"/>
      <c r="T1039" s="24"/>
      <c r="U1039" s="24"/>
      <c r="V1039" s="24"/>
      <c r="W1039" s="22" t="s">
        <v>160</v>
      </c>
      <c r="X1039" s="4" t="str">
        <f>IF(Tabela2[[#This Row],[sigla]]="","",VLOOKUP(Tabela2[[#This Row],[sigla]],créditos_base!B:C,2,0))</f>
        <v>SERGIO LIMA/ARQUIVO DA EDITORA</v>
      </c>
      <c r="Y1039" s="23"/>
      <c r="Z1039" s="23" t="str">
        <f>Tabela2[[#This Row],[ilustrador]]</f>
        <v>SERGIO LIMA/ARQUIVO DA EDITORA</v>
      </c>
      <c r="AA1039" s="22"/>
      <c r="AB1039" s="20"/>
      <c r="AD1039" s="4" t="str">
        <f>"Pitanguá"</f>
        <v>Pitanguá</v>
      </c>
      <c r="AE1039" s="14" t="str">
        <f>"Matemática"</f>
        <v>Matemática</v>
      </c>
      <c r="AF1039" s="14"/>
    </row>
    <row r="1040" spans="1:32" ht="28.8" x14ac:dyDescent="0.3">
      <c r="A1040" s="23" t="s">
        <v>3979</v>
      </c>
      <c r="B1040" s="20" t="s">
        <v>16</v>
      </c>
      <c r="C1040" s="20" t="s">
        <v>89</v>
      </c>
      <c r="D1040" s="20" t="s">
        <v>8</v>
      </c>
      <c r="E1040" s="22">
        <v>109</v>
      </c>
      <c r="F1040" s="22">
        <v>5</v>
      </c>
      <c r="G1040" s="22">
        <v>4</v>
      </c>
      <c r="H1040" s="22"/>
      <c r="I1040" s="23" t="s">
        <v>9</v>
      </c>
      <c r="J1040" s="23"/>
      <c r="K1040" s="22"/>
      <c r="L1040" s="22"/>
      <c r="M1040" s="23"/>
      <c r="N1040" s="23"/>
      <c r="O1040" s="26" t="s">
        <v>3980</v>
      </c>
      <c r="P1040" s="26"/>
      <c r="Q1040" s="22"/>
      <c r="R1040" s="24"/>
      <c r="S1040" s="24"/>
      <c r="T1040" s="24"/>
      <c r="U1040" s="24"/>
      <c r="V1040" s="24"/>
      <c r="W1040" s="22" t="s">
        <v>940</v>
      </c>
      <c r="X1040" s="4" t="str">
        <f>IF(Tabela2[[#This Row],[sigla]]="","",VLOOKUP(Tabela2[[#This Row],[sigla]],créditos_base!B:C,2,0))</f>
        <v>RONALDO LUCENA/ARQUIVO DA EDITORA</v>
      </c>
      <c r="Y1040" s="23"/>
      <c r="Z1040" s="23" t="str">
        <f>Tabela2[[#This Row],[ilustrador]]</f>
        <v>RONALDO LUCENA/ARQUIVO DA EDITORA</v>
      </c>
      <c r="AA1040" s="22"/>
      <c r="AB1040" s="20"/>
      <c r="AD1040" s="4" t="str">
        <f>"Pitanguá"</f>
        <v>Pitanguá</v>
      </c>
      <c r="AE1040" s="14" t="str">
        <f>"Matemática"</f>
        <v>Matemática</v>
      </c>
      <c r="AF1040" s="14"/>
    </row>
    <row r="1041" spans="1:32" x14ac:dyDescent="0.3">
      <c r="A1041" s="23" t="s">
        <v>1390</v>
      </c>
      <c r="B1041" s="20" t="s">
        <v>16</v>
      </c>
      <c r="C1041" s="20" t="s">
        <v>7</v>
      </c>
      <c r="D1041" s="20" t="s">
        <v>8</v>
      </c>
      <c r="E1041" s="22" t="s">
        <v>1391</v>
      </c>
      <c r="F1041" s="22">
        <v>2</v>
      </c>
      <c r="G1041" s="22">
        <v>4</v>
      </c>
      <c r="H1041" s="22"/>
      <c r="I1041" s="23" t="s">
        <v>9</v>
      </c>
      <c r="J1041" s="23"/>
      <c r="K1041" s="22"/>
      <c r="L1041" s="22"/>
      <c r="M1041" s="23"/>
      <c r="N1041" s="23"/>
      <c r="O1041" s="26" t="s">
        <v>1392</v>
      </c>
      <c r="P1041" s="26"/>
      <c r="Q1041" s="22"/>
      <c r="R1041" s="24"/>
      <c r="S1041" s="24"/>
      <c r="T1041" s="24"/>
      <c r="U1041" s="24"/>
      <c r="V1041" s="24"/>
      <c r="W1041" s="22" t="s">
        <v>20</v>
      </c>
      <c r="X1041" s="4" t="str">
        <f>IF(Tabela2[[#This Row],[sigla]]="","",VLOOKUP(Tabela2[[#This Row],[sigla]],créditos_base!B:C,2,0))</f>
        <v>SONIA HORN/ARQUIVO DA EDITORA</v>
      </c>
      <c r="Y1041" s="23"/>
      <c r="Z1041" s="23" t="str">
        <f>Tabela2[[#This Row],[ilustrador]]</f>
        <v>SONIA HORN/ARQUIVO DA EDITORA</v>
      </c>
      <c r="AA1041" s="22"/>
      <c r="AB1041" s="20"/>
      <c r="AD1041" s="4" t="str">
        <f>"Pitanguá"</f>
        <v>Pitanguá</v>
      </c>
      <c r="AE1041" s="14" t="str">
        <f>"Matemática"</f>
        <v>Matemática</v>
      </c>
      <c r="AF1041" s="14"/>
    </row>
    <row r="1042" spans="1:32" ht="43.2" x14ac:dyDescent="0.3">
      <c r="A1042" s="23" t="s">
        <v>3127</v>
      </c>
      <c r="B1042" s="20" t="s">
        <v>16</v>
      </c>
      <c r="C1042" s="20" t="s">
        <v>89</v>
      </c>
      <c r="D1042" s="20" t="s">
        <v>8</v>
      </c>
      <c r="E1042" s="22">
        <v>89</v>
      </c>
      <c r="F1042" s="22">
        <v>4</v>
      </c>
      <c r="G1042" s="22">
        <v>4</v>
      </c>
      <c r="H1042" s="22"/>
      <c r="I1042" s="23" t="s">
        <v>33</v>
      </c>
      <c r="J1042" s="23"/>
      <c r="K1042" s="22"/>
      <c r="L1042" s="22"/>
      <c r="M1042" s="23"/>
      <c r="N1042" s="23"/>
      <c r="O1042" s="26" t="s">
        <v>3128</v>
      </c>
      <c r="P1042" s="26"/>
      <c r="Q1042" s="22"/>
      <c r="R1042" s="24"/>
      <c r="S1042" s="24">
        <v>45856</v>
      </c>
      <c r="T1042" s="24"/>
      <c r="U1042" s="24"/>
      <c r="V1042" s="24">
        <v>45856</v>
      </c>
      <c r="W1042" s="22" t="s">
        <v>160</v>
      </c>
      <c r="X1042" s="4" t="str">
        <f>IF(Tabela2[[#This Row],[sigla]]="","",VLOOKUP(Tabela2[[#This Row],[sigla]],créditos_base!B:C,2,0))</f>
        <v>SERGIO LIMA/ARQUIVO DA EDITORA</v>
      </c>
      <c r="Y1042" s="23" t="s">
        <v>2951</v>
      </c>
      <c r="Z1042" s="23" t="str">
        <f>Tabela2[[#This Row],[ilustrador]]</f>
        <v>SERGIO LIMA/ARQUIVO DA EDITORA</v>
      </c>
      <c r="AA1042" s="22">
        <v>14</v>
      </c>
      <c r="AB1042" s="20" t="s">
        <v>1500</v>
      </c>
      <c r="AC1042" s="20" t="s">
        <v>36</v>
      </c>
      <c r="AD1042" s="4" t="str">
        <f>"Pitanguá"</f>
        <v>Pitanguá</v>
      </c>
      <c r="AE1042" s="14" t="str">
        <f>"Matemática"</f>
        <v>Matemática</v>
      </c>
      <c r="AF1042" s="14"/>
    </row>
    <row r="1043" spans="1:32" ht="28.8" x14ac:dyDescent="0.3">
      <c r="A1043" s="23" t="s">
        <v>3981</v>
      </c>
      <c r="B1043" s="20" t="s">
        <v>16</v>
      </c>
      <c r="C1043" s="20" t="s">
        <v>89</v>
      </c>
      <c r="D1043" s="20" t="s">
        <v>8</v>
      </c>
      <c r="E1043" s="22">
        <v>109</v>
      </c>
      <c r="F1043" s="22">
        <v>5</v>
      </c>
      <c r="G1043" s="22">
        <v>4</v>
      </c>
      <c r="H1043" s="22"/>
      <c r="I1043" s="23" t="s">
        <v>9</v>
      </c>
      <c r="J1043" s="23"/>
      <c r="K1043" s="22"/>
      <c r="L1043" s="22"/>
      <c r="M1043" s="23"/>
      <c r="N1043" s="23"/>
      <c r="O1043" s="26" t="s">
        <v>3982</v>
      </c>
      <c r="P1043" s="26"/>
      <c r="Q1043" s="22"/>
      <c r="R1043" s="24"/>
      <c r="S1043" s="24"/>
      <c r="T1043" s="24"/>
      <c r="U1043" s="24"/>
      <c r="V1043" s="24"/>
      <c r="W1043" s="22" t="s">
        <v>940</v>
      </c>
      <c r="X1043" s="4" t="str">
        <f>IF(Tabela2[[#This Row],[sigla]]="","",VLOOKUP(Tabela2[[#This Row],[sigla]],créditos_base!B:C,2,0))</f>
        <v>RONALDO LUCENA/ARQUIVO DA EDITORA</v>
      </c>
      <c r="Y1043" s="23"/>
      <c r="Z1043" s="23" t="str">
        <f>Tabela2[[#This Row],[ilustrador]]</f>
        <v>RONALDO LUCENA/ARQUIVO DA EDITORA</v>
      </c>
      <c r="AA1043" s="22"/>
      <c r="AB1043" s="20"/>
      <c r="AD1043" s="4" t="str">
        <f>"Pitanguá"</f>
        <v>Pitanguá</v>
      </c>
      <c r="AE1043" s="14" t="str">
        <f>"Matemática"</f>
        <v>Matemática</v>
      </c>
      <c r="AF1043" s="14"/>
    </row>
    <row r="1044" spans="1:32" ht="28.8" x14ac:dyDescent="0.3">
      <c r="A1044" s="23" t="s">
        <v>3129</v>
      </c>
      <c r="B1044" s="20" t="s">
        <v>16</v>
      </c>
      <c r="C1044" s="20" t="s">
        <v>7</v>
      </c>
      <c r="D1044" s="20" t="s">
        <v>8</v>
      </c>
      <c r="E1044" s="22">
        <v>90</v>
      </c>
      <c r="F1044" s="22">
        <v>4</v>
      </c>
      <c r="G1044" s="22">
        <v>4</v>
      </c>
      <c r="H1044" s="22"/>
      <c r="I1044" s="23" t="s">
        <v>9</v>
      </c>
      <c r="J1044" s="23"/>
      <c r="K1044" s="22"/>
      <c r="L1044" s="22"/>
      <c r="M1044" s="23"/>
      <c r="N1044" s="23"/>
      <c r="O1044" s="26" t="s">
        <v>3130</v>
      </c>
      <c r="P1044" s="26"/>
      <c r="Q1044" s="22"/>
      <c r="R1044" s="24"/>
      <c r="S1044" s="24"/>
      <c r="T1044" s="24"/>
      <c r="U1044" s="24"/>
      <c r="V1044" s="24"/>
      <c r="W1044" s="22" t="s">
        <v>31</v>
      </c>
      <c r="X1044" s="4" t="str">
        <f>IF(Tabela2[[#This Row],[sigla]]="","",VLOOKUP(Tabela2[[#This Row],[sigla]],créditos_base!B:C,2,0))</f>
        <v>SILVIA OTOFUJI/ARQUIVO DA EDITORA</v>
      </c>
      <c r="Y1044" s="23"/>
      <c r="Z1044" s="23" t="str">
        <f>Tabela2[[#This Row],[ilustrador]]</f>
        <v>SILVIA OTOFUJI/ARQUIVO DA EDITORA</v>
      </c>
      <c r="AA1044" s="22"/>
      <c r="AB1044" s="20"/>
      <c r="AD1044" s="4" t="str">
        <f>"Pitanguá"</f>
        <v>Pitanguá</v>
      </c>
      <c r="AE1044" s="14" t="str">
        <f>"Matemática"</f>
        <v>Matemática</v>
      </c>
      <c r="AF1044" s="14"/>
    </row>
    <row r="1045" spans="1:32" x14ac:dyDescent="0.3">
      <c r="A1045" s="23" t="s">
        <v>3983</v>
      </c>
      <c r="B1045" s="20" t="s">
        <v>16</v>
      </c>
      <c r="C1045" s="20" t="s">
        <v>89</v>
      </c>
      <c r="D1045" s="20" t="s">
        <v>8</v>
      </c>
      <c r="E1045" s="22">
        <v>109</v>
      </c>
      <c r="F1045" s="22">
        <v>5</v>
      </c>
      <c r="G1045" s="22">
        <v>4</v>
      </c>
      <c r="H1045" s="22"/>
      <c r="I1045" s="23" t="s">
        <v>9</v>
      </c>
      <c r="J1045" s="23"/>
      <c r="K1045" s="22"/>
      <c r="L1045" s="22"/>
      <c r="M1045" s="23"/>
      <c r="N1045" s="23"/>
      <c r="O1045" s="26" t="s">
        <v>3984</v>
      </c>
      <c r="P1045" s="26"/>
      <c r="Q1045" s="22"/>
      <c r="R1045" s="24"/>
      <c r="S1045" s="24"/>
      <c r="T1045" s="24"/>
      <c r="U1045" s="24"/>
      <c r="V1045" s="24"/>
      <c r="W1045" s="22" t="s">
        <v>940</v>
      </c>
      <c r="X1045" s="4" t="str">
        <f>IF(Tabela2[[#This Row],[sigla]]="","",VLOOKUP(Tabela2[[#This Row],[sigla]],créditos_base!B:C,2,0))</f>
        <v>RONALDO LUCENA/ARQUIVO DA EDITORA</v>
      </c>
      <c r="Y1045" s="23"/>
      <c r="Z1045" s="23" t="str">
        <f>Tabela2[[#This Row],[ilustrador]]</f>
        <v>RONALDO LUCENA/ARQUIVO DA EDITORA</v>
      </c>
      <c r="AA1045" s="22"/>
      <c r="AB1045" s="20"/>
      <c r="AD1045" s="4" t="str">
        <f>"Pitanguá"</f>
        <v>Pitanguá</v>
      </c>
      <c r="AE1045" s="14" t="str">
        <f>"Matemática"</f>
        <v>Matemática</v>
      </c>
      <c r="AF1045" s="14"/>
    </row>
    <row r="1046" spans="1:32" ht="28.8" x14ac:dyDescent="0.3">
      <c r="A1046" s="23" t="s">
        <v>3131</v>
      </c>
      <c r="B1046" s="20" t="s">
        <v>16</v>
      </c>
      <c r="C1046" s="20" t="s">
        <v>7</v>
      </c>
      <c r="D1046" s="20" t="s">
        <v>8</v>
      </c>
      <c r="E1046" s="22">
        <v>90</v>
      </c>
      <c r="F1046" s="22">
        <v>4</v>
      </c>
      <c r="G1046" s="22">
        <v>4</v>
      </c>
      <c r="H1046" s="22"/>
      <c r="I1046" s="23" t="s">
        <v>9</v>
      </c>
      <c r="J1046" s="23"/>
      <c r="K1046" s="22"/>
      <c r="L1046" s="22"/>
      <c r="M1046" s="23"/>
      <c r="N1046" s="23"/>
      <c r="O1046" s="26" t="s">
        <v>3132</v>
      </c>
      <c r="P1046" s="26"/>
      <c r="Q1046" s="22"/>
      <c r="R1046" s="24"/>
      <c r="S1046" s="24"/>
      <c r="T1046" s="24"/>
      <c r="U1046" s="24"/>
      <c r="V1046" s="24"/>
      <c r="W1046" s="22" t="s">
        <v>31</v>
      </c>
      <c r="X1046" s="4" t="str">
        <f>IF(Tabela2[[#This Row],[sigla]]="","",VLOOKUP(Tabela2[[#This Row],[sigla]],créditos_base!B:C,2,0))</f>
        <v>SILVIA OTOFUJI/ARQUIVO DA EDITORA</v>
      </c>
      <c r="Y1046" s="23"/>
      <c r="Z1046" s="23" t="str">
        <f>Tabela2[[#This Row],[ilustrador]]</f>
        <v>SILVIA OTOFUJI/ARQUIVO DA EDITORA</v>
      </c>
      <c r="AA1046" s="22"/>
      <c r="AB1046" s="20"/>
      <c r="AD1046" s="4" t="str">
        <f>"Pitanguá"</f>
        <v>Pitanguá</v>
      </c>
      <c r="AE1046" s="14" t="str">
        <f>"Matemática"</f>
        <v>Matemática</v>
      </c>
      <c r="AF1046" s="14"/>
    </row>
    <row r="1047" spans="1:32" x14ac:dyDescent="0.3">
      <c r="A1047" s="23" t="s">
        <v>3985</v>
      </c>
      <c r="B1047" s="20" t="s">
        <v>16</v>
      </c>
      <c r="C1047" s="20" t="s">
        <v>89</v>
      </c>
      <c r="D1047" s="20" t="s">
        <v>8</v>
      </c>
      <c r="E1047" s="22">
        <v>109</v>
      </c>
      <c r="F1047" s="22">
        <v>5</v>
      </c>
      <c r="G1047" s="22">
        <v>4</v>
      </c>
      <c r="H1047" s="22"/>
      <c r="I1047" s="23" t="s">
        <v>9</v>
      </c>
      <c r="J1047" s="23"/>
      <c r="K1047" s="22"/>
      <c r="L1047" s="22"/>
      <c r="M1047" s="23"/>
      <c r="N1047" s="23"/>
      <c r="O1047" s="26" t="s">
        <v>3986</v>
      </c>
      <c r="P1047" s="26"/>
      <c r="Q1047" s="22"/>
      <c r="R1047" s="24"/>
      <c r="S1047" s="24"/>
      <c r="T1047" s="24"/>
      <c r="U1047" s="24"/>
      <c r="V1047" s="24"/>
      <c r="W1047" s="22" t="s">
        <v>940</v>
      </c>
      <c r="X1047" s="4" t="str">
        <f>IF(Tabela2[[#This Row],[sigla]]="","",VLOOKUP(Tabela2[[#This Row],[sigla]],créditos_base!B:C,2,0))</f>
        <v>RONALDO LUCENA/ARQUIVO DA EDITORA</v>
      </c>
      <c r="Y1047" s="23"/>
      <c r="Z1047" s="23" t="str">
        <f>Tabela2[[#This Row],[ilustrador]]</f>
        <v>RONALDO LUCENA/ARQUIVO DA EDITORA</v>
      </c>
      <c r="AA1047" s="22"/>
      <c r="AB1047" s="20"/>
      <c r="AD1047" s="4" t="str">
        <f>"Pitanguá"</f>
        <v>Pitanguá</v>
      </c>
      <c r="AE1047" s="14" t="str">
        <f>"Matemática"</f>
        <v>Matemática</v>
      </c>
      <c r="AF1047" s="14"/>
    </row>
    <row r="1048" spans="1:32" x14ac:dyDescent="0.3">
      <c r="A1048" s="23" t="s">
        <v>3133</v>
      </c>
      <c r="B1048" s="20" t="s">
        <v>16</v>
      </c>
      <c r="C1048" s="20" t="s">
        <v>7</v>
      </c>
      <c r="D1048" s="20" t="s">
        <v>8</v>
      </c>
      <c r="E1048" s="22">
        <v>90</v>
      </c>
      <c r="F1048" s="22">
        <v>4</v>
      </c>
      <c r="G1048" s="22">
        <v>4</v>
      </c>
      <c r="H1048" s="22"/>
      <c r="I1048" s="23" t="s">
        <v>9</v>
      </c>
      <c r="J1048" s="23"/>
      <c r="K1048" s="22"/>
      <c r="L1048" s="22"/>
      <c r="M1048" s="23"/>
      <c r="N1048" s="23"/>
      <c r="O1048" s="26" t="s">
        <v>3134</v>
      </c>
      <c r="P1048" s="26"/>
      <c r="Q1048" s="22"/>
      <c r="R1048" s="24"/>
      <c r="S1048" s="24"/>
      <c r="T1048" s="24"/>
      <c r="U1048" s="24"/>
      <c r="V1048" s="24"/>
      <c r="W1048" s="22" t="s">
        <v>31</v>
      </c>
      <c r="X1048" s="4" t="str">
        <f>IF(Tabela2[[#This Row],[sigla]]="","",VLOOKUP(Tabela2[[#This Row],[sigla]],créditos_base!B:C,2,0))</f>
        <v>SILVIA OTOFUJI/ARQUIVO DA EDITORA</v>
      </c>
      <c r="Y1048" s="23"/>
      <c r="Z1048" s="23" t="str">
        <f>Tabela2[[#This Row],[ilustrador]]</f>
        <v>SILVIA OTOFUJI/ARQUIVO DA EDITORA</v>
      </c>
      <c r="AA1048" s="22"/>
      <c r="AB1048" s="20"/>
      <c r="AD1048" s="4" t="str">
        <f>"Pitanguá"</f>
        <v>Pitanguá</v>
      </c>
      <c r="AE1048" s="14" t="str">
        <f>"Matemática"</f>
        <v>Matemática</v>
      </c>
      <c r="AF1048" s="14"/>
    </row>
    <row r="1049" spans="1:32" ht="28.8" x14ac:dyDescent="0.3">
      <c r="A1049" s="23" t="s">
        <v>3987</v>
      </c>
      <c r="B1049" s="20" t="s">
        <v>16</v>
      </c>
      <c r="C1049" s="20" t="s">
        <v>89</v>
      </c>
      <c r="D1049" s="20" t="s">
        <v>8</v>
      </c>
      <c r="E1049" s="22">
        <v>109</v>
      </c>
      <c r="F1049" s="22">
        <v>5</v>
      </c>
      <c r="G1049" s="22">
        <v>4</v>
      </c>
      <c r="H1049" s="22"/>
      <c r="I1049" s="23" t="s">
        <v>9</v>
      </c>
      <c r="J1049" s="23"/>
      <c r="K1049" s="22"/>
      <c r="L1049" s="22"/>
      <c r="M1049" s="23"/>
      <c r="N1049" s="23"/>
      <c r="O1049" s="26" t="s">
        <v>3988</v>
      </c>
      <c r="P1049" s="26"/>
      <c r="Q1049" s="22"/>
      <c r="R1049" s="24"/>
      <c r="S1049" s="24"/>
      <c r="T1049" s="24"/>
      <c r="U1049" s="24"/>
      <c r="V1049" s="24"/>
      <c r="W1049" s="22" t="s">
        <v>940</v>
      </c>
      <c r="X1049" s="4" t="str">
        <f>IF(Tabela2[[#This Row],[sigla]]="","",VLOOKUP(Tabela2[[#This Row],[sigla]],créditos_base!B:C,2,0))</f>
        <v>RONALDO LUCENA/ARQUIVO DA EDITORA</v>
      </c>
      <c r="Y1049" s="23"/>
      <c r="Z1049" s="23" t="str">
        <f>Tabela2[[#This Row],[ilustrador]]</f>
        <v>RONALDO LUCENA/ARQUIVO DA EDITORA</v>
      </c>
      <c r="AA1049" s="22"/>
      <c r="AB1049" s="20"/>
      <c r="AD1049" s="4" t="str">
        <f>"Pitanguá"</f>
        <v>Pitanguá</v>
      </c>
      <c r="AE1049" s="14" t="str">
        <f>"Matemática"</f>
        <v>Matemática</v>
      </c>
      <c r="AF1049" s="14"/>
    </row>
    <row r="1050" spans="1:32" x14ac:dyDescent="0.3">
      <c r="A1050" s="23" t="s">
        <v>3135</v>
      </c>
      <c r="B1050" s="20" t="s">
        <v>16</v>
      </c>
      <c r="C1050" s="20" t="s">
        <v>7</v>
      </c>
      <c r="D1050" s="20" t="s">
        <v>8</v>
      </c>
      <c r="E1050" s="22">
        <v>90</v>
      </c>
      <c r="F1050" s="22">
        <v>4</v>
      </c>
      <c r="G1050" s="22">
        <v>4</v>
      </c>
      <c r="H1050" s="22"/>
      <c r="I1050" s="23" t="s">
        <v>9</v>
      </c>
      <c r="J1050" s="23"/>
      <c r="K1050" s="22"/>
      <c r="L1050" s="22"/>
      <c r="M1050" s="23"/>
      <c r="N1050" s="23"/>
      <c r="O1050" s="26" t="s">
        <v>3136</v>
      </c>
      <c r="P1050" s="26"/>
      <c r="Q1050" s="22"/>
      <c r="R1050" s="24"/>
      <c r="S1050" s="24"/>
      <c r="T1050" s="24"/>
      <c r="U1050" s="24"/>
      <c r="V1050" s="24"/>
      <c r="W1050" s="22" t="s">
        <v>31</v>
      </c>
      <c r="X1050" s="4" t="str">
        <f>IF(Tabela2[[#This Row],[sigla]]="","",VLOOKUP(Tabela2[[#This Row],[sigla]],créditos_base!B:C,2,0))</f>
        <v>SILVIA OTOFUJI/ARQUIVO DA EDITORA</v>
      </c>
      <c r="Y1050" s="23"/>
      <c r="Z1050" s="23" t="str">
        <f>Tabela2[[#This Row],[ilustrador]]</f>
        <v>SILVIA OTOFUJI/ARQUIVO DA EDITORA</v>
      </c>
      <c r="AA1050" s="22"/>
      <c r="AB1050" s="20"/>
      <c r="AD1050" s="4" t="str">
        <f>"Pitanguá"</f>
        <v>Pitanguá</v>
      </c>
      <c r="AE1050" s="14" t="str">
        <f>"Matemática"</f>
        <v>Matemática</v>
      </c>
      <c r="AF1050" s="14"/>
    </row>
    <row r="1051" spans="1:32" ht="28.8" x14ac:dyDescent="0.3">
      <c r="A1051" s="23" t="s">
        <v>3989</v>
      </c>
      <c r="B1051" s="20" t="s">
        <v>16</v>
      </c>
      <c r="C1051" s="20" t="s">
        <v>89</v>
      </c>
      <c r="D1051" s="20" t="s">
        <v>8</v>
      </c>
      <c r="E1051" s="22">
        <v>109</v>
      </c>
      <c r="F1051" s="22">
        <v>5</v>
      </c>
      <c r="G1051" s="22">
        <v>4</v>
      </c>
      <c r="H1051" s="22"/>
      <c r="I1051" s="23" t="s">
        <v>9</v>
      </c>
      <c r="J1051" s="23"/>
      <c r="K1051" s="22"/>
      <c r="L1051" s="22"/>
      <c r="M1051" s="23"/>
      <c r="N1051" s="23"/>
      <c r="O1051" s="26" t="s">
        <v>3990</v>
      </c>
      <c r="P1051" s="26"/>
      <c r="Q1051" s="22"/>
      <c r="R1051" s="24"/>
      <c r="S1051" s="24"/>
      <c r="T1051" s="24"/>
      <c r="U1051" s="24"/>
      <c r="V1051" s="24"/>
      <c r="W1051" s="22" t="s">
        <v>940</v>
      </c>
      <c r="X1051" s="4" t="str">
        <f>IF(Tabela2[[#This Row],[sigla]]="","",VLOOKUP(Tabela2[[#This Row],[sigla]],créditos_base!B:C,2,0))</f>
        <v>RONALDO LUCENA/ARQUIVO DA EDITORA</v>
      </c>
      <c r="Y1051" s="23"/>
      <c r="Z1051" s="23" t="str">
        <f>Tabela2[[#This Row],[ilustrador]]</f>
        <v>RONALDO LUCENA/ARQUIVO DA EDITORA</v>
      </c>
      <c r="AA1051" s="22"/>
      <c r="AB1051" s="20"/>
      <c r="AD1051" s="4" t="str">
        <f>"Pitanguá"</f>
        <v>Pitanguá</v>
      </c>
      <c r="AE1051" s="14" t="str">
        <f>"Matemática"</f>
        <v>Matemática</v>
      </c>
      <c r="AF1051" s="14"/>
    </row>
    <row r="1052" spans="1:32" x14ac:dyDescent="0.3">
      <c r="A1052" s="23" t="s">
        <v>3137</v>
      </c>
      <c r="B1052" s="20" t="s">
        <v>16</v>
      </c>
      <c r="C1052" s="20" t="s">
        <v>89</v>
      </c>
      <c r="D1052" s="20" t="s">
        <v>8</v>
      </c>
      <c r="E1052" s="22">
        <v>90</v>
      </c>
      <c r="F1052" s="22">
        <v>4</v>
      </c>
      <c r="G1052" s="22">
        <v>4</v>
      </c>
      <c r="H1052" s="22"/>
      <c r="I1052" s="23" t="s">
        <v>9</v>
      </c>
      <c r="J1052" s="23"/>
      <c r="K1052" s="22"/>
      <c r="L1052" s="22"/>
      <c r="M1052" s="23"/>
      <c r="N1052" s="23"/>
      <c r="O1052" s="26" t="s">
        <v>3138</v>
      </c>
      <c r="P1052" s="26"/>
      <c r="Q1052" s="22"/>
      <c r="R1052" s="24"/>
      <c r="S1052" s="24"/>
      <c r="T1052" s="24"/>
      <c r="U1052" s="24"/>
      <c r="V1052" s="24"/>
      <c r="W1052" s="22" t="s">
        <v>160</v>
      </c>
      <c r="X1052" s="4" t="str">
        <f>IF(Tabela2[[#This Row],[sigla]]="","",VLOOKUP(Tabela2[[#This Row],[sigla]],créditos_base!B:C,2,0))</f>
        <v>SERGIO LIMA/ARQUIVO DA EDITORA</v>
      </c>
      <c r="Y1052" s="23"/>
      <c r="Z1052" s="23" t="str">
        <f>Tabela2[[#This Row],[ilustrador]]</f>
        <v>SERGIO LIMA/ARQUIVO DA EDITORA</v>
      </c>
      <c r="AA1052" s="22"/>
      <c r="AB1052" s="20"/>
      <c r="AD1052" s="4" t="str">
        <f>"Pitanguá"</f>
        <v>Pitanguá</v>
      </c>
      <c r="AE1052" s="14" t="str">
        <f>"Matemática"</f>
        <v>Matemática</v>
      </c>
      <c r="AF1052" s="14"/>
    </row>
    <row r="1053" spans="1:32" ht="28.8" x14ac:dyDescent="0.3">
      <c r="A1053" s="23" t="s">
        <v>3991</v>
      </c>
      <c r="B1053" s="20" t="s">
        <v>16</v>
      </c>
      <c r="C1053" s="20" t="s">
        <v>89</v>
      </c>
      <c r="D1053" s="20" t="s">
        <v>8</v>
      </c>
      <c r="E1053" s="22">
        <v>109</v>
      </c>
      <c r="F1053" s="22">
        <v>5</v>
      </c>
      <c r="G1053" s="22">
        <v>4</v>
      </c>
      <c r="H1053" s="22"/>
      <c r="I1053" s="23" t="s">
        <v>33</v>
      </c>
      <c r="J1053" s="23"/>
      <c r="K1053" s="22"/>
      <c r="L1053" s="22"/>
      <c r="M1053" s="23"/>
      <c r="N1053" s="23"/>
      <c r="O1053" s="26" t="s">
        <v>3992</v>
      </c>
      <c r="P1053" s="26"/>
      <c r="Q1053" s="22">
        <v>161</v>
      </c>
      <c r="R1053" s="24">
        <v>45891</v>
      </c>
      <c r="S1053" s="24">
        <v>45891</v>
      </c>
      <c r="T1053" s="24"/>
      <c r="U1053" s="24"/>
      <c r="V1053" s="24">
        <v>45891</v>
      </c>
      <c r="W1053" s="22" t="s">
        <v>940</v>
      </c>
      <c r="X1053" s="4" t="str">
        <f>IF(Tabela2[[#This Row],[sigla]]="","",VLOOKUP(Tabela2[[#This Row],[sigla]],créditos_base!B:C,2,0))</f>
        <v>RONALDO LUCENA/ARQUIVO DA EDITORA</v>
      </c>
      <c r="Y1053" s="23" t="s">
        <v>2951</v>
      </c>
      <c r="Z1053" s="23" t="str">
        <f>Tabela2[[#This Row],[ilustrador]]</f>
        <v>RONALDO LUCENA/ARQUIVO DA EDITORA</v>
      </c>
      <c r="AA1053" s="22">
        <v>14</v>
      </c>
      <c r="AB1053" s="20" t="s">
        <v>1500</v>
      </c>
      <c r="AC1053" s="20" t="s">
        <v>36</v>
      </c>
      <c r="AD1053" s="4" t="str">
        <f>"Pitanguá"</f>
        <v>Pitanguá</v>
      </c>
      <c r="AE1053" s="14" t="str">
        <f>"Matemática"</f>
        <v>Matemática</v>
      </c>
      <c r="AF1053" s="14"/>
    </row>
    <row r="1054" spans="1:32" ht="28.8" x14ac:dyDescent="0.3">
      <c r="A1054" s="23" t="s">
        <v>3139</v>
      </c>
      <c r="B1054" s="20" t="s">
        <v>16</v>
      </c>
      <c r="C1054" s="20" t="s">
        <v>89</v>
      </c>
      <c r="D1054" s="20" t="s">
        <v>8</v>
      </c>
      <c r="E1054" s="22">
        <v>91</v>
      </c>
      <c r="F1054" s="22">
        <v>4</v>
      </c>
      <c r="G1054" s="22">
        <v>4</v>
      </c>
      <c r="H1054" s="22"/>
      <c r="I1054" s="23" t="s">
        <v>9</v>
      </c>
      <c r="J1054" s="23"/>
      <c r="K1054" s="22"/>
      <c r="L1054" s="22"/>
      <c r="M1054" s="23"/>
      <c r="N1054" s="23"/>
      <c r="O1054" s="26" t="s">
        <v>3140</v>
      </c>
      <c r="P1054" s="26"/>
      <c r="Q1054" s="22"/>
      <c r="R1054" s="24"/>
      <c r="S1054" s="24"/>
      <c r="T1054" s="24"/>
      <c r="U1054" s="24"/>
      <c r="V1054" s="24"/>
      <c r="W1054" s="22" t="s">
        <v>160</v>
      </c>
      <c r="X1054" s="4" t="str">
        <f>IF(Tabela2[[#This Row],[sigla]]="","",VLOOKUP(Tabela2[[#This Row],[sigla]],créditos_base!B:C,2,0))</f>
        <v>SERGIO LIMA/ARQUIVO DA EDITORA</v>
      </c>
      <c r="Y1054" s="23"/>
      <c r="Z1054" s="23" t="str">
        <f>Tabela2[[#This Row],[ilustrador]]</f>
        <v>SERGIO LIMA/ARQUIVO DA EDITORA</v>
      </c>
      <c r="AA1054" s="22"/>
      <c r="AB1054" s="20"/>
      <c r="AD1054" s="4" t="str">
        <f>"Pitanguá"</f>
        <v>Pitanguá</v>
      </c>
      <c r="AE1054" s="14" t="str">
        <f>"Matemática"</f>
        <v>Matemática</v>
      </c>
      <c r="AF1054" s="14"/>
    </row>
    <row r="1055" spans="1:32" ht="28.8" x14ac:dyDescent="0.3">
      <c r="A1055" s="23" t="s">
        <v>3993</v>
      </c>
      <c r="B1055" s="20" t="s">
        <v>16</v>
      </c>
      <c r="C1055" s="20" t="s">
        <v>7</v>
      </c>
      <c r="D1055" s="20" t="s">
        <v>8</v>
      </c>
      <c r="E1055" s="22">
        <v>110</v>
      </c>
      <c r="F1055" s="22">
        <v>5</v>
      </c>
      <c r="G1055" s="22">
        <v>4</v>
      </c>
      <c r="H1055" s="22"/>
      <c r="I1055" s="23" t="s">
        <v>9</v>
      </c>
      <c r="J1055" s="23"/>
      <c r="K1055" s="22"/>
      <c r="L1055" s="22"/>
      <c r="M1055" s="23"/>
      <c r="N1055" s="23"/>
      <c r="O1055" s="26" t="s">
        <v>3994</v>
      </c>
      <c r="P1055" s="26"/>
      <c r="Q1055" s="22"/>
      <c r="R1055" s="24"/>
      <c r="S1055" s="24"/>
      <c r="T1055" s="24"/>
      <c r="U1055" s="24"/>
      <c r="V1055" s="24"/>
      <c r="W1055" s="22" t="s">
        <v>12</v>
      </c>
      <c r="X1055" s="4" t="str">
        <f>IF(Tabela2[[#This Row],[sigla]]="","",VLOOKUP(Tabela2[[#This Row],[sigla]],créditos_base!B:C,2,0))</f>
        <v>JORGE ZAIBA/ARQUIVO DA EDITORA</v>
      </c>
      <c r="Y1055" s="23"/>
      <c r="Z1055" s="23" t="str">
        <f>Tabela2[[#This Row],[ilustrador]]</f>
        <v>JORGE ZAIBA/ARQUIVO DA EDITORA</v>
      </c>
      <c r="AA1055" s="22"/>
      <c r="AB1055" s="20"/>
      <c r="AD1055" s="4" t="str">
        <f>"Pitanguá"</f>
        <v>Pitanguá</v>
      </c>
      <c r="AE1055" s="14" t="str">
        <f>"Matemática"</f>
        <v>Matemática</v>
      </c>
      <c r="AF1055" s="14"/>
    </row>
    <row r="1056" spans="1:32" ht="28.8" x14ac:dyDescent="0.3">
      <c r="A1056" s="23" t="s">
        <v>3141</v>
      </c>
      <c r="B1056" s="20" t="s">
        <v>16</v>
      </c>
      <c r="C1056" s="20" t="s">
        <v>89</v>
      </c>
      <c r="D1056" s="20" t="s">
        <v>8</v>
      </c>
      <c r="E1056" s="22">
        <v>91</v>
      </c>
      <c r="F1056" s="22">
        <v>4</v>
      </c>
      <c r="G1056" s="22">
        <v>4</v>
      </c>
      <c r="H1056" s="22"/>
      <c r="I1056" s="23" t="s">
        <v>9</v>
      </c>
      <c r="J1056" s="23"/>
      <c r="K1056" s="22"/>
      <c r="L1056" s="22"/>
      <c r="M1056" s="23"/>
      <c r="N1056" s="23"/>
      <c r="O1056" s="26" t="s">
        <v>3142</v>
      </c>
      <c r="P1056" s="26"/>
      <c r="Q1056" s="22"/>
      <c r="R1056" s="24"/>
      <c r="S1056" s="24"/>
      <c r="T1056" s="24"/>
      <c r="U1056" s="24"/>
      <c r="V1056" s="24"/>
      <c r="W1056" s="22" t="s">
        <v>940</v>
      </c>
      <c r="X1056" s="4" t="str">
        <f>IF(Tabela2[[#This Row],[sigla]]="","",VLOOKUP(Tabela2[[#This Row],[sigla]],créditos_base!B:C,2,0))</f>
        <v>RONALDO LUCENA/ARQUIVO DA EDITORA</v>
      </c>
      <c r="Y1056" s="23"/>
      <c r="Z1056" s="23" t="str">
        <f>Tabela2[[#This Row],[ilustrador]]</f>
        <v>RONALDO LUCENA/ARQUIVO DA EDITORA</v>
      </c>
      <c r="AA1056" s="22"/>
      <c r="AB1056" s="20"/>
      <c r="AD1056" s="4" t="str">
        <f>"Pitanguá"</f>
        <v>Pitanguá</v>
      </c>
      <c r="AE1056" s="14" t="str">
        <f>"Matemática"</f>
        <v>Matemática</v>
      </c>
      <c r="AF1056" s="14"/>
    </row>
    <row r="1057" spans="1:32" ht="28.8" x14ac:dyDescent="0.3">
      <c r="A1057" s="23" t="s">
        <v>3995</v>
      </c>
      <c r="B1057" s="20" t="s">
        <v>16</v>
      </c>
      <c r="C1057" s="20" t="s">
        <v>89</v>
      </c>
      <c r="D1057" s="20" t="s">
        <v>8</v>
      </c>
      <c r="E1057" s="22">
        <v>110</v>
      </c>
      <c r="F1057" s="22">
        <v>5</v>
      </c>
      <c r="G1057" s="22">
        <v>4</v>
      </c>
      <c r="H1057" s="22"/>
      <c r="I1057" s="23" t="s">
        <v>33</v>
      </c>
      <c r="J1057" s="23"/>
      <c r="K1057" s="22"/>
      <c r="L1057" s="22"/>
      <c r="M1057" s="23"/>
      <c r="N1057" s="23"/>
      <c r="O1057" s="26" t="s">
        <v>3996</v>
      </c>
      <c r="P1057" s="26"/>
      <c r="Q1057" s="22">
        <v>202</v>
      </c>
      <c r="R1057" s="24">
        <v>45924</v>
      </c>
      <c r="S1057" s="24">
        <v>45924</v>
      </c>
      <c r="T1057" s="24"/>
      <c r="U1057" s="24"/>
      <c r="V1057" s="24">
        <v>45924</v>
      </c>
      <c r="W1057" s="22" t="s">
        <v>940</v>
      </c>
      <c r="X1057" s="4" t="str">
        <f>IF(Tabela2[[#This Row],[sigla]]="","",VLOOKUP(Tabela2[[#This Row],[sigla]],créditos_base!B:C,2,0))</f>
        <v>RONALDO LUCENA/ARQUIVO DA EDITORA</v>
      </c>
      <c r="Y1057" s="23" t="s">
        <v>696</v>
      </c>
      <c r="Z1057" s="23" t="str">
        <f>Tabela2[[#This Row],[ilustrador]]</f>
        <v>RONALDO LUCENA/ARQUIVO DA EDITORA</v>
      </c>
      <c r="AA1057" s="22">
        <v>13</v>
      </c>
      <c r="AB1057" s="20" t="s">
        <v>153</v>
      </c>
      <c r="AC1057" s="20" t="s">
        <v>36</v>
      </c>
      <c r="AD1057" s="4" t="str">
        <f>"Pitanguá"</f>
        <v>Pitanguá</v>
      </c>
      <c r="AE1057" s="14" t="str">
        <f>"Matemática"</f>
        <v>Matemática</v>
      </c>
      <c r="AF1057" s="14"/>
    </row>
    <row r="1058" spans="1:32" ht="28.8" x14ac:dyDescent="0.3">
      <c r="A1058" s="23" t="s">
        <v>3997</v>
      </c>
      <c r="B1058" s="20" t="s">
        <v>16</v>
      </c>
      <c r="C1058" s="20" t="s">
        <v>89</v>
      </c>
      <c r="D1058" s="20" t="s">
        <v>8</v>
      </c>
      <c r="E1058" s="22">
        <v>110</v>
      </c>
      <c r="F1058" s="22">
        <v>5</v>
      </c>
      <c r="G1058" s="22">
        <v>4</v>
      </c>
      <c r="H1058" s="22"/>
      <c r="I1058" s="23" t="s">
        <v>33</v>
      </c>
      <c r="J1058" s="23"/>
      <c r="K1058" s="22"/>
      <c r="L1058" s="22"/>
      <c r="M1058" s="23"/>
      <c r="N1058" s="23"/>
      <c r="O1058" s="26" t="s">
        <v>3998</v>
      </c>
      <c r="P1058" s="26"/>
      <c r="Q1058" s="22">
        <v>202</v>
      </c>
      <c r="R1058" s="24">
        <v>45924</v>
      </c>
      <c r="S1058" s="24">
        <v>45924</v>
      </c>
      <c r="T1058" s="24"/>
      <c r="U1058" s="24"/>
      <c r="V1058" s="24">
        <v>45924</v>
      </c>
      <c r="W1058" s="22" t="s">
        <v>940</v>
      </c>
      <c r="X1058" s="4" t="str">
        <f>IF(Tabela2[[#This Row],[sigla]]="","",VLOOKUP(Tabela2[[#This Row],[sigla]],créditos_base!B:C,2,0))</f>
        <v>RONALDO LUCENA/ARQUIVO DA EDITORA</v>
      </c>
      <c r="Y1058" s="23" t="s">
        <v>696</v>
      </c>
      <c r="Z1058" s="23" t="str">
        <f>Tabela2[[#This Row],[ilustrador]]</f>
        <v>RONALDO LUCENA/ARQUIVO DA EDITORA</v>
      </c>
      <c r="AA1058" s="22">
        <v>13</v>
      </c>
      <c r="AB1058" s="20" t="s">
        <v>153</v>
      </c>
      <c r="AC1058" s="20" t="s">
        <v>36</v>
      </c>
      <c r="AD1058" s="4" t="str">
        <f>"Pitanguá"</f>
        <v>Pitanguá</v>
      </c>
      <c r="AE1058" s="14" t="str">
        <f>"Matemática"</f>
        <v>Matemática</v>
      </c>
      <c r="AF1058" s="14"/>
    </row>
    <row r="1059" spans="1:32" x14ac:dyDescent="0.3">
      <c r="A1059" s="23" t="s">
        <v>3999</v>
      </c>
      <c r="B1059" s="20" t="s">
        <v>16</v>
      </c>
      <c r="C1059" s="20" t="s">
        <v>89</v>
      </c>
      <c r="D1059" s="20" t="s">
        <v>8</v>
      </c>
      <c r="E1059" s="22">
        <v>111</v>
      </c>
      <c r="F1059" s="22">
        <v>5</v>
      </c>
      <c r="G1059" s="22">
        <v>4</v>
      </c>
      <c r="H1059" s="22"/>
      <c r="I1059" s="23" t="s">
        <v>9</v>
      </c>
      <c r="J1059" s="23"/>
      <c r="K1059" s="22"/>
      <c r="L1059" s="22"/>
      <c r="M1059" s="23"/>
      <c r="N1059" s="23"/>
      <c r="O1059" s="26" t="s">
        <v>4000</v>
      </c>
      <c r="P1059" s="26"/>
      <c r="Q1059" s="22"/>
      <c r="R1059" s="24"/>
      <c r="S1059" s="24"/>
      <c r="T1059" s="24"/>
      <c r="U1059" s="24"/>
      <c r="V1059" s="24"/>
      <c r="W1059" s="22" t="s">
        <v>940</v>
      </c>
      <c r="X1059" s="4" t="str">
        <f>IF(Tabela2[[#This Row],[sigla]]="","",VLOOKUP(Tabela2[[#This Row],[sigla]],créditos_base!B:C,2,0))</f>
        <v>RONALDO LUCENA/ARQUIVO DA EDITORA</v>
      </c>
      <c r="Y1059" s="23"/>
      <c r="Z1059" s="23" t="str">
        <f>Tabela2[[#This Row],[ilustrador]]</f>
        <v>RONALDO LUCENA/ARQUIVO DA EDITORA</v>
      </c>
      <c r="AA1059" s="22"/>
      <c r="AB1059" s="20"/>
      <c r="AD1059" s="4" t="str">
        <f>"Pitanguá"</f>
        <v>Pitanguá</v>
      </c>
      <c r="AE1059" s="14" t="str">
        <f>"Matemática"</f>
        <v>Matemática</v>
      </c>
      <c r="AF1059" s="14"/>
    </row>
    <row r="1060" spans="1:32" ht="28.8" x14ac:dyDescent="0.3">
      <c r="A1060" s="23" t="s">
        <v>4001</v>
      </c>
      <c r="B1060" s="20" t="s">
        <v>16</v>
      </c>
      <c r="C1060" s="20" t="s">
        <v>89</v>
      </c>
      <c r="D1060" s="20" t="s">
        <v>8</v>
      </c>
      <c r="E1060" s="22">
        <v>111</v>
      </c>
      <c r="F1060" s="22">
        <v>5</v>
      </c>
      <c r="G1060" s="22">
        <v>4</v>
      </c>
      <c r="H1060" s="22"/>
      <c r="I1060" s="23" t="s">
        <v>9</v>
      </c>
      <c r="J1060" s="23"/>
      <c r="K1060" s="22"/>
      <c r="L1060" s="22"/>
      <c r="M1060" s="23"/>
      <c r="N1060" s="23"/>
      <c r="O1060" s="26" t="s">
        <v>4002</v>
      </c>
      <c r="P1060" s="26"/>
      <c r="Q1060" s="22"/>
      <c r="R1060" s="24"/>
      <c r="S1060" s="24"/>
      <c r="T1060" s="24"/>
      <c r="U1060" s="24"/>
      <c r="V1060" s="24"/>
      <c r="W1060" s="22" t="s">
        <v>940</v>
      </c>
      <c r="X1060" s="4" t="str">
        <f>IF(Tabela2[[#This Row],[sigla]]="","",VLOOKUP(Tabela2[[#This Row],[sigla]],créditos_base!B:C,2,0))</f>
        <v>RONALDO LUCENA/ARQUIVO DA EDITORA</v>
      </c>
      <c r="Y1060" s="23"/>
      <c r="Z1060" s="23" t="str">
        <f>Tabela2[[#This Row],[ilustrador]]</f>
        <v>RONALDO LUCENA/ARQUIVO DA EDITORA</v>
      </c>
      <c r="AA1060" s="22"/>
      <c r="AB1060" s="20"/>
      <c r="AD1060" s="4" t="str">
        <f>"Pitanguá"</f>
        <v>Pitanguá</v>
      </c>
      <c r="AE1060" s="14" t="str">
        <f>"Matemática"</f>
        <v>Matemática</v>
      </c>
      <c r="AF1060" s="14"/>
    </row>
    <row r="1061" spans="1:32" ht="28.8" x14ac:dyDescent="0.3">
      <c r="A1061" s="23" t="s">
        <v>4499</v>
      </c>
      <c r="B1061" s="20" t="s">
        <v>16</v>
      </c>
      <c r="C1061" s="20" t="s">
        <v>7</v>
      </c>
      <c r="D1061" s="20" t="s">
        <v>8</v>
      </c>
      <c r="E1061" s="22">
        <v>122</v>
      </c>
      <c r="F1061" s="22">
        <v>2</v>
      </c>
      <c r="G1061" s="22">
        <v>4</v>
      </c>
      <c r="H1061" s="22"/>
      <c r="I1061" s="23" t="s">
        <v>9</v>
      </c>
      <c r="J1061" s="23"/>
      <c r="K1061" s="22"/>
      <c r="L1061" s="22"/>
      <c r="M1061" s="23"/>
      <c r="N1061" s="23"/>
      <c r="O1061" s="26" t="s">
        <v>4500</v>
      </c>
      <c r="P1061" s="26"/>
      <c r="Q1061" s="22"/>
      <c r="R1061" s="24"/>
      <c r="S1061" s="24"/>
      <c r="T1061" s="24"/>
      <c r="U1061" s="24"/>
      <c r="V1061" s="24"/>
      <c r="W1061" s="22" t="s">
        <v>31</v>
      </c>
      <c r="X1061" s="4" t="str">
        <f>IF(Tabela2[[#This Row],[sigla]]="","",VLOOKUP(Tabela2[[#This Row],[sigla]],créditos_base!B:C,2,0))</f>
        <v>SILVIA OTOFUJI/ARQUIVO DA EDITORA</v>
      </c>
      <c r="Y1061" s="23"/>
      <c r="Z1061" s="23" t="str">
        <f>Tabela2[[#This Row],[ilustrador]]</f>
        <v>SILVIA OTOFUJI/ARQUIVO DA EDITORA</v>
      </c>
      <c r="AA1061" s="22"/>
      <c r="AB1061" s="20"/>
      <c r="AD1061" s="4" t="str">
        <f>"Pitanguá"</f>
        <v>Pitanguá</v>
      </c>
      <c r="AE1061" s="14" t="str">
        <f>"Matemática"</f>
        <v>Matemática</v>
      </c>
      <c r="AF1061" s="14"/>
    </row>
    <row r="1062" spans="1:32" ht="43.2" x14ac:dyDescent="0.3">
      <c r="A1062" s="23" t="s">
        <v>4501</v>
      </c>
      <c r="B1062" s="20" t="s">
        <v>16</v>
      </c>
      <c r="C1062" s="20" t="s">
        <v>7</v>
      </c>
      <c r="D1062" s="20" t="s">
        <v>8</v>
      </c>
      <c r="E1062" s="22">
        <v>123</v>
      </c>
      <c r="F1062" s="22">
        <v>2</v>
      </c>
      <c r="G1062" s="22">
        <v>4</v>
      </c>
      <c r="H1062" s="22"/>
      <c r="I1062" s="23" t="s">
        <v>90</v>
      </c>
      <c r="J1062" s="23"/>
      <c r="K1062" s="22"/>
      <c r="L1062" s="22"/>
      <c r="M1062" s="23"/>
      <c r="N1062" s="23"/>
      <c r="O1062" s="26" t="s">
        <v>4502</v>
      </c>
      <c r="P1062" s="26"/>
      <c r="Q1062" s="22">
        <v>68</v>
      </c>
      <c r="R1062" s="24">
        <v>45812</v>
      </c>
      <c r="S1062" s="24">
        <v>45813</v>
      </c>
      <c r="T1062" s="24">
        <v>45824</v>
      </c>
      <c r="U1062" s="24">
        <v>45826</v>
      </c>
      <c r="V1062" s="24">
        <v>45831</v>
      </c>
      <c r="W1062" s="22" t="s">
        <v>31</v>
      </c>
      <c r="X1062" s="4" t="str">
        <f>IF(Tabela2[[#This Row],[sigla]]="","",VLOOKUP(Tabela2[[#This Row],[sigla]],créditos_base!B:C,2,0))</f>
        <v>SILVIA OTOFUJI/ARQUIVO DA EDITORA</v>
      </c>
      <c r="Y1062" s="23"/>
      <c r="Z1062" s="23" t="str">
        <f>Tabela2[[#This Row],[ilustrador]]</f>
        <v>SILVIA OTOFUJI/ARQUIVO DA EDITORA</v>
      </c>
      <c r="AA1062" s="22">
        <v>3</v>
      </c>
      <c r="AB1062" s="26" t="s">
        <v>4503</v>
      </c>
      <c r="AC1062" s="20" t="s">
        <v>36</v>
      </c>
      <c r="AD1062" s="4" t="str">
        <f>"Pitanguá"</f>
        <v>Pitanguá</v>
      </c>
      <c r="AE1062" s="14" t="str">
        <f>"Matemática"</f>
        <v>Matemática</v>
      </c>
      <c r="AF1062" s="14"/>
    </row>
    <row r="1063" spans="1:32" x14ac:dyDescent="0.3">
      <c r="A1063" s="23" t="s">
        <v>3143</v>
      </c>
      <c r="B1063" s="20" t="s">
        <v>16</v>
      </c>
      <c r="C1063" s="20" t="s">
        <v>7</v>
      </c>
      <c r="D1063" s="20" t="s">
        <v>8</v>
      </c>
      <c r="E1063" s="22">
        <v>93</v>
      </c>
      <c r="F1063" s="22">
        <v>4</v>
      </c>
      <c r="G1063" s="22">
        <v>4</v>
      </c>
      <c r="H1063" s="22"/>
      <c r="I1063" s="23" t="s">
        <v>33</v>
      </c>
      <c r="J1063" s="23"/>
      <c r="K1063" s="22"/>
      <c r="L1063" s="22"/>
      <c r="M1063" s="23"/>
      <c r="N1063" s="23"/>
      <c r="O1063" s="26" t="s">
        <v>3144</v>
      </c>
      <c r="P1063" s="26"/>
      <c r="Q1063" s="22">
        <v>44</v>
      </c>
      <c r="R1063" s="24">
        <v>45791</v>
      </c>
      <c r="S1063" s="24">
        <v>45797</v>
      </c>
      <c r="T1063" s="24"/>
      <c r="U1063" s="24"/>
      <c r="V1063" s="24">
        <v>45797</v>
      </c>
      <c r="W1063" s="22" t="s">
        <v>940</v>
      </c>
      <c r="X1063" s="4" t="str">
        <f>IF(Tabela2[[#This Row],[sigla]]="","",VLOOKUP(Tabela2[[#This Row],[sigla]],créditos_base!B:C,2,0))</f>
        <v>RONALDO LUCENA/ARQUIVO DA EDITORA</v>
      </c>
      <c r="Y1063" s="23" t="s">
        <v>152</v>
      </c>
      <c r="Z1063" s="23" t="str">
        <f>Tabela2[[#This Row],[ilustrador]]</f>
        <v>RONALDO LUCENA/ARQUIVO DA EDITORA</v>
      </c>
      <c r="AA1063" s="22">
        <v>13</v>
      </c>
      <c r="AB1063" s="20" t="s">
        <v>153</v>
      </c>
      <c r="AC1063" s="20" t="s">
        <v>36</v>
      </c>
      <c r="AD1063" s="4" t="str">
        <f>"Pitanguá"</f>
        <v>Pitanguá</v>
      </c>
      <c r="AE1063" s="14" t="str">
        <f>"Matemática"</f>
        <v>Matemática</v>
      </c>
      <c r="AF1063" s="14"/>
    </row>
    <row r="1064" spans="1:32" ht="28.8" x14ac:dyDescent="0.3">
      <c r="A1064" s="23" t="s">
        <v>4003</v>
      </c>
      <c r="B1064" s="20" t="s">
        <v>16</v>
      </c>
      <c r="C1064" s="20" t="s">
        <v>89</v>
      </c>
      <c r="D1064" s="20" t="s">
        <v>8</v>
      </c>
      <c r="E1064" s="22">
        <v>111</v>
      </c>
      <c r="F1064" s="22">
        <v>5</v>
      </c>
      <c r="G1064" s="22">
        <v>4</v>
      </c>
      <c r="H1064" s="22"/>
      <c r="I1064" s="23" t="s">
        <v>9</v>
      </c>
      <c r="J1064" s="23"/>
      <c r="K1064" s="22"/>
      <c r="L1064" s="22"/>
      <c r="M1064" s="23"/>
      <c r="N1064" s="23"/>
      <c r="O1064" s="26" t="s">
        <v>4004</v>
      </c>
      <c r="P1064" s="26"/>
      <c r="Q1064" s="22"/>
      <c r="R1064" s="24"/>
      <c r="S1064" s="24"/>
      <c r="T1064" s="24"/>
      <c r="U1064" s="24"/>
      <c r="V1064" s="24"/>
      <c r="W1064" s="22" t="s">
        <v>940</v>
      </c>
      <c r="X1064" s="4" t="str">
        <f>IF(Tabela2[[#This Row],[sigla]]="","",VLOOKUP(Tabela2[[#This Row],[sigla]],créditos_base!B:C,2,0))</f>
        <v>RONALDO LUCENA/ARQUIVO DA EDITORA</v>
      </c>
      <c r="Y1064" s="23"/>
      <c r="Z1064" s="23" t="str">
        <f>Tabela2[[#This Row],[ilustrador]]</f>
        <v>RONALDO LUCENA/ARQUIVO DA EDITORA</v>
      </c>
      <c r="AA1064" s="22"/>
      <c r="AB1064" s="20"/>
      <c r="AD1064" s="4" t="str">
        <f>"Pitanguá"</f>
        <v>Pitanguá</v>
      </c>
      <c r="AE1064" s="14" t="str">
        <f>"Matemática"</f>
        <v>Matemática</v>
      </c>
      <c r="AF1064" s="14"/>
    </row>
    <row r="1065" spans="1:32" ht="28.8" x14ac:dyDescent="0.3">
      <c r="A1065" s="23" t="s">
        <v>5146</v>
      </c>
      <c r="B1065" s="20" t="s">
        <v>16</v>
      </c>
      <c r="C1065" s="20" t="s">
        <v>7</v>
      </c>
      <c r="D1065" s="20" t="s">
        <v>8</v>
      </c>
      <c r="E1065" s="22">
        <v>105</v>
      </c>
      <c r="F1065" s="22">
        <v>4</v>
      </c>
      <c r="G1065" s="22">
        <v>4</v>
      </c>
      <c r="H1065" s="22"/>
      <c r="I1065" s="23" t="s">
        <v>33</v>
      </c>
      <c r="J1065" s="23"/>
      <c r="K1065" s="22"/>
      <c r="L1065" s="22"/>
      <c r="M1065" s="23"/>
      <c r="N1065" s="23"/>
      <c r="O1065" s="26" t="s">
        <v>5147</v>
      </c>
      <c r="P1065" s="26"/>
      <c r="Q1065" s="22">
        <v>101</v>
      </c>
      <c r="R1065" s="24">
        <v>45846</v>
      </c>
      <c r="S1065" s="24">
        <v>45856</v>
      </c>
      <c r="T1065" s="24"/>
      <c r="U1065" s="24"/>
      <c r="V1065" s="24">
        <v>45856</v>
      </c>
      <c r="W1065" s="22" t="s">
        <v>940</v>
      </c>
      <c r="X1065" s="4" t="str">
        <f>IF(Tabela2[[#This Row],[sigla]]="","",VLOOKUP(Tabela2[[#This Row],[sigla]],créditos_base!B:C,2,0))</f>
        <v>RONALDO LUCENA/ARQUIVO DA EDITORA</v>
      </c>
      <c r="Y1065" s="23" t="s">
        <v>2951</v>
      </c>
      <c r="Z1065" s="23" t="str">
        <f>Tabela2[[#This Row],[ilustrador]]</f>
        <v>RONALDO LUCENA/ARQUIVO DA EDITORA</v>
      </c>
      <c r="AA1065" s="22">
        <v>14</v>
      </c>
      <c r="AB1065" s="20" t="s">
        <v>1500</v>
      </c>
      <c r="AC1065" s="20" t="s">
        <v>36</v>
      </c>
      <c r="AD1065" s="4" t="str">
        <f>"Pitanguá"</f>
        <v>Pitanguá</v>
      </c>
      <c r="AE1065" s="14" t="str">
        <f>"Matemática"</f>
        <v>Matemática</v>
      </c>
      <c r="AF1065" s="14"/>
    </row>
    <row r="1066" spans="1:32" ht="28.8" x14ac:dyDescent="0.3">
      <c r="A1066" s="23" t="s">
        <v>4005</v>
      </c>
      <c r="B1066" s="20" t="s">
        <v>16</v>
      </c>
      <c r="C1066" s="20" t="s">
        <v>89</v>
      </c>
      <c r="D1066" s="20" t="s">
        <v>8</v>
      </c>
      <c r="E1066" s="22">
        <v>111</v>
      </c>
      <c r="F1066" s="22">
        <v>5</v>
      </c>
      <c r="G1066" s="22">
        <v>4</v>
      </c>
      <c r="H1066" s="22"/>
      <c r="I1066" s="23" t="s">
        <v>9</v>
      </c>
      <c r="J1066" s="23"/>
      <c r="K1066" s="22"/>
      <c r="L1066" s="22"/>
      <c r="M1066" s="23"/>
      <c r="N1066" s="23"/>
      <c r="O1066" s="26" t="s">
        <v>4006</v>
      </c>
      <c r="P1066" s="26"/>
      <c r="Q1066" s="22"/>
      <c r="R1066" s="24"/>
      <c r="S1066" s="24"/>
      <c r="T1066" s="24"/>
      <c r="U1066" s="24"/>
      <c r="V1066" s="24"/>
      <c r="W1066" s="22" t="s">
        <v>940</v>
      </c>
      <c r="X1066" s="4" t="str">
        <f>IF(Tabela2[[#This Row],[sigla]]="","",VLOOKUP(Tabela2[[#This Row],[sigla]],créditos_base!B:C,2,0))</f>
        <v>RONALDO LUCENA/ARQUIVO DA EDITORA</v>
      </c>
      <c r="Y1066" s="23"/>
      <c r="Z1066" s="23" t="str">
        <f>Tabela2[[#This Row],[ilustrador]]</f>
        <v>RONALDO LUCENA/ARQUIVO DA EDITORA</v>
      </c>
      <c r="AA1066" s="22"/>
      <c r="AB1066" s="20"/>
      <c r="AD1066" s="4" t="str">
        <f>"Pitanguá"</f>
        <v>Pitanguá</v>
      </c>
      <c r="AE1066" s="14" t="str">
        <f>"Matemática"</f>
        <v>Matemática</v>
      </c>
      <c r="AF1066" s="14"/>
    </row>
    <row r="1067" spans="1:32" x14ac:dyDescent="0.3">
      <c r="A1067" s="23" t="s">
        <v>4497</v>
      </c>
      <c r="B1067" s="20" t="s">
        <v>16</v>
      </c>
      <c r="C1067" s="20" t="s">
        <v>7</v>
      </c>
      <c r="D1067" s="20" t="s">
        <v>8</v>
      </c>
      <c r="E1067" s="22">
        <v>122</v>
      </c>
      <c r="F1067" s="22">
        <v>2</v>
      </c>
      <c r="G1067" s="22">
        <v>4</v>
      </c>
      <c r="H1067" s="22"/>
      <c r="I1067" s="23" t="s">
        <v>33</v>
      </c>
      <c r="J1067" s="23"/>
      <c r="K1067" s="22"/>
      <c r="L1067" s="22"/>
      <c r="M1067" s="23"/>
      <c r="N1067" s="23"/>
      <c r="O1067" s="26" t="s">
        <v>4498</v>
      </c>
      <c r="P1067" s="26"/>
      <c r="Q1067" s="22">
        <v>68</v>
      </c>
      <c r="R1067" s="24">
        <v>45812</v>
      </c>
      <c r="S1067" s="24">
        <v>45813</v>
      </c>
      <c r="T1067" s="24"/>
      <c r="U1067" s="24"/>
      <c r="V1067" s="24">
        <v>45813</v>
      </c>
      <c r="W1067" s="22" t="s">
        <v>31</v>
      </c>
      <c r="X1067" s="4" t="str">
        <f>IF(Tabela2[[#This Row],[sigla]]="","",VLOOKUP(Tabela2[[#This Row],[sigla]],créditos_base!B:C,2,0))</f>
        <v>SILVIA OTOFUJI/ARQUIVO DA EDITORA</v>
      </c>
      <c r="Y1067" s="23" t="s">
        <v>1139</v>
      </c>
      <c r="Z1067" s="23" t="str">
        <f>Tabela2[[#This Row],[ilustrador]]</f>
        <v>SILVIA OTOFUJI/ARQUIVO DA EDITORA</v>
      </c>
      <c r="AA1067" s="22">
        <v>13</v>
      </c>
      <c r="AB1067" s="20" t="s">
        <v>1425</v>
      </c>
      <c r="AC1067" s="20" t="s">
        <v>36</v>
      </c>
      <c r="AD1067" s="4" t="str">
        <f>"Pitanguá"</f>
        <v>Pitanguá</v>
      </c>
      <c r="AE1067" s="14" t="str">
        <f>"Matemática"</f>
        <v>Matemática</v>
      </c>
      <c r="AF1067" s="14"/>
    </row>
    <row r="1068" spans="1:32" x14ac:dyDescent="0.3">
      <c r="A1068" s="23" t="s">
        <v>3145</v>
      </c>
      <c r="B1068" s="20" t="s">
        <v>16</v>
      </c>
      <c r="C1068" s="20" t="s">
        <v>7</v>
      </c>
      <c r="D1068" s="20" t="s">
        <v>8</v>
      </c>
      <c r="E1068" s="22">
        <v>93</v>
      </c>
      <c r="F1068" s="22">
        <v>4</v>
      </c>
      <c r="G1068" s="22">
        <v>4</v>
      </c>
      <c r="H1068" s="22"/>
      <c r="I1068" s="23" t="s">
        <v>9</v>
      </c>
      <c r="J1068" s="23"/>
      <c r="K1068" s="22"/>
      <c r="L1068" s="22"/>
      <c r="M1068" s="23"/>
      <c r="N1068" s="23"/>
      <c r="O1068" s="26" t="s">
        <v>3146</v>
      </c>
      <c r="P1068" s="26"/>
      <c r="Q1068" s="22"/>
      <c r="R1068" s="24"/>
      <c r="S1068" s="24"/>
      <c r="T1068" s="24"/>
      <c r="U1068" s="24"/>
      <c r="V1068" s="24"/>
      <c r="W1068" s="22" t="s">
        <v>20</v>
      </c>
      <c r="X1068" s="4" t="str">
        <f>IF(Tabela2[[#This Row],[sigla]]="","",VLOOKUP(Tabela2[[#This Row],[sigla]],créditos_base!B:C,2,0))</f>
        <v>SONIA HORN/ARQUIVO DA EDITORA</v>
      </c>
      <c r="Y1068" s="23"/>
      <c r="Z1068" s="23" t="str">
        <f>Tabela2[[#This Row],[ilustrador]]</f>
        <v>SONIA HORN/ARQUIVO DA EDITORA</v>
      </c>
      <c r="AA1068" s="22"/>
      <c r="AB1068" s="20"/>
      <c r="AD1068" s="4" t="str">
        <f>"Pitanguá"</f>
        <v>Pitanguá</v>
      </c>
      <c r="AE1068" s="14" t="str">
        <f>"Matemática"</f>
        <v>Matemática</v>
      </c>
      <c r="AF1068" s="14"/>
    </row>
    <row r="1069" spans="1:32" x14ac:dyDescent="0.3">
      <c r="A1069" s="23" t="s">
        <v>4007</v>
      </c>
      <c r="B1069" s="20" t="s">
        <v>6</v>
      </c>
      <c r="C1069" s="20" t="s">
        <v>7</v>
      </c>
      <c r="D1069" s="20" t="s">
        <v>8</v>
      </c>
      <c r="E1069" s="22">
        <v>91</v>
      </c>
      <c r="F1069" s="22">
        <v>5</v>
      </c>
      <c r="G1069" s="22">
        <v>4</v>
      </c>
      <c r="H1069" s="22"/>
      <c r="I1069" s="23" t="s">
        <v>9</v>
      </c>
      <c r="J1069" s="23"/>
      <c r="K1069" s="22"/>
      <c r="L1069" s="22"/>
      <c r="M1069" s="23"/>
      <c r="N1069" s="23"/>
      <c r="O1069" s="26" t="s">
        <v>4008</v>
      </c>
      <c r="P1069" s="26"/>
      <c r="Q1069" s="22"/>
      <c r="R1069" s="24"/>
      <c r="S1069" s="24"/>
      <c r="T1069" s="24"/>
      <c r="U1069" s="24"/>
      <c r="V1069" s="24"/>
      <c r="W1069" s="22" t="s">
        <v>230</v>
      </c>
      <c r="X1069" s="4" t="str">
        <f>IF(Tabela2[[#This Row],[sigla]]="","",VLOOKUP(Tabela2[[#This Row],[sigla]],créditos_base!B:C,2,0))</f>
        <v>RAFAEL L. GAION/ARQUIVO DA EDITORA</v>
      </c>
      <c r="Y1069" s="23"/>
      <c r="Z1069" s="23" t="str">
        <f>Tabela2[[#This Row],[ilustrador]]</f>
        <v>RAFAEL L. GAION/ARQUIVO DA EDITORA</v>
      </c>
      <c r="AA1069" s="22"/>
      <c r="AB1069" s="20"/>
      <c r="AD1069" s="4" t="str">
        <f>"Pitanguá"</f>
        <v>Pitanguá</v>
      </c>
      <c r="AE1069" s="14" t="str">
        <f>"Matemática"</f>
        <v>Matemática</v>
      </c>
      <c r="AF1069" s="14"/>
    </row>
    <row r="1070" spans="1:32" x14ac:dyDescent="0.3">
      <c r="A1070" s="23" t="s">
        <v>3147</v>
      </c>
      <c r="B1070" s="20" t="s">
        <v>16</v>
      </c>
      <c r="C1070" s="20" t="s">
        <v>7</v>
      </c>
      <c r="D1070" s="20" t="s">
        <v>8</v>
      </c>
      <c r="E1070" s="22">
        <v>94</v>
      </c>
      <c r="F1070" s="22">
        <v>4</v>
      </c>
      <c r="G1070" s="22">
        <v>4</v>
      </c>
      <c r="H1070" s="22"/>
      <c r="I1070" s="23" t="s">
        <v>33</v>
      </c>
      <c r="J1070" s="23"/>
      <c r="K1070" s="22"/>
      <c r="L1070" s="22"/>
      <c r="M1070" s="23"/>
      <c r="N1070" s="23"/>
      <c r="O1070" s="26" t="s">
        <v>3148</v>
      </c>
      <c r="P1070" s="26"/>
      <c r="Q1070" s="22">
        <v>44</v>
      </c>
      <c r="R1070" s="24">
        <v>45791</v>
      </c>
      <c r="S1070" s="24">
        <v>45797</v>
      </c>
      <c r="T1070" s="24"/>
      <c r="U1070" s="24"/>
      <c r="V1070" s="24">
        <v>45797</v>
      </c>
      <c r="W1070" s="22" t="s">
        <v>160</v>
      </c>
      <c r="X1070" s="4" t="str">
        <f>IF(Tabela2[[#This Row],[sigla]]="","",VLOOKUP(Tabela2[[#This Row],[sigla]],créditos_base!B:C,2,0))</f>
        <v>SERGIO LIMA/ARQUIVO DA EDITORA</v>
      </c>
      <c r="Y1070" s="23" t="s">
        <v>152</v>
      </c>
      <c r="Z1070" s="23" t="str">
        <f>Tabela2[[#This Row],[ilustrador]]</f>
        <v>SERGIO LIMA/ARQUIVO DA EDITORA</v>
      </c>
      <c r="AA1070" s="22">
        <v>13</v>
      </c>
      <c r="AB1070" s="20" t="s">
        <v>153</v>
      </c>
      <c r="AC1070" s="20" t="s">
        <v>36</v>
      </c>
      <c r="AD1070" s="4" t="str">
        <f>"Pitanguá"</f>
        <v>Pitanguá</v>
      </c>
      <c r="AE1070" s="14" t="str">
        <f>"Matemática"</f>
        <v>Matemática</v>
      </c>
      <c r="AF1070" s="14"/>
    </row>
    <row r="1071" spans="1:32" ht="28.8" x14ac:dyDescent="0.3">
      <c r="A1071" s="23" t="s">
        <v>4009</v>
      </c>
      <c r="B1071" s="20" t="s">
        <v>16</v>
      </c>
      <c r="C1071" s="20" t="s">
        <v>89</v>
      </c>
      <c r="D1071" s="20" t="s">
        <v>8</v>
      </c>
      <c r="E1071" s="22">
        <v>114</v>
      </c>
      <c r="F1071" s="22">
        <v>5</v>
      </c>
      <c r="G1071" s="22">
        <v>4</v>
      </c>
      <c r="H1071" s="22"/>
      <c r="I1071" s="23" t="s">
        <v>9</v>
      </c>
      <c r="J1071" s="23"/>
      <c r="K1071" s="22"/>
      <c r="L1071" s="22"/>
      <c r="M1071" s="23"/>
      <c r="N1071" s="23"/>
      <c r="O1071" s="26" t="s">
        <v>4010</v>
      </c>
      <c r="P1071" s="26"/>
      <c r="Q1071" s="22"/>
      <c r="R1071" s="24"/>
      <c r="S1071" s="24"/>
      <c r="T1071" s="24"/>
      <c r="U1071" s="24"/>
      <c r="V1071" s="24"/>
      <c r="W1071" s="22" t="s">
        <v>940</v>
      </c>
      <c r="X1071" s="4" t="str">
        <f>IF(Tabela2[[#This Row],[sigla]]="","",VLOOKUP(Tabela2[[#This Row],[sigla]],créditos_base!B:C,2,0))</f>
        <v>RONALDO LUCENA/ARQUIVO DA EDITORA</v>
      </c>
      <c r="Y1071" s="23"/>
      <c r="Z1071" s="23" t="str">
        <f>Tabela2[[#This Row],[ilustrador]]</f>
        <v>RONALDO LUCENA/ARQUIVO DA EDITORA</v>
      </c>
      <c r="AA1071" s="22"/>
      <c r="AB1071" s="20"/>
      <c r="AD1071" s="4" t="str">
        <f>"Pitanguá"</f>
        <v>Pitanguá</v>
      </c>
      <c r="AE1071" s="14" t="str">
        <f>"Matemática"</f>
        <v>Matemática</v>
      </c>
      <c r="AF1071" s="14"/>
    </row>
    <row r="1072" spans="1:32" ht="28.8" x14ac:dyDescent="0.3">
      <c r="A1072" s="23" t="s">
        <v>4011</v>
      </c>
      <c r="B1072" s="20" t="s">
        <v>16</v>
      </c>
      <c r="C1072" s="20" t="s">
        <v>89</v>
      </c>
      <c r="D1072" s="20" t="s">
        <v>8</v>
      </c>
      <c r="E1072" s="22">
        <v>114</v>
      </c>
      <c r="F1072" s="22">
        <v>5</v>
      </c>
      <c r="G1072" s="22">
        <v>4</v>
      </c>
      <c r="H1072" s="22"/>
      <c r="I1072" s="23" t="s">
        <v>9</v>
      </c>
      <c r="J1072" s="23"/>
      <c r="K1072" s="22"/>
      <c r="L1072" s="22"/>
      <c r="M1072" s="23"/>
      <c r="N1072" s="23"/>
      <c r="O1072" s="26" t="s">
        <v>4012</v>
      </c>
      <c r="P1072" s="26"/>
      <c r="Q1072" s="22"/>
      <c r="R1072" s="24"/>
      <c r="S1072" s="24"/>
      <c r="T1072" s="24"/>
      <c r="U1072" s="24"/>
      <c r="V1072" s="24"/>
      <c r="W1072" s="22" t="s">
        <v>940</v>
      </c>
      <c r="X1072" s="4" t="str">
        <f>IF(Tabela2[[#This Row],[sigla]]="","",VLOOKUP(Tabela2[[#This Row],[sigla]],créditos_base!B:C,2,0))</f>
        <v>RONALDO LUCENA/ARQUIVO DA EDITORA</v>
      </c>
      <c r="Y1072" s="23"/>
      <c r="Z1072" s="23" t="str">
        <f>Tabela2[[#This Row],[ilustrador]]</f>
        <v>RONALDO LUCENA/ARQUIVO DA EDITORA</v>
      </c>
      <c r="AA1072" s="22"/>
      <c r="AB1072" s="20"/>
      <c r="AD1072" s="4" t="str">
        <f>"Pitanguá"</f>
        <v>Pitanguá</v>
      </c>
      <c r="AE1072" s="14" t="str">
        <f>"Matemática"</f>
        <v>Matemática</v>
      </c>
      <c r="AF1072" s="14"/>
    </row>
    <row r="1073" spans="1:32" ht="28.8" x14ac:dyDescent="0.3">
      <c r="A1073" s="23" t="s">
        <v>5920</v>
      </c>
      <c r="B1073" s="20" t="s">
        <v>135</v>
      </c>
      <c r="C1073" s="20" t="s">
        <v>7</v>
      </c>
      <c r="D1073" s="20" t="s">
        <v>8</v>
      </c>
      <c r="E1073" s="22">
        <v>132</v>
      </c>
      <c r="F1073" s="22">
        <v>2</v>
      </c>
      <c r="G1073" s="22"/>
      <c r="H1073" s="22"/>
      <c r="I1073" s="23" t="s">
        <v>90</v>
      </c>
      <c r="J1073" s="23"/>
      <c r="K1073" s="22"/>
      <c r="L1073" s="22"/>
      <c r="M1073" s="23"/>
      <c r="N1073" s="23"/>
      <c r="O1073" s="26" t="s">
        <v>5921</v>
      </c>
      <c r="P1073" s="26"/>
      <c r="Q1073" s="22">
        <v>174</v>
      </c>
      <c r="R1073" s="24">
        <v>45898</v>
      </c>
      <c r="S1073" s="24">
        <v>45898</v>
      </c>
      <c r="T1073" s="24"/>
      <c r="U1073" s="24"/>
      <c r="V1073" s="24">
        <v>45898</v>
      </c>
      <c r="W1073" s="22" t="s">
        <v>752</v>
      </c>
      <c r="X1073" s="4" t="str">
        <f>IF(Tabela2[[#This Row],[sigla]]="","",VLOOKUP(Tabela2[[#This Row],[sigla]],créditos_base!B:C,2,0))</f>
        <v>FELIPE GRIGOLI/ARQUIVO DA EDITORA</v>
      </c>
      <c r="Y1073" s="23"/>
      <c r="Z1073" s="23" t="str">
        <f>Tabela2[[#This Row],[ilustrador]]</f>
        <v>FELIPE GRIGOLI/ARQUIVO DA EDITORA</v>
      </c>
      <c r="AA1073" s="22">
        <v>8</v>
      </c>
      <c r="AB1073" s="20" t="s">
        <v>2058</v>
      </c>
      <c r="AC1073" s="20" t="s">
        <v>36</v>
      </c>
      <c r="AD1073" s="4" t="str">
        <f>"Pitanguá"</f>
        <v>Pitanguá</v>
      </c>
      <c r="AE1073" s="14" t="str">
        <f>"Matemática"</f>
        <v>Matemática</v>
      </c>
      <c r="AF1073" s="14"/>
    </row>
    <row r="1074" spans="1:32" ht="57.6" x14ac:dyDescent="0.3">
      <c r="A1074" s="23" t="s">
        <v>3149</v>
      </c>
      <c r="B1074" s="20" t="s">
        <v>16</v>
      </c>
      <c r="C1074" s="20" t="s">
        <v>7</v>
      </c>
      <c r="D1074" s="20" t="s">
        <v>8</v>
      </c>
      <c r="E1074" s="22">
        <v>94</v>
      </c>
      <c r="F1074" s="22">
        <v>4</v>
      </c>
      <c r="G1074" s="22">
        <v>4</v>
      </c>
      <c r="H1074" s="22"/>
      <c r="I1074" s="23" t="s">
        <v>9</v>
      </c>
      <c r="J1074" s="23"/>
      <c r="K1074" s="22"/>
      <c r="L1074" s="22"/>
      <c r="M1074" s="23"/>
      <c r="N1074" s="23"/>
      <c r="O1074" s="26" t="s">
        <v>3150</v>
      </c>
      <c r="P1074" s="26"/>
      <c r="Q1074" s="22"/>
      <c r="R1074" s="24"/>
      <c r="S1074" s="24"/>
      <c r="T1074" s="24"/>
      <c r="U1074" s="24"/>
      <c r="V1074" s="24"/>
      <c r="W1074" s="22" t="s">
        <v>20</v>
      </c>
      <c r="X1074" s="4" t="str">
        <f>IF(Tabela2[[#This Row],[sigla]]="","",VLOOKUP(Tabela2[[#This Row],[sigla]],créditos_base!B:C,2,0))</f>
        <v>SONIA HORN/ARQUIVO DA EDITORA</v>
      </c>
      <c r="Y1074" s="23"/>
      <c r="Z1074" s="23" t="str">
        <f>Tabela2[[#This Row],[ilustrador]]</f>
        <v>SONIA HORN/ARQUIVO DA EDITORA</v>
      </c>
      <c r="AA1074" s="22"/>
      <c r="AB1074" s="20"/>
      <c r="AD1074" s="4" t="str">
        <f>"Pitanguá"</f>
        <v>Pitanguá</v>
      </c>
      <c r="AE1074" s="14" t="str">
        <f>"Matemática"</f>
        <v>Matemática</v>
      </c>
      <c r="AF1074" s="14"/>
    </row>
    <row r="1075" spans="1:32" ht="43.2" x14ac:dyDescent="0.3">
      <c r="A1075" s="23" t="s">
        <v>4013</v>
      </c>
      <c r="B1075" s="20" t="s">
        <v>16</v>
      </c>
      <c r="C1075" s="20" t="s">
        <v>89</v>
      </c>
      <c r="D1075" s="20" t="s">
        <v>8</v>
      </c>
      <c r="E1075" s="22">
        <v>115</v>
      </c>
      <c r="F1075" s="22">
        <v>5</v>
      </c>
      <c r="G1075" s="22">
        <v>4</v>
      </c>
      <c r="H1075" s="22"/>
      <c r="I1075" s="23" t="s">
        <v>9</v>
      </c>
      <c r="J1075" s="23"/>
      <c r="K1075" s="22"/>
      <c r="L1075" s="22"/>
      <c r="M1075" s="23"/>
      <c r="N1075" s="23"/>
      <c r="O1075" s="26" t="s">
        <v>4014</v>
      </c>
      <c r="P1075" s="26"/>
      <c r="Q1075" s="22"/>
      <c r="R1075" s="24"/>
      <c r="S1075" s="24"/>
      <c r="T1075" s="24"/>
      <c r="U1075" s="24"/>
      <c r="V1075" s="24"/>
      <c r="W1075" s="22" t="s">
        <v>940</v>
      </c>
      <c r="X1075" s="4" t="str">
        <f>IF(Tabela2[[#This Row],[sigla]]="","",VLOOKUP(Tabela2[[#This Row],[sigla]],créditos_base!B:C,2,0))</f>
        <v>RONALDO LUCENA/ARQUIVO DA EDITORA</v>
      </c>
      <c r="Y1075" s="23"/>
      <c r="Z1075" s="23" t="str">
        <f>Tabela2[[#This Row],[ilustrador]]</f>
        <v>RONALDO LUCENA/ARQUIVO DA EDITORA</v>
      </c>
      <c r="AA1075" s="22"/>
      <c r="AB1075" s="20"/>
      <c r="AD1075" s="4" t="str">
        <f>"Pitanguá"</f>
        <v>Pitanguá</v>
      </c>
      <c r="AE1075" s="14" t="str">
        <f>"Matemática"</f>
        <v>Matemática</v>
      </c>
      <c r="AF1075" s="14"/>
    </row>
    <row r="1076" spans="1:32" ht="43.2" x14ac:dyDescent="0.3">
      <c r="A1076" s="23" t="s">
        <v>3151</v>
      </c>
      <c r="B1076" s="20" t="s">
        <v>16</v>
      </c>
      <c r="C1076" s="20" t="s">
        <v>7</v>
      </c>
      <c r="D1076" s="20" t="s">
        <v>8</v>
      </c>
      <c r="E1076" s="22">
        <v>94</v>
      </c>
      <c r="F1076" s="22">
        <v>4</v>
      </c>
      <c r="G1076" s="22">
        <v>4</v>
      </c>
      <c r="H1076" s="22"/>
      <c r="I1076" s="23" t="s">
        <v>9</v>
      </c>
      <c r="J1076" s="23"/>
      <c r="K1076" s="22"/>
      <c r="L1076" s="22"/>
      <c r="M1076" s="23"/>
      <c r="N1076" s="23"/>
      <c r="O1076" s="26" t="s">
        <v>3152</v>
      </c>
      <c r="P1076" s="26"/>
      <c r="Q1076" s="22"/>
      <c r="R1076" s="24"/>
      <c r="S1076" s="24"/>
      <c r="T1076" s="24"/>
      <c r="U1076" s="24"/>
      <c r="V1076" s="24"/>
      <c r="W1076" s="22" t="s">
        <v>940</v>
      </c>
      <c r="X1076" s="4" t="str">
        <f>IF(Tabela2[[#This Row],[sigla]]="","",VLOOKUP(Tabela2[[#This Row],[sigla]],créditos_base!B:C,2,0))</f>
        <v>RONALDO LUCENA/ARQUIVO DA EDITORA</v>
      </c>
      <c r="Y1076" s="23"/>
      <c r="Z1076" s="23" t="str">
        <f>Tabela2[[#This Row],[ilustrador]]</f>
        <v>RONALDO LUCENA/ARQUIVO DA EDITORA</v>
      </c>
      <c r="AA1076" s="22"/>
      <c r="AB1076" s="20"/>
      <c r="AD1076" s="4" t="str">
        <f>"Pitanguá"</f>
        <v>Pitanguá</v>
      </c>
      <c r="AE1076" s="14" t="str">
        <f>"Matemática"</f>
        <v>Matemática</v>
      </c>
      <c r="AF1076" s="14"/>
    </row>
    <row r="1077" spans="1:32" ht="28.8" x14ac:dyDescent="0.3">
      <c r="A1077" s="23" t="s">
        <v>3153</v>
      </c>
      <c r="B1077" s="20" t="s">
        <v>6</v>
      </c>
      <c r="C1077" s="20" t="s">
        <v>89</v>
      </c>
      <c r="D1077" s="20" t="s">
        <v>8</v>
      </c>
      <c r="E1077" s="22">
        <v>95</v>
      </c>
      <c r="F1077" s="22">
        <v>4</v>
      </c>
      <c r="G1077" s="22">
        <v>4</v>
      </c>
      <c r="H1077" s="22"/>
      <c r="I1077" s="23" t="s">
        <v>9</v>
      </c>
      <c r="J1077" s="23"/>
      <c r="K1077" s="22"/>
      <c r="L1077" s="22"/>
      <c r="M1077" s="23"/>
      <c r="N1077" s="23"/>
      <c r="O1077" s="26" t="s">
        <v>3154</v>
      </c>
      <c r="P1077" s="26"/>
      <c r="Q1077" s="22"/>
      <c r="R1077" s="24"/>
      <c r="S1077" s="24"/>
      <c r="T1077" s="24"/>
      <c r="U1077" s="24"/>
      <c r="V1077" s="24"/>
      <c r="W1077" s="22" t="s">
        <v>160</v>
      </c>
      <c r="X1077" s="4" t="str">
        <f>IF(Tabela2[[#This Row],[sigla]]="","",VLOOKUP(Tabela2[[#This Row],[sigla]],créditos_base!B:C,2,0))</f>
        <v>SERGIO LIMA/ARQUIVO DA EDITORA</v>
      </c>
      <c r="Y1077" s="23"/>
      <c r="Z1077" s="23" t="str">
        <f>Tabela2[[#This Row],[ilustrador]]</f>
        <v>SERGIO LIMA/ARQUIVO DA EDITORA</v>
      </c>
      <c r="AA1077" s="22"/>
      <c r="AB1077" s="20"/>
      <c r="AD1077" s="4" t="str">
        <f>"Pitanguá"</f>
        <v>Pitanguá</v>
      </c>
      <c r="AE1077" s="14" t="str">
        <f>"Matemática"</f>
        <v>Matemática</v>
      </c>
      <c r="AF1077" s="14"/>
    </row>
    <row r="1078" spans="1:32" x14ac:dyDescent="0.3">
      <c r="A1078" s="23" t="s">
        <v>5676</v>
      </c>
      <c r="B1078" s="20" t="s">
        <v>16</v>
      </c>
      <c r="C1078" s="20" t="s">
        <v>89</v>
      </c>
      <c r="D1078" s="20" t="s">
        <v>8</v>
      </c>
      <c r="E1078" s="22">
        <v>116</v>
      </c>
      <c r="F1078" s="22">
        <v>5</v>
      </c>
      <c r="G1078" s="22">
        <v>4</v>
      </c>
      <c r="H1078" s="22"/>
      <c r="I1078" s="23" t="s">
        <v>33</v>
      </c>
      <c r="J1078" s="23"/>
      <c r="K1078" s="22"/>
      <c r="L1078" s="22"/>
      <c r="M1078" s="23"/>
      <c r="N1078" s="23"/>
      <c r="O1078" s="26" t="s">
        <v>5677</v>
      </c>
      <c r="P1078" s="26"/>
      <c r="Q1078" s="22">
        <v>136</v>
      </c>
      <c r="R1078" s="24">
        <v>45866</v>
      </c>
      <c r="S1078" s="24">
        <v>45875</v>
      </c>
      <c r="T1078" s="24"/>
      <c r="U1078" s="24"/>
      <c r="V1078" s="24">
        <v>45877</v>
      </c>
      <c r="W1078" s="22" t="s">
        <v>806</v>
      </c>
      <c r="X1078" s="4" t="str">
        <f>IF(Tabela2[[#This Row],[sigla]]="","",VLOOKUP(Tabela2[[#This Row],[sigla]],créditos_base!B:C,2,0))</f>
        <v>MARCOS MACHADO/ARQUIVO DA EDITORA</v>
      </c>
      <c r="Y1078" s="23" t="s">
        <v>243</v>
      </c>
      <c r="Z1078" s="23" t="str">
        <f>Tabela2[[#This Row],[ilustrador]]</f>
        <v>MARCOS MACHADO/ARQUIVO DA EDITORA</v>
      </c>
      <c r="AA1078" s="22">
        <v>13</v>
      </c>
      <c r="AB1078" s="20" t="s">
        <v>244</v>
      </c>
      <c r="AC1078" s="20" t="s">
        <v>36</v>
      </c>
      <c r="AD1078" s="4" t="str">
        <f>"Pitanguá"</f>
        <v>Pitanguá</v>
      </c>
      <c r="AE1078" s="14" t="str">
        <f>"Matemática"</f>
        <v>Matemática</v>
      </c>
      <c r="AF1078" s="14"/>
    </row>
    <row r="1079" spans="1:32" x14ac:dyDescent="0.3">
      <c r="A1079" s="23" t="s">
        <v>3155</v>
      </c>
      <c r="B1079" s="20" t="s">
        <v>6</v>
      </c>
      <c r="C1079" s="20" t="s">
        <v>89</v>
      </c>
      <c r="D1079" s="20" t="s">
        <v>8</v>
      </c>
      <c r="E1079" s="22">
        <v>95</v>
      </c>
      <c r="F1079" s="22">
        <v>4</v>
      </c>
      <c r="G1079" s="22">
        <v>4</v>
      </c>
      <c r="H1079" s="22"/>
      <c r="I1079" s="23" t="s">
        <v>9</v>
      </c>
      <c r="J1079" s="23"/>
      <c r="K1079" s="22"/>
      <c r="L1079" s="22"/>
      <c r="M1079" s="23"/>
      <c r="N1079" s="23"/>
      <c r="O1079" s="26" t="s">
        <v>3156</v>
      </c>
      <c r="P1079" s="26"/>
      <c r="Q1079" s="22"/>
      <c r="R1079" s="24"/>
      <c r="S1079" s="24"/>
      <c r="T1079" s="24"/>
      <c r="U1079" s="24"/>
      <c r="V1079" s="24"/>
      <c r="W1079" s="22" t="s">
        <v>160</v>
      </c>
      <c r="X1079" s="4" t="str">
        <f>IF(Tabela2[[#This Row],[sigla]]="","",VLOOKUP(Tabela2[[#This Row],[sigla]],créditos_base!B:C,2,0))</f>
        <v>SERGIO LIMA/ARQUIVO DA EDITORA</v>
      </c>
      <c r="Y1079" s="23"/>
      <c r="Z1079" s="23" t="str">
        <f>Tabela2[[#This Row],[ilustrador]]</f>
        <v>SERGIO LIMA/ARQUIVO DA EDITORA</v>
      </c>
      <c r="AA1079" s="22"/>
      <c r="AB1079" s="20"/>
      <c r="AD1079" s="4" t="str">
        <f>"Pitanguá"</f>
        <v>Pitanguá</v>
      </c>
      <c r="AE1079" s="14" t="str">
        <f>"Matemática"</f>
        <v>Matemática</v>
      </c>
      <c r="AF1079" s="14"/>
    </row>
    <row r="1080" spans="1:32" x14ac:dyDescent="0.3">
      <c r="A1080" s="23" t="s">
        <v>4015</v>
      </c>
      <c r="B1080" s="20" t="s">
        <v>16</v>
      </c>
      <c r="C1080" s="20" t="s">
        <v>89</v>
      </c>
      <c r="D1080" s="20" t="s">
        <v>8</v>
      </c>
      <c r="E1080" s="22">
        <v>116</v>
      </c>
      <c r="F1080" s="22">
        <v>5</v>
      </c>
      <c r="G1080" s="22">
        <v>4</v>
      </c>
      <c r="H1080" s="22"/>
      <c r="I1080" s="23" t="s">
        <v>9</v>
      </c>
      <c r="J1080" s="23"/>
      <c r="K1080" s="22"/>
      <c r="L1080" s="22"/>
      <c r="M1080" s="23"/>
      <c r="N1080" s="23"/>
      <c r="O1080" s="26" t="s">
        <v>4016</v>
      </c>
      <c r="P1080" s="26"/>
      <c r="Q1080" s="22"/>
      <c r="R1080" s="24"/>
      <c r="S1080" s="24"/>
      <c r="T1080" s="24"/>
      <c r="U1080" s="24"/>
      <c r="V1080" s="24"/>
      <c r="W1080" s="22" t="s">
        <v>806</v>
      </c>
      <c r="X1080" s="4" t="str">
        <f>IF(Tabela2[[#This Row],[sigla]]="","",VLOOKUP(Tabela2[[#This Row],[sigla]],créditos_base!B:C,2,0))</f>
        <v>MARCOS MACHADO/ARQUIVO DA EDITORA</v>
      </c>
      <c r="Y1080" s="23"/>
      <c r="Z1080" s="23" t="str">
        <f>Tabela2[[#This Row],[ilustrador]]</f>
        <v>MARCOS MACHADO/ARQUIVO DA EDITORA</v>
      </c>
      <c r="AA1080" s="22"/>
      <c r="AB1080" s="20"/>
      <c r="AD1080" s="4" t="str">
        <f>"Pitanguá"</f>
        <v>Pitanguá</v>
      </c>
      <c r="AE1080" s="14" t="str">
        <f>"Matemática"</f>
        <v>Matemática</v>
      </c>
      <c r="AF1080" s="14"/>
    </row>
    <row r="1081" spans="1:32" ht="28.8" x14ac:dyDescent="0.3">
      <c r="A1081" s="23" t="s">
        <v>3157</v>
      </c>
      <c r="B1081" s="20" t="s">
        <v>6</v>
      </c>
      <c r="C1081" s="20" t="s">
        <v>89</v>
      </c>
      <c r="D1081" s="20" t="s">
        <v>8</v>
      </c>
      <c r="E1081" s="22">
        <v>95</v>
      </c>
      <c r="F1081" s="22">
        <v>4</v>
      </c>
      <c r="G1081" s="22">
        <v>4</v>
      </c>
      <c r="H1081" s="22"/>
      <c r="I1081" s="23" t="s">
        <v>9</v>
      </c>
      <c r="J1081" s="23"/>
      <c r="K1081" s="22"/>
      <c r="L1081" s="22"/>
      <c r="M1081" s="23"/>
      <c r="N1081" s="23"/>
      <c r="O1081" s="26" t="s">
        <v>3158</v>
      </c>
      <c r="P1081" s="26"/>
      <c r="Q1081" s="22"/>
      <c r="R1081" s="24"/>
      <c r="S1081" s="24"/>
      <c r="T1081" s="24"/>
      <c r="U1081" s="24"/>
      <c r="V1081" s="24"/>
      <c r="W1081" s="22" t="s">
        <v>160</v>
      </c>
      <c r="X1081" s="4" t="str">
        <f>IF(Tabela2[[#This Row],[sigla]]="","",VLOOKUP(Tabela2[[#This Row],[sigla]],créditos_base!B:C,2,0))</f>
        <v>SERGIO LIMA/ARQUIVO DA EDITORA</v>
      </c>
      <c r="Y1081" s="23"/>
      <c r="Z1081" s="23" t="str">
        <f>Tabela2[[#This Row],[ilustrador]]</f>
        <v>SERGIO LIMA/ARQUIVO DA EDITORA</v>
      </c>
      <c r="AA1081" s="22"/>
      <c r="AB1081" s="20"/>
      <c r="AD1081" s="4" t="str">
        <f>"Pitanguá"</f>
        <v>Pitanguá</v>
      </c>
      <c r="AE1081" s="14" t="str">
        <f>"Matemática"</f>
        <v>Matemática</v>
      </c>
      <c r="AF1081" s="14"/>
    </row>
    <row r="1082" spans="1:32" x14ac:dyDescent="0.3">
      <c r="A1082" s="23" t="s">
        <v>3159</v>
      </c>
      <c r="B1082" s="20" t="s">
        <v>6</v>
      </c>
      <c r="C1082" s="20" t="s">
        <v>89</v>
      </c>
      <c r="D1082" s="20" t="s">
        <v>8</v>
      </c>
      <c r="E1082" s="22">
        <v>95</v>
      </c>
      <c r="F1082" s="22">
        <v>4</v>
      </c>
      <c r="G1082" s="22">
        <v>4</v>
      </c>
      <c r="H1082" s="22"/>
      <c r="I1082" s="23" t="s">
        <v>9</v>
      </c>
      <c r="J1082" s="23"/>
      <c r="K1082" s="22"/>
      <c r="L1082" s="22"/>
      <c r="M1082" s="23"/>
      <c r="N1082" s="23"/>
      <c r="O1082" s="26" t="s">
        <v>3160</v>
      </c>
      <c r="P1082" s="26"/>
      <c r="Q1082" s="22"/>
      <c r="R1082" s="24"/>
      <c r="S1082" s="24"/>
      <c r="T1082" s="24"/>
      <c r="U1082" s="24"/>
      <c r="V1082" s="24"/>
      <c r="W1082" s="22" t="s">
        <v>160</v>
      </c>
      <c r="X1082" s="4" t="str">
        <f>IF(Tabela2[[#This Row],[sigla]]="","",VLOOKUP(Tabela2[[#This Row],[sigla]],créditos_base!B:C,2,0))</f>
        <v>SERGIO LIMA/ARQUIVO DA EDITORA</v>
      </c>
      <c r="Y1082" s="23"/>
      <c r="Z1082" s="23" t="str">
        <f>Tabela2[[#This Row],[ilustrador]]</f>
        <v>SERGIO LIMA/ARQUIVO DA EDITORA</v>
      </c>
      <c r="AA1082" s="22"/>
      <c r="AB1082" s="20"/>
      <c r="AD1082" s="4" t="str">
        <f>"Pitanguá"</f>
        <v>Pitanguá</v>
      </c>
      <c r="AE1082" s="14" t="str">
        <f>"Matemática"</f>
        <v>Matemática</v>
      </c>
      <c r="AF1082" s="14"/>
    </row>
    <row r="1083" spans="1:32" ht="28.8" x14ac:dyDescent="0.3">
      <c r="A1083" s="23" t="s">
        <v>4020</v>
      </c>
      <c r="B1083" s="20" t="s">
        <v>16</v>
      </c>
      <c r="C1083" s="20" t="s">
        <v>7</v>
      </c>
      <c r="D1083" s="20" t="s">
        <v>8</v>
      </c>
      <c r="E1083" s="22">
        <v>118</v>
      </c>
      <c r="F1083" s="22">
        <v>5</v>
      </c>
      <c r="G1083" s="22">
        <v>4</v>
      </c>
      <c r="H1083" s="22"/>
      <c r="I1083" s="23" t="s">
        <v>9</v>
      </c>
      <c r="J1083" s="23"/>
      <c r="K1083" s="22"/>
      <c r="L1083" s="22"/>
      <c r="M1083" s="23"/>
      <c r="N1083" s="23"/>
      <c r="O1083" s="26" t="s">
        <v>4021</v>
      </c>
      <c r="P1083" s="26"/>
      <c r="Q1083" s="22"/>
      <c r="R1083" s="24"/>
      <c r="S1083" s="24"/>
      <c r="T1083" s="24"/>
      <c r="U1083" s="24"/>
      <c r="V1083" s="24"/>
      <c r="W1083" s="22" t="s">
        <v>3382</v>
      </c>
      <c r="X1083" s="4" t="str">
        <f>IF(Tabela2[[#This Row],[sigla]]="","",VLOOKUP(Tabela2[[#This Row],[sigla]],créditos_base!B:C,2,0))</f>
        <v>LEONARDO MARI/ARQUIVO DA EDITORA</v>
      </c>
      <c r="Y1083" s="23"/>
      <c r="Z1083" s="23" t="str">
        <f>Tabela2[[#This Row],[ilustrador]]</f>
        <v>LEONARDO MARI/ARQUIVO DA EDITORA</v>
      </c>
      <c r="AA1083" s="22"/>
      <c r="AB1083" s="20"/>
      <c r="AD1083" s="4" t="str">
        <f>"Pitanguá"</f>
        <v>Pitanguá</v>
      </c>
      <c r="AE1083" s="14" t="str">
        <f>"Matemática"</f>
        <v>Matemática</v>
      </c>
      <c r="AF1083" s="14"/>
    </row>
    <row r="1084" spans="1:32" ht="28.8" x14ac:dyDescent="0.3">
      <c r="A1084" s="23" t="s">
        <v>3161</v>
      </c>
      <c r="B1084" s="20" t="s">
        <v>6</v>
      </c>
      <c r="C1084" s="20" t="s">
        <v>89</v>
      </c>
      <c r="D1084" s="20" t="s">
        <v>8</v>
      </c>
      <c r="E1084" s="22">
        <v>95</v>
      </c>
      <c r="F1084" s="22">
        <v>4</v>
      </c>
      <c r="G1084" s="22">
        <v>4</v>
      </c>
      <c r="H1084" s="22"/>
      <c r="I1084" s="23" t="s">
        <v>9</v>
      </c>
      <c r="J1084" s="23"/>
      <c r="K1084" s="22"/>
      <c r="L1084" s="22"/>
      <c r="M1084" s="23"/>
      <c r="N1084" s="23"/>
      <c r="O1084" s="26" t="s">
        <v>3162</v>
      </c>
      <c r="P1084" s="26"/>
      <c r="Q1084" s="22"/>
      <c r="R1084" s="24"/>
      <c r="S1084" s="24"/>
      <c r="T1084" s="24"/>
      <c r="U1084" s="24"/>
      <c r="V1084" s="24"/>
      <c r="W1084" s="22" t="s">
        <v>160</v>
      </c>
      <c r="X1084" s="4" t="str">
        <f>IF(Tabela2[[#This Row],[sigla]]="","",VLOOKUP(Tabela2[[#This Row],[sigla]],créditos_base!B:C,2,0))</f>
        <v>SERGIO LIMA/ARQUIVO DA EDITORA</v>
      </c>
      <c r="Y1084" s="23"/>
      <c r="Z1084" s="23" t="str">
        <f>Tabela2[[#This Row],[ilustrador]]</f>
        <v>SERGIO LIMA/ARQUIVO DA EDITORA</v>
      </c>
      <c r="AA1084" s="22"/>
      <c r="AB1084" s="20"/>
      <c r="AD1084" s="4" t="str">
        <f>"Pitanguá"</f>
        <v>Pitanguá</v>
      </c>
      <c r="AE1084" s="14" t="str">
        <f>"Matemática"</f>
        <v>Matemática</v>
      </c>
      <c r="AF1084" s="14"/>
    </row>
    <row r="1085" spans="1:32" ht="28.8" x14ac:dyDescent="0.3">
      <c r="A1085" s="23" t="s">
        <v>3163</v>
      </c>
      <c r="B1085" s="20" t="s">
        <v>6</v>
      </c>
      <c r="C1085" s="20" t="s">
        <v>89</v>
      </c>
      <c r="D1085" s="20" t="s">
        <v>8</v>
      </c>
      <c r="E1085" s="22">
        <v>95</v>
      </c>
      <c r="F1085" s="22">
        <v>4</v>
      </c>
      <c r="G1085" s="22">
        <v>4</v>
      </c>
      <c r="H1085" s="22"/>
      <c r="I1085" s="23" t="s">
        <v>9</v>
      </c>
      <c r="J1085" s="23"/>
      <c r="K1085" s="22"/>
      <c r="L1085" s="22"/>
      <c r="M1085" s="23"/>
      <c r="N1085" s="23"/>
      <c r="O1085" s="26" t="s">
        <v>3164</v>
      </c>
      <c r="P1085" s="26"/>
      <c r="Q1085" s="22"/>
      <c r="R1085" s="24"/>
      <c r="S1085" s="24"/>
      <c r="T1085" s="24"/>
      <c r="U1085" s="24"/>
      <c r="V1085" s="24"/>
      <c r="W1085" s="22" t="s">
        <v>160</v>
      </c>
      <c r="X1085" s="4" t="str">
        <f>IF(Tabela2[[#This Row],[sigla]]="","",VLOOKUP(Tabela2[[#This Row],[sigla]],créditos_base!B:C,2,0))</f>
        <v>SERGIO LIMA/ARQUIVO DA EDITORA</v>
      </c>
      <c r="Y1085" s="23"/>
      <c r="Z1085" s="23" t="str">
        <f>Tabela2[[#This Row],[ilustrador]]</f>
        <v>SERGIO LIMA/ARQUIVO DA EDITORA</v>
      </c>
      <c r="AA1085" s="22"/>
      <c r="AB1085" s="20"/>
      <c r="AD1085" s="4" t="str">
        <f>"Pitanguá"</f>
        <v>Pitanguá</v>
      </c>
      <c r="AE1085" s="14" t="str">
        <f>"Matemática"</f>
        <v>Matemática</v>
      </c>
      <c r="AF1085" s="14"/>
    </row>
    <row r="1086" spans="1:32" ht="28.8" x14ac:dyDescent="0.3">
      <c r="A1086" s="23" t="s">
        <v>4022</v>
      </c>
      <c r="B1086" s="20" t="s">
        <v>16</v>
      </c>
      <c r="C1086" s="20" t="s">
        <v>89</v>
      </c>
      <c r="D1086" s="20" t="s">
        <v>8</v>
      </c>
      <c r="E1086" s="22">
        <v>118</v>
      </c>
      <c r="F1086" s="22">
        <v>5</v>
      </c>
      <c r="G1086" s="22">
        <v>4</v>
      </c>
      <c r="H1086" s="22"/>
      <c r="I1086" s="23" t="s">
        <v>9</v>
      </c>
      <c r="J1086" s="23"/>
      <c r="K1086" s="22"/>
      <c r="L1086" s="22"/>
      <c r="M1086" s="23"/>
      <c r="N1086" s="23"/>
      <c r="O1086" s="26" t="s">
        <v>4023</v>
      </c>
      <c r="P1086" s="26"/>
      <c r="Q1086" s="22"/>
      <c r="R1086" s="24"/>
      <c r="S1086" s="24"/>
      <c r="T1086" s="24"/>
      <c r="U1086" s="24"/>
      <c r="V1086" s="24"/>
      <c r="W1086" s="22" t="s">
        <v>3382</v>
      </c>
      <c r="X1086" s="4" t="str">
        <f>IF(Tabela2[[#This Row],[sigla]]="","",VLOOKUP(Tabela2[[#This Row],[sigla]],créditos_base!B:C,2,0))</f>
        <v>LEONARDO MARI/ARQUIVO DA EDITORA</v>
      </c>
      <c r="Y1086" s="23"/>
      <c r="Z1086" s="23" t="str">
        <f>Tabela2[[#This Row],[ilustrador]]</f>
        <v>LEONARDO MARI/ARQUIVO DA EDITORA</v>
      </c>
      <c r="AA1086" s="22"/>
      <c r="AB1086" s="20"/>
      <c r="AD1086" s="4" t="str">
        <f>"Pitanguá"</f>
        <v>Pitanguá</v>
      </c>
      <c r="AE1086" s="14" t="str">
        <f>"Matemática"</f>
        <v>Matemática</v>
      </c>
      <c r="AF1086" s="14"/>
    </row>
    <row r="1087" spans="1:32" ht="43.2" x14ac:dyDescent="0.3">
      <c r="A1087" s="23" t="s">
        <v>3165</v>
      </c>
      <c r="B1087" s="20" t="s">
        <v>6</v>
      </c>
      <c r="C1087" s="20" t="s">
        <v>89</v>
      </c>
      <c r="D1087" s="20" t="s">
        <v>8</v>
      </c>
      <c r="E1087" s="22">
        <v>95</v>
      </c>
      <c r="F1087" s="22">
        <v>4</v>
      </c>
      <c r="G1087" s="22">
        <v>4</v>
      </c>
      <c r="H1087" s="22"/>
      <c r="I1087" s="23" t="s">
        <v>9</v>
      </c>
      <c r="J1087" s="23"/>
      <c r="K1087" s="22"/>
      <c r="L1087" s="22"/>
      <c r="M1087" s="23"/>
      <c r="N1087" s="23"/>
      <c r="O1087" s="33" t="s">
        <v>3166</v>
      </c>
      <c r="P1087" s="26"/>
      <c r="Q1087" s="22"/>
      <c r="R1087" s="24"/>
      <c r="S1087" s="24"/>
      <c r="T1087" s="24"/>
      <c r="U1087" s="24"/>
      <c r="V1087" s="24"/>
      <c r="W1087" s="22" t="s">
        <v>160</v>
      </c>
      <c r="X1087" s="4" t="str">
        <f>IF(Tabela2[[#This Row],[sigla]]="","",VLOOKUP(Tabela2[[#This Row],[sigla]],créditos_base!B:C,2,0))</f>
        <v>SERGIO LIMA/ARQUIVO DA EDITORA</v>
      </c>
      <c r="Y1087" s="23"/>
      <c r="Z1087" s="23" t="str">
        <f>Tabela2[[#This Row],[ilustrador]]</f>
        <v>SERGIO LIMA/ARQUIVO DA EDITORA</v>
      </c>
      <c r="AA1087" s="22"/>
      <c r="AB1087" s="20"/>
      <c r="AD1087" s="4" t="str">
        <f>"Pitanguá"</f>
        <v>Pitanguá</v>
      </c>
      <c r="AE1087" s="14" t="str">
        <f>"Matemática"</f>
        <v>Matemática</v>
      </c>
      <c r="AF1087" s="14"/>
    </row>
    <row r="1088" spans="1:32" x14ac:dyDescent="0.3">
      <c r="A1088" s="23" t="s">
        <v>4024</v>
      </c>
      <c r="B1088" s="20" t="s">
        <v>6</v>
      </c>
      <c r="C1088" s="20" t="s">
        <v>89</v>
      </c>
      <c r="D1088" s="20" t="s">
        <v>8</v>
      </c>
      <c r="E1088" s="22">
        <v>95</v>
      </c>
      <c r="F1088" s="22">
        <v>5</v>
      </c>
      <c r="G1088" s="22">
        <v>4</v>
      </c>
      <c r="H1088" s="22"/>
      <c r="I1088" s="23" t="s">
        <v>33</v>
      </c>
      <c r="J1088" s="23"/>
      <c r="K1088" s="22"/>
      <c r="L1088" s="22"/>
      <c r="M1088" s="23"/>
      <c r="N1088" s="23"/>
      <c r="O1088" s="26" t="s">
        <v>4025</v>
      </c>
      <c r="P1088" s="26"/>
      <c r="Q1088" s="22">
        <v>57</v>
      </c>
      <c r="R1088" s="24">
        <v>45805</v>
      </c>
      <c r="S1088" s="24">
        <v>45811</v>
      </c>
      <c r="T1088" s="24"/>
      <c r="U1088" s="24"/>
      <c r="V1088" s="24">
        <v>45811</v>
      </c>
      <c r="W1088" s="22" t="s">
        <v>940</v>
      </c>
      <c r="X1088" s="4" t="str">
        <f>IF(Tabela2[[#This Row],[sigla]]="","",VLOOKUP(Tabela2[[#This Row],[sigla]],créditos_base!B:C,2,0))</f>
        <v>RONALDO LUCENA/ARQUIVO DA EDITORA</v>
      </c>
      <c r="Y1088" s="23" t="s">
        <v>1503</v>
      </c>
      <c r="Z1088" s="23" t="str">
        <f>Tabela2[[#This Row],[ilustrador]]</f>
        <v>RONALDO LUCENA/ARQUIVO DA EDITORA</v>
      </c>
      <c r="AA1088" s="22"/>
      <c r="AB1088" s="28" t="s">
        <v>41</v>
      </c>
      <c r="AC1088" s="20" t="s">
        <v>36</v>
      </c>
      <c r="AD1088" s="4" t="str">
        <f>"Pitanguá"</f>
        <v>Pitanguá</v>
      </c>
      <c r="AE1088" s="14" t="str">
        <f>"Matemática"</f>
        <v>Matemática</v>
      </c>
      <c r="AF1088" s="14"/>
    </row>
    <row r="1089" spans="1:32" ht="57.6" x14ac:dyDescent="0.3">
      <c r="A1089" s="23" t="s">
        <v>4026</v>
      </c>
      <c r="B1089" s="20" t="s">
        <v>6</v>
      </c>
      <c r="C1089" s="20" t="s">
        <v>89</v>
      </c>
      <c r="D1089" s="20" t="s">
        <v>8</v>
      </c>
      <c r="E1089" s="22">
        <v>95</v>
      </c>
      <c r="F1089" s="22">
        <v>5</v>
      </c>
      <c r="G1089" s="22">
        <v>4</v>
      </c>
      <c r="H1089" s="22"/>
      <c r="I1089" s="23" t="s">
        <v>33</v>
      </c>
      <c r="J1089" s="23"/>
      <c r="K1089" s="22"/>
      <c r="L1089" s="22"/>
      <c r="M1089" s="23"/>
      <c r="N1089" s="23"/>
      <c r="O1089" s="26" t="s">
        <v>4027</v>
      </c>
      <c r="P1089" s="26"/>
      <c r="Q1089" s="22">
        <v>57</v>
      </c>
      <c r="R1089" s="24">
        <v>45805</v>
      </c>
      <c r="S1089" s="24">
        <v>45811</v>
      </c>
      <c r="T1089" s="24"/>
      <c r="U1089" s="24"/>
      <c r="V1089" s="24">
        <v>45811</v>
      </c>
      <c r="W1089" s="22" t="s">
        <v>940</v>
      </c>
      <c r="X1089" s="4" t="str">
        <f>IF(Tabela2[[#This Row],[sigla]]="","",VLOOKUP(Tabela2[[#This Row],[sigla]],créditos_base!B:C,2,0))</f>
        <v>RONALDO LUCENA/ARQUIVO DA EDITORA</v>
      </c>
      <c r="Y1089" s="23" t="s">
        <v>1503</v>
      </c>
      <c r="Z1089" s="23" t="str">
        <f>Tabela2[[#This Row],[ilustrador]]</f>
        <v>RONALDO LUCENA/ARQUIVO DA EDITORA</v>
      </c>
      <c r="AA1089" s="22"/>
      <c r="AB1089" s="28" t="s">
        <v>41</v>
      </c>
      <c r="AC1089" s="20" t="s">
        <v>36</v>
      </c>
      <c r="AD1089" s="4" t="str">
        <f>"Pitanguá"</f>
        <v>Pitanguá</v>
      </c>
      <c r="AE1089" s="14" t="str">
        <f>"Matemática"</f>
        <v>Matemática</v>
      </c>
      <c r="AF1089" s="14"/>
    </row>
    <row r="1090" spans="1:32" x14ac:dyDescent="0.3">
      <c r="A1090" s="23" t="s">
        <v>4028</v>
      </c>
      <c r="B1090" s="20" t="s">
        <v>6</v>
      </c>
      <c r="C1090" s="20" t="s">
        <v>89</v>
      </c>
      <c r="D1090" s="20" t="s">
        <v>8</v>
      </c>
      <c r="E1090" s="22">
        <v>95</v>
      </c>
      <c r="F1090" s="22">
        <v>5</v>
      </c>
      <c r="G1090" s="22">
        <v>4</v>
      </c>
      <c r="H1090" s="22"/>
      <c r="I1090" s="23" t="s">
        <v>9</v>
      </c>
      <c r="J1090" s="23"/>
      <c r="K1090" s="22"/>
      <c r="L1090" s="22"/>
      <c r="M1090" s="23"/>
      <c r="N1090" s="23"/>
      <c r="O1090" s="26" t="s">
        <v>4029</v>
      </c>
      <c r="P1090" s="26"/>
      <c r="Q1090" s="22"/>
      <c r="R1090" s="24"/>
      <c r="S1090" s="24"/>
      <c r="T1090" s="24"/>
      <c r="U1090" s="24"/>
      <c r="V1090" s="24"/>
      <c r="W1090" s="22" t="s">
        <v>4030</v>
      </c>
      <c r="X1090" s="4" t="str">
        <f>IF(Tabela2[[#This Row],[sigla]]="","",VLOOKUP(Tabela2[[#This Row],[sigla]],créditos_base!B:C,2,0))</f>
        <v>GUSTAVO CONTI/ARQUIVO DA EDITORA</v>
      </c>
      <c r="Y1090" s="23"/>
      <c r="Z1090" s="23" t="str">
        <f>Tabela2[[#This Row],[ilustrador]]</f>
        <v>GUSTAVO CONTI/ARQUIVO DA EDITORA</v>
      </c>
      <c r="AA1090" s="22"/>
      <c r="AB1090" s="20"/>
      <c r="AD1090" s="4" t="str">
        <f>"Pitanguá"</f>
        <v>Pitanguá</v>
      </c>
      <c r="AE1090" s="14" t="str">
        <f>"Matemática"</f>
        <v>Matemática</v>
      </c>
      <c r="AF1090" s="14"/>
    </row>
    <row r="1091" spans="1:32" ht="28.8" x14ac:dyDescent="0.3">
      <c r="A1091" s="23" t="s">
        <v>5148</v>
      </c>
      <c r="B1091" s="20" t="s">
        <v>16</v>
      </c>
      <c r="C1091" s="20" t="s">
        <v>7</v>
      </c>
      <c r="D1091" s="20" t="s">
        <v>8</v>
      </c>
      <c r="E1091" s="22">
        <v>107</v>
      </c>
      <c r="F1091" s="22">
        <v>4</v>
      </c>
      <c r="G1091" s="22">
        <v>4</v>
      </c>
      <c r="H1091" s="22"/>
      <c r="I1091" s="23" t="s">
        <v>9</v>
      </c>
      <c r="J1091" s="23"/>
      <c r="K1091" s="22"/>
      <c r="L1091" s="22"/>
      <c r="M1091" s="23"/>
      <c r="N1091" s="23"/>
      <c r="O1091" s="26" t="s">
        <v>5149</v>
      </c>
      <c r="P1091" s="26"/>
      <c r="Q1091" s="22"/>
      <c r="R1091" s="24"/>
      <c r="S1091" s="24"/>
      <c r="T1091" s="24"/>
      <c r="U1091" s="24"/>
      <c r="V1091" s="24"/>
      <c r="W1091" s="22" t="s">
        <v>160</v>
      </c>
      <c r="X1091" s="4" t="str">
        <f>IF(Tabela2[[#This Row],[sigla]]="","",VLOOKUP(Tabela2[[#This Row],[sigla]],créditos_base!B:C,2,0))</f>
        <v>SERGIO LIMA/ARQUIVO DA EDITORA</v>
      </c>
      <c r="Y1091" s="23"/>
      <c r="Z1091" s="23" t="str">
        <f>Tabela2[[#This Row],[ilustrador]]</f>
        <v>SERGIO LIMA/ARQUIVO DA EDITORA</v>
      </c>
      <c r="AA1091" s="22"/>
      <c r="AB1091" s="20"/>
      <c r="AD1091" s="4" t="str">
        <f>"Pitanguá"</f>
        <v>Pitanguá</v>
      </c>
      <c r="AE1091" s="14" t="str">
        <f>"Matemática"</f>
        <v>Matemática</v>
      </c>
      <c r="AF1091" s="14"/>
    </row>
    <row r="1092" spans="1:32" x14ac:dyDescent="0.3">
      <c r="A1092" s="23" t="s">
        <v>5143</v>
      </c>
      <c r="B1092" s="20" t="s">
        <v>16</v>
      </c>
      <c r="C1092" s="20" t="s">
        <v>89</v>
      </c>
      <c r="D1092" s="20" t="s">
        <v>8</v>
      </c>
      <c r="E1092" s="22">
        <v>93</v>
      </c>
      <c r="F1092" s="22">
        <v>4</v>
      </c>
      <c r="G1092" s="22">
        <v>4</v>
      </c>
      <c r="H1092" s="22"/>
      <c r="I1092" s="23" t="s">
        <v>90</v>
      </c>
      <c r="J1092" s="23"/>
      <c r="K1092" s="22"/>
      <c r="L1092" s="22"/>
      <c r="M1092" s="23"/>
      <c r="N1092" s="23"/>
      <c r="O1092" s="26" t="s">
        <v>5144</v>
      </c>
      <c r="P1092" s="26"/>
      <c r="Q1092" s="22">
        <v>101</v>
      </c>
      <c r="R1092" s="24">
        <v>45846</v>
      </c>
      <c r="S1092" s="24">
        <v>45856</v>
      </c>
      <c r="T1092" s="24"/>
      <c r="U1092" s="24"/>
      <c r="V1092" s="24">
        <v>45856</v>
      </c>
      <c r="W1092" s="22" t="s">
        <v>5145</v>
      </c>
      <c r="X1092" s="4" t="str">
        <f>IF(Tabela2[[#This Row],[sigla]]="","",VLOOKUP(Tabela2[[#This Row],[sigla]],créditos_base!B:C,2,0))</f>
        <v>NICOLAS FURTADO/ARQUIVO DA EDITORA</v>
      </c>
      <c r="Y1092" s="23"/>
      <c r="Z1092" s="23" t="str">
        <f>Tabela2[[#This Row],[ilustrador]]</f>
        <v>NICOLAS FURTADO/ARQUIVO DA EDITORA</v>
      </c>
      <c r="AA1092" s="22">
        <v>8</v>
      </c>
      <c r="AB1092" s="20" t="s">
        <v>954</v>
      </c>
      <c r="AC1092" s="20" t="s">
        <v>36</v>
      </c>
      <c r="AD1092" s="4" t="str">
        <f>"Pitanguá"</f>
        <v>Pitanguá</v>
      </c>
      <c r="AE1092" s="14" t="str">
        <f>"Matemática"</f>
        <v>Matemática</v>
      </c>
      <c r="AF1092" s="14"/>
    </row>
    <row r="1093" spans="1:32" ht="28.8" x14ac:dyDescent="0.3">
      <c r="A1093" s="23" t="s">
        <v>5671</v>
      </c>
      <c r="B1093" s="20" t="s">
        <v>16</v>
      </c>
      <c r="C1093" s="20" t="s">
        <v>7</v>
      </c>
      <c r="D1093" s="20" t="s">
        <v>8</v>
      </c>
      <c r="E1093" s="22">
        <v>112</v>
      </c>
      <c r="F1093" s="22">
        <v>5</v>
      </c>
      <c r="G1093" s="22">
        <v>4</v>
      </c>
      <c r="H1093" s="22"/>
      <c r="I1093" s="23" t="s">
        <v>90</v>
      </c>
      <c r="J1093" s="23"/>
      <c r="K1093" s="22"/>
      <c r="L1093" s="22"/>
      <c r="M1093" s="23"/>
      <c r="N1093" s="23"/>
      <c r="O1093" s="26" t="s">
        <v>5672</v>
      </c>
      <c r="P1093" s="26"/>
      <c r="Q1093" s="22">
        <v>136</v>
      </c>
      <c r="R1093" s="24">
        <v>45866</v>
      </c>
      <c r="S1093" s="24">
        <v>45875</v>
      </c>
      <c r="T1093" s="24"/>
      <c r="U1093" s="24"/>
      <c r="V1093" s="24">
        <v>45881</v>
      </c>
      <c r="W1093" s="22" t="s">
        <v>72</v>
      </c>
      <c r="X1093" s="4" t="str">
        <f>IF(Tabela2[[#This Row],[sigla]]="","",VLOOKUP(Tabela2[[#This Row],[sigla]],créditos_base!B:C,2,0))</f>
        <v>HELOÍSA PINTARELLI/ARQUIVO DA EDITORA</v>
      </c>
      <c r="Y1093" s="23"/>
      <c r="Z1093" s="23" t="str">
        <f>Tabela2[[#This Row],[ilustrador]]</f>
        <v>HELOÍSA PINTARELLI/ARQUIVO DA EDITORA</v>
      </c>
      <c r="AA1093" s="22">
        <v>7</v>
      </c>
      <c r="AB1093" s="20" t="s">
        <v>5673</v>
      </c>
      <c r="AC1093" s="20" t="s">
        <v>310</v>
      </c>
      <c r="AD1093" s="4" t="str">
        <f>"Pitanguá"</f>
        <v>Pitanguá</v>
      </c>
      <c r="AE1093" s="14" t="str">
        <f>"Matemática"</f>
        <v>Matemática</v>
      </c>
      <c r="AF1093" s="14"/>
    </row>
    <row r="1094" spans="1:32" ht="57.6" x14ac:dyDescent="0.3">
      <c r="A1094" s="23" t="s">
        <v>2145</v>
      </c>
      <c r="B1094" s="20" t="s">
        <v>16</v>
      </c>
      <c r="C1094" s="20" t="s">
        <v>89</v>
      </c>
      <c r="D1094" s="20" t="s">
        <v>8</v>
      </c>
      <c r="E1094" s="22">
        <v>93</v>
      </c>
      <c r="F1094" s="22">
        <v>3</v>
      </c>
      <c r="G1094" s="22">
        <v>5</v>
      </c>
      <c r="H1094" s="22"/>
      <c r="I1094" s="23" t="s">
        <v>33</v>
      </c>
      <c r="J1094" s="23"/>
      <c r="K1094" s="22"/>
      <c r="L1094" s="22"/>
      <c r="M1094" s="23"/>
      <c r="N1094" s="23"/>
      <c r="O1094" s="26" t="s">
        <v>2146</v>
      </c>
      <c r="P1094" s="26"/>
      <c r="Q1094" s="22">
        <v>124</v>
      </c>
      <c r="R1094" s="24">
        <v>45861</v>
      </c>
      <c r="S1094" s="24">
        <v>45862</v>
      </c>
      <c r="T1094" s="24"/>
      <c r="U1094" s="24"/>
      <c r="V1094" s="24">
        <v>45862</v>
      </c>
      <c r="W1094" s="22" t="s">
        <v>160</v>
      </c>
      <c r="X1094" s="4" t="str">
        <f>IF(Tabela2[[#This Row],[sigla]]="","",VLOOKUP(Tabela2[[#This Row],[sigla]],créditos_base!B:C,2,0))</f>
        <v>SERGIO LIMA/ARQUIVO DA EDITORA</v>
      </c>
      <c r="Y1094" s="23" t="s">
        <v>152</v>
      </c>
      <c r="Z1094" s="23" t="str">
        <f>Tabela2[[#This Row],[ilustrador]]</f>
        <v>SERGIO LIMA/ARQUIVO DA EDITORA</v>
      </c>
      <c r="AA1094" s="22">
        <v>13</v>
      </c>
      <c r="AB1094" s="20" t="s">
        <v>244</v>
      </c>
      <c r="AC1094" s="20" t="s">
        <v>36</v>
      </c>
      <c r="AD1094" s="4" t="str">
        <f>"Pitanguá"</f>
        <v>Pitanguá</v>
      </c>
      <c r="AE1094" s="14" t="str">
        <f>"Matemática"</f>
        <v>Matemática</v>
      </c>
      <c r="AF1094" s="14"/>
    </row>
    <row r="1095" spans="1:32" ht="28.8" x14ac:dyDescent="0.3">
      <c r="A1095" s="23" t="s">
        <v>3167</v>
      </c>
      <c r="B1095" s="20" t="s">
        <v>16</v>
      </c>
      <c r="C1095" s="20" t="s">
        <v>7</v>
      </c>
      <c r="D1095" s="20" t="s">
        <v>8</v>
      </c>
      <c r="E1095" s="22">
        <v>110</v>
      </c>
      <c r="F1095" s="22">
        <v>4</v>
      </c>
      <c r="G1095" s="22">
        <v>5</v>
      </c>
      <c r="H1095" s="22"/>
      <c r="I1095" s="23" t="s">
        <v>33</v>
      </c>
      <c r="J1095" s="23"/>
      <c r="K1095" s="22"/>
      <c r="L1095" s="22"/>
      <c r="M1095" s="23"/>
      <c r="N1095" s="23"/>
      <c r="O1095" s="26" t="s">
        <v>3168</v>
      </c>
      <c r="P1095" s="26"/>
      <c r="Q1095" s="22">
        <v>107</v>
      </c>
      <c r="R1095" s="24">
        <v>45850</v>
      </c>
      <c r="S1095" s="24">
        <v>45853</v>
      </c>
      <c r="T1095" s="24"/>
      <c r="U1095" s="24"/>
      <c r="V1095" s="24">
        <v>45856</v>
      </c>
      <c r="W1095" s="22" t="s">
        <v>546</v>
      </c>
      <c r="X1095" s="4" t="str">
        <f>IF(Tabela2[[#This Row],[sigla]]="","",VLOOKUP(Tabela2[[#This Row],[sigla]],créditos_base!B:C,2,0))</f>
        <v>GUILHERME ARANEGA/ARQUIVO DA EDITORA</v>
      </c>
      <c r="Y1095" s="23" t="s">
        <v>243</v>
      </c>
      <c r="Z1095" s="23" t="str">
        <f>Tabela2[[#This Row],[ilustrador]]</f>
        <v>GUILHERME ARANEGA/ARQUIVO DA EDITORA</v>
      </c>
      <c r="AA1095" s="22">
        <v>13</v>
      </c>
      <c r="AB1095" s="20" t="s">
        <v>244</v>
      </c>
      <c r="AC1095" s="20" t="s">
        <v>36</v>
      </c>
      <c r="AD1095" s="4" t="str">
        <f>"Pitanguá"</f>
        <v>Pitanguá</v>
      </c>
      <c r="AE1095" s="14" t="str">
        <f>"Matemática"</f>
        <v>Matemática</v>
      </c>
      <c r="AF1095" s="14"/>
    </row>
    <row r="1096" spans="1:32" x14ac:dyDescent="0.3">
      <c r="A1096" s="23" t="s">
        <v>4044</v>
      </c>
      <c r="B1096" s="20" t="s">
        <v>16</v>
      </c>
      <c r="C1096" s="20" t="s">
        <v>89</v>
      </c>
      <c r="D1096" s="20" t="s">
        <v>8</v>
      </c>
      <c r="E1096" s="22">
        <v>122</v>
      </c>
      <c r="F1096" s="22">
        <v>5</v>
      </c>
      <c r="G1096" s="22">
        <v>5</v>
      </c>
      <c r="H1096" s="22"/>
      <c r="I1096" s="23" t="s">
        <v>33</v>
      </c>
      <c r="J1096" s="23"/>
      <c r="K1096" s="22"/>
      <c r="L1096" s="22"/>
      <c r="M1096" s="23"/>
      <c r="N1096" s="23"/>
      <c r="O1096" s="26" t="s">
        <v>4045</v>
      </c>
      <c r="P1096" s="26"/>
      <c r="Q1096" s="22">
        <v>218</v>
      </c>
      <c r="R1096" s="24">
        <v>45936</v>
      </c>
      <c r="S1096" s="24">
        <v>45936</v>
      </c>
      <c r="T1096" s="24"/>
      <c r="U1096" s="24"/>
      <c r="V1096" s="24">
        <v>45936</v>
      </c>
      <c r="W1096" s="22" t="s">
        <v>940</v>
      </c>
      <c r="X1096" s="4" t="str">
        <f>IF(Tabela2[[#This Row],[sigla]]="","",VLOOKUP(Tabela2[[#This Row],[sigla]],créditos_base!B:C,2,0))</f>
        <v>RONALDO LUCENA/ARQUIVO DA EDITORA</v>
      </c>
      <c r="Y1096" s="23" t="s">
        <v>696</v>
      </c>
      <c r="Z1096" s="23" t="str">
        <f>Tabela2[[#This Row],[ilustrador]]</f>
        <v>RONALDO LUCENA/ARQUIVO DA EDITORA</v>
      </c>
      <c r="AA1096" s="22">
        <v>13</v>
      </c>
      <c r="AB1096" s="20" t="s">
        <v>244</v>
      </c>
      <c r="AD1096" s="4" t="str">
        <f>"Pitanguá"</f>
        <v>Pitanguá</v>
      </c>
      <c r="AE1096" s="14" t="str">
        <f>"Matemática"</f>
        <v>Matemática</v>
      </c>
      <c r="AF1096" s="14"/>
    </row>
    <row r="1097" spans="1:32" ht="28.8" x14ac:dyDescent="0.3">
      <c r="A1097" s="23" t="s">
        <v>172</v>
      </c>
      <c r="B1097" s="20" t="s">
        <v>16</v>
      </c>
      <c r="C1097" s="20" t="s">
        <v>7</v>
      </c>
      <c r="D1097" s="20" t="s">
        <v>8</v>
      </c>
      <c r="E1097" s="22">
        <v>84</v>
      </c>
      <c r="F1097" s="22">
        <v>1</v>
      </c>
      <c r="G1097" s="22">
        <v>5</v>
      </c>
      <c r="H1097" s="22"/>
      <c r="I1097" s="23" t="s">
        <v>9</v>
      </c>
      <c r="J1097" s="23"/>
      <c r="K1097" s="22"/>
      <c r="L1097" s="22"/>
      <c r="M1097" s="23"/>
      <c r="N1097" s="23"/>
      <c r="O1097" s="26" t="s">
        <v>173</v>
      </c>
      <c r="P1097" s="26"/>
      <c r="Q1097" s="22"/>
      <c r="R1097" s="24"/>
      <c r="S1097" s="24"/>
      <c r="T1097" s="24"/>
      <c r="U1097" s="24"/>
      <c r="V1097" s="24"/>
      <c r="W1097" s="22" t="s">
        <v>12</v>
      </c>
      <c r="X1097" s="4" t="str">
        <f>IF(Tabela2[[#This Row],[sigla]]="","",VLOOKUP(Tabela2[[#This Row],[sigla]],créditos_base!B:C,2,0))</f>
        <v>JORGE ZAIBA/ARQUIVO DA EDITORA</v>
      </c>
      <c r="Y1097" s="23"/>
      <c r="Z1097" s="23" t="str">
        <f>Tabela2[[#This Row],[ilustrador]]</f>
        <v>JORGE ZAIBA/ARQUIVO DA EDITORA</v>
      </c>
      <c r="AA1097" s="22"/>
      <c r="AB1097" s="20"/>
      <c r="AD1097" s="4" t="str">
        <f>"Pitanguá"</f>
        <v>Pitanguá</v>
      </c>
      <c r="AE1097" s="14" t="str">
        <f>"Matemática"</f>
        <v>Matemática</v>
      </c>
      <c r="AF1097" s="14"/>
    </row>
    <row r="1098" spans="1:32" ht="28.8" x14ac:dyDescent="0.3">
      <c r="A1098" s="23" t="s">
        <v>1448</v>
      </c>
      <c r="B1098" s="20" t="s">
        <v>16</v>
      </c>
      <c r="C1098" s="20" t="s">
        <v>89</v>
      </c>
      <c r="D1098" s="20" t="s">
        <v>8</v>
      </c>
      <c r="E1098" s="22">
        <v>72</v>
      </c>
      <c r="F1098" s="22">
        <v>2</v>
      </c>
      <c r="G1098" s="22">
        <v>5</v>
      </c>
      <c r="H1098" s="22"/>
      <c r="I1098" s="23" t="s">
        <v>9</v>
      </c>
      <c r="J1098" s="23"/>
      <c r="K1098" s="22"/>
      <c r="L1098" s="22"/>
      <c r="M1098" s="23"/>
      <c r="N1098" s="23"/>
      <c r="O1098" s="26" t="s">
        <v>1449</v>
      </c>
      <c r="P1098" s="26"/>
      <c r="Q1098" s="22"/>
      <c r="R1098" s="24"/>
      <c r="S1098" s="24"/>
      <c r="T1098" s="24"/>
      <c r="U1098" s="24"/>
      <c r="V1098" s="24"/>
      <c r="W1098" s="22" t="s">
        <v>940</v>
      </c>
      <c r="X1098" s="4" t="str">
        <f>IF(Tabela2[[#This Row],[sigla]]="","",VLOOKUP(Tabela2[[#This Row],[sigla]],créditos_base!B:C,2,0))</f>
        <v>RONALDO LUCENA/ARQUIVO DA EDITORA</v>
      </c>
      <c r="Y1098" s="23"/>
      <c r="Z1098" s="23" t="str">
        <f>Tabela2[[#This Row],[ilustrador]]</f>
        <v>RONALDO LUCENA/ARQUIVO DA EDITORA</v>
      </c>
      <c r="AA1098" s="22"/>
      <c r="AB1098" s="20"/>
      <c r="AD1098" s="4" t="str">
        <f>"Pitanguá"</f>
        <v>Pitanguá</v>
      </c>
      <c r="AE1098" s="14" t="str">
        <f>"Matemática"</f>
        <v>Matemática</v>
      </c>
      <c r="AF1098" s="14"/>
    </row>
    <row r="1099" spans="1:32" ht="28.8" x14ac:dyDescent="0.3">
      <c r="A1099" s="23" t="s">
        <v>2076</v>
      </c>
      <c r="B1099" s="20" t="s">
        <v>16</v>
      </c>
      <c r="C1099" s="20" t="s">
        <v>7</v>
      </c>
      <c r="D1099" s="20" t="s">
        <v>8</v>
      </c>
      <c r="E1099" s="22">
        <v>82</v>
      </c>
      <c r="F1099" s="22">
        <v>3</v>
      </c>
      <c r="G1099" s="22">
        <v>5</v>
      </c>
      <c r="H1099" s="22"/>
      <c r="I1099" s="23" t="s">
        <v>33</v>
      </c>
      <c r="J1099" s="23"/>
      <c r="K1099" s="22"/>
      <c r="L1099" s="22"/>
      <c r="M1099" s="23"/>
      <c r="N1099" s="23"/>
      <c r="O1099" s="26" t="s">
        <v>2077</v>
      </c>
      <c r="P1099" s="26"/>
      <c r="Q1099" s="22">
        <v>79</v>
      </c>
      <c r="R1099" s="24">
        <v>45820</v>
      </c>
      <c r="S1099" s="24">
        <v>45821</v>
      </c>
      <c r="T1099" s="24"/>
      <c r="U1099" s="24"/>
      <c r="V1099" s="24">
        <v>45824</v>
      </c>
      <c r="W1099" s="22" t="s">
        <v>1785</v>
      </c>
      <c r="X1099" s="4" t="str">
        <f>IF(Tabela2[[#This Row],[sigla]]="","",VLOOKUP(Tabela2[[#This Row],[sigla]],créditos_base!B:C,2,0))</f>
        <v>CAUÊ ZUNCHINI/ARQUIVO DA EDITORA</v>
      </c>
      <c r="Y1099" s="23" t="s">
        <v>152</v>
      </c>
      <c r="Z1099" s="23" t="str">
        <f>Tabela2[[#This Row],[ilustrador]]</f>
        <v>CAUÊ ZUNCHINI/ARQUIVO DA EDITORA</v>
      </c>
      <c r="AA1099" s="22">
        <v>13</v>
      </c>
      <c r="AB1099" s="20" t="s">
        <v>244</v>
      </c>
      <c r="AC1099" s="20" t="s">
        <v>36</v>
      </c>
      <c r="AD1099" s="4" t="str">
        <f>"Pitanguá"</f>
        <v>Pitanguá</v>
      </c>
      <c r="AE1099" s="14" t="str">
        <f>"Matemática"</f>
        <v>Matemática</v>
      </c>
      <c r="AF1099" s="14"/>
    </row>
    <row r="1100" spans="1:32" ht="43.2" x14ac:dyDescent="0.3">
      <c r="A1100" s="23" t="s">
        <v>3169</v>
      </c>
      <c r="B1100" s="20" t="s">
        <v>16</v>
      </c>
      <c r="C1100" s="20" t="s">
        <v>7</v>
      </c>
      <c r="D1100" s="20" t="s">
        <v>8</v>
      </c>
      <c r="E1100" s="22">
        <v>99</v>
      </c>
      <c r="F1100" s="22">
        <v>4</v>
      </c>
      <c r="G1100" s="22">
        <v>5</v>
      </c>
      <c r="H1100" s="22"/>
      <c r="I1100" s="23" t="s">
        <v>9</v>
      </c>
      <c r="J1100" s="23"/>
      <c r="K1100" s="22"/>
      <c r="L1100" s="22"/>
      <c r="M1100" s="23"/>
      <c r="N1100" s="23"/>
      <c r="O1100" s="26" t="s">
        <v>3170</v>
      </c>
      <c r="P1100" s="26"/>
      <c r="Q1100" s="22"/>
      <c r="R1100" s="24"/>
      <c r="S1100" s="24"/>
      <c r="T1100" s="24"/>
      <c r="U1100" s="24"/>
      <c r="V1100" s="24"/>
      <c r="W1100" s="22" t="s">
        <v>468</v>
      </c>
      <c r="X1100" s="4" t="str">
        <f>IF(Tabela2[[#This Row],[sigla]]="","",VLOOKUP(Tabela2[[#This Row],[sigla]],créditos_base!B:C,2,0))</f>
        <v>VER DOCUMENTO DE ILS. TÉCNICAS</v>
      </c>
      <c r="Y1100" s="23"/>
      <c r="Z1100" s="23" t="s">
        <v>1405</v>
      </c>
      <c r="AA1100" s="22"/>
      <c r="AB1100" s="20"/>
      <c r="AD1100" s="4" t="str">
        <f>"Pitanguá"</f>
        <v>Pitanguá</v>
      </c>
      <c r="AE1100" s="14" t="str">
        <f>"Matemática"</f>
        <v>Matemática</v>
      </c>
      <c r="AF1100" s="14"/>
    </row>
    <row r="1101" spans="1:32" x14ac:dyDescent="0.3">
      <c r="A1101" s="23" t="s">
        <v>174</v>
      </c>
      <c r="B1101" s="20" t="s">
        <v>16</v>
      </c>
      <c r="C1101" s="20" t="s">
        <v>89</v>
      </c>
      <c r="D1101" s="20" t="s">
        <v>8</v>
      </c>
      <c r="E1101" s="22">
        <v>84</v>
      </c>
      <c r="F1101" s="22">
        <v>1</v>
      </c>
      <c r="G1101" s="22">
        <v>5</v>
      </c>
      <c r="H1101" s="22"/>
      <c r="I1101" s="23" t="s">
        <v>9</v>
      </c>
      <c r="J1101" s="23"/>
      <c r="K1101" s="22"/>
      <c r="L1101" s="22"/>
      <c r="M1101" s="23"/>
      <c r="N1101" s="23"/>
      <c r="O1101" s="26" t="s">
        <v>175</v>
      </c>
      <c r="P1101" s="26"/>
      <c r="Q1101" s="22"/>
      <c r="R1101" s="24"/>
      <c r="S1101" s="24"/>
      <c r="T1101" s="24"/>
      <c r="U1101" s="24"/>
      <c r="V1101" s="24"/>
      <c r="W1101" s="22" t="s">
        <v>160</v>
      </c>
      <c r="X1101" s="4" t="str">
        <f>IF(Tabela2[[#This Row],[sigla]]="","",VLOOKUP(Tabela2[[#This Row],[sigla]],créditos_base!B:C,2,0))</f>
        <v>SERGIO LIMA/ARQUIVO DA EDITORA</v>
      </c>
      <c r="Y1101" s="23"/>
      <c r="Z1101" s="23" t="str">
        <f>Tabela2[[#This Row],[ilustrador]]</f>
        <v>SERGIO LIMA/ARQUIVO DA EDITORA</v>
      </c>
      <c r="AA1101" s="22"/>
      <c r="AB1101" s="20"/>
      <c r="AD1101" s="4" t="str">
        <f>"Pitanguá"</f>
        <v>Pitanguá</v>
      </c>
      <c r="AE1101" s="14" t="str">
        <f>"Matemática"</f>
        <v>Matemática</v>
      </c>
      <c r="AF1101" s="14"/>
    </row>
    <row r="1102" spans="1:32" x14ac:dyDescent="0.3">
      <c r="A1102" s="23" t="s">
        <v>1450</v>
      </c>
      <c r="B1102" s="20" t="s">
        <v>16</v>
      </c>
      <c r="C1102" s="20" t="s">
        <v>89</v>
      </c>
      <c r="D1102" s="20" t="s">
        <v>8</v>
      </c>
      <c r="E1102" s="22">
        <v>72</v>
      </c>
      <c r="F1102" s="22">
        <v>2</v>
      </c>
      <c r="G1102" s="22">
        <v>5</v>
      </c>
      <c r="H1102" s="22"/>
      <c r="I1102" s="23" t="s">
        <v>9</v>
      </c>
      <c r="J1102" s="23"/>
      <c r="K1102" s="22"/>
      <c r="L1102" s="22"/>
      <c r="M1102" s="23"/>
      <c r="N1102" s="23"/>
      <c r="O1102" s="26" t="s">
        <v>1451</v>
      </c>
      <c r="P1102" s="26"/>
      <c r="Q1102" s="22"/>
      <c r="R1102" s="24"/>
      <c r="S1102" s="24"/>
      <c r="T1102" s="24"/>
      <c r="U1102" s="24"/>
      <c r="V1102" s="24"/>
      <c r="W1102" s="22" t="s">
        <v>940</v>
      </c>
      <c r="X1102" s="4" t="str">
        <f>IF(Tabela2[[#This Row],[sigla]]="","",VLOOKUP(Tabela2[[#This Row],[sigla]],créditos_base!B:C,2,0))</f>
        <v>RONALDO LUCENA/ARQUIVO DA EDITORA</v>
      </c>
      <c r="Y1102" s="23"/>
      <c r="Z1102" s="23" t="str">
        <f>Tabela2[[#This Row],[ilustrador]]</f>
        <v>RONALDO LUCENA/ARQUIVO DA EDITORA</v>
      </c>
      <c r="AA1102" s="22"/>
      <c r="AB1102" s="20"/>
      <c r="AD1102" s="4" t="str">
        <f>"Pitanguá"</f>
        <v>Pitanguá</v>
      </c>
      <c r="AE1102" s="14" t="str">
        <f>"Matemática"</f>
        <v>Matemática</v>
      </c>
      <c r="AF1102" s="14"/>
    </row>
    <row r="1103" spans="1:32" ht="28.8" x14ac:dyDescent="0.3">
      <c r="A1103" s="23" t="s">
        <v>2078</v>
      </c>
      <c r="B1103" s="20" t="s">
        <v>16</v>
      </c>
      <c r="C1103" s="20" t="s">
        <v>89</v>
      </c>
      <c r="D1103" s="20" t="s">
        <v>8</v>
      </c>
      <c r="E1103" s="22">
        <v>82</v>
      </c>
      <c r="F1103" s="22">
        <v>3</v>
      </c>
      <c r="G1103" s="22">
        <v>5</v>
      </c>
      <c r="H1103" s="22"/>
      <c r="I1103" s="23" t="s">
        <v>9</v>
      </c>
      <c r="J1103" s="23"/>
      <c r="K1103" s="22"/>
      <c r="L1103" s="22"/>
      <c r="M1103" s="23"/>
      <c r="N1103" s="23"/>
      <c r="O1103" s="26" t="s">
        <v>2079</v>
      </c>
      <c r="P1103" s="26"/>
      <c r="Q1103" s="22">
        <v>79</v>
      </c>
      <c r="R1103" s="24">
        <v>45820</v>
      </c>
      <c r="S1103" s="24"/>
      <c r="T1103" s="24"/>
      <c r="U1103" s="24"/>
      <c r="V1103" s="24"/>
      <c r="W1103" s="22" t="s">
        <v>1785</v>
      </c>
      <c r="X1103" s="4" t="str">
        <f>IF(Tabela2[[#This Row],[sigla]]="","",VLOOKUP(Tabela2[[#This Row],[sigla]],créditos_base!B:C,2,0))</f>
        <v>CAUÊ ZUNCHINI/ARQUIVO DA EDITORA</v>
      </c>
      <c r="Y1103" s="23"/>
      <c r="Z1103" s="23" t="str">
        <f>Tabela2[[#This Row],[ilustrador]]</f>
        <v>CAUÊ ZUNCHINI/ARQUIVO DA EDITORA</v>
      </c>
      <c r="AA1103" s="22"/>
      <c r="AB1103" s="20"/>
      <c r="AD1103" s="4" t="str">
        <f>"Pitanguá"</f>
        <v>Pitanguá</v>
      </c>
      <c r="AE1103" s="14" t="str">
        <f>"Matemática"</f>
        <v>Matemática</v>
      </c>
      <c r="AF1103" s="14"/>
    </row>
    <row r="1104" spans="1:32" x14ac:dyDescent="0.3">
      <c r="A1104" s="23" t="s">
        <v>3171</v>
      </c>
      <c r="B1104" s="20" t="s">
        <v>16</v>
      </c>
      <c r="C1104" s="20" t="s">
        <v>7</v>
      </c>
      <c r="D1104" s="20" t="s">
        <v>8</v>
      </c>
      <c r="E1104" s="22">
        <v>99</v>
      </c>
      <c r="F1104" s="22">
        <v>4</v>
      </c>
      <c r="G1104" s="22">
        <v>5</v>
      </c>
      <c r="H1104" s="22"/>
      <c r="I1104" s="23" t="s">
        <v>9</v>
      </c>
      <c r="J1104" s="23"/>
      <c r="K1104" s="22"/>
      <c r="L1104" s="22"/>
      <c r="M1104" s="23"/>
      <c r="N1104" s="23"/>
      <c r="O1104" s="26" t="s">
        <v>3172</v>
      </c>
      <c r="P1104" s="26"/>
      <c r="Q1104" s="22"/>
      <c r="R1104" s="24"/>
      <c r="S1104" s="24"/>
      <c r="T1104" s="24"/>
      <c r="U1104" s="24"/>
      <c r="V1104" s="24"/>
      <c r="W1104" s="22" t="s">
        <v>468</v>
      </c>
      <c r="X1104" s="4" t="str">
        <f>IF(Tabela2[[#This Row],[sigla]]="","",VLOOKUP(Tabela2[[#This Row],[sigla]],créditos_base!B:C,2,0))</f>
        <v>VER DOCUMENTO DE ILS. TÉCNICAS</v>
      </c>
      <c r="Y1104" s="23"/>
      <c r="Z1104" s="23" t="s">
        <v>1405</v>
      </c>
      <c r="AA1104" s="22"/>
      <c r="AB1104" s="20"/>
      <c r="AD1104" s="4" t="str">
        <f>"Pitanguá"</f>
        <v>Pitanguá</v>
      </c>
      <c r="AE1104" s="14" t="str">
        <f>"Matemática"</f>
        <v>Matemática</v>
      </c>
      <c r="AF1104" s="14"/>
    </row>
    <row r="1105" spans="1:32" x14ac:dyDescent="0.3">
      <c r="A1105" s="23" t="s">
        <v>176</v>
      </c>
      <c r="B1105" s="20" t="s">
        <v>16</v>
      </c>
      <c r="C1105" s="20" t="s">
        <v>89</v>
      </c>
      <c r="D1105" s="20" t="s">
        <v>8</v>
      </c>
      <c r="E1105" s="22">
        <v>84</v>
      </c>
      <c r="F1105" s="22">
        <v>1</v>
      </c>
      <c r="G1105" s="22">
        <v>5</v>
      </c>
      <c r="H1105" s="22"/>
      <c r="I1105" s="23" t="s">
        <v>9</v>
      </c>
      <c r="J1105" s="23"/>
      <c r="K1105" s="22"/>
      <c r="L1105" s="22"/>
      <c r="M1105" s="23"/>
      <c r="N1105" s="23"/>
      <c r="O1105" s="26" t="s">
        <v>177</v>
      </c>
      <c r="P1105" s="26"/>
      <c r="Q1105" s="22"/>
      <c r="R1105" s="24"/>
      <c r="S1105" s="24"/>
      <c r="T1105" s="24"/>
      <c r="U1105" s="24"/>
      <c r="V1105" s="24"/>
      <c r="W1105" s="22" t="s">
        <v>160</v>
      </c>
      <c r="X1105" s="4" t="str">
        <f>IF(Tabela2[[#This Row],[sigla]]="","",VLOOKUP(Tabela2[[#This Row],[sigla]],créditos_base!B:C,2,0))</f>
        <v>SERGIO LIMA/ARQUIVO DA EDITORA</v>
      </c>
      <c r="Y1105" s="23"/>
      <c r="Z1105" s="23" t="str">
        <f>Tabela2[[#This Row],[ilustrador]]</f>
        <v>SERGIO LIMA/ARQUIVO DA EDITORA</v>
      </c>
      <c r="AA1105" s="22"/>
      <c r="AB1105" s="20"/>
      <c r="AD1105" s="4" t="str">
        <f>"Pitanguá"</f>
        <v>Pitanguá</v>
      </c>
      <c r="AE1105" s="14" t="str">
        <f>"Matemática"</f>
        <v>Matemática</v>
      </c>
      <c r="AF1105" s="14"/>
    </row>
    <row r="1106" spans="1:32" x14ac:dyDescent="0.3">
      <c r="A1106" s="23" t="s">
        <v>1452</v>
      </c>
      <c r="B1106" s="20" t="s">
        <v>16</v>
      </c>
      <c r="C1106" s="20" t="s">
        <v>89</v>
      </c>
      <c r="D1106" s="20" t="s">
        <v>8</v>
      </c>
      <c r="E1106" s="22">
        <v>72</v>
      </c>
      <c r="F1106" s="22">
        <v>2</v>
      </c>
      <c r="G1106" s="22">
        <v>5</v>
      </c>
      <c r="H1106" s="22"/>
      <c r="I1106" s="23" t="s">
        <v>9</v>
      </c>
      <c r="J1106" s="23"/>
      <c r="K1106" s="22"/>
      <c r="L1106" s="22"/>
      <c r="M1106" s="23"/>
      <c r="N1106" s="23"/>
      <c r="O1106" s="26" t="s">
        <v>1453</v>
      </c>
      <c r="P1106" s="26"/>
      <c r="Q1106" s="22"/>
      <c r="R1106" s="24"/>
      <c r="S1106" s="24"/>
      <c r="T1106" s="24"/>
      <c r="U1106" s="24"/>
      <c r="V1106" s="24"/>
      <c r="W1106" s="22" t="s">
        <v>940</v>
      </c>
      <c r="X1106" s="4" t="str">
        <f>IF(Tabela2[[#This Row],[sigla]]="","",VLOOKUP(Tabela2[[#This Row],[sigla]],créditos_base!B:C,2,0))</f>
        <v>RONALDO LUCENA/ARQUIVO DA EDITORA</v>
      </c>
      <c r="Y1106" s="23"/>
      <c r="Z1106" s="23" t="str">
        <f>Tabela2[[#This Row],[ilustrador]]</f>
        <v>RONALDO LUCENA/ARQUIVO DA EDITORA</v>
      </c>
      <c r="AA1106" s="22"/>
      <c r="AB1106" s="20"/>
      <c r="AD1106" s="4" t="str">
        <f>"Pitanguá"</f>
        <v>Pitanguá</v>
      </c>
      <c r="AE1106" s="14" t="str">
        <f>"Matemática"</f>
        <v>Matemática</v>
      </c>
      <c r="AF1106" s="14"/>
    </row>
    <row r="1107" spans="1:32" ht="57.6" x14ac:dyDescent="0.3">
      <c r="A1107" s="23" t="s">
        <v>2080</v>
      </c>
      <c r="B1107" s="20" t="s">
        <v>6</v>
      </c>
      <c r="C1107" s="20" t="s">
        <v>7</v>
      </c>
      <c r="D1107" s="20" t="s">
        <v>8</v>
      </c>
      <c r="E1107" s="22">
        <v>83</v>
      </c>
      <c r="F1107" s="22">
        <v>3</v>
      </c>
      <c r="G1107" s="22">
        <v>5</v>
      </c>
      <c r="H1107" s="22"/>
      <c r="I1107" s="23" t="s">
        <v>33</v>
      </c>
      <c r="J1107" s="23"/>
      <c r="K1107" s="22"/>
      <c r="L1107" s="22"/>
      <c r="M1107" s="23"/>
      <c r="N1107" s="23"/>
      <c r="O1107" s="26" t="s">
        <v>2081</v>
      </c>
      <c r="P1107" s="26" t="s">
        <v>2082</v>
      </c>
      <c r="Q1107" s="22"/>
      <c r="R1107" s="24"/>
      <c r="S1107" s="24">
        <v>45821</v>
      </c>
      <c r="T1107" s="24"/>
      <c r="U1107" s="24"/>
      <c r="V1107" s="24">
        <v>45824</v>
      </c>
      <c r="W1107" s="22" t="s">
        <v>1785</v>
      </c>
      <c r="X1107" s="4" t="str">
        <f>IF(Tabela2[[#This Row],[sigla]]="","",VLOOKUP(Tabela2[[#This Row],[sigla]],créditos_base!B:C,2,0))</f>
        <v>CAUÊ ZUNCHINI/ARQUIVO DA EDITORA</v>
      </c>
      <c r="Y1107" s="23" t="s">
        <v>152</v>
      </c>
      <c r="Z1107" s="23" t="str">
        <f>Tabela2[[#This Row],[ilustrador]]</f>
        <v>CAUÊ ZUNCHINI/ARQUIVO DA EDITORA</v>
      </c>
      <c r="AA1107" s="22">
        <v>13</v>
      </c>
      <c r="AB1107" s="20" t="s">
        <v>244</v>
      </c>
      <c r="AC1107" s="20" t="s">
        <v>36</v>
      </c>
      <c r="AD1107" s="4" t="str">
        <f>"Pitanguá"</f>
        <v>Pitanguá</v>
      </c>
      <c r="AE1107" s="14" t="str">
        <f>"Matemática"</f>
        <v>Matemática</v>
      </c>
      <c r="AF1107" s="14"/>
    </row>
    <row r="1108" spans="1:32" x14ac:dyDescent="0.3">
      <c r="A1108" s="23" t="s">
        <v>2080</v>
      </c>
      <c r="B1108" s="20" t="s">
        <v>16</v>
      </c>
      <c r="C1108" s="20" t="s">
        <v>7</v>
      </c>
      <c r="D1108" s="20" t="s">
        <v>8</v>
      </c>
      <c r="E1108" s="22">
        <v>125</v>
      </c>
      <c r="F1108" s="22">
        <v>3</v>
      </c>
      <c r="G1108" s="22">
        <v>5</v>
      </c>
      <c r="H1108" s="22"/>
      <c r="I1108" s="23" t="s">
        <v>33</v>
      </c>
      <c r="J1108" s="23"/>
      <c r="K1108" s="22"/>
      <c r="L1108" s="22"/>
      <c r="M1108" s="23"/>
      <c r="N1108" s="23"/>
      <c r="O1108" s="26" t="s">
        <v>4810</v>
      </c>
      <c r="P1108" s="20"/>
      <c r="Q1108" s="22">
        <v>79</v>
      </c>
      <c r="R1108" s="24">
        <v>45820</v>
      </c>
      <c r="S1108" s="24">
        <v>45821</v>
      </c>
      <c r="T1108" s="24"/>
      <c r="U1108" s="24"/>
      <c r="V1108" s="24">
        <v>45824</v>
      </c>
      <c r="W1108" s="22" t="s">
        <v>1785</v>
      </c>
      <c r="X1108" s="4" t="str">
        <f>IF(Tabela2[[#This Row],[sigla]]="","",VLOOKUP(Tabela2[[#This Row],[sigla]],créditos_base!B:C,2,0))</f>
        <v>CAUÊ ZUNCHINI/ARQUIVO DA EDITORA</v>
      </c>
      <c r="Y1108" s="23" t="s">
        <v>152</v>
      </c>
      <c r="Z1108" s="23" t="str">
        <f>Tabela2[[#This Row],[ilustrador]]</f>
        <v>CAUÊ ZUNCHINI/ARQUIVO DA EDITORA</v>
      </c>
      <c r="AA1108" s="22">
        <v>13</v>
      </c>
      <c r="AB1108" s="20" t="s">
        <v>244</v>
      </c>
      <c r="AC1108" s="20" t="s">
        <v>36</v>
      </c>
      <c r="AD1108" s="4" t="str">
        <f>"Pitanguá"</f>
        <v>Pitanguá</v>
      </c>
      <c r="AE1108" s="14" t="str">
        <f>"Matemática"</f>
        <v>Matemática</v>
      </c>
      <c r="AF1108" s="14"/>
    </row>
    <row r="1109" spans="1:32" x14ac:dyDescent="0.3">
      <c r="A1109" s="23" t="s">
        <v>178</v>
      </c>
      <c r="B1109" s="20" t="s">
        <v>16</v>
      </c>
      <c r="C1109" s="20" t="s">
        <v>89</v>
      </c>
      <c r="D1109" s="20" t="s">
        <v>8</v>
      </c>
      <c r="E1109" s="22">
        <v>84</v>
      </c>
      <c r="F1109" s="22">
        <v>1</v>
      </c>
      <c r="G1109" s="22">
        <v>5</v>
      </c>
      <c r="H1109" s="22"/>
      <c r="I1109" s="23" t="s">
        <v>9</v>
      </c>
      <c r="J1109" s="23"/>
      <c r="K1109" s="22"/>
      <c r="L1109" s="22"/>
      <c r="M1109" s="23"/>
      <c r="N1109" s="23"/>
      <c r="O1109" s="26" t="s">
        <v>179</v>
      </c>
      <c r="P1109" s="26"/>
      <c r="Q1109" s="22"/>
      <c r="R1109" s="24"/>
      <c r="S1109" s="24"/>
      <c r="T1109" s="24"/>
      <c r="U1109" s="24"/>
      <c r="V1109" s="24"/>
      <c r="W1109" s="22" t="s">
        <v>160</v>
      </c>
      <c r="X1109" s="4" t="str">
        <f>IF(Tabela2[[#This Row],[sigla]]="","",VLOOKUP(Tabela2[[#This Row],[sigla]],créditos_base!B:C,2,0))</f>
        <v>SERGIO LIMA/ARQUIVO DA EDITORA</v>
      </c>
      <c r="Y1109" s="23"/>
      <c r="Z1109" s="23" t="str">
        <f>Tabela2[[#This Row],[ilustrador]]</f>
        <v>SERGIO LIMA/ARQUIVO DA EDITORA</v>
      </c>
      <c r="AA1109" s="22"/>
      <c r="AB1109" s="20"/>
      <c r="AD1109" s="4" t="str">
        <f>"Pitanguá"</f>
        <v>Pitanguá</v>
      </c>
      <c r="AE1109" s="14" t="str">
        <f>"Matemática"</f>
        <v>Matemática</v>
      </c>
      <c r="AF1109" s="14"/>
    </row>
    <row r="1110" spans="1:32" ht="28.8" x14ac:dyDescent="0.3">
      <c r="A1110" s="23" t="s">
        <v>2083</v>
      </c>
      <c r="B1110" s="20" t="s">
        <v>16</v>
      </c>
      <c r="C1110" s="20" t="s">
        <v>89</v>
      </c>
      <c r="D1110" s="20" t="s">
        <v>8</v>
      </c>
      <c r="E1110" s="22">
        <v>83</v>
      </c>
      <c r="F1110" s="22">
        <v>3</v>
      </c>
      <c r="G1110" s="22">
        <v>5</v>
      </c>
      <c r="H1110" s="22"/>
      <c r="I1110" s="23" t="s">
        <v>9</v>
      </c>
      <c r="J1110" s="23"/>
      <c r="K1110" s="22"/>
      <c r="L1110" s="22"/>
      <c r="M1110" s="23"/>
      <c r="N1110" s="23"/>
      <c r="O1110" s="26" t="s">
        <v>2084</v>
      </c>
      <c r="P1110" s="26"/>
      <c r="Q1110" s="22"/>
      <c r="R1110" s="24"/>
      <c r="S1110" s="24"/>
      <c r="T1110" s="24"/>
      <c r="U1110" s="24"/>
      <c r="V1110" s="24"/>
      <c r="W1110" s="22" t="s">
        <v>160</v>
      </c>
      <c r="X1110" s="4" t="str">
        <f>IF(Tabela2[[#This Row],[sigla]]="","",VLOOKUP(Tabela2[[#This Row],[sigla]],créditos_base!B:C,2,0))</f>
        <v>SERGIO LIMA/ARQUIVO DA EDITORA</v>
      </c>
      <c r="Y1110" s="23"/>
      <c r="Z1110" s="23" t="str">
        <f>Tabela2[[#This Row],[ilustrador]]</f>
        <v>SERGIO LIMA/ARQUIVO DA EDITORA</v>
      </c>
      <c r="AA1110" s="22"/>
      <c r="AB1110" s="20"/>
      <c r="AD1110" s="4" t="str">
        <f>"Pitanguá"</f>
        <v>Pitanguá</v>
      </c>
      <c r="AE1110" s="14" t="str">
        <f>"Matemática"</f>
        <v>Matemática</v>
      </c>
      <c r="AF1110" s="14"/>
    </row>
    <row r="1111" spans="1:32" ht="57.6" x14ac:dyDescent="0.3">
      <c r="A1111" s="23" t="s">
        <v>3173</v>
      </c>
      <c r="B1111" s="20" t="s">
        <v>16</v>
      </c>
      <c r="C1111" s="20" t="s">
        <v>7</v>
      </c>
      <c r="D1111" s="20" t="s">
        <v>8</v>
      </c>
      <c r="E1111" s="22">
        <v>100</v>
      </c>
      <c r="F1111" s="22">
        <v>4</v>
      </c>
      <c r="G1111" s="22">
        <v>5</v>
      </c>
      <c r="H1111" s="22"/>
      <c r="I1111" s="23" t="s">
        <v>9</v>
      </c>
      <c r="J1111" s="23"/>
      <c r="K1111" s="22"/>
      <c r="L1111" s="22"/>
      <c r="M1111" s="23"/>
      <c r="N1111" s="23"/>
      <c r="O1111" s="26" t="s">
        <v>3174</v>
      </c>
      <c r="P1111" s="26"/>
      <c r="Q1111" s="22"/>
      <c r="R1111" s="24"/>
      <c r="S1111" s="24"/>
      <c r="T1111" s="24"/>
      <c r="U1111" s="24"/>
      <c r="V1111" s="24"/>
      <c r="W1111" s="22" t="s">
        <v>160</v>
      </c>
      <c r="X1111" s="4" t="str">
        <f>IF(Tabela2[[#This Row],[sigla]]="","",VLOOKUP(Tabela2[[#This Row],[sigla]],créditos_base!B:C,2,0))</f>
        <v>SERGIO LIMA/ARQUIVO DA EDITORA</v>
      </c>
      <c r="Y1111" s="23"/>
      <c r="Z1111" s="23" t="str">
        <f>Tabela2[[#This Row],[ilustrador]]</f>
        <v>SERGIO LIMA/ARQUIVO DA EDITORA</v>
      </c>
      <c r="AA1111" s="22"/>
      <c r="AB1111" s="20"/>
      <c r="AD1111" s="4" t="str">
        <f>"Pitanguá"</f>
        <v>Pitanguá</v>
      </c>
      <c r="AE1111" s="14" t="str">
        <f>"Matemática"</f>
        <v>Matemática</v>
      </c>
      <c r="AF1111" s="14"/>
    </row>
    <row r="1112" spans="1:32" ht="57.6" x14ac:dyDescent="0.3">
      <c r="A1112" s="23" t="s">
        <v>4046</v>
      </c>
      <c r="B1112" s="20" t="s">
        <v>16</v>
      </c>
      <c r="C1112" s="20" t="s">
        <v>89</v>
      </c>
      <c r="D1112" s="20" t="s">
        <v>8</v>
      </c>
      <c r="E1112" s="22">
        <v>122</v>
      </c>
      <c r="F1112" s="22">
        <v>5</v>
      </c>
      <c r="G1112" s="22">
        <v>5</v>
      </c>
      <c r="H1112" s="22"/>
      <c r="I1112" s="23" t="s">
        <v>9</v>
      </c>
      <c r="J1112" s="23"/>
      <c r="K1112" s="22"/>
      <c r="L1112" s="22"/>
      <c r="M1112" s="23"/>
      <c r="N1112" s="23"/>
      <c r="O1112" s="26" t="s">
        <v>4047</v>
      </c>
      <c r="P1112" s="26"/>
      <c r="Q1112" s="22"/>
      <c r="R1112" s="24"/>
      <c r="S1112" s="24"/>
      <c r="T1112" s="24"/>
      <c r="U1112" s="24"/>
      <c r="V1112" s="24"/>
      <c r="W1112" s="22" t="s">
        <v>940</v>
      </c>
      <c r="X1112" s="4" t="str">
        <f>IF(Tabela2[[#This Row],[sigla]]="","",VLOOKUP(Tabela2[[#This Row],[sigla]],créditos_base!B:C,2,0))</f>
        <v>RONALDO LUCENA/ARQUIVO DA EDITORA</v>
      </c>
      <c r="Y1112" s="23"/>
      <c r="Z1112" s="23" t="str">
        <f>Tabela2[[#This Row],[ilustrador]]</f>
        <v>RONALDO LUCENA/ARQUIVO DA EDITORA</v>
      </c>
      <c r="AA1112" s="22"/>
      <c r="AB1112" s="20"/>
      <c r="AD1112" s="4" t="str">
        <f>"Pitanguá"</f>
        <v>Pitanguá</v>
      </c>
      <c r="AE1112" s="14" t="str">
        <f>"Matemática"</f>
        <v>Matemática</v>
      </c>
      <c r="AF1112" s="14"/>
    </row>
    <row r="1113" spans="1:32" x14ac:dyDescent="0.3">
      <c r="A1113" s="23" t="s">
        <v>180</v>
      </c>
      <c r="B1113" s="20" t="s">
        <v>16</v>
      </c>
      <c r="C1113" s="20" t="s">
        <v>89</v>
      </c>
      <c r="D1113" s="20" t="s">
        <v>8</v>
      </c>
      <c r="E1113" s="22">
        <v>84</v>
      </c>
      <c r="F1113" s="22">
        <v>1</v>
      </c>
      <c r="G1113" s="22">
        <v>5</v>
      </c>
      <c r="H1113" s="22"/>
      <c r="I1113" s="23" t="s">
        <v>9</v>
      </c>
      <c r="J1113" s="23"/>
      <c r="K1113" s="22"/>
      <c r="L1113" s="22"/>
      <c r="M1113" s="23"/>
      <c r="N1113" s="23"/>
      <c r="O1113" s="26" t="s">
        <v>181</v>
      </c>
      <c r="P1113" s="26"/>
      <c r="Q1113" s="22"/>
      <c r="R1113" s="24"/>
      <c r="S1113" s="24"/>
      <c r="T1113" s="24"/>
      <c r="U1113" s="24"/>
      <c r="V1113" s="24"/>
      <c r="W1113" s="22" t="s">
        <v>160</v>
      </c>
      <c r="X1113" s="4" t="str">
        <f>IF(Tabela2[[#This Row],[sigla]]="","",VLOOKUP(Tabela2[[#This Row],[sigla]],créditos_base!B:C,2,0))</f>
        <v>SERGIO LIMA/ARQUIVO DA EDITORA</v>
      </c>
      <c r="Y1113" s="23"/>
      <c r="Z1113" s="23" t="str">
        <f>Tabela2[[#This Row],[ilustrador]]</f>
        <v>SERGIO LIMA/ARQUIVO DA EDITORA</v>
      </c>
      <c r="AA1113" s="22"/>
      <c r="AB1113" s="20"/>
      <c r="AD1113" s="4" t="str">
        <f>"Pitanguá"</f>
        <v>Pitanguá</v>
      </c>
      <c r="AE1113" s="14" t="str">
        <f>"Matemática"</f>
        <v>Matemática</v>
      </c>
      <c r="AF1113" s="14"/>
    </row>
    <row r="1114" spans="1:32" x14ac:dyDescent="0.3">
      <c r="A1114" s="23" t="s">
        <v>1454</v>
      </c>
      <c r="B1114" s="20" t="s">
        <v>16</v>
      </c>
      <c r="C1114" s="20" t="s">
        <v>89</v>
      </c>
      <c r="D1114" s="20" t="s">
        <v>8</v>
      </c>
      <c r="E1114" s="22">
        <v>73</v>
      </c>
      <c r="F1114" s="22">
        <v>2</v>
      </c>
      <c r="G1114" s="22">
        <v>5</v>
      </c>
      <c r="H1114" s="22"/>
      <c r="I1114" s="23" t="s">
        <v>9</v>
      </c>
      <c r="J1114" s="23"/>
      <c r="K1114" s="22"/>
      <c r="L1114" s="22"/>
      <c r="M1114" s="23"/>
      <c r="N1114" s="23"/>
      <c r="O1114" s="26" t="s">
        <v>1455</v>
      </c>
      <c r="P1114" s="26"/>
      <c r="Q1114" s="22"/>
      <c r="R1114" s="24"/>
      <c r="S1114" s="24"/>
      <c r="T1114" s="24"/>
      <c r="U1114" s="24"/>
      <c r="V1114" s="24"/>
      <c r="W1114" s="22" t="s">
        <v>940</v>
      </c>
      <c r="X1114" s="4" t="str">
        <f>IF(Tabela2[[#This Row],[sigla]]="","",VLOOKUP(Tabela2[[#This Row],[sigla]],créditos_base!B:C,2,0))</f>
        <v>RONALDO LUCENA/ARQUIVO DA EDITORA</v>
      </c>
      <c r="Y1114" s="23"/>
      <c r="Z1114" s="23" t="str">
        <f>Tabela2[[#This Row],[ilustrador]]</f>
        <v>RONALDO LUCENA/ARQUIVO DA EDITORA</v>
      </c>
      <c r="AA1114" s="22"/>
      <c r="AB1114" s="20"/>
      <c r="AD1114" s="4" t="str">
        <f>"Pitanguá"</f>
        <v>Pitanguá</v>
      </c>
      <c r="AE1114" s="14" t="str">
        <f>"Matemática"</f>
        <v>Matemática</v>
      </c>
      <c r="AF1114" s="14"/>
    </row>
    <row r="1115" spans="1:32" x14ac:dyDescent="0.3">
      <c r="A1115" s="23" t="s">
        <v>2085</v>
      </c>
      <c r="B1115" s="20" t="s">
        <v>16</v>
      </c>
      <c r="C1115" s="20" t="s">
        <v>89</v>
      </c>
      <c r="D1115" s="20" t="s">
        <v>8</v>
      </c>
      <c r="E1115" s="22">
        <v>83</v>
      </c>
      <c r="F1115" s="22">
        <v>3</v>
      </c>
      <c r="G1115" s="22">
        <v>5</v>
      </c>
      <c r="H1115" s="22"/>
      <c r="I1115" s="23" t="s">
        <v>9</v>
      </c>
      <c r="J1115" s="23"/>
      <c r="K1115" s="22"/>
      <c r="L1115" s="22"/>
      <c r="M1115" s="23"/>
      <c r="N1115" s="23"/>
      <c r="O1115" s="26" t="s">
        <v>2086</v>
      </c>
      <c r="P1115" s="26"/>
      <c r="Q1115" s="22"/>
      <c r="R1115" s="24"/>
      <c r="S1115" s="24"/>
      <c r="T1115" s="24"/>
      <c r="U1115" s="24"/>
      <c r="V1115" s="24"/>
      <c r="W1115" s="22" t="s">
        <v>160</v>
      </c>
      <c r="X1115" s="4" t="str">
        <f>IF(Tabela2[[#This Row],[sigla]]="","",VLOOKUP(Tabela2[[#This Row],[sigla]],créditos_base!B:C,2,0))</f>
        <v>SERGIO LIMA/ARQUIVO DA EDITORA</v>
      </c>
      <c r="Y1115" s="23"/>
      <c r="Z1115" s="23" t="str">
        <f>Tabela2[[#This Row],[ilustrador]]</f>
        <v>SERGIO LIMA/ARQUIVO DA EDITORA</v>
      </c>
      <c r="AA1115" s="22"/>
      <c r="AB1115" s="20"/>
      <c r="AD1115" s="4" t="str">
        <f>"Pitanguá"</f>
        <v>Pitanguá</v>
      </c>
      <c r="AE1115" s="14" t="str">
        <f>"Matemática"</f>
        <v>Matemática</v>
      </c>
      <c r="AF1115" s="14"/>
    </row>
    <row r="1116" spans="1:32" x14ac:dyDescent="0.3">
      <c r="A1116" s="23" t="s">
        <v>3175</v>
      </c>
      <c r="B1116" s="20" t="s">
        <v>16</v>
      </c>
      <c r="C1116" s="20" t="s">
        <v>7</v>
      </c>
      <c r="D1116" s="20" t="s">
        <v>8</v>
      </c>
      <c r="E1116" s="22">
        <v>101</v>
      </c>
      <c r="F1116" s="22">
        <v>4</v>
      </c>
      <c r="G1116" s="22">
        <v>5</v>
      </c>
      <c r="H1116" s="22"/>
      <c r="I1116" s="23" t="s">
        <v>9</v>
      </c>
      <c r="J1116" s="23"/>
      <c r="K1116" s="22"/>
      <c r="L1116" s="22"/>
      <c r="M1116" s="23"/>
      <c r="N1116" s="23"/>
      <c r="O1116" s="26" t="s">
        <v>3176</v>
      </c>
      <c r="P1116" s="26"/>
      <c r="Q1116" s="22"/>
      <c r="R1116" s="24"/>
      <c r="S1116" s="24"/>
      <c r="T1116" s="24"/>
      <c r="U1116" s="24"/>
      <c r="V1116" s="24"/>
      <c r="W1116" s="22" t="s">
        <v>160</v>
      </c>
      <c r="X1116" s="4" t="str">
        <f>IF(Tabela2[[#This Row],[sigla]]="","",VLOOKUP(Tabela2[[#This Row],[sigla]],créditos_base!B:C,2,0))</f>
        <v>SERGIO LIMA/ARQUIVO DA EDITORA</v>
      </c>
      <c r="Y1116" s="23"/>
      <c r="Z1116" s="23" t="str">
        <f>Tabela2[[#This Row],[ilustrador]]</f>
        <v>SERGIO LIMA/ARQUIVO DA EDITORA</v>
      </c>
      <c r="AA1116" s="22"/>
      <c r="AB1116" s="20"/>
      <c r="AD1116" s="4" t="str">
        <f>"Pitanguá"</f>
        <v>Pitanguá</v>
      </c>
      <c r="AE1116" s="14" t="str">
        <f>"Matemática"</f>
        <v>Matemática</v>
      </c>
      <c r="AF1116" s="14"/>
    </row>
    <row r="1117" spans="1:32" ht="28.8" x14ac:dyDescent="0.3">
      <c r="A1117" s="23" t="s">
        <v>4048</v>
      </c>
      <c r="B1117" s="20" t="s">
        <v>522</v>
      </c>
      <c r="C1117" s="20" t="s">
        <v>89</v>
      </c>
      <c r="D1117" s="20" t="s">
        <v>8</v>
      </c>
      <c r="E1117" s="22">
        <v>123</v>
      </c>
      <c r="F1117" s="22">
        <v>5</v>
      </c>
      <c r="G1117" s="22">
        <v>5</v>
      </c>
      <c r="H1117" s="22"/>
      <c r="I1117" s="23" t="s">
        <v>33</v>
      </c>
      <c r="J1117" s="23"/>
      <c r="K1117" s="22"/>
      <c r="L1117" s="22"/>
      <c r="M1117" s="23"/>
      <c r="N1117" s="23"/>
      <c r="O1117" s="26" t="s">
        <v>4049</v>
      </c>
      <c r="P1117" s="26"/>
      <c r="Q1117" s="22">
        <v>205</v>
      </c>
      <c r="R1117" s="24">
        <v>45925</v>
      </c>
      <c r="S1117" s="24">
        <v>45925</v>
      </c>
      <c r="T1117" s="24"/>
      <c r="U1117" s="24"/>
      <c r="V1117" s="24">
        <v>45925</v>
      </c>
      <c r="W1117" s="22" t="s">
        <v>940</v>
      </c>
      <c r="X1117" s="4" t="str">
        <f>IF(Tabela2[[#This Row],[sigla]]="","",VLOOKUP(Tabela2[[#This Row],[sigla]],créditos_base!B:C,2,0))</f>
        <v>RONALDO LUCENA/ARQUIVO DA EDITORA</v>
      </c>
      <c r="Y1117" s="23" t="s">
        <v>188</v>
      </c>
      <c r="Z1117" s="23" t="str">
        <f>Tabela2[[#This Row],[ilustrador]]</f>
        <v>RONALDO LUCENA/ARQUIVO DA EDITORA</v>
      </c>
      <c r="AA1117" s="22">
        <v>13</v>
      </c>
      <c r="AB1117" s="20" t="s">
        <v>41</v>
      </c>
      <c r="AD1117" s="4" t="str">
        <f>"Pitanguá"</f>
        <v>Pitanguá</v>
      </c>
      <c r="AE1117" s="14" t="str">
        <f>"Matemática"</f>
        <v>Matemática</v>
      </c>
      <c r="AF1117" s="14"/>
    </row>
    <row r="1118" spans="1:32" x14ac:dyDescent="0.3">
      <c r="A1118" s="23" t="s">
        <v>182</v>
      </c>
      <c r="B1118" s="20" t="s">
        <v>16</v>
      </c>
      <c r="C1118" s="20" t="s">
        <v>89</v>
      </c>
      <c r="D1118" s="20" t="s">
        <v>8</v>
      </c>
      <c r="E1118" s="22">
        <v>84</v>
      </c>
      <c r="F1118" s="22">
        <v>1</v>
      </c>
      <c r="G1118" s="22">
        <v>5</v>
      </c>
      <c r="H1118" s="22"/>
      <c r="I1118" s="23" t="s">
        <v>9</v>
      </c>
      <c r="J1118" s="23"/>
      <c r="K1118" s="22"/>
      <c r="L1118" s="22"/>
      <c r="M1118" s="23"/>
      <c r="N1118" s="23"/>
      <c r="O1118" s="26" t="s">
        <v>183</v>
      </c>
      <c r="P1118" s="26"/>
      <c r="Q1118" s="22"/>
      <c r="R1118" s="24"/>
      <c r="S1118" s="24"/>
      <c r="T1118" s="24"/>
      <c r="U1118" s="24"/>
      <c r="V1118" s="24"/>
      <c r="W1118" s="22" t="s">
        <v>160</v>
      </c>
      <c r="X1118" s="4" t="str">
        <f>IF(Tabela2[[#This Row],[sigla]]="","",VLOOKUP(Tabela2[[#This Row],[sigla]],créditos_base!B:C,2,0))</f>
        <v>SERGIO LIMA/ARQUIVO DA EDITORA</v>
      </c>
      <c r="Y1118" s="23"/>
      <c r="Z1118" s="23" t="str">
        <f>Tabela2[[#This Row],[ilustrador]]</f>
        <v>SERGIO LIMA/ARQUIVO DA EDITORA</v>
      </c>
      <c r="AA1118" s="22"/>
      <c r="AB1118" s="20"/>
      <c r="AD1118" s="4" t="str">
        <f>"Pitanguá"</f>
        <v>Pitanguá</v>
      </c>
      <c r="AE1118" s="14" t="str">
        <f>"Matemática"</f>
        <v>Matemática</v>
      </c>
      <c r="AF1118" s="14"/>
    </row>
    <row r="1119" spans="1:32" ht="43.2" x14ac:dyDescent="0.3">
      <c r="A1119" s="23" t="s">
        <v>1456</v>
      </c>
      <c r="B1119" s="20" t="s">
        <v>16</v>
      </c>
      <c r="C1119" s="20" t="s">
        <v>89</v>
      </c>
      <c r="D1119" s="20" t="s">
        <v>8</v>
      </c>
      <c r="E1119" s="22">
        <v>73</v>
      </c>
      <c r="F1119" s="22">
        <v>2</v>
      </c>
      <c r="G1119" s="22">
        <v>5</v>
      </c>
      <c r="H1119" s="22"/>
      <c r="I1119" s="23" t="s">
        <v>9</v>
      </c>
      <c r="J1119" s="23"/>
      <c r="K1119" s="22"/>
      <c r="L1119" s="22"/>
      <c r="M1119" s="23"/>
      <c r="N1119" s="23"/>
      <c r="O1119" s="26" t="s">
        <v>1457</v>
      </c>
      <c r="P1119" s="26"/>
      <c r="Q1119" s="22"/>
      <c r="R1119" s="24"/>
      <c r="S1119" s="24"/>
      <c r="T1119" s="24"/>
      <c r="U1119" s="24"/>
      <c r="V1119" s="24"/>
      <c r="W1119" s="22" t="s">
        <v>940</v>
      </c>
      <c r="X1119" s="4" t="str">
        <f>IF(Tabela2[[#This Row],[sigla]]="","",VLOOKUP(Tabela2[[#This Row],[sigla]],créditos_base!B:C,2,0))</f>
        <v>RONALDO LUCENA/ARQUIVO DA EDITORA</v>
      </c>
      <c r="Y1119" s="23"/>
      <c r="Z1119" s="23" t="str">
        <f>Tabela2[[#This Row],[ilustrador]]</f>
        <v>RONALDO LUCENA/ARQUIVO DA EDITORA</v>
      </c>
      <c r="AA1119" s="22"/>
      <c r="AB1119" s="20"/>
      <c r="AD1119" s="4" t="str">
        <f>"Pitanguá"</f>
        <v>Pitanguá</v>
      </c>
      <c r="AE1119" s="14" t="str">
        <f>"Matemática"</f>
        <v>Matemática</v>
      </c>
      <c r="AF1119" s="14"/>
    </row>
    <row r="1120" spans="1:32" ht="57.6" x14ac:dyDescent="0.3">
      <c r="A1120" s="23" t="s">
        <v>2087</v>
      </c>
      <c r="B1120" s="20" t="s">
        <v>16</v>
      </c>
      <c r="C1120" s="20" t="s">
        <v>89</v>
      </c>
      <c r="D1120" s="20" t="s">
        <v>8</v>
      </c>
      <c r="E1120" s="22">
        <v>83</v>
      </c>
      <c r="F1120" s="22">
        <v>3</v>
      </c>
      <c r="G1120" s="22">
        <v>5</v>
      </c>
      <c r="H1120" s="22"/>
      <c r="I1120" s="23" t="s">
        <v>9</v>
      </c>
      <c r="J1120" s="23"/>
      <c r="K1120" s="22"/>
      <c r="L1120" s="22"/>
      <c r="M1120" s="23"/>
      <c r="N1120" s="23"/>
      <c r="O1120" s="26" t="s">
        <v>2088</v>
      </c>
      <c r="P1120" s="26"/>
      <c r="Q1120" s="22"/>
      <c r="R1120" s="24"/>
      <c r="S1120" s="24"/>
      <c r="T1120" s="24"/>
      <c r="U1120" s="24"/>
      <c r="V1120" s="24"/>
      <c r="W1120" s="22" t="s">
        <v>160</v>
      </c>
      <c r="X1120" s="4" t="str">
        <f>IF(Tabela2[[#This Row],[sigla]]="","",VLOOKUP(Tabela2[[#This Row],[sigla]],créditos_base!B:C,2,0))</f>
        <v>SERGIO LIMA/ARQUIVO DA EDITORA</v>
      </c>
      <c r="Y1120" s="23"/>
      <c r="Z1120" s="23" t="str">
        <f>Tabela2[[#This Row],[ilustrador]]</f>
        <v>SERGIO LIMA/ARQUIVO DA EDITORA</v>
      </c>
      <c r="AA1120" s="22"/>
      <c r="AB1120" s="20"/>
      <c r="AD1120" s="4" t="str">
        <f>"Pitanguá"</f>
        <v>Pitanguá</v>
      </c>
      <c r="AE1120" s="14" t="str">
        <f>"Matemática"</f>
        <v>Matemática</v>
      </c>
      <c r="AF1120" s="14"/>
    </row>
    <row r="1121" spans="1:32" x14ac:dyDescent="0.3">
      <c r="A1121" s="23" t="s">
        <v>3177</v>
      </c>
      <c r="B1121" s="20" t="s">
        <v>16</v>
      </c>
      <c r="C1121" s="20" t="s">
        <v>7</v>
      </c>
      <c r="D1121" s="20" t="s">
        <v>8</v>
      </c>
      <c r="E1121" s="22">
        <v>101</v>
      </c>
      <c r="F1121" s="22">
        <v>4</v>
      </c>
      <c r="G1121" s="22">
        <v>5</v>
      </c>
      <c r="H1121" s="22"/>
      <c r="I1121" s="23" t="s">
        <v>9</v>
      </c>
      <c r="J1121" s="23"/>
      <c r="K1121" s="22"/>
      <c r="L1121" s="22"/>
      <c r="M1121" s="23"/>
      <c r="N1121" s="23"/>
      <c r="O1121" s="26" t="s">
        <v>3178</v>
      </c>
      <c r="P1121" s="26"/>
      <c r="Q1121" s="22"/>
      <c r="R1121" s="24"/>
      <c r="S1121" s="24"/>
      <c r="T1121" s="24"/>
      <c r="U1121" s="24"/>
      <c r="V1121" s="24"/>
      <c r="W1121" s="22" t="s">
        <v>160</v>
      </c>
      <c r="X1121" s="4" t="str">
        <f>IF(Tabela2[[#This Row],[sigla]]="","",VLOOKUP(Tabela2[[#This Row],[sigla]],créditos_base!B:C,2,0))</f>
        <v>SERGIO LIMA/ARQUIVO DA EDITORA</v>
      </c>
      <c r="Y1121" s="23"/>
      <c r="Z1121" s="23" t="str">
        <f>Tabela2[[#This Row],[ilustrador]]</f>
        <v>SERGIO LIMA/ARQUIVO DA EDITORA</v>
      </c>
      <c r="AA1121" s="22"/>
      <c r="AB1121" s="20"/>
      <c r="AD1121" s="4" t="str">
        <f>"Pitanguá"</f>
        <v>Pitanguá</v>
      </c>
      <c r="AE1121" s="14" t="str">
        <f>"Matemática"</f>
        <v>Matemática</v>
      </c>
      <c r="AF1121" s="14"/>
    </row>
    <row r="1122" spans="1:32" x14ac:dyDescent="0.3">
      <c r="A1122" s="23" t="s">
        <v>4050</v>
      </c>
      <c r="B1122" s="20" t="s">
        <v>522</v>
      </c>
      <c r="C1122" s="20" t="s">
        <v>89</v>
      </c>
      <c r="D1122" s="20" t="s">
        <v>8</v>
      </c>
      <c r="E1122" s="22">
        <v>123</v>
      </c>
      <c r="F1122" s="22">
        <v>5</v>
      </c>
      <c r="G1122" s="22">
        <v>5</v>
      </c>
      <c r="H1122" s="22"/>
      <c r="I1122" s="23" t="s">
        <v>33</v>
      </c>
      <c r="J1122" s="23"/>
      <c r="K1122" s="22"/>
      <c r="L1122" s="22"/>
      <c r="M1122" s="23"/>
      <c r="N1122" s="23"/>
      <c r="O1122" s="26" t="s">
        <v>4051</v>
      </c>
      <c r="P1122" s="26"/>
      <c r="Q1122" s="22">
        <v>205</v>
      </c>
      <c r="R1122" s="24">
        <v>45925</v>
      </c>
      <c r="S1122" s="24">
        <v>45925</v>
      </c>
      <c r="T1122" s="24"/>
      <c r="U1122" s="24"/>
      <c r="V1122" s="24">
        <v>45925</v>
      </c>
      <c r="W1122" s="22" t="s">
        <v>940</v>
      </c>
      <c r="X1122" s="4" t="str">
        <f>IF(Tabela2[[#This Row],[sigla]]="","",VLOOKUP(Tabela2[[#This Row],[sigla]],créditos_base!B:C,2,0))</f>
        <v>RONALDO LUCENA/ARQUIVO DA EDITORA</v>
      </c>
      <c r="Y1122" s="23" t="s">
        <v>188</v>
      </c>
      <c r="Z1122" s="23" t="str">
        <f>Tabela2[[#This Row],[ilustrador]]</f>
        <v>RONALDO LUCENA/ARQUIVO DA EDITORA</v>
      </c>
      <c r="AA1122" s="22">
        <v>13</v>
      </c>
      <c r="AB1122" s="20" t="s">
        <v>41</v>
      </c>
      <c r="AD1122" s="4" t="str">
        <f>"Pitanguá"</f>
        <v>Pitanguá</v>
      </c>
      <c r="AE1122" s="14" t="str">
        <f>"Matemática"</f>
        <v>Matemática</v>
      </c>
      <c r="AF1122" s="14"/>
    </row>
    <row r="1123" spans="1:32" x14ac:dyDescent="0.3">
      <c r="A1123" s="23" t="s">
        <v>184</v>
      </c>
      <c r="B1123" s="20" t="s">
        <v>16</v>
      </c>
      <c r="C1123" s="20" t="s">
        <v>89</v>
      </c>
      <c r="D1123" s="20" t="s">
        <v>8</v>
      </c>
      <c r="E1123" s="22">
        <v>84</v>
      </c>
      <c r="F1123" s="22">
        <v>1</v>
      </c>
      <c r="G1123" s="22">
        <v>5</v>
      </c>
      <c r="H1123" s="22"/>
      <c r="I1123" s="23" t="s">
        <v>9</v>
      </c>
      <c r="J1123" s="23"/>
      <c r="K1123" s="22"/>
      <c r="L1123" s="22"/>
      <c r="M1123" s="23"/>
      <c r="N1123" s="23"/>
      <c r="O1123" s="26" t="s">
        <v>185</v>
      </c>
      <c r="P1123" s="26"/>
      <c r="Q1123" s="22"/>
      <c r="R1123" s="24"/>
      <c r="S1123" s="24"/>
      <c r="T1123" s="24"/>
      <c r="U1123" s="24"/>
      <c r="V1123" s="24"/>
      <c r="W1123" s="22" t="s">
        <v>160</v>
      </c>
      <c r="X1123" s="4" t="str">
        <f>IF(Tabela2[[#This Row],[sigla]]="","",VLOOKUP(Tabela2[[#This Row],[sigla]],créditos_base!B:C,2,0))</f>
        <v>SERGIO LIMA/ARQUIVO DA EDITORA</v>
      </c>
      <c r="Y1123" s="23"/>
      <c r="Z1123" s="23" t="str">
        <f>Tabela2[[#This Row],[ilustrador]]</f>
        <v>SERGIO LIMA/ARQUIVO DA EDITORA</v>
      </c>
      <c r="AA1123" s="22"/>
      <c r="AB1123" s="20"/>
      <c r="AD1123" s="4" t="str">
        <f>"Pitanguá"</f>
        <v>Pitanguá</v>
      </c>
      <c r="AE1123" s="14" t="str">
        <f>"Matemática"</f>
        <v>Matemática</v>
      </c>
      <c r="AF1123" s="14"/>
    </row>
    <row r="1124" spans="1:32" ht="57.6" x14ac:dyDescent="0.3">
      <c r="A1124" s="23" t="s">
        <v>1458</v>
      </c>
      <c r="B1124" s="20" t="s">
        <v>16</v>
      </c>
      <c r="C1124" s="20" t="s">
        <v>89</v>
      </c>
      <c r="D1124" s="20" t="s">
        <v>8</v>
      </c>
      <c r="E1124" s="22">
        <v>73</v>
      </c>
      <c r="F1124" s="22">
        <v>2</v>
      </c>
      <c r="G1124" s="22">
        <v>5</v>
      </c>
      <c r="H1124" s="22"/>
      <c r="I1124" s="23" t="s">
        <v>9</v>
      </c>
      <c r="J1124" s="23"/>
      <c r="K1124" s="22"/>
      <c r="L1124" s="22"/>
      <c r="M1124" s="23"/>
      <c r="N1124" s="23"/>
      <c r="O1124" s="26" t="s">
        <v>1459</v>
      </c>
      <c r="P1124" s="26"/>
      <c r="Q1124" s="22"/>
      <c r="R1124" s="24"/>
      <c r="S1124" s="24"/>
      <c r="T1124" s="24"/>
      <c r="U1124" s="24"/>
      <c r="V1124" s="24"/>
      <c r="W1124" s="22" t="s">
        <v>940</v>
      </c>
      <c r="X1124" s="4" t="str">
        <f>IF(Tabela2[[#This Row],[sigla]]="","",VLOOKUP(Tabela2[[#This Row],[sigla]],créditos_base!B:C,2,0))</f>
        <v>RONALDO LUCENA/ARQUIVO DA EDITORA</v>
      </c>
      <c r="Y1124" s="23"/>
      <c r="Z1124" s="23" t="str">
        <f>Tabela2[[#This Row],[ilustrador]]</f>
        <v>RONALDO LUCENA/ARQUIVO DA EDITORA</v>
      </c>
      <c r="AA1124" s="22"/>
      <c r="AB1124" s="20"/>
      <c r="AD1124" s="4" t="str">
        <f>"Pitanguá"</f>
        <v>Pitanguá</v>
      </c>
      <c r="AE1124" s="14" t="str">
        <f>"Matemática"</f>
        <v>Matemática</v>
      </c>
      <c r="AF1124" s="14"/>
    </row>
    <row r="1125" spans="1:32" ht="57.6" x14ac:dyDescent="0.3">
      <c r="A1125" s="23" t="s">
        <v>2089</v>
      </c>
      <c r="B1125" s="20" t="s">
        <v>16</v>
      </c>
      <c r="C1125" s="20" t="s">
        <v>89</v>
      </c>
      <c r="D1125" s="20" t="s">
        <v>8</v>
      </c>
      <c r="E1125" s="22">
        <v>83</v>
      </c>
      <c r="F1125" s="22">
        <v>3</v>
      </c>
      <c r="G1125" s="22">
        <v>5</v>
      </c>
      <c r="H1125" s="22"/>
      <c r="I1125" s="23" t="s">
        <v>9</v>
      </c>
      <c r="J1125" s="23"/>
      <c r="K1125" s="22"/>
      <c r="L1125" s="22"/>
      <c r="M1125" s="23"/>
      <c r="N1125" s="23"/>
      <c r="O1125" s="26" t="s">
        <v>2090</v>
      </c>
      <c r="P1125" s="26"/>
      <c r="Q1125" s="22"/>
      <c r="R1125" s="24"/>
      <c r="S1125" s="24"/>
      <c r="T1125" s="24"/>
      <c r="U1125" s="24"/>
      <c r="V1125" s="24"/>
      <c r="W1125" s="22" t="s">
        <v>160</v>
      </c>
      <c r="X1125" s="4" t="str">
        <f>IF(Tabela2[[#This Row],[sigla]]="","",VLOOKUP(Tabela2[[#This Row],[sigla]],créditos_base!B:C,2,0))</f>
        <v>SERGIO LIMA/ARQUIVO DA EDITORA</v>
      </c>
      <c r="Y1125" s="23"/>
      <c r="Z1125" s="23" t="str">
        <f>Tabela2[[#This Row],[ilustrador]]</f>
        <v>SERGIO LIMA/ARQUIVO DA EDITORA</v>
      </c>
      <c r="AA1125" s="22"/>
      <c r="AB1125" s="20"/>
      <c r="AD1125" s="4" t="str">
        <f>"Pitanguá"</f>
        <v>Pitanguá</v>
      </c>
      <c r="AE1125" s="14" t="str">
        <f>"Matemática"</f>
        <v>Matemática</v>
      </c>
      <c r="AF1125" s="14"/>
    </row>
    <row r="1126" spans="1:32" ht="28.8" x14ac:dyDescent="0.3">
      <c r="A1126" s="23" t="s">
        <v>3179</v>
      </c>
      <c r="B1126" s="20" t="s">
        <v>16</v>
      </c>
      <c r="C1126" s="20" t="s">
        <v>7</v>
      </c>
      <c r="D1126" s="20" t="s">
        <v>8</v>
      </c>
      <c r="E1126" s="22">
        <v>113</v>
      </c>
      <c r="F1126" s="22">
        <v>4</v>
      </c>
      <c r="G1126" s="22">
        <v>5</v>
      </c>
      <c r="H1126" s="22"/>
      <c r="I1126" s="23" t="s">
        <v>33</v>
      </c>
      <c r="J1126" s="23"/>
      <c r="K1126" s="22"/>
      <c r="L1126" s="22"/>
      <c r="M1126" s="23"/>
      <c r="N1126" s="23"/>
      <c r="O1126" s="26" t="s">
        <v>3180</v>
      </c>
      <c r="P1126" s="26"/>
      <c r="Q1126" s="22">
        <v>107</v>
      </c>
      <c r="R1126" s="24">
        <v>45850</v>
      </c>
      <c r="S1126" s="24">
        <v>45853</v>
      </c>
      <c r="T1126" s="24"/>
      <c r="U1126" s="24"/>
      <c r="V1126" s="24">
        <v>45856</v>
      </c>
      <c r="W1126" s="22" t="s">
        <v>160</v>
      </c>
      <c r="X1126" s="4" t="str">
        <f>IF(Tabela2[[#This Row],[sigla]]="","",VLOOKUP(Tabela2[[#This Row],[sigla]],créditos_base!B:C,2,0))</f>
        <v>SERGIO LIMA/ARQUIVO DA EDITORA</v>
      </c>
      <c r="Y1126" s="23" t="s">
        <v>243</v>
      </c>
      <c r="Z1126" s="23" t="str">
        <f>Tabela2[[#This Row],[ilustrador]]</f>
        <v>SERGIO LIMA/ARQUIVO DA EDITORA</v>
      </c>
      <c r="AA1126" s="22">
        <v>13</v>
      </c>
      <c r="AB1126" s="20" t="s">
        <v>244</v>
      </c>
      <c r="AC1126" s="20" t="s">
        <v>36</v>
      </c>
      <c r="AD1126" s="4" t="str">
        <f>"Pitanguá"</f>
        <v>Pitanguá</v>
      </c>
      <c r="AE1126" s="14" t="str">
        <f>"Matemática"</f>
        <v>Matemática</v>
      </c>
      <c r="AF1126" s="14"/>
    </row>
    <row r="1127" spans="1:32" ht="201.6" x14ac:dyDescent="0.3">
      <c r="A1127" s="23" t="s">
        <v>186</v>
      </c>
      <c r="B1127" s="20" t="s">
        <v>16</v>
      </c>
      <c r="C1127" s="20" t="s">
        <v>7</v>
      </c>
      <c r="D1127" s="20" t="s">
        <v>8</v>
      </c>
      <c r="E1127" s="22">
        <v>85</v>
      </c>
      <c r="F1127" s="22">
        <v>1</v>
      </c>
      <c r="G1127" s="22">
        <v>5</v>
      </c>
      <c r="H1127" s="22"/>
      <c r="I1127" s="23" t="s">
        <v>33</v>
      </c>
      <c r="J1127" s="23"/>
      <c r="K1127" s="22"/>
      <c r="L1127" s="22"/>
      <c r="M1127" s="23"/>
      <c r="N1127" s="23"/>
      <c r="O1127" s="26" t="s">
        <v>187</v>
      </c>
      <c r="P1127" s="26"/>
      <c r="Q1127" s="22">
        <v>28</v>
      </c>
      <c r="R1127" s="24">
        <v>45754</v>
      </c>
      <c r="S1127" s="24">
        <v>45755</v>
      </c>
      <c r="T1127" s="24"/>
      <c r="U1127" s="24"/>
      <c r="V1127" s="24">
        <v>45755</v>
      </c>
      <c r="W1127" s="22" t="s">
        <v>12</v>
      </c>
      <c r="X1127" s="4" t="str">
        <f>IF(Tabela2[[#This Row],[sigla]]="","",VLOOKUP(Tabela2[[#This Row],[sigla]],créditos_base!B:C,2,0))</f>
        <v>JORGE ZAIBA/ARQUIVO DA EDITORA</v>
      </c>
      <c r="Y1127" s="23" t="s">
        <v>188</v>
      </c>
      <c r="Z1127" s="23" t="str">
        <f>Tabela2[[#This Row],[ilustrador]]</f>
        <v>JORGE ZAIBA/ARQUIVO DA EDITORA</v>
      </c>
      <c r="AA1127" s="22">
        <v>13</v>
      </c>
      <c r="AB1127" s="20" t="s">
        <v>153</v>
      </c>
      <c r="AC1127" s="20" t="s">
        <v>36</v>
      </c>
      <c r="AD1127" s="4" t="str">
        <f>"Pitanguá"</f>
        <v>Pitanguá</v>
      </c>
      <c r="AE1127" s="14" t="str">
        <f>"Matemática"</f>
        <v>Matemática</v>
      </c>
      <c r="AF1127" s="14"/>
    </row>
    <row r="1128" spans="1:32" ht="28.8" x14ac:dyDescent="0.3">
      <c r="A1128" s="23" t="s">
        <v>1460</v>
      </c>
      <c r="B1128" s="20" t="s">
        <v>16</v>
      </c>
      <c r="C1128" s="20" t="s">
        <v>89</v>
      </c>
      <c r="D1128" s="20" t="s">
        <v>8</v>
      </c>
      <c r="E1128" s="22">
        <v>73</v>
      </c>
      <c r="F1128" s="22">
        <v>2</v>
      </c>
      <c r="G1128" s="22">
        <v>5</v>
      </c>
      <c r="H1128" s="22"/>
      <c r="I1128" s="23" t="s">
        <v>9</v>
      </c>
      <c r="J1128" s="23"/>
      <c r="K1128" s="22"/>
      <c r="L1128" s="22"/>
      <c r="M1128" s="23"/>
      <c r="N1128" s="23"/>
      <c r="O1128" s="26" t="s">
        <v>1461</v>
      </c>
      <c r="P1128" s="26"/>
      <c r="Q1128" s="22"/>
      <c r="R1128" s="24"/>
      <c r="S1128" s="24"/>
      <c r="T1128" s="24"/>
      <c r="U1128" s="24"/>
      <c r="V1128" s="24"/>
      <c r="W1128" s="22" t="s">
        <v>940</v>
      </c>
      <c r="X1128" s="4" t="str">
        <f>IF(Tabela2[[#This Row],[sigla]]="","",VLOOKUP(Tabela2[[#This Row],[sigla]],créditos_base!B:C,2,0))</f>
        <v>RONALDO LUCENA/ARQUIVO DA EDITORA</v>
      </c>
      <c r="Y1128" s="23"/>
      <c r="Z1128" s="23" t="str">
        <f>Tabela2[[#This Row],[ilustrador]]</f>
        <v>RONALDO LUCENA/ARQUIVO DA EDITORA</v>
      </c>
      <c r="AA1128" s="22"/>
      <c r="AB1128" s="20"/>
      <c r="AD1128" s="4" t="str">
        <f>"Pitanguá"</f>
        <v>Pitanguá</v>
      </c>
      <c r="AE1128" s="14" t="str">
        <f>"Matemática"</f>
        <v>Matemática</v>
      </c>
      <c r="AF1128" s="14"/>
    </row>
    <row r="1129" spans="1:32" ht="28.8" x14ac:dyDescent="0.3">
      <c r="A1129" s="23" t="s">
        <v>2091</v>
      </c>
      <c r="B1129" s="20" t="s">
        <v>6</v>
      </c>
      <c r="C1129" s="20" t="s">
        <v>7</v>
      </c>
      <c r="D1129" s="20" t="s">
        <v>8</v>
      </c>
      <c r="E1129" s="22">
        <v>84</v>
      </c>
      <c r="F1129" s="22">
        <v>3</v>
      </c>
      <c r="G1129" s="22">
        <v>5</v>
      </c>
      <c r="H1129" s="22"/>
      <c r="I1129" s="23" t="s">
        <v>33</v>
      </c>
      <c r="J1129" s="23"/>
      <c r="K1129" s="22"/>
      <c r="L1129" s="22"/>
      <c r="M1129" s="23"/>
      <c r="N1129" s="23"/>
      <c r="O1129" s="26" t="s">
        <v>2092</v>
      </c>
      <c r="P1129" s="26"/>
      <c r="Q1129" s="22">
        <v>29</v>
      </c>
      <c r="R1129" s="24">
        <v>45754</v>
      </c>
      <c r="S1129" s="24">
        <v>45755</v>
      </c>
      <c r="T1129" s="24"/>
      <c r="U1129" s="24"/>
      <c r="V1129" s="24">
        <v>45755</v>
      </c>
      <c r="W1129" s="22" t="s">
        <v>546</v>
      </c>
      <c r="X1129" s="4" t="str">
        <f>IF(Tabela2[[#This Row],[sigla]]="","",VLOOKUP(Tabela2[[#This Row],[sigla]],créditos_base!B:C,2,0))</f>
        <v>GUILHERME ARANEGA/ARQUIVO DA EDITORA</v>
      </c>
      <c r="Y1129" s="23" t="s">
        <v>152</v>
      </c>
      <c r="Z1129" s="23" t="str">
        <f>Tabela2[[#This Row],[ilustrador]]</f>
        <v>GUILHERME ARANEGA/ARQUIVO DA EDITORA</v>
      </c>
      <c r="AA1129" s="22">
        <v>14</v>
      </c>
      <c r="AB1129" s="20" t="s">
        <v>244</v>
      </c>
      <c r="AC1129" s="20" t="s">
        <v>36</v>
      </c>
      <c r="AD1129" s="4" t="str">
        <f>"Pitanguá"</f>
        <v>Pitanguá</v>
      </c>
      <c r="AE1129" s="14" t="str">
        <f>"Matemática"</f>
        <v>Matemática</v>
      </c>
      <c r="AF1129" s="14"/>
    </row>
    <row r="1130" spans="1:32" ht="28.8" x14ac:dyDescent="0.3">
      <c r="A1130" s="23" t="s">
        <v>4052</v>
      </c>
      <c r="B1130" s="20" t="s">
        <v>522</v>
      </c>
      <c r="C1130" s="20" t="s">
        <v>89</v>
      </c>
      <c r="D1130" s="20" t="s">
        <v>8</v>
      </c>
      <c r="E1130" s="22">
        <v>123</v>
      </c>
      <c r="F1130" s="22">
        <v>5</v>
      </c>
      <c r="G1130" s="22">
        <v>5</v>
      </c>
      <c r="H1130" s="22"/>
      <c r="I1130" s="23" t="s">
        <v>33</v>
      </c>
      <c r="J1130" s="23"/>
      <c r="K1130" s="22"/>
      <c r="L1130" s="22"/>
      <c r="M1130" s="23"/>
      <c r="N1130" s="23"/>
      <c r="O1130" s="26" t="s">
        <v>4053</v>
      </c>
      <c r="P1130" s="26"/>
      <c r="Q1130" s="22">
        <v>205</v>
      </c>
      <c r="R1130" s="24">
        <v>45925</v>
      </c>
      <c r="S1130" s="24">
        <v>45925</v>
      </c>
      <c r="T1130" s="24"/>
      <c r="U1130" s="24"/>
      <c r="V1130" s="24">
        <v>45925</v>
      </c>
      <c r="W1130" s="22" t="s">
        <v>940</v>
      </c>
      <c r="X1130" s="4" t="str">
        <f>IF(Tabela2[[#This Row],[sigla]]="","",VLOOKUP(Tabela2[[#This Row],[sigla]],créditos_base!B:C,2,0))</f>
        <v>RONALDO LUCENA/ARQUIVO DA EDITORA</v>
      </c>
      <c r="Y1130" s="23" t="s">
        <v>188</v>
      </c>
      <c r="Z1130" s="23" t="str">
        <f>Tabela2[[#This Row],[ilustrador]]</f>
        <v>RONALDO LUCENA/ARQUIVO DA EDITORA</v>
      </c>
      <c r="AA1130" s="22">
        <v>13</v>
      </c>
      <c r="AB1130" s="20" t="s">
        <v>41</v>
      </c>
      <c r="AD1130" s="4" t="str">
        <f>"Pitanguá"</f>
        <v>Pitanguá</v>
      </c>
      <c r="AE1130" s="14" t="str">
        <f>"Matemática"</f>
        <v>Matemática</v>
      </c>
      <c r="AF1130" s="14"/>
    </row>
    <row r="1131" spans="1:32" ht="28.8" x14ac:dyDescent="0.3">
      <c r="A1131" s="23" t="s">
        <v>189</v>
      </c>
      <c r="B1131" s="20" t="s">
        <v>16</v>
      </c>
      <c r="C1131" s="20" t="s">
        <v>7</v>
      </c>
      <c r="D1131" s="20" t="s">
        <v>8</v>
      </c>
      <c r="E1131" s="22">
        <v>85</v>
      </c>
      <c r="F1131" s="22">
        <v>1</v>
      </c>
      <c r="G1131" s="22">
        <v>5</v>
      </c>
      <c r="H1131" s="22"/>
      <c r="I1131" s="23" t="s">
        <v>9</v>
      </c>
      <c r="J1131" s="23"/>
      <c r="K1131" s="22"/>
      <c r="L1131" s="22"/>
      <c r="M1131" s="23"/>
      <c r="N1131" s="23"/>
      <c r="O1131" s="26" t="s">
        <v>190</v>
      </c>
      <c r="P1131" s="26"/>
      <c r="Q1131" s="22"/>
      <c r="R1131" s="24"/>
      <c r="S1131" s="24"/>
      <c r="T1131" s="24"/>
      <c r="U1131" s="24"/>
      <c r="V1131" s="24"/>
      <c r="W1131" s="22" t="s">
        <v>12</v>
      </c>
      <c r="X1131" s="4" t="str">
        <f>IF(Tabela2[[#This Row],[sigla]]="","",VLOOKUP(Tabela2[[#This Row],[sigla]],créditos_base!B:C,2,0))</f>
        <v>JORGE ZAIBA/ARQUIVO DA EDITORA</v>
      </c>
      <c r="Y1131" s="23"/>
      <c r="Z1131" s="23" t="str">
        <f>Tabela2[[#This Row],[ilustrador]]</f>
        <v>JORGE ZAIBA/ARQUIVO DA EDITORA</v>
      </c>
      <c r="AA1131" s="22"/>
      <c r="AB1131" s="20"/>
      <c r="AD1131" s="4" t="str">
        <f>"Pitanguá"</f>
        <v>Pitanguá</v>
      </c>
      <c r="AE1131" s="14" t="str">
        <f>"Matemática"</f>
        <v>Matemática</v>
      </c>
      <c r="AF1131" s="14"/>
    </row>
    <row r="1132" spans="1:32" ht="28.8" x14ac:dyDescent="0.3">
      <c r="A1132" s="23" t="s">
        <v>1462</v>
      </c>
      <c r="B1132" s="20" t="s">
        <v>16</v>
      </c>
      <c r="C1132" s="20" t="s">
        <v>89</v>
      </c>
      <c r="D1132" s="20" t="s">
        <v>8</v>
      </c>
      <c r="E1132" s="22">
        <v>73</v>
      </c>
      <c r="F1132" s="22">
        <v>2</v>
      </c>
      <c r="G1132" s="22">
        <v>5</v>
      </c>
      <c r="H1132" s="22"/>
      <c r="I1132" s="23" t="s">
        <v>9</v>
      </c>
      <c r="J1132" s="23"/>
      <c r="K1132" s="22"/>
      <c r="L1132" s="22"/>
      <c r="M1132" s="23"/>
      <c r="N1132" s="23"/>
      <c r="O1132" s="26" t="s">
        <v>1463</v>
      </c>
      <c r="P1132" s="26"/>
      <c r="Q1132" s="22"/>
      <c r="R1132" s="24"/>
      <c r="S1132" s="24"/>
      <c r="T1132" s="24"/>
      <c r="U1132" s="24"/>
      <c r="V1132" s="24"/>
      <c r="W1132" s="22" t="s">
        <v>940</v>
      </c>
      <c r="X1132" s="4" t="str">
        <f>IF(Tabela2[[#This Row],[sigla]]="","",VLOOKUP(Tabela2[[#This Row],[sigla]],créditos_base!B:C,2,0))</f>
        <v>RONALDO LUCENA/ARQUIVO DA EDITORA</v>
      </c>
      <c r="Y1132" s="23"/>
      <c r="Z1132" s="23" t="str">
        <f>Tabela2[[#This Row],[ilustrador]]</f>
        <v>RONALDO LUCENA/ARQUIVO DA EDITORA</v>
      </c>
      <c r="AA1132" s="22"/>
      <c r="AB1132" s="20"/>
      <c r="AD1132" s="4" t="str">
        <f>"Pitanguá"</f>
        <v>Pitanguá</v>
      </c>
      <c r="AE1132" s="14" t="str">
        <f>"Matemática"</f>
        <v>Matemática</v>
      </c>
      <c r="AF1132" s="14"/>
    </row>
    <row r="1133" spans="1:32" ht="43.2" x14ac:dyDescent="0.3">
      <c r="A1133" s="23" t="s">
        <v>2093</v>
      </c>
      <c r="B1133" s="20" t="s">
        <v>16</v>
      </c>
      <c r="C1133" s="20" t="s">
        <v>89</v>
      </c>
      <c r="D1133" s="20" t="s">
        <v>8</v>
      </c>
      <c r="E1133" s="22">
        <v>84</v>
      </c>
      <c r="F1133" s="22">
        <v>3</v>
      </c>
      <c r="G1133" s="22">
        <v>5</v>
      </c>
      <c r="H1133" s="22"/>
      <c r="I1133" s="23" t="s">
        <v>33</v>
      </c>
      <c r="J1133" s="23"/>
      <c r="K1133" s="22"/>
      <c r="L1133" s="22"/>
      <c r="M1133" s="23"/>
      <c r="N1133" s="23"/>
      <c r="O1133" s="26" t="s">
        <v>2094</v>
      </c>
      <c r="P1133" s="26"/>
      <c r="Q1133" s="22">
        <v>79</v>
      </c>
      <c r="R1133" s="24">
        <v>45820</v>
      </c>
      <c r="S1133" s="24">
        <v>45821</v>
      </c>
      <c r="T1133" s="24"/>
      <c r="U1133" s="24"/>
      <c r="V1133" s="24">
        <v>45824</v>
      </c>
      <c r="W1133" s="22" t="s">
        <v>546</v>
      </c>
      <c r="X1133" s="4" t="str">
        <f>IF(Tabela2[[#This Row],[sigla]]="","",VLOOKUP(Tabela2[[#This Row],[sigla]],créditos_base!B:C,2,0))</f>
        <v>GUILHERME ARANEGA/ARQUIVO DA EDITORA</v>
      </c>
      <c r="Y1133" s="23" t="s">
        <v>152</v>
      </c>
      <c r="Z1133" s="23" t="str">
        <f>Tabela2[[#This Row],[ilustrador]]</f>
        <v>GUILHERME ARANEGA/ARQUIVO DA EDITORA</v>
      </c>
      <c r="AA1133" s="22">
        <v>13</v>
      </c>
      <c r="AB1133" s="20" t="s">
        <v>244</v>
      </c>
      <c r="AC1133" s="20" t="s">
        <v>36</v>
      </c>
      <c r="AD1133" s="4" t="str">
        <f>"Pitanguá"</f>
        <v>Pitanguá</v>
      </c>
      <c r="AE1133" s="14" t="str">
        <f>"Matemática"</f>
        <v>Matemática</v>
      </c>
      <c r="AF1133" s="14"/>
    </row>
    <row r="1134" spans="1:32" ht="72" x14ac:dyDescent="0.3">
      <c r="A1134" s="23" t="s">
        <v>3181</v>
      </c>
      <c r="B1134" s="20" t="s">
        <v>16</v>
      </c>
      <c r="C1134" s="20" t="s">
        <v>7</v>
      </c>
      <c r="D1134" s="20" t="s">
        <v>8</v>
      </c>
      <c r="E1134" s="22">
        <v>103</v>
      </c>
      <c r="F1134" s="22">
        <v>4</v>
      </c>
      <c r="G1134" s="22">
        <v>5</v>
      </c>
      <c r="H1134" s="22"/>
      <c r="I1134" s="23" t="s">
        <v>9</v>
      </c>
      <c r="J1134" s="23"/>
      <c r="K1134" s="22"/>
      <c r="L1134" s="22"/>
      <c r="M1134" s="23"/>
      <c r="N1134" s="23"/>
      <c r="O1134" s="26" t="s">
        <v>3182</v>
      </c>
      <c r="P1134" s="26"/>
      <c r="Q1134" s="22"/>
      <c r="R1134" s="24"/>
      <c r="S1134" s="24"/>
      <c r="T1134" s="24"/>
      <c r="U1134" s="24"/>
      <c r="V1134" s="24"/>
      <c r="W1134" s="22" t="s">
        <v>160</v>
      </c>
      <c r="X1134" s="4" t="str">
        <f>IF(Tabela2[[#This Row],[sigla]]="","",VLOOKUP(Tabela2[[#This Row],[sigla]],créditos_base!B:C,2,0))</f>
        <v>SERGIO LIMA/ARQUIVO DA EDITORA</v>
      </c>
      <c r="Y1134" s="23"/>
      <c r="Z1134" s="23" t="str">
        <f>Tabela2[[#This Row],[ilustrador]]</f>
        <v>SERGIO LIMA/ARQUIVO DA EDITORA</v>
      </c>
      <c r="AA1134" s="22"/>
      <c r="AB1134" s="20"/>
      <c r="AD1134" s="4" t="str">
        <f>"Pitanguá"</f>
        <v>Pitanguá</v>
      </c>
      <c r="AE1134" s="14" t="str">
        <f>"Matemática"</f>
        <v>Matemática</v>
      </c>
      <c r="AF1134" s="14"/>
    </row>
    <row r="1135" spans="1:32" ht="28.8" x14ac:dyDescent="0.3">
      <c r="A1135" s="23" t="s">
        <v>4054</v>
      </c>
      <c r="B1135" s="20" t="s">
        <v>522</v>
      </c>
      <c r="C1135" s="20" t="s">
        <v>89</v>
      </c>
      <c r="D1135" s="20" t="s">
        <v>8</v>
      </c>
      <c r="E1135" s="22">
        <v>123</v>
      </c>
      <c r="F1135" s="22">
        <v>5</v>
      </c>
      <c r="G1135" s="22">
        <v>5</v>
      </c>
      <c r="H1135" s="22"/>
      <c r="I1135" s="23" t="s">
        <v>33</v>
      </c>
      <c r="J1135" s="23"/>
      <c r="K1135" s="22"/>
      <c r="L1135" s="22"/>
      <c r="M1135" s="23"/>
      <c r="N1135" s="23"/>
      <c r="O1135" s="26" t="s">
        <v>4055</v>
      </c>
      <c r="P1135" s="26"/>
      <c r="Q1135" s="22">
        <v>205</v>
      </c>
      <c r="R1135" s="24">
        <v>45925</v>
      </c>
      <c r="S1135" s="24">
        <v>45925</v>
      </c>
      <c r="T1135" s="24"/>
      <c r="U1135" s="24"/>
      <c r="V1135" s="24">
        <v>45925</v>
      </c>
      <c r="W1135" s="22" t="s">
        <v>940</v>
      </c>
      <c r="X1135" s="4" t="str">
        <f>IF(Tabela2[[#This Row],[sigla]]="","",VLOOKUP(Tabela2[[#This Row],[sigla]],créditos_base!B:C,2,0))</f>
        <v>RONALDO LUCENA/ARQUIVO DA EDITORA</v>
      </c>
      <c r="Y1135" s="23" t="s">
        <v>188</v>
      </c>
      <c r="Z1135" s="23" t="str">
        <f>Tabela2[[#This Row],[ilustrador]]</f>
        <v>RONALDO LUCENA/ARQUIVO DA EDITORA</v>
      </c>
      <c r="AA1135" s="22">
        <v>13</v>
      </c>
      <c r="AB1135" s="20" t="s">
        <v>41</v>
      </c>
      <c r="AD1135" s="4" t="str">
        <f>"Pitanguá"</f>
        <v>Pitanguá</v>
      </c>
      <c r="AE1135" s="14" t="str">
        <f>"Matemática"</f>
        <v>Matemática</v>
      </c>
      <c r="AF1135" s="14"/>
    </row>
    <row r="1136" spans="1:32" x14ac:dyDescent="0.3">
      <c r="A1136" s="23" t="s">
        <v>191</v>
      </c>
      <c r="B1136" s="20" t="s">
        <v>16</v>
      </c>
      <c r="C1136" s="20" t="s">
        <v>7</v>
      </c>
      <c r="D1136" s="20" t="s">
        <v>8</v>
      </c>
      <c r="E1136" s="22">
        <v>85</v>
      </c>
      <c r="F1136" s="22">
        <v>1</v>
      </c>
      <c r="G1136" s="22">
        <v>5</v>
      </c>
      <c r="H1136" s="22"/>
      <c r="I1136" s="23" t="s">
        <v>9</v>
      </c>
      <c r="J1136" s="23"/>
      <c r="K1136" s="22"/>
      <c r="L1136" s="22"/>
      <c r="M1136" s="23"/>
      <c r="N1136" s="23"/>
      <c r="O1136" s="26" t="s">
        <v>192</v>
      </c>
      <c r="P1136" s="26"/>
      <c r="Q1136" s="22"/>
      <c r="R1136" s="24"/>
      <c r="S1136" s="24"/>
      <c r="T1136" s="24"/>
      <c r="U1136" s="24"/>
      <c r="V1136" s="24"/>
      <c r="W1136" s="22" t="s">
        <v>12</v>
      </c>
      <c r="X1136" s="4" t="str">
        <f>IF(Tabela2[[#This Row],[sigla]]="","",VLOOKUP(Tabela2[[#This Row],[sigla]],créditos_base!B:C,2,0))</f>
        <v>JORGE ZAIBA/ARQUIVO DA EDITORA</v>
      </c>
      <c r="Y1136" s="23"/>
      <c r="Z1136" s="23" t="str">
        <f>Tabela2[[#This Row],[ilustrador]]</f>
        <v>JORGE ZAIBA/ARQUIVO DA EDITORA</v>
      </c>
      <c r="AA1136" s="22"/>
      <c r="AB1136" s="20"/>
      <c r="AD1136" s="4" t="str">
        <f>"Pitanguá"</f>
        <v>Pitanguá</v>
      </c>
      <c r="AE1136" s="14" t="str">
        <f>"Matemática"</f>
        <v>Matemática</v>
      </c>
      <c r="AF1136" s="14"/>
    </row>
    <row r="1137" spans="1:32" x14ac:dyDescent="0.3">
      <c r="A1137" s="23" t="s">
        <v>1464</v>
      </c>
      <c r="B1137" s="20" t="s">
        <v>16</v>
      </c>
      <c r="C1137" s="20" t="s">
        <v>89</v>
      </c>
      <c r="D1137" s="20" t="s">
        <v>8</v>
      </c>
      <c r="E1137" s="22">
        <v>73</v>
      </c>
      <c r="F1137" s="22">
        <v>2</v>
      </c>
      <c r="G1137" s="22">
        <v>5</v>
      </c>
      <c r="H1137" s="22"/>
      <c r="I1137" s="23" t="s">
        <v>9</v>
      </c>
      <c r="J1137" s="23"/>
      <c r="K1137" s="22"/>
      <c r="L1137" s="22"/>
      <c r="M1137" s="23"/>
      <c r="N1137" s="23"/>
      <c r="O1137" s="26" t="s">
        <v>1465</v>
      </c>
      <c r="P1137" s="26"/>
      <c r="Q1137" s="22"/>
      <c r="R1137" s="24"/>
      <c r="S1137" s="24"/>
      <c r="T1137" s="24"/>
      <c r="U1137" s="24"/>
      <c r="V1137" s="24"/>
      <c r="W1137" s="22" t="s">
        <v>940</v>
      </c>
      <c r="X1137" s="4" t="str">
        <f>IF(Tabela2[[#This Row],[sigla]]="","",VLOOKUP(Tabela2[[#This Row],[sigla]],créditos_base!B:C,2,0))</f>
        <v>RONALDO LUCENA/ARQUIVO DA EDITORA</v>
      </c>
      <c r="Y1137" s="23"/>
      <c r="Z1137" s="23" t="str">
        <f>Tabela2[[#This Row],[ilustrador]]</f>
        <v>RONALDO LUCENA/ARQUIVO DA EDITORA</v>
      </c>
      <c r="AA1137" s="22"/>
      <c r="AB1137" s="20"/>
      <c r="AD1137" s="4" t="str">
        <f>"Pitanguá"</f>
        <v>Pitanguá</v>
      </c>
      <c r="AE1137" s="14" t="str">
        <f>"Matemática"</f>
        <v>Matemática</v>
      </c>
      <c r="AF1137" s="14"/>
    </row>
    <row r="1138" spans="1:32" ht="28.8" x14ac:dyDescent="0.3">
      <c r="A1138" s="23" t="s">
        <v>2095</v>
      </c>
      <c r="B1138" s="20" t="s">
        <v>16</v>
      </c>
      <c r="C1138" s="20" t="s">
        <v>89</v>
      </c>
      <c r="D1138" s="20" t="s">
        <v>8</v>
      </c>
      <c r="E1138" s="22">
        <v>84</v>
      </c>
      <c r="F1138" s="22">
        <v>3</v>
      </c>
      <c r="G1138" s="22">
        <v>5</v>
      </c>
      <c r="H1138" s="22"/>
      <c r="I1138" s="23" t="s">
        <v>33</v>
      </c>
      <c r="J1138" s="23"/>
      <c r="K1138" s="22"/>
      <c r="L1138" s="22"/>
      <c r="M1138" s="23"/>
      <c r="N1138" s="23"/>
      <c r="O1138" s="26" t="s">
        <v>2096</v>
      </c>
      <c r="P1138" s="26"/>
      <c r="Q1138" s="22">
        <v>79</v>
      </c>
      <c r="R1138" s="24">
        <v>45820</v>
      </c>
      <c r="S1138" s="24">
        <v>45821</v>
      </c>
      <c r="T1138" s="24"/>
      <c r="U1138" s="24"/>
      <c r="V1138" s="24">
        <v>45824</v>
      </c>
      <c r="W1138" s="22" t="s">
        <v>546</v>
      </c>
      <c r="X1138" s="4" t="str">
        <f>IF(Tabela2[[#This Row],[sigla]]="","",VLOOKUP(Tabela2[[#This Row],[sigla]],créditos_base!B:C,2,0))</f>
        <v>GUILHERME ARANEGA/ARQUIVO DA EDITORA</v>
      </c>
      <c r="Y1138" s="23" t="s">
        <v>152</v>
      </c>
      <c r="Z1138" s="23" t="str">
        <f>Tabela2[[#This Row],[ilustrador]]</f>
        <v>GUILHERME ARANEGA/ARQUIVO DA EDITORA</v>
      </c>
      <c r="AA1138" s="22">
        <v>13</v>
      </c>
      <c r="AB1138" s="20" t="s">
        <v>244</v>
      </c>
      <c r="AC1138" s="20" t="s">
        <v>36</v>
      </c>
      <c r="AD1138" s="4" t="str">
        <f>"Pitanguá"</f>
        <v>Pitanguá</v>
      </c>
      <c r="AE1138" s="14" t="str">
        <f>"Matemática"</f>
        <v>Matemática</v>
      </c>
      <c r="AF1138" s="14"/>
    </row>
    <row r="1139" spans="1:32" ht="28.8" x14ac:dyDescent="0.3">
      <c r="A1139" s="23" t="s">
        <v>4056</v>
      </c>
      <c r="B1139" s="20" t="s">
        <v>16</v>
      </c>
      <c r="C1139" s="20" t="s">
        <v>89</v>
      </c>
      <c r="D1139" s="20" t="s">
        <v>8</v>
      </c>
      <c r="E1139" s="22">
        <v>123</v>
      </c>
      <c r="F1139" s="22">
        <v>5</v>
      </c>
      <c r="G1139" s="22">
        <v>5</v>
      </c>
      <c r="H1139" s="22"/>
      <c r="I1139" s="23" t="s">
        <v>9</v>
      </c>
      <c r="J1139" s="23"/>
      <c r="K1139" s="22"/>
      <c r="L1139" s="22"/>
      <c r="M1139" s="23"/>
      <c r="N1139" s="23"/>
      <c r="O1139" s="26" t="s">
        <v>4057</v>
      </c>
      <c r="P1139" s="26"/>
      <c r="Q1139" s="22"/>
      <c r="R1139" s="24"/>
      <c r="S1139" s="24"/>
      <c r="T1139" s="24"/>
      <c r="U1139" s="24"/>
      <c r="V1139" s="24"/>
      <c r="W1139" s="22" t="s">
        <v>3382</v>
      </c>
      <c r="X1139" s="4" t="str">
        <f>IF(Tabela2[[#This Row],[sigla]]="","",VLOOKUP(Tabela2[[#This Row],[sigla]],créditos_base!B:C,2,0))</f>
        <v>LEONARDO MARI/ARQUIVO DA EDITORA</v>
      </c>
      <c r="Y1139" s="23"/>
      <c r="Z1139" s="23" t="str">
        <f>Tabela2[[#This Row],[ilustrador]]</f>
        <v>LEONARDO MARI/ARQUIVO DA EDITORA</v>
      </c>
      <c r="AA1139" s="22"/>
      <c r="AB1139" s="20"/>
      <c r="AD1139" s="4" t="str">
        <f>"Pitanguá"</f>
        <v>Pitanguá</v>
      </c>
      <c r="AE1139" s="14" t="str">
        <f>"Matemática"</f>
        <v>Matemática</v>
      </c>
      <c r="AF1139" s="14"/>
    </row>
    <row r="1140" spans="1:32" ht="28.8" x14ac:dyDescent="0.3">
      <c r="A1140" s="23" t="s">
        <v>193</v>
      </c>
      <c r="B1140" s="20" t="s">
        <v>16</v>
      </c>
      <c r="C1140" s="20" t="s">
        <v>7</v>
      </c>
      <c r="D1140" s="20" t="s">
        <v>8</v>
      </c>
      <c r="E1140" s="22">
        <v>85</v>
      </c>
      <c r="F1140" s="22">
        <v>1</v>
      </c>
      <c r="G1140" s="22">
        <v>5</v>
      </c>
      <c r="H1140" s="22"/>
      <c r="I1140" s="23" t="s">
        <v>9</v>
      </c>
      <c r="J1140" s="23"/>
      <c r="K1140" s="22"/>
      <c r="L1140" s="22"/>
      <c r="M1140" s="23"/>
      <c r="N1140" s="23"/>
      <c r="O1140" s="26" t="s">
        <v>194</v>
      </c>
      <c r="P1140" s="26"/>
      <c r="Q1140" s="22"/>
      <c r="R1140" s="24"/>
      <c r="S1140" s="24"/>
      <c r="T1140" s="24"/>
      <c r="U1140" s="24"/>
      <c r="V1140" s="24"/>
      <c r="W1140" s="22" t="s">
        <v>12</v>
      </c>
      <c r="X1140" s="4" t="str">
        <f>IF(Tabela2[[#This Row],[sigla]]="","",VLOOKUP(Tabela2[[#This Row],[sigla]],créditos_base!B:C,2,0))</f>
        <v>JORGE ZAIBA/ARQUIVO DA EDITORA</v>
      </c>
      <c r="Y1140" s="23"/>
      <c r="Z1140" s="23" t="str">
        <f>Tabela2[[#This Row],[ilustrador]]</f>
        <v>JORGE ZAIBA/ARQUIVO DA EDITORA</v>
      </c>
      <c r="AA1140" s="22"/>
      <c r="AB1140" s="20"/>
      <c r="AD1140" s="4" t="str">
        <f>"Pitanguá"</f>
        <v>Pitanguá</v>
      </c>
      <c r="AE1140" s="14" t="str">
        <f>"Matemática"</f>
        <v>Matemática</v>
      </c>
      <c r="AF1140" s="14"/>
    </row>
    <row r="1141" spans="1:32" ht="28.8" x14ac:dyDescent="0.3">
      <c r="A1141" s="23" t="s">
        <v>2097</v>
      </c>
      <c r="B1141" s="20" t="s">
        <v>16</v>
      </c>
      <c r="C1141" s="20" t="s">
        <v>7</v>
      </c>
      <c r="D1141" s="20" t="s">
        <v>8</v>
      </c>
      <c r="E1141" s="22">
        <v>85</v>
      </c>
      <c r="F1141" s="22">
        <v>3</v>
      </c>
      <c r="G1141" s="22">
        <v>5</v>
      </c>
      <c r="H1141" s="22"/>
      <c r="I1141" s="23" t="s">
        <v>33</v>
      </c>
      <c r="J1141" s="23"/>
      <c r="K1141" s="22"/>
      <c r="L1141" s="22"/>
      <c r="M1141" s="23"/>
      <c r="N1141" s="23"/>
      <c r="O1141" s="26" t="s">
        <v>2098</v>
      </c>
      <c r="P1141" s="26"/>
      <c r="Q1141" s="22">
        <v>29</v>
      </c>
      <c r="R1141" s="24">
        <v>45755</v>
      </c>
      <c r="S1141" s="24">
        <v>45755</v>
      </c>
      <c r="T1141" s="24"/>
      <c r="U1141" s="24"/>
      <c r="V1141" s="24">
        <v>45755</v>
      </c>
      <c r="W1141" s="22" t="s">
        <v>546</v>
      </c>
      <c r="X1141" s="4" t="str">
        <f>IF(Tabela2[[#This Row],[sigla]]="","",VLOOKUP(Tabela2[[#This Row],[sigla]],créditos_base!B:C,2,0))</f>
        <v>GUILHERME ARANEGA/ARQUIVO DA EDITORA</v>
      </c>
      <c r="Y1141" s="23" t="s">
        <v>152</v>
      </c>
      <c r="Z1141" s="23" t="str">
        <f>Tabela2[[#This Row],[ilustrador]]</f>
        <v>GUILHERME ARANEGA/ARQUIVO DA EDITORA</v>
      </c>
      <c r="AA1141" s="22">
        <v>14</v>
      </c>
      <c r="AB1141" s="20" t="s">
        <v>244</v>
      </c>
      <c r="AC1141" s="20" t="s">
        <v>36</v>
      </c>
      <c r="AD1141" s="4" t="str">
        <f>"Pitanguá"</f>
        <v>Pitanguá</v>
      </c>
      <c r="AE1141" s="14" t="str">
        <f>"Matemática"</f>
        <v>Matemática</v>
      </c>
      <c r="AF1141" s="14"/>
    </row>
    <row r="1142" spans="1:32" x14ac:dyDescent="0.3">
      <c r="A1142" s="23" t="s">
        <v>3183</v>
      </c>
      <c r="B1142" s="20" t="s">
        <v>16</v>
      </c>
      <c r="C1142" s="20" t="s">
        <v>7</v>
      </c>
      <c r="D1142" s="20" t="s">
        <v>8</v>
      </c>
      <c r="E1142" s="22" t="s">
        <v>1391</v>
      </c>
      <c r="F1142" s="22">
        <v>4</v>
      </c>
      <c r="G1142" s="22">
        <v>5</v>
      </c>
      <c r="H1142" s="22"/>
      <c r="I1142" s="23" t="s">
        <v>9</v>
      </c>
      <c r="J1142" s="23"/>
      <c r="K1142" s="22"/>
      <c r="L1142" s="22"/>
      <c r="M1142" s="23"/>
      <c r="N1142" s="23"/>
      <c r="O1142" s="26" t="s">
        <v>3184</v>
      </c>
      <c r="P1142" s="26"/>
      <c r="Q1142" s="22"/>
      <c r="R1142" s="24"/>
      <c r="S1142" s="24"/>
      <c r="T1142" s="24"/>
      <c r="U1142" s="24"/>
      <c r="V1142" s="24"/>
      <c r="W1142" s="22" t="s">
        <v>272</v>
      </c>
      <c r="X1142" s="4" t="str">
        <f>IF(Tabela2[[#This Row],[sigla]]="","",VLOOKUP(Tabela2[[#This Row],[sigla]],créditos_base!B:C,2,0))</f>
        <v>RAFAEL SILVA/ARQUIVO DA EDITORA</v>
      </c>
      <c r="Y1142" s="23"/>
      <c r="Z1142" s="23" t="str">
        <f>Tabela2[[#This Row],[ilustrador]]</f>
        <v>RAFAEL SILVA/ARQUIVO DA EDITORA</v>
      </c>
      <c r="AA1142" s="22"/>
      <c r="AB1142" s="20"/>
      <c r="AD1142" s="4" t="str">
        <f>"Pitanguá"</f>
        <v>Pitanguá</v>
      </c>
      <c r="AE1142" s="14" t="str">
        <f>"Matemática"</f>
        <v>Matemática</v>
      </c>
      <c r="AF1142" s="14"/>
    </row>
    <row r="1143" spans="1:32" x14ac:dyDescent="0.3">
      <c r="A1143" s="23" t="s">
        <v>4058</v>
      </c>
      <c r="B1143" s="20" t="s">
        <v>16</v>
      </c>
      <c r="C1143" s="20" t="s">
        <v>89</v>
      </c>
      <c r="D1143" s="20" t="s">
        <v>8</v>
      </c>
      <c r="E1143" s="22">
        <v>123</v>
      </c>
      <c r="F1143" s="22">
        <v>5</v>
      </c>
      <c r="G1143" s="22">
        <v>5</v>
      </c>
      <c r="H1143" s="22"/>
      <c r="I1143" s="23" t="s">
        <v>9</v>
      </c>
      <c r="J1143" s="23"/>
      <c r="K1143" s="22"/>
      <c r="L1143" s="22"/>
      <c r="M1143" s="23"/>
      <c r="N1143" s="23"/>
      <c r="O1143" s="26" t="s">
        <v>4059</v>
      </c>
      <c r="P1143" s="26"/>
      <c r="Q1143" s="22"/>
      <c r="R1143" s="24"/>
      <c r="S1143" s="24"/>
      <c r="T1143" s="24"/>
      <c r="U1143" s="24"/>
      <c r="V1143" s="24"/>
      <c r="W1143" s="22" t="s">
        <v>3382</v>
      </c>
      <c r="X1143" s="4" t="str">
        <f>IF(Tabela2[[#This Row],[sigla]]="","",VLOOKUP(Tabela2[[#This Row],[sigla]],créditos_base!B:C,2,0))</f>
        <v>LEONARDO MARI/ARQUIVO DA EDITORA</v>
      </c>
      <c r="Y1143" s="23"/>
      <c r="Z1143" s="23" t="str">
        <f>Tabela2[[#This Row],[ilustrador]]</f>
        <v>LEONARDO MARI/ARQUIVO DA EDITORA</v>
      </c>
      <c r="AA1143" s="22"/>
      <c r="AB1143" s="20"/>
      <c r="AD1143" s="4" t="str">
        <f>"Pitanguá"</f>
        <v>Pitanguá</v>
      </c>
      <c r="AE1143" s="14" t="str">
        <f>"Matemática"</f>
        <v>Matemática</v>
      </c>
      <c r="AF1143" s="14"/>
    </row>
    <row r="1144" spans="1:32" x14ac:dyDescent="0.3">
      <c r="A1144" s="23" t="s">
        <v>195</v>
      </c>
      <c r="B1144" s="20" t="s">
        <v>16</v>
      </c>
      <c r="C1144" s="20" t="s">
        <v>7</v>
      </c>
      <c r="D1144" s="20" t="s">
        <v>8</v>
      </c>
      <c r="E1144" s="22">
        <v>85</v>
      </c>
      <c r="F1144" s="22">
        <v>1</v>
      </c>
      <c r="G1144" s="22">
        <v>5</v>
      </c>
      <c r="H1144" s="22"/>
      <c r="I1144" s="23" t="s">
        <v>9</v>
      </c>
      <c r="J1144" s="23"/>
      <c r="K1144" s="22"/>
      <c r="L1144" s="22"/>
      <c r="M1144" s="23"/>
      <c r="N1144" s="23"/>
      <c r="O1144" s="26" t="s">
        <v>196</v>
      </c>
      <c r="P1144" s="26"/>
      <c r="Q1144" s="22"/>
      <c r="R1144" s="24"/>
      <c r="S1144" s="24"/>
      <c r="T1144" s="24"/>
      <c r="U1144" s="24"/>
      <c r="V1144" s="24"/>
      <c r="W1144" s="22" t="s">
        <v>12</v>
      </c>
      <c r="X1144" s="4" t="str">
        <f>IF(Tabela2[[#This Row],[sigla]]="","",VLOOKUP(Tabela2[[#This Row],[sigla]],créditos_base!B:C,2,0))</f>
        <v>JORGE ZAIBA/ARQUIVO DA EDITORA</v>
      </c>
      <c r="Y1144" s="23"/>
      <c r="Z1144" s="23" t="str">
        <f>Tabela2[[#This Row],[ilustrador]]</f>
        <v>JORGE ZAIBA/ARQUIVO DA EDITORA</v>
      </c>
      <c r="AA1144" s="22"/>
      <c r="AB1144" s="20"/>
      <c r="AD1144" s="4" t="str">
        <f>"Pitanguá"</f>
        <v>Pitanguá</v>
      </c>
      <c r="AE1144" s="14" t="str">
        <f>"Matemática"</f>
        <v>Matemática</v>
      </c>
      <c r="AF1144" s="14"/>
    </row>
    <row r="1145" spans="1:32" x14ac:dyDescent="0.3">
      <c r="A1145" s="23" t="s">
        <v>1466</v>
      </c>
      <c r="B1145" s="20" t="s">
        <v>16</v>
      </c>
      <c r="C1145" s="20" t="s">
        <v>89</v>
      </c>
      <c r="D1145" s="20" t="s">
        <v>8</v>
      </c>
      <c r="E1145" s="22">
        <v>74</v>
      </c>
      <c r="F1145" s="22">
        <v>2</v>
      </c>
      <c r="G1145" s="22">
        <v>5</v>
      </c>
      <c r="H1145" s="22"/>
      <c r="I1145" s="23" t="s">
        <v>9</v>
      </c>
      <c r="J1145" s="23"/>
      <c r="K1145" s="22"/>
      <c r="L1145" s="22"/>
      <c r="M1145" s="23"/>
      <c r="N1145" s="23"/>
      <c r="O1145" s="26" t="s">
        <v>1467</v>
      </c>
      <c r="P1145" s="26"/>
      <c r="Q1145" s="22"/>
      <c r="R1145" s="24"/>
      <c r="S1145" s="24"/>
      <c r="T1145" s="24"/>
      <c r="U1145" s="24"/>
      <c r="V1145" s="24"/>
      <c r="W1145" s="22" t="s">
        <v>230</v>
      </c>
      <c r="X1145" s="4" t="str">
        <f>IF(Tabela2[[#This Row],[sigla]]="","",VLOOKUP(Tabela2[[#This Row],[sigla]],créditos_base!B:C,2,0))</f>
        <v>RAFAEL L. GAION/ARQUIVO DA EDITORA</v>
      </c>
      <c r="Y1145" s="23"/>
      <c r="Z1145" s="23" t="str">
        <f>Tabela2[[#This Row],[ilustrador]]</f>
        <v>RAFAEL L. GAION/ARQUIVO DA EDITORA</v>
      </c>
      <c r="AA1145" s="22"/>
      <c r="AB1145" s="20"/>
      <c r="AD1145" s="4" t="str">
        <f>"Pitanguá"</f>
        <v>Pitanguá</v>
      </c>
      <c r="AE1145" s="14" t="str">
        <f>"Matemática"</f>
        <v>Matemática</v>
      </c>
      <c r="AF1145" s="14"/>
    </row>
    <row r="1146" spans="1:32" x14ac:dyDescent="0.3">
      <c r="A1146" s="23" t="s">
        <v>2099</v>
      </c>
      <c r="B1146" s="20" t="s">
        <v>16</v>
      </c>
      <c r="C1146" s="20" t="s">
        <v>7</v>
      </c>
      <c r="D1146" s="20" t="s">
        <v>8</v>
      </c>
      <c r="E1146" s="22">
        <v>85</v>
      </c>
      <c r="F1146" s="22">
        <v>3</v>
      </c>
      <c r="G1146" s="22">
        <v>5</v>
      </c>
      <c r="H1146" s="22"/>
      <c r="I1146" s="23" t="s">
        <v>33</v>
      </c>
      <c r="J1146" s="23"/>
      <c r="K1146" s="22"/>
      <c r="L1146" s="22"/>
      <c r="M1146" s="23"/>
      <c r="N1146" s="23"/>
      <c r="O1146" s="26" t="s">
        <v>2100</v>
      </c>
      <c r="P1146" s="26"/>
      <c r="Q1146" s="22">
        <v>79</v>
      </c>
      <c r="R1146" s="24">
        <v>45820</v>
      </c>
      <c r="S1146" s="24">
        <v>45821</v>
      </c>
      <c r="T1146" s="24"/>
      <c r="U1146" s="24"/>
      <c r="V1146" s="24">
        <v>45824</v>
      </c>
      <c r="W1146" s="22" t="s">
        <v>546</v>
      </c>
      <c r="X1146" s="4" t="str">
        <f>IF(Tabela2[[#This Row],[sigla]]="","",VLOOKUP(Tabela2[[#This Row],[sigla]],créditos_base!B:C,2,0))</f>
        <v>GUILHERME ARANEGA/ARQUIVO DA EDITORA</v>
      </c>
      <c r="Y1146" s="23" t="s">
        <v>152</v>
      </c>
      <c r="Z1146" s="23" t="str">
        <f>Tabela2[[#This Row],[ilustrador]]</f>
        <v>GUILHERME ARANEGA/ARQUIVO DA EDITORA</v>
      </c>
      <c r="AA1146" s="22">
        <v>13</v>
      </c>
      <c r="AB1146" s="20" t="s">
        <v>244</v>
      </c>
      <c r="AC1146" s="20" t="s">
        <v>36</v>
      </c>
      <c r="AD1146" s="4" t="str">
        <f>"Pitanguá"</f>
        <v>Pitanguá</v>
      </c>
      <c r="AE1146" s="14" t="str">
        <f>"Matemática"</f>
        <v>Matemática</v>
      </c>
      <c r="AF1146" s="14"/>
    </row>
    <row r="1147" spans="1:32" x14ac:dyDescent="0.3">
      <c r="A1147" s="23" t="s">
        <v>4060</v>
      </c>
      <c r="B1147" s="20" t="s">
        <v>16</v>
      </c>
      <c r="C1147" s="20" t="s">
        <v>89</v>
      </c>
      <c r="D1147" s="20" t="s">
        <v>8</v>
      </c>
      <c r="E1147" s="22">
        <v>123</v>
      </c>
      <c r="F1147" s="22">
        <v>5</v>
      </c>
      <c r="G1147" s="22">
        <v>5</v>
      </c>
      <c r="H1147" s="22"/>
      <c r="I1147" s="23" t="s">
        <v>9</v>
      </c>
      <c r="J1147" s="23"/>
      <c r="K1147" s="22"/>
      <c r="L1147" s="22"/>
      <c r="M1147" s="23"/>
      <c r="N1147" s="23"/>
      <c r="O1147" s="26" t="s">
        <v>4061</v>
      </c>
      <c r="P1147" s="26"/>
      <c r="Q1147" s="22"/>
      <c r="R1147" s="24"/>
      <c r="S1147" s="24"/>
      <c r="T1147" s="24"/>
      <c r="U1147" s="24"/>
      <c r="V1147" s="24"/>
      <c r="W1147" s="22" t="s">
        <v>3382</v>
      </c>
      <c r="X1147" s="4" t="str">
        <f>IF(Tabela2[[#This Row],[sigla]]="","",VLOOKUP(Tabela2[[#This Row],[sigla]],créditos_base!B:C,2,0))</f>
        <v>LEONARDO MARI/ARQUIVO DA EDITORA</v>
      </c>
      <c r="Y1147" s="23"/>
      <c r="Z1147" s="23" t="str">
        <f>Tabela2[[#This Row],[ilustrador]]</f>
        <v>LEONARDO MARI/ARQUIVO DA EDITORA</v>
      </c>
      <c r="AA1147" s="22"/>
      <c r="AB1147" s="20"/>
      <c r="AD1147" s="4" t="str">
        <f>"Pitanguá"</f>
        <v>Pitanguá</v>
      </c>
      <c r="AE1147" s="14" t="str">
        <f>"Matemática"</f>
        <v>Matemática</v>
      </c>
      <c r="AF1147" s="14"/>
    </row>
    <row r="1148" spans="1:32" ht="28.8" x14ac:dyDescent="0.3">
      <c r="A1148" s="23" t="s">
        <v>197</v>
      </c>
      <c r="B1148" s="20" t="s">
        <v>16</v>
      </c>
      <c r="C1148" s="20" t="s">
        <v>7</v>
      </c>
      <c r="D1148" s="20" t="s">
        <v>8</v>
      </c>
      <c r="E1148" s="22">
        <v>85</v>
      </c>
      <c r="F1148" s="22">
        <v>1</v>
      </c>
      <c r="G1148" s="22">
        <v>5</v>
      </c>
      <c r="H1148" s="22"/>
      <c r="I1148" s="23" t="s">
        <v>9</v>
      </c>
      <c r="J1148" s="23"/>
      <c r="K1148" s="22"/>
      <c r="L1148" s="22"/>
      <c r="M1148" s="23"/>
      <c r="N1148" s="23"/>
      <c r="O1148" s="26" t="s">
        <v>198</v>
      </c>
      <c r="P1148" s="26"/>
      <c r="Q1148" s="22"/>
      <c r="R1148" s="24"/>
      <c r="S1148" s="24"/>
      <c r="T1148" s="24"/>
      <c r="U1148" s="24"/>
      <c r="V1148" s="24"/>
      <c r="W1148" s="22" t="s">
        <v>12</v>
      </c>
      <c r="X1148" s="4" t="str">
        <f>IF(Tabela2[[#This Row],[sigla]]="","",VLOOKUP(Tabela2[[#This Row],[sigla]],créditos_base!B:C,2,0))</f>
        <v>JORGE ZAIBA/ARQUIVO DA EDITORA</v>
      </c>
      <c r="Y1148" s="23"/>
      <c r="Z1148" s="23" t="str">
        <f>Tabela2[[#This Row],[ilustrador]]</f>
        <v>JORGE ZAIBA/ARQUIVO DA EDITORA</v>
      </c>
      <c r="AA1148" s="22"/>
      <c r="AB1148" s="20"/>
      <c r="AD1148" s="4" t="str">
        <f>"Pitanguá"</f>
        <v>Pitanguá</v>
      </c>
      <c r="AE1148" s="14" t="str">
        <f>"Matemática"</f>
        <v>Matemática</v>
      </c>
      <c r="AF1148" s="14"/>
    </row>
    <row r="1149" spans="1:32" ht="43.2" x14ac:dyDescent="0.3">
      <c r="A1149" s="23" t="s">
        <v>1468</v>
      </c>
      <c r="B1149" s="20" t="s">
        <v>16</v>
      </c>
      <c r="C1149" s="20" t="s">
        <v>89</v>
      </c>
      <c r="D1149" s="20" t="s">
        <v>8</v>
      </c>
      <c r="E1149" s="22">
        <v>74</v>
      </c>
      <c r="F1149" s="22">
        <v>2</v>
      </c>
      <c r="G1149" s="22">
        <v>5</v>
      </c>
      <c r="H1149" s="22"/>
      <c r="I1149" s="23" t="s">
        <v>9</v>
      </c>
      <c r="J1149" s="23"/>
      <c r="K1149" s="22"/>
      <c r="L1149" s="22"/>
      <c r="M1149" s="23"/>
      <c r="N1149" s="23"/>
      <c r="O1149" s="26" t="s">
        <v>1469</v>
      </c>
      <c r="P1149" s="26"/>
      <c r="Q1149" s="22"/>
      <c r="R1149" s="24"/>
      <c r="S1149" s="24"/>
      <c r="T1149" s="24"/>
      <c r="U1149" s="24"/>
      <c r="V1149" s="24"/>
      <c r="W1149" s="22" t="s">
        <v>230</v>
      </c>
      <c r="X1149" s="4" t="str">
        <f>IF(Tabela2[[#This Row],[sigla]]="","",VLOOKUP(Tabela2[[#This Row],[sigla]],créditos_base!B:C,2,0))</f>
        <v>RAFAEL L. GAION/ARQUIVO DA EDITORA</v>
      </c>
      <c r="Y1149" s="23"/>
      <c r="Z1149" s="23" t="str">
        <f>Tabela2[[#This Row],[ilustrador]]</f>
        <v>RAFAEL L. GAION/ARQUIVO DA EDITORA</v>
      </c>
      <c r="AA1149" s="22"/>
      <c r="AB1149" s="20"/>
      <c r="AD1149" s="4" t="str">
        <f>"Pitanguá"</f>
        <v>Pitanguá</v>
      </c>
      <c r="AE1149" s="14" t="str">
        <f>"Matemática"</f>
        <v>Matemática</v>
      </c>
      <c r="AF1149" s="14"/>
    </row>
    <row r="1150" spans="1:32" x14ac:dyDescent="0.3">
      <c r="A1150" s="23" t="s">
        <v>2101</v>
      </c>
      <c r="B1150" s="20" t="s">
        <v>16</v>
      </c>
      <c r="C1150" s="20" t="s">
        <v>7</v>
      </c>
      <c r="D1150" s="20" t="s">
        <v>8</v>
      </c>
      <c r="E1150" s="22">
        <v>86</v>
      </c>
      <c r="F1150" s="22">
        <v>3</v>
      </c>
      <c r="G1150" s="22">
        <v>5</v>
      </c>
      <c r="H1150" s="22"/>
      <c r="I1150" s="23" t="s">
        <v>9</v>
      </c>
      <c r="J1150" s="23"/>
      <c r="K1150" s="22"/>
      <c r="L1150" s="22"/>
      <c r="M1150" s="23"/>
      <c r="N1150" s="23"/>
      <c r="O1150" s="26" t="s">
        <v>2102</v>
      </c>
      <c r="P1150" s="26"/>
      <c r="Q1150" s="22"/>
      <c r="R1150" s="24"/>
      <c r="S1150" s="24"/>
      <c r="T1150" s="24"/>
      <c r="U1150" s="24"/>
      <c r="V1150" s="24"/>
      <c r="W1150" s="22" t="s">
        <v>87</v>
      </c>
      <c r="X1150" s="4" t="str">
        <f>IF(Tabela2[[#This Row],[sigla]]="","",VLOOKUP(Tabela2[[#This Row],[sigla]],créditos_base!B:C,2,0))</f>
        <v>CHRIS BORGES/ARQUIVO DA EDITORA</v>
      </c>
      <c r="Y1150" s="23"/>
      <c r="Z1150" s="23" t="str">
        <f>Tabela2[[#This Row],[ilustrador]]</f>
        <v>CHRIS BORGES/ARQUIVO DA EDITORA</v>
      </c>
      <c r="AA1150" s="22"/>
      <c r="AB1150" s="20"/>
      <c r="AD1150" s="4" t="str">
        <f>"Pitanguá"</f>
        <v>Pitanguá</v>
      </c>
      <c r="AE1150" s="14" t="str">
        <f>"Matemática"</f>
        <v>Matemática</v>
      </c>
      <c r="AF1150" s="14"/>
    </row>
    <row r="1151" spans="1:32" x14ac:dyDescent="0.3">
      <c r="A1151" s="31" t="s">
        <v>4062</v>
      </c>
      <c r="B1151" s="20" t="s">
        <v>16</v>
      </c>
      <c r="C1151" s="20" t="s">
        <v>89</v>
      </c>
      <c r="D1151" s="20" t="s">
        <v>8</v>
      </c>
      <c r="E1151" s="22">
        <v>124</v>
      </c>
      <c r="F1151" s="22">
        <v>5</v>
      </c>
      <c r="G1151" s="22">
        <v>5</v>
      </c>
      <c r="H1151" s="22"/>
      <c r="I1151" s="23" t="s">
        <v>9</v>
      </c>
      <c r="J1151" s="23"/>
      <c r="K1151" s="22"/>
      <c r="L1151" s="22"/>
      <c r="M1151" s="23"/>
      <c r="N1151" s="23"/>
      <c r="O1151" s="26" t="s">
        <v>4063</v>
      </c>
      <c r="P1151" s="26"/>
      <c r="Q1151" s="22"/>
      <c r="R1151" s="24"/>
      <c r="S1151" s="24"/>
      <c r="T1151" s="24"/>
      <c r="U1151" s="24"/>
      <c r="V1151" s="24"/>
      <c r="W1151" s="22" t="s">
        <v>940</v>
      </c>
      <c r="X1151" s="4" t="str">
        <f>IF(Tabela2[[#This Row],[sigla]]="","",VLOOKUP(Tabela2[[#This Row],[sigla]],créditos_base!B:C,2,0))</f>
        <v>RONALDO LUCENA/ARQUIVO DA EDITORA</v>
      </c>
      <c r="Y1151" s="23"/>
      <c r="Z1151" s="23" t="str">
        <f>Tabela2[[#This Row],[ilustrador]]</f>
        <v>RONALDO LUCENA/ARQUIVO DA EDITORA</v>
      </c>
      <c r="AA1151" s="22"/>
      <c r="AB1151" s="20"/>
      <c r="AD1151" s="4" t="str">
        <f>"Pitanguá"</f>
        <v>Pitanguá</v>
      </c>
      <c r="AE1151" s="14" t="str">
        <f>"Matemática"</f>
        <v>Matemática</v>
      </c>
      <c r="AF1151" s="14"/>
    </row>
    <row r="1152" spans="1:32" x14ac:dyDescent="0.3">
      <c r="A1152" s="23" t="s">
        <v>199</v>
      </c>
      <c r="B1152" s="20" t="s">
        <v>16</v>
      </c>
      <c r="C1152" s="20" t="s">
        <v>7</v>
      </c>
      <c r="D1152" s="20" t="s">
        <v>8</v>
      </c>
      <c r="E1152" s="22">
        <v>85</v>
      </c>
      <c r="F1152" s="22">
        <v>1</v>
      </c>
      <c r="G1152" s="22">
        <v>5</v>
      </c>
      <c r="H1152" s="22"/>
      <c r="I1152" s="23" t="s">
        <v>9</v>
      </c>
      <c r="J1152" s="23"/>
      <c r="K1152" s="22"/>
      <c r="L1152" s="22"/>
      <c r="M1152" s="23"/>
      <c r="N1152" s="23"/>
      <c r="O1152" s="26" t="s">
        <v>200</v>
      </c>
      <c r="P1152" s="26"/>
      <c r="Q1152" s="22"/>
      <c r="R1152" s="24"/>
      <c r="S1152" s="24"/>
      <c r="T1152" s="24"/>
      <c r="U1152" s="24"/>
      <c r="V1152" s="24"/>
      <c r="W1152" s="22" t="s">
        <v>12</v>
      </c>
      <c r="X1152" s="4" t="str">
        <f>IF(Tabela2[[#This Row],[sigla]]="","",VLOOKUP(Tabela2[[#This Row],[sigla]],créditos_base!B:C,2,0))</f>
        <v>JORGE ZAIBA/ARQUIVO DA EDITORA</v>
      </c>
      <c r="Y1152" s="23"/>
      <c r="Z1152" s="23" t="str">
        <f>Tabela2[[#This Row],[ilustrador]]</f>
        <v>JORGE ZAIBA/ARQUIVO DA EDITORA</v>
      </c>
      <c r="AA1152" s="22"/>
      <c r="AB1152" s="20"/>
      <c r="AD1152" s="4" t="str">
        <f>"Pitanguá"</f>
        <v>Pitanguá</v>
      </c>
      <c r="AE1152" s="14" t="str">
        <f>"Matemática"</f>
        <v>Matemática</v>
      </c>
      <c r="AF1152" s="14"/>
    </row>
    <row r="1153" spans="1:32" x14ac:dyDescent="0.3">
      <c r="A1153" s="23" t="s">
        <v>1470</v>
      </c>
      <c r="B1153" s="20" t="s">
        <v>16</v>
      </c>
      <c r="C1153" s="20" t="s">
        <v>89</v>
      </c>
      <c r="D1153" s="20" t="s">
        <v>8</v>
      </c>
      <c r="E1153" s="22">
        <v>74</v>
      </c>
      <c r="F1153" s="22">
        <v>2</v>
      </c>
      <c r="G1153" s="22">
        <v>5</v>
      </c>
      <c r="H1153" s="22"/>
      <c r="I1153" s="23" t="s">
        <v>9</v>
      </c>
      <c r="J1153" s="23"/>
      <c r="K1153" s="22"/>
      <c r="L1153" s="22"/>
      <c r="M1153" s="23"/>
      <c r="N1153" s="23"/>
      <c r="O1153" s="26" t="s">
        <v>1471</v>
      </c>
      <c r="P1153" s="26"/>
      <c r="Q1153" s="22"/>
      <c r="R1153" s="24"/>
      <c r="S1153" s="24"/>
      <c r="T1153" s="24"/>
      <c r="U1153" s="24"/>
      <c r="V1153" s="24"/>
      <c r="W1153" s="22" t="s">
        <v>230</v>
      </c>
      <c r="X1153" s="4" t="str">
        <f>IF(Tabela2[[#This Row],[sigla]]="","",VLOOKUP(Tabela2[[#This Row],[sigla]],créditos_base!B:C,2,0))</f>
        <v>RAFAEL L. GAION/ARQUIVO DA EDITORA</v>
      </c>
      <c r="Y1153" s="23"/>
      <c r="Z1153" s="23" t="str">
        <f>Tabela2[[#This Row],[ilustrador]]</f>
        <v>RAFAEL L. GAION/ARQUIVO DA EDITORA</v>
      </c>
      <c r="AA1153" s="22"/>
      <c r="AB1153" s="20"/>
      <c r="AD1153" s="4" t="str">
        <f>"Pitanguá"</f>
        <v>Pitanguá</v>
      </c>
      <c r="AE1153" s="14" t="str">
        <f>"Matemática"</f>
        <v>Matemática</v>
      </c>
      <c r="AF1153" s="14"/>
    </row>
    <row r="1154" spans="1:32" x14ac:dyDescent="0.3">
      <c r="A1154" s="23" t="s">
        <v>2103</v>
      </c>
      <c r="B1154" s="20" t="s">
        <v>16</v>
      </c>
      <c r="C1154" s="20" t="s">
        <v>7</v>
      </c>
      <c r="D1154" s="20" t="s">
        <v>8</v>
      </c>
      <c r="E1154" s="22">
        <v>86</v>
      </c>
      <c r="F1154" s="22">
        <v>3</v>
      </c>
      <c r="G1154" s="22">
        <v>5</v>
      </c>
      <c r="H1154" s="22"/>
      <c r="I1154" s="23" t="s">
        <v>9</v>
      </c>
      <c r="J1154" s="23"/>
      <c r="K1154" s="22"/>
      <c r="L1154" s="22"/>
      <c r="M1154" s="23"/>
      <c r="N1154" s="23"/>
      <c r="O1154" s="26" t="s">
        <v>2104</v>
      </c>
      <c r="P1154" s="26"/>
      <c r="Q1154" s="22"/>
      <c r="R1154" s="24"/>
      <c r="S1154" s="24"/>
      <c r="T1154" s="24"/>
      <c r="U1154" s="24"/>
      <c r="V1154" s="24"/>
      <c r="W1154" s="22" t="s">
        <v>87</v>
      </c>
      <c r="X1154" s="4" t="str">
        <f>IF(Tabela2[[#This Row],[sigla]]="","",VLOOKUP(Tabela2[[#This Row],[sigla]],créditos_base!B:C,2,0))</f>
        <v>CHRIS BORGES/ARQUIVO DA EDITORA</v>
      </c>
      <c r="Y1154" s="23"/>
      <c r="Z1154" s="23" t="str">
        <f>Tabela2[[#This Row],[ilustrador]]</f>
        <v>CHRIS BORGES/ARQUIVO DA EDITORA</v>
      </c>
      <c r="AA1154" s="22"/>
      <c r="AB1154" s="20"/>
      <c r="AD1154" s="4" t="str">
        <f>"Pitanguá"</f>
        <v>Pitanguá</v>
      </c>
      <c r="AE1154" s="14" t="str">
        <f>"Matemática"</f>
        <v>Matemática</v>
      </c>
      <c r="AF1154" s="14"/>
    </row>
    <row r="1155" spans="1:32" ht="57.6" x14ac:dyDescent="0.3">
      <c r="A1155" s="23" t="s">
        <v>4064</v>
      </c>
      <c r="B1155" s="20" t="s">
        <v>16</v>
      </c>
      <c r="C1155" s="20" t="s">
        <v>89</v>
      </c>
      <c r="D1155" s="20" t="s">
        <v>8</v>
      </c>
      <c r="E1155" s="22">
        <v>124</v>
      </c>
      <c r="F1155" s="22">
        <v>5</v>
      </c>
      <c r="G1155" s="22">
        <v>5</v>
      </c>
      <c r="H1155" s="22"/>
      <c r="I1155" s="23" t="s">
        <v>9</v>
      </c>
      <c r="J1155" s="23"/>
      <c r="K1155" s="22"/>
      <c r="L1155" s="22"/>
      <c r="M1155" s="23"/>
      <c r="N1155" s="23"/>
      <c r="O1155" s="26" t="s">
        <v>4065</v>
      </c>
      <c r="P1155" s="26"/>
      <c r="Q1155" s="22"/>
      <c r="R1155" s="24"/>
      <c r="S1155" s="24"/>
      <c r="T1155" s="24"/>
      <c r="U1155" s="24"/>
      <c r="V1155" s="24"/>
      <c r="W1155" s="22" t="s">
        <v>940</v>
      </c>
      <c r="X1155" s="4" t="str">
        <f>IF(Tabela2[[#This Row],[sigla]]="","",VLOOKUP(Tabela2[[#This Row],[sigla]],créditos_base!B:C,2,0))</f>
        <v>RONALDO LUCENA/ARQUIVO DA EDITORA</v>
      </c>
      <c r="Y1155" s="23"/>
      <c r="Z1155" s="23" t="str">
        <f>Tabela2[[#This Row],[ilustrador]]</f>
        <v>RONALDO LUCENA/ARQUIVO DA EDITORA</v>
      </c>
      <c r="AA1155" s="22"/>
      <c r="AB1155" s="20"/>
      <c r="AD1155" s="4" t="str">
        <f>"Pitanguá"</f>
        <v>Pitanguá</v>
      </c>
      <c r="AE1155" s="14" t="str">
        <f>"Matemática"</f>
        <v>Matemática</v>
      </c>
      <c r="AF1155" s="14"/>
    </row>
    <row r="1156" spans="1:32" x14ac:dyDescent="0.3">
      <c r="A1156" s="23" t="s">
        <v>201</v>
      </c>
      <c r="B1156" s="20" t="s">
        <v>16</v>
      </c>
      <c r="C1156" s="20" t="s">
        <v>7</v>
      </c>
      <c r="D1156" s="20" t="s">
        <v>8</v>
      </c>
      <c r="E1156" s="22">
        <v>85</v>
      </c>
      <c r="F1156" s="22">
        <v>1</v>
      </c>
      <c r="G1156" s="22">
        <v>5</v>
      </c>
      <c r="H1156" s="22"/>
      <c r="I1156" s="23" t="s">
        <v>9</v>
      </c>
      <c r="J1156" s="23"/>
      <c r="K1156" s="22"/>
      <c r="L1156" s="22"/>
      <c r="M1156" s="23"/>
      <c r="N1156" s="23"/>
      <c r="O1156" s="26" t="s">
        <v>202</v>
      </c>
      <c r="P1156" s="26"/>
      <c r="Q1156" s="22"/>
      <c r="R1156" s="24"/>
      <c r="S1156" s="24"/>
      <c r="T1156" s="24"/>
      <c r="U1156" s="24"/>
      <c r="V1156" s="24"/>
      <c r="W1156" s="22" t="s">
        <v>12</v>
      </c>
      <c r="X1156" s="4" t="str">
        <f>IF(Tabela2[[#This Row],[sigla]]="","",VLOOKUP(Tabela2[[#This Row],[sigla]],créditos_base!B:C,2,0))</f>
        <v>JORGE ZAIBA/ARQUIVO DA EDITORA</v>
      </c>
      <c r="Y1156" s="23"/>
      <c r="Z1156" s="23" t="str">
        <f>Tabela2[[#This Row],[ilustrador]]</f>
        <v>JORGE ZAIBA/ARQUIVO DA EDITORA</v>
      </c>
      <c r="AA1156" s="22"/>
      <c r="AB1156" s="20"/>
      <c r="AD1156" s="4" t="str">
        <f>"Pitanguá"</f>
        <v>Pitanguá</v>
      </c>
      <c r="AE1156" s="14" t="str">
        <f>"Matemática"</f>
        <v>Matemática</v>
      </c>
      <c r="AF1156" s="14"/>
    </row>
    <row r="1157" spans="1:32" ht="28.8" x14ac:dyDescent="0.3">
      <c r="A1157" s="23" t="s">
        <v>1472</v>
      </c>
      <c r="B1157" s="20" t="s">
        <v>16</v>
      </c>
      <c r="C1157" s="20" t="s">
        <v>89</v>
      </c>
      <c r="D1157" s="20" t="s">
        <v>8</v>
      </c>
      <c r="E1157" s="22">
        <v>74</v>
      </c>
      <c r="F1157" s="22">
        <v>2</v>
      </c>
      <c r="G1157" s="22">
        <v>5</v>
      </c>
      <c r="H1157" s="22"/>
      <c r="I1157" s="23" t="s">
        <v>9</v>
      </c>
      <c r="J1157" s="23"/>
      <c r="K1157" s="22"/>
      <c r="L1157" s="22"/>
      <c r="M1157" s="23"/>
      <c r="N1157" s="23"/>
      <c r="O1157" s="26" t="s">
        <v>1473</v>
      </c>
      <c r="P1157" s="26"/>
      <c r="Q1157" s="22"/>
      <c r="R1157" s="24"/>
      <c r="S1157" s="24"/>
      <c r="T1157" s="24"/>
      <c r="U1157" s="24"/>
      <c r="V1157" s="24"/>
      <c r="W1157" s="22" t="s">
        <v>230</v>
      </c>
      <c r="X1157" s="4" t="str">
        <f>IF(Tabela2[[#This Row],[sigla]]="","",VLOOKUP(Tabela2[[#This Row],[sigla]],créditos_base!B:C,2,0))</f>
        <v>RAFAEL L. GAION/ARQUIVO DA EDITORA</v>
      </c>
      <c r="Y1157" s="23"/>
      <c r="Z1157" s="23" t="str">
        <f>Tabela2[[#This Row],[ilustrador]]</f>
        <v>RAFAEL L. GAION/ARQUIVO DA EDITORA</v>
      </c>
      <c r="AA1157" s="22"/>
      <c r="AB1157" s="20"/>
      <c r="AD1157" s="4" t="str">
        <f>"Pitanguá"</f>
        <v>Pitanguá</v>
      </c>
      <c r="AE1157" s="14" t="str">
        <f>"Matemática"</f>
        <v>Matemática</v>
      </c>
      <c r="AF1157" s="14"/>
    </row>
    <row r="1158" spans="1:32" x14ac:dyDescent="0.3">
      <c r="A1158" s="23" t="s">
        <v>2105</v>
      </c>
      <c r="B1158" s="20" t="s">
        <v>16</v>
      </c>
      <c r="C1158" s="20" t="s">
        <v>7</v>
      </c>
      <c r="D1158" s="20" t="s">
        <v>8</v>
      </c>
      <c r="E1158" s="22">
        <v>86</v>
      </c>
      <c r="F1158" s="22">
        <v>3</v>
      </c>
      <c r="G1158" s="22">
        <v>5</v>
      </c>
      <c r="H1158" s="22"/>
      <c r="I1158" s="23" t="s">
        <v>9</v>
      </c>
      <c r="J1158" s="23"/>
      <c r="K1158" s="22"/>
      <c r="L1158" s="22"/>
      <c r="M1158" s="23"/>
      <c r="N1158" s="23"/>
      <c r="O1158" s="26" t="s">
        <v>2106</v>
      </c>
      <c r="P1158" s="26"/>
      <c r="Q1158" s="22"/>
      <c r="R1158" s="24"/>
      <c r="S1158" s="24"/>
      <c r="T1158" s="24"/>
      <c r="U1158" s="24"/>
      <c r="V1158" s="24"/>
      <c r="W1158" s="22" t="s">
        <v>87</v>
      </c>
      <c r="X1158" s="4" t="str">
        <f>IF(Tabela2[[#This Row],[sigla]]="","",VLOOKUP(Tabela2[[#This Row],[sigla]],créditos_base!B:C,2,0))</f>
        <v>CHRIS BORGES/ARQUIVO DA EDITORA</v>
      </c>
      <c r="Y1158" s="23"/>
      <c r="Z1158" s="23" t="str">
        <f>Tabela2[[#This Row],[ilustrador]]</f>
        <v>CHRIS BORGES/ARQUIVO DA EDITORA</v>
      </c>
      <c r="AA1158" s="22"/>
      <c r="AB1158" s="20"/>
      <c r="AD1158" s="4" t="str">
        <f>"Pitanguá"</f>
        <v>Pitanguá</v>
      </c>
      <c r="AE1158" s="14" t="str">
        <f>"Matemática"</f>
        <v>Matemática</v>
      </c>
      <c r="AF1158" s="14"/>
    </row>
    <row r="1159" spans="1:32" ht="28.8" x14ac:dyDescent="0.3">
      <c r="A1159" s="23" t="s">
        <v>4066</v>
      </c>
      <c r="B1159" s="20" t="s">
        <v>16</v>
      </c>
      <c r="C1159" s="20" t="s">
        <v>89</v>
      </c>
      <c r="D1159" s="20" t="s">
        <v>8</v>
      </c>
      <c r="E1159" s="22">
        <v>124</v>
      </c>
      <c r="F1159" s="22">
        <v>5</v>
      </c>
      <c r="G1159" s="22">
        <v>5</v>
      </c>
      <c r="H1159" s="22"/>
      <c r="I1159" s="23" t="s">
        <v>9</v>
      </c>
      <c r="J1159" s="23"/>
      <c r="K1159" s="22"/>
      <c r="L1159" s="22"/>
      <c r="M1159" s="23"/>
      <c r="N1159" s="23"/>
      <c r="O1159" s="26" t="s">
        <v>4067</v>
      </c>
      <c r="P1159" s="26"/>
      <c r="Q1159" s="22"/>
      <c r="R1159" s="24"/>
      <c r="S1159" s="24"/>
      <c r="T1159" s="24"/>
      <c r="U1159" s="24"/>
      <c r="V1159" s="24"/>
      <c r="W1159" s="22" t="s">
        <v>940</v>
      </c>
      <c r="X1159" s="4" t="str">
        <f>IF(Tabela2[[#This Row],[sigla]]="","",VLOOKUP(Tabela2[[#This Row],[sigla]],créditos_base!B:C,2,0))</f>
        <v>RONALDO LUCENA/ARQUIVO DA EDITORA</v>
      </c>
      <c r="Y1159" s="23"/>
      <c r="Z1159" s="23" t="str">
        <f>Tabela2[[#This Row],[ilustrador]]</f>
        <v>RONALDO LUCENA/ARQUIVO DA EDITORA</v>
      </c>
      <c r="AA1159" s="22"/>
      <c r="AB1159" s="20"/>
      <c r="AD1159" s="4" t="str">
        <f>"Pitanguá"</f>
        <v>Pitanguá</v>
      </c>
      <c r="AE1159" s="14" t="str">
        <f>"Matemática"</f>
        <v>Matemática</v>
      </c>
      <c r="AF1159" s="14"/>
    </row>
    <row r="1160" spans="1:32" x14ac:dyDescent="0.3">
      <c r="A1160" s="23" t="s">
        <v>203</v>
      </c>
      <c r="B1160" s="20" t="s">
        <v>16</v>
      </c>
      <c r="C1160" s="20" t="s">
        <v>7</v>
      </c>
      <c r="D1160" s="20" t="s">
        <v>8</v>
      </c>
      <c r="E1160" s="22">
        <v>85</v>
      </c>
      <c r="F1160" s="22">
        <v>1</v>
      </c>
      <c r="G1160" s="22">
        <v>5</v>
      </c>
      <c r="H1160" s="22"/>
      <c r="I1160" s="23" t="s">
        <v>9</v>
      </c>
      <c r="J1160" s="23"/>
      <c r="K1160" s="22"/>
      <c r="L1160" s="22"/>
      <c r="M1160" s="23"/>
      <c r="N1160" s="23"/>
      <c r="O1160" s="26" t="s">
        <v>204</v>
      </c>
      <c r="P1160" s="26"/>
      <c r="Q1160" s="22"/>
      <c r="R1160" s="24"/>
      <c r="S1160" s="24"/>
      <c r="T1160" s="24"/>
      <c r="U1160" s="24"/>
      <c r="V1160" s="24"/>
      <c r="W1160" s="22" t="s">
        <v>12</v>
      </c>
      <c r="X1160" s="4" t="str">
        <f>IF(Tabela2[[#This Row],[sigla]]="","",VLOOKUP(Tabela2[[#This Row],[sigla]],créditos_base!B:C,2,0))</f>
        <v>JORGE ZAIBA/ARQUIVO DA EDITORA</v>
      </c>
      <c r="Y1160" s="23"/>
      <c r="Z1160" s="23" t="str">
        <f>Tabela2[[#This Row],[ilustrador]]</f>
        <v>JORGE ZAIBA/ARQUIVO DA EDITORA</v>
      </c>
      <c r="AA1160" s="22"/>
      <c r="AB1160" s="20"/>
      <c r="AD1160" s="4" t="str">
        <f>"Pitanguá"</f>
        <v>Pitanguá</v>
      </c>
      <c r="AE1160" s="14" t="str">
        <f>"Matemática"</f>
        <v>Matemática</v>
      </c>
      <c r="AF1160" s="14"/>
    </row>
    <row r="1161" spans="1:32" ht="43.2" x14ac:dyDescent="0.3">
      <c r="A1161" s="23" t="s">
        <v>1474</v>
      </c>
      <c r="B1161" s="20" t="s">
        <v>16</v>
      </c>
      <c r="C1161" s="20" t="s">
        <v>89</v>
      </c>
      <c r="D1161" s="20" t="s">
        <v>8</v>
      </c>
      <c r="E1161" s="22">
        <v>74</v>
      </c>
      <c r="F1161" s="22">
        <v>2</v>
      </c>
      <c r="G1161" s="22">
        <v>5</v>
      </c>
      <c r="H1161" s="22"/>
      <c r="I1161" s="23" t="s">
        <v>9</v>
      </c>
      <c r="J1161" s="23"/>
      <c r="K1161" s="22"/>
      <c r="L1161" s="22"/>
      <c r="M1161" s="23"/>
      <c r="N1161" s="23"/>
      <c r="O1161" s="26" t="s">
        <v>1475</v>
      </c>
      <c r="P1161" s="26"/>
      <c r="Q1161" s="22"/>
      <c r="R1161" s="24"/>
      <c r="S1161" s="24"/>
      <c r="T1161" s="24"/>
      <c r="U1161" s="24"/>
      <c r="V1161" s="24"/>
      <c r="W1161" s="22" t="s">
        <v>230</v>
      </c>
      <c r="X1161" s="4" t="str">
        <f>IF(Tabela2[[#This Row],[sigla]]="","",VLOOKUP(Tabela2[[#This Row],[sigla]],créditos_base!B:C,2,0))</f>
        <v>RAFAEL L. GAION/ARQUIVO DA EDITORA</v>
      </c>
      <c r="Y1161" s="23"/>
      <c r="Z1161" s="23" t="str">
        <f>Tabela2[[#This Row],[ilustrador]]</f>
        <v>RAFAEL L. GAION/ARQUIVO DA EDITORA</v>
      </c>
      <c r="AA1161" s="22"/>
      <c r="AB1161" s="20"/>
      <c r="AD1161" s="4" t="str">
        <f>"Pitanguá"</f>
        <v>Pitanguá</v>
      </c>
      <c r="AE1161" s="14" t="str">
        <f>"Matemática"</f>
        <v>Matemática</v>
      </c>
      <c r="AF1161" s="14"/>
    </row>
    <row r="1162" spans="1:32" x14ac:dyDescent="0.3">
      <c r="A1162" s="23" t="s">
        <v>4068</v>
      </c>
      <c r="B1162" s="20" t="s">
        <v>16</v>
      </c>
      <c r="C1162" s="20" t="s">
        <v>89</v>
      </c>
      <c r="D1162" s="20" t="s">
        <v>8</v>
      </c>
      <c r="E1162" s="22">
        <v>124</v>
      </c>
      <c r="F1162" s="22">
        <v>5</v>
      </c>
      <c r="G1162" s="22">
        <v>5</v>
      </c>
      <c r="H1162" s="22"/>
      <c r="I1162" s="23" t="s">
        <v>9</v>
      </c>
      <c r="J1162" s="23"/>
      <c r="K1162" s="22"/>
      <c r="L1162" s="22"/>
      <c r="M1162" s="23"/>
      <c r="N1162" s="23"/>
      <c r="O1162" s="26" t="s">
        <v>4069</v>
      </c>
      <c r="P1162" s="26"/>
      <c r="Q1162" s="22"/>
      <c r="R1162" s="24"/>
      <c r="S1162" s="24"/>
      <c r="T1162" s="24"/>
      <c r="U1162" s="24"/>
      <c r="V1162" s="24"/>
      <c r="W1162" s="22" t="s">
        <v>940</v>
      </c>
      <c r="X1162" s="4" t="str">
        <f>IF(Tabela2[[#This Row],[sigla]]="","",VLOOKUP(Tabela2[[#This Row],[sigla]],créditos_base!B:C,2,0))</f>
        <v>RONALDO LUCENA/ARQUIVO DA EDITORA</v>
      </c>
      <c r="Y1162" s="23"/>
      <c r="Z1162" s="23" t="str">
        <f>Tabela2[[#This Row],[ilustrador]]</f>
        <v>RONALDO LUCENA/ARQUIVO DA EDITORA</v>
      </c>
      <c r="AA1162" s="22"/>
      <c r="AB1162" s="20"/>
      <c r="AD1162" s="4" t="str">
        <f>"Pitanguá"</f>
        <v>Pitanguá</v>
      </c>
      <c r="AE1162" s="14" t="str">
        <f>"Matemática"</f>
        <v>Matemática</v>
      </c>
      <c r="AF1162" s="14"/>
    </row>
    <row r="1163" spans="1:32" x14ac:dyDescent="0.3">
      <c r="A1163" s="23" t="s">
        <v>205</v>
      </c>
      <c r="B1163" s="20" t="s">
        <v>16</v>
      </c>
      <c r="C1163" s="20" t="s">
        <v>89</v>
      </c>
      <c r="D1163" s="20" t="s">
        <v>8</v>
      </c>
      <c r="E1163" s="22">
        <v>86</v>
      </c>
      <c r="F1163" s="22">
        <v>1</v>
      </c>
      <c r="G1163" s="22">
        <v>5</v>
      </c>
      <c r="H1163" s="22"/>
      <c r="I1163" s="23" t="s">
        <v>9</v>
      </c>
      <c r="J1163" s="23"/>
      <c r="K1163" s="22"/>
      <c r="L1163" s="22"/>
      <c r="M1163" s="23"/>
      <c r="N1163" s="23"/>
      <c r="O1163" s="26" t="s">
        <v>206</v>
      </c>
      <c r="P1163" s="26"/>
      <c r="Q1163" s="22"/>
      <c r="R1163" s="24"/>
      <c r="S1163" s="24"/>
      <c r="T1163" s="24"/>
      <c r="U1163" s="24"/>
      <c r="V1163" s="24"/>
      <c r="W1163" s="22" t="s">
        <v>160</v>
      </c>
      <c r="X1163" s="4" t="str">
        <f>IF(Tabela2[[#This Row],[sigla]]="","",VLOOKUP(Tabela2[[#This Row],[sigla]],créditos_base!B:C,2,0))</f>
        <v>SERGIO LIMA/ARQUIVO DA EDITORA</v>
      </c>
      <c r="Y1163" s="23"/>
      <c r="Z1163" s="23" t="str">
        <f>Tabela2[[#This Row],[ilustrador]]</f>
        <v>SERGIO LIMA/ARQUIVO DA EDITORA</v>
      </c>
      <c r="AA1163" s="22"/>
      <c r="AB1163" s="20"/>
      <c r="AD1163" s="4" t="str">
        <f>"Pitanguá"</f>
        <v>Pitanguá</v>
      </c>
      <c r="AE1163" s="14" t="str">
        <f>"Matemática"</f>
        <v>Matemática</v>
      </c>
      <c r="AF1163" s="14"/>
    </row>
    <row r="1164" spans="1:32" ht="43.2" x14ac:dyDescent="0.3">
      <c r="A1164" s="23" t="s">
        <v>1476</v>
      </c>
      <c r="B1164" s="20" t="s">
        <v>16</v>
      </c>
      <c r="C1164" s="20" t="s">
        <v>7</v>
      </c>
      <c r="D1164" s="20" t="s">
        <v>8</v>
      </c>
      <c r="E1164" s="22">
        <v>74</v>
      </c>
      <c r="F1164" s="22">
        <v>2</v>
      </c>
      <c r="G1164" s="22">
        <v>5</v>
      </c>
      <c r="H1164" s="22"/>
      <c r="I1164" s="23" t="s">
        <v>9</v>
      </c>
      <c r="J1164" s="23"/>
      <c r="K1164" s="22"/>
      <c r="L1164" s="22"/>
      <c r="M1164" s="23"/>
      <c r="N1164" s="23"/>
      <c r="O1164" s="26" t="s">
        <v>1477</v>
      </c>
      <c r="P1164" s="26"/>
      <c r="Q1164" s="22"/>
      <c r="R1164" s="24"/>
      <c r="S1164" s="24"/>
      <c r="T1164" s="24"/>
      <c r="U1164" s="24"/>
      <c r="V1164" s="24"/>
      <c r="W1164" s="22" t="s">
        <v>230</v>
      </c>
      <c r="X1164" s="4" t="str">
        <f>IF(Tabela2[[#This Row],[sigla]]="","",VLOOKUP(Tabela2[[#This Row],[sigla]],créditos_base!B:C,2,0))</f>
        <v>RAFAEL L. GAION/ARQUIVO DA EDITORA</v>
      </c>
      <c r="Y1164" s="23"/>
      <c r="Z1164" s="23" t="str">
        <f>Tabela2[[#This Row],[ilustrador]]</f>
        <v>RAFAEL L. GAION/ARQUIVO DA EDITORA</v>
      </c>
      <c r="AA1164" s="22"/>
      <c r="AB1164" s="20"/>
      <c r="AD1164" s="4" t="str">
        <f>"Pitanguá"</f>
        <v>Pitanguá</v>
      </c>
      <c r="AE1164" s="14" t="str">
        <f>"Matemática"</f>
        <v>Matemática</v>
      </c>
      <c r="AF1164" s="14"/>
    </row>
    <row r="1165" spans="1:32" x14ac:dyDescent="0.3">
      <c r="A1165" s="23" t="s">
        <v>2107</v>
      </c>
      <c r="B1165" s="20" t="s">
        <v>6</v>
      </c>
      <c r="C1165" s="20" t="s">
        <v>7</v>
      </c>
      <c r="D1165" s="20" t="s">
        <v>8</v>
      </c>
      <c r="E1165" s="22">
        <v>87</v>
      </c>
      <c r="F1165" s="22">
        <v>3</v>
      </c>
      <c r="G1165" s="22">
        <v>5</v>
      </c>
      <c r="H1165" s="22"/>
      <c r="I1165" s="23" t="s">
        <v>9</v>
      </c>
      <c r="J1165" s="23"/>
      <c r="K1165" s="22"/>
      <c r="L1165" s="22"/>
      <c r="M1165" s="23"/>
      <c r="N1165" s="23"/>
      <c r="O1165" s="26" t="s">
        <v>2108</v>
      </c>
      <c r="P1165" s="26" t="s">
        <v>11</v>
      </c>
      <c r="Q1165" s="22"/>
      <c r="R1165" s="24"/>
      <c r="S1165" s="24"/>
      <c r="T1165" s="24"/>
      <c r="U1165" s="24"/>
      <c r="V1165" s="24"/>
      <c r="W1165" s="22" t="s">
        <v>160</v>
      </c>
      <c r="X1165" s="4" t="str">
        <f>IF(Tabela2[[#This Row],[sigla]]="","",VLOOKUP(Tabela2[[#This Row],[sigla]],créditos_base!B:C,2,0))</f>
        <v>SERGIO LIMA/ARQUIVO DA EDITORA</v>
      </c>
      <c r="Y1165" s="23"/>
      <c r="Z1165" s="23" t="str">
        <f>Tabela2[[#This Row],[ilustrador]]</f>
        <v>SERGIO LIMA/ARQUIVO DA EDITORA</v>
      </c>
      <c r="AA1165" s="22"/>
      <c r="AB1165" s="20"/>
      <c r="AD1165" s="4" t="str">
        <f>"Pitanguá"</f>
        <v>Pitanguá</v>
      </c>
      <c r="AE1165" s="14" t="str">
        <f>"Matemática"</f>
        <v>Matemática</v>
      </c>
      <c r="AF1165" s="14"/>
    </row>
    <row r="1166" spans="1:32" ht="28.8" x14ac:dyDescent="0.3">
      <c r="A1166" s="23" t="s">
        <v>5193</v>
      </c>
      <c r="B1166" s="20" t="s">
        <v>16</v>
      </c>
      <c r="C1166" s="20" t="s">
        <v>7</v>
      </c>
      <c r="D1166" s="20" t="s">
        <v>8</v>
      </c>
      <c r="E1166" s="22">
        <v>120</v>
      </c>
      <c r="F1166" s="22">
        <v>4</v>
      </c>
      <c r="G1166" s="22">
        <v>5</v>
      </c>
      <c r="H1166" s="22"/>
      <c r="I1166" s="23" t="s">
        <v>33</v>
      </c>
      <c r="J1166" s="23"/>
      <c r="K1166" s="22"/>
      <c r="L1166" s="22"/>
      <c r="M1166" s="23"/>
      <c r="N1166" s="23"/>
      <c r="O1166" s="26" t="s">
        <v>5194</v>
      </c>
      <c r="P1166" s="26"/>
      <c r="Q1166" s="22">
        <v>107</v>
      </c>
      <c r="R1166" s="24">
        <v>45850</v>
      </c>
      <c r="S1166" s="24">
        <v>45853</v>
      </c>
      <c r="T1166" s="24"/>
      <c r="U1166" s="24"/>
      <c r="V1166" s="24">
        <v>45856</v>
      </c>
      <c r="W1166" s="22" t="s">
        <v>12</v>
      </c>
      <c r="X1166" s="4" t="str">
        <f>IF(Tabela2[[#This Row],[sigla]]="","",VLOOKUP(Tabela2[[#This Row],[sigla]],créditos_base!B:C,2,0))</f>
        <v>JORGE ZAIBA/ARQUIVO DA EDITORA</v>
      </c>
      <c r="Y1166" s="23" t="s">
        <v>243</v>
      </c>
      <c r="Z1166" s="23" t="str">
        <f>Tabela2[[#This Row],[ilustrador]]</f>
        <v>JORGE ZAIBA/ARQUIVO DA EDITORA</v>
      </c>
      <c r="AA1166" s="22">
        <v>13</v>
      </c>
      <c r="AB1166" s="20" t="s">
        <v>244</v>
      </c>
      <c r="AC1166" s="20" t="s">
        <v>36</v>
      </c>
      <c r="AD1166" s="4" t="str">
        <f>"Pitanguá"</f>
        <v>Pitanguá</v>
      </c>
      <c r="AE1166" s="14" t="str">
        <f>"Matemática"</f>
        <v>Matemática</v>
      </c>
      <c r="AF1166" s="14"/>
    </row>
    <row r="1167" spans="1:32" ht="28.8" x14ac:dyDescent="0.3">
      <c r="A1167" s="23" t="s">
        <v>4070</v>
      </c>
      <c r="B1167" s="20" t="s">
        <v>16</v>
      </c>
      <c r="C1167" s="20" t="s">
        <v>89</v>
      </c>
      <c r="D1167" s="20" t="s">
        <v>8</v>
      </c>
      <c r="E1167" s="22">
        <v>124</v>
      </c>
      <c r="F1167" s="22">
        <v>5</v>
      </c>
      <c r="G1167" s="22">
        <v>5</v>
      </c>
      <c r="H1167" s="22"/>
      <c r="I1167" s="23" t="s">
        <v>9</v>
      </c>
      <c r="J1167" s="23"/>
      <c r="K1167" s="22"/>
      <c r="L1167" s="22"/>
      <c r="M1167" s="23"/>
      <c r="N1167" s="23"/>
      <c r="O1167" s="26" t="s">
        <v>4071</v>
      </c>
      <c r="P1167" s="26"/>
      <c r="Q1167" s="22"/>
      <c r="R1167" s="24"/>
      <c r="S1167" s="24"/>
      <c r="T1167" s="24"/>
      <c r="U1167" s="24"/>
      <c r="V1167" s="24"/>
      <c r="W1167" s="22" t="s">
        <v>940</v>
      </c>
      <c r="X1167" s="4" t="str">
        <f>IF(Tabela2[[#This Row],[sigla]]="","",VLOOKUP(Tabela2[[#This Row],[sigla]],créditos_base!B:C,2,0))</f>
        <v>RONALDO LUCENA/ARQUIVO DA EDITORA</v>
      </c>
      <c r="Y1167" s="23"/>
      <c r="Z1167" s="23" t="str">
        <f>Tabela2[[#This Row],[ilustrador]]</f>
        <v>RONALDO LUCENA/ARQUIVO DA EDITORA</v>
      </c>
      <c r="AA1167" s="22"/>
      <c r="AB1167" s="20"/>
      <c r="AD1167" s="4" t="str">
        <f>"Pitanguá"</f>
        <v>Pitanguá</v>
      </c>
      <c r="AE1167" s="14" t="str">
        <f>"Matemática"</f>
        <v>Matemática</v>
      </c>
      <c r="AF1167" s="14"/>
    </row>
    <row r="1168" spans="1:32" x14ac:dyDescent="0.3">
      <c r="A1168" s="23" t="s">
        <v>207</v>
      </c>
      <c r="B1168" s="20" t="s">
        <v>16</v>
      </c>
      <c r="C1168" s="20" t="s">
        <v>89</v>
      </c>
      <c r="D1168" s="20" t="s">
        <v>8</v>
      </c>
      <c r="E1168" s="22">
        <v>86</v>
      </c>
      <c r="F1168" s="22">
        <v>1</v>
      </c>
      <c r="G1168" s="22">
        <v>5</v>
      </c>
      <c r="H1168" s="22"/>
      <c r="I1168" s="23" t="s">
        <v>9</v>
      </c>
      <c r="J1168" s="23"/>
      <c r="K1168" s="22"/>
      <c r="L1168" s="22"/>
      <c r="M1168" s="23"/>
      <c r="N1168" s="23"/>
      <c r="O1168" s="26" t="s">
        <v>208</v>
      </c>
      <c r="P1168" s="26"/>
      <c r="Q1168" s="22"/>
      <c r="R1168" s="24"/>
      <c r="S1168" s="24"/>
      <c r="T1168" s="24"/>
      <c r="U1168" s="24"/>
      <c r="V1168" s="24"/>
      <c r="W1168" s="22" t="s">
        <v>160</v>
      </c>
      <c r="X1168" s="4" t="str">
        <f>IF(Tabela2[[#This Row],[sigla]]="","",VLOOKUP(Tabela2[[#This Row],[sigla]],créditos_base!B:C,2,0))</f>
        <v>SERGIO LIMA/ARQUIVO DA EDITORA</v>
      </c>
      <c r="Y1168" s="23"/>
      <c r="Z1168" s="23" t="str">
        <f>Tabela2[[#This Row],[ilustrador]]</f>
        <v>SERGIO LIMA/ARQUIVO DA EDITORA</v>
      </c>
      <c r="AA1168" s="22"/>
      <c r="AB1168" s="20"/>
      <c r="AD1168" s="4" t="str">
        <f>"Pitanguá"</f>
        <v>Pitanguá</v>
      </c>
      <c r="AE1168" s="14" t="str">
        <f>"Matemática"</f>
        <v>Matemática</v>
      </c>
      <c r="AF1168" s="14"/>
    </row>
    <row r="1169" spans="1:32" x14ac:dyDescent="0.3">
      <c r="A1169" s="23" t="s">
        <v>1478</v>
      </c>
      <c r="B1169" s="20" t="s">
        <v>16</v>
      </c>
      <c r="C1169" s="20" t="s">
        <v>7</v>
      </c>
      <c r="D1169" s="20" t="s">
        <v>8</v>
      </c>
      <c r="E1169" s="22">
        <v>74</v>
      </c>
      <c r="F1169" s="22">
        <v>2</v>
      </c>
      <c r="G1169" s="22">
        <v>5</v>
      </c>
      <c r="H1169" s="22"/>
      <c r="I1169" s="23" t="s">
        <v>9</v>
      </c>
      <c r="J1169" s="23"/>
      <c r="K1169" s="22"/>
      <c r="L1169" s="22"/>
      <c r="M1169" s="23"/>
      <c r="N1169" s="23"/>
      <c r="O1169" s="26" t="s">
        <v>1479</v>
      </c>
      <c r="P1169" s="26"/>
      <c r="Q1169" s="22"/>
      <c r="R1169" s="24"/>
      <c r="S1169" s="24"/>
      <c r="T1169" s="24"/>
      <c r="U1169" s="24"/>
      <c r="V1169" s="24"/>
      <c r="W1169" s="22" t="s">
        <v>940</v>
      </c>
      <c r="X1169" s="4" t="str">
        <f>IF(Tabela2[[#This Row],[sigla]]="","",VLOOKUP(Tabela2[[#This Row],[sigla]],créditos_base!B:C,2,0))</f>
        <v>RONALDO LUCENA/ARQUIVO DA EDITORA</v>
      </c>
      <c r="Y1169" s="23"/>
      <c r="Z1169" s="23" t="str">
        <f>Tabela2[[#This Row],[ilustrador]]</f>
        <v>RONALDO LUCENA/ARQUIVO DA EDITORA</v>
      </c>
      <c r="AA1169" s="22"/>
      <c r="AB1169" s="20"/>
      <c r="AD1169" s="4" t="str">
        <f>"Pitanguá"</f>
        <v>Pitanguá</v>
      </c>
      <c r="AE1169" s="14" t="str">
        <f>"Matemática"</f>
        <v>Matemática</v>
      </c>
      <c r="AF1169" s="14"/>
    </row>
    <row r="1170" spans="1:32" ht="43.2" x14ac:dyDescent="0.3">
      <c r="A1170" s="23" t="s">
        <v>2109</v>
      </c>
      <c r="B1170" s="20" t="s">
        <v>6</v>
      </c>
      <c r="C1170" s="20" t="s">
        <v>7</v>
      </c>
      <c r="D1170" s="20" t="s">
        <v>8</v>
      </c>
      <c r="E1170" s="22">
        <v>87</v>
      </c>
      <c r="F1170" s="22">
        <v>3</v>
      </c>
      <c r="G1170" s="22">
        <v>5</v>
      </c>
      <c r="H1170" s="22"/>
      <c r="I1170" s="23" t="s">
        <v>9</v>
      </c>
      <c r="J1170" s="23"/>
      <c r="K1170" s="22"/>
      <c r="L1170" s="22"/>
      <c r="M1170" s="23"/>
      <c r="N1170" s="23"/>
      <c r="O1170" s="26" t="s">
        <v>2110</v>
      </c>
      <c r="P1170" s="26" t="s">
        <v>11</v>
      </c>
      <c r="Q1170" s="22"/>
      <c r="R1170" s="24"/>
      <c r="S1170" s="24"/>
      <c r="T1170" s="24"/>
      <c r="U1170" s="24"/>
      <c r="V1170" s="24"/>
      <c r="W1170" s="22" t="s">
        <v>160</v>
      </c>
      <c r="X1170" s="4" t="str">
        <f>IF(Tabela2[[#This Row],[sigla]]="","",VLOOKUP(Tabela2[[#This Row],[sigla]],créditos_base!B:C,2,0))</f>
        <v>SERGIO LIMA/ARQUIVO DA EDITORA</v>
      </c>
      <c r="Y1170" s="23"/>
      <c r="Z1170" s="23" t="str">
        <f>Tabela2[[#This Row],[ilustrador]]</f>
        <v>SERGIO LIMA/ARQUIVO DA EDITORA</v>
      </c>
      <c r="AA1170" s="22"/>
      <c r="AB1170" s="20"/>
      <c r="AD1170" s="4" t="str">
        <f>"Pitanguá"</f>
        <v>Pitanguá</v>
      </c>
      <c r="AE1170" s="14" t="str">
        <f>"Matemática"</f>
        <v>Matemática</v>
      </c>
      <c r="AF1170" s="14"/>
    </row>
    <row r="1171" spans="1:32" x14ac:dyDescent="0.3">
      <c r="A1171" s="23" t="s">
        <v>4072</v>
      </c>
      <c r="B1171" s="20" t="s">
        <v>16</v>
      </c>
      <c r="C1171" s="20" t="s">
        <v>89</v>
      </c>
      <c r="D1171" s="20" t="s">
        <v>8</v>
      </c>
      <c r="E1171" s="22">
        <v>124</v>
      </c>
      <c r="F1171" s="22">
        <v>5</v>
      </c>
      <c r="G1171" s="22">
        <v>5</v>
      </c>
      <c r="H1171" s="22"/>
      <c r="I1171" s="23" t="s">
        <v>9</v>
      </c>
      <c r="J1171" s="23"/>
      <c r="K1171" s="22"/>
      <c r="L1171" s="22"/>
      <c r="M1171" s="23"/>
      <c r="N1171" s="23"/>
      <c r="O1171" s="26" t="s">
        <v>4073</v>
      </c>
      <c r="P1171" s="26"/>
      <c r="Q1171" s="22"/>
      <c r="R1171" s="24"/>
      <c r="S1171" s="24"/>
      <c r="T1171" s="24"/>
      <c r="U1171" s="24"/>
      <c r="V1171" s="24"/>
      <c r="W1171" s="22" t="s">
        <v>940</v>
      </c>
      <c r="X1171" s="4" t="str">
        <f>IF(Tabela2[[#This Row],[sigla]]="","",VLOOKUP(Tabela2[[#This Row],[sigla]],créditos_base!B:C,2,0))</f>
        <v>RONALDO LUCENA/ARQUIVO DA EDITORA</v>
      </c>
      <c r="Y1171" s="23"/>
      <c r="Z1171" s="23" t="str">
        <f>Tabela2[[#This Row],[ilustrador]]</f>
        <v>RONALDO LUCENA/ARQUIVO DA EDITORA</v>
      </c>
      <c r="AA1171" s="22"/>
      <c r="AB1171" s="20"/>
      <c r="AD1171" s="4" t="str">
        <f>"Pitanguá"</f>
        <v>Pitanguá</v>
      </c>
      <c r="AE1171" s="14" t="str">
        <f>"Matemática"</f>
        <v>Matemática</v>
      </c>
      <c r="AF1171" s="14"/>
    </row>
    <row r="1172" spans="1:32" x14ac:dyDescent="0.3">
      <c r="A1172" s="23" t="s">
        <v>209</v>
      </c>
      <c r="B1172" s="20" t="s">
        <v>16</v>
      </c>
      <c r="C1172" s="20" t="s">
        <v>89</v>
      </c>
      <c r="D1172" s="20" t="s">
        <v>8</v>
      </c>
      <c r="E1172" s="22">
        <v>86</v>
      </c>
      <c r="F1172" s="22">
        <v>1</v>
      </c>
      <c r="G1172" s="22">
        <v>5</v>
      </c>
      <c r="H1172" s="22"/>
      <c r="I1172" s="23" t="s">
        <v>9</v>
      </c>
      <c r="J1172" s="23"/>
      <c r="K1172" s="22"/>
      <c r="L1172" s="22"/>
      <c r="M1172" s="23"/>
      <c r="N1172" s="23"/>
      <c r="O1172" s="26" t="s">
        <v>210</v>
      </c>
      <c r="P1172" s="26"/>
      <c r="Q1172" s="22"/>
      <c r="R1172" s="24"/>
      <c r="S1172" s="24"/>
      <c r="T1172" s="24"/>
      <c r="U1172" s="24"/>
      <c r="V1172" s="24"/>
      <c r="W1172" s="22" t="s">
        <v>160</v>
      </c>
      <c r="X1172" s="4" t="str">
        <f>IF(Tabela2[[#This Row],[sigla]]="","",VLOOKUP(Tabela2[[#This Row],[sigla]],créditos_base!B:C,2,0))</f>
        <v>SERGIO LIMA/ARQUIVO DA EDITORA</v>
      </c>
      <c r="Y1172" s="23"/>
      <c r="Z1172" s="23" t="str">
        <f>Tabela2[[#This Row],[ilustrador]]</f>
        <v>SERGIO LIMA/ARQUIVO DA EDITORA</v>
      </c>
      <c r="AA1172" s="22"/>
      <c r="AB1172" s="20"/>
      <c r="AD1172" s="4" t="str">
        <f>"Pitanguá"</f>
        <v>Pitanguá</v>
      </c>
      <c r="AE1172" s="14" t="str">
        <f>"Matemática"</f>
        <v>Matemática</v>
      </c>
      <c r="AF1172" s="14"/>
    </row>
    <row r="1173" spans="1:32" x14ac:dyDescent="0.3">
      <c r="A1173" s="23" t="s">
        <v>1480</v>
      </c>
      <c r="B1173" s="20" t="s">
        <v>16</v>
      </c>
      <c r="C1173" s="20" t="s">
        <v>7</v>
      </c>
      <c r="D1173" s="20" t="s">
        <v>8</v>
      </c>
      <c r="E1173" s="22">
        <v>74</v>
      </c>
      <c r="F1173" s="22">
        <v>2</v>
      </c>
      <c r="G1173" s="22">
        <v>5</v>
      </c>
      <c r="H1173" s="22"/>
      <c r="I1173" s="23" t="s">
        <v>9</v>
      </c>
      <c r="J1173" s="23"/>
      <c r="K1173" s="22"/>
      <c r="L1173" s="22"/>
      <c r="M1173" s="23"/>
      <c r="N1173" s="23"/>
      <c r="O1173" s="26" t="s">
        <v>1481</v>
      </c>
      <c r="P1173" s="26"/>
      <c r="Q1173" s="22"/>
      <c r="R1173" s="24"/>
      <c r="S1173" s="24"/>
      <c r="T1173" s="24"/>
      <c r="U1173" s="24"/>
      <c r="V1173" s="24"/>
      <c r="W1173" s="22" t="s">
        <v>940</v>
      </c>
      <c r="X1173" s="4" t="str">
        <f>IF(Tabela2[[#This Row],[sigla]]="","",VLOOKUP(Tabela2[[#This Row],[sigla]],créditos_base!B:C,2,0))</f>
        <v>RONALDO LUCENA/ARQUIVO DA EDITORA</v>
      </c>
      <c r="Y1173" s="23"/>
      <c r="Z1173" s="23" t="str">
        <f>Tabela2[[#This Row],[ilustrador]]</f>
        <v>RONALDO LUCENA/ARQUIVO DA EDITORA</v>
      </c>
      <c r="AA1173" s="22"/>
      <c r="AB1173" s="20"/>
      <c r="AD1173" s="4" t="str">
        <f>"Pitanguá"</f>
        <v>Pitanguá</v>
      </c>
      <c r="AE1173" s="14" t="str">
        <f>"Matemática"</f>
        <v>Matemática</v>
      </c>
      <c r="AF1173" s="14"/>
    </row>
    <row r="1174" spans="1:32" x14ac:dyDescent="0.3">
      <c r="A1174" s="23" t="s">
        <v>2111</v>
      </c>
      <c r="B1174" s="20" t="s">
        <v>6</v>
      </c>
      <c r="C1174" s="20" t="s">
        <v>7</v>
      </c>
      <c r="D1174" s="20" t="s">
        <v>8</v>
      </c>
      <c r="E1174" s="22">
        <v>87</v>
      </c>
      <c r="F1174" s="22">
        <v>3</v>
      </c>
      <c r="G1174" s="22">
        <v>5</v>
      </c>
      <c r="H1174" s="22"/>
      <c r="I1174" s="23" t="s">
        <v>9</v>
      </c>
      <c r="J1174" s="23"/>
      <c r="K1174" s="22"/>
      <c r="L1174" s="22"/>
      <c r="M1174" s="23"/>
      <c r="N1174" s="23"/>
      <c r="O1174" s="26" t="s">
        <v>2112</v>
      </c>
      <c r="P1174" s="26" t="s">
        <v>11</v>
      </c>
      <c r="Q1174" s="22"/>
      <c r="R1174" s="24"/>
      <c r="S1174" s="24"/>
      <c r="T1174" s="24"/>
      <c r="U1174" s="24"/>
      <c r="V1174" s="24"/>
      <c r="W1174" s="22" t="s">
        <v>160</v>
      </c>
      <c r="X1174" s="4" t="str">
        <f>IF(Tabela2[[#This Row],[sigla]]="","",VLOOKUP(Tabela2[[#This Row],[sigla]],créditos_base!B:C,2,0))</f>
        <v>SERGIO LIMA/ARQUIVO DA EDITORA</v>
      </c>
      <c r="Y1174" s="23"/>
      <c r="Z1174" s="23" t="str">
        <f>Tabela2[[#This Row],[ilustrador]]</f>
        <v>SERGIO LIMA/ARQUIVO DA EDITORA</v>
      </c>
      <c r="AA1174" s="22"/>
      <c r="AB1174" s="20"/>
      <c r="AD1174" s="4" t="str">
        <f>"Pitanguá"</f>
        <v>Pitanguá</v>
      </c>
      <c r="AE1174" s="14" t="str">
        <f>"Matemática"</f>
        <v>Matemática</v>
      </c>
      <c r="AF1174" s="14"/>
    </row>
    <row r="1175" spans="1:32" x14ac:dyDescent="0.3">
      <c r="A1175" s="23" t="s">
        <v>4074</v>
      </c>
      <c r="B1175" s="20" t="s">
        <v>16</v>
      </c>
      <c r="C1175" s="20" t="s">
        <v>89</v>
      </c>
      <c r="D1175" s="20" t="s">
        <v>8</v>
      </c>
      <c r="E1175" s="22">
        <v>124</v>
      </c>
      <c r="F1175" s="22">
        <v>5</v>
      </c>
      <c r="G1175" s="22">
        <v>5</v>
      </c>
      <c r="H1175" s="22"/>
      <c r="I1175" s="23" t="s">
        <v>9</v>
      </c>
      <c r="J1175" s="23"/>
      <c r="K1175" s="22"/>
      <c r="L1175" s="22"/>
      <c r="M1175" s="23"/>
      <c r="N1175" s="23"/>
      <c r="O1175" s="26" t="s">
        <v>4075</v>
      </c>
      <c r="P1175" s="26"/>
      <c r="Q1175" s="22"/>
      <c r="R1175" s="24"/>
      <c r="S1175" s="24"/>
      <c r="T1175" s="24"/>
      <c r="U1175" s="24"/>
      <c r="V1175" s="24"/>
      <c r="W1175" s="22" t="s">
        <v>940</v>
      </c>
      <c r="X1175" s="4" t="str">
        <f>IF(Tabela2[[#This Row],[sigla]]="","",VLOOKUP(Tabela2[[#This Row],[sigla]],créditos_base!B:C,2,0))</f>
        <v>RONALDO LUCENA/ARQUIVO DA EDITORA</v>
      </c>
      <c r="Y1175" s="23"/>
      <c r="Z1175" s="23" t="str">
        <f>Tabela2[[#This Row],[ilustrador]]</f>
        <v>RONALDO LUCENA/ARQUIVO DA EDITORA</v>
      </c>
      <c r="AA1175" s="22"/>
      <c r="AB1175" s="20"/>
      <c r="AD1175" s="4" t="str">
        <f>"Pitanguá"</f>
        <v>Pitanguá</v>
      </c>
      <c r="AE1175" s="14" t="str">
        <f>"Matemática"</f>
        <v>Matemática</v>
      </c>
      <c r="AF1175" s="14"/>
    </row>
    <row r="1176" spans="1:32" ht="43.2" x14ac:dyDescent="0.3">
      <c r="A1176" s="23" t="s">
        <v>211</v>
      </c>
      <c r="B1176" s="20" t="s">
        <v>16</v>
      </c>
      <c r="C1176" s="20" t="s">
        <v>89</v>
      </c>
      <c r="D1176" s="20" t="s">
        <v>8</v>
      </c>
      <c r="E1176" s="22">
        <v>86</v>
      </c>
      <c r="F1176" s="22">
        <v>1</v>
      </c>
      <c r="G1176" s="22">
        <v>5</v>
      </c>
      <c r="H1176" s="22"/>
      <c r="I1176" s="23" t="s">
        <v>9</v>
      </c>
      <c r="J1176" s="23"/>
      <c r="K1176" s="22"/>
      <c r="L1176" s="22"/>
      <c r="M1176" s="23"/>
      <c r="N1176" s="23"/>
      <c r="O1176" s="26" t="s">
        <v>212</v>
      </c>
      <c r="P1176" s="26"/>
      <c r="Q1176" s="22"/>
      <c r="R1176" s="24"/>
      <c r="S1176" s="24"/>
      <c r="T1176" s="24"/>
      <c r="U1176" s="24"/>
      <c r="V1176" s="24"/>
      <c r="W1176" s="22" t="s">
        <v>160</v>
      </c>
      <c r="X1176" s="4" t="str">
        <f>IF(Tabela2[[#This Row],[sigla]]="","",VLOOKUP(Tabela2[[#This Row],[sigla]],créditos_base!B:C,2,0))</f>
        <v>SERGIO LIMA/ARQUIVO DA EDITORA</v>
      </c>
      <c r="Y1176" s="23"/>
      <c r="Z1176" s="23" t="str">
        <f>Tabela2[[#This Row],[ilustrador]]</f>
        <v>SERGIO LIMA/ARQUIVO DA EDITORA</v>
      </c>
      <c r="AA1176" s="22"/>
      <c r="AB1176" s="20"/>
      <c r="AD1176" s="4" t="str">
        <f>"Pitanguá"</f>
        <v>Pitanguá</v>
      </c>
      <c r="AE1176" s="14" t="str">
        <f>"Matemática"</f>
        <v>Matemática</v>
      </c>
      <c r="AF1176" s="14"/>
    </row>
    <row r="1177" spans="1:32" x14ac:dyDescent="0.3">
      <c r="A1177" s="23" t="s">
        <v>1482</v>
      </c>
      <c r="B1177" s="20" t="s">
        <v>16</v>
      </c>
      <c r="C1177" s="20" t="s">
        <v>7</v>
      </c>
      <c r="D1177" s="20" t="s">
        <v>8</v>
      </c>
      <c r="E1177" s="22">
        <v>74</v>
      </c>
      <c r="F1177" s="22">
        <v>2</v>
      </c>
      <c r="G1177" s="22">
        <v>5</v>
      </c>
      <c r="H1177" s="22"/>
      <c r="I1177" s="23" t="s">
        <v>9</v>
      </c>
      <c r="J1177" s="23"/>
      <c r="K1177" s="22"/>
      <c r="L1177" s="22"/>
      <c r="M1177" s="23"/>
      <c r="N1177" s="23"/>
      <c r="O1177" s="26" t="s">
        <v>1483</v>
      </c>
      <c r="P1177" s="26"/>
      <c r="Q1177" s="22"/>
      <c r="R1177" s="24"/>
      <c r="S1177" s="24"/>
      <c r="T1177" s="24"/>
      <c r="U1177" s="24"/>
      <c r="V1177" s="24"/>
      <c r="W1177" s="22" t="s">
        <v>940</v>
      </c>
      <c r="X1177" s="4" t="str">
        <f>IF(Tabela2[[#This Row],[sigla]]="","",VLOOKUP(Tabela2[[#This Row],[sigla]],créditos_base!B:C,2,0))</f>
        <v>RONALDO LUCENA/ARQUIVO DA EDITORA</v>
      </c>
      <c r="Y1177" s="23"/>
      <c r="Z1177" s="23" t="str">
        <f>Tabela2[[#This Row],[ilustrador]]</f>
        <v>RONALDO LUCENA/ARQUIVO DA EDITORA</v>
      </c>
      <c r="AA1177" s="22"/>
      <c r="AB1177" s="20"/>
      <c r="AD1177" s="4" t="str">
        <f>"Pitanguá"</f>
        <v>Pitanguá</v>
      </c>
      <c r="AE1177" s="14" t="str">
        <f>"Matemática"</f>
        <v>Matemática</v>
      </c>
      <c r="AF1177" s="14"/>
    </row>
    <row r="1178" spans="1:32" ht="43.2" x14ac:dyDescent="0.3">
      <c r="A1178" s="23" t="s">
        <v>2113</v>
      </c>
      <c r="B1178" s="20" t="s">
        <v>6</v>
      </c>
      <c r="C1178" s="20" t="s">
        <v>7</v>
      </c>
      <c r="D1178" s="20" t="s">
        <v>8</v>
      </c>
      <c r="E1178" s="22">
        <v>87</v>
      </c>
      <c r="F1178" s="22">
        <v>3</v>
      </c>
      <c r="G1178" s="22">
        <v>5</v>
      </c>
      <c r="H1178" s="22"/>
      <c r="I1178" s="23" t="s">
        <v>9</v>
      </c>
      <c r="J1178" s="23"/>
      <c r="K1178" s="22"/>
      <c r="L1178" s="22"/>
      <c r="M1178" s="23"/>
      <c r="N1178" s="23"/>
      <c r="O1178" s="26" t="s">
        <v>2114</v>
      </c>
      <c r="P1178" s="26" t="s">
        <v>11</v>
      </c>
      <c r="Q1178" s="22"/>
      <c r="R1178" s="24"/>
      <c r="S1178" s="24"/>
      <c r="T1178" s="24"/>
      <c r="U1178" s="24"/>
      <c r="V1178" s="24"/>
      <c r="W1178" s="22" t="s">
        <v>160</v>
      </c>
      <c r="X1178" s="4" t="str">
        <f>IF(Tabela2[[#This Row],[sigla]]="","",VLOOKUP(Tabela2[[#This Row],[sigla]],créditos_base!B:C,2,0))</f>
        <v>SERGIO LIMA/ARQUIVO DA EDITORA</v>
      </c>
      <c r="Y1178" s="23"/>
      <c r="Z1178" s="23" t="str">
        <f>Tabela2[[#This Row],[ilustrador]]</f>
        <v>SERGIO LIMA/ARQUIVO DA EDITORA</v>
      </c>
      <c r="AA1178" s="22"/>
      <c r="AB1178" s="20"/>
      <c r="AD1178" s="4" t="str">
        <f>"Pitanguá"</f>
        <v>Pitanguá</v>
      </c>
      <c r="AE1178" s="14" t="str">
        <f>"Matemática"</f>
        <v>Matemática</v>
      </c>
      <c r="AF1178" s="14"/>
    </row>
    <row r="1179" spans="1:32" ht="28.8" x14ac:dyDescent="0.3">
      <c r="A1179" s="23" t="s">
        <v>4076</v>
      </c>
      <c r="B1179" s="20" t="s">
        <v>16</v>
      </c>
      <c r="C1179" s="20" t="s">
        <v>89</v>
      </c>
      <c r="D1179" s="20" t="s">
        <v>8</v>
      </c>
      <c r="E1179" s="22">
        <v>124</v>
      </c>
      <c r="F1179" s="22">
        <v>5</v>
      </c>
      <c r="G1179" s="22">
        <v>5</v>
      </c>
      <c r="H1179" s="22"/>
      <c r="I1179" s="23" t="s">
        <v>9</v>
      </c>
      <c r="J1179" s="23"/>
      <c r="K1179" s="22"/>
      <c r="L1179" s="22"/>
      <c r="M1179" s="23"/>
      <c r="N1179" s="23"/>
      <c r="O1179" s="26" t="s">
        <v>4077</v>
      </c>
      <c r="P1179" s="26"/>
      <c r="Q1179" s="22"/>
      <c r="R1179" s="24"/>
      <c r="S1179" s="24"/>
      <c r="T1179" s="24"/>
      <c r="U1179" s="24"/>
      <c r="V1179" s="24"/>
      <c r="W1179" s="22" t="s">
        <v>940</v>
      </c>
      <c r="X1179" s="4" t="str">
        <f>IF(Tabela2[[#This Row],[sigla]]="","",VLOOKUP(Tabela2[[#This Row],[sigla]],créditos_base!B:C,2,0))</f>
        <v>RONALDO LUCENA/ARQUIVO DA EDITORA</v>
      </c>
      <c r="Y1179" s="23"/>
      <c r="Z1179" s="23" t="str">
        <f>Tabela2[[#This Row],[ilustrador]]</f>
        <v>RONALDO LUCENA/ARQUIVO DA EDITORA</v>
      </c>
      <c r="AA1179" s="22"/>
      <c r="AB1179" s="20"/>
      <c r="AD1179" s="4" t="str">
        <f>"Pitanguá"</f>
        <v>Pitanguá</v>
      </c>
      <c r="AE1179" s="14" t="str">
        <f>"Matemática"</f>
        <v>Matemática</v>
      </c>
      <c r="AF1179" s="14"/>
    </row>
    <row r="1180" spans="1:32" ht="28.8" x14ac:dyDescent="0.3">
      <c r="A1180" s="23" t="s">
        <v>213</v>
      </c>
      <c r="B1180" s="20" t="s">
        <v>16</v>
      </c>
      <c r="C1180" s="20" t="s">
        <v>7</v>
      </c>
      <c r="D1180" s="20" t="s">
        <v>8</v>
      </c>
      <c r="E1180" s="22">
        <v>86</v>
      </c>
      <c r="F1180" s="22">
        <v>1</v>
      </c>
      <c r="G1180" s="22">
        <v>5</v>
      </c>
      <c r="H1180" s="22"/>
      <c r="I1180" s="23" t="s">
        <v>9</v>
      </c>
      <c r="J1180" s="23"/>
      <c r="K1180" s="22"/>
      <c r="L1180" s="22"/>
      <c r="M1180" s="23"/>
      <c r="N1180" s="23"/>
      <c r="O1180" s="26" t="s">
        <v>214</v>
      </c>
      <c r="P1180" s="26"/>
      <c r="Q1180" s="22"/>
      <c r="R1180" s="24"/>
      <c r="S1180" s="24"/>
      <c r="T1180" s="24"/>
      <c r="U1180" s="24"/>
      <c r="V1180" s="24"/>
      <c r="W1180" s="22" t="s">
        <v>31</v>
      </c>
      <c r="X1180" s="4" t="str">
        <f>IF(Tabela2[[#This Row],[sigla]]="","",VLOOKUP(Tabela2[[#This Row],[sigla]],créditos_base!B:C,2,0))</f>
        <v>SILVIA OTOFUJI/ARQUIVO DA EDITORA</v>
      </c>
      <c r="Y1180" s="23"/>
      <c r="Z1180" s="23" t="str">
        <f>Tabela2[[#This Row],[ilustrador]]</f>
        <v>SILVIA OTOFUJI/ARQUIVO DA EDITORA</v>
      </c>
      <c r="AA1180" s="22"/>
      <c r="AB1180" s="20"/>
      <c r="AD1180" s="4" t="str">
        <f>"Pitanguá"</f>
        <v>Pitanguá</v>
      </c>
      <c r="AE1180" s="14" t="str">
        <f>"Matemática"</f>
        <v>Matemática</v>
      </c>
      <c r="AF1180" s="14"/>
    </row>
    <row r="1181" spans="1:32" ht="43.2" x14ac:dyDescent="0.3">
      <c r="A1181" s="23" t="s">
        <v>1484</v>
      </c>
      <c r="B1181" s="20" t="s">
        <v>16</v>
      </c>
      <c r="C1181" s="20" t="s">
        <v>7</v>
      </c>
      <c r="D1181" s="20" t="s">
        <v>8</v>
      </c>
      <c r="E1181" s="22">
        <v>74</v>
      </c>
      <c r="F1181" s="22">
        <v>2</v>
      </c>
      <c r="G1181" s="22">
        <v>5</v>
      </c>
      <c r="H1181" s="22"/>
      <c r="I1181" s="23" t="s">
        <v>9</v>
      </c>
      <c r="J1181" s="23"/>
      <c r="K1181" s="22"/>
      <c r="L1181" s="22"/>
      <c r="M1181" s="23"/>
      <c r="N1181" s="23"/>
      <c r="O1181" s="26" t="s">
        <v>1485</v>
      </c>
      <c r="P1181" s="26"/>
      <c r="Q1181" s="22"/>
      <c r="R1181" s="24"/>
      <c r="S1181" s="24"/>
      <c r="T1181" s="24"/>
      <c r="U1181" s="24"/>
      <c r="V1181" s="24"/>
      <c r="W1181" s="22" t="s">
        <v>940</v>
      </c>
      <c r="X1181" s="4" t="str">
        <f>IF(Tabela2[[#This Row],[sigla]]="","",VLOOKUP(Tabela2[[#This Row],[sigla]],créditos_base!B:C,2,0))</f>
        <v>RONALDO LUCENA/ARQUIVO DA EDITORA</v>
      </c>
      <c r="Y1181" s="23"/>
      <c r="Z1181" s="23" t="str">
        <f>Tabela2[[#This Row],[ilustrador]]</f>
        <v>RONALDO LUCENA/ARQUIVO DA EDITORA</v>
      </c>
      <c r="AA1181" s="22"/>
      <c r="AB1181" s="20"/>
      <c r="AD1181" s="4" t="str">
        <f>"Pitanguá"</f>
        <v>Pitanguá</v>
      </c>
      <c r="AE1181" s="14" t="str">
        <f>"Matemática"</f>
        <v>Matemática</v>
      </c>
      <c r="AF1181" s="14"/>
    </row>
    <row r="1182" spans="1:32" x14ac:dyDescent="0.3">
      <c r="A1182" s="23" t="s">
        <v>2115</v>
      </c>
      <c r="B1182" s="20" t="s">
        <v>6</v>
      </c>
      <c r="C1182" s="20" t="s">
        <v>7</v>
      </c>
      <c r="D1182" s="20" t="s">
        <v>8</v>
      </c>
      <c r="E1182" s="22">
        <v>87</v>
      </c>
      <c r="F1182" s="22">
        <v>3</v>
      </c>
      <c r="G1182" s="22">
        <v>5</v>
      </c>
      <c r="H1182" s="22"/>
      <c r="I1182" s="23" t="s">
        <v>9</v>
      </c>
      <c r="J1182" s="23"/>
      <c r="K1182" s="22"/>
      <c r="L1182" s="22"/>
      <c r="M1182" s="23"/>
      <c r="N1182" s="23"/>
      <c r="O1182" s="26" t="s">
        <v>2116</v>
      </c>
      <c r="P1182" s="26" t="s">
        <v>11</v>
      </c>
      <c r="Q1182" s="22"/>
      <c r="R1182" s="24"/>
      <c r="S1182" s="24"/>
      <c r="T1182" s="24"/>
      <c r="U1182" s="24"/>
      <c r="V1182" s="24"/>
      <c r="W1182" s="22" t="s">
        <v>160</v>
      </c>
      <c r="X1182" s="4" t="str">
        <f>IF(Tabela2[[#This Row],[sigla]]="","",VLOOKUP(Tabela2[[#This Row],[sigla]],créditos_base!B:C,2,0))</f>
        <v>SERGIO LIMA/ARQUIVO DA EDITORA</v>
      </c>
      <c r="Y1182" s="23"/>
      <c r="Z1182" s="23" t="str">
        <f>Tabela2[[#This Row],[ilustrador]]</f>
        <v>SERGIO LIMA/ARQUIVO DA EDITORA</v>
      </c>
      <c r="AA1182" s="22"/>
      <c r="AB1182" s="20"/>
      <c r="AD1182" s="4" t="str">
        <f>"Pitanguá"</f>
        <v>Pitanguá</v>
      </c>
      <c r="AE1182" s="14" t="str">
        <f>"Matemática"</f>
        <v>Matemática</v>
      </c>
      <c r="AF1182" s="14"/>
    </row>
    <row r="1183" spans="1:32" ht="28.8" x14ac:dyDescent="0.3">
      <c r="A1183" s="23" t="s">
        <v>3185</v>
      </c>
      <c r="B1183" s="20" t="s">
        <v>16</v>
      </c>
      <c r="C1183" s="20" t="s">
        <v>7</v>
      </c>
      <c r="D1183" s="20" t="s">
        <v>8</v>
      </c>
      <c r="E1183" s="22">
        <v>108</v>
      </c>
      <c r="F1183" s="22">
        <v>4</v>
      </c>
      <c r="G1183" s="22">
        <v>5</v>
      </c>
      <c r="H1183" s="22"/>
      <c r="I1183" s="23" t="s">
        <v>9</v>
      </c>
      <c r="J1183" s="23"/>
      <c r="K1183" s="22"/>
      <c r="L1183" s="22"/>
      <c r="M1183" s="23"/>
      <c r="N1183" s="23"/>
      <c r="O1183" s="26" t="s">
        <v>3186</v>
      </c>
      <c r="P1183" s="26"/>
      <c r="Q1183" s="22"/>
      <c r="R1183" s="24"/>
      <c r="S1183" s="24"/>
      <c r="T1183" s="24"/>
      <c r="U1183" s="24"/>
      <c r="V1183" s="24"/>
      <c r="W1183" s="22" t="s">
        <v>160</v>
      </c>
      <c r="X1183" s="4" t="str">
        <f>IF(Tabela2[[#This Row],[sigla]]="","",VLOOKUP(Tabela2[[#This Row],[sigla]],créditos_base!B:C,2,0))</f>
        <v>SERGIO LIMA/ARQUIVO DA EDITORA</v>
      </c>
      <c r="Y1183" s="23"/>
      <c r="Z1183" s="23" t="str">
        <f>Tabela2[[#This Row],[ilustrador]]</f>
        <v>SERGIO LIMA/ARQUIVO DA EDITORA</v>
      </c>
      <c r="AA1183" s="22"/>
      <c r="AB1183" s="20"/>
      <c r="AD1183" s="4" t="str">
        <f>"Pitanguá"</f>
        <v>Pitanguá</v>
      </c>
      <c r="AE1183" s="14" t="str">
        <f>"Matemática"</f>
        <v>Matemática</v>
      </c>
      <c r="AF1183" s="14"/>
    </row>
    <row r="1184" spans="1:32" ht="43.2" x14ac:dyDescent="0.3">
      <c r="A1184" s="23" t="s">
        <v>4078</v>
      </c>
      <c r="B1184" s="20" t="s">
        <v>16</v>
      </c>
      <c r="C1184" s="20" t="s">
        <v>89</v>
      </c>
      <c r="D1184" s="20" t="s">
        <v>8</v>
      </c>
      <c r="E1184" s="22">
        <v>124</v>
      </c>
      <c r="F1184" s="22">
        <v>5</v>
      </c>
      <c r="G1184" s="22">
        <v>5</v>
      </c>
      <c r="H1184" s="22"/>
      <c r="I1184" s="23" t="s">
        <v>9</v>
      </c>
      <c r="J1184" s="23"/>
      <c r="K1184" s="22"/>
      <c r="L1184" s="22"/>
      <c r="M1184" s="23"/>
      <c r="N1184" s="23"/>
      <c r="O1184" s="26" t="s">
        <v>4079</v>
      </c>
      <c r="P1184" s="26"/>
      <c r="Q1184" s="22"/>
      <c r="R1184" s="24"/>
      <c r="S1184" s="24"/>
      <c r="T1184" s="24"/>
      <c r="U1184" s="24"/>
      <c r="V1184" s="24"/>
      <c r="W1184" s="22" t="s">
        <v>940</v>
      </c>
      <c r="X1184" s="4" t="str">
        <f>IF(Tabela2[[#This Row],[sigla]]="","",VLOOKUP(Tabela2[[#This Row],[sigla]],créditos_base!B:C,2,0))</f>
        <v>RONALDO LUCENA/ARQUIVO DA EDITORA</v>
      </c>
      <c r="Y1184" s="23"/>
      <c r="Z1184" s="23" t="str">
        <f>Tabela2[[#This Row],[ilustrador]]</f>
        <v>RONALDO LUCENA/ARQUIVO DA EDITORA</v>
      </c>
      <c r="AA1184" s="22"/>
      <c r="AB1184" s="20"/>
      <c r="AD1184" s="4" t="str">
        <f>"Pitanguá"</f>
        <v>Pitanguá</v>
      </c>
      <c r="AE1184" s="14" t="str">
        <f>"Matemática"</f>
        <v>Matemática</v>
      </c>
      <c r="AF1184" s="14"/>
    </row>
    <row r="1185" spans="1:32" x14ac:dyDescent="0.3">
      <c r="A1185" s="23" t="s">
        <v>215</v>
      </c>
      <c r="B1185" s="20" t="s">
        <v>16</v>
      </c>
      <c r="C1185" s="20" t="s">
        <v>7</v>
      </c>
      <c r="D1185" s="20" t="s">
        <v>8</v>
      </c>
      <c r="E1185" s="22">
        <v>86</v>
      </c>
      <c r="F1185" s="22">
        <v>1</v>
      </c>
      <c r="G1185" s="22">
        <v>5</v>
      </c>
      <c r="H1185" s="22"/>
      <c r="I1185" s="23" t="s">
        <v>9</v>
      </c>
      <c r="J1185" s="23"/>
      <c r="K1185" s="22"/>
      <c r="L1185" s="22"/>
      <c r="M1185" s="23"/>
      <c r="N1185" s="23"/>
      <c r="O1185" s="26" t="s">
        <v>216</v>
      </c>
      <c r="P1185" s="26"/>
      <c r="Q1185" s="22"/>
      <c r="R1185" s="24"/>
      <c r="S1185" s="24"/>
      <c r="T1185" s="24"/>
      <c r="U1185" s="24"/>
      <c r="V1185" s="24"/>
      <c r="W1185" s="22" t="s">
        <v>31</v>
      </c>
      <c r="X1185" s="4" t="str">
        <f>IF(Tabela2[[#This Row],[sigla]]="","",VLOOKUP(Tabela2[[#This Row],[sigla]],créditos_base!B:C,2,0))</f>
        <v>SILVIA OTOFUJI/ARQUIVO DA EDITORA</v>
      </c>
      <c r="Y1185" s="23"/>
      <c r="Z1185" s="23" t="str">
        <f>Tabela2[[#This Row],[ilustrador]]</f>
        <v>SILVIA OTOFUJI/ARQUIVO DA EDITORA</v>
      </c>
      <c r="AA1185" s="22"/>
      <c r="AB1185" s="20"/>
      <c r="AD1185" s="4" t="str">
        <f>"Pitanguá"</f>
        <v>Pitanguá</v>
      </c>
      <c r="AE1185" s="14" t="str">
        <f>"Matemática"</f>
        <v>Matemática</v>
      </c>
      <c r="AF1185" s="14"/>
    </row>
    <row r="1186" spans="1:32" x14ac:dyDescent="0.3">
      <c r="A1186" s="23" t="s">
        <v>1486</v>
      </c>
      <c r="B1186" s="20" t="s">
        <v>16</v>
      </c>
      <c r="C1186" s="20" t="s">
        <v>7</v>
      </c>
      <c r="D1186" s="20" t="s">
        <v>8</v>
      </c>
      <c r="E1186" s="22">
        <v>75</v>
      </c>
      <c r="F1186" s="22">
        <v>2</v>
      </c>
      <c r="G1186" s="22">
        <v>5</v>
      </c>
      <c r="H1186" s="22"/>
      <c r="I1186" s="23" t="s">
        <v>9</v>
      </c>
      <c r="J1186" s="23"/>
      <c r="K1186" s="22"/>
      <c r="L1186" s="22"/>
      <c r="M1186" s="23"/>
      <c r="N1186" s="23"/>
      <c r="O1186" s="26" t="s">
        <v>1487</v>
      </c>
      <c r="P1186" s="26"/>
      <c r="Q1186" s="22"/>
      <c r="R1186" s="24"/>
      <c r="S1186" s="24"/>
      <c r="T1186" s="24"/>
      <c r="U1186" s="24"/>
      <c r="V1186" s="24"/>
      <c r="W1186" s="22" t="s">
        <v>160</v>
      </c>
      <c r="X1186" s="4" t="str">
        <f>IF(Tabela2[[#This Row],[sigla]]="","",VLOOKUP(Tabela2[[#This Row],[sigla]],créditos_base!B:C,2,0))</f>
        <v>SERGIO LIMA/ARQUIVO DA EDITORA</v>
      </c>
      <c r="Y1186" s="23"/>
      <c r="Z1186" s="23" t="str">
        <f>Tabela2[[#This Row],[ilustrador]]</f>
        <v>SERGIO LIMA/ARQUIVO DA EDITORA</v>
      </c>
      <c r="AA1186" s="22"/>
      <c r="AB1186" s="20"/>
      <c r="AD1186" s="4" t="str">
        <f>"Pitanguá"</f>
        <v>Pitanguá</v>
      </c>
      <c r="AE1186" s="14" t="str">
        <f>"Matemática"</f>
        <v>Matemática</v>
      </c>
      <c r="AF1186" s="14"/>
    </row>
    <row r="1187" spans="1:32" x14ac:dyDescent="0.3">
      <c r="A1187" s="23" t="s">
        <v>2117</v>
      </c>
      <c r="B1187" s="20" t="s">
        <v>6</v>
      </c>
      <c r="C1187" s="20" t="s">
        <v>7</v>
      </c>
      <c r="D1187" s="20" t="s">
        <v>8</v>
      </c>
      <c r="E1187" s="22">
        <v>87</v>
      </c>
      <c r="F1187" s="22">
        <v>3</v>
      </c>
      <c r="G1187" s="22">
        <v>5</v>
      </c>
      <c r="H1187" s="22"/>
      <c r="I1187" s="23" t="s">
        <v>9</v>
      </c>
      <c r="J1187" s="23"/>
      <c r="K1187" s="22"/>
      <c r="L1187" s="22"/>
      <c r="M1187" s="23"/>
      <c r="N1187" s="23"/>
      <c r="O1187" s="26" t="s">
        <v>2118</v>
      </c>
      <c r="P1187" s="26" t="s">
        <v>11</v>
      </c>
      <c r="Q1187" s="22"/>
      <c r="R1187" s="24"/>
      <c r="S1187" s="24"/>
      <c r="T1187" s="24"/>
      <c r="U1187" s="24"/>
      <c r="V1187" s="24"/>
      <c r="W1187" s="22" t="s">
        <v>160</v>
      </c>
      <c r="X1187" s="4" t="str">
        <f>IF(Tabela2[[#This Row],[sigla]]="","",VLOOKUP(Tabela2[[#This Row],[sigla]],créditos_base!B:C,2,0))</f>
        <v>SERGIO LIMA/ARQUIVO DA EDITORA</v>
      </c>
      <c r="Y1187" s="23"/>
      <c r="Z1187" s="23" t="str">
        <f>Tabela2[[#This Row],[ilustrador]]</f>
        <v>SERGIO LIMA/ARQUIVO DA EDITORA</v>
      </c>
      <c r="AA1187" s="22"/>
      <c r="AB1187" s="20"/>
      <c r="AD1187" s="4" t="str">
        <f>"Pitanguá"</f>
        <v>Pitanguá</v>
      </c>
      <c r="AE1187" s="14" t="str">
        <f>"Matemática"</f>
        <v>Matemática</v>
      </c>
      <c r="AF1187" s="14"/>
    </row>
    <row r="1188" spans="1:32" ht="57.6" x14ac:dyDescent="0.3">
      <c r="A1188" s="23" t="s">
        <v>3187</v>
      </c>
      <c r="B1188" s="20" t="s">
        <v>16</v>
      </c>
      <c r="C1188" s="20" t="s">
        <v>7</v>
      </c>
      <c r="D1188" s="20" t="s">
        <v>8</v>
      </c>
      <c r="E1188" s="22">
        <v>109</v>
      </c>
      <c r="F1188" s="22">
        <v>4</v>
      </c>
      <c r="G1188" s="22">
        <v>5</v>
      </c>
      <c r="H1188" s="22"/>
      <c r="I1188" s="23" t="s">
        <v>33</v>
      </c>
      <c r="J1188" s="23"/>
      <c r="K1188" s="22"/>
      <c r="L1188" s="22"/>
      <c r="M1188" s="23"/>
      <c r="N1188" s="23"/>
      <c r="O1188" s="26" t="s">
        <v>3188</v>
      </c>
      <c r="P1188" s="26"/>
      <c r="Q1188" s="22">
        <v>45</v>
      </c>
      <c r="R1188" s="24">
        <v>45794</v>
      </c>
      <c r="S1188" s="24">
        <v>45797</v>
      </c>
      <c r="T1188" s="24"/>
      <c r="U1188" s="24"/>
      <c r="V1188" s="24">
        <v>45797</v>
      </c>
      <c r="W1188" s="22" t="s">
        <v>3189</v>
      </c>
      <c r="X1188" s="4" t="str">
        <f>IF(Tabela2[[#This Row],[sigla]]="","",VLOOKUP(Tabela2[[#This Row],[sigla]],créditos_base!B:C,2,0))</f>
        <v>ANDRÉ AGUIAR/ARQUIVO DA EDITORA</v>
      </c>
      <c r="Y1188" s="23" t="s">
        <v>188</v>
      </c>
      <c r="Z1188" s="23" t="str">
        <f>Tabela2[[#This Row],[ilustrador]]</f>
        <v>ANDRÉ AGUIAR/ARQUIVO DA EDITORA</v>
      </c>
      <c r="AA1188" s="22">
        <v>14</v>
      </c>
      <c r="AB1188" s="20" t="s">
        <v>153</v>
      </c>
      <c r="AC1188" s="20" t="s">
        <v>36</v>
      </c>
      <c r="AD1188" s="4" t="str">
        <f>"Pitanguá"</f>
        <v>Pitanguá</v>
      </c>
      <c r="AE1188" s="14" t="str">
        <f>"Matemática"</f>
        <v>Matemática</v>
      </c>
      <c r="AF1188" s="14"/>
    </row>
    <row r="1189" spans="1:32" ht="43.2" x14ac:dyDescent="0.3">
      <c r="A1189" s="23" t="s">
        <v>4080</v>
      </c>
      <c r="B1189" s="20" t="s">
        <v>16</v>
      </c>
      <c r="C1189" s="20" t="s">
        <v>89</v>
      </c>
      <c r="D1189" s="20" t="s">
        <v>8</v>
      </c>
      <c r="E1189" s="22">
        <v>125</v>
      </c>
      <c r="F1189" s="22">
        <v>5</v>
      </c>
      <c r="G1189" s="22">
        <v>5</v>
      </c>
      <c r="H1189" s="22"/>
      <c r="I1189" s="23" t="s">
        <v>9</v>
      </c>
      <c r="J1189" s="23"/>
      <c r="K1189" s="22"/>
      <c r="L1189" s="22"/>
      <c r="M1189" s="23"/>
      <c r="N1189" s="23"/>
      <c r="O1189" s="26" t="s">
        <v>4081</v>
      </c>
      <c r="P1189" s="26"/>
      <c r="Q1189" s="22"/>
      <c r="R1189" s="24"/>
      <c r="S1189" s="24"/>
      <c r="T1189" s="24"/>
      <c r="U1189" s="24"/>
      <c r="V1189" s="24"/>
      <c r="W1189" s="22" t="s">
        <v>940</v>
      </c>
      <c r="X1189" s="4" t="str">
        <f>IF(Tabela2[[#This Row],[sigla]]="","",VLOOKUP(Tabela2[[#This Row],[sigla]],créditos_base!B:C,2,0))</f>
        <v>RONALDO LUCENA/ARQUIVO DA EDITORA</v>
      </c>
      <c r="Y1189" s="23"/>
      <c r="Z1189" s="23" t="str">
        <f>Tabela2[[#This Row],[ilustrador]]</f>
        <v>RONALDO LUCENA/ARQUIVO DA EDITORA</v>
      </c>
      <c r="AA1189" s="22"/>
      <c r="AB1189" s="20"/>
      <c r="AD1189" s="4" t="str">
        <f>"Pitanguá"</f>
        <v>Pitanguá</v>
      </c>
      <c r="AE1189" s="14" t="str">
        <f>"Matemática"</f>
        <v>Matemática</v>
      </c>
      <c r="AF1189" s="14"/>
    </row>
    <row r="1190" spans="1:32" ht="43.2" x14ac:dyDescent="0.3">
      <c r="A1190" s="23" t="s">
        <v>217</v>
      </c>
      <c r="B1190" s="20" t="s">
        <v>16</v>
      </c>
      <c r="C1190" s="20" t="s">
        <v>7</v>
      </c>
      <c r="D1190" s="20" t="s">
        <v>8</v>
      </c>
      <c r="E1190" s="22">
        <v>86</v>
      </c>
      <c r="F1190" s="22">
        <v>1</v>
      </c>
      <c r="G1190" s="22">
        <v>5</v>
      </c>
      <c r="H1190" s="22"/>
      <c r="I1190" s="23" t="s">
        <v>9</v>
      </c>
      <c r="J1190" s="23"/>
      <c r="K1190" s="22"/>
      <c r="L1190" s="22"/>
      <c r="M1190" s="23"/>
      <c r="N1190" s="23"/>
      <c r="O1190" s="26" t="s">
        <v>218</v>
      </c>
      <c r="P1190" s="26"/>
      <c r="Q1190" s="22"/>
      <c r="R1190" s="24"/>
      <c r="S1190" s="24"/>
      <c r="T1190" s="24"/>
      <c r="U1190" s="24"/>
      <c r="V1190" s="24"/>
      <c r="W1190" s="22" t="s">
        <v>31</v>
      </c>
      <c r="X1190" s="4" t="str">
        <f>IF(Tabela2[[#This Row],[sigla]]="","",VLOOKUP(Tabela2[[#This Row],[sigla]],créditos_base!B:C,2,0))</f>
        <v>SILVIA OTOFUJI/ARQUIVO DA EDITORA</v>
      </c>
      <c r="Y1190" s="23"/>
      <c r="Z1190" s="23" t="str">
        <f>Tabela2[[#This Row],[ilustrador]]</f>
        <v>SILVIA OTOFUJI/ARQUIVO DA EDITORA</v>
      </c>
      <c r="AA1190" s="22"/>
      <c r="AB1190" s="20"/>
      <c r="AD1190" s="4" t="str">
        <f>"Pitanguá"</f>
        <v>Pitanguá</v>
      </c>
      <c r="AE1190" s="14" t="str">
        <f>"Matemática"</f>
        <v>Matemática</v>
      </c>
      <c r="AF1190" s="14"/>
    </row>
    <row r="1191" spans="1:32" ht="43.2" x14ac:dyDescent="0.3">
      <c r="A1191" s="23" t="s">
        <v>1488</v>
      </c>
      <c r="B1191" s="20" t="s">
        <v>16</v>
      </c>
      <c r="C1191" s="20" t="s">
        <v>7</v>
      </c>
      <c r="D1191" s="20" t="s">
        <v>8</v>
      </c>
      <c r="E1191" s="22">
        <v>75</v>
      </c>
      <c r="F1191" s="22">
        <v>2</v>
      </c>
      <c r="G1191" s="22">
        <v>5</v>
      </c>
      <c r="H1191" s="22"/>
      <c r="I1191" s="23" t="s">
        <v>9</v>
      </c>
      <c r="J1191" s="23"/>
      <c r="K1191" s="22"/>
      <c r="L1191" s="22"/>
      <c r="M1191" s="23"/>
      <c r="N1191" s="23"/>
      <c r="O1191" s="26" t="s">
        <v>1489</v>
      </c>
      <c r="P1191" s="26"/>
      <c r="Q1191" s="22"/>
      <c r="R1191" s="24"/>
      <c r="S1191" s="24"/>
      <c r="T1191" s="24"/>
      <c r="U1191" s="24"/>
      <c r="V1191" s="24"/>
      <c r="W1191" s="22" t="s">
        <v>160</v>
      </c>
      <c r="X1191" s="4" t="str">
        <f>IF(Tabela2[[#This Row],[sigla]]="","",VLOOKUP(Tabela2[[#This Row],[sigla]],créditos_base!B:C,2,0))</f>
        <v>SERGIO LIMA/ARQUIVO DA EDITORA</v>
      </c>
      <c r="Y1191" s="23"/>
      <c r="Z1191" s="23" t="str">
        <f>Tabela2[[#This Row],[ilustrador]]</f>
        <v>SERGIO LIMA/ARQUIVO DA EDITORA</v>
      </c>
      <c r="AA1191" s="22"/>
      <c r="AB1191" s="20"/>
      <c r="AD1191" s="4" t="str">
        <f>"Pitanguá"</f>
        <v>Pitanguá</v>
      </c>
      <c r="AE1191" s="14" t="str">
        <f>"Matemática"</f>
        <v>Matemática</v>
      </c>
      <c r="AF1191" s="14"/>
    </row>
    <row r="1192" spans="1:32" ht="43.2" x14ac:dyDescent="0.3">
      <c r="A1192" s="23" t="s">
        <v>2119</v>
      </c>
      <c r="B1192" s="20" t="s">
        <v>16</v>
      </c>
      <c r="C1192" s="20" t="s">
        <v>89</v>
      </c>
      <c r="D1192" s="20" t="s">
        <v>8</v>
      </c>
      <c r="E1192" s="22">
        <v>88</v>
      </c>
      <c r="F1192" s="22">
        <v>3</v>
      </c>
      <c r="G1192" s="22">
        <v>5</v>
      </c>
      <c r="H1192" s="22"/>
      <c r="I1192" s="23" t="s">
        <v>9</v>
      </c>
      <c r="J1192" s="23"/>
      <c r="K1192" s="22"/>
      <c r="L1192" s="22"/>
      <c r="M1192" s="23"/>
      <c r="N1192" s="23"/>
      <c r="O1192" s="26" t="s">
        <v>2120</v>
      </c>
      <c r="P1192" s="26"/>
      <c r="Q1192" s="22"/>
      <c r="R1192" s="24"/>
      <c r="S1192" s="24"/>
      <c r="T1192" s="24"/>
      <c r="U1192" s="24"/>
      <c r="V1192" s="24"/>
      <c r="W1192" s="22" t="s">
        <v>160</v>
      </c>
      <c r="X1192" s="4" t="str">
        <f>IF(Tabela2[[#This Row],[sigla]]="","",VLOOKUP(Tabela2[[#This Row],[sigla]],créditos_base!B:C,2,0))</f>
        <v>SERGIO LIMA/ARQUIVO DA EDITORA</v>
      </c>
      <c r="Y1192" s="23"/>
      <c r="Z1192" s="23" t="str">
        <f>Tabela2[[#This Row],[ilustrador]]</f>
        <v>SERGIO LIMA/ARQUIVO DA EDITORA</v>
      </c>
      <c r="AA1192" s="22"/>
      <c r="AB1192" s="20"/>
      <c r="AD1192" s="4" t="str">
        <f>"Pitanguá"</f>
        <v>Pitanguá</v>
      </c>
      <c r="AE1192" s="14" t="str">
        <f>"Matemática"</f>
        <v>Matemática</v>
      </c>
      <c r="AF1192" s="14"/>
    </row>
    <row r="1193" spans="1:32" ht="43.2" x14ac:dyDescent="0.3">
      <c r="A1193" s="23" t="s">
        <v>4082</v>
      </c>
      <c r="B1193" s="20" t="s">
        <v>16</v>
      </c>
      <c r="C1193" s="20" t="s">
        <v>89</v>
      </c>
      <c r="D1193" s="20" t="s">
        <v>8</v>
      </c>
      <c r="E1193" s="22">
        <v>125</v>
      </c>
      <c r="F1193" s="22">
        <v>5</v>
      </c>
      <c r="G1193" s="22">
        <v>5</v>
      </c>
      <c r="H1193" s="22"/>
      <c r="I1193" s="23" t="s">
        <v>9</v>
      </c>
      <c r="J1193" s="23"/>
      <c r="K1193" s="22"/>
      <c r="L1193" s="22"/>
      <c r="M1193" s="23"/>
      <c r="N1193" s="23"/>
      <c r="O1193" s="26" t="s">
        <v>4083</v>
      </c>
      <c r="P1193" s="26"/>
      <c r="Q1193" s="22"/>
      <c r="R1193" s="24"/>
      <c r="S1193" s="24"/>
      <c r="T1193" s="24"/>
      <c r="U1193" s="24"/>
      <c r="V1193" s="24"/>
      <c r="W1193" s="22" t="s">
        <v>940</v>
      </c>
      <c r="X1193" s="4" t="str">
        <f>IF(Tabela2[[#This Row],[sigla]]="","",VLOOKUP(Tabela2[[#This Row],[sigla]],créditos_base!B:C,2,0))</f>
        <v>RONALDO LUCENA/ARQUIVO DA EDITORA</v>
      </c>
      <c r="Y1193" s="23"/>
      <c r="Z1193" s="23" t="str">
        <f>Tabela2[[#This Row],[ilustrador]]</f>
        <v>RONALDO LUCENA/ARQUIVO DA EDITORA</v>
      </c>
      <c r="AA1193" s="22"/>
      <c r="AB1193" s="20"/>
      <c r="AD1193" s="4" t="str">
        <f>"Pitanguá"</f>
        <v>Pitanguá</v>
      </c>
      <c r="AE1193" s="14" t="str">
        <f>"Matemática"</f>
        <v>Matemática</v>
      </c>
      <c r="AF1193" s="14"/>
    </row>
    <row r="1194" spans="1:32" ht="43.2" x14ac:dyDescent="0.3">
      <c r="A1194" s="23" t="s">
        <v>219</v>
      </c>
      <c r="B1194" s="20" t="s">
        <v>16</v>
      </c>
      <c r="C1194" s="20" t="s">
        <v>7</v>
      </c>
      <c r="D1194" s="20" t="s">
        <v>8</v>
      </c>
      <c r="E1194" s="22">
        <v>86</v>
      </c>
      <c r="F1194" s="22">
        <v>1</v>
      </c>
      <c r="G1194" s="22">
        <v>5</v>
      </c>
      <c r="H1194" s="22"/>
      <c r="I1194" s="23" t="s">
        <v>9</v>
      </c>
      <c r="J1194" s="23"/>
      <c r="K1194" s="22"/>
      <c r="L1194" s="22"/>
      <c r="M1194" s="23"/>
      <c r="N1194" s="23"/>
      <c r="O1194" s="26" t="s">
        <v>220</v>
      </c>
      <c r="P1194" s="26"/>
      <c r="Q1194" s="22"/>
      <c r="R1194" s="24"/>
      <c r="S1194" s="24"/>
      <c r="T1194" s="24"/>
      <c r="U1194" s="24"/>
      <c r="V1194" s="24"/>
      <c r="W1194" s="22" t="s">
        <v>31</v>
      </c>
      <c r="X1194" s="4" t="str">
        <f>IF(Tabela2[[#This Row],[sigla]]="","",VLOOKUP(Tabela2[[#This Row],[sigla]],créditos_base!B:C,2,0))</f>
        <v>SILVIA OTOFUJI/ARQUIVO DA EDITORA</v>
      </c>
      <c r="Y1194" s="23"/>
      <c r="Z1194" s="23" t="str">
        <f>Tabela2[[#This Row],[ilustrador]]</f>
        <v>SILVIA OTOFUJI/ARQUIVO DA EDITORA</v>
      </c>
      <c r="AA1194" s="22"/>
      <c r="AB1194" s="20"/>
      <c r="AD1194" s="4" t="str">
        <f>"Pitanguá"</f>
        <v>Pitanguá</v>
      </c>
      <c r="AE1194" s="14" t="str">
        <f>"Matemática"</f>
        <v>Matemática</v>
      </c>
      <c r="AF1194" s="14"/>
    </row>
    <row r="1195" spans="1:32" ht="86.4" x14ac:dyDescent="0.3">
      <c r="A1195" s="23" t="s">
        <v>2121</v>
      </c>
      <c r="B1195" s="20" t="s">
        <v>16</v>
      </c>
      <c r="C1195" s="20" t="s">
        <v>89</v>
      </c>
      <c r="D1195" s="20" t="s">
        <v>8</v>
      </c>
      <c r="E1195" s="22">
        <v>88</v>
      </c>
      <c r="F1195" s="22">
        <v>3</v>
      </c>
      <c r="G1195" s="22">
        <v>5</v>
      </c>
      <c r="H1195" s="22"/>
      <c r="I1195" s="23" t="s">
        <v>9</v>
      </c>
      <c r="J1195" s="23"/>
      <c r="K1195" s="22"/>
      <c r="L1195" s="22"/>
      <c r="M1195" s="23"/>
      <c r="N1195" s="23"/>
      <c r="O1195" s="26" t="s">
        <v>2122</v>
      </c>
      <c r="P1195" s="26"/>
      <c r="Q1195" s="22"/>
      <c r="R1195" s="24"/>
      <c r="S1195" s="24"/>
      <c r="T1195" s="24"/>
      <c r="U1195" s="24"/>
      <c r="V1195" s="24"/>
      <c r="W1195" s="22" t="s">
        <v>160</v>
      </c>
      <c r="X1195" s="4" t="str">
        <f>IF(Tabela2[[#This Row],[sigla]]="","",VLOOKUP(Tabela2[[#This Row],[sigla]],créditos_base!B:C,2,0))</f>
        <v>SERGIO LIMA/ARQUIVO DA EDITORA</v>
      </c>
      <c r="Y1195" s="23"/>
      <c r="Z1195" s="23" t="str">
        <f>Tabela2[[#This Row],[ilustrador]]</f>
        <v>SERGIO LIMA/ARQUIVO DA EDITORA</v>
      </c>
      <c r="AA1195" s="22"/>
      <c r="AB1195" s="20"/>
      <c r="AD1195" s="4" t="str">
        <f>"Pitanguá"</f>
        <v>Pitanguá</v>
      </c>
      <c r="AE1195" s="14" t="str">
        <f>"Matemática"</f>
        <v>Matemática</v>
      </c>
      <c r="AF1195" s="14"/>
    </row>
    <row r="1196" spans="1:32" ht="86.4" x14ac:dyDescent="0.3">
      <c r="A1196" s="23" t="s">
        <v>4084</v>
      </c>
      <c r="B1196" s="20" t="s">
        <v>16</v>
      </c>
      <c r="C1196" s="20" t="s">
        <v>89</v>
      </c>
      <c r="D1196" s="20" t="s">
        <v>8</v>
      </c>
      <c r="E1196" s="22">
        <v>125</v>
      </c>
      <c r="F1196" s="22">
        <v>5</v>
      </c>
      <c r="G1196" s="22">
        <v>5</v>
      </c>
      <c r="H1196" s="22"/>
      <c r="I1196" s="23" t="s">
        <v>9</v>
      </c>
      <c r="J1196" s="23"/>
      <c r="K1196" s="22"/>
      <c r="L1196" s="22"/>
      <c r="M1196" s="23"/>
      <c r="N1196" s="23"/>
      <c r="O1196" s="26" t="s">
        <v>4085</v>
      </c>
      <c r="P1196" s="26"/>
      <c r="Q1196" s="22"/>
      <c r="R1196" s="24"/>
      <c r="S1196" s="24"/>
      <c r="T1196" s="24"/>
      <c r="U1196" s="24"/>
      <c r="V1196" s="24"/>
      <c r="W1196" s="22" t="s">
        <v>940</v>
      </c>
      <c r="X1196" s="4" t="str">
        <f>IF(Tabela2[[#This Row],[sigla]]="","",VLOOKUP(Tabela2[[#This Row],[sigla]],créditos_base!B:C,2,0))</f>
        <v>RONALDO LUCENA/ARQUIVO DA EDITORA</v>
      </c>
      <c r="Y1196" s="23"/>
      <c r="Z1196" s="23" t="str">
        <f>Tabela2[[#This Row],[ilustrador]]</f>
        <v>RONALDO LUCENA/ARQUIVO DA EDITORA</v>
      </c>
      <c r="AA1196" s="22"/>
      <c r="AB1196" s="20"/>
      <c r="AD1196" s="4" t="str">
        <f>"Pitanguá"</f>
        <v>Pitanguá</v>
      </c>
      <c r="AE1196" s="14" t="str">
        <f>"Matemática"</f>
        <v>Matemática</v>
      </c>
      <c r="AF1196" s="14"/>
    </row>
    <row r="1197" spans="1:32" ht="86.4" x14ac:dyDescent="0.3">
      <c r="A1197" s="23" t="s">
        <v>221</v>
      </c>
      <c r="B1197" s="20" t="s">
        <v>16</v>
      </c>
      <c r="C1197" s="20" t="s">
        <v>7</v>
      </c>
      <c r="D1197" s="20" t="s">
        <v>8</v>
      </c>
      <c r="E1197" s="22">
        <v>87</v>
      </c>
      <c r="F1197" s="22">
        <v>1</v>
      </c>
      <c r="G1197" s="22">
        <v>5</v>
      </c>
      <c r="H1197" s="22"/>
      <c r="I1197" s="23" t="s">
        <v>9</v>
      </c>
      <c r="J1197" s="23"/>
      <c r="K1197" s="22"/>
      <c r="L1197" s="22"/>
      <c r="M1197" s="23"/>
      <c r="N1197" s="23"/>
      <c r="O1197" s="26" t="s">
        <v>222</v>
      </c>
      <c r="P1197" s="26"/>
      <c r="Q1197" s="22"/>
      <c r="R1197" s="24"/>
      <c r="S1197" s="24"/>
      <c r="T1197" s="24"/>
      <c r="U1197" s="24"/>
      <c r="V1197" s="24"/>
      <c r="W1197" s="22" t="s">
        <v>223</v>
      </c>
      <c r="X1197" s="4" t="str">
        <f>IF(Tabela2[[#This Row],[sigla]]="","",VLOOKUP(Tabela2[[#This Row],[sigla]],créditos_base!B:C,2,0))</f>
        <v>NATANAELE BILMAIA/ARQUIVO DA EDITORA</v>
      </c>
      <c r="Y1197" s="23"/>
      <c r="Z1197" s="23" t="str">
        <f>Tabela2[[#This Row],[ilustrador]]</f>
        <v>NATANAELE BILMAIA/ARQUIVO DA EDITORA</v>
      </c>
      <c r="AA1197" s="22"/>
      <c r="AB1197" s="20"/>
      <c r="AD1197" s="4" t="str">
        <f>"Pitanguá"</f>
        <v>Pitanguá</v>
      </c>
      <c r="AE1197" s="14" t="str">
        <f>"Matemática"</f>
        <v>Matemática</v>
      </c>
      <c r="AF1197" s="14"/>
    </row>
    <row r="1198" spans="1:32" ht="86.4" x14ac:dyDescent="0.3">
      <c r="A1198" s="23" t="s">
        <v>1490</v>
      </c>
      <c r="B1198" s="20" t="s">
        <v>16</v>
      </c>
      <c r="C1198" s="20" t="s">
        <v>7</v>
      </c>
      <c r="D1198" s="20" t="s">
        <v>8</v>
      </c>
      <c r="E1198" s="22">
        <v>75</v>
      </c>
      <c r="F1198" s="22">
        <v>2</v>
      </c>
      <c r="G1198" s="22">
        <v>5</v>
      </c>
      <c r="H1198" s="22"/>
      <c r="I1198" s="23" t="s">
        <v>9</v>
      </c>
      <c r="J1198" s="23"/>
      <c r="K1198" s="22"/>
      <c r="L1198" s="22"/>
      <c r="M1198" s="23"/>
      <c r="N1198" s="23"/>
      <c r="O1198" s="26" t="s">
        <v>1491</v>
      </c>
      <c r="P1198" s="26"/>
      <c r="Q1198" s="22"/>
      <c r="R1198" s="24"/>
      <c r="S1198" s="24"/>
      <c r="T1198" s="24"/>
      <c r="U1198" s="24"/>
      <c r="V1198" s="24"/>
      <c r="W1198" s="22" t="s">
        <v>160</v>
      </c>
      <c r="X1198" s="4" t="str">
        <f>IF(Tabela2[[#This Row],[sigla]]="","",VLOOKUP(Tabela2[[#This Row],[sigla]],créditos_base!B:C,2,0))</f>
        <v>SERGIO LIMA/ARQUIVO DA EDITORA</v>
      </c>
      <c r="Y1198" s="23"/>
      <c r="Z1198" s="23" t="str">
        <f>Tabela2[[#This Row],[ilustrador]]</f>
        <v>SERGIO LIMA/ARQUIVO DA EDITORA</v>
      </c>
      <c r="AA1198" s="22"/>
      <c r="AB1198" s="20"/>
      <c r="AD1198" s="4" t="str">
        <f>"Pitanguá"</f>
        <v>Pitanguá</v>
      </c>
      <c r="AE1198" s="14" t="str">
        <f>"Matemática"</f>
        <v>Matemática</v>
      </c>
      <c r="AF1198" s="14"/>
    </row>
    <row r="1199" spans="1:32" x14ac:dyDescent="0.3">
      <c r="A1199" s="23" t="s">
        <v>2123</v>
      </c>
      <c r="B1199" s="20" t="s">
        <v>16</v>
      </c>
      <c r="C1199" s="20" t="s">
        <v>7</v>
      </c>
      <c r="D1199" s="20" t="s">
        <v>8</v>
      </c>
      <c r="E1199" s="22">
        <v>88</v>
      </c>
      <c r="F1199" s="22">
        <v>3</v>
      </c>
      <c r="G1199" s="22">
        <v>5</v>
      </c>
      <c r="H1199" s="22"/>
      <c r="I1199" s="23" t="s">
        <v>9</v>
      </c>
      <c r="J1199" s="23"/>
      <c r="K1199" s="22"/>
      <c r="L1199" s="22"/>
      <c r="M1199" s="23"/>
      <c r="N1199" s="23"/>
      <c r="O1199" s="26" t="s">
        <v>2124</v>
      </c>
      <c r="P1199" s="26"/>
      <c r="Q1199" s="22"/>
      <c r="R1199" s="24"/>
      <c r="S1199" s="24"/>
      <c r="T1199" s="24"/>
      <c r="U1199" s="24"/>
      <c r="V1199" s="24"/>
      <c r="W1199" s="22" t="s">
        <v>160</v>
      </c>
      <c r="X1199" s="4" t="str">
        <f>IF(Tabela2[[#This Row],[sigla]]="","",VLOOKUP(Tabela2[[#This Row],[sigla]],créditos_base!B:C,2,0))</f>
        <v>SERGIO LIMA/ARQUIVO DA EDITORA</v>
      </c>
      <c r="Y1199" s="23"/>
      <c r="Z1199" s="23" t="str">
        <f>Tabela2[[#This Row],[ilustrador]]</f>
        <v>SERGIO LIMA/ARQUIVO DA EDITORA</v>
      </c>
      <c r="AA1199" s="22"/>
      <c r="AB1199" s="20"/>
      <c r="AD1199" s="4" t="str">
        <f>"Pitanguá"</f>
        <v>Pitanguá</v>
      </c>
      <c r="AE1199" s="14" t="str">
        <f>"Matemática"</f>
        <v>Matemática</v>
      </c>
      <c r="AF1199" s="14"/>
    </row>
    <row r="1200" spans="1:32" x14ac:dyDescent="0.3">
      <c r="A1200" s="23" t="s">
        <v>4086</v>
      </c>
      <c r="B1200" s="20" t="s">
        <v>16</v>
      </c>
      <c r="C1200" s="20" t="s">
        <v>89</v>
      </c>
      <c r="D1200" s="20" t="s">
        <v>8</v>
      </c>
      <c r="E1200" s="22">
        <v>125</v>
      </c>
      <c r="F1200" s="22">
        <v>5</v>
      </c>
      <c r="G1200" s="22">
        <v>5</v>
      </c>
      <c r="H1200" s="22"/>
      <c r="I1200" s="23" t="s">
        <v>9</v>
      </c>
      <c r="J1200" s="23"/>
      <c r="K1200" s="22"/>
      <c r="L1200" s="22"/>
      <c r="M1200" s="23"/>
      <c r="N1200" s="23"/>
      <c r="O1200" s="26" t="s">
        <v>4087</v>
      </c>
      <c r="P1200" s="26"/>
      <c r="Q1200" s="22"/>
      <c r="R1200" s="24"/>
      <c r="S1200" s="24"/>
      <c r="T1200" s="24"/>
      <c r="U1200" s="24"/>
      <c r="V1200" s="24"/>
      <c r="W1200" s="22" t="s">
        <v>940</v>
      </c>
      <c r="X1200" s="4" t="str">
        <f>IF(Tabela2[[#This Row],[sigla]]="","",VLOOKUP(Tabela2[[#This Row],[sigla]],créditos_base!B:C,2,0))</f>
        <v>RONALDO LUCENA/ARQUIVO DA EDITORA</v>
      </c>
      <c r="Y1200" s="23"/>
      <c r="Z1200" s="23" t="str">
        <f>Tabela2[[#This Row],[ilustrador]]</f>
        <v>RONALDO LUCENA/ARQUIVO DA EDITORA</v>
      </c>
      <c r="AA1200" s="22"/>
      <c r="AB1200" s="20"/>
      <c r="AD1200" s="4" t="str">
        <f>"Pitanguá"</f>
        <v>Pitanguá</v>
      </c>
      <c r="AE1200" s="14" t="str">
        <f>"Matemática"</f>
        <v>Matemática</v>
      </c>
      <c r="AF1200" s="14"/>
    </row>
    <row r="1201" spans="1:32" x14ac:dyDescent="0.3">
      <c r="A1201" s="23" t="s">
        <v>224</v>
      </c>
      <c r="B1201" s="20" t="s">
        <v>16</v>
      </c>
      <c r="C1201" s="20" t="s">
        <v>7</v>
      </c>
      <c r="D1201" s="20" t="s">
        <v>8</v>
      </c>
      <c r="E1201" s="22">
        <v>87</v>
      </c>
      <c r="F1201" s="22">
        <v>1</v>
      </c>
      <c r="G1201" s="22">
        <v>5</v>
      </c>
      <c r="H1201" s="22"/>
      <c r="I1201" s="23" t="s">
        <v>9</v>
      </c>
      <c r="J1201" s="23"/>
      <c r="K1201" s="22"/>
      <c r="L1201" s="22"/>
      <c r="M1201" s="23"/>
      <c r="N1201" s="23"/>
      <c r="O1201" s="26" t="s">
        <v>225</v>
      </c>
      <c r="P1201" s="26"/>
      <c r="Q1201" s="22"/>
      <c r="R1201" s="24"/>
      <c r="S1201" s="24"/>
      <c r="T1201" s="24"/>
      <c r="U1201" s="24"/>
      <c r="V1201" s="24"/>
      <c r="W1201" s="22" t="s">
        <v>223</v>
      </c>
      <c r="X1201" s="4" t="str">
        <f>IF(Tabela2[[#This Row],[sigla]]="","",VLOOKUP(Tabela2[[#This Row],[sigla]],créditos_base!B:C,2,0))</f>
        <v>NATANAELE BILMAIA/ARQUIVO DA EDITORA</v>
      </c>
      <c r="Y1201" s="23"/>
      <c r="Z1201" s="23" t="str">
        <f>Tabela2[[#This Row],[ilustrador]]</f>
        <v>NATANAELE BILMAIA/ARQUIVO DA EDITORA</v>
      </c>
      <c r="AA1201" s="22"/>
      <c r="AB1201" s="20"/>
      <c r="AD1201" s="4" t="str">
        <f>"Pitanguá"</f>
        <v>Pitanguá</v>
      </c>
      <c r="AE1201" s="14" t="str">
        <f>"Matemática"</f>
        <v>Matemática</v>
      </c>
      <c r="AF1201" s="14"/>
    </row>
    <row r="1202" spans="1:32" ht="43.2" x14ac:dyDescent="0.3">
      <c r="A1202" s="23" t="s">
        <v>1492</v>
      </c>
      <c r="B1202" s="20" t="s">
        <v>16</v>
      </c>
      <c r="C1202" s="20" t="s">
        <v>7</v>
      </c>
      <c r="D1202" s="20" t="s">
        <v>8</v>
      </c>
      <c r="E1202" s="22">
        <v>75</v>
      </c>
      <c r="F1202" s="22">
        <v>2</v>
      </c>
      <c r="G1202" s="22">
        <v>5</v>
      </c>
      <c r="H1202" s="22"/>
      <c r="I1202" s="23" t="s">
        <v>9</v>
      </c>
      <c r="J1202" s="23"/>
      <c r="K1202" s="22"/>
      <c r="L1202" s="22"/>
      <c r="M1202" s="23"/>
      <c r="N1202" s="23"/>
      <c r="O1202" s="26" t="s">
        <v>1493</v>
      </c>
      <c r="P1202" s="26"/>
      <c r="Q1202" s="22"/>
      <c r="R1202" s="24"/>
      <c r="S1202" s="24"/>
      <c r="T1202" s="24"/>
      <c r="U1202" s="24"/>
      <c r="V1202" s="24"/>
      <c r="W1202" s="22" t="s">
        <v>160</v>
      </c>
      <c r="X1202" s="4" t="str">
        <f>IF(Tabela2[[#This Row],[sigla]]="","",VLOOKUP(Tabela2[[#This Row],[sigla]],créditos_base!B:C,2,0))</f>
        <v>SERGIO LIMA/ARQUIVO DA EDITORA</v>
      </c>
      <c r="Y1202" s="23"/>
      <c r="Z1202" s="23" t="str">
        <f>Tabela2[[#This Row],[ilustrador]]</f>
        <v>SERGIO LIMA/ARQUIVO DA EDITORA</v>
      </c>
      <c r="AA1202" s="22"/>
      <c r="AB1202" s="20"/>
      <c r="AD1202" s="4" t="str">
        <f>"Pitanguá"</f>
        <v>Pitanguá</v>
      </c>
      <c r="AE1202" s="14" t="str">
        <f>"Matemática"</f>
        <v>Matemática</v>
      </c>
      <c r="AF1202" s="14"/>
    </row>
    <row r="1203" spans="1:32" ht="259.2" x14ac:dyDescent="0.3">
      <c r="A1203" s="23" t="s">
        <v>2125</v>
      </c>
      <c r="B1203" s="20" t="s">
        <v>16</v>
      </c>
      <c r="C1203" s="20" t="s">
        <v>7</v>
      </c>
      <c r="D1203" s="20" t="s">
        <v>8</v>
      </c>
      <c r="E1203" s="22">
        <v>89</v>
      </c>
      <c r="F1203" s="22">
        <v>3</v>
      </c>
      <c r="G1203" s="22">
        <v>5</v>
      </c>
      <c r="H1203" s="22"/>
      <c r="I1203" s="23" t="s">
        <v>33</v>
      </c>
      <c r="J1203" s="23"/>
      <c r="K1203" s="22"/>
      <c r="L1203" s="22"/>
      <c r="M1203" s="23"/>
      <c r="N1203" s="23"/>
      <c r="O1203" s="26" t="s">
        <v>2126</v>
      </c>
      <c r="P1203" s="26"/>
      <c r="Q1203" s="22">
        <v>79</v>
      </c>
      <c r="R1203" s="24">
        <v>45820</v>
      </c>
      <c r="S1203" s="24">
        <v>45821</v>
      </c>
      <c r="T1203" s="24"/>
      <c r="U1203" s="24"/>
      <c r="V1203" s="24">
        <v>45824</v>
      </c>
      <c r="W1203" s="22" t="s">
        <v>160</v>
      </c>
      <c r="X1203" s="4" t="str">
        <f>IF(Tabela2[[#This Row],[sigla]]="","",VLOOKUP(Tabela2[[#This Row],[sigla]],créditos_base!B:C,2,0))</f>
        <v>SERGIO LIMA/ARQUIVO DA EDITORA</v>
      </c>
      <c r="Y1203" s="23" t="s">
        <v>152</v>
      </c>
      <c r="Z1203" s="23" t="str">
        <f>Tabela2[[#This Row],[ilustrador]]</f>
        <v>SERGIO LIMA/ARQUIVO DA EDITORA</v>
      </c>
      <c r="AA1203" s="22">
        <v>13</v>
      </c>
      <c r="AB1203" s="20" t="s">
        <v>244</v>
      </c>
      <c r="AC1203" s="20" t="s">
        <v>36</v>
      </c>
      <c r="AD1203" s="4" t="str">
        <f>"Pitanguá"</f>
        <v>Pitanguá</v>
      </c>
      <c r="AE1203" s="14" t="str">
        <f>"Matemática"</f>
        <v>Matemática</v>
      </c>
      <c r="AF1203" s="14"/>
    </row>
    <row r="1204" spans="1:32" ht="72" x14ac:dyDescent="0.3">
      <c r="A1204" s="23" t="s">
        <v>4088</v>
      </c>
      <c r="B1204" s="20" t="s">
        <v>16</v>
      </c>
      <c r="C1204" s="20" t="s">
        <v>89</v>
      </c>
      <c r="D1204" s="20" t="s">
        <v>8</v>
      </c>
      <c r="E1204" s="22">
        <v>125</v>
      </c>
      <c r="F1204" s="22">
        <v>5</v>
      </c>
      <c r="G1204" s="22">
        <v>5</v>
      </c>
      <c r="H1204" s="22"/>
      <c r="I1204" s="23" t="s">
        <v>9</v>
      </c>
      <c r="J1204" s="23"/>
      <c r="K1204" s="22"/>
      <c r="L1204" s="22"/>
      <c r="M1204" s="23"/>
      <c r="N1204" s="23"/>
      <c r="O1204" s="26" t="s">
        <v>4089</v>
      </c>
      <c r="P1204" s="26"/>
      <c r="Q1204" s="22"/>
      <c r="R1204" s="24"/>
      <c r="S1204" s="24"/>
      <c r="T1204" s="24"/>
      <c r="U1204" s="24"/>
      <c r="V1204" s="24"/>
      <c r="W1204" s="22" t="s">
        <v>940</v>
      </c>
      <c r="X1204" s="4" t="str">
        <f>IF(Tabela2[[#This Row],[sigla]]="","",VLOOKUP(Tabela2[[#This Row],[sigla]],créditos_base!B:C,2,0))</f>
        <v>RONALDO LUCENA/ARQUIVO DA EDITORA</v>
      </c>
      <c r="Y1204" s="23"/>
      <c r="Z1204" s="23" t="str">
        <f>Tabela2[[#This Row],[ilustrador]]</f>
        <v>RONALDO LUCENA/ARQUIVO DA EDITORA</v>
      </c>
      <c r="AA1204" s="22"/>
      <c r="AB1204" s="20"/>
      <c r="AD1204" s="4" t="str">
        <f>"Pitanguá"</f>
        <v>Pitanguá</v>
      </c>
      <c r="AE1204" s="14" t="str">
        <f>"Matemática"</f>
        <v>Matemática</v>
      </c>
      <c r="AF1204" s="14"/>
    </row>
    <row r="1205" spans="1:32" ht="86.4" x14ac:dyDescent="0.3">
      <c r="A1205" s="23" t="s">
        <v>1494</v>
      </c>
      <c r="B1205" s="20" t="s">
        <v>16</v>
      </c>
      <c r="C1205" s="20" t="s">
        <v>7</v>
      </c>
      <c r="D1205" s="20" t="s">
        <v>8</v>
      </c>
      <c r="E1205" s="22">
        <v>75</v>
      </c>
      <c r="F1205" s="22">
        <v>2</v>
      </c>
      <c r="G1205" s="22">
        <v>5</v>
      </c>
      <c r="H1205" s="22"/>
      <c r="I1205" s="23" t="s">
        <v>9</v>
      </c>
      <c r="J1205" s="23"/>
      <c r="K1205" s="22"/>
      <c r="L1205" s="22"/>
      <c r="M1205" s="23"/>
      <c r="N1205" s="23"/>
      <c r="O1205" s="26" t="s">
        <v>1495</v>
      </c>
      <c r="P1205" s="26"/>
      <c r="Q1205" s="22"/>
      <c r="R1205" s="24"/>
      <c r="S1205" s="24"/>
      <c r="T1205" s="24"/>
      <c r="U1205" s="24"/>
      <c r="V1205" s="24"/>
      <c r="W1205" s="22" t="s">
        <v>160</v>
      </c>
      <c r="X1205" s="4" t="str">
        <f>IF(Tabela2[[#This Row],[sigla]]="","",VLOOKUP(Tabela2[[#This Row],[sigla]],créditos_base!B:C,2,0))</f>
        <v>SERGIO LIMA/ARQUIVO DA EDITORA</v>
      </c>
      <c r="Y1205" s="23"/>
      <c r="Z1205" s="23" t="str">
        <f>Tabela2[[#This Row],[ilustrador]]</f>
        <v>SERGIO LIMA/ARQUIVO DA EDITORA</v>
      </c>
      <c r="AA1205" s="22"/>
      <c r="AB1205" s="20"/>
      <c r="AD1205" s="4" t="str">
        <f>"Pitanguá"</f>
        <v>Pitanguá</v>
      </c>
      <c r="AE1205" s="14" t="str">
        <f>"Matemática"</f>
        <v>Matemática</v>
      </c>
      <c r="AF1205" s="14"/>
    </row>
    <row r="1206" spans="1:32" ht="158.4" x14ac:dyDescent="0.3">
      <c r="A1206" s="23" t="s">
        <v>2127</v>
      </c>
      <c r="B1206" s="20" t="s">
        <v>16</v>
      </c>
      <c r="C1206" s="20" t="s">
        <v>7</v>
      </c>
      <c r="D1206" s="20" t="s">
        <v>8</v>
      </c>
      <c r="E1206" s="22">
        <v>89</v>
      </c>
      <c r="F1206" s="22">
        <v>3</v>
      </c>
      <c r="G1206" s="22">
        <v>5</v>
      </c>
      <c r="H1206" s="22"/>
      <c r="I1206" s="23" t="s">
        <v>33</v>
      </c>
      <c r="J1206" s="23"/>
      <c r="K1206" s="22"/>
      <c r="L1206" s="22"/>
      <c r="M1206" s="23"/>
      <c r="N1206" s="23"/>
      <c r="O1206" s="26" t="s">
        <v>2128</v>
      </c>
      <c r="P1206" s="26"/>
      <c r="Q1206" s="22">
        <v>79</v>
      </c>
      <c r="R1206" s="24">
        <v>45820</v>
      </c>
      <c r="S1206" s="24">
        <v>45821</v>
      </c>
      <c r="T1206" s="24"/>
      <c r="U1206" s="24"/>
      <c r="V1206" s="24">
        <v>45824</v>
      </c>
      <c r="W1206" s="22" t="s">
        <v>160</v>
      </c>
      <c r="X1206" s="4" t="str">
        <f>IF(Tabela2[[#This Row],[sigla]]="","",VLOOKUP(Tabela2[[#This Row],[sigla]],créditos_base!B:C,2,0))</f>
        <v>SERGIO LIMA/ARQUIVO DA EDITORA</v>
      </c>
      <c r="Y1206" s="23" t="s">
        <v>152</v>
      </c>
      <c r="Z1206" s="23" t="str">
        <f>Tabela2[[#This Row],[ilustrador]]</f>
        <v>SERGIO LIMA/ARQUIVO DA EDITORA</v>
      </c>
      <c r="AA1206" s="22">
        <v>13</v>
      </c>
      <c r="AB1206" s="20" t="s">
        <v>244</v>
      </c>
      <c r="AC1206" s="20" t="s">
        <v>36</v>
      </c>
      <c r="AD1206" s="4" t="str">
        <f>"Pitanguá"</f>
        <v>Pitanguá</v>
      </c>
      <c r="AE1206" s="14" t="str">
        <f>"Matemática"</f>
        <v>Matemática</v>
      </c>
      <c r="AF1206" s="14"/>
    </row>
    <row r="1207" spans="1:32" ht="115.2" x14ac:dyDescent="0.3">
      <c r="A1207" s="23" t="s">
        <v>5205</v>
      </c>
      <c r="B1207" s="20" t="s">
        <v>16</v>
      </c>
      <c r="C1207" s="20" t="s">
        <v>7</v>
      </c>
      <c r="D1207" s="20" t="s">
        <v>8</v>
      </c>
      <c r="E1207" s="22">
        <v>130</v>
      </c>
      <c r="F1207" s="22">
        <v>4</v>
      </c>
      <c r="G1207" s="22">
        <v>5</v>
      </c>
      <c r="H1207" s="22"/>
      <c r="I1207" s="23" t="s">
        <v>33</v>
      </c>
      <c r="J1207" s="23"/>
      <c r="K1207" s="22"/>
      <c r="L1207" s="22"/>
      <c r="M1207" s="23"/>
      <c r="N1207" s="23"/>
      <c r="O1207" s="26" t="s">
        <v>5206</v>
      </c>
      <c r="P1207" s="26"/>
      <c r="Q1207" s="22">
        <v>152</v>
      </c>
      <c r="R1207" s="24">
        <v>45882</v>
      </c>
      <c r="S1207" s="24">
        <v>45882</v>
      </c>
      <c r="T1207" s="24"/>
      <c r="U1207" s="24"/>
      <c r="V1207" s="24">
        <v>45883</v>
      </c>
      <c r="W1207" s="22" t="s">
        <v>468</v>
      </c>
      <c r="X1207" s="4" t="str">
        <f>IF(Tabela2[[#This Row],[sigla]]="","",VLOOKUP(Tabela2[[#This Row],[sigla]],créditos_base!B:C,2,0))</f>
        <v>VER DOCUMENTO DE ILS. TÉCNICAS</v>
      </c>
      <c r="Y1207" s="23" t="s">
        <v>152</v>
      </c>
      <c r="Z1207" s="23" t="s">
        <v>689</v>
      </c>
      <c r="AA1207" s="22">
        <v>13</v>
      </c>
      <c r="AB1207" s="20" t="s">
        <v>244</v>
      </c>
      <c r="AC1207" s="20" t="s">
        <v>36</v>
      </c>
      <c r="AD1207" s="4" t="str">
        <f>"Pitanguá"</f>
        <v>Pitanguá</v>
      </c>
      <c r="AE1207" s="14" t="str">
        <f>"Matemática"</f>
        <v>Matemática</v>
      </c>
      <c r="AF1207" s="14"/>
    </row>
    <row r="1208" spans="1:32" ht="72" x14ac:dyDescent="0.3">
      <c r="A1208" s="23" t="s">
        <v>4090</v>
      </c>
      <c r="B1208" s="20" t="s">
        <v>16</v>
      </c>
      <c r="C1208" s="20" t="s">
        <v>89</v>
      </c>
      <c r="D1208" s="20" t="s">
        <v>8</v>
      </c>
      <c r="E1208" s="22">
        <v>125</v>
      </c>
      <c r="F1208" s="22">
        <v>5</v>
      </c>
      <c r="G1208" s="22">
        <v>5</v>
      </c>
      <c r="H1208" s="22"/>
      <c r="I1208" s="23" t="s">
        <v>9</v>
      </c>
      <c r="J1208" s="23"/>
      <c r="K1208" s="22"/>
      <c r="L1208" s="22"/>
      <c r="M1208" s="23"/>
      <c r="N1208" s="23"/>
      <c r="O1208" s="26" t="s">
        <v>4091</v>
      </c>
      <c r="P1208" s="26"/>
      <c r="Q1208" s="22"/>
      <c r="R1208" s="24"/>
      <c r="S1208" s="24"/>
      <c r="T1208" s="24"/>
      <c r="U1208" s="24"/>
      <c r="V1208" s="24"/>
      <c r="W1208" s="22" t="s">
        <v>940</v>
      </c>
      <c r="X1208" s="4" t="str">
        <f>IF(Tabela2[[#This Row],[sigla]]="","",VLOOKUP(Tabela2[[#This Row],[sigla]],créditos_base!B:C,2,0))</f>
        <v>RONALDO LUCENA/ARQUIVO DA EDITORA</v>
      </c>
      <c r="Y1208" s="23"/>
      <c r="Z1208" s="23" t="str">
        <f>Tabela2[[#This Row],[ilustrador]]</f>
        <v>RONALDO LUCENA/ARQUIVO DA EDITORA</v>
      </c>
      <c r="AA1208" s="22"/>
      <c r="AB1208" s="20"/>
      <c r="AD1208" s="4" t="str">
        <f>"Pitanguá"</f>
        <v>Pitanguá</v>
      </c>
      <c r="AE1208" s="14" t="str">
        <f>"Matemática"</f>
        <v>Matemática</v>
      </c>
      <c r="AF1208" s="14"/>
    </row>
    <row r="1209" spans="1:32" ht="28.8" x14ac:dyDescent="0.3">
      <c r="A1209" s="23" t="s">
        <v>226</v>
      </c>
      <c r="B1209" s="20" t="s">
        <v>16</v>
      </c>
      <c r="C1209" s="20" t="s">
        <v>7</v>
      </c>
      <c r="D1209" s="20" t="s">
        <v>8</v>
      </c>
      <c r="E1209" s="22">
        <v>87</v>
      </c>
      <c r="F1209" s="22">
        <v>1</v>
      </c>
      <c r="G1209" s="22">
        <v>5</v>
      </c>
      <c r="H1209" s="22"/>
      <c r="I1209" s="23" t="s">
        <v>9</v>
      </c>
      <c r="J1209" s="23"/>
      <c r="K1209" s="22"/>
      <c r="L1209" s="22"/>
      <c r="M1209" s="23"/>
      <c r="N1209" s="23"/>
      <c r="O1209" s="26" t="s">
        <v>227</v>
      </c>
      <c r="P1209" s="26"/>
      <c r="Q1209" s="22"/>
      <c r="R1209" s="24"/>
      <c r="S1209" s="24"/>
      <c r="T1209" s="24"/>
      <c r="U1209" s="24"/>
      <c r="V1209" s="24"/>
      <c r="W1209" s="22" t="s">
        <v>223</v>
      </c>
      <c r="X1209" s="4" t="str">
        <f>IF(Tabela2[[#This Row],[sigla]]="","",VLOOKUP(Tabela2[[#This Row],[sigla]],créditos_base!B:C,2,0))</f>
        <v>NATANAELE BILMAIA/ARQUIVO DA EDITORA</v>
      </c>
      <c r="Y1209" s="23"/>
      <c r="Z1209" s="23" t="str">
        <f>Tabela2[[#This Row],[ilustrador]]</f>
        <v>NATANAELE BILMAIA/ARQUIVO DA EDITORA</v>
      </c>
      <c r="AA1209" s="22"/>
      <c r="AB1209" s="20"/>
      <c r="AD1209" s="4" t="str">
        <f>"Pitanguá"</f>
        <v>Pitanguá</v>
      </c>
      <c r="AE1209" s="14" t="str">
        <f>"Matemática"</f>
        <v>Matemática</v>
      </c>
      <c r="AF1209" s="14"/>
    </row>
    <row r="1210" spans="1:32" ht="28.8" x14ac:dyDescent="0.3">
      <c r="A1210" s="23" t="s">
        <v>1496</v>
      </c>
      <c r="B1210" s="20" t="s">
        <v>16</v>
      </c>
      <c r="C1210" s="20" t="s">
        <v>7</v>
      </c>
      <c r="D1210" s="20" t="s">
        <v>8</v>
      </c>
      <c r="E1210" s="22">
        <v>75</v>
      </c>
      <c r="F1210" s="22">
        <v>2</v>
      </c>
      <c r="G1210" s="22">
        <v>5</v>
      </c>
      <c r="H1210" s="22"/>
      <c r="I1210" s="23" t="s">
        <v>9</v>
      </c>
      <c r="J1210" s="23"/>
      <c r="K1210" s="22"/>
      <c r="L1210" s="22"/>
      <c r="M1210" s="23"/>
      <c r="N1210" s="23"/>
      <c r="O1210" s="26" t="s">
        <v>1497</v>
      </c>
      <c r="P1210" s="26"/>
      <c r="Q1210" s="22"/>
      <c r="R1210" s="24"/>
      <c r="S1210" s="24"/>
      <c r="T1210" s="24"/>
      <c r="U1210" s="24"/>
      <c r="V1210" s="24"/>
      <c r="W1210" s="22" t="s">
        <v>160</v>
      </c>
      <c r="X1210" s="4" t="str">
        <f>IF(Tabela2[[#This Row],[sigla]]="","",VLOOKUP(Tabela2[[#This Row],[sigla]],créditos_base!B:C,2,0))</f>
        <v>SERGIO LIMA/ARQUIVO DA EDITORA</v>
      </c>
      <c r="Y1210" s="23"/>
      <c r="Z1210" s="23" t="str">
        <f>Tabela2[[#This Row],[ilustrador]]</f>
        <v>SERGIO LIMA/ARQUIVO DA EDITORA</v>
      </c>
      <c r="AA1210" s="22"/>
      <c r="AB1210" s="20"/>
      <c r="AD1210" s="4" t="str">
        <f>"Pitanguá"</f>
        <v>Pitanguá</v>
      </c>
      <c r="AE1210" s="14" t="str">
        <f>"Matemática"</f>
        <v>Matemática</v>
      </c>
      <c r="AF1210" s="14"/>
    </row>
    <row r="1211" spans="1:32" ht="43.2" x14ac:dyDescent="0.3">
      <c r="A1211" s="23" t="s">
        <v>5207</v>
      </c>
      <c r="B1211" s="20" t="s">
        <v>16</v>
      </c>
      <c r="C1211" s="20" t="s">
        <v>7</v>
      </c>
      <c r="D1211" s="20" t="s">
        <v>8</v>
      </c>
      <c r="E1211" s="22">
        <v>130</v>
      </c>
      <c r="F1211" s="22">
        <v>4</v>
      </c>
      <c r="G1211" s="22">
        <v>5</v>
      </c>
      <c r="H1211" s="22"/>
      <c r="I1211" s="23" t="s">
        <v>33</v>
      </c>
      <c r="J1211" s="23"/>
      <c r="K1211" s="22"/>
      <c r="L1211" s="22"/>
      <c r="M1211" s="23"/>
      <c r="N1211" s="23"/>
      <c r="O1211" s="26" t="s">
        <v>5208</v>
      </c>
      <c r="P1211" s="26"/>
      <c r="Q1211" s="22">
        <v>152</v>
      </c>
      <c r="R1211" s="24">
        <v>45882</v>
      </c>
      <c r="S1211" s="24">
        <v>45882</v>
      </c>
      <c r="T1211" s="24"/>
      <c r="U1211" s="24"/>
      <c r="V1211" s="24">
        <v>45883</v>
      </c>
      <c r="W1211" s="22" t="s">
        <v>546</v>
      </c>
      <c r="X1211" s="4" t="str">
        <f>IF(Tabela2[[#This Row],[sigla]]="","",VLOOKUP(Tabela2[[#This Row],[sigla]],créditos_base!B:C,2,0))</f>
        <v>GUILHERME ARANEGA/ARQUIVO DA EDITORA</v>
      </c>
      <c r="Y1211" s="23" t="s">
        <v>152</v>
      </c>
      <c r="Z1211" s="23" t="str">
        <f>Tabela2[[#This Row],[ilustrador]]</f>
        <v>GUILHERME ARANEGA/ARQUIVO DA EDITORA</v>
      </c>
      <c r="AA1211" s="22">
        <v>13</v>
      </c>
      <c r="AB1211" s="20" t="s">
        <v>244</v>
      </c>
      <c r="AC1211" s="20" t="s">
        <v>36</v>
      </c>
      <c r="AD1211" s="4" t="str">
        <f>"Pitanguá"</f>
        <v>Pitanguá</v>
      </c>
      <c r="AE1211" s="14" t="str">
        <f>"Matemática"</f>
        <v>Matemática</v>
      </c>
      <c r="AF1211" s="14"/>
    </row>
    <row r="1212" spans="1:32" ht="28.8" x14ac:dyDescent="0.3">
      <c r="A1212" s="23" t="s">
        <v>4092</v>
      </c>
      <c r="B1212" s="20" t="s">
        <v>16</v>
      </c>
      <c r="C1212" s="20" t="s">
        <v>89</v>
      </c>
      <c r="D1212" s="20" t="s">
        <v>8</v>
      </c>
      <c r="E1212" s="22">
        <v>125</v>
      </c>
      <c r="F1212" s="22">
        <v>5</v>
      </c>
      <c r="G1212" s="22">
        <v>5</v>
      </c>
      <c r="H1212" s="22"/>
      <c r="I1212" s="23" t="s">
        <v>9</v>
      </c>
      <c r="J1212" s="23"/>
      <c r="K1212" s="22"/>
      <c r="L1212" s="22"/>
      <c r="M1212" s="23"/>
      <c r="N1212" s="23"/>
      <c r="O1212" s="26" t="s">
        <v>4093</v>
      </c>
      <c r="P1212" s="26"/>
      <c r="Q1212" s="22"/>
      <c r="R1212" s="24"/>
      <c r="S1212" s="24"/>
      <c r="T1212" s="24"/>
      <c r="U1212" s="24"/>
      <c r="V1212" s="24"/>
      <c r="W1212" s="22" t="s">
        <v>940</v>
      </c>
      <c r="X1212" s="4" t="str">
        <f>IF(Tabela2[[#This Row],[sigla]]="","",VLOOKUP(Tabela2[[#This Row],[sigla]],créditos_base!B:C,2,0))</f>
        <v>RONALDO LUCENA/ARQUIVO DA EDITORA</v>
      </c>
      <c r="Y1212" s="23"/>
      <c r="Z1212" s="23" t="str">
        <f>Tabela2[[#This Row],[ilustrador]]</f>
        <v>RONALDO LUCENA/ARQUIVO DA EDITORA</v>
      </c>
      <c r="AA1212" s="22"/>
      <c r="AB1212" s="20"/>
      <c r="AD1212" s="4" t="str">
        <f>"Pitanguá"</f>
        <v>Pitanguá</v>
      </c>
      <c r="AE1212" s="14" t="str">
        <f>"Matemática"</f>
        <v>Matemática</v>
      </c>
      <c r="AF1212" s="14"/>
    </row>
    <row r="1213" spans="1:32" ht="100.8" x14ac:dyDescent="0.3">
      <c r="A1213" s="23" t="s">
        <v>228</v>
      </c>
      <c r="B1213" s="20" t="s">
        <v>16</v>
      </c>
      <c r="C1213" s="20" t="s">
        <v>7</v>
      </c>
      <c r="D1213" s="20" t="s">
        <v>8</v>
      </c>
      <c r="E1213" s="22">
        <v>87</v>
      </c>
      <c r="F1213" s="22">
        <v>1</v>
      </c>
      <c r="G1213" s="22">
        <v>5</v>
      </c>
      <c r="H1213" s="22"/>
      <c r="I1213" s="23" t="s">
        <v>33</v>
      </c>
      <c r="J1213" s="23"/>
      <c r="K1213" s="22"/>
      <c r="L1213" s="22"/>
      <c r="M1213" s="23"/>
      <c r="N1213" s="23"/>
      <c r="O1213" s="26" t="s">
        <v>229</v>
      </c>
      <c r="P1213" s="26"/>
      <c r="Q1213" s="22">
        <v>28</v>
      </c>
      <c r="R1213" s="24">
        <v>45754</v>
      </c>
      <c r="S1213" s="24">
        <v>45755</v>
      </c>
      <c r="T1213" s="24"/>
      <c r="U1213" s="24"/>
      <c r="V1213" s="24">
        <v>45755</v>
      </c>
      <c r="W1213" s="22" t="s">
        <v>230</v>
      </c>
      <c r="X1213" s="4" t="str">
        <f>IF(Tabela2[[#This Row],[sigla]]="","",VLOOKUP(Tabela2[[#This Row],[sigla]],créditos_base!B:C,2,0))</f>
        <v>RAFAEL L. GAION/ARQUIVO DA EDITORA</v>
      </c>
      <c r="Y1213" s="23" t="s">
        <v>188</v>
      </c>
      <c r="Z1213" s="23" t="str">
        <f>Tabela2[[#This Row],[ilustrador]]</f>
        <v>RAFAEL L. GAION/ARQUIVO DA EDITORA</v>
      </c>
      <c r="AA1213" s="22">
        <v>13</v>
      </c>
      <c r="AB1213" s="20" t="s">
        <v>153</v>
      </c>
      <c r="AC1213" s="20" t="s">
        <v>36</v>
      </c>
      <c r="AD1213" s="4" t="str">
        <f>"Pitanguá"</f>
        <v>Pitanguá</v>
      </c>
      <c r="AE1213" s="14" t="str">
        <f>"Matemática"</f>
        <v>Matemática</v>
      </c>
      <c r="AF1213" s="14"/>
    </row>
    <row r="1214" spans="1:32" ht="28.8" x14ac:dyDescent="0.3">
      <c r="A1214" s="23" t="s">
        <v>2129</v>
      </c>
      <c r="B1214" s="20" t="s">
        <v>16</v>
      </c>
      <c r="C1214" s="20" t="s">
        <v>89</v>
      </c>
      <c r="D1214" s="20" t="s">
        <v>8</v>
      </c>
      <c r="E1214" s="22">
        <v>90</v>
      </c>
      <c r="F1214" s="22">
        <v>3</v>
      </c>
      <c r="G1214" s="22">
        <v>5</v>
      </c>
      <c r="H1214" s="22"/>
      <c r="I1214" s="23" t="s">
        <v>9</v>
      </c>
      <c r="J1214" s="23"/>
      <c r="K1214" s="22"/>
      <c r="L1214" s="22"/>
      <c r="M1214" s="23"/>
      <c r="N1214" s="23"/>
      <c r="O1214" s="26" t="s">
        <v>2130</v>
      </c>
      <c r="P1214" s="26"/>
      <c r="Q1214" s="22"/>
      <c r="R1214" s="24"/>
      <c r="S1214" s="24"/>
      <c r="T1214" s="24"/>
      <c r="U1214" s="24"/>
      <c r="V1214" s="24"/>
      <c r="W1214" s="22" t="s">
        <v>468</v>
      </c>
      <c r="X1214" s="4" t="str">
        <f>IF(Tabela2[[#This Row],[sigla]]="","",VLOOKUP(Tabela2[[#This Row],[sigla]],créditos_base!B:C,2,0))</f>
        <v>VER DOCUMENTO DE ILS. TÉCNICAS</v>
      </c>
      <c r="Y1214" s="23"/>
      <c r="Z1214" s="23" t="s">
        <v>689</v>
      </c>
      <c r="AA1214" s="22"/>
      <c r="AB1214" s="20"/>
      <c r="AD1214" s="4" t="str">
        <f>"Pitanguá"</f>
        <v>Pitanguá</v>
      </c>
      <c r="AE1214" s="14" t="str">
        <f>"Matemática"</f>
        <v>Matemática</v>
      </c>
      <c r="AF1214" s="14"/>
    </row>
    <row r="1215" spans="1:32" ht="28.8" x14ac:dyDescent="0.3">
      <c r="A1215" s="23" t="s">
        <v>3190</v>
      </c>
      <c r="B1215" s="20" t="s">
        <v>16</v>
      </c>
      <c r="C1215" s="20" t="s">
        <v>7</v>
      </c>
      <c r="D1215" s="20" t="s">
        <v>8</v>
      </c>
      <c r="E1215" s="22">
        <v>114</v>
      </c>
      <c r="F1215" s="22">
        <v>4</v>
      </c>
      <c r="G1215" s="22">
        <v>5</v>
      </c>
      <c r="H1215" s="22"/>
      <c r="I1215" s="23" t="s">
        <v>33</v>
      </c>
      <c r="J1215" s="23"/>
      <c r="K1215" s="22"/>
      <c r="L1215" s="22"/>
      <c r="M1215" s="23"/>
      <c r="N1215" s="23"/>
      <c r="O1215" s="26" t="s">
        <v>3191</v>
      </c>
      <c r="P1215" s="26"/>
      <c r="Q1215" s="22">
        <v>186</v>
      </c>
      <c r="R1215" s="24">
        <v>45910</v>
      </c>
      <c r="S1215" s="24">
        <v>45910</v>
      </c>
      <c r="T1215" s="24"/>
      <c r="U1215" s="24"/>
      <c r="V1215" s="24">
        <v>45910</v>
      </c>
      <c r="W1215" s="22" t="s">
        <v>160</v>
      </c>
      <c r="X1215" s="4" t="str">
        <f>IF(Tabela2[[#This Row],[sigla]]="","",VLOOKUP(Tabela2[[#This Row],[sigla]],créditos_base!B:C,2,0))</f>
        <v>SERGIO LIMA/ARQUIVO DA EDITORA</v>
      </c>
      <c r="Y1215" s="23" t="s">
        <v>696</v>
      </c>
      <c r="Z1215" s="23" t="str">
        <f>Tabela2[[#This Row],[ilustrador]]</f>
        <v>SERGIO LIMA/ARQUIVO DA EDITORA</v>
      </c>
      <c r="AA1215" s="22">
        <v>13</v>
      </c>
      <c r="AB1215" s="20" t="s">
        <v>41</v>
      </c>
      <c r="AC1215" s="20" t="s">
        <v>36</v>
      </c>
      <c r="AD1215" s="4" t="str">
        <f>"Pitanguá"</f>
        <v>Pitanguá</v>
      </c>
      <c r="AE1215" s="14" t="str">
        <f>"Matemática"</f>
        <v>Matemática</v>
      </c>
      <c r="AF1215" s="14"/>
    </row>
    <row r="1216" spans="1:32" ht="28.8" x14ac:dyDescent="0.3">
      <c r="A1216" s="23" t="s">
        <v>4094</v>
      </c>
      <c r="B1216" s="20" t="s">
        <v>16</v>
      </c>
      <c r="C1216" s="20" t="s">
        <v>89</v>
      </c>
      <c r="D1216" s="20" t="s">
        <v>8</v>
      </c>
      <c r="E1216" s="22">
        <v>125</v>
      </c>
      <c r="F1216" s="22">
        <v>5</v>
      </c>
      <c r="G1216" s="22">
        <v>5</v>
      </c>
      <c r="H1216" s="22"/>
      <c r="I1216" s="23" t="s">
        <v>9</v>
      </c>
      <c r="J1216" s="23"/>
      <c r="K1216" s="22"/>
      <c r="L1216" s="22"/>
      <c r="M1216" s="23"/>
      <c r="N1216" s="23"/>
      <c r="O1216" s="26" t="s">
        <v>4095</v>
      </c>
      <c r="P1216" s="26"/>
      <c r="Q1216" s="22"/>
      <c r="R1216" s="24"/>
      <c r="S1216" s="24"/>
      <c r="T1216" s="24"/>
      <c r="U1216" s="24"/>
      <c r="V1216" s="24"/>
      <c r="W1216" s="22" t="s">
        <v>940</v>
      </c>
      <c r="X1216" s="4" t="str">
        <f>IF(Tabela2[[#This Row],[sigla]]="","",VLOOKUP(Tabela2[[#This Row],[sigla]],créditos_base!B:C,2,0))</f>
        <v>RONALDO LUCENA/ARQUIVO DA EDITORA</v>
      </c>
      <c r="Y1216" s="23"/>
      <c r="Z1216" s="23" t="str">
        <f>Tabela2[[#This Row],[ilustrador]]</f>
        <v>RONALDO LUCENA/ARQUIVO DA EDITORA</v>
      </c>
      <c r="AA1216" s="22"/>
      <c r="AB1216" s="20"/>
      <c r="AD1216" s="4" t="str">
        <f>"Pitanguá"</f>
        <v>Pitanguá</v>
      </c>
      <c r="AE1216" s="14" t="str">
        <f>"Matemática"</f>
        <v>Matemática</v>
      </c>
      <c r="AF1216" s="14"/>
    </row>
    <row r="1217" spans="1:32" ht="28.8" x14ac:dyDescent="0.3">
      <c r="A1217" s="23" t="s">
        <v>231</v>
      </c>
      <c r="B1217" s="20" t="s">
        <v>16</v>
      </c>
      <c r="C1217" s="20" t="s">
        <v>89</v>
      </c>
      <c r="D1217" s="20" t="s">
        <v>8</v>
      </c>
      <c r="E1217" s="22">
        <v>87</v>
      </c>
      <c r="F1217" s="22">
        <v>1</v>
      </c>
      <c r="G1217" s="22">
        <v>5</v>
      </c>
      <c r="H1217" s="22"/>
      <c r="I1217" s="23" t="s">
        <v>9</v>
      </c>
      <c r="J1217" s="23"/>
      <c r="K1217" s="22"/>
      <c r="L1217" s="22"/>
      <c r="M1217" s="23"/>
      <c r="N1217" s="23"/>
      <c r="O1217" s="26" t="s">
        <v>232</v>
      </c>
      <c r="P1217" s="26"/>
      <c r="Q1217" s="22"/>
      <c r="R1217" s="24"/>
      <c r="S1217" s="24"/>
      <c r="T1217" s="24"/>
      <c r="U1217" s="24"/>
      <c r="V1217" s="24"/>
      <c r="W1217" s="22" t="s">
        <v>160</v>
      </c>
      <c r="X1217" s="4" t="str">
        <f>IF(Tabela2[[#This Row],[sigla]]="","",VLOOKUP(Tabela2[[#This Row],[sigla]],créditos_base!B:C,2,0))</f>
        <v>SERGIO LIMA/ARQUIVO DA EDITORA</v>
      </c>
      <c r="Y1217" s="23"/>
      <c r="Z1217" s="23" t="str">
        <f>Tabela2[[#This Row],[ilustrador]]</f>
        <v>SERGIO LIMA/ARQUIVO DA EDITORA</v>
      </c>
      <c r="AA1217" s="22"/>
      <c r="AB1217" s="20"/>
      <c r="AD1217" s="4" t="str">
        <f>"Pitanguá"</f>
        <v>Pitanguá</v>
      </c>
      <c r="AE1217" s="14" t="str">
        <f>"Matemática"</f>
        <v>Matemática</v>
      </c>
      <c r="AF1217" s="14"/>
    </row>
    <row r="1218" spans="1:32" ht="43.2" x14ac:dyDescent="0.3">
      <c r="A1218" s="23" t="s">
        <v>2131</v>
      </c>
      <c r="B1218" s="20" t="s">
        <v>16</v>
      </c>
      <c r="C1218" s="20" t="s">
        <v>89</v>
      </c>
      <c r="D1218" s="20" t="s">
        <v>8</v>
      </c>
      <c r="E1218" s="22">
        <v>90</v>
      </c>
      <c r="F1218" s="22">
        <v>3</v>
      </c>
      <c r="G1218" s="22">
        <v>5</v>
      </c>
      <c r="H1218" s="22"/>
      <c r="I1218" s="23" t="s">
        <v>9</v>
      </c>
      <c r="J1218" s="23"/>
      <c r="K1218" s="22"/>
      <c r="L1218" s="22"/>
      <c r="M1218" s="23"/>
      <c r="N1218" s="23"/>
      <c r="O1218" s="26" t="s">
        <v>2132</v>
      </c>
      <c r="P1218" s="26"/>
      <c r="Q1218" s="22"/>
      <c r="R1218" s="24"/>
      <c r="S1218" s="24"/>
      <c r="T1218" s="24"/>
      <c r="U1218" s="24"/>
      <c r="V1218" s="24"/>
      <c r="W1218" s="22" t="s">
        <v>160</v>
      </c>
      <c r="X1218" s="4" t="str">
        <f>IF(Tabela2[[#This Row],[sigla]]="","",VLOOKUP(Tabela2[[#This Row],[sigla]],créditos_base!B:C,2,0))</f>
        <v>SERGIO LIMA/ARQUIVO DA EDITORA</v>
      </c>
      <c r="Y1218" s="23"/>
      <c r="Z1218" s="23" t="str">
        <f>Tabela2[[#This Row],[ilustrador]]</f>
        <v>SERGIO LIMA/ARQUIVO DA EDITORA</v>
      </c>
      <c r="AA1218" s="22"/>
      <c r="AB1218" s="20"/>
      <c r="AD1218" s="4" t="str">
        <f>"Pitanguá"</f>
        <v>Pitanguá</v>
      </c>
      <c r="AE1218" s="14" t="str">
        <f>"Matemática"</f>
        <v>Matemática</v>
      </c>
      <c r="AF1218" s="14"/>
    </row>
    <row r="1219" spans="1:32" ht="72" x14ac:dyDescent="0.3">
      <c r="A1219" s="23" t="s">
        <v>3192</v>
      </c>
      <c r="B1219" s="20" t="s">
        <v>16</v>
      </c>
      <c r="C1219" s="20" t="s">
        <v>7</v>
      </c>
      <c r="D1219" s="20" t="s">
        <v>8</v>
      </c>
      <c r="E1219" s="22">
        <v>115</v>
      </c>
      <c r="F1219" s="22">
        <v>4</v>
      </c>
      <c r="G1219" s="22">
        <v>5</v>
      </c>
      <c r="H1219" s="22"/>
      <c r="I1219" s="23" t="s">
        <v>33</v>
      </c>
      <c r="J1219" s="23"/>
      <c r="K1219" s="22"/>
      <c r="L1219" s="22"/>
      <c r="M1219" s="23"/>
      <c r="N1219" s="23"/>
      <c r="O1219" s="26" t="s">
        <v>3193</v>
      </c>
      <c r="P1219" s="26"/>
      <c r="Q1219" s="22">
        <v>186</v>
      </c>
      <c r="R1219" s="24">
        <v>45910</v>
      </c>
      <c r="S1219" s="24">
        <v>45910</v>
      </c>
      <c r="T1219" s="24"/>
      <c r="U1219" s="24"/>
      <c r="V1219" s="24">
        <v>45910</v>
      </c>
      <c r="W1219" s="22" t="s">
        <v>160</v>
      </c>
      <c r="X1219" s="4" t="str">
        <f>IF(Tabela2[[#This Row],[sigla]]="","",VLOOKUP(Tabela2[[#This Row],[sigla]],créditos_base!B:C,2,0))</f>
        <v>SERGIO LIMA/ARQUIVO DA EDITORA</v>
      </c>
      <c r="Y1219" s="23" t="s">
        <v>696</v>
      </c>
      <c r="Z1219" s="23" t="str">
        <f>Tabela2[[#This Row],[ilustrador]]</f>
        <v>SERGIO LIMA/ARQUIVO DA EDITORA</v>
      </c>
      <c r="AA1219" s="22">
        <v>13</v>
      </c>
      <c r="AB1219" s="20" t="s">
        <v>41</v>
      </c>
      <c r="AC1219" s="20" t="s">
        <v>36</v>
      </c>
      <c r="AD1219" s="4" t="str">
        <f>"Pitanguá"</f>
        <v>Pitanguá</v>
      </c>
      <c r="AE1219" s="14" t="str">
        <f>"Matemática"</f>
        <v>Matemática</v>
      </c>
      <c r="AF1219" s="14"/>
    </row>
    <row r="1220" spans="1:32" ht="72" x14ac:dyDescent="0.3">
      <c r="A1220" s="23" t="s">
        <v>4096</v>
      </c>
      <c r="B1220" s="20" t="s">
        <v>16</v>
      </c>
      <c r="C1220" s="20" t="s">
        <v>89</v>
      </c>
      <c r="D1220" s="20" t="s">
        <v>8</v>
      </c>
      <c r="E1220" s="22">
        <v>125</v>
      </c>
      <c r="F1220" s="22">
        <v>5</v>
      </c>
      <c r="G1220" s="22">
        <v>5</v>
      </c>
      <c r="H1220" s="22"/>
      <c r="I1220" s="23" t="s">
        <v>9</v>
      </c>
      <c r="J1220" s="23"/>
      <c r="K1220" s="22"/>
      <c r="L1220" s="22"/>
      <c r="M1220" s="23"/>
      <c r="N1220" s="23"/>
      <c r="O1220" s="26" t="s">
        <v>4097</v>
      </c>
      <c r="P1220" s="26"/>
      <c r="Q1220" s="22"/>
      <c r="R1220" s="24"/>
      <c r="S1220" s="24"/>
      <c r="T1220" s="24"/>
      <c r="U1220" s="24"/>
      <c r="V1220" s="24"/>
      <c r="W1220" s="22" t="s">
        <v>940</v>
      </c>
      <c r="X1220" s="4" t="str">
        <f>IF(Tabela2[[#This Row],[sigla]]="","",VLOOKUP(Tabela2[[#This Row],[sigla]],créditos_base!B:C,2,0))</f>
        <v>RONALDO LUCENA/ARQUIVO DA EDITORA</v>
      </c>
      <c r="Y1220" s="23"/>
      <c r="Z1220" s="23" t="str">
        <f>Tabela2[[#This Row],[ilustrador]]</f>
        <v>RONALDO LUCENA/ARQUIVO DA EDITORA</v>
      </c>
      <c r="AA1220" s="22"/>
      <c r="AB1220" s="20"/>
      <c r="AD1220" s="4" t="str">
        <f>"Pitanguá"</f>
        <v>Pitanguá</v>
      </c>
      <c r="AE1220" s="14" t="str">
        <f>"Matemática"</f>
        <v>Matemática</v>
      </c>
      <c r="AF1220" s="14"/>
    </row>
    <row r="1221" spans="1:32" ht="28.8" x14ac:dyDescent="0.3">
      <c r="A1221" s="23" t="s">
        <v>233</v>
      </c>
      <c r="B1221" s="20" t="s">
        <v>16</v>
      </c>
      <c r="C1221" s="20" t="s">
        <v>89</v>
      </c>
      <c r="D1221" s="20" t="s">
        <v>8</v>
      </c>
      <c r="E1221" s="22">
        <v>87</v>
      </c>
      <c r="F1221" s="22">
        <v>1</v>
      </c>
      <c r="G1221" s="22">
        <v>5</v>
      </c>
      <c r="H1221" s="22"/>
      <c r="I1221" s="23" t="s">
        <v>9</v>
      </c>
      <c r="J1221" s="23"/>
      <c r="K1221" s="22"/>
      <c r="L1221" s="22"/>
      <c r="M1221" s="23"/>
      <c r="N1221" s="23"/>
      <c r="O1221" s="26" t="s">
        <v>234</v>
      </c>
      <c r="P1221" s="26"/>
      <c r="Q1221" s="22"/>
      <c r="R1221" s="24"/>
      <c r="S1221" s="24"/>
      <c r="T1221" s="24"/>
      <c r="U1221" s="24"/>
      <c r="V1221" s="24"/>
      <c r="W1221" s="22" t="s">
        <v>160</v>
      </c>
      <c r="X1221" s="4" t="str">
        <f>IF(Tabela2[[#This Row],[sigla]]="","",VLOOKUP(Tabela2[[#This Row],[sigla]],créditos_base!B:C,2,0))</f>
        <v>SERGIO LIMA/ARQUIVO DA EDITORA</v>
      </c>
      <c r="Y1221" s="23"/>
      <c r="Z1221" s="23" t="str">
        <f>Tabela2[[#This Row],[ilustrador]]</f>
        <v>SERGIO LIMA/ARQUIVO DA EDITORA</v>
      </c>
      <c r="AA1221" s="22"/>
      <c r="AB1221" s="20"/>
      <c r="AD1221" s="4" t="str">
        <f>"Pitanguá"</f>
        <v>Pitanguá</v>
      </c>
      <c r="AE1221" s="14" t="str">
        <f>"Matemática"</f>
        <v>Matemática</v>
      </c>
      <c r="AF1221" s="14"/>
    </row>
    <row r="1222" spans="1:32" x14ac:dyDescent="0.3">
      <c r="A1222" s="23" t="s">
        <v>2133</v>
      </c>
      <c r="B1222" s="20" t="s">
        <v>16</v>
      </c>
      <c r="C1222" s="20" t="s">
        <v>89</v>
      </c>
      <c r="D1222" s="20" t="s">
        <v>8</v>
      </c>
      <c r="E1222" s="22">
        <v>90</v>
      </c>
      <c r="F1222" s="22">
        <v>3</v>
      </c>
      <c r="G1222" s="22">
        <v>5</v>
      </c>
      <c r="H1222" s="22"/>
      <c r="I1222" s="23" t="s">
        <v>9</v>
      </c>
      <c r="J1222" s="23"/>
      <c r="K1222" s="22"/>
      <c r="L1222" s="22"/>
      <c r="M1222" s="23"/>
      <c r="N1222" s="23"/>
      <c r="O1222" s="26" t="s">
        <v>2134</v>
      </c>
      <c r="P1222" s="26"/>
      <c r="Q1222" s="22"/>
      <c r="R1222" s="24"/>
      <c r="S1222" s="24"/>
      <c r="T1222" s="24"/>
      <c r="U1222" s="24"/>
      <c r="V1222" s="24"/>
      <c r="W1222" s="22" t="s">
        <v>160</v>
      </c>
      <c r="X1222" s="4" t="str">
        <f>IF(Tabela2[[#This Row],[sigla]]="","",VLOOKUP(Tabela2[[#This Row],[sigla]],créditos_base!B:C,2,0))</f>
        <v>SERGIO LIMA/ARQUIVO DA EDITORA</v>
      </c>
      <c r="Y1222" s="23"/>
      <c r="Z1222" s="23" t="str">
        <f>Tabela2[[#This Row],[ilustrador]]</f>
        <v>SERGIO LIMA/ARQUIVO DA EDITORA</v>
      </c>
      <c r="AA1222" s="22"/>
      <c r="AB1222" s="20"/>
      <c r="AD1222" s="4" t="str">
        <f>"Pitanguá"</f>
        <v>Pitanguá</v>
      </c>
      <c r="AE1222" s="14" t="str">
        <f>"Matemática"</f>
        <v>Matemática</v>
      </c>
      <c r="AF1222" s="14"/>
    </row>
    <row r="1223" spans="1:32" x14ac:dyDescent="0.3">
      <c r="A1223" s="23" t="s">
        <v>3194</v>
      </c>
      <c r="B1223" s="20" t="s">
        <v>16</v>
      </c>
      <c r="C1223" s="20" t="s">
        <v>7</v>
      </c>
      <c r="D1223" s="20" t="s">
        <v>8</v>
      </c>
      <c r="E1223" s="22">
        <v>116</v>
      </c>
      <c r="F1223" s="22">
        <v>4</v>
      </c>
      <c r="G1223" s="22">
        <v>5</v>
      </c>
      <c r="H1223" s="22"/>
      <c r="I1223" s="23" t="s">
        <v>33</v>
      </c>
      <c r="J1223" s="23"/>
      <c r="K1223" s="22"/>
      <c r="L1223" s="22"/>
      <c r="M1223" s="23"/>
      <c r="N1223" s="23"/>
      <c r="O1223" s="26" t="s">
        <v>3195</v>
      </c>
      <c r="P1223" s="26"/>
      <c r="Q1223" s="22">
        <v>186</v>
      </c>
      <c r="R1223" s="24">
        <v>45910</v>
      </c>
      <c r="S1223" s="24">
        <v>45910</v>
      </c>
      <c r="T1223" s="24"/>
      <c r="U1223" s="24"/>
      <c r="V1223" s="24">
        <v>45910</v>
      </c>
      <c r="W1223" s="22" t="s">
        <v>327</v>
      </c>
      <c r="X1223" s="4" t="str">
        <f>IF(Tabela2[[#This Row],[sigla]]="","",VLOOKUP(Tabela2[[#This Row],[sigla]],créditos_base!B:C,2,0))</f>
        <v>RAFAEL LAM/ARQUIVO DA EDITORA</v>
      </c>
      <c r="Y1223" s="23" t="s">
        <v>696</v>
      </c>
      <c r="Z1223" s="23" t="str">
        <f>Tabela2[[#This Row],[ilustrador]]</f>
        <v>RAFAEL LAM/ARQUIVO DA EDITORA</v>
      </c>
      <c r="AA1223" s="22">
        <v>13</v>
      </c>
      <c r="AB1223" s="20" t="s">
        <v>41</v>
      </c>
      <c r="AC1223" s="20" t="s">
        <v>36</v>
      </c>
      <c r="AD1223" s="4" t="str">
        <f>"Pitanguá"</f>
        <v>Pitanguá</v>
      </c>
      <c r="AE1223" s="14" t="str">
        <f>"Matemática"</f>
        <v>Matemática</v>
      </c>
      <c r="AF1223" s="14"/>
    </row>
    <row r="1224" spans="1:32" ht="43.2" x14ac:dyDescent="0.3">
      <c r="A1224" s="23" t="s">
        <v>235</v>
      </c>
      <c r="B1224" s="20" t="s">
        <v>16</v>
      </c>
      <c r="C1224" s="20" t="s">
        <v>89</v>
      </c>
      <c r="D1224" s="20" t="s">
        <v>8</v>
      </c>
      <c r="E1224" s="22">
        <v>87</v>
      </c>
      <c r="F1224" s="22">
        <v>1</v>
      </c>
      <c r="G1224" s="22">
        <v>5</v>
      </c>
      <c r="H1224" s="22"/>
      <c r="I1224" s="23" t="s">
        <v>9</v>
      </c>
      <c r="J1224" s="23"/>
      <c r="K1224" s="22"/>
      <c r="L1224" s="22"/>
      <c r="M1224" s="23"/>
      <c r="N1224" s="23"/>
      <c r="O1224" s="26" t="s">
        <v>236</v>
      </c>
      <c r="P1224" s="26"/>
      <c r="Q1224" s="22"/>
      <c r="R1224" s="24"/>
      <c r="S1224" s="24"/>
      <c r="T1224" s="24"/>
      <c r="U1224" s="24"/>
      <c r="V1224" s="24"/>
      <c r="W1224" s="22" t="s">
        <v>160</v>
      </c>
      <c r="X1224" s="4" t="str">
        <f>IF(Tabela2[[#This Row],[sigla]]="","",VLOOKUP(Tabela2[[#This Row],[sigla]],créditos_base!B:C,2,0))</f>
        <v>SERGIO LIMA/ARQUIVO DA EDITORA</v>
      </c>
      <c r="Y1224" s="23"/>
      <c r="Z1224" s="23" t="str">
        <f>Tabela2[[#This Row],[ilustrador]]</f>
        <v>SERGIO LIMA/ARQUIVO DA EDITORA</v>
      </c>
      <c r="AA1224" s="22"/>
      <c r="AB1224" s="20"/>
      <c r="AD1224" s="4" t="str">
        <f>"Pitanguá"</f>
        <v>Pitanguá</v>
      </c>
      <c r="AE1224" s="14" t="str">
        <f>"Matemática"</f>
        <v>Matemática</v>
      </c>
      <c r="AF1224" s="14"/>
    </row>
    <row r="1225" spans="1:32" ht="43.2" x14ac:dyDescent="0.3">
      <c r="A1225" s="23" t="s">
        <v>2135</v>
      </c>
      <c r="B1225" s="20" t="s">
        <v>16</v>
      </c>
      <c r="C1225" s="20" t="s">
        <v>89</v>
      </c>
      <c r="D1225" s="20" t="s">
        <v>8</v>
      </c>
      <c r="E1225" s="22">
        <v>91</v>
      </c>
      <c r="F1225" s="22">
        <v>3</v>
      </c>
      <c r="G1225" s="22">
        <v>5</v>
      </c>
      <c r="H1225" s="22"/>
      <c r="I1225" s="23" t="s">
        <v>9</v>
      </c>
      <c r="J1225" s="23"/>
      <c r="K1225" s="22"/>
      <c r="L1225" s="22"/>
      <c r="M1225" s="23"/>
      <c r="N1225" s="23"/>
      <c r="O1225" s="26" t="s">
        <v>2136</v>
      </c>
      <c r="P1225" s="26"/>
      <c r="Q1225" s="22"/>
      <c r="R1225" s="24"/>
      <c r="S1225" s="24"/>
      <c r="T1225" s="24"/>
      <c r="U1225" s="24"/>
      <c r="V1225" s="24"/>
      <c r="W1225" s="22" t="s">
        <v>160</v>
      </c>
      <c r="X1225" s="4" t="str">
        <f>IF(Tabela2[[#This Row],[sigla]]="","",VLOOKUP(Tabela2[[#This Row],[sigla]],créditos_base!B:C,2,0))</f>
        <v>SERGIO LIMA/ARQUIVO DA EDITORA</v>
      </c>
      <c r="Y1225" s="23"/>
      <c r="Z1225" s="23" t="str">
        <f>Tabela2[[#This Row],[ilustrador]]</f>
        <v>SERGIO LIMA/ARQUIVO DA EDITORA</v>
      </c>
      <c r="AA1225" s="22"/>
      <c r="AB1225" s="20"/>
      <c r="AD1225" s="4" t="str">
        <f>"Pitanguá"</f>
        <v>Pitanguá</v>
      </c>
      <c r="AE1225" s="14" t="str">
        <f>"Matemática"</f>
        <v>Matemática</v>
      </c>
      <c r="AF1225" s="14"/>
    </row>
    <row r="1226" spans="1:32" ht="43.2" x14ac:dyDescent="0.3">
      <c r="A1226" s="23" t="s">
        <v>3196</v>
      </c>
      <c r="B1226" s="20" t="s">
        <v>16</v>
      </c>
      <c r="C1226" s="20" t="s">
        <v>7</v>
      </c>
      <c r="D1226" s="20" t="s">
        <v>8</v>
      </c>
      <c r="E1226" s="22">
        <v>117</v>
      </c>
      <c r="F1226" s="22">
        <v>4</v>
      </c>
      <c r="G1226" s="22">
        <v>5</v>
      </c>
      <c r="H1226" s="22"/>
      <c r="I1226" s="23" t="s">
        <v>9</v>
      </c>
      <c r="J1226" s="23"/>
      <c r="K1226" s="22"/>
      <c r="L1226" s="22"/>
      <c r="M1226" s="23"/>
      <c r="N1226" s="23"/>
      <c r="O1226" s="26" t="s">
        <v>3197</v>
      </c>
      <c r="P1226" s="26"/>
      <c r="Q1226" s="22"/>
      <c r="R1226" s="24"/>
      <c r="S1226" s="24"/>
      <c r="T1226" s="24"/>
      <c r="U1226" s="24"/>
      <c r="V1226" s="24"/>
      <c r="W1226" s="22" t="s">
        <v>327</v>
      </c>
      <c r="X1226" s="4" t="str">
        <f>IF(Tabela2[[#This Row],[sigla]]="","",VLOOKUP(Tabela2[[#This Row],[sigla]],créditos_base!B:C,2,0))</f>
        <v>RAFAEL LAM/ARQUIVO DA EDITORA</v>
      </c>
      <c r="Y1226" s="23"/>
      <c r="Z1226" s="23" t="str">
        <f>Tabela2[[#This Row],[ilustrador]]</f>
        <v>RAFAEL LAM/ARQUIVO DA EDITORA</v>
      </c>
      <c r="AA1226" s="22"/>
      <c r="AB1226" s="20"/>
      <c r="AD1226" s="4" t="str">
        <f>"Pitanguá"</f>
        <v>Pitanguá</v>
      </c>
      <c r="AE1226" s="14" t="str">
        <f>"Matemática"</f>
        <v>Matemática</v>
      </c>
      <c r="AF1226" s="14"/>
    </row>
    <row r="1227" spans="1:32" ht="115.2" x14ac:dyDescent="0.3">
      <c r="A1227" s="23" t="s">
        <v>4098</v>
      </c>
      <c r="B1227" s="20" t="s">
        <v>16</v>
      </c>
      <c r="C1227" s="20" t="s">
        <v>89</v>
      </c>
      <c r="D1227" s="20" t="s">
        <v>8</v>
      </c>
      <c r="E1227" s="22">
        <v>127</v>
      </c>
      <c r="F1227" s="22">
        <v>5</v>
      </c>
      <c r="G1227" s="22">
        <v>5</v>
      </c>
      <c r="H1227" s="22"/>
      <c r="I1227" s="23" t="s">
        <v>9</v>
      </c>
      <c r="J1227" s="23"/>
      <c r="K1227" s="22"/>
      <c r="L1227" s="22"/>
      <c r="M1227" s="23"/>
      <c r="N1227" s="23"/>
      <c r="O1227" s="26" t="s">
        <v>4099</v>
      </c>
      <c r="P1227" s="26"/>
      <c r="Q1227" s="22"/>
      <c r="R1227" s="24"/>
      <c r="S1227" s="24"/>
      <c r="T1227" s="24"/>
      <c r="U1227" s="24"/>
      <c r="V1227" s="24"/>
      <c r="W1227" s="22" t="s">
        <v>940</v>
      </c>
      <c r="X1227" s="4" t="str">
        <f>IF(Tabela2[[#This Row],[sigla]]="","",VLOOKUP(Tabela2[[#This Row],[sigla]],créditos_base!B:C,2,0))</f>
        <v>RONALDO LUCENA/ARQUIVO DA EDITORA</v>
      </c>
      <c r="Y1227" s="23"/>
      <c r="Z1227" s="23" t="str">
        <f>Tabela2[[#This Row],[ilustrador]]</f>
        <v>RONALDO LUCENA/ARQUIVO DA EDITORA</v>
      </c>
      <c r="AA1227" s="22"/>
      <c r="AB1227" s="20"/>
      <c r="AD1227" s="4" t="str">
        <f>"Pitanguá"</f>
        <v>Pitanguá</v>
      </c>
      <c r="AE1227" s="14" t="str">
        <f>"Matemática"</f>
        <v>Matemática</v>
      </c>
      <c r="AF1227" s="14"/>
    </row>
    <row r="1228" spans="1:32" ht="43.2" x14ac:dyDescent="0.3">
      <c r="A1228" s="23" t="s">
        <v>237</v>
      </c>
      <c r="B1228" s="20" t="s">
        <v>16</v>
      </c>
      <c r="C1228" s="20" t="s">
        <v>89</v>
      </c>
      <c r="D1228" s="20" t="s">
        <v>8</v>
      </c>
      <c r="E1228" s="22">
        <v>87</v>
      </c>
      <c r="F1228" s="22">
        <v>1</v>
      </c>
      <c r="G1228" s="22">
        <v>5</v>
      </c>
      <c r="H1228" s="22"/>
      <c r="I1228" s="23" t="s">
        <v>9</v>
      </c>
      <c r="J1228" s="23"/>
      <c r="K1228" s="22"/>
      <c r="L1228" s="22"/>
      <c r="M1228" s="23"/>
      <c r="N1228" s="23"/>
      <c r="O1228" s="26" t="s">
        <v>238</v>
      </c>
      <c r="P1228" s="26"/>
      <c r="Q1228" s="22"/>
      <c r="R1228" s="24"/>
      <c r="S1228" s="24"/>
      <c r="T1228" s="24"/>
      <c r="U1228" s="24"/>
      <c r="V1228" s="24"/>
      <c r="W1228" s="22" t="s">
        <v>160</v>
      </c>
      <c r="X1228" s="4" t="str">
        <f>IF(Tabela2[[#This Row],[sigla]]="","",VLOOKUP(Tabela2[[#This Row],[sigla]],créditos_base!B:C,2,0))</f>
        <v>SERGIO LIMA/ARQUIVO DA EDITORA</v>
      </c>
      <c r="Y1228" s="23"/>
      <c r="Z1228" s="23" t="str">
        <f>Tabela2[[#This Row],[ilustrador]]</f>
        <v>SERGIO LIMA/ARQUIVO DA EDITORA</v>
      </c>
      <c r="AA1228" s="22"/>
      <c r="AB1228" s="20"/>
      <c r="AD1228" s="4" t="str">
        <f>"Pitanguá"</f>
        <v>Pitanguá</v>
      </c>
      <c r="AE1228" s="14" t="str">
        <f>"Matemática"</f>
        <v>Matemática</v>
      </c>
      <c r="AF1228" s="14"/>
    </row>
    <row r="1229" spans="1:32" ht="43.2" x14ac:dyDescent="0.3">
      <c r="A1229" s="23" t="s">
        <v>2137</v>
      </c>
      <c r="B1229" s="20" t="s">
        <v>16</v>
      </c>
      <c r="C1229" s="20" t="s">
        <v>89</v>
      </c>
      <c r="D1229" s="20" t="s">
        <v>8</v>
      </c>
      <c r="E1229" s="22">
        <v>91</v>
      </c>
      <c r="F1229" s="22">
        <v>3</v>
      </c>
      <c r="G1229" s="22">
        <v>5</v>
      </c>
      <c r="H1229" s="22"/>
      <c r="I1229" s="23" t="s">
        <v>9</v>
      </c>
      <c r="J1229" s="23"/>
      <c r="K1229" s="22"/>
      <c r="L1229" s="22"/>
      <c r="M1229" s="23"/>
      <c r="N1229" s="23"/>
      <c r="O1229" s="26" t="s">
        <v>2138</v>
      </c>
      <c r="P1229" s="26"/>
      <c r="Q1229" s="22"/>
      <c r="R1229" s="24"/>
      <c r="S1229" s="24"/>
      <c r="T1229" s="24"/>
      <c r="U1229" s="24"/>
      <c r="V1229" s="24"/>
      <c r="W1229" s="22" t="s">
        <v>160</v>
      </c>
      <c r="X1229" s="4" t="str">
        <f>IF(Tabela2[[#This Row],[sigla]]="","",VLOOKUP(Tabela2[[#This Row],[sigla]],créditos_base!B:C,2,0))</f>
        <v>SERGIO LIMA/ARQUIVO DA EDITORA</v>
      </c>
      <c r="Y1229" s="23"/>
      <c r="Z1229" s="23" t="str">
        <f>Tabela2[[#This Row],[ilustrador]]</f>
        <v>SERGIO LIMA/ARQUIVO DA EDITORA</v>
      </c>
      <c r="AA1229" s="22"/>
      <c r="AB1229" s="20"/>
      <c r="AD1229" s="4" t="str">
        <f>"Pitanguá"</f>
        <v>Pitanguá</v>
      </c>
      <c r="AE1229" s="14" t="str">
        <f>"Matemática"</f>
        <v>Matemática</v>
      </c>
      <c r="AF1229" s="14"/>
    </row>
    <row r="1230" spans="1:32" ht="43.2" x14ac:dyDescent="0.3">
      <c r="A1230" s="23" t="s">
        <v>4100</v>
      </c>
      <c r="B1230" s="20" t="s">
        <v>16</v>
      </c>
      <c r="C1230" s="20" t="s">
        <v>89</v>
      </c>
      <c r="D1230" s="20" t="s">
        <v>8</v>
      </c>
      <c r="E1230" s="22">
        <v>127</v>
      </c>
      <c r="F1230" s="22">
        <v>5</v>
      </c>
      <c r="G1230" s="22">
        <v>5</v>
      </c>
      <c r="H1230" s="22"/>
      <c r="I1230" s="23" t="s">
        <v>9</v>
      </c>
      <c r="J1230" s="23"/>
      <c r="K1230" s="22"/>
      <c r="L1230" s="22"/>
      <c r="M1230" s="23"/>
      <c r="N1230" s="23"/>
      <c r="O1230" s="26" t="s">
        <v>4101</v>
      </c>
      <c r="P1230" s="26"/>
      <c r="Q1230" s="22"/>
      <c r="R1230" s="24"/>
      <c r="S1230" s="24"/>
      <c r="T1230" s="24"/>
      <c r="U1230" s="24"/>
      <c r="V1230" s="24"/>
      <c r="W1230" s="22" t="s">
        <v>940</v>
      </c>
      <c r="X1230" s="4" t="str">
        <f>IF(Tabela2[[#This Row],[sigla]]="","",VLOOKUP(Tabela2[[#This Row],[sigla]],créditos_base!B:C,2,0))</f>
        <v>RONALDO LUCENA/ARQUIVO DA EDITORA</v>
      </c>
      <c r="Y1230" s="23"/>
      <c r="Z1230" s="23" t="str">
        <f>Tabela2[[#This Row],[ilustrador]]</f>
        <v>RONALDO LUCENA/ARQUIVO DA EDITORA</v>
      </c>
      <c r="AA1230" s="22"/>
      <c r="AB1230" s="20"/>
      <c r="AD1230" s="4" t="str">
        <f>"Pitanguá"</f>
        <v>Pitanguá</v>
      </c>
      <c r="AE1230" s="14" t="str">
        <f>"Matemática"</f>
        <v>Matemática</v>
      </c>
      <c r="AF1230" s="14"/>
    </row>
    <row r="1231" spans="1:32" ht="43.2" x14ac:dyDescent="0.3">
      <c r="A1231" s="23" t="s">
        <v>239</v>
      </c>
      <c r="B1231" s="20" t="s">
        <v>16</v>
      </c>
      <c r="C1231" s="20" t="s">
        <v>7</v>
      </c>
      <c r="D1231" s="20" t="s">
        <v>8</v>
      </c>
      <c r="E1231" s="22">
        <v>87</v>
      </c>
      <c r="F1231" s="22">
        <v>1</v>
      </c>
      <c r="G1231" s="22">
        <v>5</v>
      </c>
      <c r="H1231" s="22"/>
      <c r="I1231" s="23" t="s">
        <v>9</v>
      </c>
      <c r="J1231" s="23"/>
      <c r="K1231" s="22"/>
      <c r="L1231" s="22"/>
      <c r="M1231" s="23"/>
      <c r="N1231" s="23"/>
      <c r="O1231" s="26" t="s">
        <v>240</v>
      </c>
      <c r="P1231" s="26"/>
      <c r="Q1231" s="22"/>
      <c r="R1231" s="24"/>
      <c r="S1231" s="24"/>
      <c r="T1231" s="24"/>
      <c r="U1231" s="24"/>
      <c r="V1231" s="24"/>
      <c r="W1231" s="22" t="s">
        <v>223</v>
      </c>
      <c r="X1231" s="4" t="str">
        <f>IF(Tabela2[[#This Row],[sigla]]="","",VLOOKUP(Tabela2[[#This Row],[sigla]],créditos_base!B:C,2,0))</f>
        <v>NATANAELE BILMAIA/ARQUIVO DA EDITORA</v>
      </c>
      <c r="Y1231" s="23"/>
      <c r="Z1231" s="23" t="str">
        <f>Tabela2[[#This Row],[ilustrador]]</f>
        <v>NATANAELE BILMAIA/ARQUIVO DA EDITORA</v>
      </c>
      <c r="AA1231" s="22"/>
      <c r="AB1231" s="20"/>
      <c r="AD1231" s="4" t="str">
        <f>"Pitanguá"</f>
        <v>Pitanguá</v>
      </c>
      <c r="AE1231" s="14" t="str">
        <f>"Matemática"</f>
        <v>Matemática</v>
      </c>
      <c r="AF1231" s="14"/>
    </row>
    <row r="1232" spans="1:32" ht="43.2" x14ac:dyDescent="0.3">
      <c r="A1232" s="23" t="s">
        <v>2139</v>
      </c>
      <c r="B1232" s="20" t="s">
        <v>16</v>
      </c>
      <c r="C1232" s="20" t="s">
        <v>89</v>
      </c>
      <c r="D1232" s="20" t="s">
        <v>8</v>
      </c>
      <c r="E1232" s="22">
        <v>91</v>
      </c>
      <c r="F1232" s="22">
        <v>3</v>
      </c>
      <c r="G1232" s="22">
        <v>5</v>
      </c>
      <c r="H1232" s="22"/>
      <c r="I1232" s="23" t="s">
        <v>9</v>
      </c>
      <c r="J1232" s="23"/>
      <c r="K1232" s="22"/>
      <c r="L1232" s="22"/>
      <c r="M1232" s="23"/>
      <c r="N1232" s="23"/>
      <c r="O1232" s="26" t="s">
        <v>2140</v>
      </c>
      <c r="P1232" s="26"/>
      <c r="Q1232" s="22"/>
      <c r="R1232" s="24"/>
      <c r="S1232" s="24"/>
      <c r="T1232" s="24"/>
      <c r="U1232" s="24"/>
      <c r="V1232" s="24"/>
      <c r="W1232" s="22" t="s">
        <v>160</v>
      </c>
      <c r="X1232" s="4" t="str">
        <f>IF(Tabela2[[#This Row],[sigla]]="","",VLOOKUP(Tabela2[[#This Row],[sigla]],créditos_base!B:C,2,0))</f>
        <v>SERGIO LIMA/ARQUIVO DA EDITORA</v>
      </c>
      <c r="Y1232" s="23"/>
      <c r="Z1232" s="23" t="s">
        <v>689</v>
      </c>
      <c r="AA1232" s="22"/>
      <c r="AB1232" s="20"/>
      <c r="AD1232" s="4" t="str">
        <f>"Pitanguá"</f>
        <v>Pitanguá</v>
      </c>
      <c r="AE1232" s="14" t="str">
        <f>"Matemática"</f>
        <v>Matemática</v>
      </c>
      <c r="AF1232" s="14"/>
    </row>
    <row r="1233" spans="1:32" ht="43.2" x14ac:dyDescent="0.3">
      <c r="A1233" s="23" t="s">
        <v>5209</v>
      </c>
      <c r="B1233" s="20" t="s">
        <v>16</v>
      </c>
      <c r="C1233" s="20" t="s">
        <v>7</v>
      </c>
      <c r="D1233" s="20" t="s">
        <v>8</v>
      </c>
      <c r="E1233" s="22">
        <v>136</v>
      </c>
      <c r="F1233" s="22">
        <v>4</v>
      </c>
      <c r="G1233" s="22">
        <v>5</v>
      </c>
      <c r="H1233" s="22"/>
      <c r="I1233" s="23" t="s">
        <v>33</v>
      </c>
      <c r="J1233" s="23"/>
      <c r="K1233" s="22"/>
      <c r="L1233" s="22"/>
      <c r="M1233" s="23"/>
      <c r="N1233" s="23"/>
      <c r="O1233" s="26" t="s">
        <v>5210</v>
      </c>
      <c r="P1233" s="26"/>
      <c r="Q1233" s="22">
        <v>107</v>
      </c>
      <c r="R1233" s="24">
        <v>45850</v>
      </c>
      <c r="S1233" s="24">
        <v>45853</v>
      </c>
      <c r="T1233" s="24"/>
      <c r="U1233" s="24"/>
      <c r="V1233" s="24">
        <v>45856</v>
      </c>
      <c r="W1233" s="22" t="s">
        <v>31</v>
      </c>
      <c r="X1233" s="4" t="str">
        <f>IF(Tabela2[[#This Row],[sigla]]="","",VLOOKUP(Tabela2[[#This Row],[sigla]],créditos_base!B:C,2,0))</f>
        <v>SILVIA OTOFUJI/ARQUIVO DA EDITORA</v>
      </c>
      <c r="Y1233" s="23" t="s">
        <v>243</v>
      </c>
      <c r="Z1233" s="23" t="str">
        <f>Tabela2[[#This Row],[ilustrador]]</f>
        <v>SILVIA OTOFUJI/ARQUIVO DA EDITORA</v>
      </c>
      <c r="AA1233" s="22">
        <v>13</v>
      </c>
      <c r="AB1233" s="20"/>
      <c r="AC1233" s="20" t="s">
        <v>36</v>
      </c>
      <c r="AD1233" s="4" t="str">
        <f>"Pitanguá"</f>
        <v>Pitanguá</v>
      </c>
      <c r="AE1233" s="14" t="str">
        <f>"Matemática"</f>
        <v>Matemática</v>
      </c>
      <c r="AF1233" s="14"/>
    </row>
    <row r="1234" spans="1:32" ht="43.2" x14ac:dyDescent="0.3">
      <c r="A1234" s="23" t="s">
        <v>4102</v>
      </c>
      <c r="B1234" s="20" t="s">
        <v>16</v>
      </c>
      <c r="C1234" s="20" t="s">
        <v>89</v>
      </c>
      <c r="D1234" s="20" t="s">
        <v>8</v>
      </c>
      <c r="E1234" s="22">
        <v>127</v>
      </c>
      <c r="F1234" s="22">
        <v>5</v>
      </c>
      <c r="G1234" s="22">
        <v>5</v>
      </c>
      <c r="H1234" s="22"/>
      <c r="I1234" s="23" t="s">
        <v>9</v>
      </c>
      <c r="J1234" s="23"/>
      <c r="K1234" s="22"/>
      <c r="L1234" s="22"/>
      <c r="M1234" s="23"/>
      <c r="N1234" s="23"/>
      <c r="O1234" s="26" t="s">
        <v>4103</v>
      </c>
      <c r="P1234" s="26"/>
      <c r="Q1234" s="22"/>
      <c r="R1234" s="24"/>
      <c r="S1234" s="24"/>
      <c r="T1234" s="24"/>
      <c r="U1234" s="24"/>
      <c r="V1234" s="24"/>
      <c r="W1234" s="22" t="s">
        <v>940</v>
      </c>
      <c r="X1234" s="4" t="str">
        <f>IF(Tabela2[[#This Row],[sigla]]="","",VLOOKUP(Tabela2[[#This Row],[sigla]],créditos_base!B:C,2,0))</f>
        <v>RONALDO LUCENA/ARQUIVO DA EDITORA</v>
      </c>
      <c r="Y1234" s="23"/>
      <c r="Z1234" s="23" t="str">
        <f>Tabela2[[#This Row],[ilustrador]]</f>
        <v>RONALDO LUCENA/ARQUIVO DA EDITORA</v>
      </c>
      <c r="AA1234" s="22"/>
      <c r="AB1234" s="20"/>
      <c r="AD1234" s="4" t="str">
        <f>"Pitanguá"</f>
        <v>Pitanguá</v>
      </c>
      <c r="AE1234" s="14" t="str">
        <f>"Matemática"</f>
        <v>Matemática</v>
      </c>
      <c r="AF1234" s="14"/>
    </row>
    <row r="1235" spans="1:32" ht="158.4" x14ac:dyDescent="0.3">
      <c r="A1235" s="23" t="s">
        <v>241</v>
      </c>
      <c r="B1235" s="20" t="s">
        <v>16</v>
      </c>
      <c r="C1235" s="20" t="s">
        <v>7</v>
      </c>
      <c r="D1235" s="20" t="s">
        <v>8</v>
      </c>
      <c r="E1235" s="22">
        <v>87</v>
      </c>
      <c r="F1235" s="22">
        <v>1</v>
      </c>
      <c r="G1235" s="22">
        <v>5</v>
      </c>
      <c r="H1235" s="22"/>
      <c r="I1235" s="23" t="s">
        <v>33</v>
      </c>
      <c r="J1235" s="23"/>
      <c r="K1235" s="22"/>
      <c r="L1235" s="22"/>
      <c r="M1235" s="23"/>
      <c r="N1235" s="23"/>
      <c r="O1235" s="26" t="s">
        <v>242</v>
      </c>
      <c r="P1235" s="26"/>
      <c r="Q1235" s="22">
        <v>113</v>
      </c>
      <c r="R1235" s="24">
        <v>45856</v>
      </c>
      <c r="S1235" s="24">
        <v>45856</v>
      </c>
      <c r="T1235" s="24"/>
      <c r="U1235" s="24"/>
      <c r="V1235" s="24">
        <v>45856</v>
      </c>
      <c r="W1235" s="22" t="s">
        <v>223</v>
      </c>
      <c r="X1235" s="4" t="str">
        <f>IF(Tabela2[[#This Row],[sigla]]="","",VLOOKUP(Tabela2[[#This Row],[sigla]],créditos_base!B:C,2,0))</f>
        <v>NATANAELE BILMAIA/ARQUIVO DA EDITORA</v>
      </c>
      <c r="Y1235" s="23" t="s">
        <v>243</v>
      </c>
      <c r="Z1235" s="23" t="str">
        <f>Tabela2[[#This Row],[ilustrador]]</f>
        <v>NATANAELE BILMAIA/ARQUIVO DA EDITORA</v>
      </c>
      <c r="AA1235" s="22">
        <v>13</v>
      </c>
      <c r="AB1235" s="20" t="s">
        <v>244</v>
      </c>
      <c r="AC1235" s="20" t="s">
        <v>36</v>
      </c>
      <c r="AD1235" s="4" t="str">
        <f>"Pitanguá"</f>
        <v>Pitanguá</v>
      </c>
      <c r="AE1235" s="14" t="str">
        <f>"Matemática"</f>
        <v>Matemática</v>
      </c>
      <c r="AF1235" s="14"/>
    </row>
    <row r="1236" spans="1:32" ht="158.4" x14ac:dyDescent="0.3">
      <c r="A1236" s="23" t="s">
        <v>4813</v>
      </c>
      <c r="B1236" s="20" t="s">
        <v>16</v>
      </c>
      <c r="C1236" s="20" t="s">
        <v>7</v>
      </c>
      <c r="D1236" s="20" t="s">
        <v>8</v>
      </c>
      <c r="E1236" s="22">
        <v>134</v>
      </c>
      <c r="F1236" s="22">
        <v>3</v>
      </c>
      <c r="G1236" s="22">
        <v>5</v>
      </c>
      <c r="H1236" s="22"/>
      <c r="I1236" s="23" t="s">
        <v>33</v>
      </c>
      <c r="J1236" s="23"/>
      <c r="K1236" s="22"/>
      <c r="L1236" s="22"/>
      <c r="M1236" s="23"/>
      <c r="N1236" s="23"/>
      <c r="O1236" s="26" t="s">
        <v>4814</v>
      </c>
      <c r="P1236" s="20"/>
      <c r="Q1236" s="22">
        <v>79</v>
      </c>
      <c r="R1236" s="24">
        <v>45820</v>
      </c>
      <c r="S1236" s="24">
        <v>45821</v>
      </c>
      <c r="T1236" s="24"/>
      <c r="U1236" s="24"/>
      <c r="V1236" s="24">
        <v>45824</v>
      </c>
      <c r="W1236" s="22" t="s">
        <v>356</v>
      </c>
      <c r="X1236" s="4" t="str">
        <f>IF(Tabela2[[#This Row],[sigla]]="","",VLOOKUP(Tabela2[[#This Row],[sigla]],créditos_base!B:C,2,0))</f>
        <v>CAMILA CARMONA/ARQUIVO DA EDITORA</v>
      </c>
      <c r="Y1236" s="23" t="s">
        <v>152</v>
      </c>
      <c r="Z1236" s="23" t="str">
        <f>Tabela2[[#This Row],[ilustrador]]</f>
        <v>CAMILA CARMONA/ARQUIVO DA EDITORA</v>
      </c>
      <c r="AA1236" s="22">
        <v>13</v>
      </c>
      <c r="AB1236" s="20" t="s">
        <v>244</v>
      </c>
      <c r="AC1236" s="20" t="s">
        <v>36</v>
      </c>
      <c r="AD1236" s="4" t="str">
        <f>"Pitanguá"</f>
        <v>Pitanguá</v>
      </c>
      <c r="AE1236" s="14" t="str">
        <f>"Matemática"</f>
        <v>Matemática</v>
      </c>
      <c r="AF1236" s="14"/>
    </row>
    <row r="1237" spans="1:32" ht="57.6" x14ac:dyDescent="0.3">
      <c r="A1237" s="23" t="s">
        <v>5219</v>
      </c>
      <c r="B1237" s="20" t="s">
        <v>16</v>
      </c>
      <c r="C1237" s="20" t="s">
        <v>7</v>
      </c>
      <c r="D1237" s="20" t="s">
        <v>8</v>
      </c>
      <c r="E1237" s="22">
        <v>139</v>
      </c>
      <c r="F1237" s="22">
        <v>4</v>
      </c>
      <c r="G1237" s="22">
        <v>5</v>
      </c>
      <c r="H1237" s="22"/>
      <c r="I1237" s="23" t="s">
        <v>33</v>
      </c>
      <c r="J1237" s="23"/>
      <c r="K1237" s="22"/>
      <c r="L1237" s="22"/>
      <c r="M1237" s="23"/>
      <c r="N1237" s="23"/>
      <c r="O1237" s="26" t="s">
        <v>5220</v>
      </c>
      <c r="P1237" s="26"/>
      <c r="Q1237" s="22">
        <v>152</v>
      </c>
      <c r="R1237" s="24">
        <v>45882</v>
      </c>
      <c r="S1237" s="24">
        <v>45882</v>
      </c>
      <c r="T1237" s="24"/>
      <c r="U1237" s="24"/>
      <c r="V1237" s="24">
        <v>45883</v>
      </c>
      <c r="W1237" s="22" t="s">
        <v>31</v>
      </c>
      <c r="X1237" s="4" t="str">
        <f>IF(Tabela2[[#This Row],[sigla]]="","",VLOOKUP(Tabela2[[#This Row],[sigla]],créditos_base!B:C,2,0))</f>
        <v>SILVIA OTOFUJI/ARQUIVO DA EDITORA</v>
      </c>
      <c r="Y1237" s="23" t="s">
        <v>152</v>
      </c>
      <c r="Z1237" s="23" t="str">
        <f>Tabela2[[#This Row],[ilustrador]]</f>
        <v>SILVIA OTOFUJI/ARQUIVO DA EDITORA</v>
      </c>
      <c r="AA1237" s="22">
        <v>13</v>
      </c>
      <c r="AB1237" s="20" t="s">
        <v>244</v>
      </c>
      <c r="AC1237" s="20" t="s">
        <v>36</v>
      </c>
      <c r="AD1237" s="4" t="str">
        <f>"Pitanguá"</f>
        <v>Pitanguá</v>
      </c>
      <c r="AE1237" s="14" t="str">
        <f>"Matemática"</f>
        <v>Matemática</v>
      </c>
      <c r="AF1237" s="14"/>
    </row>
    <row r="1238" spans="1:32" ht="43.2" x14ac:dyDescent="0.3">
      <c r="A1238" s="23" t="s">
        <v>245</v>
      </c>
      <c r="B1238" s="20" t="s">
        <v>16</v>
      </c>
      <c r="C1238" s="20" t="s">
        <v>7</v>
      </c>
      <c r="D1238" s="20" t="s">
        <v>8</v>
      </c>
      <c r="E1238" s="22">
        <v>87</v>
      </c>
      <c r="F1238" s="22">
        <v>1</v>
      </c>
      <c r="G1238" s="22">
        <v>5</v>
      </c>
      <c r="H1238" s="22"/>
      <c r="I1238" s="23" t="s">
        <v>9</v>
      </c>
      <c r="J1238" s="23"/>
      <c r="K1238" s="22"/>
      <c r="L1238" s="22"/>
      <c r="M1238" s="23"/>
      <c r="N1238" s="23"/>
      <c r="O1238" s="26" t="s">
        <v>246</v>
      </c>
      <c r="P1238" s="26"/>
      <c r="Q1238" s="22"/>
      <c r="R1238" s="24"/>
      <c r="S1238" s="24"/>
      <c r="T1238" s="24"/>
      <c r="U1238" s="24"/>
      <c r="V1238" s="24"/>
      <c r="W1238" s="22" t="s">
        <v>223</v>
      </c>
      <c r="X1238" s="4" t="str">
        <f>IF(Tabela2[[#This Row],[sigla]]="","",VLOOKUP(Tabela2[[#This Row],[sigla]],créditos_base!B:C,2,0))</f>
        <v>NATANAELE BILMAIA/ARQUIVO DA EDITORA</v>
      </c>
      <c r="Y1238" s="23"/>
      <c r="Z1238" s="23" t="str">
        <f>Tabela2[[#This Row],[ilustrador]]</f>
        <v>NATANAELE BILMAIA/ARQUIVO DA EDITORA</v>
      </c>
      <c r="AA1238" s="22"/>
      <c r="AB1238" s="20"/>
      <c r="AD1238" s="4" t="str">
        <f>"Pitanguá"</f>
        <v>Pitanguá</v>
      </c>
      <c r="AE1238" s="14" t="str">
        <f>"Matemática"</f>
        <v>Matemática</v>
      </c>
      <c r="AF1238" s="14"/>
    </row>
    <row r="1239" spans="1:32" ht="43.2" x14ac:dyDescent="0.3">
      <c r="A1239" s="23" t="s">
        <v>1501</v>
      </c>
      <c r="B1239" s="20" t="s">
        <v>16</v>
      </c>
      <c r="C1239" s="20" t="s">
        <v>89</v>
      </c>
      <c r="D1239" s="20" t="s">
        <v>8</v>
      </c>
      <c r="E1239" s="22">
        <v>142</v>
      </c>
      <c r="F1239" s="22">
        <v>2</v>
      </c>
      <c r="G1239" s="22">
        <v>5</v>
      </c>
      <c r="H1239" s="22"/>
      <c r="I1239" s="23" t="s">
        <v>33</v>
      </c>
      <c r="J1239" s="23"/>
      <c r="K1239" s="22"/>
      <c r="L1239" s="22"/>
      <c r="M1239" s="23"/>
      <c r="N1239" s="23"/>
      <c r="O1239" s="26" t="s">
        <v>1502</v>
      </c>
      <c r="P1239" s="26"/>
      <c r="Q1239" s="22">
        <v>67</v>
      </c>
      <c r="R1239" s="24">
        <v>45811</v>
      </c>
      <c r="S1239" s="24">
        <v>45812</v>
      </c>
      <c r="T1239" s="24"/>
      <c r="U1239" s="24"/>
      <c r="V1239" s="24">
        <v>45812</v>
      </c>
      <c r="W1239" s="22" t="s">
        <v>356</v>
      </c>
      <c r="X1239" s="4" t="str">
        <f>IF(Tabela2[[#This Row],[sigla]]="","",VLOOKUP(Tabela2[[#This Row],[sigla]],créditos_base!B:C,2,0))</f>
        <v>CAMILA CARMONA/ARQUIVO DA EDITORA</v>
      </c>
      <c r="Y1239" s="23" t="s">
        <v>1503</v>
      </c>
      <c r="Z1239" s="23" t="str">
        <f>Tabela2[[#This Row],[ilustrador]]</f>
        <v>CAMILA CARMONA/ARQUIVO DA EDITORA</v>
      </c>
      <c r="AA1239" s="22"/>
      <c r="AB1239" s="20" t="s">
        <v>41</v>
      </c>
      <c r="AC1239" s="20" t="s">
        <v>36</v>
      </c>
      <c r="AD1239" s="4" t="str">
        <f>"Pitanguá"</f>
        <v>Pitanguá</v>
      </c>
      <c r="AE1239" s="14" t="str">
        <f>"Matemática"</f>
        <v>Matemática</v>
      </c>
      <c r="AF1239" s="14"/>
    </row>
    <row r="1240" spans="1:32" ht="43.2" x14ac:dyDescent="0.3">
      <c r="A1240" s="23" t="s">
        <v>2141</v>
      </c>
      <c r="B1240" s="20" t="s">
        <v>16</v>
      </c>
      <c r="C1240" s="20" t="s">
        <v>89</v>
      </c>
      <c r="D1240" s="20" t="s">
        <v>8</v>
      </c>
      <c r="E1240" s="22">
        <v>92</v>
      </c>
      <c r="F1240" s="22">
        <v>3</v>
      </c>
      <c r="G1240" s="22">
        <v>5</v>
      </c>
      <c r="H1240" s="22"/>
      <c r="I1240" s="23" t="s">
        <v>9</v>
      </c>
      <c r="J1240" s="23"/>
      <c r="K1240" s="22"/>
      <c r="L1240" s="22"/>
      <c r="M1240" s="23"/>
      <c r="N1240" s="23"/>
      <c r="O1240" s="26" t="s">
        <v>2142</v>
      </c>
      <c r="P1240" s="26"/>
      <c r="Q1240" s="22"/>
      <c r="R1240" s="24"/>
      <c r="S1240" s="24"/>
      <c r="T1240" s="24"/>
      <c r="U1240" s="24"/>
      <c r="V1240" s="24"/>
      <c r="W1240" s="22" t="s">
        <v>468</v>
      </c>
      <c r="X1240" s="4" t="str">
        <f>IF(Tabela2[[#This Row],[sigla]]="","",VLOOKUP(Tabela2[[#This Row],[sigla]],créditos_base!B:C,2,0))</f>
        <v>VER DOCUMENTO DE ILS. TÉCNICAS</v>
      </c>
      <c r="Y1240" s="23"/>
      <c r="Z1240" s="23" t="s">
        <v>689</v>
      </c>
      <c r="AA1240" s="22"/>
      <c r="AB1240" s="20"/>
      <c r="AD1240" s="4" t="str">
        <f>"Pitanguá"</f>
        <v>Pitanguá</v>
      </c>
      <c r="AE1240" s="14" t="str">
        <f>"Matemática"</f>
        <v>Matemática</v>
      </c>
      <c r="AF1240" s="14"/>
    </row>
    <row r="1241" spans="1:32" ht="201.6" x14ac:dyDescent="0.3">
      <c r="A1241" s="23" t="s">
        <v>3198</v>
      </c>
      <c r="B1241" s="20" t="s">
        <v>16</v>
      </c>
      <c r="C1241" s="20" t="s">
        <v>7</v>
      </c>
      <c r="D1241" s="20" t="s">
        <v>8</v>
      </c>
      <c r="E1241" s="22">
        <v>121</v>
      </c>
      <c r="F1241" s="22">
        <v>4</v>
      </c>
      <c r="G1241" s="22">
        <v>5</v>
      </c>
      <c r="H1241" s="22"/>
      <c r="I1241" s="23" t="s">
        <v>9</v>
      </c>
      <c r="J1241" s="23"/>
      <c r="K1241" s="22"/>
      <c r="L1241" s="22"/>
      <c r="M1241" s="23"/>
      <c r="N1241" s="23"/>
      <c r="O1241" s="26" t="s">
        <v>3199</v>
      </c>
      <c r="P1241" s="26"/>
      <c r="Q1241" s="22"/>
      <c r="R1241" s="24"/>
      <c r="S1241" s="24"/>
      <c r="T1241" s="24"/>
      <c r="U1241" s="24"/>
      <c r="V1241" s="24"/>
      <c r="W1241" s="22" t="s">
        <v>31</v>
      </c>
      <c r="X1241" s="4" t="str">
        <f>IF(Tabela2[[#This Row],[sigla]]="","",VLOOKUP(Tabela2[[#This Row],[sigla]],créditos_base!B:C,2,0))</f>
        <v>SILVIA OTOFUJI/ARQUIVO DA EDITORA</v>
      </c>
      <c r="Y1241" s="23"/>
      <c r="Z1241" s="23" t="str">
        <f>Tabela2[[#This Row],[ilustrador]]</f>
        <v>SILVIA OTOFUJI/ARQUIVO DA EDITORA</v>
      </c>
      <c r="AA1241" s="22"/>
      <c r="AB1241" s="20"/>
      <c r="AD1241" s="4" t="str">
        <f>"Pitanguá"</f>
        <v>Pitanguá</v>
      </c>
      <c r="AE1241" s="14" t="str">
        <f>"Matemática"</f>
        <v>Matemática</v>
      </c>
      <c r="AF1241" s="14"/>
    </row>
    <row r="1242" spans="1:32" ht="28.8" x14ac:dyDescent="0.3">
      <c r="A1242" s="23" t="s">
        <v>247</v>
      </c>
      <c r="B1242" s="20" t="s">
        <v>16</v>
      </c>
      <c r="C1242" s="20" t="s">
        <v>89</v>
      </c>
      <c r="D1242" s="20" t="s">
        <v>8</v>
      </c>
      <c r="E1242" s="22">
        <v>88</v>
      </c>
      <c r="F1242" s="22">
        <v>1</v>
      </c>
      <c r="G1242" s="22">
        <v>5</v>
      </c>
      <c r="H1242" s="22"/>
      <c r="I1242" s="23" t="s">
        <v>9</v>
      </c>
      <c r="J1242" s="23"/>
      <c r="K1242" s="22"/>
      <c r="L1242" s="22"/>
      <c r="M1242" s="23"/>
      <c r="N1242" s="23"/>
      <c r="O1242" s="26" t="s">
        <v>248</v>
      </c>
      <c r="P1242" s="26"/>
      <c r="Q1242" s="22"/>
      <c r="R1242" s="24"/>
      <c r="S1242" s="24"/>
      <c r="T1242" s="24"/>
      <c r="U1242" s="24"/>
      <c r="V1242" s="24"/>
      <c r="W1242" s="22" t="s">
        <v>160</v>
      </c>
      <c r="X1242" s="4" t="str">
        <f>IF(Tabela2[[#This Row],[sigla]]="","",VLOOKUP(Tabela2[[#This Row],[sigla]],créditos_base!B:C,2,0))</f>
        <v>SERGIO LIMA/ARQUIVO DA EDITORA</v>
      </c>
      <c r="Y1242" s="23"/>
      <c r="Z1242" s="23" t="str">
        <f>Tabela2[[#This Row],[ilustrador]]</f>
        <v>SERGIO LIMA/ARQUIVO DA EDITORA</v>
      </c>
      <c r="AA1242" s="22"/>
      <c r="AB1242" s="20"/>
      <c r="AD1242" s="4" t="str">
        <f>"Pitanguá"</f>
        <v>Pitanguá</v>
      </c>
      <c r="AE1242" s="14" t="str">
        <f>"Matemática"</f>
        <v>Matemática</v>
      </c>
      <c r="AF1242" s="14"/>
    </row>
    <row r="1243" spans="1:32" ht="43.2" x14ac:dyDescent="0.3">
      <c r="A1243" s="23" t="s">
        <v>1504</v>
      </c>
      <c r="B1243" s="20" t="s">
        <v>16</v>
      </c>
      <c r="C1243" s="20" t="s">
        <v>7</v>
      </c>
      <c r="D1243" s="20" t="s">
        <v>8</v>
      </c>
      <c r="E1243" s="22">
        <v>76</v>
      </c>
      <c r="F1243" s="22">
        <v>2</v>
      </c>
      <c r="G1243" s="22">
        <v>5</v>
      </c>
      <c r="H1243" s="22"/>
      <c r="I1243" s="23" t="s">
        <v>9</v>
      </c>
      <c r="J1243" s="23"/>
      <c r="K1243" s="22"/>
      <c r="L1243" s="22"/>
      <c r="M1243" s="23"/>
      <c r="N1243" s="23"/>
      <c r="O1243" s="26" t="s">
        <v>1505</v>
      </c>
      <c r="P1243" s="26"/>
      <c r="Q1243" s="22"/>
      <c r="R1243" s="24"/>
      <c r="S1243" s="24"/>
      <c r="T1243" s="24"/>
      <c r="U1243" s="24"/>
      <c r="V1243" s="24"/>
      <c r="W1243" s="22" t="s">
        <v>356</v>
      </c>
      <c r="X1243" s="4" t="str">
        <f>IF(Tabela2[[#This Row],[sigla]]="","",VLOOKUP(Tabela2[[#This Row],[sigla]],créditos_base!B:C,2,0))</f>
        <v>CAMILA CARMONA/ARQUIVO DA EDITORA</v>
      </c>
      <c r="Y1243" s="23"/>
      <c r="Z1243" s="23" t="str">
        <f>Tabela2[[#This Row],[ilustrador]]</f>
        <v>CAMILA CARMONA/ARQUIVO DA EDITORA</v>
      </c>
      <c r="AA1243" s="22"/>
      <c r="AB1243" s="20"/>
      <c r="AD1243" s="4" t="str">
        <f>"Pitanguá"</f>
        <v>Pitanguá</v>
      </c>
      <c r="AE1243" s="14" t="str">
        <f>"Matemática"</f>
        <v>Matemática</v>
      </c>
      <c r="AF1243" s="14"/>
    </row>
    <row r="1244" spans="1:32" ht="43.2" x14ac:dyDescent="0.3">
      <c r="A1244" s="23" t="s">
        <v>2143</v>
      </c>
      <c r="B1244" s="20" t="s">
        <v>16</v>
      </c>
      <c r="C1244" s="20" t="s">
        <v>89</v>
      </c>
      <c r="D1244" s="20" t="s">
        <v>8</v>
      </c>
      <c r="E1244" s="22">
        <v>93</v>
      </c>
      <c r="F1244" s="22">
        <v>3</v>
      </c>
      <c r="G1244" s="22">
        <v>5</v>
      </c>
      <c r="H1244" s="22"/>
      <c r="I1244" s="23" t="s">
        <v>33</v>
      </c>
      <c r="J1244" s="23"/>
      <c r="K1244" s="22"/>
      <c r="L1244" s="22"/>
      <c r="M1244" s="23"/>
      <c r="N1244" s="23"/>
      <c r="O1244" s="26" t="s">
        <v>2144</v>
      </c>
      <c r="P1244" s="26"/>
      <c r="Q1244" s="22">
        <v>29</v>
      </c>
      <c r="R1244" s="24">
        <v>45755</v>
      </c>
      <c r="S1244" s="24">
        <v>45755</v>
      </c>
      <c r="T1244" s="24"/>
      <c r="U1244" s="24"/>
      <c r="V1244" s="24">
        <v>45755</v>
      </c>
      <c r="W1244" s="22" t="s">
        <v>468</v>
      </c>
      <c r="X1244" s="4" t="str">
        <f>IF(Tabela2[[#This Row],[sigla]]="","",VLOOKUP(Tabela2[[#This Row],[sigla]],créditos_base!B:C,2,0))</f>
        <v>VER DOCUMENTO DE ILS. TÉCNICAS</v>
      </c>
      <c r="Y1244" s="23" t="s">
        <v>152</v>
      </c>
      <c r="Z1244" s="23" t="s">
        <v>689</v>
      </c>
      <c r="AA1244" s="22">
        <v>13</v>
      </c>
      <c r="AB1244" s="20" t="s">
        <v>244</v>
      </c>
      <c r="AC1244" s="20" t="s">
        <v>36</v>
      </c>
      <c r="AD1244" s="4" t="str">
        <f>"Pitanguá"</f>
        <v>Pitanguá</v>
      </c>
      <c r="AE1244" s="14" t="str">
        <f>"Matemática"</f>
        <v>Matemática</v>
      </c>
      <c r="AF1244" s="14"/>
    </row>
    <row r="1245" spans="1:32" ht="28.8" x14ac:dyDescent="0.3">
      <c r="A1245" s="23" t="s">
        <v>3200</v>
      </c>
      <c r="B1245" s="20" t="s">
        <v>16</v>
      </c>
      <c r="C1245" s="20" t="s">
        <v>7</v>
      </c>
      <c r="D1245" s="20" t="s">
        <v>8</v>
      </c>
      <c r="E1245" s="22">
        <v>122</v>
      </c>
      <c r="F1245" s="22">
        <v>4</v>
      </c>
      <c r="G1245" s="22">
        <v>5</v>
      </c>
      <c r="H1245" s="22"/>
      <c r="I1245" s="23" t="s">
        <v>9</v>
      </c>
      <c r="J1245" s="23"/>
      <c r="K1245" s="22"/>
      <c r="L1245" s="22"/>
      <c r="M1245" s="23"/>
      <c r="N1245" s="23"/>
      <c r="O1245" s="26" t="s">
        <v>3201</v>
      </c>
      <c r="P1245" s="26"/>
      <c r="Q1245" s="22"/>
      <c r="R1245" s="24"/>
      <c r="S1245" s="24"/>
      <c r="T1245" s="24"/>
      <c r="U1245" s="24"/>
      <c r="V1245" s="24"/>
      <c r="W1245" s="22" t="s">
        <v>31</v>
      </c>
      <c r="X1245" s="4" t="str">
        <f>IF(Tabela2[[#This Row],[sigla]]="","",VLOOKUP(Tabela2[[#This Row],[sigla]],créditos_base!B:C,2,0))</f>
        <v>SILVIA OTOFUJI/ARQUIVO DA EDITORA</v>
      </c>
      <c r="Y1245" s="23"/>
      <c r="Z1245" s="23" t="str">
        <f>Tabela2[[#This Row],[ilustrador]]</f>
        <v>SILVIA OTOFUJI/ARQUIVO DA EDITORA</v>
      </c>
      <c r="AA1245" s="22"/>
      <c r="AB1245" s="20"/>
      <c r="AD1245" s="4" t="str">
        <f>"Pitanguá"</f>
        <v>Pitanguá</v>
      </c>
      <c r="AE1245" s="14" t="str">
        <f>"Matemática"</f>
        <v>Matemática</v>
      </c>
      <c r="AF1245" s="14"/>
    </row>
    <row r="1246" spans="1:32" ht="28.8" x14ac:dyDescent="0.3">
      <c r="A1246" s="23" t="s">
        <v>249</v>
      </c>
      <c r="B1246" s="20" t="s">
        <v>16</v>
      </c>
      <c r="C1246" s="20" t="s">
        <v>89</v>
      </c>
      <c r="D1246" s="20" t="s">
        <v>8</v>
      </c>
      <c r="E1246" s="22">
        <v>88</v>
      </c>
      <c r="F1246" s="22">
        <v>1</v>
      </c>
      <c r="G1246" s="22">
        <v>5</v>
      </c>
      <c r="H1246" s="22"/>
      <c r="I1246" s="23" t="s">
        <v>9</v>
      </c>
      <c r="J1246" s="23"/>
      <c r="K1246" s="22"/>
      <c r="L1246" s="22"/>
      <c r="M1246" s="23"/>
      <c r="N1246" s="23"/>
      <c r="O1246" s="26" t="s">
        <v>250</v>
      </c>
      <c r="P1246" s="26"/>
      <c r="Q1246" s="22"/>
      <c r="R1246" s="24"/>
      <c r="S1246" s="24"/>
      <c r="T1246" s="24"/>
      <c r="U1246" s="24"/>
      <c r="V1246" s="24"/>
      <c r="W1246" s="22" t="s">
        <v>160</v>
      </c>
      <c r="X1246" s="4" t="str">
        <f>IF(Tabela2[[#This Row],[sigla]]="","",VLOOKUP(Tabela2[[#This Row],[sigla]],créditos_base!B:C,2,0))</f>
        <v>SERGIO LIMA/ARQUIVO DA EDITORA</v>
      </c>
      <c r="Y1246" s="23"/>
      <c r="Z1246" s="23" t="str">
        <f>Tabela2[[#This Row],[ilustrador]]</f>
        <v>SERGIO LIMA/ARQUIVO DA EDITORA</v>
      </c>
      <c r="AA1246" s="22"/>
      <c r="AB1246" s="20"/>
      <c r="AD1246" s="4" t="str">
        <f>"Pitanguá"</f>
        <v>Pitanguá</v>
      </c>
      <c r="AE1246" s="14" t="str">
        <f>"Matemática"</f>
        <v>Matemática</v>
      </c>
      <c r="AF1246" s="14"/>
    </row>
    <row r="1247" spans="1:32" ht="43.2" x14ac:dyDescent="0.3">
      <c r="A1247" s="23" t="s">
        <v>1506</v>
      </c>
      <c r="B1247" s="20" t="s">
        <v>16</v>
      </c>
      <c r="C1247" s="20" t="s">
        <v>7</v>
      </c>
      <c r="D1247" s="20" t="s">
        <v>8</v>
      </c>
      <c r="E1247" s="22">
        <v>76</v>
      </c>
      <c r="F1247" s="22">
        <v>2</v>
      </c>
      <c r="G1247" s="22">
        <v>5</v>
      </c>
      <c r="H1247" s="22"/>
      <c r="I1247" s="23" t="s">
        <v>9</v>
      </c>
      <c r="J1247" s="23"/>
      <c r="K1247" s="22"/>
      <c r="L1247" s="22"/>
      <c r="M1247" s="23"/>
      <c r="N1247" s="23"/>
      <c r="O1247" s="26" t="s">
        <v>1507</v>
      </c>
      <c r="P1247" s="26"/>
      <c r="Q1247" s="22"/>
      <c r="R1247" s="24"/>
      <c r="S1247" s="24"/>
      <c r="T1247" s="24"/>
      <c r="U1247" s="24"/>
      <c r="V1247" s="24"/>
      <c r="W1247" s="22" t="s">
        <v>356</v>
      </c>
      <c r="X1247" s="4" t="str">
        <f>IF(Tabela2[[#This Row],[sigla]]="","",VLOOKUP(Tabela2[[#This Row],[sigla]],créditos_base!B:C,2,0))</f>
        <v>CAMILA CARMONA/ARQUIVO DA EDITORA</v>
      </c>
      <c r="Y1247" s="23"/>
      <c r="Z1247" s="23" t="str">
        <f>Tabela2[[#This Row],[ilustrador]]</f>
        <v>CAMILA CARMONA/ARQUIVO DA EDITORA</v>
      </c>
      <c r="AA1247" s="22"/>
      <c r="AB1247" s="20"/>
      <c r="AD1247" s="4" t="str">
        <f>"Pitanguá"</f>
        <v>Pitanguá</v>
      </c>
      <c r="AE1247" s="14" t="str">
        <f>"Matemática"</f>
        <v>Matemática</v>
      </c>
      <c r="AF1247" s="14"/>
    </row>
    <row r="1248" spans="1:32" ht="43.2" x14ac:dyDescent="0.3">
      <c r="A1248" s="23" t="s">
        <v>2147</v>
      </c>
      <c r="B1248" s="20" t="s">
        <v>16</v>
      </c>
      <c r="C1248" s="20" t="s">
        <v>89</v>
      </c>
      <c r="D1248" s="20" t="s">
        <v>8</v>
      </c>
      <c r="E1248" s="22">
        <v>94</v>
      </c>
      <c r="F1248" s="22">
        <v>3</v>
      </c>
      <c r="G1248" s="22">
        <v>5</v>
      </c>
      <c r="H1248" s="22"/>
      <c r="I1248" s="23" t="s">
        <v>9</v>
      </c>
      <c r="J1248" s="23"/>
      <c r="K1248" s="22"/>
      <c r="L1248" s="22"/>
      <c r="M1248" s="23"/>
      <c r="N1248" s="23"/>
      <c r="O1248" s="26" t="s">
        <v>2148</v>
      </c>
      <c r="P1248" s="26"/>
      <c r="Q1248" s="22"/>
      <c r="R1248" s="24"/>
      <c r="S1248" s="24"/>
      <c r="T1248" s="24"/>
      <c r="U1248" s="24"/>
      <c r="V1248" s="24"/>
      <c r="W1248" s="22" t="s">
        <v>468</v>
      </c>
      <c r="X1248" s="4" t="str">
        <f>IF(Tabela2[[#This Row],[sigla]]="","",VLOOKUP(Tabela2[[#This Row],[sigla]],créditos_base!B:C,2,0))</f>
        <v>VER DOCUMENTO DE ILS. TÉCNICAS</v>
      </c>
      <c r="Y1248" s="23"/>
      <c r="Z1248" s="23" t="s">
        <v>2149</v>
      </c>
      <c r="AA1248" s="22"/>
      <c r="AB1248" s="20"/>
      <c r="AD1248" s="4" t="str">
        <f>"Pitanguá"</f>
        <v>Pitanguá</v>
      </c>
      <c r="AE1248" s="14" t="str">
        <f>"Matemática"</f>
        <v>Matemática</v>
      </c>
      <c r="AF1248" s="14"/>
    </row>
    <row r="1249" spans="1:32" ht="43.2" x14ac:dyDescent="0.3">
      <c r="A1249" s="23" t="s">
        <v>3202</v>
      </c>
      <c r="B1249" s="20" t="s">
        <v>16</v>
      </c>
      <c r="C1249" s="20" t="s">
        <v>7</v>
      </c>
      <c r="D1249" s="20" t="s">
        <v>8</v>
      </c>
      <c r="E1249" s="22">
        <v>123</v>
      </c>
      <c r="F1249" s="22">
        <v>4</v>
      </c>
      <c r="G1249" s="22">
        <v>5</v>
      </c>
      <c r="H1249" s="22"/>
      <c r="I1249" s="23" t="s">
        <v>9</v>
      </c>
      <c r="J1249" s="23"/>
      <c r="K1249" s="22"/>
      <c r="L1249" s="22"/>
      <c r="M1249" s="23"/>
      <c r="N1249" s="23"/>
      <c r="O1249" s="26" t="s">
        <v>3203</v>
      </c>
      <c r="P1249" s="26"/>
      <c r="Q1249" s="22"/>
      <c r="R1249" s="24"/>
      <c r="S1249" s="24"/>
      <c r="T1249" s="24"/>
      <c r="U1249" s="24"/>
      <c r="V1249" s="24"/>
      <c r="W1249" s="22" t="s">
        <v>87</v>
      </c>
      <c r="X1249" s="4" t="str">
        <f>IF(Tabela2[[#This Row],[sigla]]="","",VLOOKUP(Tabela2[[#This Row],[sigla]],créditos_base!B:C,2,0))</f>
        <v>CHRIS BORGES/ARQUIVO DA EDITORA</v>
      </c>
      <c r="Y1249" s="23"/>
      <c r="Z1249" s="23" t="str">
        <f>Tabela2[[#This Row],[ilustrador]]</f>
        <v>CHRIS BORGES/ARQUIVO DA EDITORA</v>
      </c>
      <c r="AA1249" s="22"/>
      <c r="AB1249" s="20"/>
      <c r="AD1249" s="4" t="str">
        <f>"Pitanguá"</f>
        <v>Pitanguá</v>
      </c>
      <c r="AE1249" s="14" t="str">
        <f>"Matemática"</f>
        <v>Matemática</v>
      </c>
      <c r="AF1249" s="14"/>
    </row>
    <row r="1250" spans="1:32" ht="43.2" x14ac:dyDescent="0.3">
      <c r="A1250" s="23" t="s">
        <v>4104</v>
      </c>
      <c r="B1250" s="20" t="s">
        <v>16</v>
      </c>
      <c r="C1250" s="20" t="s">
        <v>89</v>
      </c>
      <c r="D1250" s="20" t="s">
        <v>8</v>
      </c>
      <c r="E1250" s="22">
        <v>128</v>
      </c>
      <c r="F1250" s="22">
        <v>5</v>
      </c>
      <c r="G1250" s="22">
        <v>5</v>
      </c>
      <c r="H1250" s="22"/>
      <c r="I1250" s="23" t="s">
        <v>9</v>
      </c>
      <c r="J1250" s="23"/>
      <c r="K1250" s="22"/>
      <c r="L1250" s="22"/>
      <c r="M1250" s="23"/>
      <c r="N1250" s="23"/>
      <c r="O1250" s="26" t="s">
        <v>4105</v>
      </c>
      <c r="P1250" s="26"/>
      <c r="Q1250" s="22"/>
      <c r="R1250" s="24"/>
      <c r="S1250" s="24"/>
      <c r="T1250" s="24"/>
      <c r="U1250" s="24"/>
      <c r="V1250" s="24"/>
      <c r="W1250" s="22" t="s">
        <v>940</v>
      </c>
      <c r="X1250" s="4" t="str">
        <f>IF(Tabela2[[#This Row],[sigla]]="","",VLOOKUP(Tabela2[[#This Row],[sigla]],créditos_base!B:C,2,0))</f>
        <v>RONALDO LUCENA/ARQUIVO DA EDITORA</v>
      </c>
      <c r="Y1250" s="23"/>
      <c r="Z1250" s="23" t="str">
        <f>Tabela2[[#This Row],[ilustrador]]</f>
        <v>RONALDO LUCENA/ARQUIVO DA EDITORA</v>
      </c>
      <c r="AA1250" s="22"/>
      <c r="AB1250" s="20"/>
      <c r="AD1250" s="4" t="str">
        <f>"Pitanguá"</f>
        <v>Pitanguá</v>
      </c>
      <c r="AE1250" s="14" t="str">
        <f>"Matemática"</f>
        <v>Matemática</v>
      </c>
      <c r="AF1250" s="14"/>
    </row>
    <row r="1251" spans="1:32" ht="43.2" x14ac:dyDescent="0.3">
      <c r="A1251" s="23" t="s">
        <v>251</v>
      </c>
      <c r="B1251" s="20" t="s">
        <v>16</v>
      </c>
      <c r="C1251" s="20" t="s">
        <v>89</v>
      </c>
      <c r="D1251" s="20" t="s">
        <v>8</v>
      </c>
      <c r="E1251" s="22">
        <v>88</v>
      </c>
      <c r="F1251" s="22">
        <v>1</v>
      </c>
      <c r="G1251" s="22">
        <v>5</v>
      </c>
      <c r="H1251" s="22"/>
      <c r="I1251" s="23" t="s">
        <v>9</v>
      </c>
      <c r="J1251" s="23"/>
      <c r="K1251" s="22"/>
      <c r="L1251" s="22"/>
      <c r="M1251" s="23"/>
      <c r="N1251" s="23"/>
      <c r="O1251" s="26" t="s">
        <v>252</v>
      </c>
      <c r="P1251" s="26"/>
      <c r="Q1251" s="22"/>
      <c r="R1251" s="24"/>
      <c r="S1251" s="24"/>
      <c r="T1251" s="24"/>
      <c r="U1251" s="24"/>
      <c r="V1251" s="24"/>
      <c r="W1251" s="22" t="s">
        <v>160</v>
      </c>
      <c r="X1251" s="4" t="str">
        <f>IF(Tabela2[[#This Row],[sigla]]="","",VLOOKUP(Tabela2[[#This Row],[sigla]],créditos_base!B:C,2,0))</f>
        <v>SERGIO LIMA/ARQUIVO DA EDITORA</v>
      </c>
      <c r="Y1251" s="23"/>
      <c r="Z1251" s="23" t="str">
        <f>Tabela2[[#This Row],[ilustrador]]</f>
        <v>SERGIO LIMA/ARQUIVO DA EDITORA</v>
      </c>
      <c r="AA1251" s="22"/>
      <c r="AB1251" s="20"/>
      <c r="AD1251" s="4" t="str">
        <f>"Pitanguá"</f>
        <v>Pitanguá</v>
      </c>
      <c r="AE1251" s="14" t="str">
        <f>"Matemática"</f>
        <v>Matemática</v>
      </c>
      <c r="AF1251" s="14"/>
    </row>
    <row r="1252" spans="1:32" x14ac:dyDescent="0.3">
      <c r="A1252" s="23" t="s">
        <v>1508</v>
      </c>
      <c r="B1252" s="20" t="s">
        <v>16</v>
      </c>
      <c r="C1252" s="20" t="s">
        <v>7</v>
      </c>
      <c r="D1252" s="20" t="s">
        <v>8</v>
      </c>
      <c r="E1252" s="22">
        <v>76</v>
      </c>
      <c r="F1252" s="22">
        <v>2</v>
      </c>
      <c r="G1252" s="22">
        <v>5</v>
      </c>
      <c r="H1252" s="22"/>
      <c r="I1252" s="23" t="s">
        <v>9</v>
      </c>
      <c r="J1252" s="23"/>
      <c r="K1252" s="22"/>
      <c r="L1252" s="22"/>
      <c r="M1252" s="23"/>
      <c r="N1252" s="23"/>
      <c r="O1252" s="26" t="s">
        <v>1509</v>
      </c>
      <c r="P1252" s="26"/>
      <c r="Q1252" s="22"/>
      <c r="R1252" s="24"/>
      <c r="S1252" s="24"/>
      <c r="T1252" s="24"/>
      <c r="U1252" s="24"/>
      <c r="V1252" s="24"/>
      <c r="W1252" s="22" t="s">
        <v>940</v>
      </c>
      <c r="X1252" s="4" t="str">
        <f>IF(Tabela2[[#This Row],[sigla]]="","",VLOOKUP(Tabela2[[#This Row],[sigla]],créditos_base!B:C,2,0))</f>
        <v>RONALDO LUCENA/ARQUIVO DA EDITORA</v>
      </c>
      <c r="Y1252" s="23"/>
      <c r="Z1252" s="23" t="str">
        <f>Tabela2[[#This Row],[ilustrador]]</f>
        <v>RONALDO LUCENA/ARQUIVO DA EDITORA</v>
      </c>
      <c r="AA1252" s="22"/>
      <c r="AB1252" s="20"/>
      <c r="AD1252" s="4" t="str">
        <f>"Pitanguá"</f>
        <v>Pitanguá</v>
      </c>
      <c r="AE1252" s="14" t="str">
        <f>"Matemática"</f>
        <v>Matemática</v>
      </c>
      <c r="AF1252" s="14"/>
    </row>
    <row r="1253" spans="1:32" x14ac:dyDescent="0.3">
      <c r="A1253" s="23" t="s">
        <v>2150</v>
      </c>
      <c r="B1253" s="20" t="s">
        <v>16</v>
      </c>
      <c r="C1253" s="20" t="s">
        <v>89</v>
      </c>
      <c r="D1253" s="20" t="s">
        <v>8</v>
      </c>
      <c r="E1253" s="22">
        <v>94</v>
      </c>
      <c r="F1253" s="22">
        <v>3</v>
      </c>
      <c r="G1253" s="22">
        <v>5</v>
      </c>
      <c r="H1253" s="22"/>
      <c r="I1253" s="23" t="s">
        <v>9</v>
      </c>
      <c r="J1253" s="23"/>
      <c r="K1253" s="22"/>
      <c r="L1253" s="22"/>
      <c r="M1253" s="23"/>
      <c r="N1253" s="23"/>
      <c r="O1253" s="26" t="s">
        <v>2151</v>
      </c>
      <c r="P1253" s="26"/>
      <c r="Q1253" s="22"/>
      <c r="R1253" s="24"/>
      <c r="S1253" s="24"/>
      <c r="T1253" s="24"/>
      <c r="U1253" s="24"/>
      <c r="V1253" s="24"/>
      <c r="W1253" s="22" t="s">
        <v>468</v>
      </c>
      <c r="X1253" s="4" t="str">
        <f>IF(Tabela2[[#This Row],[sigla]]="","",VLOOKUP(Tabela2[[#This Row],[sigla]],créditos_base!B:C,2,0))</f>
        <v>VER DOCUMENTO DE ILS. TÉCNICAS</v>
      </c>
      <c r="Y1253" s="23"/>
      <c r="Z1253" s="23" t="s">
        <v>2149</v>
      </c>
      <c r="AA1253" s="22"/>
      <c r="AB1253" s="20"/>
      <c r="AD1253" s="4" t="str">
        <f>"Pitanguá"</f>
        <v>Pitanguá</v>
      </c>
      <c r="AE1253" s="14" t="str">
        <f>"Matemática"</f>
        <v>Matemática</v>
      </c>
      <c r="AF1253" s="14"/>
    </row>
    <row r="1254" spans="1:32" x14ac:dyDescent="0.3">
      <c r="A1254" s="23" t="s">
        <v>3204</v>
      </c>
      <c r="B1254" s="20" t="s">
        <v>6</v>
      </c>
      <c r="C1254" s="20" t="s">
        <v>7</v>
      </c>
      <c r="D1254" s="20" t="s">
        <v>8</v>
      </c>
      <c r="E1254" s="22">
        <v>123</v>
      </c>
      <c r="F1254" s="22">
        <v>4</v>
      </c>
      <c r="G1254" s="22">
        <v>5</v>
      </c>
      <c r="H1254" s="22"/>
      <c r="I1254" s="23" t="s">
        <v>9</v>
      </c>
      <c r="J1254" s="23"/>
      <c r="K1254" s="22"/>
      <c r="L1254" s="22"/>
      <c r="M1254" s="23"/>
      <c r="N1254" s="23"/>
      <c r="O1254" s="26" t="s">
        <v>3205</v>
      </c>
      <c r="P1254" s="26"/>
      <c r="Q1254" s="22"/>
      <c r="R1254" s="24"/>
      <c r="S1254" s="24"/>
      <c r="T1254" s="24"/>
      <c r="U1254" s="24"/>
      <c r="V1254" s="24"/>
      <c r="W1254" s="22" t="s">
        <v>87</v>
      </c>
      <c r="X1254" s="4" t="str">
        <f>IF(Tabela2[[#This Row],[sigla]]="","",VLOOKUP(Tabela2[[#This Row],[sigla]],créditos_base!B:C,2,0))</f>
        <v>CHRIS BORGES/ARQUIVO DA EDITORA</v>
      </c>
      <c r="Y1254" s="23"/>
      <c r="Z1254" s="23" t="str">
        <f>Tabela2[[#This Row],[ilustrador]]</f>
        <v>CHRIS BORGES/ARQUIVO DA EDITORA</v>
      </c>
      <c r="AA1254" s="22"/>
      <c r="AB1254" s="20"/>
      <c r="AD1254" s="4" t="str">
        <f>"Pitanguá"</f>
        <v>Pitanguá</v>
      </c>
      <c r="AE1254" s="14" t="str">
        <f>"Matemática"</f>
        <v>Matemática</v>
      </c>
      <c r="AF1254" s="14"/>
    </row>
    <row r="1255" spans="1:32" ht="43.2" x14ac:dyDescent="0.3">
      <c r="A1255" s="23" t="s">
        <v>4106</v>
      </c>
      <c r="B1255" s="20" t="s">
        <v>6</v>
      </c>
      <c r="C1255" s="20" t="s">
        <v>7</v>
      </c>
      <c r="D1255" s="20" t="s">
        <v>8</v>
      </c>
      <c r="E1255" s="22">
        <v>166</v>
      </c>
      <c r="F1255" s="22">
        <v>5</v>
      </c>
      <c r="G1255" s="22">
        <v>5</v>
      </c>
      <c r="H1255" s="22"/>
      <c r="I1255" s="23" t="s">
        <v>9</v>
      </c>
      <c r="J1255" s="23"/>
      <c r="K1255" s="22"/>
      <c r="L1255" s="22"/>
      <c r="M1255" s="23"/>
      <c r="N1255" s="23"/>
      <c r="O1255" s="26" t="s">
        <v>4107</v>
      </c>
      <c r="P1255" s="26"/>
      <c r="Q1255" s="22"/>
      <c r="R1255" s="24"/>
      <c r="S1255" s="24"/>
      <c r="T1255" s="24"/>
      <c r="U1255" s="24"/>
      <c r="V1255" s="24"/>
      <c r="W1255" s="22" t="s">
        <v>151</v>
      </c>
      <c r="X1255" s="4" t="str">
        <f>IF(Tabela2[[#This Row],[sigla]]="","",VLOOKUP(Tabela2[[#This Row],[sigla]],créditos_base!B:C,2,0))</f>
        <v>ROGÉRIO CASAGRANDE/ARQUIVO DA EDITORA</v>
      </c>
      <c r="Y1255" s="23"/>
      <c r="Z1255" s="23" t="str">
        <f>Tabela2[[#This Row],[ilustrador]]</f>
        <v>ROGÉRIO CASAGRANDE/ARQUIVO DA EDITORA</v>
      </c>
      <c r="AA1255" s="22"/>
      <c r="AB1255" s="20"/>
      <c r="AD1255" s="4" t="str">
        <f>"Pitanguá"</f>
        <v>Pitanguá</v>
      </c>
      <c r="AE1255" s="14" t="str">
        <f>"Matemática"</f>
        <v>Matemática</v>
      </c>
      <c r="AF1255" s="14"/>
    </row>
    <row r="1256" spans="1:32" ht="43.2" x14ac:dyDescent="0.3">
      <c r="A1256" s="23" t="s">
        <v>253</v>
      </c>
      <c r="B1256" s="20" t="s">
        <v>16</v>
      </c>
      <c r="C1256" s="20" t="s">
        <v>89</v>
      </c>
      <c r="D1256" s="20" t="s">
        <v>8</v>
      </c>
      <c r="E1256" s="22">
        <v>88</v>
      </c>
      <c r="F1256" s="22">
        <v>1</v>
      </c>
      <c r="G1256" s="22">
        <v>5</v>
      </c>
      <c r="H1256" s="22"/>
      <c r="I1256" s="23" t="s">
        <v>9</v>
      </c>
      <c r="J1256" s="23"/>
      <c r="K1256" s="22"/>
      <c r="L1256" s="22"/>
      <c r="M1256" s="23"/>
      <c r="N1256" s="23"/>
      <c r="O1256" s="26" t="s">
        <v>254</v>
      </c>
      <c r="P1256" s="26"/>
      <c r="Q1256" s="22"/>
      <c r="R1256" s="24"/>
      <c r="S1256" s="24"/>
      <c r="T1256" s="24"/>
      <c r="U1256" s="24"/>
      <c r="V1256" s="24"/>
      <c r="W1256" s="22" t="s">
        <v>160</v>
      </c>
      <c r="X1256" s="4" t="str">
        <f>IF(Tabela2[[#This Row],[sigla]]="","",VLOOKUP(Tabela2[[#This Row],[sigla]],créditos_base!B:C,2,0))</f>
        <v>SERGIO LIMA/ARQUIVO DA EDITORA</v>
      </c>
      <c r="Y1256" s="23"/>
      <c r="Z1256" s="23" t="str">
        <f>Tabela2[[#This Row],[ilustrador]]</f>
        <v>SERGIO LIMA/ARQUIVO DA EDITORA</v>
      </c>
      <c r="AA1256" s="22"/>
      <c r="AB1256" s="20"/>
      <c r="AD1256" s="4" t="str">
        <f>"Pitanguá"</f>
        <v>Pitanguá</v>
      </c>
      <c r="AE1256" s="14" t="str">
        <f>"Matemática"</f>
        <v>Matemática</v>
      </c>
      <c r="AF1256" s="14"/>
    </row>
    <row r="1257" spans="1:32" ht="43.2" x14ac:dyDescent="0.3">
      <c r="A1257" s="23" t="s">
        <v>1510</v>
      </c>
      <c r="B1257" s="20" t="s">
        <v>16</v>
      </c>
      <c r="C1257" s="20" t="s">
        <v>7</v>
      </c>
      <c r="D1257" s="20" t="s">
        <v>8</v>
      </c>
      <c r="E1257" s="22">
        <v>76</v>
      </c>
      <c r="F1257" s="22">
        <v>2</v>
      </c>
      <c r="G1257" s="22">
        <v>5</v>
      </c>
      <c r="H1257" s="22"/>
      <c r="I1257" s="23" t="s">
        <v>9</v>
      </c>
      <c r="J1257" s="23"/>
      <c r="K1257" s="22"/>
      <c r="L1257" s="22"/>
      <c r="M1257" s="23"/>
      <c r="N1257" s="23"/>
      <c r="O1257" s="26" t="s">
        <v>1511</v>
      </c>
      <c r="P1257" s="26"/>
      <c r="Q1257" s="22"/>
      <c r="R1257" s="24"/>
      <c r="S1257" s="24"/>
      <c r="T1257" s="24"/>
      <c r="U1257" s="24"/>
      <c r="V1257" s="24"/>
      <c r="W1257" s="22" t="s">
        <v>940</v>
      </c>
      <c r="X1257" s="4" t="str">
        <f>IF(Tabela2[[#This Row],[sigla]]="","",VLOOKUP(Tabela2[[#This Row],[sigla]],créditos_base!B:C,2,0))</f>
        <v>RONALDO LUCENA/ARQUIVO DA EDITORA</v>
      </c>
      <c r="Y1257" s="23"/>
      <c r="Z1257" s="23" t="str">
        <f>Tabela2[[#This Row],[ilustrador]]</f>
        <v>RONALDO LUCENA/ARQUIVO DA EDITORA</v>
      </c>
      <c r="AA1257" s="22"/>
      <c r="AB1257" s="20"/>
      <c r="AD1257" s="4" t="str">
        <f>"Pitanguá"</f>
        <v>Pitanguá</v>
      </c>
      <c r="AE1257" s="14" t="str">
        <f>"Matemática"</f>
        <v>Matemática</v>
      </c>
      <c r="AF1257" s="14"/>
    </row>
    <row r="1258" spans="1:32" ht="144" x14ac:dyDescent="0.3">
      <c r="A1258" s="23" t="s">
        <v>2152</v>
      </c>
      <c r="B1258" s="20" t="s">
        <v>16</v>
      </c>
      <c r="C1258" s="20" t="s">
        <v>89</v>
      </c>
      <c r="D1258" s="20" t="s">
        <v>8</v>
      </c>
      <c r="E1258" s="22">
        <v>94</v>
      </c>
      <c r="F1258" s="22">
        <v>3</v>
      </c>
      <c r="G1258" s="22">
        <v>5</v>
      </c>
      <c r="H1258" s="22"/>
      <c r="I1258" s="23" t="s">
        <v>33</v>
      </c>
      <c r="J1258" s="23"/>
      <c r="K1258" s="22"/>
      <c r="L1258" s="22"/>
      <c r="M1258" s="23"/>
      <c r="N1258" s="23"/>
      <c r="O1258" s="26" t="s">
        <v>2153</v>
      </c>
      <c r="P1258" s="26"/>
      <c r="Q1258" s="22">
        <v>79</v>
      </c>
      <c r="R1258" s="24">
        <v>45820</v>
      </c>
      <c r="S1258" s="24">
        <v>45821</v>
      </c>
      <c r="T1258" s="24"/>
      <c r="U1258" s="24"/>
      <c r="V1258" s="24">
        <v>45824</v>
      </c>
      <c r="W1258" s="22" t="s">
        <v>468</v>
      </c>
      <c r="X1258" s="4" t="str">
        <f>IF(Tabela2[[#This Row],[sigla]]="","",VLOOKUP(Tabela2[[#This Row],[sigla]],créditos_base!B:C,2,0))</f>
        <v>VER DOCUMENTO DE ILS. TÉCNICAS</v>
      </c>
      <c r="Y1258" s="23" t="s">
        <v>152</v>
      </c>
      <c r="Z1258" s="23" t="s">
        <v>2149</v>
      </c>
      <c r="AA1258" s="22">
        <v>13</v>
      </c>
      <c r="AB1258" s="20" t="s">
        <v>244</v>
      </c>
      <c r="AC1258" s="20" t="s">
        <v>36</v>
      </c>
      <c r="AD1258" s="4" t="str">
        <f>"Pitanguá"</f>
        <v>Pitanguá</v>
      </c>
      <c r="AE1258" s="14" t="str">
        <f>"Matemática"</f>
        <v>Matemática</v>
      </c>
      <c r="AF1258" s="14"/>
    </row>
    <row r="1259" spans="1:32" x14ac:dyDescent="0.3">
      <c r="A1259" s="23" t="s">
        <v>3206</v>
      </c>
      <c r="B1259" s="20" t="s">
        <v>6</v>
      </c>
      <c r="C1259" s="20" t="s">
        <v>7</v>
      </c>
      <c r="D1259" s="20" t="s">
        <v>8</v>
      </c>
      <c r="E1259" s="22">
        <v>124</v>
      </c>
      <c r="F1259" s="22">
        <v>4</v>
      </c>
      <c r="G1259" s="22">
        <v>5</v>
      </c>
      <c r="H1259" s="22"/>
      <c r="I1259" s="23" t="s">
        <v>9</v>
      </c>
      <c r="J1259" s="23"/>
      <c r="K1259" s="22"/>
      <c r="L1259" s="22"/>
      <c r="M1259" s="23"/>
      <c r="N1259" s="23"/>
      <c r="O1259" s="26" t="s">
        <v>3207</v>
      </c>
      <c r="P1259" s="26"/>
      <c r="Q1259" s="22"/>
      <c r="R1259" s="24"/>
      <c r="S1259" s="24"/>
      <c r="T1259" s="24"/>
      <c r="U1259" s="24"/>
      <c r="V1259" s="24"/>
      <c r="W1259" s="22" t="s">
        <v>87</v>
      </c>
      <c r="X1259" s="4" t="str">
        <f>IF(Tabela2[[#This Row],[sigla]]="","",VLOOKUP(Tabela2[[#This Row],[sigla]],créditos_base!B:C,2,0))</f>
        <v>CHRIS BORGES/ARQUIVO DA EDITORA</v>
      </c>
      <c r="Y1259" s="23"/>
      <c r="Z1259" s="23" t="str">
        <f>Tabela2[[#This Row],[ilustrador]]</f>
        <v>CHRIS BORGES/ARQUIVO DA EDITORA</v>
      </c>
      <c r="AA1259" s="22"/>
      <c r="AB1259" s="20"/>
      <c r="AD1259" s="4" t="str">
        <f>"Pitanguá"</f>
        <v>Pitanguá</v>
      </c>
      <c r="AE1259" s="14" t="str">
        <f>"Matemática"</f>
        <v>Matemática</v>
      </c>
      <c r="AF1259" s="14"/>
    </row>
    <row r="1260" spans="1:32" x14ac:dyDescent="0.3">
      <c r="A1260" s="23" t="s">
        <v>4108</v>
      </c>
      <c r="B1260" s="20" t="s">
        <v>6</v>
      </c>
      <c r="C1260" s="20" t="s">
        <v>7</v>
      </c>
      <c r="D1260" s="20" t="s">
        <v>8</v>
      </c>
      <c r="E1260" s="22">
        <v>166</v>
      </c>
      <c r="F1260" s="22">
        <v>5</v>
      </c>
      <c r="G1260" s="22">
        <v>5</v>
      </c>
      <c r="H1260" s="22"/>
      <c r="I1260" s="23" t="s">
        <v>9</v>
      </c>
      <c r="J1260" s="23"/>
      <c r="K1260" s="22"/>
      <c r="L1260" s="22"/>
      <c r="M1260" s="23"/>
      <c r="N1260" s="23"/>
      <c r="O1260" s="26" t="s">
        <v>4109</v>
      </c>
      <c r="P1260" s="26"/>
      <c r="Q1260" s="22"/>
      <c r="R1260" s="24"/>
      <c r="S1260" s="24"/>
      <c r="T1260" s="24"/>
      <c r="U1260" s="24"/>
      <c r="V1260" s="24"/>
      <c r="W1260" s="22" t="s">
        <v>151</v>
      </c>
      <c r="X1260" s="4" t="str">
        <f>IF(Tabela2[[#This Row],[sigla]]="","",VLOOKUP(Tabela2[[#This Row],[sigla]],créditos_base!B:C,2,0))</f>
        <v>ROGÉRIO CASAGRANDE/ARQUIVO DA EDITORA</v>
      </c>
      <c r="Y1260" s="23"/>
      <c r="Z1260" s="23" t="str">
        <f>Tabela2[[#This Row],[ilustrador]]</f>
        <v>ROGÉRIO CASAGRANDE/ARQUIVO DA EDITORA</v>
      </c>
      <c r="AA1260" s="22"/>
      <c r="AB1260" s="20"/>
      <c r="AD1260" s="4" t="str">
        <f>"Pitanguá"</f>
        <v>Pitanguá</v>
      </c>
      <c r="AE1260" s="14" t="str">
        <f>"Matemática"</f>
        <v>Matemática</v>
      </c>
      <c r="AF1260" s="14"/>
    </row>
    <row r="1261" spans="1:32" ht="28.8" x14ac:dyDescent="0.3">
      <c r="A1261" s="23" t="s">
        <v>255</v>
      </c>
      <c r="B1261" s="20" t="s">
        <v>135</v>
      </c>
      <c r="C1261" s="20" t="s">
        <v>89</v>
      </c>
      <c r="D1261" s="20" t="s">
        <v>8</v>
      </c>
      <c r="E1261" s="22">
        <v>89</v>
      </c>
      <c r="F1261" s="22">
        <v>1</v>
      </c>
      <c r="G1261" s="22">
        <v>5</v>
      </c>
      <c r="H1261" s="22"/>
      <c r="I1261" s="23" t="s">
        <v>9</v>
      </c>
      <c r="J1261" s="23"/>
      <c r="K1261" s="22"/>
      <c r="L1261" s="22"/>
      <c r="M1261" s="23"/>
      <c r="N1261" s="23"/>
      <c r="O1261" s="26" t="s">
        <v>256</v>
      </c>
      <c r="P1261" s="26"/>
      <c r="Q1261" s="22"/>
      <c r="R1261" s="24"/>
      <c r="S1261" s="24"/>
      <c r="T1261" s="24"/>
      <c r="U1261" s="24"/>
      <c r="V1261" s="24"/>
      <c r="W1261" s="22" t="s">
        <v>257</v>
      </c>
      <c r="X1261" s="4" t="str">
        <f>IF(Tabela2[[#This Row],[sigla]]="","",VLOOKUP(Tabela2[[#This Row],[sigla]],créditos_base!B:C,2,0))</f>
        <v>CARMEN MARTINEZ/ARQUIVO DA EDITORA</v>
      </c>
      <c r="Y1261" s="23"/>
      <c r="Z1261" s="23" t="str">
        <f>Tabela2[[#This Row],[ilustrador]]</f>
        <v>CARMEN MARTINEZ/ARQUIVO DA EDITORA</v>
      </c>
      <c r="AA1261" s="22"/>
      <c r="AB1261" s="20"/>
      <c r="AD1261" s="4" t="str">
        <f>"Pitanguá"</f>
        <v>Pitanguá</v>
      </c>
      <c r="AE1261" s="14" t="str">
        <f>"Matemática"</f>
        <v>Matemática</v>
      </c>
      <c r="AF1261" s="14"/>
    </row>
    <row r="1262" spans="1:32" ht="28.8" x14ac:dyDescent="0.3">
      <c r="A1262" s="23" t="s">
        <v>1512</v>
      </c>
      <c r="B1262" s="20" t="s">
        <v>16</v>
      </c>
      <c r="C1262" s="20" t="s">
        <v>7</v>
      </c>
      <c r="D1262" s="20" t="s">
        <v>8</v>
      </c>
      <c r="E1262" s="22">
        <v>76</v>
      </c>
      <c r="F1262" s="22">
        <v>2</v>
      </c>
      <c r="G1262" s="22">
        <v>5</v>
      </c>
      <c r="H1262" s="22"/>
      <c r="I1262" s="23" t="s">
        <v>9</v>
      </c>
      <c r="J1262" s="23"/>
      <c r="K1262" s="22"/>
      <c r="L1262" s="22"/>
      <c r="M1262" s="23"/>
      <c r="N1262" s="23"/>
      <c r="O1262" s="26" t="s">
        <v>1513</v>
      </c>
      <c r="P1262" s="26"/>
      <c r="Q1262" s="22"/>
      <c r="R1262" s="24"/>
      <c r="S1262" s="24"/>
      <c r="T1262" s="24"/>
      <c r="U1262" s="24"/>
      <c r="V1262" s="24"/>
      <c r="W1262" s="22" t="s">
        <v>940</v>
      </c>
      <c r="X1262" s="4" t="str">
        <f>IF(Tabela2[[#This Row],[sigla]]="","",VLOOKUP(Tabela2[[#This Row],[sigla]],créditos_base!B:C,2,0))</f>
        <v>RONALDO LUCENA/ARQUIVO DA EDITORA</v>
      </c>
      <c r="Y1262" s="23"/>
      <c r="Z1262" s="23" t="str">
        <f>Tabela2[[#This Row],[ilustrador]]</f>
        <v>RONALDO LUCENA/ARQUIVO DA EDITORA</v>
      </c>
      <c r="AA1262" s="22"/>
      <c r="AB1262" s="20"/>
      <c r="AD1262" s="4" t="str">
        <f>"Pitanguá"</f>
        <v>Pitanguá</v>
      </c>
      <c r="AE1262" s="14" t="str">
        <f>"Matemática"</f>
        <v>Matemática</v>
      </c>
      <c r="AF1262" s="14"/>
    </row>
    <row r="1263" spans="1:32" ht="72" x14ac:dyDescent="0.3">
      <c r="A1263" s="23" t="s">
        <v>2154</v>
      </c>
      <c r="B1263" s="20" t="s">
        <v>16</v>
      </c>
      <c r="C1263" s="20" t="s">
        <v>89</v>
      </c>
      <c r="D1263" s="20" t="s">
        <v>8</v>
      </c>
      <c r="E1263" s="22">
        <v>94</v>
      </c>
      <c r="F1263" s="22">
        <v>3</v>
      </c>
      <c r="G1263" s="22">
        <v>5</v>
      </c>
      <c r="H1263" s="22"/>
      <c r="I1263" s="23" t="s">
        <v>9</v>
      </c>
      <c r="J1263" s="23"/>
      <c r="K1263" s="22"/>
      <c r="L1263" s="22"/>
      <c r="M1263" s="23"/>
      <c r="N1263" s="23"/>
      <c r="O1263" s="26" t="s">
        <v>2155</v>
      </c>
      <c r="P1263" s="26"/>
      <c r="Q1263" s="22"/>
      <c r="R1263" s="24"/>
      <c r="S1263" s="24"/>
      <c r="T1263" s="24"/>
      <c r="U1263" s="24"/>
      <c r="V1263" s="24"/>
      <c r="W1263" s="22" t="s">
        <v>468</v>
      </c>
      <c r="X1263" s="4" t="str">
        <f>IF(Tabela2[[#This Row],[sigla]]="","",VLOOKUP(Tabela2[[#This Row],[sigla]],créditos_base!B:C,2,0))</f>
        <v>VER DOCUMENTO DE ILS. TÉCNICAS</v>
      </c>
      <c r="Y1263" s="23"/>
      <c r="Z1263" s="23" t="s">
        <v>2149</v>
      </c>
      <c r="AA1263" s="22"/>
      <c r="AB1263" s="20"/>
      <c r="AD1263" s="4" t="str">
        <f>"Pitanguá"</f>
        <v>Pitanguá</v>
      </c>
      <c r="AE1263" s="14" t="str">
        <f>"Matemática"</f>
        <v>Matemática</v>
      </c>
      <c r="AF1263" s="14"/>
    </row>
    <row r="1264" spans="1:32" ht="72" x14ac:dyDescent="0.3">
      <c r="A1264" s="23" t="s">
        <v>3208</v>
      </c>
      <c r="B1264" s="20" t="s">
        <v>16</v>
      </c>
      <c r="C1264" s="20" t="s">
        <v>7</v>
      </c>
      <c r="D1264" s="20" t="s">
        <v>8</v>
      </c>
      <c r="E1264" s="22">
        <v>143</v>
      </c>
      <c r="F1264" s="22">
        <v>4</v>
      </c>
      <c r="G1264" s="22">
        <v>5</v>
      </c>
      <c r="H1264" s="22"/>
      <c r="I1264" s="23" t="s">
        <v>33</v>
      </c>
      <c r="J1264" s="23"/>
      <c r="K1264" s="22"/>
      <c r="L1264" s="22"/>
      <c r="M1264" s="23"/>
      <c r="N1264" s="23"/>
      <c r="O1264" s="26" t="s">
        <v>3209</v>
      </c>
      <c r="P1264" s="26"/>
      <c r="Q1264" s="22">
        <v>107</v>
      </c>
      <c r="R1264" s="24">
        <v>45850</v>
      </c>
      <c r="S1264" s="24">
        <v>45853</v>
      </c>
      <c r="T1264" s="24"/>
      <c r="U1264" s="24"/>
      <c r="V1264" s="24">
        <v>45856</v>
      </c>
      <c r="W1264" s="22" t="s">
        <v>160</v>
      </c>
      <c r="X1264" s="4" t="str">
        <f>IF(Tabela2[[#This Row],[sigla]]="","",VLOOKUP(Tabela2[[#This Row],[sigla]],créditos_base!B:C,2,0))</f>
        <v>SERGIO LIMA/ARQUIVO DA EDITORA</v>
      </c>
      <c r="Y1264" s="23" t="s">
        <v>243</v>
      </c>
      <c r="Z1264" s="23" t="str">
        <f>Tabela2[[#This Row],[ilustrador]]</f>
        <v>SERGIO LIMA/ARQUIVO DA EDITORA</v>
      </c>
      <c r="AA1264" s="22">
        <v>13</v>
      </c>
      <c r="AB1264" s="20" t="s">
        <v>244</v>
      </c>
      <c r="AC1264" s="20" t="s">
        <v>36</v>
      </c>
      <c r="AD1264" s="4" t="str">
        <f>"Pitanguá"</f>
        <v>Pitanguá</v>
      </c>
      <c r="AE1264" s="14" t="str">
        <f>"Matemática"</f>
        <v>Matemática</v>
      </c>
      <c r="AF1264" s="14"/>
    </row>
    <row r="1265" spans="1:32" ht="72" x14ac:dyDescent="0.3">
      <c r="A1265" s="23" t="s">
        <v>4110</v>
      </c>
      <c r="B1265" s="20" t="s">
        <v>16</v>
      </c>
      <c r="C1265" s="20" t="s">
        <v>7</v>
      </c>
      <c r="D1265" s="20" t="s">
        <v>8</v>
      </c>
      <c r="E1265" s="22">
        <v>129</v>
      </c>
      <c r="F1265" s="22">
        <v>5</v>
      </c>
      <c r="G1265" s="22">
        <v>5</v>
      </c>
      <c r="H1265" s="22"/>
      <c r="I1265" s="23" t="s">
        <v>9</v>
      </c>
      <c r="J1265" s="23"/>
      <c r="K1265" s="22"/>
      <c r="L1265" s="22"/>
      <c r="M1265" s="23"/>
      <c r="N1265" s="23"/>
      <c r="O1265" s="26" t="s">
        <v>4111</v>
      </c>
      <c r="P1265" s="26"/>
      <c r="Q1265" s="22"/>
      <c r="R1265" s="24"/>
      <c r="S1265" s="24"/>
      <c r="T1265" s="24"/>
      <c r="U1265" s="24"/>
      <c r="V1265" s="24"/>
      <c r="W1265" s="22" t="s">
        <v>151</v>
      </c>
      <c r="X1265" s="4" t="str">
        <f>IF(Tabela2[[#This Row],[sigla]]="","",VLOOKUP(Tabela2[[#This Row],[sigla]],créditos_base!B:C,2,0))</f>
        <v>ROGÉRIO CASAGRANDE/ARQUIVO DA EDITORA</v>
      </c>
      <c r="Y1265" s="23"/>
      <c r="Z1265" s="23" t="str">
        <f>Tabela2[[#This Row],[ilustrador]]</f>
        <v>ROGÉRIO CASAGRANDE/ARQUIVO DA EDITORA</v>
      </c>
      <c r="AA1265" s="22"/>
      <c r="AB1265" s="20"/>
      <c r="AD1265" s="4" t="str">
        <f>"Pitanguá"</f>
        <v>Pitanguá</v>
      </c>
      <c r="AE1265" s="14" t="str">
        <f>"Matemática"</f>
        <v>Matemática</v>
      </c>
      <c r="AF1265" s="14"/>
    </row>
    <row r="1266" spans="1:32" ht="43.2" x14ac:dyDescent="0.3">
      <c r="A1266" s="23" t="s">
        <v>258</v>
      </c>
      <c r="B1266" s="20" t="s">
        <v>16</v>
      </c>
      <c r="C1266" s="20" t="s">
        <v>89</v>
      </c>
      <c r="D1266" s="20" t="s">
        <v>8</v>
      </c>
      <c r="E1266" s="22">
        <v>89</v>
      </c>
      <c r="F1266" s="22">
        <v>1</v>
      </c>
      <c r="G1266" s="22">
        <v>5</v>
      </c>
      <c r="H1266" s="22"/>
      <c r="I1266" s="23" t="s">
        <v>9</v>
      </c>
      <c r="J1266" s="23"/>
      <c r="K1266" s="22"/>
      <c r="L1266" s="22"/>
      <c r="M1266" s="23"/>
      <c r="N1266" s="23"/>
      <c r="O1266" s="26" t="s">
        <v>259</v>
      </c>
      <c r="P1266" s="26"/>
      <c r="Q1266" s="22"/>
      <c r="R1266" s="24"/>
      <c r="S1266" s="24"/>
      <c r="T1266" s="24"/>
      <c r="U1266" s="24"/>
      <c r="V1266" s="24"/>
      <c r="W1266" s="22" t="s">
        <v>257</v>
      </c>
      <c r="X1266" s="4" t="str">
        <f>IF(Tabela2[[#This Row],[sigla]]="","",VLOOKUP(Tabela2[[#This Row],[sigla]],créditos_base!B:C,2,0))</f>
        <v>CARMEN MARTINEZ/ARQUIVO DA EDITORA</v>
      </c>
      <c r="Y1266" s="23"/>
      <c r="Z1266" s="23" t="str">
        <f>Tabela2[[#This Row],[ilustrador]]</f>
        <v>CARMEN MARTINEZ/ARQUIVO DA EDITORA</v>
      </c>
      <c r="AA1266" s="22"/>
      <c r="AB1266" s="20"/>
      <c r="AD1266" s="4" t="str">
        <f>"Pitanguá"</f>
        <v>Pitanguá</v>
      </c>
      <c r="AE1266" s="14" t="str">
        <f>"Matemática"</f>
        <v>Matemática</v>
      </c>
      <c r="AF1266" s="14"/>
    </row>
    <row r="1267" spans="1:32" x14ac:dyDescent="0.3">
      <c r="A1267" s="23" t="s">
        <v>1514</v>
      </c>
      <c r="B1267" s="20" t="s">
        <v>16</v>
      </c>
      <c r="C1267" s="20" t="s">
        <v>7</v>
      </c>
      <c r="D1267" s="20" t="s">
        <v>8</v>
      </c>
      <c r="E1267" s="22">
        <v>76</v>
      </c>
      <c r="F1267" s="22">
        <v>2</v>
      </c>
      <c r="G1267" s="22">
        <v>5</v>
      </c>
      <c r="H1267" s="22"/>
      <c r="I1267" s="23" t="s">
        <v>9</v>
      </c>
      <c r="J1267" s="23"/>
      <c r="K1267" s="22"/>
      <c r="L1267" s="22"/>
      <c r="M1267" s="23"/>
      <c r="N1267" s="23"/>
      <c r="O1267" s="26" t="s">
        <v>1515</v>
      </c>
      <c r="P1267" s="26"/>
      <c r="Q1267" s="22"/>
      <c r="R1267" s="24"/>
      <c r="S1267" s="24"/>
      <c r="T1267" s="24"/>
      <c r="U1267" s="24"/>
      <c r="V1267" s="24"/>
      <c r="W1267" s="22" t="s">
        <v>356</v>
      </c>
      <c r="X1267" s="4" t="str">
        <f>IF(Tabela2[[#This Row],[sigla]]="","",VLOOKUP(Tabela2[[#This Row],[sigla]],créditos_base!B:C,2,0))</f>
        <v>CAMILA CARMONA/ARQUIVO DA EDITORA</v>
      </c>
      <c r="Y1267" s="23"/>
      <c r="Z1267" s="23" t="str">
        <f>Tabela2[[#This Row],[ilustrador]]</f>
        <v>CAMILA CARMONA/ARQUIVO DA EDITORA</v>
      </c>
      <c r="AA1267" s="22"/>
      <c r="AB1267" s="20"/>
      <c r="AD1267" s="4" t="str">
        <f>"Pitanguá"</f>
        <v>Pitanguá</v>
      </c>
      <c r="AE1267" s="14" t="str">
        <f>"Matemática"</f>
        <v>Matemática</v>
      </c>
      <c r="AF1267" s="14"/>
    </row>
    <row r="1268" spans="1:32" x14ac:dyDescent="0.3">
      <c r="A1268" s="23" t="s">
        <v>2156</v>
      </c>
      <c r="B1268" s="20" t="s">
        <v>16</v>
      </c>
      <c r="C1268" s="20" t="s">
        <v>89</v>
      </c>
      <c r="D1268" s="20" t="s">
        <v>8</v>
      </c>
      <c r="E1268" s="22">
        <v>94</v>
      </c>
      <c r="F1268" s="22">
        <v>3</v>
      </c>
      <c r="G1268" s="22">
        <v>5</v>
      </c>
      <c r="H1268" s="22"/>
      <c r="I1268" s="23" t="s">
        <v>9</v>
      </c>
      <c r="J1268" s="23"/>
      <c r="K1268" s="22"/>
      <c r="L1268" s="22"/>
      <c r="M1268" s="23"/>
      <c r="N1268" s="23"/>
      <c r="O1268" s="26" t="s">
        <v>2157</v>
      </c>
      <c r="P1268" s="26"/>
      <c r="Q1268" s="22"/>
      <c r="R1268" s="24"/>
      <c r="S1268" s="24"/>
      <c r="T1268" s="24"/>
      <c r="U1268" s="24"/>
      <c r="V1268" s="24"/>
      <c r="W1268" s="22" t="s">
        <v>468</v>
      </c>
      <c r="X1268" s="4" t="str">
        <f>IF(Tabela2[[#This Row],[sigla]]="","",VLOOKUP(Tabela2[[#This Row],[sigla]],créditos_base!B:C,2,0))</f>
        <v>VER DOCUMENTO DE ILS. TÉCNICAS</v>
      </c>
      <c r="Y1268" s="23"/>
      <c r="Z1268" s="23" t="s">
        <v>2149</v>
      </c>
      <c r="AA1268" s="22"/>
      <c r="AB1268" s="20"/>
      <c r="AD1268" s="4" t="str">
        <f>"Pitanguá"</f>
        <v>Pitanguá</v>
      </c>
      <c r="AE1268" s="14" t="str">
        <f>"Matemática"</f>
        <v>Matemática</v>
      </c>
      <c r="AF1268" s="14"/>
    </row>
    <row r="1269" spans="1:32" x14ac:dyDescent="0.3">
      <c r="A1269" s="23" t="s">
        <v>3210</v>
      </c>
      <c r="B1269" s="20" t="s">
        <v>16</v>
      </c>
      <c r="C1269" s="20" t="s">
        <v>7</v>
      </c>
      <c r="D1269" s="20" t="s">
        <v>8</v>
      </c>
      <c r="E1269" s="22">
        <v>126</v>
      </c>
      <c r="F1269" s="22">
        <v>4</v>
      </c>
      <c r="G1269" s="22">
        <v>5</v>
      </c>
      <c r="H1269" s="22"/>
      <c r="I1269" s="23" t="s">
        <v>33</v>
      </c>
      <c r="J1269" s="23"/>
      <c r="K1269" s="22"/>
      <c r="L1269" s="22"/>
      <c r="M1269" s="23"/>
      <c r="N1269" s="23"/>
      <c r="O1269" s="26" t="s">
        <v>3211</v>
      </c>
      <c r="P1269" s="26"/>
      <c r="Q1269" s="22">
        <v>186</v>
      </c>
      <c r="R1269" s="24">
        <v>45910</v>
      </c>
      <c r="S1269" s="24">
        <v>45910</v>
      </c>
      <c r="T1269" s="24"/>
      <c r="U1269" s="24"/>
      <c r="V1269" s="24">
        <v>45910</v>
      </c>
      <c r="W1269" s="22" t="s">
        <v>12</v>
      </c>
      <c r="X1269" s="4" t="str">
        <f>IF(Tabela2[[#This Row],[sigla]]="","",VLOOKUP(Tabela2[[#This Row],[sigla]],créditos_base!B:C,2,0))</f>
        <v>JORGE ZAIBA/ARQUIVO DA EDITORA</v>
      </c>
      <c r="Y1269" s="23" t="s">
        <v>696</v>
      </c>
      <c r="Z1269" s="23" t="str">
        <f>Tabela2[[#This Row],[ilustrador]]</f>
        <v>JORGE ZAIBA/ARQUIVO DA EDITORA</v>
      </c>
      <c r="AA1269" s="22">
        <v>13</v>
      </c>
      <c r="AB1269" s="20" t="s">
        <v>41</v>
      </c>
      <c r="AC1269" s="20" t="s">
        <v>36</v>
      </c>
      <c r="AD1269" s="4" t="str">
        <f>"Pitanguá"</f>
        <v>Pitanguá</v>
      </c>
      <c r="AE1269" s="14" t="str">
        <f>"Matemática"</f>
        <v>Matemática</v>
      </c>
      <c r="AF1269" s="14"/>
    </row>
    <row r="1270" spans="1:32" x14ac:dyDescent="0.3">
      <c r="A1270" s="23" t="s">
        <v>4112</v>
      </c>
      <c r="B1270" s="20" t="s">
        <v>6</v>
      </c>
      <c r="C1270" s="20" t="s">
        <v>7</v>
      </c>
      <c r="D1270" s="20" t="s">
        <v>8</v>
      </c>
      <c r="E1270" s="22">
        <v>166</v>
      </c>
      <c r="F1270" s="22">
        <v>5</v>
      </c>
      <c r="G1270" s="22">
        <v>5</v>
      </c>
      <c r="H1270" s="22"/>
      <c r="I1270" s="23" t="s">
        <v>9</v>
      </c>
      <c r="J1270" s="23"/>
      <c r="K1270" s="22"/>
      <c r="L1270" s="22"/>
      <c r="M1270" s="23"/>
      <c r="N1270" s="23"/>
      <c r="O1270" s="26" t="s">
        <v>4113</v>
      </c>
      <c r="P1270" s="26"/>
      <c r="Q1270" s="22"/>
      <c r="R1270" s="24"/>
      <c r="S1270" s="24"/>
      <c r="T1270" s="24"/>
      <c r="U1270" s="24"/>
      <c r="V1270" s="24"/>
      <c r="W1270" s="22" t="s">
        <v>151</v>
      </c>
      <c r="X1270" s="4" t="str">
        <f>IF(Tabela2[[#This Row],[sigla]]="","",VLOOKUP(Tabela2[[#This Row],[sigla]],créditos_base!B:C,2,0))</f>
        <v>ROGÉRIO CASAGRANDE/ARQUIVO DA EDITORA</v>
      </c>
      <c r="Y1270" s="23"/>
      <c r="Z1270" s="23" t="str">
        <f>Tabela2[[#This Row],[ilustrador]]</f>
        <v>ROGÉRIO CASAGRANDE/ARQUIVO DA EDITORA</v>
      </c>
      <c r="AA1270" s="22"/>
      <c r="AB1270" s="20"/>
      <c r="AD1270" s="4" t="str">
        <f>"Pitanguá"</f>
        <v>Pitanguá</v>
      </c>
      <c r="AE1270" s="14" t="str">
        <f>"Matemática"</f>
        <v>Matemática</v>
      </c>
      <c r="AF1270" s="14"/>
    </row>
    <row r="1271" spans="1:32" x14ac:dyDescent="0.3">
      <c r="A1271" s="23" t="s">
        <v>1516</v>
      </c>
      <c r="B1271" s="20" t="s">
        <v>16</v>
      </c>
      <c r="C1271" s="20" t="s">
        <v>7</v>
      </c>
      <c r="D1271" s="20" t="s">
        <v>8</v>
      </c>
      <c r="E1271" s="22">
        <v>76</v>
      </c>
      <c r="F1271" s="22">
        <v>2</v>
      </c>
      <c r="G1271" s="22">
        <v>5</v>
      </c>
      <c r="H1271" s="22"/>
      <c r="I1271" s="23" t="s">
        <v>9</v>
      </c>
      <c r="J1271" s="23"/>
      <c r="K1271" s="22"/>
      <c r="L1271" s="22"/>
      <c r="M1271" s="23"/>
      <c r="N1271" s="23"/>
      <c r="O1271" s="26" t="s">
        <v>1517</v>
      </c>
      <c r="P1271" s="26"/>
      <c r="Q1271" s="22"/>
      <c r="R1271" s="24"/>
      <c r="S1271" s="24"/>
      <c r="T1271" s="24"/>
      <c r="U1271" s="24"/>
      <c r="V1271" s="24"/>
      <c r="W1271" s="22" t="s">
        <v>356</v>
      </c>
      <c r="X1271" s="4" t="str">
        <f>IF(Tabela2[[#This Row],[sigla]]="","",VLOOKUP(Tabela2[[#This Row],[sigla]],créditos_base!B:C,2,0))</f>
        <v>CAMILA CARMONA/ARQUIVO DA EDITORA</v>
      </c>
      <c r="Y1271" s="23"/>
      <c r="Z1271" s="23" t="str">
        <f>Tabela2[[#This Row],[ilustrador]]</f>
        <v>CAMILA CARMONA/ARQUIVO DA EDITORA</v>
      </c>
      <c r="AA1271" s="22"/>
      <c r="AB1271" s="20"/>
      <c r="AD1271" s="4" t="str">
        <f>"Pitanguá"</f>
        <v>Pitanguá</v>
      </c>
      <c r="AE1271" s="14" t="str">
        <f>"Matemática"</f>
        <v>Matemática</v>
      </c>
      <c r="AF1271" s="14"/>
    </row>
    <row r="1272" spans="1:32" ht="28.8" x14ac:dyDescent="0.3">
      <c r="A1272" s="23" t="s">
        <v>2158</v>
      </c>
      <c r="B1272" s="20" t="s">
        <v>16</v>
      </c>
      <c r="C1272" s="20" t="s">
        <v>89</v>
      </c>
      <c r="D1272" s="20" t="s">
        <v>8</v>
      </c>
      <c r="E1272" s="22">
        <v>94</v>
      </c>
      <c r="F1272" s="22">
        <v>3</v>
      </c>
      <c r="G1272" s="22">
        <v>5</v>
      </c>
      <c r="H1272" s="22"/>
      <c r="I1272" s="23" t="s">
        <v>9</v>
      </c>
      <c r="J1272" s="23"/>
      <c r="K1272" s="22"/>
      <c r="L1272" s="22"/>
      <c r="M1272" s="23"/>
      <c r="N1272" s="23"/>
      <c r="O1272" s="26" t="s">
        <v>2159</v>
      </c>
      <c r="P1272" s="26"/>
      <c r="Q1272" s="22"/>
      <c r="R1272" s="24"/>
      <c r="S1272" s="24">
        <v>45821</v>
      </c>
      <c r="T1272" s="24"/>
      <c r="U1272" s="24"/>
      <c r="V1272" s="24">
        <v>45824</v>
      </c>
      <c r="W1272" s="22" t="s">
        <v>468</v>
      </c>
      <c r="X1272" s="4" t="str">
        <f>IF(Tabela2[[#This Row],[sigla]]="","",VLOOKUP(Tabela2[[#This Row],[sigla]],créditos_base!B:C,2,0))</f>
        <v>VER DOCUMENTO DE ILS. TÉCNICAS</v>
      </c>
      <c r="Y1272" s="23" t="s">
        <v>152</v>
      </c>
      <c r="Z1272" s="23" t="s">
        <v>2149</v>
      </c>
      <c r="AA1272" s="22">
        <v>13</v>
      </c>
      <c r="AB1272" s="20" t="s">
        <v>244</v>
      </c>
      <c r="AC1272" s="20" t="s">
        <v>36</v>
      </c>
      <c r="AD1272" s="4" t="str">
        <f>"Pitanguá"</f>
        <v>Pitanguá</v>
      </c>
      <c r="AE1272" s="14" t="str">
        <f>"Matemática"</f>
        <v>Matemática</v>
      </c>
      <c r="AF1272" s="14"/>
    </row>
    <row r="1273" spans="1:32" ht="57.6" x14ac:dyDescent="0.3">
      <c r="A1273" s="23" t="s">
        <v>3212</v>
      </c>
      <c r="B1273" s="20" t="s">
        <v>16</v>
      </c>
      <c r="C1273" s="20" t="s">
        <v>89</v>
      </c>
      <c r="D1273" s="20" t="s">
        <v>8</v>
      </c>
      <c r="E1273" s="22">
        <v>127</v>
      </c>
      <c r="F1273" s="22">
        <v>4</v>
      </c>
      <c r="G1273" s="22">
        <v>5</v>
      </c>
      <c r="H1273" s="22"/>
      <c r="I1273" s="23" t="s">
        <v>9</v>
      </c>
      <c r="J1273" s="23"/>
      <c r="K1273" s="22"/>
      <c r="L1273" s="22"/>
      <c r="M1273" s="23"/>
      <c r="N1273" s="23"/>
      <c r="O1273" s="26" t="s">
        <v>3213</v>
      </c>
      <c r="P1273" s="26"/>
      <c r="Q1273" s="22"/>
      <c r="R1273" s="24"/>
      <c r="S1273" s="24"/>
      <c r="T1273" s="24"/>
      <c r="U1273" s="24"/>
      <c r="V1273" s="24"/>
      <c r="W1273" s="22" t="s">
        <v>468</v>
      </c>
      <c r="X1273" s="4" t="str">
        <f>IF(Tabela2[[#This Row],[sigla]]="","",VLOOKUP(Tabela2[[#This Row],[sigla]],créditos_base!B:C,2,0))</f>
        <v>VER DOCUMENTO DE ILS. TÉCNICAS</v>
      </c>
      <c r="Y1273" s="23"/>
      <c r="Z1273" s="23" t="s">
        <v>689</v>
      </c>
      <c r="AA1273" s="22"/>
      <c r="AB1273" s="20"/>
      <c r="AD1273" s="4" t="str">
        <f>"Pitanguá"</f>
        <v>Pitanguá</v>
      </c>
      <c r="AE1273" s="14" t="str">
        <f>"Matemática"</f>
        <v>Matemática</v>
      </c>
      <c r="AF1273" s="14"/>
    </row>
    <row r="1274" spans="1:32" x14ac:dyDescent="0.3">
      <c r="A1274" s="23" t="s">
        <v>4114</v>
      </c>
      <c r="B1274" s="20" t="s">
        <v>16</v>
      </c>
      <c r="C1274" s="20" t="s">
        <v>7</v>
      </c>
      <c r="D1274" s="20" t="s">
        <v>8</v>
      </c>
      <c r="E1274" s="22">
        <v>129</v>
      </c>
      <c r="F1274" s="22">
        <v>5</v>
      </c>
      <c r="G1274" s="22">
        <v>5</v>
      </c>
      <c r="H1274" s="22"/>
      <c r="I1274" s="23" t="s">
        <v>9</v>
      </c>
      <c r="J1274" s="23"/>
      <c r="K1274" s="22"/>
      <c r="L1274" s="22"/>
      <c r="M1274" s="23"/>
      <c r="N1274" s="23"/>
      <c r="O1274" s="26" t="s">
        <v>4115</v>
      </c>
      <c r="P1274" s="26"/>
      <c r="Q1274" s="22"/>
      <c r="R1274" s="24"/>
      <c r="S1274" s="24"/>
      <c r="T1274" s="24"/>
      <c r="U1274" s="24"/>
      <c r="V1274" s="24"/>
      <c r="W1274" s="22" t="s">
        <v>151</v>
      </c>
      <c r="X1274" s="4" t="str">
        <f>IF(Tabela2[[#This Row],[sigla]]="","",VLOOKUP(Tabela2[[#This Row],[sigla]],créditos_base!B:C,2,0))</f>
        <v>ROGÉRIO CASAGRANDE/ARQUIVO DA EDITORA</v>
      </c>
      <c r="Y1274" s="23"/>
      <c r="Z1274" s="23" t="str">
        <f>Tabela2[[#This Row],[ilustrador]]</f>
        <v>ROGÉRIO CASAGRANDE/ARQUIVO DA EDITORA</v>
      </c>
      <c r="AA1274" s="22"/>
      <c r="AB1274" s="20"/>
      <c r="AD1274" s="4" t="str">
        <f>"Pitanguá"</f>
        <v>Pitanguá</v>
      </c>
      <c r="AE1274" s="14" t="str">
        <f>"Matemática"</f>
        <v>Matemática</v>
      </c>
      <c r="AF1274" s="14"/>
    </row>
    <row r="1275" spans="1:32" x14ac:dyDescent="0.3">
      <c r="A1275" s="23" t="s">
        <v>260</v>
      </c>
      <c r="B1275" s="20" t="s">
        <v>16</v>
      </c>
      <c r="C1275" s="20" t="s">
        <v>89</v>
      </c>
      <c r="D1275" s="20" t="s">
        <v>8</v>
      </c>
      <c r="E1275" s="22">
        <v>89</v>
      </c>
      <c r="F1275" s="22">
        <v>1</v>
      </c>
      <c r="G1275" s="22">
        <v>5</v>
      </c>
      <c r="H1275" s="22"/>
      <c r="I1275" s="23" t="s">
        <v>9</v>
      </c>
      <c r="J1275" s="23"/>
      <c r="K1275" s="22"/>
      <c r="L1275" s="22"/>
      <c r="M1275" s="23"/>
      <c r="N1275" s="23"/>
      <c r="O1275" s="26" t="s">
        <v>261</v>
      </c>
      <c r="P1275" s="26"/>
      <c r="Q1275" s="22"/>
      <c r="R1275" s="24"/>
      <c r="S1275" s="24"/>
      <c r="T1275" s="24"/>
      <c r="U1275" s="24"/>
      <c r="V1275" s="24"/>
      <c r="W1275" s="22" t="s">
        <v>257</v>
      </c>
      <c r="X1275" s="4" t="str">
        <f>IF(Tabela2[[#This Row],[sigla]]="","",VLOOKUP(Tabela2[[#This Row],[sigla]],créditos_base!B:C,2,0))</f>
        <v>CARMEN MARTINEZ/ARQUIVO DA EDITORA</v>
      </c>
      <c r="Y1275" s="23"/>
      <c r="Z1275" s="23" t="str">
        <f>Tabela2[[#This Row],[ilustrador]]</f>
        <v>CARMEN MARTINEZ/ARQUIVO DA EDITORA</v>
      </c>
      <c r="AA1275" s="22"/>
      <c r="AB1275" s="20"/>
      <c r="AD1275" s="4" t="str">
        <f>"Pitanguá"</f>
        <v>Pitanguá</v>
      </c>
      <c r="AE1275" s="14" t="str">
        <f>"Matemática"</f>
        <v>Matemática</v>
      </c>
      <c r="AF1275" s="14"/>
    </row>
    <row r="1276" spans="1:32" ht="43.2" x14ac:dyDescent="0.3">
      <c r="A1276" s="23" t="s">
        <v>1518</v>
      </c>
      <c r="B1276" s="20" t="s">
        <v>16</v>
      </c>
      <c r="C1276" s="20" t="s">
        <v>7</v>
      </c>
      <c r="D1276" s="20" t="s">
        <v>8</v>
      </c>
      <c r="E1276" s="22">
        <v>76</v>
      </c>
      <c r="F1276" s="22">
        <v>2</v>
      </c>
      <c r="G1276" s="22">
        <v>5</v>
      </c>
      <c r="H1276" s="22"/>
      <c r="I1276" s="23" t="s">
        <v>9</v>
      </c>
      <c r="J1276" s="23"/>
      <c r="K1276" s="22"/>
      <c r="L1276" s="22"/>
      <c r="M1276" s="23"/>
      <c r="N1276" s="23"/>
      <c r="O1276" s="26" t="s">
        <v>1519</v>
      </c>
      <c r="P1276" s="26"/>
      <c r="Q1276" s="22"/>
      <c r="R1276" s="24"/>
      <c r="S1276" s="24"/>
      <c r="T1276" s="24"/>
      <c r="U1276" s="24"/>
      <c r="V1276" s="24"/>
      <c r="W1276" s="22" t="s">
        <v>356</v>
      </c>
      <c r="X1276" s="4" t="str">
        <f>IF(Tabela2[[#This Row],[sigla]]="","",VLOOKUP(Tabela2[[#This Row],[sigla]],créditos_base!B:C,2,0))</f>
        <v>CAMILA CARMONA/ARQUIVO DA EDITORA</v>
      </c>
      <c r="Y1276" s="23"/>
      <c r="Z1276" s="23" t="str">
        <f>Tabela2[[#This Row],[ilustrador]]</f>
        <v>CAMILA CARMONA/ARQUIVO DA EDITORA</v>
      </c>
      <c r="AA1276" s="22"/>
      <c r="AB1276" s="20"/>
      <c r="AD1276" s="4" t="str">
        <f>"Pitanguá"</f>
        <v>Pitanguá</v>
      </c>
      <c r="AE1276" s="14" t="str">
        <f>"Matemática"</f>
        <v>Matemática</v>
      </c>
      <c r="AF1276" s="14"/>
    </row>
    <row r="1277" spans="1:32" ht="43.2" x14ac:dyDescent="0.3">
      <c r="A1277" s="23" t="s">
        <v>2160</v>
      </c>
      <c r="B1277" s="20" t="s">
        <v>16</v>
      </c>
      <c r="C1277" s="20" t="s">
        <v>89</v>
      </c>
      <c r="D1277" s="20" t="s">
        <v>8</v>
      </c>
      <c r="E1277" s="22">
        <v>94</v>
      </c>
      <c r="F1277" s="22">
        <v>3</v>
      </c>
      <c r="G1277" s="22">
        <v>5</v>
      </c>
      <c r="H1277" s="22"/>
      <c r="I1277" s="23" t="s">
        <v>9</v>
      </c>
      <c r="J1277" s="23"/>
      <c r="K1277" s="22"/>
      <c r="L1277" s="22"/>
      <c r="M1277" s="23"/>
      <c r="N1277" s="23"/>
      <c r="O1277" s="26" t="s">
        <v>2161</v>
      </c>
      <c r="P1277" s="26"/>
      <c r="Q1277" s="22"/>
      <c r="R1277" s="24"/>
      <c r="S1277" s="24"/>
      <c r="T1277" s="24"/>
      <c r="U1277" s="24"/>
      <c r="V1277" s="24"/>
      <c r="W1277" s="22" t="s">
        <v>160</v>
      </c>
      <c r="X1277" s="4" t="str">
        <f>IF(Tabela2[[#This Row],[sigla]]="","",VLOOKUP(Tabela2[[#This Row],[sigla]],créditos_base!B:C,2,0))</f>
        <v>SERGIO LIMA/ARQUIVO DA EDITORA</v>
      </c>
      <c r="Y1277" s="23"/>
      <c r="Z1277" s="23" t="str">
        <f>Tabela2[[#This Row],[ilustrador]]</f>
        <v>SERGIO LIMA/ARQUIVO DA EDITORA</v>
      </c>
      <c r="AA1277" s="22"/>
      <c r="AB1277" s="20"/>
      <c r="AD1277" s="4" t="str">
        <f>"Pitanguá"</f>
        <v>Pitanguá</v>
      </c>
      <c r="AE1277" s="14" t="str">
        <f>"Matemática"</f>
        <v>Matemática</v>
      </c>
      <c r="AF1277" s="14"/>
    </row>
    <row r="1278" spans="1:32" x14ac:dyDescent="0.3">
      <c r="A1278" s="23" t="s">
        <v>4116</v>
      </c>
      <c r="B1278" s="20" t="s">
        <v>16</v>
      </c>
      <c r="C1278" s="20" t="s">
        <v>89</v>
      </c>
      <c r="D1278" s="20" t="s">
        <v>8</v>
      </c>
      <c r="E1278" s="22">
        <v>129</v>
      </c>
      <c r="F1278" s="22">
        <v>5</v>
      </c>
      <c r="G1278" s="22">
        <v>5</v>
      </c>
      <c r="H1278" s="22"/>
      <c r="I1278" s="23" t="s">
        <v>9</v>
      </c>
      <c r="J1278" s="23"/>
      <c r="K1278" s="22"/>
      <c r="L1278" s="22"/>
      <c r="M1278" s="23"/>
      <c r="N1278" s="23"/>
      <c r="O1278" s="26" t="s">
        <v>4117</v>
      </c>
      <c r="P1278" s="26"/>
      <c r="Q1278" s="22"/>
      <c r="R1278" s="24"/>
      <c r="S1278" s="24"/>
      <c r="T1278" s="24"/>
      <c r="U1278" s="24"/>
      <c r="V1278" s="24"/>
      <c r="W1278" s="22" t="s">
        <v>940</v>
      </c>
      <c r="X1278" s="4" t="str">
        <f>IF(Tabela2[[#This Row],[sigla]]="","",VLOOKUP(Tabela2[[#This Row],[sigla]],créditos_base!B:C,2,0))</f>
        <v>RONALDO LUCENA/ARQUIVO DA EDITORA</v>
      </c>
      <c r="Y1278" s="23"/>
      <c r="Z1278" s="23" t="str">
        <f>Tabela2[[#This Row],[ilustrador]]</f>
        <v>RONALDO LUCENA/ARQUIVO DA EDITORA</v>
      </c>
      <c r="AA1278" s="22"/>
      <c r="AB1278" s="20"/>
      <c r="AD1278" s="4" t="str">
        <f>"Pitanguá"</f>
        <v>Pitanguá</v>
      </c>
      <c r="AE1278" s="14" t="str">
        <f>"Matemática"</f>
        <v>Matemática</v>
      </c>
      <c r="AF1278" s="14"/>
    </row>
    <row r="1279" spans="1:32" x14ac:dyDescent="0.3">
      <c r="A1279" s="23" t="s">
        <v>262</v>
      </c>
      <c r="B1279" s="20" t="s">
        <v>16</v>
      </c>
      <c r="C1279" s="20" t="s">
        <v>89</v>
      </c>
      <c r="D1279" s="20" t="s">
        <v>8</v>
      </c>
      <c r="E1279" s="22">
        <v>89</v>
      </c>
      <c r="F1279" s="22">
        <v>1</v>
      </c>
      <c r="G1279" s="22">
        <v>5</v>
      </c>
      <c r="H1279" s="22"/>
      <c r="I1279" s="23" t="s">
        <v>9</v>
      </c>
      <c r="J1279" s="23"/>
      <c r="K1279" s="22"/>
      <c r="L1279" s="22"/>
      <c r="M1279" s="23"/>
      <c r="N1279" s="23"/>
      <c r="O1279" s="26" t="s">
        <v>263</v>
      </c>
      <c r="P1279" s="26"/>
      <c r="Q1279" s="22"/>
      <c r="R1279" s="24"/>
      <c r="S1279" s="24"/>
      <c r="T1279" s="24"/>
      <c r="U1279" s="24"/>
      <c r="V1279" s="24"/>
      <c r="W1279" s="22" t="s">
        <v>257</v>
      </c>
      <c r="X1279" s="4" t="str">
        <f>IF(Tabela2[[#This Row],[sigla]]="","",VLOOKUP(Tabela2[[#This Row],[sigla]],créditos_base!B:C,2,0))</f>
        <v>CARMEN MARTINEZ/ARQUIVO DA EDITORA</v>
      </c>
      <c r="Y1279" s="23"/>
      <c r="Z1279" s="23" t="str">
        <f>Tabela2[[#This Row],[ilustrador]]</f>
        <v>CARMEN MARTINEZ/ARQUIVO DA EDITORA</v>
      </c>
      <c r="AA1279" s="22"/>
      <c r="AB1279" s="20"/>
      <c r="AD1279" s="4" t="str">
        <f>"Pitanguá"</f>
        <v>Pitanguá</v>
      </c>
      <c r="AE1279" s="14" t="str">
        <f>"Matemática"</f>
        <v>Matemática</v>
      </c>
      <c r="AF1279" s="14"/>
    </row>
    <row r="1280" spans="1:32" x14ac:dyDescent="0.3">
      <c r="A1280" s="23" t="s">
        <v>1520</v>
      </c>
      <c r="B1280" s="20" t="s">
        <v>6</v>
      </c>
      <c r="C1280" s="20" t="s">
        <v>7</v>
      </c>
      <c r="D1280" s="20" t="s">
        <v>8</v>
      </c>
      <c r="E1280" s="22">
        <v>77</v>
      </c>
      <c r="F1280" s="22">
        <v>2</v>
      </c>
      <c r="G1280" s="22">
        <v>5</v>
      </c>
      <c r="H1280" s="22"/>
      <c r="I1280" s="23" t="s">
        <v>9</v>
      </c>
      <c r="J1280" s="23"/>
      <c r="K1280" s="22"/>
      <c r="L1280" s="22"/>
      <c r="M1280" s="23"/>
      <c r="N1280" s="23"/>
      <c r="O1280" s="26" t="s">
        <v>1521</v>
      </c>
      <c r="P1280" s="26" t="s">
        <v>465</v>
      </c>
      <c r="Q1280" s="22"/>
      <c r="R1280" s="24"/>
      <c r="S1280" s="24"/>
      <c r="T1280" s="24"/>
      <c r="U1280" s="24"/>
      <c r="V1280" s="24"/>
      <c r="W1280" s="22" t="s">
        <v>940</v>
      </c>
      <c r="X1280" s="4" t="str">
        <f>IF(Tabela2[[#This Row],[sigla]]="","",VLOOKUP(Tabela2[[#This Row],[sigla]],créditos_base!B:C,2,0))</f>
        <v>RONALDO LUCENA/ARQUIVO DA EDITORA</v>
      </c>
      <c r="Y1280" s="23"/>
      <c r="Z1280" s="23" t="str">
        <f>Tabela2[[#This Row],[ilustrador]]</f>
        <v>RONALDO LUCENA/ARQUIVO DA EDITORA</v>
      </c>
      <c r="AA1280" s="22"/>
      <c r="AB1280" s="20"/>
      <c r="AD1280" s="4" t="str">
        <f>"Pitanguá"</f>
        <v>Pitanguá</v>
      </c>
      <c r="AE1280" s="14" t="str">
        <f>"Matemática"</f>
        <v>Matemática</v>
      </c>
      <c r="AF1280" s="14"/>
    </row>
    <row r="1281" spans="1:32" x14ac:dyDescent="0.3">
      <c r="A1281" s="23" t="s">
        <v>2162</v>
      </c>
      <c r="B1281" s="20" t="s">
        <v>16</v>
      </c>
      <c r="C1281" s="20" t="s">
        <v>89</v>
      </c>
      <c r="D1281" s="20" t="s">
        <v>8</v>
      </c>
      <c r="E1281" s="22">
        <v>94</v>
      </c>
      <c r="F1281" s="22">
        <v>3</v>
      </c>
      <c r="G1281" s="22">
        <v>5</v>
      </c>
      <c r="H1281" s="22"/>
      <c r="I1281" s="23" t="s">
        <v>9</v>
      </c>
      <c r="J1281" s="23"/>
      <c r="K1281" s="22"/>
      <c r="L1281" s="22"/>
      <c r="M1281" s="23"/>
      <c r="N1281" s="23"/>
      <c r="O1281" s="26" t="s">
        <v>2163</v>
      </c>
      <c r="P1281" s="26"/>
      <c r="Q1281" s="22"/>
      <c r="R1281" s="24"/>
      <c r="S1281" s="24"/>
      <c r="T1281" s="24"/>
      <c r="U1281" s="24"/>
      <c r="V1281" s="24"/>
      <c r="W1281" s="22" t="s">
        <v>160</v>
      </c>
      <c r="X1281" s="4" t="str">
        <f>IF(Tabela2[[#This Row],[sigla]]="","",VLOOKUP(Tabela2[[#This Row],[sigla]],créditos_base!B:C,2,0))</f>
        <v>SERGIO LIMA/ARQUIVO DA EDITORA</v>
      </c>
      <c r="Y1281" s="23"/>
      <c r="Z1281" s="23" t="str">
        <f>Tabela2[[#This Row],[ilustrador]]</f>
        <v>SERGIO LIMA/ARQUIVO DA EDITORA</v>
      </c>
      <c r="AA1281" s="22"/>
      <c r="AB1281" s="20"/>
      <c r="AD1281" s="4" t="str">
        <f>"Pitanguá"</f>
        <v>Pitanguá</v>
      </c>
      <c r="AE1281" s="14" t="str">
        <f>"Matemática"</f>
        <v>Matemática</v>
      </c>
      <c r="AF1281" s="14"/>
    </row>
    <row r="1282" spans="1:32" x14ac:dyDescent="0.3">
      <c r="A1282" s="23" t="s">
        <v>4118</v>
      </c>
      <c r="B1282" s="20" t="s">
        <v>522</v>
      </c>
      <c r="C1282" s="20" t="s">
        <v>89</v>
      </c>
      <c r="D1282" s="20" t="s">
        <v>8</v>
      </c>
      <c r="E1282" s="22">
        <v>130</v>
      </c>
      <c r="F1282" s="22">
        <v>5</v>
      </c>
      <c r="G1282" s="22">
        <v>5</v>
      </c>
      <c r="H1282" s="22"/>
      <c r="I1282" s="23" t="s">
        <v>33</v>
      </c>
      <c r="J1282" s="23"/>
      <c r="K1282" s="22"/>
      <c r="L1282" s="22"/>
      <c r="M1282" s="23"/>
      <c r="N1282" s="23"/>
      <c r="O1282" s="26" t="s">
        <v>4119</v>
      </c>
      <c r="P1282" s="26"/>
      <c r="Q1282" s="22">
        <v>205</v>
      </c>
      <c r="R1282" s="24">
        <v>45925</v>
      </c>
      <c r="S1282" s="24">
        <v>45925</v>
      </c>
      <c r="T1282" s="24"/>
      <c r="U1282" s="24"/>
      <c r="V1282" s="24">
        <v>45925</v>
      </c>
      <c r="W1282" s="22" t="s">
        <v>160</v>
      </c>
      <c r="X1282" s="4" t="str">
        <f>IF(Tabela2[[#This Row],[sigla]]="","",VLOOKUP(Tabela2[[#This Row],[sigla]],créditos_base!B:C,2,0))</f>
        <v>SERGIO LIMA/ARQUIVO DA EDITORA</v>
      </c>
      <c r="Y1282" s="23" t="s">
        <v>188</v>
      </c>
      <c r="Z1282" s="23" t="str">
        <f>Tabela2[[#This Row],[ilustrador]]</f>
        <v>SERGIO LIMA/ARQUIVO DA EDITORA</v>
      </c>
      <c r="AA1282" s="22">
        <v>13</v>
      </c>
      <c r="AB1282" s="20" t="s">
        <v>41</v>
      </c>
      <c r="AD1282" s="4" t="str">
        <f>"Pitanguá"</f>
        <v>Pitanguá</v>
      </c>
      <c r="AE1282" s="14" t="str">
        <f>"Matemática"</f>
        <v>Matemática</v>
      </c>
      <c r="AF1282" s="14"/>
    </row>
    <row r="1283" spans="1:32" ht="43.2" x14ac:dyDescent="0.3">
      <c r="A1283" s="23" t="s">
        <v>1522</v>
      </c>
      <c r="B1283" s="20" t="s">
        <v>16</v>
      </c>
      <c r="C1283" s="20" t="s">
        <v>89</v>
      </c>
      <c r="D1283" s="20" t="s">
        <v>8</v>
      </c>
      <c r="E1283" s="22">
        <v>77</v>
      </c>
      <c r="F1283" s="22">
        <v>2</v>
      </c>
      <c r="G1283" s="22">
        <v>5</v>
      </c>
      <c r="H1283" s="22"/>
      <c r="I1283" s="23" t="s">
        <v>9</v>
      </c>
      <c r="J1283" s="23"/>
      <c r="K1283" s="22"/>
      <c r="L1283" s="22"/>
      <c r="M1283" s="23"/>
      <c r="N1283" s="23"/>
      <c r="O1283" s="26" t="s">
        <v>1523</v>
      </c>
      <c r="P1283" s="26"/>
      <c r="Q1283" s="22"/>
      <c r="R1283" s="24"/>
      <c r="S1283" s="24"/>
      <c r="T1283" s="24"/>
      <c r="U1283" s="24"/>
      <c r="V1283" s="24"/>
      <c r="W1283" s="22" t="s">
        <v>160</v>
      </c>
      <c r="X1283" s="4" t="str">
        <f>IF(Tabela2[[#This Row],[sigla]]="","",VLOOKUP(Tabela2[[#This Row],[sigla]],créditos_base!B:C,2,0))</f>
        <v>SERGIO LIMA/ARQUIVO DA EDITORA</v>
      </c>
      <c r="Y1283" s="23"/>
      <c r="Z1283" s="23" t="str">
        <f>Tabela2[[#This Row],[ilustrador]]</f>
        <v>SERGIO LIMA/ARQUIVO DA EDITORA</v>
      </c>
      <c r="AA1283" s="22"/>
      <c r="AB1283" s="20"/>
      <c r="AD1283" s="4" t="str">
        <f>"Pitanguá"</f>
        <v>Pitanguá</v>
      </c>
      <c r="AE1283" s="14" t="str">
        <f>"Matemática"</f>
        <v>Matemática</v>
      </c>
      <c r="AF1283" s="14"/>
    </row>
    <row r="1284" spans="1:32" x14ac:dyDescent="0.3">
      <c r="A1284" s="23" t="s">
        <v>2164</v>
      </c>
      <c r="B1284" s="20" t="s">
        <v>16</v>
      </c>
      <c r="C1284" s="20" t="s">
        <v>89</v>
      </c>
      <c r="D1284" s="20" t="s">
        <v>8</v>
      </c>
      <c r="E1284" s="22">
        <v>94</v>
      </c>
      <c r="F1284" s="22">
        <v>3</v>
      </c>
      <c r="G1284" s="22">
        <v>5</v>
      </c>
      <c r="H1284" s="22"/>
      <c r="I1284" s="23" t="s">
        <v>9</v>
      </c>
      <c r="J1284" s="23"/>
      <c r="K1284" s="22"/>
      <c r="L1284" s="22"/>
      <c r="M1284" s="23"/>
      <c r="N1284" s="23"/>
      <c r="O1284" s="26" t="s">
        <v>2165</v>
      </c>
      <c r="P1284" s="26"/>
      <c r="Q1284" s="22"/>
      <c r="R1284" s="24"/>
      <c r="S1284" s="24"/>
      <c r="T1284" s="24"/>
      <c r="U1284" s="24"/>
      <c r="V1284" s="24"/>
      <c r="W1284" s="22" t="s">
        <v>160</v>
      </c>
      <c r="X1284" s="4" t="str">
        <f>IF(Tabela2[[#This Row],[sigla]]="","",VLOOKUP(Tabela2[[#This Row],[sigla]],créditos_base!B:C,2,0))</f>
        <v>SERGIO LIMA/ARQUIVO DA EDITORA</v>
      </c>
      <c r="Y1284" s="23"/>
      <c r="Z1284" s="23" t="str">
        <f>Tabela2[[#This Row],[ilustrador]]</f>
        <v>SERGIO LIMA/ARQUIVO DA EDITORA</v>
      </c>
      <c r="AA1284" s="22"/>
      <c r="AB1284" s="20"/>
      <c r="AD1284" s="4" t="str">
        <f>"Pitanguá"</f>
        <v>Pitanguá</v>
      </c>
      <c r="AE1284" s="14" t="str">
        <f>"Matemática"</f>
        <v>Matemática</v>
      </c>
      <c r="AF1284" s="14"/>
    </row>
    <row r="1285" spans="1:32" x14ac:dyDescent="0.3">
      <c r="A1285" s="23" t="s">
        <v>4120</v>
      </c>
      <c r="B1285" s="20" t="s">
        <v>522</v>
      </c>
      <c r="C1285" s="20" t="s">
        <v>89</v>
      </c>
      <c r="D1285" s="20" t="s">
        <v>8</v>
      </c>
      <c r="E1285" s="22">
        <v>130</v>
      </c>
      <c r="F1285" s="22">
        <v>5</v>
      </c>
      <c r="G1285" s="22">
        <v>5</v>
      </c>
      <c r="H1285" s="22"/>
      <c r="I1285" s="23" t="s">
        <v>33</v>
      </c>
      <c r="J1285" s="23"/>
      <c r="K1285" s="22"/>
      <c r="L1285" s="22"/>
      <c r="M1285" s="23"/>
      <c r="N1285" s="23"/>
      <c r="O1285" s="26" t="s">
        <v>4121</v>
      </c>
      <c r="P1285" s="26"/>
      <c r="Q1285" s="22">
        <v>205</v>
      </c>
      <c r="R1285" s="24">
        <v>45925</v>
      </c>
      <c r="S1285" s="24">
        <v>45925</v>
      </c>
      <c r="T1285" s="24"/>
      <c r="U1285" s="24"/>
      <c r="V1285" s="24">
        <v>45925</v>
      </c>
      <c r="W1285" s="22" t="s">
        <v>160</v>
      </c>
      <c r="X1285" s="4" t="str">
        <f>IF(Tabela2[[#This Row],[sigla]]="","",VLOOKUP(Tabela2[[#This Row],[sigla]],créditos_base!B:C,2,0))</f>
        <v>SERGIO LIMA/ARQUIVO DA EDITORA</v>
      </c>
      <c r="Y1285" s="23" t="s">
        <v>188</v>
      </c>
      <c r="Z1285" s="23" t="str">
        <f>Tabela2[[#This Row],[ilustrador]]</f>
        <v>SERGIO LIMA/ARQUIVO DA EDITORA</v>
      </c>
      <c r="AA1285" s="22">
        <v>13</v>
      </c>
      <c r="AB1285" s="20" t="s">
        <v>41</v>
      </c>
      <c r="AD1285" s="4" t="str">
        <f>"Pitanguá"</f>
        <v>Pitanguá</v>
      </c>
      <c r="AE1285" s="14" t="str">
        <f>"Matemática"</f>
        <v>Matemática</v>
      </c>
      <c r="AF1285" s="14"/>
    </row>
    <row r="1286" spans="1:32" x14ac:dyDescent="0.3">
      <c r="A1286" s="23" t="s">
        <v>264</v>
      </c>
      <c r="B1286" s="20" t="s">
        <v>16</v>
      </c>
      <c r="C1286" s="20" t="s">
        <v>89</v>
      </c>
      <c r="D1286" s="20" t="s">
        <v>8</v>
      </c>
      <c r="E1286" s="22">
        <v>89</v>
      </c>
      <c r="F1286" s="22">
        <v>1</v>
      </c>
      <c r="G1286" s="22">
        <v>5</v>
      </c>
      <c r="H1286" s="22"/>
      <c r="I1286" s="23" t="s">
        <v>9</v>
      </c>
      <c r="J1286" s="23"/>
      <c r="K1286" s="22"/>
      <c r="L1286" s="22"/>
      <c r="M1286" s="23"/>
      <c r="N1286" s="23"/>
      <c r="O1286" s="26" t="s">
        <v>265</v>
      </c>
      <c r="P1286" s="26"/>
      <c r="Q1286" s="22"/>
      <c r="R1286" s="24"/>
      <c r="S1286" s="24"/>
      <c r="T1286" s="24"/>
      <c r="U1286" s="24"/>
      <c r="V1286" s="24"/>
      <c r="W1286" s="22" t="s">
        <v>257</v>
      </c>
      <c r="X1286" s="4" t="str">
        <f>IF(Tabela2[[#This Row],[sigla]]="","",VLOOKUP(Tabela2[[#This Row],[sigla]],créditos_base!B:C,2,0))</f>
        <v>CARMEN MARTINEZ/ARQUIVO DA EDITORA</v>
      </c>
      <c r="Y1286" s="23"/>
      <c r="Z1286" s="23" t="str">
        <f>Tabela2[[#This Row],[ilustrador]]</f>
        <v>CARMEN MARTINEZ/ARQUIVO DA EDITORA</v>
      </c>
      <c r="AA1286" s="22"/>
      <c r="AB1286" s="20"/>
      <c r="AD1286" s="4" t="str">
        <f>"Pitanguá"</f>
        <v>Pitanguá</v>
      </c>
      <c r="AE1286" s="14" t="str">
        <f>"Matemática"</f>
        <v>Matemática</v>
      </c>
      <c r="AF1286" s="14"/>
    </row>
    <row r="1287" spans="1:32" x14ac:dyDescent="0.3">
      <c r="A1287" s="23" t="s">
        <v>1524</v>
      </c>
      <c r="B1287" s="20" t="s">
        <v>16</v>
      </c>
      <c r="C1287" s="20" t="s">
        <v>89</v>
      </c>
      <c r="D1287" s="20" t="s">
        <v>8</v>
      </c>
      <c r="E1287" s="22">
        <v>77</v>
      </c>
      <c r="F1287" s="22">
        <v>2</v>
      </c>
      <c r="G1287" s="22">
        <v>5</v>
      </c>
      <c r="H1287" s="22"/>
      <c r="I1287" s="23" t="s">
        <v>33</v>
      </c>
      <c r="J1287" s="23"/>
      <c r="K1287" s="22"/>
      <c r="L1287" s="22"/>
      <c r="M1287" s="23"/>
      <c r="N1287" s="23"/>
      <c r="O1287" s="26" t="s">
        <v>1525</v>
      </c>
      <c r="P1287" s="26"/>
      <c r="Q1287" s="22">
        <v>147</v>
      </c>
      <c r="R1287" s="24">
        <v>45876</v>
      </c>
      <c r="S1287" s="24">
        <v>45876</v>
      </c>
      <c r="T1287" s="24"/>
      <c r="U1287" s="24"/>
      <c r="V1287" s="24">
        <v>45877</v>
      </c>
      <c r="W1287" s="22" t="s">
        <v>160</v>
      </c>
      <c r="X1287" s="4" t="str">
        <f>IF(Tabela2[[#This Row],[sigla]]="","",VLOOKUP(Tabela2[[#This Row],[sigla]],créditos_base!B:C,2,0))</f>
        <v>SERGIO LIMA/ARQUIVO DA EDITORA</v>
      </c>
      <c r="Y1287" s="23" t="s">
        <v>13</v>
      </c>
      <c r="Z1287" s="23" t="str">
        <f>Tabela2[[#This Row],[ilustrador]]</f>
        <v>SERGIO LIMA/ARQUIVO DA EDITORA</v>
      </c>
      <c r="AA1287" s="22">
        <v>13</v>
      </c>
      <c r="AB1287" s="20" t="s">
        <v>1526</v>
      </c>
      <c r="AC1287" s="20" t="s">
        <v>36</v>
      </c>
      <c r="AD1287" s="4" t="str">
        <f>"Pitanguá"</f>
        <v>Pitanguá</v>
      </c>
      <c r="AE1287" s="14" t="str">
        <f>"Matemática"</f>
        <v>Matemática</v>
      </c>
      <c r="AF1287" s="14"/>
    </row>
    <row r="1288" spans="1:32" ht="43.2" x14ac:dyDescent="0.3">
      <c r="A1288" s="23" t="s">
        <v>4815</v>
      </c>
      <c r="B1288" s="20" t="s">
        <v>16</v>
      </c>
      <c r="C1288" s="20" t="s">
        <v>7</v>
      </c>
      <c r="D1288" s="20" t="s">
        <v>8</v>
      </c>
      <c r="E1288" s="22">
        <v>137</v>
      </c>
      <c r="F1288" s="22">
        <v>3</v>
      </c>
      <c r="G1288" s="22">
        <v>5</v>
      </c>
      <c r="H1288" s="22"/>
      <c r="I1288" s="23" t="s">
        <v>33</v>
      </c>
      <c r="J1288" s="23"/>
      <c r="K1288" s="22"/>
      <c r="L1288" s="22"/>
      <c r="M1288" s="23"/>
      <c r="N1288" s="23"/>
      <c r="O1288" s="26" t="s">
        <v>4816</v>
      </c>
      <c r="P1288" s="20"/>
      <c r="Q1288" s="22">
        <v>79</v>
      </c>
      <c r="R1288" s="24">
        <v>45820</v>
      </c>
      <c r="S1288" s="24">
        <v>45821</v>
      </c>
      <c r="T1288" s="24"/>
      <c r="U1288" s="24"/>
      <c r="V1288" s="24">
        <v>45824</v>
      </c>
      <c r="W1288" s="22" t="s">
        <v>160</v>
      </c>
      <c r="X1288" s="4" t="str">
        <f>IF(Tabela2[[#This Row],[sigla]]="","",VLOOKUP(Tabela2[[#This Row],[sigla]],créditos_base!B:C,2,0))</f>
        <v>SERGIO LIMA/ARQUIVO DA EDITORA</v>
      </c>
      <c r="Y1288" s="23" t="s">
        <v>152</v>
      </c>
      <c r="Z1288" s="23" t="str">
        <f>Tabela2[[#This Row],[ilustrador]]</f>
        <v>SERGIO LIMA/ARQUIVO DA EDITORA</v>
      </c>
      <c r="AA1288" s="22">
        <v>13</v>
      </c>
      <c r="AB1288" s="20" t="s">
        <v>244</v>
      </c>
      <c r="AC1288" s="20" t="s">
        <v>36</v>
      </c>
      <c r="AD1288" s="4" t="str">
        <f>"Pitanguá"</f>
        <v>Pitanguá</v>
      </c>
      <c r="AE1288" s="14" t="str">
        <f>"Matemática"</f>
        <v>Matemática</v>
      </c>
      <c r="AF1288" s="14"/>
    </row>
    <row r="1289" spans="1:32" ht="28.8" x14ac:dyDescent="0.3">
      <c r="A1289" s="23" t="s">
        <v>3216</v>
      </c>
      <c r="B1289" s="20" t="s">
        <v>16</v>
      </c>
      <c r="C1289" s="20" t="s">
        <v>7</v>
      </c>
      <c r="D1289" s="20" t="s">
        <v>8</v>
      </c>
      <c r="E1289" s="22">
        <v>133</v>
      </c>
      <c r="F1289" s="22">
        <v>4</v>
      </c>
      <c r="G1289" s="22">
        <v>5</v>
      </c>
      <c r="H1289" s="22"/>
      <c r="I1289" s="23" t="s">
        <v>33</v>
      </c>
      <c r="J1289" s="23"/>
      <c r="K1289" s="22"/>
      <c r="L1289" s="22"/>
      <c r="M1289" s="23"/>
      <c r="N1289" s="23"/>
      <c r="O1289" s="26" t="s">
        <v>3217</v>
      </c>
      <c r="P1289" s="26"/>
      <c r="Q1289" s="22">
        <v>45</v>
      </c>
      <c r="R1289" s="24">
        <v>45794</v>
      </c>
      <c r="S1289" s="24">
        <v>45797</v>
      </c>
      <c r="T1289" s="24"/>
      <c r="U1289" s="24"/>
      <c r="V1289" s="24">
        <v>45797</v>
      </c>
      <c r="W1289" s="22" t="s">
        <v>3189</v>
      </c>
      <c r="X1289" s="4" t="str">
        <f>IF(Tabela2[[#This Row],[sigla]]="","",VLOOKUP(Tabela2[[#This Row],[sigla]],créditos_base!B:C,2,0))</f>
        <v>ANDRÉ AGUIAR/ARQUIVO DA EDITORA</v>
      </c>
      <c r="Y1289" s="23" t="s">
        <v>188</v>
      </c>
      <c r="Z1289" s="23" t="str">
        <f>Tabela2[[#This Row],[ilustrador]]</f>
        <v>ANDRÉ AGUIAR/ARQUIVO DA EDITORA</v>
      </c>
      <c r="AA1289" s="22">
        <v>14</v>
      </c>
      <c r="AB1289" s="20" t="s">
        <v>153</v>
      </c>
      <c r="AC1289" s="20" t="s">
        <v>36</v>
      </c>
      <c r="AD1289" s="4" t="str">
        <f>"Pitanguá"</f>
        <v>Pitanguá</v>
      </c>
      <c r="AE1289" s="14" t="str">
        <f>"Matemática"</f>
        <v>Matemática</v>
      </c>
      <c r="AF1289" s="14"/>
    </row>
    <row r="1290" spans="1:32" x14ac:dyDescent="0.3">
      <c r="A1290" s="23" t="s">
        <v>4122</v>
      </c>
      <c r="B1290" s="20" t="s">
        <v>522</v>
      </c>
      <c r="C1290" s="20" t="s">
        <v>89</v>
      </c>
      <c r="D1290" s="20" t="s">
        <v>8</v>
      </c>
      <c r="E1290" s="22">
        <v>130</v>
      </c>
      <c r="F1290" s="22">
        <v>5</v>
      </c>
      <c r="G1290" s="22">
        <v>5</v>
      </c>
      <c r="H1290" s="22"/>
      <c r="I1290" s="23" t="s">
        <v>33</v>
      </c>
      <c r="J1290" s="23"/>
      <c r="K1290" s="22"/>
      <c r="L1290" s="22"/>
      <c r="M1290" s="23"/>
      <c r="N1290" s="23"/>
      <c r="O1290" s="26" t="s">
        <v>4123</v>
      </c>
      <c r="P1290" s="26"/>
      <c r="Q1290" s="22">
        <v>205</v>
      </c>
      <c r="R1290" s="24">
        <v>45925</v>
      </c>
      <c r="S1290" s="24">
        <v>45925</v>
      </c>
      <c r="T1290" s="24"/>
      <c r="U1290" s="24"/>
      <c r="V1290" s="24">
        <v>45925</v>
      </c>
      <c r="W1290" s="22" t="s">
        <v>160</v>
      </c>
      <c r="X1290" s="4" t="str">
        <f>IF(Tabela2[[#This Row],[sigla]]="","",VLOOKUP(Tabela2[[#This Row],[sigla]],créditos_base!B:C,2,0))</f>
        <v>SERGIO LIMA/ARQUIVO DA EDITORA</v>
      </c>
      <c r="Y1290" s="23" t="s">
        <v>188</v>
      </c>
      <c r="Z1290" s="23" t="str">
        <f>Tabela2[[#This Row],[ilustrador]]</f>
        <v>SERGIO LIMA/ARQUIVO DA EDITORA</v>
      </c>
      <c r="AA1290" s="22">
        <v>13</v>
      </c>
      <c r="AB1290" s="20" t="s">
        <v>41</v>
      </c>
      <c r="AD1290" s="4" t="str">
        <f>"Pitanguá"</f>
        <v>Pitanguá</v>
      </c>
      <c r="AE1290" s="14" t="str">
        <f>"Matemática"</f>
        <v>Matemática</v>
      </c>
      <c r="AF1290" s="14"/>
    </row>
    <row r="1291" spans="1:32" x14ac:dyDescent="0.3">
      <c r="A1291" s="23" t="s">
        <v>266</v>
      </c>
      <c r="B1291" s="20" t="s">
        <v>16</v>
      </c>
      <c r="C1291" s="20" t="s">
        <v>89</v>
      </c>
      <c r="D1291" s="20" t="s">
        <v>8</v>
      </c>
      <c r="E1291" s="22">
        <v>89</v>
      </c>
      <c r="F1291" s="22">
        <v>1</v>
      </c>
      <c r="G1291" s="22">
        <v>5</v>
      </c>
      <c r="H1291" s="22"/>
      <c r="I1291" s="23" t="s">
        <v>9</v>
      </c>
      <c r="J1291" s="23"/>
      <c r="K1291" s="22"/>
      <c r="L1291" s="22"/>
      <c r="M1291" s="23"/>
      <c r="N1291" s="23"/>
      <c r="O1291" s="26" t="s">
        <v>267</v>
      </c>
      <c r="P1291" s="26"/>
      <c r="Q1291" s="22"/>
      <c r="R1291" s="24"/>
      <c r="S1291" s="24"/>
      <c r="T1291" s="24"/>
      <c r="U1291" s="24"/>
      <c r="V1291" s="24"/>
      <c r="W1291" s="22" t="s">
        <v>257</v>
      </c>
      <c r="X1291" s="4" t="str">
        <f>IF(Tabela2[[#This Row],[sigla]]="","",VLOOKUP(Tabela2[[#This Row],[sigla]],créditos_base!B:C,2,0))</f>
        <v>CARMEN MARTINEZ/ARQUIVO DA EDITORA</v>
      </c>
      <c r="Y1291" s="23"/>
      <c r="Z1291" s="23" t="str">
        <f>Tabela2[[#This Row],[ilustrador]]</f>
        <v>CARMEN MARTINEZ/ARQUIVO DA EDITORA</v>
      </c>
      <c r="AA1291" s="22"/>
      <c r="AB1291" s="20"/>
      <c r="AD1291" s="4" t="str">
        <f>"Pitanguá"</f>
        <v>Pitanguá</v>
      </c>
      <c r="AE1291" s="14" t="str">
        <f>"Matemática"</f>
        <v>Matemática</v>
      </c>
      <c r="AF1291" s="14"/>
    </row>
    <row r="1292" spans="1:32" x14ac:dyDescent="0.3">
      <c r="A1292" s="23" t="s">
        <v>1527</v>
      </c>
      <c r="B1292" s="20" t="s">
        <v>16</v>
      </c>
      <c r="C1292" s="20" t="s">
        <v>89</v>
      </c>
      <c r="D1292" s="20" t="s">
        <v>8</v>
      </c>
      <c r="E1292" s="22">
        <v>78</v>
      </c>
      <c r="F1292" s="22">
        <v>2</v>
      </c>
      <c r="G1292" s="22">
        <v>5</v>
      </c>
      <c r="H1292" s="22"/>
      <c r="I1292" s="23" t="s">
        <v>9</v>
      </c>
      <c r="J1292" s="23"/>
      <c r="K1292" s="22"/>
      <c r="L1292" s="22"/>
      <c r="M1292" s="23"/>
      <c r="N1292" s="23"/>
      <c r="O1292" s="26" t="s">
        <v>1528</v>
      </c>
      <c r="P1292" s="26"/>
      <c r="Q1292" s="22"/>
      <c r="R1292" s="24"/>
      <c r="S1292" s="24"/>
      <c r="T1292" s="24"/>
      <c r="U1292" s="24"/>
      <c r="V1292" s="24"/>
      <c r="W1292" s="22" t="s">
        <v>160</v>
      </c>
      <c r="X1292" s="4" t="str">
        <f>IF(Tabela2[[#This Row],[sigla]]="","",VLOOKUP(Tabela2[[#This Row],[sigla]],créditos_base!B:C,2,0))</f>
        <v>SERGIO LIMA/ARQUIVO DA EDITORA</v>
      </c>
      <c r="Y1292" s="23"/>
      <c r="Z1292" s="23" t="str">
        <f>Tabela2[[#This Row],[ilustrador]]</f>
        <v>SERGIO LIMA/ARQUIVO DA EDITORA</v>
      </c>
      <c r="AA1292" s="22"/>
      <c r="AB1292" s="20"/>
      <c r="AD1292" s="4" t="str">
        <f>"Pitanguá"</f>
        <v>Pitanguá</v>
      </c>
      <c r="AE1292" s="14" t="str">
        <f>"Matemática"</f>
        <v>Matemática</v>
      </c>
      <c r="AF1292" s="14"/>
    </row>
    <row r="1293" spans="1:32" x14ac:dyDescent="0.3">
      <c r="A1293" s="23" t="s">
        <v>4817</v>
      </c>
      <c r="B1293" s="20" t="s">
        <v>16</v>
      </c>
      <c r="C1293" s="20" t="s">
        <v>7</v>
      </c>
      <c r="D1293" s="20" t="s">
        <v>8</v>
      </c>
      <c r="E1293" s="22">
        <v>137</v>
      </c>
      <c r="F1293" s="22">
        <v>3</v>
      </c>
      <c r="G1293" s="22">
        <v>5</v>
      </c>
      <c r="H1293" s="22"/>
      <c r="I1293" s="23" t="s">
        <v>33</v>
      </c>
      <c r="J1293" s="23"/>
      <c r="K1293" s="22"/>
      <c r="L1293" s="22"/>
      <c r="M1293" s="23"/>
      <c r="N1293" s="23"/>
      <c r="O1293" s="26" t="s">
        <v>4818</v>
      </c>
      <c r="P1293" s="20"/>
      <c r="Q1293" s="22">
        <v>79</v>
      </c>
      <c r="R1293" s="24">
        <v>45820</v>
      </c>
      <c r="S1293" s="24">
        <v>45821</v>
      </c>
      <c r="T1293" s="24"/>
      <c r="U1293" s="24"/>
      <c r="V1293" s="24">
        <v>45824</v>
      </c>
      <c r="W1293" s="22" t="s">
        <v>160</v>
      </c>
      <c r="X1293" s="4" t="str">
        <f>IF(Tabela2[[#This Row],[sigla]]="","",VLOOKUP(Tabela2[[#This Row],[sigla]],créditos_base!B:C,2,0))</f>
        <v>SERGIO LIMA/ARQUIVO DA EDITORA</v>
      </c>
      <c r="Y1293" s="23" t="s">
        <v>152</v>
      </c>
      <c r="Z1293" s="23" t="str">
        <f>Tabela2[[#This Row],[ilustrador]]</f>
        <v>SERGIO LIMA/ARQUIVO DA EDITORA</v>
      </c>
      <c r="AA1293" s="22">
        <v>13</v>
      </c>
      <c r="AB1293" s="20" t="s">
        <v>244</v>
      </c>
      <c r="AC1293" s="20" t="s">
        <v>36</v>
      </c>
      <c r="AD1293" s="4" t="str">
        <f>"Pitanguá"</f>
        <v>Pitanguá</v>
      </c>
      <c r="AE1293" s="14" t="str">
        <f>"Matemática"</f>
        <v>Matemática</v>
      </c>
      <c r="AF1293" s="14"/>
    </row>
    <row r="1294" spans="1:32" ht="43.2" x14ac:dyDescent="0.3">
      <c r="A1294" s="23" t="s">
        <v>3218</v>
      </c>
      <c r="B1294" s="20" t="s">
        <v>16</v>
      </c>
      <c r="C1294" s="20" t="s">
        <v>7</v>
      </c>
      <c r="D1294" s="20" t="s">
        <v>8</v>
      </c>
      <c r="E1294" s="22">
        <v>134</v>
      </c>
      <c r="F1294" s="22">
        <v>4</v>
      </c>
      <c r="G1294" s="22">
        <v>5</v>
      </c>
      <c r="H1294" s="22"/>
      <c r="I1294" s="23" t="s">
        <v>9</v>
      </c>
      <c r="J1294" s="23"/>
      <c r="K1294" s="22"/>
      <c r="L1294" s="22"/>
      <c r="M1294" s="23"/>
      <c r="N1294" s="23"/>
      <c r="O1294" s="26" t="s">
        <v>3219</v>
      </c>
      <c r="P1294" s="26"/>
      <c r="Q1294" s="22"/>
      <c r="R1294" s="24"/>
      <c r="S1294" s="24"/>
      <c r="T1294" s="24"/>
      <c r="U1294" s="24"/>
      <c r="V1294" s="24"/>
      <c r="W1294" s="22" t="s">
        <v>327</v>
      </c>
      <c r="X1294" s="4" t="str">
        <f>IF(Tabela2[[#This Row],[sigla]]="","",VLOOKUP(Tabela2[[#This Row],[sigla]],créditos_base!B:C,2,0))</f>
        <v>RAFAEL LAM/ARQUIVO DA EDITORA</v>
      </c>
      <c r="Y1294" s="23"/>
      <c r="Z1294" s="23" t="str">
        <f>Tabela2[[#This Row],[ilustrador]]</f>
        <v>RAFAEL LAM/ARQUIVO DA EDITORA</v>
      </c>
      <c r="AA1294" s="22"/>
      <c r="AB1294" s="20"/>
      <c r="AD1294" s="4" t="str">
        <f>"Pitanguá"</f>
        <v>Pitanguá</v>
      </c>
      <c r="AE1294" s="14" t="str">
        <f>"Matemática"</f>
        <v>Matemática</v>
      </c>
      <c r="AF1294" s="14"/>
    </row>
    <row r="1295" spans="1:32" x14ac:dyDescent="0.3">
      <c r="A1295" s="23" t="s">
        <v>4124</v>
      </c>
      <c r="B1295" s="20" t="s">
        <v>16</v>
      </c>
      <c r="C1295" s="20" t="s">
        <v>89</v>
      </c>
      <c r="D1295" s="20" t="s">
        <v>8</v>
      </c>
      <c r="E1295" s="22">
        <v>130</v>
      </c>
      <c r="F1295" s="22">
        <v>5</v>
      </c>
      <c r="G1295" s="22">
        <v>5</v>
      </c>
      <c r="H1295" s="22"/>
      <c r="I1295" s="23" t="s">
        <v>9</v>
      </c>
      <c r="J1295" s="23"/>
      <c r="K1295" s="22"/>
      <c r="L1295" s="22"/>
      <c r="M1295" s="23"/>
      <c r="N1295" s="23"/>
      <c r="O1295" s="26" t="s">
        <v>4125</v>
      </c>
      <c r="P1295" s="26"/>
      <c r="Q1295" s="22"/>
      <c r="R1295" s="24"/>
      <c r="S1295" s="24"/>
      <c r="T1295" s="24"/>
      <c r="U1295" s="24"/>
      <c r="V1295" s="24"/>
      <c r="W1295" s="22" t="s">
        <v>160</v>
      </c>
      <c r="X1295" s="4" t="str">
        <f>IF(Tabela2[[#This Row],[sigla]]="","",VLOOKUP(Tabela2[[#This Row],[sigla]],créditos_base!B:C,2,0))</f>
        <v>SERGIO LIMA/ARQUIVO DA EDITORA</v>
      </c>
      <c r="Y1295" s="23"/>
      <c r="Z1295" s="23" t="str">
        <f>Tabela2[[#This Row],[ilustrador]]</f>
        <v>SERGIO LIMA/ARQUIVO DA EDITORA</v>
      </c>
      <c r="AA1295" s="22"/>
      <c r="AB1295" s="20"/>
      <c r="AD1295" s="4" t="str">
        <f>"Pitanguá"</f>
        <v>Pitanguá</v>
      </c>
      <c r="AE1295" s="14" t="str">
        <f>"Matemática"</f>
        <v>Matemática</v>
      </c>
      <c r="AF1295" s="14"/>
    </row>
    <row r="1296" spans="1:32" x14ac:dyDescent="0.3">
      <c r="A1296" s="23" t="s">
        <v>1529</v>
      </c>
      <c r="B1296" s="20" t="s">
        <v>16</v>
      </c>
      <c r="C1296" s="20" t="s">
        <v>89</v>
      </c>
      <c r="D1296" s="20" t="s">
        <v>8</v>
      </c>
      <c r="E1296" s="22">
        <v>78</v>
      </c>
      <c r="F1296" s="22">
        <v>2</v>
      </c>
      <c r="G1296" s="22">
        <v>5</v>
      </c>
      <c r="H1296" s="22"/>
      <c r="I1296" s="23" t="s">
        <v>9</v>
      </c>
      <c r="J1296" s="23"/>
      <c r="K1296" s="22"/>
      <c r="L1296" s="22"/>
      <c r="M1296" s="23"/>
      <c r="N1296" s="23"/>
      <c r="O1296" s="26" t="s">
        <v>1530</v>
      </c>
      <c r="P1296" s="26"/>
      <c r="Q1296" s="22"/>
      <c r="R1296" s="24"/>
      <c r="S1296" s="24"/>
      <c r="T1296" s="24"/>
      <c r="U1296" s="24"/>
      <c r="V1296" s="24"/>
      <c r="W1296" s="22" t="s">
        <v>160</v>
      </c>
      <c r="X1296" s="4" t="str">
        <f>IF(Tabela2[[#This Row],[sigla]]="","",VLOOKUP(Tabela2[[#This Row],[sigla]],créditos_base!B:C,2,0))</f>
        <v>SERGIO LIMA/ARQUIVO DA EDITORA</v>
      </c>
      <c r="Y1296" s="23"/>
      <c r="Z1296" s="23" t="str">
        <f>Tabela2[[#This Row],[ilustrador]]</f>
        <v>SERGIO LIMA/ARQUIVO DA EDITORA</v>
      </c>
      <c r="AA1296" s="22"/>
      <c r="AB1296" s="20"/>
      <c r="AD1296" s="4" t="str">
        <f>"Pitanguá"</f>
        <v>Pitanguá</v>
      </c>
      <c r="AE1296" s="14" t="str">
        <f>"Matemática"</f>
        <v>Matemática</v>
      </c>
      <c r="AF1296" s="14"/>
    </row>
    <row r="1297" spans="1:32" ht="43.2" x14ac:dyDescent="0.3">
      <c r="A1297" s="23" t="s">
        <v>2166</v>
      </c>
      <c r="B1297" s="20" t="s">
        <v>6</v>
      </c>
      <c r="C1297" s="20" t="s">
        <v>7</v>
      </c>
      <c r="D1297" s="20" t="s">
        <v>8</v>
      </c>
      <c r="E1297" s="22">
        <v>95</v>
      </c>
      <c r="F1297" s="22">
        <v>3</v>
      </c>
      <c r="G1297" s="22">
        <v>5</v>
      </c>
      <c r="H1297" s="22"/>
      <c r="I1297" s="23" t="s">
        <v>9</v>
      </c>
      <c r="J1297" s="23"/>
      <c r="K1297" s="22"/>
      <c r="L1297" s="22"/>
      <c r="M1297" s="23"/>
      <c r="N1297" s="23"/>
      <c r="O1297" s="26" t="s">
        <v>2167</v>
      </c>
      <c r="P1297" s="26" t="s">
        <v>11</v>
      </c>
      <c r="Q1297" s="22"/>
      <c r="R1297" s="24"/>
      <c r="S1297" s="24"/>
      <c r="T1297" s="24"/>
      <c r="U1297" s="24"/>
      <c r="V1297" s="24"/>
      <c r="W1297" s="22" t="s">
        <v>20</v>
      </c>
      <c r="X1297" s="4" t="str">
        <f>IF(Tabela2[[#This Row],[sigla]]="","",VLOOKUP(Tabela2[[#This Row],[sigla]],créditos_base!B:C,2,0))</f>
        <v>SONIA HORN/ARQUIVO DA EDITORA</v>
      </c>
      <c r="Y1297" s="23"/>
      <c r="Z1297" s="23" t="str">
        <f>Tabela2[[#This Row],[ilustrador]]</f>
        <v>SONIA HORN/ARQUIVO DA EDITORA</v>
      </c>
      <c r="AA1297" s="22"/>
      <c r="AB1297" s="20"/>
      <c r="AD1297" s="4" t="str">
        <f>"Pitanguá"</f>
        <v>Pitanguá</v>
      </c>
      <c r="AE1297" s="14" t="str">
        <f>"Matemática"</f>
        <v>Matemática</v>
      </c>
      <c r="AF1297" s="14"/>
    </row>
    <row r="1298" spans="1:32" x14ac:dyDescent="0.3">
      <c r="A1298" s="23" t="s">
        <v>3220</v>
      </c>
      <c r="B1298" s="20" t="s">
        <v>16</v>
      </c>
      <c r="C1298" s="20" t="s">
        <v>7</v>
      </c>
      <c r="D1298" s="20" t="s">
        <v>8</v>
      </c>
      <c r="E1298" s="22">
        <v>134</v>
      </c>
      <c r="F1298" s="22">
        <v>4</v>
      </c>
      <c r="G1298" s="22">
        <v>5</v>
      </c>
      <c r="H1298" s="22"/>
      <c r="I1298" s="23" t="s">
        <v>9</v>
      </c>
      <c r="J1298" s="23"/>
      <c r="K1298" s="22"/>
      <c r="L1298" s="22"/>
      <c r="M1298" s="23"/>
      <c r="N1298" s="23"/>
      <c r="O1298" s="26" t="s">
        <v>3221</v>
      </c>
      <c r="P1298" s="26"/>
      <c r="Q1298" s="22"/>
      <c r="R1298" s="24"/>
      <c r="S1298" s="24"/>
      <c r="T1298" s="24"/>
      <c r="U1298" s="24"/>
      <c r="V1298" s="24"/>
      <c r="W1298" s="22" t="s">
        <v>327</v>
      </c>
      <c r="X1298" s="4" t="str">
        <f>IF(Tabela2[[#This Row],[sigla]]="","",VLOOKUP(Tabela2[[#This Row],[sigla]],créditos_base!B:C,2,0))</f>
        <v>RAFAEL LAM/ARQUIVO DA EDITORA</v>
      </c>
      <c r="Y1298" s="23"/>
      <c r="Z1298" s="23" t="str">
        <f>Tabela2[[#This Row],[ilustrador]]</f>
        <v>RAFAEL LAM/ARQUIVO DA EDITORA</v>
      </c>
      <c r="AA1298" s="22"/>
      <c r="AB1298" s="20"/>
      <c r="AD1298" s="4" t="str">
        <f>"Pitanguá"</f>
        <v>Pitanguá</v>
      </c>
      <c r="AE1298" s="14" t="str">
        <f>"Matemática"</f>
        <v>Matemática</v>
      </c>
      <c r="AF1298" s="14"/>
    </row>
    <row r="1299" spans="1:32" x14ac:dyDescent="0.3">
      <c r="A1299" s="23" t="s">
        <v>4126</v>
      </c>
      <c r="B1299" s="20" t="s">
        <v>16</v>
      </c>
      <c r="C1299" s="20" t="s">
        <v>89</v>
      </c>
      <c r="D1299" s="20" t="s">
        <v>8</v>
      </c>
      <c r="E1299" s="22">
        <v>131</v>
      </c>
      <c r="F1299" s="22">
        <v>5</v>
      </c>
      <c r="G1299" s="22">
        <v>5</v>
      </c>
      <c r="H1299" s="22"/>
      <c r="I1299" s="23" t="s">
        <v>9</v>
      </c>
      <c r="J1299" s="23"/>
      <c r="K1299" s="22"/>
      <c r="L1299" s="22"/>
      <c r="M1299" s="23"/>
      <c r="N1299" s="23"/>
      <c r="O1299" s="26" t="s">
        <v>4127</v>
      </c>
      <c r="P1299" s="26"/>
      <c r="Q1299" s="22"/>
      <c r="R1299" s="24"/>
      <c r="S1299" s="24"/>
      <c r="T1299" s="24"/>
      <c r="U1299" s="24"/>
      <c r="V1299" s="24"/>
      <c r="W1299" s="22" t="s">
        <v>940</v>
      </c>
      <c r="X1299" s="4" t="str">
        <f>IF(Tabela2[[#This Row],[sigla]]="","",VLOOKUP(Tabela2[[#This Row],[sigla]],créditos_base!B:C,2,0))</f>
        <v>RONALDO LUCENA/ARQUIVO DA EDITORA</v>
      </c>
      <c r="Y1299" s="23"/>
      <c r="Z1299" s="23" t="str">
        <f>Tabela2[[#This Row],[ilustrador]]</f>
        <v>RONALDO LUCENA/ARQUIVO DA EDITORA</v>
      </c>
      <c r="AA1299" s="22"/>
      <c r="AB1299" s="20"/>
      <c r="AD1299" s="4" t="str">
        <f>"Pitanguá"</f>
        <v>Pitanguá</v>
      </c>
      <c r="AE1299" s="14" t="str">
        <f>"Matemática"</f>
        <v>Matemática</v>
      </c>
      <c r="AF1299" s="14"/>
    </row>
    <row r="1300" spans="1:32" x14ac:dyDescent="0.3">
      <c r="A1300" s="23" t="s">
        <v>2168</v>
      </c>
      <c r="B1300" s="20" t="s">
        <v>16</v>
      </c>
      <c r="C1300" s="20" t="s">
        <v>7</v>
      </c>
      <c r="D1300" s="20" t="s">
        <v>8</v>
      </c>
      <c r="E1300" s="22">
        <v>96</v>
      </c>
      <c r="F1300" s="22">
        <v>3</v>
      </c>
      <c r="G1300" s="22">
        <v>5</v>
      </c>
      <c r="H1300" s="22"/>
      <c r="I1300" s="23" t="s">
        <v>9</v>
      </c>
      <c r="J1300" s="23"/>
      <c r="K1300" s="22"/>
      <c r="L1300" s="22"/>
      <c r="M1300" s="23"/>
      <c r="N1300" s="23"/>
      <c r="O1300" s="26" t="s">
        <v>2169</v>
      </c>
      <c r="P1300" s="26"/>
      <c r="Q1300" s="22"/>
      <c r="R1300" s="24"/>
      <c r="S1300" s="24"/>
      <c r="T1300" s="24"/>
      <c r="U1300" s="24"/>
      <c r="V1300" s="24"/>
      <c r="W1300" s="22" t="s">
        <v>1785</v>
      </c>
      <c r="X1300" s="4" t="str">
        <f>IF(Tabela2[[#This Row],[sigla]]="","",VLOOKUP(Tabela2[[#This Row],[sigla]],créditos_base!B:C,2,0))</f>
        <v>CAUÊ ZUNCHINI/ARQUIVO DA EDITORA</v>
      </c>
      <c r="Y1300" s="23"/>
      <c r="Z1300" s="23" t="str">
        <f>Tabela2[[#This Row],[ilustrador]]</f>
        <v>CAUÊ ZUNCHINI/ARQUIVO DA EDITORA</v>
      </c>
      <c r="AA1300" s="22"/>
      <c r="AB1300" s="20"/>
      <c r="AD1300" s="4" t="str">
        <f>"Pitanguá"</f>
        <v>Pitanguá</v>
      </c>
      <c r="AE1300" s="14" t="str">
        <f>"Matemática"</f>
        <v>Matemática</v>
      </c>
      <c r="AF1300" s="14"/>
    </row>
    <row r="1301" spans="1:32" ht="28.8" x14ac:dyDescent="0.3">
      <c r="A1301" s="23" t="s">
        <v>3222</v>
      </c>
      <c r="B1301" s="20" t="s">
        <v>6</v>
      </c>
      <c r="C1301" s="20" t="s">
        <v>7</v>
      </c>
      <c r="D1301" s="20" t="s">
        <v>8</v>
      </c>
      <c r="E1301" s="22">
        <v>137</v>
      </c>
      <c r="F1301" s="22">
        <v>4</v>
      </c>
      <c r="G1301" s="22">
        <v>5</v>
      </c>
      <c r="H1301" s="22"/>
      <c r="I1301" s="23" t="s">
        <v>9</v>
      </c>
      <c r="J1301" s="23"/>
      <c r="K1301" s="22"/>
      <c r="L1301" s="22"/>
      <c r="M1301" s="23"/>
      <c r="N1301" s="23"/>
      <c r="O1301" s="26" t="s">
        <v>3223</v>
      </c>
      <c r="P1301" s="26"/>
      <c r="Q1301" s="22"/>
      <c r="R1301" s="24"/>
      <c r="S1301" s="24"/>
      <c r="T1301" s="24"/>
      <c r="U1301" s="24"/>
      <c r="V1301" s="24"/>
      <c r="W1301" s="22" t="s">
        <v>230</v>
      </c>
      <c r="X1301" s="4" t="str">
        <f>IF(Tabela2[[#This Row],[sigla]]="","",VLOOKUP(Tabela2[[#This Row],[sigla]],créditos_base!B:C,2,0))</f>
        <v>RAFAEL L. GAION/ARQUIVO DA EDITORA</v>
      </c>
      <c r="Y1301" s="23"/>
      <c r="Z1301" s="23" t="str">
        <f>Tabela2[[#This Row],[ilustrador]]</f>
        <v>RAFAEL L. GAION/ARQUIVO DA EDITORA</v>
      </c>
      <c r="AA1301" s="22"/>
      <c r="AB1301" s="20"/>
      <c r="AD1301" s="4" t="str">
        <f>"Pitanguá"</f>
        <v>Pitanguá</v>
      </c>
      <c r="AE1301" s="14" t="str">
        <f>"Matemática"</f>
        <v>Matemática</v>
      </c>
      <c r="AF1301" s="14"/>
    </row>
    <row r="1302" spans="1:32" ht="43.2" x14ac:dyDescent="0.3">
      <c r="A1302" s="23" t="s">
        <v>4128</v>
      </c>
      <c r="B1302" s="20" t="s">
        <v>16</v>
      </c>
      <c r="C1302" s="20" t="s">
        <v>89</v>
      </c>
      <c r="D1302" s="20" t="s">
        <v>8</v>
      </c>
      <c r="E1302" s="22">
        <v>131</v>
      </c>
      <c r="F1302" s="22">
        <v>5</v>
      </c>
      <c r="G1302" s="22">
        <v>5</v>
      </c>
      <c r="H1302" s="22"/>
      <c r="I1302" s="23" t="s">
        <v>9</v>
      </c>
      <c r="J1302" s="23"/>
      <c r="K1302" s="22"/>
      <c r="L1302" s="22"/>
      <c r="M1302" s="23"/>
      <c r="N1302" s="23"/>
      <c r="O1302" s="26" t="s">
        <v>4129</v>
      </c>
      <c r="P1302" s="26"/>
      <c r="Q1302" s="22"/>
      <c r="R1302" s="24"/>
      <c r="S1302" s="24"/>
      <c r="T1302" s="24"/>
      <c r="U1302" s="24"/>
      <c r="V1302" s="24"/>
      <c r="W1302" s="22" t="s">
        <v>940</v>
      </c>
      <c r="X1302" s="4" t="str">
        <f>IF(Tabela2[[#This Row],[sigla]]="","",VLOOKUP(Tabela2[[#This Row],[sigla]],créditos_base!B:C,2,0))</f>
        <v>RONALDO LUCENA/ARQUIVO DA EDITORA</v>
      </c>
      <c r="Y1302" s="23"/>
      <c r="Z1302" s="23" t="str">
        <f>Tabela2[[#This Row],[ilustrador]]</f>
        <v>RONALDO LUCENA/ARQUIVO DA EDITORA</v>
      </c>
      <c r="AA1302" s="22"/>
      <c r="AB1302" s="20"/>
      <c r="AD1302" s="4" t="str">
        <f>"Pitanguá"</f>
        <v>Pitanguá</v>
      </c>
      <c r="AE1302" s="14" t="str">
        <f>"Matemática"</f>
        <v>Matemática</v>
      </c>
      <c r="AF1302" s="14"/>
    </row>
    <row r="1303" spans="1:32" x14ac:dyDescent="0.3">
      <c r="A1303" s="23" t="s">
        <v>1531</v>
      </c>
      <c r="B1303" s="20" t="s">
        <v>6</v>
      </c>
      <c r="C1303" s="20" t="s">
        <v>7</v>
      </c>
      <c r="D1303" s="20" t="s">
        <v>8</v>
      </c>
      <c r="E1303" s="22" t="s">
        <v>1300</v>
      </c>
      <c r="F1303" s="22">
        <v>2</v>
      </c>
      <c r="G1303" s="22">
        <v>5</v>
      </c>
      <c r="H1303" s="22"/>
      <c r="I1303" s="23" t="s">
        <v>9</v>
      </c>
      <c r="J1303" s="23"/>
      <c r="K1303" s="22"/>
      <c r="L1303" s="22"/>
      <c r="M1303" s="23"/>
      <c r="N1303" s="23"/>
      <c r="O1303" s="26" t="s">
        <v>1532</v>
      </c>
      <c r="P1303" s="26" t="s">
        <v>465</v>
      </c>
      <c r="Q1303" s="22"/>
      <c r="R1303" s="24"/>
      <c r="S1303" s="24"/>
      <c r="T1303" s="24"/>
      <c r="U1303" s="24"/>
      <c r="V1303" s="24"/>
      <c r="W1303" s="22" t="s">
        <v>31</v>
      </c>
      <c r="X1303" s="4" t="str">
        <f>IF(Tabela2[[#This Row],[sigla]]="","",VLOOKUP(Tabela2[[#This Row],[sigla]],créditos_base!B:C,2,0))</f>
        <v>SILVIA OTOFUJI/ARQUIVO DA EDITORA</v>
      </c>
      <c r="Y1303" s="23"/>
      <c r="Z1303" s="23" t="str">
        <f>Tabela2[[#This Row],[ilustrador]]</f>
        <v>SILVIA OTOFUJI/ARQUIVO DA EDITORA</v>
      </c>
      <c r="AA1303" s="22"/>
      <c r="AB1303" s="20"/>
      <c r="AD1303" s="4" t="str">
        <f>"Pitanguá"</f>
        <v>Pitanguá</v>
      </c>
      <c r="AE1303" s="14" t="str">
        <f>"Matemática"</f>
        <v>Matemática</v>
      </c>
      <c r="AF1303" s="14"/>
    </row>
    <row r="1304" spans="1:32" ht="43.2" x14ac:dyDescent="0.3">
      <c r="A1304" s="23" t="s">
        <v>2170</v>
      </c>
      <c r="B1304" s="20" t="s">
        <v>16</v>
      </c>
      <c r="C1304" s="20" t="s">
        <v>7</v>
      </c>
      <c r="D1304" s="20" t="s">
        <v>8</v>
      </c>
      <c r="E1304" s="22">
        <v>96</v>
      </c>
      <c r="F1304" s="22">
        <v>3</v>
      </c>
      <c r="G1304" s="22">
        <v>5</v>
      </c>
      <c r="H1304" s="22"/>
      <c r="I1304" s="23" t="s">
        <v>33</v>
      </c>
      <c r="J1304" s="23"/>
      <c r="K1304" s="22"/>
      <c r="L1304" s="22"/>
      <c r="M1304" s="23"/>
      <c r="N1304" s="23"/>
      <c r="O1304" s="26" t="s">
        <v>2171</v>
      </c>
      <c r="P1304" s="26"/>
      <c r="Q1304" s="22">
        <v>29</v>
      </c>
      <c r="R1304" s="24">
        <v>45755</v>
      </c>
      <c r="S1304" s="24">
        <v>45755</v>
      </c>
      <c r="T1304" s="24"/>
      <c r="U1304" s="24"/>
      <c r="V1304" s="24">
        <v>45755</v>
      </c>
      <c r="W1304" s="22" t="s">
        <v>1785</v>
      </c>
      <c r="X1304" s="4" t="str">
        <f>IF(Tabela2[[#This Row],[sigla]]="","",VLOOKUP(Tabela2[[#This Row],[sigla]],créditos_base!B:C,2,0))</f>
        <v>CAUÊ ZUNCHINI/ARQUIVO DA EDITORA</v>
      </c>
      <c r="Y1304" s="23" t="s">
        <v>152</v>
      </c>
      <c r="Z1304" s="23" t="s">
        <v>2172</v>
      </c>
      <c r="AA1304" s="22">
        <v>14</v>
      </c>
      <c r="AB1304" s="20" t="s">
        <v>244</v>
      </c>
      <c r="AC1304" s="20" t="s">
        <v>36</v>
      </c>
      <c r="AD1304" s="4" t="str">
        <f>"Pitanguá"</f>
        <v>Pitanguá</v>
      </c>
      <c r="AE1304" s="14" t="str">
        <f>"Matemática"</f>
        <v>Matemática</v>
      </c>
      <c r="AF1304" s="14"/>
    </row>
    <row r="1305" spans="1:32" x14ac:dyDescent="0.3">
      <c r="A1305" s="23" t="s">
        <v>4130</v>
      </c>
      <c r="B1305" s="20" t="s">
        <v>16</v>
      </c>
      <c r="C1305" s="20" t="s">
        <v>89</v>
      </c>
      <c r="D1305" s="20" t="s">
        <v>8</v>
      </c>
      <c r="E1305" s="22">
        <v>131</v>
      </c>
      <c r="F1305" s="22">
        <v>5</v>
      </c>
      <c r="G1305" s="22">
        <v>5</v>
      </c>
      <c r="H1305" s="22"/>
      <c r="I1305" s="23" t="s">
        <v>9</v>
      </c>
      <c r="J1305" s="23"/>
      <c r="K1305" s="22"/>
      <c r="L1305" s="22"/>
      <c r="M1305" s="23"/>
      <c r="N1305" s="23"/>
      <c r="O1305" s="26" t="s">
        <v>4131</v>
      </c>
      <c r="P1305" s="26"/>
      <c r="Q1305" s="22"/>
      <c r="R1305" s="24"/>
      <c r="S1305" s="24"/>
      <c r="T1305" s="24"/>
      <c r="U1305" s="24"/>
      <c r="V1305" s="24"/>
      <c r="W1305" s="22" t="s">
        <v>940</v>
      </c>
      <c r="X1305" s="4" t="str">
        <f>IF(Tabela2[[#This Row],[sigla]]="","",VLOOKUP(Tabela2[[#This Row],[sigla]],créditos_base!B:C,2,0))</f>
        <v>RONALDO LUCENA/ARQUIVO DA EDITORA</v>
      </c>
      <c r="Y1305" s="23"/>
      <c r="Z1305" s="23" t="str">
        <f>Tabela2[[#This Row],[ilustrador]]</f>
        <v>RONALDO LUCENA/ARQUIVO DA EDITORA</v>
      </c>
      <c r="AA1305" s="22"/>
      <c r="AB1305" s="20"/>
      <c r="AD1305" s="4" t="str">
        <f>"Pitanguá"</f>
        <v>Pitanguá</v>
      </c>
      <c r="AE1305" s="14" t="str">
        <f>"Matemática"</f>
        <v>Matemática</v>
      </c>
      <c r="AF1305" s="14"/>
    </row>
    <row r="1306" spans="1:32" x14ac:dyDescent="0.3">
      <c r="A1306" s="23" t="s">
        <v>2173</v>
      </c>
      <c r="B1306" s="20" t="s">
        <v>16</v>
      </c>
      <c r="C1306" s="20" t="s">
        <v>89</v>
      </c>
      <c r="D1306" s="20" t="s">
        <v>8</v>
      </c>
      <c r="E1306" s="22">
        <v>97</v>
      </c>
      <c r="F1306" s="22">
        <v>3</v>
      </c>
      <c r="G1306" s="22">
        <v>5</v>
      </c>
      <c r="H1306" s="22"/>
      <c r="I1306" s="23" t="s">
        <v>33</v>
      </c>
      <c r="J1306" s="23"/>
      <c r="K1306" s="22"/>
      <c r="L1306" s="22"/>
      <c r="M1306" s="23"/>
      <c r="N1306" s="23"/>
      <c r="O1306" s="26" t="s">
        <v>2174</v>
      </c>
      <c r="P1306" s="26"/>
      <c r="Q1306" s="22">
        <v>29</v>
      </c>
      <c r="R1306" s="24">
        <v>45755</v>
      </c>
      <c r="S1306" s="24">
        <v>45755</v>
      </c>
      <c r="T1306" s="24"/>
      <c r="U1306" s="24"/>
      <c r="V1306" s="24">
        <v>45755</v>
      </c>
      <c r="W1306" s="22" t="s">
        <v>160</v>
      </c>
      <c r="X1306" s="4" t="str">
        <f>IF(Tabela2[[#This Row],[sigla]]="","",VLOOKUP(Tabela2[[#This Row],[sigla]],créditos_base!B:C,2,0))</f>
        <v>SERGIO LIMA/ARQUIVO DA EDITORA</v>
      </c>
      <c r="Y1306" s="23" t="s">
        <v>152</v>
      </c>
      <c r="Z1306" s="23" t="str">
        <f>Tabela2[[#This Row],[ilustrador]]</f>
        <v>SERGIO LIMA/ARQUIVO DA EDITORA</v>
      </c>
      <c r="AA1306" s="22">
        <v>14</v>
      </c>
      <c r="AB1306" s="20" t="s">
        <v>244</v>
      </c>
      <c r="AC1306" s="20" t="s">
        <v>36</v>
      </c>
      <c r="AD1306" s="4" t="str">
        <f>"Pitanguá"</f>
        <v>Pitanguá</v>
      </c>
      <c r="AE1306" s="14" t="str">
        <f>"Matemática"</f>
        <v>Matemática</v>
      </c>
      <c r="AF1306" s="14"/>
    </row>
    <row r="1307" spans="1:32" ht="28.8" x14ac:dyDescent="0.3">
      <c r="A1307" s="23" t="s">
        <v>5197</v>
      </c>
      <c r="B1307" s="20" t="s">
        <v>16</v>
      </c>
      <c r="C1307" s="20" t="s">
        <v>7</v>
      </c>
      <c r="D1307" s="20" t="s">
        <v>8</v>
      </c>
      <c r="E1307" s="22">
        <v>128</v>
      </c>
      <c r="F1307" s="22">
        <v>4</v>
      </c>
      <c r="G1307" s="22">
        <v>5</v>
      </c>
      <c r="H1307" s="22"/>
      <c r="I1307" s="23" t="s">
        <v>90</v>
      </c>
      <c r="J1307" s="23"/>
      <c r="K1307" s="22"/>
      <c r="L1307" s="22"/>
      <c r="M1307" s="23"/>
      <c r="N1307" s="23"/>
      <c r="O1307" s="26" t="s">
        <v>5198</v>
      </c>
      <c r="P1307" s="26"/>
      <c r="Q1307" s="22">
        <v>107</v>
      </c>
      <c r="R1307" s="24">
        <v>45850</v>
      </c>
      <c r="S1307" s="24">
        <v>45853</v>
      </c>
      <c r="T1307" s="24"/>
      <c r="U1307" s="24"/>
      <c r="V1307" s="24">
        <v>45859</v>
      </c>
      <c r="W1307" s="22" t="s">
        <v>72</v>
      </c>
      <c r="X1307" s="4" t="str">
        <f>IF(Tabela2[[#This Row],[sigla]]="","",VLOOKUP(Tabela2[[#This Row],[sigla]],créditos_base!B:C,2,0))</f>
        <v>HELOÍSA PINTARELLI/ARQUIVO DA EDITORA</v>
      </c>
      <c r="Y1307" s="23"/>
      <c r="Z1307" s="23" t="str">
        <f>Tabela2[[#This Row],[ilustrador]]</f>
        <v>HELOÍSA PINTARELLI/ARQUIVO DA EDITORA</v>
      </c>
      <c r="AA1307" s="22">
        <v>8</v>
      </c>
      <c r="AB1307" s="20" t="s">
        <v>5182</v>
      </c>
      <c r="AC1307" s="20" t="s">
        <v>310</v>
      </c>
      <c r="AD1307" s="4" t="str">
        <f>"Pitanguá"</f>
        <v>Pitanguá</v>
      </c>
      <c r="AE1307" s="14" t="str">
        <f>"Matemática"</f>
        <v>Matemática</v>
      </c>
      <c r="AF1307" s="14"/>
    </row>
    <row r="1308" spans="1:32" ht="28.8" x14ac:dyDescent="0.3">
      <c r="A1308" s="23" t="s">
        <v>4132</v>
      </c>
      <c r="B1308" s="20" t="s">
        <v>16</v>
      </c>
      <c r="C1308" s="20" t="s">
        <v>89</v>
      </c>
      <c r="D1308" s="20" t="s">
        <v>8</v>
      </c>
      <c r="E1308" s="22">
        <v>131</v>
      </c>
      <c r="F1308" s="22">
        <v>5</v>
      </c>
      <c r="G1308" s="22">
        <v>5</v>
      </c>
      <c r="H1308" s="22"/>
      <c r="I1308" s="23" t="s">
        <v>9</v>
      </c>
      <c r="J1308" s="23"/>
      <c r="K1308" s="22"/>
      <c r="L1308" s="22"/>
      <c r="M1308" s="23"/>
      <c r="N1308" s="23"/>
      <c r="O1308" s="26" t="s">
        <v>4133</v>
      </c>
      <c r="P1308" s="26"/>
      <c r="Q1308" s="22"/>
      <c r="R1308" s="24"/>
      <c r="S1308" s="24"/>
      <c r="T1308" s="24"/>
      <c r="U1308" s="24"/>
      <c r="V1308" s="24"/>
      <c r="W1308" s="22" t="s">
        <v>940</v>
      </c>
      <c r="X1308" s="4" t="str">
        <f>IF(Tabela2[[#This Row],[sigla]]="","",VLOOKUP(Tabela2[[#This Row],[sigla]],créditos_base!B:C,2,0))</f>
        <v>RONALDO LUCENA/ARQUIVO DA EDITORA</v>
      </c>
      <c r="Y1308" s="23"/>
      <c r="Z1308" s="23" t="str">
        <f>Tabela2[[#This Row],[ilustrador]]</f>
        <v>RONALDO LUCENA/ARQUIVO DA EDITORA</v>
      </c>
      <c r="AA1308" s="22"/>
      <c r="AB1308" s="20"/>
      <c r="AD1308" s="4" t="str">
        <f>"Pitanguá"</f>
        <v>Pitanguá</v>
      </c>
      <c r="AE1308" s="14" t="str">
        <f>"Matemática"</f>
        <v>Matemática</v>
      </c>
      <c r="AF1308" s="14"/>
    </row>
    <row r="1309" spans="1:32" ht="28.8" x14ac:dyDescent="0.3">
      <c r="A1309" s="23" t="s">
        <v>2175</v>
      </c>
      <c r="B1309" s="20" t="s">
        <v>16</v>
      </c>
      <c r="C1309" s="20" t="s">
        <v>89</v>
      </c>
      <c r="D1309" s="20" t="s">
        <v>8</v>
      </c>
      <c r="E1309" s="22">
        <v>97</v>
      </c>
      <c r="F1309" s="22">
        <v>3</v>
      </c>
      <c r="G1309" s="22">
        <v>5</v>
      </c>
      <c r="H1309" s="22"/>
      <c r="I1309" s="23" t="s">
        <v>33</v>
      </c>
      <c r="J1309" s="23"/>
      <c r="K1309" s="22"/>
      <c r="L1309" s="22"/>
      <c r="M1309" s="23"/>
      <c r="N1309" s="23"/>
      <c r="O1309" s="26" t="s">
        <v>2176</v>
      </c>
      <c r="P1309" s="26"/>
      <c r="Q1309" s="22">
        <v>29</v>
      </c>
      <c r="R1309" s="24">
        <v>45755</v>
      </c>
      <c r="S1309" s="24">
        <v>45755</v>
      </c>
      <c r="T1309" s="24"/>
      <c r="U1309" s="24"/>
      <c r="V1309" s="24">
        <v>45755</v>
      </c>
      <c r="W1309" s="22" t="s">
        <v>160</v>
      </c>
      <c r="X1309" s="4" t="str">
        <f>IF(Tabela2[[#This Row],[sigla]]="","",VLOOKUP(Tabela2[[#This Row],[sigla]],créditos_base!B:C,2,0))</f>
        <v>SERGIO LIMA/ARQUIVO DA EDITORA</v>
      </c>
      <c r="Y1309" s="23" t="s">
        <v>152</v>
      </c>
      <c r="Z1309" s="23" t="str">
        <f>Tabela2[[#This Row],[ilustrador]]</f>
        <v>SERGIO LIMA/ARQUIVO DA EDITORA</v>
      </c>
      <c r="AA1309" s="22">
        <v>14</v>
      </c>
      <c r="AB1309" s="20" t="s">
        <v>244</v>
      </c>
      <c r="AC1309" s="20" t="s">
        <v>36</v>
      </c>
      <c r="AD1309" s="4" t="str">
        <f>"Pitanguá"</f>
        <v>Pitanguá</v>
      </c>
      <c r="AE1309" s="14" t="str">
        <f>"Matemática"</f>
        <v>Matemática</v>
      </c>
      <c r="AF1309" s="14"/>
    </row>
    <row r="1310" spans="1:32" ht="28.8" x14ac:dyDescent="0.3">
      <c r="A1310" s="23" t="s">
        <v>5199</v>
      </c>
      <c r="B1310" s="20" t="s">
        <v>16</v>
      </c>
      <c r="C1310" s="20" t="s">
        <v>7</v>
      </c>
      <c r="D1310" s="20" t="s">
        <v>8</v>
      </c>
      <c r="E1310" s="22">
        <v>128</v>
      </c>
      <c r="F1310" s="22">
        <v>4</v>
      </c>
      <c r="G1310" s="22">
        <v>5</v>
      </c>
      <c r="H1310" s="22"/>
      <c r="I1310" s="23" t="s">
        <v>90</v>
      </c>
      <c r="J1310" s="23"/>
      <c r="K1310" s="22"/>
      <c r="L1310" s="22"/>
      <c r="M1310" s="23"/>
      <c r="N1310" s="23"/>
      <c r="O1310" s="26" t="s">
        <v>5200</v>
      </c>
      <c r="P1310" s="26"/>
      <c r="Q1310" s="22">
        <v>107</v>
      </c>
      <c r="R1310" s="24">
        <v>45850</v>
      </c>
      <c r="S1310" s="24">
        <v>45853</v>
      </c>
      <c r="T1310" s="24"/>
      <c r="U1310" s="24"/>
      <c r="V1310" s="24">
        <v>45859</v>
      </c>
      <c r="W1310" s="22" t="s">
        <v>72</v>
      </c>
      <c r="X1310" s="4" t="str">
        <f>IF(Tabela2[[#This Row],[sigla]]="","",VLOOKUP(Tabela2[[#This Row],[sigla]],créditos_base!B:C,2,0))</f>
        <v>HELOÍSA PINTARELLI/ARQUIVO DA EDITORA</v>
      </c>
      <c r="Y1310" s="23"/>
      <c r="Z1310" s="23" t="str">
        <f>Tabela2[[#This Row],[ilustrador]]</f>
        <v>HELOÍSA PINTARELLI/ARQUIVO DA EDITORA</v>
      </c>
      <c r="AA1310" s="22">
        <v>13</v>
      </c>
      <c r="AB1310" s="20" t="s">
        <v>5182</v>
      </c>
      <c r="AC1310" s="20" t="s">
        <v>310</v>
      </c>
      <c r="AD1310" s="4" t="str">
        <f>"Pitanguá"</f>
        <v>Pitanguá</v>
      </c>
      <c r="AE1310" s="14" t="str">
        <f>"Matemática"</f>
        <v>Matemática</v>
      </c>
      <c r="AF1310" s="14"/>
    </row>
    <row r="1311" spans="1:32" ht="28.8" x14ac:dyDescent="0.3">
      <c r="A1311" s="23" t="s">
        <v>4134</v>
      </c>
      <c r="B1311" s="20" t="s">
        <v>16</v>
      </c>
      <c r="C1311" s="20" t="s">
        <v>89</v>
      </c>
      <c r="D1311" s="20" t="s">
        <v>8</v>
      </c>
      <c r="E1311" s="22">
        <v>131</v>
      </c>
      <c r="F1311" s="22">
        <v>5</v>
      </c>
      <c r="G1311" s="22">
        <v>5</v>
      </c>
      <c r="H1311" s="22"/>
      <c r="I1311" s="23" t="s">
        <v>9</v>
      </c>
      <c r="J1311" s="23"/>
      <c r="K1311" s="22"/>
      <c r="L1311" s="22"/>
      <c r="M1311" s="23"/>
      <c r="N1311" s="23"/>
      <c r="O1311" s="26" t="s">
        <v>4135</v>
      </c>
      <c r="P1311" s="26"/>
      <c r="Q1311" s="22"/>
      <c r="R1311" s="24"/>
      <c r="S1311" s="24"/>
      <c r="T1311" s="24"/>
      <c r="U1311" s="24"/>
      <c r="V1311" s="24"/>
      <c r="W1311" s="22" t="s">
        <v>940</v>
      </c>
      <c r="X1311" s="4" t="str">
        <f>IF(Tabela2[[#This Row],[sigla]]="","",VLOOKUP(Tabela2[[#This Row],[sigla]],créditos_base!B:C,2,0))</f>
        <v>RONALDO LUCENA/ARQUIVO DA EDITORA</v>
      </c>
      <c r="Y1311" s="23"/>
      <c r="Z1311" s="23" t="str">
        <f>Tabela2[[#This Row],[ilustrador]]</f>
        <v>RONALDO LUCENA/ARQUIVO DA EDITORA</v>
      </c>
      <c r="AA1311" s="22"/>
      <c r="AB1311" s="20"/>
      <c r="AD1311" s="4" t="str">
        <f>"Pitanguá"</f>
        <v>Pitanguá</v>
      </c>
      <c r="AE1311" s="14" t="str">
        <f>"Matemática"</f>
        <v>Matemática</v>
      </c>
      <c r="AF1311" s="14"/>
    </row>
    <row r="1312" spans="1:32" x14ac:dyDescent="0.3">
      <c r="A1312" s="23" t="s">
        <v>2069</v>
      </c>
      <c r="B1312" s="20" t="s">
        <v>16</v>
      </c>
      <c r="C1312" s="20" t="s">
        <v>7</v>
      </c>
      <c r="D1312" s="20" t="s">
        <v>8</v>
      </c>
      <c r="E1312" s="22">
        <v>129</v>
      </c>
      <c r="F1312" s="22">
        <v>1</v>
      </c>
      <c r="G1312" s="22">
        <v>5</v>
      </c>
      <c r="H1312" s="22"/>
      <c r="I1312" s="23" t="s">
        <v>90</v>
      </c>
      <c r="J1312" s="23"/>
      <c r="K1312" s="22"/>
      <c r="L1312" s="22"/>
      <c r="M1312" s="23"/>
      <c r="N1312" s="23"/>
      <c r="O1312" s="26" t="s">
        <v>2070</v>
      </c>
      <c r="P1312" s="26"/>
      <c r="Q1312" s="22">
        <v>28</v>
      </c>
      <c r="R1312" s="24">
        <v>45754</v>
      </c>
      <c r="S1312" s="24">
        <v>45755</v>
      </c>
      <c r="T1312" s="24"/>
      <c r="U1312" s="24"/>
      <c r="V1312" s="24">
        <v>45758</v>
      </c>
      <c r="W1312" s="22" t="s">
        <v>72</v>
      </c>
      <c r="X1312" s="4" t="str">
        <f>IF(Tabela2[[#This Row],[sigla]]="","",VLOOKUP(Tabela2[[#This Row],[sigla]],créditos_base!B:C,2,0))</f>
        <v>HELOÍSA PINTARELLI/ARQUIVO DA EDITORA</v>
      </c>
      <c r="Y1312" s="23"/>
      <c r="Z1312" s="23" t="str">
        <f>Tabela2[[#This Row],[ilustrador]]</f>
        <v>HELOÍSA PINTARELLI/ARQUIVO DA EDITORA</v>
      </c>
      <c r="AA1312" s="22">
        <v>5</v>
      </c>
      <c r="AB1312" s="20" t="s">
        <v>2071</v>
      </c>
      <c r="AC1312" s="20" t="s">
        <v>310</v>
      </c>
      <c r="AD1312" s="4" t="str">
        <f>"Pitanguá"</f>
        <v>Pitanguá</v>
      </c>
      <c r="AE1312" s="14" t="str">
        <f>"Matemática"</f>
        <v>Matemática</v>
      </c>
      <c r="AF1312" s="14"/>
    </row>
    <row r="1313" spans="1:32" x14ac:dyDescent="0.3">
      <c r="A1313" s="23" t="s">
        <v>2177</v>
      </c>
      <c r="B1313" s="20" t="s">
        <v>16</v>
      </c>
      <c r="C1313" s="20" t="s">
        <v>89</v>
      </c>
      <c r="D1313" s="20" t="s">
        <v>8</v>
      </c>
      <c r="E1313" s="22">
        <v>97</v>
      </c>
      <c r="F1313" s="22">
        <v>3</v>
      </c>
      <c r="G1313" s="22">
        <v>5</v>
      </c>
      <c r="H1313" s="22"/>
      <c r="I1313" s="23" t="s">
        <v>33</v>
      </c>
      <c r="J1313" s="23"/>
      <c r="K1313" s="22"/>
      <c r="L1313" s="22"/>
      <c r="M1313" s="23"/>
      <c r="N1313" s="23"/>
      <c r="O1313" s="26" t="s">
        <v>2178</v>
      </c>
      <c r="P1313" s="26"/>
      <c r="Q1313" s="22">
        <v>29</v>
      </c>
      <c r="R1313" s="24">
        <v>45755</v>
      </c>
      <c r="S1313" s="24">
        <v>45755</v>
      </c>
      <c r="T1313" s="24"/>
      <c r="U1313" s="24"/>
      <c r="V1313" s="24">
        <v>45755</v>
      </c>
      <c r="W1313" s="22" t="s">
        <v>468</v>
      </c>
      <c r="X1313" s="4" t="str">
        <f>IF(Tabela2[[#This Row],[sigla]]="","",VLOOKUP(Tabela2[[#This Row],[sigla]],créditos_base!B:C,2,0))</f>
        <v>VER DOCUMENTO DE ILS. TÉCNICAS</v>
      </c>
      <c r="Y1313" s="23" t="s">
        <v>152</v>
      </c>
      <c r="Z1313" s="23" t="s">
        <v>689</v>
      </c>
      <c r="AA1313" s="22">
        <v>13</v>
      </c>
      <c r="AB1313" s="20" t="s">
        <v>244</v>
      </c>
      <c r="AC1313" s="20" t="s">
        <v>36</v>
      </c>
      <c r="AD1313" s="4" t="str">
        <f>"Pitanguá"</f>
        <v>Pitanguá</v>
      </c>
      <c r="AE1313" s="14" t="str">
        <f>"Matemática"</f>
        <v>Matemática</v>
      </c>
      <c r="AF1313" s="14"/>
    </row>
    <row r="1314" spans="1:32" ht="28.8" x14ac:dyDescent="0.3">
      <c r="A1314" s="23" t="s">
        <v>5201</v>
      </c>
      <c r="B1314" s="20" t="s">
        <v>16</v>
      </c>
      <c r="C1314" s="20" t="s">
        <v>7</v>
      </c>
      <c r="D1314" s="20" t="s">
        <v>8</v>
      </c>
      <c r="E1314" s="22">
        <v>128</v>
      </c>
      <c r="F1314" s="22">
        <v>4</v>
      </c>
      <c r="G1314" s="22">
        <v>5</v>
      </c>
      <c r="H1314" s="22"/>
      <c r="I1314" s="23" t="s">
        <v>90</v>
      </c>
      <c r="J1314" s="23"/>
      <c r="K1314" s="22"/>
      <c r="L1314" s="22"/>
      <c r="M1314" s="23"/>
      <c r="N1314" s="23"/>
      <c r="O1314" s="26" t="s">
        <v>5202</v>
      </c>
      <c r="P1314" s="26"/>
      <c r="Q1314" s="22">
        <v>107</v>
      </c>
      <c r="R1314" s="24">
        <v>45850</v>
      </c>
      <c r="S1314" s="24">
        <v>45853</v>
      </c>
      <c r="T1314" s="24"/>
      <c r="U1314" s="24"/>
      <c r="V1314" s="24">
        <v>45859</v>
      </c>
      <c r="W1314" s="22" t="s">
        <v>72</v>
      </c>
      <c r="X1314" s="4" t="str">
        <f>IF(Tabela2[[#This Row],[sigla]]="","",VLOOKUP(Tabela2[[#This Row],[sigla]],créditos_base!B:C,2,0))</f>
        <v>HELOÍSA PINTARELLI/ARQUIVO DA EDITORA</v>
      </c>
      <c r="Y1314" s="23"/>
      <c r="Z1314" s="23" t="str">
        <f>Tabela2[[#This Row],[ilustrador]]</f>
        <v>HELOÍSA PINTARELLI/ARQUIVO DA EDITORA</v>
      </c>
      <c r="AA1314" s="37">
        <v>13</v>
      </c>
      <c r="AB1314" s="20" t="s">
        <v>5182</v>
      </c>
      <c r="AC1314" s="20" t="s">
        <v>310</v>
      </c>
      <c r="AD1314" s="4" t="str">
        <f>"Pitanguá"</f>
        <v>Pitanguá</v>
      </c>
      <c r="AE1314" s="14" t="str">
        <f>"Matemática"</f>
        <v>Matemática</v>
      </c>
      <c r="AF1314" s="14"/>
    </row>
    <row r="1315" spans="1:32" ht="43.2" x14ac:dyDescent="0.3">
      <c r="A1315" s="23" t="s">
        <v>4136</v>
      </c>
      <c r="B1315" s="20" t="s">
        <v>522</v>
      </c>
      <c r="C1315" s="20" t="s">
        <v>7</v>
      </c>
      <c r="D1315" s="20" t="s">
        <v>8</v>
      </c>
      <c r="E1315" s="22">
        <v>132</v>
      </c>
      <c r="F1315" s="22">
        <v>5</v>
      </c>
      <c r="G1315" s="22">
        <v>5</v>
      </c>
      <c r="H1315" s="22"/>
      <c r="I1315" s="23" t="s">
        <v>33</v>
      </c>
      <c r="J1315" s="23"/>
      <c r="K1315" s="22"/>
      <c r="L1315" s="22"/>
      <c r="M1315" s="23"/>
      <c r="N1315" s="23"/>
      <c r="O1315" s="26" t="s">
        <v>4137</v>
      </c>
      <c r="P1315" s="26"/>
      <c r="Q1315" s="22">
        <v>205</v>
      </c>
      <c r="R1315" s="24">
        <v>45925</v>
      </c>
      <c r="S1315" s="24">
        <v>45925</v>
      </c>
      <c r="T1315" s="24"/>
      <c r="U1315" s="24"/>
      <c r="V1315" s="24">
        <v>45925</v>
      </c>
      <c r="W1315" s="22" t="s">
        <v>332</v>
      </c>
      <c r="X1315" s="4" t="str">
        <f>IF(Tabela2[[#This Row],[sigla]]="","",VLOOKUP(Tabela2[[#This Row],[sigla]],créditos_base!B:C,2,0))</f>
        <v>CYNTHIA SEKIGUCHI/ARQUIVO DA EDITORA</v>
      </c>
      <c r="Y1315" s="23" t="s">
        <v>188</v>
      </c>
      <c r="Z1315" s="23" t="str">
        <f>Tabela2[[#This Row],[ilustrador]]</f>
        <v>CYNTHIA SEKIGUCHI/ARQUIVO DA EDITORA</v>
      </c>
      <c r="AA1315" s="22">
        <v>13</v>
      </c>
      <c r="AB1315" s="20" t="s">
        <v>41</v>
      </c>
      <c r="AD1315" s="4" t="str">
        <f>"Pitanguá"</f>
        <v>Pitanguá</v>
      </c>
      <c r="AE1315" s="14" t="str">
        <f>"Matemática"</f>
        <v>Matemática</v>
      </c>
      <c r="AF1315" s="14"/>
    </row>
    <row r="1316" spans="1:32" x14ac:dyDescent="0.3">
      <c r="A1316" s="23" t="s">
        <v>2072</v>
      </c>
      <c r="B1316" s="20" t="s">
        <v>16</v>
      </c>
      <c r="C1316" s="20" t="s">
        <v>89</v>
      </c>
      <c r="D1316" s="20" t="s">
        <v>8</v>
      </c>
      <c r="E1316" s="22">
        <v>129</v>
      </c>
      <c r="F1316" s="22">
        <v>1</v>
      </c>
      <c r="G1316" s="22">
        <v>5</v>
      </c>
      <c r="H1316" s="22"/>
      <c r="I1316" s="23" t="s">
        <v>90</v>
      </c>
      <c r="J1316" s="23"/>
      <c r="K1316" s="22"/>
      <c r="L1316" s="22"/>
      <c r="M1316" s="23"/>
      <c r="N1316" s="23"/>
      <c r="O1316" s="26" t="s">
        <v>2073</v>
      </c>
      <c r="P1316" s="26"/>
      <c r="Q1316" s="22">
        <v>28</v>
      </c>
      <c r="R1316" s="24">
        <v>45754</v>
      </c>
      <c r="S1316" s="24">
        <v>45755</v>
      </c>
      <c r="T1316" s="24"/>
      <c r="U1316" s="24"/>
      <c r="V1316" s="24">
        <v>45755</v>
      </c>
      <c r="W1316" s="22" t="s">
        <v>999</v>
      </c>
      <c r="X1316" s="4" t="str">
        <f>IF(Tabela2[[#This Row],[sigla]]="","",VLOOKUP(Tabela2[[#This Row],[sigla]],créditos_base!B:C,2,0))</f>
        <v>VINÍCIUS COSTA/ARQUIVO DA EDITORA</v>
      </c>
      <c r="Y1316" s="23" t="s">
        <v>188</v>
      </c>
      <c r="Z1316" s="23" t="str">
        <f>Tabela2[[#This Row],[ilustrador]]</f>
        <v>VINÍCIUS COSTA/ARQUIVO DA EDITORA</v>
      </c>
      <c r="AA1316" s="22">
        <v>8</v>
      </c>
      <c r="AB1316" s="20" t="s">
        <v>153</v>
      </c>
      <c r="AC1316" s="20" t="s">
        <v>36</v>
      </c>
      <c r="AD1316" s="4" t="str">
        <f>"Pitanguá"</f>
        <v>Pitanguá</v>
      </c>
      <c r="AE1316" s="14" t="str">
        <f>"Matemática"</f>
        <v>Matemática</v>
      </c>
      <c r="AF1316" s="14"/>
    </row>
    <row r="1317" spans="1:32" x14ac:dyDescent="0.3">
      <c r="A1317" s="23" t="s">
        <v>2179</v>
      </c>
      <c r="B1317" s="20" t="s">
        <v>16</v>
      </c>
      <c r="C1317" s="20" t="s">
        <v>89</v>
      </c>
      <c r="D1317" s="20" t="s">
        <v>8</v>
      </c>
      <c r="E1317" s="22">
        <v>98</v>
      </c>
      <c r="F1317" s="22">
        <v>3</v>
      </c>
      <c r="G1317" s="22">
        <v>5</v>
      </c>
      <c r="H1317" s="22"/>
      <c r="I1317" s="23" t="s">
        <v>9</v>
      </c>
      <c r="J1317" s="23"/>
      <c r="K1317" s="22"/>
      <c r="L1317" s="22"/>
      <c r="M1317" s="23"/>
      <c r="N1317" s="23"/>
      <c r="O1317" s="26" t="s">
        <v>2180</v>
      </c>
      <c r="P1317" s="26"/>
      <c r="Q1317" s="22"/>
      <c r="R1317" s="24"/>
      <c r="S1317" s="24"/>
      <c r="T1317" s="24"/>
      <c r="U1317" s="24"/>
      <c r="V1317" s="24"/>
      <c r="W1317" s="22" t="s">
        <v>160</v>
      </c>
      <c r="X1317" s="4" t="str">
        <f>IF(Tabela2[[#This Row],[sigla]]="","",VLOOKUP(Tabela2[[#This Row],[sigla]],créditos_base!B:C,2,0))</f>
        <v>SERGIO LIMA/ARQUIVO DA EDITORA</v>
      </c>
      <c r="Y1317" s="23"/>
      <c r="Z1317" s="23" t="str">
        <f>Tabela2[[#This Row],[ilustrador]]</f>
        <v>SERGIO LIMA/ARQUIVO DA EDITORA</v>
      </c>
      <c r="AA1317" s="22"/>
      <c r="AB1317" s="20"/>
      <c r="AD1317" s="4" t="str">
        <f>"Pitanguá"</f>
        <v>Pitanguá</v>
      </c>
      <c r="AE1317" s="14" t="str">
        <f>"Matemática"</f>
        <v>Matemática</v>
      </c>
      <c r="AF1317" s="14"/>
    </row>
    <row r="1318" spans="1:32" x14ac:dyDescent="0.3">
      <c r="A1318" s="23" t="s">
        <v>5203</v>
      </c>
      <c r="B1318" s="20" t="s">
        <v>16</v>
      </c>
      <c r="C1318" s="20" t="s">
        <v>7</v>
      </c>
      <c r="D1318" s="20" t="s">
        <v>8</v>
      </c>
      <c r="E1318" s="22">
        <v>129</v>
      </c>
      <c r="F1318" s="22">
        <v>4</v>
      </c>
      <c r="G1318" s="22">
        <v>5</v>
      </c>
      <c r="H1318" s="22"/>
      <c r="I1318" s="23" t="s">
        <v>90</v>
      </c>
      <c r="J1318" s="23"/>
      <c r="K1318" s="22"/>
      <c r="L1318" s="22"/>
      <c r="M1318" s="23"/>
      <c r="N1318" s="23"/>
      <c r="O1318" s="26" t="s">
        <v>5204</v>
      </c>
      <c r="P1318" s="26"/>
      <c r="Q1318" s="22">
        <v>107</v>
      </c>
      <c r="R1318" s="24">
        <v>45850</v>
      </c>
      <c r="S1318" s="24">
        <v>45853</v>
      </c>
      <c r="T1318" s="24"/>
      <c r="U1318" s="24"/>
      <c r="V1318" s="24">
        <v>45859</v>
      </c>
      <c r="W1318" s="22" t="s">
        <v>72</v>
      </c>
      <c r="X1318" s="4" t="str">
        <f>IF(Tabela2[[#This Row],[sigla]]="","",VLOOKUP(Tabela2[[#This Row],[sigla]],créditos_base!B:C,2,0))</f>
        <v>HELOÍSA PINTARELLI/ARQUIVO DA EDITORA</v>
      </c>
      <c r="Y1318" s="23"/>
      <c r="Z1318" s="23" t="str">
        <f>Tabela2[[#This Row],[ilustrador]]</f>
        <v>HELOÍSA PINTARELLI/ARQUIVO DA EDITORA</v>
      </c>
      <c r="AA1318" s="22">
        <v>13</v>
      </c>
      <c r="AB1318" s="20" t="s">
        <v>5182</v>
      </c>
      <c r="AC1318" s="20" t="s">
        <v>310</v>
      </c>
      <c r="AD1318" s="4" t="str">
        <f>"Pitanguá"</f>
        <v>Pitanguá</v>
      </c>
      <c r="AE1318" s="14" t="str">
        <f>"Matemática"</f>
        <v>Matemática</v>
      </c>
      <c r="AF1318" s="14"/>
    </row>
    <row r="1319" spans="1:32" ht="28.8" x14ac:dyDescent="0.3">
      <c r="A1319" s="23" t="s">
        <v>4138</v>
      </c>
      <c r="B1319" s="20" t="s">
        <v>522</v>
      </c>
      <c r="C1319" s="20" t="s">
        <v>7</v>
      </c>
      <c r="D1319" s="20" t="s">
        <v>8</v>
      </c>
      <c r="E1319" s="22">
        <v>132</v>
      </c>
      <c r="F1319" s="22">
        <v>5</v>
      </c>
      <c r="G1319" s="22">
        <v>5</v>
      </c>
      <c r="H1319" s="22"/>
      <c r="I1319" s="23" t="s">
        <v>33</v>
      </c>
      <c r="J1319" s="23"/>
      <c r="K1319" s="22"/>
      <c r="L1319" s="22"/>
      <c r="M1319" s="23"/>
      <c r="N1319" s="23"/>
      <c r="O1319" s="26" t="s">
        <v>4139</v>
      </c>
      <c r="P1319" s="26"/>
      <c r="Q1319" s="22">
        <v>205</v>
      </c>
      <c r="R1319" s="24">
        <v>45925</v>
      </c>
      <c r="S1319" s="24">
        <v>45925</v>
      </c>
      <c r="T1319" s="24"/>
      <c r="U1319" s="24"/>
      <c r="V1319" s="24">
        <v>45925</v>
      </c>
      <c r="W1319" s="22" t="s">
        <v>332</v>
      </c>
      <c r="X1319" s="4" t="str">
        <f>IF(Tabela2[[#This Row],[sigla]]="","",VLOOKUP(Tabela2[[#This Row],[sigla]],créditos_base!B:C,2,0))</f>
        <v>CYNTHIA SEKIGUCHI/ARQUIVO DA EDITORA</v>
      </c>
      <c r="Y1319" s="23" t="s">
        <v>188</v>
      </c>
      <c r="Z1319" s="23" t="str">
        <f>Tabela2[[#This Row],[ilustrador]]</f>
        <v>CYNTHIA SEKIGUCHI/ARQUIVO DA EDITORA</v>
      </c>
      <c r="AA1319" s="22">
        <v>13</v>
      </c>
      <c r="AB1319" s="20" t="s">
        <v>41</v>
      </c>
      <c r="AD1319" s="4" t="str">
        <f>"Pitanguá"</f>
        <v>Pitanguá</v>
      </c>
      <c r="AE1319" s="14" t="str">
        <f>"Matemática"</f>
        <v>Matemática</v>
      </c>
      <c r="AF1319" s="14"/>
    </row>
    <row r="1320" spans="1:32" x14ac:dyDescent="0.3">
      <c r="A1320" s="23" t="s">
        <v>2074</v>
      </c>
      <c r="B1320" s="20" t="s">
        <v>16</v>
      </c>
      <c r="C1320" s="20" t="s">
        <v>89</v>
      </c>
      <c r="D1320" s="20" t="s">
        <v>8</v>
      </c>
      <c r="E1320" s="22">
        <v>129</v>
      </c>
      <c r="F1320" s="22">
        <v>1</v>
      </c>
      <c r="G1320" s="22">
        <v>5</v>
      </c>
      <c r="H1320" s="22"/>
      <c r="I1320" s="23" t="s">
        <v>90</v>
      </c>
      <c r="J1320" s="23"/>
      <c r="K1320" s="22"/>
      <c r="L1320" s="22"/>
      <c r="M1320" s="23"/>
      <c r="N1320" s="23"/>
      <c r="O1320" s="26" t="s">
        <v>2075</v>
      </c>
      <c r="P1320" s="26"/>
      <c r="Q1320" s="22">
        <v>28</v>
      </c>
      <c r="R1320" s="24">
        <v>45754</v>
      </c>
      <c r="S1320" s="24">
        <v>45755</v>
      </c>
      <c r="T1320" s="24"/>
      <c r="U1320" s="24"/>
      <c r="V1320" s="24">
        <v>45755</v>
      </c>
      <c r="W1320" s="22" t="s">
        <v>999</v>
      </c>
      <c r="X1320" s="4" t="str">
        <f>IF(Tabela2[[#This Row],[sigla]]="","",VLOOKUP(Tabela2[[#This Row],[sigla]],créditos_base!B:C,2,0))</f>
        <v>VINÍCIUS COSTA/ARQUIVO DA EDITORA</v>
      </c>
      <c r="Y1320" s="23" t="s">
        <v>188</v>
      </c>
      <c r="Z1320" s="23" t="str">
        <f>Tabela2[[#This Row],[ilustrador]]</f>
        <v>VINÍCIUS COSTA/ARQUIVO DA EDITORA</v>
      </c>
      <c r="AA1320" s="22">
        <v>8</v>
      </c>
      <c r="AB1320" s="20" t="s">
        <v>153</v>
      </c>
      <c r="AC1320" s="20" t="s">
        <v>36</v>
      </c>
      <c r="AD1320" s="4" t="str">
        <f>"Pitanguá"</f>
        <v>Pitanguá</v>
      </c>
      <c r="AE1320" s="14" t="str">
        <f>"Matemática"</f>
        <v>Matemática</v>
      </c>
      <c r="AF1320" s="14"/>
    </row>
    <row r="1321" spans="1:32" x14ac:dyDescent="0.3">
      <c r="A1321" s="23" t="s">
        <v>2181</v>
      </c>
      <c r="B1321" s="20" t="s">
        <v>16</v>
      </c>
      <c r="C1321" s="20" t="s">
        <v>89</v>
      </c>
      <c r="D1321" s="20" t="s">
        <v>8</v>
      </c>
      <c r="E1321" s="22">
        <v>98</v>
      </c>
      <c r="F1321" s="22">
        <v>3</v>
      </c>
      <c r="G1321" s="22">
        <v>5</v>
      </c>
      <c r="H1321" s="22"/>
      <c r="I1321" s="23" t="s">
        <v>9</v>
      </c>
      <c r="J1321" s="23"/>
      <c r="K1321" s="22"/>
      <c r="L1321" s="22"/>
      <c r="M1321" s="23"/>
      <c r="N1321" s="23"/>
      <c r="O1321" s="26" t="s">
        <v>2182</v>
      </c>
      <c r="P1321" s="26"/>
      <c r="Q1321" s="22"/>
      <c r="R1321" s="24"/>
      <c r="S1321" s="24"/>
      <c r="T1321" s="24"/>
      <c r="U1321" s="24"/>
      <c r="V1321" s="24"/>
      <c r="W1321" s="22" t="s">
        <v>160</v>
      </c>
      <c r="X1321" s="4" t="str">
        <f>IF(Tabela2[[#This Row],[sigla]]="","",VLOOKUP(Tabela2[[#This Row],[sigla]],créditos_base!B:C,2,0))</f>
        <v>SERGIO LIMA/ARQUIVO DA EDITORA</v>
      </c>
      <c r="Y1321" s="23"/>
      <c r="Z1321" s="23" t="str">
        <f>Tabela2[[#This Row],[ilustrador]]</f>
        <v>SERGIO LIMA/ARQUIVO DA EDITORA</v>
      </c>
      <c r="AA1321" s="22"/>
      <c r="AB1321" s="20"/>
      <c r="AD1321" s="4" t="str">
        <f>"Pitanguá"</f>
        <v>Pitanguá</v>
      </c>
      <c r="AE1321" s="14" t="str">
        <f>"Matemática"</f>
        <v>Matemática</v>
      </c>
      <c r="AF1321" s="14"/>
    </row>
    <row r="1322" spans="1:32" x14ac:dyDescent="0.3">
      <c r="A1322" s="23" t="s">
        <v>5183</v>
      </c>
      <c r="B1322" s="20" t="s">
        <v>16</v>
      </c>
      <c r="C1322" s="20" t="s">
        <v>7</v>
      </c>
      <c r="D1322" s="20" t="s">
        <v>8</v>
      </c>
      <c r="E1322" s="22">
        <v>113</v>
      </c>
      <c r="F1322" s="22">
        <v>4</v>
      </c>
      <c r="G1322" s="22">
        <v>5</v>
      </c>
      <c r="H1322" s="22"/>
      <c r="I1322" s="23" t="s">
        <v>90</v>
      </c>
      <c r="J1322" s="23"/>
      <c r="K1322" s="22"/>
      <c r="L1322" s="22"/>
      <c r="M1322" s="23"/>
      <c r="N1322" s="23"/>
      <c r="O1322" s="26" t="s">
        <v>5184</v>
      </c>
      <c r="P1322" s="26"/>
      <c r="Q1322" s="22">
        <v>107</v>
      </c>
      <c r="R1322" s="24">
        <v>45850</v>
      </c>
      <c r="S1322" s="24">
        <v>45853</v>
      </c>
      <c r="T1322" s="24"/>
      <c r="U1322" s="24"/>
      <c r="V1322" s="24">
        <v>45859</v>
      </c>
      <c r="W1322" s="22" t="s">
        <v>72</v>
      </c>
      <c r="X1322" s="4" t="str">
        <f>IF(Tabela2[[#This Row],[sigla]]="","",VLOOKUP(Tabela2[[#This Row],[sigla]],créditos_base!B:C,2,0))</f>
        <v>HELOÍSA PINTARELLI/ARQUIVO DA EDITORA</v>
      </c>
      <c r="Y1322" s="23"/>
      <c r="Z1322" s="23" t="str">
        <f>Tabela2[[#This Row],[ilustrador]]</f>
        <v>HELOÍSA PINTARELLI/ARQUIVO DA EDITORA</v>
      </c>
      <c r="AA1322" s="22">
        <v>8</v>
      </c>
      <c r="AB1322" s="20" t="s">
        <v>5182</v>
      </c>
      <c r="AC1322" s="20" t="s">
        <v>310</v>
      </c>
      <c r="AD1322" s="4" t="str">
        <f>"Pitanguá"</f>
        <v>Pitanguá</v>
      </c>
      <c r="AE1322" s="14" t="str">
        <f>"Matemática"</f>
        <v>Matemática</v>
      </c>
      <c r="AF1322" s="14"/>
    </row>
    <row r="1323" spans="1:32" x14ac:dyDescent="0.3">
      <c r="A1323" s="23" t="s">
        <v>4140</v>
      </c>
      <c r="B1323" s="20" t="s">
        <v>522</v>
      </c>
      <c r="C1323" s="20" t="s">
        <v>7</v>
      </c>
      <c r="D1323" s="20" t="s">
        <v>8</v>
      </c>
      <c r="E1323" s="22">
        <v>132</v>
      </c>
      <c r="F1323" s="22">
        <v>5</v>
      </c>
      <c r="G1323" s="22">
        <v>5</v>
      </c>
      <c r="H1323" s="22"/>
      <c r="I1323" s="23" t="s">
        <v>33</v>
      </c>
      <c r="J1323" s="23"/>
      <c r="K1323" s="22"/>
      <c r="L1323" s="22"/>
      <c r="M1323" s="23"/>
      <c r="N1323" s="23"/>
      <c r="O1323" s="26" t="s">
        <v>4141</v>
      </c>
      <c r="P1323" s="26"/>
      <c r="Q1323" s="22">
        <v>205</v>
      </c>
      <c r="R1323" s="24">
        <v>45925</v>
      </c>
      <c r="S1323" s="24">
        <v>45925</v>
      </c>
      <c r="T1323" s="24"/>
      <c r="U1323" s="24"/>
      <c r="V1323" s="24">
        <v>45925</v>
      </c>
      <c r="W1323" s="22" t="s">
        <v>332</v>
      </c>
      <c r="X1323" s="4" t="str">
        <f>IF(Tabela2[[#This Row],[sigla]]="","",VLOOKUP(Tabela2[[#This Row],[sigla]],créditos_base!B:C,2,0))</f>
        <v>CYNTHIA SEKIGUCHI/ARQUIVO DA EDITORA</v>
      </c>
      <c r="Y1323" s="23" t="s">
        <v>188</v>
      </c>
      <c r="Z1323" s="23" t="str">
        <f>Tabela2[[#This Row],[ilustrador]]</f>
        <v>CYNTHIA SEKIGUCHI/ARQUIVO DA EDITORA</v>
      </c>
      <c r="AA1323" s="22">
        <v>13</v>
      </c>
      <c r="AB1323" s="20" t="s">
        <v>41</v>
      </c>
      <c r="AD1323" s="4" t="str">
        <f>"Pitanguá"</f>
        <v>Pitanguá</v>
      </c>
      <c r="AE1323" s="14" t="str">
        <f>"Matemática"</f>
        <v>Matemática</v>
      </c>
      <c r="AF1323" s="14"/>
    </row>
    <row r="1324" spans="1:32" x14ac:dyDescent="0.3">
      <c r="A1324" s="23" t="s">
        <v>2183</v>
      </c>
      <c r="B1324" s="20" t="s">
        <v>6</v>
      </c>
      <c r="C1324" s="20" t="s">
        <v>89</v>
      </c>
      <c r="D1324" s="20" t="s">
        <v>8</v>
      </c>
      <c r="E1324" s="22">
        <v>99</v>
      </c>
      <c r="F1324" s="22">
        <v>3</v>
      </c>
      <c r="G1324" s="22">
        <v>5</v>
      </c>
      <c r="H1324" s="22"/>
      <c r="I1324" s="23" t="s">
        <v>9</v>
      </c>
      <c r="J1324" s="23"/>
      <c r="K1324" s="22"/>
      <c r="L1324" s="22"/>
      <c r="M1324" s="23"/>
      <c r="N1324" s="23"/>
      <c r="O1324" s="26" t="s">
        <v>2184</v>
      </c>
      <c r="P1324" s="26" t="s">
        <v>11</v>
      </c>
      <c r="Q1324" s="22"/>
      <c r="R1324" s="24"/>
      <c r="S1324" s="24"/>
      <c r="T1324" s="24"/>
      <c r="U1324" s="24"/>
      <c r="V1324" s="24"/>
      <c r="W1324" s="22" t="s">
        <v>160</v>
      </c>
      <c r="X1324" s="4" t="str">
        <f>IF(Tabela2[[#This Row],[sigla]]="","",VLOOKUP(Tabela2[[#This Row],[sigla]],créditos_base!B:C,2,0))</f>
        <v>SERGIO LIMA/ARQUIVO DA EDITORA</v>
      </c>
      <c r="Y1324" s="23"/>
      <c r="Z1324" s="23" t="str">
        <f>Tabela2[[#This Row],[ilustrador]]</f>
        <v>SERGIO LIMA/ARQUIVO DA EDITORA</v>
      </c>
      <c r="AA1324" s="22"/>
      <c r="AB1324" s="20"/>
      <c r="AD1324" s="4" t="str">
        <f>"Pitanguá"</f>
        <v>Pitanguá</v>
      </c>
      <c r="AE1324" s="14" t="str">
        <f>"Matemática"</f>
        <v>Matemática</v>
      </c>
      <c r="AF1324" s="14"/>
    </row>
    <row r="1325" spans="1:32" x14ac:dyDescent="0.3">
      <c r="A1325" s="23" t="s">
        <v>5185</v>
      </c>
      <c r="B1325" s="20" t="s">
        <v>16</v>
      </c>
      <c r="C1325" s="20" t="s">
        <v>7</v>
      </c>
      <c r="D1325" s="20" t="s">
        <v>8</v>
      </c>
      <c r="E1325" s="22">
        <v>113</v>
      </c>
      <c r="F1325" s="22">
        <v>4</v>
      </c>
      <c r="G1325" s="22">
        <v>5</v>
      </c>
      <c r="H1325" s="22"/>
      <c r="I1325" s="23" t="s">
        <v>90</v>
      </c>
      <c r="J1325" s="23"/>
      <c r="K1325" s="22"/>
      <c r="L1325" s="22"/>
      <c r="M1325" s="23"/>
      <c r="N1325" s="23"/>
      <c r="O1325" s="26" t="s">
        <v>5186</v>
      </c>
      <c r="P1325" s="26"/>
      <c r="Q1325" s="22">
        <v>107</v>
      </c>
      <c r="R1325" s="24">
        <v>45850</v>
      </c>
      <c r="S1325" s="24">
        <v>45853</v>
      </c>
      <c r="T1325" s="24"/>
      <c r="U1325" s="24"/>
      <c r="V1325" s="24">
        <v>45859</v>
      </c>
      <c r="W1325" s="22" t="s">
        <v>72</v>
      </c>
      <c r="X1325" s="4" t="str">
        <f>IF(Tabela2[[#This Row],[sigla]]="","",VLOOKUP(Tabela2[[#This Row],[sigla]],créditos_base!B:C,2,0))</f>
        <v>HELOÍSA PINTARELLI/ARQUIVO DA EDITORA</v>
      </c>
      <c r="Y1325" s="23"/>
      <c r="Z1325" s="23" t="str">
        <f>Tabela2[[#This Row],[ilustrador]]</f>
        <v>HELOÍSA PINTARELLI/ARQUIVO DA EDITORA</v>
      </c>
      <c r="AA1325" s="22">
        <v>8</v>
      </c>
      <c r="AB1325" s="20" t="s">
        <v>5182</v>
      </c>
      <c r="AC1325" s="20" t="s">
        <v>310</v>
      </c>
      <c r="AD1325" s="4" t="str">
        <f>"Pitanguá"</f>
        <v>Pitanguá</v>
      </c>
      <c r="AE1325" s="14" t="str">
        <f>"Matemática"</f>
        <v>Matemática</v>
      </c>
      <c r="AF1325" s="14"/>
    </row>
    <row r="1326" spans="1:32" x14ac:dyDescent="0.3">
      <c r="A1326" s="23" t="s">
        <v>4142</v>
      </c>
      <c r="B1326" s="20" t="s">
        <v>16</v>
      </c>
      <c r="C1326" s="20" t="s">
        <v>89</v>
      </c>
      <c r="D1326" s="20" t="s">
        <v>8</v>
      </c>
      <c r="E1326" s="22">
        <v>132</v>
      </c>
      <c r="F1326" s="22">
        <v>5</v>
      </c>
      <c r="G1326" s="22">
        <v>5</v>
      </c>
      <c r="H1326" s="22"/>
      <c r="I1326" s="23" t="s">
        <v>9</v>
      </c>
      <c r="J1326" s="23"/>
      <c r="K1326" s="22"/>
      <c r="L1326" s="22"/>
      <c r="M1326" s="23"/>
      <c r="N1326" s="23"/>
      <c r="O1326" s="26" t="s">
        <v>4143</v>
      </c>
      <c r="P1326" s="26"/>
      <c r="Q1326" s="22"/>
      <c r="R1326" s="24"/>
      <c r="S1326" s="24"/>
      <c r="T1326" s="24"/>
      <c r="U1326" s="24"/>
      <c r="V1326" s="24"/>
      <c r="W1326" s="22" t="s">
        <v>940</v>
      </c>
      <c r="X1326" s="4" t="str">
        <f>IF(Tabela2[[#This Row],[sigla]]="","",VLOOKUP(Tabela2[[#This Row],[sigla]],créditos_base!B:C,2,0))</f>
        <v>RONALDO LUCENA/ARQUIVO DA EDITORA</v>
      </c>
      <c r="Y1326" s="23"/>
      <c r="Z1326" s="23" t="str">
        <f>Tabela2[[#This Row],[ilustrador]]</f>
        <v>RONALDO LUCENA/ARQUIVO DA EDITORA</v>
      </c>
      <c r="AA1326" s="22"/>
      <c r="AB1326" s="20"/>
      <c r="AD1326" s="4" t="str">
        <f>"Pitanguá"</f>
        <v>Pitanguá</v>
      </c>
      <c r="AE1326" s="14" t="str">
        <f>"Matemática"</f>
        <v>Matemática</v>
      </c>
      <c r="AF1326" s="14"/>
    </row>
    <row r="1327" spans="1:32" x14ac:dyDescent="0.3">
      <c r="A1327" s="23" t="s">
        <v>2185</v>
      </c>
      <c r="B1327" s="20" t="s">
        <v>6</v>
      </c>
      <c r="C1327" s="20" t="s">
        <v>89</v>
      </c>
      <c r="D1327" s="20" t="s">
        <v>8</v>
      </c>
      <c r="E1327" s="22">
        <v>99</v>
      </c>
      <c r="F1327" s="22">
        <v>3</v>
      </c>
      <c r="G1327" s="22">
        <v>5</v>
      </c>
      <c r="H1327" s="22"/>
      <c r="I1327" s="23" t="s">
        <v>9</v>
      </c>
      <c r="J1327" s="23"/>
      <c r="K1327" s="22"/>
      <c r="L1327" s="22"/>
      <c r="M1327" s="23"/>
      <c r="N1327" s="23"/>
      <c r="O1327" s="26" t="s">
        <v>2186</v>
      </c>
      <c r="P1327" s="26" t="s">
        <v>11</v>
      </c>
      <c r="Q1327" s="22"/>
      <c r="R1327" s="24"/>
      <c r="S1327" s="24"/>
      <c r="T1327" s="24"/>
      <c r="U1327" s="24"/>
      <c r="V1327" s="24"/>
      <c r="W1327" s="22" t="s">
        <v>160</v>
      </c>
      <c r="X1327" s="4" t="str">
        <f>IF(Tabela2[[#This Row],[sigla]]="","",VLOOKUP(Tabela2[[#This Row],[sigla]],créditos_base!B:C,2,0))</f>
        <v>SERGIO LIMA/ARQUIVO DA EDITORA</v>
      </c>
      <c r="Y1327" s="23"/>
      <c r="Z1327" s="23" t="str">
        <f>Tabela2[[#This Row],[ilustrador]]</f>
        <v>SERGIO LIMA/ARQUIVO DA EDITORA</v>
      </c>
      <c r="AA1327" s="22"/>
      <c r="AB1327" s="20"/>
      <c r="AD1327" s="4" t="str">
        <f>"Pitanguá"</f>
        <v>Pitanguá</v>
      </c>
      <c r="AE1327" s="14" t="str">
        <f>"Matemática"</f>
        <v>Matemática</v>
      </c>
      <c r="AF1327" s="14"/>
    </row>
    <row r="1328" spans="1:32" x14ac:dyDescent="0.3">
      <c r="A1328" s="23" t="s">
        <v>5187</v>
      </c>
      <c r="B1328" s="20" t="s">
        <v>16</v>
      </c>
      <c r="C1328" s="20" t="s">
        <v>7</v>
      </c>
      <c r="D1328" s="20" t="s">
        <v>8</v>
      </c>
      <c r="E1328" s="22">
        <v>118</v>
      </c>
      <c r="F1328" s="22">
        <v>4</v>
      </c>
      <c r="G1328" s="22">
        <v>5</v>
      </c>
      <c r="H1328" s="22"/>
      <c r="I1328" s="23" t="s">
        <v>90</v>
      </c>
      <c r="J1328" s="23"/>
      <c r="K1328" s="22"/>
      <c r="L1328" s="22"/>
      <c r="M1328" s="23"/>
      <c r="N1328" s="23"/>
      <c r="O1328" s="26" t="s">
        <v>5188</v>
      </c>
      <c r="P1328" s="26"/>
      <c r="Q1328" s="22">
        <v>107</v>
      </c>
      <c r="R1328" s="24">
        <v>45850</v>
      </c>
      <c r="S1328" s="24">
        <v>45853</v>
      </c>
      <c r="T1328" s="24"/>
      <c r="U1328" s="24"/>
      <c r="V1328" s="24">
        <v>45859</v>
      </c>
      <c r="W1328" s="22" t="s">
        <v>468</v>
      </c>
      <c r="X1328" s="4" t="str">
        <f>IF(Tabela2[[#This Row],[sigla]]="","",VLOOKUP(Tabela2[[#This Row],[sigla]],créditos_base!B:C,2,0))</f>
        <v>VER DOCUMENTO DE ILS. TÉCNICAS</v>
      </c>
      <c r="Y1328" s="23" t="s">
        <v>4893</v>
      </c>
      <c r="Z1328" s="23" t="s">
        <v>5062</v>
      </c>
      <c r="AA1328" s="22">
        <v>8</v>
      </c>
      <c r="AB1328" s="20" t="s">
        <v>5182</v>
      </c>
      <c r="AC1328" s="20" t="s">
        <v>310</v>
      </c>
      <c r="AD1328" s="4" t="str">
        <f>"Pitanguá"</f>
        <v>Pitanguá</v>
      </c>
      <c r="AE1328" s="14" t="str">
        <f>"Matemática"</f>
        <v>Matemática</v>
      </c>
      <c r="AF1328" s="14"/>
    </row>
    <row r="1329" spans="1:32" x14ac:dyDescent="0.3">
      <c r="A1329" s="23" t="s">
        <v>4144</v>
      </c>
      <c r="B1329" s="20" t="s">
        <v>16</v>
      </c>
      <c r="C1329" s="20" t="s">
        <v>89</v>
      </c>
      <c r="D1329" s="20" t="s">
        <v>8</v>
      </c>
      <c r="E1329" s="22">
        <v>132</v>
      </c>
      <c r="F1329" s="22">
        <v>5</v>
      </c>
      <c r="G1329" s="22">
        <v>5</v>
      </c>
      <c r="H1329" s="22"/>
      <c r="I1329" s="23" t="s">
        <v>9</v>
      </c>
      <c r="J1329" s="23"/>
      <c r="K1329" s="22"/>
      <c r="L1329" s="22"/>
      <c r="M1329" s="23"/>
      <c r="N1329" s="23"/>
      <c r="O1329" s="26" t="s">
        <v>4145</v>
      </c>
      <c r="P1329" s="26"/>
      <c r="Q1329" s="22"/>
      <c r="R1329" s="24"/>
      <c r="S1329" s="24"/>
      <c r="T1329" s="24"/>
      <c r="U1329" s="24"/>
      <c r="V1329" s="24"/>
      <c r="W1329" s="22" t="s">
        <v>940</v>
      </c>
      <c r="X1329" s="4" t="str">
        <f>IF(Tabela2[[#This Row],[sigla]]="","",VLOOKUP(Tabela2[[#This Row],[sigla]],créditos_base!B:C,2,0))</f>
        <v>RONALDO LUCENA/ARQUIVO DA EDITORA</v>
      </c>
      <c r="Y1329" s="23"/>
      <c r="Z1329" s="23" t="str">
        <f>Tabela2[[#This Row],[ilustrador]]</f>
        <v>RONALDO LUCENA/ARQUIVO DA EDITORA</v>
      </c>
      <c r="AA1329" s="22"/>
      <c r="AB1329" s="20"/>
      <c r="AD1329" s="4" t="str">
        <f>"Pitanguá"</f>
        <v>Pitanguá</v>
      </c>
      <c r="AE1329" s="14" t="str">
        <f>"Matemática"</f>
        <v>Matemática</v>
      </c>
      <c r="AF1329" s="14"/>
    </row>
    <row r="1330" spans="1:32" x14ac:dyDescent="0.3">
      <c r="A1330" s="23" t="s">
        <v>2187</v>
      </c>
      <c r="B1330" s="20" t="s">
        <v>6</v>
      </c>
      <c r="C1330" s="20" t="s">
        <v>89</v>
      </c>
      <c r="D1330" s="20" t="s">
        <v>8</v>
      </c>
      <c r="E1330" s="22">
        <v>99</v>
      </c>
      <c r="F1330" s="22">
        <v>3</v>
      </c>
      <c r="G1330" s="22">
        <v>5</v>
      </c>
      <c r="H1330" s="22"/>
      <c r="I1330" s="23" t="s">
        <v>9</v>
      </c>
      <c r="J1330" s="23"/>
      <c r="K1330" s="22"/>
      <c r="L1330" s="22"/>
      <c r="M1330" s="23"/>
      <c r="N1330" s="23"/>
      <c r="O1330" s="26" t="s">
        <v>2188</v>
      </c>
      <c r="P1330" s="26" t="s">
        <v>11</v>
      </c>
      <c r="Q1330" s="22"/>
      <c r="R1330" s="24"/>
      <c r="S1330" s="24"/>
      <c r="T1330" s="24"/>
      <c r="U1330" s="24"/>
      <c r="V1330" s="24"/>
      <c r="W1330" s="22" t="s">
        <v>160</v>
      </c>
      <c r="X1330" s="4" t="str">
        <f>IF(Tabela2[[#This Row],[sigla]]="","",VLOOKUP(Tabela2[[#This Row],[sigla]],créditos_base!B:C,2,0))</f>
        <v>SERGIO LIMA/ARQUIVO DA EDITORA</v>
      </c>
      <c r="Y1330" s="23"/>
      <c r="Z1330" s="23" t="str">
        <f>Tabela2[[#This Row],[ilustrador]]</f>
        <v>SERGIO LIMA/ARQUIVO DA EDITORA</v>
      </c>
      <c r="AA1330" s="22"/>
      <c r="AB1330" s="20"/>
      <c r="AD1330" s="4" t="str">
        <f>"Pitanguá"</f>
        <v>Pitanguá</v>
      </c>
      <c r="AE1330" s="14" t="str">
        <f>"Matemática"</f>
        <v>Matemática</v>
      </c>
      <c r="AF1330" s="14"/>
    </row>
    <row r="1331" spans="1:32" x14ac:dyDescent="0.3">
      <c r="A1331" s="23" t="s">
        <v>4146</v>
      </c>
      <c r="B1331" s="20" t="s">
        <v>522</v>
      </c>
      <c r="C1331" s="20" t="s">
        <v>89</v>
      </c>
      <c r="D1331" s="20" t="s">
        <v>8</v>
      </c>
      <c r="E1331" s="22">
        <v>133</v>
      </c>
      <c r="F1331" s="22">
        <v>5</v>
      </c>
      <c r="G1331" s="22">
        <v>5</v>
      </c>
      <c r="H1331" s="22"/>
      <c r="I1331" s="23" t="s">
        <v>33</v>
      </c>
      <c r="J1331" s="23"/>
      <c r="K1331" s="22"/>
      <c r="L1331" s="22"/>
      <c r="M1331" s="23"/>
      <c r="N1331" s="23"/>
      <c r="O1331" s="26" t="s">
        <v>4147</v>
      </c>
      <c r="P1331" s="26"/>
      <c r="Q1331" s="22">
        <v>205</v>
      </c>
      <c r="R1331" s="24">
        <v>45925</v>
      </c>
      <c r="S1331" s="24">
        <v>45925</v>
      </c>
      <c r="T1331" s="24"/>
      <c r="U1331" s="24"/>
      <c r="V1331" s="24">
        <v>45925</v>
      </c>
      <c r="W1331" s="22" t="s">
        <v>940</v>
      </c>
      <c r="X1331" s="4" t="str">
        <f>IF(Tabela2[[#This Row],[sigla]]="","",VLOOKUP(Tabela2[[#This Row],[sigla]],créditos_base!B:C,2,0))</f>
        <v>RONALDO LUCENA/ARQUIVO DA EDITORA</v>
      </c>
      <c r="Y1331" s="23" t="s">
        <v>188</v>
      </c>
      <c r="Z1331" s="23" t="str">
        <f>Tabela2[[#This Row],[ilustrador]]</f>
        <v>RONALDO LUCENA/ARQUIVO DA EDITORA</v>
      </c>
      <c r="AA1331" s="22">
        <v>13</v>
      </c>
      <c r="AB1331" s="20" t="s">
        <v>41</v>
      </c>
      <c r="AD1331" s="4" t="str">
        <f>"Pitanguá"</f>
        <v>Pitanguá</v>
      </c>
      <c r="AE1331" s="14" t="str">
        <f>"Matemática"</f>
        <v>Matemática</v>
      </c>
      <c r="AF1331" s="14"/>
    </row>
    <row r="1332" spans="1:32" x14ac:dyDescent="0.3">
      <c r="A1332" s="23" t="s">
        <v>2189</v>
      </c>
      <c r="B1332" s="20" t="s">
        <v>6</v>
      </c>
      <c r="C1332" s="20" t="s">
        <v>89</v>
      </c>
      <c r="D1332" s="20" t="s">
        <v>8</v>
      </c>
      <c r="E1332" s="22">
        <v>99</v>
      </c>
      <c r="F1332" s="22">
        <v>3</v>
      </c>
      <c r="G1332" s="22">
        <v>5</v>
      </c>
      <c r="H1332" s="22"/>
      <c r="I1332" s="23" t="s">
        <v>9</v>
      </c>
      <c r="J1332" s="23"/>
      <c r="K1332" s="22"/>
      <c r="L1332" s="22"/>
      <c r="M1332" s="23"/>
      <c r="N1332" s="23"/>
      <c r="O1332" s="26" t="s">
        <v>2190</v>
      </c>
      <c r="P1332" s="26" t="s">
        <v>11</v>
      </c>
      <c r="Q1332" s="22"/>
      <c r="R1332" s="24"/>
      <c r="S1332" s="24"/>
      <c r="T1332" s="24"/>
      <c r="U1332" s="24"/>
      <c r="V1332" s="24"/>
      <c r="W1332" s="22" t="s">
        <v>160</v>
      </c>
      <c r="X1332" s="4" t="str">
        <f>IF(Tabela2[[#This Row],[sigla]]="","",VLOOKUP(Tabela2[[#This Row],[sigla]],créditos_base!B:C,2,0))</f>
        <v>SERGIO LIMA/ARQUIVO DA EDITORA</v>
      </c>
      <c r="Y1332" s="23"/>
      <c r="Z1332" s="23" t="str">
        <f>Tabela2[[#This Row],[ilustrador]]</f>
        <v>SERGIO LIMA/ARQUIVO DA EDITORA</v>
      </c>
      <c r="AA1332" s="22"/>
      <c r="AB1332" s="20"/>
      <c r="AD1332" s="4" t="str">
        <f>"Pitanguá"</f>
        <v>Pitanguá</v>
      </c>
      <c r="AE1332" s="14" t="str">
        <f>"Matemática"</f>
        <v>Matemática</v>
      </c>
      <c r="AF1332" s="14"/>
    </row>
    <row r="1333" spans="1:32" x14ac:dyDescent="0.3">
      <c r="A1333" s="23" t="s">
        <v>4148</v>
      </c>
      <c r="B1333" s="20" t="s">
        <v>16</v>
      </c>
      <c r="C1333" s="20" t="s">
        <v>89</v>
      </c>
      <c r="D1333" s="20" t="s">
        <v>8</v>
      </c>
      <c r="E1333" s="22">
        <v>133</v>
      </c>
      <c r="F1333" s="22">
        <v>5</v>
      </c>
      <c r="G1333" s="22">
        <v>5</v>
      </c>
      <c r="H1333" s="22"/>
      <c r="I1333" s="23" t="s">
        <v>9</v>
      </c>
      <c r="J1333" s="23"/>
      <c r="K1333" s="22"/>
      <c r="L1333" s="22"/>
      <c r="M1333" s="23"/>
      <c r="N1333" s="23"/>
      <c r="O1333" s="26" t="s">
        <v>4149</v>
      </c>
      <c r="P1333" s="26"/>
      <c r="Q1333" s="22"/>
      <c r="R1333" s="24"/>
      <c r="S1333" s="24"/>
      <c r="T1333" s="24"/>
      <c r="U1333" s="24"/>
      <c r="V1333" s="24"/>
      <c r="W1333" s="22" t="s">
        <v>940</v>
      </c>
      <c r="X1333" s="4" t="str">
        <f>IF(Tabela2[[#This Row],[sigla]]="","",VLOOKUP(Tabela2[[#This Row],[sigla]],créditos_base!B:C,2,0))</f>
        <v>RONALDO LUCENA/ARQUIVO DA EDITORA</v>
      </c>
      <c r="Y1333" s="23"/>
      <c r="Z1333" s="23" t="str">
        <f>Tabela2[[#This Row],[ilustrador]]</f>
        <v>RONALDO LUCENA/ARQUIVO DA EDITORA</v>
      </c>
      <c r="AA1333" s="22"/>
      <c r="AB1333" s="20"/>
      <c r="AD1333" s="4" t="str">
        <f>"Pitanguá"</f>
        <v>Pitanguá</v>
      </c>
      <c r="AE1333" s="14" t="str">
        <f>"Matemática"</f>
        <v>Matemática</v>
      </c>
      <c r="AF1333" s="14"/>
    </row>
    <row r="1334" spans="1:32" x14ac:dyDescent="0.3">
      <c r="A1334" s="23" t="s">
        <v>2191</v>
      </c>
      <c r="B1334" s="20" t="s">
        <v>6</v>
      </c>
      <c r="C1334" s="20" t="s">
        <v>89</v>
      </c>
      <c r="D1334" s="20" t="s">
        <v>8</v>
      </c>
      <c r="E1334" s="22">
        <v>99</v>
      </c>
      <c r="F1334" s="22">
        <v>3</v>
      </c>
      <c r="G1334" s="22">
        <v>5</v>
      </c>
      <c r="H1334" s="22"/>
      <c r="I1334" s="23" t="s">
        <v>9</v>
      </c>
      <c r="J1334" s="23"/>
      <c r="K1334" s="22"/>
      <c r="L1334" s="22"/>
      <c r="M1334" s="23"/>
      <c r="N1334" s="23"/>
      <c r="O1334" s="26" t="s">
        <v>2192</v>
      </c>
      <c r="P1334" s="26" t="s">
        <v>11</v>
      </c>
      <c r="Q1334" s="22"/>
      <c r="R1334" s="24"/>
      <c r="S1334" s="24"/>
      <c r="T1334" s="24"/>
      <c r="U1334" s="24"/>
      <c r="V1334" s="24"/>
      <c r="W1334" s="22" t="s">
        <v>160</v>
      </c>
      <c r="X1334" s="4" t="str">
        <f>IF(Tabela2[[#This Row],[sigla]]="","",VLOOKUP(Tabela2[[#This Row],[sigla]],créditos_base!B:C,2,0))</f>
        <v>SERGIO LIMA/ARQUIVO DA EDITORA</v>
      </c>
      <c r="Y1334" s="23"/>
      <c r="Z1334" s="23" t="str">
        <f>Tabela2[[#This Row],[ilustrador]]</f>
        <v>SERGIO LIMA/ARQUIVO DA EDITORA</v>
      </c>
      <c r="AA1334" s="22"/>
      <c r="AB1334" s="20"/>
      <c r="AD1334" s="4" t="str">
        <f>"Pitanguá"</f>
        <v>Pitanguá</v>
      </c>
      <c r="AE1334" s="14" t="str">
        <f>"Matemática"</f>
        <v>Matemática</v>
      </c>
      <c r="AF1334" s="14"/>
    </row>
    <row r="1335" spans="1:32" x14ac:dyDescent="0.3">
      <c r="A1335" s="23" t="s">
        <v>5189</v>
      </c>
      <c r="B1335" s="20" t="s">
        <v>16</v>
      </c>
      <c r="C1335" s="20" t="s">
        <v>7</v>
      </c>
      <c r="D1335" s="20" t="s">
        <v>8</v>
      </c>
      <c r="E1335" s="22">
        <v>119</v>
      </c>
      <c r="F1335" s="22">
        <v>4</v>
      </c>
      <c r="G1335" s="22">
        <v>5</v>
      </c>
      <c r="H1335" s="22"/>
      <c r="I1335" s="23" t="s">
        <v>90</v>
      </c>
      <c r="J1335" s="23"/>
      <c r="K1335" s="22"/>
      <c r="L1335" s="22"/>
      <c r="M1335" s="23"/>
      <c r="N1335" s="23"/>
      <c r="O1335" s="26" t="s">
        <v>5190</v>
      </c>
      <c r="P1335" s="26"/>
      <c r="Q1335" s="22">
        <v>107</v>
      </c>
      <c r="R1335" s="24">
        <v>45850</v>
      </c>
      <c r="S1335" s="24">
        <v>45853</v>
      </c>
      <c r="T1335" s="24"/>
      <c r="U1335" s="24"/>
      <c r="V1335" s="24">
        <v>45859</v>
      </c>
      <c r="W1335" s="22" t="s">
        <v>468</v>
      </c>
      <c r="X1335" s="4" t="str">
        <f>IF(Tabela2[[#This Row],[sigla]]="","",VLOOKUP(Tabela2[[#This Row],[sigla]],créditos_base!B:C,2,0))</f>
        <v>VER DOCUMENTO DE ILS. TÉCNICAS</v>
      </c>
      <c r="Y1335" s="23" t="s">
        <v>4893</v>
      </c>
      <c r="Z1335" s="32" t="s">
        <v>5062</v>
      </c>
      <c r="AA1335" s="22">
        <v>8</v>
      </c>
      <c r="AB1335" s="20" t="s">
        <v>5182</v>
      </c>
      <c r="AC1335" s="20" t="s">
        <v>310</v>
      </c>
      <c r="AD1335" s="4" t="str">
        <f>"Pitanguá"</f>
        <v>Pitanguá</v>
      </c>
      <c r="AE1335" s="14" t="str">
        <f>"Matemática"</f>
        <v>Matemática</v>
      </c>
      <c r="AF1335" s="14"/>
    </row>
    <row r="1336" spans="1:32" x14ac:dyDescent="0.3">
      <c r="A1336" s="23" t="s">
        <v>4150</v>
      </c>
      <c r="B1336" s="20" t="s">
        <v>16</v>
      </c>
      <c r="C1336" s="20" t="s">
        <v>89</v>
      </c>
      <c r="D1336" s="20" t="s">
        <v>8</v>
      </c>
      <c r="E1336" s="22">
        <v>133</v>
      </c>
      <c r="F1336" s="22">
        <v>5</v>
      </c>
      <c r="G1336" s="22">
        <v>5</v>
      </c>
      <c r="H1336" s="22"/>
      <c r="I1336" s="23" t="s">
        <v>9</v>
      </c>
      <c r="J1336" s="23"/>
      <c r="K1336" s="22"/>
      <c r="L1336" s="22"/>
      <c r="M1336" s="23"/>
      <c r="N1336" s="23"/>
      <c r="O1336" s="26" t="s">
        <v>4151</v>
      </c>
      <c r="P1336" s="26"/>
      <c r="Q1336" s="22"/>
      <c r="R1336" s="24"/>
      <c r="S1336" s="24"/>
      <c r="T1336" s="24"/>
      <c r="U1336" s="24"/>
      <c r="V1336" s="24"/>
      <c r="W1336" s="22" t="s">
        <v>940</v>
      </c>
      <c r="X1336" s="4" t="str">
        <f>IF(Tabela2[[#This Row],[sigla]]="","",VLOOKUP(Tabela2[[#This Row],[sigla]],créditos_base!B:C,2,0))</f>
        <v>RONALDO LUCENA/ARQUIVO DA EDITORA</v>
      </c>
      <c r="Y1336" s="23"/>
      <c r="Z1336" s="23" t="str">
        <f>Tabela2[[#This Row],[ilustrador]]</f>
        <v>RONALDO LUCENA/ARQUIVO DA EDITORA</v>
      </c>
      <c r="AA1336" s="22"/>
      <c r="AB1336" s="20"/>
      <c r="AD1336" s="4" t="str">
        <f>"Pitanguá"</f>
        <v>Pitanguá</v>
      </c>
      <c r="AE1336" s="14" t="str">
        <f>"Matemática"</f>
        <v>Matemática</v>
      </c>
      <c r="AF1336" s="14"/>
    </row>
    <row r="1337" spans="1:32" x14ac:dyDescent="0.3">
      <c r="A1337" s="23" t="s">
        <v>2037</v>
      </c>
      <c r="B1337" s="20" t="s">
        <v>16</v>
      </c>
      <c r="C1337" s="20" t="s">
        <v>89</v>
      </c>
      <c r="D1337" s="20" t="s">
        <v>8</v>
      </c>
      <c r="E1337" s="22">
        <v>125</v>
      </c>
      <c r="F1337" s="22">
        <v>1</v>
      </c>
      <c r="G1337" s="22">
        <v>5</v>
      </c>
      <c r="H1337" s="22"/>
      <c r="I1337" s="23" t="s">
        <v>33</v>
      </c>
      <c r="J1337" s="23"/>
      <c r="K1337" s="22"/>
      <c r="L1337" s="22"/>
      <c r="M1337" s="23"/>
      <c r="N1337" s="23"/>
      <c r="O1337" s="26" t="s">
        <v>2038</v>
      </c>
      <c r="P1337" s="26"/>
      <c r="Q1337" s="22">
        <v>28</v>
      </c>
      <c r="R1337" s="24">
        <v>45754</v>
      </c>
      <c r="S1337" s="24">
        <v>45755</v>
      </c>
      <c r="T1337" s="24"/>
      <c r="U1337" s="24"/>
      <c r="V1337" s="24">
        <v>45755</v>
      </c>
      <c r="W1337" s="22" t="s">
        <v>160</v>
      </c>
      <c r="X1337" s="4" t="str">
        <f>IF(Tabela2[[#This Row],[sigla]]="","",VLOOKUP(Tabela2[[#This Row],[sigla]],créditos_base!B:C,2,0))</f>
        <v>SERGIO LIMA/ARQUIVO DA EDITORA</v>
      </c>
      <c r="Y1337" s="23" t="s">
        <v>188</v>
      </c>
      <c r="Z1337" s="23" t="str">
        <f>Tabela2[[#This Row],[ilustrador]]</f>
        <v>SERGIO LIMA/ARQUIVO DA EDITORA</v>
      </c>
      <c r="AA1337" s="22">
        <v>13</v>
      </c>
      <c r="AB1337" s="20" t="s">
        <v>153</v>
      </c>
      <c r="AC1337" s="20" t="s">
        <v>36</v>
      </c>
      <c r="AD1337" s="4" t="str">
        <f>"Pitanguá"</f>
        <v>Pitanguá</v>
      </c>
      <c r="AE1337" s="14" t="str">
        <f>"Matemática"</f>
        <v>Matemática</v>
      </c>
      <c r="AF1337" s="14"/>
    </row>
    <row r="1338" spans="1:32" x14ac:dyDescent="0.3">
      <c r="A1338" s="23" t="s">
        <v>2193</v>
      </c>
      <c r="B1338" s="20" t="s">
        <v>6</v>
      </c>
      <c r="C1338" s="20" t="s">
        <v>89</v>
      </c>
      <c r="D1338" s="20" t="s">
        <v>8</v>
      </c>
      <c r="E1338" s="22">
        <v>99</v>
      </c>
      <c r="F1338" s="22">
        <v>3</v>
      </c>
      <c r="G1338" s="22">
        <v>5</v>
      </c>
      <c r="H1338" s="22"/>
      <c r="I1338" s="23" t="s">
        <v>9</v>
      </c>
      <c r="J1338" s="23"/>
      <c r="K1338" s="22"/>
      <c r="L1338" s="22"/>
      <c r="M1338" s="23"/>
      <c r="N1338" s="23"/>
      <c r="O1338" s="26" t="s">
        <v>2194</v>
      </c>
      <c r="P1338" s="26" t="s">
        <v>11</v>
      </c>
      <c r="Q1338" s="22"/>
      <c r="R1338" s="24"/>
      <c r="S1338" s="24"/>
      <c r="T1338" s="24"/>
      <c r="U1338" s="24"/>
      <c r="V1338" s="24"/>
      <c r="W1338" s="22" t="s">
        <v>160</v>
      </c>
      <c r="X1338" s="4" t="str">
        <f>IF(Tabela2[[#This Row],[sigla]]="","",VLOOKUP(Tabela2[[#This Row],[sigla]],créditos_base!B:C,2,0))</f>
        <v>SERGIO LIMA/ARQUIVO DA EDITORA</v>
      </c>
      <c r="Y1338" s="23"/>
      <c r="Z1338" s="23" t="str">
        <f>Tabela2[[#This Row],[ilustrador]]</f>
        <v>SERGIO LIMA/ARQUIVO DA EDITORA</v>
      </c>
      <c r="AA1338" s="22"/>
      <c r="AB1338" s="20"/>
      <c r="AD1338" s="4" t="str">
        <f>"Pitanguá"</f>
        <v>Pitanguá</v>
      </c>
      <c r="AE1338" s="14" t="str">
        <f>"Matemática"</f>
        <v>Matemática</v>
      </c>
      <c r="AF1338" s="14"/>
    </row>
    <row r="1339" spans="1:32" x14ac:dyDescent="0.3">
      <c r="A1339" s="23" t="s">
        <v>5191</v>
      </c>
      <c r="B1339" s="20" t="s">
        <v>16</v>
      </c>
      <c r="C1339" s="20" t="s">
        <v>7</v>
      </c>
      <c r="D1339" s="20" t="s">
        <v>8</v>
      </c>
      <c r="E1339" s="22">
        <v>119</v>
      </c>
      <c r="F1339" s="22">
        <v>4</v>
      </c>
      <c r="G1339" s="22">
        <v>5</v>
      </c>
      <c r="H1339" s="22"/>
      <c r="I1339" s="23" t="s">
        <v>90</v>
      </c>
      <c r="J1339" s="23"/>
      <c r="K1339" s="22"/>
      <c r="L1339" s="22"/>
      <c r="M1339" s="23"/>
      <c r="N1339" s="23"/>
      <c r="O1339" s="26" t="s">
        <v>5192</v>
      </c>
      <c r="P1339" s="26"/>
      <c r="Q1339" s="22">
        <v>107</v>
      </c>
      <c r="R1339" s="24">
        <v>45850</v>
      </c>
      <c r="S1339" s="24">
        <v>45853</v>
      </c>
      <c r="T1339" s="24"/>
      <c r="U1339" s="24"/>
      <c r="V1339" s="24">
        <v>45859</v>
      </c>
      <c r="W1339" s="22" t="s">
        <v>468</v>
      </c>
      <c r="X1339" s="4" t="str">
        <f>IF(Tabela2[[#This Row],[sigla]]="","",VLOOKUP(Tabela2[[#This Row],[sigla]],créditos_base!B:C,2,0))</f>
        <v>VER DOCUMENTO DE ILS. TÉCNICAS</v>
      </c>
      <c r="Y1339" s="23" t="s">
        <v>4893</v>
      </c>
      <c r="Z1339" s="32" t="s">
        <v>5062</v>
      </c>
      <c r="AA1339" s="22">
        <v>8</v>
      </c>
      <c r="AB1339" s="20" t="s">
        <v>5182</v>
      </c>
      <c r="AC1339" s="20" t="s">
        <v>310</v>
      </c>
      <c r="AD1339" s="4" t="str">
        <f>"Pitanguá"</f>
        <v>Pitanguá</v>
      </c>
      <c r="AE1339" s="14" t="str">
        <f>"Matemática"</f>
        <v>Matemática</v>
      </c>
      <c r="AF1339" s="14"/>
    </row>
    <row r="1340" spans="1:32" ht="43.2" x14ac:dyDescent="0.3">
      <c r="A1340" s="23" t="s">
        <v>4152</v>
      </c>
      <c r="B1340" s="20" t="s">
        <v>16</v>
      </c>
      <c r="C1340" s="20" t="s">
        <v>89</v>
      </c>
      <c r="D1340" s="20" t="s">
        <v>8</v>
      </c>
      <c r="E1340" s="22">
        <v>133</v>
      </c>
      <c r="F1340" s="22">
        <v>5</v>
      </c>
      <c r="G1340" s="22">
        <v>5</v>
      </c>
      <c r="H1340" s="22"/>
      <c r="I1340" s="23" t="s">
        <v>9</v>
      </c>
      <c r="J1340" s="23"/>
      <c r="K1340" s="22"/>
      <c r="L1340" s="22"/>
      <c r="M1340" s="23"/>
      <c r="N1340" s="23"/>
      <c r="O1340" s="26" t="s">
        <v>4153</v>
      </c>
      <c r="P1340" s="26"/>
      <c r="Q1340" s="22"/>
      <c r="R1340" s="24"/>
      <c r="S1340" s="24"/>
      <c r="T1340" s="24"/>
      <c r="U1340" s="24"/>
      <c r="V1340" s="24"/>
      <c r="W1340" s="22" t="s">
        <v>940</v>
      </c>
      <c r="X1340" s="4" t="str">
        <f>IF(Tabela2[[#This Row],[sigla]]="","",VLOOKUP(Tabela2[[#This Row],[sigla]],créditos_base!B:C,2,0))</f>
        <v>RONALDO LUCENA/ARQUIVO DA EDITORA</v>
      </c>
      <c r="Y1340" s="23"/>
      <c r="Z1340" s="23" t="str">
        <f>Tabela2[[#This Row],[ilustrador]]</f>
        <v>RONALDO LUCENA/ARQUIVO DA EDITORA</v>
      </c>
      <c r="AA1340" s="22"/>
      <c r="AB1340" s="20"/>
      <c r="AD1340" s="4" t="str">
        <f>"Pitanguá"</f>
        <v>Pitanguá</v>
      </c>
      <c r="AE1340" s="14" t="str">
        <f>"Matemática"</f>
        <v>Matemática</v>
      </c>
      <c r="AF1340" s="14"/>
    </row>
    <row r="1341" spans="1:32" ht="28.8" x14ac:dyDescent="0.3">
      <c r="A1341" s="23" t="s">
        <v>2039</v>
      </c>
      <c r="B1341" s="20" t="s">
        <v>16</v>
      </c>
      <c r="C1341" s="20" t="s">
        <v>89</v>
      </c>
      <c r="D1341" s="20" t="s">
        <v>8</v>
      </c>
      <c r="E1341" s="22">
        <v>125</v>
      </c>
      <c r="F1341" s="22">
        <v>1</v>
      </c>
      <c r="G1341" s="22">
        <v>5</v>
      </c>
      <c r="H1341" s="22"/>
      <c r="I1341" s="23" t="s">
        <v>33</v>
      </c>
      <c r="J1341" s="23"/>
      <c r="K1341" s="22"/>
      <c r="L1341" s="22"/>
      <c r="M1341" s="23"/>
      <c r="N1341" s="23"/>
      <c r="O1341" s="26" t="s">
        <v>2040</v>
      </c>
      <c r="P1341" s="26"/>
      <c r="Q1341" s="22">
        <v>28</v>
      </c>
      <c r="R1341" s="24">
        <v>45754</v>
      </c>
      <c r="S1341" s="24">
        <v>45755</v>
      </c>
      <c r="T1341" s="24"/>
      <c r="U1341" s="24"/>
      <c r="V1341" s="24">
        <v>45755</v>
      </c>
      <c r="W1341" s="22" t="s">
        <v>160</v>
      </c>
      <c r="X1341" s="4" t="str">
        <f>IF(Tabela2[[#This Row],[sigla]]="","",VLOOKUP(Tabela2[[#This Row],[sigla]],créditos_base!B:C,2,0))</f>
        <v>SERGIO LIMA/ARQUIVO DA EDITORA</v>
      </c>
      <c r="Y1341" s="23" t="s">
        <v>188</v>
      </c>
      <c r="Z1341" s="23" t="str">
        <f>Tabela2[[#This Row],[ilustrador]]</f>
        <v>SERGIO LIMA/ARQUIVO DA EDITORA</v>
      </c>
      <c r="AA1341" s="22">
        <v>13</v>
      </c>
      <c r="AB1341" s="20" t="s">
        <v>153</v>
      </c>
      <c r="AC1341" s="20" t="s">
        <v>36</v>
      </c>
      <c r="AD1341" s="4" t="str">
        <f>"Pitanguá"</f>
        <v>Pitanguá</v>
      </c>
      <c r="AE1341" s="14" t="str">
        <f>"Matemática"</f>
        <v>Matemática</v>
      </c>
      <c r="AF1341" s="14"/>
    </row>
    <row r="1342" spans="1:32" ht="57.6" x14ac:dyDescent="0.3">
      <c r="A1342" s="23" t="s">
        <v>2195</v>
      </c>
      <c r="B1342" s="20" t="s">
        <v>6</v>
      </c>
      <c r="C1342" s="20" t="s">
        <v>89</v>
      </c>
      <c r="D1342" s="20" t="s">
        <v>8</v>
      </c>
      <c r="E1342" s="22">
        <v>99</v>
      </c>
      <c r="F1342" s="22">
        <v>3</v>
      </c>
      <c r="G1342" s="22">
        <v>5</v>
      </c>
      <c r="H1342" s="22"/>
      <c r="I1342" s="23" t="s">
        <v>9</v>
      </c>
      <c r="J1342" s="23"/>
      <c r="K1342" s="22"/>
      <c r="L1342" s="22"/>
      <c r="M1342" s="23"/>
      <c r="N1342" s="23"/>
      <c r="O1342" s="26" t="s">
        <v>2196</v>
      </c>
      <c r="P1342" s="26" t="s">
        <v>11</v>
      </c>
      <c r="Q1342" s="22"/>
      <c r="R1342" s="24"/>
      <c r="S1342" s="24"/>
      <c r="T1342" s="24"/>
      <c r="U1342" s="24"/>
      <c r="V1342" s="24"/>
      <c r="W1342" s="22" t="s">
        <v>160</v>
      </c>
      <c r="X1342" s="4" t="str">
        <f>IF(Tabela2[[#This Row],[sigla]]="","",VLOOKUP(Tabela2[[#This Row],[sigla]],créditos_base!B:C,2,0))</f>
        <v>SERGIO LIMA/ARQUIVO DA EDITORA</v>
      </c>
      <c r="Y1342" s="23"/>
      <c r="Z1342" s="23" t="str">
        <f>Tabela2[[#This Row],[ilustrador]]</f>
        <v>SERGIO LIMA/ARQUIVO DA EDITORA</v>
      </c>
      <c r="AA1342" s="22"/>
      <c r="AB1342" s="20"/>
      <c r="AD1342" s="4" t="str">
        <f>"Pitanguá"</f>
        <v>Pitanguá</v>
      </c>
      <c r="AE1342" s="14" t="str">
        <f>"Matemática"</f>
        <v>Matemática</v>
      </c>
      <c r="AF1342" s="14"/>
    </row>
    <row r="1343" spans="1:32" ht="28.8" x14ac:dyDescent="0.3">
      <c r="A1343" s="23" t="s">
        <v>4154</v>
      </c>
      <c r="B1343" s="20" t="s">
        <v>16</v>
      </c>
      <c r="C1343" s="20" t="s">
        <v>89</v>
      </c>
      <c r="D1343" s="20" t="s">
        <v>8</v>
      </c>
      <c r="E1343" s="22">
        <v>134</v>
      </c>
      <c r="F1343" s="22">
        <v>5</v>
      </c>
      <c r="G1343" s="22">
        <v>5</v>
      </c>
      <c r="H1343" s="22"/>
      <c r="I1343" s="23" t="s">
        <v>9</v>
      </c>
      <c r="J1343" s="23"/>
      <c r="K1343" s="22"/>
      <c r="L1343" s="22"/>
      <c r="M1343" s="23"/>
      <c r="N1343" s="23"/>
      <c r="O1343" s="26" t="s">
        <v>4155</v>
      </c>
      <c r="P1343" s="26"/>
      <c r="Q1343" s="22"/>
      <c r="R1343" s="24"/>
      <c r="S1343" s="24"/>
      <c r="T1343" s="24"/>
      <c r="U1343" s="24"/>
      <c r="V1343" s="24"/>
      <c r="W1343" s="22" t="s">
        <v>940</v>
      </c>
      <c r="X1343" s="4" t="str">
        <f>IF(Tabela2[[#This Row],[sigla]]="","",VLOOKUP(Tabela2[[#This Row],[sigla]],créditos_base!B:C,2,0))</f>
        <v>RONALDO LUCENA/ARQUIVO DA EDITORA</v>
      </c>
      <c r="Y1343" s="23"/>
      <c r="Z1343" s="23" t="str">
        <f>Tabela2[[#This Row],[ilustrador]]</f>
        <v>RONALDO LUCENA/ARQUIVO DA EDITORA</v>
      </c>
      <c r="AA1343" s="22"/>
      <c r="AB1343" s="20"/>
      <c r="AD1343" s="4" t="str">
        <f>"Pitanguá"</f>
        <v>Pitanguá</v>
      </c>
      <c r="AE1343" s="14" t="str">
        <f>"Matemática"</f>
        <v>Matemática</v>
      </c>
      <c r="AF1343" s="14"/>
    </row>
    <row r="1344" spans="1:32" x14ac:dyDescent="0.3">
      <c r="A1344" s="23" t="s">
        <v>2041</v>
      </c>
      <c r="B1344" s="20" t="s">
        <v>16</v>
      </c>
      <c r="C1344" s="20" t="s">
        <v>89</v>
      </c>
      <c r="D1344" s="20" t="s">
        <v>8</v>
      </c>
      <c r="E1344" s="22">
        <v>125</v>
      </c>
      <c r="F1344" s="22">
        <v>1</v>
      </c>
      <c r="G1344" s="22">
        <v>5</v>
      </c>
      <c r="H1344" s="22"/>
      <c r="I1344" s="23" t="s">
        <v>33</v>
      </c>
      <c r="J1344" s="23"/>
      <c r="K1344" s="22"/>
      <c r="L1344" s="22"/>
      <c r="M1344" s="23"/>
      <c r="N1344" s="23"/>
      <c r="O1344" s="26" t="s">
        <v>2042</v>
      </c>
      <c r="P1344" s="26"/>
      <c r="Q1344" s="22">
        <v>28</v>
      </c>
      <c r="R1344" s="24">
        <v>45754</v>
      </c>
      <c r="S1344" s="24">
        <v>45755</v>
      </c>
      <c r="T1344" s="24"/>
      <c r="U1344" s="24"/>
      <c r="V1344" s="24">
        <v>45755</v>
      </c>
      <c r="W1344" s="22" t="s">
        <v>160</v>
      </c>
      <c r="X1344" s="4" t="str">
        <f>IF(Tabela2[[#This Row],[sigla]]="","",VLOOKUP(Tabela2[[#This Row],[sigla]],créditos_base!B:C,2,0))</f>
        <v>SERGIO LIMA/ARQUIVO DA EDITORA</v>
      </c>
      <c r="Y1344" s="23" t="s">
        <v>188</v>
      </c>
      <c r="Z1344" s="23" t="str">
        <f>Tabela2[[#This Row],[ilustrador]]</f>
        <v>SERGIO LIMA/ARQUIVO DA EDITORA</v>
      </c>
      <c r="AA1344" s="22">
        <v>13</v>
      </c>
      <c r="AB1344" s="20" t="s">
        <v>153</v>
      </c>
      <c r="AC1344" s="20" t="s">
        <v>36</v>
      </c>
      <c r="AD1344" s="4" t="str">
        <f>"Pitanguá"</f>
        <v>Pitanguá</v>
      </c>
      <c r="AE1344" s="14" t="str">
        <f>"Matemática"</f>
        <v>Matemática</v>
      </c>
      <c r="AF1344" s="14"/>
    </row>
    <row r="1345" spans="1:32" x14ac:dyDescent="0.3">
      <c r="A1345" s="23" t="s">
        <v>2197</v>
      </c>
      <c r="B1345" s="20" t="s">
        <v>6</v>
      </c>
      <c r="C1345" s="20" t="s">
        <v>89</v>
      </c>
      <c r="D1345" s="20" t="s">
        <v>8</v>
      </c>
      <c r="E1345" s="22">
        <v>99</v>
      </c>
      <c r="F1345" s="22">
        <v>3</v>
      </c>
      <c r="G1345" s="22">
        <v>5</v>
      </c>
      <c r="H1345" s="22"/>
      <c r="I1345" s="23" t="s">
        <v>33</v>
      </c>
      <c r="J1345" s="23"/>
      <c r="K1345" s="22"/>
      <c r="L1345" s="22"/>
      <c r="M1345" s="23"/>
      <c r="N1345" s="23"/>
      <c r="O1345" s="26" t="s">
        <v>2198</v>
      </c>
      <c r="P1345" s="26" t="s">
        <v>11</v>
      </c>
      <c r="Q1345" s="22">
        <v>29</v>
      </c>
      <c r="R1345" s="24">
        <v>45755</v>
      </c>
      <c r="S1345" s="24">
        <v>45755</v>
      </c>
      <c r="T1345" s="24"/>
      <c r="U1345" s="24"/>
      <c r="V1345" s="24">
        <v>45755</v>
      </c>
      <c r="W1345" s="22" t="s">
        <v>160</v>
      </c>
      <c r="X1345" s="4" t="str">
        <f>IF(Tabela2[[#This Row],[sigla]]="","",VLOOKUP(Tabela2[[#This Row],[sigla]],créditos_base!B:C,2,0))</f>
        <v>SERGIO LIMA/ARQUIVO DA EDITORA</v>
      </c>
      <c r="Y1345" s="23" t="s">
        <v>152</v>
      </c>
      <c r="Z1345" s="23" t="str">
        <f>Tabela2[[#This Row],[ilustrador]]</f>
        <v>SERGIO LIMA/ARQUIVO DA EDITORA</v>
      </c>
      <c r="AA1345" s="22">
        <v>13</v>
      </c>
      <c r="AB1345" s="20" t="s">
        <v>244</v>
      </c>
      <c r="AC1345" s="20" t="s">
        <v>36</v>
      </c>
      <c r="AD1345" s="4" t="str">
        <f>"Pitanguá"</f>
        <v>Pitanguá</v>
      </c>
      <c r="AE1345" s="14" t="str">
        <f>"Matemática"</f>
        <v>Matemática</v>
      </c>
      <c r="AF1345" s="14"/>
    </row>
    <row r="1346" spans="1:32" ht="28.8" x14ac:dyDescent="0.3">
      <c r="A1346" s="23" t="s">
        <v>5195</v>
      </c>
      <c r="B1346" s="20" t="s">
        <v>16</v>
      </c>
      <c r="C1346" s="20" t="s">
        <v>7</v>
      </c>
      <c r="D1346" s="20" t="s">
        <v>8</v>
      </c>
      <c r="E1346" s="22">
        <v>126</v>
      </c>
      <c r="F1346" s="22">
        <v>4</v>
      </c>
      <c r="G1346" s="22">
        <v>5</v>
      </c>
      <c r="H1346" s="22"/>
      <c r="I1346" s="23" t="s">
        <v>90</v>
      </c>
      <c r="J1346" s="23"/>
      <c r="K1346" s="22"/>
      <c r="L1346" s="22"/>
      <c r="M1346" s="23"/>
      <c r="N1346" s="23"/>
      <c r="O1346" s="26" t="s">
        <v>5196</v>
      </c>
      <c r="P1346" s="26"/>
      <c r="Q1346" s="22">
        <v>107</v>
      </c>
      <c r="R1346" s="24">
        <v>45850</v>
      </c>
      <c r="S1346" s="24">
        <v>45853</v>
      </c>
      <c r="T1346" s="24"/>
      <c r="U1346" s="24"/>
      <c r="V1346" s="24">
        <v>45859</v>
      </c>
      <c r="W1346" s="22" t="s">
        <v>72</v>
      </c>
      <c r="X1346" s="4" t="str">
        <f>IF(Tabela2[[#This Row],[sigla]]="","",VLOOKUP(Tabela2[[#This Row],[sigla]],créditos_base!B:C,2,0))</f>
        <v>HELOÍSA PINTARELLI/ARQUIVO DA EDITORA</v>
      </c>
      <c r="Y1346" s="23"/>
      <c r="Z1346" s="23" t="str">
        <f>Tabela2[[#This Row],[ilustrador]]</f>
        <v>HELOÍSA PINTARELLI/ARQUIVO DA EDITORA</v>
      </c>
      <c r="AA1346" s="22">
        <v>8</v>
      </c>
      <c r="AB1346" s="20" t="s">
        <v>5182</v>
      </c>
      <c r="AC1346" s="20" t="s">
        <v>310</v>
      </c>
      <c r="AD1346" s="4" t="str">
        <f>"Pitanguá"</f>
        <v>Pitanguá</v>
      </c>
      <c r="AE1346" s="14" t="str">
        <f>"Matemática"</f>
        <v>Matemática</v>
      </c>
      <c r="AF1346" s="14"/>
    </row>
    <row r="1347" spans="1:32" ht="28.8" x14ac:dyDescent="0.3">
      <c r="A1347" s="23" t="s">
        <v>5874</v>
      </c>
      <c r="B1347" s="20" t="s">
        <v>16</v>
      </c>
      <c r="C1347" s="20" t="s">
        <v>7</v>
      </c>
      <c r="D1347" s="20" t="s">
        <v>8</v>
      </c>
      <c r="E1347" s="22">
        <v>134</v>
      </c>
      <c r="F1347" s="22">
        <v>5</v>
      </c>
      <c r="G1347" s="22">
        <v>5</v>
      </c>
      <c r="H1347" s="22"/>
      <c r="I1347" s="23" t="s">
        <v>9</v>
      </c>
      <c r="J1347" s="23"/>
      <c r="K1347" s="22"/>
      <c r="L1347" s="22"/>
      <c r="M1347" s="23"/>
      <c r="N1347" s="23"/>
      <c r="O1347" s="45" t="s">
        <v>5875</v>
      </c>
      <c r="P1347" s="26"/>
      <c r="Q1347" s="22"/>
      <c r="R1347" s="24"/>
      <c r="S1347" s="24"/>
      <c r="T1347" s="24"/>
      <c r="U1347" s="24"/>
      <c r="V1347" s="24"/>
      <c r="W1347" s="22" t="s">
        <v>940</v>
      </c>
      <c r="X1347" s="4" t="str">
        <f>IF(Tabela2[[#This Row],[sigla]]="","",VLOOKUP(Tabela2[[#This Row],[sigla]],créditos_base!B:C,2,0))</f>
        <v>RONALDO LUCENA/ARQUIVO DA EDITORA</v>
      </c>
      <c r="Y1347" s="23"/>
      <c r="Z1347" s="23" t="str">
        <f>Tabela2[[#This Row],[ilustrador]]</f>
        <v>RONALDO LUCENA/ARQUIVO DA EDITORA</v>
      </c>
      <c r="AA1347" s="22"/>
      <c r="AB1347" s="20"/>
      <c r="AD1347" s="4" t="str">
        <f>"Pitanguá"</f>
        <v>Pitanguá</v>
      </c>
      <c r="AE1347" s="14" t="str">
        <f>"Matemática"</f>
        <v>Matemática</v>
      </c>
      <c r="AF1347" s="14"/>
    </row>
    <row r="1348" spans="1:32" ht="57.6" x14ac:dyDescent="0.3">
      <c r="A1348" s="23" t="s">
        <v>2043</v>
      </c>
      <c r="B1348" s="20" t="s">
        <v>16</v>
      </c>
      <c r="C1348" s="20" t="s">
        <v>89</v>
      </c>
      <c r="D1348" s="20" t="s">
        <v>8</v>
      </c>
      <c r="E1348" s="22">
        <v>125</v>
      </c>
      <c r="F1348" s="22">
        <v>1</v>
      </c>
      <c r="G1348" s="22">
        <v>5</v>
      </c>
      <c r="H1348" s="22"/>
      <c r="I1348" s="23" t="s">
        <v>33</v>
      </c>
      <c r="J1348" s="23"/>
      <c r="K1348" s="22"/>
      <c r="L1348" s="22"/>
      <c r="M1348" s="23"/>
      <c r="N1348" s="23"/>
      <c r="O1348" s="26" t="s">
        <v>2044</v>
      </c>
      <c r="P1348" s="26"/>
      <c r="Q1348" s="22">
        <v>28</v>
      </c>
      <c r="R1348" s="24">
        <v>45754</v>
      </c>
      <c r="S1348" s="24">
        <v>45755</v>
      </c>
      <c r="T1348" s="24"/>
      <c r="U1348" s="24"/>
      <c r="V1348" s="24">
        <v>45755</v>
      </c>
      <c r="W1348" s="22" t="s">
        <v>160</v>
      </c>
      <c r="X1348" s="4" t="str">
        <f>IF(Tabela2[[#This Row],[sigla]]="","",VLOOKUP(Tabela2[[#This Row],[sigla]],créditos_base!B:C,2,0))</f>
        <v>SERGIO LIMA/ARQUIVO DA EDITORA</v>
      </c>
      <c r="Y1348" s="23" t="s">
        <v>188</v>
      </c>
      <c r="Z1348" s="23" t="str">
        <f>Tabela2[[#This Row],[ilustrador]]</f>
        <v>SERGIO LIMA/ARQUIVO DA EDITORA</v>
      </c>
      <c r="AA1348" s="22">
        <v>13</v>
      </c>
      <c r="AB1348" s="20" t="s">
        <v>153</v>
      </c>
      <c r="AC1348" s="20" t="s">
        <v>36</v>
      </c>
      <c r="AD1348" s="4" t="str">
        <f>"Pitanguá"</f>
        <v>Pitanguá</v>
      </c>
      <c r="AE1348" s="14" t="str">
        <f>"Matemática"</f>
        <v>Matemática</v>
      </c>
      <c r="AF1348" s="14"/>
    </row>
    <row r="1349" spans="1:32" x14ac:dyDescent="0.3">
      <c r="A1349" s="23" t="s">
        <v>5211</v>
      </c>
      <c r="B1349" s="20" t="s">
        <v>16</v>
      </c>
      <c r="C1349" s="20" t="s">
        <v>7</v>
      </c>
      <c r="D1349" s="20" t="s">
        <v>8</v>
      </c>
      <c r="E1349" s="22">
        <v>137</v>
      </c>
      <c r="F1349" s="22">
        <v>4</v>
      </c>
      <c r="G1349" s="22">
        <v>5</v>
      </c>
      <c r="H1349" s="22"/>
      <c r="I1349" s="23" t="s">
        <v>90</v>
      </c>
      <c r="J1349" s="23"/>
      <c r="K1349" s="22"/>
      <c r="L1349" s="22"/>
      <c r="M1349" s="23"/>
      <c r="N1349" s="23"/>
      <c r="O1349" s="26" t="s">
        <v>5212</v>
      </c>
      <c r="P1349" s="26"/>
      <c r="Q1349" s="22">
        <v>107</v>
      </c>
      <c r="R1349" s="24">
        <v>45850</v>
      </c>
      <c r="S1349" s="24">
        <v>45853</v>
      </c>
      <c r="T1349" s="24"/>
      <c r="U1349" s="24"/>
      <c r="V1349" s="24">
        <v>45859</v>
      </c>
      <c r="W1349" s="22" t="s">
        <v>468</v>
      </c>
      <c r="X1349" s="4" t="str">
        <f>IF(Tabela2[[#This Row],[sigla]]="","",VLOOKUP(Tabela2[[#This Row],[sigla]],créditos_base!B:C,2,0))</f>
        <v>VER DOCUMENTO DE ILS. TÉCNICAS</v>
      </c>
      <c r="Y1349" s="23" t="s">
        <v>4893</v>
      </c>
      <c r="Z1349" s="32" t="s">
        <v>5062</v>
      </c>
      <c r="AA1349" s="22">
        <v>8</v>
      </c>
      <c r="AB1349" s="20" t="s">
        <v>5182</v>
      </c>
      <c r="AC1349" s="20" t="s">
        <v>36</v>
      </c>
      <c r="AD1349" s="4" t="str">
        <f>"Pitanguá"</f>
        <v>Pitanguá</v>
      </c>
      <c r="AE1349" s="14" t="str">
        <f>"Matemática"</f>
        <v>Matemática</v>
      </c>
      <c r="AF1349" s="14"/>
    </row>
    <row r="1350" spans="1:32" ht="57.6" x14ac:dyDescent="0.3">
      <c r="A1350" s="23" t="s">
        <v>4156</v>
      </c>
      <c r="B1350" s="20" t="s">
        <v>16</v>
      </c>
      <c r="C1350" s="20" t="s">
        <v>89</v>
      </c>
      <c r="D1350" s="20" t="s">
        <v>8</v>
      </c>
      <c r="E1350" s="22">
        <v>134</v>
      </c>
      <c r="F1350" s="22">
        <v>5</v>
      </c>
      <c r="G1350" s="22">
        <v>5</v>
      </c>
      <c r="H1350" s="22"/>
      <c r="I1350" s="23" t="s">
        <v>9</v>
      </c>
      <c r="J1350" s="23"/>
      <c r="K1350" s="22"/>
      <c r="L1350" s="22"/>
      <c r="M1350" s="23"/>
      <c r="N1350" s="23"/>
      <c r="O1350" s="26" t="s">
        <v>4157</v>
      </c>
      <c r="P1350" s="26"/>
      <c r="Q1350" s="22"/>
      <c r="R1350" s="24"/>
      <c r="S1350" s="24"/>
      <c r="T1350" s="24"/>
      <c r="U1350" s="24"/>
      <c r="V1350" s="24"/>
      <c r="W1350" s="22" t="s">
        <v>940</v>
      </c>
      <c r="X1350" s="4" t="str">
        <f>IF(Tabela2[[#This Row],[sigla]]="","",VLOOKUP(Tabela2[[#This Row],[sigla]],créditos_base!B:C,2,0))</f>
        <v>RONALDO LUCENA/ARQUIVO DA EDITORA</v>
      </c>
      <c r="Y1350" s="23"/>
      <c r="Z1350" s="23" t="str">
        <f>Tabela2[[#This Row],[ilustrador]]</f>
        <v>RONALDO LUCENA/ARQUIVO DA EDITORA</v>
      </c>
      <c r="AA1350" s="22"/>
      <c r="AB1350" s="20"/>
      <c r="AD1350" s="4" t="str">
        <f>"Pitanguá"</f>
        <v>Pitanguá</v>
      </c>
      <c r="AE1350" s="14" t="str">
        <f>"Matemática"</f>
        <v>Matemática</v>
      </c>
      <c r="AF1350" s="14"/>
    </row>
    <row r="1351" spans="1:32" x14ac:dyDescent="0.3">
      <c r="A1351" s="23" t="s">
        <v>5213</v>
      </c>
      <c r="B1351" s="20" t="s">
        <v>16</v>
      </c>
      <c r="C1351" s="20" t="s">
        <v>7</v>
      </c>
      <c r="D1351" s="20" t="s">
        <v>8</v>
      </c>
      <c r="E1351" s="22">
        <v>137</v>
      </c>
      <c r="F1351" s="22">
        <v>4</v>
      </c>
      <c r="G1351" s="22">
        <v>5</v>
      </c>
      <c r="H1351" s="22"/>
      <c r="I1351" s="23" t="s">
        <v>90</v>
      </c>
      <c r="J1351" s="23"/>
      <c r="K1351" s="22"/>
      <c r="L1351" s="22"/>
      <c r="M1351" s="23"/>
      <c r="N1351" s="23"/>
      <c r="O1351" s="26" t="s">
        <v>5214</v>
      </c>
      <c r="P1351" s="26"/>
      <c r="Q1351" s="22">
        <v>107</v>
      </c>
      <c r="R1351" s="24">
        <v>45850</v>
      </c>
      <c r="S1351" s="24">
        <v>45853</v>
      </c>
      <c r="T1351" s="24"/>
      <c r="U1351" s="24"/>
      <c r="V1351" s="24">
        <v>45859</v>
      </c>
      <c r="W1351" s="22" t="s">
        <v>468</v>
      </c>
      <c r="X1351" s="4" t="str">
        <f>IF(Tabela2[[#This Row],[sigla]]="","",VLOOKUP(Tabela2[[#This Row],[sigla]],créditos_base!B:C,2,0))</f>
        <v>VER DOCUMENTO DE ILS. TÉCNICAS</v>
      </c>
      <c r="Y1351" s="23" t="s">
        <v>4893</v>
      </c>
      <c r="Z1351" s="32" t="s">
        <v>5062</v>
      </c>
      <c r="AA1351" s="22">
        <v>13</v>
      </c>
      <c r="AB1351" s="20" t="s">
        <v>5182</v>
      </c>
      <c r="AC1351" s="20" t="s">
        <v>310</v>
      </c>
      <c r="AD1351" s="4" t="str">
        <f>"Pitanguá"</f>
        <v>Pitanguá</v>
      </c>
      <c r="AE1351" s="14" t="str">
        <f>"Matemática"</f>
        <v>Matemática</v>
      </c>
      <c r="AF1351" s="14"/>
    </row>
    <row r="1352" spans="1:32" ht="43.2" x14ac:dyDescent="0.3">
      <c r="A1352" s="23" t="s">
        <v>4158</v>
      </c>
      <c r="B1352" s="20" t="s">
        <v>16</v>
      </c>
      <c r="C1352" s="20" t="s">
        <v>89</v>
      </c>
      <c r="D1352" s="20" t="s">
        <v>8</v>
      </c>
      <c r="E1352" s="22">
        <v>134</v>
      </c>
      <c r="F1352" s="22">
        <v>5</v>
      </c>
      <c r="G1352" s="22">
        <v>5</v>
      </c>
      <c r="H1352" s="22"/>
      <c r="I1352" s="23" t="s">
        <v>9</v>
      </c>
      <c r="J1352" s="23"/>
      <c r="K1352" s="22"/>
      <c r="L1352" s="22"/>
      <c r="M1352" s="23"/>
      <c r="N1352" s="23"/>
      <c r="O1352" s="26" t="s">
        <v>4159</v>
      </c>
      <c r="P1352" s="26"/>
      <c r="Q1352" s="22"/>
      <c r="R1352" s="24"/>
      <c r="S1352" s="24"/>
      <c r="T1352" s="24"/>
      <c r="U1352" s="24"/>
      <c r="V1352" s="24"/>
      <c r="W1352" s="22" t="s">
        <v>940</v>
      </c>
      <c r="X1352" s="4" t="str">
        <f>IF(Tabela2[[#This Row],[sigla]]="","",VLOOKUP(Tabela2[[#This Row],[sigla]],créditos_base!B:C,2,0))</f>
        <v>RONALDO LUCENA/ARQUIVO DA EDITORA</v>
      </c>
      <c r="Y1352" s="23"/>
      <c r="Z1352" s="23" t="str">
        <f>Tabela2[[#This Row],[ilustrador]]</f>
        <v>RONALDO LUCENA/ARQUIVO DA EDITORA</v>
      </c>
      <c r="AA1352" s="22"/>
      <c r="AB1352" s="20"/>
      <c r="AD1352" s="4" t="str">
        <f>"Pitanguá"</f>
        <v>Pitanguá</v>
      </c>
      <c r="AE1352" s="14" t="str">
        <f>"Matemática"</f>
        <v>Matemática</v>
      </c>
      <c r="AF1352" s="14"/>
    </row>
    <row r="1353" spans="1:32" ht="86.4" x14ac:dyDescent="0.3">
      <c r="A1353" s="23" t="s">
        <v>4459</v>
      </c>
      <c r="B1353" s="20" t="s">
        <v>16</v>
      </c>
      <c r="C1353" s="20" t="s">
        <v>89</v>
      </c>
      <c r="D1353" s="20" t="s">
        <v>8</v>
      </c>
      <c r="E1353" s="22">
        <v>138</v>
      </c>
      <c r="F1353" s="22">
        <v>2</v>
      </c>
      <c r="G1353" s="22">
        <v>5</v>
      </c>
      <c r="H1353" s="22"/>
      <c r="I1353" s="23" t="s">
        <v>90</v>
      </c>
      <c r="J1353" s="23"/>
      <c r="K1353" s="22"/>
      <c r="L1353" s="22"/>
      <c r="M1353" s="23"/>
      <c r="N1353" s="23"/>
      <c r="O1353" s="26" t="s">
        <v>4460</v>
      </c>
      <c r="P1353" s="26"/>
      <c r="Q1353" s="22">
        <v>67</v>
      </c>
      <c r="R1353" s="24">
        <v>45811</v>
      </c>
      <c r="S1353" s="24">
        <v>45812</v>
      </c>
      <c r="T1353" s="24"/>
      <c r="U1353" s="24"/>
      <c r="V1353" s="24">
        <v>45812</v>
      </c>
      <c r="W1353" s="22" t="s">
        <v>4461</v>
      </c>
      <c r="X1353" s="4" t="str">
        <f>IF(Tabela2[[#This Row],[sigla]]="","",VLOOKUP(Tabela2[[#This Row],[sigla]],créditos_base!B:C,2,0))</f>
        <v>REBECCA BANISKI/ARQUIVO DA EDITORA</v>
      </c>
      <c r="Y1353" s="23"/>
      <c r="Z1353" s="23" t="str">
        <f>Tabela2[[#This Row],[ilustrador]]</f>
        <v>REBECCA BANISKI/ARQUIVO DA EDITORA</v>
      </c>
      <c r="AA1353" s="22">
        <v>8</v>
      </c>
      <c r="AB1353" s="20"/>
      <c r="AC1353" s="20" t="s">
        <v>36</v>
      </c>
      <c r="AD1353" s="4" t="str">
        <f>"Pitanguá"</f>
        <v>Pitanguá</v>
      </c>
      <c r="AE1353" s="14" t="str">
        <f>"Matemática"</f>
        <v>Matemática</v>
      </c>
      <c r="AF1353" s="14"/>
    </row>
    <row r="1354" spans="1:32" ht="72" x14ac:dyDescent="0.3">
      <c r="A1354" s="23" t="s">
        <v>4811</v>
      </c>
      <c r="B1354" s="20" t="s">
        <v>16</v>
      </c>
      <c r="C1354" s="20" t="s">
        <v>7</v>
      </c>
      <c r="D1354" s="20" t="s">
        <v>8</v>
      </c>
      <c r="E1354" s="22">
        <v>130</v>
      </c>
      <c r="F1354" s="22">
        <v>3</v>
      </c>
      <c r="G1354" s="22">
        <v>5</v>
      </c>
      <c r="H1354" s="22"/>
      <c r="I1354" s="23" t="s">
        <v>90</v>
      </c>
      <c r="J1354" s="23"/>
      <c r="K1354" s="22"/>
      <c r="L1354" s="22"/>
      <c r="M1354" s="23"/>
      <c r="N1354" s="23"/>
      <c r="O1354" s="26" t="s">
        <v>4812</v>
      </c>
      <c r="P1354" s="20"/>
      <c r="Q1354" s="22">
        <v>79</v>
      </c>
      <c r="R1354" s="24">
        <v>45820</v>
      </c>
      <c r="S1354" s="24">
        <v>45821</v>
      </c>
      <c r="T1354" s="24"/>
      <c r="U1354" s="24"/>
      <c r="V1354" s="24">
        <v>45824</v>
      </c>
      <c r="W1354" s="22" t="s">
        <v>160</v>
      </c>
      <c r="X1354" s="4" t="str">
        <f>IF(Tabela2[[#This Row],[sigla]]="","",VLOOKUP(Tabela2[[#This Row],[sigla]],créditos_base!B:C,2,0))</f>
        <v>SERGIO LIMA/ARQUIVO DA EDITORA</v>
      </c>
      <c r="Y1354" s="23" t="s">
        <v>152</v>
      </c>
      <c r="Z1354" s="23" t="str">
        <f>Tabela2[[#This Row],[ilustrador]]</f>
        <v>SERGIO LIMA/ARQUIVO DA EDITORA</v>
      </c>
      <c r="AA1354" s="22">
        <v>13</v>
      </c>
      <c r="AB1354" s="20" t="s">
        <v>244</v>
      </c>
      <c r="AC1354" s="20" t="s">
        <v>36</v>
      </c>
      <c r="AD1354" s="4" t="str">
        <f>"Pitanguá"</f>
        <v>Pitanguá</v>
      </c>
      <c r="AE1354" s="14" t="str">
        <f>"Matemática"</f>
        <v>Matemática</v>
      </c>
      <c r="AF1354" s="14"/>
    </row>
    <row r="1355" spans="1:32" ht="57.6" x14ac:dyDescent="0.3">
      <c r="A1355" s="23" t="s">
        <v>5215</v>
      </c>
      <c r="B1355" s="20" t="s">
        <v>16</v>
      </c>
      <c r="C1355" s="20" t="s">
        <v>7</v>
      </c>
      <c r="D1355" s="20" t="s">
        <v>8</v>
      </c>
      <c r="E1355" s="22">
        <v>137</v>
      </c>
      <c r="F1355" s="22">
        <v>4</v>
      </c>
      <c r="G1355" s="22">
        <v>5</v>
      </c>
      <c r="H1355" s="22"/>
      <c r="I1355" s="23" t="s">
        <v>90</v>
      </c>
      <c r="J1355" s="23"/>
      <c r="K1355" s="22"/>
      <c r="L1355" s="22"/>
      <c r="M1355" s="23"/>
      <c r="N1355" s="23"/>
      <c r="O1355" s="26" t="s">
        <v>5216</v>
      </c>
      <c r="P1355" s="26"/>
      <c r="Q1355" s="22">
        <v>107</v>
      </c>
      <c r="R1355" s="24">
        <v>45850</v>
      </c>
      <c r="S1355" s="24">
        <v>45853</v>
      </c>
      <c r="T1355" s="24"/>
      <c r="U1355" s="24"/>
      <c r="V1355" s="24">
        <v>45859</v>
      </c>
      <c r="W1355" s="22" t="s">
        <v>468</v>
      </c>
      <c r="X1355" s="4" t="str">
        <f>IF(Tabela2[[#This Row],[sigla]]="","",VLOOKUP(Tabela2[[#This Row],[sigla]],créditos_base!B:C,2,0))</f>
        <v>VER DOCUMENTO DE ILS. TÉCNICAS</v>
      </c>
      <c r="Y1355" s="23" t="s">
        <v>4893</v>
      </c>
      <c r="Z1355" s="32" t="s">
        <v>5062</v>
      </c>
      <c r="AA1355" s="22">
        <v>13</v>
      </c>
      <c r="AB1355" s="20" t="s">
        <v>5182</v>
      </c>
      <c r="AC1355" s="20" t="s">
        <v>310</v>
      </c>
      <c r="AD1355" s="4" t="str">
        <f>"Pitanguá"</f>
        <v>Pitanguá</v>
      </c>
      <c r="AE1355" s="14" t="str">
        <f>"Matemática"</f>
        <v>Matemática</v>
      </c>
      <c r="AF1355" s="14"/>
    </row>
    <row r="1356" spans="1:32" x14ac:dyDescent="0.3">
      <c r="A1356" s="23" t="s">
        <v>4160</v>
      </c>
      <c r="B1356" s="20" t="s">
        <v>16</v>
      </c>
      <c r="C1356" s="20" t="s">
        <v>89</v>
      </c>
      <c r="D1356" s="20" t="s">
        <v>8</v>
      </c>
      <c r="E1356" s="22">
        <v>134</v>
      </c>
      <c r="F1356" s="22">
        <v>5</v>
      </c>
      <c r="G1356" s="22">
        <v>5</v>
      </c>
      <c r="H1356" s="22"/>
      <c r="I1356" s="23" t="s">
        <v>9</v>
      </c>
      <c r="J1356" s="23"/>
      <c r="K1356" s="22"/>
      <c r="L1356" s="22"/>
      <c r="M1356" s="23"/>
      <c r="N1356" s="23"/>
      <c r="O1356" s="26" t="s">
        <v>4161</v>
      </c>
      <c r="P1356" s="26"/>
      <c r="Q1356" s="22"/>
      <c r="R1356" s="24"/>
      <c r="S1356" s="24"/>
      <c r="T1356" s="24"/>
      <c r="U1356" s="24"/>
      <c r="V1356" s="24"/>
      <c r="W1356" s="22" t="s">
        <v>940</v>
      </c>
      <c r="X1356" s="4" t="str">
        <f>IF(Tabela2[[#This Row],[sigla]]="","",VLOOKUP(Tabela2[[#This Row],[sigla]],créditos_base!B:C,2,0))</f>
        <v>RONALDO LUCENA/ARQUIVO DA EDITORA</v>
      </c>
      <c r="Y1356" s="23"/>
      <c r="Z1356" s="23" t="str">
        <f>Tabela2[[#This Row],[ilustrador]]</f>
        <v>RONALDO LUCENA/ARQUIVO DA EDITORA</v>
      </c>
      <c r="AA1356" s="22"/>
      <c r="AB1356" s="20"/>
      <c r="AD1356" s="4" t="str">
        <f>"Pitanguá"</f>
        <v>Pitanguá</v>
      </c>
      <c r="AE1356" s="14" t="str">
        <f>"Matemática"</f>
        <v>Matemática</v>
      </c>
      <c r="AF1356" s="14"/>
    </row>
    <row r="1357" spans="1:32" ht="28.8" x14ac:dyDescent="0.3">
      <c r="A1357" s="23" t="s">
        <v>4819</v>
      </c>
      <c r="B1357" s="20" t="s">
        <v>16</v>
      </c>
      <c r="C1357" s="20" t="s">
        <v>7</v>
      </c>
      <c r="D1357" s="20" t="s">
        <v>8</v>
      </c>
      <c r="E1357" s="22">
        <v>137</v>
      </c>
      <c r="F1357" s="22">
        <v>3</v>
      </c>
      <c r="G1357" s="22">
        <v>5</v>
      </c>
      <c r="H1357" s="22"/>
      <c r="I1357" s="23" t="s">
        <v>90</v>
      </c>
      <c r="J1357" s="23"/>
      <c r="K1357" s="22"/>
      <c r="L1357" s="22"/>
      <c r="M1357" s="23"/>
      <c r="N1357" s="23"/>
      <c r="O1357" s="26" t="s">
        <v>4820</v>
      </c>
      <c r="P1357" s="20"/>
      <c r="Q1357" s="22"/>
      <c r="R1357" s="24"/>
      <c r="S1357" s="24">
        <v>45821</v>
      </c>
      <c r="T1357" s="24"/>
      <c r="U1357" s="24"/>
      <c r="V1357" s="24">
        <v>45824</v>
      </c>
      <c r="W1357" s="22" t="s">
        <v>1217</v>
      </c>
      <c r="X1357" s="4" t="str">
        <f>IF(Tabela2[[#This Row],[sigla]]="","",VLOOKUP(Tabela2[[#This Row],[sigla]],créditos_base!B:C,2,0))</f>
        <v>KEITHY MOSTACHI/ARQUIVO DA EDITORA</v>
      </c>
      <c r="Y1357" s="23"/>
      <c r="Z1357" s="23" t="str">
        <f>Tabela2[[#This Row],[ilustrador]]</f>
        <v>KEITHY MOSTACHI/ARQUIVO DA EDITORA</v>
      </c>
      <c r="AA1357" s="22">
        <v>13</v>
      </c>
      <c r="AB1357" s="20" t="s">
        <v>747</v>
      </c>
      <c r="AC1357" s="20" t="s">
        <v>36</v>
      </c>
      <c r="AD1357" s="4" t="str">
        <f>"Pitanguá"</f>
        <v>Pitanguá</v>
      </c>
      <c r="AE1357" s="14" t="str">
        <f>"Matemática"</f>
        <v>Matemática</v>
      </c>
      <c r="AF1357" s="14"/>
    </row>
    <row r="1358" spans="1:32" x14ac:dyDescent="0.3">
      <c r="A1358" s="23" t="s">
        <v>4821</v>
      </c>
      <c r="B1358" s="20" t="s">
        <v>16</v>
      </c>
      <c r="C1358" s="20" t="s">
        <v>89</v>
      </c>
      <c r="D1358" s="20" t="s">
        <v>8</v>
      </c>
      <c r="E1358" s="22">
        <v>137</v>
      </c>
      <c r="F1358" s="22">
        <v>3</v>
      </c>
      <c r="G1358" s="22">
        <v>5</v>
      </c>
      <c r="H1358" s="22"/>
      <c r="I1358" s="23" t="s">
        <v>90</v>
      </c>
      <c r="J1358" s="23"/>
      <c r="K1358" s="22"/>
      <c r="L1358" s="22"/>
      <c r="M1358" s="23"/>
      <c r="N1358" s="23"/>
      <c r="O1358" s="26" t="s">
        <v>4822</v>
      </c>
      <c r="P1358" s="26"/>
      <c r="Q1358" s="22">
        <v>79</v>
      </c>
      <c r="R1358" s="24">
        <v>45820</v>
      </c>
      <c r="S1358" s="24">
        <v>45821</v>
      </c>
      <c r="T1358" s="24"/>
      <c r="U1358" s="24"/>
      <c r="V1358" s="24">
        <v>45824</v>
      </c>
      <c r="W1358" s="22" t="s">
        <v>1217</v>
      </c>
      <c r="X1358" s="4" t="str">
        <f>IF(Tabela2[[#This Row],[sigla]]="","",VLOOKUP(Tabela2[[#This Row],[sigla]],créditos_base!B:C,2,0))</f>
        <v>KEITHY MOSTACHI/ARQUIVO DA EDITORA</v>
      </c>
      <c r="Y1358" s="23"/>
      <c r="Z1358" s="23" t="str">
        <f>Tabela2[[#This Row],[ilustrador]]</f>
        <v>KEITHY MOSTACHI/ARQUIVO DA EDITORA</v>
      </c>
      <c r="AA1358" s="22">
        <v>13</v>
      </c>
      <c r="AB1358" s="20" t="s">
        <v>747</v>
      </c>
      <c r="AC1358" s="20" t="s">
        <v>36</v>
      </c>
      <c r="AD1358" s="4" t="str">
        <f>"Pitanguá"</f>
        <v>Pitanguá</v>
      </c>
      <c r="AE1358" s="14" t="str">
        <f>"Matemática"</f>
        <v>Matemática</v>
      </c>
      <c r="AF1358" s="14"/>
    </row>
    <row r="1359" spans="1:32" x14ac:dyDescent="0.3">
      <c r="A1359" s="23" t="s">
        <v>5221</v>
      </c>
      <c r="B1359" s="20" t="s">
        <v>16</v>
      </c>
      <c r="C1359" s="20" t="s">
        <v>7</v>
      </c>
      <c r="D1359" s="20" t="s">
        <v>8</v>
      </c>
      <c r="E1359" s="22">
        <v>155</v>
      </c>
      <c r="F1359" s="22">
        <v>4</v>
      </c>
      <c r="G1359" s="22">
        <v>5</v>
      </c>
      <c r="H1359" s="22"/>
      <c r="I1359" s="23" t="s">
        <v>90</v>
      </c>
      <c r="J1359" s="23"/>
      <c r="K1359" s="22"/>
      <c r="L1359" s="22"/>
      <c r="M1359" s="23"/>
      <c r="N1359" s="23"/>
      <c r="O1359" s="26" t="s">
        <v>5222</v>
      </c>
      <c r="P1359" s="26"/>
      <c r="Q1359" s="22">
        <v>107</v>
      </c>
      <c r="R1359" s="24">
        <v>45850</v>
      </c>
      <c r="S1359" s="24">
        <v>45853</v>
      </c>
      <c r="T1359" s="24"/>
      <c r="U1359" s="24"/>
      <c r="V1359" s="24">
        <v>45859</v>
      </c>
      <c r="W1359" s="22" t="s">
        <v>72</v>
      </c>
      <c r="X1359" s="4" t="str">
        <f>IF(Tabela2[[#This Row],[sigla]]="","",VLOOKUP(Tabela2[[#This Row],[sigla]],créditos_base!B:C,2,0))</f>
        <v>HELOÍSA PINTARELLI/ARQUIVO DA EDITORA</v>
      </c>
      <c r="Y1359" s="23"/>
      <c r="Z1359" s="23" t="str">
        <f>Tabela2[[#This Row],[ilustrador]]</f>
        <v>HELOÍSA PINTARELLI/ARQUIVO DA EDITORA</v>
      </c>
      <c r="AA1359" s="22">
        <v>8</v>
      </c>
      <c r="AB1359" s="20" t="s">
        <v>5182</v>
      </c>
      <c r="AC1359" s="20" t="s">
        <v>310</v>
      </c>
      <c r="AD1359" s="4" t="str">
        <f>"Pitanguá"</f>
        <v>Pitanguá</v>
      </c>
      <c r="AE1359" s="14" t="str">
        <f>"Matemática"</f>
        <v>Matemática</v>
      </c>
      <c r="AF1359" s="14"/>
    </row>
    <row r="1360" spans="1:32" ht="28.8" x14ac:dyDescent="0.3">
      <c r="A1360" s="23" t="s">
        <v>4162</v>
      </c>
      <c r="B1360" s="20" t="s">
        <v>16</v>
      </c>
      <c r="C1360" s="20" t="s">
        <v>89</v>
      </c>
      <c r="D1360" s="20" t="s">
        <v>8</v>
      </c>
      <c r="E1360" s="22">
        <v>135</v>
      </c>
      <c r="F1360" s="22">
        <v>5</v>
      </c>
      <c r="G1360" s="22">
        <v>5</v>
      </c>
      <c r="H1360" s="22"/>
      <c r="I1360" s="23" t="s">
        <v>9</v>
      </c>
      <c r="J1360" s="23"/>
      <c r="K1360" s="22"/>
      <c r="L1360" s="22"/>
      <c r="M1360" s="23"/>
      <c r="N1360" s="23"/>
      <c r="O1360" s="26" t="s">
        <v>4163</v>
      </c>
      <c r="P1360" s="26"/>
      <c r="Q1360" s="22"/>
      <c r="R1360" s="24"/>
      <c r="S1360" s="24"/>
      <c r="T1360" s="24"/>
      <c r="U1360" s="24"/>
      <c r="V1360" s="24"/>
      <c r="W1360" s="22" t="s">
        <v>940</v>
      </c>
      <c r="X1360" s="4" t="str">
        <f>IF(Tabela2[[#This Row],[sigla]]="","",VLOOKUP(Tabela2[[#This Row],[sigla]],créditos_base!B:C,2,0))</f>
        <v>RONALDO LUCENA/ARQUIVO DA EDITORA</v>
      </c>
      <c r="Y1360" s="23"/>
      <c r="Z1360" s="23" t="str">
        <f>Tabela2[[#This Row],[ilustrador]]</f>
        <v>RONALDO LUCENA/ARQUIVO DA EDITORA</v>
      </c>
      <c r="AA1360" s="22"/>
      <c r="AB1360" s="20"/>
      <c r="AD1360" s="4" t="str">
        <f>"Pitanguá"</f>
        <v>Pitanguá</v>
      </c>
      <c r="AE1360" s="14" t="str">
        <f>"Matemática"</f>
        <v>Matemática</v>
      </c>
      <c r="AF1360" s="14"/>
    </row>
    <row r="1361" spans="1:32" x14ac:dyDescent="0.3">
      <c r="A1361" s="23" t="s">
        <v>4462</v>
      </c>
      <c r="B1361" s="20" t="s">
        <v>16</v>
      </c>
      <c r="C1361" s="20" t="s">
        <v>89</v>
      </c>
      <c r="D1361" s="20" t="s">
        <v>8</v>
      </c>
      <c r="E1361" s="22">
        <v>143</v>
      </c>
      <c r="F1361" s="22">
        <v>2</v>
      </c>
      <c r="G1361" s="22">
        <v>5</v>
      </c>
      <c r="H1361" s="22"/>
      <c r="I1361" s="23" t="s">
        <v>90</v>
      </c>
      <c r="J1361" s="23"/>
      <c r="K1361" s="22"/>
      <c r="L1361" s="22"/>
      <c r="M1361" s="23"/>
      <c r="N1361" s="23"/>
      <c r="O1361" s="26" t="s">
        <v>4463</v>
      </c>
      <c r="P1361" s="26"/>
      <c r="Q1361" s="22">
        <v>67</v>
      </c>
      <c r="R1361" s="24">
        <v>45811</v>
      </c>
      <c r="S1361" s="24">
        <v>45813</v>
      </c>
      <c r="T1361" s="24"/>
      <c r="U1361" s="24"/>
      <c r="V1361" s="24">
        <v>45818</v>
      </c>
      <c r="W1361" s="22" t="s">
        <v>72</v>
      </c>
      <c r="X1361" s="4" t="str">
        <f>IF(Tabela2[[#This Row],[sigla]]="","",VLOOKUP(Tabela2[[#This Row],[sigla]],créditos_base!B:C,2,0))</f>
        <v>HELOÍSA PINTARELLI/ARQUIVO DA EDITORA</v>
      </c>
      <c r="Y1361" s="23"/>
      <c r="Z1361" s="23" t="str">
        <f>Tabela2[[#This Row],[ilustrador]]</f>
        <v>HELOÍSA PINTARELLI/ARQUIVO DA EDITORA</v>
      </c>
      <c r="AA1361" s="22">
        <v>8</v>
      </c>
      <c r="AB1361" s="20" t="s">
        <v>4464</v>
      </c>
      <c r="AC1361" s="20" t="s">
        <v>310</v>
      </c>
      <c r="AD1361" s="4" t="str">
        <f>"Pitanguá"</f>
        <v>Pitanguá</v>
      </c>
      <c r="AE1361" s="14" t="str">
        <f>"Matemática"</f>
        <v>Matemática</v>
      </c>
      <c r="AF1361" s="14"/>
    </row>
    <row r="1362" spans="1:32" ht="57.6" x14ac:dyDescent="0.3">
      <c r="A1362" s="23" t="s">
        <v>4823</v>
      </c>
      <c r="B1362" s="20" t="s">
        <v>6</v>
      </c>
      <c r="C1362" s="20" t="s">
        <v>89</v>
      </c>
      <c r="D1362" s="20" t="s">
        <v>8</v>
      </c>
      <c r="E1362" s="22">
        <v>141</v>
      </c>
      <c r="F1362" s="22">
        <v>3</v>
      </c>
      <c r="G1362" s="22">
        <v>5</v>
      </c>
      <c r="H1362" s="22"/>
      <c r="I1362" s="23" t="s">
        <v>90</v>
      </c>
      <c r="J1362" s="23"/>
      <c r="K1362" s="22"/>
      <c r="L1362" s="22"/>
      <c r="M1362" s="23"/>
      <c r="N1362" s="23"/>
      <c r="O1362" s="26" t="s">
        <v>4824</v>
      </c>
      <c r="P1362" s="26"/>
      <c r="Q1362" s="22">
        <v>79</v>
      </c>
      <c r="R1362" s="24">
        <v>45820</v>
      </c>
      <c r="S1362" s="24">
        <v>45821</v>
      </c>
      <c r="T1362" s="24"/>
      <c r="U1362" s="24"/>
      <c r="V1362" s="24">
        <v>45824</v>
      </c>
      <c r="W1362" s="22" t="s">
        <v>1217</v>
      </c>
      <c r="X1362" s="4" t="str">
        <f>IF(Tabela2[[#This Row],[sigla]]="","",VLOOKUP(Tabela2[[#This Row],[sigla]],créditos_base!B:C,2,0))</f>
        <v>KEITHY MOSTACHI/ARQUIVO DA EDITORA</v>
      </c>
      <c r="Y1362" s="23"/>
      <c r="Z1362" s="23" t="str">
        <f>Tabela2[[#This Row],[ilustrador]]</f>
        <v>KEITHY MOSTACHI/ARQUIVO DA EDITORA</v>
      </c>
      <c r="AA1362" s="22">
        <v>13</v>
      </c>
      <c r="AB1362" s="20" t="s">
        <v>747</v>
      </c>
      <c r="AC1362" s="20" t="s">
        <v>36</v>
      </c>
      <c r="AD1362" s="4" t="str">
        <f>"Pitanguá"</f>
        <v>Pitanguá</v>
      </c>
      <c r="AE1362" s="14" t="str">
        <f>"Matemática"</f>
        <v>Matemática</v>
      </c>
      <c r="AF1362" s="14"/>
    </row>
    <row r="1363" spans="1:32" ht="43.2" x14ac:dyDescent="0.3">
      <c r="A1363" s="23" t="s">
        <v>4164</v>
      </c>
      <c r="B1363" s="20" t="s">
        <v>16</v>
      </c>
      <c r="C1363" s="20" t="s">
        <v>89</v>
      </c>
      <c r="D1363" s="20" t="s">
        <v>8</v>
      </c>
      <c r="E1363" s="22">
        <v>135</v>
      </c>
      <c r="F1363" s="22">
        <v>5</v>
      </c>
      <c r="G1363" s="22">
        <v>5</v>
      </c>
      <c r="H1363" s="22"/>
      <c r="I1363" s="23" t="s">
        <v>9</v>
      </c>
      <c r="J1363" s="23"/>
      <c r="K1363" s="22"/>
      <c r="L1363" s="22"/>
      <c r="M1363" s="23"/>
      <c r="N1363" s="23"/>
      <c r="O1363" s="26" t="s">
        <v>4165</v>
      </c>
      <c r="P1363" s="26"/>
      <c r="Q1363" s="22"/>
      <c r="R1363" s="24"/>
      <c r="S1363" s="24"/>
      <c r="T1363" s="24"/>
      <c r="U1363" s="24"/>
      <c r="V1363" s="24"/>
      <c r="W1363" s="22" t="s">
        <v>940</v>
      </c>
      <c r="X1363" s="4" t="str">
        <f>IF(Tabela2[[#This Row],[sigla]]="","",VLOOKUP(Tabela2[[#This Row],[sigla]],créditos_base!B:C,2,0))</f>
        <v>RONALDO LUCENA/ARQUIVO DA EDITORA</v>
      </c>
      <c r="Y1363" s="23"/>
      <c r="Z1363" s="23" t="str">
        <f>Tabela2[[#This Row],[ilustrador]]</f>
        <v>RONALDO LUCENA/ARQUIVO DA EDITORA</v>
      </c>
      <c r="AA1363" s="22"/>
      <c r="AB1363" s="20"/>
      <c r="AD1363" s="4" t="str">
        <f>"Pitanguá"</f>
        <v>Pitanguá</v>
      </c>
      <c r="AE1363" s="14" t="str">
        <f>"Matemática"</f>
        <v>Matemática</v>
      </c>
      <c r="AF1363" s="14"/>
    </row>
    <row r="1364" spans="1:32" ht="57.6" x14ac:dyDescent="0.3">
      <c r="A1364" s="23" t="s">
        <v>4465</v>
      </c>
      <c r="B1364" s="20" t="s">
        <v>16</v>
      </c>
      <c r="C1364" s="20" t="s">
        <v>89</v>
      </c>
      <c r="D1364" s="20" t="s">
        <v>8</v>
      </c>
      <c r="E1364" s="22">
        <v>143</v>
      </c>
      <c r="F1364" s="22">
        <v>2</v>
      </c>
      <c r="G1364" s="22">
        <v>5</v>
      </c>
      <c r="H1364" s="22"/>
      <c r="I1364" s="23" t="s">
        <v>90</v>
      </c>
      <c r="J1364" s="23"/>
      <c r="K1364" s="22"/>
      <c r="L1364" s="22"/>
      <c r="M1364" s="23"/>
      <c r="N1364" s="23"/>
      <c r="O1364" s="26" t="s">
        <v>4466</v>
      </c>
      <c r="P1364" s="26"/>
      <c r="Q1364" s="22">
        <v>67</v>
      </c>
      <c r="R1364" s="24">
        <v>45811</v>
      </c>
      <c r="S1364" s="24">
        <v>45813</v>
      </c>
      <c r="T1364" s="24"/>
      <c r="U1364" s="24"/>
      <c r="V1364" s="24">
        <v>45818</v>
      </c>
      <c r="W1364" s="22" t="s">
        <v>72</v>
      </c>
      <c r="X1364" s="4" t="str">
        <f>IF(Tabela2[[#This Row],[sigla]]="","",VLOOKUP(Tabela2[[#This Row],[sigla]],créditos_base!B:C,2,0))</f>
        <v>HELOÍSA PINTARELLI/ARQUIVO DA EDITORA</v>
      </c>
      <c r="Y1364" s="23"/>
      <c r="Z1364" s="23" t="str">
        <f>Tabela2[[#This Row],[ilustrador]]</f>
        <v>HELOÍSA PINTARELLI/ARQUIVO DA EDITORA</v>
      </c>
      <c r="AA1364" s="22">
        <v>8</v>
      </c>
      <c r="AB1364" s="20" t="s">
        <v>4464</v>
      </c>
      <c r="AC1364" s="20" t="s">
        <v>310</v>
      </c>
      <c r="AD1364" s="4" t="str">
        <f>"Pitanguá"</f>
        <v>Pitanguá</v>
      </c>
      <c r="AE1364" s="14" t="str">
        <f>"Matemática"</f>
        <v>Matemática</v>
      </c>
      <c r="AF1364" s="14"/>
    </row>
    <row r="1365" spans="1:32" ht="28.8" x14ac:dyDescent="0.3">
      <c r="A1365" s="23" t="s">
        <v>4825</v>
      </c>
      <c r="B1365" s="20" t="s">
        <v>6</v>
      </c>
      <c r="C1365" s="20" t="s">
        <v>89</v>
      </c>
      <c r="D1365" s="20" t="s">
        <v>8</v>
      </c>
      <c r="E1365" s="22">
        <v>141</v>
      </c>
      <c r="F1365" s="22">
        <v>3</v>
      </c>
      <c r="G1365" s="22">
        <v>5</v>
      </c>
      <c r="H1365" s="22"/>
      <c r="I1365" s="23" t="s">
        <v>90</v>
      </c>
      <c r="J1365" s="23"/>
      <c r="K1365" s="22"/>
      <c r="L1365" s="22"/>
      <c r="M1365" s="23"/>
      <c r="N1365" s="23"/>
      <c r="O1365" s="26" t="s">
        <v>4826</v>
      </c>
      <c r="P1365" s="26"/>
      <c r="Q1365" s="22">
        <v>79</v>
      </c>
      <c r="R1365" s="24">
        <v>45820</v>
      </c>
      <c r="S1365" s="24">
        <v>45821</v>
      </c>
      <c r="T1365" s="24"/>
      <c r="U1365" s="24"/>
      <c r="V1365" s="24">
        <v>45824</v>
      </c>
      <c r="W1365" s="22" t="s">
        <v>1217</v>
      </c>
      <c r="X1365" s="4" t="str">
        <f>IF(Tabela2[[#This Row],[sigla]]="","",VLOOKUP(Tabela2[[#This Row],[sigla]],créditos_base!B:C,2,0))</f>
        <v>KEITHY MOSTACHI/ARQUIVO DA EDITORA</v>
      </c>
      <c r="Y1365" s="23"/>
      <c r="Z1365" s="23" t="str">
        <f>Tabela2[[#This Row],[ilustrador]]</f>
        <v>KEITHY MOSTACHI/ARQUIVO DA EDITORA</v>
      </c>
      <c r="AA1365" s="22">
        <v>13</v>
      </c>
      <c r="AB1365" s="20" t="s">
        <v>747</v>
      </c>
      <c r="AC1365" s="20" t="s">
        <v>36</v>
      </c>
      <c r="AD1365" s="4" t="str">
        <f>"Pitanguá"</f>
        <v>Pitanguá</v>
      </c>
      <c r="AE1365" s="14" t="str">
        <f>"Matemática"</f>
        <v>Matemática</v>
      </c>
      <c r="AF1365" s="14"/>
    </row>
    <row r="1366" spans="1:32" ht="86.4" x14ac:dyDescent="0.3">
      <c r="A1366" s="23" t="s">
        <v>5180</v>
      </c>
      <c r="B1366" s="20" t="s">
        <v>16</v>
      </c>
      <c r="C1366" s="20" t="s">
        <v>7</v>
      </c>
      <c r="D1366" s="20" t="s">
        <v>8</v>
      </c>
      <c r="E1366" s="22">
        <v>111</v>
      </c>
      <c r="F1366" s="22">
        <v>4</v>
      </c>
      <c r="G1366" s="22">
        <v>5</v>
      </c>
      <c r="H1366" s="22"/>
      <c r="I1366" s="23" t="s">
        <v>90</v>
      </c>
      <c r="J1366" s="23"/>
      <c r="K1366" s="22"/>
      <c r="L1366" s="22"/>
      <c r="M1366" s="23"/>
      <c r="N1366" s="23"/>
      <c r="O1366" s="26" t="s">
        <v>5181</v>
      </c>
      <c r="P1366" s="26"/>
      <c r="Q1366" s="22">
        <v>107</v>
      </c>
      <c r="R1366" s="24">
        <v>45850</v>
      </c>
      <c r="S1366" s="24">
        <v>45853</v>
      </c>
      <c r="T1366" s="24"/>
      <c r="U1366" s="24"/>
      <c r="V1366" s="24">
        <v>45859</v>
      </c>
      <c r="W1366" s="22" t="s">
        <v>72</v>
      </c>
      <c r="X1366" s="4" t="str">
        <f>IF(Tabela2[[#This Row],[sigla]]="","",VLOOKUP(Tabela2[[#This Row],[sigla]],créditos_base!B:C,2,0))</f>
        <v>HELOÍSA PINTARELLI/ARQUIVO DA EDITORA</v>
      </c>
      <c r="Y1366" s="23"/>
      <c r="Z1366" s="23" t="str">
        <f>Tabela2[[#This Row],[ilustrador]]</f>
        <v>HELOÍSA PINTARELLI/ARQUIVO DA EDITORA</v>
      </c>
      <c r="AA1366" s="22">
        <v>7</v>
      </c>
      <c r="AB1366" s="20" t="s">
        <v>5182</v>
      </c>
      <c r="AC1366" s="20" t="s">
        <v>310</v>
      </c>
      <c r="AD1366" s="4" t="str">
        <f>"Pitanguá"</f>
        <v>Pitanguá</v>
      </c>
      <c r="AE1366" s="14" t="str">
        <f>"Matemática"</f>
        <v>Matemática</v>
      </c>
      <c r="AF1366" s="14"/>
    </row>
    <row r="1367" spans="1:32" ht="28.8" x14ac:dyDescent="0.3">
      <c r="A1367" s="23" t="s">
        <v>4166</v>
      </c>
      <c r="B1367" s="20" t="s">
        <v>16</v>
      </c>
      <c r="C1367" s="20" t="s">
        <v>89</v>
      </c>
      <c r="D1367" s="20" t="s">
        <v>8</v>
      </c>
      <c r="E1367" s="22">
        <v>135</v>
      </c>
      <c r="F1367" s="22">
        <v>5</v>
      </c>
      <c r="G1367" s="22">
        <v>5</v>
      </c>
      <c r="H1367" s="22"/>
      <c r="I1367" s="23" t="s">
        <v>9</v>
      </c>
      <c r="J1367" s="23"/>
      <c r="K1367" s="22"/>
      <c r="L1367" s="22"/>
      <c r="M1367" s="23"/>
      <c r="N1367" s="23"/>
      <c r="O1367" s="26" t="s">
        <v>4167</v>
      </c>
      <c r="P1367" s="26"/>
      <c r="Q1367" s="22"/>
      <c r="R1367" s="24"/>
      <c r="S1367" s="24"/>
      <c r="T1367" s="24"/>
      <c r="U1367" s="24"/>
      <c r="V1367" s="24"/>
      <c r="W1367" s="22" t="s">
        <v>940</v>
      </c>
      <c r="X1367" s="4" t="str">
        <f>IF(Tabela2[[#This Row],[sigla]]="","",VLOOKUP(Tabela2[[#This Row],[sigla]],créditos_base!B:C,2,0))</f>
        <v>RONALDO LUCENA/ARQUIVO DA EDITORA</v>
      </c>
      <c r="Y1367" s="23"/>
      <c r="Z1367" s="23" t="str">
        <f>Tabela2[[#This Row],[ilustrador]]</f>
        <v>RONALDO LUCENA/ARQUIVO DA EDITORA</v>
      </c>
      <c r="AA1367" s="22"/>
      <c r="AB1367" s="20"/>
      <c r="AD1367" s="4" t="str">
        <f>"Pitanguá"</f>
        <v>Pitanguá</v>
      </c>
      <c r="AE1367" s="14" t="str">
        <f>"Matemática"</f>
        <v>Matemática</v>
      </c>
      <c r="AF1367" s="14"/>
    </row>
    <row r="1368" spans="1:32" ht="43.2" x14ac:dyDescent="0.3">
      <c r="A1368" s="23" t="s">
        <v>4467</v>
      </c>
      <c r="B1368" s="20" t="s">
        <v>16</v>
      </c>
      <c r="C1368" s="20" t="s">
        <v>89</v>
      </c>
      <c r="D1368" s="20" t="s">
        <v>8</v>
      </c>
      <c r="E1368" s="22">
        <v>143</v>
      </c>
      <c r="F1368" s="22">
        <v>2</v>
      </c>
      <c r="G1368" s="22">
        <v>5</v>
      </c>
      <c r="H1368" s="22"/>
      <c r="I1368" s="23" t="s">
        <v>90</v>
      </c>
      <c r="J1368" s="23"/>
      <c r="K1368" s="22"/>
      <c r="L1368" s="22"/>
      <c r="M1368" s="23"/>
      <c r="N1368" s="23"/>
      <c r="O1368" s="26" t="s">
        <v>4468</v>
      </c>
      <c r="P1368" s="26"/>
      <c r="Q1368" s="22">
        <v>67</v>
      </c>
      <c r="R1368" s="24">
        <v>45811</v>
      </c>
      <c r="S1368" s="24">
        <v>45813</v>
      </c>
      <c r="T1368" s="24"/>
      <c r="U1368" s="24"/>
      <c r="V1368" s="24">
        <v>45818</v>
      </c>
      <c r="W1368" s="22" t="s">
        <v>72</v>
      </c>
      <c r="X1368" s="4" t="str">
        <f>IF(Tabela2[[#This Row],[sigla]]="","",VLOOKUP(Tabela2[[#This Row],[sigla]],créditos_base!B:C,2,0))</f>
        <v>HELOÍSA PINTARELLI/ARQUIVO DA EDITORA</v>
      </c>
      <c r="Y1368" s="23"/>
      <c r="Z1368" s="23" t="str">
        <f>Tabela2[[#This Row],[ilustrador]]</f>
        <v>HELOÍSA PINTARELLI/ARQUIVO DA EDITORA</v>
      </c>
      <c r="AA1368" s="22">
        <v>8</v>
      </c>
      <c r="AB1368" s="20" t="s">
        <v>4464</v>
      </c>
      <c r="AC1368" s="20" t="s">
        <v>310</v>
      </c>
      <c r="AD1368" s="4" t="str">
        <f>"Pitanguá"</f>
        <v>Pitanguá</v>
      </c>
      <c r="AE1368" s="14" t="str">
        <f>"Matemática"</f>
        <v>Matemática</v>
      </c>
      <c r="AF1368" s="14"/>
    </row>
    <row r="1369" spans="1:32" ht="43.2" x14ac:dyDescent="0.3">
      <c r="A1369" s="23" t="s">
        <v>4827</v>
      </c>
      <c r="B1369" s="20" t="s">
        <v>16</v>
      </c>
      <c r="C1369" s="20" t="s">
        <v>89</v>
      </c>
      <c r="D1369" s="20" t="s">
        <v>8</v>
      </c>
      <c r="E1369" s="22">
        <v>141</v>
      </c>
      <c r="F1369" s="22">
        <v>3</v>
      </c>
      <c r="G1369" s="22">
        <v>5</v>
      </c>
      <c r="H1369" s="22"/>
      <c r="I1369" s="23" t="s">
        <v>90</v>
      </c>
      <c r="J1369" s="23"/>
      <c r="K1369" s="22"/>
      <c r="L1369" s="22"/>
      <c r="M1369" s="23"/>
      <c r="N1369" s="23"/>
      <c r="O1369" s="26" t="s">
        <v>4828</v>
      </c>
      <c r="P1369" s="26"/>
      <c r="Q1369" s="22">
        <v>79</v>
      </c>
      <c r="R1369" s="24">
        <v>45820</v>
      </c>
      <c r="S1369" s="24">
        <v>45821</v>
      </c>
      <c r="T1369" s="24"/>
      <c r="U1369" s="24"/>
      <c r="V1369" s="24">
        <v>45824</v>
      </c>
      <c r="W1369" s="22" t="s">
        <v>1217</v>
      </c>
      <c r="X1369" s="4" t="str">
        <f>IF(Tabela2[[#This Row],[sigla]]="","",VLOOKUP(Tabela2[[#This Row],[sigla]],créditos_base!B:C,2,0))</f>
        <v>KEITHY MOSTACHI/ARQUIVO DA EDITORA</v>
      </c>
      <c r="Y1369" s="23"/>
      <c r="Z1369" s="23" t="str">
        <f>Tabela2[[#This Row],[ilustrador]]</f>
        <v>KEITHY MOSTACHI/ARQUIVO DA EDITORA</v>
      </c>
      <c r="AA1369" s="22">
        <v>13</v>
      </c>
      <c r="AB1369" s="20" t="s">
        <v>747</v>
      </c>
      <c r="AC1369" s="20" t="s">
        <v>36</v>
      </c>
      <c r="AD1369" s="4" t="str">
        <f>"Pitanguá"</f>
        <v>Pitanguá</v>
      </c>
      <c r="AE1369" s="14" t="str">
        <f>"Matemática"</f>
        <v>Matemática</v>
      </c>
      <c r="AF1369" s="14"/>
    </row>
    <row r="1370" spans="1:32" x14ac:dyDescent="0.3">
      <c r="A1370" s="23" t="s">
        <v>4827</v>
      </c>
      <c r="B1370" s="20" t="s">
        <v>16</v>
      </c>
      <c r="C1370" s="20" t="s">
        <v>7</v>
      </c>
      <c r="D1370" s="20" t="s">
        <v>8</v>
      </c>
      <c r="E1370" s="22">
        <v>137</v>
      </c>
      <c r="F1370" s="22">
        <v>4</v>
      </c>
      <c r="G1370" s="22">
        <v>5</v>
      </c>
      <c r="H1370" s="22"/>
      <c r="I1370" s="23" t="s">
        <v>90</v>
      </c>
      <c r="J1370" s="23"/>
      <c r="K1370" s="22"/>
      <c r="L1370" s="22"/>
      <c r="M1370" s="23"/>
      <c r="N1370" s="23"/>
      <c r="O1370" s="26" t="s">
        <v>5217</v>
      </c>
      <c r="P1370" s="26"/>
      <c r="Q1370" s="22">
        <v>107</v>
      </c>
      <c r="R1370" s="24">
        <v>45850</v>
      </c>
      <c r="S1370" s="24">
        <v>45853</v>
      </c>
      <c r="T1370" s="24"/>
      <c r="U1370" s="24"/>
      <c r="V1370" s="24">
        <v>45859</v>
      </c>
      <c r="W1370" s="22" t="s">
        <v>468</v>
      </c>
      <c r="X1370" s="4" t="str">
        <f>IF(Tabela2[[#This Row],[sigla]]="","",VLOOKUP(Tabela2[[#This Row],[sigla]],créditos_base!B:C,2,0))</f>
        <v>VER DOCUMENTO DE ILS. TÉCNICAS</v>
      </c>
      <c r="Y1370" s="23" t="s">
        <v>4893</v>
      </c>
      <c r="Z1370" s="32" t="s">
        <v>5062</v>
      </c>
      <c r="AA1370" s="22">
        <v>13</v>
      </c>
      <c r="AB1370" s="20" t="s">
        <v>5182</v>
      </c>
      <c r="AC1370" s="20" t="s">
        <v>310</v>
      </c>
      <c r="AD1370" s="4" t="str">
        <f>"Pitanguá"</f>
        <v>Pitanguá</v>
      </c>
      <c r="AE1370" s="14" t="str">
        <f>"Matemática"</f>
        <v>Matemática</v>
      </c>
      <c r="AF1370" s="14"/>
    </row>
    <row r="1371" spans="1:32" ht="43.2" x14ac:dyDescent="0.3">
      <c r="A1371" s="23" t="s">
        <v>4168</v>
      </c>
      <c r="B1371" s="20" t="s">
        <v>16</v>
      </c>
      <c r="C1371" s="20" t="s">
        <v>89</v>
      </c>
      <c r="D1371" s="20" t="s">
        <v>8</v>
      </c>
      <c r="E1371" s="22">
        <v>135</v>
      </c>
      <c r="F1371" s="22">
        <v>5</v>
      </c>
      <c r="G1371" s="22">
        <v>5</v>
      </c>
      <c r="H1371" s="22"/>
      <c r="I1371" s="23" t="s">
        <v>9</v>
      </c>
      <c r="J1371" s="23"/>
      <c r="K1371" s="22"/>
      <c r="L1371" s="22"/>
      <c r="M1371" s="23"/>
      <c r="N1371" s="23"/>
      <c r="O1371" s="26" t="s">
        <v>4169</v>
      </c>
      <c r="P1371" s="26"/>
      <c r="Q1371" s="22"/>
      <c r="R1371" s="24"/>
      <c r="S1371" s="24"/>
      <c r="T1371" s="24"/>
      <c r="U1371" s="24"/>
      <c r="V1371" s="24"/>
      <c r="W1371" s="22" t="s">
        <v>940</v>
      </c>
      <c r="X1371" s="4" t="str">
        <f>IF(Tabela2[[#This Row],[sigla]]="","",VLOOKUP(Tabela2[[#This Row],[sigla]],créditos_base!B:C,2,0))</f>
        <v>RONALDO LUCENA/ARQUIVO DA EDITORA</v>
      </c>
      <c r="Y1371" s="23"/>
      <c r="Z1371" s="23" t="str">
        <f>Tabela2[[#This Row],[ilustrador]]</f>
        <v>RONALDO LUCENA/ARQUIVO DA EDITORA</v>
      </c>
      <c r="AA1371" s="22"/>
      <c r="AB1371" s="20"/>
      <c r="AD1371" s="4" t="str">
        <f>"Pitanguá"</f>
        <v>Pitanguá</v>
      </c>
      <c r="AE1371" s="14" t="str">
        <f>"Matemática"</f>
        <v>Matemática</v>
      </c>
      <c r="AF1371" s="14"/>
    </row>
    <row r="1372" spans="1:32" ht="43.2" x14ac:dyDescent="0.3">
      <c r="A1372" s="23" t="s">
        <v>4469</v>
      </c>
      <c r="B1372" s="20" t="s">
        <v>16</v>
      </c>
      <c r="C1372" s="20" t="s">
        <v>89</v>
      </c>
      <c r="D1372" s="20" t="s">
        <v>8</v>
      </c>
      <c r="E1372" s="22">
        <v>143</v>
      </c>
      <c r="F1372" s="22">
        <v>2</v>
      </c>
      <c r="G1372" s="22">
        <v>5</v>
      </c>
      <c r="H1372" s="22"/>
      <c r="I1372" s="23" t="s">
        <v>90</v>
      </c>
      <c r="J1372" s="23"/>
      <c r="K1372" s="22"/>
      <c r="L1372" s="22"/>
      <c r="M1372" s="23"/>
      <c r="N1372" s="23"/>
      <c r="O1372" s="26" t="s">
        <v>4470</v>
      </c>
      <c r="P1372" s="26"/>
      <c r="Q1372" s="22">
        <v>67</v>
      </c>
      <c r="R1372" s="24">
        <v>45811</v>
      </c>
      <c r="S1372" s="24">
        <v>45813</v>
      </c>
      <c r="T1372" s="24"/>
      <c r="U1372" s="24"/>
      <c r="V1372" s="24">
        <v>45818</v>
      </c>
      <c r="W1372" s="22" t="s">
        <v>72</v>
      </c>
      <c r="X1372" s="4" t="str">
        <f>IF(Tabela2[[#This Row],[sigla]]="","",VLOOKUP(Tabela2[[#This Row],[sigla]],créditos_base!B:C,2,0))</f>
        <v>HELOÍSA PINTARELLI/ARQUIVO DA EDITORA</v>
      </c>
      <c r="Y1372" s="23"/>
      <c r="Z1372" s="23" t="str">
        <f>Tabela2[[#This Row],[ilustrador]]</f>
        <v>HELOÍSA PINTARELLI/ARQUIVO DA EDITORA</v>
      </c>
      <c r="AA1372" s="22">
        <v>8</v>
      </c>
      <c r="AB1372" s="20" t="s">
        <v>4464</v>
      </c>
      <c r="AC1372" s="20" t="s">
        <v>310</v>
      </c>
      <c r="AD1372" s="4" t="str">
        <f>"Pitanguá"</f>
        <v>Pitanguá</v>
      </c>
      <c r="AE1372" s="14" t="str">
        <f>"Matemática"</f>
        <v>Matemática</v>
      </c>
      <c r="AF1372" s="14"/>
    </row>
    <row r="1373" spans="1:32" x14ac:dyDescent="0.3">
      <c r="A1373" s="23" t="s">
        <v>4829</v>
      </c>
      <c r="B1373" s="20" t="s">
        <v>16</v>
      </c>
      <c r="C1373" s="20" t="s">
        <v>89</v>
      </c>
      <c r="D1373" s="20" t="s">
        <v>8</v>
      </c>
      <c r="E1373" s="22">
        <v>141</v>
      </c>
      <c r="F1373" s="22">
        <v>3</v>
      </c>
      <c r="G1373" s="22">
        <v>5</v>
      </c>
      <c r="H1373" s="22"/>
      <c r="I1373" s="23" t="s">
        <v>90</v>
      </c>
      <c r="J1373" s="23"/>
      <c r="K1373" s="22"/>
      <c r="L1373" s="22"/>
      <c r="M1373" s="23"/>
      <c r="N1373" s="23"/>
      <c r="O1373" s="36" t="s">
        <v>4830</v>
      </c>
      <c r="P1373" s="26"/>
      <c r="Q1373" s="22">
        <v>79</v>
      </c>
      <c r="R1373" s="24">
        <v>45820</v>
      </c>
      <c r="S1373" s="24">
        <v>45821</v>
      </c>
      <c r="T1373" s="24"/>
      <c r="U1373" s="24"/>
      <c r="V1373" s="24">
        <v>45824</v>
      </c>
      <c r="W1373" s="22" t="s">
        <v>1217</v>
      </c>
      <c r="X1373" s="4" t="str">
        <f>IF(Tabela2[[#This Row],[sigla]]="","",VLOOKUP(Tabela2[[#This Row],[sigla]],créditos_base!B:C,2,0))</f>
        <v>KEITHY MOSTACHI/ARQUIVO DA EDITORA</v>
      </c>
      <c r="Y1373" s="23"/>
      <c r="Z1373" s="23" t="str">
        <f>Tabela2[[#This Row],[ilustrador]]</f>
        <v>KEITHY MOSTACHI/ARQUIVO DA EDITORA</v>
      </c>
      <c r="AA1373" s="22">
        <v>13</v>
      </c>
      <c r="AB1373" s="20" t="s">
        <v>747</v>
      </c>
      <c r="AC1373" s="20" t="s">
        <v>36</v>
      </c>
      <c r="AD1373" s="4" t="str">
        <f>"Pitanguá"</f>
        <v>Pitanguá</v>
      </c>
      <c r="AE1373" s="14" t="str">
        <f>"Matemática"</f>
        <v>Matemática</v>
      </c>
      <c r="AF1373" s="14"/>
    </row>
    <row r="1374" spans="1:32" x14ac:dyDescent="0.3">
      <c r="A1374" s="23" t="s">
        <v>4829</v>
      </c>
      <c r="B1374" s="20" t="s">
        <v>16</v>
      </c>
      <c r="C1374" s="20" t="s">
        <v>7</v>
      </c>
      <c r="D1374" s="20" t="s">
        <v>8</v>
      </c>
      <c r="E1374" s="22">
        <v>137</v>
      </c>
      <c r="F1374" s="22">
        <v>4</v>
      </c>
      <c r="G1374" s="22">
        <v>5</v>
      </c>
      <c r="H1374" s="22"/>
      <c r="I1374" s="23" t="s">
        <v>90</v>
      </c>
      <c r="J1374" s="23"/>
      <c r="K1374" s="22"/>
      <c r="L1374" s="22"/>
      <c r="M1374" s="23"/>
      <c r="N1374" s="23"/>
      <c r="O1374" s="26" t="s">
        <v>5218</v>
      </c>
      <c r="P1374" s="26"/>
      <c r="Q1374" s="22">
        <v>107</v>
      </c>
      <c r="R1374" s="24">
        <v>45850</v>
      </c>
      <c r="S1374" s="24">
        <v>45853</v>
      </c>
      <c r="T1374" s="24"/>
      <c r="U1374" s="24"/>
      <c r="V1374" s="24">
        <v>45859</v>
      </c>
      <c r="W1374" s="22" t="s">
        <v>468</v>
      </c>
      <c r="X1374" s="4" t="str">
        <f>IF(Tabela2[[#This Row],[sigla]]="","",VLOOKUP(Tabela2[[#This Row],[sigla]],créditos_base!B:C,2,0))</f>
        <v>VER DOCUMENTO DE ILS. TÉCNICAS</v>
      </c>
      <c r="Y1374" s="23" t="s">
        <v>4893</v>
      </c>
      <c r="Z1374" s="32" t="s">
        <v>5062</v>
      </c>
      <c r="AA1374" s="22">
        <v>13</v>
      </c>
      <c r="AB1374" s="20" t="s">
        <v>5182</v>
      </c>
      <c r="AC1374" s="20" t="s">
        <v>310</v>
      </c>
      <c r="AD1374" s="4" t="str">
        <f>"Pitanguá"</f>
        <v>Pitanguá</v>
      </c>
      <c r="AE1374" s="14" t="str">
        <f>"Matemática"</f>
        <v>Matemática</v>
      </c>
      <c r="AF1374" s="14"/>
    </row>
    <row r="1375" spans="1:32" x14ac:dyDescent="0.3">
      <c r="A1375" s="23" t="s">
        <v>4170</v>
      </c>
      <c r="B1375" s="20" t="s">
        <v>16</v>
      </c>
      <c r="C1375" s="20" t="s">
        <v>89</v>
      </c>
      <c r="D1375" s="20" t="s">
        <v>8</v>
      </c>
      <c r="E1375" s="22">
        <v>135</v>
      </c>
      <c r="F1375" s="22">
        <v>5</v>
      </c>
      <c r="G1375" s="22">
        <v>5</v>
      </c>
      <c r="H1375" s="22"/>
      <c r="I1375" s="23" t="s">
        <v>9</v>
      </c>
      <c r="J1375" s="23"/>
      <c r="K1375" s="22"/>
      <c r="L1375" s="22"/>
      <c r="M1375" s="23"/>
      <c r="N1375" s="23"/>
      <c r="O1375" s="26" t="s">
        <v>4171</v>
      </c>
      <c r="P1375" s="26"/>
      <c r="Q1375" s="22"/>
      <c r="R1375" s="24"/>
      <c r="S1375" s="24"/>
      <c r="T1375" s="24"/>
      <c r="U1375" s="24"/>
      <c r="V1375" s="24"/>
      <c r="W1375" s="22" t="s">
        <v>940</v>
      </c>
      <c r="X1375" s="4" t="str">
        <f>IF(Tabela2[[#This Row],[sigla]]="","",VLOOKUP(Tabela2[[#This Row],[sigla]],créditos_base!B:C,2,0))</f>
        <v>RONALDO LUCENA/ARQUIVO DA EDITORA</v>
      </c>
      <c r="Y1375" s="23"/>
      <c r="Z1375" s="23" t="str">
        <f>Tabela2[[#This Row],[ilustrador]]</f>
        <v>RONALDO LUCENA/ARQUIVO DA EDITORA</v>
      </c>
      <c r="AA1375" s="22"/>
      <c r="AB1375" s="20"/>
      <c r="AD1375" s="4" t="str">
        <f>"Pitanguá"</f>
        <v>Pitanguá</v>
      </c>
      <c r="AE1375" s="14" t="str">
        <f>"Matemática"</f>
        <v>Matemática</v>
      </c>
      <c r="AF1375" s="14"/>
    </row>
    <row r="1376" spans="1:32" x14ac:dyDescent="0.3">
      <c r="A1376" s="23" t="s">
        <v>4471</v>
      </c>
      <c r="B1376" s="20" t="s">
        <v>16</v>
      </c>
      <c r="C1376" s="20" t="s">
        <v>89</v>
      </c>
      <c r="D1376" s="20" t="s">
        <v>8</v>
      </c>
      <c r="E1376" s="22">
        <v>143</v>
      </c>
      <c r="F1376" s="22">
        <v>2</v>
      </c>
      <c r="G1376" s="22">
        <v>5</v>
      </c>
      <c r="H1376" s="22"/>
      <c r="I1376" s="23" t="s">
        <v>90</v>
      </c>
      <c r="J1376" s="23"/>
      <c r="K1376" s="22"/>
      <c r="L1376" s="22"/>
      <c r="M1376" s="23"/>
      <c r="N1376" s="23"/>
      <c r="O1376" s="26" t="s">
        <v>4472</v>
      </c>
      <c r="P1376" s="26"/>
      <c r="Q1376" s="22">
        <v>67</v>
      </c>
      <c r="R1376" s="24">
        <v>45811</v>
      </c>
      <c r="S1376" s="24">
        <v>45813</v>
      </c>
      <c r="T1376" s="24"/>
      <c r="U1376" s="24"/>
      <c r="V1376" s="24">
        <v>45818</v>
      </c>
      <c r="W1376" s="22" t="s">
        <v>72</v>
      </c>
      <c r="X1376" s="4" t="str">
        <f>IF(Tabela2[[#This Row],[sigla]]="","",VLOOKUP(Tabela2[[#This Row],[sigla]],créditos_base!B:C,2,0))</f>
        <v>HELOÍSA PINTARELLI/ARQUIVO DA EDITORA</v>
      </c>
      <c r="Y1376" s="23"/>
      <c r="Z1376" s="23" t="str">
        <f>Tabela2[[#This Row],[ilustrador]]</f>
        <v>HELOÍSA PINTARELLI/ARQUIVO DA EDITORA</v>
      </c>
      <c r="AA1376" s="22">
        <v>8</v>
      </c>
      <c r="AB1376" s="20" t="s">
        <v>4464</v>
      </c>
      <c r="AC1376" s="20" t="s">
        <v>310</v>
      </c>
      <c r="AD1376" s="4" t="str">
        <f>"Pitanguá"</f>
        <v>Pitanguá</v>
      </c>
      <c r="AE1376" s="14" t="str">
        <f>"Matemática"</f>
        <v>Matemática</v>
      </c>
      <c r="AF1376" s="14"/>
    </row>
    <row r="1377" spans="1:32" x14ac:dyDescent="0.3">
      <c r="A1377" s="23" t="s">
        <v>4831</v>
      </c>
      <c r="B1377" s="20" t="s">
        <v>16</v>
      </c>
      <c r="C1377" s="20" t="s">
        <v>89</v>
      </c>
      <c r="D1377" s="20" t="s">
        <v>8</v>
      </c>
      <c r="E1377" s="22">
        <v>141</v>
      </c>
      <c r="F1377" s="22">
        <v>3</v>
      </c>
      <c r="G1377" s="22">
        <v>5</v>
      </c>
      <c r="H1377" s="22"/>
      <c r="I1377" s="23" t="s">
        <v>90</v>
      </c>
      <c r="J1377" s="23"/>
      <c r="K1377" s="22"/>
      <c r="L1377" s="22"/>
      <c r="M1377" s="23"/>
      <c r="N1377" s="23"/>
      <c r="O1377" s="26" t="s">
        <v>4832</v>
      </c>
      <c r="P1377" s="26"/>
      <c r="Q1377" s="22">
        <v>79</v>
      </c>
      <c r="R1377" s="24">
        <v>45820</v>
      </c>
      <c r="S1377" s="24">
        <v>45821</v>
      </c>
      <c r="T1377" s="24"/>
      <c r="U1377" s="24"/>
      <c r="V1377" s="24">
        <v>45824</v>
      </c>
      <c r="W1377" s="22" t="s">
        <v>1217</v>
      </c>
      <c r="X1377" s="4" t="str">
        <f>IF(Tabela2[[#This Row],[sigla]]="","",VLOOKUP(Tabela2[[#This Row],[sigla]],créditos_base!B:C,2,0))</f>
        <v>KEITHY MOSTACHI/ARQUIVO DA EDITORA</v>
      </c>
      <c r="Y1377" s="23"/>
      <c r="Z1377" s="23" t="str">
        <f>Tabela2[[#This Row],[ilustrador]]</f>
        <v>KEITHY MOSTACHI/ARQUIVO DA EDITORA</v>
      </c>
      <c r="AA1377" s="22">
        <v>13</v>
      </c>
      <c r="AB1377" s="20" t="s">
        <v>747</v>
      </c>
      <c r="AC1377" s="20" t="s">
        <v>36</v>
      </c>
      <c r="AD1377" s="4" t="str">
        <f>"Pitanguá"</f>
        <v>Pitanguá</v>
      </c>
      <c r="AE1377" s="14" t="str">
        <f>"Matemática"</f>
        <v>Matemática</v>
      </c>
      <c r="AF1377" s="14"/>
    </row>
    <row r="1378" spans="1:32" ht="57.6" x14ac:dyDescent="0.3">
      <c r="A1378" s="23" t="s">
        <v>4172</v>
      </c>
      <c r="B1378" s="20" t="s">
        <v>16</v>
      </c>
      <c r="C1378" s="20" t="s">
        <v>89</v>
      </c>
      <c r="D1378" s="20" t="s">
        <v>8</v>
      </c>
      <c r="E1378" s="22">
        <v>135</v>
      </c>
      <c r="F1378" s="22">
        <v>5</v>
      </c>
      <c r="G1378" s="22">
        <v>5</v>
      </c>
      <c r="H1378" s="22"/>
      <c r="I1378" s="23" t="s">
        <v>9</v>
      </c>
      <c r="J1378" s="23"/>
      <c r="K1378" s="22"/>
      <c r="L1378" s="22"/>
      <c r="M1378" s="23"/>
      <c r="N1378" s="23"/>
      <c r="O1378" s="26" t="s">
        <v>4173</v>
      </c>
      <c r="P1378" s="26"/>
      <c r="Q1378" s="22"/>
      <c r="R1378" s="24"/>
      <c r="S1378" s="24"/>
      <c r="T1378" s="24"/>
      <c r="U1378" s="24"/>
      <c r="V1378" s="24"/>
      <c r="W1378" s="22" t="s">
        <v>940</v>
      </c>
      <c r="X1378" s="4" t="str">
        <f>IF(Tabela2[[#This Row],[sigla]]="","",VLOOKUP(Tabela2[[#This Row],[sigla]],créditos_base!B:C,2,0))</f>
        <v>RONALDO LUCENA/ARQUIVO DA EDITORA</v>
      </c>
      <c r="Y1378" s="23"/>
      <c r="Z1378" s="23" t="str">
        <f>Tabela2[[#This Row],[ilustrador]]</f>
        <v>RONALDO LUCENA/ARQUIVO DA EDITORA</v>
      </c>
      <c r="AA1378" s="22"/>
      <c r="AB1378" s="20"/>
      <c r="AD1378" s="4" t="str">
        <f>"Pitanguá"</f>
        <v>Pitanguá</v>
      </c>
      <c r="AE1378" s="14" t="str">
        <f>"Matemática"</f>
        <v>Matemática</v>
      </c>
      <c r="AF1378" s="14"/>
    </row>
    <row r="1379" spans="1:32" x14ac:dyDescent="0.3">
      <c r="A1379" s="23" t="s">
        <v>4473</v>
      </c>
      <c r="B1379" s="20" t="s">
        <v>16</v>
      </c>
      <c r="C1379" s="20" t="s">
        <v>89</v>
      </c>
      <c r="D1379" s="20" t="s">
        <v>8</v>
      </c>
      <c r="E1379" s="22">
        <v>143</v>
      </c>
      <c r="F1379" s="22">
        <v>2</v>
      </c>
      <c r="G1379" s="22">
        <v>5</v>
      </c>
      <c r="H1379" s="22"/>
      <c r="I1379" s="23" t="s">
        <v>90</v>
      </c>
      <c r="J1379" s="23"/>
      <c r="K1379" s="22"/>
      <c r="L1379" s="22"/>
      <c r="M1379" s="23"/>
      <c r="N1379" s="23"/>
      <c r="O1379" s="26" t="s">
        <v>4474</v>
      </c>
      <c r="P1379" s="26"/>
      <c r="Q1379" s="22">
        <v>67</v>
      </c>
      <c r="R1379" s="24">
        <v>45811</v>
      </c>
      <c r="S1379" s="24">
        <v>45813</v>
      </c>
      <c r="T1379" s="24"/>
      <c r="U1379" s="24"/>
      <c r="V1379" s="24">
        <v>45818</v>
      </c>
      <c r="W1379" s="22" t="s">
        <v>72</v>
      </c>
      <c r="X1379" s="4" t="str">
        <f>IF(Tabela2[[#This Row],[sigla]]="","",VLOOKUP(Tabela2[[#This Row],[sigla]],créditos_base!B:C,2,0))</f>
        <v>HELOÍSA PINTARELLI/ARQUIVO DA EDITORA</v>
      </c>
      <c r="Y1379" s="23"/>
      <c r="Z1379" s="23" t="str">
        <f>Tabela2[[#This Row],[ilustrador]]</f>
        <v>HELOÍSA PINTARELLI/ARQUIVO DA EDITORA</v>
      </c>
      <c r="AA1379" s="22">
        <v>8</v>
      </c>
      <c r="AB1379" s="20" t="s">
        <v>4464</v>
      </c>
      <c r="AC1379" s="20" t="s">
        <v>310</v>
      </c>
      <c r="AD1379" s="4" t="str">
        <f>"Pitanguá"</f>
        <v>Pitanguá</v>
      </c>
      <c r="AE1379" s="14" t="str">
        <f>"Matemática"</f>
        <v>Matemática</v>
      </c>
      <c r="AF1379" s="14"/>
    </row>
    <row r="1380" spans="1:32" x14ac:dyDescent="0.3">
      <c r="A1380" s="23" t="s">
        <v>4835</v>
      </c>
      <c r="B1380" s="20" t="s">
        <v>16</v>
      </c>
      <c r="C1380" s="20" t="s">
        <v>89</v>
      </c>
      <c r="D1380" s="20" t="s">
        <v>8</v>
      </c>
      <c r="E1380" s="22">
        <v>141</v>
      </c>
      <c r="F1380" s="22">
        <v>3</v>
      </c>
      <c r="G1380" s="22">
        <v>5</v>
      </c>
      <c r="H1380" s="22"/>
      <c r="I1380" s="23" t="s">
        <v>90</v>
      </c>
      <c r="J1380" s="23"/>
      <c r="K1380" s="22"/>
      <c r="L1380" s="22"/>
      <c r="M1380" s="23"/>
      <c r="N1380" s="23"/>
      <c r="O1380" s="26" t="s">
        <v>4836</v>
      </c>
      <c r="P1380" s="26"/>
      <c r="Q1380" s="22">
        <v>79</v>
      </c>
      <c r="R1380" s="24">
        <v>45820</v>
      </c>
      <c r="S1380" s="24">
        <v>45821</v>
      </c>
      <c r="T1380" s="24"/>
      <c r="U1380" s="24"/>
      <c r="V1380" s="24">
        <v>45824</v>
      </c>
      <c r="W1380" s="22" t="s">
        <v>1217</v>
      </c>
      <c r="X1380" s="4" t="str">
        <f>IF(Tabela2[[#This Row],[sigla]]="","",VLOOKUP(Tabela2[[#This Row],[sigla]],créditos_base!B:C,2,0))</f>
        <v>KEITHY MOSTACHI/ARQUIVO DA EDITORA</v>
      </c>
      <c r="Y1380" s="23"/>
      <c r="Z1380" s="23" t="str">
        <f>Tabela2[[#This Row],[ilustrador]]</f>
        <v>KEITHY MOSTACHI/ARQUIVO DA EDITORA</v>
      </c>
      <c r="AA1380" s="22">
        <v>13</v>
      </c>
      <c r="AB1380" s="20" t="s">
        <v>747</v>
      </c>
      <c r="AC1380" s="20" t="s">
        <v>36</v>
      </c>
      <c r="AD1380" s="4" t="str">
        <f>"Pitanguá"</f>
        <v>Pitanguá</v>
      </c>
      <c r="AE1380" s="14" t="str">
        <f>"Matemática"</f>
        <v>Matemática</v>
      </c>
      <c r="AF1380" s="14"/>
    </row>
    <row r="1381" spans="1:32" ht="115.2" x14ac:dyDescent="0.3">
      <c r="A1381" s="23" t="s">
        <v>4174</v>
      </c>
      <c r="B1381" s="20" t="s">
        <v>6</v>
      </c>
      <c r="C1381" s="20" t="s">
        <v>89</v>
      </c>
      <c r="D1381" s="20" t="s">
        <v>8</v>
      </c>
      <c r="E1381" s="22">
        <v>173</v>
      </c>
      <c r="F1381" s="22">
        <v>5</v>
      </c>
      <c r="G1381" s="22">
        <v>5</v>
      </c>
      <c r="H1381" s="22"/>
      <c r="I1381" s="23" t="s">
        <v>9</v>
      </c>
      <c r="J1381" s="23"/>
      <c r="K1381" s="22"/>
      <c r="L1381" s="22"/>
      <c r="M1381" s="23"/>
      <c r="N1381" s="23"/>
      <c r="O1381" s="26" t="s">
        <v>4175</v>
      </c>
      <c r="P1381" s="26"/>
      <c r="Q1381" s="22"/>
      <c r="R1381" s="24"/>
      <c r="S1381" s="24"/>
      <c r="T1381" s="24"/>
      <c r="U1381" s="24"/>
      <c r="V1381" s="24"/>
      <c r="W1381" s="22" t="s">
        <v>940</v>
      </c>
      <c r="X1381" s="4" t="str">
        <f>IF(Tabela2[[#This Row],[sigla]]="","",VLOOKUP(Tabela2[[#This Row],[sigla]],créditos_base!B:C,2,0))</f>
        <v>RONALDO LUCENA/ARQUIVO DA EDITORA</v>
      </c>
      <c r="Y1381" s="23"/>
      <c r="Z1381" s="23" t="str">
        <f>Tabela2[[#This Row],[ilustrador]]</f>
        <v>RONALDO LUCENA/ARQUIVO DA EDITORA</v>
      </c>
      <c r="AA1381" s="22"/>
      <c r="AB1381" s="20"/>
      <c r="AD1381" s="4" t="str">
        <f>"Pitanguá"</f>
        <v>Pitanguá</v>
      </c>
      <c r="AE1381" s="14" t="str">
        <f>"Matemática"</f>
        <v>Matemática</v>
      </c>
      <c r="AF1381" s="14"/>
    </row>
    <row r="1382" spans="1:32" x14ac:dyDescent="0.3">
      <c r="A1382" s="23" t="s">
        <v>4477</v>
      </c>
      <c r="B1382" s="20" t="s">
        <v>16</v>
      </c>
      <c r="C1382" s="20" t="s">
        <v>89</v>
      </c>
      <c r="D1382" s="20" t="s">
        <v>8</v>
      </c>
      <c r="E1382" s="22">
        <v>147</v>
      </c>
      <c r="F1382" s="22">
        <v>2</v>
      </c>
      <c r="G1382" s="22">
        <v>5</v>
      </c>
      <c r="H1382" s="22"/>
      <c r="I1382" s="23" t="s">
        <v>9</v>
      </c>
      <c r="J1382" s="23"/>
      <c r="K1382" s="22"/>
      <c r="L1382" s="22"/>
      <c r="M1382" s="23"/>
      <c r="N1382" s="23"/>
      <c r="O1382" s="26" t="s">
        <v>4478</v>
      </c>
      <c r="P1382" s="26"/>
      <c r="Q1382" s="22"/>
      <c r="R1382" s="24"/>
      <c r="S1382" s="24"/>
      <c r="T1382" s="24"/>
      <c r="U1382" s="24"/>
      <c r="V1382" s="24"/>
      <c r="W1382" s="22" t="s">
        <v>160</v>
      </c>
      <c r="X1382" s="4" t="str">
        <f>IF(Tabela2[[#This Row],[sigla]]="","",VLOOKUP(Tabela2[[#This Row],[sigla]],créditos_base!B:C,2,0))</f>
        <v>SERGIO LIMA/ARQUIVO DA EDITORA</v>
      </c>
      <c r="Y1382" s="23"/>
      <c r="Z1382" s="23" t="str">
        <f>Tabela2[[#This Row],[ilustrador]]</f>
        <v>SERGIO LIMA/ARQUIVO DA EDITORA</v>
      </c>
      <c r="AA1382" s="22"/>
      <c r="AB1382" s="20"/>
      <c r="AD1382" s="4" t="str">
        <f>"Pitanguá"</f>
        <v>Pitanguá</v>
      </c>
      <c r="AE1382" s="14" t="str">
        <f>"Matemática"</f>
        <v>Matemática</v>
      </c>
      <c r="AF1382" s="14"/>
    </row>
    <row r="1383" spans="1:32" ht="28.8" x14ac:dyDescent="0.3">
      <c r="A1383" s="23" t="s">
        <v>4833</v>
      </c>
      <c r="B1383" s="20" t="s">
        <v>16</v>
      </c>
      <c r="C1383" s="20" t="s">
        <v>89</v>
      </c>
      <c r="D1383" s="20" t="s">
        <v>8</v>
      </c>
      <c r="E1383" s="22">
        <v>141</v>
      </c>
      <c r="F1383" s="22">
        <v>3</v>
      </c>
      <c r="G1383" s="22">
        <v>5</v>
      </c>
      <c r="H1383" s="22"/>
      <c r="I1383" s="23" t="s">
        <v>90</v>
      </c>
      <c r="J1383" s="23"/>
      <c r="K1383" s="22"/>
      <c r="L1383" s="22"/>
      <c r="M1383" s="23"/>
      <c r="N1383" s="23"/>
      <c r="O1383" s="26" t="s">
        <v>4834</v>
      </c>
      <c r="P1383" s="26"/>
      <c r="Q1383" s="22">
        <v>79</v>
      </c>
      <c r="R1383" s="24">
        <v>45820</v>
      </c>
      <c r="S1383" s="24">
        <v>45821</v>
      </c>
      <c r="T1383" s="24"/>
      <c r="U1383" s="24"/>
      <c r="V1383" s="24">
        <v>45824</v>
      </c>
      <c r="W1383" s="22" t="s">
        <v>1217</v>
      </c>
      <c r="X1383" s="4" t="str">
        <f>IF(Tabela2[[#This Row],[sigla]]="","",VLOOKUP(Tabela2[[#This Row],[sigla]],créditos_base!B:C,2,0))</f>
        <v>KEITHY MOSTACHI/ARQUIVO DA EDITORA</v>
      </c>
      <c r="Y1383" s="23"/>
      <c r="Z1383" s="23" t="str">
        <f>Tabela2[[#This Row],[ilustrador]]</f>
        <v>KEITHY MOSTACHI/ARQUIVO DA EDITORA</v>
      </c>
      <c r="AA1383" s="22">
        <v>13</v>
      </c>
      <c r="AB1383" s="20" t="s">
        <v>747</v>
      </c>
      <c r="AC1383" s="20" t="s">
        <v>36</v>
      </c>
      <c r="AD1383" s="4" t="str">
        <f>"Pitanguá"</f>
        <v>Pitanguá</v>
      </c>
      <c r="AE1383" s="14" t="str">
        <f>"Matemática"</f>
        <v>Matemática</v>
      </c>
      <c r="AF1383" s="14"/>
    </row>
    <row r="1384" spans="1:32" x14ac:dyDescent="0.3">
      <c r="A1384" s="23" t="s">
        <v>4176</v>
      </c>
      <c r="B1384" s="20" t="s">
        <v>16</v>
      </c>
      <c r="C1384" s="20" t="s">
        <v>89</v>
      </c>
      <c r="D1384" s="20" t="s">
        <v>8</v>
      </c>
      <c r="E1384" s="22">
        <v>136</v>
      </c>
      <c r="F1384" s="22">
        <v>5</v>
      </c>
      <c r="G1384" s="22">
        <v>5</v>
      </c>
      <c r="H1384" s="22"/>
      <c r="I1384" s="23" t="s">
        <v>9</v>
      </c>
      <c r="J1384" s="23"/>
      <c r="K1384" s="22"/>
      <c r="L1384" s="22"/>
      <c r="M1384" s="23"/>
      <c r="N1384" s="23"/>
      <c r="O1384" s="26" t="s">
        <v>4177</v>
      </c>
      <c r="P1384" s="26"/>
      <c r="Q1384" s="22"/>
      <c r="R1384" s="24"/>
      <c r="S1384" s="24"/>
      <c r="T1384" s="24"/>
      <c r="U1384" s="24"/>
      <c r="V1384" s="24"/>
      <c r="W1384" s="22" t="s">
        <v>940</v>
      </c>
      <c r="X1384" s="4" t="str">
        <f>IF(Tabela2[[#This Row],[sigla]]="","",VLOOKUP(Tabela2[[#This Row],[sigla]],créditos_base!B:C,2,0))</f>
        <v>RONALDO LUCENA/ARQUIVO DA EDITORA</v>
      </c>
      <c r="Y1384" s="23"/>
      <c r="Z1384" s="23" t="str">
        <f>Tabela2[[#This Row],[ilustrador]]</f>
        <v>RONALDO LUCENA/ARQUIVO DA EDITORA</v>
      </c>
      <c r="AA1384" s="22"/>
      <c r="AB1384" s="20"/>
      <c r="AD1384" s="4" t="str">
        <f>"Pitanguá"</f>
        <v>Pitanguá</v>
      </c>
      <c r="AE1384" s="14" t="str">
        <f>"Matemática"</f>
        <v>Matemática</v>
      </c>
      <c r="AF1384" s="14"/>
    </row>
    <row r="1385" spans="1:32" x14ac:dyDescent="0.3">
      <c r="A1385" s="23" t="s">
        <v>4479</v>
      </c>
      <c r="B1385" s="20" t="s">
        <v>16</v>
      </c>
      <c r="C1385" s="20" t="s">
        <v>89</v>
      </c>
      <c r="D1385" s="20" t="s">
        <v>8</v>
      </c>
      <c r="E1385" s="22">
        <v>147</v>
      </c>
      <c r="F1385" s="22">
        <v>2</v>
      </c>
      <c r="G1385" s="22">
        <v>5</v>
      </c>
      <c r="H1385" s="22"/>
      <c r="I1385" s="23" t="s">
        <v>9</v>
      </c>
      <c r="J1385" s="23"/>
      <c r="K1385" s="22"/>
      <c r="L1385" s="22"/>
      <c r="M1385" s="23"/>
      <c r="N1385" s="23"/>
      <c r="O1385" s="26" t="s">
        <v>4480</v>
      </c>
      <c r="P1385" s="26"/>
      <c r="Q1385" s="22"/>
      <c r="R1385" s="24"/>
      <c r="S1385" s="24"/>
      <c r="T1385" s="24"/>
      <c r="U1385" s="24"/>
      <c r="V1385" s="24"/>
      <c r="W1385" s="22" t="s">
        <v>160</v>
      </c>
      <c r="X1385" s="4" t="str">
        <f>IF(Tabela2[[#This Row],[sigla]]="","",VLOOKUP(Tabela2[[#This Row],[sigla]],créditos_base!B:C,2,0))</f>
        <v>SERGIO LIMA/ARQUIVO DA EDITORA</v>
      </c>
      <c r="Y1385" s="23"/>
      <c r="Z1385" s="23" t="str">
        <f>Tabela2[[#This Row],[ilustrador]]</f>
        <v>SERGIO LIMA/ARQUIVO DA EDITORA</v>
      </c>
      <c r="AA1385" s="22"/>
      <c r="AB1385" s="20"/>
      <c r="AD1385" s="4" t="str">
        <f>"Pitanguá"</f>
        <v>Pitanguá</v>
      </c>
      <c r="AE1385" s="14" t="str">
        <f>"Matemática"</f>
        <v>Matemática</v>
      </c>
      <c r="AF1385" s="14"/>
    </row>
    <row r="1386" spans="1:32" ht="43.2" x14ac:dyDescent="0.3">
      <c r="A1386" s="23" t="s">
        <v>4837</v>
      </c>
      <c r="B1386" s="20" t="s">
        <v>16</v>
      </c>
      <c r="C1386" s="20" t="s">
        <v>89</v>
      </c>
      <c r="D1386" s="20" t="s">
        <v>8</v>
      </c>
      <c r="E1386" s="22">
        <v>141</v>
      </c>
      <c r="F1386" s="22">
        <v>3</v>
      </c>
      <c r="G1386" s="22">
        <v>5</v>
      </c>
      <c r="H1386" s="22"/>
      <c r="I1386" s="23" t="s">
        <v>90</v>
      </c>
      <c r="J1386" s="23"/>
      <c r="K1386" s="22"/>
      <c r="L1386" s="22"/>
      <c r="M1386" s="23"/>
      <c r="N1386" s="23"/>
      <c r="O1386" s="26" t="s">
        <v>4838</v>
      </c>
      <c r="P1386" s="26"/>
      <c r="Q1386" s="22">
        <v>79</v>
      </c>
      <c r="R1386" s="24">
        <v>45820</v>
      </c>
      <c r="S1386" s="24">
        <v>45821</v>
      </c>
      <c r="T1386" s="24"/>
      <c r="U1386" s="24"/>
      <c r="V1386" s="24">
        <v>45824</v>
      </c>
      <c r="W1386" s="22" t="s">
        <v>1217</v>
      </c>
      <c r="X1386" s="4" t="str">
        <f>IF(Tabela2[[#This Row],[sigla]]="","",VLOOKUP(Tabela2[[#This Row],[sigla]],créditos_base!B:C,2,0))</f>
        <v>KEITHY MOSTACHI/ARQUIVO DA EDITORA</v>
      </c>
      <c r="Y1386" s="23"/>
      <c r="Z1386" s="23" t="str">
        <f>Tabela2[[#This Row],[ilustrador]]</f>
        <v>KEITHY MOSTACHI/ARQUIVO DA EDITORA</v>
      </c>
      <c r="AA1386" s="22">
        <v>13</v>
      </c>
      <c r="AB1386" s="20" t="s">
        <v>747</v>
      </c>
      <c r="AC1386" s="20" t="s">
        <v>36</v>
      </c>
      <c r="AD1386" s="4" t="str">
        <f>"Pitanguá"</f>
        <v>Pitanguá</v>
      </c>
      <c r="AE1386" s="14" t="str">
        <f>"Matemática"</f>
        <v>Matemática</v>
      </c>
      <c r="AF1386" s="14"/>
    </row>
    <row r="1387" spans="1:32" x14ac:dyDescent="0.3">
      <c r="A1387" s="23" t="s">
        <v>4178</v>
      </c>
      <c r="B1387" s="20" t="s">
        <v>16</v>
      </c>
      <c r="C1387" s="20" t="s">
        <v>89</v>
      </c>
      <c r="D1387" s="20" t="s">
        <v>8</v>
      </c>
      <c r="E1387" s="22">
        <v>136</v>
      </c>
      <c r="F1387" s="22">
        <v>5</v>
      </c>
      <c r="G1387" s="22">
        <v>5</v>
      </c>
      <c r="H1387" s="22"/>
      <c r="I1387" s="23" t="s">
        <v>9</v>
      </c>
      <c r="J1387" s="23"/>
      <c r="K1387" s="22"/>
      <c r="L1387" s="22"/>
      <c r="M1387" s="23"/>
      <c r="N1387" s="23"/>
      <c r="O1387" s="26" t="s">
        <v>4179</v>
      </c>
      <c r="P1387" s="26"/>
      <c r="Q1387" s="22"/>
      <c r="R1387" s="24"/>
      <c r="S1387" s="24"/>
      <c r="T1387" s="24"/>
      <c r="U1387" s="24"/>
      <c r="V1387" s="24"/>
      <c r="W1387" s="22" t="s">
        <v>940</v>
      </c>
      <c r="X1387" s="4" t="str">
        <f>IF(Tabela2[[#This Row],[sigla]]="","",VLOOKUP(Tabela2[[#This Row],[sigla]],créditos_base!B:C,2,0))</f>
        <v>RONALDO LUCENA/ARQUIVO DA EDITORA</v>
      </c>
      <c r="Y1387" s="23"/>
      <c r="Z1387" s="23" t="str">
        <f>Tabela2[[#This Row],[ilustrador]]</f>
        <v>RONALDO LUCENA/ARQUIVO DA EDITORA</v>
      </c>
      <c r="AA1387" s="22"/>
      <c r="AB1387" s="20"/>
      <c r="AD1387" s="4" t="str">
        <f>"Pitanguá"</f>
        <v>Pitanguá</v>
      </c>
      <c r="AE1387" s="14" t="str">
        <f>"Matemática"</f>
        <v>Matemática</v>
      </c>
      <c r="AF1387" s="14"/>
    </row>
    <row r="1388" spans="1:32" x14ac:dyDescent="0.3">
      <c r="A1388" s="23" t="s">
        <v>4475</v>
      </c>
      <c r="B1388" s="20" t="s">
        <v>16</v>
      </c>
      <c r="C1388" s="20" t="s">
        <v>89</v>
      </c>
      <c r="D1388" s="20" t="s">
        <v>8</v>
      </c>
      <c r="E1388" s="22">
        <v>147</v>
      </c>
      <c r="F1388" s="22">
        <v>2</v>
      </c>
      <c r="G1388" s="22">
        <v>5</v>
      </c>
      <c r="H1388" s="22"/>
      <c r="I1388" s="23" t="s">
        <v>90</v>
      </c>
      <c r="J1388" s="23"/>
      <c r="K1388" s="22"/>
      <c r="L1388" s="22"/>
      <c r="M1388" s="23"/>
      <c r="N1388" s="23"/>
      <c r="O1388" s="26" t="s">
        <v>4476</v>
      </c>
      <c r="P1388" s="26"/>
      <c r="Q1388" s="22">
        <v>67</v>
      </c>
      <c r="R1388" s="24">
        <v>45811</v>
      </c>
      <c r="S1388" s="24">
        <v>45812</v>
      </c>
      <c r="T1388" s="24"/>
      <c r="U1388" s="24"/>
      <c r="V1388" s="24">
        <v>45812</v>
      </c>
      <c r="W1388" s="22" t="s">
        <v>4461</v>
      </c>
      <c r="X1388" s="4" t="str">
        <f>IF(Tabela2[[#This Row],[sigla]]="","",VLOOKUP(Tabela2[[#This Row],[sigla]],créditos_base!B:C,2,0))</f>
        <v>REBECCA BANISKI/ARQUIVO DA EDITORA</v>
      </c>
      <c r="Y1388" s="23"/>
      <c r="Z1388" s="23" t="str">
        <f>Tabela2[[#This Row],[ilustrador]]</f>
        <v>REBECCA BANISKI/ARQUIVO DA EDITORA</v>
      </c>
      <c r="AA1388" s="22">
        <v>8</v>
      </c>
      <c r="AB1388" s="20"/>
      <c r="AC1388" s="20" t="s">
        <v>36</v>
      </c>
      <c r="AD1388" s="4" t="str">
        <f>"Pitanguá"</f>
        <v>Pitanguá</v>
      </c>
      <c r="AE1388" s="14" t="str">
        <f>"Matemática"</f>
        <v>Matemática</v>
      </c>
      <c r="AF1388" s="14"/>
    </row>
    <row r="1389" spans="1:32" ht="28.8" x14ac:dyDescent="0.3">
      <c r="A1389" s="23" t="s">
        <v>4180</v>
      </c>
      <c r="B1389" s="20" t="s">
        <v>16</v>
      </c>
      <c r="C1389" s="20" t="s">
        <v>89</v>
      </c>
      <c r="D1389" s="20" t="s">
        <v>8</v>
      </c>
      <c r="E1389" s="22">
        <v>136</v>
      </c>
      <c r="F1389" s="22">
        <v>5</v>
      </c>
      <c r="G1389" s="22">
        <v>5</v>
      </c>
      <c r="H1389" s="22"/>
      <c r="I1389" s="23" t="s">
        <v>9</v>
      </c>
      <c r="J1389" s="23"/>
      <c r="K1389" s="22"/>
      <c r="L1389" s="22"/>
      <c r="M1389" s="23"/>
      <c r="N1389" s="23"/>
      <c r="O1389" s="26" t="s">
        <v>4181</v>
      </c>
      <c r="P1389" s="26"/>
      <c r="Q1389" s="22"/>
      <c r="R1389" s="24"/>
      <c r="S1389" s="24"/>
      <c r="T1389" s="24"/>
      <c r="U1389" s="24"/>
      <c r="V1389" s="24"/>
      <c r="W1389" s="22" t="s">
        <v>940</v>
      </c>
      <c r="X1389" s="4" t="str">
        <f>IF(Tabela2[[#This Row],[sigla]]="","",VLOOKUP(Tabela2[[#This Row],[sigla]],créditos_base!B:C,2,0))</f>
        <v>RONALDO LUCENA/ARQUIVO DA EDITORA</v>
      </c>
      <c r="Y1389" s="23"/>
      <c r="Z1389" s="23" t="str">
        <f>Tabela2[[#This Row],[ilustrador]]</f>
        <v>RONALDO LUCENA/ARQUIVO DA EDITORA</v>
      </c>
      <c r="AA1389" s="22"/>
      <c r="AB1389" s="20"/>
      <c r="AD1389" s="4" t="str">
        <f>"Pitanguá"</f>
        <v>Pitanguá</v>
      </c>
      <c r="AE1389" s="14" t="str">
        <f>"Matemática"</f>
        <v>Matemática</v>
      </c>
      <c r="AF1389" s="14"/>
    </row>
    <row r="1390" spans="1:32" x14ac:dyDescent="0.3">
      <c r="A1390" s="23" t="s">
        <v>4182</v>
      </c>
      <c r="B1390" s="20" t="s">
        <v>16</v>
      </c>
      <c r="C1390" s="20" t="s">
        <v>89</v>
      </c>
      <c r="D1390" s="20" t="s">
        <v>8</v>
      </c>
      <c r="E1390" s="22">
        <v>136</v>
      </c>
      <c r="F1390" s="22">
        <v>5</v>
      </c>
      <c r="G1390" s="22">
        <v>5</v>
      </c>
      <c r="H1390" s="22"/>
      <c r="I1390" s="23" t="s">
        <v>9</v>
      </c>
      <c r="J1390" s="23"/>
      <c r="K1390" s="22"/>
      <c r="L1390" s="22"/>
      <c r="M1390" s="23"/>
      <c r="N1390" s="23"/>
      <c r="O1390" s="26" t="s">
        <v>4183</v>
      </c>
      <c r="P1390" s="26"/>
      <c r="Q1390" s="22"/>
      <c r="R1390" s="24"/>
      <c r="S1390" s="24"/>
      <c r="T1390" s="24"/>
      <c r="U1390" s="24"/>
      <c r="V1390" s="24"/>
      <c r="W1390" s="22" t="s">
        <v>940</v>
      </c>
      <c r="X1390" s="4" t="str">
        <f>IF(Tabela2[[#This Row],[sigla]]="","",VLOOKUP(Tabela2[[#This Row],[sigla]],créditos_base!B:C,2,0))</f>
        <v>RONALDO LUCENA/ARQUIVO DA EDITORA</v>
      </c>
      <c r="Y1390" s="23"/>
      <c r="Z1390" s="23" t="str">
        <f>Tabela2[[#This Row],[ilustrador]]</f>
        <v>RONALDO LUCENA/ARQUIVO DA EDITORA</v>
      </c>
      <c r="AA1390" s="22"/>
      <c r="AB1390" s="20"/>
      <c r="AD1390" s="4" t="str">
        <f>"Pitanguá"</f>
        <v>Pitanguá</v>
      </c>
      <c r="AE1390" s="14" t="str">
        <f>"Matemática"</f>
        <v>Matemática</v>
      </c>
      <c r="AF1390" s="14"/>
    </row>
    <row r="1391" spans="1:32" x14ac:dyDescent="0.3">
      <c r="A1391" s="23" t="s">
        <v>4184</v>
      </c>
      <c r="B1391" s="20" t="s">
        <v>16</v>
      </c>
      <c r="C1391" s="20" t="s">
        <v>89</v>
      </c>
      <c r="D1391" s="20" t="s">
        <v>8</v>
      </c>
      <c r="E1391" s="22">
        <v>136</v>
      </c>
      <c r="F1391" s="22">
        <v>5</v>
      </c>
      <c r="G1391" s="22">
        <v>5</v>
      </c>
      <c r="H1391" s="22"/>
      <c r="I1391" s="23" t="s">
        <v>9</v>
      </c>
      <c r="J1391" s="23"/>
      <c r="K1391" s="22"/>
      <c r="L1391" s="22"/>
      <c r="M1391" s="23"/>
      <c r="N1391" s="23"/>
      <c r="O1391" s="26" t="s">
        <v>4185</v>
      </c>
      <c r="P1391" s="26"/>
      <c r="Q1391" s="22"/>
      <c r="R1391" s="24"/>
      <c r="S1391" s="24"/>
      <c r="T1391" s="24"/>
      <c r="U1391" s="24"/>
      <c r="V1391" s="24"/>
      <c r="W1391" s="22" t="s">
        <v>940</v>
      </c>
      <c r="X1391" s="4" t="str">
        <f>IF(Tabela2[[#This Row],[sigla]]="","",VLOOKUP(Tabela2[[#This Row],[sigla]],créditos_base!B:C,2,0))</f>
        <v>RONALDO LUCENA/ARQUIVO DA EDITORA</v>
      </c>
      <c r="Y1391" s="23"/>
      <c r="Z1391" s="23" t="str">
        <f>Tabela2[[#This Row],[ilustrador]]</f>
        <v>RONALDO LUCENA/ARQUIVO DA EDITORA</v>
      </c>
      <c r="AA1391" s="22"/>
      <c r="AB1391" s="20"/>
      <c r="AD1391" s="4" t="str">
        <f>"Pitanguá"</f>
        <v>Pitanguá</v>
      </c>
      <c r="AE1391" s="14" t="str">
        <f>"Matemática"</f>
        <v>Matemática</v>
      </c>
      <c r="AF1391" s="14"/>
    </row>
    <row r="1392" spans="1:32" ht="43.2" x14ac:dyDescent="0.3">
      <c r="A1392" s="23" t="s">
        <v>4186</v>
      </c>
      <c r="B1392" s="20" t="s">
        <v>16</v>
      </c>
      <c r="C1392" s="20" t="s">
        <v>89</v>
      </c>
      <c r="D1392" s="20" t="s">
        <v>8</v>
      </c>
      <c r="E1392" s="22">
        <v>136</v>
      </c>
      <c r="F1392" s="22">
        <v>5</v>
      </c>
      <c r="G1392" s="22">
        <v>5</v>
      </c>
      <c r="H1392" s="22"/>
      <c r="I1392" s="23" t="s">
        <v>9</v>
      </c>
      <c r="J1392" s="23"/>
      <c r="K1392" s="22"/>
      <c r="L1392" s="22"/>
      <c r="M1392" s="23"/>
      <c r="N1392" s="23"/>
      <c r="O1392" s="26" t="s">
        <v>4187</v>
      </c>
      <c r="P1392" s="26"/>
      <c r="Q1392" s="22"/>
      <c r="R1392" s="24"/>
      <c r="S1392" s="24"/>
      <c r="T1392" s="24"/>
      <c r="U1392" s="24"/>
      <c r="V1392" s="24"/>
      <c r="W1392" s="22" t="s">
        <v>940</v>
      </c>
      <c r="X1392" s="4" t="str">
        <f>IF(Tabela2[[#This Row],[sigla]]="","",VLOOKUP(Tabela2[[#This Row],[sigla]],créditos_base!B:C,2,0))</f>
        <v>RONALDO LUCENA/ARQUIVO DA EDITORA</v>
      </c>
      <c r="Y1392" s="23"/>
      <c r="Z1392" s="23" t="str">
        <f>Tabela2[[#This Row],[ilustrador]]</f>
        <v>RONALDO LUCENA/ARQUIVO DA EDITORA</v>
      </c>
      <c r="AA1392" s="22"/>
      <c r="AB1392" s="20"/>
      <c r="AD1392" s="4" t="str">
        <f>"Pitanguá"</f>
        <v>Pitanguá</v>
      </c>
      <c r="AE1392" s="14" t="str">
        <f>"Matemática"</f>
        <v>Matemática</v>
      </c>
      <c r="AF1392" s="14"/>
    </row>
    <row r="1393" spans="1:32" ht="28.8" x14ac:dyDescent="0.3">
      <c r="A1393" s="23" t="s">
        <v>4188</v>
      </c>
      <c r="B1393" s="20" t="s">
        <v>16</v>
      </c>
      <c r="C1393" s="20" t="s">
        <v>89</v>
      </c>
      <c r="D1393" s="20" t="s">
        <v>8</v>
      </c>
      <c r="E1393" s="22">
        <v>136</v>
      </c>
      <c r="F1393" s="22">
        <v>5</v>
      </c>
      <c r="G1393" s="22">
        <v>5</v>
      </c>
      <c r="H1393" s="22"/>
      <c r="I1393" s="23" t="s">
        <v>9</v>
      </c>
      <c r="J1393" s="23"/>
      <c r="K1393" s="22"/>
      <c r="L1393" s="22"/>
      <c r="M1393" s="23"/>
      <c r="N1393" s="23"/>
      <c r="O1393" s="26" t="s">
        <v>4189</v>
      </c>
      <c r="P1393" s="26"/>
      <c r="Q1393" s="22"/>
      <c r="R1393" s="24"/>
      <c r="S1393" s="24"/>
      <c r="T1393" s="24"/>
      <c r="U1393" s="24"/>
      <c r="V1393" s="24"/>
      <c r="W1393" s="22" t="s">
        <v>940</v>
      </c>
      <c r="X1393" s="4" t="str">
        <f>IF(Tabela2[[#This Row],[sigla]]="","",VLOOKUP(Tabela2[[#This Row],[sigla]],créditos_base!B:C,2,0))</f>
        <v>RONALDO LUCENA/ARQUIVO DA EDITORA</v>
      </c>
      <c r="Y1393" s="23"/>
      <c r="Z1393" s="23" t="str">
        <f>Tabela2[[#This Row],[ilustrador]]</f>
        <v>RONALDO LUCENA/ARQUIVO DA EDITORA</v>
      </c>
      <c r="AA1393" s="22"/>
      <c r="AB1393" s="20"/>
      <c r="AD1393" s="4" t="str">
        <f>"Pitanguá"</f>
        <v>Pitanguá</v>
      </c>
      <c r="AE1393" s="14" t="str">
        <f>"Matemática"</f>
        <v>Matemática</v>
      </c>
      <c r="AF1393" s="14"/>
    </row>
    <row r="1394" spans="1:32" ht="100.8" x14ac:dyDescent="0.3">
      <c r="A1394" s="23" t="s">
        <v>4190</v>
      </c>
      <c r="B1394" s="20" t="s">
        <v>16</v>
      </c>
      <c r="C1394" s="20" t="s">
        <v>89</v>
      </c>
      <c r="D1394" s="20" t="s">
        <v>8</v>
      </c>
      <c r="E1394" s="22">
        <v>136</v>
      </c>
      <c r="F1394" s="22">
        <v>5</v>
      </c>
      <c r="G1394" s="22">
        <v>5</v>
      </c>
      <c r="H1394" s="22"/>
      <c r="I1394" s="23" t="s">
        <v>9</v>
      </c>
      <c r="J1394" s="23"/>
      <c r="K1394" s="22"/>
      <c r="L1394" s="22"/>
      <c r="M1394" s="23"/>
      <c r="N1394" s="23"/>
      <c r="O1394" s="26" t="s">
        <v>4191</v>
      </c>
      <c r="P1394" s="26"/>
      <c r="Q1394" s="22"/>
      <c r="R1394" s="24"/>
      <c r="S1394" s="24"/>
      <c r="T1394" s="24"/>
      <c r="U1394" s="24"/>
      <c r="V1394" s="24"/>
      <c r="W1394" s="22" t="s">
        <v>940</v>
      </c>
      <c r="X1394" s="4" t="str">
        <f>IF(Tabela2[[#This Row],[sigla]]="","",VLOOKUP(Tabela2[[#This Row],[sigla]],créditos_base!B:C,2,0))</f>
        <v>RONALDO LUCENA/ARQUIVO DA EDITORA</v>
      </c>
      <c r="Y1394" s="23"/>
      <c r="Z1394" s="23" t="str">
        <f>Tabela2[[#This Row],[ilustrador]]</f>
        <v>RONALDO LUCENA/ARQUIVO DA EDITORA</v>
      </c>
      <c r="AA1394" s="22"/>
      <c r="AB1394" s="20"/>
      <c r="AD1394" s="4" t="str">
        <f>"Pitanguá"</f>
        <v>Pitanguá</v>
      </c>
      <c r="AE1394" s="14" t="str">
        <f>"Matemática"</f>
        <v>Matemática</v>
      </c>
      <c r="AF1394" s="14"/>
    </row>
    <row r="1395" spans="1:32" x14ac:dyDescent="0.3">
      <c r="A1395" s="23" t="s">
        <v>4192</v>
      </c>
      <c r="B1395" s="20" t="s">
        <v>522</v>
      </c>
      <c r="C1395" s="20" t="s">
        <v>89</v>
      </c>
      <c r="D1395" s="20" t="s">
        <v>8</v>
      </c>
      <c r="E1395" s="22">
        <v>136</v>
      </c>
      <c r="F1395" s="22">
        <v>5</v>
      </c>
      <c r="G1395" s="22">
        <v>5</v>
      </c>
      <c r="H1395" s="22"/>
      <c r="I1395" s="23" t="s">
        <v>33</v>
      </c>
      <c r="J1395" s="23"/>
      <c r="K1395" s="22"/>
      <c r="L1395" s="22"/>
      <c r="M1395" s="23"/>
      <c r="N1395" s="23"/>
      <c r="O1395" s="26" t="s">
        <v>4193</v>
      </c>
      <c r="P1395" s="26"/>
      <c r="Q1395" s="22">
        <v>205</v>
      </c>
      <c r="R1395" s="24">
        <v>45925</v>
      </c>
      <c r="S1395" s="24">
        <v>45925</v>
      </c>
      <c r="T1395" s="24"/>
      <c r="U1395" s="24"/>
      <c r="V1395" s="24">
        <v>45925</v>
      </c>
      <c r="W1395" s="22" t="s">
        <v>940</v>
      </c>
      <c r="X1395" s="4" t="str">
        <f>IF(Tabela2[[#This Row],[sigla]]="","",VLOOKUP(Tabela2[[#This Row],[sigla]],créditos_base!B:C,2,0))</f>
        <v>RONALDO LUCENA/ARQUIVO DA EDITORA</v>
      </c>
      <c r="Y1395" s="23" t="s">
        <v>188</v>
      </c>
      <c r="Z1395" s="23" t="str">
        <f>Tabela2[[#This Row],[ilustrador]]</f>
        <v>RONALDO LUCENA/ARQUIVO DA EDITORA</v>
      </c>
      <c r="AA1395" s="22">
        <v>13</v>
      </c>
      <c r="AB1395" s="20" t="s">
        <v>41</v>
      </c>
      <c r="AD1395" s="4" t="str">
        <f>"Pitanguá"</f>
        <v>Pitanguá</v>
      </c>
      <c r="AE1395" s="14" t="str">
        <f>"Matemática"</f>
        <v>Matemática</v>
      </c>
      <c r="AF1395" s="14"/>
    </row>
    <row r="1396" spans="1:32" x14ac:dyDescent="0.3">
      <c r="A1396" s="23" t="s">
        <v>4194</v>
      </c>
      <c r="B1396" s="20" t="s">
        <v>16</v>
      </c>
      <c r="C1396" s="20" t="s">
        <v>7</v>
      </c>
      <c r="D1396" s="20" t="s">
        <v>8</v>
      </c>
      <c r="E1396" s="22">
        <v>137</v>
      </c>
      <c r="F1396" s="22">
        <v>5</v>
      </c>
      <c r="G1396" s="22">
        <v>5</v>
      </c>
      <c r="H1396" s="22"/>
      <c r="I1396" s="23" t="s">
        <v>9</v>
      </c>
      <c r="J1396" s="23"/>
      <c r="K1396" s="22"/>
      <c r="L1396" s="22"/>
      <c r="M1396" s="23"/>
      <c r="N1396" s="23"/>
      <c r="O1396" s="26" t="s">
        <v>4195</v>
      </c>
      <c r="P1396" s="26"/>
      <c r="Q1396" s="22"/>
      <c r="R1396" s="24"/>
      <c r="S1396" s="24"/>
      <c r="T1396" s="24"/>
      <c r="U1396" s="24"/>
      <c r="V1396" s="24"/>
      <c r="W1396" s="22" t="s">
        <v>332</v>
      </c>
      <c r="X1396" s="4" t="str">
        <f>IF(Tabela2[[#This Row],[sigla]]="","",VLOOKUP(Tabela2[[#This Row],[sigla]],créditos_base!B:C,2,0))</f>
        <v>CYNTHIA SEKIGUCHI/ARQUIVO DA EDITORA</v>
      </c>
      <c r="Y1396" s="23"/>
      <c r="Z1396" s="23" t="str">
        <f>Tabela2[[#This Row],[ilustrador]]</f>
        <v>CYNTHIA SEKIGUCHI/ARQUIVO DA EDITORA</v>
      </c>
      <c r="AA1396" s="22"/>
      <c r="AB1396" s="20"/>
      <c r="AD1396" s="4" t="str">
        <f>"Pitanguá"</f>
        <v>Pitanguá</v>
      </c>
      <c r="AE1396" s="14" t="str">
        <f>"Matemática"</f>
        <v>Matemática</v>
      </c>
      <c r="AF1396" s="14"/>
    </row>
    <row r="1397" spans="1:32" x14ac:dyDescent="0.3">
      <c r="A1397" s="23" t="s">
        <v>4196</v>
      </c>
      <c r="B1397" s="20" t="s">
        <v>16</v>
      </c>
      <c r="C1397" s="20" t="s">
        <v>7</v>
      </c>
      <c r="D1397" s="20" t="s">
        <v>8</v>
      </c>
      <c r="E1397" s="22">
        <v>137</v>
      </c>
      <c r="F1397" s="22">
        <v>5</v>
      </c>
      <c r="G1397" s="22">
        <v>5</v>
      </c>
      <c r="H1397" s="22"/>
      <c r="I1397" s="23" t="s">
        <v>9</v>
      </c>
      <c r="J1397" s="23"/>
      <c r="K1397" s="22"/>
      <c r="L1397" s="22"/>
      <c r="M1397" s="23"/>
      <c r="N1397" s="23"/>
      <c r="O1397" s="26" t="s">
        <v>4197</v>
      </c>
      <c r="P1397" s="26"/>
      <c r="Q1397" s="22"/>
      <c r="R1397" s="24"/>
      <c r="S1397" s="24"/>
      <c r="T1397" s="24"/>
      <c r="U1397" s="24"/>
      <c r="V1397" s="24"/>
      <c r="W1397" s="22" t="s">
        <v>151</v>
      </c>
      <c r="X1397" s="4" t="str">
        <f>IF(Tabela2[[#This Row],[sigla]]="","",VLOOKUP(Tabela2[[#This Row],[sigla]],créditos_base!B:C,2,0))</f>
        <v>ROGÉRIO CASAGRANDE/ARQUIVO DA EDITORA</v>
      </c>
      <c r="Y1397" s="23"/>
      <c r="Z1397" s="23" t="str">
        <f>Tabela2[[#This Row],[ilustrador]]</f>
        <v>ROGÉRIO CASAGRANDE/ARQUIVO DA EDITORA</v>
      </c>
      <c r="AA1397" s="22"/>
      <c r="AB1397" s="20"/>
      <c r="AD1397" s="4" t="str">
        <f>"Pitanguá"</f>
        <v>Pitanguá</v>
      </c>
      <c r="AE1397" s="14" t="str">
        <f>"Matemática"</f>
        <v>Matemática</v>
      </c>
      <c r="AF1397" s="14"/>
    </row>
    <row r="1398" spans="1:32" ht="28.8" x14ac:dyDescent="0.3">
      <c r="A1398" s="23" t="s">
        <v>4198</v>
      </c>
      <c r="B1398" s="20" t="s">
        <v>16</v>
      </c>
      <c r="C1398" s="20" t="s">
        <v>7</v>
      </c>
      <c r="D1398" s="20" t="s">
        <v>8</v>
      </c>
      <c r="E1398" s="22">
        <v>137</v>
      </c>
      <c r="F1398" s="22">
        <v>5</v>
      </c>
      <c r="G1398" s="22">
        <v>5</v>
      </c>
      <c r="H1398" s="22"/>
      <c r="I1398" s="23" t="s">
        <v>9</v>
      </c>
      <c r="J1398" s="23"/>
      <c r="K1398" s="22"/>
      <c r="L1398" s="22"/>
      <c r="M1398" s="23"/>
      <c r="N1398" s="23"/>
      <c r="O1398" s="26" t="s">
        <v>4199</v>
      </c>
      <c r="P1398" s="26"/>
      <c r="Q1398" s="22"/>
      <c r="R1398" s="24"/>
      <c r="S1398" s="24"/>
      <c r="T1398" s="24"/>
      <c r="U1398" s="24"/>
      <c r="V1398" s="24"/>
      <c r="W1398" s="22" t="s">
        <v>332</v>
      </c>
      <c r="X1398" s="4" t="str">
        <f>IF(Tabela2[[#This Row],[sigla]]="","",VLOOKUP(Tabela2[[#This Row],[sigla]],créditos_base!B:C,2,0))</f>
        <v>CYNTHIA SEKIGUCHI/ARQUIVO DA EDITORA</v>
      </c>
      <c r="Y1398" s="23"/>
      <c r="Z1398" s="23" t="str">
        <f>Tabela2[[#This Row],[ilustrador]]</f>
        <v>CYNTHIA SEKIGUCHI/ARQUIVO DA EDITORA</v>
      </c>
      <c r="AA1398" s="22"/>
      <c r="AB1398" s="20"/>
      <c r="AD1398" s="4" t="str">
        <f>"Pitanguá"</f>
        <v>Pitanguá</v>
      </c>
      <c r="AE1398" s="14" t="str">
        <f>"Matemática"</f>
        <v>Matemática</v>
      </c>
      <c r="AF1398" s="14"/>
    </row>
    <row r="1399" spans="1:32" ht="201.6" x14ac:dyDescent="0.3">
      <c r="A1399" s="23" t="s">
        <v>4200</v>
      </c>
      <c r="B1399" s="20" t="s">
        <v>16</v>
      </c>
      <c r="C1399" s="20" t="s">
        <v>7</v>
      </c>
      <c r="D1399" s="20" t="s">
        <v>8</v>
      </c>
      <c r="E1399" s="22">
        <v>137</v>
      </c>
      <c r="F1399" s="22">
        <v>5</v>
      </c>
      <c r="G1399" s="22">
        <v>5</v>
      </c>
      <c r="H1399" s="22"/>
      <c r="I1399" s="23" t="s">
        <v>9</v>
      </c>
      <c r="J1399" s="23"/>
      <c r="K1399" s="22"/>
      <c r="L1399" s="22"/>
      <c r="M1399" s="23"/>
      <c r="N1399" s="23"/>
      <c r="O1399" s="26" t="s">
        <v>4201</v>
      </c>
      <c r="P1399" s="26"/>
      <c r="Q1399" s="22"/>
      <c r="R1399" s="24"/>
      <c r="S1399" s="24"/>
      <c r="T1399" s="24"/>
      <c r="U1399" s="24"/>
      <c r="V1399" s="24"/>
      <c r="W1399" s="22" t="s">
        <v>151</v>
      </c>
      <c r="X1399" s="4" t="str">
        <f>IF(Tabela2[[#This Row],[sigla]]="","",VLOOKUP(Tabela2[[#This Row],[sigla]],créditos_base!B:C,2,0))</f>
        <v>ROGÉRIO CASAGRANDE/ARQUIVO DA EDITORA</v>
      </c>
      <c r="Y1399" s="23"/>
      <c r="Z1399" s="23" t="str">
        <f>Tabela2[[#This Row],[ilustrador]]</f>
        <v>ROGÉRIO CASAGRANDE/ARQUIVO DA EDITORA</v>
      </c>
      <c r="AA1399" s="22"/>
      <c r="AB1399" s="20"/>
      <c r="AD1399" s="4" t="str">
        <f>"Pitanguá"</f>
        <v>Pitanguá</v>
      </c>
      <c r="AE1399" s="14" t="str">
        <f>"Matemática"</f>
        <v>Matemática</v>
      </c>
      <c r="AF1399" s="14"/>
    </row>
    <row r="1400" spans="1:32" ht="28.8" x14ac:dyDescent="0.3">
      <c r="A1400" s="23" t="s">
        <v>4202</v>
      </c>
      <c r="B1400" s="20" t="s">
        <v>16</v>
      </c>
      <c r="C1400" s="20" t="s">
        <v>89</v>
      </c>
      <c r="D1400" s="20" t="s">
        <v>8</v>
      </c>
      <c r="E1400" s="22">
        <v>137</v>
      </c>
      <c r="F1400" s="22">
        <v>5</v>
      </c>
      <c r="G1400" s="22">
        <v>5</v>
      </c>
      <c r="H1400" s="22"/>
      <c r="I1400" s="23" t="s">
        <v>9</v>
      </c>
      <c r="J1400" s="23"/>
      <c r="K1400" s="22"/>
      <c r="L1400" s="22"/>
      <c r="M1400" s="23"/>
      <c r="N1400" s="23"/>
      <c r="O1400" s="26" t="s">
        <v>4203</v>
      </c>
      <c r="P1400" s="26"/>
      <c r="Q1400" s="22"/>
      <c r="R1400" s="24"/>
      <c r="S1400" s="24"/>
      <c r="T1400" s="24"/>
      <c r="U1400" s="24"/>
      <c r="V1400" s="24"/>
      <c r="W1400" s="22" t="s">
        <v>940</v>
      </c>
      <c r="X1400" s="4" t="str">
        <f>IF(Tabela2[[#This Row],[sigla]]="","",VLOOKUP(Tabela2[[#This Row],[sigla]],créditos_base!B:C,2,0))</f>
        <v>RONALDO LUCENA/ARQUIVO DA EDITORA</v>
      </c>
      <c r="Y1400" s="23"/>
      <c r="Z1400" s="23" t="str">
        <f>Tabela2[[#This Row],[ilustrador]]</f>
        <v>RONALDO LUCENA/ARQUIVO DA EDITORA</v>
      </c>
      <c r="AA1400" s="22"/>
      <c r="AB1400" s="20"/>
      <c r="AD1400" s="4" t="str">
        <f>"Pitanguá"</f>
        <v>Pitanguá</v>
      </c>
      <c r="AE1400" s="14" t="str">
        <f>"Matemática"</f>
        <v>Matemática</v>
      </c>
      <c r="AF1400" s="14"/>
    </row>
    <row r="1401" spans="1:32" ht="115.2" x14ac:dyDescent="0.3">
      <c r="A1401" s="23" t="s">
        <v>4204</v>
      </c>
      <c r="B1401" s="20" t="s">
        <v>16</v>
      </c>
      <c r="C1401" s="20" t="s">
        <v>89</v>
      </c>
      <c r="D1401" s="20" t="s">
        <v>8</v>
      </c>
      <c r="E1401" s="22">
        <v>139</v>
      </c>
      <c r="F1401" s="22">
        <v>5</v>
      </c>
      <c r="G1401" s="22">
        <v>5</v>
      </c>
      <c r="H1401" s="22"/>
      <c r="I1401" s="23" t="s">
        <v>9</v>
      </c>
      <c r="J1401" s="23"/>
      <c r="K1401" s="22"/>
      <c r="L1401" s="22"/>
      <c r="M1401" s="23"/>
      <c r="N1401" s="23"/>
      <c r="O1401" s="26" t="s">
        <v>4205</v>
      </c>
      <c r="P1401" s="26"/>
      <c r="Q1401" s="22"/>
      <c r="R1401" s="24"/>
      <c r="S1401" s="24"/>
      <c r="T1401" s="24"/>
      <c r="U1401" s="24"/>
      <c r="V1401" s="24"/>
      <c r="W1401" s="22" t="s">
        <v>160</v>
      </c>
      <c r="X1401" s="4" t="str">
        <f>IF(Tabela2[[#This Row],[sigla]]="","",VLOOKUP(Tabela2[[#This Row],[sigla]],créditos_base!B:C,2,0))</f>
        <v>SERGIO LIMA/ARQUIVO DA EDITORA</v>
      </c>
      <c r="Y1401" s="23"/>
      <c r="Z1401" s="23" t="str">
        <f>Tabela2[[#This Row],[ilustrador]]</f>
        <v>SERGIO LIMA/ARQUIVO DA EDITORA</v>
      </c>
      <c r="AA1401" s="22"/>
      <c r="AB1401" s="20"/>
      <c r="AD1401" s="4" t="str">
        <f>"Pitanguá"</f>
        <v>Pitanguá</v>
      </c>
      <c r="AE1401" s="14" t="str">
        <f>"Matemática"</f>
        <v>Matemática</v>
      </c>
      <c r="AF1401" s="14"/>
    </row>
    <row r="1402" spans="1:32" ht="28.8" x14ac:dyDescent="0.3">
      <c r="A1402" s="23" t="s">
        <v>4206</v>
      </c>
      <c r="B1402" s="20" t="s">
        <v>16</v>
      </c>
      <c r="C1402" s="20" t="s">
        <v>89</v>
      </c>
      <c r="D1402" s="20" t="s">
        <v>8</v>
      </c>
      <c r="E1402" s="22">
        <v>140</v>
      </c>
      <c r="F1402" s="22">
        <v>5</v>
      </c>
      <c r="G1402" s="22">
        <v>5</v>
      </c>
      <c r="H1402" s="22"/>
      <c r="I1402" s="23" t="s">
        <v>9</v>
      </c>
      <c r="J1402" s="23"/>
      <c r="K1402" s="22"/>
      <c r="L1402" s="22"/>
      <c r="M1402" s="23"/>
      <c r="N1402" s="23"/>
      <c r="O1402" s="26" t="s">
        <v>4207</v>
      </c>
      <c r="P1402" s="26"/>
      <c r="Q1402" s="22"/>
      <c r="R1402" s="24"/>
      <c r="S1402" s="24"/>
      <c r="T1402" s="24"/>
      <c r="U1402" s="24"/>
      <c r="V1402" s="24"/>
      <c r="W1402" s="22" t="s">
        <v>160</v>
      </c>
      <c r="X1402" s="4" t="str">
        <f>IF(Tabela2[[#This Row],[sigla]]="","",VLOOKUP(Tabela2[[#This Row],[sigla]],créditos_base!B:C,2,0))</f>
        <v>SERGIO LIMA/ARQUIVO DA EDITORA</v>
      </c>
      <c r="Y1402" s="23"/>
      <c r="Z1402" s="23" t="str">
        <f>Tabela2[[#This Row],[ilustrador]]</f>
        <v>SERGIO LIMA/ARQUIVO DA EDITORA</v>
      </c>
      <c r="AA1402" s="22"/>
      <c r="AB1402" s="20"/>
      <c r="AD1402" s="4" t="str">
        <f>"Pitanguá"</f>
        <v>Pitanguá</v>
      </c>
      <c r="AE1402" s="14" t="str">
        <f>"Matemática"</f>
        <v>Matemática</v>
      </c>
      <c r="AF1402" s="14"/>
    </row>
    <row r="1403" spans="1:32" ht="43.2" x14ac:dyDescent="0.3">
      <c r="A1403" s="23" t="s">
        <v>4208</v>
      </c>
      <c r="B1403" s="20" t="s">
        <v>522</v>
      </c>
      <c r="C1403" s="20" t="s">
        <v>89</v>
      </c>
      <c r="D1403" s="20" t="s">
        <v>8</v>
      </c>
      <c r="E1403" s="22">
        <v>140</v>
      </c>
      <c r="F1403" s="22">
        <v>5</v>
      </c>
      <c r="G1403" s="22">
        <v>5</v>
      </c>
      <c r="H1403" s="22"/>
      <c r="I1403" s="23" t="s">
        <v>33</v>
      </c>
      <c r="J1403" s="23"/>
      <c r="K1403" s="22"/>
      <c r="L1403" s="22"/>
      <c r="M1403" s="23"/>
      <c r="N1403" s="23"/>
      <c r="O1403" s="26" t="s">
        <v>4209</v>
      </c>
      <c r="P1403" s="26"/>
      <c r="Q1403" s="22">
        <v>205</v>
      </c>
      <c r="R1403" s="24">
        <v>45925</v>
      </c>
      <c r="S1403" s="24">
        <v>45925</v>
      </c>
      <c r="T1403" s="24"/>
      <c r="U1403" s="24"/>
      <c r="V1403" s="24">
        <v>45925</v>
      </c>
      <c r="W1403" s="22" t="s">
        <v>160</v>
      </c>
      <c r="X1403" s="4" t="str">
        <f>IF(Tabela2[[#This Row],[sigla]]="","",VLOOKUP(Tabela2[[#This Row],[sigla]],créditos_base!B:C,2,0))</f>
        <v>SERGIO LIMA/ARQUIVO DA EDITORA</v>
      </c>
      <c r="Y1403" s="23" t="s">
        <v>188</v>
      </c>
      <c r="Z1403" s="23" t="str">
        <f>Tabela2[[#This Row],[ilustrador]]</f>
        <v>SERGIO LIMA/ARQUIVO DA EDITORA</v>
      </c>
      <c r="AA1403" s="22">
        <v>13</v>
      </c>
      <c r="AB1403" s="20" t="s">
        <v>41</v>
      </c>
      <c r="AD1403" s="4" t="str">
        <f>"Pitanguá"</f>
        <v>Pitanguá</v>
      </c>
      <c r="AE1403" s="14" t="str">
        <f>"Matemática"</f>
        <v>Matemática</v>
      </c>
      <c r="AF1403" s="14"/>
    </row>
    <row r="1404" spans="1:32" ht="57.6" x14ac:dyDescent="0.3">
      <c r="A1404" s="23" t="s">
        <v>4210</v>
      </c>
      <c r="B1404" s="20" t="s">
        <v>16</v>
      </c>
      <c r="C1404" s="20" t="s">
        <v>89</v>
      </c>
      <c r="D1404" s="20" t="s">
        <v>8</v>
      </c>
      <c r="E1404" s="22">
        <v>141</v>
      </c>
      <c r="F1404" s="22">
        <v>5</v>
      </c>
      <c r="G1404" s="22">
        <v>5</v>
      </c>
      <c r="H1404" s="22"/>
      <c r="I1404" s="23" t="s">
        <v>33</v>
      </c>
      <c r="J1404" s="23"/>
      <c r="K1404" s="22"/>
      <c r="L1404" s="22"/>
      <c r="M1404" s="23"/>
      <c r="N1404" s="23"/>
      <c r="O1404" s="26" t="s">
        <v>4211</v>
      </c>
      <c r="P1404" s="26"/>
      <c r="Q1404" s="22">
        <v>59</v>
      </c>
      <c r="R1404" s="24">
        <v>45806</v>
      </c>
      <c r="S1404" s="24">
        <v>45810</v>
      </c>
      <c r="T1404" s="24"/>
      <c r="U1404" s="24"/>
      <c r="V1404" s="24">
        <v>45810</v>
      </c>
      <c r="W1404" s="22" t="s">
        <v>3382</v>
      </c>
      <c r="X1404" s="4" t="str">
        <f>IF(Tabela2[[#This Row],[sigla]]="","",VLOOKUP(Tabela2[[#This Row],[sigla]],créditos_base!B:C,2,0))</f>
        <v>LEONARDO MARI/ARQUIVO DA EDITORA</v>
      </c>
      <c r="Y1404" s="23" t="s">
        <v>1503</v>
      </c>
      <c r="Z1404" s="23" t="str">
        <f>Tabela2[[#This Row],[ilustrador]]</f>
        <v>LEONARDO MARI/ARQUIVO DA EDITORA</v>
      </c>
      <c r="AA1404" s="22"/>
      <c r="AB1404" s="20" t="s">
        <v>41</v>
      </c>
      <c r="AC1404" s="20" t="s">
        <v>36</v>
      </c>
      <c r="AD1404" s="4" t="str">
        <f>"Pitanguá"</f>
        <v>Pitanguá</v>
      </c>
      <c r="AE1404" s="14" t="str">
        <f>"Matemática"</f>
        <v>Matemática</v>
      </c>
      <c r="AF1404" s="14"/>
    </row>
    <row r="1405" spans="1:32" x14ac:dyDescent="0.3">
      <c r="A1405" s="23" t="s">
        <v>4212</v>
      </c>
      <c r="B1405" s="20" t="s">
        <v>522</v>
      </c>
      <c r="C1405" s="20" t="s">
        <v>89</v>
      </c>
      <c r="D1405" s="20" t="s">
        <v>8</v>
      </c>
      <c r="E1405" s="22">
        <v>141</v>
      </c>
      <c r="F1405" s="22">
        <v>5</v>
      </c>
      <c r="G1405" s="22">
        <v>5</v>
      </c>
      <c r="H1405" s="22"/>
      <c r="I1405" s="23" t="s">
        <v>33</v>
      </c>
      <c r="J1405" s="23"/>
      <c r="K1405" s="22"/>
      <c r="L1405" s="22"/>
      <c r="M1405" s="23"/>
      <c r="N1405" s="23"/>
      <c r="O1405" s="26" t="s">
        <v>4213</v>
      </c>
      <c r="P1405" s="26"/>
      <c r="Q1405" s="22">
        <v>205</v>
      </c>
      <c r="R1405" s="24">
        <v>45925</v>
      </c>
      <c r="S1405" s="24">
        <v>45925</v>
      </c>
      <c r="T1405" s="24"/>
      <c r="U1405" s="24"/>
      <c r="V1405" s="24">
        <v>45925</v>
      </c>
      <c r="W1405" s="22" t="s">
        <v>3382</v>
      </c>
      <c r="X1405" s="4" t="str">
        <f>IF(Tabela2[[#This Row],[sigla]]="","",VLOOKUP(Tabela2[[#This Row],[sigla]],créditos_base!B:C,2,0))</f>
        <v>LEONARDO MARI/ARQUIVO DA EDITORA</v>
      </c>
      <c r="Y1405" s="23" t="s">
        <v>188</v>
      </c>
      <c r="Z1405" s="23" t="str">
        <f>Tabela2[[#This Row],[ilustrador]]</f>
        <v>LEONARDO MARI/ARQUIVO DA EDITORA</v>
      </c>
      <c r="AA1405" s="22">
        <v>13</v>
      </c>
      <c r="AB1405" s="20" t="s">
        <v>41</v>
      </c>
      <c r="AD1405" s="4" t="str">
        <f>"Pitanguá"</f>
        <v>Pitanguá</v>
      </c>
      <c r="AE1405" s="14" t="str">
        <f>"Matemática"</f>
        <v>Matemática</v>
      </c>
      <c r="AF1405" s="14"/>
    </row>
    <row r="1406" spans="1:32" x14ac:dyDescent="0.3">
      <c r="A1406" s="23" t="s">
        <v>4214</v>
      </c>
      <c r="B1406" s="20" t="s">
        <v>16</v>
      </c>
      <c r="C1406" s="20" t="s">
        <v>89</v>
      </c>
      <c r="D1406" s="20" t="s">
        <v>8</v>
      </c>
      <c r="E1406" s="22">
        <v>142</v>
      </c>
      <c r="F1406" s="22">
        <v>5</v>
      </c>
      <c r="G1406" s="22">
        <v>5</v>
      </c>
      <c r="H1406" s="22"/>
      <c r="I1406" s="23" t="s">
        <v>9</v>
      </c>
      <c r="J1406" s="23"/>
      <c r="K1406" s="22"/>
      <c r="L1406" s="22"/>
      <c r="M1406" s="23"/>
      <c r="N1406" s="23"/>
      <c r="O1406" s="26" t="s">
        <v>4215</v>
      </c>
      <c r="P1406" s="26"/>
      <c r="Q1406" s="22"/>
      <c r="R1406" s="24"/>
      <c r="S1406" s="24"/>
      <c r="T1406" s="24"/>
      <c r="U1406" s="24"/>
      <c r="V1406" s="24"/>
      <c r="W1406" s="22" t="s">
        <v>160</v>
      </c>
      <c r="X1406" s="4" t="str">
        <f>IF(Tabela2[[#This Row],[sigla]]="","",VLOOKUP(Tabela2[[#This Row],[sigla]],créditos_base!B:C,2,0))</f>
        <v>SERGIO LIMA/ARQUIVO DA EDITORA</v>
      </c>
      <c r="Y1406" s="23"/>
      <c r="Z1406" s="23" t="str">
        <f>Tabela2[[#This Row],[ilustrador]]</f>
        <v>SERGIO LIMA/ARQUIVO DA EDITORA</v>
      </c>
      <c r="AA1406" s="22"/>
      <c r="AB1406" s="20"/>
      <c r="AD1406" s="4" t="str">
        <f>"Pitanguá"</f>
        <v>Pitanguá</v>
      </c>
      <c r="AE1406" s="14" t="str">
        <f>"Matemática"</f>
        <v>Matemática</v>
      </c>
      <c r="AF1406" s="14"/>
    </row>
    <row r="1407" spans="1:32" ht="28.8" x14ac:dyDescent="0.3">
      <c r="A1407" s="23" t="s">
        <v>4216</v>
      </c>
      <c r="B1407" s="20" t="s">
        <v>16</v>
      </c>
      <c r="C1407" s="20" t="s">
        <v>89</v>
      </c>
      <c r="D1407" s="20" t="s">
        <v>8</v>
      </c>
      <c r="E1407" s="22">
        <v>142</v>
      </c>
      <c r="F1407" s="22">
        <v>5</v>
      </c>
      <c r="G1407" s="22">
        <v>5</v>
      </c>
      <c r="H1407" s="22"/>
      <c r="I1407" s="23" t="s">
        <v>9</v>
      </c>
      <c r="J1407" s="23"/>
      <c r="K1407" s="22"/>
      <c r="L1407" s="22"/>
      <c r="M1407" s="23"/>
      <c r="N1407" s="23"/>
      <c r="O1407" s="26" t="s">
        <v>4217</v>
      </c>
      <c r="P1407" s="26"/>
      <c r="Q1407" s="22"/>
      <c r="R1407" s="24"/>
      <c r="S1407" s="24"/>
      <c r="T1407" s="24"/>
      <c r="U1407" s="24"/>
      <c r="V1407" s="24"/>
      <c r="W1407" s="22" t="s">
        <v>160</v>
      </c>
      <c r="X1407" s="4" t="str">
        <f>IF(Tabela2[[#This Row],[sigla]]="","",VLOOKUP(Tabela2[[#This Row],[sigla]],créditos_base!B:C,2,0))</f>
        <v>SERGIO LIMA/ARQUIVO DA EDITORA</v>
      </c>
      <c r="Y1407" s="23"/>
      <c r="Z1407" s="23" t="str">
        <f>Tabela2[[#This Row],[ilustrador]]</f>
        <v>SERGIO LIMA/ARQUIVO DA EDITORA</v>
      </c>
      <c r="AA1407" s="22"/>
      <c r="AB1407" s="20"/>
      <c r="AD1407" s="4" t="str">
        <f>"Pitanguá"</f>
        <v>Pitanguá</v>
      </c>
      <c r="AE1407" s="14" t="str">
        <f>"Matemática"</f>
        <v>Matemática</v>
      </c>
      <c r="AF1407" s="14"/>
    </row>
    <row r="1408" spans="1:32" x14ac:dyDescent="0.3">
      <c r="A1408" s="23" t="s">
        <v>4218</v>
      </c>
      <c r="B1408" s="20" t="s">
        <v>6</v>
      </c>
      <c r="C1408" s="20" t="s">
        <v>89</v>
      </c>
      <c r="D1408" s="20" t="s">
        <v>8</v>
      </c>
      <c r="E1408" s="22">
        <v>181</v>
      </c>
      <c r="F1408" s="22">
        <v>5</v>
      </c>
      <c r="G1408" s="22">
        <v>5</v>
      </c>
      <c r="H1408" s="22"/>
      <c r="I1408" s="23" t="s">
        <v>9</v>
      </c>
      <c r="J1408" s="23"/>
      <c r="K1408" s="22"/>
      <c r="L1408" s="22"/>
      <c r="M1408" s="23"/>
      <c r="N1408" s="23"/>
      <c r="O1408" s="26" t="s">
        <v>4219</v>
      </c>
      <c r="P1408" s="26"/>
      <c r="Q1408" s="22"/>
      <c r="R1408" s="24"/>
      <c r="S1408" s="24"/>
      <c r="T1408" s="24"/>
      <c r="U1408" s="24"/>
      <c r="V1408" s="24"/>
      <c r="W1408" s="22" t="s">
        <v>160</v>
      </c>
      <c r="X1408" s="4" t="str">
        <f>IF(Tabela2[[#This Row],[sigla]]="","",VLOOKUP(Tabela2[[#This Row],[sigla]],créditos_base!B:C,2,0))</f>
        <v>SERGIO LIMA/ARQUIVO DA EDITORA</v>
      </c>
      <c r="Y1408" s="23"/>
      <c r="Z1408" s="23" t="str">
        <f>Tabela2[[#This Row],[ilustrador]]</f>
        <v>SERGIO LIMA/ARQUIVO DA EDITORA</v>
      </c>
      <c r="AA1408" s="22"/>
      <c r="AB1408" s="20"/>
      <c r="AD1408" s="4" t="str">
        <f>"Pitanguá"</f>
        <v>Pitanguá</v>
      </c>
      <c r="AE1408" s="14" t="str">
        <f>"Matemática"</f>
        <v>Matemática</v>
      </c>
      <c r="AF1408" s="14"/>
    </row>
    <row r="1409" spans="1:32" x14ac:dyDescent="0.3">
      <c r="A1409" s="23" t="s">
        <v>4220</v>
      </c>
      <c r="B1409" s="20" t="s">
        <v>6</v>
      </c>
      <c r="C1409" s="20" t="s">
        <v>89</v>
      </c>
      <c r="D1409" s="20" t="s">
        <v>8</v>
      </c>
      <c r="E1409" s="22">
        <v>181</v>
      </c>
      <c r="F1409" s="22">
        <v>5</v>
      </c>
      <c r="G1409" s="22">
        <v>5</v>
      </c>
      <c r="H1409" s="22"/>
      <c r="I1409" s="23" t="s">
        <v>9</v>
      </c>
      <c r="J1409" s="23"/>
      <c r="K1409" s="22"/>
      <c r="L1409" s="22"/>
      <c r="M1409" s="23"/>
      <c r="N1409" s="23"/>
      <c r="O1409" s="26" t="s">
        <v>4221</v>
      </c>
      <c r="P1409" s="26"/>
      <c r="Q1409" s="22"/>
      <c r="R1409" s="24"/>
      <c r="S1409" s="24"/>
      <c r="T1409" s="24"/>
      <c r="U1409" s="24"/>
      <c r="V1409" s="24"/>
      <c r="W1409" s="22" t="s">
        <v>160</v>
      </c>
      <c r="X1409" s="4" t="str">
        <f>IF(Tabela2[[#This Row],[sigla]]="","",VLOOKUP(Tabela2[[#This Row],[sigla]],créditos_base!B:C,2,0))</f>
        <v>SERGIO LIMA/ARQUIVO DA EDITORA</v>
      </c>
      <c r="Y1409" s="23"/>
      <c r="Z1409" s="23" t="str">
        <f>Tabela2[[#This Row],[ilustrador]]</f>
        <v>SERGIO LIMA/ARQUIVO DA EDITORA</v>
      </c>
      <c r="AA1409" s="22"/>
      <c r="AB1409" s="20"/>
      <c r="AD1409" s="4" t="str">
        <f>"Pitanguá"</f>
        <v>Pitanguá</v>
      </c>
      <c r="AE1409" s="14" t="str">
        <f>"Matemática"</f>
        <v>Matemática</v>
      </c>
      <c r="AF1409" s="14"/>
    </row>
    <row r="1410" spans="1:32" ht="28.8" x14ac:dyDescent="0.3">
      <c r="A1410" s="23" t="s">
        <v>4222</v>
      </c>
      <c r="B1410" s="20" t="s">
        <v>6</v>
      </c>
      <c r="C1410" s="20" t="s">
        <v>89</v>
      </c>
      <c r="D1410" s="20" t="s">
        <v>8</v>
      </c>
      <c r="E1410" s="22">
        <v>181</v>
      </c>
      <c r="F1410" s="22">
        <v>5</v>
      </c>
      <c r="G1410" s="22">
        <v>5</v>
      </c>
      <c r="H1410" s="22"/>
      <c r="I1410" s="23" t="s">
        <v>33</v>
      </c>
      <c r="J1410" s="23"/>
      <c r="K1410" s="22"/>
      <c r="L1410" s="22"/>
      <c r="M1410" s="23"/>
      <c r="N1410" s="23"/>
      <c r="O1410" s="26" t="s">
        <v>4223</v>
      </c>
      <c r="P1410" s="26"/>
      <c r="Q1410" s="22">
        <v>59</v>
      </c>
      <c r="R1410" s="24">
        <v>45806</v>
      </c>
      <c r="S1410" s="24">
        <v>45810</v>
      </c>
      <c r="T1410" s="24"/>
      <c r="U1410" s="24"/>
      <c r="V1410" s="24">
        <v>45810</v>
      </c>
      <c r="W1410" s="22" t="s">
        <v>160</v>
      </c>
      <c r="X1410" s="4" t="str">
        <f>IF(Tabela2[[#This Row],[sigla]]="","",VLOOKUP(Tabela2[[#This Row],[sigla]],créditos_base!B:C,2,0))</f>
        <v>SERGIO LIMA/ARQUIVO DA EDITORA</v>
      </c>
      <c r="Y1410" s="23" t="s">
        <v>1503</v>
      </c>
      <c r="Z1410" s="23" t="str">
        <f>Tabela2[[#This Row],[ilustrador]]</f>
        <v>SERGIO LIMA/ARQUIVO DA EDITORA</v>
      </c>
      <c r="AA1410" s="22"/>
      <c r="AB1410" s="20" t="s">
        <v>41</v>
      </c>
      <c r="AC1410" s="20" t="s">
        <v>36</v>
      </c>
      <c r="AD1410" s="4" t="str">
        <f>"Pitanguá"</f>
        <v>Pitanguá</v>
      </c>
      <c r="AE1410" s="14" t="str">
        <f>"Matemática"</f>
        <v>Matemática</v>
      </c>
      <c r="AF1410" s="14"/>
    </row>
    <row r="1411" spans="1:32" ht="43.2" x14ac:dyDescent="0.3">
      <c r="A1411" s="23" t="s">
        <v>5678</v>
      </c>
      <c r="B1411" s="20" t="s">
        <v>16</v>
      </c>
      <c r="C1411" s="20" t="s">
        <v>89</v>
      </c>
      <c r="D1411" s="20" t="s">
        <v>8</v>
      </c>
      <c r="E1411" s="22">
        <v>127</v>
      </c>
      <c r="F1411" s="22">
        <v>5</v>
      </c>
      <c r="G1411" s="22">
        <v>5</v>
      </c>
      <c r="H1411" s="22"/>
      <c r="I1411" s="23" t="s">
        <v>90</v>
      </c>
      <c r="J1411" s="23"/>
      <c r="K1411" s="22"/>
      <c r="L1411" s="22"/>
      <c r="M1411" s="23"/>
      <c r="N1411" s="23"/>
      <c r="O1411" s="26" t="s">
        <v>5679</v>
      </c>
      <c r="P1411" s="26"/>
      <c r="Q1411" s="22">
        <v>137</v>
      </c>
      <c r="R1411" s="24">
        <v>45867</v>
      </c>
      <c r="S1411" s="24">
        <v>45876</v>
      </c>
      <c r="T1411" s="24"/>
      <c r="U1411" s="24"/>
      <c r="V1411" s="24">
        <v>45876</v>
      </c>
      <c r="W1411" s="22" t="s">
        <v>752</v>
      </c>
      <c r="X1411" s="4" t="str">
        <f>IF(Tabela2[[#This Row],[sigla]]="","",VLOOKUP(Tabela2[[#This Row],[sigla]],créditos_base!B:C,2,0))</f>
        <v>FELIPE GRIGOLI/ARQUIVO DA EDITORA</v>
      </c>
      <c r="Y1411" s="23" t="s">
        <v>738</v>
      </c>
      <c r="Z1411" s="23" t="str">
        <f>Tabela2[[#This Row],[ilustrador]]</f>
        <v>FELIPE GRIGOLI/ARQUIVO DA EDITORA</v>
      </c>
      <c r="AA1411" s="22">
        <v>13</v>
      </c>
      <c r="AB1411" s="20" t="s">
        <v>5014</v>
      </c>
      <c r="AC1411" s="20" t="s">
        <v>36</v>
      </c>
      <c r="AD1411" s="4" t="str">
        <f>"Pitanguá"</f>
        <v>Pitanguá</v>
      </c>
      <c r="AE1411" s="14" t="str">
        <f>"Matemática"</f>
        <v>Matemática</v>
      </c>
      <c r="AF1411" s="14"/>
    </row>
    <row r="1412" spans="1:32" ht="43.2" x14ac:dyDescent="0.3">
      <c r="A1412" s="23" t="s">
        <v>5680</v>
      </c>
      <c r="B1412" s="20" t="s">
        <v>16</v>
      </c>
      <c r="C1412" s="20" t="s">
        <v>89</v>
      </c>
      <c r="D1412" s="20" t="s">
        <v>8</v>
      </c>
      <c r="E1412" s="22">
        <v>143</v>
      </c>
      <c r="F1412" s="22">
        <v>5</v>
      </c>
      <c r="G1412" s="22">
        <v>5</v>
      </c>
      <c r="H1412" s="22"/>
      <c r="I1412" s="23" t="s">
        <v>90</v>
      </c>
      <c r="J1412" s="23"/>
      <c r="K1412" s="22"/>
      <c r="L1412" s="22"/>
      <c r="M1412" s="23"/>
      <c r="N1412" s="23"/>
      <c r="O1412" s="20" t="s">
        <v>5681</v>
      </c>
      <c r="P1412" s="26"/>
      <c r="Q1412" s="22">
        <v>137</v>
      </c>
      <c r="R1412" s="24">
        <v>45867</v>
      </c>
      <c r="S1412" s="24">
        <v>45876</v>
      </c>
      <c r="T1412" s="24"/>
      <c r="U1412" s="24"/>
      <c r="V1412" s="24">
        <v>45876</v>
      </c>
      <c r="W1412" s="22" t="s">
        <v>752</v>
      </c>
      <c r="X1412" s="4" t="str">
        <f>IF(Tabela2[[#This Row],[sigla]]="","",VLOOKUP(Tabela2[[#This Row],[sigla]],créditos_base!B:C,2,0))</f>
        <v>FELIPE GRIGOLI/ARQUIVO DA EDITORA</v>
      </c>
      <c r="Y1412" s="23" t="s">
        <v>738</v>
      </c>
      <c r="Z1412" s="23" t="str">
        <f>Tabela2[[#This Row],[ilustrador]]</f>
        <v>FELIPE GRIGOLI/ARQUIVO DA EDITORA</v>
      </c>
      <c r="AA1412" s="22">
        <v>13</v>
      </c>
      <c r="AB1412" s="20" t="s">
        <v>5014</v>
      </c>
      <c r="AC1412" s="20" t="s">
        <v>36</v>
      </c>
      <c r="AD1412" s="4" t="str">
        <f>"Pitanguá"</f>
        <v>Pitanguá</v>
      </c>
      <c r="AE1412" s="14" t="str">
        <f>"Matemática"</f>
        <v>Matemática</v>
      </c>
      <c r="AF1412" s="14"/>
    </row>
    <row r="1413" spans="1:32" ht="28.8" x14ac:dyDescent="0.3">
      <c r="A1413" s="23" t="s">
        <v>5682</v>
      </c>
      <c r="B1413" s="20" t="s">
        <v>16</v>
      </c>
      <c r="C1413" s="20" t="s">
        <v>89</v>
      </c>
      <c r="D1413" s="20" t="s">
        <v>8</v>
      </c>
      <c r="E1413" s="22">
        <v>143</v>
      </c>
      <c r="F1413" s="22">
        <v>5</v>
      </c>
      <c r="G1413" s="22">
        <v>5</v>
      </c>
      <c r="H1413" s="22"/>
      <c r="I1413" s="23" t="s">
        <v>90</v>
      </c>
      <c r="J1413" s="23"/>
      <c r="K1413" s="22"/>
      <c r="L1413" s="22"/>
      <c r="M1413" s="23"/>
      <c r="N1413" s="23"/>
      <c r="O1413" s="20" t="s">
        <v>5683</v>
      </c>
      <c r="P1413" s="26"/>
      <c r="Q1413" s="22">
        <v>137</v>
      </c>
      <c r="R1413" s="24">
        <v>45867</v>
      </c>
      <c r="S1413" s="24">
        <v>45876</v>
      </c>
      <c r="T1413" s="24"/>
      <c r="U1413" s="24"/>
      <c r="V1413" s="24">
        <v>45876</v>
      </c>
      <c r="W1413" s="22" t="s">
        <v>752</v>
      </c>
      <c r="X1413" s="4" t="str">
        <f>IF(Tabela2[[#This Row],[sigla]]="","",VLOOKUP(Tabela2[[#This Row],[sigla]],créditos_base!B:C,2,0))</f>
        <v>FELIPE GRIGOLI/ARQUIVO DA EDITORA</v>
      </c>
      <c r="Y1413" s="23" t="s">
        <v>738</v>
      </c>
      <c r="Z1413" s="23" t="str">
        <f>Tabela2[[#This Row],[ilustrador]]</f>
        <v>FELIPE GRIGOLI/ARQUIVO DA EDITORA</v>
      </c>
      <c r="AA1413" s="22">
        <v>13</v>
      </c>
      <c r="AB1413" s="20" t="s">
        <v>5014</v>
      </c>
      <c r="AC1413" s="20" t="s">
        <v>36</v>
      </c>
      <c r="AD1413" s="4" t="str">
        <f>"Pitanguá"</f>
        <v>Pitanguá</v>
      </c>
      <c r="AE1413" s="14" t="str">
        <f>"Matemática"</f>
        <v>Matemática</v>
      </c>
      <c r="AF1413" s="14"/>
    </row>
    <row r="1414" spans="1:32" ht="28.8" x14ac:dyDescent="0.3">
      <c r="A1414" s="23" t="s">
        <v>5684</v>
      </c>
      <c r="B1414" s="20" t="s">
        <v>16</v>
      </c>
      <c r="C1414" s="20" t="s">
        <v>89</v>
      </c>
      <c r="D1414" s="20" t="s">
        <v>8</v>
      </c>
      <c r="E1414" s="22">
        <v>143</v>
      </c>
      <c r="F1414" s="22">
        <v>5</v>
      </c>
      <c r="G1414" s="22">
        <v>5</v>
      </c>
      <c r="H1414" s="22"/>
      <c r="I1414" s="23" t="s">
        <v>90</v>
      </c>
      <c r="J1414" s="23"/>
      <c r="K1414" s="22"/>
      <c r="L1414" s="22"/>
      <c r="M1414" s="23"/>
      <c r="N1414" s="23"/>
      <c r="O1414" s="20" t="s">
        <v>5685</v>
      </c>
      <c r="P1414" s="26"/>
      <c r="Q1414" s="22">
        <v>137</v>
      </c>
      <c r="R1414" s="24">
        <v>45867</v>
      </c>
      <c r="S1414" s="24">
        <v>45876</v>
      </c>
      <c r="T1414" s="24"/>
      <c r="U1414" s="24"/>
      <c r="V1414" s="24">
        <v>45876</v>
      </c>
      <c r="W1414" s="22" t="s">
        <v>752</v>
      </c>
      <c r="X1414" s="4" t="str">
        <f>IF(Tabela2[[#This Row],[sigla]]="","",VLOOKUP(Tabela2[[#This Row],[sigla]],créditos_base!B:C,2,0))</f>
        <v>FELIPE GRIGOLI/ARQUIVO DA EDITORA</v>
      </c>
      <c r="Y1414" s="23" t="s">
        <v>738</v>
      </c>
      <c r="Z1414" s="23" t="str">
        <f>Tabela2[[#This Row],[ilustrador]]</f>
        <v>FELIPE GRIGOLI/ARQUIVO DA EDITORA</v>
      </c>
      <c r="AA1414" s="22">
        <v>13</v>
      </c>
      <c r="AB1414" s="20" t="s">
        <v>5014</v>
      </c>
      <c r="AC1414" s="20" t="s">
        <v>36</v>
      </c>
      <c r="AD1414" s="4" t="str">
        <f>"Pitanguá"</f>
        <v>Pitanguá</v>
      </c>
      <c r="AE1414" s="14" t="str">
        <f>"Matemática"</f>
        <v>Matemática</v>
      </c>
      <c r="AF1414" s="14"/>
    </row>
    <row r="1415" spans="1:32" ht="43.2" x14ac:dyDescent="0.3">
      <c r="A1415" s="23" t="s">
        <v>5872</v>
      </c>
      <c r="B1415" s="20" t="s">
        <v>16</v>
      </c>
      <c r="C1415" s="20" t="s">
        <v>7</v>
      </c>
      <c r="D1415" s="20" t="s">
        <v>8</v>
      </c>
      <c r="E1415" s="22">
        <v>143</v>
      </c>
      <c r="F1415" s="22">
        <v>5</v>
      </c>
      <c r="G1415" s="22">
        <v>5</v>
      </c>
      <c r="H1415" s="22"/>
      <c r="I1415" s="23" t="s">
        <v>9</v>
      </c>
      <c r="J1415" s="23"/>
      <c r="K1415" s="22"/>
      <c r="L1415" s="22"/>
      <c r="M1415" s="23"/>
      <c r="N1415" s="23"/>
      <c r="O1415" s="26" t="s">
        <v>5873</v>
      </c>
      <c r="P1415" s="26"/>
      <c r="Q1415" s="22"/>
      <c r="R1415" s="24"/>
      <c r="S1415" s="24"/>
      <c r="T1415" s="24"/>
      <c r="U1415" s="24"/>
      <c r="V1415" s="24"/>
      <c r="W1415" s="22" t="s">
        <v>940</v>
      </c>
      <c r="X1415" s="4" t="str">
        <f>IF(Tabela2[[#This Row],[sigla]]="","",VLOOKUP(Tabela2[[#This Row],[sigla]],créditos_base!B:C,2,0))</f>
        <v>RONALDO LUCENA/ARQUIVO DA EDITORA</v>
      </c>
      <c r="Y1415" s="23"/>
      <c r="Z1415" s="23" t="str">
        <f>Tabela2[[#This Row],[ilustrador]]</f>
        <v>RONALDO LUCENA/ARQUIVO DA EDITORA</v>
      </c>
      <c r="AA1415" s="22"/>
      <c r="AB1415" s="20"/>
      <c r="AD1415" s="4" t="str">
        <f>"Pitanguá"</f>
        <v>Pitanguá</v>
      </c>
      <c r="AE1415" s="14" t="str">
        <f>"Matemática"</f>
        <v>Matemática</v>
      </c>
      <c r="AF1415" s="14"/>
    </row>
    <row r="1416" spans="1:32" ht="57.6" x14ac:dyDescent="0.3">
      <c r="A1416" s="23" t="s">
        <v>5664</v>
      </c>
      <c r="B1416" s="20" t="s">
        <v>16</v>
      </c>
      <c r="C1416" s="20" t="s">
        <v>7</v>
      </c>
      <c r="D1416" s="20" t="s">
        <v>8</v>
      </c>
      <c r="E1416" s="22">
        <v>92</v>
      </c>
      <c r="F1416" s="22">
        <v>5</v>
      </c>
      <c r="G1416" s="22">
        <v>4</v>
      </c>
      <c r="H1416" s="22"/>
      <c r="I1416" s="23" t="s">
        <v>90</v>
      </c>
      <c r="J1416" s="23"/>
      <c r="K1416" s="22"/>
      <c r="L1416" s="22"/>
      <c r="M1416" s="23"/>
      <c r="N1416" s="23"/>
      <c r="O1416" s="26" t="s">
        <v>5665</v>
      </c>
      <c r="P1416" s="26"/>
      <c r="Q1416" s="22">
        <v>136</v>
      </c>
      <c r="R1416" s="24">
        <v>45866</v>
      </c>
      <c r="S1416" s="24">
        <v>45877</v>
      </c>
      <c r="T1416" s="24"/>
      <c r="U1416" s="24"/>
      <c r="V1416" s="24">
        <v>45877</v>
      </c>
      <c r="W1416" s="22" t="s">
        <v>5666</v>
      </c>
      <c r="X1416" s="4" t="str">
        <f>IF(Tabela2[[#This Row],[sigla]]="","",VLOOKUP(Tabela2[[#This Row],[sigla]],créditos_base!B:C,2,0))</f>
        <v>VICTOR LEMOS/ARQUIVO DA EDITORA</v>
      </c>
      <c r="Y1416" s="23" t="s">
        <v>243</v>
      </c>
      <c r="Z1416" s="23" t="str">
        <f>Tabela2[[#This Row],[ilustrador]]</f>
        <v>VICTOR LEMOS/ARQUIVO DA EDITORA</v>
      </c>
      <c r="AA1416" s="22">
        <v>13</v>
      </c>
      <c r="AB1416" s="20" t="s">
        <v>244</v>
      </c>
      <c r="AC1416" s="20" t="s">
        <v>36</v>
      </c>
      <c r="AD1416" s="4" t="str">
        <f>"Pitanguá"</f>
        <v>Pitanguá</v>
      </c>
      <c r="AE1416" s="14" t="str">
        <f>"Matemática"</f>
        <v>Matemática</v>
      </c>
      <c r="AF1416" s="14"/>
    </row>
    <row r="1417" spans="1:32" ht="43.2" x14ac:dyDescent="0.3">
      <c r="A1417" s="23" t="s">
        <v>5667</v>
      </c>
      <c r="B1417" s="20" t="s">
        <v>16</v>
      </c>
      <c r="C1417" s="20" t="s">
        <v>7</v>
      </c>
      <c r="D1417" s="20" t="s">
        <v>8</v>
      </c>
      <c r="E1417" s="22">
        <v>93</v>
      </c>
      <c r="F1417" s="22">
        <v>5</v>
      </c>
      <c r="G1417" s="22">
        <v>4</v>
      </c>
      <c r="H1417" s="22"/>
      <c r="I1417" s="23" t="s">
        <v>90</v>
      </c>
      <c r="J1417" s="23"/>
      <c r="K1417" s="22"/>
      <c r="L1417" s="22"/>
      <c r="M1417" s="23"/>
      <c r="N1417" s="23"/>
      <c r="O1417" s="26" t="s">
        <v>5668</v>
      </c>
      <c r="P1417" s="26"/>
      <c r="Q1417" s="22">
        <v>136</v>
      </c>
      <c r="R1417" s="24">
        <v>45866</v>
      </c>
      <c r="S1417" s="24">
        <v>45877</v>
      </c>
      <c r="T1417" s="24"/>
      <c r="U1417" s="24"/>
      <c r="V1417" s="24">
        <v>45877</v>
      </c>
      <c r="W1417" s="22" t="s">
        <v>5666</v>
      </c>
      <c r="X1417" s="4" t="str">
        <f>IF(Tabela2[[#This Row],[sigla]]="","",VLOOKUP(Tabela2[[#This Row],[sigla]],créditos_base!B:C,2,0))</f>
        <v>VICTOR LEMOS/ARQUIVO DA EDITORA</v>
      </c>
      <c r="Y1417" s="23" t="s">
        <v>243</v>
      </c>
      <c r="Z1417" s="23" t="str">
        <f>Tabela2[[#This Row],[ilustrador]]</f>
        <v>VICTOR LEMOS/ARQUIVO DA EDITORA</v>
      </c>
      <c r="AA1417" s="22">
        <v>13</v>
      </c>
      <c r="AB1417" s="20" t="s">
        <v>244</v>
      </c>
      <c r="AC1417" s="20" t="s">
        <v>36</v>
      </c>
      <c r="AD1417" s="4" t="str">
        <f>"Pitanguá"</f>
        <v>Pitanguá</v>
      </c>
      <c r="AE1417" s="14" t="str">
        <f>"Matemática"</f>
        <v>Matemática</v>
      </c>
      <c r="AF1417" s="14"/>
    </row>
    <row r="1418" spans="1:32" ht="57.6" x14ac:dyDescent="0.3">
      <c r="A1418" s="23" t="s">
        <v>401</v>
      </c>
      <c r="B1418" s="20" t="s">
        <v>16</v>
      </c>
      <c r="C1418" s="20" t="s">
        <v>89</v>
      </c>
      <c r="D1418" s="20" t="s">
        <v>8</v>
      </c>
      <c r="E1418" s="22">
        <v>100</v>
      </c>
      <c r="F1418" s="22">
        <v>1</v>
      </c>
      <c r="G1418" s="22">
        <v>6</v>
      </c>
      <c r="H1418" s="22"/>
      <c r="I1418" s="23" t="s">
        <v>9</v>
      </c>
      <c r="J1418" s="23"/>
      <c r="K1418" s="22"/>
      <c r="L1418" s="22"/>
      <c r="M1418" s="23"/>
      <c r="N1418" s="23"/>
      <c r="O1418" s="26" t="s">
        <v>402</v>
      </c>
      <c r="P1418" s="26"/>
      <c r="Q1418" s="22"/>
      <c r="R1418" s="24"/>
      <c r="S1418" s="24"/>
      <c r="T1418" s="24"/>
      <c r="U1418" s="24"/>
      <c r="V1418" s="24"/>
      <c r="W1418" s="22" t="s">
        <v>230</v>
      </c>
      <c r="X1418" s="4" t="str">
        <f>IF(Tabela2[[#This Row],[sigla]]="","",VLOOKUP(Tabela2[[#This Row],[sigla]],créditos_base!B:C,2,0))</f>
        <v>RAFAEL L. GAION/ARQUIVO DA EDITORA</v>
      </c>
      <c r="Y1418" s="23"/>
      <c r="Z1418" s="23" t="str">
        <f>Tabela2[[#This Row],[ilustrador]]</f>
        <v>RAFAEL L. GAION/ARQUIVO DA EDITORA</v>
      </c>
      <c r="AA1418" s="22"/>
      <c r="AB1418" s="20"/>
      <c r="AD1418" s="4" t="str">
        <f>"Pitanguá"</f>
        <v>Pitanguá</v>
      </c>
      <c r="AE1418" s="14" t="str">
        <f>"Matemática"</f>
        <v>Matemática</v>
      </c>
      <c r="AF1418" s="14"/>
    </row>
    <row r="1419" spans="1:32" x14ac:dyDescent="0.3">
      <c r="A1419" s="30" t="s">
        <v>1533</v>
      </c>
      <c r="B1419" s="20" t="s">
        <v>16</v>
      </c>
      <c r="C1419" s="20" t="s">
        <v>89</v>
      </c>
      <c r="D1419" s="20" t="s">
        <v>8</v>
      </c>
      <c r="E1419" s="22">
        <v>92</v>
      </c>
      <c r="F1419" s="22">
        <v>2</v>
      </c>
      <c r="G1419" s="22">
        <v>6</v>
      </c>
      <c r="H1419" s="22"/>
      <c r="I1419" s="23" t="s">
        <v>9</v>
      </c>
      <c r="J1419" s="23"/>
      <c r="K1419" s="22"/>
      <c r="L1419" s="22"/>
      <c r="M1419" s="23"/>
      <c r="N1419" s="23"/>
      <c r="O1419" s="26" t="s">
        <v>1534</v>
      </c>
      <c r="P1419" s="26"/>
      <c r="Q1419" s="22"/>
      <c r="R1419" s="24"/>
      <c r="S1419" s="24"/>
      <c r="T1419" s="24"/>
      <c r="U1419" s="24"/>
      <c r="V1419" s="24"/>
      <c r="W1419" s="22" t="s">
        <v>468</v>
      </c>
      <c r="X1419" s="4" t="str">
        <f>IF(Tabela2[[#This Row],[sigla]]="","",VLOOKUP(Tabela2[[#This Row],[sigla]],créditos_base!B:C,2,0))</f>
        <v>VER DOCUMENTO DE ILS. TÉCNICAS</v>
      </c>
      <c r="Y1419" s="23"/>
      <c r="Z1419" s="23" t="s">
        <v>661</v>
      </c>
      <c r="AA1419" s="22"/>
      <c r="AB1419" s="20"/>
      <c r="AD1419" s="4" t="str">
        <f>"Pitanguá"</f>
        <v>Pitanguá</v>
      </c>
      <c r="AE1419" s="14" t="str">
        <f>"Matemática"</f>
        <v>Matemática</v>
      </c>
      <c r="AF1419" s="14"/>
    </row>
    <row r="1420" spans="1:32" x14ac:dyDescent="0.3">
      <c r="A1420" s="23" t="s">
        <v>2227</v>
      </c>
      <c r="B1420" s="20" t="s">
        <v>16</v>
      </c>
      <c r="C1420" s="20" t="s">
        <v>7</v>
      </c>
      <c r="D1420" s="20" t="s">
        <v>8</v>
      </c>
      <c r="E1420" s="22">
        <v>102</v>
      </c>
      <c r="F1420" s="22">
        <v>3</v>
      </c>
      <c r="G1420" s="22">
        <v>6</v>
      </c>
      <c r="H1420" s="22"/>
      <c r="I1420" s="23" t="s">
        <v>9</v>
      </c>
      <c r="J1420" s="23"/>
      <c r="K1420" s="22"/>
      <c r="L1420" s="22"/>
      <c r="M1420" s="23"/>
      <c r="N1420" s="23"/>
      <c r="O1420" s="26" t="s">
        <v>2228</v>
      </c>
      <c r="P1420" s="26"/>
      <c r="Q1420" s="22"/>
      <c r="R1420" s="24"/>
      <c r="S1420" s="24"/>
      <c r="T1420" s="24"/>
      <c r="U1420" s="24"/>
      <c r="V1420" s="24"/>
      <c r="W1420" s="22" t="s">
        <v>327</v>
      </c>
      <c r="X1420" s="4" t="str">
        <f>IF(Tabela2[[#This Row],[sigla]]="","",VLOOKUP(Tabela2[[#This Row],[sigla]],créditos_base!B:C,2,0))</f>
        <v>RAFAEL LAM/ARQUIVO DA EDITORA</v>
      </c>
      <c r="Y1420" s="23"/>
      <c r="Z1420" s="23" t="str">
        <f>Tabela2[[#This Row],[ilustrador]]</f>
        <v>RAFAEL LAM/ARQUIVO DA EDITORA</v>
      </c>
      <c r="AA1420" s="22"/>
      <c r="AB1420" s="20"/>
      <c r="AD1420" s="4" t="str">
        <f>"Pitanguá"</f>
        <v>Pitanguá</v>
      </c>
      <c r="AE1420" s="14" t="str">
        <f>"Matemática"</f>
        <v>Matemática</v>
      </c>
      <c r="AF1420" s="14"/>
    </row>
    <row r="1421" spans="1:32" x14ac:dyDescent="0.3">
      <c r="A1421" s="23" t="s">
        <v>4621</v>
      </c>
      <c r="B1421" s="20" t="s">
        <v>16</v>
      </c>
      <c r="C1421" s="20" t="s">
        <v>7</v>
      </c>
      <c r="D1421" s="20" t="s">
        <v>8</v>
      </c>
      <c r="E1421" s="22">
        <v>114</v>
      </c>
      <c r="F1421" s="22">
        <v>5</v>
      </c>
      <c r="G1421" s="22">
        <v>6</v>
      </c>
      <c r="H1421" s="22"/>
      <c r="I1421" s="23" t="s">
        <v>9</v>
      </c>
      <c r="J1421" s="23"/>
      <c r="K1421" s="22"/>
      <c r="L1421" s="22"/>
      <c r="M1421" s="23"/>
      <c r="N1421" s="23"/>
      <c r="O1421" s="26" t="s">
        <v>4622</v>
      </c>
      <c r="P1421" s="26"/>
      <c r="Q1421" s="22"/>
      <c r="R1421" s="24"/>
      <c r="S1421" s="24"/>
      <c r="T1421" s="24"/>
      <c r="U1421" s="24"/>
      <c r="V1421" s="24"/>
      <c r="W1421" s="22" t="s">
        <v>12</v>
      </c>
      <c r="X1421" s="4" t="str">
        <f>IF(Tabela2[[#This Row],[sigla]]="","",VLOOKUP(Tabela2[[#This Row],[sigla]],créditos_base!B:C,2,0))</f>
        <v>JORGE ZAIBA/ARQUIVO DA EDITORA</v>
      </c>
      <c r="Y1421" s="23"/>
      <c r="Z1421" s="23" t="str">
        <f>Tabela2[[#This Row],[ilustrador]]</f>
        <v>JORGE ZAIBA/ARQUIVO DA EDITORA</v>
      </c>
      <c r="AA1421" s="22"/>
      <c r="AB1421" s="20"/>
      <c r="AD1421" s="4" t="str">
        <f>"Pitanguá"</f>
        <v>Pitanguá</v>
      </c>
      <c r="AE1421" s="14" t="str">
        <f>"Matemática"</f>
        <v>Matemática</v>
      </c>
      <c r="AF1421" s="14"/>
    </row>
    <row r="1422" spans="1:32" x14ac:dyDescent="0.3">
      <c r="A1422" s="23" t="s">
        <v>403</v>
      </c>
      <c r="B1422" s="20" t="s">
        <v>16</v>
      </c>
      <c r="C1422" s="20" t="s">
        <v>89</v>
      </c>
      <c r="D1422" s="20" t="s">
        <v>8</v>
      </c>
      <c r="E1422" s="22">
        <v>100</v>
      </c>
      <c r="F1422" s="22">
        <v>1</v>
      </c>
      <c r="G1422" s="22">
        <v>6</v>
      </c>
      <c r="H1422" s="22"/>
      <c r="I1422" s="23" t="s">
        <v>33</v>
      </c>
      <c r="J1422" s="23"/>
      <c r="K1422" s="22"/>
      <c r="L1422" s="22"/>
      <c r="M1422" s="23"/>
      <c r="N1422" s="23"/>
      <c r="O1422" s="26" t="s">
        <v>404</v>
      </c>
      <c r="P1422" s="26"/>
      <c r="Q1422" s="22">
        <v>35</v>
      </c>
      <c r="R1422" s="24">
        <v>45771</v>
      </c>
      <c r="S1422" s="24">
        <v>45775</v>
      </c>
      <c r="T1422" s="24"/>
      <c r="U1422" s="24"/>
      <c r="V1422" s="24">
        <v>45777</v>
      </c>
      <c r="W1422" s="22" t="s">
        <v>230</v>
      </c>
      <c r="X1422" s="4" t="str">
        <f>IF(Tabela2[[#This Row],[sigla]]="","",VLOOKUP(Tabela2[[#This Row],[sigla]],créditos_base!B:C,2,0))</f>
        <v>RAFAEL L. GAION/ARQUIVO DA EDITORA</v>
      </c>
      <c r="Y1422" s="23" t="s">
        <v>188</v>
      </c>
      <c r="Z1422" s="23" t="str">
        <f>Tabela2[[#This Row],[ilustrador]]</f>
        <v>RAFAEL L. GAION/ARQUIVO DA EDITORA</v>
      </c>
      <c r="AA1422" s="22">
        <v>14</v>
      </c>
      <c r="AB1422" s="20" t="s">
        <v>153</v>
      </c>
      <c r="AC1422" s="20" t="s">
        <v>36</v>
      </c>
      <c r="AD1422" s="4" t="str">
        <f>"Pitanguá"</f>
        <v>Pitanguá</v>
      </c>
      <c r="AE1422" s="14" t="str">
        <f>"Matemática"</f>
        <v>Matemática</v>
      </c>
      <c r="AF1422" s="14"/>
    </row>
    <row r="1423" spans="1:32" ht="28.8" x14ac:dyDescent="0.3">
      <c r="A1423" s="23" t="s">
        <v>2229</v>
      </c>
      <c r="B1423" s="20" t="s">
        <v>16</v>
      </c>
      <c r="C1423" s="20" t="s">
        <v>7</v>
      </c>
      <c r="D1423" s="20" t="s">
        <v>8</v>
      </c>
      <c r="E1423" s="22">
        <v>103</v>
      </c>
      <c r="F1423" s="22">
        <v>3</v>
      </c>
      <c r="G1423" s="22">
        <v>6</v>
      </c>
      <c r="H1423" s="22"/>
      <c r="I1423" s="23" t="s">
        <v>9</v>
      </c>
      <c r="J1423" s="23"/>
      <c r="K1423" s="22"/>
      <c r="L1423" s="22"/>
      <c r="M1423" s="23"/>
      <c r="N1423" s="23"/>
      <c r="O1423" s="26" t="s">
        <v>2230</v>
      </c>
      <c r="P1423" s="26"/>
      <c r="Q1423" s="22"/>
      <c r="R1423" s="24"/>
      <c r="S1423" s="24"/>
      <c r="T1423" s="24"/>
      <c r="U1423" s="24"/>
      <c r="V1423" s="24"/>
      <c r="W1423" s="22" t="s">
        <v>546</v>
      </c>
      <c r="X1423" s="4" t="str">
        <f>IF(Tabela2[[#This Row],[sigla]]="","",VLOOKUP(Tabela2[[#This Row],[sigla]],créditos_base!B:C,2,0))</f>
        <v>GUILHERME ARANEGA/ARQUIVO DA EDITORA</v>
      </c>
      <c r="Y1423" s="23"/>
      <c r="Z1423" s="23" t="str">
        <f>Tabela2[[#This Row],[ilustrador]]</f>
        <v>GUILHERME ARANEGA/ARQUIVO DA EDITORA</v>
      </c>
      <c r="AA1423" s="22"/>
      <c r="AB1423" s="20"/>
      <c r="AD1423" s="4" t="str">
        <f>"Pitanguá"</f>
        <v>Pitanguá</v>
      </c>
      <c r="AE1423" s="14" t="str">
        <f>"Matemática"</f>
        <v>Matemática</v>
      </c>
      <c r="AF1423" s="14"/>
    </row>
    <row r="1424" spans="1:32" ht="57.6" x14ac:dyDescent="0.3">
      <c r="A1424" s="23" t="s">
        <v>4623</v>
      </c>
      <c r="B1424" s="20" t="s">
        <v>16</v>
      </c>
      <c r="C1424" s="20" t="s">
        <v>7</v>
      </c>
      <c r="D1424" s="20" t="s">
        <v>8</v>
      </c>
      <c r="E1424" s="22">
        <v>114</v>
      </c>
      <c r="F1424" s="22">
        <v>5</v>
      </c>
      <c r="G1424" s="22">
        <v>6</v>
      </c>
      <c r="H1424" s="22"/>
      <c r="I1424" s="23" t="s">
        <v>33</v>
      </c>
      <c r="J1424" s="23"/>
      <c r="K1424" s="22"/>
      <c r="L1424" s="22"/>
      <c r="M1424" s="23"/>
      <c r="N1424" s="23"/>
      <c r="O1424" s="26" t="s">
        <v>4624</v>
      </c>
      <c r="P1424" s="26"/>
      <c r="Q1424" s="22">
        <v>77</v>
      </c>
      <c r="R1424" s="24">
        <v>45819</v>
      </c>
      <c r="S1424" s="24">
        <v>45866</v>
      </c>
      <c r="T1424" s="24"/>
      <c r="U1424" s="24"/>
      <c r="V1424" s="24">
        <v>45868</v>
      </c>
      <c r="W1424" s="22" t="s">
        <v>12</v>
      </c>
      <c r="X1424" s="4" t="str">
        <f>IF(Tabela2[[#This Row],[sigla]]="","",VLOOKUP(Tabela2[[#This Row],[sigla]],créditos_base!B:C,2,0))</f>
        <v>JORGE ZAIBA/ARQUIVO DA EDITORA</v>
      </c>
      <c r="Y1424" s="23" t="s">
        <v>4625</v>
      </c>
      <c r="Z1424" s="23" t="str">
        <f>Tabela2[[#This Row],[ilustrador]]</f>
        <v>JORGE ZAIBA/ARQUIVO DA EDITORA</v>
      </c>
      <c r="AA1424" s="22">
        <v>14</v>
      </c>
      <c r="AB1424" s="20" t="s">
        <v>4626</v>
      </c>
      <c r="AC1424" s="20" t="s">
        <v>36</v>
      </c>
      <c r="AD1424" s="4" t="str">
        <f>"Pitanguá"</f>
        <v>Pitanguá</v>
      </c>
      <c r="AE1424" s="14" t="str">
        <f>"Matemática"</f>
        <v>Matemática</v>
      </c>
      <c r="AF1424" s="14"/>
    </row>
    <row r="1425" spans="1:32" ht="28.8" x14ac:dyDescent="0.3">
      <c r="A1425" s="23" t="s">
        <v>405</v>
      </c>
      <c r="B1425" s="20" t="s">
        <v>16</v>
      </c>
      <c r="C1425" s="20" t="s">
        <v>89</v>
      </c>
      <c r="D1425" s="20" t="s">
        <v>8</v>
      </c>
      <c r="E1425" s="22">
        <v>100</v>
      </c>
      <c r="F1425" s="22">
        <v>1</v>
      </c>
      <c r="G1425" s="22">
        <v>6</v>
      </c>
      <c r="H1425" s="22"/>
      <c r="I1425" s="23" t="s">
        <v>33</v>
      </c>
      <c r="J1425" s="23"/>
      <c r="K1425" s="22"/>
      <c r="L1425" s="22"/>
      <c r="M1425" s="23"/>
      <c r="N1425" s="23"/>
      <c r="O1425" s="26" t="s">
        <v>406</v>
      </c>
      <c r="P1425" s="26"/>
      <c r="Q1425" s="22">
        <v>35</v>
      </c>
      <c r="R1425" s="24">
        <v>45771</v>
      </c>
      <c r="S1425" s="24">
        <v>45775</v>
      </c>
      <c r="T1425" s="24"/>
      <c r="U1425" s="24"/>
      <c r="V1425" s="24">
        <v>45777</v>
      </c>
      <c r="W1425" s="22" t="s">
        <v>230</v>
      </c>
      <c r="X1425" s="4" t="str">
        <f>IF(Tabela2[[#This Row],[sigla]]="","",VLOOKUP(Tabela2[[#This Row],[sigla]],créditos_base!B:C,2,0))</f>
        <v>RAFAEL L. GAION/ARQUIVO DA EDITORA</v>
      </c>
      <c r="Y1425" s="23" t="s">
        <v>188</v>
      </c>
      <c r="Z1425" s="23" t="str">
        <f>Tabela2[[#This Row],[ilustrador]]</f>
        <v>RAFAEL L. GAION/ARQUIVO DA EDITORA</v>
      </c>
      <c r="AA1425" s="22">
        <v>14</v>
      </c>
      <c r="AB1425" s="20" t="s">
        <v>153</v>
      </c>
      <c r="AC1425" s="20" t="s">
        <v>36</v>
      </c>
      <c r="AD1425" s="4" t="str">
        <f>"Pitanguá"</f>
        <v>Pitanguá</v>
      </c>
      <c r="AE1425" s="14" t="str">
        <f>"Matemática"</f>
        <v>Matemática</v>
      </c>
      <c r="AF1425" s="14"/>
    </row>
    <row r="1426" spans="1:32" ht="28.8" x14ac:dyDescent="0.3">
      <c r="A1426" s="30" t="s">
        <v>1535</v>
      </c>
      <c r="B1426" s="20" t="s">
        <v>16</v>
      </c>
      <c r="C1426" s="20" t="s">
        <v>89</v>
      </c>
      <c r="D1426" s="20" t="s">
        <v>8</v>
      </c>
      <c r="E1426" s="22">
        <v>93</v>
      </c>
      <c r="F1426" s="22">
        <v>2</v>
      </c>
      <c r="G1426" s="22">
        <v>6</v>
      </c>
      <c r="H1426" s="22"/>
      <c r="I1426" s="23" t="s">
        <v>9</v>
      </c>
      <c r="J1426" s="23"/>
      <c r="K1426" s="22"/>
      <c r="L1426" s="22"/>
      <c r="M1426" s="23"/>
      <c r="N1426" s="23"/>
      <c r="O1426" s="26" t="s">
        <v>1536</v>
      </c>
      <c r="P1426" s="26"/>
      <c r="Q1426" s="22"/>
      <c r="R1426" s="24"/>
      <c r="S1426" s="24"/>
      <c r="T1426" s="24"/>
      <c r="U1426" s="24"/>
      <c r="V1426" s="24"/>
      <c r="W1426" s="22" t="s">
        <v>468</v>
      </c>
      <c r="X1426" s="4" t="str">
        <f>IF(Tabela2[[#This Row],[sigla]]="","",VLOOKUP(Tabela2[[#This Row],[sigla]],créditos_base!B:C,2,0))</f>
        <v>VER DOCUMENTO DE ILS. TÉCNICAS</v>
      </c>
      <c r="Y1426" s="23"/>
      <c r="Z1426" s="23" t="s">
        <v>661</v>
      </c>
      <c r="AA1426" s="22"/>
      <c r="AB1426" s="20"/>
      <c r="AD1426" s="4" t="str">
        <f>"Pitanguá"</f>
        <v>Pitanguá</v>
      </c>
      <c r="AE1426" s="14" t="str">
        <f>"Matemática"</f>
        <v>Matemática</v>
      </c>
      <c r="AF1426" s="14"/>
    </row>
    <row r="1427" spans="1:32" x14ac:dyDescent="0.3">
      <c r="A1427" s="23" t="s">
        <v>2231</v>
      </c>
      <c r="B1427" s="20" t="s">
        <v>16</v>
      </c>
      <c r="C1427" s="20" t="s">
        <v>7</v>
      </c>
      <c r="D1427" s="20" t="s">
        <v>8</v>
      </c>
      <c r="E1427" s="22">
        <v>103</v>
      </c>
      <c r="F1427" s="22">
        <v>3</v>
      </c>
      <c r="G1427" s="22">
        <v>6</v>
      </c>
      <c r="H1427" s="22"/>
      <c r="I1427" s="23" t="s">
        <v>9</v>
      </c>
      <c r="J1427" s="23"/>
      <c r="K1427" s="22"/>
      <c r="L1427" s="22"/>
      <c r="M1427" s="23"/>
      <c r="N1427" s="23"/>
      <c r="O1427" s="26" t="s">
        <v>2232</v>
      </c>
      <c r="P1427" s="26"/>
      <c r="Q1427" s="22"/>
      <c r="R1427" s="24"/>
      <c r="S1427" s="24"/>
      <c r="T1427" s="24"/>
      <c r="U1427" s="24"/>
      <c r="V1427" s="24"/>
      <c r="W1427" s="22" t="s">
        <v>327</v>
      </c>
      <c r="X1427" s="4" t="str">
        <f>IF(Tabela2[[#This Row],[sigla]]="","",VLOOKUP(Tabela2[[#This Row],[sigla]],créditos_base!B:C,2,0))</f>
        <v>RAFAEL LAM/ARQUIVO DA EDITORA</v>
      </c>
      <c r="Y1427" s="23"/>
      <c r="Z1427" s="23" t="str">
        <f>Tabela2[[#This Row],[ilustrador]]</f>
        <v>RAFAEL LAM/ARQUIVO DA EDITORA</v>
      </c>
      <c r="AA1427" s="22"/>
      <c r="AB1427" s="20"/>
      <c r="AD1427" s="4" t="str">
        <f>"Pitanguá"</f>
        <v>Pitanguá</v>
      </c>
      <c r="AE1427" s="14" t="str">
        <f>"Matemática"</f>
        <v>Matemática</v>
      </c>
      <c r="AF1427" s="14"/>
    </row>
    <row r="1428" spans="1:32" x14ac:dyDescent="0.3">
      <c r="A1428" s="23" t="s">
        <v>3224</v>
      </c>
      <c r="B1428" s="20" t="s">
        <v>16</v>
      </c>
      <c r="C1428" s="20" t="s">
        <v>89</v>
      </c>
      <c r="D1428" s="20" t="s">
        <v>8</v>
      </c>
      <c r="E1428" s="22">
        <v>159</v>
      </c>
      <c r="F1428" s="22">
        <v>4</v>
      </c>
      <c r="G1428" s="22">
        <v>6</v>
      </c>
      <c r="H1428" s="22"/>
      <c r="I1428" s="23" t="s">
        <v>33</v>
      </c>
      <c r="J1428" s="23"/>
      <c r="K1428" s="22"/>
      <c r="L1428" s="22"/>
      <c r="M1428" s="23"/>
      <c r="N1428" s="23"/>
      <c r="O1428" s="26" t="s">
        <v>3225</v>
      </c>
      <c r="P1428" s="26"/>
      <c r="Q1428" s="22">
        <v>135</v>
      </c>
      <c r="R1428" s="24">
        <v>45866</v>
      </c>
      <c r="S1428" s="24">
        <v>45867</v>
      </c>
      <c r="T1428" s="24"/>
      <c r="U1428" s="24"/>
      <c r="V1428" s="24">
        <v>45867</v>
      </c>
      <c r="W1428" s="22" t="s">
        <v>468</v>
      </c>
      <c r="X1428" s="4" t="str">
        <f>IF(Tabela2[[#This Row],[sigla]]="","",VLOOKUP(Tabela2[[#This Row],[sigla]],créditos_base!B:C,2,0))</f>
        <v>VER DOCUMENTO DE ILS. TÉCNICAS</v>
      </c>
      <c r="Y1428" s="23" t="s">
        <v>243</v>
      </c>
      <c r="Z1428" s="23" t="s">
        <v>3226</v>
      </c>
      <c r="AA1428" s="22">
        <v>13</v>
      </c>
      <c r="AB1428" s="20" t="s">
        <v>244</v>
      </c>
      <c r="AC1428" s="20" t="s">
        <v>36</v>
      </c>
      <c r="AD1428" s="4" t="str">
        <f>"Pitanguá"</f>
        <v>Pitanguá</v>
      </c>
      <c r="AE1428" s="14" t="str">
        <f>"Matemática"</f>
        <v>Matemática</v>
      </c>
      <c r="AF1428" s="14"/>
    </row>
    <row r="1429" spans="1:32" ht="28.8" x14ac:dyDescent="0.3">
      <c r="A1429" s="23" t="s">
        <v>4627</v>
      </c>
      <c r="B1429" s="20" t="s">
        <v>16</v>
      </c>
      <c r="C1429" s="20" t="s">
        <v>7</v>
      </c>
      <c r="D1429" s="20" t="s">
        <v>8</v>
      </c>
      <c r="E1429" s="22">
        <v>114</v>
      </c>
      <c r="F1429" s="22">
        <v>5</v>
      </c>
      <c r="G1429" s="22">
        <v>6</v>
      </c>
      <c r="H1429" s="22"/>
      <c r="I1429" s="23" t="s">
        <v>9</v>
      </c>
      <c r="J1429" s="23"/>
      <c r="K1429" s="22"/>
      <c r="L1429" s="22"/>
      <c r="M1429" s="23"/>
      <c r="N1429" s="23"/>
      <c r="O1429" s="26" t="s">
        <v>4628</v>
      </c>
      <c r="P1429" s="26"/>
      <c r="Q1429" s="22"/>
      <c r="R1429" s="24"/>
      <c r="S1429" s="24"/>
      <c r="T1429" s="24"/>
      <c r="U1429" s="24"/>
      <c r="V1429" s="24"/>
      <c r="W1429" s="22" t="s">
        <v>12</v>
      </c>
      <c r="X1429" s="4" t="str">
        <f>IF(Tabela2[[#This Row],[sigla]]="","",VLOOKUP(Tabela2[[#This Row],[sigla]],créditos_base!B:C,2,0))</f>
        <v>JORGE ZAIBA/ARQUIVO DA EDITORA</v>
      </c>
      <c r="Y1429" s="23"/>
      <c r="Z1429" s="23" t="str">
        <f>Tabela2[[#This Row],[ilustrador]]</f>
        <v>JORGE ZAIBA/ARQUIVO DA EDITORA</v>
      </c>
      <c r="AA1429" s="22"/>
      <c r="AB1429" s="20"/>
      <c r="AD1429" s="4" t="str">
        <f>"Pitanguá"</f>
        <v>Pitanguá</v>
      </c>
      <c r="AE1429" s="14" t="str">
        <f>"Matemática"</f>
        <v>Matemática</v>
      </c>
      <c r="AF1429" s="14"/>
    </row>
    <row r="1430" spans="1:32" x14ac:dyDescent="0.3">
      <c r="A1430" s="23" t="s">
        <v>407</v>
      </c>
      <c r="B1430" s="20" t="s">
        <v>16</v>
      </c>
      <c r="C1430" s="20" t="s">
        <v>89</v>
      </c>
      <c r="D1430" s="20" t="s">
        <v>8</v>
      </c>
      <c r="E1430" s="22">
        <v>100</v>
      </c>
      <c r="F1430" s="22">
        <v>1</v>
      </c>
      <c r="G1430" s="22">
        <v>6</v>
      </c>
      <c r="H1430" s="22"/>
      <c r="I1430" s="23" t="s">
        <v>33</v>
      </c>
      <c r="J1430" s="23"/>
      <c r="K1430" s="22"/>
      <c r="L1430" s="22"/>
      <c r="M1430" s="23"/>
      <c r="N1430" s="23"/>
      <c r="O1430" s="26" t="s">
        <v>408</v>
      </c>
      <c r="P1430" s="26"/>
      <c r="Q1430" s="22">
        <v>35</v>
      </c>
      <c r="R1430" s="24">
        <v>45771</v>
      </c>
      <c r="S1430" s="24">
        <v>45775</v>
      </c>
      <c r="T1430" s="24"/>
      <c r="U1430" s="24"/>
      <c r="V1430" s="24">
        <v>45777</v>
      </c>
      <c r="W1430" s="22" t="s">
        <v>230</v>
      </c>
      <c r="X1430" s="4" t="str">
        <f>IF(Tabela2[[#This Row],[sigla]]="","",VLOOKUP(Tabela2[[#This Row],[sigla]],créditos_base!B:C,2,0))</f>
        <v>RAFAEL L. GAION/ARQUIVO DA EDITORA</v>
      </c>
      <c r="Y1430" s="23" t="s">
        <v>188</v>
      </c>
      <c r="Z1430" s="23" t="str">
        <f>Tabela2[[#This Row],[ilustrador]]</f>
        <v>RAFAEL L. GAION/ARQUIVO DA EDITORA</v>
      </c>
      <c r="AA1430" s="22">
        <v>14</v>
      </c>
      <c r="AB1430" s="20" t="s">
        <v>153</v>
      </c>
      <c r="AC1430" s="20" t="s">
        <v>36</v>
      </c>
      <c r="AD1430" s="4" t="str">
        <f>"Pitanguá"</f>
        <v>Pitanguá</v>
      </c>
      <c r="AE1430" s="14" t="str">
        <f>"Matemática"</f>
        <v>Matemática</v>
      </c>
      <c r="AF1430" s="14"/>
    </row>
    <row r="1431" spans="1:32" x14ac:dyDescent="0.3">
      <c r="A1431" s="30" t="s">
        <v>1537</v>
      </c>
      <c r="B1431" s="20" t="s">
        <v>16</v>
      </c>
      <c r="C1431" s="20" t="s">
        <v>89</v>
      </c>
      <c r="D1431" s="20" t="s">
        <v>8</v>
      </c>
      <c r="E1431" s="22">
        <v>93</v>
      </c>
      <c r="F1431" s="22">
        <v>2</v>
      </c>
      <c r="G1431" s="22">
        <v>6</v>
      </c>
      <c r="H1431" s="22"/>
      <c r="I1431" s="23" t="s">
        <v>9</v>
      </c>
      <c r="J1431" s="23"/>
      <c r="K1431" s="22"/>
      <c r="L1431" s="22"/>
      <c r="M1431" s="23"/>
      <c r="N1431" s="23"/>
      <c r="O1431" s="26" t="s">
        <v>1538</v>
      </c>
      <c r="P1431" s="26"/>
      <c r="Q1431" s="22"/>
      <c r="R1431" s="24"/>
      <c r="S1431" s="24"/>
      <c r="T1431" s="24"/>
      <c r="U1431" s="24"/>
      <c r="V1431" s="24"/>
      <c r="W1431" s="22" t="s">
        <v>468</v>
      </c>
      <c r="X1431" s="4" t="str">
        <f>IF(Tabela2[[#This Row],[sigla]]="","",VLOOKUP(Tabela2[[#This Row],[sigla]],créditos_base!B:C,2,0))</f>
        <v>VER DOCUMENTO DE ILS. TÉCNICAS</v>
      </c>
      <c r="Y1431" s="23"/>
      <c r="Z1431" s="23" t="s">
        <v>661</v>
      </c>
      <c r="AA1431" s="22"/>
      <c r="AB1431" s="20"/>
      <c r="AD1431" s="4" t="str">
        <f>"Pitanguá"</f>
        <v>Pitanguá</v>
      </c>
      <c r="AE1431" s="14" t="str">
        <f>"Matemática"</f>
        <v>Matemática</v>
      </c>
      <c r="AF1431" s="14"/>
    </row>
    <row r="1432" spans="1:32" x14ac:dyDescent="0.3">
      <c r="A1432" s="23" t="s">
        <v>2233</v>
      </c>
      <c r="B1432" s="20" t="s">
        <v>16</v>
      </c>
      <c r="C1432" s="20" t="s">
        <v>7</v>
      </c>
      <c r="D1432" s="20" t="s">
        <v>8</v>
      </c>
      <c r="E1432" s="22">
        <v>104</v>
      </c>
      <c r="F1432" s="22">
        <v>3</v>
      </c>
      <c r="G1432" s="22">
        <v>6</v>
      </c>
      <c r="H1432" s="22"/>
      <c r="I1432" s="23" t="s">
        <v>9</v>
      </c>
      <c r="J1432" s="23"/>
      <c r="K1432" s="22"/>
      <c r="L1432" s="22"/>
      <c r="M1432" s="23"/>
      <c r="N1432" s="23"/>
      <c r="O1432" s="26" t="s">
        <v>2234</v>
      </c>
      <c r="P1432" s="26"/>
      <c r="Q1432" s="22"/>
      <c r="R1432" s="24"/>
      <c r="S1432" s="24"/>
      <c r="T1432" s="24"/>
      <c r="U1432" s="24"/>
      <c r="V1432" s="24"/>
      <c r="W1432" s="22" t="s">
        <v>468</v>
      </c>
      <c r="X1432" s="4" t="str">
        <f>IF(Tabela2[[#This Row],[sigla]]="","",VLOOKUP(Tabela2[[#This Row],[sigla]],créditos_base!B:C,2,0))</f>
        <v>VER DOCUMENTO DE ILS. TÉCNICAS</v>
      </c>
      <c r="Y1432" s="23"/>
      <c r="Z1432" s="23" t="s">
        <v>686</v>
      </c>
      <c r="AA1432" s="22"/>
      <c r="AB1432" s="20"/>
      <c r="AD1432" s="4" t="str">
        <f>"Pitanguá"</f>
        <v>Pitanguá</v>
      </c>
      <c r="AE1432" s="14" t="str">
        <f>"Matemática"</f>
        <v>Matemática</v>
      </c>
      <c r="AF1432" s="14"/>
    </row>
    <row r="1433" spans="1:32" ht="28.8" x14ac:dyDescent="0.3">
      <c r="A1433" s="23" t="s">
        <v>3227</v>
      </c>
      <c r="B1433" s="20" t="s">
        <v>16</v>
      </c>
      <c r="C1433" s="20" t="s">
        <v>7</v>
      </c>
      <c r="D1433" s="20" t="s">
        <v>8</v>
      </c>
      <c r="E1433" s="22">
        <v>159</v>
      </c>
      <c r="F1433" s="22">
        <v>4</v>
      </c>
      <c r="G1433" s="22">
        <v>6</v>
      </c>
      <c r="H1433" s="22"/>
      <c r="I1433" s="23" t="s">
        <v>33</v>
      </c>
      <c r="J1433" s="23"/>
      <c r="K1433" s="22"/>
      <c r="L1433" s="22"/>
      <c r="M1433" s="23"/>
      <c r="N1433" s="23"/>
      <c r="O1433" s="26" t="s">
        <v>3228</v>
      </c>
      <c r="P1433" s="26"/>
      <c r="Q1433" s="22">
        <v>46</v>
      </c>
      <c r="R1433" s="24">
        <v>45796</v>
      </c>
      <c r="S1433" s="24">
        <v>45797</v>
      </c>
      <c r="T1433" s="24"/>
      <c r="U1433" s="24"/>
      <c r="V1433" s="24">
        <v>45797</v>
      </c>
      <c r="W1433" s="22" t="s">
        <v>460</v>
      </c>
      <c r="X1433" s="4" t="str">
        <f>IF(Tabela2[[#This Row],[sigla]]="","",VLOOKUP(Tabela2[[#This Row],[sigla]],créditos_base!B:C,2,0))</f>
        <v>CLAUDIA SOUZA/ARQUIVO DA EDITORA</v>
      </c>
      <c r="Y1433" s="23" t="s">
        <v>188</v>
      </c>
      <c r="Z1433" s="23" t="str">
        <f>Tabela2[[#This Row],[ilustrador]]</f>
        <v>CLAUDIA SOUZA/ARQUIVO DA EDITORA</v>
      </c>
      <c r="AA1433" s="22">
        <v>14</v>
      </c>
      <c r="AB1433" s="20" t="s">
        <v>153</v>
      </c>
      <c r="AC1433" s="20" t="s">
        <v>36</v>
      </c>
      <c r="AD1433" s="4" t="str">
        <f>"Pitanguá"</f>
        <v>Pitanguá</v>
      </c>
      <c r="AE1433" s="14" t="str">
        <f>"Matemática"</f>
        <v>Matemática</v>
      </c>
      <c r="AF1433" s="14"/>
    </row>
    <row r="1434" spans="1:32" x14ac:dyDescent="0.3">
      <c r="A1434" s="23" t="s">
        <v>4629</v>
      </c>
      <c r="B1434" s="20" t="s">
        <v>16</v>
      </c>
      <c r="C1434" s="20" t="s">
        <v>7</v>
      </c>
      <c r="D1434" s="20" t="s">
        <v>8</v>
      </c>
      <c r="E1434" s="22">
        <v>114</v>
      </c>
      <c r="F1434" s="22">
        <v>5</v>
      </c>
      <c r="G1434" s="22">
        <v>6</v>
      </c>
      <c r="H1434" s="22"/>
      <c r="I1434" s="23" t="s">
        <v>9</v>
      </c>
      <c r="J1434" s="23"/>
      <c r="K1434" s="22"/>
      <c r="L1434" s="22"/>
      <c r="M1434" s="23"/>
      <c r="N1434" s="23"/>
      <c r="O1434" s="26" t="s">
        <v>4630</v>
      </c>
      <c r="P1434" s="26"/>
      <c r="Q1434" s="22"/>
      <c r="R1434" s="24"/>
      <c r="S1434" s="24"/>
      <c r="T1434" s="24"/>
      <c r="U1434" s="24"/>
      <c r="V1434" s="24"/>
      <c r="W1434" s="22" t="s">
        <v>12</v>
      </c>
      <c r="X1434" s="4" t="str">
        <f>IF(Tabela2[[#This Row],[sigla]]="","",VLOOKUP(Tabela2[[#This Row],[sigla]],créditos_base!B:C,2,0))</f>
        <v>JORGE ZAIBA/ARQUIVO DA EDITORA</v>
      </c>
      <c r="Y1434" s="23"/>
      <c r="Z1434" s="23" t="str">
        <f>Tabela2[[#This Row],[ilustrador]]</f>
        <v>JORGE ZAIBA/ARQUIVO DA EDITORA</v>
      </c>
      <c r="AA1434" s="22"/>
      <c r="AB1434" s="20"/>
      <c r="AD1434" s="4" t="str">
        <f>"Pitanguá"</f>
        <v>Pitanguá</v>
      </c>
      <c r="AE1434" s="14" t="str">
        <f>"Matemática"</f>
        <v>Matemática</v>
      </c>
      <c r="AF1434" s="14"/>
    </row>
    <row r="1435" spans="1:32" ht="28.8" x14ac:dyDescent="0.3">
      <c r="A1435" s="23" t="s">
        <v>409</v>
      </c>
      <c r="B1435" s="20" t="s">
        <v>16</v>
      </c>
      <c r="C1435" s="20" t="s">
        <v>89</v>
      </c>
      <c r="D1435" s="20" t="s">
        <v>8</v>
      </c>
      <c r="E1435" s="22">
        <v>100</v>
      </c>
      <c r="F1435" s="22">
        <v>1</v>
      </c>
      <c r="G1435" s="22">
        <v>6</v>
      </c>
      <c r="H1435" s="22"/>
      <c r="I1435" s="23" t="s">
        <v>33</v>
      </c>
      <c r="J1435" s="23"/>
      <c r="K1435" s="22"/>
      <c r="L1435" s="22"/>
      <c r="M1435" s="23"/>
      <c r="N1435" s="23"/>
      <c r="O1435" s="26" t="s">
        <v>410</v>
      </c>
      <c r="P1435" s="26"/>
      <c r="Q1435" s="22">
        <v>35</v>
      </c>
      <c r="R1435" s="24">
        <v>45771</v>
      </c>
      <c r="S1435" s="24">
        <v>45775</v>
      </c>
      <c r="T1435" s="24"/>
      <c r="U1435" s="24"/>
      <c r="V1435" s="24">
        <v>45777</v>
      </c>
      <c r="W1435" s="22" t="s">
        <v>230</v>
      </c>
      <c r="X1435" s="4" t="str">
        <f>IF(Tabela2[[#This Row],[sigla]]="","",VLOOKUP(Tabela2[[#This Row],[sigla]],créditos_base!B:C,2,0))</f>
        <v>RAFAEL L. GAION/ARQUIVO DA EDITORA</v>
      </c>
      <c r="Y1435" s="23" t="s">
        <v>188</v>
      </c>
      <c r="Z1435" s="23" t="str">
        <f>Tabela2[[#This Row],[ilustrador]]</f>
        <v>RAFAEL L. GAION/ARQUIVO DA EDITORA</v>
      </c>
      <c r="AA1435" s="22">
        <v>14</v>
      </c>
      <c r="AB1435" s="20" t="s">
        <v>153</v>
      </c>
      <c r="AC1435" s="20" t="s">
        <v>36</v>
      </c>
      <c r="AD1435" s="4" t="str">
        <f>"Pitanguá"</f>
        <v>Pitanguá</v>
      </c>
      <c r="AE1435" s="14" t="str">
        <f>"Matemática"</f>
        <v>Matemática</v>
      </c>
      <c r="AF1435" s="14"/>
    </row>
    <row r="1436" spans="1:32" x14ac:dyDescent="0.3">
      <c r="A1436" s="30" t="s">
        <v>1539</v>
      </c>
      <c r="B1436" s="20" t="s">
        <v>16</v>
      </c>
      <c r="C1436" s="20" t="s">
        <v>89</v>
      </c>
      <c r="D1436" s="20" t="s">
        <v>8</v>
      </c>
      <c r="E1436" s="22">
        <v>94</v>
      </c>
      <c r="F1436" s="22">
        <v>2</v>
      </c>
      <c r="G1436" s="22">
        <v>6</v>
      </c>
      <c r="H1436" s="22"/>
      <c r="I1436" s="23" t="s">
        <v>9</v>
      </c>
      <c r="J1436" s="23"/>
      <c r="K1436" s="22"/>
      <c r="L1436" s="22"/>
      <c r="M1436" s="23"/>
      <c r="N1436" s="23"/>
      <c r="O1436" s="26" t="s">
        <v>1540</v>
      </c>
      <c r="P1436" s="26"/>
      <c r="Q1436" s="22"/>
      <c r="R1436" s="24"/>
      <c r="S1436" s="24"/>
      <c r="T1436" s="24"/>
      <c r="U1436" s="24"/>
      <c r="V1436" s="24"/>
      <c r="W1436" s="22" t="s">
        <v>468</v>
      </c>
      <c r="X1436" s="4" t="str">
        <f>IF(Tabela2[[#This Row],[sigla]]="","",VLOOKUP(Tabela2[[#This Row],[sigla]],créditos_base!B:C,2,0))</f>
        <v>VER DOCUMENTO DE ILS. TÉCNICAS</v>
      </c>
      <c r="Y1436" s="23"/>
      <c r="Z1436" s="23" t="s">
        <v>469</v>
      </c>
      <c r="AA1436" s="22"/>
      <c r="AB1436" s="20"/>
      <c r="AD1436" s="4" t="str">
        <f>"Pitanguá"</f>
        <v>Pitanguá</v>
      </c>
      <c r="AE1436" s="14" t="str">
        <f>"Matemática"</f>
        <v>Matemática</v>
      </c>
      <c r="AF1436" s="14"/>
    </row>
    <row r="1437" spans="1:32" ht="28.8" x14ac:dyDescent="0.3">
      <c r="A1437" s="23" t="s">
        <v>2235</v>
      </c>
      <c r="B1437" s="20" t="s">
        <v>16</v>
      </c>
      <c r="C1437" s="20" t="s">
        <v>7</v>
      </c>
      <c r="D1437" s="20" t="s">
        <v>8</v>
      </c>
      <c r="E1437" s="22">
        <v>104</v>
      </c>
      <c r="F1437" s="22">
        <v>3</v>
      </c>
      <c r="G1437" s="22">
        <v>6</v>
      </c>
      <c r="H1437" s="22"/>
      <c r="I1437" s="23" t="s">
        <v>9</v>
      </c>
      <c r="J1437" s="23"/>
      <c r="K1437" s="22"/>
      <c r="L1437" s="22"/>
      <c r="M1437" s="23"/>
      <c r="N1437" s="23"/>
      <c r="O1437" s="26" t="s">
        <v>2236</v>
      </c>
      <c r="P1437" s="26"/>
      <c r="Q1437" s="22"/>
      <c r="R1437" s="24"/>
      <c r="S1437" s="24"/>
      <c r="T1437" s="24"/>
      <c r="U1437" s="24"/>
      <c r="V1437" s="24"/>
      <c r="W1437" s="22" t="s">
        <v>468</v>
      </c>
      <c r="X1437" s="4" t="str">
        <f>IF(Tabela2[[#This Row],[sigla]]="","",VLOOKUP(Tabela2[[#This Row],[sigla]],créditos_base!B:C,2,0))</f>
        <v>VER DOCUMENTO DE ILS. TÉCNICAS</v>
      </c>
      <c r="Y1437" s="23"/>
      <c r="Z1437" s="23" t="s">
        <v>686</v>
      </c>
      <c r="AA1437" s="22"/>
      <c r="AB1437" s="20"/>
      <c r="AD1437" s="4" t="str">
        <f>"Pitanguá"</f>
        <v>Pitanguá</v>
      </c>
      <c r="AE1437" s="14" t="str">
        <f>"Matemática"</f>
        <v>Matemática</v>
      </c>
      <c r="AF1437" s="14"/>
    </row>
    <row r="1438" spans="1:32" ht="28.8" x14ac:dyDescent="0.3">
      <c r="A1438" s="23" t="s">
        <v>3229</v>
      </c>
      <c r="B1438" s="20" t="s">
        <v>16</v>
      </c>
      <c r="C1438" s="20" t="s">
        <v>89</v>
      </c>
      <c r="D1438" s="20" t="s">
        <v>8</v>
      </c>
      <c r="E1438" s="22">
        <v>160</v>
      </c>
      <c r="F1438" s="22">
        <v>4</v>
      </c>
      <c r="G1438" s="22">
        <v>6</v>
      </c>
      <c r="H1438" s="22"/>
      <c r="I1438" s="23" t="s">
        <v>9</v>
      </c>
      <c r="J1438" s="23"/>
      <c r="K1438" s="22"/>
      <c r="L1438" s="22"/>
      <c r="M1438" s="23"/>
      <c r="N1438" s="23"/>
      <c r="O1438" s="26" t="s">
        <v>3230</v>
      </c>
      <c r="P1438" s="26"/>
      <c r="Q1438" s="22"/>
      <c r="R1438" s="24"/>
      <c r="S1438" s="24"/>
      <c r="T1438" s="24"/>
      <c r="U1438" s="24"/>
      <c r="V1438" s="24"/>
      <c r="W1438" s="22" t="s">
        <v>940</v>
      </c>
      <c r="X1438" s="4" t="str">
        <f>IF(Tabela2[[#This Row],[sigla]]="","",VLOOKUP(Tabela2[[#This Row],[sigla]],créditos_base!B:C,2,0))</f>
        <v>RONALDO LUCENA/ARQUIVO DA EDITORA</v>
      </c>
      <c r="Y1438" s="23"/>
      <c r="Z1438" s="23" t="str">
        <f>Tabela2[[#This Row],[ilustrador]]</f>
        <v>RONALDO LUCENA/ARQUIVO DA EDITORA</v>
      </c>
      <c r="AA1438" s="22"/>
      <c r="AB1438" s="20"/>
      <c r="AD1438" s="4" t="str">
        <f>"Pitanguá"</f>
        <v>Pitanguá</v>
      </c>
      <c r="AE1438" s="14" t="str">
        <f>"Matemática"</f>
        <v>Matemática</v>
      </c>
      <c r="AF1438" s="14"/>
    </row>
    <row r="1439" spans="1:32" ht="28.8" x14ac:dyDescent="0.3">
      <c r="A1439" s="23" t="s">
        <v>4631</v>
      </c>
      <c r="B1439" s="20" t="s">
        <v>16</v>
      </c>
      <c r="C1439" s="20" t="s">
        <v>89</v>
      </c>
      <c r="D1439" s="20" t="s">
        <v>8</v>
      </c>
      <c r="E1439" s="22">
        <v>114</v>
      </c>
      <c r="F1439" s="22">
        <v>5</v>
      </c>
      <c r="G1439" s="22">
        <v>6</v>
      </c>
      <c r="H1439" s="22"/>
      <c r="I1439" s="23" t="s">
        <v>9</v>
      </c>
      <c r="J1439" s="23"/>
      <c r="K1439" s="22"/>
      <c r="L1439" s="22"/>
      <c r="M1439" s="23"/>
      <c r="N1439" s="23"/>
      <c r="O1439" s="26" t="s">
        <v>4632</v>
      </c>
      <c r="P1439" s="26"/>
      <c r="Q1439" s="22"/>
      <c r="R1439" s="24"/>
      <c r="S1439" s="24"/>
      <c r="T1439" s="24"/>
      <c r="U1439" s="24"/>
      <c r="V1439" s="24"/>
      <c r="W1439" s="22" t="s">
        <v>940</v>
      </c>
      <c r="X1439" s="4" t="str">
        <f>IF(Tabela2[[#This Row],[sigla]]="","",VLOOKUP(Tabela2[[#This Row],[sigla]],créditos_base!B:C,2,0))</f>
        <v>RONALDO LUCENA/ARQUIVO DA EDITORA</v>
      </c>
      <c r="Y1439" s="23"/>
      <c r="Z1439" s="23" t="str">
        <f>Tabela2[[#This Row],[ilustrador]]</f>
        <v>RONALDO LUCENA/ARQUIVO DA EDITORA</v>
      </c>
      <c r="AA1439" s="22"/>
      <c r="AB1439" s="20"/>
      <c r="AD1439" s="4" t="str">
        <f>"Pitanguá"</f>
        <v>Pitanguá</v>
      </c>
      <c r="AE1439" s="14" t="str">
        <f>"Matemática"</f>
        <v>Matemática</v>
      </c>
      <c r="AF1439" s="14"/>
    </row>
    <row r="1440" spans="1:32" ht="28.8" x14ac:dyDescent="0.3">
      <c r="A1440" s="23" t="s">
        <v>411</v>
      </c>
      <c r="B1440" s="20" t="s">
        <v>16</v>
      </c>
      <c r="C1440" s="20" t="s">
        <v>89</v>
      </c>
      <c r="D1440" s="20" t="s">
        <v>8</v>
      </c>
      <c r="E1440" s="22">
        <v>100</v>
      </c>
      <c r="F1440" s="22">
        <v>1</v>
      </c>
      <c r="G1440" s="22">
        <v>6</v>
      </c>
      <c r="H1440" s="22"/>
      <c r="I1440" s="23" t="s">
        <v>33</v>
      </c>
      <c r="J1440" s="23"/>
      <c r="K1440" s="22"/>
      <c r="L1440" s="22"/>
      <c r="M1440" s="23"/>
      <c r="N1440" s="23"/>
      <c r="O1440" s="26" t="s">
        <v>412</v>
      </c>
      <c r="P1440" s="26"/>
      <c r="Q1440" s="22">
        <v>35</v>
      </c>
      <c r="R1440" s="24">
        <v>45771</v>
      </c>
      <c r="S1440" s="24">
        <v>45775</v>
      </c>
      <c r="T1440" s="24"/>
      <c r="U1440" s="24"/>
      <c r="V1440" s="24">
        <v>45777</v>
      </c>
      <c r="W1440" s="22" t="s">
        <v>230</v>
      </c>
      <c r="X1440" s="4" t="str">
        <f>IF(Tabela2[[#This Row],[sigla]]="","",VLOOKUP(Tabela2[[#This Row],[sigla]],créditos_base!B:C,2,0))</f>
        <v>RAFAEL L. GAION/ARQUIVO DA EDITORA</v>
      </c>
      <c r="Y1440" s="23" t="s">
        <v>188</v>
      </c>
      <c r="Z1440" s="23" t="str">
        <f>Tabela2[[#This Row],[ilustrador]]</f>
        <v>RAFAEL L. GAION/ARQUIVO DA EDITORA</v>
      </c>
      <c r="AA1440" s="22">
        <v>14</v>
      </c>
      <c r="AB1440" s="20" t="s">
        <v>153</v>
      </c>
      <c r="AC1440" s="20" t="s">
        <v>36</v>
      </c>
      <c r="AD1440" s="4" t="str">
        <f>"Pitanguá"</f>
        <v>Pitanguá</v>
      </c>
      <c r="AE1440" s="14" t="str">
        <f>"Matemática"</f>
        <v>Matemática</v>
      </c>
      <c r="AF1440" s="14"/>
    </row>
    <row r="1441" spans="1:32" x14ac:dyDescent="0.3">
      <c r="A1441" s="30" t="s">
        <v>1541</v>
      </c>
      <c r="B1441" s="20" t="s">
        <v>16</v>
      </c>
      <c r="C1441" s="20" t="s">
        <v>89</v>
      </c>
      <c r="D1441" s="20" t="s">
        <v>8</v>
      </c>
      <c r="E1441" s="22">
        <v>94</v>
      </c>
      <c r="F1441" s="22">
        <v>2</v>
      </c>
      <c r="G1441" s="22">
        <v>6</v>
      </c>
      <c r="H1441" s="22"/>
      <c r="I1441" s="23" t="s">
        <v>9</v>
      </c>
      <c r="J1441" s="23"/>
      <c r="K1441" s="22"/>
      <c r="L1441" s="22"/>
      <c r="M1441" s="23"/>
      <c r="N1441" s="23"/>
      <c r="O1441" s="26" t="s">
        <v>1542</v>
      </c>
      <c r="P1441" s="26"/>
      <c r="Q1441" s="22"/>
      <c r="R1441" s="24"/>
      <c r="S1441" s="24"/>
      <c r="T1441" s="24"/>
      <c r="U1441" s="24"/>
      <c r="V1441" s="24"/>
      <c r="W1441" s="22" t="s">
        <v>468</v>
      </c>
      <c r="X1441" s="4" t="str">
        <f>IF(Tabela2[[#This Row],[sigla]]="","",VLOOKUP(Tabela2[[#This Row],[sigla]],créditos_base!B:C,2,0))</f>
        <v>VER DOCUMENTO DE ILS. TÉCNICAS</v>
      </c>
      <c r="Y1441" s="23"/>
      <c r="Z1441" s="23" t="s">
        <v>469</v>
      </c>
      <c r="AA1441" s="22"/>
      <c r="AB1441" s="20"/>
      <c r="AD1441" s="4" t="str">
        <f>"Pitanguá"</f>
        <v>Pitanguá</v>
      </c>
      <c r="AE1441" s="14" t="str">
        <f>"Matemática"</f>
        <v>Matemática</v>
      </c>
      <c r="AF1441" s="14"/>
    </row>
    <row r="1442" spans="1:32" x14ac:dyDescent="0.3">
      <c r="A1442" s="23" t="s">
        <v>3231</v>
      </c>
      <c r="B1442" s="20" t="s">
        <v>16</v>
      </c>
      <c r="C1442" s="20" t="s">
        <v>89</v>
      </c>
      <c r="D1442" s="20" t="s">
        <v>8</v>
      </c>
      <c r="E1442" s="22">
        <v>160</v>
      </c>
      <c r="F1442" s="22">
        <v>4</v>
      </c>
      <c r="G1442" s="22">
        <v>6</v>
      </c>
      <c r="H1442" s="22"/>
      <c r="I1442" s="23" t="s">
        <v>9</v>
      </c>
      <c r="J1442" s="23"/>
      <c r="K1442" s="22"/>
      <c r="L1442" s="22"/>
      <c r="M1442" s="23"/>
      <c r="N1442" s="23"/>
      <c r="O1442" s="20" t="s">
        <v>3232</v>
      </c>
      <c r="P1442" s="26"/>
      <c r="Q1442" s="22"/>
      <c r="R1442" s="24"/>
      <c r="S1442" s="24"/>
      <c r="T1442" s="24"/>
      <c r="U1442" s="24"/>
      <c r="V1442" s="24"/>
      <c r="W1442" s="22" t="s">
        <v>940</v>
      </c>
      <c r="X1442" s="4" t="str">
        <f>IF(Tabela2[[#This Row],[sigla]]="","",VLOOKUP(Tabela2[[#This Row],[sigla]],créditos_base!B:C,2,0))</f>
        <v>RONALDO LUCENA/ARQUIVO DA EDITORA</v>
      </c>
      <c r="Y1442" s="23"/>
      <c r="Z1442" s="23" t="str">
        <f>Tabela2[[#This Row],[ilustrador]]</f>
        <v>RONALDO LUCENA/ARQUIVO DA EDITORA</v>
      </c>
      <c r="AA1442" s="22"/>
      <c r="AB1442" s="20"/>
      <c r="AD1442" s="4" t="str">
        <f>"Pitanguá"</f>
        <v>Pitanguá</v>
      </c>
      <c r="AE1442" s="14" t="str">
        <f>"Matemática"</f>
        <v>Matemática</v>
      </c>
      <c r="AF1442" s="14"/>
    </row>
    <row r="1443" spans="1:32" x14ac:dyDescent="0.3">
      <c r="A1443" s="23" t="s">
        <v>4633</v>
      </c>
      <c r="B1443" s="20" t="s">
        <v>16</v>
      </c>
      <c r="C1443" s="20" t="s">
        <v>89</v>
      </c>
      <c r="D1443" s="20" t="s">
        <v>8</v>
      </c>
      <c r="E1443" s="22">
        <v>115</v>
      </c>
      <c r="F1443" s="22">
        <v>5</v>
      </c>
      <c r="G1443" s="22">
        <v>6</v>
      </c>
      <c r="H1443" s="22"/>
      <c r="I1443" s="23" t="s">
        <v>9</v>
      </c>
      <c r="J1443" s="23"/>
      <c r="K1443" s="22"/>
      <c r="L1443" s="22"/>
      <c r="M1443" s="23"/>
      <c r="N1443" s="23"/>
      <c r="O1443" s="26" t="s">
        <v>4634</v>
      </c>
      <c r="P1443" s="26"/>
      <c r="Q1443" s="22"/>
      <c r="R1443" s="24"/>
      <c r="S1443" s="24"/>
      <c r="T1443" s="24"/>
      <c r="U1443" s="24"/>
      <c r="V1443" s="24"/>
      <c r="W1443" s="22" t="s">
        <v>940</v>
      </c>
      <c r="X1443" s="4" t="str">
        <f>IF(Tabela2[[#This Row],[sigla]]="","",VLOOKUP(Tabela2[[#This Row],[sigla]],créditos_base!B:C,2,0))</f>
        <v>RONALDO LUCENA/ARQUIVO DA EDITORA</v>
      </c>
      <c r="Y1443" s="23"/>
      <c r="Z1443" s="23" t="str">
        <f>Tabela2[[#This Row],[ilustrador]]</f>
        <v>RONALDO LUCENA/ARQUIVO DA EDITORA</v>
      </c>
      <c r="AA1443" s="22"/>
      <c r="AB1443" s="20"/>
      <c r="AD1443" s="4" t="str">
        <f>"Pitanguá"</f>
        <v>Pitanguá</v>
      </c>
      <c r="AE1443" s="14" t="str">
        <f>"Matemática"</f>
        <v>Matemática</v>
      </c>
      <c r="AF1443" s="14"/>
    </row>
    <row r="1444" spans="1:32" x14ac:dyDescent="0.3">
      <c r="A1444" s="23" t="s">
        <v>413</v>
      </c>
      <c r="B1444" s="20" t="s">
        <v>16</v>
      </c>
      <c r="C1444" s="20" t="s">
        <v>89</v>
      </c>
      <c r="D1444" s="20" t="s">
        <v>8</v>
      </c>
      <c r="E1444" s="22">
        <v>100</v>
      </c>
      <c r="F1444" s="22">
        <v>1</v>
      </c>
      <c r="G1444" s="22">
        <v>6</v>
      </c>
      <c r="H1444" s="22"/>
      <c r="I1444" s="23" t="s">
        <v>33</v>
      </c>
      <c r="J1444" s="23"/>
      <c r="K1444" s="22"/>
      <c r="L1444" s="22"/>
      <c r="M1444" s="23"/>
      <c r="N1444" s="23"/>
      <c r="O1444" s="26" t="s">
        <v>414</v>
      </c>
      <c r="P1444" s="26"/>
      <c r="Q1444" s="22">
        <v>35</v>
      </c>
      <c r="R1444" s="24">
        <v>45771</v>
      </c>
      <c r="S1444" s="24">
        <v>45775</v>
      </c>
      <c r="T1444" s="24"/>
      <c r="U1444" s="24"/>
      <c r="V1444" s="24">
        <v>45777</v>
      </c>
      <c r="W1444" s="22" t="s">
        <v>230</v>
      </c>
      <c r="X1444" s="4" t="str">
        <f>IF(Tabela2[[#This Row],[sigla]]="","",VLOOKUP(Tabela2[[#This Row],[sigla]],créditos_base!B:C,2,0))</f>
        <v>RAFAEL L. GAION/ARQUIVO DA EDITORA</v>
      </c>
      <c r="Y1444" s="23" t="s">
        <v>188</v>
      </c>
      <c r="Z1444" s="23" t="str">
        <f>Tabela2[[#This Row],[ilustrador]]</f>
        <v>RAFAEL L. GAION/ARQUIVO DA EDITORA</v>
      </c>
      <c r="AA1444" s="22">
        <v>14</v>
      </c>
      <c r="AB1444" s="20" t="s">
        <v>153</v>
      </c>
      <c r="AC1444" s="20" t="s">
        <v>36</v>
      </c>
      <c r="AD1444" s="4" t="str">
        <f>"Pitanguá"</f>
        <v>Pitanguá</v>
      </c>
      <c r="AE1444" s="14" t="str">
        <f>"Matemática"</f>
        <v>Matemática</v>
      </c>
      <c r="AF1444" s="14"/>
    </row>
    <row r="1445" spans="1:32" x14ac:dyDescent="0.3">
      <c r="A1445" s="30" t="s">
        <v>1543</v>
      </c>
      <c r="B1445" s="20" t="s">
        <v>16</v>
      </c>
      <c r="C1445" s="20" t="s">
        <v>89</v>
      </c>
      <c r="D1445" s="20" t="s">
        <v>8</v>
      </c>
      <c r="E1445" s="22">
        <v>94</v>
      </c>
      <c r="F1445" s="22">
        <v>2</v>
      </c>
      <c r="G1445" s="22">
        <v>6</v>
      </c>
      <c r="H1445" s="22"/>
      <c r="I1445" s="23" t="s">
        <v>9</v>
      </c>
      <c r="J1445" s="23"/>
      <c r="K1445" s="22"/>
      <c r="L1445" s="22"/>
      <c r="M1445" s="23"/>
      <c r="N1445" s="23"/>
      <c r="O1445" s="26" t="s">
        <v>1544</v>
      </c>
      <c r="P1445" s="26"/>
      <c r="Q1445" s="22"/>
      <c r="R1445" s="24"/>
      <c r="S1445" s="24"/>
      <c r="T1445" s="24"/>
      <c r="U1445" s="24"/>
      <c r="V1445" s="24"/>
      <c r="W1445" s="22" t="s">
        <v>468</v>
      </c>
      <c r="X1445" s="4" t="str">
        <f>IF(Tabela2[[#This Row],[sigla]]="","",VLOOKUP(Tabela2[[#This Row],[sigla]],créditos_base!B:C,2,0))</f>
        <v>VER DOCUMENTO DE ILS. TÉCNICAS</v>
      </c>
      <c r="Y1445" s="23"/>
      <c r="Z1445" s="23" t="s">
        <v>469</v>
      </c>
      <c r="AA1445" s="22"/>
      <c r="AB1445" s="20"/>
      <c r="AD1445" s="4" t="str">
        <f>"Pitanguá"</f>
        <v>Pitanguá</v>
      </c>
      <c r="AE1445" s="14" t="str">
        <f>"Matemática"</f>
        <v>Matemática</v>
      </c>
      <c r="AF1445" s="14"/>
    </row>
    <row r="1446" spans="1:32" x14ac:dyDescent="0.3">
      <c r="A1446" s="23" t="s">
        <v>3233</v>
      </c>
      <c r="B1446" s="20" t="s">
        <v>16</v>
      </c>
      <c r="C1446" s="20" t="s">
        <v>7</v>
      </c>
      <c r="D1446" s="20" t="s">
        <v>8</v>
      </c>
      <c r="E1446" s="22">
        <v>160</v>
      </c>
      <c r="F1446" s="22">
        <v>4</v>
      </c>
      <c r="G1446" s="22">
        <v>6</v>
      </c>
      <c r="H1446" s="22"/>
      <c r="I1446" s="23" t="s">
        <v>9</v>
      </c>
      <c r="J1446" s="23"/>
      <c r="K1446" s="22"/>
      <c r="L1446" s="22"/>
      <c r="M1446" s="23"/>
      <c r="N1446" s="23"/>
      <c r="O1446" s="26" t="s">
        <v>3234</v>
      </c>
      <c r="P1446" s="26"/>
      <c r="Q1446" s="22"/>
      <c r="R1446" s="24"/>
      <c r="S1446" s="24"/>
      <c r="T1446" s="24"/>
      <c r="U1446" s="24"/>
      <c r="V1446" s="24"/>
      <c r="W1446" s="22" t="s">
        <v>806</v>
      </c>
      <c r="X1446" s="4" t="str">
        <f>IF(Tabela2[[#This Row],[sigla]]="","",VLOOKUP(Tabela2[[#This Row],[sigla]],créditos_base!B:C,2,0))</f>
        <v>MARCOS MACHADO/ARQUIVO DA EDITORA</v>
      </c>
      <c r="Y1446" s="23"/>
      <c r="Z1446" s="23" t="str">
        <f>Tabela2[[#This Row],[ilustrador]]</f>
        <v>MARCOS MACHADO/ARQUIVO DA EDITORA</v>
      </c>
      <c r="AA1446" s="22"/>
      <c r="AB1446" s="20"/>
      <c r="AD1446" s="4" t="str">
        <f>"Pitanguá"</f>
        <v>Pitanguá</v>
      </c>
      <c r="AE1446" s="14" t="str">
        <f>"Matemática"</f>
        <v>Matemática</v>
      </c>
      <c r="AF1446" s="14"/>
    </row>
    <row r="1447" spans="1:32" x14ac:dyDescent="0.3">
      <c r="A1447" s="23" t="s">
        <v>4635</v>
      </c>
      <c r="B1447" s="20" t="s">
        <v>16</v>
      </c>
      <c r="C1447" s="20" t="s">
        <v>89</v>
      </c>
      <c r="D1447" s="20" t="s">
        <v>8</v>
      </c>
      <c r="E1447" s="22">
        <v>115</v>
      </c>
      <c r="F1447" s="22">
        <v>5</v>
      </c>
      <c r="G1447" s="22">
        <v>6</v>
      </c>
      <c r="H1447" s="22"/>
      <c r="I1447" s="23" t="s">
        <v>9</v>
      </c>
      <c r="J1447" s="23"/>
      <c r="K1447" s="22"/>
      <c r="L1447" s="22"/>
      <c r="M1447" s="23"/>
      <c r="N1447" s="23"/>
      <c r="O1447" s="26" t="s">
        <v>4636</v>
      </c>
      <c r="P1447" s="26"/>
      <c r="Q1447" s="22"/>
      <c r="R1447" s="24"/>
      <c r="S1447" s="24"/>
      <c r="T1447" s="24"/>
      <c r="U1447" s="24"/>
      <c r="V1447" s="24"/>
      <c r="W1447" s="22" t="s">
        <v>940</v>
      </c>
      <c r="X1447" s="4" t="str">
        <f>IF(Tabela2[[#This Row],[sigla]]="","",VLOOKUP(Tabela2[[#This Row],[sigla]],créditos_base!B:C,2,0))</f>
        <v>RONALDO LUCENA/ARQUIVO DA EDITORA</v>
      </c>
      <c r="Y1447" s="23"/>
      <c r="Z1447" s="23" t="str">
        <f>Tabela2[[#This Row],[ilustrador]]</f>
        <v>RONALDO LUCENA/ARQUIVO DA EDITORA</v>
      </c>
      <c r="AA1447" s="22"/>
      <c r="AB1447" s="20"/>
      <c r="AD1447" s="4" t="str">
        <f>"Pitanguá"</f>
        <v>Pitanguá</v>
      </c>
      <c r="AE1447" s="14" t="str">
        <f>"Matemática"</f>
        <v>Matemática</v>
      </c>
      <c r="AF1447" s="14"/>
    </row>
    <row r="1448" spans="1:32" x14ac:dyDescent="0.3">
      <c r="A1448" s="23" t="s">
        <v>415</v>
      </c>
      <c r="B1448" s="20" t="s">
        <v>16</v>
      </c>
      <c r="C1448" s="20" t="s">
        <v>89</v>
      </c>
      <c r="D1448" s="20" t="s">
        <v>8</v>
      </c>
      <c r="E1448" s="22">
        <v>100</v>
      </c>
      <c r="F1448" s="22">
        <v>1</v>
      </c>
      <c r="G1448" s="22">
        <v>6</v>
      </c>
      <c r="H1448" s="22"/>
      <c r="I1448" s="23" t="s">
        <v>33</v>
      </c>
      <c r="J1448" s="23"/>
      <c r="K1448" s="22"/>
      <c r="L1448" s="22"/>
      <c r="M1448" s="23"/>
      <c r="N1448" s="23"/>
      <c r="O1448" s="26" t="s">
        <v>416</v>
      </c>
      <c r="P1448" s="26"/>
      <c r="Q1448" s="22">
        <v>35</v>
      </c>
      <c r="R1448" s="24">
        <v>45771</v>
      </c>
      <c r="S1448" s="24">
        <v>45775</v>
      </c>
      <c r="T1448" s="24"/>
      <c r="U1448" s="24"/>
      <c r="V1448" s="24">
        <v>45777</v>
      </c>
      <c r="W1448" s="22" t="s">
        <v>230</v>
      </c>
      <c r="X1448" s="4" t="str">
        <f>IF(Tabela2[[#This Row],[sigla]]="","",VLOOKUP(Tabela2[[#This Row],[sigla]],créditos_base!B:C,2,0))</f>
        <v>RAFAEL L. GAION/ARQUIVO DA EDITORA</v>
      </c>
      <c r="Y1448" s="23" t="s">
        <v>188</v>
      </c>
      <c r="Z1448" s="23" t="str">
        <f>Tabela2[[#This Row],[ilustrador]]</f>
        <v>RAFAEL L. GAION/ARQUIVO DA EDITORA</v>
      </c>
      <c r="AA1448" s="22">
        <v>14</v>
      </c>
      <c r="AB1448" s="20" t="s">
        <v>153</v>
      </c>
      <c r="AC1448" s="20" t="s">
        <v>36</v>
      </c>
      <c r="AD1448" s="4" t="str">
        <f>"Pitanguá"</f>
        <v>Pitanguá</v>
      </c>
      <c r="AE1448" s="14" t="str">
        <f>"Matemática"</f>
        <v>Matemática</v>
      </c>
      <c r="AF1448" s="14"/>
    </row>
    <row r="1449" spans="1:32" x14ac:dyDescent="0.3">
      <c r="A1449" s="30" t="s">
        <v>1545</v>
      </c>
      <c r="B1449" s="20" t="s">
        <v>16</v>
      </c>
      <c r="C1449" s="20" t="s">
        <v>89</v>
      </c>
      <c r="D1449" s="20" t="s">
        <v>8</v>
      </c>
      <c r="E1449" s="22">
        <v>94</v>
      </c>
      <c r="F1449" s="22">
        <v>2</v>
      </c>
      <c r="G1449" s="22">
        <v>6</v>
      </c>
      <c r="H1449" s="22"/>
      <c r="I1449" s="23" t="s">
        <v>9</v>
      </c>
      <c r="J1449" s="23"/>
      <c r="K1449" s="22"/>
      <c r="L1449" s="22"/>
      <c r="M1449" s="23"/>
      <c r="N1449" s="23"/>
      <c r="O1449" s="26" t="s">
        <v>1546</v>
      </c>
      <c r="P1449" s="26"/>
      <c r="Q1449" s="22"/>
      <c r="R1449" s="24"/>
      <c r="S1449" s="24"/>
      <c r="T1449" s="24"/>
      <c r="U1449" s="24"/>
      <c r="V1449" s="24"/>
      <c r="W1449" s="22" t="s">
        <v>468</v>
      </c>
      <c r="X1449" s="4" t="str">
        <f>IF(Tabela2[[#This Row],[sigla]]="","",VLOOKUP(Tabela2[[#This Row],[sigla]],créditos_base!B:C,2,0))</f>
        <v>VER DOCUMENTO DE ILS. TÉCNICAS</v>
      </c>
      <c r="Y1449" s="23"/>
      <c r="Z1449" s="23" t="s">
        <v>469</v>
      </c>
      <c r="AA1449" s="22"/>
      <c r="AB1449" s="20"/>
      <c r="AD1449" s="4" t="str">
        <f>"Pitanguá"</f>
        <v>Pitanguá</v>
      </c>
      <c r="AE1449" s="14" t="str">
        <f>"Matemática"</f>
        <v>Matemática</v>
      </c>
      <c r="AF1449" s="14"/>
    </row>
    <row r="1450" spans="1:32" x14ac:dyDescent="0.3">
      <c r="A1450" s="23" t="s">
        <v>3235</v>
      </c>
      <c r="B1450" s="20" t="s">
        <v>16</v>
      </c>
      <c r="C1450" s="20" t="s">
        <v>89</v>
      </c>
      <c r="D1450" s="20" t="s">
        <v>8</v>
      </c>
      <c r="E1450" s="22">
        <v>161</v>
      </c>
      <c r="F1450" s="22">
        <v>4</v>
      </c>
      <c r="G1450" s="22">
        <v>6</v>
      </c>
      <c r="H1450" s="22"/>
      <c r="I1450" s="23" t="s">
        <v>9</v>
      </c>
      <c r="J1450" s="23"/>
      <c r="K1450" s="22"/>
      <c r="L1450" s="22"/>
      <c r="M1450" s="23"/>
      <c r="N1450" s="23"/>
      <c r="O1450" s="26" t="s">
        <v>3236</v>
      </c>
      <c r="P1450" s="26"/>
      <c r="Q1450" s="22"/>
      <c r="R1450" s="24"/>
      <c r="S1450" s="24"/>
      <c r="T1450" s="24"/>
      <c r="U1450" s="24"/>
      <c r="V1450" s="24"/>
      <c r="W1450" s="22" t="s">
        <v>468</v>
      </c>
      <c r="X1450" s="4" t="str">
        <f>IF(Tabela2[[#This Row],[sigla]]="","",VLOOKUP(Tabela2[[#This Row],[sigla]],créditos_base!B:C,2,0))</f>
        <v>VER DOCUMENTO DE ILS. TÉCNICAS</v>
      </c>
      <c r="Y1450" s="23"/>
      <c r="Z1450" s="23" t="s">
        <v>686</v>
      </c>
      <c r="AA1450" s="22"/>
      <c r="AB1450" s="20"/>
      <c r="AD1450" s="4" t="str">
        <f>"Pitanguá"</f>
        <v>Pitanguá</v>
      </c>
      <c r="AE1450" s="14" t="str">
        <f>"Matemática"</f>
        <v>Matemática</v>
      </c>
      <c r="AF1450" s="14"/>
    </row>
    <row r="1451" spans="1:32" ht="28.8" x14ac:dyDescent="0.3">
      <c r="A1451" s="23" t="s">
        <v>4637</v>
      </c>
      <c r="B1451" s="20" t="s">
        <v>16</v>
      </c>
      <c r="C1451" s="20" t="s">
        <v>89</v>
      </c>
      <c r="D1451" s="20" t="s">
        <v>8</v>
      </c>
      <c r="E1451" s="22">
        <v>115</v>
      </c>
      <c r="F1451" s="22">
        <v>5</v>
      </c>
      <c r="G1451" s="22">
        <v>6</v>
      </c>
      <c r="H1451" s="22"/>
      <c r="I1451" s="23" t="s">
        <v>9</v>
      </c>
      <c r="J1451" s="23"/>
      <c r="K1451" s="22"/>
      <c r="L1451" s="22"/>
      <c r="M1451" s="23"/>
      <c r="N1451" s="23"/>
      <c r="O1451" s="26" t="s">
        <v>4638</v>
      </c>
      <c r="P1451" s="26"/>
      <c r="Q1451" s="22"/>
      <c r="R1451" s="24"/>
      <c r="S1451" s="24"/>
      <c r="T1451" s="24"/>
      <c r="U1451" s="24"/>
      <c r="V1451" s="24"/>
      <c r="W1451" s="22" t="s">
        <v>940</v>
      </c>
      <c r="X1451" s="4" t="str">
        <f>IF(Tabela2[[#This Row],[sigla]]="","",VLOOKUP(Tabela2[[#This Row],[sigla]],créditos_base!B:C,2,0))</f>
        <v>RONALDO LUCENA/ARQUIVO DA EDITORA</v>
      </c>
      <c r="Y1451" s="23"/>
      <c r="Z1451" s="23" t="str">
        <f>Tabela2[[#This Row],[ilustrador]]</f>
        <v>RONALDO LUCENA/ARQUIVO DA EDITORA</v>
      </c>
      <c r="AA1451" s="22"/>
      <c r="AB1451" s="20"/>
      <c r="AD1451" s="4" t="str">
        <f>"Pitanguá"</f>
        <v>Pitanguá</v>
      </c>
      <c r="AE1451" s="14" t="str">
        <f>"Matemática"</f>
        <v>Matemática</v>
      </c>
      <c r="AF1451" s="14"/>
    </row>
    <row r="1452" spans="1:32" ht="28.8" x14ac:dyDescent="0.3">
      <c r="A1452" s="23" t="s">
        <v>417</v>
      </c>
      <c r="B1452" s="20" t="s">
        <v>16</v>
      </c>
      <c r="C1452" s="20" t="s">
        <v>89</v>
      </c>
      <c r="D1452" s="20" t="s">
        <v>8</v>
      </c>
      <c r="E1452" s="22">
        <v>100</v>
      </c>
      <c r="F1452" s="22">
        <v>1</v>
      </c>
      <c r="G1452" s="22">
        <v>6</v>
      </c>
      <c r="H1452" s="22"/>
      <c r="I1452" s="23" t="s">
        <v>33</v>
      </c>
      <c r="J1452" s="23"/>
      <c r="K1452" s="22"/>
      <c r="L1452" s="22"/>
      <c r="M1452" s="23"/>
      <c r="N1452" s="23"/>
      <c r="O1452" s="26" t="s">
        <v>418</v>
      </c>
      <c r="P1452" s="26"/>
      <c r="Q1452" s="22">
        <v>35</v>
      </c>
      <c r="R1452" s="24">
        <v>45771</v>
      </c>
      <c r="S1452" s="24">
        <v>45775</v>
      </c>
      <c r="T1452" s="24"/>
      <c r="U1452" s="24"/>
      <c r="V1452" s="24">
        <v>45777</v>
      </c>
      <c r="W1452" s="22" t="s">
        <v>230</v>
      </c>
      <c r="X1452" s="4" t="str">
        <f>IF(Tabela2[[#This Row],[sigla]]="","",VLOOKUP(Tabela2[[#This Row],[sigla]],créditos_base!B:C,2,0))</f>
        <v>RAFAEL L. GAION/ARQUIVO DA EDITORA</v>
      </c>
      <c r="Y1452" s="23" t="s">
        <v>188</v>
      </c>
      <c r="Z1452" s="23" t="str">
        <f>Tabela2[[#This Row],[ilustrador]]</f>
        <v>RAFAEL L. GAION/ARQUIVO DA EDITORA</v>
      </c>
      <c r="AA1452" s="22">
        <v>14</v>
      </c>
      <c r="AB1452" s="20" t="s">
        <v>153</v>
      </c>
      <c r="AC1452" s="20" t="s">
        <v>36</v>
      </c>
      <c r="AD1452" s="4" t="str">
        <f>"Pitanguá"</f>
        <v>Pitanguá</v>
      </c>
      <c r="AE1452" s="14" t="str">
        <f>"Matemática"</f>
        <v>Matemática</v>
      </c>
      <c r="AF1452" s="14"/>
    </row>
    <row r="1453" spans="1:32" ht="28.8" x14ac:dyDescent="0.3">
      <c r="A1453" s="30" t="s">
        <v>1547</v>
      </c>
      <c r="B1453" s="20" t="s">
        <v>16</v>
      </c>
      <c r="C1453" s="20" t="s">
        <v>7</v>
      </c>
      <c r="D1453" s="20" t="s">
        <v>8</v>
      </c>
      <c r="E1453" s="22">
        <v>96</v>
      </c>
      <c r="F1453" s="22">
        <v>2</v>
      </c>
      <c r="G1453" s="22">
        <v>6</v>
      </c>
      <c r="H1453" s="22"/>
      <c r="I1453" s="23" t="s">
        <v>9</v>
      </c>
      <c r="J1453" s="23"/>
      <c r="K1453" s="22"/>
      <c r="L1453" s="22"/>
      <c r="M1453" s="23"/>
      <c r="N1453" s="23"/>
      <c r="O1453" s="26" t="s">
        <v>1548</v>
      </c>
      <c r="P1453" s="26"/>
      <c r="Q1453" s="22"/>
      <c r="R1453" s="24"/>
      <c r="S1453" s="24"/>
      <c r="T1453" s="24"/>
      <c r="U1453" s="24"/>
      <c r="V1453" s="24"/>
      <c r="W1453" s="22" t="s">
        <v>230</v>
      </c>
      <c r="X1453" s="4" t="str">
        <f>IF(Tabela2[[#This Row],[sigla]]="","",VLOOKUP(Tabela2[[#This Row],[sigla]],créditos_base!B:C,2,0))</f>
        <v>RAFAEL L. GAION/ARQUIVO DA EDITORA</v>
      </c>
      <c r="Y1453" s="23"/>
      <c r="Z1453" s="23" t="str">
        <f>Tabela2[[#This Row],[ilustrador]]</f>
        <v>RAFAEL L. GAION/ARQUIVO DA EDITORA</v>
      </c>
      <c r="AA1453" s="22"/>
      <c r="AB1453" s="20"/>
      <c r="AD1453" s="4" t="str">
        <f>"Pitanguá"</f>
        <v>Pitanguá</v>
      </c>
      <c r="AE1453" s="14" t="str">
        <f>"Matemática"</f>
        <v>Matemática</v>
      </c>
      <c r="AF1453" s="14"/>
    </row>
    <row r="1454" spans="1:32" ht="28.8" x14ac:dyDescent="0.3">
      <c r="A1454" s="23" t="s">
        <v>3237</v>
      </c>
      <c r="B1454" s="20" t="s">
        <v>16</v>
      </c>
      <c r="C1454" s="20" t="s">
        <v>89</v>
      </c>
      <c r="D1454" s="20" t="s">
        <v>8</v>
      </c>
      <c r="E1454" s="22">
        <v>161</v>
      </c>
      <c r="F1454" s="22">
        <v>4</v>
      </c>
      <c r="G1454" s="22">
        <v>6</v>
      </c>
      <c r="H1454" s="22"/>
      <c r="I1454" s="23" t="s">
        <v>33</v>
      </c>
      <c r="J1454" s="23"/>
      <c r="K1454" s="22"/>
      <c r="L1454" s="22"/>
      <c r="M1454" s="23"/>
      <c r="N1454" s="23"/>
      <c r="O1454" s="26" t="s">
        <v>3238</v>
      </c>
      <c r="P1454" s="26"/>
      <c r="Q1454" s="22">
        <v>46</v>
      </c>
      <c r="R1454" s="24">
        <v>45796</v>
      </c>
      <c r="S1454" s="24">
        <v>45797</v>
      </c>
      <c r="T1454" s="24"/>
      <c r="U1454" s="24"/>
      <c r="V1454" s="24">
        <v>45797</v>
      </c>
      <c r="W1454" s="22" t="s">
        <v>468</v>
      </c>
      <c r="X1454" s="4" t="str">
        <f>IF(Tabela2[[#This Row],[sigla]]="","",VLOOKUP(Tabela2[[#This Row],[sigla]],créditos_base!B:C,2,0))</f>
        <v>VER DOCUMENTO DE ILS. TÉCNICAS</v>
      </c>
      <c r="Y1454" s="23" t="s">
        <v>188</v>
      </c>
      <c r="Z1454" s="23" t="s">
        <v>686</v>
      </c>
      <c r="AA1454" s="22">
        <v>14</v>
      </c>
      <c r="AB1454" s="20" t="s">
        <v>153</v>
      </c>
      <c r="AC1454" s="20" t="s">
        <v>36</v>
      </c>
      <c r="AD1454" s="4" t="str">
        <f>"Pitanguá"</f>
        <v>Pitanguá</v>
      </c>
      <c r="AE1454" s="14" t="str">
        <f>"Matemática"</f>
        <v>Matemática</v>
      </c>
      <c r="AF1454" s="14"/>
    </row>
    <row r="1455" spans="1:32" ht="28.8" x14ac:dyDescent="0.3">
      <c r="A1455" s="23" t="s">
        <v>4639</v>
      </c>
      <c r="B1455" s="20" t="s">
        <v>16</v>
      </c>
      <c r="C1455" s="20" t="s">
        <v>89</v>
      </c>
      <c r="D1455" s="20" t="s">
        <v>8</v>
      </c>
      <c r="E1455" s="22">
        <v>115</v>
      </c>
      <c r="F1455" s="22">
        <v>5</v>
      </c>
      <c r="G1455" s="22">
        <v>6</v>
      </c>
      <c r="H1455" s="22"/>
      <c r="I1455" s="23" t="s">
        <v>9</v>
      </c>
      <c r="J1455" s="23"/>
      <c r="K1455" s="22"/>
      <c r="L1455" s="22"/>
      <c r="M1455" s="23"/>
      <c r="N1455" s="23"/>
      <c r="O1455" s="26" t="s">
        <v>4640</v>
      </c>
      <c r="P1455" s="26"/>
      <c r="Q1455" s="22"/>
      <c r="R1455" s="24"/>
      <c r="S1455" s="24"/>
      <c r="T1455" s="24"/>
      <c r="U1455" s="24"/>
      <c r="V1455" s="24"/>
      <c r="W1455" s="22" t="s">
        <v>940</v>
      </c>
      <c r="X1455" s="4" t="str">
        <f>IF(Tabela2[[#This Row],[sigla]]="","",VLOOKUP(Tabela2[[#This Row],[sigla]],créditos_base!B:C,2,0))</f>
        <v>RONALDO LUCENA/ARQUIVO DA EDITORA</v>
      </c>
      <c r="Y1455" s="23"/>
      <c r="Z1455" s="23" t="str">
        <f>Tabela2[[#This Row],[ilustrador]]</f>
        <v>RONALDO LUCENA/ARQUIVO DA EDITORA</v>
      </c>
      <c r="AA1455" s="22"/>
      <c r="AB1455" s="20"/>
      <c r="AD1455" s="4" t="str">
        <f>"Pitanguá"</f>
        <v>Pitanguá</v>
      </c>
      <c r="AE1455" s="14" t="str">
        <f>"Matemática"</f>
        <v>Matemática</v>
      </c>
      <c r="AF1455" s="14"/>
    </row>
    <row r="1456" spans="1:32" x14ac:dyDescent="0.3">
      <c r="A1456" s="23" t="s">
        <v>419</v>
      </c>
      <c r="B1456" s="20" t="s">
        <v>16</v>
      </c>
      <c r="C1456" s="20" t="s">
        <v>89</v>
      </c>
      <c r="D1456" s="20" t="s">
        <v>8</v>
      </c>
      <c r="E1456" s="22">
        <v>100</v>
      </c>
      <c r="F1456" s="22">
        <v>1</v>
      </c>
      <c r="G1456" s="22">
        <v>6</v>
      </c>
      <c r="H1456" s="22"/>
      <c r="I1456" s="23" t="s">
        <v>33</v>
      </c>
      <c r="J1456" s="23"/>
      <c r="K1456" s="22"/>
      <c r="L1456" s="22"/>
      <c r="M1456" s="23"/>
      <c r="N1456" s="23"/>
      <c r="O1456" s="26" t="s">
        <v>420</v>
      </c>
      <c r="P1456" s="26"/>
      <c r="Q1456" s="22">
        <v>35</v>
      </c>
      <c r="R1456" s="24">
        <v>45771</v>
      </c>
      <c r="S1456" s="24">
        <v>45775</v>
      </c>
      <c r="T1456" s="24"/>
      <c r="U1456" s="24"/>
      <c r="V1456" s="24">
        <v>45777</v>
      </c>
      <c r="W1456" s="22" t="s">
        <v>230</v>
      </c>
      <c r="X1456" s="4" t="str">
        <f>IF(Tabela2[[#This Row],[sigla]]="","",VLOOKUP(Tabela2[[#This Row],[sigla]],créditos_base!B:C,2,0))</f>
        <v>RAFAEL L. GAION/ARQUIVO DA EDITORA</v>
      </c>
      <c r="Y1456" s="23" t="s">
        <v>188</v>
      </c>
      <c r="Z1456" s="23" t="str">
        <f>Tabela2[[#This Row],[ilustrador]]</f>
        <v>RAFAEL L. GAION/ARQUIVO DA EDITORA</v>
      </c>
      <c r="AA1456" s="22">
        <v>14</v>
      </c>
      <c r="AB1456" s="20" t="s">
        <v>153</v>
      </c>
      <c r="AC1456" s="20" t="s">
        <v>36</v>
      </c>
      <c r="AD1456" s="4" t="str">
        <f>"Pitanguá"</f>
        <v>Pitanguá</v>
      </c>
      <c r="AE1456" s="14" t="str">
        <f>"Matemática"</f>
        <v>Matemática</v>
      </c>
      <c r="AF1456" s="14"/>
    </row>
    <row r="1457" spans="1:32" ht="43.2" x14ac:dyDescent="0.3">
      <c r="A1457" s="30" t="s">
        <v>1549</v>
      </c>
      <c r="B1457" s="20" t="s">
        <v>16</v>
      </c>
      <c r="C1457" s="20" t="s">
        <v>7</v>
      </c>
      <c r="D1457" s="20" t="s">
        <v>8</v>
      </c>
      <c r="E1457" s="22">
        <v>96</v>
      </c>
      <c r="F1457" s="22">
        <v>2</v>
      </c>
      <c r="G1457" s="22">
        <v>6</v>
      </c>
      <c r="H1457" s="22"/>
      <c r="I1457" s="23" t="s">
        <v>9</v>
      </c>
      <c r="J1457" s="23"/>
      <c r="K1457" s="22"/>
      <c r="L1457" s="22"/>
      <c r="M1457" s="23"/>
      <c r="N1457" s="23"/>
      <c r="O1457" s="26" t="s">
        <v>1550</v>
      </c>
      <c r="P1457" s="26"/>
      <c r="Q1457" s="22"/>
      <c r="R1457" s="24"/>
      <c r="S1457" s="24"/>
      <c r="T1457" s="24"/>
      <c r="U1457" s="24"/>
      <c r="V1457" s="24"/>
      <c r="W1457" s="22" t="s">
        <v>31</v>
      </c>
      <c r="X1457" s="4" t="str">
        <f>IF(Tabela2[[#This Row],[sigla]]="","",VLOOKUP(Tabela2[[#This Row],[sigla]],créditos_base!B:C,2,0))</f>
        <v>SILVIA OTOFUJI/ARQUIVO DA EDITORA</v>
      </c>
      <c r="Y1457" s="23"/>
      <c r="Z1457" s="23" t="str">
        <f>Tabela2[[#This Row],[ilustrador]]</f>
        <v>SILVIA OTOFUJI/ARQUIVO DA EDITORA</v>
      </c>
      <c r="AA1457" s="22"/>
      <c r="AB1457" s="20"/>
      <c r="AD1457" s="4" t="str">
        <f>"Pitanguá"</f>
        <v>Pitanguá</v>
      </c>
      <c r="AE1457" s="14" t="str">
        <f>"Matemática"</f>
        <v>Matemática</v>
      </c>
      <c r="AF1457" s="14"/>
    </row>
    <row r="1458" spans="1:32" ht="43.2" x14ac:dyDescent="0.3">
      <c r="A1458" s="23" t="s">
        <v>2237</v>
      </c>
      <c r="B1458" s="20" t="s">
        <v>16</v>
      </c>
      <c r="C1458" s="20" t="s">
        <v>89</v>
      </c>
      <c r="D1458" s="20" t="s">
        <v>8</v>
      </c>
      <c r="E1458" s="22">
        <v>105</v>
      </c>
      <c r="F1458" s="22">
        <v>3</v>
      </c>
      <c r="G1458" s="22">
        <v>6</v>
      </c>
      <c r="H1458" s="22"/>
      <c r="I1458" s="23" t="s">
        <v>9</v>
      </c>
      <c r="J1458" s="23"/>
      <c r="K1458" s="22"/>
      <c r="L1458" s="22"/>
      <c r="M1458" s="23"/>
      <c r="N1458" s="23"/>
      <c r="O1458" s="26" t="s">
        <v>2238</v>
      </c>
      <c r="P1458" s="26"/>
      <c r="Q1458" s="22"/>
      <c r="R1458" s="24"/>
      <c r="S1458" s="24"/>
      <c r="T1458" s="24"/>
      <c r="U1458" s="24"/>
      <c r="V1458" s="24"/>
      <c r="W1458" s="22" t="s">
        <v>940</v>
      </c>
      <c r="X1458" s="4" t="str">
        <f>IF(Tabela2[[#This Row],[sigla]]="","",VLOOKUP(Tabela2[[#This Row],[sigla]],créditos_base!B:C,2,0))</f>
        <v>RONALDO LUCENA/ARQUIVO DA EDITORA</v>
      </c>
      <c r="Y1458" s="23"/>
      <c r="Z1458" s="23" t="str">
        <f>Tabela2[[#This Row],[ilustrador]]</f>
        <v>RONALDO LUCENA/ARQUIVO DA EDITORA</v>
      </c>
      <c r="AA1458" s="22"/>
      <c r="AB1458" s="20"/>
      <c r="AD1458" s="4" t="str">
        <f>"Pitanguá"</f>
        <v>Pitanguá</v>
      </c>
      <c r="AE1458" s="14" t="str">
        <f>"Matemática"</f>
        <v>Matemática</v>
      </c>
      <c r="AF1458" s="14"/>
    </row>
    <row r="1459" spans="1:32" x14ac:dyDescent="0.3">
      <c r="A1459" s="23" t="s">
        <v>3239</v>
      </c>
      <c r="B1459" s="20" t="s">
        <v>16</v>
      </c>
      <c r="C1459" s="20" t="s">
        <v>89</v>
      </c>
      <c r="D1459" s="20" t="s">
        <v>8</v>
      </c>
      <c r="E1459" s="22">
        <v>161</v>
      </c>
      <c r="F1459" s="22">
        <v>4</v>
      </c>
      <c r="G1459" s="22">
        <v>6</v>
      </c>
      <c r="H1459" s="22"/>
      <c r="I1459" s="23" t="s">
        <v>33</v>
      </c>
      <c r="J1459" s="23"/>
      <c r="K1459" s="22"/>
      <c r="L1459" s="22"/>
      <c r="M1459" s="23"/>
      <c r="N1459" s="23"/>
      <c r="O1459" s="26" t="s">
        <v>3240</v>
      </c>
      <c r="P1459" s="26"/>
      <c r="Q1459" s="22">
        <v>46</v>
      </c>
      <c r="R1459" s="24">
        <v>45796</v>
      </c>
      <c r="S1459" s="24">
        <v>45797</v>
      </c>
      <c r="T1459" s="24"/>
      <c r="U1459" s="24"/>
      <c r="V1459" s="24">
        <v>45797</v>
      </c>
      <c r="W1459" s="22" t="s">
        <v>468</v>
      </c>
      <c r="X1459" s="4" t="str">
        <f>IF(Tabela2[[#This Row],[sigla]]="","",VLOOKUP(Tabela2[[#This Row],[sigla]],créditos_base!B:C,2,0))</f>
        <v>VER DOCUMENTO DE ILS. TÉCNICAS</v>
      </c>
      <c r="Y1459" s="23" t="s">
        <v>188</v>
      </c>
      <c r="Z1459" s="23" t="s">
        <v>686</v>
      </c>
      <c r="AA1459" s="22">
        <v>14</v>
      </c>
      <c r="AB1459" s="20" t="s">
        <v>153</v>
      </c>
      <c r="AC1459" s="20" t="s">
        <v>36</v>
      </c>
      <c r="AD1459" s="4" t="str">
        <f>"Pitanguá"</f>
        <v>Pitanguá</v>
      </c>
      <c r="AE1459" s="14" t="str">
        <f>"Matemática"</f>
        <v>Matemática</v>
      </c>
      <c r="AF1459" s="14"/>
    </row>
    <row r="1460" spans="1:32" ht="28.8" x14ac:dyDescent="0.3">
      <c r="A1460" s="23" t="s">
        <v>4641</v>
      </c>
      <c r="B1460" s="20" t="s">
        <v>16</v>
      </c>
      <c r="C1460" s="20" t="s">
        <v>89</v>
      </c>
      <c r="D1460" s="20" t="s">
        <v>8</v>
      </c>
      <c r="E1460" s="22">
        <v>115</v>
      </c>
      <c r="F1460" s="22">
        <v>5</v>
      </c>
      <c r="G1460" s="22">
        <v>6</v>
      </c>
      <c r="H1460" s="22"/>
      <c r="I1460" s="23" t="s">
        <v>9</v>
      </c>
      <c r="J1460" s="23"/>
      <c r="K1460" s="22"/>
      <c r="L1460" s="22"/>
      <c r="M1460" s="23"/>
      <c r="N1460" s="23"/>
      <c r="O1460" s="26" t="s">
        <v>4642</v>
      </c>
      <c r="P1460" s="26"/>
      <c r="Q1460" s="22"/>
      <c r="R1460" s="24"/>
      <c r="S1460" s="24"/>
      <c r="T1460" s="24"/>
      <c r="U1460" s="24"/>
      <c r="V1460" s="24"/>
      <c r="W1460" s="22" t="s">
        <v>940</v>
      </c>
      <c r="X1460" s="4" t="str">
        <f>IF(Tabela2[[#This Row],[sigla]]="","",VLOOKUP(Tabela2[[#This Row],[sigla]],créditos_base!B:C,2,0))</f>
        <v>RONALDO LUCENA/ARQUIVO DA EDITORA</v>
      </c>
      <c r="Y1460" s="23"/>
      <c r="Z1460" s="23" t="str">
        <f>Tabela2[[#This Row],[ilustrador]]</f>
        <v>RONALDO LUCENA/ARQUIVO DA EDITORA</v>
      </c>
      <c r="AA1460" s="22"/>
      <c r="AB1460" s="20"/>
      <c r="AD1460" s="4" t="str">
        <f>"Pitanguá"</f>
        <v>Pitanguá</v>
      </c>
      <c r="AE1460" s="14" t="str">
        <f>"Matemática"</f>
        <v>Matemática</v>
      </c>
      <c r="AF1460" s="14"/>
    </row>
    <row r="1461" spans="1:32" ht="28.8" x14ac:dyDescent="0.3">
      <c r="A1461" s="23" t="s">
        <v>421</v>
      </c>
      <c r="B1461" s="20" t="s">
        <v>16</v>
      </c>
      <c r="C1461" s="20" t="s">
        <v>89</v>
      </c>
      <c r="D1461" s="20" t="s">
        <v>8</v>
      </c>
      <c r="E1461" s="22">
        <v>100</v>
      </c>
      <c r="F1461" s="22">
        <v>1</v>
      </c>
      <c r="G1461" s="22">
        <v>6</v>
      </c>
      <c r="H1461" s="22"/>
      <c r="I1461" s="23" t="s">
        <v>9</v>
      </c>
      <c r="J1461" s="23"/>
      <c r="K1461" s="22"/>
      <c r="L1461" s="22"/>
      <c r="M1461" s="23"/>
      <c r="N1461" s="23"/>
      <c r="O1461" s="26" t="s">
        <v>422</v>
      </c>
      <c r="P1461" s="26"/>
      <c r="Q1461" s="22"/>
      <c r="R1461" s="24"/>
      <c r="S1461" s="24"/>
      <c r="T1461" s="24"/>
      <c r="U1461" s="24"/>
      <c r="V1461" s="24"/>
      <c r="W1461" s="22" t="s">
        <v>72</v>
      </c>
      <c r="X1461" s="4" t="str">
        <f>IF(Tabela2[[#This Row],[sigla]]="","",VLOOKUP(Tabela2[[#This Row],[sigla]],créditos_base!B:C,2,0))</f>
        <v>HELOÍSA PINTARELLI/ARQUIVO DA EDITORA</v>
      </c>
      <c r="Y1461" s="23"/>
      <c r="Z1461" s="23" t="str">
        <f>Tabela2[[#This Row],[ilustrador]]</f>
        <v>HELOÍSA PINTARELLI/ARQUIVO DA EDITORA</v>
      </c>
      <c r="AA1461" s="22"/>
      <c r="AB1461" s="20"/>
      <c r="AD1461" s="4" t="str">
        <f>"Pitanguá"</f>
        <v>Pitanguá</v>
      </c>
      <c r="AE1461" s="14" t="str">
        <f>"Matemática"</f>
        <v>Matemática</v>
      </c>
      <c r="AF1461" s="14"/>
    </row>
    <row r="1462" spans="1:32" ht="28.8" x14ac:dyDescent="0.3">
      <c r="A1462" s="23" t="s">
        <v>2239</v>
      </c>
      <c r="B1462" s="20" t="s">
        <v>16</v>
      </c>
      <c r="C1462" s="20" t="s">
        <v>89</v>
      </c>
      <c r="D1462" s="20" t="s">
        <v>8</v>
      </c>
      <c r="E1462" s="22">
        <v>105</v>
      </c>
      <c r="F1462" s="22">
        <v>3</v>
      </c>
      <c r="G1462" s="22">
        <v>6</v>
      </c>
      <c r="H1462" s="22"/>
      <c r="I1462" s="23" t="s">
        <v>33</v>
      </c>
      <c r="J1462" s="23"/>
      <c r="K1462" s="22"/>
      <c r="L1462" s="22"/>
      <c r="M1462" s="23"/>
      <c r="N1462" s="23"/>
      <c r="O1462" s="26" t="s">
        <v>2240</v>
      </c>
      <c r="P1462" s="26"/>
      <c r="Q1462" s="22">
        <v>80</v>
      </c>
      <c r="R1462" s="24">
        <v>45820</v>
      </c>
      <c r="S1462" s="24">
        <v>45673</v>
      </c>
      <c r="T1462" s="24"/>
      <c r="U1462" s="24"/>
      <c r="V1462" s="24">
        <v>45824</v>
      </c>
      <c r="W1462" s="22" t="s">
        <v>940</v>
      </c>
      <c r="X1462" s="4" t="str">
        <f>IF(Tabela2[[#This Row],[sigla]]="","",VLOOKUP(Tabela2[[#This Row],[sigla]],créditos_base!B:C,2,0))</f>
        <v>RONALDO LUCENA/ARQUIVO DA EDITORA</v>
      </c>
      <c r="Y1462" s="23"/>
      <c r="Z1462" s="23" t="str">
        <f>Tabela2[[#This Row],[ilustrador]]</f>
        <v>RONALDO LUCENA/ARQUIVO DA EDITORA</v>
      </c>
      <c r="AA1462" s="22"/>
      <c r="AB1462" s="20"/>
      <c r="AC1462" s="20" t="s">
        <v>36</v>
      </c>
      <c r="AD1462" s="4" t="str">
        <f>"Pitanguá"</f>
        <v>Pitanguá</v>
      </c>
      <c r="AE1462" s="14" t="str">
        <f>"Matemática"</f>
        <v>Matemática</v>
      </c>
      <c r="AF1462" s="14"/>
    </row>
    <row r="1463" spans="1:32" ht="28.8" x14ac:dyDescent="0.3">
      <c r="A1463" s="23" t="s">
        <v>3241</v>
      </c>
      <c r="B1463" s="20" t="s">
        <v>6</v>
      </c>
      <c r="C1463" s="20" t="s">
        <v>89</v>
      </c>
      <c r="D1463" s="20" t="s">
        <v>8</v>
      </c>
      <c r="E1463" s="22">
        <v>143</v>
      </c>
      <c r="F1463" s="22">
        <v>4</v>
      </c>
      <c r="G1463" s="22">
        <v>6</v>
      </c>
      <c r="H1463" s="22"/>
      <c r="I1463" s="23" t="s">
        <v>9</v>
      </c>
      <c r="J1463" s="23"/>
      <c r="K1463" s="22"/>
      <c r="L1463" s="22"/>
      <c r="M1463" s="23"/>
      <c r="N1463" s="23"/>
      <c r="O1463" s="26" t="s">
        <v>3242</v>
      </c>
      <c r="P1463" s="26"/>
      <c r="Q1463" s="22"/>
      <c r="R1463" s="24"/>
      <c r="S1463" s="24"/>
      <c r="T1463" s="24"/>
      <c r="U1463" s="24"/>
      <c r="V1463" s="24"/>
      <c r="W1463" s="22" t="s">
        <v>940</v>
      </c>
      <c r="X1463" s="4" t="str">
        <f>IF(Tabela2[[#This Row],[sigla]]="","",VLOOKUP(Tabela2[[#This Row],[sigla]],créditos_base!B:C,2,0))</f>
        <v>RONALDO LUCENA/ARQUIVO DA EDITORA</v>
      </c>
      <c r="Y1463" s="23"/>
      <c r="Z1463" s="23" t="str">
        <f>Tabela2[[#This Row],[ilustrador]]</f>
        <v>RONALDO LUCENA/ARQUIVO DA EDITORA</v>
      </c>
      <c r="AA1463" s="22"/>
      <c r="AB1463" s="20"/>
      <c r="AD1463" s="4" t="str">
        <f>"Pitanguá"</f>
        <v>Pitanguá</v>
      </c>
      <c r="AE1463" s="14" t="str">
        <f>"Matemática"</f>
        <v>Matemática</v>
      </c>
      <c r="AF1463" s="14"/>
    </row>
    <row r="1464" spans="1:32" ht="28.8" x14ac:dyDescent="0.3">
      <c r="A1464" s="23" t="s">
        <v>4643</v>
      </c>
      <c r="B1464" s="20" t="s">
        <v>16</v>
      </c>
      <c r="C1464" s="20" t="s">
        <v>89</v>
      </c>
      <c r="D1464" s="20" t="s">
        <v>8</v>
      </c>
      <c r="E1464" s="22">
        <v>115</v>
      </c>
      <c r="F1464" s="22">
        <v>5</v>
      </c>
      <c r="G1464" s="22">
        <v>6</v>
      </c>
      <c r="H1464" s="22"/>
      <c r="I1464" s="23" t="s">
        <v>9</v>
      </c>
      <c r="J1464" s="23"/>
      <c r="K1464" s="22"/>
      <c r="L1464" s="22"/>
      <c r="M1464" s="23"/>
      <c r="N1464" s="23"/>
      <c r="O1464" s="26" t="s">
        <v>4644</v>
      </c>
      <c r="P1464" s="26"/>
      <c r="Q1464" s="22"/>
      <c r="R1464" s="24"/>
      <c r="S1464" s="24"/>
      <c r="T1464" s="24"/>
      <c r="U1464" s="24"/>
      <c r="V1464" s="24"/>
      <c r="W1464" s="22" t="s">
        <v>940</v>
      </c>
      <c r="X1464" s="4" t="str">
        <f>IF(Tabela2[[#This Row],[sigla]]="","",VLOOKUP(Tabela2[[#This Row],[sigla]],créditos_base!B:C,2,0))</f>
        <v>RONALDO LUCENA/ARQUIVO DA EDITORA</v>
      </c>
      <c r="Y1464" s="23"/>
      <c r="Z1464" s="23" t="str">
        <f>Tabela2[[#This Row],[ilustrador]]</f>
        <v>RONALDO LUCENA/ARQUIVO DA EDITORA</v>
      </c>
      <c r="AA1464" s="22"/>
      <c r="AB1464" s="20"/>
      <c r="AD1464" s="4" t="str">
        <f>"Pitanguá"</f>
        <v>Pitanguá</v>
      </c>
      <c r="AE1464" s="14" t="str">
        <f>"Matemática"</f>
        <v>Matemática</v>
      </c>
      <c r="AF1464" s="14"/>
    </row>
    <row r="1465" spans="1:32" ht="43.2" x14ac:dyDescent="0.3">
      <c r="A1465" s="23" t="s">
        <v>423</v>
      </c>
      <c r="B1465" s="20" t="s">
        <v>16</v>
      </c>
      <c r="C1465" s="20" t="s">
        <v>89</v>
      </c>
      <c r="D1465" s="20" t="s">
        <v>8</v>
      </c>
      <c r="E1465" s="22">
        <v>101</v>
      </c>
      <c r="F1465" s="22">
        <v>1</v>
      </c>
      <c r="G1465" s="22">
        <v>6</v>
      </c>
      <c r="H1465" s="22"/>
      <c r="I1465" s="23" t="s">
        <v>33</v>
      </c>
      <c r="J1465" s="23"/>
      <c r="K1465" s="22"/>
      <c r="L1465" s="22"/>
      <c r="M1465" s="23"/>
      <c r="N1465" s="23"/>
      <c r="O1465" s="26" t="s">
        <v>424</v>
      </c>
      <c r="P1465" s="26"/>
      <c r="Q1465" s="22">
        <v>35</v>
      </c>
      <c r="R1465" s="24">
        <v>45771</v>
      </c>
      <c r="S1465" s="24">
        <v>45775</v>
      </c>
      <c r="T1465" s="24"/>
      <c r="U1465" s="24"/>
      <c r="V1465" s="24">
        <v>45777</v>
      </c>
      <c r="W1465" s="22" t="s">
        <v>425</v>
      </c>
      <c r="X1465" s="4" t="str">
        <f>IF(Tabela2[[#This Row],[sigla]]="","",VLOOKUP(Tabela2[[#This Row],[sigla]],créditos_base!B:C,2,0))</f>
        <v>BÁRBARA SARZI/ARQUIVO DA EDITORA</v>
      </c>
      <c r="Y1465" s="23" t="s">
        <v>188</v>
      </c>
      <c r="Z1465" s="23" t="str">
        <f>Tabela2[[#This Row],[ilustrador]]</f>
        <v>BÁRBARA SARZI/ARQUIVO DA EDITORA</v>
      </c>
      <c r="AA1465" s="22">
        <v>14</v>
      </c>
      <c r="AB1465" s="20" t="s">
        <v>153</v>
      </c>
      <c r="AC1465" s="20" t="s">
        <v>36</v>
      </c>
      <c r="AD1465" s="4" t="str">
        <f>"Pitanguá"</f>
        <v>Pitanguá</v>
      </c>
      <c r="AE1465" s="14" t="str">
        <f>"Matemática"</f>
        <v>Matemática</v>
      </c>
      <c r="AF1465" s="14"/>
    </row>
    <row r="1466" spans="1:32" ht="86.4" x14ac:dyDescent="0.3">
      <c r="A1466" s="30" t="s">
        <v>1551</v>
      </c>
      <c r="B1466" s="20" t="s">
        <v>16</v>
      </c>
      <c r="C1466" s="20" t="s">
        <v>7</v>
      </c>
      <c r="D1466" s="20" t="s">
        <v>8</v>
      </c>
      <c r="E1466" s="22">
        <v>98</v>
      </c>
      <c r="F1466" s="22">
        <v>2</v>
      </c>
      <c r="G1466" s="22">
        <v>6</v>
      </c>
      <c r="H1466" s="22"/>
      <c r="I1466" s="23" t="s">
        <v>33</v>
      </c>
      <c r="J1466" s="23"/>
      <c r="K1466" s="22"/>
      <c r="L1466" s="22"/>
      <c r="M1466" s="23"/>
      <c r="N1466" s="23"/>
      <c r="O1466" s="26" t="s">
        <v>1552</v>
      </c>
      <c r="P1466" s="26"/>
      <c r="Q1466" s="22">
        <v>18</v>
      </c>
      <c r="R1466" s="24">
        <v>45747</v>
      </c>
      <c r="S1466" s="24">
        <v>45748</v>
      </c>
      <c r="T1466" s="24"/>
      <c r="U1466" s="24"/>
      <c r="V1466" s="24">
        <v>45748</v>
      </c>
      <c r="W1466" s="22" t="s">
        <v>546</v>
      </c>
      <c r="X1466" s="4" t="str">
        <f>IF(Tabela2[[#This Row],[sigla]]="","",VLOOKUP(Tabela2[[#This Row],[sigla]],créditos_base!B:C,2,0))</f>
        <v>GUILHERME ARANEGA/ARQUIVO DA EDITORA</v>
      </c>
      <c r="Y1466" s="23" t="s">
        <v>152</v>
      </c>
      <c r="Z1466" s="23" t="str">
        <f>Tabela2[[#This Row],[ilustrador]]</f>
        <v>GUILHERME ARANEGA/ARQUIVO DA EDITORA</v>
      </c>
      <c r="AA1466" s="22">
        <v>13</v>
      </c>
      <c r="AB1466" s="20" t="s">
        <v>244</v>
      </c>
      <c r="AC1466" s="20" t="s">
        <v>36</v>
      </c>
      <c r="AD1466" s="4" t="str">
        <f>"Pitanguá"</f>
        <v>Pitanguá</v>
      </c>
      <c r="AE1466" s="14" t="str">
        <f>"Matemática"</f>
        <v>Matemática</v>
      </c>
      <c r="AF1466" s="14"/>
    </row>
    <row r="1467" spans="1:32" x14ac:dyDescent="0.3">
      <c r="A1467" s="23" t="s">
        <v>2241</v>
      </c>
      <c r="B1467" s="20" t="s">
        <v>16</v>
      </c>
      <c r="C1467" s="20" t="s">
        <v>89</v>
      </c>
      <c r="D1467" s="20" t="s">
        <v>8</v>
      </c>
      <c r="E1467" s="22">
        <v>105</v>
      </c>
      <c r="F1467" s="22">
        <v>3</v>
      </c>
      <c r="G1467" s="22">
        <v>6</v>
      </c>
      <c r="H1467" s="22"/>
      <c r="I1467" s="23" t="s">
        <v>9</v>
      </c>
      <c r="J1467" s="23"/>
      <c r="K1467" s="22"/>
      <c r="L1467" s="22"/>
      <c r="M1467" s="23"/>
      <c r="N1467" s="23"/>
      <c r="O1467" s="26" t="s">
        <v>2242</v>
      </c>
      <c r="P1467" s="26"/>
      <c r="Q1467" s="22"/>
      <c r="R1467" s="24"/>
      <c r="S1467" s="24"/>
      <c r="T1467" s="24"/>
      <c r="U1467" s="24"/>
      <c r="V1467" s="24"/>
      <c r="W1467" s="22" t="s">
        <v>160</v>
      </c>
      <c r="X1467" s="4" t="str">
        <f>IF(Tabela2[[#This Row],[sigla]]="","",VLOOKUP(Tabela2[[#This Row],[sigla]],créditos_base!B:C,2,0))</f>
        <v>SERGIO LIMA/ARQUIVO DA EDITORA</v>
      </c>
      <c r="Y1467" s="23"/>
      <c r="Z1467" s="23" t="str">
        <f>Tabela2[[#This Row],[ilustrador]]</f>
        <v>SERGIO LIMA/ARQUIVO DA EDITORA</v>
      </c>
      <c r="AA1467" s="22"/>
      <c r="AB1467" s="20"/>
      <c r="AD1467" s="4" t="str">
        <f>"Pitanguá"</f>
        <v>Pitanguá</v>
      </c>
      <c r="AE1467" s="14" t="str">
        <f>"Matemática"</f>
        <v>Matemática</v>
      </c>
      <c r="AF1467" s="14"/>
    </row>
    <row r="1468" spans="1:32" ht="28.8" x14ac:dyDescent="0.3">
      <c r="A1468" s="23" t="s">
        <v>3243</v>
      </c>
      <c r="B1468" s="20" t="s">
        <v>16</v>
      </c>
      <c r="C1468" s="20" t="s">
        <v>89</v>
      </c>
      <c r="D1468" s="20" t="s">
        <v>8</v>
      </c>
      <c r="E1468" s="22">
        <v>161</v>
      </c>
      <c r="F1468" s="22">
        <v>4</v>
      </c>
      <c r="G1468" s="22">
        <v>6</v>
      </c>
      <c r="H1468" s="22"/>
      <c r="I1468" s="23" t="s">
        <v>9</v>
      </c>
      <c r="J1468" s="23"/>
      <c r="K1468" s="22"/>
      <c r="L1468" s="22"/>
      <c r="M1468" s="23"/>
      <c r="N1468" s="23"/>
      <c r="O1468" s="26" t="s">
        <v>3244</v>
      </c>
      <c r="P1468" s="26"/>
      <c r="Q1468" s="22"/>
      <c r="R1468" s="24"/>
      <c r="S1468" s="24"/>
      <c r="T1468" s="24"/>
      <c r="U1468" s="24"/>
      <c r="V1468" s="24"/>
      <c r="W1468" s="22" t="s">
        <v>940</v>
      </c>
      <c r="X1468" s="4" t="str">
        <f>IF(Tabela2[[#This Row],[sigla]]="","",VLOOKUP(Tabela2[[#This Row],[sigla]],créditos_base!B:C,2,0))</f>
        <v>RONALDO LUCENA/ARQUIVO DA EDITORA</v>
      </c>
      <c r="Y1468" s="23"/>
      <c r="Z1468" s="23" t="str">
        <f>Tabela2[[#This Row],[ilustrador]]</f>
        <v>RONALDO LUCENA/ARQUIVO DA EDITORA</v>
      </c>
      <c r="AA1468" s="22"/>
      <c r="AB1468" s="20"/>
      <c r="AD1468" s="4" t="str">
        <f>"Pitanguá"</f>
        <v>Pitanguá</v>
      </c>
      <c r="AE1468" s="14" t="str">
        <f>"Matemática"</f>
        <v>Matemática</v>
      </c>
      <c r="AF1468" s="14"/>
    </row>
    <row r="1469" spans="1:32" x14ac:dyDescent="0.3">
      <c r="A1469" s="23" t="s">
        <v>4645</v>
      </c>
      <c r="B1469" s="20" t="s">
        <v>16</v>
      </c>
      <c r="C1469" s="20" t="s">
        <v>89</v>
      </c>
      <c r="D1469" s="20" t="s">
        <v>8</v>
      </c>
      <c r="E1469" s="22">
        <v>116</v>
      </c>
      <c r="F1469" s="22">
        <v>5</v>
      </c>
      <c r="G1469" s="22">
        <v>6</v>
      </c>
      <c r="H1469" s="22"/>
      <c r="I1469" s="23" t="s">
        <v>9</v>
      </c>
      <c r="J1469" s="23"/>
      <c r="K1469" s="22"/>
      <c r="L1469" s="22"/>
      <c r="M1469" s="23"/>
      <c r="N1469" s="23"/>
      <c r="O1469" s="26" t="s">
        <v>4646</v>
      </c>
      <c r="P1469" s="26"/>
      <c r="Q1469" s="22"/>
      <c r="R1469" s="24"/>
      <c r="S1469" s="24"/>
      <c r="T1469" s="24"/>
      <c r="U1469" s="24"/>
      <c r="V1469" s="24"/>
      <c r="W1469" s="22" t="s">
        <v>940</v>
      </c>
      <c r="X1469" s="4" t="str">
        <f>IF(Tabela2[[#This Row],[sigla]]="","",VLOOKUP(Tabela2[[#This Row],[sigla]],créditos_base!B:C,2,0))</f>
        <v>RONALDO LUCENA/ARQUIVO DA EDITORA</v>
      </c>
      <c r="Y1469" s="23"/>
      <c r="Z1469" s="23" t="str">
        <f>Tabela2[[#This Row],[ilustrador]]</f>
        <v>RONALDO LUCENA/ARQUIVO DA EDITORA</v>
      </c>
      <c r="AA1469" s="22"/>
      <c r="AB1469" s="20"/>
      <c r="AD1469" s="4" t="str">
        <f>"Pitanguá"</f>
        <v>Pitanguá</v>
      </c>
      <c r="AE1469" s="14" t="str">
        <f>"Matemática"</f>
        <v>Matemática</v>
      </c>
      <c r="AF1469" s="14"/>
    </row>
    <row r="1470" spans="1:32" x14ac:dyDescent="0.3">
      <c r="A1470" s="23" t="s">
        <v>426</v>
      </c>
      <c r="B1470" s="20" t="s">
        <v>16</v>
      </c>
      <c r="C1470" s="20" t="s">
        <v>89</v>
      </c>
      <c r="D1470" s="20" t="s">
        <v>8</v>
      </c>
      <c r="E1470" s="22">
        <v>101</v>
      </c>
      <c r="F1470" s="22">
        <v>1</v>
      </c>
      <c r="G1470" s="22">
        <v>6</v>
      </c>
      <c r="H1470" s="22"/>
      <c r="I1470" s="23" t="s">
        <v>9</v>
      </c>
      <c r="J1470" s="23"/>
      <c r="K1470" s="22"/>
      <c r="L1470" s="22"/>
      <c r="M1470" s="23"/>
      <c r="N1470" s="23"/>
      <c r="O1470" s="26" t="s">
        <v>427</v>
      </c>
      <c r="P1470" s="26"/>
      <c r="Q1470" s="22"/>
      <c r="R1470" s="24"/>
      <c r="S1470" s="24"/>
      <c r="T1470" s="24"/>
      <c r="U1470" s="24"/>
      <c r="V1470" s="24"/>
      <c r="W1470" s="22" t="s">
        <v>428</v>
      </c>
      <c r="X1470" s="4" t="str">
        <f>IF(Tabela2[[#This Row],[sigla]]="","",VLOOKUP(Tabela2[[#This Row],[sigla]],créditos_base!B:C,2,0))</f>
        <v>TAMIRES AZEVEDO/ARQUIVO DA EDITORA</v>
      </c>
      <c r="Y1470" s="23"/>
      <c r="Z1470" s="23" t="str">
        <f>Tabela2[[#This Row],[ilustrador]]</f>
        <v>TAMIRES AZEVEDO/ARQUIVO DA EDITORA</v>
      </c>
      <c r="AA1470" s="22"/>
      <c r="AB1470" s="20"/>
      <c r="AD1470" s="4" t="str">
        <f>"Pitanguá"</f>
        <v>Pitanguá</v>
      </c>
      <c r="AE1470" s="14" t="str">
        <f>"Matemática"</f>
        <v>Matemática</v>
      </c>
      <c r="AF1470" s="14"/>
    </row>
    <row r="1471" spans="1:32" x14ac:dyDescent="0.3">
      <c r="A1471" s="30" t="s">
        <v>1553</v>
      </c>
      <c r="B1471" s="20" t="s">
        <v>16</v>
      </c>
      <c r="C1471" s="20" t="s">
        <v>7</v>
      </c>
      <c r="D1471" s="20" t="s">
        <v>8</v>
      </c>
      <c r="E1471" s="22">
        <v>99</v>
      </c>
      <c r="F1471" s="22">
        <v>2</v>
      </c>
      <c r="G1471" s="22">
        <v>6</v>
      </c>
      <c r="H1471" s="22"/>
      <c r="I1471" s="23" t="s">
        <v>33</v>
      </c>
      <c r="J1471" s="23"/>
      <c r="K1471" s="22"/>
      <c r="L1471" s="22"/>
      <c r="M1471" s="23"/>
      <c r="N1471" s="23"/>
      <c r="O1471" s="26" t="s">
        <v>1554</v>
      </c>
      <c r="P1471" s="26"/>
      <c r="Q1471" s="22">
        <v>18</v>
      </c>
      <c r="R1471" s="24">
        <v>45747</v>
      </c>
      <c r="S1471" s="24">
        <v>45748</v>
      </c>
      <c r="T1471" s="24"/>
      <c r="U1471" s="24"/>
      <c r="V1471" s="24">
        <v>45748</v>
      </c>
      <c r="W1471" s="22" t="s">
        <v>546</v>
      </c>
      <c r="X1471" s="4" t="str">
        <f>IF(Tabela2[[#This Row],[sigla]]="","",VLOOKUP(Tabela2[[#This Row],[sigla]],créditos_base!B:C,2,0))</f>
        <v>GUILHERME ARANEGA/ARQUIVO DA EDITORA</v>
      </c>
      <c r="Y1471" s="23" t="s">
        <v>152</v>
      </c>
      <c r="Z1471" s="23" t="str">
        <f>Tabela2[[#This Row],[ilustrador]]</f>
        <v>GUILHERME ARANEGA/ARQUIVO DA EDITORA</v>
      </c>
      <c r="AA1471" s="22">
        <v>13</v>
      </c>
      <c r="AB1471" s="20" t="s">
        <v>244</v>
      </c>
      <c r="AC1471" s="20" t="s">
        <v>36</v>
      </c>
      <c r="AD1471" s="4" t="str">
        <f>"Pitanguá"</f>
        <v>Pitanguá</v>
      </c>
      <c r="AE1471" s="14" t="str">
        <f>"Matemática"</f>
        <v>Matemática</v>
      </c>
      <c r="AF1471" s="14"/>
    </row>
    <row r="1472" spans="1:32" x14ac:dyDescent="0.3">
      <c r="A1472" s="23" t="s">
        <v>2243</v>
      </c>
      <c r="B1472" s="20" t="s">
        <v>6</v>
      </c>
      <c r="C1472" s="20" t="s">
        <v>89</v>
      </c>
      <c r="D1472" s="20" t="s">
        <v>8</v>
      </c>
      <c r="E1472" s="22">
        <v>105</v>
      </c>
      <c r="F1472" s="22">
        <v>3</v>
      </c>
      <c r="G1472" s="22">
        <v>6</v>
      </c>
      <c r="H1472" s="22"/>
      <c r="I1472" s="23" t="s">
        <v>9</v>
      </c>
      <c r="J1472" s="23"/>
      <c r="K1472" s="22"/>
      <c r="L1472" s="22"/>
      <c r="M1472" s="23"/>
      <c r="N1472" s="23"/>
      <c r="O1472" s="26" t="s">
        <v>2244</v>
      </c>
      <c r="P1472" s="26" t="s">
        <v>2245</v>
      </c>
      <c r="Q1472" s="22"/>
      <c r="R1472" s="24"/>
      <c r="S1472" s="24"/>
      <c r="T1472" s="24"/>
      <c r="U1472" s="24"/>
      <c r="V1472" s="24"/>
      <c r="W1472" s="22" t="s">
        <v>160</v>
      </c>
      <c r="X1472" s="4" t="str">
        <f>IF(Tabela2[[#This Row],[sigla]]="","",VLOOKUP(Tabela2[[#This Row],[sigla]],créditos_base!B:C,2,0))</f>
        <v>SERGIO LIMA/ARQUIVO DA EDITORA</v>
      </c>
      <c r="Y1472" s="23"/>
      <c r="Z1472" s="23" t="str">
        <f>Tabela2[[#This Row],[ilustrador]]</f>
        <v>SERGIO LIMA/ARQUIVO DA EDITORA</v>
      </c>
      <c r="AA1472" s="22"/>
      <c r="AB1472" s="20"/>
      <c r="AD1472" s="4" t="str">
        <f>"Pitanguá"</f>
        <v>Pitanguá</v>
      </c>
      <c r="AE1472" s="14" t="str">
        <f>"Matemática"</f>
        <v>Matemática</v>
      </c>
      <c r="AF1472" s="14"/>
    </row>
    <row r="1473" spans="1:32" ht="28.8" x14ac:dyDescent="0.3">
      <c r="A1473" s="23" t="s">
        <v>3245</v>
      </c>
      <c r="B1473" s="20" t="s">
        <v>16</v>
      </c>
      <c r="C1473" s="20" t="s">
        <v>89</v>
      </c>
      <c r="D1473" s="20" t="s">
        <v>8</v>
      </c>
      <c r="E1473" s="22">
        <v>161</v>
      </c>
      <c r="F1473" s="22">
        <v>4</v>
      </c>
      <c r="G1473" s="22">
        <v>6</v>
      </c>
      <c r="H1473" s="22"/>
      <c r="I1473" s="23" t="s">
        <v>9</v>
      </c>
      <c r="J1473" s="23"/>
      <c r="K1473" s="22"/>
      <c r="L1473" s="22"/>
      <c r="M1473" s="23"/>
      <c r="N1473" s="23"/>
      <c r="O1473" s="26" t="s">
        <v>3246</v>
      </c>
      <c r="P1473" s="26"/>
      <c r="Q1473" s="22"/>
      <c r="R1473" s="24"/>
      <c r="S1473" s="24"/>
      <c r="T1473" s="24"/>
      <c r="U1473" s="24"/>
      <c r="V1473" s="24"/>
      <c r="W1473" s="22" t="s">
        <v>940</v>
      </c>
      <c r="X1473" s="4" t="str">
        <f>IF(Tabela2[[#This Row],[sigla]]="","",VLOOKUP(Tabela2[[#This Row],[sigla]],créditos_base!B:C,2,0))</f>
        <v>RONALDO LUCENA/ARQUIVO DA EDITORA</v>
      </c>
      <c r="Y1473" s="23"/>
      <c r="Z1473" s="23" t="str">
        <f>Tabela2[[#This Row],[ilustrador]]</f>
        <v>RONALDO LUCENA/ARQUIVO DA EDITORA</v>
      </c>
      <c r="AA1473" s="22"/>
      <c r="AB1473" s="20"/>
      <c r="AD1473" s="4" t="str">
        <f>"Pitanguá"</f>
        <v>Pitanguá</v>
      </c>
      <c r="AE1473" s="14" t="str">
        <f>"Matemática"</f>
        <v>Matemática</v>
      </c>
      <c r="AF1473" s="14"/>
    </row>
    <row r="1474" spans="1:32" ht="28.8" x14ac:dyDescent="0.3">
      <c r="A1474" s="23" t="s">
        <v>4647</v>
      </c>
      <c r="B1474" s="20" t="s">
        <v>16</v>
      </c>
      <c r="C1474" s="20" t="s">
        <v>89</v>
      </c>
      <c r="D1474" s="20" t="s">
        <v>8</v>
      </c>
      <c r="E1474" s="22">
        <v>116</v>
      </c>
      <c r="F1474" s="22">
        <v>5</v>
      </c>
      <c r="G1474" s="22">
        <v>6</v>
      </c>
      <c r="H1474" s="22"/>
      <c r="I1474" s="23" t="s">
        <v>9</v>
      </c>
      <c r="J1474" s="23"/>
      <c r="K1474" s="22"/>
      <c r="L1474" s="22"/>
      <c r="M1474" s="23"/>
      <c r="N1474" s="23"/>
      <c r="O1474" s="26" t="s">
        <v>4648</v>
      </c>
      <c r="P1474" s="26"/>
      <c r="Q1474" s="22"/>
      <c r="R1474" s="24"/>
      <c r="S1474" s="24"/>
      <c r="T1474" s="24"/>
      <c r="U1474" s="24"/>
      <c r="V1474" s="24"/>
      <c r="W1474" s="22" t="s">
        <v>940</v>
      </c>
      <c r="X1474" s="4" t="str">
        <f>IF(Tabela2[[#This Row],[sigla]]="","",VLOOKUP(Tabela2[[#This Row],[sigla]],créditos_base!B:C,2,0))</f>
        <v>RONALDO LUCENA/ARQUIVO DA EDITORA</v>
      </c>
      <c r="Y1474" s="23"/>
      <c r="Z1474" s="23" t="str">
        <f>Tabela2[[#This Row],[ilustrador]]</f>
        <v>RONALDO LUCENA/ARQUIVO DA EDITORA</v>
      </c>
      <c r="AA1474" s="22"/>
      <c r="AB1474" s="20"/>
      <c r="AD1474" s="4" t="str">
        <f>"Pitanguá"</f>
        <v>Pitanguá</v>
      </c>
      <c r="AE1474" s="14" t="str">
        <f>"Matemática"</f>
        <v>Matemática</v>
      </c>
      <c r="AF1474" s="14"/>
    </row>
    <row r="1475" spans="1:32" ht="28.8" x14ac:dyDescent="0.3">
      <c r="A1475" s="23" t="s">
        <v>429</v>
      </c>
      <c r="B1475" s="20" t="s">
        <v>16</v>
      </c>
      <c r="C1475" s="20" t="s">
        <v>89</v>
      </c>
      <c r="D1475" s="20" t="s">
        <v>8</v>
      </c>
      <c r="E1475" s="22">
        <v>101</v>
      </c>
      <c r="F1475" s="22">
        <v>1</v>
      </c>
      <c r="G1475" s="22">
        <v>6</v>
      </c>
      <c r="H1475" s="22"/>
      <c r="I1475" s="23" t="s">
        <v>9</v>
      </c>
      <c r="J1475" s="23"/>
      <c r="K1475" s="22"/>
      <c r="L1475" s="22"/>
      <c r="M1475" s="23"/>
      <c r="N1475" s="23"/>
      <c r="O1475" s="26" t="s">
        <v>430</v>
      </c>
      <c r="P1475" s="26"/>
      <c r="Q1475" s="22"/>
      <c r="R1475" s="24"/>
      <c r="S1475" s="24"/>
      <c r="T1475" s="24"/>
      <c r="U1475" s="24"/>
      <c r="V1475" s="24"/>
      <c r="W1475" s="22" t="s">
        <v>428</v>
      </c>
      <c r="X1475" s="4" t="str">
        <f>IF(Tabela2[[#This Row],[sigla]]="","",VLOOKUP(Tabela2[[#This Row],[sigla]],créditos_base!B:C,2,0))</f>
        <v>TAMIRES AZEVEDO/ARQUIVO DA EDITORA</v>
      </c>
      <c r="Y1475" s="23"/>
      <c r="Z1475" s="23" t="str">
        <f>Tabela2[[#This Row],[ilustrador]]</f>
        <v>TAMIRES AZEVEDO/ARQUIVO DA EDITORA</v>
      </c>
      <c r="AA1475" s="22"/>
      <c r="AB1475" s="20"/>
      <c r="AD1475" s="4" t="str">
        <f>"Pitanguá"</f>
        <v>Pitanguá</v>
      </c>
      <c r="AE1475" s="14" t="str">
        <f>"Matemática"</f>
        <v>Matemática</v>
      </c>
      <c r="AF1475" s="14"/>
    </row>
    <row r="1476" spans="1:32" ht="28.8" x14ac:dyDescent="0.3">
      <c r="A1476" s="23" t="s">
        <v>2246</v>
      </c>
      <c r="B1476" s="20" t="s">
        <v>16</v>
      </c>
      <c r="C1476" s="20" t="s">
        <v>89</v>
      </c>
      <c r="D1476" s="20" t="s">
        <v>8</v>
      </c>
      <c r="E1476" s="22">
        <v>106</v>
      </c>
      <c r="F1476" s="22">
        <v>3</v>
      </c>
      <c r="G1476" s="22">
        <v>6</v>
      </c>
      <c r="H1476" s="22"/>
      <c r="I1476" s="23" t="s">
        <v>9</v>
      </c>
      <c r="J1476" s="23"/>
      <c r="K1476" s="22"/>
      <c r="L1476" s="22"/>
      <c r="M1476" s="23"/>
      <c r="N1476" s="23"/>
      <c r="O1476" s="26" t="s">
        <v>2247</v>
      </c>
      <c r="P1476" s="26"/>
      <c r="Q1476" s="22"/>
      <c r="R1476" s="24"/>
      <c r="S1476" s="24"/>
      <c r="T1476" s="24"/>
      <c r="U1476" s="24"/>
      <c r="V1476" s="24"/>
      <c r="W1476" s="22" t="s">
        <v>468</v>
      </c>
      <c r="X1476" s="4" t="str">
        <f>IF(Tabela2[[#This Row],[sigla]]="","",VLOOKUP(Tabela2[[#This Row],[sigla]],créditos_base!B:C,2,0))</f>
        <v>VER DOCUMENTO DE ILS. TÉCNICAS</v>
      </c>
      <c r="Y1476" s="23"/>
      <c r="Z1476" s="23" t="s">
        <v>686</v>
      </c>
      <c r="AA1476" s="22"/>
      <c r="AB1476" s="20"/>
      <c r="AD1476" s="4" t="str">
        <f>"Pitanguá"</f>
        <v>Pitanguá</v>
      </c>
      <c r="AE1476" s="14" t="str">
        <f>"Matemática"</f>
        <v>Matemática</v>
      </c>
      <c r="AF1476" s="14"/>
    </row>
    <row r="1477" spans="1:32" x14ac:dyDescent="0.3">
      <c r="A1477" s="23" t="s">
        <v>3247</v>
      </c>
      <c r="B1477" s="20" t="s">
        <v>16</v>
      </c>
      <c r="C1477" s="20" t="s">
        <v>89</v>
      </c>
      <c r="D1477" s="20" t="s">
        <v>8</v>
      </c>
      <c r="E1477" s="22">
        <v>161</v>
      </c>
      <c r="F1477" s="22">
        <v>4</v>
      </c>
      <c r="G1477" s="22">
        <v>6</v>
      </c>
      <c r="H1477" s="22"/>
      <c r="I1477" s="23" t="s">
        <v>9</v>
      </c>
      <c r="J1477" s="23"/>
      <c r="K1477" s="22"/>
      <c r="L1477" s="22"/>
      <c r="M1477" s="23"/>
      <c r="N1477" s="23"/>
      <c r="O1477" s="26" t="s">
        <v>3248</v>
      </c>
      <c r="P1477" s="26"/>
      <c r="Q1477" s="22"/>
      <c r="R1477" s="24"/>
      <c r="S1477" s="24"/>
      <c r="T1477" s="24"/>
      <c r="U1477" s="24"/>
      <c r="V1477" s="24"/>
      <c r="W1477" s="22" t="s">
        <v>940</v>
      </c>
      <c r="X1477" s="4" t="str">
        <f>IF(Tabela2[[#This Row],[sigla]]="","",VLOOKUP(Tabela2[[#This Row],[sigla]],créditos_base!B:C,2,0))</f>
        <v>RONALDO LUCENA/ARQUIVO DA EDITORA</v>
      </c>
      <c r="Y1477" s="23"/>
      <c r="Z1477" s="23" t="str">
        <f>Tabela2[[#This Row],[ilustrador]]</f>
        <v>RONALDO LUCENA/ARQUIVO DA EDITORA</v>
      </c>
      <c r="AA1477" s="22"/>
      <c r="AB1477" s="20"/>
      <c r="AD1477" s="4" t="str">
        <f>"Pitanguá"</f>
        <v>Pitanguá</v>
      </c>
      <c r="AE1477" s="14" t="str">
        <f>"Matemática"</f>
        <v>Matemática</v>
      </c>
      <c r="AF1477" s="14"/>
    </row>
    <row r="1478" spans="1:32" x14ac:dyDescent="0.3">
      <c r="A1478" s="23" t="s">
        <v>4649</v>
      </c>
      <c r="B1478" s="20" t="s">
        <v>16</v>
      </c>
      <c r="C1478" s="20" t="s">
        <v>89</v>
      </c>
      <c r="D1478" s="20" t="s">
        <v>8</v>
      </c>
      <c r="E1478" s="22">
        <v>116</v>
      </c>
      <c r="F1478" s="22">
        <v>5</v>
      </c>
      <c r="G1478" s="22">
        <v>6</v>
      </c>
      <c r="H1478" s="22"/>
      <c r="I1478" s="23" t="s">
        <v>9</v>
      </c>
      <c r="J1478" s="23"/>
      <c r="K1478" s="22"/>
      <c r="L1478" s="22"/>
      <c r="M1478" s="23"/>
      <c r="N1478" s="23"/>
      <c r="O1478" s="26" t="s">
        <v>4650</v>
      </c>
      <c r="P1478" s="26"/>
      <c r="Q1478" s="22"/>
      <c r="R1478" s="24"/>
      <c r="S1478" s="24"/>
      <c r="T1478" s="24"/>
      <c r="U1478" s="24"/>
      <c r="V1478" s="24"/>
      <c r="W1478" s="22" t="s">
        <v>940</v>
      </c>
      <c r="X1478" s="4" t="str">
        <f>IF(Tabela2[[#This Row],[sigla]]="","",VLOOKUP(Tabela2[[#This Row],[sigla]],créditos_base!B:C,2,0))</f>
        <v>RONALDO LUCENA/ARQUIVO DA EDITORA</v>
      </c>
      <c r="Y1478" s="23"/>
      <c r="Z1478" s="23" t="str">
        <f>Tabela2[[#This Row],[ilustrador]]</f>
        <v>RONALDO LUCENA/ARQUIVO DA EDITORA</v>
      </c>
      <c r="AA1478" s="22"/>
      <c r="AB1478" s="20"/>
      <c r="AD1478" s="4" t="str">
        <f>"Pitanguá"</f>
        <v>Pitanguá</v>
      </c>
      <c r="AE1478" s="14" t="str">
        <f>"Matemática"</f>
        <v>Matemática</v>
      </c>
      <c r="AF1478" s="14"/>
    </row>
    <row r="1479" spans="1:32" x14ac:dyDescent="0.3">
      <c r="A1479" s="23" t="s">
        <v>431</v>
      </c>
      <c r="B1479" s="20" t="s">
        <v>16</v>
      </c>
      <c r="C1479" s="20" t="s">
        <v>89</v>
      </c>
      <c r="D1479" s="20" t="s">
        <v>8</v>
      </c>
      <c r="E1479" s="22">
        <v>101</v>
      </c>
      <c r="F1479" s="22">
        <v>1</v>
      </c>
      <c r="G1479" s="22">
        <v>6</v>
      </c>
      <c r="H1479" s="22"/>
      <c r="I1479" s="23" t="s">
        <v>33</v>
      </c>
      <c r="J1479" s="23"/>
      <c r="K1479" s="22"/>
      <c r="L1479" s="22"/>
      <c r="M1479" s="23"/>
      <c r="N1479" s="23"/>
      <c r="O1479" s="26" t="s">
        <v>432</v>
      </c>
      <c r="P1479" s="26"/>
      <c r="Q1479" s="22">
        <v>4</v>
      </c>
      <c r="R1479" s="24">
        <v>45726</v>
      </c>
      <c r="S1479" s="24"/>
      <c r="T1479" s="24"/>
      <c r="U1479" s="24"/>
      <c r="V1479" s="24">
        <v>45727</v>
      </c>
      <c r="W1479" s="22" t="s">
        <v>428</v>
      </c>
      <c r="X1479" s="4" t="str">
        <f>IF(Tabela2[[#This Row],[sigla]]="","",VLOOKUP(Tabela2[[#This Row],[sigla]],créditos_base!B:C,2,0))</f>
        <v>TAMIRES AZEVEDO/ARQUIVO DA EDITORA</v>
      </c>
      <c r="Y1479" s="23" t="s">
        <v>433</v>
      </c>
      <c r="Z1479" s="23" t="str">
        <f>Tabela2[[#This Row],[ilustrador]]</f>
        <v>TAMIRES AZEVEDO/ARQUIVO DA EDITORA</v>
      </c>
      <c r="AA1479" s="22">
        <v>13</v>
      </c>
      <c r="AB1479" s="20" t="s">
        <v>153</v>
      </c>
      <c r="AC1479" s="20" t="s">
        <v>36</v>
      </c>
      <c r="AD1479" s="4" t="str">
        <f>"Pitanguá"</f>
        <v>Pitanguá</v>
      </c>
      <c r="AE1479" s="14" t="str">
        <f>"Matemática"</f>
        <v>Matemática</v>
      </c>
      <c r="AF1479" s="14"/>
    </row>
    <row r="1480" spans="1:32" ht="57.6" x14ac:dyDescent="0.3">
      <c r="A1480" s="23" t="s">
        <v>2248</v>
      </c>
      <c r="B1480" s="20" t="s">
        <v>16</v>
      </c>
      <c r="C1480" s="20" t="s">
        <v>89</v>
      </c>
      <c r="D1480" s="20" t="s">
        <v>8</v>
      </c>
      <c r="E1480" s="22">
        <v>106</v>
      </c>
      <c r="F1480" s="22">
        <v>3</v>
      </c>
      <c r="G1480" s="22">
        <v>6</v>
      </c>
      <c r="H1480" s="22"/>
      <c r="I1480" s="23" t="s">
        <v>9</v>
      </c>
      <c r="J1480" s="23"/>
      <c r="K1480" s="22"/>
      <c r="L1480" s="22"/>
      <c r="M1480" s="23"/>
      <c r="N1480" s="23"/>
      <c r="O1480" s="26" t="s">
        <v>2249</v>
      </c>
      <c r="P1480" s="26"/>
      <c r="Q1480" s="22"/>
      <c r="R1480" s="24"/>
      <c r="S1480" s="24"/>
      <c r="T1480" s="24"/>
      <c r="U1480" s="24"/>
      <c r="V1480" s="24"/>
      <c r="W1480" s="22" t="s">
        <v>468</v>
      </c>
      <c r="X1480" s="4" t="str">
        <f>IF(Tabela2[[#This Row],[sigla]]="","",VLOOKUP(Tabela2[[#This Row],[sigla]],créditos_base!B:C,2,0))</f>
        <v>VER DOCUMENTO DE ILS. TÉCNICAS</v>
      </c>
      <c r="Y1480" s="23"/>
      <c r="Z1480" s="23" t="s">
        <v>2250</v>
      </c>
      <c r="AA1480" s="22"/>
      <c r="AB1480" s="20"/>
      <c r="AD1480" s="4" t="str">
        <f>"Pitanguá"</f>
        <v>Pitanguá</v>
      </c>
      <c r="AE1480" s="14" t="str">
        <f>"Matemática"</f>
        <v>Matemática</v>
      </c>
      <c r="AF1480" s="14"/>
    </row>
    <row r="1481" spans="1:32" x14ac:dyDescent="0.3">
      <c r="A1481" s="23" t="s">
        <v>3249</v>
      </c>
      <c r="B1481" s="20" t="s">
        <v>6</v>
      </c>
      <c r="C1481" s="20" t="s">
        <v>89</v>
      </c>
      <c r="D1481" s="20" t="s">
        <v>8</v>
      </c>
      <c r="E1481" s="22">
        <v>162</v>
      </c>
      <c r="F1481" s="22">
        <v>4</v>
      </c>
      <c r="G1481" s="22">
        <v>6</v>
      </c>
      <c r="H1481" s="22"/>
      <c r="I1481" s="23" t="s">
        <v>33</v>
      </c>
      <c r="J1481" s="23"/>
      <c r="K1481" s="22"/>
      <c r="L1481" s="22"/>
      <c r="M1481" s="23"/>
      <c r="N1481" s="23"/>
      <c r="O1481" s="26" t="s">
        <v>3250</v>
      </c>
      <c r="P1481" s="26" t="s">
        <v>3251</v>
      </c>
      <c r="Q1481" s="22">
        <v>108</v>
      </c>
      <c r="R1481" s="24">
        <v>45852</v>
      </c>
      <c r="S1481" s="24">
        <v>45854</v>
      </c>
      <c r="T1481" s="24"/>
      <c r="U1481" s="24"/>
      <c r="V1481" s="24">
        <v>45854</v>
      </c>
      <c r="W1481" s="22" t="s">
        <v>940</v>
      </c>
      <c r="X1481" s="4" t="str">
        <f>IF(Tabela2[[#This Row],[sigla]]="","",VLOOKUP(Tabela2[[#This Row],[sigla]],créditos_base!B:C,2,0))</f>
        <v>RONALDO LUCENA/ARQUIVO DA EDITORA</v>
      </c>
      <c r="Y1481" s="23" t="s">
        <v>152</v>
      </c>
      <c r="Z1481" s="23" t="str">
        <f>Tabela2[[#This Row],[ilustrador]]</f>
        <v>RONALDO LUCENA/ARQUIVO DA EDITORA</v>
      </c>
      <c r="AA1481" s="22">
        <v>13</v>
      </c>
      <c r="AB1481" s="20" t="s">
        <v>244</v>
      </c>
      <c r="AC1481" s="20" t="s">
        <v>36</v>
      </c>
      <c r="AD1481" s="4" t="str">
        <f>"Pitanguá"</f>
        <v>Pitanguá</v>
      </c>
      <c r="AE1481" s="14" t="str">
        <f>"Matemática"</f>
        <v>Matemática</v>
      </c>
      <c r="AF1481" s="14"/>
    </row>
    <row r="1482" spans="1:32" ht="57.6" x14ac:dyDescent="0.3">
      <c r="A1482" s="23" t="s">
        <v>4651</v>
      </c>
      <c r="B1482" s="20" t="s">
        <v>16</v>
      </c>
      <c r="C1482" s="20" t="s">
        <v>89</v>
      </c>
      <c r="D1482" s="20" t="s">
        <v>8</v>
      </c>
      <c r="E1482" s="22">
        <v>116</v>
      </c>
      <c r="F1482" s="22">
        <v>5</v>
      </c>
      <c r="G1482" s="22">
        <v>6</v>
      </c>
      <c r="H1482" s="22"/>
      <c r="I1482" s="23" t="s">
        <v>9</v>
      </c>
      <c r="J1482" s="23"/>
      <c r="K1482" s="22"/>
      <c r="L1482" s="22"/>
      <c r="M1482" s="23"/>
      <c r="N1482" s="23"/>
      <c r="O1482" s="26" t="s">
        <v>4652</v>
      </c>
      <c r="P1482" s="26"/>
      <c r="Q1482" s="22"/>
      <c r="R1482" s="24"/>
      <c r="S1482" s="24"/>
      <c r="T1482" s="24"/>
      <c r="U1482" s="24"/>
      <c r="V1482" s="24"/>
      <c r="W1482" s="22" t="s">
        <v>940</v>
      </c>
      <c r="X1482" s="4" t="str">
        <f>IF(Tabela2[[#This Row],[sigla]]="","",VLOOKUP(Tabela2[[#This Row],[sigla]],créditos_base!B:C,2,0))</f>
        <v>RONALDO LUCENA/ARQUIVO DA EDITORA</v>
      </c>
      <c r="Y1482" s="23"/>
      <c r="Z1482" s="23" t="str">
        <f>Tabela2[[#This Row],[ilustrador]]</f>
        <v>RONALDO LUCENA/ARQUIVO DA EDITORA</v>
      </c>
      <c r="AA1482" s="22"/>
      <c r="AB1482" s="20"/>
      <c r="AD1482" s="4" t="str">
        <f>"Pitanguá"</f>
        <v>Pitanguá</v>
      </c>
      <c r="AE1482" s="14" t="str">
        <f>"Matemática"</f>
        <v>Matemática</v>
      </c>
      <c r="AF1482" s="14"/>
    </row>
    <row r="1483" spans="1:32" x14ac:dyDescent="0.3">
      <c r="A1483" s="23" t="s">
        <v>434</v>
      </c>
      <c r="B1483" s="20" t="s">
        <v>16</v>
      </c>
      <c r="C1483" s="20" t="s">
        <v>89</v>
      </c>
      <c r="D1483" s="20" t="s">
        <v>8</v>
      </c>
      <c r="E1483" s="22">
        <v>101</v>
      </c>
      <c r="F1483" s="22">
        <v>1</v>
      </c>
      <c r="G1483" s="22">
        <v>6</v>
      </c>
      <c r="H1483" s="22"/>
      <c r="I1483" s="23" t="s">
        <v>33</v>
      </c>
      <c r="J1483" s="23"/>
      <c r="K1483" s="22"/>
      <c r="L1483" s="22"/>
      <c r="M1483" s="23"/>
      <c r="N1483" s="23"/>
      <c r="O1483" s="26" t="s">
        <v>435</v>
      </c>
      <c r="P1483" s="26"/>
      <c r="Q1483" s="22">
        <v>4</v>
      </c>
      <c r="R1483" s="24">
        <v>45726</v>
      </c>
      <c r="S1483" s="24"/>
      <c r="T1483" s="24"/>
      <c r="U1483" s="24"/>
      <c r="V1483" s="24">
        <v>45727</v>
      </c>
      <c r="W1483" s="22" t="s">
        <v>428</v>
      </c>
      <c r="X1483" s="4" t="str">
        <f>IF(Tabela2[[#This Row],[sigla]]="","",VLOOKUP(Tabela2[[#This Row],[sigla]],créditos_base!B:C,2,0))</f>
        <v>TAMIRES AZEVEDO/ARQUIVO DA EDITORA</v>
      </c>
      <c r="Y1483" s="23" t="s">
        <v>433</v>
      </c>
      <c r="Z1483" s="23" t="str">
        <f>Tabela2[[#This Row],[ilustrador]]</f>
        <v>TAMIRES AZEVEDO/ARQUIVO DA EDITORA</v>
      </c>
      <c r="AA1483" s="22">
        <v>13</v>
      </c>
      <c r="AB1483" s="20" t="s">
        <v>153</v>
      </c>
      <c r="AC1483" s="20" t="s">
        <v>36</v>
      </c>
      <c r="AD1483" s="4" t="str">
        <f>"Pitanguá"</f>
        <v>Pitanguá</v>
      </c>
      <c r="AE1483" s="14" t="str">
        <f>"Matemática"</f>
        <v>Matemática</v>
      </c>
      <c r="AF1483" s="14"/>
    </row>
    <row r="1484" spans="1:32" x14ac:dyDescent="0.3">
      <c r="A1484" s="23" t="s">
        <v>2251</v>
      </c>
      <c r="B1484" s="20" t="s">
        <v>16</v>
      </c>
      <c r="C1484" s="20" t="s">
        <v>89</v>
      </c>
      <c r="D1484" s="20" t="s">
        <v>8</v>
      </c>
      <c r="E1484" s="22">
        <v>106</v>
      </c>
      <c r="F1484" s="22">
        <v>3</v>
      </c>
      <c r="G1484" s="22">
        <v>6</v>
      </c>
      <c r="H1484" s="22"/>
      <c r="I1484" s="23" t="s">
        <v>9</v>
      </c>
      <c r="J1484" s="23"/>
      <c r="K1484" s="22"/>
      <c r="L1484" s="22"/>
      <c r="M1484" s="23"/>
      <c r="N1484" s="23"/>
      <c r="O1484" s="26" t="s">
        <v>2252</v>
      </c>
      <c r="P1484" s="26"/>
      <c r="Q1484" s="22"/>
      <c r="R1484" s="24"/>
      <c r="S1484" s="24"/>
      <c r="T1484" s="24"/>
      <c r="U1484" s="24"/>
      <c r="V1484" s="24"/>
      <c r="W1484" s="22" t="s">
        <v>468</v>
      </c>
      <c r="X1484" s="4" t="str">
        <f>IF(Tabela2[[#This Row],[sigla]]="","",VLOOKUP(Tabela2[[#This Row],[sigla]],créditos_base!B:C,2,0))</f>
        <v>VER DOCUMENTO DE ILS. TÉCNICAS</v>
      </c>
      <c r="Y1484" s="23"/>
      <c r="Z1484" s="23" t="s">
        <v>2250</v>
      </c>
      <c r="AA1484" s="22"/>
      <c r="AB1484" s="20"/>
      <c r="AD1484" s="4" t="str">
        <f>"Pitanguá"</f>
        <v>Pitanguá</v>
      </c>
      <c r="AE1484" s="14" t="str">
        <f>"Matemática"</f>
        <v>Matemática</v>
      </c>
      <c r="AF1484" s="14"/>
    </row>
    <row r="1485" spans="1:32" x14ac:dyDescent="0.3">
      <c r="A1485" s="23" t="s">
        <v>3252</v>
      </c>
      <c r="B1485" s="20" t="s">
        <v>16</v>
      </c>
      <c r="C1485" s="20" t="s">
        <v>89</v>
      </c>
      <c r="D1485" s="20" t="s">
        <v>8</v>
      </c>
      <c r="E1485" s="22">
        <v>162</v>
      </c>
      <c r="F1485" s="22">
        <v>4</v>
      </c>
      <c r="G1485" s="22">
        <v>6</v>
      </c>
      <c r="H1485" s="22"/>
      <c r="I1485" s="23" t="s">
        <v>9</v>
      </c>
      <c r="J1485" s="23"/>
      <c r="K1485" s="22"/>
      <c r="L1485" s="22"/>
      <c r="M1485" s="23"/>
      <c r="N1485" s="23"/>
      <c r="O1485" s="26" t="s">
        <v>3253</v>
      </c>
      <c r="P1485" s="26"/>
      <c r="Q1485" s="22"/>
      <c r="R1485" s="24"/>
      <c r="S1485" s="24"/>
      <c r="T1485" s="24"/>
      <c r="U1485" s="24"/>
      <c r="V1485" s="24"/>
      <c r="W1485" s="22" t="s">
        <v>940</v>
      </c>
      <c r="X1485" s="4" t="str">
        <f>IF(Tabela2[[#This Row],[sigla]]="","",VLOOKUP(Tabela2[[#This Row],[sigla]],créditos_base!B:C,2,0))</f>
        <v>RONALDO LUCENA/ARQUIVO DA EDITORA</v>
      </c>
      <c r="Y1485" s="23"/>
      <c r="Z1485" s="23" t="str">
        <f>Tabela2[[#This Row],[ilustrador]]</f>
        <v>RONALDO LUCENA/ARQUIVO DA EDITORA</v>
      </c>
      <c r="AA1485" s="22"/>
      <c r="AB1485" s="20"/>
      <c r="AD1485" s="4" t="str">
        <f>"Pitanguá"</f>
        <v>Pitanguá</v>
      </c>
      <c r="AE1485" s="14" t="str">
        <f>"Matemática"</f>
        <v>Matemática</v>
      </c>
      <c r="AF1485" s="14"/>
    </row>
    <row r="1486" spans="1:32" x14ac:dyDescent="0.3">
      <c r="A1486" s="23" t="s">
        <v>4653</v>
      </c>
      <c r="B1486" s="20" t="s">
        <v>16</v>
      </c>
      <c r="C1486" s="20" t="s">
        <v>89</v>
      </c>
      <c r="D1486" s="20" t="s">
        <v>8</v>
      </c>
      <c r="E1486" s="22">
        <v>116</v>
      </c>
      <c r="F1486" s="22">
        <v>5</v>
      </c>
      <c r="G1486" s="22">
        <v>6</v>
      </c>
      <c r="H1486" s="22"/>
      <c r="I1486" s="23" t="s">
        <v>9</v>
      </c>
      <c r="J1486" s="23"/>
      <c r="K1486" s="22"/>
      <c r="L1486" s="22"/>
      <c r="M1486" s="23"/>
      <c r="N1486" s="23"/>
      <c r="O1486" s="26" t="s">
        <v>4654</v>
      </c>
      <c r="P1486" s="26"/>
      <c r="Q1486" s="22"/>
      <c r="R1486" s="24"/>
      <c r="S1486" s="24"/>
      <c r="T1486" s="24"/>
      <c r="U1486" s="24"/>
      <c r="V1486" s="24"/>
      <c r="W1486" s="22" t="s">
        <v>940</v>
      </c>
      <c r="X1486" s="4" t="str">
        <f>IF(Tabela2[[#This Row],[sigla]]="","",VLOOKUP(Tabela2[[#This Row],[sigla]],créditos_base!B:C,2,0))</f>
        <v>RONALDO LUCENA/ARQUIVO DA EDITORA</v>
      </c>
      <c r="Y1486" s="23"/>
      <c r="Z1486" s="23" t="str">
        <f>Tabela2[[#This Row],[ilustrador]]</f>
        <v>RONALDO LUCENA/ARQUIVO DA EDITORA</v>
      </c>
      <c r="AA1486" s="22"/>
      <c r="AB1486" s="20"/>
      <c r="AD1486" s="4" t="str">
        <f>"Pitanguá"</f>
        <v>Pitanguá</v>
      </c>
      <c r="AE1486" s="14" t="str">
        <f>"Matemática"</f>
        <v>Matemática</v>
      </c>
      <c r="AF1486" s="14"/>
    </row>
    <row r="1487" spans="1:32" x14ac:dyDescent="0.3">
      <c r="A1487" s="23" t="s">
        <v>436</v>
      </c>
      <c r="B1487" s="20" t="s">
        <v>16</v>
      </c>
      <c r="C1487" s="20" t="s">
        <v>89</v>
      </c>
      <c r="D1487" s="20" t="s">
        <v>8</v>
      </c>
      <c r="E1487" s="22">
        <v>101</v>
      </c>
      <c r="F1487" s="22">
        <v>1</v>
      </c>
      <c r="G1487" s="22">
        <v>6</v>
      </c>
      <c r="H1487" s="22"/>
      <c r="I1487" s="23" t="s">
        <v>9</v>
      </c>
      <c r="J1487" s="23"/>
      <c r="K1487" s="22"/>
      <c r="L1487" s="22"/>
      <c r="M1487" s="23"/>
      <c r="N1487" s="23"/>
      <c r="O1487" s="26" t="s">
        <v>437</v>
      </c>
      <c r="P1487" s="26"/>
      <c r="Q1487" s="22"/>
      <c r="R1487" s="24"/>
      <c r="S1487" s="24"/>
      <c r="T1487" s="24"/>
      <c r="U1487" s="24"/>
      <c r="V1487" s="24"/>
      <c r="W1487" s="22" t="s">
        <v>428</v>
      </c>
      <c r="X1487" s="4" t="str">
        <f>IF(Tabela2[[#This Row],[sigla]]="","",VLOOKUP(Tabela2[[#This Row],[sigla]],créditos_base!B:C,2,0))</f>
        <v>TAMIRES AZEVEDO/ARQUIVO DA EDITORA</v>
      </c>
      <c r="Y1487" s="23"/>
      <c r="Z1487" s="23" t="str">
        <f>Tabela2[[#This Row],[ilustrador]]</f>
        <v>TAMIRES AZEVEDO/ARQUIVO DA EDITORA</v>
      </c>
      <c r="AA1487" s="22"/>
      <c r="AB1487" s="20"/>
      <c r="AD1487" s="4" t="str">
        <f>"Pitanguá"</f>
        <v>Pitanguá</v>
      </c>
      <c r="AE1487" s="14" t="str">
        <f>"Matemática"</f>
        <v>Matemática</v>
      </c>
      <c r="AF1487" s="14"/>
    </row>
    <row r="1488" spans="1:32" ht="28.8" x14ac:dyDescent="0.3">
      <c r="A1488" s="23" t="s">
        <v>2253</v>
      </c>
      <c r="B1488" s="20" t="s">
        <v>16</v>
      </c>
      <c r="C1488" s="20" t="s">
        <v>7</v>
      </c>
      <c r="D1488" s="20" t="s">
        <v>8</v>
      </c>
      <c r="E1488" s="22">
        <v>106</v>
      </c>
      <c r="F1488" s="22">
        <v>3</v>
      </c>
      <c r="G1488" s="22">
        <v>6</v>
      </c>
      <c r="H1488" s="22"/>
      <c r="I1488" s="23" t="s">
        <v>9</v>
      </c>
      <c r="J1488" s="23"/>
      <c r="K1488" s="22"/>
      <c r="L1488" s="22"/>
      <c r="M1488" s="23"/>
      <c r="N1488" s="23"/>
      <c r="O1488" s="26" t="s">
        <v>2254</v>
      </c>
      <c r="P1488" s="26"/>
      <c r="Q1488" s="22"/>
      <c r="R1488" s="24"/>
      <c r="S1488" s="24"/>
      <c r="T1488" s="24"/>
      <c r="U1488" s="24"/>
      <c r="V1488" s="24"/>
      <c r="W1488" s="22" t="s">
        <v>468</v>
      </c>
      <c r="X1488" s="4" t="str">
        <f>IF(Tabela2[[#This Row],[sigla]]="","",VLOOKUP(Tabela2[[#This Row],[sigla]],créditos_base!B:C,2,0))</f>
        <v>VER DOCUMENTO DE ILS. TÉCNICAS</v>
      </c>
      <c r="Y1488" s="23"/>
      <c r="Z1488" s="23" t="s">
        <v>2250</v>
      </c>
      <c r="AA1488" s="22"/>
      <c r="AB1488" s="20"/>
      <c r="AD1488" s="4" t="str">
        <f>"Pitanguá"</f>
        <v>Pitanguá</v>
      </c>
      <c r="AE1488" s="14" t="str">
        <f>"Matemática"</f>
        <v>Matemática</v>
      </c>
      <c r="AF1488" s="14"/>
    </row>
    <row r="1489" spans="1:32" ht="28.8" x14ac:dyDescent="0.3">
      <c r="A1489" s="23" t="s">
        <v>3254</v>
      </c>
      <c r="B1489" s="20" t="s">
        <v>16</v>
      </c>
      <c r="C1489" s="20" t="s">
        <v>89</v>
      </c>
      <c r="D1489" s="20" t="s">
        <v>8</v>
      </c>
      <c r="E1489" s="22">
        <v>162</v>
      </c>
      <c r="F1489" s="22">
        <v>4</v>
      </c>
      <c r="G1489" s="22">
        <v>6</v>
      </c>
      <c r="H1489" s="22"/>
      <c r="I1489" s="23" t="s">
        <v>9</v>
      </c>
      <c r="J1489" s="23"/>
      <c r="K1489" s="22"/>
      <c r="L1489" s="22"/>
      <c r="M1489" s="23"/>
      <c r="N1489" s="23"/>
      <c r="O1489" s="26" t="s">
        <v>3255</v>
      </c>
      <c r="P1489" s="26"/>
      <c r="Q1489" s="22"/>
      <c r="R1489" s="24"/>
      <c r="S1489" s="24"/>
      <c r="T1489" s="24"/>
      <c r="U1489" s="24"/>
      <c r="V1489" s="24"/>
      <c r="W1489" s="22" t="s">
        <v>940</v>
      </c>
      <c r="X1489" s="4" t="str">
        <f>IF(Tabela2[[#This Row],[sigla]]="","",VLOOKUP(Tabela2[[#This Row],[sigla]],créditos_base!B:C,2,0))</f>
        <v>RONALDO LUCENA/ARQUIVO DA EDITORA</v>
      </c>
      <c r="Y1489" s="23"/>
      <c r="Z1489" s="23" t="str">
        <f>Tabela2[[#This Row],[ilustrador]]</f>
        <v>RONALDO LUCENA/ARQUIVO DA EDITORA</v>
      </c>
      <c r="AA1489" s="22"/>
      <c r="AB1489" s="20"/>
      <c r="AD1489" s="4" t="str">
        <f>"Pitanguá"</f>
        <v>Pitanguá</v>
      </c>
      <c r="AE1489" s="14" t="str">
        <f>"Matemática"</f>
        <v>Matemática</v>
      </c>
      <c r="AF1489" s="14"/>
    </row>
    <row r="1490" spans="1:32" ht="28.8" x14ac:dyDescent="0.3">
      <c r="A1490" s="23" t="s">
        <v>4655</v>
      </c>
      <c r="B1490" s="20" t="s">
        <v>16</v>
      </c>
      <c r="C1490" s="20" t="s">
        <v>89</v>
      </c>
      <c r="D1490" s="20" t="s">
        <v>8</v>
      </c>
      <c r="E1490" s="22">
        <v>116</v>
      </c>
      <c r="F1490" s="22">
        <v>5</v>
      </c>
      <c r="G1490" s="22">
        <v>6</v>
      </c>
      <c r="H1490" s="22"/>
      <c r="I1490" s="23" t="s">
        <v>9</v>
      </c>
      <c r="J1490" s="23"/>
      <c r="K1490" s="22"/>
      <c r="L1490" s="22"/>
      <c r="M1490" s="23"/>
      <c r="N1490" s="23"/>
      <c r="O1490" s="26" t="s">
        <v>4656</v>
      </c>
      <c r="P1490" s="26"/>
      <c r="Q1490" s="22"/>
      <c r="R1490" s="24"/>
      <c r="S1490" s="24"/>
      <c r="T1490" s="24"/>
      <c r="U1490" s="24"/>
      <c r="V1490" s="24"/>
      <c r="W1490" s="22" t="s">
        <v>940</v>
      </c>
      <c r="X1490" s="4" t="str">
        <f>IF(Tabela2[[#This Row],[sigla]]="","",VLOOKUP(Tabela2[[#This Row],[sigla]],créditos_base!B:C,2,0))</f>
        <v>RONALDO LUCENA/ARQUIVO DA EDITORA</v>
      </c>
      <c r="Y1490" s="23"/>
      <c r="Z1490" s="23" t="str">
        <f>Tabela2[[#This Row],[ilustrador]]</f>
        <v>RONALDO LUCENA/ARQUIVO DA EDITORA</v>
      </c>
      <c r="AA1490" s="22"/>
      <c r="AB1490" s="20"/>
      <c r="AD1490" s="4" t="str">
        <f>"Pitanguá"</f>
        <v>Pitanguá</v>
      </c>
      <c r="AE1490" s="14" t="str">
        <f>"Matemática"</f>
        <v>Matemática</v>
      </c>
      <c r="AF1490" s="14"/>
    </row>
    <row r="1491" spans="1:32" x14ac:dyDescent="0.3">
      <c r="A1491" s="23" t="s">
        <v>438</v>
      </c>
      <c r="B1491" s="20" t="s">
        <v>16</v>
      </c>
      <c r="C1491" s="20" t="s">
        <v>89</v>
      </c>
      <c r="D1491" s="20" t="s">
        <v>8</v>
      </c>
      <c r="E1491" s="22">
        <v>101</v>
      </c>
      <c r="F1491" s="22">
        <v>1</v>
      </c>
      <c r="G1491" s="22">
        <v>6</v>
      </c>
      <c r="H1491" s="22"/>
      <c r="I1491" s="23" t="s">
        <v>9</v>
      </c>
      <c r="J1491" s="23"/>
      <c r="K1491" s="22"/>
      <c r="L1491" s="22"/>
      <c r="M1491" s="23"/>
      <c r="N1491" s="23"/>
      <c r="O1491" s="26" t="s">
        <v>439</v>
      </c>
      <c r="P1491" s="26"/>
      <c r="Q1491" s="22"/>
      <c r="R1491" s="24"/>
      <c r="S1491" s="24"/>
      <c r="T1491" s="24"/>
      <c r="U1491" s="24"/>
      <c r="V1491" s="24"/>
      <c r="W1491" s="22" t="s">
        <v>428</v>
      </c>
      <c r="X1491" s="4" t="str">
        <f>IF(Tabela2[[#This Row],[sigla]]="","",VLOOKUP(Tabela2[[#This Row],[sigla]],créditos_base!B:C,2,0))</f>
        <v>TAMIRES AZEVEDO/ARQUIVO DA EDITORA</v>
      </c>
      <c r="Y1491" s="23"/>
      <c r="Z1491" s="23" t="str">
        <f>Tabela2[[#This Row],[ilustrador]]</f>
        <v>TAMIRES AZEVEDO/ARQUIVO DA EDITORA</v>
      </c>
      <c r="AA1491" s="22"/>
      <c r="AB1491" s="20"/>
      <c r="AD1491" s="4" t="str">
        <f>"Pitanguá"</f>
        <v>Pitanguá</v>
      </c>
      <c r="AE1491" s="14" t="str">
        <f>"Matemática"</f>
        <v>Matemática</v>
      </c>
      <c r="AF1491" s="14"/>
    </row>
    <row r="1492" spans="1:32" ht="28.8" x14ac:dyDescent="0.3">
      <c r="A1492" s="23" t="s">
        <v>3256</v>
      </c>
      <c r="B1492" s="20" t="s">
        <v>16</v>
      </c>
      <c r="C1492" s="20" t="s">
        <v>7</v>
      </c>
      <c r="D1492" s="20" t="s">
        <v>8</v>
      </c>
      <c r="E1492" s="22">
        <v>163</v>
      </c>
      <c r="F1492" s="22">
        <v>4</v>
      </c>
      <c r="G1492" s="22">
        <v>6</v>
      </c>
      <c r="H1492" s="22"/>
      <c r="I1492" s="23" t="s">
        <v>33</v>
      </c>
      <c r="J1492" s="23"/>
      <c r="K1492" s="22"/>
      <c r="L1492" s="22"/>
      <c r="M1492" s="23"/>
      <c r="N1492" s="23"/>
      <c r="O1492" s="26" t="s">
        <v>3257</v>
      </c>
      <c r="P1492" s="26"/>
      <c r="Q1492" s="22">
        <v>46</v>
      </c>
      <c r="R1492" s="24">
        <v>45796</v>
      </c>
      <c r="S1492" s="24">
        <v>45797</v>
      </c>
      <c r="T1492" s="24"/>
      <c r="U1492" s="24"/>
      <c r="V1492" s="24">
        <v>45797</v>
      </c>
      <c r="W1492" s="22" t="s">
        <v>31</v>
      </c>
      <c r="X1492" s="4" t="str">
        <f>IF(Tabela2[[#This Row],[sigla]]="","",VLOOKUP(Tabela2[[#This Row],[sigla]],créditos_base!B:C,2,0))</f>
        <v>SILVIA OTOFUJI/ARQUIVO DA EDITORA</v>
      </c>
      <c r="Y1492" s="23" t="s">
        <v>188</v>
      </c>
      <c r="Z1492" s="23" t="str">
        <f>Tabela2[[#This Row],[ilustrador]]</f>
        <v>SILVIA OTOFUJI/ARQUIVO DA EDITORA</v>
      </c>
      <c r="AA1492" s="22">
        <v>14</v>
      </c>
      <c r="AB1492" s="20" t="s">
        <v>153</v>
      </c>
      <c r="AC1492" s="20" t="s">
        <v>36</v>
      </c>
      <c r="AD1492" s="4" t="str">
        <f>"Pitanguá"</f>
        <v>Pitanguá</v>
      </c>
      <c r="AE1492" s="14" t="str">
        <f>"Matemática"</f>
        <v>Matemática</v>
      </c>
      <c r="AF1492" s="14"/>
    </row>
    <row r="1493" spans="1:32" ht="28.8" x14ac:dyDescent="0.3">
      <c r="A1493" s="23" t="s">
        <v>4657</v>
      </c>
      <c r="B1493" s="20" t="s">
        <v>16</v>
      </c>
      <c r="C1493" s="20" t="s">
        <v>89</v>
      </c>
      <c r="D1493" s="20" t="s">
        <v>8</v>
      </c>
      <c r="E1493" s="22">
        <v>117</v>
      </c>
      <c r="F1493" s="22">
        <v>5</v>
      </c>
      <c r="G1493" s="22">
        <v>6</v>
      </c>
      <c r="H1493" s="22"/>
      <c r="I1493" s="23" t="s">
        <v>9</v>
      </c>
      <c r="J1493" s="23"/>
      <c r="K1493" s="22"/>
      <c r="L1493" s="22"/>
      <c r="M1493" s="23"/>
      <c r="N1493" s="23"/>
      <c r="O1493" s="26" t="s">
        <v>4658</v>
      </c>
      <c r="P1493" s="26"/>
      <c r="Q1493" s="22"/>
      <c r="R1493" s="24"/>
      <c r="S1493" s="24"/>
      <c r="T1493" s="24"/>
      <c r="U1493" s="24"/>
      <c r="V1493" s="24"/>
      <c r="W1493" s="22" t="s">
        <v>940</v>
      </c>
      <c r="X1493" s="4" t="str">
        <f>IF(Tabela2[[#This Row],[sigla]]="","",VLOOKUP(Tabela2[[#This Row],[sigla]],créditos_base!B:C,2,0))</f>
        <v>RONALDO LUCENA/ARQUIVO DA EDITORA</v>
      </c>
      <c r="Y1493" s="23"/>
      <c r="Z1493" s="23" t="str">
        <f>Tabela2[[#This Row],[ilustrador]]</f>
        <v>RONALDO LUCENA/ARQUIVO DA EDITORA</v>
      </c>
      <c r="AA1493" s="22"/>
      <c r="AB1493" s="20"/>
      <c r="AD1493" s="4" t="str">
        <f>"Pitanguá"</f>
        <v>Pitanguá</v>
      </c>
      <c r="AE1493" s="14" t="str">
        <f>"Matemática"</f>
        <v>Matemática</v>
      </c>
      <c r="AF1493" s="14"/>
    </row>
    <row r="1494" spans="1:32" ht="28.8" x14ac:dyDescent="0.3">
      <c r="A1494" s="23" t="s">
        <v>440</v>
      </c>
      <c r="B1494" s="20" t="s">
        <v>16</v>
      </c>
      <c r="C1494" s="20" t="s">
        <v>7</v>
      </c>
      <c r="D1494" s="20" t="s">
        <v>8</v>
      </c>
      <c r="E1494" s="22">
        <v>102</v>
      </c>
      <c r="F1494" s="22">
        <v>1</v>
      </c>
      <c r="G1494" s="22">
        <v>6</v>
      </c>
      <c r="H1494" s="22"/>
      <c r="I1494" s="23" t="s">
        <v>9</v>
      </c>
      <c r="J1494" s="23"/>
      <c r="K1494" s="22"/>
      <c r="L1494" s="22"/>
      <c r="M1494" s="23"/>
      <c r="N1494" s="23"/>
      <c r="O1494" s="26" t="s">
        <v>441</v>
      </c>
      <c r="P1494" s="26"/>
      <c r="Q1494" s="22"/>
      <c r="R1494" s="24"/>
      <c r="S1494" s="24"/>
      <c r="T1494" s="24"/>
      <c r="U1494" s="24"/>
      <c r="V1494" s="24"/>
      <c r="W1494" s="22" t="s">
        <v>87</v>
      </c>
      <c r="X1494" s="4" t="str">
        <f>IF(Tabela2[[#This Row],[sigla]]="","",VLOOKUP(Tabela2[[#This Row],[sigla]],créditos_base!B:C,2,0))</f>
        <v>CHRIS BORGES/ARQUIVO DA EDITORA</v>
      </c>
      <c r="Y1494" s="23"/>
      <c r="Z1494" s="23" t="str">
        <f>Tabela2[[#This Row],[ilustrador]]</f>
        <v>CHRIS BORGES/ARQUIVO DA EDITORA</v>
      </c>
      <c r="AA1494" s="22"/>
      <c r="AB1494" s="20"/>
      <c r="AD1494" s="4" t="str">
        <f>"Pitanguá"</f>
        <v>Pitanguá</v>
      </c>
      <c r="AE1494" s="14" t="str">
        <f>"Matemática"</f>
        <v>Matemática</v>
      </c>
      <c r="AF1494" s="14"/>
    </row>
    <row r="1495" spans="1:32" ht="28.8" x14ac:dyDescent="0.3">
      <c r="A1495" s="23" t="s">
        <v>4659</v>
      </c>
      <c r="B1495" s="20" t="s">
        <v>16</v>
      </c>
      <c r="C1495" s="20" t="s">
        <v>89</v>
      </c>
      <c r="D1495" s="20" t="s">
        <v>8</v>
      </c>
      <c r="E1495" s="22">
        <v>117</v>
      </c>
      <c r="F1495" s="22">
        <v>5</v>
      </c>
      <c r="G1495" s="22">
        <v>6</v>
      </c>
      <c r="H1495" s="22"/>
      <c r="I1495" s="23" t="s">
        <v>9</v>
      </c>
      <c r="J1495" s="23"/>
      <c r="K1495" s="22"/>
      <c r="L1495" s="22"/>
      <c r="M1495" s="23"/>
      <c r="N1495" s="23"/>
      <c r="O1495" s="26" t="s">
        <v>4660</v>
      </c>
      <c r="P1495" s="26"/>
      <c r="Q1495" s="22"/>
      <c r="R1495" s="24"/>
      <c r="S1495" s="24"/>
      <c r="T1495" s="24"/>
      <c r="U1495" s="24"/>
      <c r="V1495" s="24"/>
      <c r="W1495" s="22" t="s">
        <v>940</v>
      </c>
      <c r="X1495" s="4" t="str">
        <f>IF(Tabela2[[#This Row],[sigla]]="","",VLOOKUP(Tabela2[[#This Row],[sigla]],créditos_base!B:C,2,0))</f>
        <v>RONALDO LUCENA/ARQUIVO DA EDITORA</v>
      </c>
      <c r="Y1495" s="23"/>
      <c r="Z1495" s="23" t="str">
        <f>Tabela2[[#This Row],[ilustrador]]</f>
        <v>RONALDO LUCENA/ARQUIVO DA EDITORA</v>
      </c>
      <c r="AA1495" s="22"/>
      <c r="AB1495" s="20"/>
      <c r="AD1495" s="4" t="str">
        <f>"Pitanguá"</f>
        <v>Pitanguá</v>
      </c>
      <c r="AE1495" s="14" t="str">
        <f>"Matemática"</f>
        <v>Matemática</v>
      </c>
      <c r="AF1495" s="14"/>
    </row>
    <row r="1496" spans="1:32" ht="28.8" x14ac:dyDescent="0.3">
      <c r="A1496" s="23" t="s">
        <v>442</v>
      </c>
      <c r="B1496" s="20" t="s">
        <v>16</v>
      </c>
      <c r="C1496" s="20" t="s">
        <v>7</v>
      </c>
      <c r="D1496" s="20" t="s">
        <v>8</v>
      </c>
      <c r="E1496" s="22">
        <v>102</v>
      </c>
      <c r="F1496" s="22">
        <v>1</v>
      </c>
      <c r="G1496" s="22">
        <v>6</v>
      </c>
      <c r="H1496" s="22"/>
      <c r="I1496" s="23" t="s">
        <v>9</v>
      </c>
      <c r="J1496" s="23"/>
      <c r="K1496" s="22"/>
      <c r="L1496" s="22"/>
      <c r="M1496" s="23"/>
      <c r="N1496" s="23"/>
      <c r="O1496" s="26" t="s">
        <v>443</v>
      </c>
      <c r="P1496" s="26"/>
      <c r="Q1496" s="22"/>
      <c r="R1496" s="24"/>
      <c r="S1496" s="24"/>
      <c r="T1496" s="24"/>
      <c r="U1496" s="24"/>
      <c r="V1496" s="24"/>
      <c r="W1496" s="22" t="s">
        <v>87</v>
      </c>
      <c r="X1496" s="4" t="str">
        <f>IF(Tabela2[[#This Row],[sigla]]="","",VLOOKUP(Tabela2[[#This Row],[sigla]],créditos_base!B:C,2,0))</f>
        <v>CHRIS BORGES/ARQUIVO DA EDITORA</v>
      </c>
      <c r="Y1496" s="23"/>
      <c r="Z1496" s="23" t="str">
        <f>Tabela2[[#This Row],[ilustrador]]</f>
        <v>CHRIS BORGES/ARQUIVO DA EDITORA</v>
      </c>
      <c r="AA1496" s="22"/>
      <c r="AB1496" s="20"/>
      <c r="AD1496" s="4" t="str">
        <f>"Pitanguá"</f>
        <v>Pitanguá</v>
      </c>
      <c r="AE1496" s="14" t="str">
        <f>"Matemática"</f>
        <v>Matemática</v>
      </c>
      <c r="AF1496" s="14"/>
    </row>
    <row r="1497" spans="1:32" ht="28.8" x14ac:dyDescent="0.3">
      <c r="A1497" s="23" t="s">
        <v>4661</v>
      </c>
      <c r="B1497" s="20" t="s">
        <v>16</v>
      </c>
      <c r="C1497" s="20" t="s">
        <v>7</v>
      </c>
      <c r="D1497" s="20" t="s">
        <v>8</v>
      </c>
      <c r="E1497" s="22">
        <v>118</v>
      </c>
      <c r="F1497" s="22">
        <v>5</v>
      </c>
      <c r="G1497" s="22">
        <v>6</v>
      </c>
      <c r="H1497" s="22"/>
      <c r="I1497" s="23" t="s">
        <v>9</v>
      </c>
      <c r="J1497" s="23"/>
      <c r="K1497" s="22"/>
      <c r="L1497" s="22"/>
      <c r="M1497" s="23"/>
      <c r="N1497" s="23"/>
      <c r="O1497" s="26" t="s">
        <v>4662</v>
      </c>
      <c r="P1497" s="26"/>
      <c r="Q1497" s="22"/>
      <c r="R1497" s="24"/>
      <c r="S1497" s="24"/>
      <c r="T1497" s="24"/>
      <c r="U1497" s="24"/>
      <c r="V1497" s="24"/>
      <c r="W1497" s="22" t="s">
        <v>3382</v>
      </c>
      <c r="X1497" s="4" t="str">
        <f>IF(Tabela2[[#This Row],[sigla]]="","",VLOOKUP(Tabela2[[#This Row],[sigla]],créditos_base!B:C,2,0))</f>
        <v>LEONARDO MARI/ARQUIVO DA EDITORA</v>
      </c>
      <c r="Y1497" s="23"/>
      <c r="Z1497" s="23" t="str">
        <f>Tabela2[[#This Row],[ilustrador]]</f>
        <v>LEONARDO MARI/ARQUIVO DA EDITORA</v>
      </c>
      <c r="AA1497" s="22"/>
      <c r="AB1497" s="20"/>
      <c r="AD1497" s="4" t="str">
        <f>"Pitanguá"</f>
        <v>Pitanguá</v>
      </c>
      <c r="AE1497" s="14" t="str">
        <f>"Matemática"</f>
        <v>Matemática</v>
      </c>
      <c r="AF1497" s="14"/>
    </row>
    <row r="1498" spans="1:32" ht="57.6" x14ac:dyDescent="0.3">
      <c r="A1498" s="23" t="s">
        <v>444</v>
      </c>
      <c r="B1498" s="20" t="s">
        <v>16</v>
      </c>
      <c r="C1498" s="20" t="s">
        <v>7</v>
      </c>
      <c r="D1498" s="20" t="s">
        <v>8</v>
      </c>
      <c r="E1498" s="22">
        <v>102</v>
      </c>
      <c r="F1498" s="22">
        <v>1</v>
      </c>
      <c r="G1498" s="22">
        <v>6</v>
      </c>
      <c r="H1498" s="22"/>
      <c r="I1498" s="23" t="s">
        <v>9</v>
      </c>
      <c r="J1498" s="23"/>
      <c r="K1498" s="22"/>
      <c r="L1498" s="22"/>
      <c r="M1498" s="23"/>
      <c r="N1498" s="23"/>
      <c r="O1498" s="26" t="s">
        <v>445</v>
      </c>
      <c r="P1498" s="26"/>
      <c r="Q1498" s="22"/>
      <c r="R1498" s="24"/>
      <c r="S1498" s="24"/>
      <c r="T1498" s="24"/>
      <c r="U1498" s="24"/>
      <c r="V1498" s="24"/>
      <c r="W1498" s="22" t="s">
        <v>87</v>
      </c>
      <c r="X1498" s="4" t="str">
        <f>IF(Tabela2[[#This Row],[sigla]]="","",VLOOKUP(Tabela2[[#This Row],[sigla]],créditos_base!B:C,2,0))</f>
        <v>CHRIS BORGES/ARQUIVO DA EDITORA</v>
      </c>
      <c r="Y1498" s="23"/>
      <c r="Z1498" s="23" t="str">
        <f>Tabela2[[#This Row],[ilustrador]]</f>
        <v>CHRIS BORGES/ARQUIVO DA EDITORA</v>
      </c>
      <c r="AA1498" s="22"/>
      <c r="AB1498" s="20"/>
      <c r="AD1498" s="4" t="str">
        <f>"Pitanguá"</f>
        <v>Pitanguá</v>
      </c>
      <c r="AE1498" s="14" t="str">
        <f>"Matemática"</f>
        <v>Matemática</v>
      </c>
      <c r="AF1498" s="14"/>
    </row>
    <row r="1499" spans="1:32" x14ac:dyDescent="0.3">
      <c r="A1499" s="23" t="s">
        <v>4524</v>
      </c>
      <c r="B1499" s="20" t="s">
        <v>16</v>
      </c>
      <c r="C1499" s="20" t="s">
        <v>7</v>
      </c>
      <c r="D1499" s="20" t="s">
        <v>8</v>
      </c>
      <c r="E1499" s="22">
        <v>169</v>
      </c>
      <c r="F1499" s="22">
        <v>2</v>
      </c>
      <c r="G1499" s="22">
        <v>6</v>
      </c>
      <c r="H1499" s="22"/>
      <c r="I1499" s="23" t="s">
        <v>33</v>
      </c>
      <c r="J1499" s="23"/>
      <c r="K1499" s="22"/>
      <c r="L1499" s="22"/>
      <c r="M1499" s="23"/>
      <c r="N1499" s="23"/>
      <c r="O1499" s="26" t="s">
        <v>4525</v>
      </c>
      <c r="P1499" s="26"/>
      <c r="Q1499" s="22">
        <v>71</v>
      </c>
      <c r="R1499" s="24">
        <v>45813</v>
      </c>
      <c r="S1499" s="24">
        <v>45819</v>
      </c>
      <c r="T1499" s="24"/>
      <c r="U1499" s="24"/>
      <c r="V1499" s="24">
        <v>45820</v>
      </c>
      <c r="W1499" s="22" t="s">
        <v>87</v>
      </c>
      <c r="X1499" s="4" t="str">
        <f>IF(Tabela2[[#This Row],[sigla]]="","",VLOOKUP(Tabela2[[#This Row],[sigla]],créditos_base!B:C,2,0))</f>
        <v>CHRIS BORGES/ARQUIVO DA EDITORA</v>
      </c>
      <c r="Y1499" s="23" t="s">
        <v>1139</v>
      </c>
      <c r="Z1499" s="23" t="str">
        <f>Tabela2[[#This Row],[ilustrador]]</f>
        <v>CHRIS BORGES/ARQUIVO DA EDITORA</v>
      </c>
      <c r="AA1499" s="22">
        <v>13</v>
      </c>
      <c r="AB1499" s="20" t="s">
        <v>1771</v>
      </c>
      <c r="AC1499" s="20" t="s">
        <v>36</v>
      </c>
      <c r="AD1499" s="4" t="str">
        <f>"Pitanguá"</f>
        <v>Pitanguá</v>
      </c>
      <c r="AE1499" s="14" t="str">
        <f>"Matemática"</f>
        <v>Matemática</v>
      </c>
      <c r="AF1499" s="14"/>
    </row>
    <row r="1500" spans="1:32" x14ac:dyDescent="0.3">
      <c r="A1500" s="23" t="s">
        <v>4663</v>
      </c>
      <c r="B1500" s="20" t="s">
        <v>16</v>
      </c>
      <c r="C1500" s="20" t="s">
        <v>89</v>
      </c>
      <c r="D1500" s="20" t="s">
        <v>8</v>
      </c>
      <c r="E1500" s="22">
        <v>118</v>
      </c>
      <c r="F1500" s="22">
        <v>5</v>
      </c>
      <c r="G1500" s="22">
        <v>6</v>
      </c>
      <c r="H1500" s="22"/>
      <c r="I1500" s="23" t="s">
        <v>9</v>
      </c>
      <c r="J1500" s="23"/>
      <c r="K1500" s="22"/>
      <c r="L1500" s="22"/>
      <c r="M1500" s="23"/>
      <c r="N1500" s="23"/>
      <c r="O1500" s="26" t="s">
        <v>4664</v>
      </c>
      <c r="P1500" s="26"/>
      <c r="Q1500" s="22"/>
      <c r="R1500" s="24"/>
      <c r="S1500" s="24"/>
      <c r="T1500" s="24"/>
      <c r="U1500" s="24"/>
      <c r="V1500" s="24"/>
      <c r="W1500" s="22" t="s">
        <v>940</v>
      </c>
      <c r="X1500" s="4" t="str">
        <f>IF(Tabela2[[#This Row],[sigla]]="","",VLOOKUP(Tabela2[[#This Row],[sigla]],créditos_base!B:C,2,0))</f>
        <v>RONALDO LUCENA/ARQUIVO DA EDITORA</v>
      </c>
      <c r="Y1500" s="23"/>
      <c r="Z1500" s="23" t="str">
        <f>Tabela2[[#This Row],[ilustrador]]</f>
        <v>RONALDO LUCENA/ARQUIVO DA EDITORA</v>
      </c>
      <c r="AA1500" s="22"/>
      <c r="AB1500" s="20"/>
      <c r="AD1500" s="4" t="str">
        <f>"Pitanguá"</f>
        <v>Pitanguá</v>
      </c>
      <c r="AE1500" s="14" t="str">
        <f>"Matemática"</f>
        <v>Matemática</v>
      </c>
      <c r="AF1500" s="14"/>
    </row>
    <row r="1501" spans="1:32" x14ac:dyDescent="0.3">
      <c r="A1501" s="23" t="s">
        <v>446</v>
      </c>
      <c r="B1501" s="20" t="s">
        <v>16</v>
      </c>
      <c r="C1501" s="20" t="s">
        <v>7</v>
      </c>
      <c r="D1501" s="20" t="s">
        <v>8</v>
      </c>
      <c r="E1501" s="22">
        <v>103</v>
      </c>
      <c r="F1501" s="22">
        <v>1</v>
      </c>
      <c r="G1501" s="22">
        <v>6</v>
      </c>
      <c r="H1501" s="22"/>
      <c r="I1501" s="23" t="s">
        <v>9</v>
      </c>
      <c r="J1501" s="23"/>
      <c r="K1501" s="22"/>
      <c r="L1501" s="22"/>
      <c r="M1501" s="23"/>
      <c r="N1501" s="23"/>
      <c r="O1501" s="26" t="s">
        <v>447</v>
      </c>
      <c r="P1501" s="26"/>
      <c r="Q1501" s="22"/>
      <c r="R1501" s="24"/>
      <c r="S1501" s="24"/>
      <c r="T1501" s="24"/>
      <c r="U1501" s="24"/>
      <c r="V1501" s="24"/>
      <c r="W1501" s="22" t="s">
        <v>87</v>
      </c>
      <c r="X1501" s="4" t="str">
        <f>IF(Tabela2[[#This Row],[sigla]]="","",VLOOKUP(Tabela2[[#This Row],[sigla]],créditos_base!B:C,2,0))</f>
        <v>CHRIS BORGES/ARQUIVO DA EDITORA</v>
      </c>
      <c r="Y1501" s="23"/>
      <c r="Z1501" s="23" t="str">
        <f>Tabela2[[#This Row],[ilustrador]]</f>
        <v>CHRIS BORGES/ARQUIVO DA EDITORA</v>
      </c>
      <c r="AA1501" s="22"/>
      <c r="AB1501" s="20"/>
      <c r="AD1501" s="4" t="str">
        <f>"Pitanguá"</f>
        <v>Pitanguá</v>
      </c>
      <c r="AE1501" s="14" t="str">
        <f>"Matemática"</f>
        <v>Matemática</v>
      </c>
      <c r="AF1501" s="14"/>
    </row>
    <row r="1502" spans="1:32" ht="57.6" x14ac:dyDescent="0.3">
      <c r="A1502" s="30" t="s">
        <v>1555</v>
      </c>
      <c r="B1502" s="20" t="s">
        <v>16</v>
      </c>
      <c r="C1502" s="20" t="s">
        <v>7</v>
      </c>
      <c r="D1502" s="20" t="s">
        <v>8</v>
      </c>
      <c r="E1502" s="22">
        <v>100</v>
      </c>
      <c r="F1502" s="22">
        <v>2</v>
      </c>
      <c r="G1502" s="22">
        <v>6</v>
      </c>
      <c r="H1502" s="22"/>
      <c r="I1502" s="23" t="s">
        <v>9</v>
      </c>
      <c r="J1502" s="23"/>
      <c r="K1502" s="22"/>
      <c r="L1502" s="22"/>
      <c r="M1502" s="23"/>
      <c r="N1502" s="23"/>
      <c r="O1502" s="26" t="s">
        <v>1556</v>
      </c>
      <c r="P1502" s="26"/>
      <c r="Q1502" s="22"/>
      <c r="R1502" s="24"/>
      <c r="S1502" s="24"/>
      <c r="T1502" s="24"/>
      <c r="U1502" s="24"/>
      <c r="V1502" s="24"/>
      <c r="W1502" s="22" t="s">
        <v>546</v>
      </c>
      <c r="X1502" s="4" t="str">
        <f>IF(Tabela2[[#This Row],[sigla]]="","",VLOOKUP(Tabela2[[#This Row],[sigla]],créditos_base!B:C,2,0))</f>
        <v>GUILHERME ARANEGA/ARQUIVO DA EDITORA</v>
      </c>
      <c r="Y1502" s="23"/>
      <c r="Z1502" s="23" t="str">
        <f>Tabela2[[#This Row],[ilustrador]]</f>
        <v>GUILHERME ARANEGA/ARQUIVO DA EDITORA</v>
      </c>
      <c r="AA1502" s="22"/>
      <c r="AB1502" s="20"/>
      <c r="AD1502" s="4" t="str">
        <f>"Pitanguá"</f>
        <v>Pitanguá</v>
      </c>
      <c r="AE1502" s="14" t="str">
        <f>"Matemática"</f>
        <v>Matemática</v>
      </c>
      <c r="AF1502" s="14"/>
    </row>
    <row r="1503" spans="1:32" x14ac:dyDescent="0.3">
      <c r="A1503" s="23" t="s">
        <v>2255</v>
      </c>
      <c r="B1503" s="20" t="s">
        <v>16</v>
      </c>
      <c r="C1503" s="20" t="s">
        <v>7</v>
      </c>
      <c r="D1503" s="20" t="s">
        <v>8</v>
      </c>
      <c r="E1503" s="22">
        <v>108</v>
      </c>
      <c r="F1503" s="22">
        <v>3</v>
      </c>
      <c r="G1503" s="22">
        <v>6</v>
      </c>
      <c r="H1503" s="22"/>
      <c r="I1503" s="23" t="s">
        <v>33</v>
      </c>
      <c r="J1503" s="23"/>
      <c r="K1503" s="22"/>
      <c r="L1503" s="22"/>
      <c r="M1503" s="23"/>
      <c r="N1503" s="23"/>
      <c r="O1503" s="26" t="s">
        <v>2256</v>
      </c>
      <c r="P1503" s="26"/>
      <c r="Q1503" s="22">
        <v>169</v>
      </c>
      <c r="R1503" s="24">
        <v>45895</v>
      </c>
      <c r="S1503" s="24">
        <v>45895</v>
      </c>
      <c r="T1503" s="24"/>
      <c r="U1503" s="24"/>
      <c r="V1503" s="24">
        <v>45896</v>
      </c>
      <c r="W1503" s="22" t="s">
        <v>230</v>
      </c>
      <c r="X1503" s="4" t="str">
        <f>IF(Tabela2[[#This Row],[sigla]]="","",VLOOKUP(Tabela2[[#This Row],[sigla]],créditos_base!B:C,2,0))</f>
        <v>RAFAEL L. GAION/ARQUIVO DA EDITORA</v>
      </c>
      <c r="Y1503" s="23" t="s">
        <v>243</v>
      </c>
      <c r="Z1503" s="23" t="str">
        <f>Tabela2[[#This Row],[ilustrador]]</f>
        <v>RAFAEL L. GAION/ARQUIVO DA EDITORA</v>
      </c>
      <c r="AA1503" s="22">
        <v>13</v>
      </c>
      <c r="AB1503" s="20" t="s">
        <v>2257</v>
      </c>
      <c r="AC1503" s="20" t="s">
        <v>36</v>
      </c>
      <c r="AD1503" s="4" t="str">
        <f>"Pitanguá"</f>
        <v>Pitanguá</v>
      </c>
      <c r="AE1503" s="14" t="str">
        <f>"Matemática"</f>
        <v>Matemática</v>
      </c>
      <c r="AF1503" s="14"/>
    </row>
    <row r="1504" spans="1:32" ht="28.8" x14ac:dyDescent="0.3">
      <c r="A1504" s="23" t="s">
        <v>5223</v>
      </c>
      <c r="B1504" s="20" t="s">
        <v>16</v>
      </c>
      <c r="C1504" s="20" t="s">
        <v>7</v>
      </c>
      <c r="D1504" s="20" t="s">
        <v>8</v>
      </c>
      <c r="E1504" s="22">
        <v>164</v>
      </c>
      <c r="F1504" s="22">
        <v>4</v>
      </c>
      <c r="G1504" s="22">
        <v>6</v>
      </c>
      <c r="H1504" s="22"/>
      <c r="I1504" s="23" t="s">
        <v>33</v>
      </c>
      <c r="J1504" s="23"/>
      <c r="K1504" s="22"/>
      <c r="L1504" s="22"/>
      <c r="M1504" s="23"/>
      <c r="N1504" s="23"/>
      <c r="O1504" s="26" t="s">
        <v>5224</v>
      </c>
      <c r="P1504" s="26"/>
      <c r="Q1504" s="22">
        <v>108</v>
      </c>
      <c r="R1504" s="24">
        <v>45852</v>
      </c>
      <c r="S1504" s="24">
        <v>45854</v>
      </c>
      <c r="T1504" s="24"/>
      <c r="U1504" s="24"/>
      <c r="V1504" s="24">
        <v>45854</v>
      </c>
      <c r="W1504" s="22" t="s">
        <v>12</v>
      </c>
      <c r="X1504" s="4" t="str">
        <f>IF(Tabela2[[#This Row],[sigla]]="","",VLOOKUP(Tabela2[[#This Row],[sigla]],créditos_base!B:C,2,0))</f>
        <v>JORGE ZAIBA/ARQUIVO DA EDITORA</v>
      </c>
      <c r="Y1504" s="23" t="s">
        <v>152</v>
      </c>
      <c r="Z1504" s="23" t="str">
        <f>Tabela2[[#This Row],[ilustrador]]</f>
        <v>JORGE ZAIBA/ARQUIVO DA EDITORA</v>
      </c>
      <c r="AA1504" s="22">
        <v>13</v>
      </c>
      <c r="AB1504" s="20" t="s">
        <v>244</v>
      </c>
      <c r="AC1504" s="20" t="s">
        <v>36</v>
      </c>
      <c r="AD1504" s="4" t="str">
        <f>"Pitanguá"</f>
        <v>Pitanguá</v>
      </c>
      <c r="AE1504" s="14" t="str">
        <f>"Matemática"</f>
        <v>Matemática</v>
      </c>
      <c r="AF1504" s="14"/>
    </row>
    <row r="1505" spans="1:32" ht="28.8" x14ac:dyDescent="0.3">
      <c r="A1505" s="23" t="s">
        <v>4665</v>
      </c>
      <c r="B1505" s="20" t="s">
        <v>16</v>
      </c>
      <c r="C1505" s="20" t="s">
        <v>89</v>
      </c>
      <c r="D1505" s="20" t="s">
        <v>8</v>
      </c>
      <c r="E1505" s="22">
        <v>118</v>
      </c>
      <c r="F1505" s="22">
        <v>5</v>
      </c>
      <c r="G1505" s="22">
        <v>6</v>
      </c>
      <c r="H1505" s="22"/>
      <c r="I1505" s="23" t="s">
        <v>9</v>
      </c>
      <c r="J1505" s="23"/>
      <c r="K1505" s="22"/>
      <c r="L1505" s="22"/>
      <c r="M1505" s="23"/>
      <c r="N1505" s="23"/>
      <c r="O1505" s="26" t="s">
        <v>4666</v>
      </c>
      <c r="P1505" s="26"/>
      <c r="Q1505" s="22"/>
      <c r="R1505" s="24"/>
      <c r="S1505" s="24"/>
      <c r="T1505" s="24"/>
      <c r="U1505" s="24"/>
      <c r="V1505" s="24"/>
      <c r="W1505" s="22" t="s">
        <v>940</v>
      </c>
      <c r="X1505" s="4" t="str">
        <f>IF(Tabela2[[#This Row],[sigla]]="","",VLOOKUP(Tabela2[[#This Row],[sigla]],créditos_base!B:C,2,0))</f>
        <v>RONALDO LUCENA/ARQUIVO DA EDITORA</v>
      </c>
      <c r="Y1505" s="23"/>
      <c r="Z1505" s="23" t="str">
        <f>Tabela2[[#This Row],[ilustrador]]</f>
        <v>RONALDO LUCENA/ARQUIVO DA EDITORA</v>
      </c>
      <c r="AA1505" s="22"/>
      <c r="AB1505" s="20"/>
      <c r="AD1505" s="4" t="str">
        <f>"Pitanguá"</f>
        <v>Pitanguá</v>
      </c>
      <c r="AE1505" s="14" t="str">
        <f>"Matemática"</f>
        <v>Matemática</v>
      </c>
      <c r="AF1505" s="14"/>
    </row>
    <row r="1506" spans="1:32" ht="28.8" x14ac:dyDescent="0.3">
      <c r="A1506" s="23" t="s">
        <v>448</v>
      </c>
      <c r="B1506" s="20" t="s">
        <v>16</v>
      </c>
      <c r="C1506" s="20" t="s">
        <v>7</v>
      </c>
      <c r="D1506" s="20" t="s">
        <v>8</v>
      </c>
      <c r="E1506" s="22">
        <v>103</v>
      </c>
      <c r="F1506" s="22">
        <v>1</v>
      </c>
      <c r="G1506" s="22">
        <v>6</v>
      </c>
      <c r="H1506" s="22"/>
      <c r="I1506" s="23" t="s">
        <v>9</v>
      </c>
      <c r="J1506" s="23"/>
      <c r="K1506" s="22"/>
      <c r="L1506" s="22"/>
      <c r="M1506" s="23"/>
      <c r="N1506" s="23"/>
      <c r="O1506" s="26" t="s">
        <v>449</v>
      </c>
      <c r="P1506" s="26"/>
      <c r="Q1506" s="22"/>
      <c r="R1506" s="24"/>
      <c r="S1506" s="24"/>
      <c r="T1506" s="24"/>
      <c r="U1506" s="24"/>
      <c r="V1506" s="24"/>
      <c r="W1506" s="22" t="s">
        <v>87</v>
      </c>
      <c r="X1506" s="4" t="str">
        <f>IF(Tabela2[[#This Row],[sigla]]="","",VLOOKUP(Tabela2[[#This Row],[sigla]],créditos_base!B:C,2,0))</f>
        <v>CHRIS BORGES/ARQUIVO DA EDITORA</v>
      </c>
      <c r="Y1506" s="23"/>
      <c r="Z1506" s="23" t="str">
        <f>Tabela2[[#This Row],[ilustrador]]</f>
        <v>CHRIS BORGES/ARQUIVO DA EDITORA</v>
      </c>
      <c r="AA1506" s="22"/>
      <c r="AB1506" s="20"/>
      <c r="AD1506" s="4" t="str">
        <f>"Pitanguá"</f>
        <v>Pitanguá</v>
      </c>
      <c r="AE1506" s="14" t="str">
        <f>"Matemática"</f>
        <v>Matemática</v>
      </c>
      <c r="AF1506" s="14"/>
    </row>
    <row r="1507" spans="1:32" ht="43.2" x14ac:dyDescent="0.3">
      <c r="A1507" s="30" t="s">
        <v>1557</v>
      </c>
      <c r="B1507" s="20" t="s">
        <v>16</v>
      </c>
      <c r="C1507" s="20" t="s">
        <v>89</v>
      </c>
      <c r="D1507" s="20" t="s">
        <v>8</v>
      </c>
      <c r="E1507" s="22">
        <v>100</v>
      </c>
      <c r="F1507" s="22">
        <v>2</v>
      </c>
      <c r="G1507" s="22">
        <v>6</v>
      </c>
      <c r="H1507" s="22"/>
      <c r="I1507" s="23" t="s">
        <v>9</v>
      </c>
      <c r="J1507" s="23"/>
      <c r="K1507" s="22"/>
      <c r="L1507" s="22"/>
      <c r="M1507" s="23"/>
      <c r="N1507" s="23"/>
      <c r="O1507" s="26" t="s">
        <v>1558</v>
      </c>
      <c r="P1507" s="26"/>
      <c r="Q1507" s="22"/>
      <c r="R1507" s="24"/>
      <c r="S1507" s="24"/>
      <c r="T1507" s="24"/>
      <c r="U1507" s="24"/>
      <c r="V1507" s="24"/>
      <c r="W1507" s="22" t="s">
        <v>468</v>
      </c>
      <c r="X1507" s="4" t="str">
        <f>IF(Tabela2[[#This Row],[sigla]]="","",VLOOKUP(Tabela2[[#This Row],[sigla]],créditos_base!B:C,2,0))</f>
        <v>VER DOCUMENTO DE ILS. TÉCNICAS</v>
      </c>
      <c r="Y1507" s="23"/>
      <c r="Z1507" s="23" t="s">
        <v>469</v>
      </c>
      <c r="AA1507" s="22"/>
      <c r="AB1507" s="20"/>
      <c r="AD1507" s="4" t="str">
        <f>"Pitanguá"</f>
        <v>Pitanguá</v>
      </c>
      <c r="AE1507" s="14" t="str">
        <f>"Matemática"</f>
        <v>Matemática</v>
      </c>
      <c r="AF1507" s="14"/>
    </row>
    <row r="1508" spans="1:32" x14ac:dyDescent="0.3">
      <c r="A1508" s="23" t="s">
        <v>3258</v>
      </c>
      <c r="B1508" s="20" t="s">
        <v>16</v>
      </c>
      <c r="C1508" s="20" t="s">
        <v>7</v>
      </c>
      <c r="D1508" s="20" t="s">
        <v>8</v>
      </c>
      <c r="E1508" s="22">
        <v>165</v>
      </c>
      <c r="F1508" s="22">
        <v>4</v>
      </c>
      <c r="G1508" s="22">
        <v>6</v>
      </c>
      <c r="H1508" s="22"/>
      <c r="I1508" s="23" t="s">
        <v>33</v>
      </c>
      <c r="J1508" s="23"/>
      <c r="K1508" s="22"/>
      <c r="L1508" s="22"/>
      <c r="M1508" s="23"/>
      <c r="N1508" s="23"/>
      <c r="O1508" s="26" t="s">
        <v>3259</v>
      </c>
      <c r="P1508" s="26"/>
      <c r="Q1508" s="22">
        <v>188</v>
      </c>
      <c r="R1508" s="24">
        <v>45911</v>
      </c>
      <c r="S1508" s="24">
        <v>45911</v>
      </c>
      <c r="T1508" s="24"/>
      <c r="U1508" s="24"/>
      <c r="V1508" s="24">
        <v>45911</v>
      </c>
      <c r="W1508" s="22" t="s">
        <v>940</v>
      </c>
      <c r="X1508" s="4" t="str">
        <f>IF(Tabela2[[#This Row],[sigla]]="","",VLOOKUP(Tabela2[[#This Row],[sigla]],créditos_base!B:C,2,0))</f>
        <v>RONALDO LUCENA/ARQUIVO DA EDITORA</v>
      </c>
      <c r="Y1508" s="23" t="s">
        <v>813</v>
      </c>
      <c r="Z1508" s="23" t="str">
        <f>Tabela2[[#This Row],[ilustrador]]</f>
        <v>RONALDO LUCENA/ARQUIVO DA EDITORA</v>
      </c>
      <c r="AA1508" s="22">
        <v>13</v>
      </c>
      <c r="AB1508" s="20" t="s">
        <v>525</v>
      </c>
      <c r="AC1508" s="20" t="s">
        <v>36</v>
      </c>
      <c r="AD1508" s="4" t="str">
        <f>"Pitanguá"</f>
        <v>Pitanguá</v>
      </c>
      <c r="AE1508" s="14" t="str">
        <f>"Matemática"</f>
        <v>Matemática</v>
      </c>
      <c r="AF1508" s="14"/>
    </row>
    <row r="1509" spans="1:32" ht="28.8" x14ac:dyDescent="0.3">
      <c r="A1509" s="23" t="s">
        <v>4667</v>
      </c>
      <c r="B1509" s="20" t="s">
        <v>16</v>
      </c>
      <c r="C1509" s="20" t="s">
        <v>89</v>
      </c>
      <c r="D1509" s="20" t="s">
        <v>8</v>
      </c>
      <c r="E1509" s="22">
        <v>118</v>
      </c>
      <c r="F1509" s="22">
        <v>5</v>
      </c>
      <c r="G1509" s="22">
        <v>6</v>
      </c>
      <c r="H1509" s="22"/>
      <c r="I1509" s="23" t="s">
        <v>9</v>
      </c>
      <c r="J1509" s="23"/>
      <c r="K1509" s="22"/>
      <c r="L1509" s="22"/>
      <c r="M1509" s="23"/>
      <c r="N1509" s="23"/>
      <c r="O1509" s="26" t="s">
        <v>4668</v>
      </c>
      <c r="P1509" s="26"/>
      <c r="Q1509" s="22"/>
      <c r="R1509" s="24"/>
      <c r="S1509" s="24"/>
      <c r="T1509" s="24"/>
      <c r="U1509" s="24"/>
      <c r="V1509" s="24"/>
      <c r="W1509" s="22" t="s">
        <v>940</v>
      </c>
      <c r="X1509" s="4" t="str">
        <f>IF(Tabela2[[#This Row],[sigla]]="","",VLOOKUP(Tabela2[[#This Row],[sigla]],créditos_base!B:C,2,0))</f>
        <v>RONALDO LUCENA/ARQUIVO DA EDITORA</v>
      </c>
      <c r="Y1509" s="23"/>
      <c r="Z1509" s="23" t="str">
        <f>Tabela2[[#This Row],[ilustrador]]</f>
        <v>RONALDO LUCENA/ARQUIVO DA EDITORA</v>
      </c>
      <c r="AA1509" s="22"/>
      <c r="AB1509" s="20"/>
      <c r="AD1509" s="4" t="str">
        <f>"Pitanguá"</f>
        <v>Pitanguá</v>
      </c>
      <c r="AE1509" s="14" t="str">
        <f>"Matemática"</f>
        <v>Matemática</v>
      </c>
      <c r="AF1509" s="14"/>
    </row>
    <row r="1510" spans="1:32" x14ac:dyDescent="0.3">
      <c r="A1510" s="23" t="s">
        <v>450</v>
      </c>
      <c r="B1510" s="20" t="s">
        <v>16</v>
      </c>
      <c r="C1510" s="20" t="s">
        <v>7</v>
      </c>
      <c r="D1510" s="20" t="s">
        <v>8</v>
      </c>
      <c r="E1510" s="22">
        <v>103</v>
      </c>
      <c r="F1510" s="22">
        <v>1</v>
      </c>
      <c r="G1510" s="22">
        <v>6</v>
      </c>
      <c r="H1510" s="22"/>
      <c r="I1510" s="23" t="s">
        <v>9</v>
      </c>
      <c r="J1510" s="23"/>
      <c r="K1510" s="22"/>
      <c r="L1510" s="22"/>
      <c r="M1510" s="23"/>
      <c r="N1510" s="23"/>
      <c r="O1510" s="26" t="s">
        <v>451</v>
      </c>
      <c r="P1510" s="26"/>
      <c r="Q1510" s="22"/>
      <c r="R1510" s="24"/>
      <c r="S1510" s="24"/>
      <c r="T1510" s="24"/>
      <c r="U1510" s="24"/>
      <c r="V1510" s="24"/>
      <c r="W1510" s="22" t="s">
        <v>87</v>
      </c>
      <c r="X1510" s="4" t="str">
        <f>IF(Tabela2[[#This Row],[sigla]]="","",VLOOKUP(Tabela2[[#This Row],[sigla]],créditos_base!B:C,2,0))</f>
        <v>CHRIS BORGES/ARQUIVO DA EDITORA</v>
      </c>
      <c r="Y1510" s="23"/>
      <c r="Z1510" s="23" t="str">
        <f>Tabela2[[#This Row],[ilustrador]]</f>
        <v>CHRIS BORGES/ARQUIVO DA EDITORA</v>
      </c>
      <c r="AA1510" s="22"/>
      <c r="AB1510" s="20"/>
      <c r="AD1510" s="4" t="str">
        <f>"Pitanguá"</f>
        <v>Pitanguá</v>
      </c>
      <c r="AE1510" s="14" t="str">
        <f>"Matemática"</f>
        <v>Matemática</v>
      </c>
      <c r="AF1510" s="14"/>
    </row>
    <row r="1511" spans="1:32" ht="28.8" x14ac:dyDescent="0.3">
      <c r="A1511" s="30" t="s">
        <v>1559</v>
      </c>
      <c r="B1511" s="20" t="s">
        <v>16</v>
      </c>
      <c r="C1511" s="20" t="s">
        <v>89</v>
      </c>
      <c r="D1511" s="20" t="s">
        <v>8</v>
      </c>
      <c r="E1511" s="22">
        <v>101</v>
      </c>
      <c r="F1511" s="22">
        <v>2</v>
      </c>
      <c r="G1511" s="22">
        <v>6</v>
      </c>
      <c r="H1511" s="22"/>
      <c r="I1511" s="23" t="s">
        <v>9</v>
      </c>
      <c r="J1511" s="23"/>
      <c r="K1511" s="22"/>
      <c r="L1511" s="22"/>
      <c r="M1511" s="23"/>
      <c r="N1511" s="23"/>
      <c r="O1511" s="26" t="s">
        <v>1560</v>
      </c>
      <c r="P1511" s="26"/>
      <c r="Q1511" s="22"/>
      <c r="R1511" s="24"/>
      <c r="S1511" s="24"/>
      <c r="T1511" s="24"/>
      <c r="U1511" s="24"/>
      <c r="V1511" s="24"/>
      <c r="W1511" s="22" t="s">
        <v>468</v>
      </c>
      <c r="X1511" s="4" t="str">
        <f>IF(Tabela2[[#This Row],[sigla]]="","",VLOOKUP(Tabela2[[#This Row],[sigla]],créditos_base!B:C,2,0))</f>
        <v>VER DOCUMENTO DE ILS. TÉCNICAS</v>
      </c>
      <c r="Y1511" s="23"/>
      <c r="Z1511" s="23" t="s">
        <v>661</v>
      </c>
      <c r="AA1511" s="22"/>
      <c r="AB1511" s="20"/>
      <c r="AD1511" s="4" t="str">
        <f>"Pitanguá"</f>
        <v>Pitanguá</v>
      </c>
      <c r="AE1511" s="14" t="str">
        <f>"Matemática"</f>
        <v>Matemática</v>
      </c>
      <c r="AF1511" s="14"/>
    </row>
    <row r="1512" spans="1:32" ht="28.8" x14ac:dyDescent="0.3">
      <c r="A1512" s="23" t="s">
        <v>4669</v>
      </c>
      <c r="B1512" s="20" t="s">
        <v>16</v>
      </c>
      <c r="C1512" s="20" t="s">
        <v>89</v>
      </c>
      <c r="D1512" s="20" t="s">
        <v>8</v>
      </c>
      <c r="E1512" s="22">
        <v>119</v>
      </c>
      <c r="F1512" s="22">
        <v>5</v>
      </c>
      <c r="G1512" s="22">
        <v>6</v>
      </c>
      <c r="H1512" s="22"/>
      <c r="I1512" s="23" t="s">
        <v>33</v>
      </c>
      <c r="J1512" s="23"/>
      <c r="K1512" s="22"/>
      <c r="L1512" s="22"/>
      <c r="M1512" s="23"/>
      <c r="N1512" s="23"/>
      <c r="O1512" s="26" t="s">
        <v>4670</v>
      </c>
      <c r="P1512" s="26"/>
      <c r="Q1512" s="22">
        <v>203</v>
      </c>
      <c r="R1512" s="24">
        <v>45925</v>
      </c>
      <c r="S1512" s="24">
        <v>45925</v>
      </c>
      <c r="T1512" s="24"/>
      <c r="U1512" s="24"/>
      <c r="V1512" s="24">
        <v>45925</v>
      </c>
      <c r="W1512" s="22" t="s">
        <v>940</v>
      </c>
      <c r="X1512" s="4" t="str">
        <f>IF(Tabela2[[#This Row],[sigla]]="","",VLOOKUP(Tabela2[[#This Row],[sigla]],créditos_base!B:C,2,0))</f>
        <v>RONALDO LUCENA/ARQUIVO DA EDITORA</v>
      </c>
      <c r="Y1512" s="23" t="s">
        <v>188</v>
      </c>
      <c r="Z1512" s="23" t="str">
        <f>Tabela2[[#This Row],[ilustrador]]</f>
        <v>RONALDO LUCENA/ARQUIVO DA EDITORA</v>
      </c>
      <c r="AA1512" s="22">
        <v>13</v>
      </c>
      <c r="AB1512" s="20" t="s">
        <v>41</v>
      </c>
      <c r="AD1512" s="4" t="str">
        <f>"Pitanguá"</f>
        <v>Pitanguá</v>
      </c>
      <c r="AE1512" s="14" t="str">
        <f>"Matemática"</f>
        <v>Matemática</v>
      </c>
      <c r="AF1512" s="14"/>
    </row>
    <row r="1513" spans="1:32" ht="57.6" x14ac:dyDescent="0.3">
      <c r="A1513" s="23" t="s">
        <v>452</v>
      </c>
      <c r="B1513" s="20" t="s">
        <v>16</v>
      </c>
      <c r="C1513" s="20" t="s">
        <v>7</v>
      </c>
      <c r="D1513" s="20" t="s">
        <v>8</v>
      </c>
      <c r="E1513" s="22">
        <v>104</v>
      </c>
      <c r="F1513" s="22">
        <v>1</v>
      </c>
      <c r="G1513" s="22">
        <v>6</v>
      </c>
      <c r="H1513" s="22"/>
      <c r="I1513" s="23" t="s">
        <v>9</v>
      </c>
      <c r="J1513" s="23"/>
      <c r="K1513" s="22"/>
      <c r="L1513" s="22"/>
      <c r="M1513" s="23"/>
      <c r="N1513" s="23"/>
      <c r="O1513" s="26" t="s">
        <v>453</v>
      </c>
      <c r="P1513" s="26"/>
      <c r="Q1513" s="22"/>
      <c r="R1513" s="24"/>
      <c r="S1513" s="24"/>
      <c r="T1513" s="24"/>
      <c r="U1513" s="24"/>
      <c r="V1513" s="24"/>
      <c r="W1513" s="22" t="s">
        <v>87</v>
      </c>
      <c r="X1513" s="4" t="str">
        <f>IF(Tabela2[[#This Row],[sigla]]="","",VLOOKUP(Tabela2[[#This Row],[sigla]],créditos_base!B:C,2,0))</f>
        <v>CHRIS BORGES/ARQUIVO DA EDITORA</v>
      </c>
      <c r="Y1513" s="23"/>
      <c r="Z1513" s="23" t="str">
        <f>Tabela2[[#This Row],[ilustrador]]</f>
        <v>CHRIS BORGES/ARQUIVO DA EDITORA</v>
      </c>
      <c r="AA1513" s="22"/>
      <c r="AB1513" s="20"/>
      <c r="AD1513" s="4" t="str">
        <f>"Pitanguá"</f>
        <v>Pitanguá</v>
      </c>
      <c r="AE1513" s="14" t="str">
        <f>"Matemática"</f>
        <v>Matemática</v>
      </c>
      <c r="AF1513" s="14"/>
    </row>
    <row r="1514" spans="1:32" ht="28.8" x14ac:dyDescent="0.3">
      <c r="A1514" s="23" t="s">
        <v>1561</v>
      </c>
      <c r="B1514" s="20" t="s">
        <v>16</v>
      </c>
      <c r="C1514" s="20" t="s">
        <v>89</v>
      </c>
      <c r="D1514" s="20" t="s">
        <v>8</v>
      </c>
      <c r="E1514" s="22">
        <v>101</v>
      </c>
      <c r="F1514" s="22">
        <v>2</v>
      </c>
      <c r="G1514" s="22">
        <v>6</v>
      </c>
      <c r="H1514" s="22"/>
      <c r="I1514" s="23" t="s">
        <v>9</v>
      </c>
      <c r="J1514" s="23"/>
      <c r="K1514" s="22"/>
      <c r="L1514" s="22"/>
      <c r="M1514" s="23"/>
      <c r="N1514" s="23"/>
      <c r="O1514" s="26" t="s">
        <v>1562</v>
      </c>
      <c r="P1514" s="26"/>
      <c r="Q1514" s="22"/>
      <c r="R1514" s="24"/>
      <c r="S1514" s="24"/>
      <c r="T1514" s="24"/>
      <c r="U1514" s="24"/>
      <c r="V1514" s="24"/>
      <c r="W1514" s="22" t="s">
        <v>468</v>
      </c>
      <c r="X1514" s="4" t="str">
        <f>IF(Tabela2[[#This Row],[sigla]]="","",VLOOKUP(Tabela2[[#This Row],[sigla]],créditos_base!B:C,2,0))</f>
        <v>VER DOCUMENTO DE ILS. TÉCNICAS</v>
      </c>
      <c r="Y1514" s="23"/>
      <c r="Z1514" s="23" t="s">
        <v>661</v>
      </c>
      <c r="AA1514" s="22"/>
      <c r="AB1514" s="20"/>
      <c r="AD1514" s="4" t="str">
        <f>"Pitanguá"</f>
        <v>Pitanguá</v>
      </c>
      <c r="AE1514" s="14" t="str">
        <f>"Matemática"</f>
        <v>Matemática</v>
      </c>
      <c r="AF1514" s="14"/>
    </row>
    <row r="1515" spans="1:32" ht="28.8" x14ac:dyDescent="0.3">
      <c r="A1515" s="23" t="s">
        <v>4671</v>
      </c>
      <c r="B1515" s="20" t="s">
        <v>16</v>
      </c>
      <c r="C1515" s="20" t="s">
        <v>89</v>
      </c>
      <c r="D1515" s="20" t="s">
        <v>8</v>
      </c>
      <c r="E1515" s="22">
        <v>119</v>
      </c>
      <c r="F1515" s="22">
        <v>5</v>
      </c>
      <c r="G1515" s="22">
        <v>6</v>
      </c>
      <c r="H1515" s="22"/>
      <c r="I1515" s="23" t="s">
        <v>33</v>
      </c>
      <c r="J1515" s="23"/>
      <c r="K1515" s="22"/>
      <c r="L1515" s="22"/>
      <c r="M1515" s="23"/>
      <c r="N1515" s="23"/>
      <c r="O1515" s="26" t="s">
        <v>4672</v>
      </c>
      <c r="P1515" s="26"/>
      <c r="Q1515" s="22">
        <v>203</v>
      </c>
      <c r="R1515" s="24">
        <v>45925</v>
      </c>
      <c r="S1515" s="24">
        <v>45925</v>
      </c>
      <c r="T1515" s="24"/>
      <c r="U1515" s="24"/>
      <c r="V1515" s="24">
        <v>45925</v>
      </c>
      <c r="W1515" s="22" t="s">
        <v>940</v>
      </c>
      <c r="X1515" s="4" t="str">
        <f>IF(Tabela2[[#This Row],[sigla]]="","",VLOOKUP(Tabela2[[#This Row],[sigla]],créditos_base!B:C,2,0))</f>
        <v>RONALDO LUCENA/ARQUIVO DA EDITORA</v>
      </c>
      <c r="Y1515" s="23" t="s">
        <v>188</v>
      </c>
      <c r="Z1515" s="23" t="str">
        <f>Tabela2[[#This Row],[ilustrador]]</f>
        <v>RONALDO LUCENA/ARQUIVO DA EDITORA</v>
      </c>
      <c r="AA1515" s="22">
        <v>13</v>
      </c>
      <c r="AB1515" s="20" t="s">
        <v>41</v>
      </c>
      <c r="AD1515" s="4" t="str">
        <f>"Pitanguá"</f>
        <v>Pitanguá</v>
      </c>
      <c r="AE1515" s="14" t="str">
        <f>"Matemática"</f>
        <v>Matemática</v>
      </c>
      <c r="AF1515" s="14"/>
    </row>
    <row r="1516" spans="1:32" x14ac:dyDescent="0.3">
      <c r="A1516" s="23" t="s">
        <v>454</v>
      </c>
      <c r="B1516" s="20" t="s">
        <v>16</v>
      </c>
      <c r="C1516" s="20" t="s">
        <v>7</v>
      </c>
      <c r="D1516" s="20" t="s">
        <v>8</v>
      </c>
      <c r="E1516" s="22">
        <v>104</v>
      </c>
      <c r="F1516" s="22">
        <v>1</v>
      </c>
      <c r="G1516" s="22">
        <v>6</v>
      </c>
      <c r="H1516" s="22"/>
      <c r="I1516" s="23" t="s">
        <v>9</v>
      </c>
      <c r="J1516" s="23"/>
      <c r="K1516" s="22"/>
      <c r="L1516" s="22"/>
      <c r="M1516" s="23"/>
      <c r="N1516" s="23"/>
      <c r="O1516" s="26" t="s">
        <v>455</v>
      </c>
      <c r="P1516" s="26"/>
      <c r="Q1516" s="22"/>
      <c r="R1516" s="24"/>
      <c r="S1516" s="24"/>
      <c r="T1516" s="24"/>
      <c r="U1516" s="24"/>
      <c r="V1516" s="24"/>
      <c r="W1516" s="22" t="s">
        <v>87</v>
      </c>
      <c r="X1516" s="4" t="str">
        <f>IF(Tabela2[[#This Row],[sigla]]="","",VLOOKUP(Tabela2[[#This Row],[sigla]],créditos_base!B:C,2,0))</f>
        <v>CHRIS BORGES/ARQUIVO DA EDITORA</v>
      </c>
      <c r="Y1516" s="23"/>
      <c r="Z1516" s="23" t="str">
        <f>Tabela2[[#This Row],[ilustrador]]</f>
        <v>CHRIS BORGES/ARQUIVO DA EDITORA</v>
      </c>
      <c r="AA1516" s="22"/>
      <c r="AB1516" s="20"/>
      <c r="AD1516" s="4" t="str">
        <f>"Pitanguá"</f>
        <v>Pitanguá</v>
      </c>
      <c r="AE1516" s="14" t="str">
        <f>"Matemática"</f>
        <v>Matemática</v>
      </c>
      <c r="AF1516" s="14"/>
    </row>
    <row r="1517" spans="1:32" ht="57.6" x14ac:dyDescent="0.3">
      <c r="A1517" s="30" t="s">
        <v>1563</v>
      </c>
      <c r="B1517" s="20" t="s">
        <v>16</v>
      </c>
      <c r="C1517" s="20" t="s">
        <v>89</v>
      </c>
      <c r="D1517" s="20" t="s">
        <v>8</v>
      </c>
      <c r="E1517" s="22">
        <v>101</v>
      </c>
      <c r="F1517" s="22">
        <v>2</v>
      </c>
      <c r="G1517" s="22">
        <v>6</v>
      </c>
      <c r="H1517" s="22"/>
      <c r="I1517" s="23" t="s">
        <v>9</v>
      </c>
      <c r="J1517" s="23"/>
      <c r="K1517" s="22"/>
      <c r="L1517" s="22"/>
      <c r="M1517" s="23"/>
      <c r="N1517" s="23"/>
      <c r="O1517" s="26" t="s">
        <v>1564</v>
      </c>
      <c r="P1517" s="26"/>
      <c r="Q1517" s="22"/>
      <c r="R1517" s="24"/>
      <c r="S1517" s="24"/>
      <c r="T1517" s="24"/>
      <c r="U1517" s="24"/>
      <c r="V1517" s="24"/>
      <c r="W1517" s="22" t="s">
        <v>468</v>
      </c>
      <c r="X1517" s="4" t="str">
        <f>IF(Tabela2[[#This Row],[sigla]]="","",VLOOKUP(Tabela2[[#This Row],[sigla]],créditos_base!B:C,2,0))</f>
        <v>VER DOCUMENTO DE ILS. TÉCNICAS</v>
      </c>
      <c r="Y1517" s="23"/>
      <c r="Z1517" s="23" t="s">
        <v>661</v>
      </c>
      <c r="AA1517" s="22"/>
      <c r="AB1517" s="20"/>
      <c r="AD1517" s="4" t="str">
        <f>"Pitanguá"</f>
        <v>Pitanguá</v>
      </c>
      <c r="AE1517" s="14" t="str">
        <f>"Matemática"</f>
        <v>Matemática</v>
      </c>
      <c r="AF1517" s="14"/>
    </row>
    <row r="1518" spans="1:32" ht="28.8" x14ac:dyDescent="0.3">
      <c r="A1518" s="23" t="s">
        <v>2260</v>
      </c>
      <c r="B1518" s="20" t="s">
        <v>16</v>
      </c>
      <c r="C1518" s="20" t="s">
        <v>7</v>
      </c>
      <c r="D1518" s="20" t="s">
        <v>8</v>
      </c>
      <c r="E1518" s="22">
        <v>111</v>
      </c>
      <c r="F1518" s="22">
        <v>3</v>
      </c>
      <c r="G1518" s="22">
        <v>6</v>
      </c>
      <c r="H1518" s="22"/>
      <c r="I1518" s="23" t="s">
        <v>9</v>
      </c>
      <c r="J1518" s="23"/>
      <c r="K1518" s="22"/>
      <c r="L1518" s="22"/>
      <c r="M1518" s="23"/>
      <c r="N1518" s="23"/>
      <c r="O1518" s="26" t="s">
        <v>2261</v>
      </c>
      <c r="P1518" s="26"/>
      <c r="Q1518" s="22"/>
      <c r="R1518" s="24"/>
      <c r="S1518" s="24"/>
      <c r="T1518" s="24"/>
      <c r="U1518" s="24"/>
      <c r="V1518" s="24"/>
      <c r="W1518" s="22" t="s">
        <v>327</v>
      </c>
      <c r="X1518" s="4" t="str">
        <f>IF(Tabela2[[#This Row],[sigla]]="","",VLOOKUP(Tabela2[[#This Row],[sigla]],créditos_base!B:C,2,0))</f>
        <v>RAFAEL LAM/ARQUIVO DA EDITORA</v>
      </c>
      <c r="Y1518" s="23"/>
      <c r="Z1518" s="23" t="str">
        <f>Tabela2[[#This Row],[ilustrador]]</f>
        <v>RAFAEL LAM/ARQUIVO DA EDITORA</v>
      </c>
      <c r="AA1518" s="22"/>
      <c r="AB1518" s="20"/>
      <c r="AD1518" s="4" t="str">
        <f>"Pitanguá"</f>
        <v>Pitanguá</v>
      </c>
      <c r="AE1518" s="14" t="str">
        <f>"Matemática"</f>
        <v>Matemática</v>
      </c>
      <c r="AF1518" s="14"/>
    </row>
    <row r="1519" spans="1:32" x14ac:dyDescent="0.3">
      <c r="A1519" s="23" t="s">
        <v>3264</v>
      </c>
      <c r="B1519" s="20" t="s">
        <v>16</v>
      </c>
      <c r="C1519" s="20" t="s">
        <v>7</v>
      </c>
      <c r="D1519" s="20" t="s">
        <v>8</v>
      </c>
      <c r="E1519" s="22">
        <v>168</v>
      </c>
      <c r="F1519" s="22">
        <v>4</v>
      </c>
      <c r="G1519" s="22">
        <v>6</v>
      </c>
      <c r="H1519" s="22"/>
      <c r="I1519" s="23" t="s">
        <v>9</v>
      </c>
      <c r="J1519" s="23"/>
      <c r="K1519" s="22"/>
      <c r="L1519" s="22"/>
      <c r="M1519" s="23"/>
      <c r="N1519" s="23"/>
      <c r="O1519" s="26" t="s">
        <v>3265</v>
      </c>
      <c r="P1519" s="26"/>
      <c r="Q1519" s="22"/>
      <c r="R1519" s="24"/>
      <c r="S1519" s="24"/>
      <c r="T1519" s="24"/>
      <c r="U1519" s="24"/>
      <c r="V1519" s="24"/>
      <c r="W1519" s="22" t="s">
        <v>87</v>
      </c>
      <c r="X1519" s="4" t="str">
        <f>IF(Tabela2[[#This Row],[sigla]]="","",VLOOKUP(Tabela2[[#This Row],[sigla]],créditos_base!B:C,2,0))</f>
        <v>CHRIS BORGES/ARQUIVO DA EDITORA</v>
      </c>
      <c r="Y1519" s="23"/>
      <c r="Z1519" s="23" t="str">
        <f>Tabela2[[#This Row],[ilustrador]]</f>
        <v>CHRIS BORGES/ARQUIVO DA EDITORA</v>
      </c>
      <c r="AA1519" s="22"/>
      <c r="AB1519" s="20"/>
      <c r="AD1519" s="4" t="str">
        <f>"Pitanguá"</f>
        <v>Pitanguá</v>
      </c>
      <c r="AE1519" s="14" t="str">
        <f>"Matemática"</f>
        <v>Matemática</v>
      </c>
      <c r="AF1519" s="14"/>
    </row>
    <row r="1520" spans="1:32" ht="28.8" x14ac:dyDescent="0.3">
      <c r="A1520" s="23" t="s">
        <v>4673</v>
      </c>
      <c r="B1520" s="20" t="s">
        <v>16</v>
      </c>
      <c r="C1520" s="20" t="s">
        <v>89</v>
      </c>
      <c r="D1520" s="20" t="s">
        <v>8</v>
      </c>
      <c r="E1520" s="22">
        <v>119</v>
      </c>
      <c r="F1520" s="22">
        <v>5</v>
      </c>
      <c r="G1520" s="22">
        <v>6</v>
      </c>
      <c r="H1520" s="22"/>
      <c r="I1520" s="23" t="s">
        <v>33</v>
      </c>
      <c r="J1520" s="23"/>
      <c r="K1520" s="22"/>
      <c r="L1520" s="22"/>
      <c r="M1520" s="23"/>
      <c r="N1520" s="23"/>
      <c r="O1520" s="26" t="s">
        <v>4674</v>
      </c>
      <c r="P1520" s="26"/>
      <c r="Q1520" s="22">
        <v>203</v>
      </c>
      <c r="R1520" s="24">
        <v>45925</v>
      </c>
      <c r="S1520" s="24">
        <v>45925</v>
      </c>
      <c r="T1520" s="24"/>
      <c r="U1520" s="24"/>
      <c r="V1520" s="24">
        <v>45925</v>
      </c>
      <c r="W1520" s="22" t="s">
        <v>940</v>
      </c>
      <c r="X1520" s="4" t="str">
        <f>IF(Tabela2[[#This Row],[sigla]]="","",VLOOKUP(Tabela2[[#This Row],[sigla]],créditos_base!B:C,2,0))</f>
        <v>RONALDO LUCENA/ARQUIVO DA EDITORA</v>
      </c>
      <c r="Y1520" s="23" t="s">
        <v>188</v>
      </c>
      <c r="Z1520" s="23" t="str">
        <f>Tabela2[[#This Row],[ilustrador]]</f>
        <v>RONALDO LUCENA/ARQUIVO DA EDITORA</v>
      </c>
      <c r="AA1520" s="22">
        <v>13</v>
      </c>
      <c r="AB1520" s="20" t="s">
        <v>41</v>
      </c>
      <c r="AD1520" s="4" t="str">
        <f>"Pitanguá"</f>
        <v>Pitanguá</v>
      </c>
      <c r="AE1520" s="14" t="str">
        <f>"Matemática"</f>
        <v>Matemática</v>
      </c>
      <c r="AF1520" s="14"/>
    </row>
    <row r="1521" spans="1:32" ht="28.8" x14ac:dyDescent="0.3">
      <c r="A1521" s="23" t="s">
        <v>456</v>
      </c>
      <c r="B1521" s="20" t="s">
        <v>16</v>
      </c>
      <c r="C1521" s="20" t="s">
        <v>7</v>
      </c>
      <c r="D1521" s="20" t="s">
        <v>8</v>
      </c>
      <c r="E1521" s="22">
        <v>104</v>
      </c>
      <c r="F1521" s="22">
        <v>1</v>
      </c>
      <c r="G1521" s="22">
        <v>6</v>
      </c>
      <c r="H1521" s="22"/>
      <c r="I1521" s="23" t="s">
        <v>33</v>
      </c>
      <c r="J1521" s="23"/>
      <c r="K1521" s="22"/>
      <c r="L1521" s="22"/>
      <c r="M1521" s="23"/>
      <c r="N1521" s="23"/>
      <c r="O1521" s="26" t="s">
        <v>457</v>
      </c>
      <c r="P1521" s="26"/>
      <c r="Q1521" s="22">
        <v>35</v>
      </c>
      <c r="R1521" s="24">
        <v>45771</v>
      </c>
      <c r="S1521" s="24">
        <v>45775</v>
      </c>
      <c r="T1521" s="24"/>
      <c r="U1521" s="24"/>
      <c r="V1521" s="24">
        <v>45777</v>
      </c>
      <c r="W1521" s="22" t="s">
        <v>87</v>
      </c>
      <c r="X1521" s="4" t="str">
        <f>IF(Tabela2[[#This Row],[sigla]]="","",VLOOKUP(Tabela2[[#This Row],[sigla]],créditos_base!B:C,2,0))</f>
        <v>CHRIS BORGES/ARQUIVO DA EDITORA</v>
      </c>
      <c r="Y1521" s="23" t="s">
        <v>188</v>
      </c>
      <c r="Z1521" s="23" t="str">
        <f>Tabela2[[#This Row],[ilustrador]]</f>
        <v>CHRIS BORGES/ARQUIVO DA EDITORA</v>
      </c>
      <c r="AA1521" s="22">
        <v>14</v>
      </c>
      <c r="AB1521" s="20" t="s">
        <v>153</v>
      </c>
      <c r="AC1521" s="20" t="s">
        <v>36</v>
      </c>
      <c r="AD1521" s="4" t="str">
        <f>"Pitanguá"</f>
        <v>Pitanguá</v>
      </c>
      <c r="AE1521" s="14" t="str">
        <f>"Matemática"</f>
        <v>Matemática</v>
      </c>
      <c r="AF1521" s="14"/>
    </row>
    <row r="1522" spans="1:32" ht="43.2" x14ac:dyDescent="0.3">
      <c r="A1522" s="30" t="s">
        <v>1565</v>
      </c>
      <c r="B1522" s="20" t="s">
        <v>16</v>
      </c>
      <c r="C1522" s="20" t="s">
        <v>89</v>
      </c>
      <c r="D1522" s="20" t="s">
        <v>8</v>
      </c>
      <c r="E1522" s="22">
        <v>101</v>
      </c>
      <c r="F1522" s="22">
        <v>2</v>
      </c>
      <c r="G1522" s="22">
        <v>6</v>
      </c>
      <c r="H1522" s="22"/>
      <c r="I1522" s="23" t="s">
        <v>9</v>
      </c>
      <c r="J1522" s="23"/>
      <c r="K1522" s="22"/>
      <c r="L1522" s="22"/>
      <c r="M1522" s="23"/>
      <c r="N1522" s="23"/>
      <c r="O1522" s="26" t="s">
        <v>1566</v>
      </c>
      <c r="P1522" s="26"/>
      <c r="Q1522" s="22"/>
      <c r="R1522" s="24"/>
      <c r="S1522" s="24"/>
      <c r="T1522" s="24"/>
      <c r="U1522" s="24"/>
      <c r="V1522" s="24"/>
      <c r="W1522" s="22" t="s">
        <v>160</v>
      </c>
      <c r="X1522" s="4" t="str">
        <f>IF(Tabela2[[#This Row],[sigla]]="","",VLOOKUP(Tabela2[[#This Row],[sigla]],créditos_base!B:C,2,0))</f>
        <v>SERGIO LIMA/ARQUIVO DA EDITORA</v>
      </c>
      <c r="Y1522" s="23"/>
      <c r="Z1522" s="23" t="str">
        <f>Tabela2[[#This Row],[ilustrador]]</f>
        <v>SERGIO LIMA/ARQUIVO DA EDITORA</v>
      </c>
      <c r="AA1522" s="22"/>
      <c r="AB1522" s="20"/>
      <c r="AD1522" s="4" t="str">
        <f>"Pitanguá"</f>
        <v>Pitanguá</v>
      </c>
      <c r="AE1522" s="14" t="str">
        <f>"Matemática"</f>
        <v>Matemática</v>
      </c>
      <c r="AF1522" s="14"/>
    </row>
    <row r="1523" spans="1:32" x14ac:dyDescent="0.3">
      <c r="A1523" s="23" t="s">
        <v>2262</v>
      </c>
      <c r="B1523" s="20" t="s">
        <v>16</v>
      </c>
      <c r="C1523" s="20" t="s">
        <v>7</v>
      </c>
      <c r="D1523" s="20" t="s">
        <v>8</v>
      </c>
      <c r="E1523" s="22">
        <v>111</v>
      </c>
      <c r="F1523" s="22">
        <v>3</v>
      </c>
      <c r="G1523" s="22">
        <v>6</v>
      </c>
      <c r="H1523" s="22"/>
      <c r="I1523" s="23" t="s">
        <v>9</v>
      </c>
      <c r="J1523" s="23"/>
      <c r="K1523" s="22"/>
      <c r="L1523" s="22"/>
      <c r="M1523" s="23"/>
      <c r="N1523" s="23"/>
      <c r="O1523" s="26" t="s">
        <v>2263</v>
      </c>
      <c r="P1523" s="26"/>
      <c r="Q1523" s="22"/>
      <c r="R1523" s="24"/>
      <c r="S1523" s="24"/>
      <c r="T1523" s="24"/>
      <c r="U1523" s="24"/>
      <c r="V1523" s="24"/>
      <c r="W1523" s="22" t="s">
        <v>468</v>
      </c>
      <c r="X1523" s="4" t="str">
        <f>IF(Tabela2[[#This Row],[sigla]]="","",VLOOKUP(Tabela2[[#This Row],[sigla]],créditos_base!B:C,2,0))</f>
        <v>VER DOCUMENTO DE ILS. TÉCNICAS</v>
      </c>
      <c r="Y1523" s="23"/>
      <c r="Z1523" s="23" t="s">
        <v>2264</v>
      </c>
      <c r="AA1523" s="22"/>
      <c r="AB1523" s="20"/>
      <c r="AD1523" s="4" t="str">
        <f>"Pitanguá"</f>
        <v>Pitanguá</v>
      </c>
      <c r="AE1523" s="14" t="str">
        <f>"Matemática"</f>
        <v>Matemática</v>
      </c>
      <c r="AF1523" s="14"/>
    </row>
    <row r="1524" spans="1:32" x14ac:dyDescent="0.3">
      <c r="A1524" s="23" t="s">
        <v>3266</v>
      </c>
      <c r="B1524" s="20" t="s">
        <v>16</v>
      </c>
      <c r="C1524" s="20" t="s">
        <v>7</v>
      </c>
      <c r="D1524" s="20" t="s">
        <v>8</v>
      </c>
      <c r="E1524" s="22">
        <v>168</v>
      </c>
      <c r="F1524" s="22">
        <v>4</v>
      </c>
      <c r="G1524" s="22">
        <v>6</v>
      </c>
      <c r="H1524" s="22"/>
      <c r="I1524" s="23" t="s">
        <v>33</v>
      </c>
      <c r="J1524" s="23"/>
      <c r="K1524" s="22"/>
      <c r="L1524" s="22"/>
      <c r="M1524" s="23"/>
      <c r="N1524" s="23"/>
      <c r="O1524" s="26" t="s">
        <v>3267</v>
      </c>
      <c r="P1524" s="26"/>
      <c r="Q1524" s="22">
        <v>155</v>
      </c>
      <c r="R1524" s="24">
        <v>45884</v>
      </c>
      <c r="S1524" s="24">
        <v>45885</v>
      </c>
      <c r="T1524" s="24"/>
      <c r="U1524" s="24"/>
      <c r="V1524" s="24">
        <v>45885</v>
      </c>
      <c r="W1524" s="22" t="s">
        <v>940</v>
      </c>
      <c r="X1524" s="4" t="str">
        <f>IF(Tabela2[[#This Row],[sigla]]="","",VLOOKUP(Tabela2[[#This Row],[sigla]],créditos_base!B:C,2,0))</f>
        <v>RONALDO LUCENA/ARQUIVO DA EDITORA</v>
      </c>
      <c r="Y1524" s="23" t="s">
        <v>243</v>
      </c>
      <c r="Z1524" s="23" t="str">
        <f>Tabela2[[#This Row],[ilustrador]]</f>
        <v>RONALDO LUCENA/ARQUIVO DA EDITORA</v>
      </c>
      <c r="AA1524" s="22">
        <v>13</v>
      </c>
      <c r="AB1524" s="20" t="s">
        <v>244</v>
      </c>
      <c r="AC1524" s="20" t="s">
        <v>36</v>
      </c>
      <c r="AD1524" s="4" t="str">
        <f>"Pitanguá"</f>
        <v>Pitanguá</v>
      </c>
      <c r="AE1524" s="14" t="str">
        <f>"Matemática"</f>
        <v>Matemática</v>
      </c>
      <c r="AF1524" s="14"/>
    </row>
    <row r="1525" spans="1:32" ht="28.8" x14ac:dyDescent="0.3">
      <c r="A1525" s="23" t="s">
        <v>4675</v>
      </c>
      <c r="B1525" s="20" t="s">
        <v>6</v>
      </c>
      <c r="C1525" s="20" t="s">
        <v>7</v>
      </c>
      <c r="D1525" s="20" t="s">
        <v>8</v>
      </c>
      <c r="E1525" s="22">
        <v>120</v>
      </c>
      <c r="F1525" s="22">
        <v>5</v>
      </c>
      <c r="G1525" s="22">
        <v>6</v>
      </c>
      <c r="H1525" s="22"/>
      <c r="I1525" s="23" t="s">
        <v>33</v>
      </c>
      <c r="J1525" s="23"/>
      <c r="K1525" s="22"/>
      <c r="L1525" s="22"/>
      <c r="M1525" s="23"/>
      <c r="N1525" s="23"/>
      <c r="O1525" s="26" t="s">
        <v>4676</v>
      </c>
      <c r="P1525" s="26"/>
      <c r="Q1525" s="22">
        <v>77</v>
      </c>
      <c r="R1525" s="24">
        <v>45819</v>
      </c>
      <c r="S1525" s="24"/>
      <c r="T1525" s="24"/>
      <c r="U1525" s="24"/>
      <c r="V1525" s="24"/>
      <c r="W1525" s="22" t="s">
        <v>460</v>
      </c>
      <c r="X1525" s="4" t="str">
        <f>IF(Tabela2[[#This Row],[sigla]]="","",VLOOKUP(Tabela2[[#This Row],[sigla]],créditos_base!B:C,2,0))</f>
        <v>CLAUDIA SOUZA/ARQUIVO DA EDITORA</v>
      </c>
      <c r="Y1525" s="23"/>
      <c r="Z1525" s="23" t="str">
        <f>Tabela2[[#This Row],[ilustrador]]</f>
        <v>CLAUDIA SOUZA/ARQUIVO DA EDITORA</v>
      </c>
      <c r="AA1525" s="22"/>
      <c r="AB1525" s="20"/>
      <c r="AD1525" s="4" t="str">
        <f>"Pitanguá"</f>
        <v>Pitanguá</v>
      </c>
      <c r="AE1525" s="14" t="str">
        <f>"Matemática"</f>
        <v>Matemática</v>
      </c>
      <c r="AF1525" s="14"/>
    </row>
    <row r="1526" spans="1:32" x14ac:dyDescent="0.3">
      <c r="A1526" s="23" t="s">
        <v>458</v>
      </c>
      <c r="B1526" s="20" t="s">
        <v>16</v>
      </c>
      <c r="C1526" s="20" t="s">
        <v>7</v>
      </c>
      <c r="D1526" s="20" t="s">
        <v>8</v>
      </c>
      <c r="E1526" s="22">
        <v>105</v>
      </c>
      <c r="F1526" s="22">
        <v>1</v>
      </c>
      <c r="G1526" s="22">
        <v>6</v>
      </c>
      <c r="H1526" s="22"/>
      <c r="I1526" s="23" t="s">
        <v>33</v>
      </c>
      <c r="J1526" s="23"/>
      <c r="K1526" s="22"/>
      <c r="L1526" s="22"/>
      <c r="M1526" s="23"/>
      <c r="N1526" s="23"/>
      <c r="O1526" s="26" t="s">
        <v>459</v>
      </c>
      <c r="P1526" s="26"/>
      <c r="Q1526" s="22">
        <v>35</v>
      </c>
      <c r="R1526" s="24">
        <v>45771</v>
      </c>
      <c r="S1526" s="24">
        <v>45775</v>
      </c>
      <c r="T1526" s="24"/>
      <c r="U1526" s="24"/>
      <c r="V1526" s="24">
        <v>45777</v>
      </c>
      <c r="W1526" s="22" t="s">
        <v>460</v>
      </c>
      <c r="X1526" s="4" t="str">
        <f>IF(Tabela2[[#This Row],[sigla]]="","",VLOOKUP(Tabela2[[#This Row],[sigla]],créditos_base!B:C,2,0))</f>
        <v>CLAUDIA SOUZA/ARQUIVO DA EDITORA</v>
      </c>
      <c r="Y1526" s="23" t="s">
        <v>188</v>
      </c>
      <c r="Z1526" s="23" t="str">
        <f>Tabela2[[#This Row],[ilustrador]]</f>
        <v>CLAUDIA SOUZA/ARQUIVO DA EDITORA</v>
      </c>
      <c r="AA1526" s="22">
        <v>14</v>
      </c>
      <c r="AB1526" s="20" t="s">
        <v>153</v>
      </c>
      <c r="AC1526" s="20" t="s">
        <v>36</v>
      </c>
      <c r="AD1526" s="4" t="str">
        <f>"Pitanguá"</f>
        <v>Pitanguá</v>
      </c>
      <c r="AE1526" s="14" t="str">
        <f>"Matemática"</f>
        <v>Matemática</v>
      </c>
      <c r="AF1526" s="14"/>
    </row>
    <row r="1527" spans="1:32" ht="43.2" x14ac:dyDescent="0.3">
      <c r="A1527" s="23" t="s">
        <v>3268</v>
      </c>
      <c r="B1527" s="20" t="s">
        <v>16</v>
      </c>
      <c r="C1527" s="20" t="s">
        <v>7</v>
      </c>
      <c r="D1527" s="20" t="s">
        <v>8</v>
      </c>
      <c r="E1527" s="22">
        <v>169</v>
      </c>
      <c r="F1527" s="22">
        <v>4</v>
      </c>
      <c r="G1527" s="22">
        <v>6</v>
      </c>
      <c r="H1527" s="22"/>
      <c r="I1527" s="23" t="s">
        <v>9</v>
      </c>
      <c r="J1527" s="23"/>
      <c r="K1527" s="22"/>
      <c r="L1527" s="22"/>
      <c r="M1527" s="23"/>
      <c r="N1527" s="23"/>
      <c r="O1527" s="26" t="s">
        <v>3269</v>
      </c>
      <c r="P1527" s="26"/>
      <c r="Q1527" s="22"/>
      <c r="R1527" s="24"/>
      <c r="S1527" s="24"/>
      <c r="T1527" s="24"/>
      <c r="U1527" s="24"/>
      <c r="V1527" s="24"/>
      <c r="W1527" s="22" t="s">
        <v>87</v>
      </c>
      <c r="X1527" s="4" t="str">
        <f>IF(Tabela2[[#This Row],[sigla]]="","",VLOOKUP(Tabela2[[#This Row],[sigla]],créditos_base!B:C,2,0))</f>
        <v>CHRIS BORGES/ARQUIVO DA EDITORA</v>
      </c>
      <c r="Y1527" s="23"/>
      <c r="Z1527" s="23" t="str">
        <f>Tabela2[[#This Row],[ilustrador]]</f>
        <v>CHRIS BORGES/ARQUIVO DA EDITORA</v>
      </c>
      <c r="AA1527" s="22"/>
      <c r="AB1527" s="20"/>
      <c r="AD1527" s="4" t="str">
        <f>"Pitanguá"</f>
        <v>Pitanguá</v>
      </c>
      <c r="AE1527" s="14" t="str">
        <f>"Matemática"</f>
        <v>Matemática</v>
      </c>
      <c r="AF1527" s="14"/>
    </row>
    <row r="1528" spans="1:32" ht="57.6" x14ac:dyDescent="0.3">
      <c r="A1528" s="23" t="s">
        <v>4677</v>
      </c>
      <c r="B1528" s="20" t="s">
        <v>16</v>
      </c>
      <c r="C1528" s="20" t="s">
        <v>7</v>
      </c>
      <c r="D1528" s="20" t="s">
        <v>8</v>
      </c>
      <c r="E1528" s="22">
        <v>122</v>
      </c>
      <c r="F1528" s="22">
        <v>5</v>
      </c>
      <c r="G1528" s="22">
        <v>6</v>
      </c>
      <c r="H1528" s="22"/>
      <c r="I1528" s="23" t="s">
        <v>33</v>
      </c>
      <c r="J1528" s="23"/>
      <c r="K1528" s="22"/>
      <c r="L1528" s="22"/>
      <c r="M1528" s="23"/>
      <c r="N1528" s="23"/>
      <c r="O1528" s="26" t="s">
        <v>4678</v>
      </c>
      <c r="P1528" s="26"/>
      <c r="Q1528" s="22">
        <v>139</v>
      </c>
      <c r="R1528" s="24">
        <v>45868</v>
      </c>
      <c r="S1528" s="24">
        <v>45868</v>
      </c>
      <c r="T1528" s="24"/>
      <c r="U1528" s="24"/>
      <c r="V1528" s="24">
        <v>45874</v>
      </c>
      <c r="W1528" s="22" t="s">
        <v>3382</v>
      </c>
      <c r="X1528" s="4" t="str">
        <f>IF(Tabela2[[#This Row],[sigla]]="","",VLOOKUP(Tabela2[[#This Row],[sigla]],créditos_base!B:C,2,0))</f>
        <v>LEONARDO MARI/ARQUIVO DA EDITORA</v>
      </c>
      <c r="Y1528" s="23" t="s">
        <v>188</v>
      </c>
      <c r="Z1528" s="23" t="str">
        <f>Tabela2[[#This Row],[ilustrador]]</f>
        <v>LEONARDO MARI/ARQUIVO DA EDITORA</v>
      </c>
      <c r="AA1528" s="22">
        <v>13</v>
      </c>
      <c r="AB1528" s="20" t="s">
        <v>153</v>
      </c>
      <c r="AC1528" s="20" t="s">
        <v>36</v>
      </c>
      <c r="AD1528" s="4" t="str">
        <f>"Pitanguá"</f>
        <v>Pitanguá</v>
      </c>
      <c r="AE1528" s="14" t="str">
        <f>"Matemática"</f>
        <v>Matemática</v>
      </c>
      <c r="AF1528" s="14"/>
    </row>
    <row r="1529" spans="1:32" x14ac:dyDescent="0.3">
      <c r="A1529" s="23" t="s">
        <v>3270</v>
      </c>
      <c r="B1529" s="20" t="s">
        <v>16</v>
      </c>
      <c r="C1529" s="20" t="s">
        <v>7</v>
      </c>
      <c r="D1529" s="20" t="s">
        <v>8</v>
      </c>
      <c r="E1529" s="22">
        <v>170</v>
      </c>
      <c r="F1529" s="22">
        <v>4</v>
      </c>
      <c r="G1529" s="22">
        <v>6</v>
      </c>
      <c r="H1529" s="22"/>
      <c r="I1529" s="23" t="s">
        <v>33</v>
      </c>
      <c r="J1529" s="23"/>
      <c r="K1529" s="22"/>
      <c r="L1529" s="22"/>
      <c r="M1529" s="23"/>
      <c r="N1529" s="23"/>
      <c r="O1529" s="26" t="s">
        <v>3271</v>
      </c>
      <c r="P1529" s="26"/>
      <c r="Q1529" s="22">
        <v>46</v>
      </c>
      <c r="R1529" s="24">
        <v>45796</v>
      </c>
      <c r="S1529" s="24">
        <v>45797</v>
      </c>
      <c r="T1529" s="24"/>
      <c r="U1529" s="24"/>
      <c r="V1529" s="24">
        <v>45797</v>
      </c>
      <c r="W1529" s="22" t="s">
        <v>468</v>
      </c>
      <c r="X1529" s="4" t="str">
        <f>IF(Tabela2[[#This Row],[sigla]]="","",VLOOKUP(Tabela2[[#This Row],[sigla]],créditos_base!B:C,2,0))</f>
        <v>VER DOCUMENTO DE ILS. TÉCNICAS</v>
      </c>
      <c r="Y1529" s="23" t="s">
        <v>188</v>
      </c>
      <c r="Z1529" s="23" t="s">
        <v>1327</v>
      </c>
      <c r="AA1529" s="22">
        <v>14</v>
      </c>
      <c r="AB1529" s="20" t="s">
        <v>153</v>
      </c>
      <c r="AC1529" s="20" t="s">
        <v>36</v>
      </c>
      <c r="AD1529" s="4" t="str">
        <f>"Pitanguá"</f>
        <v>Pitanguá</v>
      </c>
      <c r="AE1529" s="14" t="str">
        <f>"Matemática"</f>
        <v>Matemática</v>
      </c>
      <c r="AF1529" s="14"/>
    </row>
    <row r="1530" spans="1:32" x14ac:dyDescent="0.3">
      <c r="A1530" s="23" t="s">
        <v>4679</v>
      </c>
      <c r="B1530" s="20" t="s">
        <v>16</v>
      </c>
      <c r="C1530" s="20" t="s">
        <v>89</v>
      </c>
      <c r="D1530" s="20" t="s">
        <v>8</v>
      </c>
      <c r="E1530" s="22">
        <v>122</v>
      </c>
      <c r="F1530" s="22">
        <v>5</v>
      </c>
      <c r="G1530" s="22">
        <v>6</v>
      </c>
      <c r="H1530" s="22"/>
      <c r="I1530" s="23" t="s">
        <v>9</v>
      </c>
      <c r="J1530" s="23"/>
      <c r="K1530" s="22"/>
      <c r="L1530" s="22"/>
      <c r="M1530" s="23"/>
      <c r="N1530" s="23"/>
      <c r="O1530" s="26" t="s">
        <v>4680</v>
      </c>
      <c r="P1530" s="26"/>
      <c r="Q1530" s="22"/>
      <c r="R1530" s="24"/>
      <c r="S1530" s="24"/>
      <c r="T1530" s="24"/>
      <c r="U1530" s="24"/>
      <c r="V1530" s="24"/>
      <c r="W1530" s="22" t="s">
        <v>160</v>
      </c>
      <c r="X1530" s="4" t="str">
        <f>IF(Tabela2[[#This Row],[sigla]]="","",VLOOKUP(Tabela2[[#This Row],[sigla]],créditos_base!B:C,2,0))</f>
        <v>SERGIO LIMA/ARQUIVO DA EDITORA</v>
      </c>
      <c r="Y1530" s="23"/>
      <c r="Z1530" s="23" t="str">
        <f>Tabela2[[#This Row],[ilustrador]]</f>
        <v>SERGIO LIMA/ARQUIVO DA EDITORA</v>
      </c>
      <c r="AA1530" s="22"/>
      <c r="AB1530" s="20"/>
      <c r="AD1530" s="4" t="str">
        <f>"Pitanguá"</f>
        <v>Pitanguá</v>
      </c>
      <c r="AE1530" s="14" t="str">
        <f>"Matemática"</f>
        <v>Matemática</v>
      </c>
      <c r="AF1530" s="14"/>
    </row>
    <row r="1531" spans="1:32" x14ac:dyDescent="0.3">
      <c r="A1531" s="23" t="s">
        <v>461</v>
      </c>
      <c r="B1531" s="20" t="s">
        <v>16</v>
      </c>
      <c r="C1531" s="20" t="s">
        <v>7</v>
      </c>
      <c r="D1531" s="20" t="s">
        <v>8</v>
      </c>
      <c r="E1531" s="22">
        <v>106</v>
      </c>
      <c r="F1531" s="22">
        <v>1</v>
      </c>
      <c r="G1531" s="22">
        <v>6</v>
      </c>
      <c r="H1531" s="22"/>
      <c r="I1531" s="23" t="s">
        <v>9</v>
      </c>
      <c r="J1531" s="23"/>
      <c r="K1531" s="22"/>
      <c r="L1531" s="22"/>
      <c r="M1531" s="23"/>
      <c r="N1531" s="23"/>
      <c r="O1531" s="26" t="s">
        <v>462</v>
      </c>
      <c r="P1531" s="26"/>
      <c r="Q1531" s="22"/>
      <c r="R1531" s="24"/>
      <c r="S1531" s="24"/>
      <c r="T1531" s="24"/>
      <c r="U1531" s="24"/>
      <c r="V1531" s="24"/>
      <c r="W1531" s="22" t="s">
        <v>425</v>
      </c>
      <c r="X1531" s="4" t="str">
        <f>IF(Tabela2[[#This Row],[sigla]]="","",VLOOKUP(Tabela2[[#This Row],[sigla]],créditos_base!B:C,2,0))</f>
        <v>BÁRBARA SARZI/ARQUIVO DA EDITORA</v>
      </c>
      <c r="Y1531" s="23"/>
      <c r="Z1531" s="23" t="str">
        <f>Tabela2[[#This Row],[ilustrador]]</f>
        <v>BÁRBARA SARZI/ARQUIVO DA EDITORA</v>
      </c>
      <c r="AA1531" s="22"/>
      <c r="AB1531" s="20"/>
      <c r="AD1531" s="4" t="str">
        <f>"Pitanguá"</f>
        <v>Pitanguá</v>
      </c>
      <c r="AE1531" s="14" t="str">
        <f>"Matemática"</f>
        <v>Matemática</v>
      </c>
      <c r="AF1531" s="14"/>
    </row>
    <row r="1532" spans="1:32" x14ac:dyDescent="0.3">
      <c r="A1532" s="23" t="s">
        <v>4507</v>
      </c>
      <c r="B1532" s="20" t="s">
        <v>16</v>
      </c>
      <c r="C1532" s="20" t="s">
        <v>7</v>
      </c>
      <c r="D1532" s="20" t="s">
        <v>8</v>
      </c>
      <c r="E1532" s="22">
        <v>158</v>
      </c>
      <c r="F1532" s="22">
        <v>2</v>
      </c>
      <c r="G1532" s="22">
        <v>6</v>
      </c>
      <c r="H1532" s="22"/>
      <c r="I1532" s="23" t="s">
        <v>90</v>
      </c>
      <c r="J1532" s="23"/>
      <c r="K1532" s="22"/>
      <c r="L1532" s="22"/>
      <c r="M1532" s="23"/>
      <c r="N1532" s="23"/>
      <c r="O1532" s="26" t="s">
        <v>4508</v>
      </c>
      <c r="P1532" s="26"/>
      <c r="Q1532" s="22">
        <v>71</v>
      </c>
      <c r="R1532" s="24">
        <v>45813</v>
      </c>
      <c r="S1532" s="24">
        <v>45814</v>
      </c>
      <c r="T1532" s="24"/>
      <c r="U1532" s="24"/>
      <c r="V1532" s="24">
        <v>45817</v>
      </c>
      <c r="W1532" s="22" t="s">
        <v>72</v>
      </c>
      <c r="X1532" s="4" t="str">
        <f>IF(Tabela2[[#This Row],[sigla]]="","",VLOOKUP(Tabela2[[#This Row],[sigla]],créditos_base!B:C,2,0))</f>
        <v>HELOÍSA PINTARELLI/ARQUIVO DA EDITORA</v>
      </c>
      <c r="Y1532" s="23"/>
      <c r="Z1532" s="23" t="str">
        <f>Tabela2[[#This Row],[ilustrador]]</f>
        <v>HELOÍSA PINTARELLI/ARQUIVO DA EDITORA</v>
      </c>
      <c r="AA1532" s="22">
        <v>8</v>
      </c>
      <c r="AB1532" s="20" t="s">
        <v>4509</v>
      </c>
      <c r="AC1532" s="20" t="s">
        <v>310</v>
      </c>
      <c r="AD1532" s="4" t="str">
        <f>"Pitanguá"</f>
        <v>Pitanguá</v>
      </c>
      <c r="AE1532" s="14" t="str">
        <f>"Matemática"</f>
        <v>Matemática</v>
      </c>
      <c r="AF1532" s="14"/>
    </row>
    <row r="1533" spans="1:32" ht="100.8" x14ac:dyDescent="0.3">
      <c r="A1533" s="23" t="s">
        <v>3272</v>
      </c>
      <c r="B1533" s="20" t="s">
        <v>16</v>
      </c>
      <c r="C1533" s="20" t="s">
        <v>7</v>
      </c>
      <c r="D1533" s="20" t="s">
        <v>8</v>
      </c>
      <c r="E1533" s="22">
        <v>170</v>
      </c>
      <c r="F1533" s="22">
        <v>4</v>
      </c>
      <c r="G1533" s="22">
        <v>6</v>
      </c>
      <c r="H1533" s="22"/>
      <c r="I1533" s="23" t="s">
        <v>33</v>
      </c>
      <c r="J1533" s="23"/>
      <c r="K1533" s="22"/>
      <c r="L1533" s="22"/>
      <c r="M1533" s="23"/>
      <c r="N1533" s="23"/>
      <c r="O1533" s="26" t="s">
        <v>3273</v>
      </c>
      <c r="P1533" s="26"/>
      <c r="Q1533" s="22">
        <v>46</v>
      </c>
      <c r="R1533" s="24">
        <v>45796</v>
      </c>
      <c r="S1533" s="24">
        <v>45797</v>
      </c>
      <c r="T1533" s="24"/>
      <c r="U1533" s="24"/>
      <c r="V1533" s="24">
        <v>45797</v>
      </c>
      <c r="W1533" s="22" t="s">
        <v>468</v>
      </c>
      <c r="X1533" s="4" t="str">
        <f>IF(Tabela2[[#This Row],[sigla]]="","",VLOOKUP(Tabela2[[#This Row],[sigla]],créditos_base!B:C,2,0))</f>
        <v>VER DOCUMENTO DE ILS. TÉCNICAS</v>
      </c>
      <c r="Y1533" s="23" t="s">
        <v>188</v>
      </c>
      <c r="Z1533" s="23" t="s">
        <v>1327</v>
      </c>
      <c r="AA1533" s="22">
        <v>14</v>
      </c>
      <c r="AB1533" s="20" t="s">
        <v>153</v>
      </c>
      <c r="AC1533" s="20" t="s">
        <v>36</v>
      </c>
      <c r="AD1533" s="4" t="str">
        <f>"Pitanguá"</f>
        <v>Pitanguá</v>
      </c>
      <c r="AE1533" s="14" t="str">
        <f>"Matemática"</f>
        <v>Matemática</v>
      </c>
      <c r="AF1533" s="14"/>
    </row>
    <row r="1534" spans="1:32" x14ac:dyDescent="0.3">
      <c r="A1534" s="23" t="s">
        <v>463</v>
      </c>
      <c r="B1534" s="20" t="s">
        <v>6</v>
      </c>
      <c r="C1534" s="20" t="s">
        <v>7</v>
      </c>
      <c r="D1534" s="20" t="s">
        <v>8</v>
      </c>
      <c r="E1534" s="22">
        <v>106</v>
      </c>
      <c r="F1534" s="22">
        <v>1</v>
      </c>
      <c r="G1534" s="22">
        <v>6</v>
      </c>
      <c r="H1534" s="22"/>
      <c r="I1534" s="23" t="s">
        <v>9</v>
      </c>
      <c r="J1534" s="23"/>
      <c r="K1534" s="22"/>
      <c r="L1534" s="22"/>
      <c r="M1534" s="23"/>
      <c r="N1534" s="23"/>
      <c r="O1534" s="26" t="s">
        <v>464</v>
      </c>
      <c r="P1534" s="26" t="s">
        <v>465</v>
      </c>
      <c r="Q1534" s="22"/>
      <c r="R1534" s="24"/>
      <c r="S1534" s="24"/>
      <c r="T1534" s="24"/>
      <c r="U1534" s="24"/>
      <c r="V1534" s="24"/>
      <c r="W1534" s="22" t="s">
        <v>425</v>
      </c>
      <c r="X1534" s="4" t="str">
        <f>IF(Tabela2[[#This Row],[sigla]]="","",VLOOKUP(Tabela2[[#This Row],[sigla]],créditos_base!B:C,2,0))</f>
        <v>BÁRBARA SARZI/ARQUIVO DA EDITORA</v>
      </c>
      <c r="Y1534" s="23"/>
      <c r="Z1534" s="23" t="str">
        <f>Tabela2[[#This Row],[ilustrador]]</f>
        <v>BÁRBARA SARZI/ARQUIVO DA EDITORA</v>
      </c>
      <c r="AA1534" s="22"/>
      <c r="AB1534" s="20"/>
      <c r="AD1534" s="4" t="str">
        <f>"Pitanguá"</f>
        <v>Pitanguá</v>
      </c>
      <c r="AE1534" s="14" t="str">
        <f>"Matemática"</f>
        <v>Matemática</v>
      </c>
      <c r="AF1534" s="14"/>
    </row>
    <row r="1535" spans="1:32" x14ac:dyDescent="0.3">
      <c r="A1535" s="23" t="s">
        <v>4510</v>
      </c>
      <c r="B1535" s="20" t="s">
        <v>6</v>
      </c>
      <c r="C1535" s="20" t="s">
        <v>7</v>
      </c>
      <c r="D1535" s="20" t="s">
        <v>8</v>
      </c>
      <c r="E1535" s="22">
        <v>168</v>
      </c>
      <c r="F1535" s="22">
        <v>2</v>
      </c>
      <c r="G1535" s="22">
        <v>6</v>
      </c>
      <c r="H1535" s="22"/>
      <c r="I1535" s="23" t="s">
        <v>90</v>
      </c>
      <c r="J1535" s="23"/>
      <c r="K1535" s="22"/>
      <c r="L1535" s="22"/>
      <c r="M1535" s="23"/>
      <c r="N1535" s="23"/>
      <c r="O1535" s="26" t="s">
        <v>4511</v>
      </c>
      <c r="P1535" s="26"/>
      <c r="Q1535" s="22">
        <v>71</v>
      </c>
      <c r="R1535" s="24">
        <v>45813</v>
      </c>
      <c r="S1535" s="24">
        <v>45817</v>
      </c>
      <c r="T1535" s="24"/>
      <c r="U1535" s="24"/>
      <c r="V1535" s="24">
        <v>45819</v>
      </c>
      <c r="W1535" s="22" t="s">
        <v>72</v>
      </c>
      <c r="X1535" s="4" t="str">
        <f>IF(Tabela2[[#This Row],[sigla]]="","",VLOOKUP(Tabela2[[#This Row],[sigla]],créditos_base!B:C,2,0))</f>
        <v>HELOÍSA PINTARELLI/ARQUIVO DA EDITORA</v>
      </c>
      <c r="Y1535" s="23"/>
      <c r="Z1535" s="23" t="str">
        <f>Tabela2[[#This Row],[ilustrador]]</f>
        <v>HELOÍSA PINTARELLI/ARQUIVO DA EDITORA</v>
      </c>
      <c r="AA1535" s="22">
        <v>8</v>
      </c>
      <c r="AB1535" s="20" t="s">
        <v>4512</v>
      </c>
      <c r="AC1535" s="20" t="s">
        <v>310</v>
      </c>
      <c r="AD1535" s="4" t="str">
        <f>"Pitanguá"</f>
        <v>Pitanguá</v>
      </c>
      <c r="AE1535" s="14" t="str">
        <f>"Matemática"</f>
        <v>Matemática</v>
      </c>
      <c r="AF1535" s="14"/>
    </row>
    <row r="1536" spans="1:32" ht="57.6" x14ac:dyDescent="0.3">
      <c r="A1536" s="23" t="s">
        <v>2265</v>
      </c>
      <c r="B1536" s="20" t="s">
        <v>16</v>
      </c>
      <c r="C1536" s="20" t="s">
        <v>7</v>
      </c>
      <c r="D1536" s="20" t="s">
        <v>8</v>
      </c>
      <c r="E1536" s="22">
        <v>112</v>
      </c>
      <c r="F1536" s="22">
        <v>3</v>
      </c>
      <c r="G1536" s="22">
        <v>6</v>
      </c>
      <c r="H1536" s="22"/>
      <c r="I1536" s="23" t="s">
        <v>9</v>
      </c>
      <c r="J1536" s="23"/>
      <c r="K1536" s="22"/>
      <c r="L1536" s="22"/>
      <c r="M1536" s="23"/>
      <c r="N1536" s="23"/>
      <c r="O1536" s="26" t="s">
        <v>2266</v>
      </c>
      <c r="P1536" s="26"/>
      <c r="Q1536" s="22"/>
      <c r="R1536" s="24"/>
      <c r="S1536" s="24"/>
      <c r="T1536" s="24"/>
      <c r="U1536" s="24"/>
      <c r="V1536" s="24"/>
      <c r="W1536" s="22" t="s">
        <v>468</v>
      </c>
      <c r="X1536" s="4" t="str">
        <f>IF(Tabela2[[#This Row],[sigla]]="","",VLOOKUP(Tabela2[[#This Row],[sigla]],créditos_base!B:C,2,0))</f>
        <v>VER DOCUMENTO DE ILS. TÉCNICAS</v>
      </c>
      <c r="Y1536" s="23"/>
      <c r="Z1536" s="23" t="s">
        <v>2264</v>
      </c>
      <c r="AA1536" s="22"/>
      <c r="AB1536" s="20"/>
      <c r="AD1536" s="4" t="str">
        <f>"Pitanguá"</f>
        <v>Pitanguá</v>
      </c>
      <c r="AE1536" s="14" t="str">
        <f>"Matemática"</f>
        <v>Matemática</v>
      </c>
      <c r="AF1536" s="14"/>
    </row>
    <row r="1537" spans="1:32" ht="28.8" x14ac:dyDescent="0.3">
      <c r="A1537" s="23" t="s">
        <v>3274</v>
      </c>
      <c r="B1537" s="20" t="s">
        <v>16</v>
      </c>
      <c r="C1537" s="20" t="s">
        <v>7</v>
      </c>
      <c r="D1537" s="20" t="s">
        <v>8</v>
      </c>
      <c r="E1537" s="22">
        <v>170</v>
      </c>
      <c r="F1537" s="22">
        <v>4</v>
      </c>
      <c r="G1537" s="22">
        <v>6</v>
      </c>
      <c r="H1537" s="22"/>
      <c r="I1537" s="23" t="s">
        <v>33</v>
      </c>
      <c r="J1537" s="23"/>
      <c r="K1537" s="22"/>
      <c r="L1537" s="22"/>
      <c r="M1537" s="23"/>
      <c r="N1537" s="23"/>
      <c r="O1537" s="26" t="s">
        <v>3275</v>
      </c>
      <c r="P1537" s="26"/>
      <c r="Q1537" s="22">
        <v>46</v>
      </c>
      <c r="R1537" s="24">
        <v>45796</v>
      </c>
      <c r="S1537" s="24">
        <v>45797</v>
      </c>
      <c r="T1537" s="24"/>
      <c r="U1537" s="24"/>
      <c r="V1537" s="24">
        <v>45797</v>
      </c>
      <c r="W1537" s="22" t="s">
        <v>468</v>
      </c>
      <c r="X1537" s="4" t="str">
        <f>IF(Tabela2[[#This Row],[sigla]]="","",VLOOKUP(Tabela2[[#This Row],[sigla]],créditos_base!B:C,2,0))</f>
        <v>VER DOCUMENTO DE ILS. TÉCNICAS</v>
      </c>
      <c r="Y1537" s="23" t="s">
        <v>188</v>
      </c>
      <c r="Z1537" s="23" t="s">
        <v>1327</v>
      </c>
      <c r="AA1537" s="22">
        <v>14</v>
      </c>
      <c r="AB1537" s="20" t="s">
        <v>153</v>
      </c>
      <c r="AC1537" s="20" t="s">
        <v>36</v>
      </c>
      <c r="AD1537" s="4" t="str">
        <f>"Pitanguá"</f>
        <v>Pitanguá</v>
      </c>
      <c r="AE1537" s="14" t="str">
        <f>"Matemática"</f>
        <v>Matemática</v>
      </c>
      <c r="AF1537" s="14"/>
    </row>
    <row r="1538" spans="1:32" ht="57.6" x14ac:dyDescent="0.3">
      <c r="A1538" s="23" t="s">
        <v>4681</v>
      </c>
      <c r="B1538" s="20" t="s">
        <v>16</v>
      </c>
      <c r="C1538" s="20" t="s">
        <v>89</v>
      </c>
      <c r="D1538" s="20" t="s">
        <v>8</v>
      </c>
      <c r="E1538" s="22">
        <v>122</v>
      </c>
      <c r="F1538" s="22">
        <v>5</v>
      </c>
      <c r="G1538" s="22">
        <v>6</v>
      </c>
      <c r="H1538" s="22"/>
      <c r="I1538" s="23" t="s">
        <v>33</v>
      </c>
      <c r="J1538" s="23"/>
      <c r="K1538" s="22"/>
      <c r="L1538" s="22"/>
      <c r="M1538" s="23"/>
      <c r="N1538" s="23"/>
      <c r="O1538" s="26" t="s">
        <v>4682</v>
      </c>
      <c r="P1538" s="26"/>
      <c r="Q1538" s="22">
        <v>77</v>
      </c>
      <c r="R1538" s="24">
        <v>45819</v>
      </c>
      <c r="S1538" s="24">
        <v>45866</v>
      </c>
      <c r="T1538" s="24"/>
      <c r="U1538" s="24"/>
      <c r="V1538" s="24">
        <v>45868</v>
      </c>
      <c r="W1538" s="22" t="s">
        <v>940</v>
      </c>
      <c r="X1538" s="4" t="str">
        <f>IF(Tabela2[[#This Row],[sigla]]="","",VLOOKUP(Tabela2[[#This Row],[sigla]],créditos_base!B:C,2,0))</f>
        <v>RONALDO LUCENA/ARQUIVO DA EDITORA</v>
      </c>
      <c r="Y1538" s="23" t="s">
        <v>4625</v>
      </c>
      <c r="Z1538" s="23" t="str">
        <f>Tabela2[[#This Row],[ilustrador]]</f>
        <v>RONALDO LUCENA/ARQUIVO DA EDITORA</v>
      </c>
      <c r="AA1538" s="22">
        <v>14</v>
      </c>
      <c r="AB1538" s="20" t="s">
        <v>4626</v>
      </c>
      <c r="AC1538" s="20" t="s">
        <v>36</v>
      </c>
      <c r="AD1538" s="4" t="str">
        <f>"Pitanguá"</f>
        <v>Pitanguá</v>
      </c>
      <c r="AE1538" s="14" t="str">
        <f>"Matemática"</f>
        <v>Matemática</v>
      </c>
      <c r="AF1538" s="14"/>
    </row>
    <row r="1539" spans="1:32" ht="28.8" x14ac:dyDescent="0.3">
      <c r="A1539" s="23" t="s">
        <v>4513</v>
      </c>
      <c r="B1539" s="20" t="s">
        <v>16</v>
      </c>
      <c r="C1539" s="20" t="s">
        <v>7</v>
      </c>
      <c r="D1539" s="20" t="s">
        <v>8</v>
      </c>
      <c r="E1539" s="22">
        <v>168</v>
      </c>
      <c r="F1539" s="22">
        <v>2</v>
      </c>
      <c r="G1539" s="22">
        <v>6</v>
      </c>
      <c r="H1539" s="22"/>
      <c r="I1539" s="23" t="s">
        <v>90</v>
      </c>
      <c r="J1539" s="23"/>
      <c r="K1539" s="22"/>
      <c r="L1539" s="22"/>
      <c r="M1539" s="23"/>
      <c r="N1539" s="23"/>
      <c r="O1539" s="26" t="s">
        <v>4514</v>
      </c>
      <c r="P1539" s="26"/>
      <c r="Q1539" s="22">
        <v>71</v>
      </c>
      <c r="R1539" s="24">
        <v>45813</v>
      </c>
      <c r="S1539" s="24">
        <v>45819</v>
      </c>
      <c r="T1539" s="24"/>
      <c r="U1539" s="24"/>
      <c r="V1539" s="24">
        <v>45820</v>
      </c>
      <c r="W1539" s="22" t="s">
        <v>428</v>
      </c>
      <c r="X1539" s="4" t="str">
        <f>IF(Tabela2[[#This Row],[sigla]]="","",VLOOKUP(Tabela2[[#This Row],[sigla]],créditos_base!B:C,2,0))</f>
        <v>TAMIRES AZEVEDO/ARQUIVO DA EDITORA</v>
      </c>
      <c r="Y1539" s="23"/>
      <c r="Z1539" s="23" t="str">
        <f>Tabela2[[#This Row],[ilustrador]]</f>
        <v>TAMIRES AZEVEDO/ARQUIVO DA EDITORA</v>
      </c>
      <c r="AA1539" s="22">
        <v>7</v>
      </c>
      <c r="AB1539" s="20" t="s">
        <v>4515</v>
      </c>
      <c r="AC1539" s="20" t="s">
        <v>36</v>
      </c>
      <c r="AD1539" s="4" t="str">
        <f>"Pitanguá"</f>
        <v>Pitanguá</v>
      </c>
      <c r="AE1539" s="14" t="str">
        <f>"Matemática"</f>
        <v>Matemática</v>
      </c>
      <c r="AF1539" s="14"/>
    </row>
    <row r="1540" spans="1:32" ht="28.8" x14ac:dyDescent="0.3">
      <c r="A1540" s="23" t="s">
        <v>2267</v>
      </c>
      <c r="B1540" s="20" t="s">
        <v>16</v>
      </c>
      <c r="C1540" s="20" t="s">
        <v>7</v>
      </c>
      <c r="D1540" s="20" t="s">
        <v>8</v>
      </c>
      <c r="E1540" s="22">
        <v>112</v>
      </c>
      <c r="F1540" s="22">
        <v>3</v>
      </c>
      <c r="G1540" s="22">
        <v>6</v>
      </c>
      <c r="H1540" s="22"/>
      <c r="I1540" s="23" t="s">
        <v>9</v>
      </c>
      <c r="J1540" s="23"/>
      <c r="K1540" s="22"/>
      <c r="L1540" s="22"/>
      <c r="M1540" s="23"/>
      <c r="N1540" s="23"/>
      <c r="O1540" s="26" t="s">
        <v>2268</v>
      </c>
      <c r="P1540" s="26"/>
      <c r="Q1540" s="22"/>
      <c r="R1540" s="24"/>
      <c r="S1540" s="24"/>
      <c r="T1540" s="24"/>
      <c r="U1540" s="24"/>
      <c r="V1540" s="24"/>
      <c r="W1540" s="22" t="s">
        <v>468</v>
      </c>
      <c r="X1540" s="4" t="str">
        <f>IF(Tabela2[[#This Row],[sigla]]="","",VLOOKUP(Tabela2[[#This Row],[sigla]],créditos_base!B:C,2,0))</f>
        <v>VER DOCUMENTO DE ILS. TÉCNICAS</v>
      </c>
      <c r="Y1540" s="23"/>
      <c r="Z1540" s="23" t="s">
        <v>2264</v>
      </c>
      <c r="AA1540" s="22"/>
      <c r="AB1540" s="20"/>
      <c r="AD1540" s="4" t="str">
        <f>"Pitanguá"</f>
        <v>Pitanguá</v>
      </c>
      <c r="AE1540" s="14" t="str">
        <f>"Matemática"</f>
        <v>Matemática</v>
      </c>
      <c r="AF1540" s="14"/>
    </row>
    <row r="1541" spans="1:32" ht="28.8" x14ac:dyDescent="0.3">
      <c r="A1541" s="23" t="s">
        <v>3276</v>
      </c>
      <c r="B1541" s="20" t="s">
        <v>16</v>
      </c>
      <c r="C1541" s="20" t="s">
        <v>7</v>
      </c>
      <c r="D1541" s="20" t="s">
        <v>8</v>
      </c>
      <c r="E1541" s="22">
        <v>170</v>
      </c>
      <c r="F1541" s="22">
        <v>4</v>
      </c>
      <c r="G1541" s="22">
        <v>6</v>
      </c>
      <c r="H1541" s="22"/>
      <c r="I1541" s="23" t="s">
        <v>33</v>
      </c>
      <c r="J1541" s="23"/>
      <c r="K1541" s="22"/>
      <c r="L1541" s="22"/>
      <c r="M1541" s="23"/>
      <c r="N1541" s="23"/>
      <c r="O1541" s="26" t="s">
        <v>3277</v>
      </c>
      <c r="P1541" s="26"/>
      <c r="Q1541" s="22">
        <v>155</v>
      </c>
      <c r="R1541" s="24">
        <v>45884</v>
      </c>
      <c r="S1541" s="24">
        <v>45885</v>
      </c>
      <c r="T1541" s="24"/>
      <c r="U1541" s="24"/>
      <c r="V1541" s="24">
        <v>45885</v>
      </c>
      <c r="W1541" s="22" t="s">
        <v>468</v>
      </c>
      <c r="X1541" s="4" t="str">
        <f>IF(Tabela2[[#This Row],[sigla]]="","",VLOOKUP(Tabela2[[#This Row],[sigla]],créditos_base!B:C,2,0))</f>
        <v>VER DOCUMENTO DE ILS. TÉCNICAS</v>
      </c>
      <c r="Y1541" s="23" t="s">
        <v>243</v>
      </c>
      <c r="Z1541" s="23" t="s">
        <v>1327</v>
      </c>
      <c r="AA1541" s="22">
        <v>13</v>
      </c>
      <c r="AB1541" s="20" t="s">
        <v>244</v>
      </c>
      <c r="AC1541" s="20" t="s">
        <v>36</v>
      </c>
      <c r="AD1541" s="4" t="str">
        <f>"Pitanguá"</f>
        <v>Pitanguá</v>
      </c>
      <c r="AE1541" s="14" t="str">
        <f>"Matemática"</f>
        <v>Matemática</v>
      </c>
      <c r="AF1541" s="14"/>
    </row>
    <row r="1542" spans="1:32" ht="43.2" x14ac:dyDescent="0.3">
      <c r="A1542" s="23" t="s">
        <v>466</v>
      </c>
      <c r="B1542" s="20" t="s">
        <v>16</v>
      </c>
      <c r="C1542" s="20" t="s">
        <v>7</v>
      </c>
      <c r="D1542" s="20" t="s">
        <v>8</v>
      </c>
      <c r="E1542" s="22">
        <v>106</v>
      </c>
      <c r="F1542" s="22">
        <v>1</v>
      </c>
      <c r="G1542" s="22">
        <v>6</v>
      </c>
      <c r="H1542" s="22"/>
      <c r="I1542" s="23" t="s">
        <v>9</v>
      </c>
      <c r="J1542" s="23"/>
      <c r="K1542" s="22"/>
      <c r="L1542" s="22"/>
      <c r="M1542" s="23"/>
      <c r="N1542" s="23"/>
      <c r="O1542" s="26" t="s">
        <v>467</v>
      </c>
      <c r="P1542" s="26"/>
      <c r="Q1542" s="22"/>
      <c r="R1542" s="24"/>
      <c r="S1542" s="24"/>
      <c r="T1542" s="24"/>
      <c r="U1542" s="24"/>
      <c r="V1542" s="24"/>
      <c r="W1542" s="22" t="s">
        <v>468</v>
      </c>
      <c r="X1542" s="4" t="str">
        <f>IF(Tabela2[[#This Row],[sigla]]="","",VLOOKUP(Tabela2[[#This Row],[sigla]],créditos_base!B:C,2,0))</f>
        <v>VER DOCUMENTO DE ILS. TÉCNICAS</v>
      </c>
      <c r="Y1542" s="23"/>
      <c r="Z1542" s="23" t="s">
        <v>469</v>
      </c>
      <c r="AA1542" s="22"/>
      <c r="AB1542" s="20"/>
      <c r="AD1542" s="4" t="str">
        <f>"Pitanguá"</f>
        <v>Pitanguá</v>
      </c>
      <c r="AE1542" s="14" t="str">
        <f>"Matemática"</f>
        <v>Matemática</v>
      </c>
      <c r="AF1542" s="14"/>
    </row>
    <row r="1543" spans="1:32" ht="43.2" x14ac:dyDescent="0.3">
      <c r="A1543" s="23" t="s">
        <v>4516</v>
      </c>
      <c r="B1543" s="20" t="s">
        <v>16</v>
      </c>
      <c r="C1543" s="20" t="s">
        <v>7</v>
      </c>
      <c r="D1543" s="20" t="s">
        <v>8</v>
      </c>
      <c r="E1543" s="22">
        <v>168</v>
      </c>
      <c r="F1543" s="22">
        <v>2</v>
      </c>
      <c r="G1543" s="22">
        <v>6</v>
      </c>
      <c r="H1543" s="22"/>
      <c r="I1543" s="23" t="s">
        <v>33</v>
      </c>
      <c r="J1543" s="23"/>
      <c r="K1543" s="22"/>
      <c r="L1543" s="22"/>
      <c r="M1543" s="23"/>
      <c r="N1543" s="23"/>
      <c r="O1543" s="26" t="s">
        <v>4517</v>
      </c>
      <c r="P1543" s="26"/>
      <c r="Q1543" s="22">
        <v>71</v>
      </c>
      <c r="R1543" s="24">
        <v>45813</v>
      </c>
      <c r="S1543" s="24">
        <v>45819</v>
      </c>
      <c r="T1543" s="24"/>
      <c r="U1543" s="24"/>
      <c r="V1543" s="24">
        <v>45820</v>
      </c>
      <c r="W1543" s="22" t="s">
        <v>468</v>
      </c>
      <c r="X1543" s="4" t="str">
        <f>IF(Tabela2[[#This Row],[sigla]]="","",VLOOKUP(Tabela2[[#This Row],[sigla]],créditos_base!B:C,2,0))</f>
        <v>VER DOCUMENTO DE ILS. TÉCNICAS</v>
      </c>
      <c r="Y1543" s="23" t="s">
        <v>1139</v>
      </c>
      <c r="Z1543" s="23" t="s">
        <v>689</v>
      </c>
      <c r="AA1543" s="22">
        <v>13</v>
      </c>
      <c r="AB1543" s="20" t="s">
        <v>1771</v>
      </c>
      <c r="AC1543" s="20" t="s">
        <v>36</v>
      </c>
      <c r="AD1543" s="4" t="str">
        <f>"Pitanguá"</f>
        <v>Pitanguá</v>
      </c>
      <c r="AE1543" s="14" t="str">
        <f>"Matemática"</f>
        <v>Matemática</v>
      </c>
      <c r="AF1543" s="14"/>
    </row>
    <row r="1544" spans="1:32" ht="43.2" x14ac:dyDescent="0.3">
      <c r="A1544" s="23" t="s">
        <v>2269</v>
      </c>
      <c r="B1544" s="20" t="s">
        <v>16</v>
      </c>
      <c r="C1544" s="20" t="s">
        <v>7</v>
      </c>
      <c r="D1544" s="20" t="s">
        <v>8</v>
      </c>
      <c r="E1544" s="22">
        <v>112</v>
      </c>
      <c r="F1544" s="22">
        <v>3</v>
      </c>
      <c r="G1544" s="22">
        <v>6</v>
      </c>
      <c r="H1544" s="22"/>
      <c r="I1544" s="23" t="s">
        <v>9</v>
      </c>
      <c r="J1544" s="23"/>
      <c r="K1544" s="22"/>
      <c r="L1544" s="22"/>
      <c r="M1544" s="23"/>
      <c r="N1544" s="23"/>
      <c r="O1544" s="26" t="s">
        <v>2270</v>
      </c>
      <c r="P1544" s="26"/>
      <c r="Q1544" s="22"/>
      <c r="R1544" s="24"/>
      <c r="S1544" s="24"/>
      <c r="T1544" s="24"/>
      <c r="U1544" s="24"/>
      <c r="V1544" s="24"/>
      <c r="W1544" s="22" t="s">
        <v>468</v>
      </c>
      <c r="X1544" s="4" t="str">
        <f>IF(Tabela2[[#This Row],[sigla]]="","",VLOOKUP(Tabela2[[#This Row],[sigla]],créditos_base!B:C,2,0))</f>
        <v>VER DOCUMENTO DE ILS. TÉCNICAS</v>
      </c>
      <c r="Y1544" s="23"/>
      <c r="Z1544" s="23" t="s">
        <v>2264</v>
      </c>
      <c r="AA1544" s="22"/>
      <c r="AB1544" s="20"/>
      <c r="AD1544" s="4" t="str">
        <f>"Pitanguá"</f>
        <v>Pitanguá</v>
      </c>
      <c r="AE1544" s="14" t="str">
        <f>"Matemática"</f>
        <v>Matemática</v>
      </c>
      <c r="AF1544" s="14"/>
    </row>
    <row r="1545" spans="1:32" x14ac:dyDescent="0.3">
      <c r="A1545" s="23" t="s">
        <v>3278</v>
      </c>
      <c r="B1545" s="20" t="s">
        <v>16</v>
      </c>
      <c r="C1545" s="20" t="s">
        <v>7</v>
      </c>
      <c r="D1545" s="20" t="s">
        <v>8</v>
      </c>
      <c r="E1545" s="22">
        <v>170</v>
      </c>
      <c r="F1545" s="22">
        <v>4</v>
      </c>
      <c r="G1545" s="22">
        <v>6</v>
      </c>
      <c r="H1545" s="22"/>
      <c r="I1545" s="23" t="s">
        <v>33</v>
      </c>
      <c r="J1545" s="23"/>
      <c r="K1545" s="22"/>
      <c r="L1545" s="22"/>
      <c r="M1545" s="23"/>
      <c r="N1545" s="23"/>
      <c r="O1545" s="26" t="s">
        <v>3279</v>
      </c>
      <c r="P1545" s="26"/>
      <c r="Q1545" s="22">
        <v>155</v>
      </c>
      <c r="R1545" s="24">
        <v>45884</v>
      </c>
      <c r="S1545" s="24">
        <v>45885</v>
      </c>
      <c r="T1545" s="24"/>
      <c r="U1545" s="24"/>
      <c r="V1545" s="24">
        <v>45885</v>
      </c>
      <c r="W1545" s="22" t="s">
        <v>468</v>
      </c>
      <c r="X1545" s="4" t="str">
        <f>IF(Tabela2[[#This Row],[sigla]]="","",VLOOKUP(Tabela2[[#This Row],[sigla]],créditos_base!B:C,2,0))</f>
        <v>VER DOCUMENTO DE ILS. TÉCNICAS</v>
      </c>
      <c r="Y1545" s="23" t="s">
        <v>243</v>
      </c>
      <c r="Z1545" s="23" t="s">
        <v>1327</v>
      </c>
      <c r="AA1545" s="22">
        <v>13</v>
      </c>
      <c r="AB1545" s="20" t="s">
        <v>244</v>
      </c>
      <c r="AC1545" s="20" t="s">
        <v>36</v>
      </c>
      <c r="AD1545" s="4" t="str">
        <f>"Pitanguá"</f>
        <v>Pitanguá</v>
      </c>
      <c r="AE1545" s="14" t="str">
        <f>"Matemática"</f>
        <v>Matemática</v>
      </c>
      <c r="AF1545" s="14"/>
    </row>
    <row r="1546" spans="1:32" x14ac:dyDescent="0.3">
      <c r="A1546" s="23" t="s">
        <v>470</v>
      </c>
      <c r="B1546" s="20" t="s">
        <v>16</v>
      </c>
      <c r="C1546" s="20" t="s">
        <v>7</v>
      </c>
      <c r="D1546" s="20" t="s">
        <v>8</v>
      </c>
      <c r="E1546" s="22">
        <v>106</v>
      </c>
      <c r="F1546" s="22">
        <v>1</v>
      </c>
      <c r="G1546" s="22">
        <v>6</v>
      </c>
      <c r="H1546" s="22"/>
      <c r="I1546" s="23" t="s">
        <v>9</v>
      </c>
      <c r="J1546" s="23"/>
      <c r="K1546" s="22"/>
      <c r="L1546" s="22"/>
      <c r="M1546" s="23"/>
      <c r="N1546" s="23"/>
      <c r="O1546" s="26" t="s">
        <v>471</v>
      </c>
      <c r="P1546" s="26"/>
      <c r="Q1546" s="22"/>
      <c r="R1546" s="24"/>
      <c r="S1546" s="24"/>
      <c r="T1546" s="24"/>
      <c r="U1546" s="24"/>
      <c r="V1546" s="24"/>
      <c r="W1546" s="22" t="s">
        <v>468</v>
      </c>
      <c r="X1546" s="4" t="str">
        <f>IF(Tabela2[[#This Row],[sigla]]="","",VLOOKUP(Tabela2[[#This Row],[sigla]],créditos_base!B:C,2,0))</f>
        <v>VER DOCUMENTO DE ILS. TÉCNICAS</v>
      </c>
      <c r="Y1546" s="23"/>
      <c r="Z1546" s="23" t="s">
        <v>469</v>
      </c>
      <c r="AA1546" s="22"/>
      <c r="AB1546" s="20"/>
      <c r="AD1546" s="4" t="str">
        <f>"Pitanguá"</f>
        <v>Pitanguá</v>
      </c>
      <c r="AE1546" s="14" t="str">
        <f>"Matemática"</f>
        <v>Matemática</v>
      </c>
      <c r="AF1546" s="14"/>
    </row>
    <row r="1547" spans="1:32" x14ac:dyDescent="0.3">
      <c r="A1547" s="23" t="s">
        <v>4518</v>
      </c>
      <c r="B1547" s="20" t="s">
        <v>16</v>
      </c>
      <c r="C1547" s="20" t="s">
        <v>7</v>
      </c>
      <c r="D1547" s="20" t="s">
        <v>8</v>
      </c>
      <c r="E1547" s="22">
        <v>168</v>
      </c>
      <c r="F1547" s="22">
        <v>2</v>
      </c>
      <c r="G1547" s="22">
        <v>6</v>
      </c>
      <c r="H1547" s="22"/>
      <c r="I1547" s="23" t="s">
        <v>33</v>
      </c>
      <c r="J1547" s="23"/>
      <c r="K1547" s="22"/>
      <c r="L1547" s="22"/>
      <c r="M1547" s="23"/>
      <c r="N1547" s="23"/>
      <c r="O1547" s="26" t="s">
        <v>4519</v>
      </c>
      <c r="P1547" s="26"/>
      <c r="Q1547" s="22">
        <v>71</v>
      </c>
      <c r="R1547" s="24">
        <v>45813</v>
      </c>
      <c r="S1547" s="24">
        <v>45819</v>
      </c>
      <c r="T1547" s="24"/>
      <c r="U1547" s="24"/>
      <c r="V1547" s="24">
        <v>45820</v>
      </c>
      <c r="W1547" s="22" t="s">
        <v>87</v>
      </c>
      <c r="X1547" s="4" t="str">
        <f>IF(Tabela2[[#This Row],[sigla]]="","",VLOOKUP(Tabela2[[#This Row],[sigla]],créditos_base!B:C,2,0))</f>
        <v>CHRIS BORGES/ARQUIVO DA EDITORA</v>
      </c>
      <c r="Y1547" s="23" t="s">
        <v>1139</v>
      </c>
      <c r="Z1547" s="23" t="str">
        <f>Tabela2[[#This Row],[ilustrador]]</f>
        <v>CHRIS BORGES/ARQUIVO DA EDITORA</v>
      </c>
      <c r="AA1547" s="22">
        <v>13</v>
      </c>
      <c r="AB1547" s="20" t="s">
        <v>1771</v>
      </c>
      <c r="AC1547" s="20" t="s">
        <v>36</v>
      </c>
      <c r="AD1547" s="4" t="str">
        <f>"Pitanguá"</f>
        <v>Pitanguá</v>
      </c>
      <c r="AE1547" s="14" t="str">
        <f>"Matemática"</f>
        <v>Matemática</v>
      </c>
      <c r="AF1547" s="14"/>
    </row>
    <row r="1548" spans="1:32" x14ac:dyDescent="0.3">
      <c r="A1548" s="23" t="s">
        <v>2271</v>
      </c>
      <c r="B1548" s="20" t="s">
        <v>16</v>
      </c>
      <c r="C1548" s="20" t="s">
        <v>7</v>
      </c>
      <c r="D1548" s="20" t="s">
        <v>8</v>
      </c>
      <c r="E1548" s="22">
        <v>112</v>
      </c>
      <c r="F1548" s="22">
        <v>3</v>
      </c>
      <c r="G1548" s="22">
        <v>6</v>
      </c>
      <c r="H1548" s="22"/>
      <c r="I1548" s="23" t="s">
        <v>9</v>
      </c>
      <c r="J1548" s="23"/>
      <c r="K1548" s="22"/>
      <c r="L1548" s="22"/>
      <c r="M1548" s="23"/>
      <c r="N1548" s="23"/>
      <c r="O1548" s="26" t="s">
        <v>2268</v>
      </c>
      <c r="P1548" s="26"/>
      <c r="Q1548" s="22"/>
      <c r="R1548" s="24"/>
      <c r="S1548" s="24"/>
      <c r="T1548" s="24"/>
      <c r="U1548" s="24"/>
      <c r="V1548" s="24"/>
      <c r="W1548" s="22" t="s">
        <v>468</v>
      </c>
      <c r="X1548" s="4" t="str">
        <f>IF(Tabela2[[#This Row],[sigla]]="","",VLOOKUP(Tabela2[[#This Row],[sigla]],créditos_base!B:C,2,0))</f>
        <v>VER DOCUMENTO DE ILS. TÉCNICAS</v>
      </c>
      <c r="Y1548" s="23"/>
      <c r="Z1548" s="23" t="s">
        <v>2264</v>
      </c>
      <c r="AA1548" s="22"/>
      <c r="AB1548" s="20"/>
      <c r="AD1548" s="4" t="str">
        <f>"Pitanguá"</f>
        <v>Pitanguá</v>
      </c>
      <c r="AE1548" s="14" t="str">
        <f>"Matemática"</f>
        <v>Matemática</v>
      </c>
      <c r="AF1548" s="14"/>
    </row>
    <row r="1549" spans="1:32" ht="57.6" x14ac:dyDescent="0.3">
      <c r="A1549" s="23" t="s">
        <v>3280</v>
      </c>
      <c r="B1549" s="20" t="s">
        <v>16</v>
      </c>
      <c r="C1549" s="20" t="s">
        <v>7</v>
      </c>
      <c r="D1549" s="20" t="s">
        <v>8</v>
      </c>
      <c r="E1549" s="22">
        <v>170</v>
      </c>
      <c r="F1549" s="22">
        <v>4</v>
      </c>
      <c r="G1549" s="22">
        <v>6</v>
      </c>
      <c r="H1549" s="22"/>
      <c r="I1549" s="23" t="s">
        <v>33</v>
      </c>
      <c r="J1549" s="23"/>
      <c r="K1549" s="22"/>
      <c r="L1549" s="22"/>
      <c r="M1549" s="23"/>
      <c r="N1549" s="23"/>
      <c r="O1549" s="20" t="s">
        <v>3281</v>
      </c>
      <c r="P1549" s="26"/>
      <c r="Q1549" s="22">
        <v>155</v>
      </c>
      <c r="R1549" s="24">
        <v>45884</v>
      </c>
      <c r="S1549" s="24">
        <v>45885</v>
      </c>
      <c r="T1549" s="24"/>
      <c r="U1549" s="24"/>
      <c r="V1549" s="24">
        <v>45885</v>
      </c>
      <c r="W1549" s="22" t="s">
        <v>468</v>
      </c>
      <c r="X1549" s="4" t="str">
        <f>IF(Tabela2[[#This Row],[sigla]]="","",VLOOKUP(Tabela2[[#This Row],[sigla]],créditos_base!B:C,2,0))</f>
        <v>VER DOCUMENTO DE ILS. TÉCNICAS</v>
      </c>
      <c r="Y1549" s="23" t="s">
        <v>243</v>
      </c>
      <c r="Z1549" s="23" t="s">
        <v>1327</v>
      </c>
      <c r="AA1549" s="22">
        <v>13</v>
      </c>
      <c r="AB1549" s="20" t="s">
        <v>244</v>
      </c>
      <c r="AC1549" s="20" t="s">
        <v>36</v>
      </c>
      <c r="AD1549" s="4" t="str">
        <f>"Pitanguá"</f>
        <v>Pitanguá</v>
      </c>
      <c r="AE1549" s="14" t="str">
        <f>"Matemática"</f>
        <v>Matemática</v>
      </c>
      <c r="AF1549" s="14"/>
    </row>
    <row r="1550" spans="1:32" ht="57.6" x14ac:dyDescent="0.3">
      <c r="A1550" s="23" t="s">
        <v>4685</v>
      </c>
      <c r="B1550" s="20" t="s">
        <v>16</v>
      </c>
      <c r="C1550" s="20" t="s">
        <v>7</v>
      </c>
      <c r="D1550" s="20" t="s">
        <v>8</v>
      </c>
      <c r="E1550" s="22">
        <v>124</v>
      </c>
      <c r="F1550" s="22">
        <v>5</v>
      </c>
      <c r="G1550" s="22">
        <v>6</v>
      </c>
      <c r="H1550" s="22"/>
      <c r="I1550" s="23" t="s">
        <v>33</v>
      </c>
      <c r="J1550" s="23"/>
      <c r="K1550" s="22"/>
      <c r="L1550" s="22"/>
      <c r="M1550" s="23"/>
      <c r="N1550" s="23"/>
      <c r="O1550" s="26" t="s">
        <v>4686</v>
      </c>
      <c r="P1550" s="26"/>
      <c r="Q1550" s="22">
        <v>203</v>
      </c>
      <c r="R1550" s="24">
        <v>45925</v>
      </c>
      <c r="S1550" s="24">
        <v>45925</v>
      </c>
      <c r="T1550" s="24"/>
      <c r="U1550" s="24"/>
      <c r="V1550" s="24">
        <v>45925</v>
      </c>
      <c r="W1550" s="22" t="s">
        <v>31</v>
      </c>
      <c r="X1550" s="4" t="str">
        <f>IF(Tabela2[[#This Row],[sigla]]="","",VLOOKUP(Tabela2[[#This Row],[sigla]],créditos_base!B:C,2,0))</f>
        <v>SILVIA OTOFUJI/ARQUIVO DA EDITORA</v>
      </c>
      <c r="Y1550" s="23" t="s">
        <v>188</v>
      </c>
      <c r="Z1550" s="23" t="str">
        <f>Tabela2[[#This Row],[ilustrador]]</f>
        <v>SILVIA OTOFUJI/ARQUIVO DA EDITORA</v>
      </c>
      <c r="AA1550" s="22">
        <v>13</v>
      </c>
      <c r="AB1550" s="20" t="s">
        <v>41</v>
      </c>
      <c r="AD1550" s="4" t="str">
        <f>"Pitanguá"</f>
        <v>Pitanguá</v>
      </c>
      <c r="AE1550" s="14" t="str">
        <f>"Matemática"</f>
        <v>Matemática</v>
      </c>
      <c r="AF1550" s="14"/>
    </row>
    <row r="1551" spans="1:32" ht="57.6" x14ac:dyDescent="0.3">
      <c r="A1551" s="23" t="s">
        <v>472</v>
      </c>
      <c r="B1551" s="20" t="s">
        <v>6</v>
      </c>
      <c r="C1551" s="20" t="s">
        <v>7</v>
      </c>
      <c r="D1551" s="20" t="s">
        <v>8</v>
      </c>
      <c r="E1551" s="22">
        <v>106</v>
      </c>
      <c r="F1551" s="22">
        <v>1</v>
      </c>
      <c r="G1551" s="22">
        <v>6</v>
      </c>
      <c r="H1551" s="22"/>
      <c r="I1551" s="23" t="s">
        <v>9</v>
      </c>
      <c r="J1551" s="23"/>
      <c r="K1551" s="22"/>
      <c r="L1551" s="22"/>
      <c r="M1551" s="23"/>
      <c r="N1551" s="23"/>
      <c r="O1551" s="26" t="s">
        <v>473</v>
      </c>
      <c r="P1551" s="26" t="s">
        <v>465</v>
      </c>
      <c r="Q1551" s="22"/>
      <c r="R1551" s="24"/>
      <c r="S1551" s="24"/>
      <c r="T1551" s="24"/>
      <c r="U1551" s="24"/>
      <c r="V1551" s="24"/>
      <c r="W1551" s="22" t="s">
        <v>425</v>
      </c>
      <c r="X1551" s="4" t="str">
        <f>IF(Tabela2[[#This Row],[sigla]]="","",VLOOKUP(Tabela2[[#This Row],[sigla]],créditos_base!B:C,2,0))</f>
        <v>BÁRBARA SARZI/ARQUIVO DA EDITORA</v>
      </c>
      <c r="Y1551" s="23"/>
      <c r="Z1551" s="23" t="str">
        <f>Tabela2[[#This Row],[ilustrador]]</f>
        <v>BÁRBARA SARZI/ARQUIVO DA EDITORA</v>
      </c>
      <c r="AA1551" s="22"/>
      <c r="AB1551" s="20"/>
      <c r="AD1551" s="4" t="str">
        <f>"Pitanguá"</f>
        <v>Pitanguá</v>
      </c>
      <c r="AE1551" s="14" t="str">
        <f>"Matemática"</f>
        <v>Matemática</v>
      </c>
      <c r="AF1551" s="14"/>
    </row>
    <row r="1552" spans="1:32" ht="28.8" x14ac:dyDescent="0.3">
      <c r="A1552" s="23" t="s">
        <v>4520</v>
      </c>
      <c r="B1552" s="20" t="s">
        <v>16</v>
      </c>
      <c r="C1552" s="20" t="s">
        <v>7</v>
      </c>
      <c r="D1552" s="20" t="s">
        <v>8</v>
      </c>
      <c r="E1552" s="22">
        <v>168</v>
      </c>
      <c r="F1552" s="22">
        <v>2</v>
      </c>
      <c r="G1552" s="22">
        <v>6</v>
      </c>
      <c r="H1552" s="22"/>
      <c r="I1552" s="23" t="s">
        <v>33</v>
      </c>
      <c r="J1552" s="23"/>
      <c r="K1552" s="22"/>
      <c r="L1552" s="22"/>
      <c r="M1552" s="23"/>
      <c r="N1552" s="23"/>
      <c r="O1552" s="26" t="s">
        <v>4521</v>
      </c>
      <c r="P1552" s="26"/>
      <c r="Q1552" s="22">
        <v>71</v>
      </c>
      <c r="R1552" s="24">
        <v>45813</v>
      </c>
      <c r="S1552" s="24">
        <v>45819</v>
      </c>
      <c r="T1552" s="24"/>
      <c r="U1552" s="24"/>
      <c r="V1552" s="24">
        <v>45820</v>
      </c>
      <c r="W1552" s="22" t="s">
        <v>87</v>
      </c>
      <c r="X1552" s="4" t="str">
        <f>IF(Tabela2[[#This Row],[sigla]]="","",VLOOKUP(Tabela2[[#This Row],[sigla]],créditos_base!B:C,2,0))</f>
        <v>CHRIS BORGES/ARQUIVO DA EDITORA</v>
      </c>
      <c r="Y1552" s="23" t="s">
        <v>1139</v>
      </c>
      <c r="Z1552" s="23" t="str">
        <f>Tabela2[[#This Row],[ilustrador]]</f>
        <v>CHRIS BORGES/ARQUIVO DA EDITORA</v>
      </c>
      <c r="AA1552" s="22">
        <v>13</v>
      </c>
      <c r="AB1552" s="20" t="s">
        <v>1771</v>
      </c>
      <c r="AC1552" s="20" t="s">
        <v>36</v>
      </c>
      <c r="AD1552" s="4" t="str">
        <f>"Pitanguá"</f>
        <v>Pitanguá</v>
      </c>
      <c r="AE1552" s="14" t="str">
        <f>"Matemática"</f>
        <v>Matemática</v>
      </c>
      <c r="AF1552" s="14"/>
    </row>
    <row r="1553" spans="1:32" ht="28.8" x14ac:dyDescent="0.3">
      <c r="A1553" s="23" t="s">
        <v>2272</v>
      </c>
      <c r="B1553" s="20" t="s">
        <v>16</v>
      </c>
      <c r="C1553" s="20" t="s">
        <v>7</v>
      </c>
      <c r="D1553" s="20" t="s">
        <v>8</v>
      </c>
      <c r="E1553" s="22">
        <v>113</v>
      </c>
      <c r="F1553" s="22">
        <v>3</v>
      </c>
      <c r="G1553" s="22">
        <v>6</v>
      </c>
      <c r="H1553" s="22"/>
      <c r="I1553" s="23" t="s">
        <v>33</v>
      </c>
      <c r="J1553" s="23"/>
      <c r="K1553" s="22"/>
      <c r="L1553" s="22"/>
      <c r="M1553" s="23"/>
      <c r="N1553" s="23"/>
      <c r="O1553" s="26" t="s">
        <v>2273</v>
      </c>
      <c r="P1553" s="26"/>
      <c r="Q1553" s="22">
        <v>212</v>
      </c>
      <c r="R1553" s="24">
        <v>45930</v>
      </c>
      <c r="S1553" s="24">
        <v>45930</v>
      </c>
      <c r="T1553" s="24"/>
      <c r="U1553" s="24"/>
      <c r="V1553" s="24">
        <v>45930</v>
      </c>
      <c r="W1553" s="22" t="s">
        <v>468</v>
      </c>
      <c r="X1553" s="4" t="str">
        <f>IF(Tabela2[[#This Row],[sigla]]="","",VLOOKUP(Tabela2[[#This Row],[sigla]],créditos_base!B:C,2,0))</f>
        <v>VER DOCUMENTO DE ILS. TÉCNICAS</v>
      </c>
      <c r="Y1553" s="23" t="s">
        <v>696</v>
      </c>
      <c r="Z1553" s="23" t="s">
        <v>2264</v>
      </c>
      <c r="AA1553" s="22">
        <v>13</v>
      </c>
      <c r="AB1553" s="20" t="s">
        <v>41</v>
      </c>
      <c r="AD1553" s="4" t="str">
        <f>"Pitanguá"</f>
        <v>Pitanguá</v>
      </c>
      <c r="AE1553" s="14" t="str">
        <f>"Matemática"</f>
        <v>Matemática</v>
      </c>
      <c r="AF1553" s="14"/>
    </row>
    <row r="1554" spans="1:32" x14ac:dyDescent="0.3">
      <c r="A1554" s="23" t="s">
        <v>3282</v>
      </c>
      <c r="B1554" s="20" t="s">
        <v>16</v>
      </c>
      <c r="C1554" s="20" t="s">
        <v>7</v>
      </c>
      <c r="D1554" s="20" t="s">
        <v>8</v>
      </c>
      <c r="E1554" s="22">
        <v>171</v>
      </c>
      <c r="F1554" s="22">
        <v>4</v>
      </c>
      <c r="G1554" s="22">
        <v>6</v>
      </c>
      <c r="H1554" s="22"/>
      <c r="I1554" s="23" t="s">
        <v>9</v>
      </c>
      <c r="J1554" s="23"/>
      <c r="K1554" s="22"/>
      <c r="L1554" s="22"/>
      <c r="M1554" s="23"/>
      <c r="N1554" s="23"/>
      <c r="O1554" s="26" t="s">
        <v>3283</v>
      </c>
      <c r="P1554" s="26"/>
      <c r="Q1554" s="22"/>
      <c r="R1554" s="24"/>
      <c r="S1554" s="24"/>
      <c r="T1554" s="24"/>
      <c r="U1554" s="24"/>
      <c r="V1554" s="24"/>
      <c r="W1554" s="22" t="s">
        <v>940</v>
      </c>
      <c r="X1554" s="4" t="str">
        <f>IF(Tabela2[[#This Row],[sigla]]="","",VLOOKUP(Tabela2[[#This Row],[sigla]],créditos_base!B:C,2,0))</f>
        <v>RONALDO LUCENA/ARQUIVO DA EDITORA</v>
      </c>
      <c r="Y1554" s="23"/>
      <c r="Z1554" s="23" t="str">
        <f>Tabela2[[#This Row],[ilustrador]]</f>
        <v>RONALDO LUCENA/ARQUIVO DA EDITORA</v>
      </c>
      <c r="AA1554" s="22"/>
      <c r="AB1554" s="20"/>
      <c r="AD1554" s="4" t="str">
        <f>"Pitanguá"</f>
        <v>Pitanguá</v>
      </c>
      <c r="AE1554" s="14" t="str">
        <f>"Matemática"</f>
        <v>Matemática</v>
      </c>
      <c r="AF1554" s="14"/>
    </row>
    <row r="1555" spans="1:32" x14ac:dyDescent="0.3">
      <c r="A1555" s="23" t="s">
        <v>4687</v>
      </c>
      <c r="B1555" s="20" t="s">
        <v>16</v>
      </c>
      <c r="C1555" s="20" t="s">
        <v>7</v>
      </c>
      <c r="D1555" s="20" t="s">
        <v>8</v>
      </c>
      <c r="E1555" s="22">
        <v>125</v>
      </c>
      <c r="F1555" s="22">
        <v>5</v>
      </c>
      <c r="G1555" s="22">
        <v>6</v>
      </c>
      <c r="H1555" s="22"/>
      <c r="I1555" s="23" t="s">
        <v>33</v>
      </c>
      <c r="J1555" s="23"/>
      <c r="K1555" s="22"/>
      <c r="L1555" s="22"/>
      <c r="M1555" s="23"/>
      <c r="N1555" s="23"/>
      <c r="O1555" s="26" t="s">
        <v>4688</v>
      </c>
      <c r="P1555" s="26"/>
      <c r="Q1555" s="22">
        <v>77</v>
      </c>
      <c r="R1555" s="24">
        <v>45819</v>
      </c>
      <c r="S1555" s="24">
        <v>45866</v>
      </c>
      <c r="T1555" s="24"/>
      <c r="U1555" s="24"/>
      <c r="V1555" s="24">
        <v>45868</v>
      </c>
      <c r="W1555" s="22" t="s">
        <v>468</v>
      </c>
      <c r="X1555" s="4" t="str">
        <f>IF(Tabela2[[#This Row],[sigla]]="","",VLOOKUP(Tabela2[[#This Row],[sigla]],créditos_base!B:C,2,0))</f>
        <v>VER DOCUMENTO DE ILS. TÉCNICAS</v>
      </c>
      <c r="Y1555" s="23" t="s">
        <v>4625</v>
      </c>
      <c r="Z1555" s="23" t="s">
        <v>4689</v>
      </c>
      <c r="AA1555" s="22">
        <v>14</v>
      </c>
      <c r="AB1555" s="20" t="s">
        <v>4626</v>
      </c>
      <c r="AC1555" s="20" t="s">
        <v>36</v>
      </c>
      <c r="AD1555" s="4" t="str">
        <f>"Pitanguá"</f>
        <v>Pitanguá</v>
      </c>
      <c r="AE1555" s="14" t="str">
        <f>"Matemática"</f>
        <v>Matemática</v>
      </c>
      <c r="AF1555" s="14"/>
    </row>
    <row r="1556" spans="1:32" ht="43.2" x14ac:dyDescent="0.3">
      <c r="A1556" s="23" t="s">
        <v>474</v>
      </c>
      <c r="B1556" s="20" t="s">
        <v>16</v>
      </c>
      <c r="C1556" s="20" t="s">
        <v>7</v>
      </c>
      <c r="D1556" s="20" t="s">
        <v>8</v>
      </c>
      <c r="E1556" s="22">
        <v>106</v>
      </c>
      <c r="F1556" s="22">
        <v>1</v>
      </c>
      <c r="G1556" s="22">
        <v>6</v>
      </c>
      <c r="H1556" s="22"/>
      <c r="I1556" s="23" t="s">
        <v>9</v>
      </c>
      <c r="J1556" s="23"/>
      <c r="K1556" s="22"/>
      <c r="L1556" s="22"/>
      <c r="M1556" s="23"/>
      <c r="N1556" s="23"/>
      <c r="O1556" s="26" t="s">
        <v>475</v>
      </c>
      <c r="P1556" s="26"/>
      <c r="Q1556" s="22"/>
      <c r="R1556" s="24"/>
      <c r="S1556" s="24"/>
      <c r="T1556" s="24"/>
      <c r="U1556" s="24"/>
      <c r="V1556" s="24"/>
      <c r="W1556" s="22" t="s">
        <v>468</v>
      </c>
      <c r="X1556" s="4" t="str">
        <f>IF(Tabela2[[#This Row],[sigla]]="","",VLOOKUP(Tabela2[[#This Row],[sigla]],créditos_base!B:C,2,0))</f>
        <v>VER DOCUMENTO DE ILS. TÉCNICAS</v>
      </c>
      <c r="Y1556" s="23"/>
      <c r="Z1556" s="23" t="s">
        <v>469</v>
      </c>
      <c r="AA1556" s="22"/>
      <c r="AB1556" s="20"/>
      <c r="AD1556" s="4" t="str">
        <f>"Pitanguá"</f>
        <v>Pitanguá</v>
      </c>
      <c r="AE1556" s="14" t="str">
        <f>"Matemática"</f>
        <v>Matemática</v>
      </c>
      <c r="AF1556" s="14"/>
    </row>
    <row r="1557" spans="1:32" x14ac:dyDescent="0.3">
      <c r="A1557" s="23" t="s">
        <v>4522</v>
      </c>
      <c r="B1557" s="20" t="s">
        <v>6</v>
      </c>
      <c r="C1557" s="20" t="s">
        <v>7</v>
      </c>
      <c r="D1557" s="20" t="s">
        <v>8</v>
      </c>
      <c r="E1557" s="22">
        <v>169</v>
      </c>
      <c r="F1557" s="22">
        <v>2</v>
      </c>
      <c r="G1557" s="22">
        <v>6</v>
      </c>
      <c r="H1557" s="22"/>
      <c r="I1557" s="23" t="s">
        <v>33</v>
      </c>
      <c r="J1557" s="23"/>
      <c r="K1557" s="22"/>
      <c r="L1557" s="22"/>
      <c r="M1557" s="23"/>
      <c r="N1557" s="23"/>
      <c r="O1557" s="26" t="s">
        <v>4523</v>
      </c>
      <c r="P1557" s="26"/>
      <c r="Q1557" s="22">
        <v>71</v>
      </c>
      <c r="R1557" s="24">
        <v>45813</v>
      </c>
      <c r="S1557" s="24">
        <v>45817</v>
      </c>
      <c r="T1557" s="24"/>
      <c r="U1557" s="24"/>
      <c r="V1557" s="24">
        <v>45819</v>
      </c>
      <c r="W1557" s="22" t="s">
        <v>72</v>
      </c>
      <c r="X1557" s="4" t="str">
        <f>IF(Tabela2[[#This Row],[sigla]]="","",VLOOKUP(Tabela2[[#This Row],[sigla]],créditos_base!B:C,2,0))</f>
        <v>HELOÍSA PINTARELLI/ARQUIVO DA EDITORA</v>
      </c>
      <c r="Y1557" s="23"/>
      <c r="Z1557" s="23" t="str">
        <f>Tabela2[[#This Row],[ilustrador]]</f>
        <v>HELOÍSA PINTARELLI/ARQUIVO DA EDITORA</v>
      </c>
      <c r="AA1557" s="22">
        <v>7</v>
      </c>
      <c r="AB1557" s="28" t="s">
        <v>4512</v>
      </c>
      <c r="AC1557" s="20" t="s">
        <v>310</v>
      </c>
      <c r="AD1557" s="4" t="str">
        <f>"Pitanguá"</f>
        <v>Pitanguá</v>
      </c>
      <c r="AE1557" s="14" t="str">
        <f>"Matemática"</f>
        <v>Matemática</v>
      </c>
      <c r="AF1557" s="14"/>
    </row>
    <row r="1558" spans="1:32" ht="57.6" x14ac:dyDescent="0.3">
      <c r="A1558" s="23" t="s">
        <v>2274</v>
      </c>
      <c r="B1558" s="20" t="s">
        <v>16</v>
      </c>
      <c r="C1558" s="20" t="s">
        <v>7</v>
      </c>
      <c r="D1558" s="20" t="s">
        <v>8</v>
      </c>
      <c r="E1558" s="22">
        <v>113</v>
      </c>
      <c r="F1558" s="22">
        <v>3</v>
      </c>
      <c r="G1558" s="22">
        <v>6</v>
      </c>
      <c r="H1558" s="22"/>
      <c r="I1558" s="23" t="s">
        <v>33</v>
      </c>
      <c r="J1558" s="23"/>
      <c r="K1558" s="22"/>
      <c r="L1558" s="22"/>
      <c r="M1558" s="23"/>
      <c r="N1558" s="23"/>
      <c r="O1558" s="26" t="s">
        <v>2275</v>
      </c>
      <c r="P1558" s="26"/>
      <c r="Q1558" s="22">
        <v>212</v>
      </c>
      <c r="R1558" s="24">
        <v>45930</v>
      </c>
      <c r="S1558" s="24">
        <v>45930</v>
      </c>
      <c r="T1558" s="24"/>
      <c r="U1558" s="24"/>
      <c r="V1558" s="24">
        <v>45930</v>
      </c>
      <c r="W1558" s="22" t="s">
        <v>468</v>
      </c>
      <c r="X1558" s="4" t="str">
        <f>IF(Tabela2[[#This Row],[sigla]]="","",VLOOKUP(Tabela2[[#This Row],[sigla]],créditos_base!B:C,2,0))</f>
        <v>VER DOCUMENTO DE ILS. TÉCNICAS</v>
      </c>
      <c r="Y1558" s="23" t="s">
        <v>696</v>
      </c>
      <c r="Z1558" s="23" t="s">
        <v>2264</v>
      </c>
      <c r="AA1558" s="22">
        <v>13</v>
      </c>
      <c r="AB1558" s="20" t="s">
        <v>41</v>
      </c>
      <c r="AD1558" s="4" t="str">
        <f>"Pitanguá"</f>
        <v>Pitanguá</v>
      </c>
      <c r="AE1558" s="14" t="str">
        <f>"Matemática"</f>
        <v>Matemática</v>
      </c>
      <c r="AF1558" s="14"/>
    </row>
    <row r="1559" spans="1:32" ht="28.8" x14ac:dyDescent="0.3">
      <c r="A1559" s="23" t="s">
        <v>3284</v>
      </c>
      <c r="B1559" s="20" t="s">
        <v>16</v>
      </c>
      <c r="C1559" s="20" t="s">
        <v>7</v>
      </c>
      <c r="D1559" s="20" t="s">
        <v>8</v>
      </c>
      <c r="E1559" s="22">
        <v>171</v>
      </c>
      <c r="F1559" s="22">
        <v>4</v>
      </c>
      <c r="G1559" s="22">
        <v>6</v>
      </c>
      <c r="H1559" s="22"/>
      <c r="I1559" s="23" t="s">
        <v>33</v>
      </c>
      <c r="J1559" s="23"/>
      <c r="K1559" s="22"/>
      <c r="L1559" s="22"/>
      <c r="M1559" s="23"/>
      <c r="N1559" s="23"/>
      <c r="O1559" s="26" t="s">
        <v>3285</v>
      </c>
      <c r="P1559" s="26"/>
      <c r="Q1559" s="22">
        <v>46</v>
      </c>
      <c r="R1559" s="24">
        <v>45796</v>
      </c>
      <c r="S1559" s="24">
        <v>45797</v>
      </c>
      <c r="T1559" s="24"/>
      <c r="U1559" s="24"/>
      <c r="V1559" s="24">
        <v>45797</v>
      </c>
      <c r="W1559" s="22" t="s">
        <v>940</v>
      </c>
      <c r="X1559" s="4" t="str">
        <f>IF(Tabela2[[#This Row],[sigla]]="","",VLOOKUP(Tabela2[[#This Row],[sigla]],créditos_base!B:C,2,0))</f>
        <v>RONALDO LUCENA/ARQUIVO DA EDITORA</v>
      </c>
      <c r="Y1559" s="23" t="s">
        <v>188</v>
      </c>
      <c r="Z1559" s="23" t="str">
        <f>Tabela2[[#This Row],[ilustrador]]</f>
        <v>RONALDO LUCENA/ARQUIVO DA EDITORA</v>
      </c>
      <c r="AA1559" s="22">
        <v>14</v>
      </c>
      <c r="AB1559" s="20" t="s">
        <v>153</v>
      </c>
      <c r="AC1559" s="20" t="s">
        <v>36</v>
      </c>
      <c r="AD1559" s="4" t="str">
        <f>"Pitanguá"</f>
        <v>Pitanguá</v>
      </c>
      <c r="AE1559" s="14" t="str">
        <f>"Matemática"</f>
        <v>Matemática</v>
      </c>
      <c r="AF1559" s="14"/>
    </row>
    <row r="1560" spans="1:32" x14ac:dyDescent="0.3">
      <c r="A1560" s="23" t="s">
        <v>4690</v>
      </c>
      <c r="B1560" s="20" t="s">
        <v>16</v>
      </c>
      <c r="C1560" s="20" t="s">
        <v>89</v>
      </c>
      <c r="D1560" s="20" t="s">
        <v>8</v>
      </c>
      <c r="E1560" s="22">
        <v>125</v>
      </c>
      <c r="F1560" s="22">
        <v>5</v>
      </c>
      <c r="G1560" s="22">
        <v>6</v>
      </c>
      <c r="H1560" s="22"/>
      <c r="I1560" s="23" t="s">
        <v>9</v>
      </c>
      <c r="J1560" s="23"/>
      <c r="K1560" s="22"/>
      <c r="L1560" s="22"/>
      <c r="M1560" s="23"/>
      <c r="N1560" s="23"/>
      <c r="O1560" s="26" t="s">
        <v>4691</v>
      </c>
      <c r="P1560" s="26"/>
      <c r="Q1560" s="22"/>
      <c r="R1560" s="24"/>
      <c r="S1560" s="24"/>
      <c r="T1560" s="24"/>
      <c r="U1560" s="24"/>
      <c r="V1560" s="24"/>
      <c r="W1560" s="22" t="s">
        <v>940</v>
      </c>
      <c r="X1560" s="4" t="str">
        <f>IF(Tabela2[[#This Row],[sigla]]="","",VLOOKUP(Tabela2[[#This Row],[sigla]],créditos_base!B:C,2,0))</f>
        <v>RONALDO LUCENA/ARQUIVO DA EDITORA</v>
      </c>
      <c r="Y1560" s="23"/>
      <c r="Z1560" s="23" t="str">
        <f>Tabela2[[#This Row],[ilustrador]]</f>
        <v>RONALDO LUCENA/ARQUIVO DA EDITORA</v>
      </c>
      <c r="AA1560" s="22"/>
      <c r="AB1560" s="20"/>
      <c r="AD1560" s="4" t="str">
        <f>"Pitanguá"</f>
        <v>Pitanguá</v>
      </c>
      <c r="AE1560" s="14" t="str">
        <f>"Matemática"</f>
        <v>Matemática</v>
      </c>
      <c r="AF1560" s="14"/>
    </row>
    <row r="1561" spans="1:32" ht="28.8" x14ac:dyDescent="0.3">
      <c r="A1561" s="23" t="s">
        <v>476</v>
      </c>
      <c r="B1561" s="20" t="s">
        <v>16</v>
      </c>
      <c r="C1561" s="20" t="s">
        <v>7</v>
      </c>
      <c r="D1561" s="20" t="s">
        <v>8</v>
      </c>
      <c r="E1561" s="22">
        <v>107</v>
      </c>
      <c r="F1561" s="22">
        <v>1</v>
      </c>
      <c r="G1561" s="22">
        <v>6</v>
      </c>
      <c r="H1561" s="22"/>
      <c r="I1561" s="23" t="s">
        <v>33</v>
      </c>
      <c r="J1561" s="23"/>
      <c r="K1561" s="22"/>
      <c r="L1561" s="22"/>
      <c r="M1561" s="23"/>
      <c r="N1561" s="23"/>
      <c r="O1561" s="26" t="s">
        <v>477</v>
      </c>
      <c r="P1561" s="26"/>
      <c r="Q1561" s="22">
        <v>4</v>
      </c>
      <c r="R1561" s="24">
        <v>45726</v>
      </c>
      <c r="S1561" s="24"/>
      <c r="T1561" s="24"/>
      <c r="U1561" s="24"/>
      <c r="V1561" s="24">
        <v>45727</v>
      </c>
      <c r="W1561" s="22" t="s">
        <v>460</v>
      </c>
      <c r="X1561" s="4" t="str">
        <f>IF(Tabela2[[#This Row],[sigla]]="","",VLOOKUP(Tabela2[[#This Row],[sigla]],créditos_base!B:C,2,0))</f>
        <v>CLAUDIA SOUZA/ARQUIVO DA EDITORA</v>
      </c>
      <c r="Y1561" s="23" t="s">
        <v>433</v>
      </c>
      <c r="Z1561" s="23" t="str">
        <f>Tabela2[[#This Row],[ilustrador]]</f>
        <v>CLAUDIA SOUZA/ARQUIVO DA EDITORA</v>
      </c>
      <c r="AA1561" s="22">
        <v>13</v>
      </c>
      <c r="AB1561" s="20" t="s">
        <v>153</v>
      </c>
      <c r="AC1561" s="20" t="s">
        <v>36</v>
      </c>
      <c r="AD1561" s="4" t="str">
        <f>"Pitanguá"</f>
        <v>Pitanguá</v>
      </c>
      <c r="AE1561" s="14" t="str">
        <f>"Matemática"</f>
        <v>Matemática</v>
      </c>
      <c r="AF1561" s="14"/>
    </row>
    <row r="1562" spans="1:32" ht="28.8" x14ac:dyDescent="0.3">
      <c r="A1562" s="23" t="s">
        <v>4526</v>
      </c>
      <c r="B1562" s="20" t="s">
        <v>16</v>
      </c>
      <c r="C1562" s="20" t="s">
        <v>7</v>
      </c>
      <c r="D1562" s="20" t="s">
        <v>8</v>
      </c>
      <c r="E1562" s="22">
        <v>171</v>
      </c>
      <c r="F1562" s="22">
        <v>2</v>
      </c>
      <c r="G1562" s="22">
        <v>6</v>
      </c>
      <c r="H1562" s="22"/>
      <c r="I1562" s="23" t="s">
        <v>90</v>
      </c>
      <c r="J1562" s="23"/>
      <c r="K1562" s="22"/>
      <c r="L1562" s="22"/>
      <c r="M1562" s="23"/>
      <c r="N1562" s="23"/>
      <c r="O1562" s="26" t="s">
        <v>4527</v>
      </c>
      <c r="P1562" s="26"/>
      <c r="Q1562" s="22">
        <v>71</v>
      </c>
      <c r="R1562" s="24">
        <v>45813</v>
      </c>
      <c r="S1562" s="24">
        <v>45814</v>
      </c>
      <c r="T1562" s="24"/>
      <c r="U1562" s="24"/>
      <c r="V1562" s="24">
        <v>45819</v>
      </c>
      <c r="W1562" s="22" t="s">
        <v>428</v>
      </c>
      <c r="X1562" s="4" t="str">
        <f>IF(Tabela2[[#This Row],[sigla]]="","",VLOOKUP(Tabela2[[#This Row],[sigla]],créditos_base!B:C,2,0))</f>
        <v>TAMIRES AZEVEDO/ARQUIVO DA EDITORA</v>
      </c>
      <c r="Y1562" s="23" t="s">
        <v>1503</v>
      </c>
      <c r="Z1562" s="23" t="str">
        <f>Tabela2[[#This Row],[ilustrador]]</f>
        <v>TAMIRES AZEVEDO/ARQUIVO DA EDITORA</v>
      </c>
      <c r="AA1562" s="22">
        <v>8</v>
      </c>
      <c r="AB1562" s="20"/>
      <c r="AC1562" s="20" t="s">
        <v>36</v>
      </c>
      <c r="AD1562" s="4" t="str">
        <f>"Pitanguá"</f>
        <v>Pitanguá</v>
      </c>
      <c r="AE1562" s="14" t="str">
        <f>"Matemática"</f>
        <v>Matemática</v>
      </c>
      <c r="AF1562" s="14"/>
    </row>
    <row r="1563" spans="1:32" ht="28.8" x14ac:dyDescent="0.3">
      <c r="A1563" s="23" t="s">
        <v>2276</v>
      </c>
      <c r="B1563" s="20" t="s">
        <v>16</v>
      </c>
      <c r="C1563" s="20" t="s">
        <v>7</v>
      </c>
      <c r="D1563" s="20" t="s">
        <v>8</v>
      </c>
      <c r="E1563" s="22">
        <v>113</v>
      </c>
      <c r="F1563" s="22">
        <v>3</v>
      </c>
      <c r="G1563" s="22">
        <v>6</v>
      </c>
      <c r="H1563" s="22"/>
      <c r="I1563" s="23" t="s">
        <v>9</v>
      </c>
      <c r="J1563" s="23"/>
      <c r="K1563" s="22"/>
      <c r="L1563" s="22"/>
      <c r="M1563" s="23"/>
      <c r="N1563" s="23"/>
      <c r="O1563" s="26" t="s">
        <v>2277</v>
      </c>
      <c r="P1563" s="26"/>
      <c r="Q1563" s="22"/>
      <c r="R1563" s="24"/>
      <c r="S1563" s="24"/>
      <c r="T1563" s="24"/>
      <c r="U1563" s="24"/>
      <c r="V1563" s="24"/>
      <c r="W1563" s="22" t="s">
        <v>468</v>
      </c>
      <c r="X1563" s="4" t="str">
        <f>IF(Tabela2[[#This Row],[sigla]]="","",VLOOKUP(Tabela2[[#This Row],[sigla]],créditos_base!B:C,2,0))</f>
        <v>VER DOCUMENTO DE ILS. TÉCNICAS</v>
      </c>
      <c r="Y1563" s="23"/>
      <c r="Z1563" s="23" t="s">
        <v>2264</v>
      </c>
      <c r="AA1563" s="22"/>
      <c r="AB1563" s="20"/>
      <c r="AD1563" s="4" t="str">
        <f>"Pitanguá"</f>
        <v>Pitanguá</v>
      </c>
      <c r="AE1563" s="14" t="str">
        <f>"Matemática"</f>
        <v>Matemática</v>
      </c>
      <c r="AF1563" s="14"/>
    </row>
    <row r="1564" spans="1:32" ht="72" x14ac:dyDescent="0.3">
      <c r="A1564" s="23" t="s">
        <v>3286</v>
      </c>
      <c r="B1564" s="20" t="s">
        <v>6</v>
      </c>
      <c r="C1564" s="20" t="s">
        <v>7</v>
      </c>
      <c r="D1564" s="20" t="s">
        <v>8</v>
      </c>
      <c r="E1564" s="22">
        <v>153</v>
      </c>
      <c r="F1564" s="22">
        <v>4</v>
      </c>
      <c r="G1564" s="22">
        <v>6</v>
      </c>
      <c r="H1564" s="22"/>
      <c r="I1564" s="23" t="s">
        <v>33</v>
      </c>
      <c r="J1564" s="23"/>
      <c r="K1564" s="22"/>
      <c r="L1564" s="22"/>
      <c r="M1564" s="23"/>
      <c r="N1564" s="23"/>
      <c r="O1564" s="26" t="s">
        <v>3287</v>
      </c>
      <c r="P1564" s="26"/>
      <c r="Q1564" s="22">
        <v>46</v>
      </c>
      <c r="R1564" s="24">
        <v>45796</v>
      </c>
      <c r="S1564" s="24">
        <v>45797</v>
      </c>
      <c r="T1564" s="24"/>
      <c r="U1564" s="24"/>
      <c r="V1564" s="24">
        <v>45797</v>
      </c>
      <c r="W1564" s="22" t="s">
        <v>460</v>
      </c>
      <c r="X1564" s="4" t="str">
        <f>IF(Tabela2[[#This Row],[sigla]]="","",VLOOKUP(Tabela2[[#This Row],[sigla]],créditos_base!B:C,2,0))</f>
        <v>CLAUDIA SOUZA/ARQUIVO DA EDITORA</v>
      </c>
      <c r="Y1564" s="23" t="s">
        <v>188</v>
      </c>
      <c r="Z1564" s="23" t="str">
        <f>Tabela2[[#This Row],[ilustrador]]</f>
        <v>CLAUDIA SOUZA/ARQUIVO DA EDITORA</v>
      </c>
      <c r="AA1564" s="22">
        <v>14</v>
      </c>
      <c r="AB1564" s="20" t="s">
        <v>153</v>
      </c>
      <c r="AC1564" s="20" t="s">
        <v>36</v>
      </c>
      <c r="AD1564" s="4" t="str">
        <f>"Pitanguá"</f>
        <v>Pitanguá</v>
      </c>
      <c r="AE1564" s="14" t="str">
        <f>"Matemática"</f>
        <v>Matemática</v>
      </c>
      <c r="AF1564" s="14"/>
    </row>
    <row r="1565" spans="1:32" x14ac:dyDescent="0.3">
      <c r="A1565" s="23" t="s">
        <v>4692</v>
      </c>
      <c r="B1565" s="20" t="s">
        <v>16</v>
      </c>
      <c r="C1565" s="20" t="s">
        <v>89</v>
      </c>
      <c r="D1565" s="20" t="s">
        <v>8</v>
      </c>
      <c r="E1565" s="22">
        <v>125</v>
      </c>
      <c r="F1565" s="22">
        <v>5</v>
      </c>
      <c r="G1565" s="22">
        <v>6</v>
      </c>
      <c r="H1565" s="22"/>
      <c r="I1565" s="23" t="s">
        <v>9</v>
      </c>
      <c r="J1565" s="23"/>
      <c r="K1565" s="22"/>
      <c r="L1565" s="22"/>
      <c r="M1565" s="23"/>
      <c r="N1565" s="23"/>
      <c r="O1565" s="26" t="s">
        <v>4693</v>
      </c>
      <c r="P1565" s="26"/>
      <c r="Q1565" s="22"/>
      <c r="R1565" s="24"/>
      <c r="S1565" s="24"/>
      <c r="T1565" s="24"/>
      <c r="U1565" s="24"/>
      <c r="V1565" s="24"/>
      <c r="W1565" s="22" t="s">
        <v>940</v>
      </c>
      <c r="X1565" s="4" t="str">
        <f>IF(Tabela2[[#This Row],[sigla]]="","",VLOOKUP(Tabela2[[#This Row],[sigla]],créditos_base!B:C,2,0))</f>
        <v>RONALDO LUCENA/ARQUIVO DA EDITORA</v>
      </c>
      <c r="Y1565" s="23"/>
      <c r="Z1565" s="23" t="str">
        <f>Tabela2[[#This Row],[ilustrador]]</f>
        <v>RONALDO LUCENA/ARQUIVO DA EDITORA</v>
      </c>
      <c r="AA1565" s="22"/>
      <c r="AB1565" s="20"/>
      <c r="AD1565" s="4" t="str">
        <f>"Pitanguá"</f>
        <v>Pitanguá</v>
      </c>
      <c r="AE1565" s="14" t="str">
        <f>"Matemática"</f>
        <v>Matemática</v>
      </c>
      <c r="AF1565" s="14"/>
    </row>
    <row r="1566" spans="1:32" ht="28.8" x14ac:dyDescent="0.3">
      <c r="A1566" s="23" t="s">
        <v>478</v>
      </c>
      <c r="B1566" s="20" t="s">
        <v>16</v>
      </c>
      <c r="C1566" s="20" t="s">
        <v>7</v>
      </c>
      <c r="D1566" s="20" t="s">
        <v>8</v>
      </c>
      <c r="E1566" s="22">
        <v>108</v>
      </c>
      <c r="F1566" s="22">
        <v>1</v>
      </c>
      <c r="G1566" s="22">
        <v>6</v>
      </c>
      <c r="H1566" s="22"/>
      <c r="I1566" s="23" t="s">
        <v>33</v>
      </c>
      <c r="J1566" s="23"/>
      <c r="K1566" s="22"/>
      <c r="L1566" s="22"/>
      <c r="M1566" s="23"/>
      <c r="N1566" s="23"/>
      <c r="O1566" s="26" t="s">
        <v>479</v>
      </c>
      <c r="P1566" s="26"/>
      <c r="Q1566" s="22">
        <v>4</v>
      </c>
      <c r="R1566" s="24">
        <v>45726</v>
      </c>
      <c r="S1566" s="24"/>
      <c r="T1566" s="24"/>
      <c r="U1566" s="24"/>
      <c r="V1566" s="24">
        <v>45727</v>
      </c>
      <c r="W1566" s="22" t="s">
        <v>460</v>
      </c>
      <c r="X1566" s="4" t="str">
        <f>IF(Tabela2[[#This Row],[sigla]]="","",VLOOKUP(Tabela2[[#This Row],[sigla]],créditos_base!B:C,2,0))</f>
        <v>CLAUDIA SOUZA/ARQUIVO DA EDITORA</v>
      </c>
      <c r="Y1566" s="23" t="s">
        <v>433</v>
      </c>
      <c r="Z1566" s="23" t="str">
        <f>Tabela2[[#This Row],[ilustrador]]</f>
        <v>CLAUDIA SOUZA/ARQUIVO DA EDITORA</v>
      </c>
      <c r="AA1566" s="22">
        <v>13</v>
      </c>
      <c r="AB1566" s="20" t="s">
        <v>153</v>
      </c>
      <c r="AC1566" s="20" t="s">
        <v>36</v>
      </c>
      <c r="AD1566" s="4" t="str">
        <f>"Pitanguá"</f>
        <v>Pitanguá</v>
      </c>
      <c r="AE1566" s="14" t="str">
        <f>"Matemática"</f>
        <v>Matemática</v>
      </c>
      <c r="AF1566" s="14"/>
    </row>
    <row r="1567" spans="1:32" ht="28.8" x14ac:dyDescent="0.3">
      <c r="A1567" s="23" t="s">
        <v>2278</v>
      </c>
      <c r="B1567" s="20" t="s">
        <v>16</v>
      </c>
      <c r="C1567" s="20" t="s">
        <v>7</v>
      </c>
      <c r="D1567" s="20" t="s">
        <v>8</v>
      </c>
      <c r="E1567" s="22">
        <v>113</v>
      </c>
      <c r="F1567" s="22">
        <v>3</v>
      </c>
      <c r="G1567" s="22">
        <v>6</v>
      </c>
      <c r="H1567" s="22"/>
      <c r="I1567" s="23" t="s">
        <v>9</v>
      </c>
      <c r="J1567" s="23"/>
      <c r="K1567" s="22"/>
      <c r="L1567" s="22"/>
      <c r="M1567" s="23"/>
      <c r="N1567" s="23"/>
      <c r="O1567" s="26" t="s">
        <v>2279</v>
      </c>
      <c r="P1567" s="26"/>
      <c r="Q1567" s="22"/>
      <c r="R1567" s="24"/>
      <c r="S1567" s="24"/>
      <c r="T1567" s="24"/>
      <c r="U1567" s="24"/>
      <c r="V1567" s="24"/>
      <c r="W1567" s="22" t="s">
        <v>468</v>
      </c>
      <c r="X1567" s="4" t="str">
        <f>IF(Tabela2[[#This Row],[sigla]]="","",VLOOKUP(Tabela2[[#This Row],[sigla]],créditos_base!B:C,2,0))</f>
        <v>VER DOCUMENTO DE ILS. TÉCNICAS</v>
      </c>
      <c r="Y1567" s="23"/>
      <c r="Z1567" s="23" t="s">
        <v>2264</v>
      </c>
      <c r="AA1567" s="22"/>
      <c r="AB1567" s="20"/>
      <c r="AD1567" s="4" t="str">
        <f>"Pitanguá"</f>
        <v>Pitanguá</v>
      </c>
      <c r="AE1567" s="14" t="str">
        <f>"Matemática"</f>
        <v>Matemática</v>
      </c>
      <c r="AF1567" s="14"/>
    </row>
    <row r="1568" spans="1:32" ht="28.8" x14ac:dyDescent="0.3">
      <c r="A1568" s="23" t="s">
        <v>4771</v>
      </c>
      <c r="B1568" s="20" t="s">
        <v>16</v>
      </c>
      <c r="C1568" s="20" t="s">
        <v>7</v>
      </c>
      <c r="D1568" s="20" t="s">
        <v>8</v>
      </c>
      <c r="E1568" s="22">
        <v>168</v>
      </c>
      <c r="F1568" s="22">
        <v>2</v>
      </c>
      <c r="G1568" s="22">
        <v>6</v>
      </c>
      <c r="H1568" s="22"/>
      <c r="I1568" s="23" t="s">
        <v>33</v>
      </c>
      <c r="J1568" s="23"/>
      <c r="K1568" s="22"/>
      <c r="L1568" s="22"/>
      <c r="M1568" s="23"/>
      <c r="N1568" s="23"/>
      <c r="O1568" s="26" t="s">
        <v>4772</v>
      </c>
      <c r="P1568" s="26"/>
      <c r="Q1568" s="22">
        <v>71</v>
      </c>
      <c r="R1568" s="24">
        <v>45813</v>
      </c>
      <c r="S1568" s="24">
        <v>45819</v>
      </c>
      <c r="T1568" s="24"/>
      <c r="U1568" s="24"/>
      <c r="V1568" s="24">
        <v>45820</v>
      </c>
      <c r="W1568" s="22" t="s">
        <v>87</v>
      </c>
      <c r="X1568" s="4" t="str">
        <f>IF(Tabela2[[#This Row],[sigla]]="","",VLOOKUP(Tabela2[[#This Row],[sigla]],créditos_base!B:C,2,0))</f>
        <v>CHRIS BORGES/ARQUIVO DA EDITORA</v>
      </c>
      <c r="Y1568" s="23" t="s">
        <v>1139</v>
      </c>
      <c r="Z1568" s="23" t="str">
        <f>Tabela2[[#This Row],[ilustrador]]</f>
        <v>CHRIS BORGES/ARQUIVO DA EDITORA</v>
      </c>
      <c r="AA1568" s="22">
        <v>13</v>
      </c>
      <c r="AB1568" s="20" t="s">
        <v>1771</v>
      </c>
      <c r="AC1568" s="20" t="s">
        <v>36</v>
      </c>
      <c r="AD1568" s="4" t="str">
        <f>"Pitanguá"</f>
        <v>Pitanguá</v>
      </c>
      <c r="AE1568" s="14" t="str">
        <f>"Matemática"</f>
        <v>Matemática</v>
      </c>
      <c r="AF1568" s="14"/>
    </row>
    <row r="1569" spans="1:32" ht="28.8" x14ac:dyDescent="0.3">
      <c r="A1569" s="23" t="s">
        <v>2280</v>
      </c>
      <c r="B1569" s="20" t="s">
        <v>16</v>
      </c>
      <c r="C1569" s="20" t="s">
        <v>7</v>
      </c>
      <c r="D1569" s="20" t="s">
        <v>8</v>
      </c>
      <c r="E1569" s="22">
        <v>113</v>
      </c>
      <c r="F1569" s="22">
        <v>3</v>
      </c>
      <c r="G1569" s="22">
        <v>6</v>
      </c>
      <c r="H1569" s="22"/>
      <c r="I1569" s="23" t="s">
        <v>9</v>
      </c>
      <c r="J1569" s="23"/>
      <c r="K1569" s="22"/>
      <c r="L1569" s="22"/>
      <c r="M1569" s="23"/>
      <c r="N1569" s="23"/>
      <c r="O1569" s="26" t="s">
        <v>2281</v>
      </c>
      <c r="P1569" s="26"/>
      <c r="Q1569" s="22"/>
      <c r="R1569" s="24"/>
      <c r="S1569" s="24"/>
      <c r="T1569" s="24"/>
      <c r="U1569" s="24"/>
      <c r="V1569" s="24"/>
      <c r="W1569" s="22" t="s">
        <v>31</v>
      </c>
      <c r="X1569" s="4" t="str">
        <f>IF(Tabela2[[#This Row],[sigla]]="","",VLOOKUP(Tabela2[[#This Row],[sigla]],créditos_base!B:C,2,0))</f>
        <v>SILVIA OTOFUJI/ARQUIVO DA EDITORA</v>
      </c>
      <c r="Y1569" s="23"/>
      <c r="Z1569" s="23" t="str">
        <f>Tabela2[[#This Row],[ilustrador]]</f>
        <v>SILVIA OTOFUJI/ARQUIVO DA EDITORA</v>
      </c>
      <c r="AA1569" s="22"/>
      <c r="AB1569" s="20"/>
      <c r="AD1569" s="4" t="str">
        <f>"Pitanguá"</f>
        <v>Pitanguá</v>
      </c>
      <c r="AE1569" s="14" t="str">
        <f>"Matemática"</f>
        <v>Matemática</v>
      </c>
      <c r="AF1569" s="14"/>
    </row>
    <row r="1570" spans="1:32" x14ac:dyDescent="0.3">
      <c r="A1570" s="23" t="s">
        <v>3288</v>
      </c>
      <c r="B1570" s="20" t="s">
        <v>16</v>
      </c>
      <c r="C1570" s="20" t="s">
        <v>7</v>
      </c>
      <c r="D1570" s="20" t="s">
        <v>8</v>
      </c>
      <c r="E1570" s="22">
        <v>172</v>
      </c>
      <c r="F1570" s="22">
        <v>4</v>
      </c>
      <c r="G1570" s="22">
        <v>6</v>
      </c>
      <c r="H1570" s="22"/>
      <c r="I1570" s="23" t="s">
        <v>33</v>
      </c>
      <c r="J1570" s="23"/>
      <c r="K1570" s="22"/>
      <c r="L1570" s="22"/>
      <c r="M1570" s="23"/>
      <c r="N1570" s="23"/>
      <c r="O1570" s="26" t="s">
        <v>3289</v>
      </c>
      <c r="P1570" s="26"/>
      <c r="Q1570" s="22">
        <v>46</v>
      </c>
      <c r="R1570" s="24">
        <v>45796</v>
      </c>
      <c r="S1570" s="24">
        <v>45797</v>
      </c>
      <c r="T1570" s="24"/>
      <c r="U1570" s="24"/>
      <c r="V1570" s="24">
        <v>45797</v>
      </c>
      <c r="W1570" s="22" t="s">
        <v>940</v>
      </c>
      <c r="X1570" s="4" t="str">
        <f>IF(Tabela2[[#This Row],[sigla]]="","",VLOOKUP(Tabela2[[#This Row],[sigla]],créditos_base!B:C,2,0))</f>
        <v>RONALDO LUCENA/ARQUIVO DA EDITORA</v>
      </c>
      <c r="Y1570" s="23" t="s">
        <v>188</v>
      </c>
      <c r="Z1570" s="23" t="str">
        <f>Tabela2[[#This Row],[ilustrador]]</f>
        <v>RONALDO LUCENA/ARQUIVO DA EDITORA</v>
      </c>
      <c r="AA1570" s="22">
        <v>14</v>
      </c>
      <c r="AB1570" s="20" t="s">
        <v>153</v>
      </c>
      <c r="AC1570" s="20" t="s">
        <v>36</v>
      </c>
      <c r="AD1570" s="4" t="str">
        <f>"Pitanguá"</f>
        <v>Pitanguá</v>
      </c>
      <c r="AE1570" s="14" t="str">
        <f>"Matemática"</f>
        <v>Matemática</v>
      </c>
      <c r="AF1570" s="14"/>
    </row>
    <row r="1571" spans="1:32" x14ac:dyDescent="0.3">
      <c r="A1571" s="23" t="s">
        <v>4694</v>
      </c>
      <c r="B1571" s="20" t="s">
        <v>16</v>
      </c>
      <c r="C1571" s="20" t="s">
        <v>7</v>
      </c>
      <c r="D1571" s="20" t="s">
        <v>8</v>
      </c>
      <c r="E1571" s="22">
        <v>126</v>
      </c>
      <c r="F1571" s="22">
        <v>5</v>
      </c>
      <c r="G1571" s="22">
        <v>6</v>
      </c>
      <c r="H1571" s="22"/>
      <c r="I1571" s="23" t="s">
        <v>9</v>
      </c>
      <c r="J1571" s="23"/>
      <c r="K1571" s="22"/>
      <c r="L1571" s="22"/>
      <c r="M1571" s="23"/>
      <c r="N1571" s="23"/>
      <c r="O1571" s="26" t="s">
        <v>4695</v>
      </c>
      <c r="P1571" s="26"/>
      <c r="Q1571" s="22"/>
      <c r="R1571" s="24"/>
      <c r="S1571" s="24"/>
      <c r="T1571" s="24"/>
      <c r="U1571" s="24"/>
      <c r="V1571" s="24"/>
      <c r="W1571" s="22" t="s">
        <v>3382</v>
      </c>
      <c r="X1571" s="4" t="str">
        <f>IF(Tabela2[[#This Row],[sigla]]="","",VLOOKUP(Tabela2[[#This Row],[sigla]],créditos_base!B:C,2,0))</f>
        <v>LEONARDO MARI/ARQUIVO DA EDITORA</v>
      </c>
      <c r="Y1571" s="23"/>
      <c r="Z1571" s="23" t="str">
        <f>Tabela2[[#This Row],[ilustrador]]</f>
        <v>LEONARDO MARI/ARQUIVO DA EDITORA</v>
      </c>
      <c r="AA1571" s="22"/>
      <c r="AB1571" s="20"/>
      <c r="AD1571" s="4" t="str">
        <f>"Pitanguá"</f>
        <v>Pitanguá</v>
      </c>
      <c r="AE1571" s="14" t="str">
        <f>"Matemática"</f>
        <v>Matemática</v>
      </c>
      <c r="AF1571" s="14"/>
    </row>
    <row r="1572" spans="1:32" x14ac:dyDescent="0.3">
      <c r="A1572" s="23" t="s">
        <v>4806</v>
      </c>
      <c r="B1572" s="20" t="s">
        <v>16</v>
      </c>
      <c r="C1572" s="20" t="s">
        <v>7</v>
      </c>
      <c r="D1572" s="20" t="s">
        <v>8</v>
      </c>
      <c r="E1572" s="22">
        <v>168</v>
      </c>
      <c r="F1572" s="22">
        <v>2</v>
      </c>
      <c r="G1572" s="22">
        <v>6</v>
      </c>
      <c r="H1572" s="22"/>
      <c r="I1572" s="23" t="s">
        <v>90</v>
      </c>
      <c r="J1572" s="23"/>
      <c r="K1572" s="22"/>
      <c r="L1572" s="22"/>
      <c r="M1572" s="23"/>
      <c r="N1572" s="23"/>
      <c r="O1572" s="20" t="s">
        <v>4807</v>
      </c>
      <c r="P1572" s="20"/>
      <c r="Q1572" s="22">
        <v>71</v>
      </c>
      <c r="R1572" s="24">
        <v>45813</v>
      </c>
      <c r="S1572" s="24">
        <v>45819</v>
      </c>
      <c r="T1572" s="24"/>
      <c r="U1572" s="24"/>
      <c r="V1572" s="24">
        <v>45820</v>
      </c>
      <c r="W1572" s="22" t="s">
        <v>428</v>
      </c>
      <c r="X1572" s="4" t="str">
        <f>IF(Tabela2[[#This Row],[sigla]]="","",VLOOKUP(Tabela2[[#This Row],[sigla]],créditos_base!B:C,2,0))</f>
        <v>TAMIRES AZEVEDO/ARQUIVO DA EDITORA</v>
      </c>
      <c r="Y1572" s="23"/>
      <c r="Z1572" s="23" t="str">
        <f>Tabela2[[#This Row],[ilustrador]]</f>
        <v>TAMIRES AZEVEDO/ARQUIVO DA EDITORA</v>
      </c>
      <c r="AA1572" s="22">
        <v>7</v>
      </c>
      <c r="AB1572" s="20" t="s">
        <v>2058</v>
      </c>
      <c r="AC1572" s="20" t="s">
        <v>36</v>
      </c>
      <c r="AD1572" s="4" t="str">
        <f>"Pitanguá"</f>
        <v>Pitanguá</v>
      </c>
      <c r="AE1572" s="14" t="str">
        <f>"Matemática"</f>
        <v>Matemática</v>
      </c>
      <c r="AF1572" s="14"/>
    </row>
    <row r="1573" spans="1:32" x14ac:dyDescent="0.3">
      <c r="A1573" s="23" t="s">
        <v>2282</v>
      </c>
      <c r="B1573" s="20" t="s">
        <v>16</v>
      </c>
      <c r="C1573" s="20" t="s">
        <v>7</v>
      </c>
      <c r="D1573" s="20" t="s">
        <v>8</v>
      </c>
      <c r="E1573" s="22">
        <v>114</v>
      </c>
      <c r="F1573" s="22">
        <v>3</v>
      </c>
      <c r="G1573" s="22">
        <v>6</v>
      </c>
      <c r="H1573" s="22"/>
      <c r="I1573" s="23" t="s">
        <v>33</v>
      </c>
      <c r="J1573" s="23"/>
      <c r="K1573" s="22"/>
      <c r="L1573" s="22"/>
      <c r="M1573" s="23"/>
      <c r="N1573" s="23"/>
      <c r="O1573" s="26" t="s">
        <v>2283</v>
      </c>
      <c r="P1573" s="26"/>
      <c r="Q1573" s="22">
        <v>169</v>
      </c>
      <c r="R1573" s="24">
        <v>45895</v>
      </c>
      <c r="S1573" s="24">
        <v>45895</v>
      </c>
      <c r="T1573" s="24"/>
      <c r="U1573" s="24"/>
      <c r="V1573" s="24">
        <v>45896</v>
      </c>
      <c r="W1573" s="22" t="s">
        <v>87</v>
      </c>
      <c r="X1573" s="4" t="str">
        <f>IF(Tabela2[[#This Row],[sigla]]="","",VLOOKUP(Tabela2[[#This Row],[sigla]],créditos_base!B:C,2,0))</f>
        <v>CHRIS BORGES/ARQUIVO DA EDITORA</v>
      </c>
      <c r="Y1573" s="23" t="s">
        <v>243</v>
      </c>
      <c r="Z1573" s="23" t="str">
        <f>Tabela2[[#This Row],[ilustrador]]</f>
        <v>CHRIS BORGES/ARQUIVO DA EDITORA</v>
      </c>
      <c r="AA1573" s="22">
        <v>13</v>
      </c>
      <c r="AB1573" s="20" t="s">
        <v>2257</v>
      </c>
      <c r="AC1573" s="20" t="s">
        <v>36</v>
      </c>
      <c r="AD1573" s="4" t="str">
        <f>"Pitanguá"</f>
        <v>Pitanguá</v>
      </c>
      <c r="AE1573" s="14" t="str">
        <f>"Matemática"</f>
        <v>Matemática</v>
      </c>
      <c r="AF1573" s="14"/>
    </row>
    <row r="1574" spans="1:32" ht="57.6" x14ac:dyDescent="0.3">
      <c r="A1574" s="23" t="s">
        <v>3290</v>
      </c>
      <c r="B1574" s="20" t="s">
        <v>16</v>
      </c>
      <c r="C1574" s="20" t="s">
        <v>89</v>
      </c>
      <c r="D1574" s="20" t="s">
        <v>8</v>
      </c>
      <c r="E1574" s="22">
        <v>173</v>
      </c>
      <c r="F1574" s="22">
        <v>4</v>
      </c>
      <c r="G1574" s="22">
        <v>6</v>
      </c>
      <c r="H1574" s="22"/>
      <c r="I1574" s="23" t="s">
        <v>33</v>
      </c>
      <c r="J1574" s="23"/>
      <c r="K1574" s="22"/>
      <c r="L1574" s="22"/>
      <c r="M1574" s="23"/>
      <c r="N1574" s="23"/>
      <c r="O1574" s="26" t="s">
        <v>3291</v>
      </c>
      <c r="P1574" s="26"/>
      <c r="Q1574" s="22">
        <v>188</v>
      </c>
      <c r="R1574" s="24">
        <v>45911</v>
      </c>
      <c r="S1574" s="24">
        <v>45911</v>
      </c>
      <c r="T1574" s="24"/>
      <c r="U1574" s="24"/>
      <c r="V1574" s="24">
        <v>45911</v>
      </c>
      <c r="W1574" s="22" t="s">
        <v>940</v>
      </c>
      <c r="X1574" s="4" t="str">
        <f>IF(Tabela2[[#This Row],[sigla]]="","",VLOOKUP(Tabela2[[#This Row],[sigla]],créditos_base!B:C,2,0))</f>
        <v>RONALDO LUCENA/ARQUIVO DA EDITORA</v>
      </c>
      <c r="Y1574" s="23" t="s">
        <v>813</v>
      </c>
      <c r="Z1574" s="23" t="str">
        <f>Tabela2[[#This Row],[ilustrador]]</f>
        <v>RONALDO LUCENA/ARQUIVO DA EDITORA</v>
      </c>
      <c r="AA1574" s="22">
        <v>13</v>
      </c>
      <c r="AB1574" s="20" t="s">
        <v>525</v>
      </c>
      <c r="AC1574" s="20" t="s">
        <v>36</v>
      </c>
      <c r="AD1574" s="4" t="str">
        <f>"Pitanguá"</f>
        <v>Pitanguá</v>
      </c>
      <c r="AE1574" s="14" t="str">
        <f>"Matemática"</f>
        <v>Matemática</v>
      </c>
      <c r="AF1574" s="14"/>
    </row>
    <row r="1575" spans="1:32" ht="28.8" x14ac:dyDescent="0.3">
      <c r="A1575" s="23" t="s">
        <v>480</v>
      </c>
      <c r="B1575" s="20" t="s">
        <v>16</v>
      </c>
      <c r="C1575" s="20" t="s">
        <v>89</v>
      </c>
      <c r="D1575" s="20" t="s">
        <v>8</v>
      </c>
      <c r="E1575" s="22">
        <v>109</v>
      </c>
      <c r="F1575" s="22">
        <v>1</v>
      </c>
      <c r="G1575" s="22">
        <v>6</v>
      </c>
      <c r="H1575" s="22"/>
      <c r="I1575" s="23" t="s">
        <v>90</v>
      </c>
      <c r="J1575" s="23"/>
      <c r="K1575" s="22"/>
      <c r="L1575" s="22"/>
      <c r="M1575" s="23"/>
      <c r="N1575" s="23"/>
      <c r="O1575" s="26" t="s">
        <v>481</v>
      </c>
      <c r="P1575" s="26"/>
      <c r="Q1575" s="22">
        <v>4</v>
      </c>
      <c r="R1575" s="24">
        <v>45726</v>
      </c>
      <c r="S1575" s="24"/>
      <c r="T1575" s="24"/>
      <c r="U1575" s="24"/>
      <c r="V1575" s="24">
        <v>45727</v>
      </c>
      <c r="W1575" s="22" t="s">
        <v>468</v>
      </c>
      <c r="X1575" s="4" t="str">
        <f>IF(Tabela2[[#This Row],[sigla]]="","",VLOOKUP(Tabela2[[#This Row],[sigla]],créditos_base!B:C,2,0))</f>
        <v>VER DOCUMENTO DE ILS. TÉCNICAS</v>
      </c>
      <c r="Y1575" s="23" t="s">
        <v>433</v>
      </c>
      <c r="Z1575" s="23" t="s">
        <v>482</v>
      </c>
      <c r="AA1575" s="22">
        <v>8</v>
      </c>
      <c r="AB1575" s="20"/>
      <c r="AC1575" s="20" t="s">
        <v>36</v>
      </c>
      <c r="AD1575" s="4" t="str">
        <f>"Pitanguá"</f>
        <v>Pitanguá</v>
      </c>
      <c r="AE1575" s="14" t="str">
        <f>"Matemática"</f>
        <v>Matemática</v>
      </c>
      <c r="AF1575" s="14"/>
    </row>
    <row r="1576" spans="1:32" ht="28.8" x14ac:dyDescent="0.3">
      <c r="A1576" s="23" t="s">
        <v>4808</v>
      </c>
      <c r="B1576" s="20" t="s">
        <v>16</v>
      </c>
      <c r="C1576" s="20" t="s">
        <v>7</v>
      </c>
      <c r="D1576" s="20" t="s">
        <v>8</v>
      </c>
      <c r="E1576" s="22">
        <v>169</v>
      </c>
      <c r="F1576" s="22">
        <v>2</v>
      </c>
      <c r="G1576" s="22">
        <v>6</v>
      </c>
      <c r="H1576" s="22"/>
      <c r="I1576" s="23" t="s">
        <v>33</v>
      </c>
      <c r="J1576" s="23"/>
      <c r="K1576" s="22"/>
      <c r="L1576" s="22"/>
      <c r="M1576" s="23"/>
      <c r="N1576" s="23"/>
      <c r="O1576" s="26" t="s">
        <v>4809</v>
      </c>
      <c r="P1576" s="20"/>
      <c r="Q1576" s="22">
        <v>71</v>
      </c>
      <c r="R1576" s="24">
        <v>45813</v>
      </c>
      <c r="S1576" s="24">
        <v>45819</v>
      </c>
      <c r="T1576" s="24"/>
      <c r="U1576" s="24"/>
      <c r="V1576" s="24">
        <v>45820</v>
      </c>
      <c r="W1576" s="22" t="s">
        <v>87</v>
      </c>
      <c r="X1576" s="4" t="str">
        <f>IF(Tabela2[[#This Row],[sigla]]="","",VLOOKUP(Tabela2[[#This Row],[sigla]],créditos_base!B:C,2,0))</f>
        <v>CHRIS BORGES/ARQUIVO DA EDITORA</v>
      </c>
      <c r="Y1576" s="23" t="s">
        <v>1139</v>
      </c>
      <c r="Z1576" s="23" t="str">
        <f>Tabela2[[#This Row],[ilustrador]]</f>
        <v>CHRIS BORGES/ARQUIVO DA EDITORA</v>
      </c>
      <c r="AA1576" s="22">
        <v>13</v>
      </c>
      <c r="AB1576" s="20" t="s">
        <v>1771</v>
      </c>
      <c r="AC1576" s="20" t="s">
        <v>36</v>
      </c>
      <c r="AD1576" s="4" t="str">
        <f>"Pitanguá"</f>
        <v>Pitanguá</v>
      </c>
      <c r="AE1576" s="14" t="str">
        <f>"Matemática"</f>
        <v>Matemática</v>
      </c>
      <c r="AF1576" s="14"/>
    </row>
    <row r="1577" spans="1:32" ht="72" x14ac:dyDescent="0.3">
      <c r="A1577" s="23" t="s">
        <v>2284</v>
      </c>
      <c r="B1577" s="20" t="s">
        <v>16</v>
      </c>
      <c r="C1577" s="20" t="s">
        <v>7</v>
      </c>
      <c r="D1577" s="20" t="s">
        <v>8</v>
      </c>
      <c r="E1577" s="22">
        <v>114</v>
      </c>
      <c r="F1577" s="22">
        <v>3</v>
      </c>
      <c r="G1577" s="22">
        <v>6</v>
      </c>
      <c r="H1577" s="22"/>
      <c r="I1577" s="23" t="s">
        <v>33</v>
      </c>
      <c r="J1577" s="23"/>
      <c r="K1577" s="22"/>
      <c r="L1577" s="22"/>
      <c r="M1577" s="23"/>
      <c r="N1577" s="23"/>
      <c r="O1577" s="26" t="s">
        <v>2285</v>
      </c>
      <c r="P1577" s="26"/>
      <c r="Q1577" s="22">
        <v>169</v>
      </c>
      <c r="R1577" s="24">
        <v>45895</v>
      </c>
      <c r="S1577" s="24">
        <v>45895</v>
      </c>
      <c r="T1577" s="24"/>
      <c r="U1577" s="24"/>
      <c r="V1577" s="24">
        <v>45896</v>
      </c>
      <c r="W1577" s="22" t="s">
        <v>87</v>
      </c>
      <c r="X1577" s="4" t="str">
        <f>IF(Tabela2[[#This Row],[sigla]]="","",VLOOKUP(Tabela2[[#This Row],[sigla]],créditos_base!B:C,2,0))</f>
        <v>CHRIS BORGES/ARQUIVO DA EDITORA</v>
      </c>
      <c r="Y1577" s="23" t="s">
        <v>243</v>
      </c>
      <c r="Z1577" s="23" t="str">
        <f>Tabela2[[#This Row],[ilustrador]]</f>
        <v>CHRIS BORGES/ARQUIVO DA EDITORA</v>
      </c>
      <c r="AA1577" s="22">
        <v>13</v>
      </c>
      <c r="AB1577" s="20" t="s">
        <v>2257</v>
      </c>
      <c r="AC1577" s="20" t="s">
        <v>36</v>
      </c>
      <c r="AD1577" s="4" t="str">
        <f>"Pitanguá"</f>
        <v>Pitanguá</v>
      </c>
      <c r="AE1577" s="14" t="str">
        <f>"Matemática"</f>
        <v>Matemática</v>
      </c>
      <c r="AF1577" s="14"/>
    </row>
    <row r="1578" spans="1:32" x14ac:dyDescent="0.3">
      <c r="A1578" s="23" t="s">
        <v>3292</v>
      </c>
      <c r="B1578" s="20" t="s">
        <v>16</v>
      </c>
      <c r="C1578" s="20" t="s">
        <v>89</v>
      </c>
      <c r="D1578" s="20" t="s">
        <v>8</v>
      </c>
      <c r="E1578" s="22">
        <v>174</v>
      </c>
      <c r="F1578" s="22">
        <v>4</v>
      </c>
      <c r="G1578" s="22">
        <v>6</v>
      </c>
      <c r="H1578" s="22"/>
      <c r="I1578" s="23" t="s">
        <v>9</v>
      </c>
      <c r="J1578" s="23"/>
      <c r="K1578" s="22"/>
      <c r="L1578" s="22"/>
      <c r="M1578" s="23"/>
      <c r="N1578" s="23"/>
      <c r="O1578" s="26" t="s">
        <v>3293</v>
      </c>
      <c r="P1578" s="26"/>
      <c r="Q1578" s="22"/>
      <c r="R1578" s="24"/>
      <c r="S1578" s="24"/>
      <c r="T1578" s="24"/>
      <c r="U1578" s="24"/>
      <c r="V1578" s="24"/>
      <c r="W1578" s="22" t="s">
        <v>940</v>
      </c>
      <c r="X1578" s="4" t="str">
        <f>IF(Tabela2[[#This Row],[sigla]]="","",VLOOKUP(Tabela2[[#This Row],[sigla]],créditos_base!B:C,2,0))</f>
        <v>RONALDO LUCENA/ARQUIVO DA EDITORA</v>
      </c>
      <c r="Y1578" s="23"/>
      <c r="Z1578" s="23" t="str">
        <f>Tabela2[[#This Row],[ilustrador]]</f>
        <v>RONALDO LUCENA/ARQUIVO DA EDITORA</v>
      </c>
      <c r="AA1578" s="22"/>
      <c r="AB1578" s="20"/>
      <c r="AD1578" s="4" t="str">
        <f>"Pitanguá"</f>
        <v>Pitanguá</v>
      </c>
      <c r="AE1578" s="14" t="str">
        <f>"Matemática"</f>
        <v>Matemática</v>
      </c>
      <c r="AF1578" s="14"/>
    </row>
    <row r="1579" spans="1:32" ht="129.6" x14ac:dyDescent="0.3">
      <c r="A1579" s="23" t="s">
        <v>4698</v>
      </c>
      <c r="B1579" s="20" t="s">
        <v>16</v>
      </c>
      <c r="C1579" s="20" t="s">
        <v>7</v>
      </c>
      <c r="D1579" s="20" t="s">
        <v>8</v>
      </c>
      <c r="E1579" s="22">
        <v>127</v>
      </c>
      <c r="F1579" s="22">
        <v>5</v>
      </c>
      <c r="G1579" s="22">
        <v>6</v>
      </c>
      <c r="H1579" s="22"/>
      <c r="I1579" s="23" t="s">
        <v>33</v>
      </c>
      <c r="J1579" s="23"/>
      <c r="K1579" s="22"/>
      <c r="L1579" s="22"/>
      <c r="M1579" s="23"/>
      <c r="N1579" s="23"/>
      <c r="O1579" s="26" t="s">
        <v>4699</v>
      </c>
      <c r="P1579" s="26"/>
      <c r="Q1579" s="22">
        <v>77</v>
      </c>
      <c r="R1579" s="24">
        <v>45819</v>
      </c>
      <c r="S1579" s="24">
        <v>45866</v>
      </c>
      <c r="T1579" s="24"/>
      <c r="U1579" s="24"/>
      <c r="V1579" s="24">
        <v>45868</v>
      </c>
      <c r="W1579" s="22" t="s">
        <v>806</v>
      </c>
      <c r="X1579" s="4" t="str">
        <f>IF(Tabela2[[#This Row],[sigla]]="","",VLOOKUP(Tabela2[[#This Row],[sigla]],créditos_base!B:C,2,0))</f>
        <v>MARCOS MACHADO/ARQUIVO DA EDITORA</v>
      </c>
      <c r="Y1579" s="23" t="s">
        <v>433</v>
      </c>
      <c r="Z1579" s="23" t="str">
        <f>Tabela2[[#This Row],[ilustrador]]</f>
        <v>MARCOS MACHADO/ARQUIVO DA EDITORA</v>
      </c>
      <c r="AA1579" s="22">
        <v>14</v>
      </c>
      <c r="AB1579" s="20" t="s">
        <v>153</v>
      </c>
      <c r="AC1579" s="20" t="s">
        <v>36</v>
      </c>
      <c r="AD1579" s="4" t="str">
        <f>"Pitanguá"</f>
        <v>Pitanguá</v>
      </c>
      <c r="AE1579" s="14" t="str">
        <f>"Matemática"</f>
        <v>Matemática</v>
      </c>
      <c r="AF1579" s="14"/>
    </row>
    <row r="1580" spans="1:32" ht="28.8" x14ac:dyDescent="0.3">
      <c r="A1580" s="23" t="s">
        <v>483</v>
      </c>
      <c r="B1580" s="20" t="s">
        <v>16</v>
      </c>
      <c r="C1580" s="20" t="s">
        <v>7</v>
      </c>
      <c r="D1580" s="20" t="s">
        <v>8</v>
      </c>
      <c r="E1580" s="22">
        <v>110</v>
      </c>
      <c r="F1580" s="22">
        <v>1</v>
      </c>
      <c r="G1580" s="22">
        <v>6</v>
      </c>
      <c r="H1580" s="22"/>
      <c r="I1580" s="23" t="s">
        <v>9</v>
      </c>
      <c r="J1580" s="23"/>
      <c r="K1580" s="22"/>
      <c r="L1580" s="22"/>
      <c r="M1580" s="23"/>
      <c r="N1580" s="23"/>
      <c r="O1580" s="26" t="s">
        <v>484</v>
      </c>
      <c r="P1580" s="26"/>
      <c r="Q1580" s="22"/>
      <c r="R1580" s="24"/>
      <c r="S1580" s="24"/>
      <c r="T1580" s="24"/>
      <c r="U1580" s="24"/>
      <c r="V1580" s="24"/>
      <c r="W1580" s="22" t="s">
        <v>460</v>
      </c>
      <c r="X1580" s="4" t="str">
        <f>IF(Tabela2[[#This Row],[sigla]]="","",VLOOKUP(Tabela2[[#This Row],[sigla]],créditos_base!B:C,2,0))</f>
        <v>CLAUDIA SOUZA/ARQUIVO DA EDITORA</v>
      </c>
      <c r="Y1580" s="23"/>
      <c r="Z1580" s="23" t="str">
        <f>Tabela2[[#This Row],[ilustrador]]</f>
        <v>CLAUDIA SOUZA/ARQUIVO DA EDITORA</v>
      </c>
      <c r="AA1580" s="22"/>
      <c r="AB1580" s="20"/>
      <c r="AD1580" s="4" t="str">
        <f>"Pitanguá"</f>
        <v>Pitanguá</v>
      </c>
      <c r="AE1580" s="14" t="str">
        <f>"Matemática"</f>
        <v>Matemática</v>
      </c>
      <c r="AF1580" s="14"/>
    </row>
    <row r="1581" spans="1:32" ht="28.8" x14ac:dyDescent="0.3">
      <c r="A1581" s="23" t="s">
        <v>4865</v>
      </c>
      <c r="B1581" s="20" t="s">
        <v>16</v>
      </c>
      <c r="C1581" s="20" t="s">
        <v>89</v>
      </c>
      <c r="D1581" s="20" t="s">
        <v>8</v>
      </c>
      <c r="E1581" s="22">
        <v>171</v>
      </c>
      <c r="F1581" s="22">
        <v>2</v>
      </c>
      <c r="G1581" s="22">
        <v>6</v>
      </c>
      <c r="H1581" s="22"/>
      <c r="I1581" s="23" t="s">
        <v>9</v>
      </c>
      <c r="J1581" s="23"/>
      <c r="K1581" s="22"/>
      <c r="L1581" s="22"/>
      <c r="M1581" s="23"/>
      <c r="N1581" s="23"/>
      <c r="O1581" s="26" t="s">
        <v>4866</v>
      </c>
      <c r="P1581" s="26"/>
      <c r="Q1581" s="22"/>
      <c r="R1581" s="24"/>
      <c r="S1581" s="24"/>
      <c r="T1581" s="24"/>
      <c r="U1581" s="24"/>
      <c r="V1581" s="24"/>
      <c r="W1581" s="22" t="s">
        <v>468</v>
      </c>
      <c r="X1581" s="4" t="str">
        <f>IF(Tabela2[[#This Row],[sigla]]="","",VLOOKUP(Tabela2[[#This Row],[sigla]],créditos_base!B:C,2,0))</f>
        <v>VER DOCUMENTO DE ILS. TÉCNICAS</v>
      </c>
      <c r="Y1581" s="23"/>
      <c r="Z1581" s="23" t="s">
        <v>661</v>
      </c>
      <c r="AA1581" s="22"/>
      <c r="AB1581" s="20"/>
      <c r="AD1581" s="4" t="str">
        <f>"Pitanguá"</f>
        <v>Pitanguá</v>
      </c>
      <c r="AE1581" s="14" t="str">
        <f>"Matemática"</f>
        <v>Matemática</v>
      </c>
      <c r="AF1581" s="14"/>
    </row>
    <row r="1582" spans="1:32" ht="28.8" x14ac:dyDescent="0.3">
      <c r="A1582" s="23" t="s">
        <v>2286</v>
      </c>
      <c r="B1582" s="20" t="s">
        <v>16</v>
      </c>
      <c r="C1582" s="20" t="s">
        <v>7</v>
      </c>
      <c r="D1582" s="20" t="s">
        <v>8</v>
      </c>
      <c r="E1582" s="22">
        <v>114</v>
      </c>
      <c r="F1582" s="22">
        <v>3</v>
      </c>
      <c r="G1582" s="22">
        <v>6</v>
      </c>
      <c r="H1582" s="22"/>
      <c r="I1582" s="23" t="s">
        <v>33</v>
      </c>
      <c r="J1582" s="23"/>
      <c r="K1582" s="22"/>
      <c r="L1582" s="22"/>
      <c r="M1582" s="23"/>
      <c r="N1582" s="23"/>
      <c r="O1582" s="26" t="s">
        <v>2287</v>
      </c>
      <c r="P1582" s="26"/>
      <c r="Q1582" s="22">
        <v>169</v>
      </c>
      <c r="R1582" s="24">
        <v>45895</v>
      </c>
      <c r="S1582" s="24">
        <v>45895</v>
      </c>
      <c r="T1582" s="24"/>
      <c r="U1582" s="24"/>
      <c r="V1582" s="24">
        <v>45896</v>
      </c>
      <c r="W1582" s="22" t="s">
        <v>87</v>
      </c>
      <c r="X1582" s="4" t="str">
        <f>IF(Tabela2[[#This Row],[sigla]]="","",VLOOKUP(Tabela2[[#This Row],[sigla]],créditos_base!B:C,2,0))</f>
        <v>CHRIS BORGES/ARQUIVO DA EDITORA</v>
      </c>
      <c r="Y1582" s="23" t="s">
        <v>243</v>
      </c>
      <c r="Z1582" s="23" t="str">
        <f>Tabela2[[#This Row],[ilustrador]]</f>
        <v>CHRIS BORGES/ARQUIVO DA EDITORA</v>
      </c>
      <c r="AA1582" s="22">
        <v>13</v>
      </c>
      <c r="AB1582" s="20" t="s">
        <v>2257</v>
      </c>
      <c r="AC1582" s="20" t="s">
        <v>36</v>
      </c>
      <c r="AD1582" s="4" t="str">
        <f>"Pitanguá"</f>
        <v>Pitanguá</v>
      </c>
      <c r="AE1582" s="14" t="str">
        <f>"Matemática"</f>
        <v>Matemática</v>
      </c>
      <c r="AF1582" s="14"/>
    </row>
    <row r="1583" spans="1:32" ht="28.8" x14ac:dyDescent="0.3">
      <c r="A1583" s="23" t="s">
        <v>3294</v>
      </c>
      <c r="B1583" s="20" t="s">
        <v>16</v>
      </c>
      <c r="C1583" s="20" t="s">
        <v>89</v>
      </c>
      <c r="D1583" s="20" t="s">
        <v>8</v>
      </c>
      <c r="E1583" s="22">
        <v>174</v>
      </c>
      <c r="F1583" s="22">
        <v>4</v>
      </c>
      <c r="G1583" s="22">
        <v>6</v>
      </c>
      <c r="H1583" s="22"/>
      <c r="I1583" s="23" t="s">
        <v>9</v>
      </c>
      <c r="J1583" s="23"/>
      <c r="K1583" s="22"/>
      <c r="L1583" s="22"/>
      <c r="M1583" s="23"/>
      <c r="N1583" s="23"/>
      <c r="O1583" s="26" t="s">
        <v>3295</v>
      </c>
      <c r="P1583" s="26"/>
      <c r="Q1583" s="22"/>
      <c r="R1583" s="24"/>
      <c r="S1583" s="24"/>
      <c r="T1583" s="24"/>
      <c r="U1583" s="24"/>
      <c r="V1583" s="24"/>
      <c r="W1583" s="22" t="s">
        <v>940</v>
      </c>
      <c r="X1583" s="4" t="str">
        <f>IF(Tabela2[[#This Row],[sigla]]="","",VLOOKUP(Tabela2[[#This Row],[sigla]],créditos_base!B:C,2,0))</f>
        <v>RONALDO LUCENA/ARQUIVO DA EDITORA</v>
      </c>
      <c r="Y1583" s="23"/>
      <c r="Z1583" s="23" t="str">
        <f>Tabela2[[#This Row],[ilustrador]]</f>
        <v>RONALDO LUCENA/ARQUIVO DA EDITORA</v>
      </c>
      <c r="AA1583" s="22"/>
      <c r="AB1583" s="20"/>
      <c r="AD1583" s="4" t="str">
        <f>"Pitanguá"</f>
        <v>Pitanguá</v>
      </c>
      <c r="AE1583" s="14" t="str">
        <f>"Matemática"</f>
        <v>Matemática</v>
      </c>
      <c r="AF1583" s="14"/>
    </row>
    <row r="1584" spans="1:32" ht="28.8" x14ac:dyDescent="0.3">
      <c r="A1584" s="23" t="s">
        <v>485</v>
      </c>
      <c r="B1584" s="20" t="s">
        <v>16</v>
      </c>
      <c r="C1584" s="20" t="s">
        <v>89</v>
      </c>
      <c r="D1584" s="20" t="s">
        <v>8</v>
      </c>
      <c r="E1584" s="22">
        <v>111</v>
      </c>
      <c r="F1584" s="22">
        <v>1</v>
      </c>
      <c r="G1584" s="22">
        <v>6</v>
      </c>
      <c r="H1584" s="22"/>
      <c r="I1584" s="23" t="s">
        <v>9</v>
      </c>
      <c r="J1584" s="23"/>
      <c r="K1584" s="22"/>
      <c r="L1584" s="22"/>
      <c r="M1584" s="23"/>
      <c r="N1584" s="23"/>
      <c r="O1584" s="26" t="s">
        <v>486</v>
      </c>
      <c r="P1584" s="26"/>
      <c r="Q1584" s="22"/>
      <c r="R1584" s="24"/>
      <c r="S1584" s="24"/>
      <c r="T1584" s="24"/>
      <c r="U1584" s="24"/>
      <c r="V1584" s="24"/>
      <c r="W1584" s="22" t="s">
        <v>230</v>
      </c>
      <c r="X1584" s="4" t="str">
        <f>IF(Tabela2[[#This Row],[sigla]]="","",VLOOKUP(Tabela2[[#This Row],[sigla]],créditos_base!B:C,2,0))</f>
        <v>RAFAEL L. GAION/ARQUIVO DA EDITORA</v>
      </c>
      <c r="Y1584" s="23"/>
      <c r="Z1584" s="23" t="str">
        <f>Tabela2[[#This Row],[ilustrador]]</f>
        <v>RAFAEL L. GAION/ARQUIVO DA EDITORA</v>
      </c>
      <c r="AA1584" s="22"/>
      <c r="AB1584" s="20"/>
      <c r="AD1584" s="4" t="str">
        <f>"Pitanguá"</f>
        <v>Pitanguá</v>
      </c>
      <c r="AE1584" s="14" t="str">
        <f>"Matemática"</f>
        <v>Matemática</v>
      </c>
      <c r="AF1584" s="14"/>
    </row>
    <row r="1585" spans="1:32" ht="28.8" x14ac:dyDescent="0.3">
      <c r="A1585" s="23" t="s">
        <v>4867</v>
      </c>
      <c r="B1585" s="20" t="s">
        <v>16</v>
      </c>
      <c r="C1585" s="20" t="s">
        <v>89</v>
      </c>
      <c r="D1585" s="20" t="s">
        <v>8</v>
      </c>
      <c r="E1585" s="22">
        <v>171</v>
      </c>
      <c r="F1585" s="22">
        <v>2</v>
      </c>
      <c r="G1585" s="22">
        <v>6</v>
      </c>
      <c r="H1585" s="22"/>
      <c r="I1585" s="23" t="s">
        <v>9</v>
      </c>
      <c r="J1585" s="23"/>
      <c r="K1585" s="22"/>
      <c r="L1585" s="22"/>
      <c r="M1585" s="23"/>
      <c r="N1585" s="23"/>
      <c r="O1585" s="26" t="s">
        <v>4868</v>
      </c>
      <c r="P1585" s="26"/>
      <c r="Q1585" s="22"/>
      <c r="R1585" s="24"/>
      <c r="S1585" s="24"/>
      <c r="T1585" s="24"/>
      <c r="U1585" s="24"/>
      <c r="V1585" s="24"/>
      <c r="W1585" s="22" t="s">
        <v>468</v>
      </c>
      <c r="X1585" s="4" t="str">
        <f>IF(Tabela2[[#This Row],[sigla]]="","",VLOOKUP(Tabela2[[#This Row],[sigla]],créditos_base!B:C,2,0))</f>
        <v>VER DOCUMENTO DE ILS. TÉCNICAS</v>
      </c>
      <c r="Y1585" s="23"/>
      <c r="Z1585" s="23" t="s">
        <v>469</v>
      </c>
      <c r="AA1585" s="22"/>
      <c r="AB1585" s="20"/>
      <c r="AD1585" s="4" t="str">
        <f>"Pitanguá"</f>
        <v>Pitanguá</v>
      </c>
      <c r="AE1585" s="14" t="str">
        <f>"Matemática"</f>
        <v>Matemática</v>
      </c>
      <c r="AF1585" s="14"/>
    </row>
    <row r="1586" spans="1:32" ht="28.8" x14ac:dyDescent="0.3">
      <c r="A1586" s="23" t="s">
        <v>2288</v>
      </c>
      <c r="B1586" s="20" t="s">
        <v>16</v>
      </c>
      <c r="C1586" s="20" t="s">
        <v>7</v>
      </c>
      <c r="D1586" s="20" t="s">
        <v>8</v>
      </c>
      <c r="E1586" s="22">
        <v>114</v>
      </c>
      <c r="F1586" s="22">
        <v>3</v>
      </c>
      <c r="G1586" s="22">
        <v>6</v>
      </c>
      <c r="H1586" s="22"/>
      <c r="I1586" s="23" t="s">
        <v>33</v>
      </c>
      <c r="J1586" s="23"/>
      <c r="K1586" s="22"/>
      <c r="L1586" s="22"/>
      <c r="M1586" s="23"/>
      <c r="N1586" s="23"/>
      <c r="O1586" s="26" t="s">
        <v>2289</v>
      </c>
      <c r="P1586" s="26"/>
      <c r="Q1586" s="22">
        <v>169</v>
      </c>
      <c r="R1586" s="24">
        <v>45895</v>
      </c>
      <c r="S1586" s="24">
        <v>45895</v>
      </c>
      <c r="T1586" s="24"/>
      <c r="U1586" s="24"/>
      <c r="V1586" s="24">
        <v>45896</v>
      </c>
      <c r="W1586" s="22" t="s">
        <v>87</v>
      </c>
      <c r="X1586" s="4" t="str">
        <f>IF(Tabela2[[#This Row],[sigla]]="","",VLOOKUP(Tabela2[[#This Row],[sigla]],créditos_base!B:C,2,0))</f>
        <v>CHRIS BORGES/ARQUIVO DA EDITORA</v>
      </c>
      <c r="Y1586" s="23" t="s">
        <v>243</v>
      </c>
      <c r="Z1586" s="23" t="str">
        <f>Tabela2[[#This Row],[ilustrador]]</f>
        <v>CHRIS BORGES/ARQUIVO DA EDITORA</v>
      </c>
      <c r="AA1586" s="22">
        <v>13</v>
      </c>
      <c r="AB1586" s="20" t="s">
        <v>2257</v>
      </c>
      <c r="AC1586" s="20" t="s">
        <v>36</v>
      </c>
      <c r="AD1586" s="4" t="str">
        <f>"Pitanguá"</f>
        <v>Pitanguá</v>
      </c>
      <c r="AE1586" s="14" t="str">
        <f>"Matemática"</f>
        <v>Matemática</v>
      </c>
      <c r="AF1586" s="14"/>
    </row>
    <row r="1587" spans="1:32" ht="28.8" x14ac:dyDescent="0.3">
      <c r="A1587" s="23" t="s">
        <v>3296</v>
      </c>
      <c r="B1587" s="20" t="s">
        <v>16</v>
      </c>
      <c r="C1587" s="20" t="s">
        <v>89</v>
      </c>
      <c r="D1587" s="20" t="s">
        <v>8</v>
      </c>
      <c r="E1587" s="22">
        <v>174</v>
      </c>
      <c r="F1587" s="22">
        <v>4</v>
      </c>
      <c r="G1587" s="22">
        <v>6</v>
      </c>
      <c r="H1587" s="22"/>
      <c r="I1587" s="23" t="s">
        <v>9</v>
      </c>
      <c r="J1587" s="23"/>
      <c r="K1587" s="22"/>
      <c r="L1587" s="22"/>
      <c r="M1587" s="23"/>
      <c r="N1587" s="23"/>
      <c r="O1587" s="26" t="s">
        <v>3297</v>
      </c>
      <c r="P1587" s="26"/>
      <c r="Q1587" s="22"/>
      <c r="R1587" s="24"/>
      <c r="S1587" s="24"/>
      <c r="T1587" s="24"/>
      <c r="U1587" s="24"/>
      <c r="V1587" s="24"/>
      <c r="W1587" s="22" t="s">
        <v>940</v>
      </c>
      <c r="X1587" s="4" t="str">
        <f>IF(Tabela2[[#This Row],[sigla]]="","",VLOOKUP(Tabela2[[#This Row],[sigla]],créditos_base!B:C,2,0))</f>
        <v>RONALDO LUCENA/ARQUIVO DA EDITORA</v>
      </c>
      <c r="Y1587" s="23"/>
      <c r="Z1587" s="23" t="str">
        <f>Tabela2[[#This Row],[ilustrador]]</f>
        <v>RONALDO LUCENA/ARQUIVO DA EDITORA</v>
      </c>
      <c r="AA1587" s="22"/>
      <c r="AB1587" s="20"/>
      <c r="AD1587" s="4" t="str">
        <f>"Pitanguá"</f>
        <v>Pitanguá</v>
      </c>
      <c r="AE1587" s="14" t="str">
        <f>"Matemática"</f>
        <v>Matemática</v>
      </c>
      <c r="AF1587" s="14"/>
    </row>
    <row r="1588" spans="1:32" ht="28.8" x14ac:dyDescent="0.3">
      <c r="A1588" s="23" t="s">
        <v>487</v>
      </c>
      <c r="B1588" s="20" t="s">
        <v>16</v>
      </c>
      <c r="C1588" s="20" t="s">
        <v>89</v>
      </c>
      <c r="D1588" s="20" t="s">
        <v>8</v>
      </c>
      <c r="E1588" s="22">
        <v>111</v>
      </c>
      <c r="F1588" s="22">
        <v>1</v>
      </c>
      <c r="G1588" s="22">
        <v>6</v>
      </c>
      <c r="H1588" s="22"/>
      <c r="I1588" s="23" t="s">
        <v>9</v>
      </c>
      <c r="J1588" s="23"/>
      <c r="K1588" s="22"/>
      <c r="L1588" s="22"/>
      <c r="M1588" s="23"/>
      <c r="N1588" s="23"/>
      <c r="O1588" s="26" t="s">
        <v>488</v>
      </c>
      <c r="P1588" s="26"/>
      <c r="Q1588" s="22"/>
      <c r="R1588" s="24"/>
      <c r="S1588" s="24"/>
      <c r="T1588" s="24"/>
      <c r="U1588" s="24"/>
      <c r="V1588" s="24"/>
      <c r="W1588" s="22" t="s">
        <v>230</v>
      </c>
      <c r="X1588" s="4" t="str">
        <f>IF(Tabela2[[#This Row],[sigla]]="","",VLOOKUP(Tabela2[[#This Row],[sigla]],créditos_base!B:C,2,0))</f>
        <v>RAFAEL L. GAION/ARQUIVO DA EDITORA</v>
      </c>
      <c r="Y1588" s="23"/>
      <c r="Z1588" s="23" t="str">
        <f>Tabela2[[#This Row],[ilustrador]]</f>
        <v>RAFAEL L. GAION/ARQUIVO DA EDITORA</v>
      </c>
      <c r="AA1588" s="22"/>
      <c r="AB1588" s="20"/>
      <c r="AD1588" s="4" t="str">
        <f>"Pitanguá"</f>
        <v>Pitanguá</v>
      </c>
      <c r="AE1588" s="14" t="str">
        <f>"Matemática"</f>
        <v>Matemática</v>
      </c>
      <c r="AF1588" s="14"/>
    </row>
    <row r="1589" spans="1:32" ht="28.8" x14ac:dyDescent="0.3">
      <c r="A1589" s="23" t="s">
        <v>5251</v>
      </c>
      <c r="B1589" s="20" t="s">
        <v>16</v>
      </c>
      <c r="C1589" s="20" t="s">
        <v>89</v>
      </c>
      <c r="D1589" s="20" t="s">
        <v>8</v>
      </c>
      <c r="E1589" s="22">
        <v>154</v>
      </c>
      <c r="F1589" s="22">
        <v>2</v>
      </c>
      <c r="G1589" s="22">
        <v>6</v>
      </c>
      <c r="H1589" s="22"/>
      <c r="I1589" s="23" t="s">
        <v>90</v>
      </c>
      <c r="J1589" s="23"/>
      <c r="K1589" s="22"/>
      <c r="L1589" s="22"/>
      <c r="M1589" s="23"/>
      <c r="N1589" s="23"/>
      <c r="O1589" s="26" t="s">
        <v>5252</v>
      </c>
      <c r="P1589" s="26"/>
      <c r="Q1589" s="22">
        <v>110</v>
      </c>
      <c r="R1589" s="24">
        <v>45853</v>
      </c>
      <c r="S1589" s="24">
        <v>45854</v>
      </c>
      <c r="T1589" s="24"/>
      <c r="U1589" s="24"/>
      <c r="V1589" s="24">
        <v>45854</v>
      </c>
      <c r="W1589" s="22" t="s">
        <v>2675</v>
      </c>
      <c r="X1589" s="4" t="str">
        <f>IF(Tabela2[[#This Row],[sigla]]="","",VLOOKUP(Tabela2[[#This Row],[sigla]],créditos_base!B:C,2,0))</f>
        <v>INGRIDHI BORGES/ARQUIVO DA EDITORA</v>
      </c>
      <c r="Y1589" s="23"/>
      <c r="Z1589" s="23" t="str">
        <f>Tabela2[[#This Row],[ilustrador]]</f>
        <v>INGRIDHI BORGES/ARQUIVO DA EDITORA</v>
      </c>
      <c r="AA1589" s="22">
        <v>8</v>
      </c>
      <c r="AB1589" s="20" t="s">
        <v>5253</v>
      </c>
      <c r="AC1589" s="20" t="s">
        <v>36</v>
      </c>
      <c r="AD1589" s="4" t="str">
        <f>"Pitanguá"</f>
        <v>Pitanguá</v>
      </c>
      <c r="AE1589" s="14" t="str">
        <f>"Matemática"</f>
        <v>Matemática</v>
      </c>
      <c r="AF1589" s="14"/>
    </row>
    <row r="1590" spans="1:32" ht="28.8" x14ac:dyDescent="0.3">
      <c r="A1590" s="23" t="s">
        <v>2290</v>
      </c>
      <c r="B1590" s="20" t="s">
        <v>16</v>
      </c>
      <c r="C1590" s="20" t="s">
        <v>7</v>
      </c>
      <c r="D1590" s="20" t="s">
        <v>8</v>
      </c>
      <c r="E1590" s="22">
        <v>114</v>
      </c>
      <c r="F1590" s="22">
        <v>3</v>
      </c>
      <c r="G1590" s="22">
        <v>6</v>
      </c>
      <c r="H1590" s="22"/>
      <c r="I1590" s="23" t="s">
        <v>33</v>
      </c>
      <c r="J1590" s="23"/>
      <c r="K1590" s="22"/>
      <c r="L1590" s="22"/>
      <c r="M1590" s="23"/>
      <c r="N1590" s="23"/>
      <c r="O1590" s="26" t="s">
        <v>2291</v>
      </c>
      <c r="P1590" s="26"/>
      <c r="Q1590" s="22">
        <v>169</v>
      </c>
      <c r="R1590" s="24">
        <v>45895</v>
      </c>
      <c r="S1590" s="24">
        <v>45895</v>
      </c>
      <c r="T1590" s="24"/>
      <c r="U1590" s="24"/>
      <c r="V1590" s="24">
        <v>45896</v>
      </c>
      <c r="W1590" s="22" t="s">
        <v>87</v>
      </c>
      <c r="X1590" s="4" t="str">
        <f>IF(Tabela2[[#This Row],[sigla]]="","",VLOOKUP(Tabela2[[#This Row],[sigla]],créditos_base!B:C,2,0))</f>
        <v>CHRIS BORGES/ARQUIVO DA EDITORA</v>
      </c>
      <c r="Y1590" s="23" t="s">
        <v>243</v>
      </c>
      <c r="Z1590" s="23" t="str">
        <f>Tabela2[[#This Row],[ilustrador]]</f>
        <v>CHRIS BORGES/ARQUIVO DA EDITORA</v>
      </c>
      <c r="AA1590" s="22">
        <v>13</v>
      </c>
      <c r="AB1590" s="20" t="s">
        <v>2257</v>
      </c>
      <c r="AC1590" s="20" t="s">
        <v>36</v>
      </c>
      <c r="AD1590" s="4" t="str">
        <f>"Pitanguá"</f>
        <v>Pitanguá</v>
      </c>
      <c r="AE1590" s="14" t="str">
        <f>"Matemática"</f>
        <v>Matemática</v>
      </c>
      <c r="AF1590" s="14"/>
    </row>
    <row r="1591" spans="1:32" ht="28.8" x14ac:dyDescent="0.3">
      <c r="A1591" s="23" t="s">
        <v>3298</v>
      </c>
      <c r="B1591" s="20" t="s">
        <v>16</v>
      </c>
      <c r="C1591" s="20" t="s">
        <v>89</v>
      </c>
      <c r="D1591" s="20" t="s">
        <v>8</v>
      </c>
      <c r="E1591" s="22">
        <v>174</v>
      </c>
      <c r="F1591" s="22">
        <v>4</v>
      </c>
      <c r="G1591" s="22">
        <v>6</v>
      </c>
      <c r="H1591" s="22"/>
      <c r="I1591" s="23" t="s">
        <v>33</v>
      </c>
      <c r="J1591" s="23"/>
      <c r="K1591" s="22"/>
      <c r="L1591" s="22"/>
      <c r="M1591" s="23"/>
      <c r="N1591" s="23"/>
      <c r="O1591" s="26" t="s">
        <v>3299</v>
      </c>
      <c r="P1591" s="26"/>
      <c r="Q1591" s="22">
        <v>135</v>
      </c>
      <c r="R1591" s="24">
        <v>45866</v>
      </c>
      <c r="S1591" s="24">
        <v>45867</v>
      </c>
      <c r="T1591" s="24"/>
      <c r="U1591" s="24"/>
      <c r="V1591" s="24">
        <v>45867</v>
      </c>
      <c r="W1591" s="22" t="s">
        <v>940</v>
      </c>
      <c r="X1591" s="4" t="str">
        <f>IF(Tabela2[[#This Row],[sigla]]="","",VLOOKUP(Tabela2[[#This Row],[sigla]],créditos_base!B:C,2,0))</f>
        <v>RONALDO LUCENA/ARQUIVO DA EDITORA</v>
      </c>
      <c r="Y1591" s="23" t="s">
        <v>243</v>
      </c>
      <c r="Z1591" s="23" t="str">
        <f>Tabela2[[#This Row],[ilustrador]]</f>
        <v>RONALDO LUCENA/ARQUIVO DA EDITORA</v>
      </c>
      <c r="AA1591" s="22">
        <v>13</v>
      </c>
      <c r="AB1591" s="20" t="s">
        <v>244</v>
      </c>
      <c r="AC1591" s="20" t="s">
        <v>36</v>
      </c>
      <c r="AD1591" s="4" t="str">
        <f>"Pitanguá"</f>
        <v>Pitanguá</v>
      </c>
      <c r="AE1591" s="14" t="str">
        <f>"Matemática"</f>
        <v>Matemática</v>
      </c>
      <c r="AF1591" s="14"/>
    </row>
    <row r="1592" spans="1:32" ht="28.8" x14ac:dyDescent="0.3">
      <c r="A1592" s="23" t="s">
        <v>489</v>
      </c>
      <c r="B1592" s="20" t="s">
        <v>16</v>
      </c>
      <c r="C1592" s="20" t="s">
        <v>89</v>
      </c>
      <c r="D1592" s="20" t="s">
        <v>8</v>
      </c>
      <c r="E1592" s="22">
        <v>111</v>
      </c>
      <c r="F1592" s="22">
        <v>1</v>
      </c>
      <c r="G1592" s="22">
        <v>6</v>
      </c>
      <c r="H1592" s="22"/>
      <c r="I1592" s="23" t="s">
        <v>9</v>
      </c>
      <c r="J1592" s="23"/>
      <c r="K1592" s="22"/>
      <c r="L1592" s="22"/>
      <c r="M1592" s="23"/>
      <c r="N1592" s="23"/>
      <c r="O1592" s="26" t="s">
        <v>490</v>
      </c>
      <c r="P1592" s="26"/>
      <c r="Q1592" s="22"/>
      <c r="R1592" s="24"/>
      <c r="S1592" s="24"/>
      <c r="T1592" s="24"/>
      <c r="U1592" s="24"/>
      <c r="V1592" s="24"/>
      <c r="W1592" s="22" t="s">
        <v>230</v>
      </c>
      <c r="X1592" s="4" t="str">
        <f>IF(Tabela2[[#This Row],[sigla]]="","",VLOOKUP(Tabela2[[#This Row],[sigla]],créditos_base!B:C,2,0))</f>
        <v>RAFAEL L. GAION/ARQUIVO DA EDITORA</v>
      </c>
      <c r="Y1592" s="23"/>
      <c r="Z1592" s="23" t="str">
        <f>Tabela2[[#This Row],[ilustrador]]</f>
        <v>RAFAEL L. GAION/ARQUIVO DA EDITORA</v>
      </c>
      <c r="AA1592" s="22"/>
      <c r="AB1592" s="20"/>
      <c r="AD1592" s="4" t="str">
        <f>"Pitanguá"</f>
        <v>Pitanguá</v>
      </c>
      <c r="AE1592" s="14" t="str">
        <f>"Matemática"</f>
        <v>Matemática</v>
      </c>
      <c r="AF1592" s="14"/>
    </row>
    <row r="1593" spans="1:32" ht="28.8" x14ac:dyDescent="0.3">
      <c r="A1593" s="23" t="s">
        <v>2292</v>
      </c>
      <c r="B1593" s="20" t="s">
        <v>16</v>
      </c>
      <c r="C1593" s="20" t="s">
        <v>7</v>
      </c>
      <c r="D1593" s="20" t="s">
        <v>8</v>
      </c>
      <c r="E1593" s="22">
        <v>115</v>
      </c>
      <c r="F1593" s="22">
        <v>3</v>
      </c>
      <c r="G1593" s="22">
        <v>6</v>
      </c>
      <c r="H1593" s="22"/>
      <c r="I1593" s="23" t="s">
        <v>9</v>
      </c>
      <c r="J1593" s="23"/>
      <c r="K1593" s="22"/>
      <c r="L1593" s="22"/>
      <c r="M1593" s="23"/>
      <c r="N1593" s="23"/>
      <c r="O1593" s="26" t="s">
        <v>2293</v>
      </c>
      <c r="P1593" s="26"/>
      <c r="Q1593" s="22"/>
      <c r="R1593" s="24"/>
      <c r="S1593" s="24"/>
      <c r="T1593" s="24"/>
      <c r="U1593" s="24"/>
      <c r="V1593" s="24"/>
      <c r="W1593" s="22" t="s">
        <v>87</v>
      </c>
      <c r="X1593" s="4" t="str">
        <f>IF(Tabela2[[#This Row],[sigla]]="","",VLOOKUP(Tabela2[[#This Row],[sigla]],créditos_base!B:C,2,0))</f>
        <v>CHRIS BORGES/ARQUIVO DA EDITORA</v>
      </c>
      <c r="Y1593" s="23"/>
      <c r="Z1593" s="23" t="str">
        <f>Tabela2[[#This Row],[ilustrador]]</f>
        <v>CHRIS BORGES/ARQUIVO DA EDITORA</v>
      </c>
      <c r="AA1593" s="22"/>
      <c r="AB1593" s="20"/>
      <c r="AD1593" s="4" t="str">
        <f>"Pitanguá"</f>
        <v>Pitanguá</v>
      </c>
      <c r="AE1593" s="14" t="str">
        <f>"Matemática"</f>
        <v>Matemática</v>
      </c>
      <c r="AF1593" s="14"/>
    </row>
    <row r="1594" spans="1:32" ht="28.8" x14ac:dyDescent="0.3">
      <c r="A1594" s="23" t="s">
        <v>3300</v>
      </c>
      <c r="B1594" s="20" t="s">
        <v>16</v>
      </c>
      <c r="C1594" s="20" t="s">
        <v>89</v>
      </c>
      <c r="D1594" s="20" t="s">
        <v>8</v>
      </c>
      <c r="E1594" s="22">
        <v>174</v>
      </c>
      <c r="F1594" s="22">
        <v>4</v>
      </c>
      <c r="G1594" s="22">
        <v>6</v>
      </c>
      <c r="H1594" s="22"/>
      <c r="I1594" s="23" t="s">
        <v>9</v>
      </c>
      <c r="J1594" s="23"/>
      <c r="K1594" s="22"/>
      <c r="L1594" s="22"/>
      <c r="M1594" s="23"/>
      <c r="N1594" s="23"/>
      <c r="O1594" s="26" t="s">
        <v>3301</v>
      </c>
      <c r="P1594" s="26"/>
      <c r="Q1594" s="22"/>
      <c r="R1594" s="24"/>
      <c r="S1594" s="24"/>
      <c r="T1594" s="24"/>
      <c r="U1594" s="24"/>
      <c r="V1594" s="24"/>
      <c r="W1594" s="22" t="s">
        <v>940</v>
      </c>
      <c r="X1594" s="4" t="str">
        <f>IF(Tabela2[[#This Row],[sigla]]="","",VLOOKUP(Tabela2[[#This Row],[sigla]],créditos_base!B:C,2,0))</f>
        <v>RONALDO LUCENA/ARQUIVO DA EDITORA</v>
      </c>
      <c r="Y1594" s="23"/>
      <c r="Z1594" s="23" t="str">
        <f>Tabela2[[#This Row],[ilustrador]]</f>
        <v>RONALDO LUCENA/ARQUIVO DA EDITORA</v>
      </c>
      <c r="AA1594" s="22"/>
      <c r="AB1594" s="20"/>
      <c r="AD1594" s="4" t="str">
        <f>"Pitanguá"</f>
        <v>Pitanguá</v>
      </c>
      <c r="AE1594" s="14" t="str">
        <f>"Matemática"</f>
        <v>Matemática</v>
      </c>
      <c r="AF1594" s="14"/>
    </row>
    <row r="1595" spans="1:32" x14ac:dyDescent="0.3">
      <c r="A1595" s="23" t="s">
        <v>491</v>
      </c>
      <c r="B1595" s="20" t="s">
        <v>16</v>
      </c>
      <c r="C1595" s="20" t="s">
        <v>89</v>
      </c>
      <c r="D1595" s="20" t="s">
        <v>8</v>
      </c>
      <c r="E1595" s="22">
        <v>111</v>
      </c>
      <c r="F1595" s="22">
        <v>1</v>
      </c>
      <c r="G1595" s="22">
        <v>6</v>
      </c>
      <c r="H1595" s="22"/>
      <c r="I1595" s="23" t="s">
        <v>9</v>
      </c>
      <c r="J1595" s="23"/>
      <c r="K1595" s="22"/>
      <c r="L1595" s="22"/>
      <c r="M1595" s="23"/>
      <c r="N1595" s="23"/>
      <c r="O1595" s="26" t="s">
        <v>492</v>
      </c>
      <c r="P1595" s="26"/>
      <c r="Q1595" s="22"/>
      <c r="R1595" s="24"/>
      <c r="S1595" s="24"/>
      <c r="T1595" s="24"/>
      <c r="U1595" s="24"/>
      <c r="V1595" s="24"/>
      <c r="W1595" s="22" t="s">
        <v>230</v>
      </c>
      <c r="X1595" s="4" t="str">
        <f>IF(Tabela2[[#This Row],[sigla]]="","",VLOOKUP(Tabela2[[#This Row],[sigla]],créditos_base!B:C,2,0))</f>
        <v>RAFAEL L. GAION/ARQUIVO DA EDITORA</v>
      </c>
      <c r="Y1595" s="23"/>
      <c r="Z1595" s="23" t="str">
        <f>Tabela2[[#This Row],[ilustrador]]</f>
        <v>RAFAEL L. GAION/ARQUIVO DA EDITORA</v>
      </c>
      <c r="AA1595" s="22"/>
      <c r="AB1595" s="20"/>
      <c r="AD1595" s="4" t="str">
        <f>"Pitanguá"</f>
        <v>Pitanguá</v>
      </c>
      <c r="AE1595" s="14" t="str">
        <f>"Matemática"</f>
        <v>Matemática</v>
      </c>
      <c r="AF1595" s="14"/>
    </row>
    <row r="1596" spans="1:32" x14ac:dyDescent="0.3">
      <c r="A1596" s="23" t="s">
        <v>3302</v>
      </c>
      <c r="B1596" s="20" t="s">
        <v>6</v>
      </c>
      <c r="C1596" s="20" t="s">
        <v>7</v>
      </c>
      <c r="D1596" s="20" t="s">
        <v>8</v>
      </c>
      <c r="E1596" s="22">
        <v>157</v>
      </c>
      <c r="F1596" s="22">
        <v>4</v>
      </c>
      <c r="G1596" s="22">
        <v>6</v>
      </c>
      <c r="H1596" s="22"/>
      <c r="I1596" s="23" t="s">
        <v>33</v>
      </c>
      <c r="J1596" s="23"/>
      <c r="K1596" s="22"/>
      <c r="L1596" s="22"/>
      <c r="M1596" s="23"/>
      <c r="N1596" s="23"/>
      <c r="O1596" s="26" t="s">
        <v>3303</v>
      </c>
      <c r="P1596" s="26"/>
      <c r="Q1596" s="22">
        <v>46</v>
      </c>
      <c r="R1596" s="24">
        <v>45796</v>
      </c>
      <c r="S1596" s="24">
        <v>45797</v>
      </c>
      <c r="T1596" s="24"/>
      <c r="U1596" s="24"/>
      <c r="V1596" s="24">
        <v>45797</v>
      </c>
      <c r="W1596" s="22" t="s">
        <v>160</v>
      </c>
      <c r="X1596" s="4" t="str">
        <f>IF(Tabela2[[#This Row],[sigla]]="","",VLOOKUP(Tabela2[[#This Row],[sigla]],créditos_base!B:C,2,0))</f>
        <v>SERGIO LIMA/ARQUIVO DA EDITORA</v>
      </c>
      <c r="Y1596" s="23" t="s">
        <v>188</v>
      </c>
      <c r="Z1596" s="23" t="str">
        <f>Tabela2[[#This Row],[ilustrador]]</f>
        <v>SERGIO LIMA/ARQUIVO DA EDITORA</v>
      </c>
      <c r="AA1596" s="22">
        <v>14</v>
      </c>
      <c r="AB1596" s="20" t="s">
        <v>153</v>
      </c>
      <c r="AC1596" s="20" t="s">
        <v>36</v>
      </c>
      <c r="AD1596" s="4" t="str">
        <f>"Pitanguá"</f>
        <v>Pitanguá</v>
      </c>
      <c r="AE1596" s="14" t="str">
        <f>"Matemática"</f>
        <v>Matemática</v>
      </c>
      <c r="AF1596" s="14"/>
    </row>
    <row r="1597" spans="1:32" x14ac:dyDescent="0.3">
      <c r="A1597" s="23" t="s">
        <v>4700</v>
      </c>
      <c r="B1597" s="20" t="s">
        <v>16</v>
      </c>
      <c r="C1597" s="20" t="s">
        <v>7</v>
      </c>
      <c r="D1597" s="20" t="s">
        <v>8</v>
      </c>
      <c r="E1597" s="22">
        <v>130</v>
      </c>
      <c r="F1597" s="22">
        <v>5</v>
      </c>
      <c r="G1597" s="22">
        <v>6</v>
      </c>
      <c r="H1597" s="22"/>
      <c r="I1597" s="23" t="s">
        <v>9</v>
      </c>
      <c r="J1597" s="23"/>
      <c r="K1597" s="22"/>
      <c r="L1597" s="22"/>
      <c r="M1597" s="23"/>
      <c r="N1597" s="23"/>
      <c r="O1597" s="26" t="s">
        <v>4701</v>
      </c>
      <c r="P1597" s="26"/>
      <c r="Q1597" s="22"/>
      <c r="R1597" s="24"/>
      <c r="S1597" s="24"/>
      <c r="T1597" s="24"/>
      <c r="U1597" s="24"/>
      <c r="V1597" s="24"/>
      <c r="W1597" s="22" t="s">
        <v>356</v>
      </c>
      <c r="X1597" s="4" t="str">
        <f>IF(Tabela2[[#This Row],[sigla]]="","",VLOOKUP(Tabela2[[#This Row],[sigla]],créditos_base!B:C,2,0))</f>
        <v>CAMILA CARMONA/ARQUIVO DA EDITORA</v>
      </c>
      <c r="Y1597" s="23"/>
      <c r="Z1597" s="23" t="str">
        <f>Tabela2[[#This Row],[ilustrador]]</f>
        <v>CAMILA CARMONA/ARQUIVO DA EDITORA</v>
      </c>
      <c r="AA1597" s="22"/>
      <c r="AB1597" s="20"/>
      <c r="AD1597" s="4" t="str">
        <f>"Pitanguá"</f>
        <v>Pitanguá</v>
      </c>
      <c r="AE1597" s="14" t="str">
        <f>"Matemática"</f>
        <v>Matemática</v>
      </c>
      <c r="AF1597" s="14"/>
    </row>
    <row r="1598" spans="1:32" x14ac:dyDescent="0.3">
      <c r="A1598" s="23" t="s">
        <v>493</v>
      </c>
      <c r="B1598" s="20" t="s">
        <v>16</v>
      </c>
      <c r="C1598" s="20" t="s">
        <v>89</v>
      </c>
      <c r="D1598" s="20" t="s">
        <v>8</v>
      </c>
      <c r="E1598" s="22">
        <v>111</v>
      </c>
      <c r="F1598" s="22">
        <v>1</v>
      </c>
      <c r="G1598" s="22">
        <v>6</v>
      </c>
      <c r="H1598" s="22"/>
      <c r="I1598" s="23" t="s">
        <v>9</v>
      </c>
      <c r="J1598" s="23"/>
      <c r="K1598" s="22"/>
      <c r="L1598" s="22"/>
      <c r="M1598" s="23"/>
      <c r="N1598" s="23"/>
      <c r="O1598" s="26" t="s">
        <v>494</v>
      </c>
      <c r="P1598" s="26"/>
      <c r="Q1598" s="22"/>
      <c r="R1598" s="24"/>
      <c r="S1598" s="24"/>
      <c r="T1598" s="24"/>
      <c r="U1598" s="24"/>
      <c r="V1598" s="24"/>
      <c r="W1598" s="22" t="s">
        <v>230</v>
      </c>
      <c r="X1598" s="4" t="str">
        <f>IF(Tabela2[[#This Row],[sigla]]="","",VLOOKUP(Tabela2[[#This Row],[sigla]],créditos_base!B:C,2,0))</f>
        <v>RAFAEL L. GAION/ARQUIVO DA EDITORA</v>
      </c>
      <c r="Y1598" s="23"/>
      <c r="Z1598" s="23" t="str">
        <f>Tabela2[[#This Row],[ilustrador]]</f>
        <v>RAFAEL L. GAION/ARQUIVO DA EDITORA</v>
      </c>
      <c r="AA1598" s="22"/>
      <c r="AB1598" s="20"/>
      <c r="AD1598" s="4" t="str">
        <f>"Pitanguá"</f>
        <v>Pitanguá</v>
      </c>
      <c r="AE1598" s="14" t="str">
        <f>"Matemática"</f>
        <v>Matemática</v>
      </c>
      <c r="AF1598" s="14"/>
    </row>
    <row r="1599" spans="1:32" x14ac:dyDescent="0.3">
      <c r="A1599" s="23" t="s">
        <v>3304</v>
      </c>
      <c r="B1599" s="20" t="s">
        <v>16</v>
      </c>
      <c r="C1599" s="20" t="s">
        <v>89</v>
      </c>
      <c r="D1599" s="20" t="s">
        <v>8</v>
      </c>
      <c r="E1599" s="22">
        <v>175</v>
      </c>
      <c r="F1599" s="22">
        <v>4</v>
      </c>
      <c r="G1599" s="22">
        <v>6</v>
      </c>
      <c r="H1599" s="22"/>
      <c r="I1599" s="23" t="s">
        <v>9</v>
      </c>
      <c r="J1599" s="23"/>
      <c r="K1599" s="22"/>
      <c r="L1599" s="22"/>
      <c r="M1599" s="23"/>
      <c r="N1599" s="23"/>
      <c r="O1599" s="26" t="s">
        <v>3305</v>
      </c>
      <c r="P1599" s="26"/>
      <c r="Q1599" s="22"/>
      <c r="R1599" s="24"/>
      <c r="S1599" s="24"/>
      <c r="T1599" s="24"/>
      <c r="U1599" s="24"/>
      <c r="V1599" s="24"/>
      <c r="W1599" s="22" t="s">
        <v>1135</v>
      </c>
      <c r="X1599" s="4" t="str">
        <f>IF(Tabela2[[#This Row],[sigla]]="","",VLOOKUP(Tabela2[[#This Row],[sigla]],créditos_base!B:C,2,0))</f>
        <v>ANA ELISA CARNEIRO/ARQUIVO DA EDITORA</v>
      </c>
      <c r="Y1599" s="23"/>
      <c r="Z1599" s="23" t="str">
        <f>Tabela2[[#This Row],[ilustrador]]</f>
        <v>ANA ELISA CARNEIRO/ARQUIVO DA EDITORA</v>
      </c>
      <c r="AA1599" s="22"/>
      <c r="AB1599" s="20"/>
      <c r="AD1599" s="4" t="str">
        <f>"Pitanguá"</f>
        <v>Pitanguá</v>
      </c>
      <c r="AE1599" s="14" t="str">
        <f>"Matemática"</f>
        <v>Matemática</v>
      </c>
      <c r="AF1599" s="14"/>
    </row>
    <row r="1600" spans="1:32" x14ac:dyDescent="0.3">
      <c r="A1600" s="23" t="s">
        <v>4702</v>
      </c>
      <c r="B1600" s="20" t="s">
        <v>16</v>
      </c>
      <c r="C1600" s="20" t="s">
        <v>7</v>
      </c>
      <c r="D1600" s="20" t="s">
        <v>8</v>
      </c>
      <c r="E1600" s="22">
        <v>130</v>
      </c>
      <c r="F1600" s="22">
        <v>5</v>
      </c>
      <c r="G1600" s="22">
        <v>6</v>
      </c>
      <c r="H1600" s="22"/>
      <c r="I1600" s="23" t="s">
        <v>9</v>
      </c>
      <c r="J1600" s="23"/>
      <c r="K1600" s="22"/>
      <c r="L1600" s="22"/>
      <c r="M1600" s="23"/>
      <c r="N1600" s="23"/>
      <c r="O1600" s="26" t="s">
        <v>4703</v>
      </c>
      <c r="P1600" s="26"/>
      <c r="Q1600" s="22"/>
      <c r="R1600" s="24"/>
      <c r="S1600" s="24"/>
      <c r="T1600" s="24"/>
      <c r="U1600" s="24"/>
      <c r="V1600" s="24"/>
      <c r="W1600" s="22" t="s">
        <v>356</v>
      </c>
      <c r="X1600" s="4" t="str">
        <f>IF(Tabela2[[#This Row],[sigla]]="","",VLOOKUP(Tabela2[[#This Row],[sigla]],créditos_base!B:C,2,0))</f>
        <v>CAMILA CARMONA/ARQUIVO DA EDITORA</v>
      </c>
      <c r="Y1600" s="23"/>
      <c r="Z1600" s="23" t="str">
        <f>Tabela2[[#This Row],[ilustrador]]</f>
        <v>CAMILA CARMONA/ARQUIVO DA EDITORA</v>
      </c>
      <c r="AA1600" s="22"/>
      <c r="AB1600" s="20"/>
      <c r="AD1600" s="4" t="str">
        <f>"Pitanguá"</f>
        <v>Pitanguá</v>
      </c>
      <c r="AE1600" s="14" t="str">
        <f>"Matemática"</f>
        <v>Matemática</v>
      </c>
      <c r="AF1600" s="14"/>
    </row>
    <row r="1601" spans="1:32" ht="57.6" x14ac:dyDescent="0.3">
      <c r="A1601" s="23" t="s">
        <v>2294</v>
      </c>
      <c r="B1601" s="20" t="s">
        <v>16</v>
      </c>
      <c r="C1601" s="20" t="s">
        <v>7</v>
      </c>
      <c r="D1601" s="20" t="s">
        <v>8</v>
      </c>
      <c r="E1601" s="22">
        <v>117</v>
      </c>
      <c r="F1601" s="22">
        <v>3</v>
      </c>
      <c r="G1601" s="22">
        <v>6</v>
      </c>
      <c r="H1601" s="22"/>
      <c r="I1601" s="23" t="s">
        <v>33</v>
      </c>
      <c r="J1601" s="23"/>
      <c r="K1601" s="22"/>
      <c r="L1601" s="22"/>
      <c r="M1601" s="23"/>
      <c r="N1601" s="23"/>
      <c r="O1601" s="26" t="s">
        <v>2295</v>
      </c>
      <c r="P1601" s="26"/>
      <c r="Q1601" s="22">
        <v>212</v>
      </c>
      <c r="R1601" s="24">
        <v>45930</v>
      </c>
      <c r="S1601" s="24">
        <v>45930</v>
      </c>
      <c r="T1601" s="24"/>
      <c r="U1601" s="24"/>
      <c r="V1601" s="24">
        <v>45930</v>
      </c>
      <c r="W1601" s="22" t="s">
        <v>230</v>
      </c>
      <c r="X1601" s="4" t="str">
        <f>IF(Tabela2[[#This Row],[sigla]]="","",VLOOKUP(Tabela2[[#This Row],[sigla]],créditos_base!B:C,2,0))</f>
        <v>RAFAEL L. GAION/ARQUIVO DA EDITORA</v>
      </c>
      <c r="Y1601" s="23" t="s">
        <v>696</v>
      </c>
      <c r="Z1601" s="23" t="str">
        <f>Tabela2[[#This Row],[ilustrador]]</f>
        <v>RAFAEL L. GAION/ARQUIVO DA EDITORA</v>
      </c>
      <c r="AA1601" s="22">
        <v>13</v>
      </c>
      <c r="AB1601" s="20" t="s">
        <v>41</v>
      </c>
      <c r="AD1601" s="4" t="str">
        <f>"Pitanguá"</f>
        <v>Pitanguá</v>
      </c>
      <c r="AE1601" s="14" t="str">
        <f>"Matemática"</f>
        <v>Matemática</v>
      </c>
      <c r="AF1601" s="14"/>
    </row>
    <row r="1602" spans="1:32" ht="28.8" x14ac:dyDescent="0.3">
      <c r="A1602" s="23" t="s">
        <v>3306</v>
      </c>
      <c r="B1602" s="20" t="s">
        <v>6</v>
      </c>
      <c r="C1602" s="20" t="s">
        <v>89</v>
      </c>
      <c r="D1602" s="20" t="s">
        <v>8</v>
      </c>
      <c r="E1602" s="22">
        <v>157</v>
      </c>
      <c r="F1602" s="22">
        <v>4</v>
      </c>
      <c r="G1602" s="22">
        <v>6</v>
      </c>
      <c r="H1602" s="22"/>
      <c r="I1602" s="23" t="s">
        <v>9</v>
      </c>
      <c r="J1602" s="23"/>
      <c r="K1602" s="22"/>
      <c r="L1602" s="22"/>
      <c r="M1602" s="23"/>
      <c r="N1602" s="23"/>
      <c r="O1602" s="26" t="s">
        <v>3307</v>
      </c>
      <c r="P1602" s="26"/>
      <c r="Q1602" s="22"/>
      <c r="R1602" s="24"/>
      <c r="S1602" s="24"/>
      <c r="T1602" s="24"/>
      <c r="U1602" s="24"/>
      <c r="V1602" s="24"/>
      <c r="W1602" s="22" t="s">
        <v>1135</v>
      </c>
      <c r="X1602" s="4" t="str">
        <f>IF(Tabela2[[#This Row],[sigla]]="","",VLOOKUP(Tabela2[[#This Row],[sigla]],créditos_base!B:C,2,0))</f>
        <v>ANA ELISA CARNEIRO/ARQUIVO DA EDITORA</v>
      </c>
      <c r="Y1602" s="23"/>
      <c r="Z1602" s="23" t="str">
        <f>Tabela2[[#This Row],[ilustrador]]</f>
        <v>ANA ELISA CARNEIRO/ARQUIVO DA EDITORA</v>
      </c>
      <c r="AA1602" s="22"/>
      <c r="AB1602" s="20"/>
      <c r="AD1602" s="4" t="str">
        <f>"Pitanguá"</f>
        <v>Pitanguá</v>
      </c>
      <c r="AE1602" s="14" t="str">
        <f>"Matemática"</f>
        <v>Matemática</v>
      </c>
      <c r="AF1602" s="14"/>
    </row>
    <row r="1603" spans="1:32" ht="28.8" x14ac:dyDescent="0.3">
      <c r="A1603" s="23" t="s">
        <v>4704</v>
      </c>
      <c r="B1603" s="20" t="s">
        <v>16</v>
      </c>
      <c r="C1603" s="20" t="s">
        <v>7</v>
      </c>
      <c r="D1603" s="20" t="s">
        <v>8</v>
      </c>
      <c r="E1603" s="22">
        <v>130</v>
      </c>
      <c r="F1603" s="22">
        <v>5</v>
      </c>
      <c r="G1603" s="22">
        <v>6</v>
      </c>
      <c r="H1603" s="22"/>
      <c r="I1603" s="23" t="s">
        <v>9</v>
      </c>
      <c r="J1603" s="23"/>
      <c r="K1603" s="22"/>
      <c r="L1603" s="22"/>
      <c r="M1603" s="23"/>
      <c r="N1603" s="23"/>
      <c r="O1603" s="26" t="s">
        <v>4705</v>
      </c>
      <c r="P1603" s="26"/>
      <c r="Q1603" s="22"/>
      <c r="R1603" s="24"/>
      <c r="S1603" s="24"/>
      <c r="T1603" s="24"/>
      <c r="U1603" s="24"/>
      <c r="V1603" s="24"/>
      <c r="W1603" s="22" t="s">
        <v>356</v>
      </c>
      <c r="X1603" s="4" t="str">
        <f>IF(Tabela2[[#This Row],[sigla]]="","",VLOOKUP(Tabela2[[#This Row],[sigla]],créditos_base!B:C,2,0))</f>
        <v>CAMILA CARMONA/ARQUIVO DA EDITORA</v>
      </c>
      <c r="Y1603" s="23"/>
      <c r="Z1603" s="23" t="str">
        <f>Tabela2[[#This Row],[ilustrador]]</f>
        <v>CAMILA CARMONA/ARQUIVO DA EDITORA</v>
      </c>
      <c r="AA1603" s="22"/>
      <c r="AB1603" s="20"/>
      <c r="AD1603" s="4" t="str">
        <f>"Pitanguá"</f>
        <v>Pitanguá</v>
      </c>
      <c r="AE1603" s="14" t="str">
        <f>"Matemática"</f>
        <v>Matemática</v>
      </c>
      <c r="AF1603" s="14"/>
    </row>
    <row r="1604" spans="1:32" x14ac:dyDescent="0.3">
      <c r="A1604" s="23" t="s">
        <v>2542</v>
      </c>
      <c r="B1604" s="20" t="s">
        <v>6</v>
      </c>
      <c r="C1604" s="20" t="s">
        <v>7</v>
      </c>
      <c r="D1604" s="20" t="s">
        <v>8</v>
      </c>
      <c r="E1604" s="22">
        <v>146</v>
      </c>
      <c r="F1604" s="22">
        <v>1</v>
      </c>
      <c r="G1604" s="22">
        <v>6</v>
      </c>
      <c r="H1604" s="22"/>
      <c r="I1604" s="23" t="s">
        <v>33</v>
      </c>
      <c r="J1604" s="23"/>
      <c r="K1604" s="22"/>
      <c r="L1604" s="22"/>
      <c r="M1604" s="23"/>
      <c r="N1604" s="23"/>
      <c r="O1604" s="26" t="s">
        <v>2543</v>
      </c>
      <c r="P1604" s="26"/>
      <c r="Q1604" s="22">
        <v>35</v>
      </c>
      <c r="R1604" s="24">
        <v>45771</v>
      </c>
      <c r="S1604" s="24">
        <v>45775</v>
      </c>
      <c r="T1604" s="24"/>
      <c r="U1604" s="24"/>
      <c r="V1604" s="24">
        <v>45777</v>
      </c>
      <c r="W1604" s="22"/>
      <c r="X1604" s="4" t="str">
        <f>IF(Tabela2[[#This Row],[sigla]]="","",VLOOKUP(Tabela2[[#This Row],[sigla]],créditos_base!B:C,2,0))</f>
        <v/>
      </c>
      <c r="Y1604" s="23" t="s">
        <v>188</v>
      </c>
      <c r="Z1604" s="23" t="s">
        <v>560</v>
      </c>
      <c r="AA1604" s="22">
        <v>14</v>
      </c>
      <c r="AB1604" s="20" t="s">
        <v>153</v>
      </c>
      <c r="AC1604" s="20" t="s">
        <v>36</v>
      </c>
      <c r="AD1604" s="4" t="str">
        <f>"Pitanguá"</f>
        <v>Pitanguá</v>
      </c>
      <c r="AE1604" s="14" t="str">
        <f>"Matemática"</f>
        <v>Matemática</v>
      </c>
      <c r="AF1604" s="14"/>
    </row>
    <row r="1605" spans="1:32" x14ac:dyDescent="0.3">
      <c r="A1605" s="23" t="s">
        <v>2296</v>
      </c>
      <c r="B1605" s="20" t="s">
        <v>6</v>
      </c>
      <c r="C1605" s="20" t="s">
        <v>7</v>
      </c>
      <c r="D1605" s="20" t="s">
        <v>8</v>
      </c>
      <c r="E1605" s="22">
        <v>117</v>
      </c>
      <c r="F1605" s="22">
        <v>3</v>
      </c>
      <c r="G1605" s="22">
        <v>6</v>
      </c>
      <c r="H1605" s="22"/>
      <c r="I1605" s="23" t="s">
        <v>9</v>
      </c>
      <c r="J1605" s="23"/>
      <c r="K1605" s="22"/>
      <c r="L1605" s="22"/>
      <c r="M1605" s="23"/>
      <c r="N1605" s="23"/>
      <c r="O1605" s="26" t="s">
        <v>2297</v>
      </c>
      <c r="P1605" s="26"/>
      <c r="Q1605" s="22"/>
      <c r="R1605" s="24"/>
      <c r="S1605" s="24"/>
      <c r="T1605" s="24"/>
      <c r="U1605" s="24"/>
      <c r="V1605" s="24"/>
      <c r="W1605" s="22" t="s">
        <v>230</v>
      </c>
      <c r="X1605" s="4" t="str">
        <f>IF(Tabela2[[#This Row],[sigla]]="","",VLOOKUP(Tabela2[[#This Row],[sigla]],créditos_base!B:C,2,0))</f>
        <v>RAFAEL L. GAION/ARQUIVO DA EDITORA</v>
      </c>
      <c r="Y1605" s="23"/>
      <c r="Z1605" s="23" t="str">
        <f>Tabela2[[#This Row],[ilustrador]]</f>
        <v>RAFAEL L. GAION/ARQUIVO DA EDITORA</v>
      </c>
      <c r="AA1605" s="22"/>
      <c r="AB1605" s="20"/>
      <c r="AD1605" s="4" t="str">
        <f>"Pitanguá"</f>
        <v>Pitanguá</v>
      </c>
      <c r="AE1605" s="14" t="str">
        <f>"Matemática"</f>
        <v>Matemática</v>
      </c>
      <c r="AF1605" s="14"/>
    </row>
    <row r="1606" spans="1:32" x14ac:dyDescent="0.3">
      <c r="A1606" s="23" t="s">
        <v>4706</v>
      </c>
      <c r="B1606" s="20" t="s">
        <v>6</v>
      </c>
      <c r="C1606" s="20" t="s">
        <v>7</v>
      </c>
      <c r="D1606" s="20" t="s">
        <v>8</v>
      </c>
      <c r="E1606" s="22">
        <v>130</v>
      </c>
      <c r="F1606" s="22">
        <v>5</v>
      </c>
      <c r="G1606" s="22">
        <v>6</v>
      </c>
      <c r="H1606" s="22"/>
      <c r="I1606" s="23" t="s">
        <v>9</v>
      </c>
      <c r="J1606" s="23"/>
      <c r="K1606" s="22"/>
      <c r="L1606" s="22"/>
      <c r="M1606" s="23"/>
      <c r="N1606" s="23"/>
      <c r="O1606" s="26" t="s">
        <v>4707</v>
      </c>
      <c r="P1606" s="26"/>
      <c r="Q1606" s="22"/>
      <c r="R1606" s="24"/>
      <c r="S1606" s="24"/>
      <c r="T1606" s="24"/>
      <c r="U1606" s="24"/>
      <c r="V1606" s="24"/>
      <c r="W1606" s="22" t="s">
        <v>356</v>
      </c>
      <c r="X1606" s="4" t="str">
        <f>IF(Tabela2[[#This Row],[sigla]]="","",VLOOKUP(Tabela2[[#This Row],[sigla]],créditos_base!B:C,2,0))</f>
        <v>CAMILA CARMONA/ARQUIVO DA EDITORA</v>
      </c>
      <c r="Y1606" s="23"/>
      <c r="Z1606" s="23" t="str">
        <f>Tabela2[[#This Row],[ilustrador]]</f>
        <v>CAMILA CARMONA/ARQUIVO DA EDITORA</v>
      </c>
      <c r="AA1606" s="22"/>
      <c r="AB1606" s="20"/>
      <c r="AD1606" s="4" t="str">
        <f>"Pitanguá"</f>
        <v>Pitanguá</v>
      </c>
      <c r="AE1606" s="14" t="str">
        <f>"Matemática"</f>
        <v>Matemática</v>
      </c>
      <c r="AF1606" s="14"/>
    </row>
    <row r="1607" spans="1:32" ht="28.8" x14ac:dyDescent="0.3">
      <c r="A1607" s="23" t="s">
        <v>2544</v>
      </c>
      <c r="B1607" s="20" t="s">
        <v>6</v>
      </c>
      <c r="C1607" s="20" t="s">
        <v>7</v>
      </c>
      <c r="D1607" s="20" t="s">
        <v>8</v>
      </c>
      <c r="E1607" s="22">
        <v>146</v>
      </c>
      <c r="F1607" s="22">
        <v>1</v>
      </c>
      <c r="G1607" s="22">
        <v>6</v>
      </c>
      <c r="H1607" s="22"/>
      <c r="I1607" s="23" t="s">
        <v>33</v>
      </c>
      <c r="J1607" s="23"/>
      <c r="K1607" s="22"/>
      <c r="L1607" s="22"/>
      <c r="M1607" s="23"/>
      <c r="N1607" s="23"/>
      <c r="O1607" s="26" t="s">
        <v>2545</v>
      </c>
      <c r="P1607" s="26"/>
      <c r="Q1607" s="22">
        <v>35</v>
      </c>
      <c r="R1607" s="24">
        <v>45771</v>
      </c>
      <c r="S1607" s="24">
        <v>45775</v>
      </c>
      <c r="T1607" s="24"/>
      <c r="U1607" s="24"/>
      <c r="V1607" s="24">
        <v>45777</v>
      </c>
      <c r="W1607" s="22"/>
      <c r="X1607" s="4" t="str">
        <f>IF(Tabela2[[#This Row],[sigla]]="","",VLOOKUP(Tabela2[[#This Row],[sigla]],créditos_base!B:C,2,0))</f>
        <v/>
      </c>
      <c r="Y1607" s="23" t="s">
        <v>188</v>
      </c>
      <c r="Z1607" s="23" t="s">
        <v>560</v>
      </c>
      <c r="AA1607" s="22">
        <v>14</v>
      </c>
      <c r="AB1607" s="20" t="s">
        <v>153</v>
      </c>
      <c r="AC1607" s="20" t="s">
        <v>36</v>
      </c>
      <c r="AD1607" s="4" t="str">
        <f>"Pitanguá"</f>
        <v>Pitanguá</v>
      </c>
      <c r="AE1607" s="14" t="str">
        <f>"Matemática"</f>
        <v>Matemática</v>
      </c>
      <c r="AF1607" s="14"/>
    </row>
    <row r="1608" spans="1:32" ht="28.8" x14ac:dyDescent="0.3">
      <c r="A1608" s="31" t="s">
        <v>2546</v>
      </c>
      <c r="B1608" s="20" t="s">
        <v>6</v>
      </c>
      <c r="C1608" s="20" t="s">
        <v>7</v>
      </c>
      <c r="D1608" s="20" t="s">
        <v>8</v>
      </c>
      <c r="E1608" s="22">
        <v>146</v>
      </c>
      <c r="F1608" s="22">
        <v>1</v>
      </c>
      <c r="G1608" s="22">
        <v>6</v>
      </c>
      <c r="H1608" s="22"/>
      <c r="I1608" s="23" t="s">
        <v>33</v>
      </c>
      <c r="J1608" s="23"/>
      <c r="K1608" s="22"/>
      <c r="L1608" s="22"/>
      <c r="M1608" s="23"/>
      <c r="N1608" s="23"/>
      <c r="O1608" s="26" t="s">
        <v>2547</v>
      </c>
      <c r="P1608" s="26"/>
      <c r="Q1608" s="22">
        <v>35</v>
      </c>
      <c r="R1608" s="24">
        <v>45771</v>
      </c>
      <c r="S1608" s="24">
        <v>45775</v>
      </c>
      <c r="T1608" s="24"/>
      <c r="U1608" s="24"/>
      <c r="V1608" s="24">
        <v>45777</v>
      </c>
      <c r="W1608" s="22"/>
      <c r="X1608" s="4" t="str">
        <f>IF(Tabela2[[#This Row],[sigla]]="","",VLOOKUP(Tabela2[[#This Row],[sigla]],créditos_base!B:C,2,0))</f>
        <v/>
      </c>
      <c r="Y1608" s="23" t="s">
        <v>188</v>
      </c>
      <c r="Z1608" s="23" t="s">
        <v>560</v>
      </c>
      <c r="AA1608" s="22">
        <v>14</v>
      </c>
      <c r="AB1608" s="20" t="s">
        <v>153</v>
      </c>
      <c r="AC1608" s="20" t="s">
        <v>36</v>
      </c>
      <c r="AD1608" s="4" t="str">
        <f>"Pitanguá"</f>
        <v>Pitanguá</v>
      </c>
      <c r="AE1608" s="14" t="str">
        <f>"Matemática"</f>
        <v>Matemática</v>
      </c>
      <c r="AF1608" s="14"/>
    </row>
    <row r="1609" spans="1:32" ht="57.6" x14ac:dyDescent="0.3">
      <c r="A1609" s="23" t="s">
        <v>5227</v>
      </c>
      <c r="B1609" s="20" t="s">
        <v>16</v>
      </c>
      <c r="C1609" s="20" t="s">
        <v>7</v>
      </c>
      <c r="D1609" s="20" t="s">
        <v>8</v>
      </c>
      <c r="E1609" s="22">
        <v>175</v>
      </c>
      <c r="F1609" s="22">
        <v>4</v>
      </c>
      <c r="G1609" s="22">
        <v>6</v>
      </c>
      <c r="H1609" s="22"/>
      <c r="I1609" s="23" t="s">
        <v>90</v>
      </c>
      <c r="J1609" s="23"/>
      <c r="K1609" s="22"/>
      <c r="L1609" s="22"/>
      <c r="M1609" s="23"/>
      <c r="N1609" s="23"/>
      <c r="O1609" s="20" t="s">
        <v>5228</v>
      </c>
      <c r="P1609" s="26"/>
      <c r="Q1609" s="22">
        <v>108</v>
      </c>
      <c r="R1609" s="24">
        <v>45852</v>
      </c>
      <c r="S1609" s="24">
        <v>45854</v>
      </c>
      <c r="T1609" s="24"/>
      <c r="U1609" s="24"/>
      <c r="V1609" s="24">
        <v>45854</v>
      </c>
      <c r="W1609" s="22" t="s">
        <v>1217</v>
      </c>
      <c r="X1609" s="4" t="str">
        <f>IF(Tabela2[[#This Row],[sigla]]="","",VLOOKUP(Tabela2[[#This Row],[sigla]],créditos_base!B:C,2,0))</f>
        <v>KEITHY MOSTACHI/ARQUIVO DA EDITORA</v>
      </c>
      <c r="Y1609" s="23"/>
      <c r="Z1609" s="23" t="str">
        <f>Tabela2[[#This Row],[ilustrador]]</f>
        <v>KEITHY MOSTACHI/ARQUIVO DA EDITORA</v>
      </c>
      <c r="AA1609" s="22">
        <v>13</v>
      </c>
      <c r="AB1609" s="20" t="s">
        <v>747</v>
      </c>
      <c r="AC1609" s="20" t="s">
        <v>36</v>
      </c>
      <c r="AD1609" s="4" t="str">
        <f>"Pitanguá"</f>
        <v>Pitanguá</v>
      </c>
      <c r="AE1609" s="14" t="str">
        <f>"Matemática"</f>
        <v>Matemática</v>
      </c>
      <c r="AF1609" s="14"/>
    </row>
    <row r="1610" spans="1:32" ht="28.8" x14ac:dyDescent="0.3">
      <c r="A1610" s="23" t="s">
        <v>2548</v>
      </c>
      <c r="B1610" s="20" t="s">
        <v>6</v>
      </c>
      <c r="C1610" s="20" t="s">
        <v>7</v>
      </c>
      <c r="D1610" s="20" t="s">
        <v>8</v>
      </c>
      <c r="E1610" s="22">
        <v>146</v>
      </c>
      <c r="F1610" s="22">
        <v>1</v>
      </c>
      <c r="G1610" s="22">
        <v>6</v>
      </c>
      <c r="H1610" s="22"/>
      <c r="I1610" s="23" t="s">
        <v>33</v>
      </c>
      <c r="J1610" s="23"/>
      <c r="K1610" s="22"/>
      <c r="L1610" s="22"/>
      <c r="M1610" s="23"/>
      <c r="N1610" s="23"/>
      <c r="O1610" s="26" t="s">
        <v>2549</v>
      </c>
      <c r="P1610" s="26"/>
      <c r="Q1610" s="22">
        <v>35</v>
      </c>
      <c r="R1610" s="24">
        <v>45771</v>
      </c>
      <c r="S1610" s="24">
        <v>45775</v>
      </c>
      <c r="T1610" s="24"/>
      <c r="U1610" s="24"/>
      <c r="V1610" s="24">
        <v>45777</v>
      </c>
      <c r="W1610" s="22"/>
      <c r="X1610" s="4" t="str">
        <f>IF(Tabela2[[#This Row],[sigla]]="","",VLOOKUP(Tabela2[[#This Row],[sigla]],créditos_base!B:C,2,0))</f>
        <v/>
      </c>
      <c r="Y1610" s="23" t="s">
        <v>188</v>
      </c>
      <c r="Z1610" s="23" t="s">
        <v>560</v>
      </c>
      <c r="AA1610" s="22">
        <v>14</v>
      </c>
      <c r="AB1610" s="20" t="s">
        <v>153</v>
      </c>
      <c r="AC1610" s="20" t="s">
        <v>36</v>
      </c>
      <c r="AD1610" s="4" t="str">
        <f>"Pitanguá"</f>
        <v>Pitanguá</v>
      </c>
      <c r="AE1610" s="14" t="str">
        <f>"Matemática"</f>
        <v>Matemática</v>
      </c>
      <c r="AF1610" s="14"/>
    </row>
    <row r="1611" spans="1:32" ht="28.8" x14ac:dyDescent="0.3">
      <c r="A1611" s="23" t="s">
        <v>2298</v>
      </c>
      <c r="B1611" s="20" t="s">
        <v>6</v>
      </c>
      <c r="C1611" s="20" t="s">
        <v>7</v>
      </c>
      <c r="D1611" s="20" t="s">
        <v>8</v>
      </c>
      <c r="E1611" s="22">
        <v>119</v>
      </c>
      <c r="F1611" s="22">
        <v>3</v>
      </c>
      <c r="G1611" s="22">
        <v>6</v>
      </c>
      <c r="H1611" s="22"/>
      <c r="I1611" s="23" t="s">
        <v>9</v>
      </c>
      <c r="J1611" s="23"/>
      <c r="K1611" s="22"/>
      <c r="L1611" s="22"/>
      <c r="M1611" s="23"/>
      <c r="N1611" s="23"/>
      <c r="O1611" s="26" t="s">
        <v>2299</v>
      </c>
      <c r="P1611" s="26"/>
      <c r="Q1611" s="22"/>
      <c r="R1611" s="24"/>
      <c r="S1611" s="24"/>
      <c r="T1611" s="24"/>
      <c r="U1611" s="24"/>
      <c r="V1611" s="24"/>
      <c r="W1611" s="22" t="s">
        <v>468</v>
      </c>
      <c r="X1611" s="4" t="str">
        <f>IF(Tabela2[[#This Row],[sigla]]="","",VLOOKUP(Tabela2[[#This Row],[sigla]],créditos_base!B:C,2,0))</f>
        <v>VER DOCUMENTO DE ILS. TÉCNICAS</v>
      </c>
      <c r="Y1611" s="23"/>
      <c r="Z1611" s="23" t="s">
        <v>1618</v>
      </c>
      <c r="AA1611" s="22"/>
      <c r="AB1611" s="20"/>
      <c r="AD1611" s="4" t="str">
        <f>"Pitanguá"</f>
        <v>Pitanguá</v>
      </c>
      <c r="AE1611" s="14" t="str">
        <f>"Matemática"</f>
        <v>Matemática</v>
      </c>
      <c r="AF1611" s="14"/>
    </row>
    <row r="1612" spans="1:32" ht="28.8" x14ac:dyDescent="0.3">
      <c r="A1612" s="23" t="s">
        <v>5867</v>
      </c>
      <c r="B1612" s="20" t="s">
        <v>16</v>
      </c>
      <c r="C1612" s="20" t="s">
        <v>89</v>
      </c>
      <c r="D1612" s="20" t="s">
        <v>8</v>
      </c>
      <c r="E1612" s="22">
        <v>162</v>
      </c>
      <c r="F1612" s="22">
        <v>4</v>
      </c>
      <c r="G1612" s="22">
        <v>6</v>
      </c>
      <c r="H1612" s="22"/>
      <c r="I1612" s="23" t="s">
        <v>9</v>
      </c>
      <c r="J1612" s="23"/>
      <c r="K1612" s="22"/>
      <c r="L1612" s="22"/>
      <c r="M1612" s="23"/>
      <c r="N1612" s="23"/>
      <c r="O1612" s="26" t="s">
        <v>5868</v>
      </c>
      <c r="P1612" s="26"/>
      <c r="Q1612" s="22"/>
      <c r="R1612" s="24"/>
      <c r="S1612" s="24"/>
      <c r="T1612" s="24"/>
      <c r="U1612" s="24"/>
      <c r="V1612" s="24"/>
      <c r="W1612" s="22" t="s">
        <v>940</v>
      </c>
      <c r="X1612" s="4" t="str">
        <f>IF(Tabela2[[#This Row],[sigla]]="","",VLOOKUP(Tabela2[[#This Row],[sigla]],créditos_base!B:C,2,0))</f>
        <v>RONALDO LUCENA/ARQUIVO DA EDITORA</v>
      </c>
      <c r="Y1612" s="23"/>
      <c r="Z1612" s="23" t="str">
        <f>Tabela2[[#This Row],[ilustrador]]</f>
        <v>RONALDO LUCENA/ARQUIVO DA EDITORA</v>
      </c>
      <c r="AA1612" s="22"/>
      <c r="AB1612" s="20"/>
      <c r="AD1612" s="4" t="str">
        <f>"Pitanguá"</f>
        <v>Pitanguá</v>
      </c>
      <c r="AE1612" s="14" t="str">
        <f>"Matemática"</f>
        <v>Matemática</v>
      </c>
      <c r="AF1612" s="14"/>
    </row>
    <row r="1613" spans="1:32" ht="28.8" x14ac:dyDescent="0.3">
      <c r="A1613" s="23" t="s">
        <v>4708</v>
      </c>
      <c r="B1613" s="20" t="s">
        <v>16</v>
      </c>
      <c r="C1613" s="20" t="s">
        <v>7</v>
      </c>
      <c r="D1613" s="20" t="s">
        <v>8</v>
      </c>
      <c r="E1613" s="22">
        <v>132</v>
      </c>
      <c r="F1613" s="22">
        <v>5</v>
      </c>
      <c r="G1613" s="22">
        <v>6</v>
      </c>
      <c r="H1613" s="22"/>
      <c r="I1613" s="23" t="s">
        <v>33</v>
      </c>
      <c r="J1613" s="23"/>
      <c r="K1613" s="22"/>
      <c r="L1613" s="22"/>
      <c r="M1613" s="23"/>
      <c r="N1613" s="23"/>
      <c r="O1613" s="26" t="s">
        <v>4709</v>
      </c>
      <c r="P1613" s="26"/>
      <c r="Q1613" s="22">
        <v>77</v>
      </c>
      <c r="R1613" s="24">
        <v>45819</v>
      </c>
      <c r="S1613" s="24">
        <v>45866</v>
      </c>
      <c r="T1613" s="24"/>
      <c r="U1613" s="24"/>
      <c r="V1613" s="24">
        <v>45868</v>
      </c>
      <c r="W1613" s="22" t="s">
        <v>468</v>
      </c>
      <c r="X1613" s="4" t="str">
        <f>IF(Tabela2[[#This Row],[sigla]]="","",VLOOKUP(Tabela2[[#This Row],[sigla]],créditos_base!B:C,2,0))</f>
        <v>VER DOCUMENTO DE ILS. TÉCNICAS</v>
      </c>
      <c r="Y1613" s="23" t="s">
        <v>4625</v>
      </c>
      <c r="Z1613" s="23" t="s">
        <v>2967</v>
      </c>
      <c r="AA1613" s="22">
        <v>14</v>
      </c>
      <c r="AB1613" s="20" t="s">
        <v>4626</v>
      </c>
      <c r="AC1613" s="20" t="s">
        <v>36</v>
      </c>
      <c r="AD1613" s="4" t="str">
        <f>"Pitanguá"</f>
        <v>Pitanguá</v>
      </c>
      <c r="AE1613" s="14" t="str">
        <f>"Matemática"</f>
        <v>Matemática</v>
      </c>
      <c r="AF1613" s="14"/>
    </row>
    <row r="1614" spans="1:32" x14ac:dyDescent="0.3">
      <c r="A1614" s="23" t="s">
        <v>2550</v>
      </c>
      <c r="B1614" s="20" t="s">
        <v>6</v>
      </c>
      <c r="C1614" s="20" t="s">
        <v>7</v>
      </c>
      <c r="D1614" s="20" t="s">
        <v>8</v>
      </c>
      <c r="E1614" s="22">
        <v>146</v>
      </c>
      <c r="F1614" s="22">
        <v>1</v>
      </c>
      <c r="G1614" s="22">
        <v>6</v>
      </c>
      <c r="H1614" s="22"/>
      <c r="I1614" s="23" t="s">
        <v>33</v>
      </c>
      <c r="J1614" s="23"/>
      <c r="K1614" s="22"/>
      <c r="L1614" s="22"/>
      <c r="M1614" s="23"/>
      <c r="N1614" s="23"/>
      <c r="O1614" s="26" t="s">
        <v>2551</v>
      </c>
      <c r="P1614" s="26"/>
      <c r="Q1614" s="22">
        <v>35</v>
      </c>
      <c r="R1614" s="24">
        <v>45771</v>
      </c>
      <c r="S1614" s="24">
        <v>45775</v>
      </c>
      <c r="T1614" s="24"/>
      <c r="U1614" s="24"/>
      <c r="V1614" s="24">
        <v>45777</v>
      </c>
      <c r="W1614" s="22"/>
      <c r="X1614" s="4" t="str">
        <f>IF(Tabela2[[#This Row],[sigla]]="","",VLOOKUP(Tabela2[[#This Row],[sigla]],créditos_base!B:C,2,0))</f>
        <v/>
      </c>
      <c r="Y1614" s="23" t="s">
        <v>188</v>
      </c>
      <c r="Z1614" s="23" t="s">
        <v>560</v>
      </c>
      <c r="AA1614" s="22">
        <v>14</v>
      </c>
      <c r="AB1614" s="20" t="s">
        <v>153</v>
      </c>
      <c r="AC1614" s="20" t="s">
        <v>36</v>
      </c>
      <c r="AD1614" s="4" t="str">
        <f>"Pitanguá"</f>
        <v>Pitanguá</v>
      </c>
      <c r="AE1614" s="14" t="str">
        <f>"Matemática"</f>
        <v>Matemática</v>
      </c>
      <c r="AF1614" s="14"/>
    </row>
    <row r="1615" spans="1:32" x14ac:dyDescent="0.3">
      <c r="A1615" s="23" t="s">
        <v>2300</v>
      </c>
      <c r="B1615" s="20" t="s">
        <v>16</v>
      </c>
      <c r="C1615" s="20" t="s">
        <v>7</v>
      </c>
      <c r="D1615" s="20" t="s">
        <v>8</v>
      </c>
      <c r="E1615" s="22">
        <v>119</v>
      </c>
      <c r="F1615" s="22">
        <v>3</v>
      </c>
      <c r="G1615" s="22">
        <v>6</v>
      </c>
      <c r="H1615" s="22"/>
      <c r="I1615" s="23" t="s">
        <v>9</v>
      </c>
      <c r="J1615" s="23"/>
      <c r="K1615" s="22"/>
      <c r="L1615" s="22"/>
      <c r="M1615" s="23"/>
      <c r="N1615" s="23"/>
      <c r="O1615" s="26" t="s">
        <v>2301</v>
      </c>
      <c r="P1615" s="26"/>
      <c r="Q1615" s="22"/>
      <c r="R1615" s="24"/>
      <c r="S1615" s="24"/>
      <c r="T1615" s="24"/>
      <c r="U1615" s="24"/>
      <c r="V1615" s="24"/>
      <c r="W1615" s="22" t="s">
        <v>468</v>
      </c>
      <c r="X1615" s="4" t="str">
        <f>IF(Tabela2[[#This Row],[sigla]]="","",VLOOKUP(Tabela2[[#This Row],[sigla]],créditos_base!B:C,2,0))</f>
        <v>VER DOCUMENTO DE ILS. TÉCNICAS</v>
      </c>
      <c r="Y1615" s="23"/>
      <c r="Z1615" s="23" t="s">
        <v>1618</v>
      </c>
      <c r="AA1615" s="22"/>
      <c r="AB1615" s="20"/>
      <c r="AD1615" s="4" t="str">
        <f>"Pitanguá"</f>
        <v>Pitanguá</v>
      </c>
      <c r="AE1615" s="14" t="str">
        <f>"Matemática"</f>
        <v>Matemática</v>
      </c>
      <c r="AF1615" s="14"/>
    </row>
    <row r="1616" spans="1:32" ht="28.8" x14ac:dyDescent="0.3">
      <c r="A1616" s="23" t="s">
        <v>4710</v>
      </c>
      <c r="B1616" s="20" t="s">
        <v>16</v>
      </c>
      <c r="C1616" s="20" t="s">
        <v>7</v>
      </c>
      <c r="D1616" s="20" t="s">
        <v>8</v>
      </c>
      <c r="E1616" s="22">
        <v>132</v>
      </c>
      <c r="F1616" s="22">
        <v>5</v>
      </c>
      <c r="G1616" s="22">
        <v>6</v>
      </c>
      <c r="H1616" s="22"/>
      <c r="I1616" s="23" t="s">
        <v>33</v>
      </c>
      <c r="J1616" s="23"/>
      <c r="K1616" s="22"/>
      <c r="L1616" s="22"/>
      <c r="M1616" s="23"/>
      <c r="N1616" s="23"/>
      <c r="O1616" s="26" t="s">
        <v>4711</v>
      </c>
      <c r="P1616" s="26"/>
      <c r="Q1616" s="22">
        <v>77</v>
      </c>
      <c r="R1616" s="24">
        <v>45819</v>
      </c>
      <c r="S1616" s="24">
        <v>45866</v>
      </c>
      <c r="T1616" s="24"/>
      <c r="U1616" s="24"/>
      <c r="V1616" s="24">
        <v>45868</v>
      </c>
      <c r="W1616" s="22" t="s">
        <v>468</v>
      </c>
      <c r="X1616" s="4" t="str">
        <f>IF(Tabela2[[#This Row],[sigla]]="","",VLOOKUP(Tabela2[[#This Row],[sigla]],créditos_base!B:C,2,0))</f>
        <v>VER DOCUMENTO DE ILS. TÉCNICAS</v>
      </c>
      <c r="Y1616" s="23" t="s">
        <v>4625</v>
      </c>
      <c r="Z1616" s="23" t="s">
        <v>2967</v>
      </c>
      <c r="AA1616" s="22">
        <v>14</v>
      </c>
      <c r="AB1616" s="20" t="s">
        <v>4626</v>
      </c>
      <c r="AC1616" s="20" t="s">
        <v>36</v>
      </c>
      <c r="AD1616" s="4" t="str">
        <f>"Pitanguá"</f>
        <v>Pitanguá</v>
      </c>
      <c r="AE1616" s="14" t="str">
        <f>"Matemática"</f>
        <v>Matemática</v>
      </c>
      <c r="AF1616" s="14"/>
    </row>
    <row r="1617" spans="1:32" ht="28.8" x14ac:dyDescent="0.3">
      <c r="A1617" s="23" t="s">
        <v>2552</v>
      </c>
      <c r="B1617" s="20" t="s">
        <v>6</v>
      </c>
      <c r="C1617" s="20" t="s">
        <v>7</v>
      </c>
      <c r="D1617" s="20" t="s">
        <v>8</v>
      </c>
      <c r="E1617" s="22">
        <v>146</v>
      </c>
      <c r="F1617" s="22">
        <v>1</v>
      </c>
      <c r="G1617" s="22">
        <v>6</v>
      </c>
      <c r="H1617" s="22"/>
      <c r="I1617" s="23" t="s">
        <v>33</v>
      </c>
      <c r="J1617" s="23"/>
      <c r="K1617" s="22"/>
      <c r="L1617" s="22"/>
      <c r="M1617" s="23"/>
      <c r="N1617" s="23"/>
      <c r="O1617" s="26" t="s">
        <v>2553</v>
      </c>
      <c r="P1617" s="26"/>
      <c r="Q1617" s="22">
        <v>35</v>
      </c>
      <c r="R1617" s="24">
        <v>45771</v>
      </c>
      <c r="S1617" s="24">
        <v>45775</v>
      </c>
      <c r="T1617" s="24"/>
      <c r="U1617" s="24"/>
      <c r="V1617" s="24">
        <v>45777</v>
      </c>
      <c r="W1617" s="22"/>
      <c r="X1617" s="4" t="str">
        <f>IF(Tabela2[[#This Row],[sigla]]="","",VLOOKUP(Tabela2[[#This Row],[sigla]],créditos_base!B:C,2,0))</f>
        <v/>
      </c>
      <c r="Y1617" s="23" t="s">
        <v>188</v>
      </c>
      <c r="Z1617" s="23" t="s">
        <v>560</v>
      </c>
      <c r="AA1617" s="22">
        <v>13</v>
      </c>
      <c r="AB1617" s="20" t="s">
        <v>153</v>
      </c>
      <c r="AC1617" s="20" t="s">
        <v>36</v>
      </c>
      <c r="AD1617" s="4" t="str">
        <f>"Pitanguá"</f>
        <v>Pitanguá</v>
      </c>
      <c r="AE1617" s="14" t="str">
        <f>"Matemática"</f>
        <v>Matemática</v>
      </c>
      <c r="AF1617" s="14"/>
    </row>
    <row r="1618" spans="1:32" ht="28.8" x14ac:dyDescent="0.3">
      <c r="A1618" s="23" t="s">
        <v>2302</v>
      </c>
      <c r="B1618" s="20" t="s">
        <v>6</v>
      </c>
      <c r="C1618" s="20" t="s">
        <v>7</v>
      </c>
      <c r="D1618" s="20" t="s">
        <v>8</v>
      </c>
      <c r="E1618" s="22">
        <v>119</v>
      </c>
      <c r="F1618" s="22">
        <v>3</v>
      </c>
      <c r="G1618" s="22">
        <v>6</v>
      </c>
      <c r="H1618" s="22"/>
      <c r="I1618" s="23" t="s">
        <v>9</v>
      </c>
      <c r="J1618" s="23"/>
      <c r="K1618" s="22"/>
      <c r="L1618" s="22"/>
      <c r="M1618" s="23"/>
      <c r="N1618" s="23"/>
      <c r="O1618" s="26" t="s">
        <v>2303</v>
      </c>
      <c r="P1618" s="26"/>
      <c r="Q1618" s="22"/>
      <c r="R1618" s="24"/>
      <c r="S1618" s="24"/>
      <c r="T1618" s="24"/>
      <c r="U1618" s="24"/>
      <c r="V1618" s="24"/>
      <c r="W1618" s="22" t="s">
        <v>468</v>
      </c>
      <c r="X1618" s="4" t="str">
        <f>IF(Tabela2[[#This Row],[sigla]]="","",VLOOKUP(Tabela2[[#This Row],[sigla]],créditos_base!B:C,2,0))</f>
        <v>VER DOCUMENTO DE ILS. TÉCNICAS</v>
      </c>
      <c r="Y1618" s="23"/>
      <c r="Z1618" s="23" t="s">
        <v>1618</v>
      </c>
      <c r="AA1618" s="22"/>
      <c r="AB1618" s="20"/>
      <c r="AD1618" s="4" t="str">
        <f>"Pitanguá"</f>
        <v>Pitanguá</v>
      </c>
      <c r="AE1618" s="14" t="str">
        <f>"Matemática"</f>
        <v>Matemática</v>
      </c>
      <c r="AF1618" s="14"/>
    </row>
    <row r="1619" spans="1:32" ht="28.8" x14ac:dyDescent="0.3">
      <c r="A1619" s="23" t="s">
        <v>4712</v>
      </c>
      <c r="B1619" s="20" t="s">
        <v>16</v>
      </c>
      <c r="C1619" s="20" t="s">
        <v>7</v>
      </c>
      <c r="D1619" s="20" t="s">
        <v>8</v>
      </c>
      <c r="E1619" s="22">
        <v>133</v>
      </c>
      <c r="F1619" s="22">
        <v>5</v>
      </c>
      <c r="G1619" s="22">
        <v>6</v>
      </c>
      <c r="H1619" s="22"/>
      <c r="I1619" s="23" t="s">
        <v>9</v>
      </c>
      <c r="J1619" s="23"/>
      <c r="K1619" s="22"/>
      <c r="L1619" s="22"/>
      <c r="M1619" s="23"/>
      <c r="N1619" s="23"/>
      <c r="O1619" s="26" t="s">
        <v>4713</v>
      </c>
      <c r="P1619" s="26"/>
      <c r="Q1619" s="22"/>
      <c r="R1619" s="24"/>
      <c r="S1619" s="24"/>
      <c r="T1619" s="24"/>
      <c r="U1619" s="24"/>
      <c r="V1619" s="24"/>
      <c r="W1619" s="22" t="s">
        <v>460</v>
      </c>
      <c r="X1619" s="4" t="str">
        <f>IF(Tabela2[[#This Row],[sigla]]="","",VLOOKUP(Tabela2[[#This Row],[sigla]],créditos_base!B:C,2,0))</f>
        <v>CLAUDIA SOUZA/ARQUIVO DA EDITORA</v>
      </c>
      <c r="Y1619" s="23"/>
      <c r="Z1619" s="23" t="str">
        <f>Tabela2[[#This Row],[ilustrador]]</f>
        <v>CLAUDIA SOUZA/ARQUIVO DA EDITORA</v>
      </c>
      <c r="AA1619" s="22"/>
      <c r="AB1619" s="20"/>
      <c r="AD1619" s="4" t="str">
        <f>"Pitanguá"</f>
        <v>Pitanguá</v>
      </c>
      <c r="AE1619" s="14" t="str">
        <f>"Matemática"</f>
        <v>Matemática</v>
      </c>
      <c r="AF1619" s="14"/>
    </row>
    <row r="1620" spans="1:32" x14ac:dyDescent="0.3">
      <c r="A1620" s="23" t="s">
        <v>2554</v>
      </c>
      <c r="B1620" s="20" t="s">
        <v>16</v>
      </c>
      <c r="C1620" s="20" t="s">
        <v>7</v>
      </c>
      <c r="D1620" s="20" t="s">
        <v>8</v>
      </c>
      <c r="E1620" s="22">
        <v>147</v>
      </c>
      <c r="F1620" s="22">
        <v>1</v>
      </c>
      <c r="G1620" s="22">
        <v>6</v>
      </c>
      <c r="H1620" s="22"/>
      <c r="I1620" s="23" t="s">
        <v>33</v>
      </c>
      <c r="J1620" s="23"/>
      <c r="K1620" s="22"/>
      <c r="L1620" s="22"/>
      <c r="M1620" s="23"/>
      <c r="N1620" s="23"/>
      <c r="O1620" s="26" t="s">
        <v>2555</v>
      </c>
      <c r="P1620" s="26"/>
      <c r="Q1620" s="22">
        <v>35</v>
      </c>
      <c r="R1620" s="24">
        <v>45771</v>
      </c>
      <c r="S1620" s="24">
        <v>45775</v>
      </c>
      <c r="T1620" s="24"/>
      <c r="U1620" s="24"/>
      <c r="V1620" s="24">
        <v>45777</v>
      </c>
      <c r="W1620" s="22" t="s">
        <v>230</v>
      </c>
      <c r="X1620" s="4" t="str">
        <f>IF(Tabela2[[#This Row],[sigla]]="","",VLOOKUP(Tabela2[[#This Row],[sigla]],créditos_base!B:C,2,0))</f>
        <v>RAFAEL L. GAION/ARQUIVO DA EDITORA</v>
      </c>
      <c r="Y1620" s="23" t="s">
        <v>188</v>
      </c>
      <c r="Z1620" s="23" t="str">
        <f>Tabela2[[#This Row],[ilustrador]]</f>
        <v>RAFAEL L. GAION/ARQUIVO DA EDITORA</v>
      </c>
      <c r="AA1620" s="22">
        <v>13</v>
      </c>
      <c r="AB1620" s="20" t="s">
        <v>153</v>
      </c>
      <c r="AC1620" s="20" t="s">
        <v>36</v>
      </c>
      <c r="AD1620" s="4" t="str">
        <f>"Pitanguá"</f>
        <v>Pitanguá</v>
      </c>
      <c r="AE1620" s="14" t="str">
        <f>"Matemática"</f>
        <v>Matemática</v>
      </c>
      <c r="AF1620" s="14"/>
    </row>
    <row r="1621" spans="1:32" ht="43.2" x14ac:dyDescent="0.3">
      <c r="A1621" s="23" t="s">
        <v>4714</v>
      </c>
      <c r="B1621" s="20" t="s">
        <v>16</v>
      </c>
      <c r="C1621" s="20" t="s">
        <v>7</v>
      </c>
      <c r="D1621" s="20" t="s">
        <v>8</v>
      </c>
      <c r="E1621" s="22">
        <v>135</v>
      </c>
      <c r="F1621" s="22">
        <v>5</v>
      </c>
      <c r="G1621" s="22">
        <v>6</v>
      </c>
      <c r="H1621" s="22"/>
      <c r="I1621" s="23" t="s">
        <v>33</v>
      </c>
      <c r="J1621" s="23"/>
      <c r="K1621" s="22"/>
      <c r="L1621" s="22"/>
      <c r="M1621" s="23"/>
      <c r="N1621" s="23"/>
      <c r="O1621" s="26" t="s">
        <v>4715</v>
      </c>
      <c r="P1621" s="26"/>
      <c r="Q1621" s="22">
        <v>203</v>
      </c>
      <c r="R1621" s="24">
        <v>45894</v>
      </c>
      <c r="S1621" s="24">
        <v>45925</v>
      </c>
      <c r="T1621" s="24"/>
      <c r="U1621" s="24"/>
      <c r="V1621" s="24">
        <v>45925</v>
      </c>
      <c r="W1621" s="22" t="s">
        <v>230</v>
      </c>
      <c r="X1621" s="4" t="str">
        <f>IF(Tabela2[[#This Row],[sigla]]="","",VLOOKUP(Tabela2[[#This Row],[sigla]],créditos_base!B:C,2,0))</f>
        <v>RAFAEL L. GAION/ARQUIVO DA EDITORA</v>
      </c>
      <c r="Y1621" s="23" t="s">
        <v>696</v>
      </c>
      <c r="Z1621" s="23" t="str">
        <f>Tabela2[[#This Row],[ilustrador]]</f>
        <v>RAFAEL L. GAION/ARQUIVO DA EDITORA</v>
      </c>
      <c r="AA1621" s="22">
        <v>13</v>
      </c>
      <c r="AB1621" s="20" t="s">
        <v>41</v>
      </c>
      <c r="AD1621" s="4" t="str">
        <f>"Pitanguá"</f>
        <v>Pitanguá</v>
      </c>
      <c r="AE1621" s="14" t="str">
        <f>"Matemática"</f>
        <v>Matemática</v>
      </c>
      <c r="AF1621" s="14"/>
    </row>
    <row r="1622" spans="1:32" ht="43.2" x14ac:dyDescent="0.3">
      <c r="A1622" s="23" t="s">
        <v>2556</v>
      </c>
      <c r="B1622" s="20" t="s">
        <v>16</v>
      </c>
      <c r="C1622" s="20" t="s">
        <v>7</v>
      </c>
      <c r="D1622" s="20" t="s">
        <v>8</v>
      </c>
      <c r="E1622" s="22">
        <v>147</v>
      </c>
      <c r="F1622" s="22">
        <v>1</v>
      </c>
      <c r="G1622" s="22">
        <v>6</v>
      </c>
      <c r="H1622" s="22"/>
      <c r="I1622" s="23" t="s">
        <v>33</v>
      </c>
      <c r="J1622" s="23"/>
      <c r="K1622" s="22"/>
      <c r="L1622" s="22"/>
      <c r="M1622" s="23"/>
      <c r="N1622" s="23"/>
      <c r="O1622" s="26" t="s">
        <v>2557</v>
      </c>
      <c r="P1622" s="26"/>
      <c r="Q1622" s="22">
        <v>35</v>
      </c>
      <c r="R1622" s="24">
        <v>45771</v>
      </c>
      <c r="S1622" s="24">
        <v>45775</v>
      </c>
      <c r="T1622" s="24"/>
      <c r="U1622" s="24"/>
      <c r="V1622" s="24">
        <v>45777</v>
      </c>
      <c r="W1622" s="22" t="s">
        <v>230</v>
      </c>
      <c r="X1622" s="4" t="str">
        <f>IF(Tabela2[[#This Row],[sigla]]="","",VLOOKUP(Tabela2[[#This Row],[sigla]],créditos_base!B:C,2,0))</f>
        <v>RAFAEL L. GAION/ARQUIVO DA EDITORA</v>
      </c>
      <c r="Y1622" s="23" t="s">
        <v>188</v>
      </c>
      <c r="Z1622" s="23" t="str">
        <f>Tabela2[[#This Row],[ilustrador]]</f>
        <v>RAFAEL L. GAION/ARQUIVO DA EDITORA</v>
      </c>
      <c r="AA1622" s="22">
        <v>13</v>
      </c>
      <c r="AB1622" s="20" t="s">
        <v>153</v>
      </c>
      <c r="AC1622" s="20" t="s">
        <v>36</v>
      </c>
      <c r="AD1622" s="4" t="str">
        <f>"Pitanguá"</f>
        <v>Pitanguá</v>
      </c>
      <c r="AE1622" s="14" t="str">
        <f>"Matemática"</f>
        <v>Matemática</v>
      </c>
      <c r="AF1622" s="14"/>
    </row>
    <row r="1623" spans="1:32" ht="43.2" x14ac:dyDescent="0.3">
      <c r="A1623" s="23" t="s">
        <v>4716</v>
      </c>
      <c r="B1623" s="20" t="s">
        <v>16</v>
      </c>
      <c r="C1623" s="20" t="s">
        <v>7</v>
      </c>
      <c r="D1623" s="20" t="s">
        <v>8</v>
      </c>
      <c r="E1623" s="22">
        <v>136</v>
      </c>
      <c r="F1623" s="22">
        <v>5</v>
      </c>
      <c r="G1623" s="22">
        <v>6</v>
      </c>
      <c r="H1623" s="22"/>
      <c r="I1623" s="23" t="s">
        <v>9</v>
      </c>
      <c r="J1623" s="23"/>
      <c r="K1623" s="22"/>
      <c r="L1623" s="22"/>
      <c r="M1623" s="23"/>
      <c r="N1623" s="23"/>
      <c r="O1623" s="26" t="s">
        <v>4717</v>
      </c>
      <c r="P1623" s="26"/>
      <c r="Q1623" s="22"/>
      <c r="R1623" s="24"/>
      <c r="S1623" s="24"/>
      <c r="T1623" s="24"/>
      <c r="U1623" s="24"/>
      <c r="V1623" s="24"/>
      <c r="W1623" s="22" t="s">
        <v>356</v>
      </c>
      <c r="X1623" s="4" t="str">
        <f>IF(Tabela2[[#This Row],[sigla]]="","",VLOOKUP(Tabela2[[#This Row],[sigla]],créditos_base!B:C,2,0))</f>
        <v>CAMILA CARMONA/ARQUIVO DA EDITORA</v>
      </c>
      <c r="Y1623" s="23"/>
      <c r="Z1623" s="23" t="str">
        <f>Tabela2[[#This Row],[ilustrador]]</f>
        <v>CAMILA CARMONA/ARQUIVO DA EDITORA</v>
      </c>
      <c r="AA1623" s="22"/>
      <c r="AB1623" s="20"/>
      <c r="AD1623" s="4" t="str">
        <f>"Pitanguá"</f>
        <v>Pitanguá</v>
      </c>
      <c r="AE1623" s="14" t="str">
        <f>"Matemática"</f>
        <v>Matemática</v>
      </c>
      <c r="AF1623" s="14"/>
    </row>
    <row r="1624" spans="1:32" ht="43.2" x14ac:dyDescent="0.3">
      <c r="A1624" s="23" t="s">
        <v>2558</v>
      </c>
      <c r="B1624" s="20" t="s">
        <v>16</v>
      </c>
      <c r="C1624" s="20" t="s">
        <v>7</v>
      </c>
      <c r="D1624" s="20" t="s">
        <v>8</v>
      </c>
      <c r="E1624" s="22">
        <v>147</v>
      </c>
      <c r="F1624" s="22">
        <v>1</v>
      </c>
      <c r="G1624" s="22">
        <v>6</v>
      </c>
      <c r="H1624" s="22"/>
      <c r="I1624" s="23" t="s">
        <v>33</v>
      </c>
      <c r="J1624" s="23"/>
      <c r="K1624" s="22"/>
      <c r="L1624" s="22"/>
      <c r="M1624" s="23"/>
      <c r="N1624" s="23"/>
      <c r="O1624" s="26" t="s">
        <v>2559</v>
      </c>
      <c r="P1624" s="26"/>
      <c r="Q1624" s="22">
        <v>35</v>
      </c>
      <c r="R1624" s="24">
        <v>45771</v>
      </c>
      <c r="S1624" s="24">
        <v>45775</v>
      </c>
      <c r="T1624" s="24"/>
      <c r="U1624" s="24"/>
      <c r="V1624" s="24">
        <v>45777</v>
      </c>
      <c r="W1624" s="22" t="s">
        <v>230</v>
      </c>
      <c r="X1624" s="4" t="str">
        <f>IF(Tabela2[[#This Row],[sigla]]="","",VLOOKUP(Tabela2[[#This Row],[sigla]],créditos_base!B:C,2,0))</f>
        <v>RAFAEL L. GAION/ARQUIVO DA EDITORA</v>
      </c>
      <c r="Y1624" s="23" t="s">
        <v>188</v>
      </c>
      <c r="Z1624" s="23" t="str">
        <f>Tabela2[[#This Row],[ilustrador]]</f>
        <v>RAFAEL L. GAION/ARQUIVO DA EDITORA</v>
      </c>
      <c r="AA1624" s="22">
        <v>13</v>
      </c>
      <c r="AB1624" s="20" t="s">
        <v>153</v>
      </c>
      <c r="AC1624" s="20" t="s">
        <v>36</v>
      </c>
      <c r="AD1624" s="4" t="str">
        <f>"Pitanguá"</f>
        <v>Pitanguá</v>
      </c>
      <c r="AE1624" s="14" t="str">
        <f>"Matemática"</f>
        <v>Matemática</v>
      </c>
      <c r="AF1624" s="14"/>
    </row>
    <row r="1625" spans="1:32" x14ac:dyDescent="0.3">
      <c r="A1625" s="23" t="s">
        <v>4842</v>
      </c>
      <c r="B1625" s="20" t="s">
        <v>16</v>
      </c>
      <c r="C1625" s="20" t="s">
        <v>89</v>
      </c>
      <c r="D1625" s="20"/>
      <c r="E1625" s="22">
        <v>165</v>
      </c>
      <c r="F1625" s="22">
        <v>3</v>
      </c>
      <c r="G1625" s="22">
        <v>6</v>
      </c>
      <c r="H1625" s="22"/>
      <c r="I1625" s="23" t="s">
        <v>90</v>
      </c>
      <c r="J1625" s="23"/>
      <c r="K1625" s="22"/>
      <c r="L1625" s="22"/>
      <c r="M1625" s="23"/>
      <c r="N1625" s="23"/>
      <c r="O1625" s="26" t="s">
        <v>4843</v>
      </c>
      <c r="P1625" s="26"/>
      <c r="Q1625" s="22"/>
      <c r="R1625" s="24"/>
      <c r="S1625" s="24">
        <v>45824</v>
      </c>
      <c r="T1625" s="24"/>
      <c r="U1625" s="24"/>
      <c r="V1625" s="24">
        <v>45824</v>
      </c>
      <c r="W1625" s="22" t="s">
        <v>4461</v>
      </c>
      <c r="X1625" s="4" t="str">
        <f>IF(Tabela2[[#This Row],[sigla]]="","",VLOOKUP(Tabela2[[#This Row],[sigla]],créditos_base!B:C,2,0))</f>
        <v>REBECCA BANISKI/ARQUIVO DA EDITORA</v>
      </c>
      <c r="Y1625" s="23"/>
      <c r="Z1625" s="23" t="str">
        <f>Tabela2[[#This Row],[ilustrador]]</f>
        <v>REBECCA BANISKI/ARQUIVO DA EDITORA</v>
      </c>
      <c r="AA1625" s="22">
        <v>12</v>
      </c>
      <c r="AB1625" s="20"/>
      <c r="AC1625" s="20" t="s">
        <v>36</v>
      </c>
      <c r="AD1625" s="4" t="str">
        <f>"Pitanguá"</f>
        <v>Pitanguá</v>
      </c>
      <c r="AE1625" s="14" t="str">
        <f>"Matemática"</f>
        <v>Matemática</v>
      </c>
      <c r="AF1625" s="14"/>
    </row>
    <row r="1626" spans="1:32" x14ac:dyDescent="0.3">
      <c r="A1626" s="23" t="s">
        <v>4718</v>
      </c>
      <c r="B1626" s="20" t="s">
        <v>16</v>
      </c>
      <c r="C1626" s="20" t="s">
        <v>7</v>
      </c>
      <c r="D1626" s="20" t="s">
        <v>8</v>
      </c>
      <c r="E1626" s="22">
        <v>136</v>
      </c>
      <c r="F1626" s="22">
        <v>5</v>
      </c>
      <c r="G1626" s="22">
        <v>6</v>
      </c>
      <c r="H1626" s="22"/>
      <c r="I1626" s="23" t="s">
        <v>9</v>
      </c>
      <c r="J1626" s="23"/>
      <c r="K1626" s="22"/>
      <c r="L1626" s="22"/>
      <c r="M1626" s="23"/>
      <c r="N1626" s="23"/>
      <c r="O1626" s="26" t="s">
        <v>4719</v>
      </c>
      <c r="P1626" s="26"/>
      <c r="Q1626" s="22"/>
      <c r="R1626" s="24"/>
      <c r="S1626" s="24"/>
      <c r="T1626" s="24"/>
      <c r="U1626" s="24"/>
      <c r="V1626" s="24"/>
      <c r="W1626" s="22" t="s">
        <v>356</v>
      </c>
      <c r="X1626" s="4" t="str">
        <f>IF(Tabela2[[#This Row],[sigla]]="","",VLOOKUP(Tabela2[[#This Row],[sigla]],créditos_base!B:C,2,0))</f>
        <v>CAMILA CARMONA/ARQUIVO DA EDITORA</v>
      </c>
      <c r="Y1626" s="23"/>
      <c r="Z1626" s="23" t="str">
        <f>Tabela2[[#This Row],[ilustrador]]</f>
        <v>CAMILA CARMONA/ARQUIVO DA EDITORA</v>
      </c>
      <c r="AA1626" s="22"/>
      <c r="AB1626" s="20"/>
      <c r="AD1626" s="4" t="str">
        <f>"Pitanguá"</f>
        <v>Pitanguá</v>
      </c>
      <c r="AE1626" s="14" t="str">
        <f>"Matemática"</f>
        <v>Matemática</v>
      </c>
      <c r="AF1626" s="14"/>
    </row>
    <row r="1627" spans="1:32" x14ac:dyDescent="0.3">
      <c r="A1627" s="23" t="s">
        <v>2560</v>
      </c>
      <c r="B1627" s="20" t="s">
        <v>16</v>
      </c>
      <c r="C1627" s="20" t="s">
        <v>7</v>
      </c>
      <c r="D1627" s="20" t="s">
        <v>8</v>
      </c>
      <c r="E1627" s="22">
        <v>147</v>
      </c>
      <c r="F1627" s="22">
        <v>1</v>
      </c>
      <c r="G1627" s="22">
        <v>6</v>
      </c>
      <c r="H1627" s="22"/>
      <c r="I1627" s="23" t="s">
        <v>33</v>
      </c>
      <c r="J1627" s="23"/>
      <c r="K1627" s="22"/>
      <c r="L1627" s="22"/>
      <c r="M1627" s="23"/>
      <c r="N1627" s="23"/>
      <c r="O1627" s="26" t="s">
        <v>2561</v>
      </c>
      <c r="P1627" s="26"/>
      <c r="Q1627" s="22">
        <v>35</v>
      </c>
      <c r="R1627" s="24">
        <v>45771</v>
      </c>
      <c r="S1627" s="24">
        <v>45775</v>
      </c>
      <c r="T1627" s="24"/>
      <c r="U1627" s="24"/>
      <c r="V1627" s="24">
        <v>45777</v>
      </c>
      <c r="W1627" s="22" t="s">
        <v>230</v>
      </c>
      <c r="X1627" s="4" t="str">
        <f>IF(Tabela2[[#This Row],[sigla]]="","",VLOOKUP(Tabela2[[#This Row],[sigla]],créditos_base!B:C,2,0))</f>
        <v>RAFAEL L. GAION/ARQUIVO DA EDITORA</v>
      </c>
      <c r="Y1627" s="23" t="s">
        <v>188</v>
      </c>
      <c r="Z1627" s="23" t="str">
        <f>Tabela2[[#This Row],[ilustrador]]</f>
        <v>RAFAEL L. GAION/ARQUIVO DA EDITORA</v>
      </c>
      <c r="AA1627" s="22">
        <v>13</v>
      </c>
      <c r="AB1627" s="20" t="s">
        <v>153</v>
      </c>
      <c r="AC1627" s="20" t="s">
        <v>36</v>
      </c>
      <c r="AD1627" s="4" t="str">
        <f>"Pitanguá"</f>
        <v>Pitanguá</v>
      </c>
      <c r="AE1627" s="14" t="str">
        <f>"Matemática"</f>
        <v>Matemática</v>
      </c>
      <c r="AF1627" s="14"/>
    </row>
    <row r="1628" spans="1:32" x14ac:dyDescent="0.3">
      <c r="A1628" s="23" t="s">
        <v>4839</v>
      </c>
      <c r="B1628" s="20" t="s">
        <v>16</v>
      </c>
      <c r="C1628" s="20" t="s">
        <v>89</v>
      </c>
      <c r="D1628" s="20"/>
      <c r="E1628" s="22">
        <v>163</v>
      </c>
      <c r="F1628" s="22">
        <v>3</v>
      </c>
      <c r="G1628" s="22">
        <v>6</v>
      </c>
      <c r="H1628" s="22"/>
      <c r="I1628" s="23" t="s">
        <v>90</v>
      </c>
      <c r="J1628" s="23"/>
      <c r="K1628" s="22"/>
      <c r="L1628" s="22"/>
      <c r="M1628" s="23"/>
      <c r="N1628" s="23"/>
      <c r="O1628" s="26" t="s">
        <v>4840</v>
      </c>
      <c r="P1628" s="26"/>
      <c r="Q1628" s="22"/>
      <c r="R1628" s="24"/>
      <c r="S1628" s="24">
        <v>45824</v>
      </c>
      <c r="T1628" s="24"/>
      <c r="U1628" s="24"/>
      <c r="V1628" s="24">
        <v>45832</v>
      </c>
      <c r="W1628" s="22" t="s">
        <v>72</v>
      </c>
      <c r="X1628" s="4" t="str">
        <f>IF(Tabela2[[#This Row],[sigla]]="","",VLOOKUP(Tabela2[[#This Row],[sigla]],créditos_base!B:C,2,0))</f>
        <v>HELOÍSA PINTARELLI/ARQUIVO DA EDITORA</v>
      </c>
      <c r="Y1628" s="23"/>
      <c r="Z1628" s="23" t="str">
        <f>Tabela2[[#This Row],[ilustrador]]</f>
        <v>HELOÍSA PINTARELLI/ARQUIVO DA EDITORA</v>
      </c>
      <c r="AA1628" s="22">
        <v>7</v>
      </c>
      <c r="AB1628" s="20" t="s">
        <v>4841</v>
      </c>
      <c r="AC1628" s="20" t="s">
        <v>310</v>
      </c>
      <c r="AD1628" s="4" t="str">
        <f>"Pitanguá"</f>
        <v>Pitanguá</v>
      </c>
      <c r="AE1628" s="14" t="str">
        <f>"Matemática"</f>
        <v>Matemática</v>
      </c>
      <c r="AF1628" s="14"/>
    </row>
    <row r="1629" spans="1:32" ht="43.2" x14ac:dyDescent="0.3">
      <c r="A1629" s="23" t="s">
        <v>4720</v>
      </c>
      <c r="B1629" s="20" t="s">
        <v>16</v>
      </c>
      <c r="C1629" s="20" t="s">
        <v>7</v>
      </c>
      <c r="D1629" s="20" t="s">
        <v>8</v>
      </c>
      <c r="E1629" s="22">
        <v>136</v>
      </c>
      <c r="F1629" s="22">
        <v>5</v>
      </c>
      <c r="G1629" s="22">
        <v>6</v>
      </c>
      <c r="H1629" s="22"/>
      <c r="I1629" s="23" t="s">
        <v>9</v>
      </c>
      <c r="J1629" s="23"/>
      <c r="K1629" s="22"/>
      <c r="L1629" s="22"/>
      <c r="M1629" s="23"/>
      <c r="N1629" s="23"/>
      <c r="O1629" s="26" t="s">
        <v>4721</v>
      </c>
      <c r="P1629" s="26"/>
      <c r="Q1629" s="22"/>
      <c r="R1629" s="24"/>
      <c r="S1629" s="24"/>
      <c r="T1629" s="24"/>
      <c r="U1629" s="24"/>
      <c r="V1629" s="24"/>
      <c r="W1629" s="22" t="s">
        <v>356</v>
      </c>
      <c r="X1629" s="4" t="str">
        <f>IF(Tabela2[[#This Row],[sigla]]="","",VLOOKUP(Tabela2[[#This Row],[sigla]],créditos_base!B:C,2,0))</f>
        <v>CAMILA CARMONA/ARQUIVO DA EDITORA</v>
      </c>
      <c r="Y1629" s="23"/>
      <c r="Z1629" s="23" t="str">
        <f>Tabela2[[#This Row],[ilustrador]]</f>
        <v>CAMILA CARMONA/ARQUIVO DA EDITORA</v>
      </c>
      <c r="AA1629" s="22"/>
      <c r="AB1629" s="20"/>
      <c r="AD1629" s="4" t="str">
        <f>"Pitanguá"</f>
        <v>Pitanguá</v>
      </c>
      <c r="AE1629" s="14" t="str">
        <f>"Matemática"</f>
        <v>Matemática</v>
      </c>
      <c r="AF1629" s="14"/>
    </row>
    <row r="1630" spans="1:32" ht="28.8" x14ac:dyDescent="0.3">
      <c r="A1630" s="23" t="s">
        <v>495</v>
      </c>
      <c r="B1630" s="20" t="s">
        <v>16</v>
      </c>
      <c r="C1630" s="20" t="s">
        <v>89</v>
      </c>
      <c r="D1630" s="20" t="s">
        <v>8</v>
      </c>
      <c r="E1630" s="22">
        <v>113</v>
      </c>
      <c r="F1630" s="22">
        <v>1</v>
      </c>
      <c r="G1630" s="22">
        <v>6</v>
      </c>
      <c r="H1630" s="22"/>
      <c r="I1630" s="23" t="s">
        <v>33</v>
      </c>
      <c r="J1630" s="23"/>
      <c r="K1630" s="22"/>
      <c r="L1630" s="22"/>
      <c r="M1630" s="23"/>
      <c r="N1630" s="23"/>
      <c r="O1630" s="26" t="s">
        <v>496</v>
      </c>
      <c r="P1630" s="26"/>
      <c r="Q1630" s="22">
        <v>69</v>
      </c>
      <c r="R1630" s="24">
        <v>45811</v>
      </c>
      <c r="S1630" s="24">
        <v>45811</v>
      </c>
      <c r="T1630" s="24"/>
      <c r="U1630" s="24"/>
      <c r="V1630" s="24">
        <v>45811</v>
      </c>
      <c r="W1630" s="22" t="s">
        <v>428</v>
      </c>
      <c r="X1630" s="4" t="str">
        <f>IF(Tabela2[[#This Row],[sigla]]="","",VLOOKUP(Tabela2[[#This Row],[sigla]],créditos_base!B:C,2,0))</f>
        <v>TAMIRES AZEVEDO/ARQUIVO DA EDITORA</v>
      </c>
      <c r="Y1630" s="23" t="s">
        <v>152</v>
      </c>
      <c r="Z1630" s="23" t="str">
        <f>Tabela2[[#This Row],[ilustrador]]</f>
        <v>TAMIRES AZEVEDO/ARQUIVO DA EDITORA</v>
      </c>
      <c r="AA1630" s="22"/>
      <c r="AB1630" s="20"/>
      <c r="AC1630" s="20" t="s">
        <v>36</v>
      </c>
      <c r="AD1630" s="4" t="str">
        <f>"Pitanguá"</f>
        <v>Pitanguá</v>
      </c>
      <c r="AE1630" s="14" t="str">
        <f>"Matemática"</f>
        <v>Matemática</v>
      </c>
      <c r="AF1630" s="14"/>
    </row>
    <row r="1631" spans="1:32" ht="28.8" x14ac:dyDescent="0.3">
      <c r="A1631" s="23" t="s">
        <v>4879</v>
      </c>
      <c r="B1631" s="20" t="s">
        <v>16</v>
      </c>
      <c r="C1631" s="20" t="s">
        <v>7</v>
      </c>
      <c r="D1631" s="20" t="s">
        <v>8</v>
      </c>
      <c r="E1631" s="22">
        <v>154</v>
      </c>
      <c r="F1631" s="22">
        <v>3</v>
      </c>
      <c r="G1631" s="22">
        <v>6</v>
      </c>
      <c r="H1631" s="22"/>
      <c r="I1631" s="23" t="s">
        <v>90</v>
      </c>
      <c r="J1631" s="23"/>
      <c r="K1631" s="22"/>
      <c r="L1631" s="22"/>
      <c r="M1631" s="23"/>
      <c r="N1631" s="23"/>
      <c r="O1631" s="26" t="s">
        <v>4880</v>
      </c>
      <c r="P1631" s="26"/>
      <c r="Q1631" s="22">
        <v>86</v>
      </c>
      <c r="R1631" s="24">
        <v>45838</v>
      </c>
      <c r="S1631" s="24">
        <v>45839</v>
      </c>
      <c r="T1631" s="24">
        <v>45846</v>
      </c>
      <c r="U1631" s="24">
        <v>45847</v>
      </c>
      <c r="V1631" s="24">
        <v>45852</v>
      </c>
      <c r="W1631" s="22" t="s">
        <v>31</v>
      </c>
      <c r="X1631" s="4" t="str">
        <f>IF(Tabela2[[#This Row],[sigla]]="","",VLOOKUP(Tabela2[[#This Row],[sigla]],créditos_base!B:C,2,0))</f>
        <v>SILVIA OTOFUJI/ARQUIVO DA EDITORA</v>
      </c>
      <c r="Y1631" s="23"/>
      <c r="Z1631" s="23" t="str">
        <f>Tabela2[[#This Row],[ilustrador]]</f>
        <v>SILVIA OTOFUJI/ARQUIVO DA EDITORA</v>
      </c>
      <c r="AA1631" s="22">
        <v>4</v>
      </c>
      <c r="AB1631" s="26" t="s">
        <v>4881</v>
      </c>
      <c r="AC1631" s="20" t="s">
        <v>310</v>
      </c>
      <c r="AD1631" s="4" t="str">
        <f>"Pitanguá"</f>
        <v>Pitanguá</v>
      </c>
      <c r="AE1631" s="14" t="str">
        <f>"Matemática"</f>
        <v>Matemática</v>
      </c>
      <c r="AF1631" s="14"/>
    </row>
    <row r="1632" spans="1:32" ht="28.8" x14ac:dyDescent="0.3">
      <c r="A1632" s="23" t="s">
        <v>4722</v>
      </c>
      <c r="B1632" s="20" t="s">
        <v>16</v>
      </c>
      <c r="C1632" s="20" t="s">
        <v>7</v>
      </c>
      <c r="D1632" s="20" t="s">
        <v>8</v>
      </c>
      <c r="E1632" s="22">
        <v>136</v>
      </c>
      <c r="F1632" s="22">
        <v>5</v>
      </c>
      <c r="G1632" s="22">
        <v>6</v>
      </c>
      <c r="H1632" s="22"/>
      <c r="I1632" s="23" t="s">
        <v>33</v>
      </c>
      <c r="J1632" s="23"/>
      <c r="K1632" s="22"/>
      <c r="L1632" s="22"/>
      <c r="M1632" s="23"/>
      <c r="N1632" s="23"/>
      <c r="O1632" s="26" t="s">
        <v>4723</v>
      </c>
      <c r="P1632" s="26"/>
      <c r="Q1632" s="22">
        <v>77</v>
      </c>
      <c r="R1632" s="24">
        <v>45819</v>
      </c>
      <c r="S1632" s="24">
        <v>45866</v>
      </c>
      <c r="T1632" s="24"/>
      <c r="U1632" s="24"/>
      <c r="V1632" s="24">
        <v>45868</v>
      </c>
      <c r="W1632" s="22" t="s">
        <v>3582</v>
      </c>
      <c r="X1632" s="4" t="str">
        <f>IF(Tabela2[[#This Row],[sigla]]="","",VLOOKUP(Tabela2[[#This Row],[sigla]],créditos_base!B:C,2,0))</f>
        <v>CÁTIA GERMANI/ARQUIVO DA EDITORA</v>
      </c>
      <c r="Y1632" s="23" t="s">
        <v>4625</v>
      </c>
      <c r="Z1632" s="23" t="s">
        <v>4689</v>
      </c>
      <c r="AA1632" s="22">
        <v>14</v>
      </c>
      <c r="AB1632" s="20" t="s">
        <v>4626</v>
      </c>
      <c r="AC1632" s="20" t="s">
        <v>36</v>
      </c>
      <c r="AD1632" s="4" t="str">
        <f>"Pitanguá"</f>
        <v>Pitanguá</v>
      </c>
      <c r="AE1632" s="14" t="str">
        <f>"Matemática"</f>
        <v>Matemática</v>
      </c>
      <c r="AF1632" s="14"/>
    </row>
    <row r="1633" spans="1:32" ht="28.8" x14ac:dyDescent="0.3">
      <c r="A1633" s="23" t="s">
        <v>497</v>
      </c>
      <c r="B1633" s="20" t="s">
        <v>16</v>
      </c>
      <c r="C1633" s="20" t="s">
        <v>89</v>
      </c>
      <c r="D1633" s="20" t="s">
        <v>8</v>
      </c>
      <c r="E1633" s="22">
        <v>113</v>
      </c>
      <c r="F1633" s="22">
        <v>1</v>
      </c>
      <c r="G1633" s="22">
        <v>6</v>
      </c>
      <c r="H1633" s="22"/>
      <c r="I1633" s="23" t="s">
        <v>33</v>
      </c>
      <c r="J1633" s="23"/>
      <c r="K1633" s="22"/>
      <c r="L1633" s="22"/>
      <c r="M1633" s="23"/>
      <c r="N1633" s="23"/>
      <c r="O1633" s="26" t="s">
        <v>498</v>
      </c>
      <c r="P1633" s="26"/>
      <c r="Q1633" s="22">
        <v>69</v>
      </c>
      <c r="R1633" s="24">
        <v>45811</v>
      </c>
      <c r="S1633" s="24">
        <v>45811</v>
      </c>
      <c r="T1633" s="24"/>
      <c r="U1633" s="24"/>
      <c r="V1633" s="24">
        <v>45811</v>
      </c>
      <c r="W1633" s="22" t="s">
        <v>428</v>
      </c>
      <c r="X1633" s="4" t="str">
        <f>IF(Tabela2[[#This Row],[sigla]]="","",VLOOKUP(Tabela2[[#This Row],[sigla]],créditos_base!B:C,2,0))</f>
        <v>TAMIRES AZEVEDO/ARQUIVO DA EDITORA</v>
      </c>
      <c r="Y1633" s="23" t="s">
        <v>152</v>
      </c>
      <c r="Z1633" s="23" t="str">
        <f>Tabela2[[#This Row],[ilustrador]]</f>
        <v>TAMIRES AZEVEDO/ARQUIVO DA EDITORA</v>
      </c>
      <c r="AA1633" s="22"/>
      <c r="AB1633" s="20"/>
      <c r="AC1633" s="20" t="s">
        <v>36</v>
      </c>
      <c r="AD1633" s="4" t="str">
        <f>"Pitanguá"</f>
        <v>Pitanguá</v>
      </c>
      <c r="AE1633" s="14" t="str">
        <f>"Matemática"</f>
        <v>Matemática</v>
      </c>
      <c r="AF1633" s="14"/>
    </row>
    <row r="1634" spans="1:32" ht="28.8" x14ac:dyDescent="0.3">
      <c r="A1634" s="23" t="s">
        <v>4882</v>
      </c>
      <c r="B1634" s="20" t="s">
        <v>16</v>
      </c>
      <c r="C1634" s="20" t="s">
        <v>7</v>
      </c>
      <c r="D1634" s="20" t="s">
        <v>8</v>
      </c>
      <c r="E1634" s="22">
        <v>155</v>
      </c>
      <c r="F1634" s="22">
        <v>3</v>
      </c>
      <c r="G1634" s="22">
        <v>6</v>
      </c>
      <c r="H1634" s="22"/>
      <c r="I1634" s="23" t="s">
        <v>90</v>
      </c>
      <c r="J1634" s="23"/>
      <c r="K1634" s="22"/>
      <c r="L1634" s="22"/>
      <c r="M1634" s="23"/>
      <c r="N1634" s="23"/>
      <c r="O1634" s="26" t="s">
        <v>4883</v>
      </c>
      <c r="P1634" s="26"/>
      <c r="Q1634" s="22">
        <v>86</v>
      </c>
      <c r="R1634" s="24">
        <v>45838</v>
      </c>
      <c r="S1634" s="24">
        <v>45839</v>
      </c>
      <c r="T1634" s="24">
        <v>45846</v>
      </c>
      <c r="U1634" s="24">
        <v>45847</v>
      </c>
      <c r="V1634" s="24">
        <v>45852</v>
      </c>
      <c r="W1634" s="22" t="s">
        <v>31</v>
      </c>
      <c r="X1634" s="4" t="str">
        <f>IF(Tabela2[[#This Row],[sigla]]="","",VLOOKUP(Tabela2[[#This Row],[sigla]],créditos_base!B:C,2,0))</f>
        <v>SILVIA OTOFUJI/ARQUIVO DA EDITORA</v>
      </c>
      <c r="Y1634" s="23"/>
      <c r="Z1634" s="23" t="str">
        <f>Tabela2[[#This Row],[ilustrador]]</f>
        <v>SILVIA OTOFUJI/ARQUIVO DA EDITORA</v>
      </c>
      <c r="AA1634" s="22">
        <v>3</v>
      </c>
      <c r="AB1634" s="26" t="s">
        <v>4881</v>
      </c>
      <c r="AC1634" s="20" t="s">
        <v>310</v>
      </c>
      <c r="AD1634" s="4" t="str">
        <f>"Pitanguá"</f>
        <v>Pitanguá</v>
      </c>
      <c r="AE1634" s="14" t="str">
        <f>"Matemática"</f>
        <v>Matemática</v>
      </c>
      <c r="AF1634" s="14"/>
    </row>
    <row r="1635" spans="1:32" ht="28.8" x14ac:dyDescent="0.3">
      <c r="A1635" s="23" t="s">
        <v>499</v>
      </c>
      <c r="B1635" s="20" t="s">
        <v>16</v>
      </c>
      <c r="C1635" s="20" t="s">
        <v>89</v>
      </c>
      <c r="D1635" s="20" t="s">
        <v>8</v>
      </c>
      <c r="E1635" s="22">
        <v>113</v>
      </c>
      <c r="F1635" s="22">
        <v>1</v>
      </c>
      <c r="G1635" s="22">
        <v>6</v>
      </c>
      <c r="H1635" s="22"/>
      <c r="I1635" s="23" t="s">
        <v>33</v>
      </c>
      <c r="J1635" s="23"/>
      <c r="K1635" s="22"/>
      <c r="L1635" s="22"/>
      <c r="M1635" s="23"/>
      <c r="N1635" s="23"/>
      <c r="O1635" s="26" t="s">
        <v>500</v>
      </c>
      <c r="P1635" s="26"/>
      <c r="Q1635" s="22">
        <v>35</v>
      </c>
      <c r="R1635" s="24">
        <v>45771</v>
      </c>
      <c r="S1635" s="24">
        <v>45775</v>
      </c>
      <c r="T1635" s="24"/>
      <c r="U1635" s="24"/>
      <c r="V1635" s="24">
        <v>45777</v>
      </c>
      <c r="W1635" s="22" t="s">
        <v>428</v>
      </c>
      <c r="X1635" s="4" t="str">
        <f>IF(Tabela2[[#This Row],[sigla]]="","",VLOOKUP(Tabela2[[#This Row],[sigla]],créditos_base!B:C,2,0))</f>
        <v>TAMIRES AZEVEDO/ARQUIVO DA EDITORA</v>
      </c>
      <c r="Y1635" s="23" t="s">
        <v>188</v>
      </c>
      <c r="Z1635" s="23" t="str">
        <f>Tabela2[[#This Row],[ilustrador]]</f>
        <v>TAMIRES AZEVEDO/ARQUIVO DA EDITORA</v>
      </c>
      <c r="AA1635" s="22">
        <v>14</v>
      </c>
      <c r="AB1635" s="20" t="s">
        <v>153</v>
      </c>
      <c r="AC1635" s="20" t="s">
        <v>36</v>
      </c>
      <c r="AD1635" s="4" t="str">
        <f>"Pitanguá"</f>
        <v>Pitanguá</v>
      </c>
      <c r="AE1635" s="14" t="str">
        <f>"Matemática"</f>
        <v>Matemática</v>
      </c>
      <c r="AF1635" s="14"/>
    </row>
    <row r="1636" spans="1:32" ht="28.8" x14ac:dyDescent="0.3">
      <c r="A1636" s="23" t="s">
        <v>501</v>
      </c>
      <c r="B1636" s="20" t="s">
        <v>16</v>
      </c>
      <c r="C1636" s="20" t="s">
        <v>89</v>
      </c>
      <c r="D1636" s="20" t="s">
        <v>8</v>
      </c>
      <c r="E1636" s="22">
        <v>113</v>
      </c>
      <c r="F1636" s="22">
        <v>1</v>
      </c>
      <c r="G1636" s="22">
        <v>6</v>
      </c>
      <c r="H1636" s="22"/>
      <c r="I1636" s="23" t="s">
        <v>9</v>
      </c>
      <c r="J1636" s="23"/>
      <c r="K1636" s="22"/>
      <c r="L1636" s="22"/>
      <c r="M1636" s="23"/>
      <c r="N1636" s="23"/>
      <c r="O1636" s="26" t="s">
        <v>502</v>
      </c>
      <c r="P1636" s="26"/>
      <c r="Q1636" s="22"/>
      <c r="R1636" s="24"/>
      <c r="S1636" s="24"/>
      <c r="T1636" s="24"/>
      <c r="U1636" s="24"/>
      <c r="V1636" s="24"/>
      <c r="W1636" s="22" t="s">
        <v>428</v>
      </c>
      <c r="X1636" s="4" t="str">
        <f>IF(Tabela2[[#This Row],[sigla]]="","",VLOOKUP(Tabela2[[#This Row],[sigla]],créditos_base!B:C,2,0))</f>
        <v>TAMIRES AZEVEDO/ARQUIVO DA EDITORA</v>
      </c>
      <c r="Y1636" s="23"/>
      <c r="Z1636" s="23" t="str">
        <f>Tabela2[[#This Row],[ilustrador]]</f>
        <v>TAMIRES AZEVEDO/ARQUIVO DA EDITORA</v>
      </c>
      <c r="AA1636" s="22"/>
      <c r="AB1636" s="20"/>
      <c r="AD1636" s="4" t="str">
        <f>"Pitanguá"</f>
        <v>Pitanguá</v>
      </c>
      <c r="AE1636" s="14" t="str">
        <f>"Matemática"</f>
        <v>Matemática</v>
      </c>
      <c r="AF1636" s="14"/>
    </row>
    <row r="1637" spans="1:32" ht="28.8" x14ac:dyDescent="0.3">
      <c r="A1637" s="23" t="s">
        <v>4724</v>
      </c>
      <c r="B1637" s="20" t="s">
        <v>16</v>
      </c>
      <c r="C1637" s="20" t="s">
        <v>7</v>
      </c>
      <c r="D1637" s="20" t="s">
        <v>8</v>
      </c>
      <c r="E1637" s="22">
        <v>140</v>
      </c>
      <c r="F1637" s="22">
        <v>5</v>
      </c>
      <c r="G1637" s="22">
        <v>6</v>
      </c>
      <c r="H1637" s="22"/>
      <c r="I1637" s="23" t="s">
        <v>9</v>
      </c>
      <c r="J1637" s="23"/>
      <c r="K1637" s="22"/>
      <c r="L1637" s="22"/>
      <c r="M1637" s="23"/>
      <c r="N1637" s="23"/>
      <c r="O1637" s="26" t="s">
        <v>4725</v>
      </c>
      <c r="P1637" s="26"/>
      <c r="Q1637" s="22"/>
      <c r="R1637" s="24"/>
      <c r="S1637" s="24"/>
      <c r="T1637" s="24"/>
      <c r="U1637" s="24"/>
      <c r="V1637" s="24"/>
      <c r="W1637" s="22" t="s">
        <v>87</v>
      </c>
      <c r="X1637" s="4" t="str">
        <f>IF(Tabela2[[#This Row],[sigla]]="","",VLOOKUP(Tabela2[[#This Row],[sigla]],créditos_base!B:C,2,0))</f>
        <v>CHRIS BORGES/ARQUIVO DA EDITORA</v>
      </c>
      <c r="Y1637" s="23"/>
      <c r="Z1637" s="23" t="str">
        <f>Tabela2[[#This Row],[ilustrador]]</f>
        <v>CHRIS BORGES/ARQUIVO DA EDITORA</v>
      </c>
      <c r="AA1637" s="22"/>
      <c r="AB1637" s="20"/>
      <c r="AD1637" s="4" t="str">
        <f>"Pitanguá"</f>
        <v>Pitanguá</v>
      </c>
      <c r="AE1637" s="14" t="str">
        <f>"Matemática"</f>
        <v>Matemática</v>
      </c>
      <c r="AF1637" s="14"/>
    </row>
    <row r="1638" spans="1:32" ht="28.8" x14ac:dyDescent="0.3">
      <c r="A1638" s="23" t="s">
        <v>2569</v>
      </c>
      <c r="B1638" s="20" t="s">
        <v>16</v>
      </c>
      <c r="C1638" s="20" t="s">
        <v>7</v>
      </c>
      <c r="D1638" s="20" t="s">
        <v>8</v>
      </c>
      <c r="E1638" s="22">
        <v>149</v>
      </c>
      <c r="F1638" s="22">
        <v>1</v>
      </c>
      <c r="G1638" s="22">
        <v>6</v>
      </c>
      <c r="H1638" s="22"/>
      <c r="I1638" s="23" t="s">
        <v>33</v>
      </c>
      <c r="J1638" s="23"/>
      <c r="K1638" s="22"/>
      <c r="L1638" s="22"/>
      <c r="M1638" s="23"/>
      <c r="N1638" s="23"/>
      <c r="O1638" s="26" t="s">
        <v>2570</v>
      </c>
      <c r="P1638" s="26"/>
      <c r="Q1638" s="22">
        <v>35</v>
      </c>
      <c r="R1638" s="24">
        <v>45771</v>
      </c>
      <c r="S1638" s="24">
        <v>45775</v>
      </c>
      <c r="T1638" s="24"/>
      <c r="U1638" s="24"/>
      <c r="V1638" s="24">
        <v>45777</v>
      </c>
      <c r="W1638" s="22"/>
      <c r="X1638" s="4" t="str">
        <f>IF(Tabela2[[#This Row],[sigla]]="","",VLOOKUP(Tabela2[[#This Row],[sigla]],créditos_base!B:C,2,0))</f>
        <v/>
      </c>
      <c r="Y1638" s="23" t="s">
        <v>188</v>
      </c>
      <c r="Z1638" s="23" t="s">
        <v>560</v>
      </c>
      <c r="AA1638" s="22">
        <v>14</v>
      </c>
      <c r="AB1638" s="20" t="s">
        <v>153</v>
      </c>
      <c r="AC1638" s="20" t="s">
        <v>36</v>
      </c>
      <c r="AD1638" s="4" t="str">
        <f>"Pitanguá"</f>
        <v>Pitanguá</v>
      </c>
      <c r="AE1638" s="14" t="str">
        <f>"Matemática"</f>
        <v>Matemática</v>
      </c>
      <c r="AF1638" s="14"/>
    </row>
    <row r="1639" spans="1:32" ht="28.8" x14ac:dyDescent="0.3">
      <c r="A1639" s="23" t="s">
        <v>4726</v>
      </c>
      <c r="B1639" s="20" t="s">
        <v>16</v>
      </c>
      <c r="C1639" s="20" t="s">
        <v>7</v>
      </c>
      <c r="D1639" s="20" t="s">
        <v>8</v>
      </c>
      <c r="E1639" s="22">
        <v>140</v>
      </c>
      <c r="F1639" s="22">
        <v>5</v>
      </c>
      <c r="G1639" s="22">
        <v>6</v>
      </c>
      <c r="H1639" s="22"/>
      <c r="I1639" s="23" t="s">
        <v>9</v>
      </c>
      <c r="J1639" s="23"/>
      <c r="K1639" s="22"/>
      <c r="L1639" s="22"/>
      <c r="M1639" s="23"/>
      <c r="N1639" s="23"/>
      <c r="O1639" s="26" t="s">
        <v>4727</v>
      </c>
      <c r="P1639" s="26"/>
      <c r="Q1639" s="22"/>
      <c r="R1639" s="24"/>
      <c r="S1639" s="24"/>
      <c r="T1639" s="24"/>
      <c r="U1639" s="24"/>
      <c r="V1639" s="24"/>
      <c r="W1639" s="22" t="s">
        <v>87</v>
      </c>
      <c r="X1639" s="4" t="str">
        <f>IF(Tabela2[[#This Row],[sigla]]="","",VLOOKUP(Tabela2[[#This Row],[sigla]],créditos_base!B:C,2,0))</f>
        <v>CHRIS BORGES/ARQUIVO DA EDITORA</v>
      </c>
      <c r="Y1639" s="23"/>
      <c r="Z1639" s="23" t="str">
        <f>Tabela2[[#This Row],[ilustrador]]</f>
        <v>CHRIS BORGES/ARQUIVO DA EDITORA</v>
      </c>
      <c r="AA1639" s="22"/>
      <c r="AB1639" s="20"/>
      <c r="AD1639" s="4" t="str">
        <f>"Pitanguá"</f>
        <v>Pitanguá</v>
      </c>
      <c r="AE1639" s="14" t="str">
        <f>"Matemática"</f>
        <v>Matemática</v>
      </c>
      <c r="AF1639" s="14"/>
    </row>
    <row r="1640" spans="1:32" ht="28.8" x14ac:dyDescent="0.3">
      <c r="A1640" s="23" t="s">
        <v>503</v>
      </c>
      <c r="B1640" s="20" t="s">
        <v>6</v>
      </c>
      <c r="C1640" s="20" t="s">
        <v>89</v>
      </c>
      <c r="D1640" s="20" t="s">
        <v>8</v>
      </c>
      <c r="E1640" s="22">
        <v>115</v>
      </c>
      <c r="F1640" s="22">
        <v>1</v>
      </c>
      <c r="G1640" s="22">
        <v>6</v>
      </c>
      <c r="H1640" s="22"/>
      <c r="I1640" s="23" t="s">
        <v>9</v>
      </c>
      <c r="J1640" s="23"/>
      <c r="K1640" s="22"/>
      <c r="L1640" s="22"/>
      <c r="M1640" s="23"/>
      <c r="N1640" s="23"/>
      <c r="O1640" s="26" t="s">
        <v>504</v>
      </c>
      <c r="P1640" s="26" t="s">
        <v>465</v>
      </c>
      <c r="Q1640" s="22"/>
      <c r="R1640" s="24"/>
      <c r="S1640" s="24"/>
      <c r="T1640" s="24"/>
      <c r="U1640" s="24"/>
      <c r="V1640" s="24"/>
      <c r="W1640" s="22" t="s">
        <v>230</v>
      </c>
      <c r="X1640" s="4" t="str">
        <f>IF(Tabela2[[#This Row],[sigla]]="","",VLOOKUP(Tabela2[[#This Row],[sigla]],créditos_base!B:C,2,0))</f>
        <v>RAFAEL L. GAION/ARQUIVO DA EDITORA</v>
      </c>
      <c r="Y1640" s="23"/>
      <c r="Z1640" s="23" t="str">
        <f>Tabela2[[#This Row],[ilustrador]]</f>
        <v>RAFAEL L. GAION/ARQUIVO DA EDITORA</v>
      </c>
      <c r="AA1640" s="22"/>
      <c r="AB1640" s="20"/>
      <c r="AD1640" s="4" t="str">
        <f>"Pitanguá"</f>
        <v>Pitanguá</v>
      </c>
      <c r="AE1640" s="14" t="str">
        <f>"Matemática"</f>
        <v>Matemática</v>
      </c>
      <c r="AF1640" s="14"/>
    </row>
    <row r="1641" spans="1:32" ht="28.8" x14ac:dyDescent="0.3">
      <c r="A1641" s="23" t="s">
        <v>4728</v>
      </c>
      <c r="B1641" s="20" t="s">
        <v>16</v>
      </c>
      <c r="C1641" s="20" t="s">
        <v>7</v>
      </c>
      <c r="D1641" s="20" t="s">
        <v>8</v>
      </c>
      <c r="E1641" s="22">
        <v>141</v>
      </c>
      <c r="F1641" s="22">
        <v>5</v>
      </c>
      <c r="G1641" s="22">
        <v>6</v>
      </c>
      <c r="H1641" s="22"/>
      <c r="I1641" s="23" t="s">
        <v>33</v>
      </c>
      <c r="J1641" s="23"/>
      <c r="K1641" s="22"/>
      <c r="L1641" s="22"/>
      <c r="M1641" s="23"/>
      <c r="N1641" s="23"/>
      <c r="O1641" s="26" t="s">
        <v>4729</v>
      </c>
      <c r="P1641" s="26"/>
      <c r="Q1641" s="22">
        <v>203</v>
      </c>
      <c r="R1641" s="24">
        <v>45925</v>
      </c>
      <c r="S1641" s="24">
        <v>45925</v>
      </c>
      <c r="T1641" s="24"/>
      <c r="U1641" s="24"/>
      <c r="V1641" s="24">
        <v>45925</v>
      </c>
      <c r="W1641" s="22" t="s">
        <v>87</v>
      </c>
      <c r="X1641" s="4" t="str">
        <f>IF(Tabela2[[#This Row],[sigla]]="","",VLOOKUP(Tabela2[[#This Row],[sigla]],créditos_base!B:C,2,0))</f>
        <v>CHRIS BORGES/ARQUIVO DA EDITORA</v>
      </c>
      <c r="Y1641" s="23" t="s">
        <v>188</v>
      </c>
      <c r="Z1641" s="23" t="str">
        <f>Tabela2[[#This Row],[ilustrador]]</f>
        <v>CHRIS BORGES/ARQUIVO DA EDITORA</v>
      </c>
      <c r="AA1641" s="22">
        <v>13</v>
      </c>
      <c r="AB1641" s="20" t="s">
        <v>41</v>
      </c>
      <c r="AD1641" s="4" t="str">
        <f>"Pitanguá"</f>
        <v>Pitanguá</v>
      </c>
      <c r="AE1641" s="14" t="str">
        <f>"Matemática"</f>
        <v>Matemática</v>
      </c>
      <c r="AF1641" s="14"/>
    </row>
    <row r="1642" spans="1:32" x14ac:dyDescent="0.3">
      <c r="A1642" s="23" t="s">
        <v>505</v>
      </c>
      <c r="B1642" s="20" t="s">
        <v>6</v>
      </c>
      <c r="C1642" s="20" t="s">
        <v>89</v>
      </c>
      <c r="D1642" s="20" t="s">
        <v>8</v>
      </c>
      <c r="E1642" s="22">
        <v>115</v>
      </c>
      <c r="F1642" s="22">
        <v>1</v>
      </c>
      <c r="G1642" s="22">
        <v>6</v>
      </c>
      <c r="H1642" s="22"/>
      <c r="I1642" s="23" t="s">
        <v>9</v>
      </c>
      <c r="J1642" s="23"/>
      <c r="K1642" s="22"/>
      <c r="L1642" s="22"/>
      <c r="M1642" s="23"/>
      <c r="N1642" s="23"/>
      <c r="O1642" s="26" t="s">
        <v>506</v>
      </c>
      <c r="P1642" s="26" t="s">
        <v>465</v>
      </c>
      <c r="Q1642" s="22"/>
      <c r="R1642" s="24"/>
      <c r="S1642" s="24"/>
      <c r="T1642" s="24"/>
      <c r="U1642" s="24"/>
      <c r="V1642" s="24"/>
      <c r="W1642" s="22" t="s">
        <v>230</v>
      </c>
      <c r="X1642" s="4" t="str">
        <f>IF(Tabela2[[#This Row],[sigla]]="","",VLOOKUP(Tabela2[[#This Row],[sigla]],créditos_base!B:C,2,0))</f>
        <v>RAFAEL L. GAION/ARQUIVO DA EDITORA</v>
      </c>
      <c r="Y1642" s="23"/>
      <c r="Z1642" s="23" t="str">
        <f>Tabela2[[#This Row],[ilustrador]]</f>
        <v>RAFAEL L. GAION/ARQUIVO DA EDITORA</v>
      </c>
      <c r="AA1642" s="22"/>
      <c r="AB1642" s="20"/>
      <c r="AD1642" s="4" t="str">
        <f>"Pitanguá"</f>
        <v>Pitanguá</v>
      </c>
      <c r="AE1642" s="14" t="str">
        <f>"Matemática"</f>
        <v>Matemática</v>
      </c>
      <c r="AF1642" s="14"/>
    </row>
    <row r="1643" spans="1:32" ht="43.2" x14ac:dyDescent="0.3">
      <c r="A1643" s="23" t="s">
        <v>507</v>
      </c>
      <c r="B1643" s="20" t="s">
        <v>6</v>
      </c>
      <c r="C1643" s="20" t="s">
        <v>89</v>
      </c>
      <c r="D1643" s="20" t="s">
        <v>8</v>
      </c>
      <c r="E1643" s="22">
        <v>116</v>
      </c>
      <c r="F1643" s="22">
        <v>1</v>
      </c>
      <c r="G1643" s="22">
        <v>6</v>
      </c>
      <c r="H1643" s="22"/>
      <c r="I1643" s="23" t="s">
        <v>9</v>
      </c>
      <c r="J1643" s="23"/>
      <c r="K1643" s="22"/>
      <c r="L1643" s="22"/>
      <c r="M1643" s="23"/>
      <c r="N1643" s="23"/>
      <c r="O1643" s="26" t="s">
        <v>508</v>
      </c>
      <c r="P1643" s="26"/>
      <c r="Q1643" s="22"/>
      <c r="R1643" s="24"/>
      <c r="S1643" s="24"/>
      <c r="T1643" s="24"/>
      <c r="U1643" s="24"/>
      <c r="V1643" s="24"/>
      <c r="W1643" s="22" t="s">
        <v>425</v>
      </c>
      <c r="X1643" s="4" t="str">
        <f>IF(Tabela2[[#This Row],[sigla]]="","",VLOOKUP(Tabela2[[#This Row],[sigla]],créditos_base!B:C,2,0))</f>
        <v>BÁRBARA SARZI/ARQUIVO DA EDITORA</v>
      </c>
      <c r="Y1643" s="23"/>
      <c r="Z1643" s="23" t="str">
        <f>Tabela2[[#This Row],[ilustrador]]</f>
        <v>BÁRBARA SARZI/ARQUIVO DA EDITORA</v>
      </c>
      <c r="AA1643" s="22"/>
      <c r="AB1643" s="20"/>
      <c r="AD1643" s="4" t="str">
        <f>"Pitanguá"</f>
        <v>Pitanguá</v>
      </c>
      <c r="AE1643" s="14" t="str">
        <f>"Matemática"</f>
        <v>Matemática</v>
      </c>
      <c r="AF1643" s="14"/>
    </row>
    <row r="1644" spans="1:32" ht="43.2" x14ac:dyDescent="0.3">
      <c r="A1644" s="23" t="s">
        <v>4730</v>
      </c>
      <c r="B1644" s="20" t="s">
        <v>6</v>
      </c>
      <c r="C1644" s="20" t="s">
        <v>7</v>
      </c>
      <c r="D1644" s="20" t="s">
        <v>8</v>
      </c>
      <c r="E1644" s="22">
        <v>143</v>
      </c>
      <c r="F1644" s="22">
        <v>5</v>
      </c>
      <c r="G1644" s="22">
        <v>6</v>
      </c>
      <c r="H1644" s="22"/>
      <c r="I1644" s="23" t="s">
        <v>9</v>
      </c>
      <c r="J1644" s="23"/>
      <c r="K1644" s="22"/>
      <c r="L1644" s="22"/>
      <c r="M1644" s="23"/>
      <c r="N1644" s="23"/>
      <c r="O1644" s="26" t="s">
        <v>4731</v>
      </c>
      <c r="P1644" s="26"/>
      <c r="Q1644" s="22"/>
      <c r="R1644" s="24"/>
      <c r="S1644" s="24"/>
      <c r="T1644" s="24"/>
      <c r="U1644" s="24"/>
      <c r="V1644" s="24"/>
      <c r="W1644" s="22" t="s">
        <v>332</v>
      </c>
      <c r="X1644" s="4" t="str">
        <f>IF(Tabela2[[#This Row],[sigla]]="","",VLOOKUP(Tabela2[[#This Row],[sigla]],créditos_base!B:C,2,0))</f>
        <v>CYNTHIA SEKIGUCHI/ARQUIVO DA EDITORA</v>
      </c>
      <c r="Y1644" s="23"/>
      <c r="Z1644" s="23" t="s">
        <v>4732</v>
      </c>
      <c r="AA1644" s="22"/>
      <c r="AB1644" s="20"/>
      <c r="AD1644" s="4" t="str">
        <f>"Pitanguá"</f>
        <v>Pitanguá</v>
      </c>
      <c r="AE1644" s="14" t="str">
        <f>"Matemática"</f>
        <v>Matemática</v>
      </c>
      <c r="AF1644" s="14"/>
    </row>
    <row r="1645" spans="1:32" ht="43.2" x14ac:dyDescent="0.3">
      <c r="A1645" s="23" t="s">
        <v>509</v>
      </c>
      <c r="B1645" s="20" t="s">
        <v>16</v>
      </c>
      <c r="C1645" s="20" t="s">
        <v>89</v>
      </c>
      <c r="D1645" s="20" t="s">
        <v>8</v>
      </c>
      <c r="E1645" s="22">
        <v>116</v>
      </c>
      <c r="F1645" s="22">
        <v>1</v>
      </c>
      <c r="G1645" s="22">
        <v>6</v>
      </c>
      <c r="H1645" s="22"/>
      <c r="I1645" s="23" t="s">
        <v>33</v>
      </c>
      <c r="J1645" s="23"/>
      <c r="K1645" s="22"/>
      <c r="L1645" s="22"/>
      <c r="M1645" s="23"/>
      <c r="N1645" s="23"/>
      <c r="O1645" s="26" t="s">
        <v>510</v>
      </c>
      <c r="P1645" s="26"/>
      <c r="Q1645" s="22">
        <v>69</v>
      </c>
      <c r="R1645" s="24">
        <v>45811</v>
      </c>
      <c r="S1645" s="24">
        <v>45811</v>
      </c>
      <c r="T1645" s="24"/>
      <c r="U1645" s="24"/>
      <c r="V1645" s="24">
        <v>45811</v>
      </c>
      <c r="W1645" s="22" t="s">
        <v>428</v>
      </c>
      <c r="X1645" s="4" t="str">
        <f>IF(Tabela2[[#This Row],[sigla]]="","",VLOOKUP(Tabela2[[#This Row],[sigla]],créditos_base!B:C,2,0))</f>
        <v>TAMIRES AZEVEDO/ARQUIVO DA EDITORA</v>
      </c>
      <c r="Y1645" s="23" t="s">
        <v>152</v>
      </c>
      <c r="Z1645" s="23" t="str">
        <f>Tabela2[[#This Row],[ilustrador]]</f>
        <v>TAMIRES AZEVEDO/ARQUIVO DA EDITORA</v>
      </c>
      <c r="AA1645" s="22"/>
      <c r="AB1645" s="20"/>
      <c r="AC1645" s="20" t="s">
        <v>36</v>
      </c>
      <c r="AD1645" s="4" t="str">
        <f>"Pitanguá"</f>
        <v>Pitanguá</v>
      </c>
      <c r="AE1645" s="14" t="str">
        <f>"Matemática"</f>
        <v>Matemática</v>
      </c>
      <c r="AF1645" s="14"/>
    </row>
    <row r="1646" spans="1:32" ht="43.2" x14ac:dyDescent="0.3">
      <c r="A1646" s="23" t="s">
        <v>4733</v>
      </c>
      <c r="B1646" s="20" t="s">
        <v>16</v>
      </c>
      <c r="C1646" s="20" t="s">
        <v>7</v>
      </c>
      <c r="D1646" s="20" t="s">
        <v>8</v>
      </c>
      <c r="E1646" s="22">
        <v>143</v>
      </c>
      <c r="F1646" s="22">
        <v>5</v>
      </c>
      <c r="G1646" s="22">
        <v>6</v>
      </c>
      <c r="H1646" s="22"/>
      <c r="I1646" s="23" t="s">
        <v>9</v>
      </c>
      <c r="J1646" s="23"/>
      <c r="K1646" s="22"/>
      <c r="L1646" s="22"/>
      <c r="M1646" s="23"/>
      <c r="N1646" s="23"/>
      <c r="O1646" s="26" t="s">
        <v>4734</v>
      </c>
      <c r="P1646" s="26"/>
      <c r="Q1646" s="22"/>
      <c r="R1646" s="24"/>
      <c r="S1646" s="24"/>
      <c r="T1646" s="24"/>
      <c r="U1646" s="24"/>
      <c r="V1646" s="24"/>
      <c r="W1646" s="22" t="s">
        <v>230</v>
      </c>
      <c r="X1646" s="4" t="str">
        <f>IF(Tabela2[[#This Row],[sigla]]="","",VLOOKUP(Tabela2[[#This Row],[sigla]],créditos_base!B:C,2,0))</f>
        <v>RAFAEL L. GAION/ARQUIVO DA EDITORA</v>
      </c>
      <c r="Y1646" s="23"/>
      <c r="Z1646" s="23" t="str">
        <f>Tabela2[[#This Row],[ilustrador]]</f>
        <v>RAFAEL L. GAION/ARQUIVO DA EDITORA</v>
      </c>
      <c r="AA1646" s="22"/>
      <c r="AB1646" s="20"/>
      <c r="AD1646" s="4" t="str">
        <f>"Pitanguá"</f>
        <v>Pitanguá</v>
      </c>
      <c r="AE1646" s="14" t="str">
        <f>"Matemática"</f>
        <v>Matemática</v>
      </c>
      <c r="AF1646" s="14"/>
    </row>
    <row r="1647" spans="1:32" ht="57.6" x14ac:dyDescent="0.3">
      <c r="A1647" s="23" t="s">
        <v>511</v>
      </c>
      <c r="B1647" s="20" t="s">
        <v>16</v>
      </c>
      <c r="C1647" s="20" t="s">
        <v>89</v>
      </c>
      <c r="D1647" s="20" t="s">
        <v>8</v>
      </c>
      <c r="E1647" s="22">
        <v>116</v>
      </c>
      <c r="F1647" s="22">
        <v>1</v>
      </c>
      <c r="G1647" s="22">
        <v>6</v>
      </c>
      <c r="H1647" s="22"/>
      <c r="I1647" s="23" t="s">
        <v>33</v>
      </c>
      <c r="J1647" s="23"/>
      <c r="K1647" s="22"/>
      <c r="L1647" s="22"/>
      <c r="M1647" s="23"/>
      <c r="N1647" s="23"/>
      <c r="O1647" s="26" t="s">
        <v>512</v>
      </c>
      <c r="P1647" s="26"/>
      <c r="Q1647" s="22">
        <v>69</v>
      </c>
      <c r="R1647" s="24">
        <v>45811</v>
      </c>
      <c r="S1647" s="24">
        <v>45811</v>
      </c>
      <c r="T1647" s="24"/>
      <c r="U1647" s="24"/>
      <c r="V1647" s="24">
        <v>45811</v>
      </c>
      <c r="W1647" s="22" t="s">
        <v>428</v>
      </c>
      <c r="X1647" s="4" t="str">
        <f>IF(Tabela2[[#This Row],[sigla]]="","",VLOOKUP(Tabela2[[#This Row],[sigla]],créditos_base!B:C,2,0))</f>
        <v>TAMIRES AZEVEDO/ARQUIVO DA EDITORA</v>
      </c>
      <c r="Y1647" s="23" t="s">
        <v>152</v>
      </c>
      <c r="Z1647" s="23" t="str">
        <f>Tabela2[[#This Row],[ilustrador]]</f>
        <v>TAMIRES AZEVEDO/ARQUIVO DA EDITORA</v>
      </c>
      <c r="AA1647" s="22"/>
      <c r="AB1647" s="20"/>
      <c r="AC1647" s="20" t="s">
        <v>36</v>
      </c>
      <c r="AD1647" s="4" t="str">
        <f>"Pitanguá"</f>
        <v>Pitanguá</v>
      </c>
      <c r="AE1647" s="14" t="str">
        <f>"Matemática"</f>
        <v>Matemática</v>
      </c>
      <c r="AF1647" s="14"/>
    </row>
    <row r="1648" spans="1:32" x14ac:dyDescent="0.3">
      <c r="A1648" s="23" t="s">
        <v>4735</v>
      </c>
      <c r="B1648" s="20" t="s">
        <v>16</v>
      </c>
      <c r="C1648" s="20" t="s">
        <v>7</v>
      </c>
      <c r="D1648" s="20" t="s">
        <v>8</v>
      </c>
      <c r="E1648" s="22">
        <v>144</v>
      </c>
      <c r="F1648" s="22">
        <v>5</v>
      </c>
      <c r="G1648" s="22">
        <v>6</v>
      </c>
      <c r="H1648" s="22"/>
      <c r="I1648" s="23" t="s">
        <v>9</v>
      </c>
      <c r="J1648" s="23"/>
      <c r="K1648" s="22"/>
      <c r="L1648" s="22"/>
      <c r="M1648" s="23"/>
      <c r="N1648" s="23"/>
      <c r="O1648" s="26" t="s">
        <v>4736</v>
      </c>
      <c r="P1648" s="26"/>
      <c r="Q1648" s="22"/>
      <c r="R1648" s="24"/>
      <c r="S1648" s="24"/>
      <c r="T1648" s="24"/>
      <c r="U1648" s="24"/>
      <c r="V1648" s="24"/>
      <c r="W1648" s="22" t="s">
        <v>356</v>
      </c>
      <c r="X1648" s="4" t="str">
        <f>IF(Tabela2[[#This Row],[sigla]]="","",VLOOKUP(Tabela2[[#This Row],[sigla]],créditos_base!B:C,2,0))</f>
        <v>CAMILA CARMONA/ARQUIVO DA EDITORA</v>
      </c>
      <c r="Y1648" s="23"/>
      <c r="Z1648" s="23" t="str">
        <f>Tabela2[[#This Row],[ilustrador]]</f>
        <v>CAMILA CARMONA/ARQUIVO DA EDITORA</v>
      </c>
      <c r="AA1648" s="22"/>
      <c r="AB1648" s="20"/>
      <c r="AD1648" s="4" t="str">
        <f>"Pitanguá"</f>
        <v>Pitanguá</v>
      </c>
      <c r="AE1648" s="14" t="str">
        <f>"Matemática"</f>
        <v>Matemática</v>
      </c>
      <c r="AF1648" s="14"/>
    </row>
    <row r="1649" spans="1:32" x14ac:dyDescent="0.3">
      <c r="A1649" s="23" t="s">
        <v>513</v>
      </c>
      <c r="B1649" s="20" t="s">
        <v>16</v>
      </c>
      <c r="C1649" s="20" t="s">
        <v>89</v>
      </c>
      <c r="D1649" s="20" t="s">
        <v>8</v>
      </c>
      <c r="E1649" s="22">
        <v>116</v>
      </c>
      <c r="F1649" s="22">
        <v>1</v>
      </c>
      <c r="G1649" s="22">
        <v>6</v>
      </c>
      <c r="H1649" s="22"/>
      <c r="I1649" s="23" t="s">
        <v>33</v>
      </c>
      <c r="J1649" s="23"/>
      <c r="K1649" s="22"/>
      <c r="L1649" s="22"/>
      <c r="M1649" s="23"/>
      <c r="N1649" s="23"/>
      <c r="O1649" s="26" t="s">
        <v>514</v>
      </c>
      <c r="P1649" s="26"/>
      <c r="Q1649" s="22">
        <v>69</v>
      </c>
      <c r="R1649" s="24">
        <v>45811</v>
      </c>
      <c r="S1649" s="24">
        <v>45811</v>
      </c>
      <c r="T1649" s="24"/>
      <c r="U1649" s="24"/>
      <c r="V1649" s="24">
        <v>45811</v>
      </c>
      <c r="W1649" s="22" t="s">
        <v>428</v>
      </c>
      <c r="X1649" s="4" t="str">
        <f>IF(Tabela2[[#This Row],[sigla]]="","",VLOOKUP(Tabela2[[#This Row],[sigla]],créditos_base!B:C,2,0))</f>
        <v>TAMIRES AZEVEDO/ARQUIVO DA EDITORA</v>
      </c>
      <c r="Y1649" s="23" t="s">
        <v>152</v>
      </c>
      <c r="Z1649" s="23" t="str">
        <f>Tabela2[[#This Row],[ilustrador]]</f>
        <v>TAMIRES AZEVEDO/ARQUIVO DA EDITORA</v>
      </c>
      <c r="AA1649" s="22"/>
      <c r="AB1649" s="20"/>
      <c r="AC1649" s="20" t="s">
        <v>36</v>
      </c>
      <c r="AD1649" s="4" t="str">
        <f>"Pitanguá"</f>
        <v>Pitanguá</v>
      </c>
      <c r="AE1649" s="14" t="str">
        <f>"Matemática"</f>
        <v>Matemática</v>
      </c>
      <c r="AF1649" s="14"/>
    </row>
    <row r="1650" spans="1:32" ht="28.8" x14ac:dyDescent="0.3">
      <c r="A1650" s="23" t="s">
        <v>4737</v>
      </c>
      <c r="B1650" s="20" t="s">
        <v>16</v>
      </c>
      <c r="C1650" s="20" t="s">
        <v>7</v>
      </c>
      <c r="D1650" s="20" t="s">
        <v>8</v>
      </c>
      <c r="E1650" s="22">
        <v>144</v>
      </c>
      <c r="F1650" s="22">
        <v>5</v>
      </c>
      <c r="G1650" s="22">
        <v>6</v>
      </c>
      <c r="H1650" s="22"/>
      <c r="I1650" s="23" t="s">
        <v>9</v>
      </c>
      <c r="J1650" s="23"/>
      <c r="K1650" s="22"/>
      <c r="L1650" s="22"/>
      <c r="M1650" s="23"/>
      <c r="N1650" s="23"/>
      <c r="O1650" s="26" t="s">
        <v>4738</v>
      </c>
      <c r="P1650" s="26"/>
      <c r="Q1650" s="22"/>
      <c r="R1650" s="24"/>
      <c r="S1650" s="24"/>
      <c r="T1650" s="24"/>
      <c r="U1650" s="24"/>
      <c r="V1650" s="24"/>
      <c r="W1650" s="22" t="s">
        <v>356</v>
      </c>
      <c r="X1650" s="4" t="str">
        <f>IF(Tabela2[[#This Row],[sigla]]="","",VLOOKUP(Tabela2[[#This Row],[sigla]],créditos_base!B:C,2,0))</f>
        <v>CAMILA CARMONA/ARQUIVO DA EDITORA</v>
      </c>
      <c r="Y1650" s="23"/>
      <c r="Z1650" s="23" t="str">
        <f>Tabela2[[#This Row],[ilustrador]]</f>
        <v>CAMILA CARMONA/ARQUIVO DA EDITORA</v>
      </c>
      <c r="AA1650" s="22"/>
      <c r="AB1650" s="20"/>
      <c r="AD1650" s="4" t="str">
        <f>"Pitanguá"</f>
        <v>Pitanguá</v>
      </c>
      <c r="AE1650" s="14" t="str">
        <f>"Matemática"</f>
        <v>Matemática</v>
      </c>
      <c r="AF1650" s="14"/>
    </row>
    <row r="1651" spans="1:32" x14ac:dyDescent="0.3">
      <c r="A1651" s="23" t="s">
        <v>515</v>
      </c>
      <c r="B1651" s="20" t="s">
        <v>16</v>
      </c>
      <c r="C1651" s="20" t="s">
        <v>89</v>
      </c>
      <c r="D1651" s="20" t="s">
        <v>8</v>
      </c>
      <c r="E1651" s="22">
        <v>116</v>
      </c>
      <c r="F1651" s="22">
        <v>1</v>
      </c>
      <c r="G1651" s="22">
        <v>6</v>
      </c>
      <c r="H1651" s="22"/>
      <c r="I1651" s="23" t="s">
        <v>33</v>
      </c>
      <c r="J1651" s="23"/>
      <c r="K1651" s="22"/>
      <c r="L1651" s="22"/>
      <c r="M1651" s="23"/>
      <c r="N1651" s="23"/>
      <c r="O1651" s="26" t="s">
        <v>516</v>
      </c>
      <c r="P1651" s="26"/>
      <c r="Q1651" s="22">
        <v>69</v>
      </c>
      <c r="R1651" s="24">
        <v>45811</v>
      </c>
      <c r="S1651" s="24">
        <v>45811</v>
      </c>
      <c r="T1651" s="24"/>
      <c r="U1651" s="24"/>
      <c r="V1651" s="24">
        <v>45811</v>
      </c>
      <c r="W1651" s="22" t="s">
        <v>428</v>
      </c>
      <c r="X1651" s="4" t="str">
        <f>IF(Tabela2[[#This Row],[sigla]]="","",VLOOKUP(Tabela2[[#This Row],[sigla]],créditos_base!B:C,2,0))</f>
        <v>TAMIRES AZEVEDO/ARQUIVO DA EDITORA</v>
      </c>
      <c r="Y1651" s="23" t="s">
        <v>152</v>
      </c>
      <c r="Z1651" s="23" t="str">
        <f>Tabela2[[#This Row],[ilustrador]]</f>
        <v>TAMIRES AZEVEDO/ARQUIVO DA EDITORA</v>
      </c>
      <c r="AA1651" s="22"/>
      <c r="AB1651" s="20"/>
      <c r="AC1651" s="20" t="s">
        <v>36</v>
      </c>
      <c r="AD1651" s="4" t="str">
        <f>"Pitanguá"</f>
        <v>Pitanguá</v>
      </c>
      <c r="AE1651" s="14" t="str">
        <f>"Matemática"</f>
        <v>Matemática</v>
      </c>
      <c r="AF1651" s="14"/>
    </row>
    <row r="1652" spans="1:32" x14ac:dyDescent="0.3">
      <c r="A1652" s="23" t="s">
        <v>517</v>
      </c>
      <c r="B1652" s="20" t="s">
        <v>16</v>
      </c>
      <c r="C1652" s="20" t="s">
        <v>7</v>
      </c>
      <c r="D1652" s="20" t="s">
        <v>8</v>
      </c>
      <c r="E1652" s="22">
        <v>117</v>
      </c>
      <c r="F1652" s="22">
        <v>1</v>
      </c>
      <c r="G1652" s="22">
        <v>6</v>
      </c>
      <c r="H1652" s="22"/>
      <c r="I1652" s="23" t="s">
        <v>9</v>
      </c>
      <c r="J1652" s="23"/>
      <c r="K1652" s="22"/>
      <c r="L1652" s="22"/>
      <c r="M1652" s="23"/>
      <c r="N1652" s="23"/>
      <c r="O1652" s="26" t="s">
        <v>518</v>
      </c>
      <c r="P1652" s="26"/>
      <c r="Q1652" s="22"/>
      <c r="R1652" s="24"/>
      <c r="S1652" s="24"/>
      <c r="T1652" s="24"/>
      <c r="U1652" s="24"/>
      <c r="V1652" s="24"/>
      <c r="W1652" s="22" t="s">
        <v>460</v>
      </c>
      <c r="X1652" s="4" t="str">
        <f>IF(Tabela2[[#This Row],[sigla]]="","",VLOOKUP(Tabela2[[#This Row],[sigla]],créditos_base!B:C,2,0))</f>
        <v>CLAUDIA SOUZA/ARQUIVO DA EDITORA</v>
      </c>
      <c r="Y1652" s="23"/>
      <c r="Z1652" s="23" t="str">
        <f>Tabela2[[#This Row],[ilustrador]]</f>
        <v>CLAUDIA SOUZA/ARQUIVO DA EDITORA</v>
      </c>
      <c r="AA1652" s="22"/>
      <c r="AB1652" s="20"/>
      <c r="AD1652" s="4" t="str">
        <f>"Pitanguá"</f>
        <v>Pitanguá</v>
      </c>
      <c r="AE1652" s="14" t="str">
        <f>"Matemática"</f>
        <v>Matemática</v>
      </c>
      <c r="AF1652" s="14"/>
    </row>
    <row r="1653" spans="1:32" ht="28.8" x14ac:dyDescent="0.3">
      <c r="A1653" s="23" t="s">
        <v>2588</v>
      </c>
      <c r="B1653" s="20" t="s">
        <v>16</v>
      </c>
      <c r="C1653" s="20" t="s">
        <v>7</v>
      </c>
      <c r="D1653" s="20" t="s">
        <v>8</v>
      </c>
      <c r="E1653" s="22">
        <v>155</v>
      </c>
      <c r="F1653" s="22">
        <v>1</v>
      </c>
      <c r="G1653" s="22">
        <v>6</v>
      </c>
      <c r="H1653" s="22"/>
      <c r="I1653" s="23" t="s">
        <v>33</v>
      </c>
      <c r="J1653" s="23"/>
      <c r="K1653" s="22"/>
      <c r="L1653" s="22"/>
      <c r="M1653" s="23"/>
      <c r="N1653" s="23"/>
      <c r="O1653" s="26" t="s">
        <v>2589</v>
      </c>
      <c r="P1653" s="26"/>
      <c r="Q1653" s="22">
        <v>35</v>
      </c>
      <c r="R1653" s="24">
        <v>45771</v>
      </c>
      <c r="S1653" s="24">
        <v>45775</v>
      </c>
      <c r="T1653" s="24"/>
      <c r="U1653" s="24"/>
      <c r="V1653" s="24">
        <v>45777</v>
      </c>
      <c r="W1653" s="22" t="s">
        <v>460</v>
      </c>
      <c r="X1653" s="4" t="str">
        <f>IF(Tabela2[[#This Row],[sigla]]="","",VLOOKUP(Tabela2[[#This Row],[sigla]],créditos_base!B:C,2,0))</f>
        <v>CLAUDIA SOUZA/ARQUIVO DA EDITORA</v>
      </c>
      <c r="Y1653" s="23" t="s">
        <v>188</v>
      </c>
      <c r="Z1653" s="23" t="str">
        <f>Tabela2[[#This Row],[ilustrador]]</f>
        <v>CLAUDIA SOUZA/ARQUIVO DA EDITORA</v>
      </c>
      <c r="AA1653" s="22">
        <v>14</v>
      </c>
      <c r="AB1653" s="20" t="s">
        <v>153</v>
      </c>
      <c r="AC1653" s="20" t="s">
        <v>36</v>
      </c>
      <c r="AD1653" s="4" t="str">
        <f>"Pitanguá"</f>
        <v>Pitanguá</v>
      </c>
      <c r="AE1653" s="14" t="str">
        <f>"Matemática"</f>
        <v>Matemática</v>
      </c>
      <c r="AF1653" s="14"/>
    </row>
    <row r="1654" spans="1:32" ht="57.6" x14ac:dyDescent="0.3">
      <c r="A1654" s="23" t="s">
        <v>519</v>
      </c>
      <c r="B1654" s="20" t="s">
        <v>16</v>
      </c>
      <c r="C1654" s="20" t="s">
        <v>89</v>
      </c>
      <c r="D1654" s="20" t="s">
        <v>8</v>
      </c>
      <c r="E1654" s="22">
        <v>119</v>
      </c>
      <c r="F1654" s="22">
        <v>1</v>
      </c>
      <c r="G1654" s="22">
        <v>6</v>
      </c>
      <c r="H1654" s="22"/>
      <c r="I1654" s="23" t="s">
        <v>9</v>
      </c>
      <c r="J1654" s="23"/>
      <c r="K1654" s="22"/>
      <c r="L1654" s="22"/>
      <c r="M1654" s="23"/>
      <c r="N1654" s="23"/>
      <c r="O1654" s="26" t="s">
        <v>520</v>
      </c>
      <c r="P1654" s="26"/>
      <c r="Q1654" s="22"/>
      <c r="R1654" s="24"/>
      <c r="S1654" s="24"/>
      <c r="T1654" s="24"/>
      <c r="U1654" s="24"/>
      <c r="V1654" s="24"/>
      <c r="W1654" s="22" t="s">
        <v>72</v>
      </c>
      <c r="X1654" s="4" t="str">
        <f>IF(Tabela2[[#This Row],[sigla]]="","",VLOOKUP(Tabela2[[#This Row],[sigla]],créditos_base!B:C,2,0))</f>
        <v>HELOÍSA PINTARELLI/ARQUIVO DA EDITORA</v>
      </c>
      <c r="Y1654" s="23"/>
      <c r="Z1654" s="23" t="str">
        <f>Tabela2[[#This Row],[ilustrador]]</f>
        <v>HELOÍSA PINTARELLI/ARQUIVO DA EDITORA</v>
      </c>
      <c r="AA1654" s="22"/>
      <c r="AB1654" s="20"/>
      <c r="AD1654" s="4" t="str">
        <f>"Pitanguá"</f>
        <v>Pitanguá</v>
      </c>
      <c r="AE1654" s="14" t="str">
        <f>"Matemática"</f>
        <v>Matemática</v>
      </c>
      <c r="AF1654" s="14"/>
    </row>
    <row r="1655" spans="1:32" ht="28.8" x14ac:dyDescent="0.3">
      <c r="A1655" s="23" t="s">
        <v>4739</v>
      </c>
      <c r="B1655" s="20" t="s">
        <v>16</v>
      </c>
      <c r="C1655" s="20" t="s">
        <v>89</v>
      </c>
      <c r="D1655" s="20" t="s">
        <v>8</v>
      </c>
      <c r="E1655" s="22">
        <v>147</v>
      </c>
      <c r="F1655" s="22">
        <v>5</v>
      </c>
      <c r="G1655" s="22">
        <v>6</v>
      </c>
      <c r="H1655" s="22"/>
      <c r="I1655" s="23" t="s">
        <v>33</v>
      </c>
      <c r="J1655" s="23"/>
      <c r="K1655" s="22"/>
      <c r="L1655" s="22"/>
      <c r="M1655" s="23"/>
      <c r="N1655" s="23"/>
      <c r="O1655" s="26" t="s">
        <v>4740</v>
      </c>
      <c r="P1655" s="26"/>
      <c r="Q1655" s="22">
        <v>139</v>
      </c>
      <c r="R1655" s="24">
        <v>45868</v>
      </c>
      <c r="S1655" s="24">
        <v>45868</v>
      </c>
      <c r="T1655" s="24"/>
      <c r="U1655" s="24"/>
      <c r="V1655" s="24">
        <v>45874</v>
      </c>
      <c r="W1655" s="22" t="s">
        <v>940</v>
      </c>
      <c r="X1655" s="4" t="str">
        <f>IF(Tabela2[[#This Row],[sigla]]="","",VLOOKUP(Tabela2[[#This Row],[sigla]],créditos_base!B:C,2,0))</f>
        <v>RONALDO LUCENA/ARQUIVO DA EDITORA</v>
      </c>
      <c r="Y1655" s="23" t="s">
        <v>188</v>
      </c>
      <c r="Z1655" s="23" t="str">
        <f>Tabela2[[#This Row],[ilustrador]]</f>
        <v>RONALDO LUCENA/ARQUIVO DA EDITORA</v>
      </c>
      <c r="AA1655" s="22">
        <v>13</v>
      </c>
      <c r="AB1655" s="20" t="s">
        <v>153</v>
      </c>
      <c r="AC1655" s="20" t="s">
        <v>36</v>
      </c>
      <c r="AD1655" s="4" t="str">
        <f>"Pitanguá"</f>
        <v>Pitanguá</v>
      </c>
      <c r="AE1655" s="14" t="str">
        <f>"Matemática"</f>
        <v>Matemática</v>
      </c>
      <c r="AF1655" s="14"/>
    </row>
    <row r="1656" spans="1:32" x14ac:dyDescent="0.3">
      <c r="A1656" s="23" t="s">
        <v>521</v>
      </c>
      <c r="B1656" s="20" t="s">
        <v>522</v>
      </c>
      <c r="C1656" s="20" t="s">
        <v>89</v>
      </c>
      <c r="D1656" s="20" t="s">
        <v>8</v>
      </c>
      <c r="E1656" s="22">
        <v>119</v>
      </c>
      <c r="F1656" s="22">
        <v>1</v>
      </c>
      <c r="G1656" s="22">
        <v>6</v>
      </c>
      <c r="H1656" s="22"/>
      <c r="I1656" s="23" t="s">
        <v>33</v>
      </c>
      <c r="J1656" s="23"/>
      <c r="K1656" s="22"/>
      <c r="L1656" s="22"/>
      <c r="M1656" s="23"/>
      <c r="N1656" s="23"/>
      <c r="O1656" s="26" t="s">
        <v>523</v>
      </c>
      <c r="P1656" s="26"/>
      <c r="Q1656" s="22">
        <v>184</v>
      </c>
      <c r="R1656" s="24">
        <v>45909</v>
      </c>
      <c r="S1656" s="24">
        <v>45909</v>
      </c>
      <c r="T1656" s="24"/>
      <c r="U1656" s="24"/>
      <c r="V1656" s="24">
        <v>45909</v>
      </c>
      <c r="W1656" s="22" t="s">
        <v>72</v>
      </c>
      <c r="X1656" s="4" t="str">
        <f>IF(Tabela2[[#This Row],[sigla]]="","",VLOOKUP(Tabela2[[#This Row],[sigla]],créditos_base!B:C,2,0))</f>
        <v>HELOÍSA PINTARELLI/ARQUIVO DA EDITORA</v>
      </c>
      <c r="Y1656" s="23" t="s">
        <v>524</v>
      </c>
      <c r="Z1656" s="23" t="str">
        <f>Tabela2[[#This Row],[ilustrador]]</f>
        <v>HELOÍSA PINTARELLI/ARQUIVO DA EDITORA</v>
      </c>
      <c r="AA1656" s="22">
        <v>13</v>
      </c>
      <c r="AB1656" s="20" t="s">
        <v>525</v>
      </c>
      <c r="AC1656" s="20" t="s">
        <v>36</v>
      </c>
      <c r="AD1656" s="4" t="str">
        <f>"Pitanguá"</f>
        <v>Pitanguá</v>
      </c>
      <c r="AE1656" s="14" t="str">
        <f>"Matemática"</f>
        <v>Matemática</v>
      </c>
      <c r="AF1656" s="14"/>
    </row>
    <row r="1657" spans="1:32" ht="28.8" x14ac:dyDescent="0.3">
      <c r="A1657" s="23" t="s">
        <v>4741</v>
      </c>
      <c r="B1657" s="20" t="s">
        <v>16</v>
      </c>
      <c r="C1657" s="20" t="s">
        <v>89</v>
      </c>
      <c r="D1657" s="20" t="s">
        <v>8</v>
      </c>
      <c r="E1657" s="22">
        <v>148</v>
      </c>
      <c r="F1657" s="22">
        <v>5</v>
      </c>
      <c r="G1657" s="22">
        <v>6</v>
      </c>
      <c r="H1657" s="22"/>
      <c r="I1657" s="23" t="s">
        <v>9</v>
      </c>
      <c r="J1657" s="23"/>
      <c r="K1657" s="22"/>
      <c r="L1657" s="22"/>
      <c r="M1657" s="23"/>
      <c r="N1657" s="23"/>
      <c r="O1657" s="26" t="s">
        <v>4742</v>
      </c>
      <c r="P1657" s="26"/>
      <c r="Q1657" s="22"/>
      <c r="R1657" s="24"/>
      <c r="S1657" s="24"/>
      <c r="T1657" s="24"/>
      <c r="U1657" s="24"/>
      <c r="V1657" s="24"/>
      <c r="W1657" s="22" t="s">
        <v>940</v>
      </c>
      <c r="X1657" s="4" t="str">
        <f>IF(Tabela2[[#This Row],[sigla]]="","",VLOOKUP(Tabela2[[#This Row],[sigla]],créditos_base!B:C,2,0))</f>
        <v>RONALDO LUCENA/ARQUIVO DA EDITORA</v>
      </c>
      <c r="Y1657" s="23"/>
      <c r="Z1657" s="23" t="str">
        <f>Tabela2[[#This Row],[ilustrador]]</f>
        <v>RONALDO LUCENA/ARQUIVO DA EDITORA</v>
      </c>
      <c r="AA1657" s="22"/>
      <c r="AB1657" s="20"/>
      <c r="AD1657" s="4" t="str">
        <f>"Pitanguá"</f>
        <v>Pitanguá</v>
      </c>
      <c r="AE1657" s="14" t="str">
        <f>"Matemática"</f>
        <v>Matemática</v>
      </c>
      <c r="AF1657" s="14"/>
    </row>
    <row r="1658" spans="1:32" ht="28.8" x14ac:dyDescent="0.3">
      <c r="A1658" s="23" t="s">
        <v>526</v>
      </c>
      <c r="B1658" s="20" t="s">
        <v>16</v>
      </c>
      <c r="C1658" s="20" t="s">
        <v>89</v>
      </c>
      <c r="D1658" s="20" t="s">
        <v>8</v>
      </c>
      <c r="E1658" s="22">
        <v>119</v>
      </c>
      <c r="F1658" s="22">
        <v>1</v>
      </c>
      <c r="G1658" s="22">
        <v>6</v>
      </c>
      <c r="H1658" s="22"/>
      <c r="I1658" s="23" t="s">
        <v>33</v>
      </c>
      <c r="J1658" s="23"/>
      <c r="K1658" s="22"/>
      <c r="L1658" s="22"/>
      <c r="M1658" s="23"/>
      <c r="N1658" s="23"/>
      <c r="O1658" s="26" t="s">
        <v>527</v>
      </c>
      <c r="P1658" s="26"/>
      <c r="Q1658" s="22">
        <v>35</v>
      </c>
      <c r="R1658" s="24">
        <v>45771</v>
      </c>
      <c r="S1658" s="24">
        <v>45775</v>
      </c>
      <c r="T1658" s="24"/>
      <c r="U1658" s="24"/>
      <c r="V1658" s="24">
        <v>45777</v>
      </c>
      <c r="W1658" s="22" t="s">
        <v>72</v>
      </c>
      <c r="X1658" s="4" t="str">
        <f>IF(Tabela2[[#This Row],[sigla]]="","",VLOOKUP(Tabela2[[#This Row],[sigla]],créditos_base!B:C,2,0))</f>
        <v>HELOÍSA PINTARELLI/ARQUIVO DA EDITORA</v>
      </c>
      <c r="Y1658" s="23" t="s">
        <v>188</v>
      </c>
      <c r="Z1658" s="23" t="str">
        <f>Tabela2[[#This Row],[ilustrador]]</f>
        <v>HELOÍSA PINTARELLI/ARQUIVO DA EDITORA</v>
      </c>
      <c r="AA1658" s="22">
        <v>14</v>
      </c>
      <c r="AB1658" s="20" t="s">
        <v>153</v>
      </c>
      <c r="AC1658" s="20" t="s">
        <v>36</v>
      </c>
      <c r="AD1658" s="4" t="str">
        <f>"Pitanguá"</f>
        <v>Pitanguá</v>
      </c>
      <c r="AE1658" s="14" t="str">
        <f>"Matemática"</f>
        <v>Matemática</v>
      </c>
      <c r="AF1658" s="14"/>
    </row>
    <row r="1659" spans="1:32" x14ac:dyDescent="0.3">
      <c r="A1659" s="23" t="s">
        <v>4743</v>
      </c>
      <c r="B1659" s="20" t="s">
        <v>16</v>
      </c>
      <c r="C1659" s="20" t="s">
        <v>89</v>
      </c>
      <c r="D1659" s="20" t="s">
        <v>8</v>
      </c>
      <c r="E1659" s="22">
        <v>148</v>
      </c>
      <c r="F1659" s="22">
        <v>5</v>
      </c>
      <c r="G1659" s="22">
        <v>6</v>
      </c>
      <c r="H1659" s="22"/>
      <c r="I1659" s="23" t="s">
        <v>9</v>
      </c>
      <c r="J1659" s="23"/>
      <c r="K1659" s="22"/>
      <c r="L1659" s="22"/>
      <c r="M1659" s="23"/>
      <c r="N1659" s="23"/>
      <c r="O1659" s="26" t="s">
        <v>4744</v>
      </c>
      <c r="P1659" s="26"/>
      <c r="Q1659" s="22"/>
      <c r="R1659" s="24"/>
      <c r="S1659" s="24"/>
      <c r="T1659" s="24"/>
      <c r="U1659" s="24"/>
      <c r="V1659" s="24"/>
      <c r="W1659" s="22" t="s">
        <v>940</v>
      </c>
      <c r="X1659" s="4" t="str">
        <f>IF(Tabela2[[#This Row],[sigla]]="","",VLOOKUP(Tabela2[[#This Row],[sigla]],créditos_base!B:C,2,0))</f>
        <v>RONALDO LUCENA/ARQUIVO DA EDITORA</v>
      </c>
      <c r="Y1659" s="23"/>
      <c r="Z1659" s="23" t="str">
        <f>Tabela2[[#This Row],[ilustrador]]</f>
        <v>RONALDO LUCENA/ARQUIVO DA EDITORA</v>
      </c>
      <c r="AA1659" s="22"/>
      <c r="AB1659" s="20"/>
      <c r="AD1659" s="4" t="str">
        <f>"Pitanguá"</f>
        <v>Pitanguá</v>
      </c>
      <c r="AE1659" s="14" t="str">
        <f>"Matemática"</f>
        <v>Matemática</v>
      </c>
      <c r="AF1659" s="14"/>
    </row>
    <row r="1660" spans="1:32" ht="28.8" x14ac:dyDescent="0.3">
      <c r="A1660" s="23" t="s">
        <v>4745</v>
      </c>
      <c r="B1660" s="20" t="s">
        <v>16</v>
      </c>
      <c r="C1660" s="20" t="s">
        <v>89</v>
      </c>
      <c r="D1660" s="20" t="s">
        <v>8</v>
      </c>
      <c r="E1660" s="22">
        <v>148</v>
      </c>
      <c r="F1660" s="22">
        <v>5</v>
      </c>
      <c r="G1660" s="22">
        <v>6</v>
      </c>
      <c r="H1660" s="22"/>
      <c r="I1660" s="23" t="s">
        <v>9</v>
      </c>
      <c r="J1660" s="23"/>
      <c r="K1660" s="22"/>
      <c r="L1660" s="22"/>
      <c r="M1660" s="23"/>
      <c r="N1660" s="23"/>
      <c r="O1660" s="26" t="s">
        <v>4746</v>
      </c>
      <c r="P1660" s="26"/>
      <c r="Q1660" s="22"/>
      <c r="R1660" s="24"/>
      <c r="S1660" s="24"/>
      <c r="T1660" s="24"/>
      <c r="U1660" s="24"/>
      <c r="V1660" s="24"/>
      <c r="W1660" s="22" t="s">
        <v>940</v>
      </c>
      <c r="X1660" s="4" t="str">
        <f>IF(Tabela2[[#This Row],[sigla]]="","",VLOOKUP(Tabela2[[#This Row],[sigla]],créditos_base!B:C,2,0))</f>
        <v>RONALDO LUCENA/ARQUIVO DA EDITORA</v>
      </c>
      <c r="Y1660" s="23"/>
      <c r="Z1660" s="23" t="str">
        <f>Tabela2[[#This Row],[ilustrador]]</f>
        <v>RONALDO LUCENA/ARQUIVO DA EDITORA</v>
      </c>
      <c r="AA1660" s="22"/>
      <c r="AB1660" s="20"/>
      <c r="AD1660" s="4" t="str">
        <f>"Pitanguá"</f>
        <v>Pitanguá</v>
      </c>
      <c r="AE1660" s="14" t="str">
        <f>"Matemática"</f>
        <v>Matemática</v>
      </c>
      <c r="AF1660" s="14"/>
    </row>
    <row r="1661" spans="1:32" x14ac:dyDescent="0.3">
      <c r="A1661" s="23" t="s">
        <v>528</v>
      </c>
      <c r="B1661" s="20" t="s">
        <v>16</v>
      </c>
      <c r="C1661" s="20" t="s">
        <v>89</v>
      </c>
      <c r="D1661" s="20" t="s">
        <v>8</v>
      </c>
      <c r="E1661" s="22">
        <v>119</v>
      </c>
      <c r="F1661" s="22">
        <v>1</v>
      </c>
      <c r="G1661" s="22">
        <v>6</v>
      </c>
      <c r="H1661" s="22"/>
      <c r="I1661" s="23" t="s">
        <v>33</v>
      </c>
      <c r="J1661" s="23"/>
      <c r="K1661" s="22"/>
      <c r="L1661" s="22"/>
      <c r="M1661" s="23"/>
      <c r="N1661" s="23"/>
      <c r="O1661" s="26" t="s">
        <v>529</v>
      </c>
      <c r="P1661" s="26"/>
      <c r="Q1661" s="22">
        <v>35</v>
      </c>
      <c r="R1661" s="24">
        <v>45771</v>
      </c>
      <c r="S1661" s="24">
        <v>45775</v>
      </c>
      <c r="T1661" s="24"/>
      <c r="U1661" s="24"/>
      <c r="V1661" s="24">
        <v>45777</v>
      </c>
      <c r="W1661" s="22" t="s">
        <v>72</v>
      </c>
      <c r="X1661" s="4" t="str">
        <f>IF(Tabela2[[#This Row],[sigla]]="","",VLOOKUP(Tabela2[[#This Row],[sigla]],créditos_base!B:C,2,0))</f>
        <v>HELOÍSA PINTARELLI/ARQUIVO DA EDITORA</v>
      </c>
      <c r="Y1661" s="23" t="s">
        <v>188</v>
      </c>
      <c r="Z1661" s="23" t="str">
        <f>Tabela2[[#This Row],[ilustrador]]</f>
        <v>HELOÍSA PINTARELLI/ARQUIVO DA EDITORA</v>
      </c>
      <c r="AA1661" s="22">
        <v>14</v>
      </c>
      <c r="AB1661" s="20" t="s">
        <v>153</v>
      </c>
      <c r="AC1661" s="20" t="s">
        <v>36</v>
      </c>
      <c r="AD1661" s="4" t="str">
        <f>"Pitanguá"</f>
        <v>Pitanguá</v>
      </c>
      <c r="AE1661" s="14" t="str">
        <f>"Matemática"</f>
        <v>Matemática</v>
      </c>
      <c r="AF1661" s="14"/>
    </row>
    <row r="1662" spans="1:32" x14ac:dyDescent="0.3">
      <c r="A1662" s="23" t="s">
        <v>4747</v>
      </c>
      <c r="B1662" s="20" t="s">
        <v>16</v>
      </c>
      <c r="C1662" s="20" t="s">
        <v>89</v>
      </c>
      <c r="D1662" s="20" t="s">
        <v>8</v>
      </c>
      <c r="E1662" s="22">
        <v>148</v>
      </c>
      <c r="F1662" s="22">
        <v>5</v>
      </c>
      <c r="G1662" s="22">
        <v>6</v>
      </c>
      <c r="H1662" s="22"/>
      <c r="I1662" s="23" t="s">
        <v>9</v>
      </c>
      <c r="J1662" s="23"/>
      <c r="K1662" s="22"/>
      <c r="L1662" s="22"/>
      <c r="M1662" s="23"/>
      <c r="N1662" s="23"/>
      <c r="O1662" s="26" t="s">
        <v>4748</v>
      </c>
      <c r="P1662" s="26"/>
      <c r="Q1662" s="22"/>
      <c r="R1662" s="24"/>
      <c r="S1662" s="24"/>
      <c r="T1662" s="24"/>
      <c r="U1662" s="24"/>
      <c r="V1662" s="24"/>
      <c r="W1662" s="22" t="s">
        <v>940</v>
      </c>
      <c r="X1662" s="4" t="str">
        <f>IF(Tabela2[[#This Row],[sigla]]="","",VLOOKUP(Tabela2[[#This Row],[sigla]],créditos_base!B:C,2,0))</f>
        <v>RONALDO LUCENA/ARQUIVO DA EDITORA</v>
      </c>
      <c r="Y1662" s="23"/>
      <c r="Z1662" s="23" t="str">
        <f>Tabela2[[#This Row],[ilustrador]]</f>
        <v>RONALDO LUCENA/ARQUIVO DA EDITORA</v>
      </c>
      <c r="AA1662" s="22"/>
      <c r="AB1662" s="20"/>
      <c r="AD1662" s="4" t="str">
        <f>"Pitanguá"</f>
        <v>Pitanguá</v>
      </c>
      <c r="AE1662" s="14" t="str">
        <f>"Matemática"</f>
        <v>Matemática</v>
      </c>
      <c r="AF1662" s="14"/>
    </row>
    <row r="1663" spans="1:32" x14ac:dyDescent="0.3">
      <c r="A1663" s="23" t="s">
        <v>530</v>
      </c>
      <c r="B1663" s="20" t="s">
        <v>16</v>
      </c>
      <c r="C1663" s="20" t="s">
        <v>7</v>
      </c>
      <c r="D1663" s="20" t="s">
        <v>8</v>
      </c>
      <c r="E1663" s="22">
        <v>120</v>
      </c>
      <c r="F1663" s="22">
        <v>1</v>
      </c>
      <c r="G1663" s="22">
        <v>6</v>
      </c>
      <c r="H1663" s="22"/>
      <c r="I1663" s="23" t="s">
        <v>33</v>
      </c>
      <c r="J1663" s="23"/>
      <c r="K1663" s="22"/>
      <c r="L1663" s="22"/>
      <c r="M1663" s="23"/>
      <c r="N1663" s="23"/>
      <c r="O1663" s="26" t="s">
        <v>531</v>
      </c>
      <c r="P1663" s="26"/>
      <c r="Q1663" s="22">
        <v>4</v>
      </c>
      <c r="R1663" s="24">
        <v>45726</v>
      </c>
      <c r="S1663" s="24"/>
      <c r="T1663" s="24"/>
      <c r="U1663" s="24"/>
      <c r="V1663" s="24">
        <v>45727</v>
      </c>
      <c r="W1663" s="22" t="s">
        <v>460</v>
      </c>
      <c r="X1663" s="4" t="str">
        <f>IF(Tabela2[[#This Row],[sigla]]="","",VLOOKUP(Tabela2[[#This Row],[sigla]],créditos_base!B:C,2,0))</f>
        <v>CLAUDIA SOUZA/ARQUIVO DA EDITORA</v>
      </c>
      <c r="Y1663" s="23" t="s">
        <v>433</v>
      </c>
      <c r="Z1663" s="23" t="str">
        <f>Tabela2[[#This Row],[ilustrador]]</f>
        <v>CLAUDIA SOUZA/ARQUIVO DA EDITORA</v>
      </c>
      <c r="AA1663" s="22">
        <v>13</v>
      </c>
      <c r="AB1663" s="20" t="s">
        <v>532</v>
      </c>
      <c r="AC1663" s="20" t="s">
        <v>36</v>
      </c>
      <c r="AD1663" s="4" t="str">
        <f>"Pitanguá"</f>
        <v>Pitanguá</v>
      </c>
      <c r="AE1663" s="14" t="str">
        <f>"Matemática"</f>
        <v>Matemática</v>
      </c>
      <c r="AF1663" s="14"/>
    </row>
    <row r="1664" spans="1:32" x14ac:dyDescent="0.3">
      <c r="A1664" s="23" t="s">
        <v>4749</v>
      </c>
      <c r="B1664" s="20" t="s">
        <v>6</v>
      </c>
      <c r="C1664" s="20" t="s">
        <v>89</v>
      </c>
      <c r="D1664" s="20" t="s">
        <v>8</v>
      </c>
      <c r="E1664" s="22">
        <v>150</v>
      </c>
      <c r="F1664" s="22">
        <v>5</v>
      </c>
      <c r="G1664" s="22">
        <v>6</v>
      </c>
      <c r="H1664" s="22"/>
      <c r="I1664" s="23" t="s">
        <v>9</v>
      </c>
      <c r="J1664" s="23"/>
      <c r="K1664" s="22"/>
      <c r="L1664" s="22"/>
      <c r="M1664" s="23"/>
      <c r="N1664" s="23"/>
      <c r="O1664" s="26" t="s">
        <v>4750</v>
      </c>
      <c r="P1664" s="26"/>
      <c r="Q1664" s="22"/>
      <c r="R1664" s="24"/>
      <c r="S1664" s="24"/>
      <c r="T1664" s="24"/>
      <c r="U1664" s="24"/>
      <c r="V1664" s="24"/>
      <c r="W1664" s="22" t="s">
        <v>940</v>
      </c>
      <c r="X1664" s="4" t="str">
        <f>IF(Tabela2[[#This Row],[sigla]]="","",VLOOKUP(Tabela2[[#This Row],[sigla]],créditos_base!B:C,2,0))</f>
        <v>RONALDO LUCENA/ARQUIVO DA EDITORA</v>
      </c>
      <c r="Y1664" s="23"/>
      <c r="Z1664" s="23" t="str">
        <f>Tabela2[[#This Row],[ilustrador]]</f>
        <v>RONALDO LUCENA/ARQUIVO DA EDITORA</v>
      </c>
      <c r="AA1664" s="22"/>
      <c r="AB1664" s="20"/>
      <c r="AD1664" s="4" t="str">
        <f>"Pitanguá"</f>
        <v>Pitanguá</v>
      </c>
      <c r="AE1664" s="14" t="str">
        <f>"Matemática"</f>
        <v>Matemática</v>
      </c>
      <c r="AF1664" s="14"/>
    </row>
    <row r="1665" spans="1:32" x14ac:dyDescent="0.3">
      <c r="A1665" s="23" t="s">
        <v>533</v>
      </c>
      <c r="B1665" s="20" t="s">
        <v>16</v>
      </c>
      <c r="C1665" s="20" t="s">
        <v>89</v>
      </c>
      <c r="D1665" s="20" t="s">
        <v>8</v>
      </c>
      <c r="E1665" s="22">
        <v>121</v>
      </c>
      <c r="F1665" s="22">
        <v>1</v>
      </c>
      <c r="G1665" s="22">
        <v>6</v>
      </c>
      <c r="H1665" s="22"/>
      <c r="I1665" s="23" t="s">
        <v>33</v>
      </c>
      <c r="J1665" s="23"/>
      <c r="K1665" s="22"/>
      <c r="L1665" s="22"/>
      <c r="M1665" s="23"/>
      <c r="N1665" s="23"/>
      <c r="O1665" s="26" t="s">
        <v>534</v>
      </c>
      <c r="P1665" s="26"/>
      <c r="Q1665" s="22">
        <v>45</v>
      </c>
      <c r="R1665" s="24">
        <v>45789</v>
      </c>
      <c r="S1665" s="24">
        <v>45789</v>
      </c>
      <c r="T1665" s="24"/>
      <c r="U1665" s="24"/>
      <c r="V1665" s="24">
        <v>45789</v>
      </c>
      <c r="W1665" s="22" t="s">
        <v>230</v>
      </c>
      <c r="X1665" s="4" t="str">
        <f>IF(Tabela2[[#This Row],[sigla]]="","",VLOOKUP(Tabela2[[#This Row],[sigla]],créditos_base!B:C,2,0))</f>
        <v>RAFAEL L. GAION/ARQUIVO DA EDITORA</v>
      </c>
      <c r="Y1665" s="23" t="s">
        <v>152</v>
      </c>
      <c r="Z1665" s="23" t="str">
        <f>Tabela2[[#This Row],[ilustrador]]</f>
        <v>RAFAEL L. GAION/ARQUIVO DA EDITORA</v>
      </c>
      <c r="AA1665" s="22">
        <v>14</v>
      </c>
      <c r="AB1665" s="20" t="s">
        <v>244</v>
      </c>
      <c r="AC1665" s="20" t="s">
        <v>36</v>
      </c>
      <c r="AD1665" s="4" t="str">
        <f>"Pitanguá"</f>
        <v>Pitanguá</v>
      </c>
      <c r="AE1665" s="14" t="str">
        <f>"Matemática"</f>
        <v>Matemática</v>
      </c>
      <c r="AF1665" s="14"/>
    </row>
    <row r="1666" spans="1:32" ht="28.8" x14ac:dyDescent="0.3">
      <c r="A1666" s="23" t="s">
        <v>4751</v>
      </c>
      <c r="B1666" s="20" t="s">
        <v>6</v>
      </c>
      <c r="C1666" s="20" t="s">
        <v>89</v>
      </c>
      <c r="D1666" s="20" t="s">
        <v>8</v>
      </c>
      <c r="E1666" s="22">
        <v>150</v>
      </c>
      <c r="F1666" s="22">
        <v>5</v>
      </c>
      <c r="G1666" s="22">
        <v>6</v>
      </c>
      <c r="H1666" s="22"/>
      <c r="I1666" s="23" t="s">
        <v>9</v>
      </c>
      <c r="J1666" s="23"/>
      <c r="K1666" s="22"/>
      <c r="L1666" s="22"/>
      <c r="M1666" s="23"/>
      <c r="N1666" s="23"/>
      <c r="O1666" s="26" t="s">
        <v>4752</v>
      </c>
      <c r="P1666" s="26"/>
      <c r="Q1666" s="22"/>
      <c r="R1666" s="24"/>
      <c r="S1666" s="24"/>
      <c r="T1666" s="24"/>
      <c r="U1666" s="24"/>
      <c r="V1666" s="24"/>
      <c r="W1666" s="22" t="s">
        <v>940</v>
      </c>
      <c r="X1666" s="4" t="str">
        <f>IF(Tabela2[[#This Row],[sigla]]="","",VLOOKUP(Tabela2[[#This Row],[sigla]],créditos_base!B:C,2,0))</f>
        <v>RONALDO LUCENA/ARQUIVO DA EDITORA</v>
      </c>
      <c r="Y1666" s="23"/>
      <c r="Z1666" s="23" t="str">
        <f>Tabela2[[#This Row],[ilustrador]]</f>
        <v>RONALDO LUCENA/ARQUIVO DA EDITORA</v>
      </c>
      <c r="AA1666" s="22"/>
      <c r="AB1666" s="20"/>
      <c r="AD1666" s="4" t="str">
        <f>"Pitanguá"</f>
        <v>Pitanguá</v>
      </c>
      <c r="AE1666" s="14" t="str">
        <f>"Matemática"</f>
        <v>Matemática</v>
      </c>
      <c r="AF1666" s="14"/>
    </row>
    <row r="1667" spans="1:32" ht="28.8" x14ac:dyDescent="0.3">
      <c r="A1667" s="23" t="s">
        <v>535</v>
      </c>
      <c r="B1667" s="20" t="s">
        <v>16</v>
      </c>
      <c r="C1667" s="20" t="s">
        <v>89</v>
      </c>
      <c r="D1667" s="20" t="s">
        <v>8</v>
      </c>
      <c r="E1667" s="22">
        <v>121</v>
      </c>
      <c r="F1667" s="22">
        <v>1</v>
      </c>
      <c r="G1667" s="22">
        <v>6</v>
      </c>
      <c r="H1667" s="22"/>
      <c r="I1667" s="23" t="s">
        <v>9</v>
      </c>
      <c r="J1667" s="23"/>
      <c r="K1667" s="22"/>
      <c r="L1667" s="22"/>
      <c r="M1667" s="23"/>
      <c r="N1667" s="23"/>
      <c r="O1667" s="26" t="s">
        <v>536</v>
      </c>
      <c r="P1667" s="26"/>
      <c r="Q1667" s="22"/>
      <c r="R1667" s="24"/>
      <c r="S1667" s="24"/>
      <c r="T1667" s="24"/>
      <c r="U1667" s="24"/>
      <c r="V1667" s="24"/>
      <c r="W1667" s="22" t="s">
        <v>160</v>
      </c>
      <c r="X1667" s="4" t="str">
        <f>IF(Tabela2[[#This Row],[sigla]]="","",VLOOKUP(Tabela2[[#This Row],[sigla]],créditos_base!B:C,2,0))</f>
        <v>SERGIO LIMA/ARQUIVO DA EDITORA</v>
      </c>
      <c r="Y1667" s="23"/>
      <c r="Z1667" s="23" t="str">
        <f>Tabela2[[#This Row],[ilustrador]]</f>
        <v>SERGIO LIMA/ARQUIVO DA EDITORA</v>
      </c>
      <c r="AA1667" s="22"/>
      <c r="AB1667" s="20"/>
      <c r="AD1667" s="4" t="str">
        <f>"Pitanguá"</f>
        <v>Pitanguá</v>
      </c>
      <c r="AE1667" s="14" t="str">
        <f>"Matemática"</f>
        <v>Matemática</v>
      </c>
      <c r="AF1667" s="14"/>
    </row>
    <row r="1668" spans="1:32" x14ac:dyDescent="0.3">
      <c r="A1668" s="23" t="s">
        <v>4753</v>
      </c>
      <c r="B1668" s="20" t="s">
        <v>6</v>
      </c>
      <c r="C1668" s="20" t="s">
        <v>89</v>
      </c>
      <c r="D1668" s="20" t="s">
        <v>8</v>
      </c>
      <c r="E1668" s="22">
        <v>150</v>
      </c>
      <c r="F1668" s="22">
        <v>5</v>
      </c>
      <c r="G1668" s="22">
        <v>6</v>
      </c>
      <c r="H1668" s="22"/>
      <c r="I1668" s="23" t="s">
        <v>9</v>
      </c>
      <c r="J1668" s="23"/>
      <c r="K1668" s="22"/>
      <c r="L1668" s="22"/>
      <c r="M1668" s="23"/>
      <c r="N1668" s="23"/>
      <c r="O1668" s="26" t="s">
        <v>4754</v>
      </c>
      <c r="P1668" s="26"/>
      <c r="Q1668" s="22"/>
      <c r="R1668" s="24"/>
      <c r="S1668" s="24"/>
      <c r="T1668" s="24"/>
      <c r="U1668" s="24"/>
      <c r="V1668" s="24"/>
      <c r="W1668" s="22" t="s">
        <v>940</v>
      </c>
      <c r="X1668" s="4" t="str">
        <f>IF(Tabela2[[#This Row],[sigla]]="","",VLOOKUP(Tabela2[[#This Row],[sigla]],créditos_base!B:C,2,0))</f>
        <v>RONALDO LUCENA/ARQUIVO DA EDITORA</v>
      </c>
      <c r="Y1668" s="23"/>
      <c r="Z1668" s="23" t="str">
        <f>Tabela2[[#This Row],[ilustrador]]</f>
        <v>RONALDO LUCENA/ARQUIVO DA EDITORA</v>
      </c>
      <c r="AA1668" s="22"/>
      <c r="AB1668" s="20"/>
      <c r="AD1668" s="4" t="str">
        <f>"Pitanguá"</f>
        <v>Pitanguá</v>
      </c>
      <c r="AE1668" s="14" t="str">
        <f>"Matemática"</f>
        <v>Matemática</v>
      </c>
      <c r="AF1668" s="14"/>
    </row>
    <row r="1669" spans="1:32" ht="57.6" x14ac:dyDescent="0.3">
      <c r="A1669" s="23" t="s">
        <v>537</v>
      </c>
      <c r="B1669" s="20" t="s">
        <v>16</v>
      </c>
      <c r="C1669" s="20" t="s">
        <v>89</v>
      </c>
      <c r="D1669" s="20" t="s">
        <v>8</v>
      </c>
      <c r="E1669" s="22">
        <v>122</v>
      </c>
      <c r="F1669" s="22">
        <v>1</v>
      </c>
      <c r="G1669" s="22">
        <v>6</v>
      </c>
      <c r="H1669" s="22"/>
      <c r="I1669" s="23" t="s">
        <v>9</v>
      </c>
      <c r="J1669" s="23"/>
      <c r="K1669" s="22"/>
      <c r="L1669" s="22"/>
      <c r="M1669" s="23"/>
      <c r="N1669" s="23"/>
      <c r="O1669" s="26" t="s">
        <v>538</v>
      </c>
      <c r="P1669" s="26"/>
      <c r="Q1669" s="22"/>
      <c r="R1669" s="24"/>
      <c r="S1669" s="24"/>
      <c r="T1669" s="24"/>
      <c r="U1669" s="24"/>
      <c r="V1669" s="24"/>
      <c r="W1669" s="22" t="s">
        <v>160</v>
      </c>
      <c r="X1669" s="4" t="str">
        <f>IF(Tabela2[[#This Row],[sigla]]="","",VLOOKUP(Tabela2[[#This Row],[sigla]],créditos_base!B:C,2,0))</f>
        <v>SERGIO LIMA/ARQUIVO DA EDITORA</v>
      </c>
      <c r="Y1669" s="23"/>
      <c r="Z1669" s="23" t="str">
        <f>Tabela2[[#This Row],[ilustrador]]</f>
        <v>SERGIO LIMA/ARQUIVO DA EDITORA</v>
      </c>
      <c r="AA1669" s="22"/>
      <c r="AB1669" s="20"/>
      <c r="AD1669" s="4" t="str">
        <f>"Pitanguá"</f>
        <v>Pitanguá</v>
      </c>
      <c r="AE1669" s="14" t="str">
        <f>"Matemática"</f>
        <v>Matemática</v>
      </c>
      <c r="AF1669" s="14"/>
    </row>
    <row r="1670" spans="1:32" ht="28.8" x14ac:dyDescent="0.3">
      <c r="A1670" s="23" t="s">
        <v>4755</v>
      </c>
      <c r="B1670" s="20" t="s">
        <v>6</v>
      </c>
      <c r="C1670" s="20" t="s">
        <v>7</v>
      </c>
      <c r="D1670" s="20" t="s">
        <v>8</v>
      </c>
      <c r="E1670" s="22">
        <v>150</v>
      </c>
      <c r="F1670" s="22">
        <v>5</v>
      </c>
      <c r="G1670" s="22">
        <v>6</v>
      </c>
      <c r="H1670" s="22"/>
      <c r="I1670" s="23" t="s">
        <v>9</v>
      </c>
      <c r="J1670" s="23"/>
      <c r="K1670" s="22"/>
      <c r="L1670" s="22"/>
      <c r="M1670" s="23"/>
      <c r="N1670" s="23"/>
      <c r="O1670" s="26" t="s">
        <v>4756</v>
      </c>
      <c r="P1670" s="26"/>
      <c r="Q1670" s="22"/>
      <c r="R1670" s="24"/>
      <c r="S1670" s="24"/>
      <c r="T1670" s="24"/>
      <c r="U1670" s="24"/>
      <c r="V1670" s="24"/>
      <c r="W1670" s="22" t="s">
        <v>230</v>
      </c>
      <c r="X1670" s="4" t="str">
        <f>IF(Tabela2[[#This Row],[sigla]]="","",VLOOKUP(Tabela2[[#This Row],[sigla]],créditos_base!B:C,2,0))</f>
        <v>RAFAEL L. GAION/ARQUIVO DA EDITORA</v>
      </c>
      <c r="Y1670" s="23"/>
      <c r="Z1670" s="23" t="str">
        <f>Tabela2[[#This Row],[ilustrador]]</f>
        <v>RAFAEL L. GAION/ARQUIVO DA EDITORA</v>
      </c>
      <c r="AA1670" s="22"/>
      <c r="AB1670" s="20"/>
      <c r="AD1670" s="4" t="str">
        <f>"Pitanguá"</f>
        <v>Pitanguá</v>
      </c>
      <c r="AE1670" s="14" t="str">
        <f>"Matemática"</f>
        <v>Matemática</v>
      </c>
      <c r="AF1670" s="14"/>
    </row>
    <row r="1671" spans="1:32" ht="43.2" x14ac:dyDescent="0.3">
      <c r="A1671" s="23" t="s">
        <v>4757</v>
      </c>
      <c r="B1671" s="20" t="s">
        <v>16</v>
      </c>
      <c r="C1671" s="20" t="s">
        <v>7</v>
      </c>
      <c r="D1671" s="20" t="s">
        <v>8</v>
      </c>
      <c r="E1671" s="22">
        <v>151</v>
      </c>
      <c r="F1671" s="22">
        <v>5</v>
      </c>
      <c r="G1671" s="22">
        <v>6</v>
      </c>
      <c r="H1671" s="22"/>
      <c r="I1671" s="23" t="s">
        <v>9</v>
      </c>
      <c r="J1671" s="23"/>
      <c r="K1671" s="22"/>
      <c r="L1671" s="22"/>
      <c r="M1671" s="23"/>
      <c r="N1671" s="23"/>
      <c r="O1671" s="26" t="s">
        <v>4758</v>
      </c>
      <c r="P1671" s="26"/>
      <c r="Q1671" s="22"/>
      <c r="R1671" s="24"/>
      <c r="S1671" s="24"/>
      <c r="T1671" s="24"/>
      <c r="U1671" s="24"/>
      <c r="V1671" s="24"/>
      <c r="W1671" s="22" t="s">
        <v>3189</v>
      </c>
      <c r="X1671" s="4" t="str">
        <f>IF(Tabela2[[#This Row],[sigla]]="","",VLOOKUP(Tabela2[[#This Row],[sigla]],créditos_base!B:C,2,0))</f>
        <v>ANDRÉ AGUIAR/ARQUIVO DA EDITORA</v>
      </c>
      <c r="Y1671" s="23"/>
      <c r="Z1671" s="23" t="str">
        <f>Tabela2[[#This Row],[ilustrador]]</f>
        <v>ANDRÉ AGUIAR/ARQUIVO DA EDITORA</v>
      </c>
      <c r="AA1671" s="22"/>
      <c r="AB1671" s="20"/>
      <c r="AD1671" s="4" t="str">
        <f>"Pitanguá"</f>
        <v>Pitanguá</v>
      </c>
      <c r="AE1671" s="14" t="str">
        <f>"Matemática"</f>
        <v>Matemática</v>
      </c>
      <c r="AF1671" s="14"/>
    </row>
    <row r="1672" spans="1:32" ht="43.2" x14ac:dyDescent="0.3">
      <c r="A1672" s="23" t="s">
        <v>542</v>
      </c>
      <c r="B1672" s="20" t="s">
        <v>6</v>
      </c>
      <c r="C1672" s="20" t="s">
        <v>89</v>
      </c>
      <c r="D1672" s="20" t="s">
        <v>8</v>
      </c>
      <c r="E1672" s="22">
        <v>140</v>
      </c>
      <c r="F1672" s="22">
        <v>1</v>
      </c>
      <c r="G1672" s="22">
        <v>6</v>
      </c>
      <c r="H1672" s="22"/>
      <c r="I1672" s="23" t="s">
        <v>9</v>
      </c>
      <c r="J1672" s="23"/>
      <c r="K1672" s="22"/>
      <c r="L1672" s="22"/>
      <c r="M1672" s="23"/>
      <c r="N1672" s="23"/>
      <c r="O1672" s="26" t="s">
        <v>543</v>
      </c>
      <c r="P1672" s="26" t="s">
        <v>11</v>
      </c>
      <c r="Q1672" s="22"/>
      <c r="R1672" s="24"/>
      <c r="S1672" s="24"/>
      <c r="T1672" s="24"/>
      <c r="U1672" s="24"/>
      <c r="V1672" s="24"/>
      <c r="W1672" s="22" t="s">
        <v>72</v>
      </c>
      <c r="X1672" s="4" t="str">
        <f>IF(Tabela2[[#This Row],[sigla]]="","",VLOOKUP(Tabela2[[#This Row],[sigla]],créditos_base!B:C,2,0))</f>
        <v>HELOÍSA PINTARELLI/ARQUIVO DA EDITORA</v>
      </c>
      <c r="Y1672" s="23"/>
      <c r="Z1672" s="23" t="str">
        <f>Tabela2[[#This Row],[ilustrador]]</f>
        <v>HELOÍSA PINTARELLI/ARQUIVO DA EDITORA</v>
      </c>
      <c r="AA1672" s="22"/>
      <c r="AB1672" s="20"/>
      <c r="AD1672" s="4" t="str">
        <f>"Pitanguá"</f>
        <v>Pitanguá</v>
      </c>
      <c r="AE1672" s="14" t="str">
        <f>"Matemática"</f>
        <v>Matemática</v>
      </c>
      <c r="AF1672" s="14"/>
    </row>
    <row r="1673" spans="1:32" x14ac:dyDescent="0.3">
      <c r="A1673" s="23" t="s">
        <v>4759</v>
      </c>
      <c r="B1673" s="20" t="s">
        <v>16</v>
      </c>
      <c r="C1673" s="20" t="s">
        <v>7</v>
      </c>
      <c r="D1673" s="20" t="s">
        <v>8</v>
      </c>
      <c r="E1673" s="22">
        <v>151</v>
      </c>
      <c r="F1673" s="22">
        <v>5</v>
      </c>
      <c r="G1673" s="22">
        <v>6</v>
      </c>
      <c r="H1673" s="22"/>
      <c r="I1673" s="23" t="s">
        <v>33</v>
      </c>
      <c r="J1673" s="23"/>
      <c r="K1673" s="22"/>
      <c r="L1673" s="22"/>
      <c r="M1673" s="23"/>
      <c r="N1673" s="23"/>
      <c r="O1673" s="26" t="s">
        <v>4760</v>
      </c>
      <c r="P1673" s="26"/>
      <c r="Q1673" s="22">
        <v>160</v>
      </c>
      <c r="R1673" s="24">
        <v>45890</v>
      </c>
      <c r="S1673" s="24">
        <v>45890</v>
      </c>
      <c r="T1673" s="24"/>
      <c r="U1673" s="24"/>
      <c r="V1673" s="24">
        <v>45890</v>
      </c>
      <c r="W1673" s="22" t="s">
        <v>3189</v>
      </c>
      <c r="X1673" s="4" t="str">
        <f>IF(Tabela2[[#This Row],[sigla]]="","",VLOOKUP(Tabela2[[#This Row],[sigla]],créditos_base!B:C,2,0))</f>
        <v>ANDRÉ AGUIAR/ARQUIVO DA EDITORA</v>
      </c>
      <c r="Y1673" s="23" t="s">
        <v>2951</v>
      </c>
      <c r="Z1673" s="23" t="str">
        <f>Tabela2[[#This Row],[ilustrador]]</f>
        <v>ANDRÉ AGUIAR/ARQUIVO DA EDITORA</v>
      </c>
      <c r="AA1673" s="22">
        <v>14</v>
      </c>
      <c r="AB1673" s="20" t="s">
        <v>1500</v>
      </c>
      <c r="AC1673" s="20" t="s">
        <v>36</v>
      </c>
      <c r="AD1673" s="4" t="str">
        <f>"Pitanguá"</f>
        <v>Pitanguá</v>
      </c>
      <c r="AE1673" s="14" t="str">
        <f>"Matemática"</f>
        <v>Matemática</v>
      </c>
      <c r="AF1673" s="14"/>
    </row>
    <row r="1674" spans="1:32" x14ac:dyDescent="0.3">
      <c r="A1674" s="23" t="s">
        <v>4761</v>
      </c>
      <c r="B1674" s="20" t="s">
        <v>16</v>
      </c>
      <c r="C1674" s="20" t="s">
        <v>7</v>
      </c>
      <c r="D1674" s="20" t="s">
        <v>8</v>
      </c>
      <c r="E1674" s="22">
        <v>151</v>
      </c>
      <c r="F1674" s="22">
        <v>5</v>
      </c>
      <c r="G1674" s="22">
        <v>6</v>
      </c>
      <c r="H1674" s="22"/>
      <c r="I1674" s="23" t="s">
        <v>33</v>
      </c>
      <c r="J1674" s="23"/>
      <c r="K1674" s="22"/>
      <c r="L1674" s="22"/>
      <c r="M1674" s="23"/>
      <c r="N1674" s="23"/>
      <c r="O1674" s="26" t="s">
        <v>4762</v>
      </c>
      <c r="P1674" s="26"/>
      <c r="Q1674" s="22">
        <v>160</v>
      </c>
      <c r="R1674" s="24">
        <v>45890</v>
      </c>
      <c r="S1674" s="24">
        <v>45890</v>
      </c>
      <c r="T1674" s="24"/>
      <c r="U1674" s="24"/>
      <c r="V1674" s="24">
        <v>45890</v>
      </c>
      <c r="W1674" s="22" t="s">
        <v>3189</v>
      </c>
      <c r="X1674" s="4" t="str">
        <f>IF(Tabela2[[#This Row],[sigla]]="","",VLOOKUP(Tabela2[[#This Row],[sigla]],créditos_base!B:C,2,0))</f>
        <v>ANDRÉ AGUIAR/ARQUIVO DA EDITORA</v>
      </c>
      <c r="Y1674" s="23" t="s">
        <v>2951</v>
      </c>
      <c r="Z1674" s="23" t="str">
        <f>Tabela2[[#This Row],[ilustrador]]</f>
        <v>ANDRÉ AGUIAR/ARQUIVO DA EDITORA</v>
      </c>
      <c r="AA1674" s="22">
        <v>14</v>
      </c>
      <c r="AB1674" s="20" t="s">
        <v>1500</v>
      </c>
      <c r="AC1674" s="20" t="s">
        <v>36</v>
      </c>
      <c r="AD1674" s="4" t="str">
        <f>"Pitanguá"</f>
        <v>Pitanguá</v>
      </c>
      <c r="AE1674" s="14" t="str">
        <f>"Matemática"</f>
        <v>Matemática</v>
      </c>
      <c r="AF1674" s="14"/>
    </row>
    <row r="1675" spans="1:32" x14ac:dyDescent="0.3">
      <c r="A1675" s="23" t="s">
        <v>4763</v>
      </c>
      <c r="B1675" s="20" t="s">
        <v>16</v>
      </c>
      <c r="C1675" s="20" t="s">
        <v>7</v>
      </c>
      <c r="D1675" s="20" t="s">
        <v>8</v>
      </c>
      <c r="E1675" s="22">
        <v>152</v>
      </c>
      <c r="F1675" s="22">
        <v>5</v>
      </c>
      <c r="G1675" s="22">
        <v>6</v>
      </c>
      <c r="H1675" s="22"/>
      <c r="I1675" s="23" t="s">
        <v>9</v>
      </c>
      <c r="J1675" s="23"/>
      <c r="K1675" s="22"/>
      <c r="L1675" s="22"/>
      <c r="M1675" s="23"/>
      <c r="N1675" s="23"/>
      <c r="O1675" s="26" t="s">
        <v>4764</v>
      </c>
      <c r="P1675" s="26"/>
      <c r="Q1675" s="22"/>
      <c r="R1675" s="24"/>
      <c r="S1675" s="24"/>
      <c r="T1675" s="24"/>
      <c r="U1675" s="24"/>
      <c r="V1675" s="24"/>
      <c r="W1675" s="22" t="s">
        <v>356</v>
      </c>
      <c r="X1675" s="4" t="str">
        <f>IF(Tabela2[[#This Row],[sigla]]="","",VLOOKUP(Tabela2[[#This Row],[sigla]],créditos_base!B:C,2,0))</f>
        <v>CAMILA CARMONA/ARQUIVO DA EDITORA</v>
      </c>
      <c r="Y1675" s="23"/>
      <c r="Z1675" s="23" t="str">
        <f>Tabela2[[#This Row],[ilustrador]]</f>
        <v>CAMILA CARMONA/ARQUIVO DA EDITORA</v>
      </c>
      <c r="AA1675" s="22"/>
      <c r="AB1675" s="20"/>
      <c r="AD1675" s="4" t="str">
        <f>"Pitanguá"</f>
        <v>Pitanguá</v>
      </c>
      <c r="AE1675" s="14" t="str">
        <f>"Matemática"</f>
        <v>Matemática</v>
      </c>
      <c r="AF1675" s="14"/>
    </row>
    <row r="1676" spans="1:32" x14ac:dyDescent="0.3">
      <c r="A1676" s="23" t="s">
        <v>4765</v>
      </c>
      <c r="B1676" s="20" t="s">
        <v>16</v>
      </c>
      <c r="C1676" s="20" t="s">
        <v>7</v>
      </c>
      <c r="D1676" s="20" t="s">
        <v>8</v>
      </c>
      <c r="E1676" s="22">
        <v>152</v>
      </c>
      <c r="F1676" s="22">
        <v>5</v>
      </c>
      <c r="G1676" s="22">
        <v>6</v>
      </c>
      <c r="H1676" s="22"/>
      <c r="I1676" s="23" t="s">
        <v>9</v>
      </c>
      <c r="J1676" s="23"/>
      <c r="K1676" s="22"/>
      <c r="L1676" s="22"/>
      <c r="M1676" s="23"/>
      <c r="N1676" s="23"/>
      <c r="O1676" s="26" t="s">
        <v>4766</v>
      </c>
      <c r="P1676" s="26"/>
      <c r="Q1676" s="22"/>
      <c r="R1676" s="24"/>
      <c r="S1676" s="24"/>
      <c r="T1676" s="24"/>
      <c r="U1676" s="24"/>
      <c r="V1676" s="24"/>
      <c r="W1676" s="22" t="s">
        <v>356</v>
      </c>
      <c r="X1676" s="4" t="str">
        <f>IF(Tabela2[[#This Row],[sigla]]="","",VLOOKUP(Tabela2[[#This Row],[sigla]],créditos_base!B:C,2,0))</f>
        <v>CAMILA CARMONA/ARQUIVO DA EDITORA</v>
      </c>
      <c r="Y1676" s="23"/>
      <c r="Z1676" s="23" t="str">
        <f>Tabela2[[#This Row],[ilustrador]]</f>
        <v>CAMILA CARMONA/ARQUIVO DA EDITORA</v>
      </c>
      <c r="AA1676" s="22"/>
      <c r="AB1676" s="20"/>
      <c r="AD1676" s="4" t="str">
        <f>"Pitanguá"</f>
        <v>Pitanguá</v>
      </c>
      <c r="AE1676" s="14" t="str">
        <f>"Matemática"</f>
        <v>Matemática</v>
      </c>
      <c r="AF1676" s="14"/>
    </row>
    <row r="1677" spans="1:32" x14ac:dyDescent="0.3">
      <c r="A1677" s="23" t="s">
        <v>544</v>
      </c>
      <c r="B1677" s="20" t="s">
        <v>16</v>
      </c>
      <c r="C1677" s="20" t="s">
        <v>7</v>
      </c>
      <c r="D1677" s="20" t="s">
        <v>8</v>
      </c>
      <c r="E1677" s="22">
        <v>141</v>
      </c>
      <c r="F1677" s="22">
        <v>1</v>
      </c>
      <c r="G1677" s="22">
        <v>6</v>
      </c>
      <c r="H1677" s="22"/>
      <c r="I1677" s="23" t="s">
        <v>33</v>
      </c>
      <c r="J1677" s="23"/>
      <c r="K1677" s="22"/>
      <c r="L1677" s="22"/>
      <c r="M1677" s="23"/>
      <c r="N1677" s="23"/>
      <c r="O1677" s="26" t="s">
        <v>545</v>
      </c>
      <c r="P1677" s="26"/>
      <c r="Q1677" s="22">
        <v>69</v>
      </c>
      <c r="R1677" s="24">
        <v>45811</v>
      </c>
      <c r="S1677" s="24">
        <v>45811</v>
      </c>
      <c r="T1677" s="24"/>
      <c r="U1677" s="24"/>
      <c r="V1677" s="24">
        <v>45811</v>
      </c>
      <c r="W1677" s="22" t="s">
        <v>546</v>
      </c>
      <c r="X1677" s="4" t="str">
        <f>IF(Tabela2[[#This Row],[sigla]]="","",VLOOKUP(Tabela2[[#This Row],[sigla]],créditos_base!B:C,2,0))</f>
        <v>GUILHERME ARANEGA/ARQUIVO DA EDITORA</v>
      </c>
      <c r="Y1677" s="23" t="s">
        <v>152</v>
      </c>
      <c r="Z1677" s="23" t="str">
        <f>Tabela2[[#This Row],[ilustrador]]</f>
        <v>GUILHERME ARANEGA/ARQUIVO DA EDITORA</v>
      </c>
      <c r="AA1677" s="22"/>
      <c r="AB1677" s="20"/>
      <c r="AC1677" s="20" t="s">
        <v>36</v>
      </c>
      <c r="AD1677" s="4" t="str">
        <f>"Pitanguá"</f>
        <v>Pitanguá</v>
      </c>
      <c r="AE1677" s="14" t="str">
        <f>"Matemática"</f>
        <v>Matemática</v>
      </c>
      <c r="AF1677" s="14"/>
    </row>
    <row r="1678" spans="1:32" x14ac:dyDescent="0.3">
      <c r="A1678" s="23" t="s">
        <v>4767</v>
      </c>
      <c r="B1678" s="20" t="s">
        <v>16</v>
      </c>
      <c r="C1678" s="20" t="s">
        <v>7</v>
      </c>
      <c r="D1678" s="20" t="s">
        <v>8</v>
      </c>
      <c r="E1678" s="22">
        <v>152</v>
      </c>
      <c r="F1678" s="22">
        <v>5</v>
      </c>
      <c r="G1678" s="22">
        <v>6</v>
      </c>
      <c r="H1678" s="22"/>
      <c r="I1678" s="23" t="s">
        <v>9</v>
      </c>
      <c r="J1678" s="23"/>
      <c r="K1678" s="22"/>
      <c r="L1678" s="22"/>
      <c r="M1678" s="23"/>
      <c r="N1678" s="23"/>
      <c r="O1678" s="26" t="s">
        <v>4768</v>
      </c>
      <c r="P1678" s="26"/>
      <c r="Q1678" s="22"/>
      <c r="R1678" s="24"/>
      <c r="S1678" s="24"/>
      <c r="T1678" s="24"/>
      <c r="U1678" s="24"/>
      <c r="V1678" s="24"/>
      <c r="W1678" s="22" t="s">
        <v>356</v>
      </c>
      <c r="X1678" s="4" t="str">
        <f>IF(Tabela2[[#This Row],[sigla]]="","",VLOOKUP(Tabela2[[#This Row],[sigla]],créditos_base!B:C,2,0))</f>
        <v>CAMILA CARMONA/ARQUIVO DA EDITORA</v>
      </c>
      <c r="Y1678" s="23"/>
      <c r="Z1678" s="23" t="str">
        <f>Tabela2[[#This Row],[ilustrador]]</f>
        <v>CAMILA CARMONA/ARQUIVO DA EDITORA</v>
      </c>
      <c r="AA1678" s="22"/>
      <c r="AB1678" s="20"/>
      <c r="AD1678" s="4" t="str">
        <f>"Pitanguá"</f>
        <v>Pitanguá</v>
      </c>
      <c r="AE1678" s="14" t="str">
        <f>"Matemática"</f>
        <v>Matemática</v>
      </c>
      <c r="AF1678" s="14"/>
    </row>
    <row r="1679" spans="1:32" x14ac:dyDescent="0.3">
      <c r="A1679" s="23" t="s">
        <v>2533</v>
      </c>
      <c r="B1679" s="20" t="s">
        <v>16</v>
      </c>
      <c r="C1679" s="20" t="s">
        <v>7</v>
      </c>
      <c r="D1679" s="20" t="s">
        <v>8</v>
      </c>
      <c r="E1679" s="22">
        <v>142</v>
      </c>
      <c r="F1679" s="22">
        <v>1</v>
      </c>
      <c r="G1679" s="22">
        <v>6</v>
      </c>
      <c r="H1679" s="22"/>
      <c r="I1679" s="23" t="s">
        <v>90</v>
      </c>
      <c r="J1679" s="23"/>
      <c r="K1679" s="22"/>
      <c r="L1679" s="22"/>
      <c r="M1679" s="23"/>
      <c r="N1679" s="23"/>
      <c r="O1679" s="26" t="s">
        <v>2534</v>
      </c>
      <c r="P1679" s="26"/>
      <c r="Q1679" s="22">
        <v>35</v>
      </c>
      <c r="R1679" s="24">
        <v>45771</v>
      </c>
      <c r="S1679" s="24">
        <v>45776</v>
      </c>
      <c r="T1679" s="24"/>
      <c r="U1679" s="24"/>
      <c r="V1679" s="24">
        <v>45783</v>
      </c>
      <c r="W1679" s="22" t="s">
        <v>72</v>
      </c>
      <c r="X1679" s="4" t="str">
        <f>IF(Tabela2[[#This Row],[sigla]]="","",VLOOKUP(Tabela2[[#This Row],[sigla]],créditos_base!B:C,2,0))</f>
        <v>HELOÍSA PINTARELLI/ARQUIVO DA EDITORA</v>
      </c>
      <c r="Y1679" s="23"/>
      <c r="Z1679" s="23" t="str">
        <f>Tabela2[[#This Row],[ilustrador]]</f>
        <v>HELOÍSA PINTARELLI/ARQUIVO DA EDITORA</v>
      </c>
      <c r="AA1679" s="22">
        <v>8</v>
      </c>
      <c r="AB1679" s="20" t="s">
        <v>2535</v>
      </c>
      <c r="AC1679" s="20" t="s">
        <v>310</v>
      </c>
      <c r="AD1679" s="4" t="str">
        <f>"Pitanguá"</f>
        <v>Pitanguá</v>
      </c>
      <c r="AE1679" s="14" t="str">
        <f>"Matemática"</f>
        <v>Matemática</v>
      </c>
      <c r="AF1679" s="14"/>
    </row>
    <row r="1680" spans="1:32" ht="43.2" x14ac:dyDescent="0.3">
      <c r="A1680" s="23" t="s">
        <v>2536</v>
      </c>
      <c r="B1680" s="20" t="s">
        <v>16</v>
      </c>
      <c r="C1680" s="20" t="s">
        <v>7</v>
      </c>
      <c r="D1680" s="20" t="s">
        <v>8</v>
      </c>
      <c r="E1680" s="22">
        <v>142</v>
      </c>
      <c r="F1680" s="22">
        <v>1</v>
      </c>
      <c r="G1680" s="22">
        <v>6</v>
      </c>
      <c r="H1680" s="22"/>
      <c r="I1680" s="23" t="s">
        <v>90</v>
      </c>
      <c r="J1680" s="23"/>
      <c r="K1680" s="22"/>
      <c r="L1680" s="22"/>
      <c r="M1680" s="23"/>
      <c r="N1680" s="23"/>
      <c r="O1680" s="26" t="s">
        <v>2537</v>
      </c>
      <c r="P1680" s="26"/>
      <c r="Q1680" s="22">
        <v>35</v>
      </c>
      <c r="R1680" s="24">
        <v>45771</v>
      </c>
      <c r="S1680" s="24">
        <v>45776</v>
      </c>
      <c r="T1680" s="24"/>
      <c r="U1680" s="24"/>
      <c r="V1680" s="24">
        <v>45783</v>
      </c>
      <c r="W1680" s="22" t="s">
        <v>72</v>
      </c>
      <c r="X1680" s="4" t="str">
        <f>IF(Tabela2[[#This Row],[sigla]]="","",VLOOKUP(Tabela2[[#This Row],[sigla]],créditos_base!B:C,2,0))</f>
        <v>HELOÍSA PINTARELLI/ARQUIVO DA EDITORA</v>
      </c>
      <c r="Y1680" s="23"/>
      <c r="Z1680" s="23" t="str">
        <f>Tabela2[[#This Row],[ilustrador]]</f>
        <v>HELOÍSA PINTARELLI/ARQUIVO DA EDITORA</v>
      </c>
      <c r="AA1680" s="22">
        <v>8</v>
      </c>
      <c r="AB1680" s="20" t="s">
        <v>2535</v>
      </c>
      <c r="AC1680" s="20" t="s">
        <v>310</v>
      </c>
      <c r="AD1680" s="4" t="str">
        <f>"Pitanguá"</f>
        <v>Pitanguá</v>
      </c>
      <c r="AE1680" s="14" t="str">
        <f>"Matemática"</f>
        <v>Matemática</v>
      </c>
      <c r="AF1680" s="14"/>
    </row>
    <row r="1681" spans="1:32" x14ac:dyDescent="0.3">
      <c r="A1681" s="23" t="s">
        <v>2538</v>
      </c>
      <c r="B1681" s="20" t="s">
        <v>16</v>
      </c>
      <c r="C1681" s="20" t="s">
        <v>89</v>
      </c>
      <c r="D1681" s="20" t="s">
        <v>8</v>
      </c>
      <c r="E1681" s="22">
        <v>143</v>
      </c>
      <c r="F1681" s="22">
        <v>1</v>
      </c>
      <c r="G1681" s="22">
        <v>6</v>
      </c>
      <c r="H1681" s="22"/>
      <c r="I1681" s="23" t="s">
        <v>9</v>
      </c>
      <c r="J1681" s="23"/>
      <c r="K1681" s="22"/>
      <c r="L1681" s="22"/>
      <c r="M1681" s="23"/>
      <c r="N1681" s="23"/>
      <c r="O1681" s="26" t="s">
        <v>2539</v>
      </c>
      <c r="P1681" s="26"/>
      <c r="Q1681" s="22"/>
      <c r="R1681" s="24"/>
      <c r="S1681" s="24"/>
      <c r="T1681" s="24"/>
      <c r="U1681" s="24"/>
      <c r="V1681" s="24"/>
      <c r="W1681" s="22" t="s">
        <v>468</v>
      </c>
      <c r="X1681" s="4" t="str">
        <f>IF(Tabela2[[#This Row],[sigla]]="","",VLOOKUP(Tabela2[[#This Row],[sigla]],créditos_base!B:C,2,0))</f>
        <v>VER DOCUMENTO DE ILS. TÉCNICAS</v>
      </c>
      <c r="Y1681" s="23"/>
      <c r="Z1681" s="23" t="s">
        <v>469</v>
      </c>
      <c r="AA1681" s="22"/>
      <c r="AB1681" s="20"/>
      <c r="AD1681" s="4" t="str">
        <f>"Pitanguá"</f>
        <v>Pitanguá</v>
      </c>
      <c r="AE1681" s="14" t="str">
        <f>"Matemática"</f>
        <v>Matemática</v>
      </c>
      <c r="AF1681" s="14"/>
    </row>
    <row r="1682" spans="1:32" x14ac:dyDescent="0.3">
      <c r="A1682" s="23" t="s">
        <v>2562</v>
      </c>
      <c r="B1682" s="20" t="s">
        <v>16</v>
      </c>
      <c r="C1682" s="20" t="s">
        <v>89</v>
      </c>
      <c r="D1682" s="20" t="s">
        <v>8</v>
      </c>
      <c r="E1682" s="22">
        <v>148</v>
      </c>
      <c r="F1682" s="22">
        <v>1</v>
      </c>
      <c r="G1682" s="22">
        <v>6</v>
      </c>
      <c r="H1682" s="22"/>
      <c r="I1682" s="23" t="s">
        <v>90</v>
      </c>
      <c r="J1682" s="23"/>
      <c r="K1682" s="22"/>
      <c r="L1682" s="22"/>
      <c r="M1682" s="23"/>
      <c r="N1682" s="23"/>
      <c r="O1682" s="26" t="s">
        <v>2563</v>
      </c>
      <c r="P1682" s="26"/>
      <c r="Q1682" s="22">
        <v>35</v>
      </c>
      <c r="R1682" s="24">
        <v>45771</v>
      </c>
      <c r="S1682" s="24">
        <v>45775</v>
      </c>
      <c r="T1682" s="24"/>
      <c r="U1682" s="24"/>
      <c r="V1682" s="24">
        <v>45777</v>
      </c>
      <c r="W1682" s="22" t="s">
        <v>468</v>
      </c>
      <c r="X1682" s="4" t="str">
        <f>IF(Tabela2[[#This Row],[sigla]]="","",VLOOKUP(Tabela2[[#This Row],[sigla]],créditos_base!B:C,2,0))</f>
        <v>VER DOCUMENTO DE ILS. TÉCNICAS</v>
      </c>
      <c r="Y1682" s="23" t="s">
        <v>188</v>
      </c>
      <c r="Z1682" s="23" t="s">
        <v>661</v>
      </c>
      <c r="AA1682" s="22">
        <v>13</v>
      </c>
      <c r="AB1682" s="20" t="s">
        <v>2564</v>
      </c>
      <c r="AC1682" s="20" t="s">
        <v>36</v>
      </c>
      <c r="AD1682" s="4" t="str">
        <f>"Pitanguá"</f>
        <v>Pitanguá</v>
      </c>
      <c r="AE1682" s="14" t="str">
        <f>"Matemática"</f>
        <v>Matemática</v>
      </c>
      <c r="AF1682" s="14"/>
    </row>
    <row r="1683" spans="1:32" x14ac:dyDescent="0.3">
      <c r="A1683" s="23" t="s">
        <v>2565</v>
      </c>
      <c r="B1683" s="20" t="s">
        <v>16</v>
      </c>
      <c r="C1683" s="20" t="s">
        <v>89</v>
      </c>
      <c r="D1683" s="20" t="s">
        <v>8</v>
      </c>
      <c r="E1683" s="22">
        <v>148</v>
      </c>
      <c r="F1683" s="22">
        <v>1</v>
      </c>
      <c r="G1683" s="22">
        <v>6</v>
      </c>
      <c r="H1683" s="22"/>
      <c r="I1683" s="23" t="s">
        <v>90</v>
      </c>
      <c r="J1683" s="23"/>
      <c r="K1683" s="22"/>
      <c r="L1683" s="22"/>
      <c r="M1683" s="23"/>
      <c r="N1683" s="23"/>
      <c r="O1683" s="26" t="s">
        <v>2566</v>
      </c>
      <c r="P1683" s="26"/>
      <c r="Q1683" s="22">
        <v>35</v>
      </c>
      <c r="R1683" s="24">
        <v>45771</v>
      </c>
      <c r="S1683" s="24">
        <v>45775</v>
      </c>
      <c r="T1683" s="24"/>
      <c r="U1683" s="24"/>
      <c r="V1683" s="24">
        <v>45777</v>
      </c>
      <c r="W1683" s="22" t="s">
        <v>468</v>
      </c>
      <c r="X1683" s="4" t="str">
        <f>IF(Tabela2[[#This Row],[sigla]]="","",VLOOKUP(Tabela2[[#This Row],[sigla]],créditos_base!B:C,2,0))</f>
        <v>VER DOCUMENTO DE ILS. TÉCNICAS</v>
      </c>
      <c r="Y1683" s="23" t="s">
        <v>188</v>
      </c>
      <c r="Z1683" s="23" t="s">
        <v>661</v>
      </c>
      <c r="AA1683" s="22">
        <v>13</v>
      </c>
      <c r="AB1683" s="20" t="s">
        <v>2564</v>
      </c>
      <c r="AC1683" s="20" t="s">
        <v>36</v>
      </c>
      <c r="AD1683" s="4" t="str">
        <f>"Pitanguá"</f>
        <v>Pitanguá</v>
      </c>
      <c r="AE1683" s="14" t="str">
        <f>"Matemática"</f>
        <v>Matemática</v>
      </c>
      <c r="AF1683" s="14"/>
    </row>
    <row r="1684" spans="1:32" x14ac:dyDescent="0.3">
      <c r="A1684" s="23" t="s">
        <v>2567</v>
      </c>
      <c r="B1684" s="20" t="s">
        <v>16</v>
      </c>
      <c r="C1684" s="20" t="s">
        <v>89</v>
      </c>
      <c r="D1684" s="20" t="s">
        <v>8</v>
      </c>
      <c r="E1684" s="22">
        <v>148</v>
      </c>
      <c r="F1684" s="22">
        <v>1</v>
      </c>
      <c r="G1684" s="22">
        <v>6</v>
      </c>
      <c r="H1684" s="22"/>
      <c r="I1684" s="23" t="s">
        <v>90</v>
      </c>
      <c r="J1684" s="23"/>
      <c r="K1684" s="22"/>
      <c r="L1684" s="22"/>
      <c r="M1684" s="23"/>
      <c r="N1684" s="23"/>
      <c r="O1684" s="26" t="s">
        <v>2568</v>
      </c>
      <c r="P1684" s="26"/>
      <c r="Q1684" s="22">
        <v>35</v>
      </c>
      <c r="R1684" s="24">
        <v>45771</v>
      </c>
      <c r="S1684" s="24">
        <v>45775</v>
      </c>
      <c r="T1684" s="24"/>
      <c r="U1684" s="24"/>
      <c r="V1684" s="24">
        <v>45777</v>
      </c>
      <c r="W1684" s="22" t="s">
        <v>468</v>
      </c>
      <c r="X1684" s="4" t="str">
        <f>IF(Tabela2[[#This Row],[sigla]]="","",VLOOKUP(Tabela2[[#This Row],[sigla]],créditos_base!B:C,2,0))</f>
        <v>VER DOCUMENTO DE ILS. TÉCNICAS</v>
      </c>
      <c r="Y1684" s="23" t="s">
        <v>188</v>
      </c>
      <c r="Z1684" s="23" t="s">
        <v>661</v>
      </c>
      <c r="AA1684" s="22">
        <v>13</v>
      </c>
      <c r="AB1684" s="20" t="s">
        <v>2564</v>
      </c>
      <c r="AC1684" s="20" t="s">
        <v>36</v>
      </c>
      <c r="AD1684" s="4" t="str">
        <f>"Pitanguá"</f>
        <v>Pitanguá</v>
      </c>
      <c r="AE1684" s="14" t="str">
        <f>"Matemática"</f>
        <v>Matemática</v>
      </c>
      <c r="AF1684" s="14"/>
    </row>
    <row r="1685" spans="1:32" x14ac:dyDescent="0.3">
      <c r="A1685" s="23" t="s">
        <v>2573</v>
      </c>
      <c r="B1685" s="20" t="s">
        <v>16</v>
      </c>
      <c r="C1685" s="20" t="s">
        <v>7</v>
      </c>
      <c r="D1685" s="20" t="s">
        <v>8</v>
      </c>
      <c r="E1685" s="22">
        <v>150</v>
      </c>
      <c r="F1685" s="22">
        <v>1</v>
      </c>
      <c r="G1685" s="22">
        <v>6</v>
      </c>
      <c r="H1685" s="22"/>
      <c r="I1685" s="23" t="s">
        <v>90</v>
      </c>
      <c r="J1685" s="23"/>
      <c r="K1685" s="22"/>
      <c r="L1685" s="22"/>
      <c r="M1685" s="23"/>
      <c r="N1685" s="23"/>
      <c r="O1685" s="26" t="s">
        <v>2574</v>
      </c>
      <c r="P1685" s="26"/>
      <c r="Q1685" s="22">
        <v>35</v>
      </c>
      <c r="R1685" s="24">
        <v>45771</v>
      </c>
      <c r="S1685" s="24">
        <v>45775</v>
      </c>
      <c r="T1685" s="24">
        <v>45779</v>
      </c>
      <c r="U1685" s="24">
        <v>45783</v>
      </c>
      <c r="V1685" s="24">
        <v>45789</v>
      </c>
      <c r="W1685" s="22" t="s">
        <v>31</v>
      </c>
      <c r="X1685" s="4" t="str">
        <f>IF(Tabela2[[#This Row],[sigla]]="","",VLOOKUP(Tabela2[[#This Row],[sigla]],créditos_base!B:C,2,0))</f>
        <v>SILVIA OTOFUJI/ARQUIVO DA EDITORA</v>
      </c>
      <c r="Y1685" s="23"/>
      <c r="Z1685" s="23" t="str">
        <f>Tabela2[[#This Row],[ilustrador]]</f>
        <v>SILVIA OTOFUJI/ARQUIVO DA EDITORA</v>
      </c>
      <c r="AA1685" s="22">
        <v>6</v>
      </c>
      <c r="AB1685" s="20" t="s">
        <v>2575</v>
      </c>
      <c r="AC1685" s="20" t="s">
        <v>310</v>
      </c>
      <c r="AD1685" s="4" t="str">
        <f>"Pitanguá"</f>
        <v>Pitanguá</v>
      </c>
      <c r="AE1685" s="14" t="str">
        <f>"Matemática"</f>
        <v>Matemática</v>
      </c>
      <c r="AF1685" s="14"/>
    </row>
    <row r="1686" spans="1:32" x14ac:dyDescent="0.3">
      <c r="A1686" s="23" t="s">
        <v>2576</v>
      </c>
      <c r="B1686" s="20" t="s">
        <v>16</v>
      </c>
      <c r="C1686" s="20" t="s">
        <v>7</v>
      </c>
      <c r="D1686" s="20" t="s">
        <v>8</v>
      </c>
      <c r="E1686" s="22">
        <v>150</v>
      </c>
      <c r="F1686" s="22">
        <v>1</v>
      </c>
      <c r="G1686" s="22">
        <v>6</v>
      </c>
      <c r="H1686" s="22"/>
      <c r="I1686" s="23" t="s">
        <v>90</v>
      </c>
      <c r="J1686" s="23"/>
      <c r="K1686" s="22"/>
      <c r="L1686" s="22"/>
      <c r="M1686" s="23"/>
      <c r="N1686" s="23"/>
      <c r="O1686" s="26" t="s">
        <v>2577</v>
      </c>
      <c r="P1686" s="26"/>
      <c r="Q1686" s="22">
        <v>35</v>
      </c>
      <c r="R1686" s="24">
        <v>45771</v>
      </c>
      <c r="S1686" s="24">
        <v>45775</v>
      </c>
      <c r="T1686" s="24">
        <v>45779</v>
      </c>
      <c r="U1686" s="24">
        <v>45783</v>
      </c>
      <c r="V1686" s="24">
        <v>45789</v>
      </c>
      <c r="W1686" s="22" t="s">
        <v>31</v>
      </c>
      <c r="X1686" s="4" t="str">
        <f>IF(Tabela2[[#This Row],[sigla]]="","",VLOOKUP(Tabela2[[#This Row],[sigla]],créditos_base!B:C,2,0))</f>
        <v>SILVIA OTOFUJI/ARQUIVO DA EDITORA</v>
      </c>
      <c r="Y1686" s="23"/>
      <c r="Z1686" s="23" t="str">
        <f>Tabela2[[#This Row],[ilustrador]]</f>
        <v>SILVIA OTOFUJI/ARQUIVO DA EDITORA</v>
      </c>
      <c r="AA1686" s="22">
        <v>4</v>
      </c>
      <c r="AB1686" s="20" t="s">
        <v>2575</v>
      </c>
      <c r="AC1686" s="20" t="s">
        <v>310</v>
      </c>
      <c r="AD1686" s="4" t="str">
        <f>"Pitanguá"</f>
        <v>Pitanguá</v>
      </c>
      <c r="AE1686" s="14" t="str">
        <f>"Matemática"</f>
        <v>Matemática</v>
      </c>
      <c r="AF1686" s="14"/>
    </row>
    <row r="1687" spans="1:32" x14ac:dyDescent="0.3">
      <c r="A1687" s="23" t="s">
        <v>2578</v>
      </c>
      <c r="B1687" s="20" t="s">
        <v>16</v>
      </c>
      <c r="C1687" s="20" t="s">
        <v>7</v>
      </c>
      <c r="D1687" s="20" t="s">
        <v>8</v>
      </c>
      <c r="E1687" s="22">
        <v>151</v>
      </c>
      <c r="F1687" s="22">
        <v>1</v>
      </c>
      <c r="G1687" s="22">
        <v>6</v>
      </c>
      <c r="H1687" s="22"/>
      <c r="I1687" s="23" t="s">
        <v>90</v>
      </c>
      <c r="J1687" s="23"/>
      <c r="K1687" s="22"/>
      <c r="L1687" s="22"/>
      <c r="M1687" s="23"/>
      <c r="N1687" s="23"/>
      <c r="O1687" s="26" t="s">
        <v>2579</v>
      </c>
      <c r="P1687" s="26"/>
      <c r="Q1687" s="22">
        <v>35</v>
      </c>
      <c r="R1687" s="24">
        <v>45771</v>
      </c>
      <c r="S1687" s="24">
        <v>45775</v>
      </c>
      <c r="T1687" s="24">
        <v>45779</v>
      </c>
      <c r="U1687" s="24">
        <v>45783</v>
      </c>
      <c r="V1687" s="24">
        <v>45789</v>
      </c>
      <c r="W1687" s="22" t="s">
        <v>31</v>
      </c>
      <c r="X1687" s="4" t="str">
        <f>IF(Tabela2[[#This Row],[sigla]]="","",VLOOKUP(Tabela2[[#This Row],[sigla]],créditos_base!B:C,2,0))</f>
        <v>SILVIA OTOFUJI/ARQUIVO DA EDITORA</v>
      </c>
      <c r="Y1687" s="23"/>
      <c r="Z1687" s="23" t="str">
        <f>Tabela2[[#This Row],[ilustrador]]</f>
        <v>SILVIA OTOFUJI/ARQUIVO DA EDITORA</v>
      </c>
      <c r="AA1687" s="22">
        <v>5</v>
      </c>
      <c r="AB1687" s="20" t="s">
        <v>2575</v>
      </c>
      <c r="AC1687" s="20" t="s">
        <v>310</v>
      </c>
      <c r="AD1687" s="4" t="str">
        <f>"Pitanguá"</f>
        <v>Pitanguá</v>
      </c>
      <c r="AE1687" s="14" t="str">
        <f>"Matemática"</f>
        <v>Matemática</v>
      </c>
      <c r="AF1687" s="14"/>
    </row>
    <row r="1688" spans="1:32" x14ac:dyDescent="0.3">
      <c r="A1688" s="23" t="s">
        <v>2580</v>
      </c>
      <c r="B1688" s="20" t="s">
        <v>16</v>
      </c>
      <c r="C1688" s="20" t="s">
        <v>7</v>
      </c>
      <c r="D1688" s="20" t="s">
        <v>8</v>
      </c>
      <c r="E1688" s="22">
        <v>151</v>
      </c>
      <c r="F1688" s="22">
        <v>1</v>
      </c>
      <c r="G1688" s="22">
        <v>6</v>
      </c>
      <c r="H1688" s="22"/>
      <c r="I1688" s="23" t="s">
        <v>90</v>
      </c>
      <c r="J1688" s="23"/>
      <c r="K1688" s="22"/>
      <c r="L1688" s="22"/>
      <c r="M1688" s="23"/>
      <c r="N1688" s="23"/>
      <c r="O1688" s="26" t="s">
        <v>2581</v>
      </c>
      <c r="P1688" s="26"/>
      <c r="Q1688" s="22">
        <v>35</v>
      </c>
      <c r="R1688" s="24">
        <v>45771</v>
      </c>
      <c r="S1688" s="24">
        <v>45775</v>
      </c>
      <c r="T1688" s="24">
        <v>45779</v>
      </c>
      <c r="U1688" s="24">
        <v>45783</v>
      </c>
      <c r="V1688" s="24">
        <v>45789</v>
      </c>
      <c r="W1688" s="22" t="s">
        <v>31</v>
      </c>
      <c r="X1688" s="4" t="str">
        <f>IF(Tabela2[[#This Row],[sigla]]="","",VLOOKUP(Tabela2[[#This Row],[sigla]],créditos_base!B:C,2,0))</f>
        <v>SILVIA OTOFUJI/ARQUIVO DA EDITORA</v>
      </c>
      <c r="Y1688" s="23"/>
      <c r="Z1688" s="23" t="str">
        <f>Tabela2[[#This Row],[ilustrador]]</f>
        <v>SILVIA OTOFUJI/ARQUIVO DA EDITORA</v>
      </c>
      <c r="AA1688" s="22">
        <v>13</v>
      </c>
      <c r="AB1688" s="20" t="s">
        <v>2575</v>
      </c>
      <c r="AC1688" s="20" t="s">
        <v>310</v>
      </c>
      <c r="AD1688" s="4" t="str">
        <f>"Pitanguá"</f>
        <v>Pitanguá</v>
      </c>
      <c r="AE1688" s="14" t="str">
        <f>"Matemática"</f>
        <v>Matemática</v>
      </c>
      <c r="AF1688" s="14"/>
    </row>
    <row r="1689" spans="1:32" x14ac:dyDescent="0.3">
      <c r="A1689" s="23" t="s">
        <v>2582</v>
      </c>
      <c r="B1689" s="20" t="s">
        <v>16</v>
      </c>
      <c r="C1689" s="20" t="s">
        <v>7</v>
      </c>
      <c r="D1689" s="20" t="s">
        <v>8</v>
      </c>
      <c r="E1689" s="22">
        <v>152</v>
      </c>
      <c r="F1689" s="22">
        <v>1</v>
      </c>
      <c r="G1689" s="22">
        <v>6</v>
      </c>
      <c r="H1689" s="22"/>
      <c r="I1689" s="23" t="s">
        <v>90</v>
      </c>
      <c r="J1689" s="23"/>
      <c r="K1689" s="22"/>
      <c r="L1689" s="22"/>
      <c r="M1689" s="23"/>
      <c r="N1689" s="23"/>
      <c r="O1689" s="26" t="s">
        <v>2583</v>
      </c>
      <c r="P1689" s="26"/>
      <c r="Q1689" s="22">
        <v>35</v>
      </c>
      <c r="R1689" s="24">
        <v>45771</v>
      </c>
      <c r="S1689" s="24">
        <v>45775</v>
      </c>
      <c r="T1689" s="24"/>
      <c r="U1689" s="24"/>
      <c r="V1689" s="24">
        <v>45777</v>
      </c>
      <c r="W1689" s="22" t="s">
        <v>230</v>
      </c>
      <c r="X1689" s="4" t="str">
        <f>IF(Tabela2[[#This Row],[sigla]]="","",VLOOKUP(Tabela2[[#This Row],[sigla]],créditos_base!B:C,2,0))</f>
        <v>RAFAEL L. GAION/ARQUIVO DA EDITORA</v>
      </c>
      <c r="Y1689" s="23" t="s">
        <v>188</v>
      </c>
      <c r="Z1689" s="23" t="str">
        <f>Tabela2[[#This Row],[ilustrador]]</f>
        <v>RAFAEL L. GAION/ARQUIVO DA EDITORA</v>
      </c>
      <c r="AA1689" s="22">
        <v>13</v>
      </c>
      <c r="AB1689" s="20" t="s">
        <v>153</v>
      </c>
      <c r="AC1689" s="20" t="s">
        <v>36</v>
      </c>
      <c r="AD1689" s="4" t="str">
        <f>"Pitanguá"</f>
        <v>Pitanguá</v>
      </c>
      <c r="AE1689" s="14" t="str">
        <f>"Matemática"</f>
        <v>Matemática</v>
      </c>
      <c r="AF1689" s="14"/>
    </row>
    <row r="1690" spans="1:32" x14ac:dyDescent="0.3">
      <c r="A1690" s="23" t="s">
        <v>2584</v>
      </c>
      <c r="B1690" s="20" t="s">
        <v>6</v>
      </c>
      <c r="C1690" s="20" t="s">
        <v>7</v>
      </c>
      <c r="D1690" s="20" t="s">
        <v>8</v>
      </c>
      <c r="E1690" s="22">
        <v>152</v>
      </c>
      <c r="F1690" s="22">
        <v>1</v>
      </c>
      <c r="G1690" s="22">
        <v>6</v>
      </c>
      <c r="H1690" s="22"/>
      <c r="I1690" s="23" t="s">
        <v>90</v>
      </c>
      <c r="J1690" s="23"/>
      <c r="K1690" s="22"/>
      <c r="L1690" s="22"/>
      <c r="M1690" s="23"/>
      <c r="N1690" s="23"/>
      <c r="O1690" s="26" t="s">
        <v>2585</v>
      </c>
      <c r="P1690" s="26" t="s">
        <v>11</v>
      </c>
      <c r="Q1690" s="22">
        <v>35</v>
      </c>
      <c r="R1690" s="24">
        <v>45771</v>
      </c>
      <c r="S1690" s="24">
        <v>45775</v>
      </c>
      <c r="T1690" s="24"/>
      <c r="U1690" s="24"/>
      <c r="V1690" s="24">
        <v>45777</v>
      </c>
      <c r="W1690" s="22" t="s">
        <v>230</v>
      </c>
      <c r="X1690" s="4" t="str">
        <f>IF(Tabela2[[#This Row],[sigla]]="","",VLOOKUP(Tabela2[[#This Row],[sigla]],créditos_base!B:C,2,0))</f>
        <v>RAFAEL L. GAION/ARQUIVO DA EDITORA</v>
      </c>
      <c r="Y1690" s="23" t="s">
        <v>188</v>
      </c>
      <c r="Z1690" s="23" t="str">
        <f>Tabela2[[#This Row],[ilustrador]]</f>
        <v>RAFAEL L. GAION/ARQUIVO DA EDITORA</v>
      </c>
      <c r="AA1690" s="22">
        <v>13</v>
      </c>
      <c r="AB1690" s="20" t="s">
        <v>153</v>
      </c>
      <c r="AC1690" s="20" t="s">
        <v>36</v>
      </c>
      <c r="AD1690" s="4" t="str">
        <f>"Pitanguá"</f>
        <v>Pitanguá</v>
      </c>
      <c r="AE1690" s="14" t="str">
        <f>"Matemática"</f>
        <v>Matemática</v>
      </c>
      <c r="AF1690" s="14"/>
    </row>
    <row r="1691" spans="1:32" ht="86.4" x14ac:dyDescent="0.3">
      <c r="A1691" s="23" t="s">
        <v>2590</v>
      </c>
      <c r="B1691" s="20" t="s">
        <v>16</v>
      </c>
      <c r="C1691" s="20" t="s">
        <v>89</v>
      </c>
      <c r="D1691" s="20" t="s">
        <v>8</v>
      </c>
      <c r="E1691" s="22">
        <v>161</v>
      </c>
      <c r="F1691" s="22">
        <v>1</v>
      </c>
      <c r="G1691" s="22">
        <v>6</v>
      </c>
      <c r="H1691" s="22"/>
      <c r="I1691" s="23" t="s">
        <v>90</v>
      </c>
      <c r="J1691" s="23"/>
      <c r="K1691" s="22"/>
      <c r="L1691" s="22"/>
      <c r="M1691" s="23"/>
      <c r="N1691" s="23"/>
      <c r="O1691" s="26" t="s">
        <v>2591</v>
      </c>
      <c r="P1691" s="26"/>
      <c r="Q1691" s="22">
        <v>35</v>
      </c>
      <c r="R1691" s="24">
        <v>45771</v>
      </c>
      <c r="S1691" s="24">
        <v>45776</v>
      </c>
      <c r="T1691" s="24"/>
      <c r="U1691" s="24"/>
      <c r="V1691" s="24">
        <v>45783</v>
      </c>
      <c r="W1691" s="22" t="s">
        <v>72</v>
      </c>
      <c r="X1691" s="4" t="str">
        <f>IF(Tabela2[[#This Row],[sigla]]="","",VLOOKUP(Tabela2[[#This Row],[sigla]],créditos_base!B:C,2,0))</f>
        <v>HELOÍSA PINTARELLI/ARQUIVO DA EDITORA</v>
      </c>
      <c r="Y1691" s="23"/>
      <c r="Z1691" s="23" t="str">
        <f>Tabela2[[#This Row],[ilustrador]]</f>
        <v>HELOÍSA PINTARELLI/ARQUIVO DA EDITORA</v>
      </c>
      <c r="AA1691" s="22">
        <v>7</v>
      </c>
      <c r="AB1691" s="20" t="s">
        <v>2535</v>
      </c>
      <c r="AC1691" s="20" t="s">
        <v>310</v>
      </c>
      <c r="AD1691" s="4" t="str">
        <f>"Pitanguá"</f>
        <v>Pitanguá</v>
      </c>
      <c r="AE1691" s="14" t="str">
        <f>"Matemática"</f>
        <v>Matemática</v>
      </c>
      <c r="AF1691" s="14"/>
    </row>
    <row r="1692" spans="1:32" ht="28.8" x14ac:dyDescent="0.3">
      <c r="A1692" s="23" t="s">
        <v>2592</v>
      </c>
      <c r="B1692" s="20" t="s">
        <v>16</v>
      </c>
      <c r="C1692" s="20" t="s">
        <v>7</v>
      </c>
      <c r="D1692" s="20" t="s">
        <v>8</v>
      </c>
      <c r="E1692" s="22">
        <v>164</v>
      </c>
      <c r="F1692" s="22">
        <v>1</v>
      </c>
      <c r="G1692" s="22">
        <v>6</v>
      </c>
      <c r="H1692" s="22"/>
      <c r="I1692" s="23" t="s">
        <v>90</v>
      </c>
      <c r="J1692" s="23"/>
      <c r="K1692" s="22"/>
      <c r="L1692" s="22"/>
      <c r="M1692" s="23"/>
      <c r="N1692" s="23"/>
      <c r="O1692" s="26" t="s">
        <v>2593</v>
      </c>
      <c r="P1692" s="26"/>
      <c r="Q1692" s="22">
        <v>35</v>
      </c>
      <c r="R1692" s="24">
        <v>45771</v>
      </c>
      <c r="S1692" s="24">
        <v>45776</v>
      </c>
      <c r="T1692" s="24"/>
      <c r="U1692" s="24"/>
      <c r="V1692" s="24">
        <v>45783</v>
      </c>
      <c r="W1692" s="22" t="s">
        <v>72</v>
      </c>
      <c r="X1692" s="4" t="str">
        <f>IF(Tabela2[[#This Row],[sigla]]="","",VLOOKUP(Tabela2[[#This Row],[sigla]],créditos_base!B:C,2,0))</f>
        <v>HELOÍSA PINTARELLI/ARQUIVO DA EDITORA</v>
      </c>
      <c r="Y1692" s="23"/>
      <c r="Z1692" s="23" t="str">
        <f>Tabela2[[#This Row],[ilustrador]]</f>
        <v>HELOÍSA PINTARELLI/ARQUIVO DA EDITORA</v>
      </c>
      <c r="AA1692" s="22">
        <v>7</v>
      </c>
      <c r="AB1692" s="20" t="s">
        <v>2535</v>
      </c>
      <c r="AC1692" s="20" t="s">
        <v>310</v>
      </c>
      <c r="AD1692" s="4" t="str">
        <f>"Pitanguá"</f>
        <v>Pitanguá</v>
      </c>
      <c r="AE1692" s="14" t="str">
        <f>"Matemática"</f>
        <v>Matemática</v>
      </c>
      <c r="AF1692" s="14"/>
    </row>
    <row r="1693" spans="1:32" ht="100.8" x14ac:dyDescent="0.3">
      <c r="A1693" s="23" t="s">
        <v>2594</v>
      </c>
      <c r="B1693" s="20" t="s">
        <v>16</v>
      </c>
      <c r="C1693" s="20" t="s">
        <v>7</v>
      </c>
      <c r="D1693" s="20" t="s">
        <v>8</v>
      </c>
      <c r="E1693" s="22">
        <v>164</v>
      </c>
      <c r="F1693" s="22">
        <v>1</v>
      </c>
      <c r="G1693" s="22">
        <v>6</v>
      </c>
      <c r="H1693" s="22"/>
      <c r="I1693" s="23" t="s">
        <v>90</v>
      </c>
      <c r="J1693" s="23"/>
      <c r="K1693" s="22"/>
      <c r="L1693" s="22"/>
      <c r="M1693" s="23"/>
      <c r="N1693" s="23"/>
      <c r="O1693" s="26" t="s">
        <v>2595</v>
      </c>
      <c r="P1693" s="26"/>
      <c r="Q1693" s="22">
        <v>35</v>
      </c>
      <c r="R1693" s="24">
        <v>45771</v>
      </c>
      <c r="S1693" s="24">
        <v>45776</v>
      </c>
      <c r="T1693" s="24"/>
      <c r="U1693" s="24"/>
      <c r="V1693" s="24">
        <v>45783</v>
      </c>
      <c r="W1693" s="22" t="s">
        <v>72</v>
      </c>
      <c r="X1693" s="4" t="str">
        <f>IF(Tabela2[[#This Row],[sigla]]="","",VLOOKUP(Tabela2[[#This Row],[sigla]],créditos_base!B:C,2,0))</f>
        <v>HELOÍSA PINTARELLI/ARQUIVO DA EDITORA</v>
      </c>
      <c r="Y1693" s="23"/>
      <c r="Z1693" s="23" t="str">
        <f>Tabela2[[#This Row],[ilustrador]]</f>
        <v>HELOÍSA PINTARELLI/ARQUIVO DA EDITORA</v>
      </c>
      <c r="AA1693" s="22">
        <v>8</v>
      </c>
      <c r="AB1693" s="20" t="s">
        <v>2535</v>
      </c>
      <c r="AC1693" s="20" t="s">
        <v>310</v>
      </c>
      <c r="AD1693" s="4" t="str">
        <f>"Pitanguá"</f>
        <v>Pitanguá</v>
      </c>
      <c r="AE1693" s="14" t="str">
        <f>"Matemática"</f>
        <v>Matemática</v>
      </c>
      <c r="AF1693" s="14"/>
    </row>
    <row r="1694" spans="1:32" x14ac:dyDescent="0.3">
      <c r="A1694" s="23" t="s">
        <v>2596</v>
      </c>
      <c r="B1694" s="20" t="s">
        <v>16</v>
      </c>
      <c r="C1694" s="20" t="s">
        <v>7</v>
      </c>
      <c r="D1694" s="20" t="s">
        <v>8</v>
      </c>
      <c r="E1694" s="22">
        <v>165</v>
      </c>
      <c r="F1694" s="22">
        <v>1</v>
      </c>
      <c r="G1694" s="22">
        <v>6</v>
      </c>
      <c r="H1694" s="22"/>
      <c r="I1694" s="23" t="s">
        <v>90</v>
      </c>
      <c r="J1694" s="23"/>
      <c r="K1694" s="22"/>
      <c r="L1694" s="22"/>
      <c r="M1694" s="23"/>
      <c r="N1694" s="23"/>
      <c r="O1694" s="26" t="s">
        <v>2597</v>
      </c>
      <c r="P1694" s="26"/>
      <c r="Q1694" s="22">
        <v>35</v>
      </c>
      <c r="R1694" s="24">
        <v>45771</v>
      </c>
      <c r="S1694" s="24">
        <v>45776</v>
      </c>
      <c r="T1694" s="24"/>
      <c r="U1694" s="24"/>
      <c r="V1694" s="24">
        <v>45783</v>
      </c>
      <c r="W1694" s="22" t="s">
        <v>72</v>
      </c>
      <c r="X1694" s="4" t="str">
        <f>IF(Tabela2[[#This Row],[sigla]]="","",VLOOKUP(Tabela2[[#This Row],[sigla]],créditos_base!B:C,2,0))</f>
        <v>HELOÍSA PINTARELLI/ARQUIVO DA EDITORA</v>
      </c>
      <c r="Y1694" s="23"/>
      <c r="Z1694" s="23" t="str">
        <f>Tabela2[[#This Row],[ilustrador]]</f>
        <v>HELOÍSA PINTARELLI/ARQUIVO DA EDITORA</v>
      </c>
      <c r="AA1694" s="22">
        <v>8</v>
      </c>
      <c r="AB1694" s="20" t="s">
        <v>2535</v>
      </c>
      <c r="AC1694" s="20" t="s">
        <v>310</v>
      </c>
      <c r="AD1694" s="4" t="str">
        <f>"Pitanguá"</f>
        <v>Pitanguá</v>
      </c>
      <c r="AE1694" s="14" t="str">
        <f>"Matemática"</f>
        <v>Matemática</v>
      </c>
      <c r="AF1694" s="14"/>
    </row>
    <row r="1695" spans="1:32" x14ac:dyDescent="0.3">
      <c r="A1695" s="23" t="s">
        <v>2598</v>
      </c>
      <c r="B1695" s="20" t="s">
        <v>16</v>
      </c>
      <c r="C1695" s="20" t="s">
        <v>7</v>
      </c>
      <c r="D1695" s="20" t="s">
        <v>8</v>
      </c>
      <c r="E1695" s="22">
        <v>165</v>
      </c>
      <c r="F1695" s="22">
        <v>1</v>
      </c>
      <c r="G1695" s="22">
        <v>6</v>
      </c>
      <c r="H1695" s="22"/>
      <c r="I1695" s="23" t="s">
        <v>90</v>
      </c>
      <c r="J1695" s="23"/>
      <c r="K1695" s="22"/>
      <c r="L1695" s="22"/>
      <c r="M1695" s="23"/>
      <c r="N1695" s="23"/>
      <c r="O1695" s="26" t="s">
        <v>2599</v>
      </c>
      <c r="P1695" s="26"/>
      <c r="Q1695" s="22">
        <v>35</v>
      </c>
      <c r="R1695" s="24">
        <v>45771</v>
      </c>
      <c r="S1695" s="24">
        <v>45776</v>
      </c>
      <c r="T1695" s="24"/>
      <c r="U1695" s="24"/>
      <c r="V1695" s="24">
        <v>45783</v>
      </c>
      <c r="W1695" s="22" t="s">
        <v>72</v>
      </c>
      <c r="X1695" s="4" t="str">
        <f>IF(Tabela2[[#This Row],[sigla]]="","",VLOOKUP(Tabela2[[#This Row],[sigla]],créditos_base!B:C,2,0))</f>
        <v>HELOÍSA PINTARELLI/ARQUIVO DA EDITORA</v>
      </c>
      <c r="Y1695" s="23"/>
      <c r="Z1695" s="23" t="str">
        <f>Tabela2[[#This Row],[ilustrador]]</f>
        <v>HELOÍSA PINTARELLI/ARQUIVO DA EDITORA</v>
      </c>
      <c r="AA1695" s="22">
        <v>8</v>
      </c>
      <c r="AB1695" s="20" t="s">
        <v>2535</v>
      </c>
      <c r="AC1695" s="20" t="s">
        <v>310</v>
      </c>
      <c r="AD1695" s="4" t="str">
        <f>"Pitanguá"</f>
        <v>Pitanguá</v>
      </c>
      <c r="AE1695" s="14" t="str">
        <f>"Matemática"</f>
        <v>Matemática</v>
      </c>
      <c r="AF1695" s="14"/>
    </row>
    <row r="1696" spans="1:32" x14ac:dyDescent="0.3">
      <c r="A1696" s="23" t="s">
        <v>2600</v>
      </c>
      <c r="B1696" s="20" t="s">
        <v>16</v>
      </c>
      <c r="C1696" s="20" t="s">
        <v>7</v>
      </c>
      <c r="D1696" s="20" t="s">
        <v>8</v>
      </c>
      <c r="E1696" s="22">
        <v>166</v>
      </c>
      <c r="F1696" s="22">
        <v>1</v>
      </c>
      <c r="G1696" s="22">
        <v>6</v>
      </c>
      <c r="H1696" s="22"/>
      <c r="I1696" s="23" t="s">
        <v>90</v>
      </c>
      <c r="J1696" s="23"/>
      <c r="K1696" s="22"/>
      <c r="L1696" s="22"/>
      <c r="M1696" s="23"/>
      <c r="N1696" s="23"/>
      <c r="O1696" s="26" t="s">
        <v>2601</v>
      </c>
      <c r="P1696" s="26"/>
      <c r="Q1696" s="22">
        <v>35</v>
      </c>
      <c r="R1696" s="24">
        <v>45771</v>
      </c>
      <c r="S1696" s="24">
        <v>45776</v>
      </c>
      <c r="T1696" s="24"/>
      <c r="U1696" s="24"/>
      <c r="V1696" s="24">
        <v>45783</v>
      </c>
      <c r="W1696" s="22" t="s">
        <v>72</v>
      </c>
      <c r="X1696" s="4" t="str">
        <f>IF(Tabela2[[#This Row],[sigla]]="","",VLOOKUP(Tabela2[[#This Row],[sigla]],créditos_base!B:C,2,0))</f>
        <v>HELOÍSA PINTARELLI/ARQUIVO DA EDITORA</v>
      </c>
      <c r="Y1696" s="23"/>
      <c r="Z1696" s="23" t="str">
        <f>Tabela2[[#This Row],[ilustrador]]</f>
        <v>HELOÍSA PINTARELLI/ARQUIVO DA EDITORA</v>
      </c>
      <c r="AA1696" s="22">
        <v>8</v>
      </c>
      <c r="AB1696" s="20" t="s">
        <v>2535</v>
      </c>
      <c r="AC1696" s="20" t="s">
        <v>310</v>
      </c>
      <c r="AD1696" s="4" t="str">
        <f>"Pitanguá"</f>
        <v>Pitanguá</v>
      </c>
      <c r="AE1696" s="14" t="str">
        <f>"Matemática"</f>
        <v>Matemática</v>
      </c>
      <c r="AF1696" s="14"/>
    </row>
    <row r="1697" spans="1:32" x14ac:dyDescent="0.3">
      <c r="A1697" s="23" t="s">
        <v>2602</v>
      </c>
      <c r="B1697" s="20" t="s">
        <v>16</v>
      </c>
      <c r="C1697" s="20" t="s">
        <v>7</v>
      </c>
      <c r="D1697" s="20" t="s">
        <v>8</v>
      </c>
      <c r="E1697" s="22">
        <v>166</v>
      </c>
      <c r="F1697" s="22">
        <v>1</v>
      </c>
      <c r="G1697" s="22">
        <v>6</v>
      </c>
      <c r="H1697" s="22"/>
      <c r="I1697" s="23" t="s">
        <v>90</v>
      </c>
      <c r="J1697" s="23"/>
      <c r="K1697" s="22"/>
      <c r="L1697" s="22"/>
      <c r="M1697" s="23"/>
      <c r="N1697" s="23"/>
      <c r="O1697" s="26" t="s">
        <v>2603</v>
      </c>
      <c r="P1697" s="26"/>
      <c r="Q1697" s="22">
        <v>35</v>
      </c>
      <c r="R1697" s="24">
        <v>45771</v>
      </c>
      <c r="S1697" s="24">
        <v>45776</v>
      </c>
      <c r="T1697" s="24"/>
      <c r="U1697" s="24"/>
      <c r="V1697" s="24">
        <v>45783</v>
      </c>
      <c r="W1697" s="22" t="s">
        <v>72</v>
      </c>
      <c r="X1697" s="4" t="str">
        <f>IF(Tabela2[[#This Row],[sigla]]="","",VLOOKUP(Tabela2[[#This Row],[sigla]],créditos_base!B:C,2,0))</f>
        <v>HELOÍSA PINTARELLI/ARQUIVO DA EDITORA</v>
      </c>
      <c r="Y1697" s="23"/>
      <c r="Z1697" s="23" t="str">
        <f>Tabela2[[#This Row],[ilustrador]]</f>
        <v>HELOÍSA PINTARELLI/ARQUIVO DA EDITORA</v>
      </c>
      <c r="AA1697" s="22">
        <v>13</v>
      </c>
      <c r="AB1697" s="20" t="s">
        <v>2535</v>
      </c>
      <c r="AC1697" s="20" t="s">
        <v>310</v>
      </c>
      <c r="AD1697" s="4" t="str">
        <f>"Pitanguá"</f>
        <v>Pitanguá</v>
      </c>
      <c r="AE1697" s="14" t="str">
        <f>"Matemática"</f>
        <v>Matemática</v>
      </c>
      <c r="AF1697" s="14"/>
    </row>
    <row r="1698" spans="1:32" x14ac:dyDescent="0.3">
      <c r="A1698" s="23" t="s">
        <v>2604</v>
      </c>
      <c r="B1698" s="20" t="s">
        <v>16</v>
      </c>
      <c r="C1698" s="20" t="s">
        <v>7</v>
      </c>
      <c r="D1698" s="20" t="s">
        <v>8</v>
      </c>
      <c r="E1698" s="22">
        <v>167</v>
      </c>
      <c r="F1698" s="22">
        <v>1</v>
      </c>
      <c r="G1698" s="22">
        <v>6</v>
      </c>
      <c r="H1698" s="22"/>
      <c r="I1698" s="23" t="s">
        <v>90</v>
      </c>
      <c r="J1698" s="23"/>
      <c r="K1698" s="22"/>
      <c r="L1698" s="22"/>
      <c r="M1698" s="23"/>
      <c r="N1698" s="23"/>
      <c r="O1698" s="26" t="s">
        <v>2605</v>
      </c>
      <c r="P1698" s="26"/>
      <c r="Q1698" s="22">
        <v>35</v>
      </c>
      <c r="R1698" s="24">
        <v>45771</v>
      </c>
      <c r="S1698" s="24">
        <v>45776</v>
      </c>
      <c r="T1698" s="24"/>
      <c r="U1698" s="24"/>
      <c r="V1698" s="24">
        <v>45783</v>
      </c>
      <c r="W1698" s="22" t="s">
        <v>72</v>
      </c>
      <c r="X1698" s="4" t="str">
        <f>IF(Tabela2[[#This Row],[sigla]]="","",VLOOKUP(Tabela2[[#This Row],[sigla]],créditos_base!B:C,2,0))</f>
        <v>HELOÍSA PINTARELLI/ARQUIVO DA EDITORA</v>
      </c>
      <c r="Y1698" s="23"/>
      <c r="Z1698" s="23" t="str">
        <f>Tabela2[[#This Row],[ilustrador]]</f>
        <v>HELOÍSA PINTARELLI/ARQUIVO DA EDITORA</v>
      </c>
      <c r="AA1698" s="22">
        <v>8</v>
      </c>
      <c r="AB1698" s="20" t="s">
        <v>2535</v>
      </c>
      <c r="AC1698" s="20" t="s">
        <v>310</v>
      </c>
      <c r="AD1698" s="4" t="str">
        <f>"Pitanguá"</f>
        <v>Pitanguá</v>
      </c>
      <c r="AE1698" s="14" t="str">
        <f>"Matemática"</f>
        <v>Matemática</v>
      </c>
      <c r="AF1698" s="14"/>
    </row>
    <row r="1699" spans="1:32" x14ac:dyDescent="0.3">
      <c r="A1699" s="23" t="s">
        <v>2606</v>
      </c>
      <c r="B1699" s="20" t="s">
        <v>16</v>
      </c>
      <c r="C1699" s="20" t="s">
        <v>7</v>
      </c>
      <c r="D1699" s="20" t="s">
        <v>8</v>
      </c>
      <c r="E1699" s="22">
        <v>168</v>
      </c>
      <c r="F1699" s="22">
        <v>1</v>
      </c>
      <c r="G1699" s="22">
        <v>6</v>
      </c>
      <c r="H1699" s="22"/>
      <c r="I1699" s="23" t="s">
        <v>90</v>
      </c>
      <c r="J1699" s="23"/>
      <c r="K1699" s="22"/>
      <c r="L1699" s="22"/>
      <c r="M1699" s="23"/>
      <c r="N1699" s="23"/>
      <c r="O1699" s="26" t="s">
        <v>2607</v>
      </c>
      <c r="P1699" s="26"/>
      <c r="Q1699" s="22">
        <v>35</v>
      </c>
      <c r="R1699" s="24">
        <v>45771</v>
      </c>
      <c r="S1699" s="24">
        <v>45776</v>
      </c>
      <c r="T1699" s="24"/>
      <c r="U1699" s="24"/>
      <c r="V1699" s="24">
        <v>45783</v>
      </c>
      <c r="W1699" s="22" t="s">
        <v>72</v>
      </c>
      <c r="X1699" s="4" t="str">
        <f>IF(Tabela2[[#This Row],[sigla]]="","",VLOOKUP(Tabela2[[#This Row],[sigla]],créditos_base!B:C,2,0))</f>
        <v>HELOÍSA PINTARELLI/ARQUIVO DA EDITORA</v>
      </c>
      <c r="Y1699" s="23"/>
      <c r="Z1699" s="23" t="str">
        <f>Tabela2[[#This Row],[ilustrador]]</f>
        <v>HELOÍSA PINTARELLI/ARQUIVO DA EDITORA</v>
      </c>
      <c r="AA1699" s="22">
        <v>7</v>
      </c>
      <c r="AB1699" s="20" t="s">
        <v>2535</v>
      </c>
      <c r="AC1699" s="20" t="s">
        <v>310</v>
      </c>
      <c r="AD1699" s="4" t="str">
        <f>"Pitanguá"</f>
        <v>Pitanguá</v>
      </c>
      <c r="AE1699" s="14" t="str">
        <f>"Matemática"</f>
        <v>Matemática</v>
      </c>
      <c r="AF1699" s="14"/>
    </row>
    <row r="1700" spans="1:32" x14ac:dyDescent="0.3">
      <c r="A1700" s="23" t="s">
        <v>2651</v>
      </c>
      <c r="B1700" s="20" t="s">
        <v>16</v>
      </c>
      <c r="C1700" s="20" t="s">
        <v>7</v>
      </c>
      <c r="D1700" s="20" t="s">
        <v>8</v>
      </c>
      <c r="E1700" s="22">
        <v>170</v>
      </c>
      <c r="F1700" s="22">
        <v>1</v>
      </c>
      <c r="G1700" s="22">
        <v>6</v>
      </c>
      <c r="H1700" s="22"/>
      <c r="I1700" s="23" t="s">
        <v>90</v>
      </c>
      <c r="J1700" s="23"/>
      <c r="K1700" s="22"/>
      <c r="L1700" s="22"/>
      <c r="M1700" s="23"/>
      <c r="N1700" s="23"/>
      <c r="O1700" s="26" t="s">
        <v>2652</v>
      </c>
      <c r="P1700" s="26"/>
      <c r="Q1700" s="22">
        <v>36</v>
      </c>
      <c r="R1700" s="24">
        <v>45802</v>
      </c>
      <c r="S1700" s="24">
        <v>45779</v>
      </c>
      <c r="T1700" s="24">
        <v>45785</v>
      </c>
      <c r="U1700" s="24">
        <v>45786</v>
      </c>
      <c r="V1700" s="24">
        <v>45791</v>
      </c>
      <c r="W1700" s="22" t="s">
        <v>31</v>
      </c>
      <c r="X1700" s="4" t="str">
        <f>IF(Tabela2[[#This Row],[sigla]]="","",VLOOKUP(Tabela2[[#This Row],[sigla]],créditos_base!B:C,2,0))</f>
        <v>SILVIA OTOFUJI/ARQUIVO DA EDITORA</v>
      </c>
      <c r="Y1700" s="23"/>
      <c r="Z1700" s="23" t="str">
        <f>Tabela2[[#This Row],[ilustrador]]</f>
        <v>SILVIA OTOFUJI/ARQUIVO DA EDITORA</v>
      </c>
      <c r="AA1700" s="22">
        <v>4</v>
      </c>
      <c r="AB1700" s="20" t="s">
        <v>2640</v>
      </c>
      <c r="AC1700" s="20" t="s">
        <v>310</v>
      </c>
      <c r="AD1700" s="4" t="str">
        <f>"Pitanguá"</f>
        <v>Pitanguá</v>
      </c>
      <c r="AE1700" s="14" t="str">
        <f>"Matemática"</f>
        <v>Matemática</v>
      </c>
      <c r="AF1700" s="14"/>
    </row>
    <row r="1701" spans="1:32" x14ac:dyDescent="0.3">
      <c r="A1701" s="23" t="s">
        <v>2608</v>
      </c>
      <c r="B1701" s="20" t="s">
        <v>16</v>
      </c>
      <c r="C1701" s="20" t="s">
        <v>89</v>
      </c>
      <c r="D1701" s="20" t="s">
        <v>8</v>
      </c>
      <c r="E1701" s="22">
        <v>171</v>
      </c>
      <c r="F1701" s="22">
        <v>1</v>
      </c>
      <c r="G1701" s="22">
        <v>6</v>
      </c>
      <c r="H1701" s="22"/>
      <c r="I1701" s="23" t="s">
        <v>9</v>
      </c>
      <c r="J1701" s="23"/>
      <c r="K1701" s="22"/>
      <c r="L1701" s="22"/>
      <c r="M1701" s="23"/>
      <c r="N1701" s="23"/>
      <c r="O1701" s="26" t="s">
        <v>2609</v>
      </c>
      <c r="P1701" s="26"/>
      <c r="Q1701" s="22"/>
      <c r="R1701" s="24"/>
      <c r="S1701" s="24"/>
      <c r="T1701" s="24"/>
      <c r="U1701" s="24"/>
      <c r="V1701" s="24"/>
      <c r="W1701" s="22" t="s">
        <v>468</v>
      </c>
      <c r="X1701" s="4" t="str">
        <f>IF(Tabela2[[#This Row],[sigla]]="","",VLOOKUP(Tabela2[[#This Row],[sigla]],créditos_base!B:C,2,0))</f>
        <v>VER DOCUMENTO DE ILS. TÉCNICAS</v>
      </c>
      <c r="Y1701" s="23"/>
      <c r="Z1701" s="23" t="s">
        <v>469</v>
      </c>
      <c r="AA1701" s="22"/>
      <c r="AB1701" s="20"/>
      <c r="AD1701" s="4" t="str">
        <f>"Pitanguá"</f>
        <v>Pitanguá</v>
      </c>
      <c r="AE1701" s="14" t="str">
        <f>"Matemática"</f>
        <v>Matemática</v>
      </c>
      <c r="AF1701" s="14"/>
    </row>
    <row r="1702" spans="1:32" x14ac:dyDescent="0.3">
      <c r="A1702" s="23" t="s">
        <v>2610</v>
      </c>
      <c r="B1702" s="20" t="s">
        <v>16</v>
      </c>
      <c r="C1702" s="20" t="s">
        <v>89</v>
      </c>
      <c r="D1702" s="20" t="s">
        <v>8</v>
      </c>
      <c r="E1702" s="22">
        <v>171</v>
      </c>
      <c r="F1702" s="22">
        <v>1</v>
      </c>
      <c r="G1702" s="22">
        <v>6</v>
      </c>
      <c r="H1702" s="22"/>
      <c r="I1702" s="23" t="s">
        <v>90</v>
      </c>
      <c r="J1702" s="23"/>
      <c r="K1702" s="22"/>
      <c r="L1702" s="22"/>
      <c r="M1702" s="23"/>
      <c r="N1702" s="23"/>
      <c r="O1702" s="26" t="s">
        <v>2611</v>
      </c>
      <c r="P1702" s="26"/>
      <c r="Q1702" s="22">
        <v>35</v>
      </c>
      <c r="R1702" s="24">
        <v>45771</v>
      </c>
      <c r="S1702" s="24">
        <v>45775</v>
      </c>
      <c r="T1702" s="24"/>
      <c r="U1702" s="24"/>
      <c r="V1702" s="24">
        <v>45777</v>
      </c>
      <c r="W1702" s="22" t="s">
        <v>468</v>
      </c>
      <c r="X1702" s="4" t="str">
        <f>IF(Tabela2[[#This Row],[sigla]]="","",VLOOKUP(Tabela2[[#This Row],[sigla]],créditos_base!B:C,2,0))</f>
        <v>VER DOCUMENTO DE ILS. TÉCNICAS</v>
      </c>
      <c r="Y1702" s="23" t="s">
        <v>188</v>
      </c>
      <c r="Z1702" s="23" t="s">
        <v>661</v>
      </c>
      <c r="AA1702" s="22">
        <v>8</v>
      </c>
      <c r="AB1702" s="20" t="s">
        <v>2564</v>
      </c>
      <c r="AC1702" s="20" t="s">
        <v>36</v>
      </c>
      <c r="AD1702" s="4" t="str">
        <f>"Pitanguá"</f>
        <v>Pitanguá</v>
      </c>
      <c r="AE1702" s="14" t="str">
        <f>"Matemática"</f>
        <v>Matemática</v>
      </c>
      <c r="AF1702" s="14"/>
    </row>
    <row r="1703" spans="1:32" x14ac:dyDescent="0.3">
      <c r="A1703" s="30" t="s">
        <v>2612</v>
      </c>
      <c r="B1703" s="20" t="s">
        <v>16</v>
      </c>
      <c r="C1703" s="20" t="s">
        <v>89</v>
      </c>
      <c r="D1703" s="20" t="s">
        <v>8</v>
      </c>
      <c r="E1703" s="22">
        <v>171</v>
      </c>
      <c r="F1703" s="22">
        <v>1</v>
      </c>
      <c r="G1703" s="22">
        <v>6</v>
      </c>
      <c r="H1703" s="22"/>
      <c r="I1703" s="23" t="s">
        <v>90</v>
      </c>
      <c r="J1703" s="23"/>
      <c r="K1703" s="22"/>
      <c r="L1703" s="22"/>
      <c r="M1703" s="23"/>
      <c r="N1703" s="23"/>
      <c r="O1703" s="26" t="s">
        <v>2613</v>
      </c>
      <c r="P1703" s="26"/>
      <c r="Q1703" s="22">
        <v>35</v>
      </c>
      <c r="R1703" s="24">
        <v>45771</v>
      </c>
      <c r="S1703" s="24">
        <v>45775</v>
      </c>
      <c r="T1703" s="24"/>
      <c r="U1703" s="24"/>
      <c r="V1703" s="24">
        <v>45777</v>
      </c>
      <c r="W1703" s="22" t="s">
        <v>999</v>
      </c>
      <c r="X1703" s="4" t="str">
        <f>IF(Tabela2[[#This Row],[sigla]]="","",VLOOKUP(Tabela2[[#This Row],[sigla]],créditos_base!B:C,2,0))</f>
        <v>VINÍCIUS COSTA/ARQUIVO DA EDITORA</v>
      </c>
      <c r="Y1703" s="23"/>
      <c r="Z1703" s="23" t="str">
        <f>Tabela2[[#This Row],[ilustrador]]</f>
        <v>VINÍCIUS COSTA/ARQUIVO DA EDITORA</v>
      </c>
      <c r="AA1703" s="22">
        <v>8</v>
      </c>
      <c r="AB1703" s="20" t="s">
        <v>2564</v>
      </c>
      <c r="AC1703" s="20" t="s">
        <v>36</v>
      </c>
      <c r="AD1703" s="4" t="str">
        <f>"Pitanguá"</f>
        <v>Pitanguá</v>
      </c>
      <c r="AE1703" s="14" t="str">
        <f>"Matemática"</f>
        <v>Matemática</v>
      </c>
      <c r="AF1703" s="14"/>
    </row>
    <row r="1704" spans="1:32" x14ac:dyDescent="0.3">
      <c r="A1704" s="23" t="s">
        <v>2614</v>
      </c>
      <c r="B1704" s="20" t="s">
        <v>16</v>
      </c>
      <c r="C1704" s="20" t="s">
        <v>7</v>
      </c>
      <c r="D1704" s="20" t="s">
        <v>8</v>
      </c>
      <c r="E1704" s="22">
        <v>171</v>
      </c>
      <c r="F1704" s="22">
        <v>1</v>
      </c>
      <c r="G1704" s="22">
        <v>6</v>
      </c>
      <c r="H1704" s="22"/>
      <c r="I1704" s="23" t="s">
        <v>90</v>
      </c>
      <c r="J1704" s="23"/>
      <c r="K1704" s="22"/>
      <c r="L1704" s="22"/>
      <c r="M1704" s="23"/>
      <c r="N1704" s="23"/>
      <c r="O1704" s="26" t="s">
        <v>2615</v>
      </c>
      <c r="P1704" s="26"/>
      <c r="Q1704" s="22">
        <v>35</v>
      </c>
      <c r="R1704" s="24">
        <v>45771</v>
      </c>
      <c r="S1704" s="24">
        <v>45776</v>
      </c>
      <c r="T1704" s="24"/>
      <c r="U1704" s="24"/>
      <c r="V1704" s="24">
        <v>45783</v>
      </c>
      <c r="W1704" s="22" t="s">
        <v>72</v>
      </c>
      <c r="X1704" s="4" t="str">
        <f>IF(Tabela2[[#This Row],[sigla]]="","",VLOOKUP(Tabela2[[#This Row],[sigla]],créditos_base!B:C,2,0))</f>
        <v>HELOÍSA PINTARELLI/ARQUIVO DA EDITORA</v>
      </c>
      <c r="Y1704" s="23"/>
      <c r="Z1704" s="23" t="str">
        <f>Tabela2[[#This Row],[ilustrador]]</f>
        <v>HELOÍSA PINTARELLI/ARQUIVO DA EDITORA</v>
      </c>
      <c r="AA1704" s="22">
        <v>7</v>
      </c>
      <c r="AB1704" s="20" t="s">
        <v>2535</v>
      </c>
      <c r="AC1704" s="20" t="s">
        <v>310</v>
      </c>
      <c r="AD1704" s="4" t="str">
        <f>"Pitanguá"</f>
        <v>Pitanguá</v>
      </c>
      <c r="AE1704" s="14" t="str">
        <f>"Matemática"</f>
        <v>Matemática</v>
      </c>
      <c r="AF1704" s="14"/>
    </row>
    <row r="1705" spans="1:32" x14ac:dyDescent="0.3">
      <c r="A1705" s="23" t="s">
        <v>2540</v>
      </c>
      <c r="B1705" s="20" t="s">
        <v>16</v>
      </c>
      <c r="C1705" s="20" t="s">
        <v>89</v>
      </c>
      <c r="D1705" s="20" t="s">
        <v>8</v>
      </c>
      <c r="E1705" s="22">
        <v>143</v>
      </c>
      <c r="F1705" s="22">
        <v>1</v>
      </c>
      <c r="G1705" s="22">
        <v>6</v>
      </c>
      <c r="H1705" s="22"/>
      <c r="I1705" s="23" t="s">
        <v>33</v>
      </c>
      <c r="J1705" s="23"/>
      <c r="K1705" s="22"/>
      <c r="L1705" s="22"/>
      <c r="M1705" s="23"/>
      <c r="N1705" s="23"/>
      <c r="O1705" s="26" t="s">
        <v>2541</v>
      </c>
      <c r="P1705" s="26"/>
      <c r="Q1705" s="22">
        <v>35</v>
      </c>
      <c r="R1705" s="24">
        <v>45771</v>
      </c>
      <c r="S1705" s="24">
        <v>45775</v>
      </c>
      <c r="T1705" s="24"/>
      <c r="U1705" s="24"/>
      <c r="V1705" s="24">
        <v>45777</v>
      </c>
      <c r="W1705" s="22" t="s">
        <v>468</v>
      </c>
      <c r="X1705" s="4" t="str">
        <f>IF(Tabela2[[#This Row],[sigla]]="","",VLOOKUP(Tabela2[[#This Row],[sigla]],créditos_base!B:C,2,0))</f>
        <v>VER DOCUMENTO DE ILS. TÉCNICAS</v>
      </c>
      <c r="Y1705" s="23" t="s">
        <v>188</v>
      </c>
      <c r="Z1705" s="23" t="s">
        <v>469</v>
      </c>
      <c r="AA1705" s="22"/>
      <c r="AB1705" s="20" t="s">
        <v>153</v>
      </c>
      <c r="AC1705" s="20" t="s">
        <v>36</v>
      </c>
      <c r="AD1705" s="4" t="str">
        <f>"Pitanguá"</f>
        <v>Pitanguá</v>
      </c>
      <c r="AE1705" s="14" t="str">
        <f>"Matemática"</f>
        <v>Matemática</v>
      </c>
      <c r="AF1705" s="14"/>
    </row>
    <row r="1706" spans="1:32" ht="28.8" x14ac:dyDescent="0.3">
      <c r="A1706" s="23" t="s">
        <v>2586</v>
      </c>
      <c r="B1706" s="20" t="s">
        <v>16</v>
      </c>
      <c r="C1706" s="20" t="s">
        <v>89</v>
      </c>
      <c r="D1706" s="20" t="s">
        <v>8</v>
      </c>
      <c r="E1706" s="22">
        <v>153</v>
      </c>
      <c r="F1706" s="22">
        <v>1</v>
      </c>
      <c r="G1706" s="22">
        <v>6</v>
      </c>
      <c r="H1706" s="22"/>
      <c r="I1706" s="23" t="s">
        <v>9</v>
      </c>
      <c r="J1706" s="23"/>
      <c r="K1706" s="22"/>
      <c r="L1706" s="22"/>
      <c r="M1706" s="23"/>
      <c r="N1706" s="23"/>
      <c r="O1706" s="26" t="s">
        <v>2587</v>
      </c>
      <c r="P1706" s="26"/>
      <c r="Q1706" s="22"/>
      <c r="R1706" s="24"/>
      <c r="S1706" s="24"/>
      <c r="T1706" s="24"/>
      <c r="U1706" s="24"/>
      <c r="V1706" s="24"/>
      <c r="W1706" s="22" t="s">
        <v>468</v>
      </c>
      <c r="X1706" s="4" t="str">
        <f>IF(Tabela2[[#This Row],[sigla]]="","",VLOOKUP(Tabela2[[#This Row],[sigla]],créditos_base!B:C,2,0))</f>
        <v>VER DOCUMENTO DE ILS. TÉCNICAS</v>
      </c>
      <c r="Y1706" s="23"/>
      <c r="Z1706" s="23" t="s">
        <v>469</v>
      </c>
      <c r="AA1706" s="22"/>
      <c r="AB1706" s="20"/>
      <c r="AD1706" s="4" t="str">
        <f>"Pitanguá"</f>
        <v>Pitanguá</v>
      </c>
      <c r="AE1706" s="14" t="str">
        <f>"Matemática"</f>
        <v>Matemática</v>
      </c>
      <c r="AF1706" s="14"/>
    </row>
    <row r="1707" spans="1:32" x14ac:dyDescent="0.3">
      <c r="A1707" s="23" t="s">
        <v>2571</v>
      </c>
      <c r="B1707" s="20" t="s">
        <v>16</v>
      </c>
      <c r="C1707" s="20" t="s">
        <v>7</v>
      </c>
      <c r="D1707" s="20" t="s">
        <v>8</v>
      </c>
      <c r="E1707" s="22">
        <v>150</v>
      </c>
      <c r="F1707" s="22">
        <v>1</v>
      </c>
      <c r="G1707" s="22">
        <v>6</v>
      </c>
      <c r="H1707" s="22"/>
      <c r="I1707" s="23" t="s">
        <v>33</v>
      </c>
      <c r="J1707" s="23"/>
      <c r="K1707" s="22"/>
      <c r="L1707" s="22"/>
      <c r="M1707" s="23"/>
      <c r="N1707" s="23"/>
      <c r="O1707" s="26" t="s">
        <v>2572</v>
      </c>
      <c r="P1707" s="26"/>
      <c r="Q1707" s="22">
        <v>35</v>
      </c>
      <c r="R1707" s="24">
        <v>45771</v>
      </c>
      <c r="S1707" s="24">
        <v>45775</v>
      </c>
      <c r="T1707" s="24"/>
      <c r="U1707" s="24"/>
      <c r="V1707" s="24">
        <v>45777</v>
      </c>
      <c r="W1707" s="22" t="s">
        <v>31</v>
      </c>
      <c r="X1707" s="4" t="str">
        <f>IF(Tabela2[[#This Row],[sigla]]="","",VLOOKUP(Tabela2[[#This Row],[sigla]],créditos_base!B:C,2,0))</f>
        <v>SILVIA OTOFUJI/ARQUIVO DA EDITORA</v>
      </c>
      <c r="Y1707" s="23" t="s">
        <v>188</v>
      </c>
      <c r="Z1707" s="23" t="str">
        <f>Tabela2[[#This Row],[ilustrador]]</f>
        <v>SILVIA OTOFUJI/ARQUIVO DA EDITORA</v>
      </c>
      <c r="AA1707" s="22">
        <v>14</v>
      </c>
      <c r="AB1707" s="20" t="s">
        <v>153</v>
      </c>
      <c r="AC1707" s="20" t="s">
        <v>36</v>
      </c>
      <c r="AD1707" s="4" t="str">
        <f>"Pitanguá"</f>
        <v>Pitanguá</v>
      </c>
      <c r="AE1707" s="14" t="str">
        <f>"Matemática"</f>
        <v>Matemática</v>
      </c>
      <c r="AF1707" s="14"/>
    </row>
    <row r="1708" spans="1:32" x14ac:dyDescent="0.3">
      <c r="A1708" s="23" t="s">
        <v>5266</v>
      </c>
      <c r="B1708" s="20" t="s">
        <v>16</v>
      </c>
      <c r="C1708" s="20" t="s">
        <v>89</v>
      </c>
      <c r="D1708" s="20" t="s">
        <v>8</v>
      </c>
      <c r="E1708" s="22">
        <v>146</v>
      </c>
      <c r="F1708" s="22">
        <v>1</v>
      </c>
      <c r="G1708" s="22">
        <v>6</v>
      </c>
      <c r="H1708" s="22"/>
      <c r="I1708" s="23" t="s">
        <v>90</v>
      </c>
      <c r="J1708" s="23"/>
      <c r="K1708" s="22"/>
      <c r="L1708" s="22"/>
      <c r="M1708" s="23"/>
      <c r="N1708" s="23"/>
      <c r="O1708" s="26" t="s">
        <v>5267</v>
      </c>
      <c r="P1708" s="26"/>
      <c r="Q1708" s="22">
        <v>114</v>
      </c>
      <c r="R1708" s="24">
        <v>45856</v>
      </c>
      <c r="S1708" s="24">
        <v>45857</v>
      </c>
      <c r="T1708" s="24"/>
      <c r="U1708" s="24"/>
      <c r="V1708" s="24">
        <v>45859</v>
      </c>
      <c r="W1708" s="22" t="s">
        <v>468</v>
      </c>
      <c r="X1708" s="4" t="str">
        <f>IF(Tabela2[[#This Row],[sigla]]="","",VLOOKUP(Tabela2[[#This Row],[sigla]],créditos_base!B:C,2,0))</f>
        <v>VER DOCUMENTO DE ILS. TÉCNICAS</v>
      </c>
      <c r="Y1708" s="23"/>
      <c r="Z1708" s="23" t="s">
        <v>5062</v>
      </c>
      <c r="AA1708" s="22">
        <v>8</v>
      </c>
      <c r="AB1708" s="20" t="s">
        <v>243</v>
      </c>
      <c r="AC1708" s="20" t="s">
        <v>36</v>
      </c>
      <c r="AD1708" s="4" t="str">
        <f>"Pitanguá"</f>
        <v>Pitanguá</v>
      </c>
      <c r="AE1708" s="14" t="str">
        <f>"Matemática"</f>
        <v>Matemática</v>
      </c>
      <c r="AF1708" s="14"/>
    </row>
    <row r="1709" spans="1:32" x14ac:dyDescent="0.3">
      <c r="A1709" s="23" t="s">
        <v>5268</v>
      </c>
      <c r="B1709" s="20" t="s">
        <v>16</v>
      </c>
      <c r="C1709" s="20" t="s">
        <v>89</v>
      </c>
      <c r="D1709" s="20" t="s">
        <v>8</v>
      </c>
      <c r="E1709" s="22">
        <v>146</v>
      </c>
      <c r="F1709" s="22">
        <v>1</v>
      </c>
      <c r="G1709" s="22">
        <v>6</v>
      </c>
      <c r="H1709" s="22"/>
      <c r="I1709" s="23" t="s">
        <v>90</v>
      </c>
      <c r="J1709" s="23"/>
      <c r="K1709" s="22"/>
      <c r="L1709" s="22"/>
      <c r="M1709" s="23"/>
      <c r="N1709" s="23"/>
      <c r="O1709" s="26" t="s">
        <v>5269</v>
      </c>
      <c r="P1709" s="26"/>
      <c r="Q1709" s="22">
        <v>114</v>
      </c>
      <c r="R1709" s="24">
        <v>45856</v>
      </c>
      <c r="S1709" s="24">
        <v>45857</v>
      </c>
      <c r="T1709" s="24"/>
      <c r="U1709" s="24"/>
      <c r="V1709" s="24">
        <v>45859</v>
      </c>
      <c r="W1709" s="22" t="s">
        <v>468</v>
      </c>
      <c r="X1709" s="4" t="str">
        <f>IF(Tabela2[[#This Row],[sigla]]="","",VLOOKUP(Tabela2[[#This Row],[sigla]],créditos_base!B:C,2,0))</f>
        <v>VER DOCUMENTO DE ILS. TÉCNICAS</v>
      </c>
      <c r="Y1709" s="23"/>
      <c r="Z1709" s="23" t="s">
        <v>5062</v>
      </c>
      <c r="AA1709" s="22">
        <v>8</v>
      </c>
      <c r="AB1709" s="20" t="s">
        <v>243</v>
      </c>
      <c r="AC1709" s="20" t="s">
        <v>36</v>
      </c>
      <c r="AD1709" s="4" t="str">
        <f>"Pitanguá"</f>
        <v>Pitanguá</v>
      </c>
      <c r="AE1709" s="14" t="str">
        <f>"Matemática"</f>
        <v>Matemática</v>
      </c>
      <c r="AF1709" s="14"/>
    </row>
    <row r="1710" spans="1:32" x14ac:dyDescent="0.3">
      <c r="A1710" s="23" t="s">
        <v>5270</v>
      </c>
      <c r="B1710" s="20" t="s">
        <v>16</v>
      </c>
      <c r="C1710" s="20" t="s">
        <v>89</v>
      </c>
      <c r="D1710" s="20" t="s">
        <v>8</v>
      </c>
      <c r="E1710" s="22">
        <v>146</v>
      </c>
      <c r="F1710" s="22">
        <v>1</v>
      </c>
      <c r="G1710" s="22">
        <v>6</v>
      </c>
      <c r="H1710" s="22"/>
      <c r="I1710" s="23" t="s">
        <v>90</v>
      </c>
      <c r="J1710" s="23"/>
      <c r="K1710" s="22"/>
      <c r="L1710" s="22"/>
      <c r="M1710" s="23"/>
      <c r="N1710" s="23"/>
      <c r="O1710" s="26" t="s">
        <v>5271</v>
      </c>
      <c r="P1710" s="26"/>
      <c r="Q1710" s="22">
        <v>114</v>
      </c>
      <c r="R1710" s="24">
        <v>45856</v>
      </c>
      <c r="S1710" s="24">
        <v>45857</v>
      </c>
      <c r="T1710" s="24"/>
      <c r="U1710" s="24"/>
      <c r="V1710" s="24">
        <v>45859</v>
      </c>
      <c r="W1710" s="22" t="s">
        <v>468</v>
      </c>
      <c r="X1710" s="4" t="str">
        <f>IF(Tabela2[[#This Row],[sigla]]="","",VLOOKUP(Tabela2[[#This Row],[sigla]],créditos_base!B:C,2,0))</f>
        <v>VER DOCUMENTO DE ILS. TÉCNICAS</v>
      </c>
      <c r="Y1710" s="23"/>
      <c r="Z1710" s="23" t="s">
        <v>5062</v>
      </c>
      <c r="AA1710" s="22">
        <v>8</v>
      </c>
      <c r="AB1710" s="20" t="s">
        <v>243</v>
      </c>
      <c r="AC1710" s="20" t="s">
        <v>36</v>
      </c>
      <c r="AD1710" s="4" t="str">
        <f>"Pitanguá"</f>
        <v>Pitanguá</v>
      </c>
      <c r="AE1710" s="14" t="str">
        <f>"Matemática"</f>
        <v>Matemática</v>
      </c>
      <c r="AF1710" s="14"/>
    </row>
    <row r="1711" spans="1:32" x14ac:dyDescent="0.3">
      <c r="A1711" s="23" t="s">
        <v>5272</v>
      </c>
      <c r="B1711" s="20" t="s">
        <v>16</v>
      </c>
      <c r="C1711" s="20" t="s">
        <v>89</v>
      </c>
      <c r="D1711" s="20" t="s">
        <v>8</v>
      </c>
      <c r="E1711" s="22">
        <v>146</v>
      </c>
      <c r="F1711" s="22">
        <v>1</v>
      </c>
      <c r="G1711" s="22">
        <v>6</v>
      </c>
      <c r="H1711" s="22"/>
      <c r="I1711" s="23" t="s">
        <v>90</v>
      </c>
      <c r="J1711" s="23"/>
      <c r="K1711" s="22"/>
      <c r="L1711" s="22"/>
      <c r="M1711" s="23"/>
      <c r="N1711" s="23"/>
      <c r="O1711" s="26" t="s">
        <v>5273</v>
      </c>
      <c r="P1711" s="26"/>
      <c r="Q1711" s="22">
        <v>114</v>
      </c>
      <c r="R1711" s="24">
        <v>45856</v>
      </c>
      <c r="S1711" s="24">
        <v>45857</v>
      </c>
      <c r="T1711" s="24"/>
      <c r="U1711" s="24"/>
      <c r="V1711" s="24">
        <v>45859</v>
      </c>
      <c r="W1711" s="22" t="s">
        <v>468</v>
      </c>
      <c r="X1711" s="4" t="str">
        <f>IF(Tabela2[[#This Row],[sigla]]="","",VLOOKUP(Tabela2[[#This Row],[sigla]],créditos_base!B:C,2,0))</f>
        <v>VER DOCUMENTO DE ILS. TÉCNICAS</v>
      </c>
      <c r="Y1711" s="23"/>
      <c r="Z1711" s="23" t="s">
        <v>5062</v>
      </c>
      <c r="AA1711" s="22">
        <v>8</v>
      </c>
      <c r="AB1711" s="20" t="s">
        <v>243</v>
      </c>
      <c r="AC1711" s="20" t="s">
        <v>36</v>
      </c>
      <c r="AD1711" s="4" t="str">
        <f>"Pitanguá"</f>
        <v>Pitanguá</v>
      </c>
      <c r="AE1711" s="14" t="str">
        <f>"Matemática"</f>
        <v>Matemática</v>
      </c>
      <c r="AF1711" s="14"/>
    </row>
    <row r="1712" spans="1:32" x14ac:dyDescent="0.3">
      <c r="A1712" s="23" t="s">
        <v>5274</v>
      </c>
      <c r="B1712" s="20" t="s">
        <v>16</v>
      </c>
      <c r="C1712" s="20" t="s">
        <v>89</v>
      </c>
      <c r="D1712" s="20" t="s">
        <v>8</v>
      </c>
      <c r="E1712" s="22">
        <v>146</v>
      </c>
      <c r="F1712" s="22">
        <v>1</v>
      </c>
      <c r="G1712" s="22">
        <v>6</v>
      </c>
      <c r="H1712" s="22"/>
      <c r="I1712" s="23" t="s">
        <v>90</v>
      </c>
      <c r="J1712" s="23"/>
      <c r="K1712" s="22"/>
      <c r="L1712" s="22"/>
      <c r="M1712" s="23"/>
      <c r="N1712" s="23"/>
      <c r="O1712" s="26" t="s">
        <v>5275</v>
      </c>
      <c r="P1712" s="26"/>
      <c r="Q1712" s="22">
        <v>114</v>
      </c>
      <c r="R1712" s="24">
        <v>45856</v>
      </c>
      <c r="S1712" s="24">
        <v>45857</v>
      </c>
      <c r="T1712" s="24"/>
      <c r="U1712" s="24"/>
      <c r="V1712" s="24">
        <v>45859</v>
      </c>
      <c r="W1712" s="22" t="s">
        <v>468</v>
      </c>
      <c r="X1712" s="4" t="str">
        <f>IF(Tabela2[[#This Row],[sigla]]="","",VLOOKUP(Tabela2[[#This Row],[sigla]],créditos_base!B:C,2,0))</f>
        <v>VER DOCUMENTO DE ILS. TÉCNICAS</v>
      </c>
      <c r="Y1712" s="23"/>
      <c r="Z1712" s="23" t="s">
        <v>5062</v>
      </c>
      <c r="AA1712" s="22">
        <v>8</v>
      </c>
      <c r="AB1712" s="20" t="s">
        <v>243</v>
      </c>
      <c r="AC1712" s="20" t="s">
        <v>36</v>
      </c>
      <c r="AD1712" s="4" t="str">
        <f>"Pitanguá"</f>
        <v>Pitanguá</v>
      </c>
      <c r="AE1712" s="14" t="str">
        <f>"Matemática"</f>
        <v>Matemática</v>
      </c>
      <c r="AF1712" s="14"/>
    </row>
    <row r="1713" spans="1:32" x14ac:dyDescent="0.3">
      <c r="A1713" s="23" t="s">
        <v>5276</v>
      </c>
      <c r="B1713" s="20" t="s">
        <v>16</v>
      </c>
      <c r="C1713" s="20" t="s">
        <v>89</v>
      </c>
      <c r="D1713" s="20" t="s">
        <v>8</v>
      </c>
      <c r="E1713" s="22">
        <v>146</v>
      </c>
      <c r="F1713" s="22">
        <v>1</v>
      </c>
      <c r="G1713" s="22">
        <v>6</v>
      </c>
      <c r="H1713" s="22"/>
      <c r="I1713" s="23" t="s">
        <v>90</v>
      </c>
      <c r="J1713" s="23"/>
      <c r="K1713" s="22"/>
      <c r="L1713" s="22"/>
      <c r="M1713" s="23"/>
      <c r="N1713" s="23"/>
      <c r="O1713" s="26" t="s">
        <v>5277</v>
      </c>
      <c r="P1713" s="26"/>
      <c r="Q1713" s="22">
        <v>114</v>
      </c>
      <c r="R1713" s="24">
        <v>45856</v>
      </c>
      <c r="S1713" s="24">
        <v>45857</v>
      </c>
      <c r="T1713" s="24"/>
      <c r="U1713" s="24"/>
      <c r="V1713" s="24">
        <v>45859</v>
      </c>
      <c r="W1713" s="22" t="s">
        <v>468</v>
      </c>
      <c r="X1713" s="4" t="str">
        <f>IF(Tabela2[[#This Row],[sigla]]="","",VLOOKUP(Tabela2[[#This Row],[sigla]],créditos_base!B:C,2,0))</f>
        <v>VER DOCUMENTO DE ILS. TÉCNICAS</v>
      </c>
      <c r="Y1713" s="23"/>
      <c r="Z1713" s="23" t="s">
        <v>5062</v>
      </c>
      <c r="AA1713" s="22">
        <v>8</v>
      </c>
      <c r="AB1713" s="20" t="s">
        <v>243</v>
      </c>
      <c r="AC1713" s="20" t="s">
        <v>36</v>
      </c>
      <c r="AD1713" s="4" t="str">
        <f>"Pitanguá"</f>
        <v>Pitanguá</v>
      </c>
      <c r="AE1713" s="14" t="str">
        <f>"Matemática"</f>
        <v>Matemática</v>
      </c>
      <c r="AF1713" s="14"/>
    </row>
    <row r="1714" spans="1:32" x14ac:dyDescent="0.3">
      <c r="A1714" s="23" t="s">
        <v>5278</v>
      </c>
      <c r="B1714" s="20" t="s">
        <v>16</v>
      </c>
      <c r="C1714" s="20" t="s">
        <v>89</v>
      </c>
      <c r="D1714" s="20" t="s">
        <v>8</v>
      </c>
      <c r="E1714" s="22">
        <v>153</v>
      </c>
      <c r="F1714" s="22">
        <v>1</v>
      </c>
      <c r="G1714" s="22">
        <v>6</v>
      </c>
      <c r="H1714" s="22"/>
      <c r="I1714" s="23" t="s">
        <v>90</v>
      </c>
      <c r="J1714" s="23"/>
      <c r="K1714" s="22"/>
      <c r="L1714" s="22"/>
      <c r="M1714" s="23"/>
      <c r="N1714" s="23"/>
      <c r="O1714" s="26" t="s">
        <v>5279</v>
      </c>
      <c r="P1714" s="26"/>
      <c r="Q1714" s="22">
        <v>114</v>
      </c>
      <c r="R1714" s="24">
        <v>45856</v>
      </c>
      <c r="S1714" s="24">
        <v>45857</v>
      </c>
      <c r="T1714" s="24"/>
      <c r="U1714" s="24"/>
      <c r="V1714" s="24">
        <v>45859</v>
      </c>
      <c r="W1714" s="22" t="s">
        <v>468</v>
      </c>
      <c r="X1714" s="4" t="str">
        <f>IF(Tabela2[[#This Row],[sigla]]="","",VLOOKUP(Tabela2[[#This Row],[sigla]],créditos_base!B:C,2,0))</f>
        <v>VER DOCUMENTO DE ILS. TÉCNICAS</v>
      </c>
      <c r="Y1714" s="23"/>
      <c r="Z1714" s="23" t="s">
        <v>5062</v>
      </c>
      <c r="AA1714" s="22">
        <v>8</v>
      </c>
      <c r="AB1714" s="20" t="s">
        <v>243</v>
      </c>
      <c r="AC1714" s="20" t="s">
        <v>36</v>
      </c>
      <c r="AD1714" s="4" t="str">
        <f>"Pitanguá"</f>
        <v>Pitanguá</v>
      </c>
      <c r="AE1714" s="14" t="str">
        <f>"Matemática"</f>
        <v>Matemática</v>
      </c>
      <c r="AF1714" s="14"/>
    </row>
    <row r="1715" spans="1:32" x14ac:dyDescent="0.3">
      <c r="A1715" s="23" t="s">
        <v>5899</v>
      </c>
      <c r="B1715" s="20" t="s">
        <v>135</v>
      </c>
      <c r="C1715" s="20" t="s">
        <v>7</v>
      </c>
      <c r="D1715" s="20" t="s">
        <v>8</v>
      </c>
      <c r="E1715" s="22">
        <v>169</v>
      </c>
      <c r="F1715" s="22">
        <v>1</v>
      </c>
      <c r="G1715" s="22" t="s">
        <v>5897</v>
      </c>
      <c r="H1715" s="22"/>
      <c r="I1715" s="23" t="s">
        <v>90</v>
      </c>
      <c r="J1715" s="23"/>
      <c r="K1715" s="22"/>
      <c r="L1715" s="22"/>
      <c r="M1715" s="23"/>
      <c r="N1715" s="23"/>
      <c r="O1715" s="26" t="s">
        <v>5900</v>
      </c>
      <c r="P1715" s="26"/>
      <c r="Q1715" s="22">
        <v>166</v>
      </c>
      <c r="R1715" s="24">
        <v>45894</v>
      </c>
      <c r="S1715" s="24">
        <v>45895</v>
      </c>
      <c r="T1715" s="24"/>
      <c r="U1715" s="24"/>
      <c r="V1715" s="24">
        <v>45895</v>
      </c>
      <c r="W1715" s="22" t="s">
        <v>2675</v>
      </c>
      <c r="X1715" s="4" t="str">
        <f>IF(Tabela2[[#This Row],[sigla]]="","",VLOOKUP(Tabela2[[#This Row],[sigla]],créditos_base!B:C,2,0))</f>
        <v>INGRIDHI BORGES/ARQUIVO DA EDITORA</v>
      </c>
      <c r="Y1715" s="23"/>
      <c r="Z1715" s="23" t="str">
        <f>Tabela2[[#This Row],[ilustrador]]</f>
        <v>INGRIDHI BORGES/ARQUIVO DA EDITORA</v>
      </c>
      <c r="AA1715" s="22">
        <v>7</v>
      </c>
      <c r="AB1715" s="20" t="s">
        <v>2058</v>
      </c>
      <c r="AC1715" s="20" t="s">
        <v>36</v>
      </c>
      <c r="AD1715" s="4" t="str">
        <f>"Pitanguá"</f>
        <v>Pitanguá</v>
      </c>
      <c r="AE1715" s="14" t="str">
        <f>"Matemática"</f>
        <v>Matemática</v>
      </c>
      <c r="AF1715" s="14"/>
    </row>
    <row r="1716" spans="1:32" x14ac:dyDescent="0.3">
      <c r="A1716" s="30" t="s">
        <v>1567</v>
      </c>
      <c r="B1716" s="20" t="s">
        <v>16</v>
      </c>
      <c r="C1716" s="20" t="s">
        <v>89</v>
      </c>
      <c r="D1716" s="20" t="s">
        <v>8</v>
      </c>
      <c r="E1716" s="22">
        <v>110</v>
      </c>
      <c r="F1716" s="22">
        <v>2</v>
      </c>
      <c r="G1716" s="22">
        <v>7</v>
      </c>
      <c r="H1716" s="22"/>
      <c r="I1716" s="23" t="s">
        <v>9</v>
      </c>
      <c r="J1716" s="23"/>
      <c r="K1716" s="22"/>
      <c r="L1716" s="22"/>
      <c r="M1716" s="23"/>
      <c r="N1716" s="23"/>
      <c r="O1716" s="26" t="s">
        <v>1568</v>
      </c>
      <c r="P1716" s="26"/>
      <c r="Q1716" s="22"/>
      <c r="R1716" s="24"/>
      <c r="S1716" s="24"/>
      <c r="T1716" s="24"/>
      <c r="U1716" s="24"/>
      <c r="V1716" s="24"/>
      <c r="W1716" s="22" t="s">
        <v>468</v>
      </c>
      <c r="X1716" s="4" t="str">
        <f>IF(Tabela2[[#This Row],[sigla]]="","",VLOOKUP(Tabela2[[#This Row],[sigla]],créditos_base!B:C,2,0))</f>
        <v>VER DOCUMENTO DE ILS. TÉCNICAS</v>
      </c>
      <c r="Y1716" s="23"/>
      <c r="Z1716" s="23" t="s">
        <v>661</v>
      </c>
      <c r="AA1716" s="22"/>
      <c r="AB1716" s="20"/>
      <c r="AD1716" s="4" t="str">
        <f>"Pitanguá"</f>
        <v>Pitanguá</v>
      </c>
      <c r="AE1716" s="14" t="str">
        <f>"Matemática"</f>
        <v>Matemática</v>
      </c>
      <c r="AF1716" s="14"/>
    </row>
    <row r="1717" spans="1:32" x14ac:dyDescent="0.3">
      <c r="A1717" s="23" t="s">
        <v>2304</v>
      </c>
      <c r="B1717" s="20" t="s">
        <v>6</v>
      </c>
      <c r="C1717" s="20" t="s">
        <v>7</v>
      </c>
      <c r="D1717" s="20" t="s">
        <v>8</v>
      </c>
      <c r="E1717" s="22">
        <v>134</v>
      </c>
      <c r="F1717" s="22">
        <v>3</v>
      </c>
      <c r="G1717" s="22">
        <v>7</v>
      </c>
      <c r="H1717" s="22"/>
      <c r="I1717" s="23" t="s">
        <v>9</v>
      </c>
      <c r="J1717" s="23"/>
      <c r="K1717" s="22"/>
      <c r="L1717" s="22"/>
      <c r="M1717" s="23"/>
      <c r="N1717" s="23"/>
      <c r="O1717" s="26" t="s">
        <v>2305</v>
      </c>
      <c r="P1717" s="26" t="s">
        <v>11</v>
      </c>
      <c r="Q1717" s="22"/>
      <c r="R1717" s="24"/>
      <c r="S1717" s="24"/>
      <c r="T1717" s="24"/>
      <c r="U1717" s="24"/>
      <c r="V1717" s="24"/>
      <c r="W1717" s="22" t="s">
        <v>230</v>
      </c>
      <c r="X1717" s="4" t="str">
        <f>IF(Tabela2[[#This Row],[sigla]]="","",VLOOKUP(Tabela2[[#This Row],[sigla]],créditos_base!B:C,2,0))</f>
        <v>RAFAEL L. GAION/ARQUIVO DA EDITORA</v>
      </c>
      <c r="Y1717" s="23"/>
      <c r="Z1717" s="23" t="str">
        <f>Tabela2[[#This Row],[ilustrador]]</f>
        <v>RAFAEL L. GAION/ARQUIVO DA EDITORA</v>
      </c>
      <c r="AA1717" s="22"/>
      <c r="AB1717" s="20"/>
      <c r="AD1717" s="4" t="str">
        <f>"Pitanguá"</f>
        <v>Pitanguá</v>
      </c>
      <c r="AE1717" s="14" t="str">
        <f>"Matemática"</f>
        <v>Matemática</v>
      </c>
      <c r="AF1717" s="14"/>
    </row>
    <row r="1718" spans="1:32" x14ac:dyDescent="0.3">
      <c r="A1718" s="30" t="s">
        <v>1569</v>
      </c>
      <c r="B1718" s="20" t="s">
        <v>16</v>
      </c>
      <c r="C1718" s="20" t="s">
        <v>89</v>
      </c>
      <c r="D1718" s="20" t="s">
        <v>8</v>
      </c>
      <c r="E1718" s="22">
        <v>110</v>
      </c>
      <c r="F1718" s="22">
        <v>2</v>
      </c>
      <c r="G1718" s="22">
        <v>7</v>
      </c>
      <c r="H1718" s="22"/>
      <c r="I1718" s="23" t="s">
        <v>9</v>
      </c>
      <c r="J1718" s="23"/>
      <c r="K1718" s="22"/>
      <c r="L1718" s="22"/>
      <c r="M1718" s="23"/>
      <c r="N1718" s="23"/>
      <c r="O1718" s="26" t="s">
        <v>1570</v>
      </c>
      <c r="P1718" s="26"/>
      <c r="Q1718" s="22"/>
      <c r="R1718" s="24"/>
      <c r="S1718" s="24"/>
      <c r="T1718" s="24"/>
      <c r="U1718" s="24"/>
      <c r="V1718" s="24"/>
      <c r="W1718" s="22" t="s">
        <v>468</v>
      </c>
      <c r="X1718" s="4" t="str">
        <f>IF(Tabela2[[#This Row],[sigla]]="","",VLOOKUP(Tabela2[[#This Row],[sigla]],créditos_base!B:C,2,0))</f>
        <v>VER DOCUMENTO DE ILS. TÉCNICAS</v>
      </c>
      <c r="Y1718" s="23"/>
      <c r="Z1718" s="23" t="s">
        <v>661</v>
      </c>
      <c r="AA1718" s="22"/>
      <c r="AB1718" s="20"/>
      <c r="AD1718" s="4" t="str">
        <f>"Pitanguá"</f>
        <v>Pitanguá</v>
      </c>
      <c r="AE1718" s="14" t="str">
        <f>"Matemática"</f>
        <v>Matemática</v>
      </c>
      <c r="AF1718" s="14"/>
    </row>
    <row r="1719" spans="1:32" x14ac:dyDescent="0.3">
      <c r="A1719" s="23" t="s">
        <v>2306</v>
      </c>
      <c r="B1719" s="20" t="s">
        <v>16</v>
      </c>
      <c r="C1719" s="20" t="s">
        <v>7</v>
      </c>
      <c r="D1719" s="20" t="s">
        <v>8</v>
      </c>
      <c r="E1719" s="22">
        <v>134</v>
      </c>
      <c r="F1719" s="22">
        <v>3</v>
      </c>
      <c r="G1719" s="22">
        <v>7</v>
      </c>
      <c r="H1719" s="22"/>
      <c r="I1719" s="23" t="s">
        <v>33</v>
      </c>
      <c r="J1719" s="23"/>
      <c r="K1719" s="22"/>
      <c r="L1719" s="22"/>
      <c r="M1719" s="23"/>
      <c r="N1719" s="23"/>
      <c r="O1719" s="26" t="s">
        <v>2307</v>
      </c>
      <c r="P1719" s="26"/>
      <c r="Q1719" s="22">
        <v>31</v>
      </c>
      <c r="R1719" s="24">
        <v>45758</v>
      </c>
      <c r="S1719" s="24">
        <v>45761</v>
      </c>
      <c r="T1719" s="24"/>
      <c r="U1719" s="24"/>
      <c r="V1719" s="24">
        <v>45763</v>
      </c>
      <c r="W1719" s="22" t="s">
        <v>230</v>
      </c>
      <c r="X1719" s="4" t="str">
        <f>IF(Tabela2[[#This Row],[sigla]]="","",VLOOKUP(Tabela2[[#This Row],[sigla]],créditos_base!B:C,2,0))</f>
        <v>RAFAEL L. GAION/ARQUIVO DA EDITORA</v>
      </c>
      <c r="Y1719" s="23" t="s">
        <v>188</v>
      </c>
      <c r="Z1719" s="23" t="str">
        <f>Tabela2[[#This Row],[ilustrador]]</f>
        <v>RAFAEL L. GAION/ARQUIVO DA EDITORA</v>
      </c>
      <c r="AA1719" s="22">
        <v>14</v>
      </c>
      <c r="AB1719" s="20" t="s">
        <v>153</v>
      </c>
      <c r="AC1719" s="20" t="s">
        <v>36</v>
      </c>
      <c r="AD1719" s="4" t="str">
        <f>"Pitanguá"</f>
        <v>Pitanguá</v>
      </c>
      <c r="AE1719" s="14" t="str">
        <f>"Matemática"</f>
        <v>Matemática</v>
      </c>
      <c r="AF1719" s="14"/>
    </row>
    <row r="1720" spans="1:32" x14ac:dyDescent="0.3">
      <c r="A1720" s="23" t="s">
        <v>4431</v>
      </c>
      <c r="B1720" s="20" t="s">
        <v>16</v>
      </c>
      <c r="C1720" s="20" t="s">
        <v>7</v>
      </c>
      <c r="D1720" s="20" t="s">
        <v>8</v>
      </c>
      <c r="E1720" s="22">
        <v>174</v>
      </c>
      <c r="F1720" s="22">
        <v>2</v>
      </c>
      <c r="G1720" s="22">
        <v>7</v>
      </c>
      <c r="H1720" s="22"/>
      <c r="I1720" s="23" t="s">
        <v>33</v>
      </c>
      <c r="J1720" s="23"/>
      <c r="K1720" s="22"/>
      <c r="L1720" s="22"/>
      <c r="M1720" s="23"/>
      <c r="N1720" s="23"/>
      <c r="O1720" s="26" t="s">
        <v>4432</v>
      </c>
      <c r="P1720" s="26"/>
      <c r="Q1720" s="22">
        <v>66</v>
      </c>
      <c r="R1720" s="24">
        <v>45811</v>
      </c>
      <c r="S1720" s="24">
        <v>45812</v>
      </c>
      <c r="T1720" s="24"/>
      <c r="U1720" s="24"/>
      <c r="V1720" s="24">
        <v>45812</v>
      </c>
      <c r="W1720" s="22" t="s">
        <v>12</v>
      </c>
      <c r="X1720" s="4" t="str">
        <f>IF(Tabela2[[#This Row],[sigla]]="","",VLOOKUP(Tabela2[[#This Row],[sigla]],créditos_base!B:C,2,0))</f>
        <v>JORGE ZAIBA/ARQUIVO DA EDITORA</v>
      </c>
      <c r="Y1720" s="23" t="s">
        <v>1139</v>
      </c>
      <c r="Z1720" s="23" t="str">
        <f>Tabela2[[#This Row],[ilustrador]]</f>
        <v>JORGE ZAIBA/ARQUIVO DA EDITORA</v>
      </c>
      <c r="AA1720" s="22">
        <v>13</v>
      </c>
      <c r="AB1720" s="20" t="s">
        <v>1302</v>
      </c>
      <c r="AC1720" s="20" t="s">
        <v>36</v>
      </c>
      <c r="AD1720" s="4" t="str">
        <f>"Pitanguá"</f>
        <v>Pitanguá</v>
      </c>
      <c r="AE1720" s="14" t="str">
        <f>"Matemática"</f>
        <v>Matemática</v>
      </c>
      <c r="AF1720" s="14"/>
    </row>
    <row r="1721" spans="1:32" x14ac:dyDescent="0.3">
      <c r="A1721" s="23" t="s">
        <v>5336</v>
      </c>
      <c r="B1721" s="20" t="s">
        <v>16</v>
      </c>
      <c r="C1721" s="20" t="s">
        <v>7</v>
      </c>
      <c r="D1721" s="20" t="s">
        <v>8</v>
      </c>
      <c r="E1721" s="22">
        <v>178</v>
      </c>
      <c r="F1721" s="22">
        <v>4</v>
      </c>
      <c r="G1721" s="22">
        <v>7</v>
      </c>
      <c r="H1721" s="22"/>
      <c r="I1721" s="23" t="s">
        <v>33</v>
      </c>
      <c r="J1721" s="23"/>
      <c r="K1721" s="22"/>
      <c r="L1721" s="22"/>
      <c r="M1721" s="23"/>
      <c r="N1721" s="23"/>
      <c r="O1721" s="26" t="s">
        <v>5337</v>
      </c>
      <c r="P1721" s="26"/>
      <c r="Q1721" s="22">
        <v>123</v>
      </c>
      <c r="R1721" s="24">
        <v>45861</v>
      </c>
      <c r="S1721" s="24">
        <v>45863</v>
      </c>
      <c r="T1721" s="24"/>
      <c r="U1721" s="24"/>
      <c r="V1721" s="24">
        <v>45863</v>
      </c>
      <c r="W1721" s="22" t="s">
        <v>460</v>
      </c>
      <c r="X1721" s="4" t="str">
        <f>IF(Tabela2[[#This Row],[sigla]]="","",VLOOKUP(Tabela2[[#This Row],[sigla]],créditos_base!B:C,2,0))</f>
        <v>CLAUDIA SOUZA/ARQUIVO DA EDITORA</v>
      </c>
      <c r="Y1721" s="23" t="s">
        <v>243</v>
      </c>
      <c r="Z1721" s="23" t="str">
        <f>Tabela2[[#This Row],[ilustrador]]</f>
        <v>CLAUDIA SOUZA/ARQUIVO DA EDITORA</v>
      </c>
      <c r="AA1721" s="22">
        <v>13</v>
      </c>
      <c r="AB1721" s="20" t="s">
        <v>244</v>
      </c>
      <c r="AC1721" s="20" t="s">
        <v>36</v>
      </c>
      <c r="AD1721" s="4" t="str">
        <f>"Pitanguá"</f>
        <v>Pitanguá</v>
      </c>
      <c r="AE1721" s="14" t="str">
        <f>"Matemática"</f>
        <v>Matemática</v>
      </c>
      <c r="AF1721" s="14"/>
    </row>
    <row r="1722" spans="1:32" x14ac:dyDescent="0.3">
      <c r="A1722" s="30" t="s">
        <v>1571</v>
      </c>
      <c r="B1722" s="20" t="s">
        <v>16</v>
      </c>
      <c r="C1722" s="20" t="s">
        <v>89</v>
      </c>
      <c r="D1722" s="20" t="s">
        <v>8</v>
      </c>
      <c r="E1722" s="22">
        <v>111</v>
      </c>
      <c r="F1722" s="22">
        <v>2</v>
      </c>
      <c r="G1722" s="22">
        <v>7</v>
      </c>
      <c r="H1722" s="22"/>
      <c r="I1722" s="23" t="s">
        <v>9</v>
      </c>
      <c r="J1722" s="23"/>
      <c r="K1722" s="22"/>
      <c r="L1722" s="22"/>
      <c r="M1722" s="23"/>
      <c r="N1722" s="23"/>
      <c r="O1722" s="26" t="s">
        <v>1572</v>
      </c>
      <c r="P1722" s="26"/>
      <c r="Q1722" s="22"/>
      <c r="R1722" s="24"/>
      <c r="S1722" s="24"/>
      <c r="T1722" s="24"/>
      <c r="U1722" s="24"/>
      <c r="V1722" s="24"/>
      <c r="W1722" s="22" t="s">
        <v>468</v>
      </c>
      <c r="X1722" s="4" t="str">
        <f>IF(Tabela2[[#This Row],[sigla]]="","",VLOOKUP(Tabela2[[#This Row],[sigla]],créditos_base!B:C,2,0))</f>
        <v>VER DOCUMENTO DE ILS. TÉCNICAS</v>
      </c>
      <c r="Y1722" s="23"/>
      <c r="Z1722" s="23" t="s">
        <v>661</v>
      </c>
      <c r="AA1722" s="22"/>
      <c r="AB1722" s="20"/>
      <c r="AD1722" s="4" t="str">
        <f>"Pitanguá"</f>
        <v>Pitanguá</v>
      </c>
      <c r="AE1722" s="14" t="str">
        <f>"Matemática"</f>
        <v>Matemática</v>
      </c>
      <c r="AF1722" s="14"/>
    </row>
    <row r="1723" spans="1:32" ht="28.8" x14ac:dyDescent="0.3">
      <c r="A1723" s="23" t="s">
        <v>2308</v>
      </c>
      <c r="B1723" s="20" t="s">
        <v>6</v>
      </c>
      <c r="C1723" s="20" t="s">
        <v>7</v>
      </c>
      <c r="D1723" s="20" t="s">
        <v>8</v>
      </c>
      <c r="E1723" s="22">
        <v>135</v>
      </c>
      <c r="F1723" s="22">
        <v>3</v>
      </c>
      <c r="G1723" s="22">
        <v>7</v>
      </c>
      <c r="H1723" s="22"/>
      <c r="I1723" s="23" t="s">
        <v>33</v>
      </c>
      <c r="J1723" s="23"/>
      <c r="K1723" s="22"/>
      <c r="L1723" s="22"/>
      <c r="M1723" s="23"/>
      <c r="N1723" s="23"/>
      <c r="O1723" s="26" t="s">
        <v>2309</v>
      </c>
      <c r="P1723" s="26" t="s">
        <v>11</v>
      </c>
      <c r="Q1723" s="22">
        <v>31</v>
      </c>
      <c r="R1723" s="24">
        <v>45758</v>
      </c>
      <c r="S1723" s="24">
        <v>45761</v>
      </c>
      <c r="T1723" s="24"/>
      <c r="U1723" s="24"/>
      <c r="V1723" s="24">
        <v>45763</v>
      </c>
      <c r="W1723" s="22" t="s">
        <v>230</v>
      </c>
      <c r="X1723" s="4" t="str">
        <f>IF(Tabela2[[#This Row],[sigla]]="","",VLOOKUP(Tabela2[[#This Row],[sigla]],créditos_base!B:C,2,0))</f>
        <v>RAFAEL L. GAION/ARQUIVO DA EDITORA</v>
      </c>
      <c r="Y1723" s="23" t="s">
        <v>188</v>
      </c>
      <c r="Z1723" s="23" t="str">
        <f>Tabela2[[#This Row],[ilustrador]]</f>
        <v>RAFAEL L. GAION/ARQUIVO DA EDITORA</v>
      </c>
      <c r="AA1723" s="22">
        <v>14</v>
      </c>
      <c r="AB1723" s="20" t="s">
        <v>153</v>
      </c>
      <c r="AC1723" s="20" t="s">
        <v>36</v>
      </c>
      <c r="AD1723" s="4" t="str">
        <f>"Pitanguá"</f>
        <v>Pitanguá</v>
      </c>
      <c r="AE1723" s="14" t="str">
        <f>"Matemática"</f>
        <v>Matemática</v>
      </c>
      <c r="AF1723" s="14"/>
    </row>
    <row r="1724" spans="1:32" x14ac:dyDescent="0.3">
      <c r="A1724" s="23" t="s">
        <v>3429</v>
      </c>
      <c r="B1724" s="20" t="s">
        <v>16</v>
      </c>
      <c r="C1724" s="20" t="s">
        <v>89</v>
      </c>
      <c r="D1724" s="20" t="s">
        <v>8</v>
      </c>
      <c r="E1724" s="22">
        <v>179</v>
      </c>
      <c r="F1724" s="22">
        <v>4</v>
      </c>
      <c r="G1724" s="22">
        <v>7</v>
      </c>
      <c r="H1724" s="22"/>
      <c r="I1724" s="23" t="s">
        <v>9</v>
      </c>
      <c r="J1724" s="23"/>
      <c r="K1724" s="22"/>
      <c r="L1724" s="22"/>
      <c r="M1724" s="23"/>
      <c r="N1724" s="23"/>
      <c r="O1724" s="26" t="s">
        <v>3430</v>
      </c>
      <c r="P1724" s="26"/>
      <c r="Q1724" s="22"/>
      <c r="R1724" s="24"/>
      <c r="S1724" s="24"/>
      <c r="T1724" s="24"/>
      <c r="U1724" s="24"/>
      <c r="V1724" s="24"/>
      <c r="W1724" s="22" t="s">
        <v>940</v>
      </c>
      <c r="X1724" s="4" t="str">
        <f>IF(Tabela2[[#This Row],[sigla]]="","",VLOOKUP(Tabela2[[#This Row],[sigla]],créditos_base!B:C,2,0))</f>
        <v>RONALDO LUCENA/ARQUIVO DA EDITORA</v>
      </c>
      <c r="Y1724" s="23"/>
      <c r="Z1724" s="23" t="str">
        <f>Tabela2[[#This Row],[ilustrador]]</f>
        <v>RONALDO LUCENA/ARQUIVO DA EDITORA</v>
      </c>
      <c r="AA1724" s="22"/>
      <c r="AB1724" s="20"/>
      <c r="AD1724" s="4" t="str">
        <f>"Pitanguá"</f>
        <v>Pitanguá</v>
      </c>
      <c r="AE1724" s="14" t="str">
        <f>"Matemática"</f>
        <v>Matemática</v>
      </c>
      <c r="AF1724" s="14"/>
    </row>
    <row r="1725" spans="1:32" x14ac:dyDescent="0.3">
      <c r="A1725" s="23" t="s">
        <v>2310</v>
      </c>
      <c r="B1725" s="20" t="s">
        <v>6</v>
      </c>
      <c r="C1725" s="20" t="s">
        <v>7</v>
      </c>
      <c r="D1725" s="20" t="s">
        <v>8</v>
      </c>
      <c r="E1725" s="22">
        <v>135</v>
      </c>
      <c r="F1725" s="22">
        <v>3</v>
      </c>
      <c r="G1725" s="22">
        <v>7</v>
      </c>
      <c r="H1725" s="22"/>
      <c r="I1725" s="23" t="s">
        <v>33</v>
      </c>
      <c r="J1725" s="23"/>
      <c r="K1725" s="22"/>
      <c r="L1725" s="22"/>
      <c r="M1725" s="23"/>
      <c r="N1725" s="23"/>
      <c r="O1725" s="26" t="s">
        <v>2311</v>
      </c>
      <c r="P1725" s="26" t="s">
        <v>11</v>
      </c>
      <c r="Q1725" s="22">
        <v>31</v>
      </c>
      <c r="R1725" s="24">
        <v>45758</v>
      </c>
      <c r="S1725" s="24">
        <v>45761</v>
      </c>
      <c r="T1725" s="24"/>
      <c r="U1725" s="24"/>
      <c r="V1725" s="24">
        <v>45763</v>
      </c>
      <c r="W1725" s="22" t="s">
        <v>230</v>
      </c>
      <c r="X1725" s="4" t="str">
        <f>IF(Tabela2[[#This Row],[sigla]]="","",VLOOKUP(Tabela2[[#This Row],[sigla]],créditos_base!B:C,2,0))</f>
        <v>RAFAEL L. GAION/ARQUIVO DA EDITORA</v>
      </c>
      <c r="Y1725" s="23" t="s">
        <v>188</v>
      </c>
      <c r="Z1725" s="23" t="str">
        <f>Tabela2[[#This Row],[ilustrador]]</f>
        <v>RAFAEL L. GAION/ARQUIVO DA EDITORA</v>
      </c>
      <c r="AA1725" s="22">
        <v>14</v>
      </c>
      <c r="AB1725" s="20" t="s">
        <v>153</v>
      </c>
      <c r="AC1725" s="20" t="s">
        <v>36</v>
      </c>
      <c r="AD1725" s="4" t="str">
        <f>"Pitanguá"</f>
        <v>Pitanguá</v>
      </c>
      <c r="AE1725" s="14" t="str">
        <f>"Matemática"</f>
        <v>Matemática</v>
      </c>
      <c r="AF1725" s="14"/>
    </row>
    <row r="1726" spans="1:32" x14ac:dyDescent="0.3">
      <c r="A1726" s="23" t="s">
        <v>3431</v>
      </c>
      <c r="B1726" s="20" t="s">
        <v>16</v>
      </c>
      <c r="C1726" s="20" t="s">
        <v>89</v>
      </c>
      <c r="D1726" s="20" t="s">
        <v>8</v>
      </c>
      <c r="E1726" s="22">
        <v>179</v>
      </c>
      <c r="F1726" s="22">
        <v>4</v>
      </c>
      <c r="G1726" s="22">
        <v>7</v>
      </c>
      <c r="H1726" s="22"/>
      <c r="I1726" s="23" t="s">
        <v>33</v>
      </c>
      <c r="J1726" s="23"/>
      <c r="K1726" s="22"/>
      <c r="L1726" s="22"/>
      <c r="M1726" s="23"/>
      <c r="N1726" s="23"/>
      <c r="O1726" s="26" t="s">
        <v>3432</v>
      </c>
      <c r="P1726" s="26"/>
      <c r="Q1726" s="22">
        <v>50</v>
      </c>
      <c r="R1726" s="24">
        <v>45799</v>
      </c>
      <c r="S1726" s="24">
        <v>45806</v>
      </c>
      <c r="T1726" s="24"/>
      <c r="U1726" s="24"/>
      <c r="V1726" s="24">
        <v>45806</v>
      </c>
      <c r="W1726" s="22" t="s">
        <v>940</v>
      </c>
      <c r="X1726" s="4" t="str">
        <f>IF(Tabela2[[#This Row],[sigla]]="","",VLOOKUP(Tabela2[[#This Row],[sigla]],créditos_base!B:C,2,0))</f>
        <v>RONALDO LUCENA/ARQUIVO DA EDITORA</v>
      </c>
      <c r="Y1726" s="23" t="s">
        <v>1503</v>
      </c>
      <c r="Z1726" s="23" t="str">
        <f>Tabela2[[#This Row],[ilustrador]]</f>
        <v>RONALDO LUCENA/ARQUIVO DA EDITORA</v>
      </c>
      <c r="AA1726" s="22"/>
      <c r="AB1726" s="20" t="s">
        <v>41</v>
      </c>
      <c r="AC1726" s="20" t="s">
        <v>36</v>
      </c>
      <c r="AD1726" s="4" t="str">
        <f>"Pitanguá"</f>
        <v>Pitanguá</v>
      </c>
      <c r="AE1726" s="14" t="str">
        <f>"Matemática"</f>
        <v>Matemática</v>
      </c>
      <c r="AF1726" s="14"/>
    </row>
    <row r="1727" spans="1:32" x14ac:dyDescent="0.3">
      <c r="A1727" s="30" t="s">
        <v>1573</v>
      </c>
      <c r="B1727" s="20" t="s">
        <v>16</v>
      </c>
      <c r="C1727" s="20" t="s">
        <v>7</v>
      </c>
      <c r="D1727" s="20" t="s">
        <v>8</v>
      </c>
      <c r="E1727" s="22">
        <v>112</v>
      </c>
      <c r="F1727" s="22">
        <v>2</v>
      </c>
      <c r="G1727" s="22">
        <v>7</v>
      </c>
      <c r="H1727" s="22"/>
      <c r="I1727" s="23" t="s">
        <v>9</v>
      </c>
      <c r="J1727" s="23"/>
      <c r="K1727" s="22"/>
      <c r="L1727" s="22"/>
      <c r="M1727" s="23"/>
      <c r="N1727" s="23"/>
      <c r="O1727" s="26" t="s">
        <v>1574</v>
      </c>
      <c r="P1727" s="26"/>
      <c r="Q1727" s="22"/>
      <c r="R1727" s="24"/>
      <c r="S1727" s="24"/>
      <c r="T1727" s="24"/>
      <c r="U1727" s="24"/>
      <c r="V1727" s="24"/>
      <c r="W1727" s="22" t="s">
        <v>230</v>
      </c>
      <c r="X1727" s="4" t="str">
        <f>IF(Tabela2[[#This Row],[sigla]]="","",VLOOKUP(Tabela2[[#This Row],[sigla]],créditos_base!B:C,2,0))</f>
        <v>RAFAEL L. GAION/ARQUIVO DA EDITORA</v>
      </c>
      <c r="Y1727" s="23"/>
      <c r="Z1727" s="23" t="str">
        <f>Tabela2[[#This Row],[ilustrador]]</f>
        <v>RAFAEL L. GAION/ARQUIVO DA EDITORA</v>
      </c>
      <c r="AA1727" s="22"/>
      <c r="AB1727" s="20"/>
      <c r="AD1727" s="4" t="str">
        <f>"Pitanguá"</f>
        <v>Pitanguá</v>
      </c>
      <c r="AE1727" s="14" t="str">
        <f>"Matemática"</f>
        <v>Matemática</v>
      </c>
      <c r="AF1727" s="14"/>
    </row>
    <row r="1728" spans="1:32" x14ac:dyDescent="0.3">
      <c r="A1728" s="23" t="s">
        <v>2312</v>
      </c>
      <c r="B1728" s="20" t="s">
        <v>16</v>
      </c>
      <c r="C1728" s="20" t="s">
        <v>7</v>
      </c>
      <c r="D1728" s="20" t="s">
        <v>8</v>
      </c>
      <c r="E1728" s="22">
        <v>136</v>
      </c>
      <c r="F1728" s="22">
        <v>3</v>
      </c>
      <c r="G1728" s="22">
        <v>7</v>
      </c>
      <c r="H1728" s="22"/>
      <c r="I1728" s="23" t="s">
        <v>9</v>
      </c>
      <c r="J1728" s="23"/>
      <c r="K1728" s="22"/>
      <c r="L1728" s="22"/>
      <c r="M1728" s="23"/>
      <c r="N1728" s="23"/>
      <c r="O1728" s="26" t="s">
        <v>2313</v>
      </c>
      <c r="P1728" s="26"/>
      <c r="Q1728" s="22"/>
      <c r="R1728" s="24"/>
      <c r="S1728" s="24"/>
      <c r="T1728" s="24"/>
      <c r="U1728" s="24"/>
      <c r="V1728" s="24"/>
      <c r="W1728" s="22" t="s">
        <v>230</v>
      </c>
      <c r="X1728" s="4" t="str">
        <f>IF(Tabela2[[#This Row],[sigla]]="","",VLOOKUP(Tabela2[[#This Row],[sigla]],créditos_base!B:C,2,0))</f>
        <v>RAFAEL L. GAION/ARQUIVO DA EDITORA</v>
      </c>
      <c r="Y1728" s="23"/>
      <c r="Z1728" s="23" t="str">
        <f>Tabela2[[#This Row],[ilustrador]]</f>
        <v>RAFAEL L. GAION/ARQUIVO DA EDITORA</v>
      </c>
      <c r="AA1728" s="22"/>
      <c r="AB1728" s="20"/>
      <c r="AD1728" s="4" t="str">
        <f>"Pitanguá"</f>
        <v>Pitanguá</v>
      </c>
      <c r="AE1728" s="14" t="str">
        <f>"Matemática"</f>
        <v>Matemática</v>
      </c>
      <c r="AF1728" s="14"/>
    </row>
    <row r="1729" spans="1:32" x14ac:dyDescent="0.3">
      <c r="A1729" s="23" t="s">
        <v>3433</v>
      </c>
      <c r="B1729" s="20" t="s">
        <v>16</v>
      </c>
      <c r="C1729" s="20" t="s">
        <v>89</v>
      </c>
      <c r="D1729" s="20" t="s">
        <v>8</v>
      </c>
      <c r="E1729" s="22">
        <v>179</v>
      </c>
      <c r="F1729" s="22">
        <v>4</v>
      </c>
      <c r="G1729" s="22">
        <v>7</v>
      </c>
      <c r="H1729" s="22"/>
      <c r="I1729" s="23" t="s">
        <v>33</v>
      </c>
      <c r="J1729" s="23"/>
      <c r="K1729" s="22"/>
      <c r="L1729" s="22"/>
      <c r="M1729" s="23"/>
      <c r="N1729" s="23"/>
      <c r="O1729" s="26" t="s">
        <v>3434</v>
      </c>
      <c r="P1729" s="26"/>
      <c r="Q1729" s="22">
        <v>50</v>
      </c>
      <c r="R1729" s="24">
        <v>45799</v>
      </c>
      <c r="S1729" s="24">
        <v>45806</v>
      </c>
      <c r="T1729" s="24"/>
      <c r="U1729" s="24"/>
      <c r="V1729" s="24">
        <v>45806</v>
      </c>
      <c r="W1729" s="22" t="s">
        <v>940</v>
      </c>
      <c r="X1729" s="4" t="str">
        <f>IF(Tabela2[[#This Row],[sigla]]="","",VLOOKUP(Tabela2[[#This Row],[sigla]],créditos_base!B:C,2,0))</f>
        <v>RONALDO LUCENA/ARQUIVO DA EDITORA</v>
      </c>
      <c r="Y1729" s="23" t="s">
        <v>1503</v>
      </c>
      <c r="Z1729" s="23" t="str">
        <f>Tabela2[[#This Row],[ilustrador]]</f>
        <v>RONALDO LUCENA/ARQUIVO DA EDITORA</v>
      </c>
      <c r="AA1729" s="22"/>
      <c r="AB1729" s="20" t="s">
        <v>41</v>
      </c>
      <c r="AC1729" s="20" t="s">
        <v>36</v>
      </c>
      <c r="AD1729" s="4" t="str">
        <f>"Pitanguá"</f>
        <v>Pitanguá</v>
      </c>
      <c r="AE1729" s="14" t="str">
        <f>"Matemática"</f>
        <v>Matemática</v>
      </c>
      <c r="AF1729" s="14"/>
    </row>
    <row r="1730" spans="1:32" ht="28.8" x14ac:dyDescent="0.3">
      <c r="A1730" s="30" t="s">
        <v>1575</v>
      </c>
      <c r="B1730" s="20" t="s">
        <v>16</v>
      </c>
      <c r="C1730" s="20" t="s">
        <v>7</v>
      </c>
      <c r="D1730" s="20" t="s">
        <v>8</v>
      </c>
      <c r="E1730" s="22">
        <v>112</v>
      </c>
      <c r="F1730" s="22">
        <v>2</v>
      </c>
      <c r="G1730" s="22">
        <v>7</v>
      </c>
      <c r="H1730" s="22"/>
      <c r="I1730" s="23" t="s">
        <v>9</v>
      </c>
      <c r="J1730" s="23"/>
      <c r="K1730" s="22"/>
      <c r="L1730" s="22"/>
      <c r="M1730" s="23"/>
      <c r="N1730" s="23"/>
      <c r="O1730" s="26" t="s">
        <v>1576</v>
      </c>
      <c r="P1730" s="26"/>
      <c r="Q1730" s="22"/>
      <c r="R1730" s="24"/>
      <c r="S1730" s="24"/>
      <c r="T1730" s="24"/>
      <c r="U1730" s="24"/>
      <c r="V1730" s="24"/>
      <c r="W1730" s="22" t="s">
        <v>230</v>
      </c>
      <c r="X1730" s="4" t="str">
        <f>IF(Tabela2[[#This Row],[sigla]]="","",VLOOKUP(Tabela2[[#This Row],[sigla]],créditos_base!B:C,2,0))</f>
        <v>RAFAEL L. GAION/ARQUIVO DA EDITORA</v>
      </c>
      <c r="Y1730" s="23"/>
      <c r="Z1730" s="23" t="str">
        <f>Tabela2[[#This Row],[ilustrador]]</f>
        <v>RAFAEL L. GAION/ARQUIVO DA EDITORA</v>
      </c>
      <c r="AA1730" s="22"/>
      <c r="AB1730" s="20"/>
      <c r="AD1730" s="4" t="str">
        <f>"Pitanguá"</f>
        <v>Pitanguá</v>
      </c>
      <c r="AE1730" s="14" t="str">
        <f>"Matemática"</f>
        <v>Matemática</v>
      </c>
      <c r="AF1730" s="14"/>
    </row>
    <row r="1731" spans="1:32" ht="28.8" x14ac:dyDescent="0.3">
      <c r="A1731" s="23" t="s">
        <v>2314</v>
      </c>
      <c r="B1731" s="20" t="s">
        <v>16</v>
      </c>
      <c r="C1731" s="20" t="s">
        <v>89</v>
      </c>
      <c r="D1731" s="20" t="s">
        <v>8</v>
      </c>
      <c r="E1731" s="22">
        <v>137</v>
      </c>
      <c r="F1731" s="22">
        <v>3</v>
      </c>
      <c r="G1731" s="22">
        <v>7</v>
      </c>
      <c r="H1731" s="22"/>
      <c r="I1731" s="23" t="s">
        <v>9</v>
      </c>
      <c r="J1731" s="23"/>
      <c r="K1731" s="22"/>
      <c r="L1731" s="22"/>
      <c r="M1731" s="23"/>
      <c r="N1731" s="23"/>
      <c r="O1731" s="26" t="s">
        <v>2315</v>
      </c>
      <c r="P1731" s="26"/>
      <c r="Q1731" s="22"/>
      <c r="R1731" s="24"/>
      <c r="S1731" s="24"/>
      <c r="T1731" s="24"/>
      <c r="U1731" s="24"/>
      <c r="V1731" s="24"/>
      <c r="W1731" s="22" t="s">
        <v>230</v>
      </c>
      <c r="X1731" s="4" t="str">
        <f>IF(Tabela2[[#This Row],[sigla]]="","",VLOOKUP(Tabela2[[#This Row],[sigla]],créditos_base!B:C,2,0))</f>
        <v>RAFAEL L. GAION/ARQUIVO DA EDITORA</v>
      </c>
      <c r="Y1731" s="23"/>
      <c r="Z1731" s="23" t="str">
        <f>Tabela2[[#This Row],[ilustrador]]</f>
        <v>RAFAEL L. GAION/ARQUIVO DA EDITORA</v>
      </c>
      <c r="AA1731" s="22"/>
      <c r="AB1731" s="20"/>
      <c r="AD1731" s="4" t="str">
        <f>"Pitanguá"</f>
        <v>Pitanguá</v>
      </c>
      <c r="AE1731" s="14" t="str">
        <f>"Matemática"</f>
        <v>Matemática</v>
      </c>
      <c r="AF1731" s="14"/>
    </row>
    <row r="1732" spans="1:32" ht="28.8" x14ac:dyDescent="0.3">
      <c r="A1732" s="23" t="s">
        <v>3435</v>
      </c>
      <c r="B1732" s="20" t="s">
        <v>16</v>
      </c>
      <c r="C1732" s="20" t="s">
        <v>89</v>
      </c>
      <c r="D1732" s="20" t="s">
        <v>8</v>
      </c>
      <c r="E1732" s="22">
        <v>179</v>
      </c>
      <c r="F1732" s="22">
        <v>4</v>
      </c>
      <c r="G1732" s="22">
        <v>7</v>
      </c>
      <c r="H1732" s="22"/>
      <c r="I1732" s="23" t="s">
        <v>33</v>
      </c>
      <c r="J1732" s="23"/>
      <c r="K1732" s="22"/>
      <c r="L1732" s="22"/>
      <c r="M1732" s="23"/>
      <c r="N1732" s="23"/>
      <c r="O1732" s="26" t="s">
        <v>3436</v>
      </c>
      <c r="P1732" s="26"/>
      <c r="Q1732" s="22">
        <v>50</v>
      </c>
      <c r="R1732" s="24">
        <v>45799</v>
      </c>
      <c r="S1732" s="24">
        <v>45806</v>
      </c>
      <c r="T1732" s="24"/>
      <c r="U1732" s="24"/>
      <c r="V1732" s="24">
        <v>45806</v>
      </c>
      <c r="W1732" s="22" t="s">
        <v>940</v>
      </c>
      <c r="X1732" s="4" t="str">
        <f>IF(Tabela2[[#This Row],[sigla]]="","",VLOOKUP(Tabela2[[#This Row],[sigla]],créditos_base!B:C,2,0))</f>
        <v>RONALDO LUCENA/ARQUIVO DA EDITORA</v>
      </c>
      <c r="Y1732" s="23" t="s">
        <v>1503</v>
      </c>
      <c r="Z1732" s="23" t="str">
        <f>Tabela2[[#This Row],[ilustrador]]</f>
        <v>RONALDO LUCENA/ARQUIVO DA EDITORA</v>
      </c>
      <c r="AA1732" s="22"/>
      <c r="AB1732" s="20" t="s">
        <v>41</v>
      </c>
      <c r="AC1732" s="20" t="s">
        <v>36</v>
      </c>
      <c r="AD1732" s="4" t="str">
        <f>"Pitanguá"</f>
        <v>Pitanguá</v>
      </c>
      <c r="AE1732" s="14" t="str">
        <f>"Matemática"</f>
        <v>Matemática</v>
      </c>
      <c r="AF1732" s="14"/>
    </row>
    <row r="1733" spans="1:32" ht="28.8" x14ac:dyDescent="0.3">
      <c r="A1733" s="23" t="s">
        <v>2316</v>
      </c>
      <c r="B1733" s="20" t="s">
        <v>16</v>
      </c>
      <c r="C1733" s="20" t="s">
        <v>89</v>
      </c>
      <c r="D1733" s="20" t="s">
        <v>8</v>
      </c>
      <c r="E1733" s="22">
        <v>137</v>
      </c>
      <c r="F1733" s="22">
        <v>3</v>
      </c>
      <c r="G1733" s="22">
        <v>7</v>
      </c>
      <c r="H1733" s="22"/>
      <c r="I1733" s="23" t="s">
        <v>9</v>
      </c>
      <c r="J1733" s="23"/>
      <c r="K1733" s="22"/>
      <c r="L1733" s="22"/>
      <c r="M1733" s="23"/>
      <c r="N1733" s="23"/>
      <c r="O1733" s="26" t="s">
        <v>2317</v>
      </c>
      <c r="P1733" s="26"/>
      <c r="Q1733" s="22"/>
      <c r="R1733" s="24"/>
      <c r="S1733" s="24"/>
      <c r="T1733" s="24"/>
      <c r="U1733" s="24"/>
      <c r="V1733" s="24"/>
      <c r="W1733" s="22" t="s">
        <v>230</v>
      </c>
      <c r="X1733" s="4" t="str">
        <f>IF(Tabela2[[#This Row],[sigla]]="","",VLOOKUP(Tabela2[[#This Row],[sigla]],créditos_base!B:C,2,0))</f>
        <v>RAFAEL L. GAION/ARQUIVO DA EDITORA</v>
      </c>
      <c r="Y1733" s="23"/>
      <c r="Z1733" s="23" t="str">
        <f>Tabela2[[#This Row],[ilustrador]]</f>
        <v>RAFAEL L. GAION/ARQUIVO DA EDITORA</v>
      </c>
      <c r="AA1733" s="22"/>
      <c r="AB1733" s="20"/>
      <c r="AD1733" s="4" t="str">
        <f>"Pitanguá"</f>
        <v>Pitanguá</v>
      </c>
      <c r="AE1733" s="14" t="str">
        <f>"Matemática"</f>
        <v>Matemática</v>
      </c>
      <c r="AF1733" s="14"/>
    </row>
    <row r="1734" spans="1:32" ht="28.8" x14ac:dyDescent="0.3">
      <c r="A1734" s="23" t="s">
        <v>3437</v>
      </c>
      <c r="B1734" s="20" t="s">
        <v>16</v>
      </c>
      <c r="C1734" s="20" t="s">
        <v>89</v>
      </c>
      <c r="D1734" s="20" t="s">
        <v>8</v>
      </c>
      <c r="E1734" s="22">
        <v>179</v>
      </c>
      <c r="F1734" s="22">
        <v>4</v>
      </c>
      <c r="G1734" s="22">
        <v>7</v>
      </c>
      <c r="H1734" s="22"/>
      <c r="I1734" s="23" t="s">
        <v>33</v>
      </c>
      <c r="J1734" s="23"/>
      <c r="K1734" s="22"/>
      <c r="L1734" s="22"/>
      <c r="M1734" s="23"/>
      <c r="N1734" s="23"/>
      <c r="O1734" s="26" t="s">
        <v>3438</v>
      </c>
      <c r="P1734" s="26"/>
      <c r="Q1734" s="22">
        <v>50</v>
      </c>
      <c r="R1734" s="24">
        <v>45799</v>
      </c>
      <c r="S1734" s="24">
        <v>45806</v>
      </c>
      <c r="T1734" s="24"/>
      <c r="U1734" s="24"/>
      <c r="V1734" s="24">
        <v>45806</v>
      </c>
      <c r="W1734" s="22" t="s">
        <v>940</v>
      </c>
      <c r="X1734" s="4" t="str">
        <f>IF(Tabela2[[#This Row],[sigla]]="","",VLOOKUP(Tabela2[[#This Row],[sigla]],créditos_base!B:C,2,0))</f>
        <v>RONALDO LUCENA/ARQUIVO DA EDITORA</v>
      </c>
      <c r="Y1734" s="23" t="s">
        <v>1503</v>
      </c>
      <c r="Z1734" s="23" t="str">
        <f>Tabela2[[#This Row],[ilustrador]]</f>
        <v>RONALDO LUCENA/ARQUIVO DA EDITORA</v>
      </c>
      <c r="AA1734" s="22"/>
      <c r="AB1734" s="20" t="s">
        <v>41</v>
      </c>
      <c r="AC1734" s="20" t="s">
        <v>36</v>
      </c>
      <c r="AD1734" s="4" t="str">
        <f>"Pitanguá"</f>
        <v>Pitanguá</v>
      </c>
      <c r="AE1734" s="14" t="str">
        <f>"Matemática"</f>
        <v>Matemática</v>
      </c>
      <c r="AF1734" s="14"/>
    </row>
    <row r="1735" spans="1:32" x14ac:dyDescent="0.3">
      <c r="A1735" s="30" t="s">
        <v>1577</v>
      </c>
      <c r="B1735" s="20" t="s">
        <v>16</v>
      </c>
      <c r="C1735" s="20" t="s">
        <v>89</v>
      </c>
      <c r="D1735" s="20" t="s">
        <v>8</v>
      </c>
      <c r="E1735" s="22">
        <v>113</v>
      </c>
      <c r="F1735" s="22">
        <v>2</v>
      </c>
      <c r="G1735" s="22">
        <v>7</v>
      </c>
      <c r="H1735" s="22"/>
      <c r="I1735" s="23" t="s">
        <v>9</v>
      </c>
      <c r="J1735" s="23"/>
      <c r="K1735" s="22"/>
      <c r="L1735" s="22"/>
      <c r="M1735" s="23"/>
      <c r="N1735" s="23"/>
      <c r="O1735" s="26" t="s">
        <v>1578</v>
      </c>
      <c r="P1735" s="26"/>
      <c r="Q1735" s="22"/>
      <c r="R1735" s="24"/>
      <c r="S1735" s="24"/>
      <c r="T1735" s="24"/>
      <c r="U1735" s="24"/>
      <c r="V1735" s="24"/>
      <c r="W1735" s="22" t="s">
        <v>468</v>
      </c>
      <c r="X1735" s="4" t="str">
        <f>IF(Tabela2[[#This Row],[sigla]]="","",VLOOKUP(Tabela2[[#This Row],[sigla]],créditos_base!B:C,2,0))</f>
        <v>VER DOCUMENTO DE ILS. TÉCNICAS</v>
      </c>
      <c r="Y1735" s="23"/>
      <c r="Z1735" s="23" t="s">
        <v>661</v>
      </c>
      <c r="AA1735" s="22"/>
      <c r="AB1735" s="20"/>
      <c r="AD1735" s="4" t="str">
        <f>"Pitanguá"</f>
        <v>Pitanguá</v>
      </c>
      <c r="AE1735" s="14" t="str">
        <f>"Matemática"</f>
        <v>Matemática</v>
      </c>
      <c r="AF1735" s="14"/>
    </row>
    <row r="1736" spans="1:32" x14ac:dyDescent="0.3">
      <c r="A1736" s="23" t="s">
        <v>2318</v>
      </c>
      <c r="B1736" s="20" t="s">
        <v>16</v>
      </c>
      <c r="C1736" s="20" t="s">
        <v>89</v>
      </c>
      <c r="D1736" s="20" t="s">
        <v>8</v>
      </c>
      <c r="E1736" s="22">
        <v>137</v>
      </c>
      <c r="F1736" s="22">
        <v>3</v>
      </c>
      <c r="G1736" s="22">
        <v>7</v>
      </c>
      <c r="H1736" s="22"/>
      <c r="I1736" s="23" t="s">
        <v>9</v>
      </c>
      <c r="J1736" s="23"/>
      <c r="K1736" s="22"/>
      <c r="L1736" s="22"/>
      <c r="M1736" s="23"/>
      <c r="N1736" s="23"/>
      <c r="O1736" s="26" t="s">
        <v>2319</v>
      </c>
      <c r="P1736" s="26"/>
      <c r="Q1736" s="22"/>
      <c r="R1736" s="24"/>
      <c r="S1736" s="24"/>
      <c r="T1736" s="24"/>
      <c r="U1736" s="24"/>
      <c r="V1736" s="24"/>
      <c r="W1736" s="22" t="s">
        <v>230</v>
      </c>
      <c r="X1736" s="4" t="str">
        <f>IF(Tabela2[[#This Row],[sigla]]="","",VLOOKUP(Tabela2[[#This Row],[sigla]],créditos_base!B:C,2,0))</f>
        <v>RAFAEL L. GAION/ARQUIVO DA EDITORA</v>
      </c>
      <c r="Y1736" s="23"/>
      <c r="Z1736" s="23" t="str">
        <f>Tabela2[[#This Row],[ilustrador]]</f>
        <v>RAFAEL L. GAION/ARQUIVO DA EDITORA</v>
      </c>
      <c r="AA1736" s="22"/>
      <c r="AB1736" s="20"/>
      <c r="AD1736" s="4" t="str">
        <f>"Pitanguá"</f>
        <v>Pitanguá</v>
      </c>
      <c r="AE1736" s="14" t="str">
        <f>"Matemática"</f>
        <v>Matemática</v>
      </c>
      <c r="AF1736" s="14"/>
    </row>
    <row r="1737" spans="1:32" x14ac:dyDescent="0.3">
      <c r="A1737" s="23" t="s">
        <v>3439</v>
      </c>
      <c r="B1737" s="20" t="s">
        <v>16</v>
      </c>
      <c r="C1737" s="20" t="s">
        <v>89</v>
      </c>
      <c r="D1737" s="20" t="s">
        <v>8</v>
      </c>
      <c r="E1737" s="22">
        <v>180</v>
      </c>
      <c r="F1737" s="22">
        <v>4</v>
      </c>
      <c r="G1737" s="22">
        <v>7</v>
      </c>
      <c r="H1737" s="22"/>
      <c r="I1737" s="23" t="s">
        <v>9</v>
      </c>
      <c r="J1737" s="23"/>
      <c r="K1737" s="22"/>
      <c r="L1737" s="22"/>
      <c r="M1737" s="23"/>
      <c r="N1737" s="23"/>
      <c r="O1737" s="26" t="s">
        <v>3440</v>
      </c>
      <c r="P1737" s="26"/>
      <c r="Q1737" s="22"/>
      <c r="R1737" s="24"/>
      <c r="S1737" s="24"/>
      <c r="T1737" s="24"/>
      <c r="U1737" s="24"/>
      <c r="V1737" s="24"/>
      <c r="W1737" s="22" t="s">
        <v>940</v>
      </c>
      <c r="X1737" s="4" t="str">
        <f>IF(Tabela2[[#This Row],[sigla]]="","",VLOOKUP(Tabela2[[#This Row],[sigla]],créditos_base!B:C,2,0))</f>
        <v>RONALDO LUCENA/ARQUIVO DA EDITORA</v>
      </c>
      <c r="Y1737" s="23"/>
      <c r="Z1737" s="23" t="str">
        <f>Tabela2[[#This Row],[ilustrador]]</f>
        <v>RONALDO LUCENA/ARQUIVO DA EDITORA</v>
      </c>
      <c r="AA1737" s="22"/>
      <c r="AB1737" s="20"/>
      <c r="AD1737" s="4" t="str">
        <f>"Pitanguá"</f>
        <v>Pitanguá</v>
      </c>
      <c r="AE1737" s="14" t="str">
        <f>"Matemática"</f>
        <v>Matemática</v>
      </c>
      <c r="AF1737" s="14"/>
    </row>
    <row r="1738" spans="1:32" x14ac:dyDescent="0.3">
      <c r="A1738" s="23" t="s">
        <v>4226</v>
      </c>
      <c r="B1738" s="20" t="s">
        <v>522</v>
      </c>
      <c r="C1738" s="20" t="s">
        <v>7</v>
      </c>
      <c r="D1738" s="20" t="s">
        <v>8</v>
      </c>
      <c r="E1738" s="22">
        <v>216</v>
      </c>
      <c r="F1738" s="22">
        <v>5</v>
      </c>
      <c r="G1738" s="22">
        <v>7</v>
      </c>
      <c r="H1738" s="22"/>
      <c r="I1738" s="23" t="s">
        <v>33</v>
      </c>
      <c r="J1738" s="23"/>
      <c r="K1738" s="22"/>
      <c r="L1738" s="22"/>
      <c r="M1738" s="23"/>
      <c r="N1738" s="23"/>
      <c r="O1738" s="26" t="s">
        <v>4227</v>
      </c>
      <c r="P1738" s="26"/>
      <c r="Q1738" s="22"/>
      <c r="R1738" s="24">
        <v>45925</v>
      </c>
      <c r="S1738" s="24">
        <v>45925</v>
      </c>
      <c r="T1738" s="24"/>
      <c r="U1738" s="24"/>
      <c r="V1738" s="24">
        <v>45925</v>
      </c>
      <c r="W1738" s="22" t="s">
        <v>1217</v>
      </c>
      <c r="X1738" s="4" t="str">
        <f>IF(Tabela2[[#This Row],[sigla]]="","",VLOOKUP(Tabela2[[#This Row],[sigla]],créditos_base!B:C,2,0))</f>
        <v>KEITHY MOSTACHI/ARQUIVO DA EDITORA</v>
      </c>
      <c r="Y1738" s="23" t="s">
        <v>243</v>
      </c>
      <c r="Z1738" s="23" t="str">
        <f>Tabela2[[#This Row],[ilustrador]]</f>
        <v>KEITHY MOSTACHI/ARQUIVO DA EDITORA</v>
      </c>
      <c r="AA1738" s="22">
        <v>13</v>
      </c>
      <c r="AB1738" s="20"/>
      <c r="AC1738" s="20" t="s">
        <v>36</v>
      </c>
      <c r="AD1738" s="4" t="str">
        <f>"Pitanguá"</f>
        <v>Pitanguá</v>
      </c>
      <c r="AE1738" s="14" t="str">
        <f>"Matemática"</f>
        <v>Matemática</v>
      </c>
      <c r="AF1738" s="14"/>
    </row>
    <row r="1739" spans="1:32" ht="28.8" x14ac:dyDescent="0.3">
      <c r="A1739" s="30" t="s">
        <v>1579</v>
      </c>
      <c r="B1739" s="20" t="s">
        <v>16</v>
      </c>
      <c r="C1739" s="20" t="s">
        <v>89</v>
      </c>
      <c r="D1739" s="20" t="s">
        <v>8</v>
      </c>
      <c r="E1739" s="22">
        <v>113</v>
      </c>
      <c r="F1739" s="22">
        <v>2</v>
      </c>
      <c r="G1739" s="22">
        <v>7</v>
      </c>
      <c r="H1739" s="22"/>
      <c r="I1739" s="23" t="s">
        <v>9</v>
      </c>
      <c r="J1739" s="23"/>
      <c r="K1739" s="22"/>
      <c r="L1739" s="22"/>
      <c r="M1739" s="23"/>
      <c r="N1739" s="23"/>
      <c r="O1739" s="26" t="s">
        <v>1580</v>
      </c>
      <c r="P1739" s="26"/>
      <c r="Q1739" s="22"/>
      <c r="R1739" s="24"/>
      <c r="S1739" s="24"/>
      <c r="T1739" s="24"/>
      <c r="U1739" s="24"/>
      <c r="V1739" s="24"/>
      <c r="W1739" s="22" t="s">
        <v>468</v>
      </c>
      <c r="X1739" s="4" t="str">
        <f>IF(Tabela2[[#This Row],[sigla]]="","",VLOOKUP(Tabela2[[#This Row],[sigla]],créditos_base!B:C,2,0))</f>
        <v>VER DOCUMENTO DE ILS. TÉCNICAS</v>
      </c>
      <c r="Y1739" s="23"/>
      <c r="Z1739" s="23" t="s">
        <v>661</v>
      </c>
      <c r="AA1739" s="22"/>
      <c r="AB1739" s="20"/>
      <c r="AD1739" s="4" t="str">
        <f>"Pitanguá"</f>
        <v>Pitanguá</v>
      </c>
      <c r="AE1739" s="14" t="str">
        <f>"Matemática"</f>
        <v>Matemática</v>
      </c>
      <c r="AF1739" s="14"/>
    </row>
    <row r="1740" spans="1:32" x14ac:dyDescent="0.3">
      <c r="A1740" s="23" t="s">
        <v>2320</v>
      </c>
      <c r="B1740" s="20" t="s">
        <v>16</v>
      </c>
      <c r="C1740" s="20" t="s">
        <v>89</v>
      </c>
      <c r="D1740" s="20" t="s">
        <v>8</v>
      </c>
      <c r="E1740" s="22">
        <v>137</v>
      </c>
      <c r="F1740" s="22">
        <v>3</v>
      </c>
      <c r="G1740" s="22">
        <v>7</v>
      </c>
      <c r="H1740" s="22"/>
      <c r="I1740" s="23" t="s">
        <v>9</v>
      </c>
      <c r="J1740" s="23"/>
      <c r="K1740" s="22"/>
      <c r="L1740" s="22"/>
      <c r="M1740" s="23"/>
      <c r="N1740" s="23"/>
      <c r="O1740" s="26" t="s">
        <v>2321</v>
      </c>
      <c r="P1740" s="26"/>
      <c r="Q1740" s="22"/>
      <c r="R1740" s="24"/>
      <c r="S1740" s="24"/>
      <c r="T1740" s="24"/>
      <c r="U1740" s="24"/>
      <c r="V1740" s="24"/>
      <c r="W1740" s="22" t="s">
        <v>230</v>
      </c>
      <c r="X1740" s="4" t="str">
        <f>IF(Tabela2[[#This Row],[sigla]]="","",VLOOKUP(Tabela2[[#This Row],[sigla]],créditos_base!B:C,2,0))</f>
        <v>RAFAEL L. GAION/ARQUIVO DA EDITORA</v>
      </c>
      <c r="Y1740" s="23"/>
      <c r="Z1740" s="23" t="str">
        <f>Tabela2[[#This Row],[ilustrador]]</f>
        <v>RAFAEL L. GAION/ARQUIVO DA EDITORA</v>
      </c>
      <c r="AA1740" s="22"/>
      <c r="AB1740" s="20"/>
      <c r="AD1740" s="4" t="str">
        <f>"Pitanguá"</f>
        <v>Pitanguá</v>
      </c>
      <c r="AE1740" s="14" t="str">
        <f>"Matemática"</f>
        <v>Matemática</v>
      </c>
      <c r="AF1740" s="14"/>
    </row>
    <row r="1741" spans="1:32" x14ac:dyDescent="0.3">
      <c r="A1741" s="23" t="s">
        <v>3441</v>
      </c>
      <c r="B1741" s="20" t="s">
        <v>16</v>
      </c>
      <c r="C1741" s="20" t="s">
        <v>89</v>
      </c>
      <c r="D1741" s="20" t="s">
        <v>8</v>
      </c>
      <c r="E1741" s="22">
        <v>180</v>
      </c>
      <c r="F1741" s="22">
        <v>4</v>
      </c>
      <c r="G1741" s="22">
        <v>7</v>
      </c>
      <c r="H1741" s="22"/>
      <c r="I1741" s="23" t="s">
        <v>9</v>
      </c>
      <c r="J1741" s="23"/>
      <c r="K1741" s="22"/>
      <c r="L1741" s="22"/>
      <c r="M1741" s="23"/>
      <c r="N1741" s="23"/>
      <c r="O1741" s="26" t="s">
        <v>3442</v>
      </c>
      <c r="P1741" s="26"/>
      <c r="Q1741" s="22"/>
      <c r="R1741" s="24"/>
      <c r="S1741" s="24"/>
      <c r="T1741" s="24"/>
      <c r="U1741" s="24"/>
      <c r="V1741" s="24"/>
      <c r="W1741" s="22" t="s">
        <v>940</v>
      </c>
      <c r="X1741" s="4" t="str">
        <f>IF(Tabela2[[#This Row],[sigla]]="","",VLOOKUP(Tabela2[[#This Row],[sigla]],créditos_base!B:C,2,0))</f>
        <v>RONALDO LUCENA/ARQUIVO DA EDITORA</v>
      </c>
      <c r="Y1741" s="23"/>
      <c r="Z1741" s="23" t="str">
        <f>Tabela2[[#This Row],[ilustrador]]</f>
        <v>RONALDO LUCENA/ARQUIVO DA EDITORA</v>
      </c>
      <c r="AA1741" s="22"/>
      <c r="AB1741" s="20"/>
      <c r="AD1741" s="4" t="str">
        <f>"Pitanguá"</f>
        <v>Pitanguá</v>
      </c>
      <c r="AE1741" s="14" t="str">
        <f>"Matemática"</f>
        <v>Matemática</v>
      </c>
      <c r="AF1741" s="14"/>
    </row>
    <row r="1742" spans="1:32" x14ac:dyDescent="0.3">
      <c r="A1742" s="30" t="s">
        <v>1581</v>
      </c>
      <c r="B1742" s="20" t="s">
        <v>16</v>
      </c>
      <c r="C1742" s="20" t="s">
        <v>89</v>
      </c>
      <c r="D1742" s="20" t="s">
        <v>8</v>
      </c>
      <c r="E1742" s="22">
        <v>114</v>
      </c>
      <c r="F1742" s="22">
        <v>2</v>
      </c>
      <c r="G1742" s="22">
        <v>7</v>
      </c>
      <c r="H1742" s="22"/>
      <c r="I1742" s="23" t="s">
        <v>9</v>
      </c>
      <c r="J1742" s="23"/>
      <c r="K1742" s="22"/>
      <c r="L1742" s="22"/>
      <c r="M1742" s="23"/>
      <c r="N1742" s="23"/>
      <c r="O1742" s="26" t="s">
        <v>1582</v>
      </c>
      <c r="P1742" s="26"/>
      <c r="Q1742" s="22"/>
      <c r="R1742" s="24"/>
      <c r="S1742" s="24"/>
      <c r="T1742" s="24"/>
      <c r="U1742" s="24"/>
      <c r="V1742" s="24"/>
      <c r="W1742" s="22" t="s">
        <v>468</v>
      </c>
      <c r="X1742" s="4" t="str">
        <f>IF(Tabela2[[#This Row],[sigla]]="","",VLOOKUP(Tabela2[[#This Row],[sigla]],créditos_base!B:C,2,0))</f>
        <v>VER DOCUMENTO DE ILS. TÉCNICAS</v>
      </c>
      <c r="Y1742" s="23"/>
      <c r="Z1742" s="23" t="s">
        <v>661</v>
      </c>
      <c r="AA1742" s="22"/>
      <c r="AB1742" s="20"/>
      <c r="AD1742" s="4" t="str">
        <f>"Pitanguá"</f>
        <v>Pitanguá</v>
      </c>
      <c r="AE1742" s="14" t="str">
        <f>"Matemática"</f>
        <v>Matemática</v>
      </c>
      <c r="AF1742" s="14"/>
    </row>
    <row r="1743" spans="1:32" x14ac:dyDescent="0.3">
      <c r="A1743" s="23" t="s">
        <v>2322</v>
      </c>
      <c r="B1743" s="20" t="s">
        <v>16</v>
      </c>
      <c r="C1743" s="20" t="s">
        <v>89</v>
      </c>
      <c r="D1743" s="20" t="s">
        <v>8</v>
      </c>
      <c r="E1743" s="22">
        <v>137</v>
      </c>
      <c r="F1743" s="22">
        <v>3</v>
      </c>
      <c r="G1743" s="22">
        <v>7</v>
      </c>
      <c r="H1743" s="22"/>
      <c r="I1743" s="23" t="s">
        <v>9</v>
      </c>
      <c r="J1743" s="23"/>
      <c r="K1743" s="22"/>
      <c r="L1743" s="22"/>
      <c r="M1743" s="23"/>
      <c r="N1743" s="23"/>
      <c r="O1743" s="26" t="s">
        <v>2323</v>
      </c>
      <c r="P1743" s="26"/>
      <c r="Q1743" s="22"/>
      <c r="R1743" s="24"/>
      <c r="S1743" s="24"/>
      <c r="T1743" s="24"/>
      <c r="U1743" s="24"/>
      <c r="V1743" s="24"/>
      <c r="W1743" s="22" t="s">
        <v>230</v>
      </c>
      <c r="X1743" s="4" t="str">
        <f>IF(Tabela2[[#This Row],[sigla]]="","",VLOOKUP(Tabela2[[#This Row],[sigla]],créditos_base!B:C,2,0))</f>
        <v>RAFAEL L. GAION/ARQUIVO DA EDITORA</v>
      </c>
      <c r="Y1743" s="23"/>
      <c r="Z1743" s="23" t="str">
        <f>Tabela2[[#This Row],[ilustrador]]</f>
        <v>RAFAEL L. GAION/ARQUIVO DA EDITORA</v>
      </c>
      <c r="AA1743" s="22"/>
      <c r="AB1743" s="20"/>
      <c r="AD1743" s="4" t="str">
        <f>"Pitanguá"</f>
        <v>Pitanguá</v>
      </c>
      <c r="AE1743" s="14" t="str">
        <f>"Matemática"</f>
        <v>Matemática</v>
      </c>
      <c r="AF1743" s="14"/>
    </row>
    <row r="1744" spans="1:32" x14ac:dyDescent="0.3">
      <c r="A1744" s="23" t="s">
        <v>3443</v>
      </c>
      <c r="B1744" s="20" t="s">
        <v>16</v>
      </c>
      <c r="C1744" s="20" t="s">
        <v>89</v>
      </c>
      <c r="D1744" s="20" t="s">
        <v>8</v>
      </c>
      <c r="E1744" s="22">
        <v>180</v>
      </c>
      <c r="F1744" s="22">
        <v>4</v>
      </c>
      <c r="G1744" s="22">
        <v>7</v>
      </c>
      <c r="H1744" s="22"/>
      <c r="I1744" s="23" t="s">
        <v>9</v>
      </c>
      <c r="J1744" s="23"/>
      <c r="K1744" s="22"/>
      <c r="L1744" s="22"/>
      <c r="M1744" s="23"/>
      <c r="N1744" s="23"/>
      <c r="O1744" s="26" t="s">
        <v>3444</v>
      </c>
      <c r="P1744" s="26"/>
      <c r="Q1744" s="22"/>
      <c r="R1744" s="24"/>
      <c r="S1744" s="24"/>
      <c r="T1744" s="24"/>
      <c r="U1744" s="24"/>
      <c r="V1744" s="24"/>
      <c r="W1744" s="22" t="s">
        <v>940</v>
      </c>
      <c r="X1744" s="4" t="str">
        <f>IF(Tabela2[[#This Row],[sigla]]="","",VLOOKUP(Tabela2[[#This Row],[sigla]],créditos_base!B:C,2,0))</f>
        <v>RONALDO LUCENA/ARQUIVO DA EDITORA</v>
      </c>
      <c r="Y1744" s="23"/>
      <c r="Z1744" s="23" t="str">
        <f>Tabela2[[#This Row],[ilustrador]]</f>
        <v>RONALDO LUCENA/ARQUIVO DA EDITORA</v>
      </c>
      <c r="AA1744" s="22"/>
      <c r="AB1744" s="20"/>
      <c r="AD1744" s="4" t="str">
        <f>"Pitanguá"</f>
        <v>Pitanguá</v>
      </c>
      <c r="AE1744" s="14" t="str">
        <f>"Matemática"</f>
        <v>Matemática</v>
      </c>
      <c r="AF1744" s="14"/>
    </row>
    <row r="1745" spans="1:32" ht="57.6" x14ac:dyDescent="0.3">
      <c r="A1745" s="30" t="s">
        <v>1583</v>
      </c>
      <c r="B1745" s="20" t="s">
        <v>16</v>
      </c>
      <c r="C1745" s="20" t="s">
        <v>89</v>
      </c>
      <c r="D1745" s="20" t="s">
        <v>8</v>
      </c>
      <c r="E1745" s="22">
        <v>114</v>
      </c>
      <c r="F1745" s="22">
        <v>2</v>
      </c>
      <c r="G1745" s="22">
        <v>7</v>
      </c>
      <c r="H1745" s="22"/>
      <c r="I1745" s="23" t="s">
        <v>9</v>
      </c>
      <c r="J1745" s="23"/>
      <c r="K1745" s="22"/>
      <c r="L1745" s="22"/>
      <c r="M1745" s="23"/>
      <c r="N1745" s="23"/>
      <c r="O1745" s="26" t="s">
        <v>1584</v>
      </c>
      <c r="P1745" s="26"/>
      <c r="Q1745" s="22"/>
      <c r="R1745" s="24"/>
      <c r="S1745" s="24"/>
      <c r="T1745" s="24"/>
      <c r="U1745" s="24"/>
      <c r="V1745" s="24"/>
      <c r="W1745" s="22" t="s">
        <v>468</v>
      </c>
      <c r="X1745" s="4" t="str">
        <f>IF(Tabela2[[#This Row],[sigla]]="","",VLOOKUP(Tabela2[[#This Row],[sigla]],créditos_base!B:C,2,0))</f>
        <v>VER DOCUMENTO DE ILS. TÉCNICAS</v>
      </c>
      <c r="Y1745" s="23"/>
      <c r="Z1745" s="23" t="s">
        <v>661</v>
      </c>
      <c r="AA1745" s="22"/>
      <c r="AB1745" s="20"/>
      <c r="AD1745" s="4" t="str">
        <f>"Pitanguá"</f>
        <v>Pitanguá</v>
      </c>
      <c r="AE1745" s="14" t="str">
        <f>"Matemática"</f>
        <v>Matemática</v>
      </c>
      <c r="AF1745" s="14"/>
    </row>
    <row r="1746" spans="1:32" ht="28.8" x14ac:dyDescent="0.3">
      <c r="A1746" s="23" t="s">
        <v>2324</v>
      </c>
      <c r="B1746" s="20" t="s">
        <v>6</v>
      </c>
      <c r="C1746" s="20" t="s">
        <v>89</v>
      </c>
      <c r="D1746" s="20" t="s">
        <v>8</v>
      </c>
      <c r="E1746" s="22">
        <v>137</v>
      </c>
      <c r="F1746" s="22">
        <v>3</v>
      </c>
      <c r="G1746" s="22">
        <v>7</v>
      </c>
      <c r="H1746" s="22"/>
      <c r="I1746" s="23" t="s">
        <v>9</v>
      </c>
      <c r="J1746" s="23"/>
      <c r="K1746" s="22"/>
      <c r="L1746" s="22"/>
      <c r="M1746" s="23"/>
      <c r="N1746" s="23"/>
      <c r="O1746" s="26" t="s">
        <v>2325</v>
      </c>
      <c r="P1746" s="26" t="s">
        <v>11</v>
      </c>
      <c r="Q1746" s="22"/>
      <c r="R1746" s="24"/>
      <c r="S1746" s="24"/>
      <c r="T1746" s="24"/>
      <c r="U1746" s="24"/>
      <c r="V1746" s="24"/>
      <c r="W1746" s="22" t="s">
        <v>230</v>
      </c>
      <c r="X1746" s="4" t="str">
        <f>IF(Tabela2[[#This Row],[sigla]]="","",VLOOKUP(Tabela2[[#This Row],[sigla]],créditos_base!B:C,2,0))</f>
        <v>RAFAEL L. GAION/ARQUIVO DA EDITORA</v>
      </c>
      <c r="Y1746" s="23"/>
      <c r="Z1746" s="23" t="str">
        <f>Tabela2[[#This Row],[ilustrador]]</f>
        <v>RAFAEL L. GAION/ARQUIVO DA EDITORA</v>
      </c>
      <c r="AA1746" s="22"/>
      <c r="AB1746" s="20"/>
      <c r="AD1746" s="4" t="str">
        <f>"Pitanguá"</f>
        <v>Pitanguá</v>
      </c>
      <c r="AE1746" s="14" t="str">
        <f>"Matemática"</f>
        <v>Matemática</v>
      </c>
      <c r="AF1746" s="14"/>
    </row>
    <row r="1747" spans="1:32" ht="28.8" x14ac:dyDescent="0.3">
      <c r="A1747" s="23" t="s">
        <v>3445</v>
      </c>
      <c r="B1747" s="20" t="s">
        <v>16</v>
      </c>
      <c r="C1747" s="20" t="s">
        <v>89</v>
      </c>
      <c r="D1747" s="20" t="s">
        <v>8</v>
      </c>
      <c r="E1747" s="22">
        <v>180</v>
      </c>
      <c r="F1747" s="22">
        <v>4</v>
      </c>
      <c r="G1747" s="22">
        <v>7</v>
      </c>
      <c r="H1747" s="22"/>
      <c r="I1747" s="23" t="s">
        <v>9</v>
      </c>
      <c r="J1747" s="23"/>
      <c r="K1747" s="22"/>
      <c r="L1747" s="22"/>
      <c r="M1747" s="23"/>
      <c r="N1747" s="23"/>
      <c r="O1747" s="26" t="s">
        <v>3446</v>
      </c>
      <c r="P1747" s="26"/>
      <c r="Q1747" s="22"/>
      <c r="R1747" s="24"/>
      <c r="S1747" s="24"/>
      <c r="T1747" s="24"/>
      <c r="U1747" s="24"/>
      <c r="V1747" s="24"/>
      <c r="W1747" s="22" t="s">
        <v>940</v>
      </c>
      <c r="X1747" s="4" t="str">
        <f>IF(Tabela2[[#This Row],[sigla]]="","",VLOOKUP(Tabela2[[#This Row],[sigla]],créditos_base!B:C,2,0))</f>
        <v>RONALDO LUCENA/ARQUIVO DA EDITORA</v>
      </c>
      <c r="Y1747" s="23"/>
      <c r="Z1747" s="23" t="str">
        <f>Tabela2[[#This Row],[ilustrador]]</f>
        <v>RONALDO LUCENA/ARQUIVO DA EDITORA</v>
      </c>
      <c r="AA1747" s="22"/>
      <c r="AB1747" s="20"/>
      <c r="AD1747" s="4" t="str">
        <f>"Pitanguá"</f>
        <v>Pitanguá</v>
      </c>
      <c r="AE1747" s="14" t="str">
        <f>"Matemática"</f>
        <v>Matemática</v>
      </c>
      <c r="AF1747" s="14"/>
    </row>
    <row r="1748" spans="1:32" x14ac:dyDescent="0.3">
      <c r="A1748" s="23" t="s">
        <v>4228</v>
      </c>
      <c r="B1748" s="20" t="s">
        <v>135</v>
      </c>
      <c r="C1748" s="20" t="s">
        <v>7</v>
      </c>
      <c r="D1748" s="20" t="s">
        <v>8</v>
      </c>
      <c r="E1748" s="22">
        <v>217</v>
      </c>
      <c r="F1748" s="22">
        <v>5</v>
      </c>
      <c r="G1748" s="22">
        <v>7</v>
      </c>
      <c r="H1748" s="22"/>
      <c r="I1748" s="23" t="s">
        <v>33</v>
      </c>
      <c r="J1748" s="23"/>
      <c r="K1748" s="22"/>
      <c r="L1748" s="22"/>
      <c r="M1748" s="23"/>
      <c r="N1748" s="23"/>
      <c r="O1748" s="26" t="s">
        <v>4229</v>
      </c>
      <c r="P1748" s="26"/>
      <c r="Q1748" s="22">
        <v>140</v>
      </c>
      <c r="R1748" s="24">
        <v>45869</v>
      </c>
      <c r="S1748" s="24">
        <v>45876</v>
      </c>
      <c r="T1748" s="24"/>
      <c r="U1748" s="24"/>
      <c r="V1748" s="24">
        <v>45876</v>
      </c>
      <c r="W1748" s="22" t="s">
        <v>31</v>
      </c>
      <c r="X1748" s="4" t="str">
        <f>IF(Tabela2[[#This Row],[sigla]]="","",VLOOKUP(Tabela2[[#This Row],[sigla]],créditos_base!B:C,2,0))</f>
        <v>SILVIA OTOFUJI/ARQUIVO DA EDITORA</v>
      </c>
      <c r="Y1748" s="23" t="s">
        <v>524</v>
      </c>
      <c r="Z1748" s="23" t="str">
        <f>Tabela2[[#This Row],[ilustrador]]</f>
        <v>SILVIA OTOFUJI/ARQUIVO DA EDITORA</v>
      </c>
      <c r="AA1748" s="22">
        <v>13</v>
      </c>
      <c r="AB1748" s="20" t="s">
        <v>525</v>
      </c>
      <c r="AC1748" s="20" t="s">
        <v>36</v>
      </c>
      <c r="AD1748" s="4" t="str">
        <f>"Pitanguá"</f>
        <v>Pitanguá</v>
      </c>
      <c r="AE1748" s="14" t="str">
        <f>"Matemática"</f>
        <v>Matemática</v>
      </c>
      <c r="AF1748" s="14"/>
    </row>
    <row r="1749" spans="1:32" ht="28.8" x14ac:dyDescent="0.3">
      <c r="A1749" s="23" t="s">
        <v>549</v>
      </c>
      <c r="B1749" s="20" t="s">
        <v>16</v>
      </c>
      <c r="C1749" s="20" t="s">
        <v>89</v>
      </c>
      <c r="D1749" s="20" t="s">
        <v>8</v>
      </c>
      <c r="E1749" s="22">
        <v>126</v>
      </c>
      <c r="F1749" s="22">
        <v>1</v>
      </c>
      <c r="G1749" s="22">
        <v>7</v>
      </c>
      <c r="H1749" s="22"/>
      <c r="I1749" s="23" t="s">
        <v>9</v>
      </c>
      <c r="J1749" s="23"/>
      <c r="K1749" s="22"/>
      <c r="L1749" s="22"/>
      <c r="M1749" s="23"/>
      <c r="N1749" s="23"/>
      <c r="O1749" s="26" t="s">
        <v>550</v>
      </c>
      <c r="P1749" s="26"/>
      <c r="Q1749" s="22"/>
      <c r="R1749" s="24"/>
      <c r="S1749" s="24"/>
      <c r="T1749" s="24"/>
      <c r="U1749" s="24"/>
      <c r="V1749" s="24"/>
      <c r="W1749" s="22" t="s">
        <v>230</v>
      </c>
      <c r="X1749" s="4" t="str">
        <f>IF(Tabela2[[#This Row],[sigla]]="","",VLOOKUP(Tabela2[[#This Row],[sigla]],créditos_base!B:C,2,0))</f>
        <v>RAFAEL L. GAION/ARQUIVO DA EDITORA</v>
      </c>
      <c r="Y1749" s="23"/>
      <c r="Z1749" s="23" t="str">
        <f>Tabela2[[#This Row],[ilustrador]]</f>
        <v>RAFAEL L. GAION/ARQUIVO DA EDITORA</v>
      </c>
      <c r="AA1749" s="22"/>
      <c r="AB1749" s="20"/>
      <c r="AD1749" s="4" t="str">
        <f>"Pitanguá"</f>
        <v>Pitanguá</v>
      </c>
      <c r="AE1749" s="14" t="str">
        <f>"Matemática"</f>
        <v>Matemática</v>
      </c>
      <c r="AF1749" s="14"/>
    </row>
    <row r="1750" spans="1:32" ht="28.8" x14ac:dyDescent="0.3">
      <c r="A1750" s="23" t="s">
        <v>2326</v>
      </c>
      <c r="B1750" s="20" t="s">
        <v>6</v>
      </c>
      <c r="C1750" s="20" t="s">
        <v>89</v>
      </c>
      <c r="D1750" s="20" t="s">
        <v>8</v>
      </c>
      <c r="E1750" s="22">
        <v>137</v>
      </c>
      <c r="F1750" s="22">
        <v>3</v>
      </c>
      <c r="G1750" s="22">
        <v>7</v>
      </c>
      <c r="H1750" s="22"/>
      <c r="I1750" s="23" t="s">
        <v>9</v>
      </c>
      <c r="J1750" s="23"/>
      <c r="K1750" s="22"/>
      <c r="L1750" s="22"/>
      <c r="M1750" s="23"/>
      <c r="N1750" s="23"/>
      <c r="O1750" s="26" t="s">
        <v>2327</v>
      </c>
      <c r="P1750" s="26" t="s">
        <v>11</v>
      </c>
      <c r="Q1750" s="22"/>
      <c r="R1750" s="24"/>
      <c r="S1750" s="24"/>
      <c r="T1750" s="24"/>
      <c r="U1750" s="24"/>
      <c r="V1750" s="24"/>
      <c r="W1750" s="22" t="s">
        <v>230</v>
      </c>
      <c r="X1750" s="4" t="str">
        <f>IF(Tabela2[[#This Row],[sigla]]="","",VLOOKUP(Tabela2[[#This Row],[sigla]],créditos_base!B:C,2,0))</f>
        <v>RAFAEL L. GAION/ARQUIVO DA EDITORA</v>
      </c>
      <c r="Y1750" s="23"/>
      <c r="Z1750" s="23" t="str">
        <f>Tabela2[[#This Row],[ilustrador]]</f>
        <v>RAFAEL L. GAION/ARQUIVO DA EDITORA</v>
      </c>
      <c r="AA1750" s="22"/>
      <c r="AB1750" s="20"/>
      <c r="AD1750" s="4" t="str">
        <f>"Pitanguá"</f>
        <v>Pitanguá</v>
      </c>
      <c r="AE1750" s="14" t="str">
        <f>"Matemática"</f>
        <v>Matemática</v>
      </c>
      <c r="AF1750" s="14"/>
    </row>
    <row r="1751" spans="1:32" ht="28.8" x14ac:dyDescent="0.3">
      <c r="A1751" s="23" t="s">
        <v>3447</v>
      </c>
      <c r="B1751" s="20" t="s">
        <v>16</v>
      </c>
      <c r="C1751" s="20" t="s">
        <v>89</v>
      </c>
      <c r="D1751" s="20" t="s">
        <v>8</v>
      </c>
      <c r="E1751" s="22">
        <v>180</v>
      </c>
      <c r="F1751" s="22">
        <v>4</v>
      </c>
      <c r="G1751" s="22">
        <v>7</v>
      </c>
      <c r="H1751" s="22"/>
      <c r="I1751" s="23" t="s">
        <v>9</v>
      </c>
      <c r="J1751" s="23"/>
      <c r="K1751" s="22"/>
      <c r="L1751" s="22"/>
      <c r="M1751" s="23"/>
      <c r="N1751" s="23"/>
      <c r="O1751" s="26" t="s">
        <v>3448</v>
      </c>
      <c r="P1751" s="26"/>
      <c r="Q1751" s="22"/>
      <c r="R1751" s="24"/>
      <c r="S1751" s="24"/>
      <c r="T1751" s="24"/>
      <c r="U1751" s="24"/>
      <c r="V1751" s="24"/>
      <c r="W1751" s="22" t="s">
        <v>940</v>
      </c>
      <c r="X1751" s="4" t="str">
        <f>IF(Tabela2[[#This Row],[sigla]]="","",VLOOKUP(Tabela2[[#This Row],[sigla]],créditos_base!B:C,2,0))</f>
        <v>RONALDO LUCENA/ARQUIVO DA EDITORA</v>
      </c>
      <c r="Y1751" s="23"/>
      <c r="Z1751" s="23" t="str">
        <f>Tabela2[[#This Row],[ilustrador]]</f>
        <v>RONALDO LUCENA/ARQUIVO DA EDITORA</v>
      </c>
      <c r="AA1751" s="22"/>
      <c r="AB1751" s="20"/>
      <c r="AD1751" s="4" t="str">
        <f>"Pitanguá"</f>
        <v>Pitanguá</v>
      </c>
      <c r="AE1751" s="14" t="str">
        <f>"Matemática"</f>
        <v>Matemática</v>
      </c>
      <c r="AF1751" s="14"/>
    </row>
    <row r="1752" spans="1:32" ht="28.8" x14ac:dyDescent="0.3">
      <c r="A1752" s="23" t="s">
        <v>4230</v>
      </c>
      <c r="B1752" s="20" t="s">
        <v>135</v>
      </c>
      <c r="C1752" s="20" t="s">
        <v>89</v>
      </c>
      <c r="D1752" s="20" t="s">
        <v>8</v>
      </c>
      <c r="E1752" s="22">
        <v>218</v>
      </c>
      <c r="F1752" s="22">
        <v>5</v>
      </c>
      <c r="G1752" s="22">
        <v>7</v>
      </c>
      <c r="H1752" s="22"/>
      <c r="I1752" s="23" t="s">
        <v>9</v>
      </c>
      <c r="J1752" s="23"/>
      <c r="K1752" s="22"/>
      <c r="L1752" s="22"/>
      <c r="M1752" s="23"/>
      <c r="N1752" s="23"/>
      <c r="O1752" s="26" t="s">
        <v>4231</v>
      </c>
      <c r="P1752" s="26"/>
      <c r="Q1752" s="22"/>
      <c r="R1752" s="24"/>
      <c r="S1752" s="24"/>
      <c r="T1752" s="24"/>
      <c r="U1752" s="24"/>
      <c r="V1752" s="24"/>
      <c r="W1752" s="22" t="s">
        <v>940</v>
      </c>
      <c r="X1752" s="4" t="str">
        <f>IF(Tabela2[[#This Row],[sigla]]="","",VLOOKUP(Tabela2[[#This Row],[sigla]],créditos_base!B:C,2,0))</f>
        <v>RONALDO LUCENA/ARQUIVO DA EDITORA</v>
      </c>
      <c r="Y1752" s="23"/>
      <c r="Z1752" s="23" t="str">
        <f>Tabela2[[#This Row],[ilustrador]]</f>
        <v>RONALDO LUCENA/ARQUIVO DA EDITORA</v>
      </c>
      <c r="AA1752" s="22"/>
      <c r="AB1752" s="20"/>
      <c r="AD1752" s="4" t="str">
        <f>"Pitanguá"</f>
        <v>Pitanguá</v>
      </c>
      <c r="AE1752" s="14" t="str">
        <f>"Matemática"</f>
        <v>Matemática</v>
      </c>
      <c r="AF1752" s="14"/>
    </row>
    <row r="1753" spans="1:32" ht="28.8" x14ac:dyDescent="0.3">
      <c r="A1753" s="23" t="s">
        <v>2328</v>
      </c>
      <c r="B1753" s="20" t="s">
        <v>6</v>
      </c>
      <c r="C1753" s="20" t="s">
        <v>89</v>
      </c>
      <c r="D1753" s="20" t="s">
        <v>8</v>
      </c>
      <c r="E1753" s="22">
        <v>137</v>
      </c>
      <c r="F1753" s="22">
        <v>3</v>
      </c>
      <c r="G1753" s="22">
        <v>7</v>
      </c>
      <c r="H1753" s="22"/>
      <c r="I1753" s="23" t="s">
        <v>9</v>
      </c>
      <c r="J1753" s="23"/>
      <c r="K1753" s="22"/>
      <c r="L1753" s="22"/>
      <c r="M1753" s="23"/>
      <c r="N1753" s="23"/>
      <c r="O1753" s="26" t="s">
        <v>2329</v>
      </c>
      <c r="P1753" s="26" t="s">
        <v>11</v>
      </c>
      <c r="Q1753" s="22"/>
      <c r="R1753" s="24"/>
      <c r="S1753" s="24"/>
      <c r="T1753" s="24"/>
      <c r="U1753" s="24"/>
      <c r="V1753" s="24"/>
      <c r="W1753" s="22" t="s">
        <v>230</v>
      </c>
      <c r="X1753" s="4" t="str">
        <f>IF(Tabela2[[#This Row],[sigla]]="","",VLOOKUP(Tabela2[[#This Row],[sigla]],créditos_base!B:C,2,0))</f>
        <v>RAFAEL L. GAION/ARQUIVO DA EDITORA</v>
      </c>
      <c r="Y1753" s="23"/>
      <c r="Z1753" s="23" t="str">
        <f>Tabela2[[#This Row],[ilustrador]]</f>
        <v>RAFAEL L. GAION/ARQUIVO DA EDITORA</v>
      </c>
      <c r="AA1753" s="22"/>
      <c r="AB1753" s="20"/>
      <c r="AD1753" s="4" t="str">
        <f>"Pitanguá"</f>
        <v>Pitanguá</v>
      </c>
      <c r="AE1753" s="14" t="str">
        <f>"Matemática"</f>
        <v>Matemática</v>
      </c>
      <c r="AF1753" s="14"/>
    </row>
    <row r="1754" spans="1:32" ht="28.8" x14ac:dyDescent="0.3">
      <c r="A1754" s="23" t="s">
        <v>3449</v>
      </c>
      <c r="B1754" s="20" t="s">
        <v>16</v>
      </c>
      <c r="C1754" s="20" t="s">
        <v>89</v>
      </c>
      <c r="D1754" s="20" t="s">
        <v>8</v>
      </c>
      <c r="E1754" s="22">
        <v>180</v>
      </c>
      <c r="F1754" s="22">
        <v>4</v>
      </c>
      <c r="G1754" s="22">
        <v>7</v>
      </c>
      <c r="H1754" s="22"/>
      <c r="I1754" s="23" t="s">
        <v>9</v>
      </c>
      <c r="J1754" s="23"/>
      <c r="K1754" s="22"/>
      <c r="L1754" s="22"/>
      <c r="M1754" s="23"/>
      <c r="N1754" s="23"/>
      <c r="O1754" s="26" t="s">
        <v>3450</v>
      </c>
      <c r="P1754" s="26"/>
      <c r="Q1754" s="22"/>
      <c r="R1754" s="24"/>
      <c r="S1754" s="24"/>
      <c r="T1754" s="24"/>
      <c r="U1754" s="24"/>
      <c r="V1754" s="24"/>
      <c r="W1754" s="22" t="s">
        <v>940</v>
      </c>
      <c r="X1754" s="4" t="str">
        <f>IF(Tabela2[[#This Row],[sigla]]="","",VLOOKUP(Tabela2[[#This Row],[sigla]],créditos_base!B:C,2,0))</f>
        <v>RONALDO LUCENA/ARQUIVO DA EDITORA</v>
      </c>
      <c r="Y1754" s="23"/>
      <c r="Z1754" s="23" t="str">
        <f>Tabela2[[#This Row],[ilustrador]]</f>
        <v>RONALDO LUCENA/ARQUIVO DA EDITORA</v>
      </c>
      <c r="AA1754" s="22"/>
      <c r="AB1754" s="20"/>
      <c r="AD1754" s="4" t="str">
        <f>"Pitanguá"</f>
        <v>Pitanguá</v>
      </c>
      <c r="AE1754" s="14" t="str">
        <f>"Matemática"</f>
        <v>Matemática</v>
      </c>
      <c r="AF1754" s="14"/>
    </row>
    <row r="1755" spans="1:32" ht="28.8" x14ac:dyDescent="0.3">
      <c r="A1755" s="23" t="s">
        <v>2330</v>
      </c>
      <c r="B1755" s="20" t="s">
        <v>6</v>
      </c>
      <c r="C1755" s="20" t="s">
        <v>89</v>
      </c>
      <c r="D1755" s="20" t="s">
        <v>8</v>
      </c>
      <c r="E1755" s="22">
        <v>137</v>
      </c>
      <c r="F1755" s="22">
        <v>3</v>
      </c>
      <c r="G1755" s="22">
        <v>7</v>
      </c>
      <c r="H1755" s="22"/>
      <c r="I1755" s="23" t="s">
        <v>9</v>
      </c>
      <c r="J1755" s="23"/>
      <c r="K1755" s="22"/>
      <c r="L1755" s="22"/>
      <c r="M1755" s="23"/>
      <c r="N1755" s="23"/>
      <c r="O1755" s="26" t="s">
        <v>2331</v>
      </c>
      <c r="P1755" s="26" t="s">
        <v>11</v>
      </c>
      <c r="Q1755" s="22"/>
      <c r="R1755" s="24"/>
      <c r="S1755" s="24"/>
      <c r="T1755" s="24"/>
      <c r="U1755" s="24"/>
      <c r="V1755" s="24"/>
      <c r="W1755" s="22" t="s">
        <v>230</v>
      </c>
      <c r="X1755" s="4" t="str">
        <f>IF(Tabela2[[#This Row],[sigla]]="","",VLOOKUP(Tabela2[[#This Row],[sigla]],créditos_base!B:C,2,0))</f>
        <v>RAFAEL L. GAION/ARQUIVO DA EDITORA</v>
      </c>
      <c r="Y1755" s="23"/>
      <c r="Z1755" s="23" t="str">
        <f>Tabela2[[#This Row],[ilustrador]]</f>
        <v>RAFAEL L. GAION/ARQUIVO DA EDITORA</v>
      </c>
      <c r="AA1755" s="22"/>
      <c r="AB1755" s="20"/>
      <c r="AD1755" s="4" t="str">
        <f>"Pitanguá"</f>
        <v>Pitanguá</v>
      </c>
      <c r="AE1755" s="14" t="str">
        <f>"Matemática"</f>
        <v>Matemática</v>
      </c>
      <c r="AF1755" s="14"/>
    </row>
    <row r="1756" spans="1:32" ht="28.8" x14ac:dyDescent="0.3">
      <c r="A1756" s="23" t="s">
        <v>3451</v>
      </c>
      <c r="B1756" s="20" t="s">
        <v>16</v>
      </c>
      <c r="C1756" s="20" t="s">
        <v>89</v>
      </c>
      <c r="D1756" s="20" t="s">
        <v>8</v>
      </c>
      <c r="E1756" s="22">
        <v>180</v>
      </c>
      <c r="F1756" s="22">
        <v>4</v>
      </c>
      <c r="G1756" s="22">
        <v>7</v>
      </c>
      <c r="H1756" s="22"/>
      <c r="I1756" s="23" t="s">
        <v>9</v>
      </c>
      <c r="J1756" s="23"/>
      <c r="K1756" s="22"/>
      <c r="L1756" s="22"/>
      <c r="M1756" s="23"/>
      <c r="N1756" s="23"/>
      <c r="O1756" s="26" t="s">
        <v>3452</v>
      </c>
      <c r="P1756" s="26"/>
      <c r="Q1756" s="22"/>
      <c r="R1756" s="24"/>
      <c r="S1756" s="24"/>
      <c r="T1756" s="24"/>
      <c r="U1756" s="24"/>
      <c r="V1756" s="24"/>
      <c r="W1756" s="22" t="s">
        <v>940</v>
      </c>
      <c r="X1756" s="4" t="str">
        <f>IF(Tabela2[[#This Row],[sigla]]="","",VLOOKUP(Tabela2[[#This Row],[sigla]],créditos_base!B:C,2,0))</f>
        <v>RONALDO LUCENA/ARQUIVO DA EDITORA</v>
      </c>
      <c r="Y1756" s="23"/>
      <c r="Z1756" s="23" t="str">
        <f>Tabela2[[#This Row],[ilustrador]]</f>
        <v>RONALDO LUCENA/ARQUIVO DA EDITORA</v>
      </c>
      <c r="AA1756" s="22"/>
      <c r="AB1756" s="20"/>
      <c r="AD1756" s="4" t="str">
        <f>"Pitanguá"</f>
        <v>Pitanguá</v>
      </c>
      <c r="AE1756" s="14" t="str">
        <f>"Matemática"</f>
        <v>Matemática</v>
      </c>
      <c r="AF1756" s="14"/>
    </row>
    <row r="1757" spans="1:32" ht="28.8" x14ac:dyDescent="0.3">
      <c r="A1757" s="23" t="s">
        <v>2332</v>
      </c>
      <c r="B1757" s="20" t="s">
        <v>6</v>
      </c>
      <c r="C1757" s="20" t="s">
        <v>89</v>
      </c>
      <c r="D1757" s="20" t="s">
        <v>8</v>
      </c>
      <c r="E1757" s="22">
        <v>137</v>
      </c>
      <c r="F1757" s="22">
        <v>3</v>
      </c>
      <c r="G1757" s="22">
        <v>7</v>
      </c>
      <c r="H1757" s="22"/>
      <c r="I1757" s="23" t="s">
        <v>9</v>
      </c>
      <c r="J1757" s="23"/>
      <c r="K1757" s="22"/>
      <c r="L1757" s="22"/>
      <c r="M1757" s="23"/>
      <c r="N1757" s="23"/>
      <c r="O1757" s="26" t="s">
        <v>2333</v>
      </c>
      <c r="P1757" s="26" t="s">
        <v>11</v>
      </c>
      <c r="Q1757" s="22"/>
      <c r="R1757" s="24"/>
      <c r="S1757" s="24"/>
      <c r="T1757" s="24"/>
      <c r="U1757" s="24"/>
      <c r="V1757" s="24"/>
      <c r="W1757" s="22" t="s">
        <v>230</v>
      </c>
      <c r="X1757" s="4" t="str">
        <f>IF(Tabela2[[#This Row],[sigla]]="","",VLOOKUP(Tabela2[[#This Row],[sigla]],créditos_base!B:C,2,0))</f>
        <v>RAFAEL L. GAION/ARQUIVO DA EDITORA</v>
      </c>
      <c r="Y1757" s="23"/>
      <c r="Z1757" s="23" t="str">
        <f>Tabela2[[#This Row],[ilustrador]]</f>
        <v>RAFAEL L. GAION/ARQUIVO DA EDITORA</v>
      </c>
      <c r="AA1757" s="22"/>
      <c r="AB1757" s="20"/>
      <c r="AD1757" s="4" t="str">
        <f>"Pitanguá"</f>
        <v>Pitanguá</v>
      </c>
      <c r="AE1757" s="14" t="str">
        <f>"Matemática"</f>
        <v>Matemática</v>
      </c>
      <c r="AF1757" s="14"/>
    </row>
    <row r="1758" spans="1:32" ht="28.8" x14ac:dyDescent="0.3">
      <c r="A1758" s="23" t="s">
        <v>3453</v>
      </c>
      <c r="B1758" s="20" t="s">
        <v>16</v>
      </c>
      <c r="C1758" s="20" t="s">
        <v>89</v>
      </c>
      <c r="D1758" s="20" t="s">
        <v>8</v>
      </c>
      <c r="E1758" s="22">
        <v>180</v>
      </c>
      <c r="F1758" s="22">
        <v>4</v>
      </c>
      <c r="G1758" s="22">
        <v>7</v>
      </c>
      <c r="H1758" s="22"/>
      <c r="I1758" s="23" t="s">
        <v>9</v>
      </c>
      <c r="J1758" s="23"/>
      <c r="K1758" s="22"/>
      <c r="L1758" s="22"/>
      <c r="M1758" s="23"/>
      <c r="N1758" s="23"/>
      <c r="O1758" s="26" t="s">
        <v>3454</v>
      </c>
      <c r="P1758" s="26"/>
      <c r="Q1758" s="22"/>
      <c r="R1758" s="24"/>
      <c r="S1758" s="24"/>
      <c r="T1758" s="24"/>
      <c r="U1758" s="24"/>
      <c r="V1758" s="24"/>
      <c r="W1758" s="22" t="s">
        <v>940</v>
      </c>
      <c r="X1758" s="4" t="str">
        <f>IF(Tabela2[[#This Row],[sigla]]="","",VLOOKUP(Tabela2[[#This Row],[sigla]],créditos_base!B:C,2,0))</f>
        <v>RONALDO LUCENA/ARQUIVO DA EDITORA</v>
      </c>
      <c r="Y1758" s="23"/>
      <c r="Z1758" s="23" t="str">
        <f>Tabela2[[#This Row],[ilustrador]]</f>
        <v>RONALDO LUCENA/ARQUIVO DA EDITORA</v>
      </c>
      <c r="AA1758" s="22"/>
      <c r="AB1758" s="20"/>
      <c r="AD1758" s="4" t="str">
        <f>"Pitanguá"</f>
        <v>Pitanguá</v>
      </c>
      <c r="AE1758" s="14" t="str">
        <f>"Matemática"</f>
        <v>Matemática</v>
      </c>
      <c r="AF1758" s="14"/>
    </row>
    <row r="1759" spans="1:32" x14ac:dyDescent="0.3">
      <c r="A1759" s="23" t="s">
        <v>551</v>
      </c>
      <c r="B1759" s="20" t="s">
        <v>6</v>
      </c>
      <c r="C1759" s="20" t="s">
        <v>89</v>
      </c>
      <c r="D1759" s="20" t="s">
        <v>8</v>
      </c>
      <c r="E1759" s="22">
        <v>128</v>
      </c>
      <c r="F1759" s="22">
        <v>1</v>
      </c>
      <c r="G1759" s="22">
        <v>7</v>
      </c>
      <c r="H1759" s="22"/>
      <c r="I1759" s="23" t="s">
        <v>9</v>
      </c>
      <c r="J1759" s="23"/>
      <c r="K1759" s="22"/>
      <c r="L1759" s="22"/>
      <c r="M1759" s="23"/>
      <c r="N1759" s="23"/>
      <c r="O1759" s="26" t="s">
        <v>552</v>
      </c>
      <c r="P1759" s="26"/>
      <c r="Q1759" s="22"/>
      <c r="R1759" s="24"/>
      <c r="S1759" s="24"/>
      <c r="T1759" s="24"/>
      <c r="U1759" s="24"/>
      <c r="V1759" s="24"/>
      <c r="W1759" s="22" t="s">
        <v>230</v>
      </c>
      <c r="X1759" s="4" t="str">
        <f>IF(Tabela2[[#This Row],[sigla]]="","",VLOOKUP(Tabela2[[#This Row],[sigla]],créditos_base!B:C,2,0))</f>
        <v>RAFAEL L. GAION/ARQUIVO DA EDITORA</v>
      </c>
      <c r="Y1759" s="23"/>
      <c r="Z1759" s="23" t="str">
        <f>Tabela2[[#This Row],[ilustrador]]</f>
        <v>RAFAEL L. GAION/ARQUIVO DA EDITORA</v>
      </c>
      <c r="AA1759" s="22"/>
      <c r="AB1759" s="20"/>
      <c r="AD1759" s="4" t="str">
        <f>"Pitanguá"</f>
        <v>Pitanguá</v>
      </c>
      <c r="AE1759" s="14" t="str">
        <f>"Matemática"</f>
        <v>Matemática</v>
      </c>
      <c r="AF1759" s="14"/>
    </row>
    <row r="1760" spans="1:32" x14ac:dyDescent="0.3">
      <c r="A1760" s="23" t="s">
        <v>3455</v>
      </c>
      <c r="B1760" s="20" t="s">
        <v>16</v>
      </c>
      <c r="C1760" s="20" t="s">
        <v>89</v>
      </c>
      <c r="D1760" s="20" t="s">
        <v>8</v>
      </c>
      <c r="E1760" s="22">
        <v>181</v>
      </c>
      <c r="F1760" s="22">
        <v>4</v>
      </c>
      <c r="G1760" s="22">
        <v>7</v>
      </c>
      <c r="H1760" s="22"/>
      <c r="I1760" s="23" t="s">
        <v>9</v>
      </c>
      <c r="J1760" s="23"/>
      <c r="K1760" s="22"/>
      <c r="L1760" s="22"/>
      <c r="M1760" s="23"/>
      <c r="N1760" s="23"/>
      <c r="O1760" s="26" t="s">
        <v>3456</v>
      </c>
      <c r="P1760" s="26"/>
      <c r="Q1760" s="22"/>
      <c r="R1760" s="24"/>
      <c r="S1760" s="24"/>
      <c r="T1760" s="24"/>
      <c r="U1760" s="24"/>
      <c r="V1760" s="24"/>
      <c r="W1760" s="22" t="s">
        <v>940</v>
      </c>
      <c r="X1760" s="4" t="str">
        <f>IF(Tabela2[[#This Row],[sigla]]="","",VLOOKUP(Tabela2[[#This Row],[sigla]],créditos_base!B:C,2,0))</f>
        <v>RONALDO LUCENA/ARQUIVO DA EDITORA</v>
      </c>
      <c r="Y1760" s="23"/>
      <c r="Z1760" s="23" t="str">
        <f>Tabela2[[#This Row],[ilustrador]]</f>
        <v>RONALDO LUCENA/ARQUIVO DA EDITORA</v>
      </c>
      <c r="AA1760" s="22"/>
      <c r="AB1760" s="20"/>
      <c r="AD1760" s="4" t="str">
        <f>"Pitanguá"</f>
        <v>Pitanguá</v>
      </c>
      <c r="AE1760" s="14" t="str">
        <f>"Matemática"</f>
        <v>Matemática</v>
      </c>
      <c r="AF1760" s="14"/>
    </row>
    <row r="1761" spans="1:32" x14ac:dyDescent="0.3">
      <c r="A1761" s="23" t="s">
        <v>553</v>
      </c>
      <c r="B1761" s="20" t="s">
        <v>16</v>
      </c>
      <c r="C1761" s="20" t="s">
        <v>89</v>
      </c>
      <c r="D1761" s="20" t="s">
        <v>8</v>
      </c>
      <c r="E1761" s="22">
        <v>128</v>
      </c>
      <c r="F1761" s="22">
        <v>1</v>
      </c>
      <c r="G1761" s="22">
        <v>7</v>
      </c>
      <c r="H1761" s="22"/>
      <c r="I1761" s="23" t="s">
        <v>9</v>
      </c>
      <c r="J1761" s="23"/>
      <c r="K1761" s="22"/>
      <c r="L1761" s="22"/>
      <c r="M1761" s="23"/>
      <c r="N1761" s="23"/>
      <c r="O1761" s="26" t="s">
        <v>554</v>
      </c>
      <c r="P1761" s="26"/>
      <c r="Q1761" s="22"/>
      <c r="R1761" s="24"/>
      <c r="S1761" s="24"/>
      <c r="T1761" s="24"/>
      <c r="U1761" s="24"/>
      <c r="V1761" s="24"/>
      <c r="W1761" s="22" t="s">
        <v>327</v>
      </c>
      <c r="X1761" s="4" t="str">
        <f>IF(Tabela2[[#This Row],[sigla]]="","",VLOOKUP(Tabela2[[#This Row],[sigla]],créditos_base!B:C,2,0))</f>
        <v>RAFAEL LAM/ARQUIVO DA EDITORA</v>
      </c>
      <c r="Y1761" s="23"/>
      <c r="Z1761" s="23" t="str">
        <f>Tabela2[[#This Row],[ilustrador]]</f>
        <v>RAFAEL LAM/ARQUIVO DA EDITORA</v>
      </c>
      <c r="AA1761" s="22"/>
      <c r="AB1761" s="20"/>
      <c r="AD1761" s="4" t="str">
        <f>"Pitanguá"</f>
        <v>Pitanguá</v>
      </c>
      <c r="AE1761" s="14" t="str">
        <f>"Matemática"</f>
        <v>Matemática</v>
      </c>
      <c r="AF1761" s="14"/>
    </row>
    <row r="1762" spans="1:32" ht="28.8" x14ac:dyDescent="0.3">
      <c r="A1762" s="23" t="s">
        <v>2336</v>
      </c>
      <c r="B1762" s="20" t="s">
        <v>16</v>
      </c>
      <c r="C1762" s="20" t="s">
        <v>7</v>
      </c>
      <c r="D1762" s="20" t="s">
        <v>8</v>
      </c>
      <c r="E1762" s="22">
        <v>137</v>
      </c>
      <c r="F1762" s="22">
        <v>3</v>
      </c>
      <c r="G1762" s="22">
        <v>7</v>
      </c>
      <c r="H1762" s="22"/>
      <c r="I1762" s="23" t="s">
        <v>33</v>
      </c>
      <c r="J1762" s="23"/>
      <c r="K1762" s="22"/>
      <c r="L1762" s="22"/>
      <c r="M1762" s="23"/>
      <c r="N1762" s="23"/>
      <c r="O1762" s="26" t="s">
        <v>2337</v>
      </c>
      <c r="P1762" s="26"/>
      <c r="Q1762" s="22">
        <v>31</v>
      </c>
      <c r="R1762" s="24">
        <v>45758</v>
      </c>
      <c r="S1762" s="24">
        <v>45761</v>
      </c>
      <c r="T1762" s="24"/>
      <c r="U1762" s="24"/>
      <c r="V1762" s="24">
        <v>45763</v>
      </c>
      <c r="W1762" s="22" t="s">
        <v>1785</v>
      </c>
      <c r="X1762" s="4" t="str">
        <f>IF(Tabela2[[#This Row],[sigla]]="","",VLOOKUP(Tabela2[[#This Row],[sigla]],créditos_base!B:C,2,0))</f>
        <v>CAUÊ ZUNCHINI/ARQUIVO DA EDITORA</v>
      </c>
      <c r="Y1762" s="23" t="s">
        <v>188</v>
      </c>
      <c r="Z1762" s="23" t="str">
        <f>Tabela2[[#This Row],[ilustrador]]</f>
        <v>CAUÊ ZUNCHINI/ARQUIVO DA EDITORA</v>
      </c>
      <c r="AA1762" s="22">
        <v>14</v>
      </c>
      <c r="AB1762" s="20" t="s">
        <v>153</v>
      </c>
      <c r="AC1762" s="20" t="s">
        <v>36</v>
      </c>
      <c r="AD1762" s="4" t="str">
        <f>"Pitanguá"</f>
        <v>Pitanguá</v>
      </c>
      <c r="AE1762" s="14" t="str">
        <f>"Matemática"</f>
        <v>Matemática</v>
      </c>
      <c r="AF1762" s="14"/>
    </row>
    <row r="1763" spans="1:32" ht="28.8" x14ac:dyDescent="0.3">
      <c r="A1763" s="23" t="s">
        <v>3457</v>
      </c>
      <c r="B1763" s="20" t="s">
        <v>16</v>
      </c>
      <c r="C1763" s="20" t="s">
        <v>89</v>
      </c>
      <c r="D1763" s="20" t="s">
        <v>8</v>
      </c>
      <c r="E1763" s="22">
        <v>181</v>
      </c>
      <c r="F1763" s="22">
        <v>4</v>
      </c>
      <c r="G1763" s="22">
        <v>7</v>
      </c>
      <c r="H1763" s="22"/>
      <c r="I1763" s="23" t="s">
        <v>9</v>
      </c>
      <c r="J1763" s="23"/>
      <c r="K1763" s="22"/>
      <c r="L1763" s="22"/>
      <c r="M1763" s="23"/>
      <c r="N1763" s="23"/>
      <c r="O1763" s="26" t="s">
        <v>3458</v>
      </c>
      <c r="P1763" s="26"/>
      <c r="Q1763" s="22"/>
      <c r="R1763" s="24"/>
      <c r="S1763" s="24"/>
      <c r="T1763" s="24"/>
      <c r="U1763" s="24"/>
      <c r="V1763" s="24"/>
      <c r="W1763" s="22" t="s">
        <v>940</v>
      </c>
      <c r="X1763" s="4" t="str">
        <f>IF(Tabela2[[#This Row],[sigla]]="","",VLOOKUP(Tabela2[[#This Row],[sigla]],créditos_base!B:C,2,0))</f>
        <v>RONALDO LUCENA/ARQUIVO DA EDITORA</v>
      </c>
      <c r="Y1763" s="23"/>
      <c r="Z1763" s="23" t="str">
        <f>Tabela2[[#This Row],[ilustrador]]</f>
        <v>RONALDO LUCENA/ARQUIVO DA EDITORA</v>
      </c>
      <c r="AA1763" s="22"/>
      <c r="AB1763" s="20"/>
      <c r="AD1763" s="4" t="str">
        <f>"Pitanguá"</f>
        <v>Pitanguá</v>
      </c>
      <c r="AE1763" s="14" t="str">
        <f>"Matemática"</f>
        <v>Matemática</v>
      </c>
      <c r="AF1763" s="14"/>
    </row>
    <row r="1764" spans="1:32" ht="28.8" x14ac:dyDescent="0.3">
      <c r="A1764" s="23" t="s">
        <v>2338</v>
      </c>
      <c r="B1764" s="20" t="s">
        <v>16</v>
      </c>
      <c r="C1764" s="20" t="s">
        <v>89</v>
      </c>
      <c r="D1764" s="20" t="s">
        <v>8</v>
      </c>
      <c r="E1764" s="22">
        <v>138</v>
      </c>
      <c r="F1764" s="22">
        <v>3</v>
      </c>
      <c r="G1764" s="22">
        <v>7</v>
      </c>
      <c r="H1764" s="22"/>
      <c r="I1764" s="23" t="s">
        <v>9</v>
      </c>
      <c r="J1764" s="23"/>
      <c r="K1764" s="22"/>
      <c r="L1764" s="22"/>
      <c r="M1764" s="23"/>
      <c r="N1764" s="23"/>
      <c r="O1764" s="26" t="s">
        <v>2339</v>
      </c>
      <c r="P1764" s="26"/>
      <c r="Q1764" s="22"/>
      <c r="R1764" s="24"/>
      <c r="S1764" s="24"/>
      <c r="T1764" s="24"/>
      <c r="U1764" s="24"/>
      <c r="V1764" s="24"/>
      <c r="W1764" s="22" t="s">
        <v>160</v>
      </c>
      <c r="X1764" s="4" t="str">
        <f>IF(Tabela2[[#This Row],[sigla]]="","",VLOOKUP(Tabela2[[#This Row],[sigla]],créditos_base!B:C,2,0))</f>
        <v>SERGIO LIMA/ARQUIVO DA EDITORA</v>
      </c>
      <c r="Y1764" s="23"/>
      <c r="Z1764" s="23" t="str">
        <f>Tabela2[[#This Row],[ilustrador]]</f>
        <v>SERGIO LIMA/ARQUIVO DA EDITORA</v>
      </c>
      <c r="AA1764" s="22"/>
      <c r="AB1764" s="20"/>
      <c r="AD1764" s="4" t="str">
        <f>"Pitanguá"</f>
        <v>Pitanguá</v>
      </c>
      <c r="AE1764" s="14" t="str">
        <f>"Matemática"</f>
        <v>Matemática</v>
      </c>
      <c r="AF1764" s="14"/>
    </row>
    <row r="1765" spans="1:32" x14ac:dyDescent="0.3">
      <c r="A1765" s="23" t="s">
        <v>3459</v>
      </c>
      <c r="B1765" s="20" t="s">
        <v>16</v>
      </c>
      <c r="C1765" s="20" t="s">
        <v>89</v>
      </c>
      <c r="D1765" s="20" t="s">
        <v>8</v>
      </c>
      <c r="E1765" s="22">
        <v>181</v>
      </c>
      <c r="F1765" s="22">
        <v>4</v>
      </c>
      <c r="G1765" s="22">
        <v>7</v>
      </c>
      <c r="H1765" s="22"/>
      <c r="I1765" s="23" t="s">
        <v>9</v>
      </c>
      <c r="J1765" s="23"/>
      <c r="K1765" s="22"/>
      <c r="L1765" s="22"/>
      <c r="M1765" s="23"/>
      <c r="N1765" s="23"/>
      <c r="O1765" s="26" t="s">
        <v>3460</v>
      </c>
      <c r="P1765" s="26"/>
      <c r="Q1765" s="22"/>
      <c r="R1765" s="24"/>
      <c r="S1765" s="24"/>
      <c r="T1765" s="24"/>
      <c r="U1765" s="24"/>
      <c r="V1765" s="24"/>
      <c r="W1765" s="22" t="s">
        <v>940</v>
      </c>
      <c r="X1765" s="4" t="str">
        <f>IF(Tabela2[[#This Row],[sigla]]="","",VLOOKUP(Tabela2[[#This Row],[sigla]],créditos_base!B:C,2,0))</f>
        <v>RONALDO LUCENA/ARQUIVO DA EDITORA</v>
      </c>
      <c r="Y1765" s="23"/>
      <c r="Z1765" s="23" t="str">
        <f>Tabela2[[#This Row],[ilustrador]]</f>
        <v>RONALDO LUCENA/ARQUIVO DA EDITORA</v>
      </c>
      <c r="AA1765" s="22"/>
      <c r="AB1765" s="20"/>
      <c r="AD1765" s="4" t="str">
        <f>"Pitanguá"</f>
        <v>Pitanguá</v>
      </c>
      <c r="AE1765" s="14" t="str">
        <f>"Matemática"</f>
        <v>Matemática</v>
      </c>
      <c r="AF1765" s="14"/>
    </row>
    <row r="1766" spans="1:32" ht="28.8" x14ac:dyDescent="0.3">
      <c r="A1766" s="23" t="s">
        <v>4232</v>
      </c>
      <c r="B1766" s="20" t="s">
        <v>135</v>
      </c>
      <c r="C1766" s="20" t="s">
        <v>7</v>
      </c>
      <c r="D1766" s="20" t="s">
        <v>8</v>
      </c>
      <c r="E1766" s="22">
        <v>220</v>
      </c>
      <c r="F1766" s="22">
        <v>5</v>
      </c>
      <c r="G1766" s="22">
        <v>7</v>
      </c>
      <c r="H1766" s="22"/>
      <c r="I1766" s="23" t="s">
        <v>9</v>
      </c>
      <c r="J1766" s="23"/>
      <c r="K1766" s="22"/>
      <c r="L1766" s="22"/>
      <c r="M1766" s="23"/>
      <c r="N1766" s="23"/>
      <c r="O1766" s="26" t="s">
        <v>4233</v>
      </c>
      <c r="P1766" s="26"/>
      <c r="Q1766" s="22"/>
      <c r="R1766" s="24"/>
      <c r="S1766" s="24"/>
      <c r="T1766" s="24"/>
      <c r="U1766" s="24"/>
      <c r="V1766" s="24"/>
      <c r="W1766" s="22" t="s">
        <v>327</v>
      </c>
      <c r="X1766" s="4" t="str">
        <f>IF(Tabela2[[#This Row],[sigla]]="","",VLOOKUP(Tabela2[[#This Row],[sigla]],créditos_base!B:C,2,0))</f>
        <v>RAFAEL LAM/ARQUIVO DA EDITORA</v>
      </c>
      <c r="Y1766" s="23"/>
      <c r="Z1766" s="23" t="str">
        <f>Tabela2[[#This Row],[ilustrador]]</f>
        <v>RAFAEL LAM/ARQUIVO DA EDITORA</v>
      </c>
      <c r="AA1766" s="22"/>
      <c r="AB1766" s="20"/>
      <c r="AD1766" s="4" t="str">
        <f>"Pitanguá"</f>
        <v>Pitanguá</v>
      </c>
      <c r="AE1766" s="14" t="str">
        <f>"Matemática"</f>
        <v>Matemática</v>
      </c>
      <c r="AF1766" s="14"/>
    </row>
    <row r="1767" spans="1:32" x14ac:dyDescent="0.3">
      <c r="A1767" s="23" t="s">
        <v>2340</v>
      </c>
      <c r="B1767" s="20" t="s">
        <v>6</v>
      </c>
      <c r="C1767" s="20" t="s">
        <v>7</v>
      </c>
      <c r="D1767" s="20" t="s">
        <v>8</v>
      </c>
      <c r="E1767" s="22">
        <v>138</v>
      </c>
      <c r="F1767" s="22">
        <v>3</v>
      </c>
      <c r="G1767" s="22">
        <v>7</v>
      </c>
      <c r="H1767" s="22"/>
      <c r="I1767" s="23" t="s">
        <v>9</v>
      </c>
      <c r="J1767" s="23"/>
      <c r="K1767" s="22"/>
      <c r="L1767" s="22"/>
      <c r="M1767" s="23"/>
      <c r="N1767" s="23"/>
      <c r="O1767" s="26" t="s">
        <v>2341</v>
      </c>
      <c r="P1767" s="26" t="s">
        <v>11</v>
      </c>
      <c r="Q1767" s="22"/>
      <c r="R1767" s="24"/>
      <c r="S1767" s="24"/>
      <c r="T1767" s="24"/>
      <c r="U1767" s="24"/>
      <c r="V1767" s="24"/>
      <c r="W1767" s="22" t="s">
        <v>230</v>
      </c>
      <c r="X1767" s="4" t="str">
        <f>IF(Tabela2[[#This Row],[sigla]]="","",VLOOKUP(Tabela2[[#This Row],[sigla]],créditos_base!B:C,2,0))</f>
        <v>RAFAEL L. GAION/ARQUIVO DA EDITORA</v>
      </c>
      <c r="Y1767" s="23"/>
      <c r="Z1767" s="23" t="str">
        <f>Tabela2[[#This Row],[ilustrador]]</f>
        <v>RAFAEL L. GAION/ARQUIVO DA EDITORA</v>
      </c>
      <c r="AA1767" s="22"/>
      <c r="AB1767" s="20"/>
      <c r="AD1767" s="4" t="str">
        <f>"Pitanguá"</f>
        <v>Pitanguá</v>
      </c>
      <c r="AE1767" s="14" t="str">
        <f>"Matemática"</f>
        <v>Matemática</v>
      </c>
      <c r="AF1767" s="14"/>
    </row>
    <row r="1768" spans="1:32" ht="28.8" x14ac:dyDescent="0.3">
      <c r="A1768" s="23" t="s">
        <v>3461</v>
      </c>
      <c r="B1768" s="20" t="s">
        <v>16</v>
      </c>
      <c r="C1768" s="20" t="s">
        <v>89</v>
      </c>
      <c r="D1768" s="20" t="s">
        <v>8</v>
      </c>
      <c r="E1768" s="22">
        <v>181</v>
      </c>
      <c r="F1768" s="22">
        <v>4</v>
      </c>
      <c r="G1768" s="22">
        <v>7</v>
      </c>
      <c r="H1768" s="22"/>
      <c r="I1768" s="23" t="s">
        <v>9</v>
      </c>
      <c r="J1768" s="23"/>
      <c r="K1768" s="22"/>
      <c r="L1768" s="22"/>
      <c r="M1768" s="23"/>
      <c r="N1768" s="23"/>
      <c r="O1768" s="26" t="s">
        <v>3462</v>
      </c>
      <c r="P1768" s="26"/>
      <c r="Q1768" s="22"/>
      <c r="R1768" s="24"/>
      <c r="S1768" s="24"/>
      <c r="T1768" s="24"/>
      <c r="U1768" s="24"/>
      <c r="V1768" s="24"/>
      <c r="W1768" s="22" t="s">
        <v>940</v>
      </c>
      <c r="X1768" s="4" t="str">
        <f>IF(Tabela2[[#This Row],[sigla]]="","",VLOOKUP(Tabela2[[#This Row],[sigla]],créditos_base!B:C,2,0))</f>
        <v>RONALDO LUCENA/ARQUIVO DA EDITORA</v>
      </c>
      <c r="Y1768" s="23"/>
      <c r="Z1768" s="23" t="str">
        <f>Tabela2[[#This Row],[ilustrador]]</f>
        <v>RONALDO LUCENA/ARQUIVO DA EDITORA</v>
      </c>
      <c r="AA1768" s="22"/>
      <c r="AB1768" s="20"/>
      <c r="AD1768" s="4" t="str">
        <f>"Pitanguá"</f>
        <v>Pitanguá</v>
      </c>
      <c r="AE1768" s="14" t="str">
        <f>"Matemática"</f>
        <v>Matemática</v>
      </c>
      <c r="AF1768" s="14"/>
    </row>
    <row r="1769" spans="1:32" ht="28.8" x14ac:dyDescent="0.3">
      <c r="A1769" s="23" t="s">
        <v>4234</v>
      </c>
      <c r="B1769" s="20" t="s">
        <v>135</v>
      </c>
      <c r="C1769" s="20" t="s">
        <v>7</v>
      </c>
      <c r="D1769" s="20" t="s">
        <v>8</v>
      </c>
      <c r="E1769" s="22">
        <v>221</v>
      </c>
      <c r="F1769" s="22">
        <v>5</v>
      </c>
      <c r="G1769" s="22">
        <v>7</v>
      </c>
      <c r="H1769" s="22"/>
      <c r="I1769" s="23" t="s">
        <v>9</v>
      </c>
      <c r="J1769" s="23"/>
      <c r="K1769" s="22"/>
      <c r="L1769" s="22"/>
      <c r="M1769" s="23"/>
      <c r="N1769" s="23"/>
      <c r="O1769" s="26" t="s">
        <v>4235</v>
      </c>
      <c r="P1769" s="26"/>
      <c r="Q1769" s="22"/>
      <c r="R1769" s="24"/>
      <c r="S1769" s="24"/>
      <c r="T1769" s="24"/>
      <c r="U1769" s="24"/>
      <c r="V1769" s="24"/>
      <c r="W1769" s="22" t="s">
        <v>87</v>
      </c>
      <c r="X1769" s="4" t="str">
        <f>IF(Tabela2[[#This Row],[sigla]]="","",VLOOKUP(Tabela2[[#This Row],[sigla]],créditos_base!B:C,2,0))</f>
        <v>CHRIS BORGES/ARQUIVO DA EDITORA</v>
      </c>
      <c r="Y1769" s="23"/>
      <c r="Z1769" s="23" t="str">
        <f>Tabela2[[#This Row],[ilustrador]]</f>
        <v>CHRIS BORGES/ARQUIVO DA EDITORA</v>
      </c>
      <c r="AA1769" s="22"/>
      <c r="AB1769" s="20"/>
      <c r="AD1769" s="4" t="str">
        <f>"Pitanguá"</f>
        <v>Pitanguá</v>
      </c>
      <c r="AE1769" s="14" t="str">
        <f>"Matemática"</f>
        <v>Matemática</v>
      </c>
      <c r="AF1769" s="14"/>
    </row>
    <row r="1770" spans="1:32" ht="28.8" x14ac:dyDescent="0.3">
      <c r="A1770" s="23" t="s">
        <v>3463</v>
      </c>
      <c r="B1770" s="20" t="s">
        <v>16</v>
      </c>
      <c r="C1770" s="20" t="s">
        <v>89</v>
      </c>
      <c r="D1770" s="20" t="s">
        <v>8</v>
      </c>
      <c r="E1770" s="22">
        <v>181</v>
      </c>
      <c r="F1770" s="22">
        <v>4</v>
      </c>
      <c r="G1770" s="22">
        <v>7</v>
      </c>
      <c r="H1770" s="22"/>
      <c r="I1770" s="23" t="s">
        <v>9</v>
      </c>
      <c r="J1770" s="23"/>
      <c r="K1770" s="22"/>
      <c r="L1770" s="22"/>
      <c r="M1770" s="23"/>
      <c r="N1770" s="23"/>
      <c r="O1770" s="26" t="s">
        <v>3464</v>
      </c>
      <c r="P1770" s="26"/>
      <c r="Q1770" s="22"/>
      <c r="R1770" s="24"/>
      <c r="S1770" s="24"/>
      <c r="T1770" s="24"/>
      <c r="U1770" s="24"/>
      <c r="V1770" s="24"/>
      <c r="W1770" s="22" t="s">
        <v>940</v>
      </c>
      <c r="X1770" s="4" t="str">
        <f>IF(Tabela2[[#This Row],[sigla]]="","",VLOOKUP(Tabela2[[#This Row],[sigla]],créditos_base!B:C,2,0))</f>
        <v>RONALDO LUCENA/ARQUIVO DA EDITORA</v>
      </c>
      <c r="Y1770" s="23"/>
      <c r="Z1770" s="23" t="str">
        <f>Tabela2[[#This Row],[ilustrador]]</f>
        <v>RONALDO LUCENA/ARQUIVO DA EDITORA</v>
      </c>
      <c r="AA1770" s="22"/>
      <c r="AB1770" s="20"/>
      <c r="AD1770" s="4" t="str">
        <f>"Pitanguá"</f>
        <v>Pitanguá</v>
      </c>
      <c r="AE1770" s="14" t="str">
        <f>"Matemática"</f>
        <v>Matemática</v>
      </c>
      <c r="AF1770" s="14"/>
    </row>
    <row r="1771" spans="1:32" ht="28.8" x14ac:dyDescent="0.3">
      <c r="A1771" s="23" t="s">
        <v>4236</v>
      </c>
      <c r="B1771" s="20" t="s">
        <v>135</v>
      </c>
      <c r="C1771" s="20" t="s">
        <v>7</v>
      </c>
      <c r="D1771" s="20" t="s">
        <v>8</v>
      </c>
      <c r="E1771" s="22">
        <v>221</v>
      </c>
      <c r="F1771" s="22">
        <v>5</v>
      </c>
      <c r="G1771" s="22">
        <v>7</v>
      </c>
      <c r="H1771" s="22"/>
      <c r="I1771" s="23" t="s">
        <v>9</v>
      </c>
      <c r="J1771" s="23"/>
      <c r="K1771" s="22"/>
      <c r="L1771" s="22"/>
      <c r="M1771" s="23"/>
      <c r="N1771" s="23"/>
      <c r="O1771" s="26" t="s">
        <v>4237</v>
      </c>
      <c r="P1771" s="26"/>
      <c r="Q1771" s="22"/>
      <c r="R1771" s="24"/>
      <c r="S1771" s="24"/>
      <c r="T1771" s="24"/>
      <c r="U1771" s="24"/>
      <c r="V1771" s="24"/>
      <c r="W1771" s="22" t="s">
        <v>87</v>
      </c>
      <c r="X1771" s="4" t="str">
        <f>IF(Tabela2[[#This Row],[sigla]]="","",VLOOKUP(Tabela2[[#This Row],[sigla]],créditos_base!B:C,2,0))</f>
        <v>CHRIS BORGES/ARQUIVO DA EDITORA</v>
      </c>
      <c r="Y1771" s="23"/>
      <c r="Z1771" s="23" t="str">
        <f>Tabela2[[#This Row],[ilustrador]]</f>
        <v>CHRIS BORGES/ARQUIVO DA EDITORA</v>
      </c>
      <c r="AA1771" s="22"/>
      <c r="AB1771" s="20"/>
      <c r="AD1771" s="4" t="str">
        <f>"Pitanguá"</f>
        <v>Pitanguá</v>
      </c>
      <c r="AE1771" s="14" t="str">
        <f>"Matemática"</f>
        <v>Matemática</v>
      </c>
      <c r="AF1771" s="14"/>
    </row>
    <row r="1772" spans="1:32" ht="28.8" x14ac:dyDescent="0.3">
      <c r="A1772" s="23" t="s">
        <v>555</v>
      </c>
      <c r="B1772" s="20" t="s">
        <v>6</v>
      </c>
      <c r="C1772" s="20" t="s">
        <v>89</v>
      </c>
      <c r="D1772" s="20" t="s">
        <v>8</v>
      </c>
      <c r="E1772" s="22">
        <v>129</v>
      </c>
      <c r="F1772" s="22">
        <v>1</v>
      </c>
      <c r="G1772" s="22">
        <v>7</v>
      </c>
      <c r="H1772" s="22"/>
      <c r="I1772" s="23" t="s">
        <v>9</v>
      </c>
      <c r="J1772" s="23"/>
      <c r="K1772" s="22"/>
      <c r="L1772" s="22"/>
      <c r="M1772" s="23"/>
      <c r="N1772" s="23"/>
      <c r="O1772" s="26" t="s">
        <v>556</v>
      </c>
      <c r="P1772" s="26" t="s">
        <v>11</v>
      </c>
      <c r="Q1772" s="22"/>
      <c r="R1772" s="24"/>
      <c r="S1772" s="24"/>
      <c r="T1772" s="24"/>
      <c r="U1772" s="24"/>
      <c r="V1772" s="24"/>
      <c r="W1772" s="22" t="s">
        <v>160</v>
      </c>
      <c r="X1772" s="4" t="str">
        <f>IF(Tabela2[[#This Row],[sigla]]="","",VLOOKUP(Tabela2[[#This Row],[sigla]],créditos_base!B:C,2,0))</f>
        <v>SERGIO LIMA/ARQUIVO DA EDITORA</v>
      </c>
      <c r="Y1772" s="23"/>
      <c r="Z1772" s="23" t="str">
        <f>Tabela2[[#This Row],[ilustrador]]</f>
        <v>SERGIO LIMA/ARQUIVO DA EDITORA</v>
      </c>
      <c r="AA1772" s="22"/>
      <c r="AB1772" s="20"/>
      <c r="AD1772" s="4" t="str">
        <f>"Pitanguá"</f>
        <v>Pitanguá</v>
      </c>
      <c r="AE1772" s="14" t="str">
        <f>"Matemática"</f>
        <v>Matemática</v>
      </c>
      <c r="AF1772" s="14"/>
    </row>
    <row r="1773" spans="1:32" ht="28.8" x14ac:dyDescent="0.3">
      <c r="A1773" s="30" t="s">
        <v>1609</v>
      </c>
      <c r="B1773" s="20" t="s">
        <v>16</v>
      </c>
      <c r="C1773" s="20" t="s">
        <v>7</v>
      </c>
      <c r="D1773" s="20" t="s">
        <v>8</v>
      </c>
      <c r="E1773" s="22">
        <v>118</v>
      </c>
      <c r="F1773" s="22">
        <v>2</v>
      </c>
      <c r="G1773" s="22">
        <v>7</v>
      </c>
      <c r="H1773" s="22"/>
      <c r="I1773" s="23" t="s">
        <v>9</v>
      </c>
      <c r="J1773" s="23"/>
      <c r="K1773" s="22"/>
      <c r="L1773" s="22"/>
      <c r="M1773" s="23"/>
      <c r="N1773" s="23"/>
      <c r="O1773" s="26" t="s">
        <v>1610</v>
      </c>
      <c r="P1773" s="26"/>
      <c r="Q1773" s="22"/>
      <c r="R1773" s="24"/>
      <c r="S1773" s="24"/>
      <c r="T1773" s="24"/>
      <c r="U1773" s="24"/>
      <c r="V1773" s="24"/>
      <c r="W1773" s="22" t="s">
        <v>87</v>
      </c>
      <c r="X1773" s="4" t="str">
        <f>IF(Tabela2[[#This Row],[sigla]]="","",VLOOKUP(Tabela2[[#This Row],[sigla]],créditos_base!B:C,2,0))</f>
        <v>CHRIS BORGES/ARQUIVO DA EDITORA</v>
      </c>
      <c r="Y1773" s="23"/>
      <c r="Z1773" s="23" t="str">
        <f>Tabela2[[#This Row],[ilustrador]]</f>
        <v>CHRIS BORGES/ARQUIVO DA EDITORA</v>
      </c>
      <c r="AA1773" s="22"/>
      <c r="AB1773" s="20"/>
      <c r="AD1773" s="4" t="str">
        <f>"Pitanguá"</f>
        <v>Pitanguá</v>
      </c>
      <c r="AE1773" s="14" t="str">
        <f>"Matemática"</f>
        <v>Matemática</v>
      </c>
      <c r="AF1773" s="14"/>
    </row>
    <row r="1774" spans="1:32" x14ac:dyDescent="0.3">
      <c r="A1774" s="23" t="s">
        <v>2344</v>
      </c>
      <c r="B1774" s="20" t="s">
        <v>16</v>
      </c>
      <c r="C1774" s="20" t="s">
        <v>7</v>
      </c>
      <c r="D1774" s="20" t="s">
        <v>8</v>
      </c>
      <c r="E1774" s="22">
        <v>139</v>
      </c>
      <c r="F1774" s="22">
        <v>3</v>
      </c>
      <c r="G1774" s="22">
        <v>7</v>
      </c>
      <c r="H1774" s="22"/>
      <c r="I1774" s="23" t="s">
        <v>33</v>
      </c>
      <c r="J1774" s="23"/>
      <c r="K1774" s="22"/>
      <c r="L1774" s="22"/>
      <c r="M1774" s="23"/>
      <c r="N1774" s="23"/>
      <c r="O1774" s="26" t="s">
        <v>2345</v>
      </c>
      <c r="P1774" s="26"/>
      <c r="Q1774" s="22">
        <v>130</v>
      </c>
      <c r="R1774" s="24">
        <v>45863</v>
      </c>
      <c r="S1774" s="24">
        <v>45863</v>
      </c>
      <c r="T1774" s="24"/>
      <c r="U1774" s="24"/>
      <c r="V1774" s="24">
        <v>45863</v>
      </c>
      <c r="W1774" s="22" t="s">
        <v>230</v>
      </c>
      <c r="X1774" s="4" t="str">
        <f>IF(Tabela2[[#This Row],[sigla]]="","",VLOOKUP(Tabela2[[#This Row],[sigla]],créditos_base!B:C,2,0))</f>
        <v>RAFAEL L. GAION/ARQUIVO DA EDITORA</v>
      </c>
      <c r="Y1774" s="23" t="s">
        <v>152</v>
      </c>
      <c r="Z1774" s="23" t="s">
        <v>2346</v>
      </c>
      <c r="AA1774" s="22">
        <v>13</v>
      </c>
      <c r="AB1774" s="20" t="s">
        <v>153</v>
      </c>
      <c r="AC1774" s="20" t="s">
        <v>36</v>
      </c>
      <c r="AD1774" s="4" t="str">
        <f>"Pitanguá"</f>
        <v>Pitanguá</v>
      </c>
      <c r="AE1774" s="14" t="str">
        <f>"Matemática"</f>
        <v>Matemática</v>
      </c>
      <c r="AF1774" s="14"/>
    </row>
    <row r="1775" spans="1:32" ht="28.8" x14ac:dyDescent="0.3">
      <c r="A1775" s="23" t="s">
        <v>3465</v>
      </c>
      <c r="B1775" s="20" t="s">
        <v>16</v>
      </c>
      <c r="C1775" s="20" t="s">
        <v>89</v>
      </c>
      <c r="D1775" s="20" t="s">
        <v>8</v>
      </c>
      <c r="E1775" s="22">
        <v>181</v>
      </c>
      <c r="F1775" s="22">
        <v>4</v>
      </c>
      <c r="G1775" s="22">
        <v>7</v>
      </c>
      <c r="H1775" s="22"/>
      <c r="I1775" s="23" t="s">
        <v>9</v>
      </c>
      <c r="J1775" s="23"/>
      <c r="K1775" s="22"/>
      <c r="L1775" s="22"/>
      <c r="M1775" s="23"/>
      <c r="N1775" s="23"/>
      <c r="O1775" s="26" t="s">
        <v>3466</v>
      </c>
      <c r="P1775" s="26"/>
      <c r="Q1775" s="22"/>
      <c r="R1775" s="24"/>
      <c r="S1775" s="24"/>
      <c r="T1775" s="24"/>
      <c r="U1775" s="24"/>
      <c r="V1775" s="24"/>
      <c r="W1775" s="22" t="s">
        <v>940</v>
      </c>
      <c r="X1775" s="4" t="str">
        <f>IF(Tabela2[[#This Row],[sigla]]="","",VLOOKUP(Tabela2[[#This Row],[sigla]],créditos_base!B:C,2,0))</f>
        <v>RONALDO LUCENA/ARQUIVO DA EDITORA</v>
      </c>
      <c r="Y1775" s="23"/>
      <c r="Z1775" s="23" t="str">
        <f>Tabela2[[#This Row],[ilustrador]]</f>
        <v>RONALDO LUCENA/ARQUIVO DA EDITORA</v>
      </c>
      <c r="AA1775" s="22"/>
      <c r="AB1775" s="20"/>
      <c r="AD1775" s="4" t="str">
        <f>"Pitanguá"</f>
        <v>Pitanguá</v>
      </c>
      <c r="AE1775" s="14" t="str">
        <f>"Matemática"</f>
        <v>Matemática</v>
      </c>
      <c r="AF1775" s="14"/>
    </row>
    <row r="1776" spans="1:32" ht="28.8" x14ac:dyDescent="0.3">
      <c r="A1776" s="30" t="s">
        <v>1587</v>
      </c>
      <c r="B1776" s="20" t="s">
        <v>16</v>
      </c>
      <c r="C1776" s="20" t="s">
        <v>89</v>
      </c>
      <c r="D1776" s="20" t="s">
        <v>8</v>
      </c>
      <c r="E1776" s="22">
        <v>118</v>
      </c>
      <c r="F1776" s="22">
        <v>2</v>
      </c>
      <c r="G1776" s="22">
        <v>7</v>
      </c>
      <c r="H1776" s="22"/>
      <c r="I1776" s="23" t="s">
        <v>9</v>
      </c>
      <c r="J1776" s="23"/>
      <c r="K1776" s="22"/>
      <c r="L1776" s="22"/>
      <c r="M1776" s="23"/>
      <c r="N1776" s="23"/>
      <c r="O1776" s="26" t="s">
        <v>1588</v>
      </c>
      <c r="P1776" s="26"/>
      <c r="Q1776" s="22"/>
      <c r="R1776" s="24"/>
      <c r="S1776" s="24"/>
      <c r="T1776" s="24"/>
      <c r="U1776" s="24"/>
      <c r="V1776" s="24"/>
      <c r="W1776" s="22" t="s">
        <v>468</v>
      </c>
      <c r="X1776" s="4" t="str">
        <f>IF(Tabela2[[#This Row],[sigla]]="","",VLOOKUP(Tabela2[[#This Row],[sigla]],créditos_base!B:C,2,0))</f>
        <v>VER DOCUMENTO DE ILS. TÉCNICAS</v>
      </c>
      <c r="Y1776" s="23"/>
      <c r="Z1776" s="23" t="s">
        <v>661</v>
      </c>
      <c r="AA1776" s="22"/>
      <c r="AB1776" s="20"/>
      <c r="AD1776" s="4" t="str">
        <f>"Pitanguá"</f>
        <v>Pitanguá</v>
      </c>
      <c r="AE1776" s="14" t="str">
        <f>"Matemática"</f>
        <v>Matemática</v>
      </c>
      <c r="AF1776" s="14"/>
    </row>
    <row r="1777" spans="1:32" ht="43.2" x14ac:dyDescent="0.3">
      <c r="A1777" s="23" t="s">
        <v>2347</v>
      </c>
      <c r="B1777" s="20" t="s">
        <v>16</v>
      </c>
      <c r="C1777" s="20" t="s">
        <v>7</v>
      </c>
      <c r="D1777" s="20" t="s">
        <v>8</v>
      </c>
      <c r="E1777" s="22">
        <v>139</v>
      </c>
      <c r="F1777" s="22">
        <v>3</v>
      </c>
      <c r="G1777" s="22">
        <v>7</v>
      </c>
      <c r="H1777" s="22"/>
      <c r="I1777" s="23" t="s">
        <v>33</v>
      </c>
      <c r="J1777" s="23"/>
      <c r="K1777" s="22"/>
      <c r="L1777" s="22"/>
      <c r="M1777" s="23"/>
      <c r="N1777" s="23"/>
      <c r="O1777" s="26" t="s">
        <v>2348</v>
      </c>
      <c r="P1777" s="26"/>
      <c r="Q1777" s="22">
        <v>31</v>
      </c>
      <c r="R1777" s="24">
        <v>45758</v>
      </c>
      <c r="S1777" s="24">
        <v>45761</v>
      </c>
      <c r="T1777" s="24"/>
      <c r="U1777" s="24"/>
      <c r="V1777" s="24">
        <v>45763</v>
      </c>
      <c r="W1777" s="22" t="s">
        <v>230</v>
      </c>
      <c r="X1777" s="4" t="str">
        <f>IF(Tabela2[[#This Row],[sigla]]="","",VLOOKUP(Tabela2[[#This Row],[sigla]],créditos_base!B:C,2,0))</f>
        <v>RAFAEL L. GAION/ARQUIVO DA EDITORA</v>
      </c>
      <c r="Y1777" s="23" t="s">
        <v>188</v>
      </c>
      <c r="Z1777" s="23" t="str">
        <f>Tabela2[[#This Row],[ilustrador]]</f>
        <v>RAFAEL L. GAION/ARQUIVO DA EDITORA</v>
      </c>
      <c r="AA1777" s="22">
        <v>14</v>
      </c>
      <c r="AB1777" s="20" t="s">
        <v>153</v>
      </c>
      <c r="AC1777" s="20" t="s">
        <v>36</v>
      </c>
      <c r="AD1777" s="4" t="str">
        <f>"Pitanguá"</f>
        <v>Pitanguá</v>
      </c>
      <c r="AE1777" s="14" t="str">
        <f>"Matemática"</f>
        <v>Matemática</v>
      </c>
      <c r="AF1777" s="14"/>
    </row>
    <row r="1778" spans="1:32" ht="43.2" x14ac:dyDescent="0.3">
      <c r="A1778" s="23" t="s">
        <v>3467</v>
      </c>
      <c r="B1778" s="20" t="s">
        <v>16</v>
      </c>
      <c r="C1778" s="20" t="s">
        <v>89</v>
      </c>
      <c r="D1778" s="20" t="s">
        <v>8</v>
      </c>
      <c r="E1778" s="22">
        <v>181</v>
      </c>
      <c r="F1778" s="22">
        <v>4</v>
      </c>
      <c r="G1778" s="22">
        <v>7</v>
      </c>
      <c r="H1778" s="22"/>
      <c r="I1778" s="23" t="s">
        <v>9</v>
      </c>
      <c r="J1778" s="23"/>
      <c r="K1778" s="22"/>
      <c r="L1778" s="22"/>
      <c r="M1778" s="23"/>
      <c r="N1778" s="23"/>
      <c r="O1778" s="26" t="s">
        <v>3468</v>
      </c>
      <c r="P1778" s="26"/>
      <c r="Q1778" s="22"/>
      <c r="R1778" s="24"/>
      <c r="S1778" s="24"/>
      <c r="T1778" s="24"/>
      <c r="U1778" s="24"/>
      <c r="V1778" s="24"/>
      <c r="W1778" s="22" t="s">
        <v>940</v>
      </c>
      <c r="X1778" s="4" t="str">
        <f>IF(Tabela2[[#This Row],[sigla]]="","",VLOOKUP(Tabela2[[#This Row],[sigla]],créditos_base!B:C,2,0))</f>
        <v>RONALDO LUCENA/ARQUIVO DA EDITORA</v>
      </c>
      <c r="Y1778" s="23"/>
      <c r="Z1778" s="23" t="str">
        <f>Tabela2[[#This Row],[ilustrador]]</f>
        <v>RONALDO LUCENA/ARQUIVO DA EDITORA</v>
      </c>
      <c r="AA1778" s="22"/>
      <c r="AB1778" s="20"/>
      <c r="AD1778" s="4" t="str">
        <f>"Pitanguá"</f>
        <v>Pitanguá</v>
      </c>
      <c r="AE1778" s="14" t="str">
        <f>"Matemática"</f>
        <v>Matemática</v>
      </c>
      <c r="AF1778" s="14"/>
    </row>
    <row r="1779" spans="1:32" ht="43.2" x14ac:dyDescent="0.3">
      <c r="A1779" s="30" t="s">
        <v>1589</v>
      </c>
      <c r="B1779" s="20" t="s">
        <v>16</v>
      </c>
      <c r="C1779" s="20" t="s">
        <v>89</v>
      </c>
      <c r="D1779" s="20" t="s">
        <v>8</v>
      </c>
      <c r="E1779" s="22">
        <v>118</v>
      </c>
      <c r="F1779" s="22">
        <v>2</v>
      </c>
      <c r="G1779" s="22">
        <v>7</v>
      </c>
      <c r="H1779" s="22"/>
      <c r="I1779" s="23" t="s">
        <v>9</v>
      </c>
      <c r="J1779" s="23"/>
      <c r="K1779" s="22"/>
      <c r="L1779" s="22"/>
      <c r="M1779" s="23"/>
      <c r="N1779" s="23"/>
      <c r="O1779" s="26" t="s">
        <v>1590</v>
      </c>
      <c r="P1779" s="26"/>
      <c r="Q1779" s="22"/>
      <c r="R1779" s="24"/>
      <c r="S1779" s="24"/>
      <c r="T1779" s="24"/>
      <c r="U1779" s="24"/>
      <c r="V1779" s="24"/>
      <c r="W1779" s="22" t="s">
        <v>468</v>
      </c>
      <c r="X1779" s="4" t="str">
        <f>IF(Tabela2[[#This Row],[sigla]]="","",VLOOKUP(Tabela2[[#This Row],[sigla]],créditos_base!B:C,2,0))</f>
        <v>VER DOCUMENTO DE ILS. TÉCNICAS</v>
      </c>
      <c r="Y1779" s="23"/>
      <c r="Z1779" s="23" t="s">
        <v>661</v>
      </c>
      <c r="AA1779" s="22"/>
      <c r="AB1779" s="20"/>
      <c r="AD1779" s="4" t="str">
        <f>"Pitanguá"</f>
        <v>Pitanguá</v>
      </c>
      <c r="AE1779" s="14" t="str">
        <f>"Matemática"</f>
        <v>Matemática</v>
      </c>
      <c r="AF1779" s="14"/>
    </row>
    <row r="1780" spans="1:32" ht="43.2" x14ac:dyDescent="0.3">
      <c r="A1780" s="23" t="s">
        <v>2349</v>
      </c>
      <c r="B1780" s="20" t="s">
        <v>6</v>
      </c>
      <c r="C1780" s="20" t="s">
        <v>7</v>
      </c>
      <c r="D1780" s="20" t="s">
        <v>8</v>
      </c>
      <c r="E1780" s="22">
        <v>140</v>
      </c>
      <c r="F1780" s="22">
        <v>3</v>
      </c>
      <c r="G1780" s="22">
        <v>7</v>
      </c>
      <c r="H1780" s="22"/>
      <c r="I1780" s="23" t="s">
        <v>9</v>
      </c>
      <c r="J1780" s="23"/>
      <c r="K1780" s="22"/>
      <c r="L1780" s="22"/>
      <c r="M1780" s="23"/>
      <c r="N1780" s="23"/>
      <c r="O1780" s="26" t="s">
        <v>2350</v>
      </c>
      <c r="P1780" s="26" t="s">
        <v>11</v>
      </c>
      <c r="Q1780" s="22"/>
      <c r="R1780" s="24"/>
      <c r="S1780" s="24"/>
      <c r="T1780" s="24"/>
      <c r="U1780" s="24"/>
      <c r="V1780" s="24"/>
      <c r="W1780" s="22" t="s">
        <v>230</v>
      </c>
      <c r="X1780" s="4" t="str">
        <f>IF(Tabela2[[#This Row],[sigla]]="","",VLOOKUP(Tabela2[[#This Row],[sigla]],créditos_base!B:C,2,0))</f>
        <v>RAFAEL L. GAION/ARQUIVO DA EDITORA</v>
      </c>
      <c r="Y1780" s="23"/>
      <c r="Z1780" s="23" t="str">
        <f>Tabela2[[#This Row],[ilustrador]]</f>
        <v>RAFAEL L. GAION/ARQUIVO DA EDITORA</v>
      </c>
      <c r="AA1780" s="22"/>
      <c r="AB1780" s="20"/>
      <c r="AD1780" s="4" t="str">
        <f>"Pitanguá"</f>
        <v>Pitanguá</v>
      </c>
      <c r="AE1780" s="14" t="str">
        <f>"Matemática"</f>
        <v>Matemática</v>
      </c>
      <c r="AF1780" s="14"/>
    </row>
    <row r="1781" spans="1:32" ht="28.8" x14ac:dyDescent="0.3">
      <c r="A1781" s="23" t="s">
        <v>3469</v>
      </c>
      <c r="B1781" s="20" t="s">
        <v>16</v>
      </c>
      <c r="C1781" s="20" t="s">
        <v>89</v>
      </c>
      <c r="D1781" s="20" t="s">
        <v>8</v>
      </c>
      <c r="E1781" s="22">
        <v>181</v>
      </c>
      <c r="F1781" s="22">
        <v>4</v>
      </c>
      <c r="G1781" s="22">
        <v>7</v>
      </c>
      <c r="H1781" s="22"/>
      <c r="I1781" s="23" t="s">
        <v>9</v>
      </c>
      <c r="J1781" s="23"/>
      <c r="K1781" s="22"/>
      <c r="L1781" s="22"/>
      <c r="M1781" s="23"/>
      <c r="N1781" s="23"/>
      <c r="O1781" s="26" t="s">
        <v>3470</v>
      </c>
      <c r="P1781" s="26"/>
      <c r="Q1781" s="22"/>
      <c r="R1781" s="24"/>
      <c r="S1781" s="24"/>
      <c r="T1781" s="24"/>
      <c r="U1781" s="24"/>
      <c r="V1781" s="24"/>
      <c r="W1781" s="22" t="s">
        <v>940</v>
      </c>
      <c r="X1781" s="4" t="str">
        <f>IF(Tabela2[[#This Row],[sigla]]="","",VLOOKUP(Tabela2[[#This Row],[sigla]],créditos_base!B:C,2,0))</f>
        <v>RONALDO LUCENA/ARQUIVO DA EDITORA</v>
      </c>
      <c r="Y1781" s="23"/>
      <c r="Z1781" s="23" t="str">
        <f>Tabela2[[#This Row],[ilustrador]]</f>
        <v>RONALDO LUCENA/ARQUIVO DA EDITORA</v>
      </c>
      <c r="AA1781" s="22"/>
      <c r="AB1781" s="20"/>
      <c r="AD1781" s="4" t="str">
        <f>"Pitanguá"</f>
        <v>Pitanguá</v>
      </c>
      <c r="AE1781" s="14" t="str">
        <f>"Matemática"</f>
        <v>Matemática</v>
      </c>
      <c r="AF1781" s="14"/>
    </row>
    <row r="1782" spans="1:32" ht="28.8" x14ac:dyDescent="0.3">
      <c r="A1782" s="23" t="s">
        <v>5697</v>
      </c>
      <c r="B1782" s="20" t="s">
        <v>135</v>
      </c>
      <c r="C1782" s="20" t="s">
        <v>7</v>
      </c>
      <c r="D1782" s="20" t="s">
        <v>8</v>
      </c>
      <c r="E1782" s="22">
        <v>202</v>
      </c>
      <c r="F1782" s="22">
        <v>5</v>
      </c>
      <c r="G1782" s="22">
        <v>7</v>
      </c>
      <c r="H1782" s="22"/>
      <c r="I1782" s="23" t="s">
        <v>33</v>
      </c>
      <c r="J1782" s="23"/>
      <c r="K1782" s="22"/>
      <c r="L1782" s="22"/>
      <c r="M1782" s="23"/>
      <c r="N1782" s="23"/>
      <c r="O1782" s="26" t="s">
        <v>5698</v>
      </c>
      <c r="P1782" s="26"/>
      <c r="Q1782" s="22">
        <v>140</v>
      </c>
      <c r="R1782" s="24">
        <v>45869</v>
      </c>
      <c r="S1782" s="24">
        <v>45876</v>
      </c>
      <c r="T1782" s="24"/>
      <c r="U1782" s="24"/>
      <c r="V1782" s="24">
        <v>45878</v>
      </c>
      <c r="W1782" s="22" t="s">
        <v>327</v>
      </c>
      <c r="X1782" s="4" t="str">
        <f>IF(Tabela2[[#This Row],[sigla]]="","",VLOOKUP(Tabela2[[#This Row],[sigla]],créditos_base!B:C,2,0))</f>
        <v>RAFAEL LAM/ARQUIVO DA EDITORA</v>
      </c>
      <c r="Y1782" s="23" t="s">
        <v>696</v>
      </c>
      <c r="Z1782" s="23" t="str">
        <f>Tabela2[[#This Row],[ilustrador]]</f>
        <v>RAFAEL LAM/ARQUIVO DA EDITORA</v>
      </c>
      <c r="AA1782" s="22">
        <v>13</v>
      </c>
      <c r="AB1782" s="20" t="s">
        <v>525</v>
      </c>
      <c r="AC1782" s="20" t="s">
        <v>36</v>
      </c>
      <c r="AD1782" s="4" t="str">
        <f>"Pitanguá"</f>
        <v>Pitanguá</v>
      </c>
      <c r="AE1782" s="14" t="str">
        <f>"Matemática"</f>
        <v>Matemática</v>
      </c>
      <c r="AF1782" s="14"/>
    </row>
    <row r="1783" spans="1:32" ht="28.8" x14ac:dyDescent="0.3">
      <c r="A1783" s="30" t="s">
        <v>1611</v>
      </c>
      <c r="B1783" s="20" t="s">
        <v>16</v>
      </c>
      <c r="C1783" s="20" t="s">
        <v>7</v>
      </c>
      <c r="D1783" s="20" t="s">
        <v>8</v>
      </c>
      <c r="E1783" s="22">
        <v>120</v>
      </c>
      <c r="F1783" s="22">
        <v>2</v>
      </c>
      <c r="G1783" s="22">
        <v>7</v>
      </c>
      <c r="H1783" s="22"/>
      <c r="I1783" s="23" t="s">
        <v>9</v>
      </c>
      <c r="J1783" s="23"/>
      <c r="K1783" s="22"/>
      <c r="L1783" s="22"/>
      <c r="M1783" s="23"/>
      <c r="N1783" s="23"/>
      <c r="O1783" s="26" t="s">
        <v>1612</v>
      </c>
      <c r="P1783" s="26"/>
      <c r="Q1783" s="22"/>
      <c r="R1783" s="24"/>
      <c r="S1783" s="24"/>
      <c r="T1783" s="24"/>
      <c r="U1783" s="24"/>
      <c r="V1783" s="24"/>
      <c r="W1783" s="22" t="s">
        <v>546</v>
      </c>
      <c r="X1783" s="4" t="str">
        <f>IF(Tabela2[[#This Row],[sigla]]="","",VLOOKUP(Tabela2[[#This Row],[sigla]],créditos_base!B:C,2,0))</f>
        <v>GUILHERME ARANEGA/ARQUIVO DA EDITORA</v>
      </c>
      <c r="Y1783" s="23"/>
      <c r="Z1783" s="23" t="str">
        <f>Tabela2[[#This Row],[ilustrador]]</f>
        <v>GUILHERME ARANEGA/ARQUIVO DA EDITORA</v>
      </c>
      <c r="AA1783" s="22"/>
      <c r="AB1783" s="20"/>
      <c r="AD1783" s="4" t="str">
        <f>"Pitanguá"</f>
        <v>Pitanguá</v>
      </c>
      <c r="AE1783" s="14" t="str">
        <f>"Matemática"</f>
        <v>Matemática</v>
      </c>
      <c r="AF1783" s="14"/>
    </row>
    <row r="1784" spans="1:32" ht="57.6" x14ac:dyDescent="0.3">
      <c r="A1784" s="23" t="s">
        <v>2351</v>
      </c>
      <c r="B1784" s="20" t="s">
        <v>16</v>
      </c>
      <c r="C1784" s="20" t="s">
        <v>7</v>
      </c>
      <c r="D1784" s="20" t="s">
        <v>8</v>
      </c>
      <c r="E1784" s="22">
        <v>141</v>
      </c>
      <c r="F1784" s="22">
        <v>3</v>
      </c>
      <c r="G1784" s="22">
        <v>7</v>
      </c>
      <c r="H1784" s="22"/>
      <c r="I1784" s="23" t="s">
        <v>9</v>
      </c>
      <c r="J1784" s="23"/>
      <c r="K1784" s="22"/>
      <c r="L1784" s="22"/>
      <c r="M1784" s="23"/>
      <c r="N1784" s="23"/>
      <c r="O1784" s="26" t="s">
        <v>2352</v>
      </c>
      <c r="P1784" s="26"/>
      <c r="Q1784" s="22"/>
      <c r="R1784" s="24"/>
      <c r="S1784" s="24"/>
      <c r="T1784" s="24"/>
      <c r="U1784" s="24"/>
      <c r="V1784" s="24"/>
      <c r="W1784" s="22" t="s">
        <v>460</v>
      </c>
      <c r="X1784" s="4" t="str">
        <f>IF(Tabela2[[#This Row],[sigla]]="","",VLOOKUP(Tabela2[[#This Row],[sigla]],créditos_base!B:C,2,0))</f>
        <v>CLAUDIA SOUZA/ARQUIVO DA EDITORA</v>
      </c>
      <c r="Y1784" s="23"/>
      <c r="Z1784" s="23" t="str">
        <f>Tabela2[[#This Row],[ilustrador]]</f>
        <v>CLAUDIA SOUZA/ARQUIVO DA EDITORA</v>
      </c>
      <c r="AA1784" s="22"/>
      <c r="AB1784" s="20"/>
      <c r="AD1784" s="4" t="str">
        <f>"Pitanguá"</f>
        <v>Pitanguá</v>
      </c>
      <c r="AE1784" s="14" t="str">
        <f>"Matemática"</f>
        <v>Matemática</v>
      </c>
      <c r="AF1784" s="14"/>
    </row>
    <row r="1785" spans="1:32" ht="28.8" x14ac:dyDescent="0.3">
      <c r="A1785" s="23" t="s">
        <v>3471</v>
      </c>
      <c r="B1785" s="20" t="s">
        <v>16</v>
      </c>
      <c r="C1785" s="20" t="s">
        <v>89</v>
      </c>
      <c r="D1785" s="20" t="s">
        <v>8</v>
      </c>
      <c r="E1785" s="22">
        <v>181</v>
      </c>
      <c r="F1785" s="22">
        <v>4</v>
      </c>
      <c r="G1785" s="22">
        <v>7</v>
      </c>
      <c r="H1785" s="22"/>
      <c r="I1785" s="23" t="s">
        <v>9</v>
      </c>
      <c r="J1785" s="23"/>
      <c r="K1785" s="22"/>
      <c r="L1785" s="22"/>
      <c r="M1785" s="23"/>
      <c r="N1785" s="23"/>
      <c r="O1785" s="26" t="s">
        <v>3472</v>
      </c>
      <c r="P1785" s="26"/>
      <c r="Q1785" s="22"/>
      <c r="R1785" s="24"/>
      <c r="S1785" s="24"/>
      <c r="T1785" s="24"/>
      <c r="U1785" s="24"/>
      <c r="V1785" s="24"/>
      <c r="W1785" s="22" t="s">
        <v>940</v>
      </c>
      <c r="X1785" s="4" t="str">
        <f>IF(Tabela2[[#This Row],[sigla]]="","",VLOOKUP(Tabela2[[#This Row],[sigla]],créditos_base!B:C,2,0))</f>
        <v>RONALDO LUCENA/ARQUIVO DA EDITORA</v>
      </c>
      <c r="Y1785" s="23"/>
      <c r="Z1785" s="23" t="str">
        <f>Tabela2[[#This Row],[ilustrador]]</f>
        <v>RONALDO LUCENA/ARQUIVO DA EDITORA</v>
      </c>
      <c r="AA1785" s="22"/>
      <c r="AB1785" s="20"/>
      <c r="AD1785" s="4" t="str">
        <f>"Pitanguá"</f>
        <v>Pitanguá</v>
      </c>
      <c r="AE1785" s="14" t="str">
        <f>"Matemática"</f>
        <v>Matemática</v>
      </c>
      <c r="AF1785" s="14"/>
    </row>
    <row r="1786" spans="1:32" ht="28.8" x14ac:dyDescent="0.3">
      <c r="A1786" s="23" t="s">
        <v>4238</v>
      </c>
      <c r="B1786" s="20" t="s">
        <v>135</v>
      </c>
      <c r="C1786" s="20" t="s">
        <v>7</v>
      </c>
      <c r="D1786" s="20" t="s">
        <v>8</v>
      </c>
      <c r="E1786" s="22">
        <v>224</v>
      </c>
      <c r="F1786" s="22">
        <v>5</v>
      </c>
      <c r="G1786" s="22">
        <v>7</v>
      </c>
      <c r="H1786" s="22"/>
      <c r="I1786" s="23" t="s">
        <v>33</v>
      </c>
      <c r="J1786" s="23"/>
      <c r="K1786" s="22"/>
      <c r="L1786" s="22"/>
      <c r="M1786" s="23"/>
      <c r="N1786" s="23"/>
      <c r="O1786" s="26" t="s">
        <v>4239</v>
      </c>
      <c r="P1786" s="26"/>
      <c r="Q1786" s="22">
        <v>140</v>
      </c>
      <c r="R1786" s="24">
        <v>45869</v>
      </c>
      <c r="S1786" s="24">
        <v>45876</v>
      </c>
      <c r="T1786" s="24"/>
      <c r="U1786" s="24"/>
      <c r="V1786" s="24">
        <v>45876</v>
      </c>
      <c r="W1786" s="22" t="s">
        <v>940</v>
      </c>
      <c r="X1786" s="4" t="str">
        <f>IF(Tabela2[[#This Row],[sigla]]="","",VLOOKUP(Tabela2[[#This Row],[sigla]],créditos_base!B:C,2,0))</f>
        <v>RONALDO LUCENA/ARQUIVO DA EDITORA</v>
      </c>
      <c r="Y1786" s="23" t="s">
        <v>524</v>
      </c>
      <c r="Z1786" s="23" t="str">
        <f>Tabela2[[#This Row],[ilustrador]]</f>
        <v>RONALDO LUCENA/ARQUIVO DA EDITORA</v>
      </c>
      <c r="AA1786" s="22">
        <v>13</v>
      </c>
      <c r="AB1786" s="20" t="s">
        <v>525</v>
      </c>
      <c r="AC1786" s="20" t="s">
        <v>36</v>
      </c>
      <c r="AD1786" s="4" t="str">
        <f>"Pitanguá"</f>
        <v>Pitanguá</v>
      </c>
      <c r="AE1786" s="14" t="str">
        <f>"Matemática"</f>
        <v>Matemática</v>
      </c>
      <c r="AF1786" s="14"/>
    </row>
    <row r="1787" spans="1:32" x14ac:dyDescent="0.3">
      <c r="A1787" s="30" t="s">
        <v>1591</v>
      </c>
      <c r="B1787" s="20" t="s">
        <v>522</v>
      </c>
      <c r="C1787" s="20" t="s">
        <v>7</v>
      </c>
      <c r="D1787" s="20" t="s">
        <v>8</v>
      </c>
      <c r="E1787" s="22">
        <v>189</v>
      </c>
      <c r="F1787" s="22">
        <v>2</v>
      </c>
      <c r="G1787" s="22">
        <v>7</v>
      </c>
      <c r="H1787" s="22"/>
      <c r="I1787" s="23" t="s">
        <v>33</v>
      </c>
      <c r="J1787" s="23"/>
      <c r="K1787" s="22"/>
      <c r="L1787" s="22"/>
      <c r="M1787" s="23"/>
      <c r="N1787" s="23"/>
      <c r="O1787" s="26" t="s">
        <v>1592</v>
      </c>
      <c r="P1787" s="26"/>
      <c r="Q1787" s="22">
        <v>66</v>
      </c>
      <c r="R1787" s="24">
        <v>45811</v>
      </c>
      <c r="S1787" s="24">
        <v>45812</v>
      </c>
      <c r="T1787" s="24"/>
      <c r="U1787" s="24"/>
      <c r="V1787" s="24">
        <v>45812</v>
      </c>
      <c r="W1787" s="22" t="s">
        <v>87</v>
      </c>
      <c r="X1787" s="4" t="str">
        <f>IF(Tabela2[[#This Row],[sigla]]="","",VLOOKUP(Tabela2[[#This Row],[sigla]],créditos_base!B:C,2,0))</f>
        <v>CHRIS BORGES/ARQUIVO DA EDITORA</v>
      </c>
      <c r="Y1787" s="23" t="s">
        <v>1139</v>
      </c>
      <c r="Z1787" s="23" t="str">
        <f>Tabela2[[#This Row],[ilustrador]]</f>
        <v>CHRIS BORGES/ARQUIVO DA EDITORA</v>
      </c>
      <c r="AA1787" s="22">
        <v>13</v>
      </c>
      <c r="AB1787" s="20" t="s">
        <v>1302</v>
      </c>
      <c r="AC1787" s="20" t="s">
        <v>36</v>
      </c>
      <c r="AD1787" s="4" t="str">
        <f>"Pitanguá"</f>
        <v>Pitanguá</v>
      </c>
      <c r="AE1787" s="14" t="str">
        <f>"Matemática"</f>
        <v>Matemática</v>
      </c>
      <c r="AF1787" s="14"/>
    </row>
    <row r="1788" spans="1:32" x14ac:dyDescent="0.3">
      <c r="A1788" s="23" t="s">
        <v>2353</v>
      </c>
      <c r="B1788" s="20" t="s">
        <v>6</v>
      </c>
      <c r="C1788" s="20" t="s">
        <v>7</v>
      </c>
      <c r="D1788" s="20" t="s">
        <v>8</v>
      </c>
      <c r="E1788" s="22">
        <v>141</v>
      </c>
      <c r="F1788" s="22">
        <v>3</v>
      </c>
      <c r="G1788" s="22">
        <v>7</v>
      </c>
      <c r="H1788" s="22"/>
      <c r="I1788" s="23" t="s">
        <v>9</v>
      </c>
      <c r="J1788" s="23"/>
      <c r="K1788" s="22"/>
      <c r="L1788" s="22"/>
      <c r="M1788" s="23"/>
      <c r="N1788" s="23"/>
      <c r="O1788" s="26" t="s">
        <v>2354</v>
      </c>
      <c r="P1788" s="26" t="s">
        <v>11</v>
      </c>
      <c r="Q1788" s="22"/>
      <c r="R1788" s="24"/>
      <c r="S1788" s="24"/>
      <c r="T1788" s="24"/>
      <c r="U1788" s="24"/>
      <c r="V1788" s="24"/>
      <c r="W1788" s="22" t="s">
        <v>160</v>
      </c>
      <c r="X1788" s="4" t="str">
        <f>IF(Tabela2[[#This Row],[sigla]]="","",VLOOKUP(Tabela2[[#This Row],[sigla]],créditos_base!B:C,2,0))</f>
        <v>SERGIO LIMA/ARQUIVO DA EDITORA</v>
      </c>
      <c r="Y1788" s="23"/>
      <c r="Z1788" s="23" t="str">
        <f>Tabela2[[#This Row],[ilustrador]]</f>
        <v>SERGIO LIMA/ARQUIVO DA EDITORA</v>
      </c>
      <c r="AA1788" s="22"/>
      <c r="AB1788" s="20"/>
      <c r="AD1788" s="4" t="str">
        <f>"Pitanguá"</f>
        <v>Pitanguá</v>
      </c>
      <c r="AE1788" s="14" t="str">
        <f>"Matemática"</f>
        <v>Matemática</v>
      </c>
      <c r="AF1788" s="14"/>
    </row>
    <row r="1789" spans="1:32" x14ac:dyDescent="0.3">
      <c r="A1789" s="23" t="s">
        <v>3473</v>
      </c>
      <c r="B1789" s="20" t="s">
        <v>16</v>
      </c>
      <c r="C1789" s="20" t="s">
        <v>7</v>
      </c>
      <c r="D1789" s="20" t="s">
        <v>8</v>
      </c>
      <c r="E1789" s="22">
        <v>181</v>
      </c>
      <c r="F1789" s="22">
        <v>4</v>
      </c>
      <c r="G1789" s="22">
        <v>7</v>
      </c>
      <c r="H1789" s="22"/>
      <c r="I1789" s="23" t="s">
        <v>9</v>
      </c>
      <c r="J1789" s="23"/>
      <c r="K1789" s="22"/>
      <c r="L1789" s="22"/>
      <c r="M1789" s="23"/>
      <c r="N1789" s="23"/>
      <c r="O1789" s="26" t="s">
        <v>3474</v>
      </c>
      <c r="P1789" s="26"/>
      <c r="Q1789" s="22"/>
      <c r="R1789" s="24"/>
      <c r="S1789" s="24"/>
      <c r="T1789" s="24"/>
      <c r="U1789" s="24"/>
      <c r="V1789" s="24"/>
      <c r="W1789" s="22" t="s">
        <v>20</v>
      </c>
      <c r="X1789" s="4" t="str">
        <f>IF(Tabela2[[#This Row],[sigla]]="","",VLOOKUP(Tabela2[[#This Row],[sigla]],créditos_base!B:C,2,0))</f>
        <v>SONIA HORN/ARQUIVO DA EDITORA</v>
      </c>
      <c r="Y1789" s="23"/>
      <c r="Z1789" s="23" t="str">
        <f>Tabela2[[#This Row],[ilustrador]]</f>
        <v>SONIA HORN/ARQUIVO DA EDITORA</v>
      </c>
      <c r="AA1789" s="22"/>
      <c r="AB1789" s="20"/>
      <c r="AD1789" s="4" t="str">
        <f>"Pitanguá"</f>
        <v>Pitanguá</v>
      </c>
      <c r="AE1789" s="14" t="str">
        <f>"Matemática"</f>
        <v>Matemática</v>
      </c>
      <c r="AF1789" s="14"/>
    </row>
    <row r="1790" spans="1:32" ht="57.6" x14ac:dyDescent="0.3">
      <c r="A1790" s="23" t="s">
        <v>5699</v>
      </c>
      <c r="B1790" s="20" t="s">
        <v>135</v>
      </c>
      <c r="C1790" s="20" t="s">
        <v>89</v>
      </c>
      <c r="D1790" s="20" t="s">
        <v>8</v>
      </c>
      <c r="E1790" s="22">
        <v>203</v>
      </c>
      <c r="F1790" s="22">
        <v>5</v>
      </c>
      <c r="G1790" s="22">
        <v>7</v>
      </c>
      <c r="H1790" s="22"/>
      <c r="I1790" s="23" t="s">
        <v>33</v>
      </c>
      <c r="J1790" s="23"/>
      <c r="K1790" s="22"/>
      <c r="L1790" s="22"/>
      <c r="M1790" s="23"/>
      <c r="N1790" s="23"/>
      <c r="O1790" s="26" t="s">
        <v>5700</v>
      </c>
      <c r="P1790" s="26"/>
      <c r="Q1790" s="22">
        <v>140</v>
      </c>
      <c r="R1790" s="24">
        <v>45869</v>
      </c>
      <c r="S1790" s="24">
        <v>45876</v>
      </c>
      <c r="T1790" s="24"/>
      <c r="U1790" s="24"/>
      <c r="V1790" s="24">
        <v>45876</v>
      </c>
      <c r="W1790" s="22" t="s">
        <v>3382</v>
      </c>
      <c r="X1790" s="4" t="str">
        <f>IF(Tabela2[[#This Row],[sigla]]="","",VLOOKUP(Tabela2[[#This Row],[sigla]],créditos_base!B:C,2,0))</f>
        <v>LEONARDO MARI/ARQUIVO DA EDITORA</v>
      </c>
      <c r="Y1790" s="23" t="s">
        <v>524</v>
      </c>
      <c r="Z1790" s="23" t="str">
        <f>Tabela2[[#This Row],[ilustrador]]</f>
        <v>LEONARDO MARI/ARQUIVO DA EDITORA</v>
      </c>
      <c r="AA1790" s="22">
        <v>13</v>
      </c>
      <c r="AB1790" s="20" t="s">
        <v>525</v>
      </c>
      <c r="AC1790" s="20" t="s">
        <v>36</v>
      </c>
      <c r="AD1790" s="4" t="str">
        <f>"Pitanguá"</f>
        <v>Pitanguá</v>
      </c>
      <c r="AE1790" s="14" t="str">
        <f>"Matemática"</f>
        <v>Matemática</v>
      </c>
      <c r="AF1790" s="14"/>
    </row>
    <row r="1791" spans="1:32" ht="57.6" x14ac:dyDescent="0.3">
      <c r="A1791" s="30" t="s">
        <v>1593</v>
      </c>
      <c r="B1791" s="20" t="s">
        <v>16</v>
      </c>
      <c r="C1791" s="20" t="s">
        <v>89</v>
      </c>
      <c r="D1791" s="20" t="s">
        <v>8</v>
      </c>
      <c r="E1791" s="22">
        <v>121</v>
      </c>
      <c r="F1791" s="22">
        <v>2</v>
      </c>
      <c r="G1791" s="22">
        <v>7</v>
      </c>
      <c r="H1791" s="22"/>
      <c r="I1791" s="23" t="s">
        <v>9</v>
      </c>
      <c r="J1791" s="23"/>
      <c r="K1791" s="22"/>
      <c r="L1791" s="22"/>
      <c r="M1791" s="23"/>
      <c r="N1791" s="23"/>
      <c r="O1791" s="26" t="s">
        <v>1594</v>
      </c>
      <c r="P1791" s="26"/>
      <c r="Q1791" s="22"/>
      <c r="R1791" s="24"/>
      <c r="S1791" s="24"/>
      <c r="T1791" s="24"/>
      <c r="U1791" s="24"/>
      <c r="V1791" s="24"/>
      <c r="W1791" s="22" t="s">
        <v>468</v>
      </c>
      <c r="X1791" s="4" t="str">
        <f>IF(Tabela2[[#This Row],[sigla]]="","",VLOOKUP(Tabela2[[#This Row],[sigla]],créditos_base!B:C,2,0))</f>
        <v>VER DOCUMENTO DE ILS. TÉCNICAS</v>
      </c>
      <c r="Y1791" s="23"/>
      <c r="Z1791" s="23" t="s">
        <v>661</v>
      </c>
      <c r="AA1791" s="22"/>
      <c r="AB1791" s="20"/>
      <c r="AD1791" s="4" t="str">
        <f>"Pitanguá"</f>
        <v>Pitanguá</v>
      </c>
      <c r="AE1791" s="14" t="str">
        <f>"Matemática"</f>
        <v>Matemática</v>
      </c>
      <c r="AF1791" s="14"/>
    </row>
    <row r="1792" spans="1:32" ht="28.8" x14ac:dyDescent="0.3">
      <c r="A1792" s="23" t="s">
        <v>2355</v>
      </c>
      <c r="B1792" s="20" t="s">
        <v>6</v>
      </c>
      <c r="C1792" s="20" t="s">
        <v>89</v>
      </c>
      <c r="D1792" s="20" t="s">
        <v>8</v>
      </c>
      <c r="E1792" s="22">
        <v>142</v>
      </c>
      <c r="F1792" s="22">
        <v>3</v>
      </c>
      <c r="G1792" s="22">
        <v>7</v>
      </c>
      <c r="H1792" s="22"/>
      <c r="I1792" s="23" t="s">
        <v>9</v>
      </c>
      <c r="J1792" s="23"/>
      <c r="K1792" s="22"/>
      <c r="L1792" s="22"/>
      <c r="M1792" s="23"/>
      <c r="N1792" s="23"/>
      <c r="O1792" s="26" t="s">
        <v>2356</v>
      </c>
      <c r="P1792" s="26" t="s">
        <v>11</v>
      </c>
      <c r="Q1792" s="22"/>
      <c r="R1792" s="24"/>
      <c r="S1792" s="24"/>
      <c r="T1792" s="24"/>
      <c r="U1792" s="24"/>
      <c r="V1792" s="24"/>
      <c r="W1792" s="22" t="s">
        <v>160</v>
      </c>
      <c r="X1792" s="4" t="str">
        <f>IF(Tabela2[[#This Row],[sigla]]="","",VLOOKUP(Tabela2[[#This Row],[sigla]],créditos_base!B:C,2,0))</f>
        <v>SERGIO LIMA/ARQUIVO DA EDITORA</v>
      </c>
      <c r="Y1792" s="23"/>
      <c r="Z1792" s="23" t="str">
        <f>Tabela2[[#This Row],[ilustrador]]</f>
        <v>SERGIO LIMA/ARQUIVO DA EDITORA</v>
      </c>
      <c r="AA1792" s="22"/>
      <c r="AB1792" s="20"/>
      <c r="AD1792" s="4" t="str">
        <f>"Pitanguá"</f>
        <v>Pitanguá</v>
      </c>
      <c r="AE1792" s="14" t="str">
        <f>"Matemática"</f>
        <v>Matemática</v>
      </c>
      <c r="AF1792" s="14"/>
    </row>
    <row r="1793" spans="1:32" ht="57.6" x14ac:dyDescent="0.3">
      <c r="A1793" s="23" t="s">
        <v>3475</v>
      </c>
      <c r="B1793" s="20" t="s">
        <v>16</v>
      </c>
      <c r="C1793" s="20" t="s">
        <v>89</v>
      </c>
      <c r="D1793" s="20" t="s">
        <v>8</v>
      </c>
      <c r="E1793" s="22">
        <v>182</v>
      </c>
      <c r="F1793" s="22">
        <v>4</v>
      </c>
      <c r="G1793" s="22">
        <v>7</v>
      </c>
      <c r="H1793" s="22"/>
      <c r="I1793" s="23" t="s">
        <v>33</v>
      </c>
      <c r="J1793" s="23"/>
      <c r="K1793" s="22"/>
      <c r="L1793" s="22"/>
      <c r="M1793" s="23"/>
      <c r="N1793" s="23"/>
      <c r="O1793" s="26" t="s">
        <v>3476</v>
      </c>
      <c r="P1793" s="26"/>
      <c r="Q1793" s="22">
        <v>50</v>
      </c>
      <c r="R1793" s="24">
        <v>45799</v>
      </c>
      <c r="S1793" s="24">
        <v>45806</v>
      </c>
      <c r="T1793" s="24"/>
      <c r="U1793" s="24"/>
      <c r="V1793" s="24">
        <v>45806</v>
      </c>
      <c r="W1793" s="22" t="s">
        <v>940</v>
      </c>
      <c r="X1793" s="4" t="str">
        <f>IF(Tabela2[[#This Row],[sigla]]="","",VLOOKUP(Tabela2[[#This Row],[sigla]],créditos_base!B:C,2,0))</f>
        <v>RONALDO LUCENA/ARQUIVO DA EDITORA</v>
      </c>
      <c r="Y1793" s="23" t="s">
        <v>1503</v>
      </c>
      <c r="Z1793" s="23" t="str">
        <f>Tabela2[[#This Row],[ilustrador]]</f>
        <v>RONALDO LUCENA/ARQUIVO DA EDITORA</v>
      </c>
      <c r="AA1793" s="22"/>
      <c r="AB1793" s="20" t="s">
        <v>41</v>
      </c>
      <c r="AC1793" s="20" t="s">
        <v>36</v>
      </c>
      <c r="AD1793" s="4" t="str">
        <f>"Pitanguá"</f>
        <v>Pitanguá</v>
      </c>
      <c r="AE1793" s="14" t="str">
        <f>"Matemática"</f>
        <v>Matemática</v>
      </c>
      <c r="AF1793" s="14"/>
    </row>
    <row r="1794" spans="1:32" ht="172.8" x14ac:dyDescent="0.3">
      <c r="A1794" s="23" t="s">
        <v>5701</v>
      </c>
      <c r="B1794" s="20" t="s">
        <v>135</v>
      </c>
      <c r="C1794" s="20" t="s">
        <v>89</v>
      </c>
      <c r="D1794" s="20" t="s">
        <v>8</v>
      </c>
      <c r="E1794" s="22">
        <v>203</v>
      </c>
      <c r="F1794" s="22">
        <v>5</v>
      </c>
      <c r="G1794" s="22">
        <v>7</v>
      </c>
      <c r="H1794" s="22"/>
      <c r="I1794" s="23" t="s">
        <v>33</v>
      </c>
      <c r="J1794" s="23"/>
      <c r="K1794" s="22"/>
      <c r="L1794" s="22"/>
      <c r="M1794" s="23"/>
      <c r="N1794" s="23"/>
      <c r="O1794" s="26" t="s">
        <v>5702</v>
      </c>
      <c r="P1794" s="26"/>
      <c r="Q1794" s="22">
        <v>140</v>
      </c>
      <c r="R1794" s="24">
        <v>45869</v>
      </c>
      <c r="S1794" s="24">
        <v>45876</v>
      </c>
      <c r="T1794" s="24"/>
      <c r="U1794" s="24"/>
      <c r="V1794" s="24">
        <v>45876</v>
      </c>
      <c r="W1794" s="22" t="s">
        <v>3382</v>
      </c>
      <c r="X1794" s="4" t="str">
        <f>IF(Tabela2[[#This Row],[sigla]]="","",VLOOKUP(Tabela2[[#This Row],[sigla]],créditos_base!B:C,2,0))</f>
        <v>LEONARDO MARI/ARQUIVO DA EDITORA</v>
      </c>
      <c r="Y1794" s="23" t="s">
        <v>524</v>
      </c>
      <c r="Z1794" s="23" t="str">
        <f>Tabela2[[#This Row],[ilustrador]]</f>
        <v>LEONARDO MARI/ARQUIVO DA EDITORA</v>
      </c>
      <c r="AA1794" s="22">
        <v>13</v>
      </c>
      <c r="AB1794" s="20" t="s">
        <v>525</v>
      </c>
      <c r="AC1794" s="20" t="s">
        <v>36</v>
      </c>
      <c r="AD1794" s="4" t="str">
        <f>"Pitanguá"</f>
        <v>Pitanguá</v>
      </c>
      <c r="AE1794" s="14" t="str">
        <f>"Matemática"</f>
        <v>Matemática</v>
      </c>
      <c r="AF1794" s="14"/>
    </row>
    <row r="1795" spans="1:32" ht="72" x14ac:dyDescent="0.3">
      <c r="A1795" s="30" t="s">
        <v>1595</v>
      </c>
      <c r="B1795" s="20" t="s">
        <v>16</v>
      </c>
      <c r="C1795" s="20" t="s">
        <v>89</v>
      </c>
      <c r="D1795" s="20" t="s">
        <v>8</v>
      </c>
      <c r="E1795" s="22">
        <v>121</v>
      </c>
      <c r="F1795" s="22">
        <v>2</v>
      </c>
      <c r="G1795" s="22">
        <v>7</v>
      </c>
      <c r="H1795" s="22"/>
      <c r="I1795" s="23" t="s">
        <v>9</v>
      </c>
      <c r="J1795" s="23"/>
      <c r="K1795" s="22"/>
      <c r="L1795" s="22"/>
      <c r="M1795" s="23"/>
      <c r="N1795" s="23"/>
      <c r="O1795" s="26" t="s">
        <v>1596</v>
      </c>
      <c r="P1795" s="26"/>
      <c r="Q1795" s="22"/>
      <c r="R1795" s="24"/>
      <c r="S1795" s="24"/>
      <c r="T1795" s="24"/>
      <c r="U1795" s="24"/>
      <c r="V1795" s="24"/>
      <c r="W1795" s="22" t="s">
        <v>468</v>
      </c>
      <c r="X1795" s="4" t="str">
        <f>IF(Tabela2[[#This Row],[sigla]]="","",VLOOKUP(Tabela2[[#This Row],[sigla]],créditos_base!B:C,2,0))</f>
        <v>VER DOCUMENTO DE ILS. TÉCNICAS</v>
      </c>
      <c r="Y1795" s="23"/>
      <c r="Z1795" s="23" t="s">
        <v>661</v>
      </c>
      <c r="AA1795" s="22"/>
      <c r="AB1795" s="20"/>
      <c r="AD1795" s="4" t="str">
        <f>"Pitanguá"</f>
        <v>Pitanguá</v>
      </c>
      <c r="AE1795" s="14" t="str">
        <f>"Matemática"</f>
        <v>Matemática</v>
      </c>
      <c r="AF1795" s="14"/>
    </row>
    <row r="1796" spans="1:32" ht="86.4" x14ac:dyDescent="0.3">
      <c r="A1796" s="23" t="s">
        <v>2357</v>
      </c>
      <c r="B1796" s="20" t="s">
        <v>6</v>
      </c>
      <c r="C1796" s="20" t="s">
        <v>89</v>
      </c>
      <c r="D1796" s="20" t="s">
        <v>8</v>
      </c>
      <c r="E1796" s="22">
        <v>142</v>
      </c>
      <c r="F1796" s="22">
        <v>3</v>
      </c>
      <c r="G1796" s="22">
        <v>7</v>
      </c>
      <c r="H1796" s="22"/>
      <c r="I1796" s="23" t="s">
        <v>9</v>
      </c>
      <c r="J1796" s="23"/>
      <c r="K1796" s="22"/>
      <c r="L1796" s="22"/>
      <c r="M1796" s="23"/>
      <c r="N1796" s="23"/>
      <c r="O1796" s="26" t="s">
        <v>2358</v>
      </c>
      <c r="P1796" s="26" t="s">
        <v>11</v>
      </c>
      <c r="Q1796" s="22"/>
      <c r="R1796" s="24"/>
      <c r="S1796" s="24"/>
      <c r="T1796" s="24"/>
      <c r="U1796" s="24"/>
      <c r="V1796" s="24"/>
      <c r="W1796" s="22" t="s">
        <v>160</v>
      </c>
      <c r="X1796" s="4" t="str">
        <f>IF(Tabela2[[#This Row],[sigla]]="","",VLOOKUP(Tabela2[[#This Row],[sigla]],créditos_base!B:C,2,0))</f>
        <v>SERGIO LIMA/ARQUIVO DA EDITORA</v>
      </c>
      <c r="Y1796" s="23"/>
      <c r="Z1796" s="23" t="str">
        <f>Tabela2[[#This Row],[ilustrador]]</f>
        <v>SERGIO LIMA/ARQUIVO DA EDITORA</v>
      </c>
      <c r="AA1796" s="22"/>
      <c r="AB1796" s="20"/>
      <c r="AD1796" s="4" t="str">
        <f>"Pitanguá"</f>
        <v>Pitanguá</v>
      </c>
      <c r="AE1796" s="14" t="str">
        <f>"Matemática"</f>
        <v>Matemática</v>
      </c>
      <c r="AF1796" s="14"/>
    </row>
    <row r="1797" spans="1:32" ht="86.4" x14ac:dyDescent="0.3">
      <c r="A1797" s="23" t="s">
        <v>3477</v>
      </c>
      <c r="B1797" s="20" t="s">
        <v>16</v>
      </c>
      <c r="C1797" s="20" t="s">
        <v>89</v>
      </c>
      <c r="D1797" s="20" t="s">
        <v>8</v>
      </c>
      <c r="E1797" s="22">
        <v>182</v>
      </c>
      <c r="F1797" s="22">
        <v>4</v>
      </c>
      <c r="G1797" s="22">
        <v>7</v>
      </c>
      <c r="H1797" s="22"/>
      <c r="I1797" s="23" t="s">
        <v>33</v>
      </c>
      <c r="J1797" s="23"/>
      <c r="K1797" s="22"/>
      <c r="L1797" s="22"/>
      <c r="M1797" s="23"/>
      <c r="N1797" s="23"/>
      <c r="O1797" s="26" t="s">
        <v>3478</v>
      </c>
      <c r="P1797" s="26"/>
      <c r="Q1797" s="22">
        <v>50</v>
      </c>
      <c r="R1797" s="24">
        <v>45799</v>
      </c>
      <c r="S1797" s="24">
        <v>45806</v>
      </c>
      <c r="T1797" s="24"/>
      <c r="U1797" s="24"/>
      <c r="V1797" s="24">
        <v>45806</v>
      </c>
      <c r="W1797" s="22" t="s">
        <v>940</v>
      </c>
      <c r="X1797" s="4" t="str">
        <f>IF(Tabela2[[#This Row],[sigla]]="","",VLOOKUP(Tabela2[[#This Row],[sigla]],créditos_base!B:C,2,0))</f>
        <v>RONALDO LUCENA/ARQUIVO DA EDITORA</v>
      </c>
      <c r="Y1797" s="23" t="s">
        <v>1503</v>
      </c>
      <c r="Z1797" s="23" t="str">
        <f>Tabela2[[#This Row],[ilustrador]]</f>
        <v>RONALDO LUCENA/ARQUIVO DA EDITORA</v>
      </c>
      <c r="AA1797" s="22"/>
      <c r="AB1797" t="s">
        <v>41</v>
      </c>
      <c r="AC1797" s="20" t="s">
        <v>36</v>
      </c>
      <c r="AD1797" s="4" t="str">
        <f>"Pitanguá"</f>
        <v>Pitanguá</v>
      </c>
      <c r="AE1797" s="14" t="str">
        <f>"Matemática"</f>
        <v>Matemática</v>
      </c>
      <c r="AF1797" s="14"/>
    </row>
    <row r="1798" spans="1:32" ht="216" x14ac:dyDescent="0.3">
      <c r="A1798" s="23" t="s">
        <v>5703</v>
      </c>
      <c r="B1798" s="20" t="s">
        <v>135</v>
      </c>
      <c r="C1798" s="20" t="s">
        <v>7</v>
      </c>
      <c r="D1798" s="20" t="s">
        <v>8</v>
      </c>
      <c r="E1798" s="22">
        <v>204</v>
      </c>
      <c r="F1798" s="22">
        <v>5</v>
      </c>
      <c r="G1798" s="22">
        <v>7</v>
      </c>
      <c r="H1798" s="22"/>
      <c r="I1798" s="23" t="s">
        <v>33</v>
      </c>
      <c r="J1798" s="23"/>
      <c r="K1798" s="22"/>
      <c r="L1798" s="22"/>
      <c r="M1798" s="23"/>
      <c r="N1798" s="23"/>
      <c r="O1798" s="26" t="s">
        <v>5704</v>
      </c>
      <c r="P1798" s="26"/>
      <c r="Q1798" s="22">
        <v>140</v>
      </c>
      <c r="R1798" s="24">
        <v>45869</v>
      </c>
      <c r="S1798" s="24">
        <v>45876</v>
      </c>
      <c r="T1798" s="24"/>
      <c r="U1798" s="24"/>
      <c r="V1798" s="24">
        <v>45876</v>
      </c>
      <c r="W1798" s="22" t="s">
        <v>806</v>
      </c>
      <c r="X1798" s="4" t="str">
        <f>IF(Tabela2[[#This Row],[sigla]]="","",VLOOKUP(Tabela2[[#This Row],[sigla]],créditos_base!B:C,2,0))</f>
        <v>MARCOS MACHADO/ARQUIVO DA EDITORA</v>
      </c>
      <c r="Y1798" s="23" t="s">
        <v>524</v>
      </c>
      <c r="Z1798" s="23" t="str">
        <f>Tabela2[[#This Row],[ilustrador]]</f>
        <v>MARCOS MACHADO/ARQUIVO DA EDITORA</v>
      </c>
      <c r="AA1798" s="22">
        <v>13</v>
      </c>
      <c r="AB1798" s="20" t="s">
        <v>525</v>
      </c>
      <c r="AC1798" s="20" t="s">
        <v>36</v>
      </c>
      <c r="AD1798" s="4" t="str">
        <f>"Pitanguá"</f>
        <v>Pitanguá</v>
      </c>
      <c r="AE1798" s="14" t="str">
        <f>"Matemática"</f>
        <v>Matemática</v>
      </c>
      <c r="AF1798" s="14"/>
    </row>
    <row r="1799" spans="1:32" ht="28.8" x14ac:dyDescent="0.3">
      <c r="A1799" s="30" t="s">
        <v>1597</v>
      </c>
      <c r="B1799" s="20" t="s">
        <v>16</v>
      </c>
      <c r="C1799" s="20" t="s">
        <v>89</v>
      </c>
      <c r="D1799" s="20" t="s">
        <v>8</v>
      </c>
      <c r="E1799" s="22">
        <v>121</v>
      </c>
      <c r="F1799" s="22">
        <v>2</v>
      </c>
      <c r="G1799" s="22">
        <v>7</v>
      </c>
      <c r="H1799" s="22"/>
      <c r="I1799" s="23" t="s">
        <v>9</v>
      </c>
      <c r="J1799" s="23"/>
      <c r="K1799" s="22"/>
      <c r="L1799" s="22"/>
      <c r="M1799" s="23"/>
      <c r="N1799" s="23"/>
      <c r="O1799" s="26" t="s">
        <v>1598</v>
      </c>
      <c r="P1799" s="26"/>
      <c r="Q1799" s="22"/>
      <c r="R1799" s="24"/>
      <c r="S1799" s="24"/>
      <c r="T1799" s="24"/>
      <c r="U1799" s="24"/>
      <c r="V1799" s="24"/>
      <c r="W1799" s="22" t="s">
        <v>468</v>
      </c>
      <c r="X1799" s="4" t="str">
        <f>IF(Tabela2[[#This Row],[sigla]]="","",VLOOKUP(Tabela2[[#This Row],[sigla]],créditos_base!B:C,2,0))</f>
        <v>VER DOCUMENTO DE ILS. TÉCNICAS</v>
      </c>
      <c r="Y1799" s="23"/>
      <c r="Z1799" s="23" t="s">
        <v>661</v>
      </c>
      <c r="AA1799" s="22"/>
      <c r="AB1799" s="20"/>
      <c r="AD1799" s="4" t="str">
        <f>"Pitanguá"</f>
        <v>Pitanguá</v>
      </c>
      <c r="AE1799" s="14" t="str">
        <f>"Matemática"</f>
        <v>Matemática</v>
      </c>
      <c r="AF1799" s="14"/>
    </row>
    <row r="1800" spans="1:32" ht="43.2" x14ac:dyDescent="0.3">
      <c r="A1800" s="23" t="s">
        <v>2359</v>
      </c>
      <c r="B1800" s="20" t="s">
        <v>16</v>
      </c>
      <c r="C1800" s="20" t="s">
        <v>89</v>
      </c>
      <c r="D1800" s="20" t="s">
        <v>8</v>
      </c>
      <c r="E1800" s="22">
        <v>178</v>
      </c>
      <c r="F1800" s="22">
        <v>3</v>
      </c>
      <c r="G1800" s="22">
        <v>7</v>
      </c>
      <c r="H1800" s="22"/>
      <c r="I1800" s="23" t="s">
        <v>33</v>
      </c>
      <c r="J1800" s="23"/>
      <c r="K1800" s="22"/>
      <c r="L1800" s="22"/>
      <c r="M1800" s="23"/>
      <c r="N1800" s="23"/>
      <c r="O1800" s="26" t="s">
        <v>2360</v>
      </c>
      <c r="P1800" s="26"/>
      <c r="Q1800" s="22">
        <v>82</v>
      </c>
      <c r="R1800" s="24">
        <v>45829</v>
      </c>
      <c r="S1800" s="24">
        <v>45833</v>
      </c>
      <c r="T1800" s="24"/>
      <c r="U1800" s="24"/>
      <c r="V1800" s="24">
        <v>45833</v>
      </c>
      <c r="W1800" s="22" t="s">
        <v>160</v>
      </c>
      <c r="X1800" s="4" t="str">
        <f>IF(Tabela2[[#This Row],[sigla]]="","",VLOOKUP(Tabela2[[#This Row],[sigla]],créditos_base!B:C,2,0))</f>
        <v>SERGIO LIMA/ARQUIVO DA EDITORA</v>
      </c>
      <c r="Y1800" s="23" t="s">
        <v>880</v>
      </c>
      <c r="Z1800" s="23" t="str">
        <f>Tabela2[[#This Row],[ilustrador]]</f>
        <v>SERGIO LIMA/ARQUIVO DA EDITORA</v>
      </c>
      <c r="AA1800" s="22">
        <v>13</v>
      </c>
      <c r="AB1800" s="20" t="s">
        <v>244</v>
      </c>
      <c r="AC1800" s="20" t="s">
        <v>36</v>
      </c>
      <c r="AD1800" s="4" t="str">
        <f>"Pitanguá"</f>
        <v>Pitanguá</v>
      </c>
      <c r="AE1800" s="14" t="str">
        <f>"Matemática"</f>
        <v>Matemática</v>
      </c>
      <c r="AF1800" s="14"/>
    </row>
    <row r="1801" spans="1:32" ht="72" x14ac:dyDescent="0.3">
      <c r="A1801" s="23" t="s">
        <v>3479</v>
      </c>
      <c r="B1801" s="20" t="s">
        <v>16</v>
      </c>
      <c r="C1801" s="20" t="s">
        <v>89</v>
      </c>
      <c r="D1801" s="20" t="s">
        <v>8</v>
      </c>
      <c r="E1801" s="22">
        <v>182</v>
      </c>
      <c r="F1801" s="22">
        <v>4</v>
      </c>
      <c r="G1801" s="22">
        <v>7</v>
      </c>
      <c r="H1801" s="22"/>
      <c r="I1801" s="23" t="s">
        <v>33</v>
      </c>
      <c r="J1801" s="23"/>
      <c r="K1801" s="22"/>
      <c r="L1801" s="22"/>
      <c r="M1801" s="23"/>
      <c r="N1801" s="23"/>
      <c r="O1801" s="26" t="s">
        <v>3480</v>
      </c>
      <c r="P1801" s="26"/>
      <c r="Q1801" s="22">
        <v>50</v>
      </c>
      <c r="R1801" s="24">
        <v>45799</v>
      </c>
      <c r="S1801" s="24">
        <v>45806</v>
      </c>
      <c r="T1801" s="24"/>
      <c r="U1801" s="24"/>
      <c r="V1801" s="24">
        <v>45806</v>
      </c>
      <c r="W1801" s="22" t="s">
        <v>940</v>
      </c>
      <c r="X1801" s="4" t="str">
        <f>IF(Tabela2[[#This Row],[sigla]]="","",VLOOKUP(Tabela2[[#This Row],[sigla]],créditos_base!B:C,2,0))</f>
        <v>RONALDO LUCENA/ARQUIVO DA EDITORA</v>
      </c>
      <c r="Y1801" s="23" t="s">
        <v>1503</v>
      </c>
      <c r="Z1801" s="23" t="str">
        <f>Tabela2[[#This Row],[ilustrador]]</f>
        <v>RONALDO LUCENA/ARQUIVO DA EDITORA</v>
      </c>
      <c r="AA1801" s="22"/>
      <c r="AB1801" t="s">
        <v>41</v>
      </c>
      <c r="AC1801" s="20" t="s">
        <v>36</v>
      </c>
      <c r="AD1801" s="4" t="str">
        <f>"Pitanguá"</f>
        <v>Pitanguá</v>
      </c>
      <c r="AE1801" s="14" t="str">
        <f>"Matemática"</f>
        <v>Matemática</v>
      </c>
      <c r="AF1801" s="14"/>
    </row>
    <row r="1802" spans="1:32" x14ac:dyDescent="0.3">
      <c r="A1802" s="23" t="s">
        <v>5705</v>
      </c>
      <c r="B1802" s="20" t="s">
        <v>135</v>
      </c>
      <c r="C1802" s="20" t="s">
        <v>89</v>
      </c>
      <c r="D1802" s="20" t="s">
        <v>8</v>
      </c>
      <c r="E1802" s="22">
        <v>204</v>
      </c>
      <c r="F1802" s="22">
        <v>5</v>
      </c>
      <c r="G1802" s="22">
        <v>7</v>
      </c>
      <c r="H1802" s="22"/>
      <c r="I1802" s="23" t="s">
        <v>33</v>
      </c>
      <c r="J1802" s="23"/>
      <c r="K1802" s="22"/>
      <c r="L1802" s="22"/>
      <c r="M1802" s="23"/>
      <c r="N1802" s="23"/>
      <c r="O1802" s="26" t="s">
        <v>5706</v>
      </c>
      <c r="P1802" s="26"/>
      <c r="Q1802" s="22">
        <v>140</v>
      </c>
      <c r="R1802" s="24">
        <v>45869</v>
      </c>
      <c r="S1802" s="24">
        <v>45876</v>
      </c>
      <c r="T1802" s="24"/>
      <c r="U1802" s="24"/>
      <c r="V1802" s="24">
        <v>45876</v>
      </c>
      <c r="W1802" s="22" t="s">
        <v>356</v>
      </c>
      <c r="X1802" s="4" t="str">
        <f>IF(Tabela2[[#This Row],[sigla]]="","",VLOOKUP(Tabela2[[#This Row],[sigla]],créditos_base!B:C,2,0))</f>
        <v>CAMILA CARMONA/ARQUIVO DA EDITORA</v>
      </c>
      <c r="Y1802" s="23" t="s">
        <v>524</v>
      </c>
      <c r="Z1802" s="23" t="str">
        <f>Tabela2[[#This Row],[ilustrador]]</f>
        <v>CAMILA CARMONA/ARQUIVO DA EDITORA</v>
      </c>
      <c r="AA1802" s="22">
        <v>13</v>
      </c>
      <c r="AB1802" s="20" t="s">
        <v>525</v>
      </c>
      <c r="AC1802" s="20" t="s">
        <v>36</v>
      </c>
      <c r="AD1802" s="4" t="str">
        <f>"Pitanguá"</f>
        <v>Pitanguá</v>
      </c>
      <c r="AE1802" s="14" t="str">
        <f>"Matemática"</f>
        <v>Matemática</v>
      </c>
      <c r="AF1802" s="14"/>
    </row>
    <row r="1803" spans="1:32" ht="28.8" x14ac:dyDescent="0.3">
      <c r="A1803" s="30" t="s">
        <v>1599</v>
      </c>
      <c r="B1803" s="20" t="s">
        <v>16</v>
      </c>
      <c r="C1803" s="20" t="s">
        <v>89</v>
      </c>
      <c r="D1803" s="20" t="s">
        <v>8</v>
      </c>
      <c r="E1803" s="22">
        <v>122</v>
      </c>
      <c r="F1803" s="22">
        <v>2</v>
      </c>
      <c r="G1803" s="22">
        <v>7</v>
      </c>
      <c r="H1803" s="22"/>
      <c r="I1803" s="23" t="s">
        <v>9</v>
      </c>
      <c r="J1803" s="23"/>
      <c r="K1803" s="22"/>
      <c r="L1803" s="22"/>
      <c r="M1803" s="23"/>
      <c r="N1803" s="23"/>
      <c r="O1803" s="26" t="s">
        <v>1600</v>
      </c>
      <c r="P1803" s="26"/>
      <c r="Q1803" s="22"/>
      <c r="R1803" s="24"/>
      <c r="S1803" s="24"/>
      <c r="T1803" s="24"/>
      <c r="U1803" s="24"/>
      <c r="V1803" s="24"/>
      <c r="W1803" s="22" t="s">
        <v>468</v>
      </c>
      <c r="X1803" s="4" t="str">
        <f>IF(Tabela2[[#This Row],[sigla]]="","",VLOOKUP(Tabela2[[#This Row],[sigla]],créditos_base!B:C,2,0))</f>
        <v>VER DOCUMENTO DE ILS. TÉCNICAS</v>
      </c>
      <c r="Y1803" s="23"/>
      <c r="Z1803" s="23" t="s">
        <v>661</v>
      </c>
      <c r="AA1803" s="22"/>
      <c r="AB1803" s="20"/>
      <c r="AD1803" s="4" t="str">
        <f>"Pitanguá"</f>
        <v>Pitanguá</v>
      </c>
      <c r="AE1803" s="14" t="str">
        <f>"Matemática"</f>
        <v>Matemática</v>
      </c>
      <c r="AF1803" s="14"/>
    </row>
    <row r="1804" spans="1:32" ht="28.8" x14ac:dyDescent="0.3">
      <c r="A1804" s="23" t="s">
        <v>2361</v>
      </c>
      <c r="B1804" s="20" t="s">
        <v>135</v>
      </c>
      <c r="C1804" s="20" t="s">
        <v>7</v>
      </c>
      <c r="D1804" s="20" t="s">
        <v>8</v>
      </c>
      <c r="E1804" s="22">
        <v>142</v>
      </c>
      <c r="F1804" s="22">
        <v>3</v>
      </c>
      <c r="G1804" s="22">
        <v>7</v>
      </c>
      <c r="H1804" s="22"/>
      <c r="I1804" s="23" t="s">
        <v>9</v>
      </c>
      <c r="J1804" s="23"/>
      <c r="K1804" s="22"/>
      <c r="L1804" s="22"/>
      <c r="M1804" s="23"/>
      <c r="N1804" s="23"/>
      <c r="O1804" s="26" t="s">
        <v>2362</v>
      </c>
      <c r="P1804" s="26"/>
      <c r="Q1804" s="22"/>
      <c r="R1804" s="24"/>
      <c r="S1804" s="24"/>
      <c r="T1804" s="24"/>
      <c r="U1804" s="24"/>
      <c r="V1804" s="24"/>
      <c r="W1804" s="22" t="s">
        <v>230</v>
      </c>
      <c r="X1804" s="4" t="str">
        <f>IF(Tabela2[[#This Row],[sigla]]="","",VLOOKUP(Tabela2[[#This Row],[sigla]],créditos_base!B:C,2,0))</f>
        <v>RAFAEL L. GAION/ARQUIVO DA EDITORA</v>
      </c>
      <c r="Y1804" s="23"/>
      <c r="Z1804" s="23" t="str">
        <f>Tabela2[[#This Row],[ilustrador]]</f>
        <v>RAFAEL L. GAION/ARQUIVO DA EDITORA</v>
      </c>
      <c r="AA1804" s="22"/>
      <c r="AB1804" s="20"/>
      <c r="AD1804" s="4" t="str">
        <f>"Pitanguá"</f>
        <v>Pitanguá</v>
      </c>
      <c r="AE1804" s="14" t="str">
        <f>"Matemática"</f>
        <v>Matemática</v>
      </c>
      <c r="AF1804" s="14"/>
    </row>
    <row r="1805" spans="1:32" ht="43.2" x14ac:dyDescent="0.3">
      <c r="A1805" s="23" t="s">
        <v>3481</v>
      </c>
      <c r="B1805" s="20" t="s">
        <v>16</v>
      </c>
      <c r="C1805" s="20" t="s">
        <v>89</v>
      </c>
      <c r="D1805" s="20" t="s">
        <v>8</v>
      </c>
      <c r="E1805" s="22">
        <v>182</v>
      </c>
      <c r="F1805" s="22">
        <v>4</v>
      </c>
      <c r="G1805" s="22">
        <v>7</v>
      </c>
      <c r="H1805" s="22"/>
      <c r="I1805" s="23" t="s">
        <v>33</v>
      </c>
      <c r="J1805" s="23"/>
      <c r="K1805" s="22"/>
      <c r="L1805" s="22"/>
      <c r="M1805" s="23"/>
      <c r="N1805" s="23"/>
      <c r="O1805" s="26" t="s">
        <v>3482</v>
      </c>
      <c r="P1805" s="26"/>
      <c r="Q1805" s="22">
        <v>50</v>
      </c>
      <c r="R1805" s="24">
        <v>45799</v>
      </c>
      <c r="S1805" s="24">
        <v>45806</v>
      </c>
      <c r="T1805" s="24"/>
      <c r="U1805" s="24"/>
      <c r="V1805" s="24">
        <v>45806</v>
      </c>
      <c r="W1805" s="22" t="s">
        <v>940</v>
      </c>
      <c r="X1805" s="4" t="str">
        <f>IF(Tabela2[[#This Row],[sigla]]="","",VLOOKUP(Tabela2[[#This Row],[sigla]],créditos_base!B:C,2,0))</f>
        <v>RONALDO LUCENA/ARQUIVO DA EDITORA</v>
      </c>
      <c r="Y1805" s="23" t="s">
        <v>1503</v>
      </c>
      <c r="Z1805" s="23" t="str">
        <f>Tabela2[[#This Row],[ilustrador]]</f>
        <v>RONALDO LUCENA/ARQUIVO DA EDITORA</v>
      </c>
      <c r="AA1805" s="22"/>
      <c r="AB1805" t="s">
        <v>41</v>
      </c>
      <c r="AC1805" s="20" t="s">
        <v>36</v>
      </c>
      <c r="AD1805" s="4" t="str">
        <f>"Pitanguá"</f>
        <v>Pitanguá</v>
      </c>
      <c r="AE1805" s="14" t="str">
        <f>"Matemática"</f>
        <v>Matemática</v>
      </c>
      <c r="AF1805" s="14"/>
    </row>
    <row r="1806" spans="1:32" ht="28.8" x14ac:dyDescent="0.3">
      <c r="A1806" s="23" t="s">
        <v>4240</v>
      </c>
      <c r="B1806" s="20" t="s">
        <v>135</v>
      </c>
      <c r="C1806" s="20" t="s">
        <v>7</v>
      </c>
      <c r="D1806" s="20" t="s">
        <v>8</v>
      </c>
      <c r="E1806" s="22">
        <v>227</v>
      </c>
      <c r="F1806" s="22">
        <v>5</v>
      </c>
      <c r="G1806" s="22">
        <v>7</v>
      </c>
      <c r="H1806" s="22"/>
      <c r="I1806" s="23" t="s">
        <v>9</v>
      </c>
      <c r="J1806" s="23"/>
      <c r="K1806" s="22"/>
      <c r="L1806" s="22"/>
      <c r="M1806" s="23"/>
      <c r="N1806" s="23"/>
      <c r="O1806" s="26" t="s">
        <v>4241</v>
      </c>
      <c r="P1806" s="26"/>
      <c r="Q1806" s="22"/>
      <c r="R1806" s="24"/>
      <c r="S1806" s="24"/>
      <c r="T1806" s="24"/>
      <c r="U1806" s="24"/>
      <c r="V1806" s="24"/>
      <c r="W1806" s="22" t="s">
        <v>151</v>
      </c>
      <c r="X1806" s="4" t="str">
        <f>IF(Tabela2[[#This Row],[sigla]]="","",VLOOKUP(Tabela2[[#This Row],[sigla]],créditos_base!B:C,2,0))</f>
        <v>ROGÉRIO CASAGRANDE/ARQUIVO DA EDITORA</v>
      </c>
      <c r="Y1806" s="23"/>
      <c r="Z1806" s="23" t="str">
        <f>Tabela2[[#This Row],[ilustrador]]</f>
        <v>ROGÉRIO CASAGRANDE/ARQUIVO DA EDITORA</v>
      </c>
      <c r="AA1806" s="22"/>
      <c r="AB1806" s="20"/>
      <c r="AD1806" s="4" t="str">
        <f>"Pitanguá"</f>
        <v>Pitanguá</v>
      </c>
      <c r="AE1806" s="14" t="str">
        <f>"Matemática"</f>
        <v>Matemática</v>
      </c>
      <c r="AF1806" s="14"/>
    </row>
    <row r="1807" spans="1:32" ht="57.6" x14ac:dyDescent="0.3">
      <c r="A1807" s="30" t="s">
        <v>1601</v>
      </c>
      <c r="B1807" s="20" t="s">
        <v>16</v>
      </c>
      <c r="C1807" s="20" t="s">
        <v>7</v>
      </c>
      <c r="D1807" s="20" t="s">
        <v>8</v>
      </c>
      <c r="E1807" s="22">
        <v>124</v>
      </c>
      <c r="F1807" s="22">
        <v>2</v>
      </c>
      <c r="G1807" s="22">
        <v>7</v>
      </c>
      <c r="H1807" s="22"/>
      <c r="I1807" s="23" t="s">
        <v>9</v>
      </c>
      <c r="J1807" s="23"/>
      <c r="K1807" s="22"/>
      <c r="L1807" s="22"/>
      <c r="M1807" s="23"/>
      <c r="N1807" s="23"/>
      <c r="O1807" s="26" t="s">
        <v>1602</v>
      </c>
      <c r="P1807" s="26"/>
      <c r="Q1807" s="22"/>
      <c r="R1807" s="24"/>
      <c r="S1807" s="24"/>
      <c r="T1807" s="24"/>
      <c r="U1807" s="24"/>
      <c r="V1807" s="24"/>
      <c r="W1807" s="22" t="s">
        <v>327</v>
      </c>
      <c r="X1807" s="4" t="str">
        <f>IF(Tabela2[[#This Row],[sigla]]="","",VLOOKUP(Tabela2[[#This Row],[sigla]],créditos_base!B:C,2,0))</f>
        <v>RAFAEL LAM/ARQUIVO DA EDITORA</v>
      </c>
      <c r="Y1807" s="23"/>
      <c r="Z1807" s="23" t="str">
        <f>Tabela2[[#This Row],[ilustrador]]</f>
        <v>RAFAEL LAM/ARQUIVO DA EDITORA</v>
      </c>
      <c r="AA1807" s="22"/>
      <c r="AB1807" s="20"/>
      <c r="AD1807" s="4" t="str">
        <f>"Pitanguá"</f>
        <v>Pitanguá</v>
      </c>
      <c r="AE1807" s="14" t="str">
        <f>"Matemática"</f>
        <v>Matemática</v>
      </c>
      <c r="AF1807" s="14"/>
    </row>
    <row r="1808" spans="1:32" ht="43.2" x14ac:dyDescent="0.3">
      <c r="A1808" s="23" t="s">
        <v>2363</v>
      </c>
      <c r="B1808" s="20" t="s">
        <v>16</v>
      </c>
      <c r="C1808" s="20" t="s">
        <v>7</v>
      </c>
      <c r="D1808" s="20" t="s">
        <v>8</v>
      </c>
      <c r="E1808" s="22">
        <v>143</v>
      </c>
      <c r="F1808" s="22">
        <v>3</v>
      </c>
      <c r="G1808" s="22">
        <v>7</v>
      </c>
      <c r="H1808" s="22"/>
      <c r="I1808" s="23" t="s">
        <v>9</v>
      </c>
      <c r="J1808" s="23"/>
      <c r="K1808" s="22"/>
      <c r="L1808" s="22"/>
      <c r="M1808" s="23"/>
      <c r="N1808" s="23"/>
      <c r="O1808" s="26" t="s">
        <v>2364</v>
      </c>
      <c r="P1808" s="26"/>
      <c r="Q1808" s="22"/>
      <c r="R1808" s="24"/>
      <c r="S1808" s="24"/>
      <c r="T1808" s="24"/>
      <c r="U1808" s="24"/>
      <c r="V1808" s="24"/>
      <c r="W1808" s="22" t="s">
        <v>230</v>
      </c>
      <c r="X1808" s="4" t="str">
        <f>IF(Tabela2[[#This Row],[sigla]]="","",VLOOKUP(Tabela2[[#This Row],[sigla]],créditos_base!B:C,2,0))</f>
        <v>RAFAEL L. GAION/ARQUIVO DA EDITORA</v>
      </c>
      <c r="Y1808" s="23"/>
      <c r="Z1808" s="23" t="str">
        <f>Tabela2[[#This Row],[ilustrador]]</f>
        <v>RAFAEL L. GAION/ARQUIVO DA EDITORA</v>
      </c>
      <c r="AA1808" s="22"/>
      <c r="AB1808" s="20"/>
      <c r="AD1808" s="4" t="str">
        <f>"Pitanguá"</f>
        <v>Pitanguá</v>
      </c>
      <c r="AE1808" s="14" t="str">
        <f>"Matemática"</f>
        <v>Matemática</v>
      </c>
      <c r="AF1808" s="14"/>
    </row>
    <row r="1809" spans="1:32" ht="43.2" x14ac:dyDescent="0.3">
      <c r="A1809" s="23" t="s">
        <v>3483</v>
      </c>
      <c r="B1809" s="20" t="s">
        <v>16</v>
      </c>
      <c r="C1809" s="20" t="s">
        <v>89</v>
      </c>
      <c r="D1809" s="20" t="s">
        <v>8</v>
      </c>
      <c r="E1809" s="22">
        <v>182</v>
      </c>
      <c r="F1809" s="22">
        <v>4</v>
      </c>
      <c r="G1809" s="22">
        <v>7</v>
      </c>
      <c r="H1809" s="22"/>
      <c r="I1809" s="23" t="s">
        <v>33</v>
      </c>
      <c r="J1809" s="23"/>
      <c r="K1809" s="22"/>
      <c r="L1809" s="22"/>
      <c r="M1809" s="23"/>
      <c r="N1809" s="23"/>
      <c r="O1809" s="26" t="s">
        <v>3484</v>
      </c>
      <c r="P1809" s="26"/>
      <c r="Q1809" s="22">
        <v>50</v>
      </c>
      <c r="R1809" s="24">
        <v>45799</v>
      </c>
      <c r="S1809" s="24">
        <v>45806</v>
      </c>
      <c r="T1809" s="24"/>
      <c r="U1809" s="24"/>
      <c r="V1809" s="24">
        <v>45806</v>
      </c>
      <c r="W1809" s="22" t="s">
        <v>940</v>
      </c>
      <c r="X1809" s="4" t="str">
        <f>IF(Tabela2[[#This Row],[sigla]]="","",VLOOKUP(Tabela2[[#This Row],[sigla]],créditos_base!B:C,2,0))</f>
        <v>RONALDO LUCENA/ARQUIVO DA EDITORA</v>
      </c>
      <c r="Y1809" s="23" t="s">
        <v>1503</v>
      </c>
      <c r="Z1809" s="23" t="str">
        <f>Tabela2[[#This Row],[ilustrador]]</f>
        <v>RONALDO LUCENA/ARQUIVO DA EDITORA</v>
      </c>
      <c r="AA1809" s="22"/>
      <c r="AB1809" s="20" t="s">
        <v>41</v>
      </c>
      <c r="AC1809" s="20" t="s">
        <v>36</v>
      </c>
      <c r="AD1809" s="4" t="str">
        <f>"Pitanguá"</f>
        <v>Pitanguá</v>
      </c>
      <c r="AE1809" s="14" t="str">
        <f>"Matemática"</f>
        <v>Matemática</v>
      </c>
      <c r="AF1809" s="14"/>
    </row>
    <row r="1810" spans="1:32" x14ac:dyDescent="0.3">
      <c r="A1810" s="34" t="s">
        <v>4242</v>
      </c>
      <c r="B1810" s="20" t="s">
        <v>135</v>
      </c>
      <c r="C1810" s="20" t="s">
        <v>7</v>
      </c>
      <c r="D1810" s="20" t="s">
        <v>8</v>
      </c>
      <c r="E1810" s="22">
        <v>227</v>
      </c>
      <c r="F1810" s="22">
        <v>5</v>
      </c>
      <c r="G1810" s="22">
        <v>7</v>
      </c>
      <c r="H1810" s="22"/>
      <c r="I1810" s="23" t="s">
        <v>9</v>
      </c>
      <c r="J1810" s="23"/>
      <c r="K1810" s="22"/>
      <c r="L1810" s="22"/>
      <c r="M1810" s="23"/>
      <c r="N1810" s="23"/>
      <c r="O1810" s="26" t="s">
        <v>4243</v>
      </c>
      <c r="P1810" s="26"/>
      <c r="Q1810" s="22"/>
      <c r="R1810" s="24"/>
      <c r="S1810" s="24"/>
      <c r="T1810" s="24"/>
      <c r="U1810" s="24"/>
      <c r="V1810" s="24"/>
      <c r="W1810" s="22" t="s">
        <v>151</v>
      </c>
      <c r="X1810" s="4" t="str">
        <f>IF(Tabela2[[#This Row],[sigla]]="","",VLOOKUP(Tabela2[[#This Row],[sigla]],créditos_base!B:C,2,0))</f>
        <v>ROGÉRIO CASAGRANDE/ARQUIVO DA EDITORA</v>
      </c>
      <c r="Y1810" s="23"/>
      <c r="Z1810" s="23" t="str">
        <f>Tabela2[[#This Row],[ilustrador]]</f>
        <v>ROGÉRIO CASAGRANDE/ARQUIVO DA EDITORA</v>
      </c>
      <c r="AA1810" s="22"/>
      <c r="AB1810" s="20"/>
      <c r="AD1810" s="4" t="str">
        <f>"Pitanguá"</f>
        <v>Pitanguá</v>
      </c>
      <c r="AE1810" s="14" t="str">
        <f>"Matemática"</f>
        <v>Matemática</v>
      </c>
      <c r="AF1810" s="14"/>
    </row>
    <row r="1811" spans="1:32" ht="72" x14ac:dyDescent="0.3">
      <c r="A1811" s="30" t="s">
        <v>1603</v>
      </c>
      <c r="B1811" s="20" t="s">
        <v>16</v>
      </c>
      <c r="C1811" s="20" t="s">
        <v>7</v>
      </c>
      <c r="D1811" s="20" t="s">
        <v>8</v>
      </c>
      <c r="E1811" s="22">
        <v>124</v>
      </c>
      <c r="F1811" s="22">
        <v>2</v>
      </c>
      <c r="G1811" s="22">
        <v>7</v>
      </c>
      <c r="H1811" s="22"/>
      <c r="I1811" s="23" t="s">
        <v>9</v>
      </c>
      <c r="J1811" s="23"/>
      <c r="K1811" s="22"/>
      <c r="L1811" s="22"/>
      <c r="M1811" s="23"/>
      <c r="N1811" s="23"/>
      <c r="O1811" s="26" t="s">
        <v>1604</v>
      </c>
      <c r="P1811" s="26"/>
      <c r="Q1811" s="22"/>
      <c r="R1811" s="24"/>
      <c r="S1811" s="24"/>
      <c r="T1811" s="24"/>
      <c r="U1811" s="24"/>
      <c r="V1811" s="24"/>
      <c r="W1811" s="22" t="s">
        <v>327</v>
      </c>
      <c r="X1811" s="4" t="str">
        <f>IF(Tabela2[[#This Row],[sigla]]="","",VLOOKUP(Tabela2[[#This Row],[sigla]],créditos_base!B:C,2,0))</f>
        <v>RAFAEL LAM/ARQUIVO DA EDITORA</v>
      </c>
      <c r="Y1811" s="23"/>
      <c r="Z1811" s="23" t="str">
        <f>Tabela2[[#This Row],[ilustrador]]</f>
        <v>RAFAEL LAM/ARQUIVO DA EDITORA</v>
      </c>
      <c r="AA1811" s="22"/>
      <c r="AB1811" s="20"/>
      <c r="AD1811" s="4" t="str">
        <f>"Pitanguá"</f>
        <v>Pitanguá</v>
      </c>
      <c r="AE1811" s="14" t="str">
        <f>"Matemática"</f>
        <v>Matemática</v>
      </c>
      <c r="AF1811" s="14"/>
    </row>
    <row r="1812" spans="1:32" ht="57.6" x14ac:dyDescent="0.3">
      <c r="A1812" s="23" t="s">
        <v>3485</v>
      </c>
      <c r="B1812" s="20" t="s">
        <v>16</v>
      </c>
      <c r="C1812" s="20" t="s">
        <v>7</v>
      </c>
      <c r="D1812" s="20" t="s">
        <v>8</v>
      </c>
      <c r="E1812" s="22">
        <v>182</v>
      </c>
      <c r="F1812" s="22">
        <v>4</v>
      </c>
      <c r="G1812" s="22">
        <v>7</v>
      </c>
      <c r="H1812" s="22"/>
      <c r="I1812" s="23" t="s">
        <v>9</v>
      </c>
      <c r="J1812" s="23"/>
      <c r="K1812" s="22"/>
      <c r="L1812" s="22"/>
      <c r="M1812" s="23"/>
      <c r="N1812" s="23"/>
      <c r="O1812" s="26" t="s">
        <v>3486</v>
      </c>
      <c r="P1812" s="26"/>
      <c r="Q1812" s="22"/>
      <c r="R1812" s="24"/>
      <c r="S1812" s="24"/>
      <c r="T1812" s="24"/>
      <c r="U1812" s="24"/>
      <c r="V1812" s="24"/>
      <c r="W1812" s="22" t="s">
        <v>31</v>
      </c>
      <c r="X1812" s="4" t="str">
        <f>IF(Tabela2[[#This Row],[sigla]]="","",VLOOKUP(Tabela2[[#This Row],[sigla]],créditos_base!B:C,2,0))</f>
        <v>SILVIA OTOFUJI/ARQUIVO DA EDITORA</v>
      </c>
      <c r="Y1812" s="23"/>
      <c r="Z1812" s="23" t="str">
        <f>Tabela2[[#This Row],[ilustrador]]</f>
        <v>SILVIA OTOFUJI/ARQUIVO DA EDITORA</v>
      </c>
      <c r="AA1812" s="22"/>
      <c r="AB1812" s="20"/>
      <c r="AD1812" s="4" t="str">
        <f>"Pitanguá"</f>
        <v>Pitanguá</v>
      </c>
      <c r="AE1812" s="14" t="str">
        <f>"Matemática"</f>
        <v>Matemática</v>
      </c>
      <c r="AF1812" s="14"/>
    </row>
    <row r="1813" spans="1:32" x14ac:dyDescent="0.3">
      <c r="A1813" s="30" t="s">
        <v>1605</v>
      </c>
      <c r="B1813" s="20" t="s">
        <v>16</v>
      </c>
      <c r="C1813" s="20" t="s">
        <v>7</v>
      </c>
      <c r="D1813" s="20" t="s">
        <v>8</v>
      </c>
      <c r="E1813" s="22">
        <v>124</v>
      </c>
      <c r="F1813" s="22">
        <v>2</v>
      </c>
      <c r="G1813" s="22">
        <v>7</v>
      </c>
      <c r="H1813" s="22"/>
      <c r="I1813" s="23" t="s">
        <v>9</v>
      </c>
      <c r="J1813" s="23"/>
      <c r="K1813" s="22"/>
      <c r="L1813" s="22"/>
      <c r="M1813" s="23"/>
      <c r="N1813" s="23"/>
      <c r="O1813" s="26" t="s">
        <v>1606</v>
      </c>
      <c r="P1813" s="26"/>
      <c r="Q1813" s="22"/>
      <c r="R1813" s="24"/>
      <c r="S1813" s="24"/>
      <c r="T1813" s="24"/>
      <c r="U1813" s="24"/>
      <c r="V1813" s="24"/>
      <c r="W1813" s="22" t="s">
        <v>327</v>
      </c>
      <c r="X1813" s="4" t="str">
        <f>IF(Tabela2[[#This Row],[sigla]]="","",VLOOKUP(Tabela2[[#This Row],[sigla]],créditos_base!B:C,2,0))</f>
        <v>RAFAEL LAM/ARQUIVO DA EDITORA</v>
      </c>
      <c r="Y1813" s="23"/>
      <c r="Z1813" s="23" t="str">
        <f>Tabela2[[#This Row],[ilustrador]]</f>
        <v>RAFAEL LAM/ARQUIVO DA EDITORA</v>
      </c>
      <c r="AA1813" s="22"/>
      <c r="AB1813" s="20"/>
      <c r="AD1813" s="4" t="str">
        <f>"Pitanguá"</f>
        <v>Pitanguá</v>
      </c>
      <c r="AE1813" s="14" t="str">
        <f>"Matemática"</f>
        <v>Matemática</v>
      </c>
      <c r="AF1813" s="14"/>
    </row>
    <row r="1814" spans="1:32" ht="28.8" x14ac:dyDescent="0.3">
      <c r="A1814" s="23" t="s">
        <v>3487</v>
      </c>
      <c r="B1814" s="20" t="s">
        <v>16</v>
      </c>
      <c r="C1814" s="20" t="s">
        <v>7</v>
      </c>
      <c r="D1814" s="20" t="s">
        <v>8</v>
      </c>
      <c r="E1814" s="22">
        <v>182</v>
      </c>
      <c r="F1814" s="22">
        <v>4</v>
      </c>
      <c r="G1814" s="22">
        <v>7</v>
      </c>
      <c r="H1814" s="22"/>
      <c r="I1814" s="23" t="s">
        <v>33</v>
      </c>
      <c r="J1814" s="23"/>
      <c r="K1814" s="22"/>
      <c r="L1814" s="22"/>
      <c r="M1814" s="23"/>
      <c r="N1814" s="23"/>
      <c r="O1814" s="26" t="s">
        <v>3488</v>
      </c>
      <c r="P1814" s="26"/>
      <c r="Q1814" s="22">
        <v>156</v>
      </c>
      <c r="R1814" s="24">
        <v>45885</v>
      </c>
      <c r="S1814" s="24">
        <v>45887</v>
      </c>
      <c r="T1814" s="24"/>
      <c r="U1814" s="24"/>
      <c r="V1814" s="24">
        <v>45887</v>
      </c>
      <c r="W1814" s="22" t="s">
        <v>940</v>
      </c>
      <c r="X1814" s="4" t="str">
        <f>IF(Tabela2[[#This Row],[sigla]]="","",VLOOKUP(Tabela2[[#This Row],[sigla]],créditos_base!B:C,2,0))</f>
        <v>RONALDO LUCENA/ARQUIVO DA EDITORA</v>
      </c>
      <c r="Y1814" s="23" t="s">
        <v>433</v>
      </c>
      <c r="Z1814" s="23" t="str">
        <f>Tabela2[[#This Row],[ilustrador]]</f>
        <v>RONALDO LUCENA/ARQUIVO DA EDITORA</v>
      </c>
      <c r="AA1814" s="22">
        <v>14</v>
      </c>
      <c r="AB1814" s="20" t="s">
        <v>153</v>
      </c>
      <c r="AC1814" s="20" t="s">
        <v>36</v>
      </c>
      <c r="AD1814" s="4" t="str">
        <f>"Pitanguá"</f>
        <v>Pitanguá</v>
      </c>
      <c r="AE1814" s="14" t="str">
        <f>"Matemática"</f>
        <v>Matemática</v>
      </c>
      <c r="AF1814" s="14"/>
    </row>
    <row r="1815" spans="1:32" ht="72" x14ac:dyDescent="0.3">
      <c r="A1815" s="23" t="s">
        <v>3489</v>
      </c>
      <c r="B1815" s="20" t="s">
        <v>16</v>
      </c>
      <c r="C1815" s="20" t="s">
        <v>7</v>
      </c>
      <c r="D1815" s="20" t="s">
        <v>8</v>
      </c>
      <c r="E1815" s="22">
        <v>184</v>
      </c>
      <c r="F1815" s="22">
        <v>4</v>
      </c>
      <c r="G1815" s="22">
        <v>7</v>
      </c>
      <c r="H1815" s="22"/>
      <c r="I1815" s="23" t="s">
        <v>9</v>
      </c>
      <c r="J1815" s="23"/>
      <c r="K1815" s="22"/>
      <c r="L1815" s="22"/>
      <c r="M1815" s="23"/>
      <c r="N1815" s="23"/>
      <c r="O1815" s="26" t="s">
        <v>3490</v>
      </c>
      <c r="P1815" s="26"/>
      <c r="Q1815" s="22"/>
      <c r="R1815" s="24"/>
      <c r="S1815" s="24"/>
      <c r="T1815" s="24"/>
      <c r="U1815" s="24"/>
      <c r="V1815" s="24"/>
      <c r="W1815" s="22" t="s">
        <v>940</v>
      </c>
      <c r="X1815" s="4" t="str">
        <f>IF(Tabela2[[#This Row],[sigla]]="","",VLOOKUP(Tabela2[[#This Row],[sigla]],créditos_base!B:C,2,0))</f>
        <v>RONALDO LUCENA/ARQUIVO DA EDITORA</v>
      </c>
      <c r="Y1815" s="23"/>
      <c r="Z1815" s="23" t="str">
        <f>Tabela2[[#This Row],[ilustrador]]</f>
        <v>RONALDO LUCENA/ARQUIVO DA EDITORA</v>
      </c>
      <c r="AA1815" s="22"/>
      <c r="AB1815" s="20"/>
      <c r="AD1815" s="4" t="str">
        <f>"Pitanguá"</f>
        <v>Pitanguá</v>
      </c>
      <c r="AE1815" s="14" t="str">
        <f>"Matemática"</f>
        <v>Matemática</v>
      </c>
      <c r="AF1815" s="14"/>
    </row>
    <row r="1816" spans="1:32" ht="28.8" x14ac:dyDescent="0.3">
      <c r="A1816" s="23" t="s">
        <v>2365</v>
      </c>
      <c r="B1816" s="20" t="s">
        <v>6</v>
      </c>
      <c r="C1816" s="20" t="s">
        <v>89</v>
      </c>
      <c r="D1816" s="20" t="s">
        <v>8</v>
      </c>
      <c r="E1816" s="22">
        <v>144</v>
      </c>
      <c r="F1816" s="22">
        <v>3</v>
      </c>
      <c r="G1816" s="22">
        <v>7</v>
      </c>
      <c r="H1816" s="22"/>
      <c r="I1816" s="23" t="s">
        <v>9</v>
      </c>
      <c r="J1816" s="23"/>
      <c r="K1816" s="22"/>
      <c r="L1816" s="22"/>
      <c r="M1816" s="23"/>
      <c r="N1816" s="23"/>
      <c r="O1816" s="26" t="s">
        <v>2366</v>
      </c>
      <c r="P1816" s="26" t="s">
        <v>11</v>
      </c>
      <c r="Q1816" s="22"/>
      <c r="R1816" s="24"/>
      <c r="S1816" s="24"/>
      <c r="T1816" s="24"/>
      <c r="U1816" s="24"/>
      <c r="V1816" s="24"/>
      <c r="W1816" s="22" t="s">
        <v>1785</v>
      </c>
      <c r="X1816" s="4" t="str">
        <f>IF(Tabela2[[#This Row],[sigla]]="","",VLOOKUP(Tabela2[[#This Row],[sigla]],créditos_base!B:C,2,0))</f>
        <v>CAUÊ ZUNCHINI/ARQUIVO DA EDITORA</v>
      </c>
      <c r="Y1816" s="23"/>
      <c r="Z1816" s="23" t="str">
        <f>Tabela2[[#This Row],[ilustrador]]</f>
        <v>CAUÊ ZUNCHINI/ARQUIVO DA EDITORA</v>
      </c>
      <c r="AA1816" s="22"/>
      <c r="AB1816" s="20"/>
      <c r="AD1816" s="4" t="str">
        <f>"Pitanguá"</f>
        <v>Pitanguá</v>
      </c>
      <c r="AE1816" s="14" t="str">
        <f>"Matemática"</f>
        <v>Matemática</v>
      </c>
      <c r="AF1816" s="14"/>
    </row>
    <row r="1817" spans="1:32" ht="43.2" x14ac:dyDescent="0.3">
      <c r="A1817" s="23" t="s">
        <v>3491</v>
      </c>
      <c r="B1817" s="20" t="s">
        <v>16</v>
      </c>
      <c r="C1817" s="20" t="s">
        <v>7</v>
      </c>
      <c r="D1817" s="20" t="s">
        <v>8</v>
      </c>
      <c r="E1817" s="22">
        <v>184</v>
      </c>
      <c r="F1817" s="22">
        <v>4</v>
      </c>
      <c r="G1817" s="22">
        <v>7</v>
      </c>
      <c r="H1817" s="22"/>
      <c r="I1817" s="23" t="s">
        <v>9</v>
      </c>
      <c r="J1817" s="23"/>
      <c r="K1817" s="22"/>
      <c r="L1817" s="22"/>
      <c r="M1817" s="23"/>
      <c r="N1817" s="23"/>
      <c r="O1817" s="26" t="s">
        <v>3492</v>
      </c>
      <c r="P1817" s="26"/>
      <c r="Q1817" s="22"/>
      <c r="R1817" s="24"/>
      <c r="S1817" s="24"/>
      <c r="T1817" s="24"/>
      <c r="U1817" s="24"/>
      <c r="V1817" s="24"/>
      <c r="W1817" s="22" t="s">
        <v>940</v>
      </c>
      <c r="X1817" s="4" t="str">
        <f>IF(Tabela2[[#This Row],[sigla]]="","",VLOOKUP(Tabela2[[#This Row],[sigla]],créditos_base!B:C,2,0))</f>
        <v>RONALDO LUCENA/ARQUIVO DA EDITORA</v>
      </c>
      <c r="Y1817" s="23"/>
      <c r="Z1817" s="23" t="str">
        <f>Tabela2[[#This Row],[ilustrador]]</f>
        <v>RONALDO LUCENA/ARQUIVO DA EDITORA</v>
      </c>
      <c r="AA1817" s="22"/>
      <c r="AB1817" s="20"/>
      <c r="AD1817" s="4" t="str">
        <f>"Pitanguá"</f>
        <v>Pitanguá</v>
      </c>
      <c r="AE1817" s="14" t="str">
        <f>"Matemática"</f>
        <v>Matemática</v>
      </c>
      <c r="AF1817" s="14"/>
    </row>
    <row r="1818" spans="1:32" ht="28.8" x14ac:dyDescent="0.3">
      <c r="A1818" s="23" t="s">
        <v>5707</v>
      </c>
      <c r="B1818" s="20" t="s">
        <v>135</v>
      </c>
      <c r="C1818" s="20" t="s">
        <v>89</v>
      </c>
      <c r="D1818" s="20" t="s">
        <v>8</v>
      </c>
      <c r="E1818" s="22">
        <v>207</v>
      </c>
      <c r="F1818" s="22">
        <v>5</v>
      </c>
      <c r="G1818" s="22">
        <v>7</v>
      </c>
      <c r="H1818" s="22"/>
      <c r="I1818" s="23" t="s">
        <v>33</v>
      </c>
      <c r="J1818" s="23"/>
      <c r="K1818" s="22"/>
      <c r="L1818" s="22"/>
      <c r="M1818" s="23"/>
      <c r="N1818" s="23"/>
      <c r="O1818" s="26" t="s">
        <v>5708</v>
      </c>
      <c r="P1818" s="26"/>
      <c r="Q1818" s="22">
        <v>140</v>
      </c>
      <c r="R1818" s="24">
        <v>45869</v>
      </c>
      <c r="S1818" s="24">
        <v>45876</v>
      </c>
      <c r="T1818" s="24"/>
      <c r="U1818" s="24"/>
      <c r="V1818" s="24">
        <v>45876</v>
      </c>
      <c r="W1818" s="22" t="s">
        <v>160</v>
      </c>
      <c r="X1818" s="4" t="str">
        <f>IF(Tabela2[[#This Row],[sigla]]="","",VLOOKUP(Tabela2[[#This Row],[sigla]],créditos_base!B:C,2,0))</f>
        <v>SERGIO LIMA/ARQUIVO DA EDITORA</v>
      </c>
      <c r="Y1818" s="23" t="s">
        <v>524</v>
      </c>
      <c r="Z1818" s="23" t="str">
        <f>Tabela2[[#This Row],[ilustrador]]</f>
        <v>SERGIO LIMA/ARQUIVO DA EDITORA</v>
      </c>
      <c r="AA1818" s="22">
        <v>13</v>
      </c>
      <c r="AB1818" s="20" t="s">
        <v>525</v>
      </c>
      <c r="AC1818" s="20" t="s">
        <v>36</v>
      </c>
      <c r="AD1818" s="4" t="str">
        <f>"Pitanguá"</f>
        <v>Pitanguá</v>
      </c>
      <c r="AE1818" s="14" t="str">
        <f>"Matemática"</f>
        <v>Matemática</v>
      </c>
      <c r="AF1818" s="14"/>
    </row>
    <row r="1819" spans="1:32" ht="28.8" x14ac:dyDescent="0.3">
      <c r="A1819" s="23" t="s">
        <v>5338</v>
      </c>
      <c r="B1819" s="20" t="s">
        <v>16</v>
      </c>
      <c r="C1819" s="20" t="s">
        <v>7</v>
      </c>
      <c r="D1819" s="20" t="s">
        <v>8</v>
      </c>
      <c r="E1819" s="22">
        <v>186</v>
      </c>
      <c r="F1819" s="22">
        <v>4</v>
      </c>
      <c r="G1819" s="22">
        <v>7</v>
      </c>
      <c r="H1819" s="22"/>
      <c r="I1819" s="23" t="s">
        <v>33</v>
      </c>
      <c r="J1819" s="23"/>
      <c r="K1819" s="22"/>
      <c r="L1819" s="22"/>
      <c r="M1819" s="23"/>
      <c r="N1819" s="23"/>
      <c r="O1819" s="26" t="s">
        <v>5339</v>
      </c>
      <c r="P1819" s="26"/>
      <c r="Q1819" s="22">
        <v>123</v>
      </c>
      <c r="R1819" s="24">
        <v>45861</v>
      </c>
      <c r="S1819" s="24">
        <v>45863</v>
      </c>
      <c r="T1819" s="24"/>
      <c r="U1819" s="24"/>
      <c r="V1819" s="24">
        <v>45863</v>
      </c>
      <c r="W1819" s="22" t="s">
        <v>87</v>
      </c>
      <c r="X1819" s="4" t="str">
        <f>IF(Tabela2[[#This Row],[sigla]]="","",VLOOKUP(Tabela2[[#This Row],[sigla]],créditos_base!B:C,2,0))</f>
        <v>CHRIS BORGES/ARQUIVO DA EDITORA</v>
      </c>
      <c r="Y1819" s="23" t="s">
        <v>243</v>
      </c>
      <c r="Z1819" s="23" t="str">
        <f>Tabela2[[#This Row],[ilustrador]]</f>
        <v>CHRIS BORGES/ARQUIVO DA EDITORA</v>
      </c>
      <c r="AA1819" s="22">
        <v>13</v>
      </c>
      <c r="AB1819" s="20" t="s">
        <v>244</v>
      </c>
      <c r="AC1819" s="20" t="s">
        <v>36</v>
      </c>
      <c r="AD1819" s="4" t="str">
        <f>"Pitanguá"</f>
        <v>Pitanguá</v>
      </c>
      <c r="AE1819" s="14" t="str">
        <f>"Matemática"</f>
        <v>Matemática</v>
      </c>
      <c r="AF1819" s="14"/>
    </row>
    <row r="1820" spans="1:32" ht="57.6" x14ac:dyDescent="0.3">
      <c r="A1820" s="23" t="s">
        <v>4244</v>
      </c>
      <c r="B1820" s="20" t="s">
        <v>135</v>
      </c>
      <c r="C1820" s="20" t="s">
        <v>89</v>
      </c>
      <c r="D1820" s="20" t="s">
        <v>8</v>
      </c>
      <c r="E1820" s="22">
        <v>229</v>
      </c>
      <c r="F1820" s="22">
        <v>5</v>
      </c>
      <c r="G1820" s="22">
        <v>7</v>
      </c>
      <c r="H1820" s="22"/>
      <c r="I1820" s="23" t="s">
        <v>33</v>
      </c>
      <c r="J1820" s="23"/>
      <c r="K1820" s="22"/>
      <c r="L1820" s="22"/>
      <c r="M1820" s="23"/>
      <c r="N1820" s="23"/>
      <c r="O1820" s="26" t="s">
        <v>4245</v>
      </c>
      <c r="P1820" s="26"/>
      <c r="Q1820" s="22">
        <v>140</v>
      </c>
      <c r="R1820" s="24">
        <v>45869</v>
      </c>
      <c r="S1820" s="24">
        <v>45876</v>
      </c>
      <c r="T1820" s="24"/>
      <c r="U1820" s="24"/>
      <c r="V1820" s="24">
        <v>45876</v>
      </c>
      <c r="W1820" s="22" t="s">
        <v>3382</v>
      </c>
      <c r="X1820" s="4" t="str">
        <f>IF(Tabela2[[#This Row],[sigla]]="","",VLOOKUP(Tabela2[[#This Row],[sigla]],créditos_base!B:C,2,0))</f>
        <v>LEONARDO MARI/ARQUIVO DA EDITORA</v>
      </c>
      <c r="Y1820" s="23" t="s">
        <v>524</v>
      </c>
      <c r="Z1820" s="23" t="str">
        <f>Tabela2[[#This Row],[ilustrador]]</f>
        <v>LEONARDO MARI/ARQUIVO DA EDITORA</v>
      </c>
      <c r="AA1820" s="22">
        <v>13</v>
      </c>
      <c r="AB1820" s="20" t="s">
        <v>525</v>
      </c>
      <c r="AC1820" s="20" t="s">
        <v>36</v>
      </c>
      <c r="AD1820" s="4" t="str">
        <f>"Pitanguá"</f>
        <v>Pitanguá</v>
      </c>
      <c r="AE1820" s="14" t="str">
        <f>"Matemática"</f>
        <v>Matemática</v>
      </c>
      <c r="AF1820" s="14"/>
    </row>
    <row r="1821" spans="1:32" ht="28.8" x14ac:dyDescent="0.3">
      <c r="A1821" s="23" t="s">
        <v>2367</v>
      </c>
      <c r="B1821" s="20" t="s">
        <v>16</v>
      </c>
      <c r="C1821" s="20" t="s">
        <v>7</v>
      </c>
      <c r="D1821" s="20" t="s">
        <v>8</v>
      </c>
      <c r="E1821" s="22">
        <v>145</v>
      </c>
      <c r="F1821" s="22">
        <v>3</v>
      </c>
      <c r="G1821" s="22">
        <v>7</v>
      </c>
      <c r="H1821" s="22"/>
      <c r="I1821" s="23" t="s">
        <v>33</v>
      </c>
      <c r="J1821" s="23"/>
      <c r="K1821" s="22"/>
      <c r="L1821" s="22"/>
      <c r="M1821" s="23"/>
      <c r="N1821" s="23"/>
      <c r="O1821" s="26" t="s">
        <v>2368</v>
      </c>
      <c r="P1821" s="26"/>
      <c r="Q1821" s="22">
        <v>170</v>
      </c>
      <c r="R1821" s="24">
        <v>45896</v>
      </c>
      <c r="S1821" s="24">
        <v>45896</v>
      </c>
      <c r="T1821" s="24"/>
      <c r="U1821" s="24"/>
      <c r="V1821" s="24">
        <v>45896</v>
      </c>
      <c r="W1821" s="22" t="s">
        <v>230</v>
      </c>
      <c r="X1821" s="4" t="str">
        <f>IF(Tabela2[[#This Row],[sigla]]="","",VLOOKUP(Tabela2[[#This Row],[sigla]],créditos_base!B:C,2,0))</f>
        <v>RAFAEL L. GAION/ARQUIVO DA EDITORA</v>
      </c>
      <c r="Y1821" s="23" t="s">
        <v>696</v>
      </c>
      <c r="Z1821" s="23" t="s">
        <v>2369</v>
      </c>
      <c r="AA1821" s="22">
        <v>13</v>
      </c>
      <c r="AB1821" s="20" t="s">
        <v>244</v>
      </c>
      <c r="AC1821" s="20" t="s">
        <v>36</v>
      </c>
      <c r="AD1821" s="4" t="str">
        <f>"Pitanguá"</f>
        <v>Pitanguá</v>
      </c>
      <c r="AE1821" s="14" t="str">
        <f>"Matemática"</f>
        <v>Matemática</v>
      </c>
      <c r="AF1821" s="14"/>
    </row>
    <row r="1822" spans="1:32" ht="28.8" x14ac:dyDescent="0.3">
      <c r="A1822" s="23" t="s">
        <v>3493</v>
      </c>
      <c r="B1822" s="20" t="s">
        <v>6</v>
      </c>
      <c r="C1822" s="20" t="s">
        <v>7</v>
      </c>
      <c r="D1822" s="20" t="s">
        <v>8</v>
      </c>
      <c r="E1822" s="22">
        <v>186</v>
      </c>
      <c r="F1822" s="22">
        <v>4</v>
      </c>
      <c r="G1822" s="22">
        <v>7</v>
      </c>
      <c r="H1822" s="22"/>
      <c r="I1822" s="23" t="s">
        <v>9</v>
      </c>
      <c r="J1822" s="23"/>
      <c r="K1822" s="22"/>
      <c r="L1822" s="22"/>
      <c r="M1822" s="23"/>
      <c r="N1822" s="23"/>
      <c r="O1822" s="26" t="s">
        <v>3494</v>
      </c>
      <c r="P1822" s="26"/>
      <c r="Q1822" s="22"/>
      <c r="R1822" s="24"/>
      <c r="S1822" s="24"/>
      <c r="T1822" s="24"/>
      <c r="U1822" s="24"/>
      <c r="V1822" s="24"/>
      <c r="W1822" s="22" t="s">
        <v>940</v>
      </c>
      <c r="X1822" s="4" t="str">
        <f>IF(Tabela2[[#This Row],[sigla]]="","",VLOOKUP(Tabela2[[#This Row],[sigla]],créditos_base!B:C,2,0))</f>
        <v>RONALDO LUCENA/ARQUIVO DA EDITORA</v>
      </c>
      <c r="Y1822" s="23"/>
      <c r="Z1822" s="23" t="str">
        <f>Tabela2[[#This Row],[ilustrador]]</f>
        <v>RONALDO LUCENA/ARQUIVO DA EDITORA</v>
      </c>
      <c r="AA1822" s="22"/>
      <c r="AB1822" s="20"/>
      <c r="AD1822" s="4" t="str">
        <f>"Pitanguá"</f>
        <v>Pitanguá</v>
      </c>
      <c r="AE1822" s="14" t="str">
        <f>"Matemática"</f>
        <v>Matemática</v>
      </c>
      <c r="AF1822" s="14"/>
    </row>
    <row r="1823" spans="1:32" x14ac:dyDescent="0.3">
      <c r="A1823" s="23" t="s">
        <v>4246</v>
      </c>
      <c r="B1823" s="20" t="s">
        <v>135</v>
      </c>
      <c r="C1823" s="20" t="s">
        <v>89</v>
      </c>
      <c r="D1823" s="20" t="s">
        <v>8</v>
      </c>
      <c r="E1823" s="22">
        <v>229</v>
      </c>
      <c r="F1823" s="22">
        <v>5</v>
      </c>
      <c r="G1823" s="22">
        <v>7</v>
      </c>
      <c r="H1823" s="22"/>
      <c r="I1823" s="23" t="s">
        <v>9</v>
      </c>
      <c r="J1823" s="23"/>
      <c r="K1823" s="22"/>
      <c r="L1823" s="22"/>
      <c r="M1823" s="23"/>
      <c r="N1823" s="23"/>
      <c r="O1823" s="26" t="s">
        <v>4247</v>
      </c>
      <c r="P1823" s="26"/>
      <c r="Q1823" s="22"/>
      <c r="R1823" s="24"/>
      <c r="S1823" s="24"/>
      <c r="T1823" s="24"/>
      <c r="U1823" s="24"/>
      <c r="V1823" s="24"/>
      <c r="W1823" s="22" t="s">
        <v>3382</v>
      </c>
      <c r="X1823" s="4" t="str">
        <f>IF(Tabela2[[#This Row],[sigla]]="","",VLOOKUP(Tabela2[[#This Row],[sigla]],créditos_base!B:C,2,0))</f>
        <v>LEONARDO MARI/ARQUIVO DA EDITORA</v>
      </c>
      <c r="Y1823" s="23"/>
      <c r="Z1823" s="23" t="str">
        <f>Tabela2[[#This Row],[ilustrador]]</f>
        <v>LEONARDO MARI/ARQUIVO DA EDITORA</v>
      </c>
      <c r="AA1823" s="22"/>
      <c r="AB1823" s="20"/>
      <c r="AD1823" s="4" t="str">
        <f>"Pitanguá"</f>
        <v>Pitanguá</v>
      </c>
      <c r="AE1823" s="14" t="str">
        <f>"Matemática"</f>
        <v>Matemática</v>
      </c>
      <c r="AF1823" s="14"/>
    </row>
    <row r="1824" spans="1:32" ht="72" x14ac:dyDescent="0.3">
      <c r="A1824" s="23" t="s">
        <v>2370</v>
      </c>
      <c r="B1824" s="20" t="s">
        <v>16</v>
      </c>
      <c r="C1824" s="20" t="s">
        <v>7</v>
      </c>
      <c r="D1824" s="20" t="s">
        <v>8</v>
      </c>
      <c r="E1824" s="22">
        <v>145</v>
      </c>
      <c r="F1824" s="22">
        <v>3</v>
      </c>
      <c r="G1824" s="22">
        <v>7</v>
      </c>
      <c r="H1824" s="22"/>
      <c r="I1824" s="23" t="s">
        <v>33</v>
      </c>
      <c r="J1824" s="23"/>
      <c r="K1824" s="22"/>
      <c r="L1824" s="22"/>
      <c r="M1824" s="23"/>
      <c r="N1824" s="23"/>
      <c r="O1824" s="26" t="s">
        <v>2371</v>
      </c>
      <c r="P1824" s="26"/>
      <c r="Q1824" s="22">
        <v>170</v>
      </c>
      <c r="R1824" s="24">
        <v>45896</v>
      </c>
      <c r="S1824" s="24">
        <v>45896</v>
      </c>
      <c r="T1824" s="24"/>
      <c r="U1824" s="24"/>
      <c r="V1824" s="24">
        <v>45896</v>
      </c>
      <c r="W1824" s="22" t="s">
        <v>230</v>
      </c>
      <c r="X1824" s="4" t="str">
        <f>IF(Tabela2[[#This Row],[sigla]]="","",VLOOKUP(Tabela2[[#This Row],[sigla]],créditos_base!B:C,2,0))</f>
        <v>RAFAEL L. GAION/ARQUIVO DA EDITORA</v>
      </c>
      <c r="Y1824" s="23" t="s">
        <v>696</v>
      </c>
      <c r="Z1824" s="23" t="s">
        <v>2369</v>
      </c>
      <c r="AA1824" s="22">
        <v>13</v>
      </c>
      <c r="AB1824" s="20" t="s">
        <v>244</v>
      </c>
      <c r="AC1824" s="20" t="s">
        <v>36</v>
      </c>
      <c r="AD1824" s="4" t="str">
        <f>"Pitanguá"</f>
        <v>Pitanguá</v>
      </c>
      <c r="AE1824" s="14" t="str">
        <f>"Matemática"</f>
        <v>Matemática</v>
      </c>
      <c r="AF1824" s="14"/>
    </row>
    <row r="1825" spans="1:32" ht="72" x14ac:dyDescent="0.3">
      <c r="A1825" s="23" t="s">
        <v>3495</v>
      </c>
      <c r="B1825" s="20" t="s">
        <v>16</v>
      </c>
      <c r="C1825" s="20" t="s">
        <v>7</v>
      </c>
      <c r="D1825" s="20" t="s">
        <v>8</v>
      </c>
      <c r="E1825" s="22">
        <v>186</v>
      </c>
      <c r="F1825" s="22">
        <v>4</v>
      </c>
      <c r="G1825" s="22">
        <v>7</v>
      </c>
      <c r="H1825" s="22"/>
      <c r="I1825" s="23" t="s">
        <v>33</v>
      </c>
      <c r="J1825" s="23"/>
      <c r="K1825" s="22"/>
      <c r="L1825" s="22"/>
      <c r="M1825" s="23"/>
      <c r="N1825" s="23"/>
      <c r="O1825" s="26" t="s">
        <v>3496</v>
      </c>
      <c r="P1825" s="26"/>
      <c r="Q1825" s="22">
        <v>156</v>
      </c>
      <c r="R1825" s="24">
        <v>45885</v>
      </c>
      <c r="S1825" s="24">
        <v>45887</v>
      </c>
      <c r="T1825" s="24"/>
      <c r="U1825" s="24"/>
      <c r="V1825" s="24">
        <v>45887</v>
      </c>
      <c r="W1825" s="22" t="s">
        <v>151</v>
      </c>
      <c r="X1825" s="4" t="str">
        <f>IF(Tabela2[[#This Row],[sigla]]="","",VLOOKUP(Tabela2[[#This Row],[sigla]],créditos_base!B:C,2,0))</f>
        <v>ROGÉRIO CASAGRANDE/ARQUIVO DA EDITORA</v>
      </c>
      <c r="Y1825" s="23" t="s">
        <v>433</v>
      </c>
      <c r="Z1825" s="23" t="str">
        <f>Tabela2[[#This Row],[ilustrador]]</f>
        <v>ROGÉRIO CASAGRANDE/ARQUIVO DA EDITORA</v>
      </c>
      <c r="AA1825" s="22">
        <v>14</v>
      </c>
      <c r="AB1825" s="20" t="s">
        <v>153</v>
      </c>
      <c r="AC1825" s="20" t="s">
        <v>36</v>
      </c>
      <c r="AD1825" s="4" t="str">
        <f>"Pitanguá"</f>
        <v>Pitanguá</v>
      </c>
      <c r="AE1825" s="14" t="str">
        <f>"Matemática"</f>
        <v>Matemática</v>
      </c>
      <c r="AF1825" s="14"/>
    </row>
    <row r="1826" spans="1:32" ht="28.8" x14ac:dyDescent="0.3">
      <c r="A1826" s="23" t="s">
        <v>4248</v>
      </c>
      <c r="B1826" s="20" t="s">
        <v>135</v>
      </c>
      <c r="C1826" s="20" t="s">
        <v>89</v>
      </c>
      <c r="D1826" s="20" t="s">
        <v>8</v>
      </c>
      <c r="E1826" s="22">
        <v>229</v>
      </c>
      <c r="F1826" s="22">
        <v>5</v>
      </c>
      <c r="G1826" s="22">
        <v>7</v>
      </c>
      <c r="H1826" s="22"/>
      <c r="I1826" s="23" t="s">
        <v>9</v>
      </c>
      <c r="J1826" s="23"/>
      <c r="K1826" s="22"/>
      <c r="L1826" s="22"/>
      <c r="M1826" s="23"/>
      <c r="N1826" s="23"/>
      <c r="O1826" s="26" t="s">
        <v>4249</v>
      </c>
      <c r="P1826" s="26"/>
      <c r="Q1826" s="22"/>
      <c r="R1826" s="24"/>
      <c r="S1826" s="24"/>
      <c r="T1826" s="24"/>
      <c r="U1826" s="24"/>
      <c r="V1826" s="24"/>
      <c r="W1826" s="22" t="s">
        <v>3382</v>
      </c>
      <c r="X1826" s="4" t="str">
        <f>IF(Tabela2[[#This Row],[sigla]]="","",VLOOKUP(Tabela2[[#This Row],[sigla]],créditos_base!B:C,2,0))</f>
        <v>LEONARDO MARI/ARQUIVO DA EDITORA</v>
      </c>
      <c r="Y1826" s="23"/>
      <c r="Z1826" s="23" t="str">
        <f>Tabela2[[#This Row],[ilustrador]]</f>
        <v>LEONARDO MARI/ARQUIVO DA EDITORA</v>
      </c>
      <c r="AA1826" s="22"/>
      <c r="AB1826" s="20"/>
      <c r="AD1826" s="4" t="str">
        <f>"Pitanguá"</f>
        <v>Pitanguá</v>
      </c>
      <c r="AE1826" s="14" t="str">
        <f>"Matemática"</f>
        <v>Matemática</v>
      </c>
      <c r="AF1826" s="14"/>
    </row>
    <row r="1827" spans="1:32" ht="28.8" x14ac:dyDescent="0.3">
      <c r="A1827" s="30" t="s">
        <v>1607</v>
      </c>
      <c r="B1827" s="20" t="s">
        <v>6</v>
      </c>
      <c r="C1827" s="20" t="s">
        <v>7</v>
      </c>
      <c r="D1827" s="20" t="s">
        <v>8</v>
      </c>
      <c r="E1827" s="22">
        <v>127</v>
      </c>
      <c r="F1827" s="22">
        <v>2</v>
      </c>
      <c r="G1827" s="22">
        <v>7</v>
      </c>
      <c r="H1827" s="22"/>
      <c r="I1827" s="23" t="s">
        <v>9</v>
      </c>
      <c r="J1827" s="23"/>
      <c r="K1827" s="22"/>
      <c r="L1827" s="22"/>
      <c r="M1827" s="23"/>
      <c r="N1827" s="23"/>
      <c r="O1827" s="26" t="s">
        <v>1608</v>
      </c>
      <c r="P1827" s="26" t="s">
        <v>465</v>
      </c>
      <c r="Q1827" s="22"/>
      <c r="R1827" s="24"/>
      <c r="S1827" s="24"/>
      <c r="T1827" s="24"/>
      <c r="U1827" s="24"/>
      <c r="V1827" s="24"/>
      <c r="W1827" s="22" t="s">
        <v>1217</v>
      </c>
      <c r="X1827" s="4" t="str">
        <f>IF(Tabela2[[#This Row],[sigla]]="","",VLOOKUP(Tabela2[[#This Row],[sigla]],créditos_base!B:C,2,0))</f>
        <v>KEITHY MOSTACHI/ARQUIVO DA EDITORA</v>
      </c>
      <c r="Y1827" s="23"/>
      <c r="Z1827" s="23" t="str">
        <f>Tabela2[[#This Row],[ilustrador]]</f>
        <v>KEITHY MOSTACHI/ARQUIVO DA EDITORA</v>
      </c>
      <c r="AA1827" s="22"/>
      <c r="AB1827" s="20"/>
      <c r="AD1827" s="4" t="str">
        <f>"Pitanguá"</f>
        <v>Pitanguá</v>
      </c>
      <c r="AE1827" s="14" t="str">
        <f>"Matemática"</f>
        <v>Matemática</v>
      </c>
      <c r="AF1827" s="14"/>
    </row>
    <row r="1828" spans="1:32" ht="28.8" x14ac:dyDescent="0.3">
      <c r="A1828" s="23" t="s">
        <v>3497</v>
      </c>
      <c r="B1828" s="20" t="s">
        <v>16</v>
      </c>
      <c r="C1828" s="20" t="s">
        <v>89</v>
      </c>
      <c r="D1828" s="20" t="s">
        <v>8</v>
      </c>
      <c r="E1828" s="22">
        <v>187</v>
      </c>
      <c r="F1828" s="22">
        <v>4</v>
      </c>
      <c r="G1828" s="22">
        <v>7</v>
      </c>
      <c r="H1828" s="22"/>
      <c r="I1828" s="23" t="s">
        <v>33</v>
      </c>
      <c r="J1828" s="23"/>
      <c r="K1828" s="22"/>
      <c r="L1828" s="22"/>
      <c r="M1828" s="23"/>
      <c r="N1828" s="23"/>
      <c r="O1828" s="26" t="s">
        <v>3498</v>
      </c>
      <c r="P1828" s="26"/>
      <c r="Q1828" s="22">
        <v>50</v>
      </c>
      <c r="R1828" s="24">
        <v>45799</v>
      </c>
      <c r="S1828" s="24">
        <v>45806</v>
      </c>
      <c r="T1828" s="24"/>
      <c r="U1828" s="24"/>
      <c r="V1828" s="24">
        <v>45810</v>
      </c>
      <c r="W1828" s="22" t="s">
        <v>940</v>
      </c>
      <c r="X1828" s="4" t="str">
        <f>IF(Tabela2[[#This Row],[sigla]]="","",VLOOKUP(Tabela2[[#This Row],[sigla]],créditos_base!B:C,2,0))</f>
        <v>RONALDO LUCENA/ARQUIVO DA EDITORA</v>
      </c>
      <c r="Y1828" s="23" t="s">
        <v>1503</v>
      </c>
      <c r="Z1828" s="23" t="str">
        <f>Tabela2[[#This Row],[ilustrador]]</f>
        <v>RONALDO LUCENA/ARQUIVO DA EDITORA</v>
      </c>
      <c r="AA1828" s="22"/>
      <c r="AB1828" s="20" t="s">
        <v>41</v>
      </c>
      <c r="AC1828" s="20" t="s">
        <v>36</v>
      </c>
      <c r="AD1828" s="4" t="str">
        <f>"Pitanguá"</f>
        <v>Pitanguá</v>
      </c>
      <c r="AE1828" s="14" t="str">
        <f>"Matemática"</f>
        <v>Matemática</v>
      </c>
      <c r="AF1828" s="14"/>
    </row>
    <row r="1829" spans="1:32" ht="43.2" x14ac:dyDescent="0.3">
      <c r="A1829" s="23" t="s">
        <v>4250</v>
      </c>
      <c r="B1829" s="20" t="s">
        <v>135</v>
      </c>
      <c r="C1829" s="20" t="s">
        <v>89</v>
      </c>
      <c r="D1829" s="20" t="s">
        <v>8</v>
      </c>
      <c r="E1829" s="22">
        <v>229</v>
      </c>
      <c r="F1829" s="22">
        <v>5</v>
      </c>
      <c r="G1829" s="22">
        <v>7</v>
      </c>
      <c r="H1829" s="22"/>
      <c r="I1829" s="23" t="s">
        <v>9</v>
      </c>
      <c r="J1829" s="23"/>
      <c r="K1829" s="22"/>
      <c r="L1829" s="22"/>
      <c r="M1829" s="23"/>
      <c r="N1829" s="23"/>
      <c r="O1829" s="26" t="s">
        <v>4251</v>
      </c>
      <c r="P1829" s="26"/>
      <c r="Q1829" s="22"/>
      <c r="R1829" s="24"/>
      <c r="S1829" s="24"/>
      <c r="T1829" s="24"/>
      <c r="U1829" s="24"/>
      <c r="V1829" s="24"/>
      <c r="W1829" s="22" t="s">
        <v>3382</v>
      </c>
      <c r="X1829" s="4" t="str">
        <f>IF(Tabela2[[#This Row],[sigla]]="","",VLOOKUP(Tabela2[[#This Row],[sigla]],créditos_base!B:C,2,0))</f>
        <v>LEONARDO MARI/ARQUIVO DA EDITORA</v>
      </c>
      <c r="Y1829" s="23"/>
      <c r="Z1829" s="23" t="str">
        <f>Tabela2[[#This Row],[ilustrador]]</f>
        <v>LEONARDO MARI/ARQUIVO DA EDITORA</v>
      </c>
      <c r="AA1829" s="22"/>
      <c r="AB1829" s="20"/>
      <c r="AD1829" s="4" t="str">
        <f>"Pitanguá"</f>
        <v>Pitanguá</v>
      </c>
      <c r="AE1829" s="14" t="str">
        <f>"Matemática"</f>
        <v>Matemática</v>
      </c>
      <c r="AF1829" s="14"/>
    </row>
    <row r="1830" spans="1:32" ht="72" x14ac:dyDescent="0.3">
      <c r="A1830" s="23" t="s">
        <v>4441</v>
      </c>
      <c r="B1830" s="20" t="s">
        <v>16</v>
      </c>
      <c r="C1830" s="20" t="s">
        <v>89</v>
      </c>
      <c r="D1830" s="20" t="s">
        <v>8</v>
      </c>
      <c r="E1830" s="22">
        <v>183</v>
      </c>
      <c r="F1830" s="22">
        <v>2</v>
      </c>
      <c r="G1830" s="22">
        <v>7</v>
      </c>
      <c r="H1830" s="22"/>
      <c r="I1830" s="23" t="s">
        <v>90</v>
      </c>
      <c r="J1830" s="23"/>
      <c r="K1830" s="22"/>
      <c r="L1830" s="22"/>
      <c r="M1830" s="23"/>
      <c r="N1830" s="23"/>
      <c r="O1830" s="26" t="s">
        <v>4442</v>
      </c>
      <c r="P1830" s="26"/>
      <c r="Q1830" s="22">
        <v>66</v>
      </c>
      <c r="R1830" s="24">
        <v>45811</v>
      </c>
      <c r="S1830" s="24">
        <v>45812</v>
      </c>
      <c r="T1830" s="24"/>
      <c r="U1830" s="24"/>
      <c r="V1830" s="24">
        <v>45812</v>
      </c>
      <c r="W1830" s="22" t="s">
        <v>428</v>
      </c>
      <c r="X1830" s="4" t="str">
        <f>IF(Tabela2[[#This Row],[sigla]]="","",VLOOKUP(Tabela2[[#This Row],[sigla]],créditos_base!B:C,2,0))</f>
        <v>TAMIRES AZEVEDO/ARQUIVO DA EDITORA</v>
      </c>
      <c r="Y1830" s="23" t="s">
        <v>1139</v>
      </c>
      <c r="Z1830" s="23" t="str">
        <f>Tabela2[[#This Row],[ilustrador]]</f>
        <v>TAMIRES AZEVEDO/ARQUIVO DA EDITORA</v>
      </c>
      <c r="AA1830" s="22">
        <v>8</v>
      </c>
      <c r="AB1830" s="20" t="s">
        <v>2564</v>
      </c>
      <c r="AC1830" s="20" t="s">
        <v>36</v>
      </c>
      <c r="AD1830" s="4" t="str">
        <f>"Pitanguá"</f>
        <v>Pitanguá</v>
      </c>
      <c r="AE1830" s="14" t="str">
        <f>"Matemática"</f>
        <v>Matemática</v>
      </c>
      <c r="AF1830" s="14"/>
    </row>
    <row r="1831" spans="1:32" ht="72" x14ac:dyDescent="0.3">
      <c r="A1831" s="23" t="s">
        <v>2372</v>
      </c>
      <c r="B1831" s="20" t="s">
        <v>16</v>
      </c>
      <c r="C1831" s="20" t="s">
        <v>7</v>
      </c>
      <c r="D1831" s="20" t="s">
        <v>8</v>
      </c>
      <c r="E1831" s="22">
        <v>146</v>
      </c>
      <c r="F1831" s="22">
        <v>3</v>
      </c>
      <c r="G1831" s="22">
        <v>7</v>
      </c>
      <c r="H1831" s="22"/>
      <c r="I1831" s="23" t="s">
        <v>9</v>
      </c>
      <c r="J1831" s="23"/>
      <c r="K1831" s="22"/>
      <c r="L1831" s="22"/>
      <c r="M1831" s="23"/>
      <c r="N1831" s="23"/>
      <c r="O1831" s="26" t="s">
        <v>2373</v>
      </c>
      <c r="P1831" s="26"/>
      <c r="Q1831" s="22"/>
      <c r="R1831" s="24"/>
      <c r="S1831" s="24"/>
      <c r="T1831" s="24"/>
      <c r="U1831" s="24"/>
      <c r="V1831" s="24"/>
      <c r="W1831" s="22" t="s">
        <v>230</v>
      </c>
      <c r="X1831" s="4" t="str">
        <f>IF(Tabela2[[#This Row],[sigla]]="","",VLOOKUP(Tabela2[[#This Row],[sigla]],créditos_base!B:C,2,0))</f>
        <v>RAFAEL L. GAION/ARQUIVO DA EDITORA</v>
      </c>
      <c r="Y1831" s="23"/>
      <c r="Z1831" s="23" t="str">
        <f>Tabela2[[#This Row],[ilustrador]]</f>
        <v>RAFAEL L. GAION/ARQUIVO DA EDITORA</v>
      </c>
      <c r="AA1831" s="22"/>
      <c r="AB1831" s="20"/>
      <c r="AD1831" s="4" t="str">
        <f>"Pitanguá"</f>
        <v>Pitanguá</v>
      </c>
      <c r="AE1831" s="14" t="str">
        <f>"Matemática"</f>
        <v>Matemática</v>
      </c>
      <c r="AF1831" s="14"/>
    </row>
    <row r="1832" spans="1:32" ht="115.2" x14ac:dyDescent="0.3">
      <c r="A1832" s="23" t="s">
        <v>4252</v>
      </c>
      <c r="B1832" s="20" t="s">
        <v>135</v>
      </c>
      <c r="C1832" s="20" t="s">
        <v>89</v>
      </c>
      <c r="D1832" s="20" t="s">
        <v>8</v>
      </c>
      <c r="E1832" s="22">
        <v>230</v>
      </c>
      <c r="F1832" s="22">
        <v>5</v>
      </c>
      <c r="G1832" s="22">
        <v>7</v>
      </c>
      <c r="H1832" s="22"/>
      <c r="I1832" s="23" t="s">
        <v>9</v>
      </c>
      <c r="J1832" s="23"/>
      <c r="K1832" s="22"/>
      <c r="L1832" s="22"/>
      <c r="M1832" s="23"/>
      <c r="N1832" s="23"/>
      <c r="O1832" s="26" t="s">
        <v>4253</v>
      </c>
      <c r="P1832" s="26"/>
      <c r="Q1832" s="22"/>
      <c r="R1832" s="24"/>
      <c r="S1832" s="24"/>
      <c r="T1832" s="24"/>
      <c r="U1832" s="24"/>
      <c r="V1832" s="24"/>
      <c r="W1832" s="22" t="s">
        <v>3382</v>
      </c>
      <c r="X1832" s="4" t="str">
        <f>IF(Tabela2[[#This Row],[sigla]]="","",VLOOKUP(Tabela2[[#This Row],[sigla]],créditos_base!B:C,2,0))</f>
        <v>LEONARDO MARI/ARQUIVO DA EDITORA</v>
      </c>
      <c r="Y1832" s="23"/>
      <c r="Z1832" s="23" t="str">
        <f>Tabela2[[#This Row],[ilustrador]]</f>
        <v>LEONARDO MARI/ARQUIVO DA EDITORA</v>
      </c>
      <c r="AA1832" s="22"/>
      <c r="AB1832" s="20"/>
      <c r="AD1832" s="4" t="str">
        <f>"Pitanguá"</f>
        <v>Pitanguá</v>
      </c>
      <c r="AE1832" s="14" t="str">
        <f>"Matemática"</f>
        <v>Matemática</v>
      </c>
      <c r="AF1832" s="14"/>
    </row>
    <row r="1833" spans="1:32" x14ac:dyDescent="0.3">
      <c r="A1833" s="23" t="s">
        <v>4443</v>
      </c>
      <c r="B1833" s="20" t="s">
        <v>16</v>
      </c>
      <c r="C1833" s="20" t="s">
        <v>89</v>
      </c>
      <c r="D1833" s="20" t="s">
        <v>8</v>
      </c>
      <c r="E1833" s="22">
        <v>183</v>
      </c>
      <c r="F1833" s="22">
        <v>2</v>
      </c>
      <c r="G1833" s="22">
        <v>7</v>
      </c>
      <c r="H1833" s="22"/>
      <c r="I1833" s="23" t="s">
        <v>90</v>
      </c>
      <c r="J1833" s="23"/>
      <c r="K1833" s="22"/>
      <c r="L1833" s="22"/>
      <c r="M1833" s="23"/>
      <c r="N1833" s="23"/>
      <c r="O1833" s="26" t="s">
        <v>4444</v>
      </c>
      <c r="P1833" s="26"/>
      <c r="Q1833" s="22">
        <v>66</v>
      </c>
      <c r="R1833" s="24">
        <v>45811</v>
      </c>
      <c r="S1833" s="24">
        <v>45812</v>
      </c>
      <c r="T1833" s="24"/>
      <c r="U1833" s="24"/>
      <c r="V1833" s="24">
        <v>45812</v>
      </c>
      <c r="W1833" s="22" t="s">
        <v>428</v>
      </c>
      <c r="X1833" s="4" t="str">
        <f>IF(Tabela2[[#This Row],[sigla]]="","",VLOOKUP(Tabela2[[#This Row],[sigla]],créditos_base!B:C,2,0))</f>
        <v>TAMIRES AZEVEDO/ARQUIVO DA EDITORA</v>
      </c>
      <c r="Y1833" s="23" t="s">
        <v>1139</v>
      </c>
      <c r="Z1833" s="23" t="str">
        <f>Tabela2[[#This Row],[ilustrador]]</f>
        <v>TAMIRES AZEVEDO/ARQUIVO DA EDITORA</v>
      </c>
      <c r="AA1833" s="22">
        <v>8</v>
      </c>
      <c r="AB1833" s="20" t="s">
        <v>2564</v>
      </c>
      <c r="AC1833" s="20" t="s">
        <v>36</v>
      </c>
      <c r="AD1833" s="4" t="str">
        <f>"Pitanguá"</f>
        <v>Pitanguá</v>
      </c>
      <c r="AE1833" s="14" t="str">
        <f>"Matemática"</f>
        <v>Matemática</v>
      </c>
      <c r="AF1833" s="14"/>
    </row>
    <row r="1834" spans="1:32" x14ac:dyDescent="0.3">
      <c r="A1834" s="23" t="s">
        <v>4254</v>
      </c>
      <c r="B1834" s="20" t="s">
        <v>16</v>
      </c>
      <c r="C1834" s="20" t="s">
        <v>89</v>
      </c>
      <c r="D1834" s="20" t="s">
        <v>8</v>
      </c>
      <c r="E1834" s="22">
        <v>230</v>
      </c>
      <c r="F1834" s="22">
        <v>5</v>
      </c>
      <c r="G1834" s="22">
        <v>7</v>
      </c>
      <c r="H1834" s="22"/>
      <c r="I1834" s="23" t="s">
        <v>33</v>
      </c>
      <c r="J1834" s="23"/>
      <c r="K1834" s="22"/>
      <c r="L1834" s="22"/>
      <c r="M1834" s="23"/>
      <c r="N1834" s="23"/>
      <c r="O1834" s="26" t="s">
        <v>4255</v>
      </c>
      <c r="P1834" s="26"/>
      <c r="Q1834" s="22">
        <v>159</v>
      </c>
      <c r="R1834" s="24">
        <v>45890</v>
      </c>
      <c r="S1834" s="24">
        <v>45891</v>
      </c>
      <c r="T1834" s="24"/>
      <c r="U1834" s="24"/>
      <c r="V1834" s="24">
        <v>45891</v>
      </c>
      <c r="W1834" s="22" t="s">
        <v>3382</v>
      </c>
      <c r="X1834" s="4" t="str">
        <f>IF(Tabela2[[#This Row],[sigla]]="","",VLOOKUP(Tabela2[[#This Row],[sigla]],créditos_base!B:C,2,0))</f>
        <v>LEONARDO MARI/ARQUIVO DA EDITORA</v>
      </c>
      <c r="Y1834" s="23" t="s">
        <v>188</v>
      </c>
      <c r="Z1834" s="23" t="str">
        <f>Tabela2[[#This Row],[ilustrador]]</f>
        <v>LEONARDO MARI/ARQUIVO DA EDITORA</v>
      </c>
      <c r="AA1834" s="22">
        <v>14</v>
      </c>
      <c r="AB1834" s="20" t="s">
        <v>153</v>
      </c>
      <c r="AC1834" s="20" t="s">
        <v>36</v>
      </c>
      <c r="AD1834" s="4" t="str">
        <f>"Pitanguá"</f>
        <v>Pitanguá</v>
      </c>
      <c r="AE1834" s="14" t="str">
        <f>"Matemática"</f>
        <v>Matemática</v>
      </c>
      <c r="AF1834" s="14"/>
    </row>
    <row r="1835" spans="1:32" x14ac:dyDescent="0.3">
      <c r="A1835" s="23" t="s">
        <v>4445</v>
      </c>
      <c r="B1835" s="20" t="s">
        <v>16</v>
      </c>
      <c r="C1835" s="20" t="s">
        <v>89</v>
      </c>
      <c r="D1835" s="20" t="s">
        <v>8</v>
      </c>
      <c r="E1835" s="22">
        <v>183</v>
      </c>
      <c r="F1835" s="22">
        <v>2</v>
      </c>
      <c r="G1835" s="22">
        <v>7</v>
      </c>
      <c r="H1835" s="22"/>
      <c r="I1835" s="23" t="s">
        <v>90</v>
      </c>
      <c r="J1835" s="23"/>
      <c r="K1835" s="22"/>
      <c r="L1835" s="22"/>
      <c r="M1835" s="23"/>
      <c r="N1835" s="23"/>
      <c r="O1835" s="26" t="s">
        <v>4446</v>
      </c>
      <c r="P1835" s="26"/>
      <c r="Q1835" s="22">
        <v>66</v>
      </c>
      <c r="R1835" s="24">
        <v>45811</v>
      </c>
      <c r="S1835" s="24">
        <v>45812</v>
      </c>
      <c r="T1835" s="24"/>
      <c r="U1835" s="24"/>
      <c r="V1835" s="24">
        <v>45812</v>
      </c>
      <c r="W1835" s="22" t="s">
        <v>428</v>
      </c>
      <c r="X1835" s="4" t="str">
        <f>IF(Tabela2[[#This Row],[sigla]]="","",VLOOKUP(Tabela2[[#This Row],[sigla]],créditos_base!B:C,2,0))</f>
        <v>TAMIRES AZEVEDO/ARQUIVO DA EDITORA</v>
      </c>
      <c r="Y1835" s="23" t="s">
        <v>1139</v>
      </c>
      <c r="Z1835" s="23" t="str">
        <f>Tabela2[[#This Row],[ilustrador]]</f>
        <v>TAMIRES AZEVEDO/ARQUIVO DA EDITORA</v>
      </c>
      <c r="AA1835" s="22">
        <v>8</v>
      </c>
      <c r="AB1835" s="20" t="s">
        <v>2564</v>
      </c>
      <c r="AC1835" s="20" t="s">
        <v>36</v>
      </c>
      <c r="AD1835" s="4" t="str">
        <f>"Pitanguá"</f>
        <v>Pitanguá</v>
      </c>
      <c r="AE1835" s="14" t="str">
        <f>"Matemática"</f>
        <v>Matemática</v>
      </c>
      <c r="AF1835" s="14"/>
    </row>
    <row r="1836" spans="1:32" x14ac:dyDescent="0.3">
      <c r="A1836" s="23" t="s">
        <v>2374</v>
      </c>
      <c r="B1836" s="20" t="s">
        <v>6</v>
      </c>
      <c r="C1836" s="20" t="s">
        <v>89</v>
      </c>
      <c r="D1836" s="20" t="s">
        <v>8</v>
      </c>
      <c r="E1836" s="22">
        <v>147</v>
      </c>
      <c r="F1836" s="22">
        <v>3</v>
      </c>
      <c r="G1836" s="22">
        <v>7</v>
      </c>
      <c r="H1836" s="22"/>
      <c r="I1836" s="23" t="s">
        <v>33</v>
      </c>
      <c r="J1836" s="23"/>
      <c r="K1836" s="22"/>
      <c r="L1836" s="22"/>
      <c r="M1836" s="23"/>
      <c r="N1836" s="23"/>
      <c r="O1836" s="26" t="s">
        <v>2375</v>
      </c>
      <c r="P1836" s="26"/>
      <c r="Q1836" s="22">
        <v>31</v>
      </c>
      <c r="R1836" s="24">
        <v>45758</v>
      </c>
      <c r="S1836" s="24">
        <v>45761</v>
      </c>
      <c r="T1836" s="24"/>
      <c r="U1836" s="24"/>
      <c r="V1836" s="24">
        <v>45763</v>
      </c>
      <c r="W1836" s="22" t="s">
        <v>428</v>
      </c>
      <c r="X1836" s="4" t="str">
        <f>IF(Tabela2[[#This Row],[sigla]]="","",VLOOKUP(Tabela2[[#This Row],[sigla]],créditos_base!B:C,2,0))</f>
        <v>TAMIRES AZEVEDO/ARQUIVO DA EDITORA</v>
      </c>
      <c r="Y1836" s="23" t="s">
        <v>188</v>
      </c>
      <c r="Z1836" s="23" t="str">
        <f>Tabela2[[#This Row],[ilustrador]]</f>
        <v>TAMIRES AZEVEDO/ARQUIVO DA EDITORA</v>
      </c>
      <c r="AA1836" s="22">
        <v>14</v>
      </c>
      <c r="AB1836" s="20" t="s">
        <v>153</v>
      </c>
      <c r="AC1836" s="20" t="s">
        <v>36</v>
      </c>
      <c r="AD1836" s="4" t="str">
        <f>"Pitanguá"</f>
        <v>Pitanguá</v>
      </c>
      <c r="AE1836" s="14" t="str">
        <f>"Matemática"</f>
        <v>Matemática</v>
      </c>
      <c r="AF1836" s="14"/>
    </row>
    <row r="1837" spans="1:32" x14ac:dyDescent="0.3">
      <c r="A1837" s="23" t="s">
        <v>4256</v>
      </c>
      <c r="B1837" s="20" t="s">
        <v>135</v>
      </c>
      <c r="C1837" s="20" t="s">
        <v>89</v>
      </c>
      <c r="D1837" s="20" t="s">
        <v>8</v>
      </c>
      <c r="E1837" s="22">
        <v>230</v>
      </c>
      <c r="F1837" s="22">
        <v>5</v>
      </c>
      <c r="G1837" s="22">
        <v>7</v>
      </c>
      <c r="H1837" s="22"/>
      <c r="I1837" s="23" t="s">
        <v>9</v>
      </c>
      <c r="J1837" s="23"/>
      <c r="K1837" s="22"/>
      <c r="L1837" s="22"/>
      <c r="M1837" s="23"/>
      <c r="N1837" s="23"/>
      <c r="O1837" s="26" t="s">
        <v>4257</v>
      </c>
      <c r="P1837" s="26"/>
      <c r="Q1837" s="22"/>
      <c r="R1837" s="24"/>
      <c r="S1837" s="24"/>
      <c r="T1837" s="24"/>
      <c r="U1837" s="24"/>
      <c r="V1837" s="24"/>
      <c r="W1837" s="22" t="s">
        <v>940</v>
      </c>
      <c r="X1837" s="4" t="str">
        <f>IF(Tabela2[[#This Row],[sigla]]="","",VLOOKUP(Tabela2[[#This Row],[sigla]],créditos_base!B:C,2,0))</f>
        <v>RONALDO LUCENA/ARQUIVO DA EDITORA</v>
      </c>
      <c r="Y1837" s="23"/>
      <c r="Z1837" s="23" t="str">
        <f>Tabela2[[#This Row],[ilustrador]]</f>
        <v>RONALDO LUCENA/ARQUIVO DA EDITORA</v>
      </c>
      <c r="AA1837" s="22"/>
      <c r="AB1837" s="20"/>
      <c r="AD1837" s="4" t="str">
        <f>"Pitanguá"</f>
        <v>Pitanguá</v>
      </c>
      <c r="AE1837" s="14" t="str">
        <f>"Matemática"</f>
        <v>Matemática</v>
      </c>
      <c r="AF1837" s="14"/>
    </row>
    <row r="1838" spans="1:32" x14ac:dyDescent="0.3">
      <c r="A1838" s="23" t="s">
        <v>4258</v>
      </c>
      <c r="B1838" s="20" t="s">
        <v>135</v>
      </c>
      <c r="C1838" s="20" t="s">
        <v>89</v>
      </c>
      <c r="D1838" s="20" t="s">
        <v>8</v>
      </c>
      <c r="E1838" s="22">
        <v>230</v>
      </c>
      <c r="F1838" s="22">
        <v>5</v>
      </c>
      <c r="G1838" s="22">
        <v>7</v>
      </c>
      <c r="H1838" s="22"/>
      <c r="I1838" s="23" t="s">
        <v>9</v>
      </c>
      <c r="J1838" s="23"/>
      <c r="K1838" s="22"/>
      <c r="L1838" s="22"/>
      <c r="M1838" s="23"/>
      <c r="N1838" s="23"/>
      <c r="O1838" s="26" t="s">
        <v>4259</v>
      </c>
      <c r="P1838" s="26"/>
      <c r="Q1838" s="22"/>
      <c r="R1838" s="24"/>
      <c r="S1838" s="24"/>
      <c r="T1838" s="24"/>
      <c r="U1838" s="24"/>
      <c r="V1838" s="24"/>
      <c r="W1838" s="22" t="s">
        <v>940</v>
      </c>
      <c r="X1838" s="4" t="str">
        <f>IF(Tabela2[[#This Row],[sigla]]="","",VLOOKUP(Tabela2[[#This Row],[sigla]],créditos_base!B:C,2,0))</f>
        <v>RONALDO LUCENA/ARQUIVO DA EDITORA</v>
      </c>
      <c r="Y1838" s="23"/>
      <c r="Z1838" s="23" t="str">
        <f>Tabela2[[#This Row],[ilustrador]]</f>
        <v>RONALDO LUCENA/ARQUIVO DA EDITORA</v>
      </c>
      <c r="AA1838" s="22"/>
      <c r="AB1838" s="20"/>
      <c r="AD1838" s="4" t="str">
        <f>"Pitanguá"</f>
        <v>Pitanguá</v>
      </c>
      <c r="AE1838" s="14" t="str">
        <f>"Matemática"</f>
        <v>Matemática</v>
      </c>
      <c r="AF1838" s="14"/>
    </row>
    <row r="1839" spans="1:32" ht="28.8" x14ac:dyDescent="0.3">
      <c r="A1839" s="23" t="s">
        <v>2376</v>
      </c>
      <c r="B1839" s="20" t="s">
        <v>16</v>
      </c>
      <c r="C1839" s="20" t="s">
        <v>7</v>
      </c>
      <c r="D1839" s="20" t="s">
        <v>8</v>
      </c>
      <c r="E1839" s="22">
        <v>149</v>
      </c>
      <c r="F1839" s="22">
        <v>3</v>
      </c>
      <c r="G1839" s="22">
        <v>7</v>
      </c>
      <c r="H1839" s="22"/>
      <c r="I1839" s="23" t="s">
        <v>9</v>
      </c>
      <c r="J1839" s="23"/>
      <c r="K1839" s="22"/>
      <c r="L1839" s="22"/>
      <c r="M1839" s="23"/>
      <c r="N1839" s="23"/>
      <c r="O1839" s="26" t="s">
        <v>2377</v>
      </c>
      <c r="P1839" s="26"/>
      <c r="Q1839" s="22"/>
      <c r="R1839" s="24"/>
      <c r="S1839" s="24"/>
      <c r="T1839" s="24"/>
      <c r="U1839" s="24"/>
      <c r="V1839" s="24"/>
      <c r="W1839" s="22" t="s">
        <v>230</v>
      </c>
      <c r="X1839" s="4" t="str">
        <f>IF(Tabela2[[#This Row],[sigla]]="","",VLOOKUP(Tabela2[[#This Row],[sigla]],créditos_base!B:C,2,0))</f>
        <v>RAFAEL L. GAION/ARQUIVO DA EDITORA</v>
      </c>
      <c r="Y1839" s="23"/>
      <c r="Z1839" s="23" t="str">
        <f>Tabela2[[#This Row],[ilustrador]]</f>
        <v>RAFAEL L. GAION/ARQUIVO DA EDITORA</v>
      </c>
      <c r="AA1839" s="22"/>
      <c r="AB1839" s="20"/>
      <c r="AD1839" s="4" t="str">
        <f>"Pitanguá"</f>
        <v>Pitanguá</v>
      </c>
      <c r="AE1839" s="14" t="str">
        <f>"Matemática"</f>
        <v>Matemática</v>
      </c>
      <c r="AF1839" s="14"/>
    </row>
    <row r="1840" spans="1:32" ht="28.8" x14ac:dyDescent="0.3">
      <c r="A1840" s="23" t="s">
        <v>4260</v>
      </c>
      <c r="B1840" s="20" t="s">
        <v>135</v>
      </c>
      <c r="C1840" s="20" t="s">
        <v>89</v>
      </c>
      <c r="D1840" s="20" t="s">
        <v>8</v>
      </c>
      <c r="E1840" s="22">
        <v>230</v>
      </c>
      <c r="F1840" s="22">
        <v>5</v>
      </c>
      <c r="G1840" s="22">
        <v>7</v>
      </c>
      <c r="H1840" s="22"/>
      <c r="I1840" s="23" t="s">
        <v>9</v>
      </c>
      <c r="J1840" s="23"/>
      <c r="K1840" s="22"/>
      <c r="L1840" s="22"/>
      <c r="M1840" s="23"/>
      <c r="N1840" s="23"/>
      <c r="O1840" s="26" t="s">
        <v>4261</v>
      </c>
      <c r="P1840" s="26"/>
      <c r="Q1840" s="22"/>
      <c r="R1840" s="24"/>
      <c r="S1840" s="24"/>
      <c r="T1840" s="24"/>
      <c r="U1840" s="24"/>
      <c r="V1840" s="24"/>
      <c r="W1840" s="22" t="s">
        <v>940</v>
      </c>
      <c r="X1840" s="4" t="str">
        <f>IF(Tabela2[[#This Row],[sigla]]="","",VLOOKUP(Tabela2[[#This Row],[sigla]],créditos_base!B:C,2,0))</f>
        <v>RONALDO LUCENA/ARQUIVO DA EDITORA</v>
      </c>
      <c r="Y1840" s="23"/>
      <c r="Z1840" s="23" t="str">
        <f>Tabela2[[#This Row],[ilustrador]]</f>
        <v>RONALDO LUCENA/ARQUIVO DA EDITORA</v>
      </c>
      <c r="AA1840" s="22"/>
      <c r="AB1840" s="20"/>
      <c r="AD1840" s="4" t="str">
        <f>"Pitanguá"</f>
        <v>Pitanguá</v>
      </c>
      <c r="AE1840" s="14" t="str">
        <f>"Matemática"</f>
        <v>Matemática</v>
      </c>
      <c r="AF1840" s="14"/>
    </row>
    <row r="1841" spans="1:32" ht="28.8" x14ac:dyDescent="0.3">
      <c r="A1841" s="23" t="s">
        <v>4433</v>
      </c>
      <c r="B1841" s="20" t="s">
        <v>6</v>
      </c>
      <c r="C1841" s="20" t="s">
        <v>7</v>
      </c>
      <c r="D1841" s="20" t="s">
        <v>8</v>
      </c>
      <c r="E1841" s="22">
        <v>178</v>
      </c>
      <c r="F1841" s="22">
        <v>2</v>
      </c>
      <c r="G1841" s="22">
        <v>7</v>
      </c>
      <c r="H1841" s="22"/>
      <c r="I1841" s="23" t="s">
        <v>90</v>
      </c>
      <c r="J1841" s="23"/>
      <c r="K1841" s="22"/>
      <c r="L1841" s="22"/>
      <c r="M1841" s="23"/>
      <c r="N1841" s="23"/>
      <c r="O1841" s="26" t="s">
        <v>4434</v>
      </c>
      <c r="P1841" s="26"/>
      <c r="Q1841" s="22">
        <v>66</v>
      </c>
      <c r="R1841" s="24">
        <v>45811</v>
      </c>
      <c r="S1841" s="24">
        <v>45812</v>
      </c>
      <c r="T1841" s="24"/>
      <c r="U1841" s="24"/>
      <c r="V1841" s="24">
        <v>45812</v>
      </c>
      <c r="W1841" s="22" t="s">
        <v>425</v>
      </c>
      <c r="X1841" s="4" t="str">
        <f>IF(Tabela2[[#This Row],[sigla]]="","",VLOOKUP(Tabela2[[#This Row],[sigla]],créditos_base!B:C,2,0))</f>
        <v>BÁRBARA SARZI/ARQUIVO DA EDITORA</v>
      </c>
      <c r="Y1841" s="23" t="s">
        <v>1139</v>
      </c>
      <c r="Z1841" s="23" t="str">
        <f>Tabela2[[#This Row],[ilustrador]]</f>
        <v>BÁRBARA SARZI/ARQUIVO DA EDITORA</v>
      </c>
      <c r="AA1841" s="22">
        <v>13</v>
      </c>
      <c r="AB1841" s="20" t="s">
        <v>2564</v>
      </c>
      <c r="AC1841" s="20" t="s">
        <v>36</v>
      </c>
      <c r="AD1841" s="4" t="str">
        <f>"Pitanguá"</f>
        <v>Pitanguá</v>
      </c>
      <c r="AE1841" s="14" t="str">
        <f>"Matemática"</f>
        <v>Matemática</v>
      </c>
      <c r="AF1841" s="14"/>
    </row>
    <row r="1842" spans="1:32" ht="28.8" x14ac:dyDescent="0.3">
      <c r="A1842" s="23" t="s">
        <v>2378</v>
      </c>
      <c r="B1842" s="20" t="s">
        <v>16</v>
      </c>
      <c r="C1842" s="20" t="s">
        <v>7</v>
      </c>
      <c r="D1842" s="20" t="s">
        <v>8</v>
      </c>
      <c r="E1842" s="22">
        <v>149</v>
      </c>
      <c r="F1842" s="22">
        <v>3</v>
      </c>
      <c r="G1842" s="22">
        <v>7</v>
      </c>
      <c r="H1842" s="22"/>
      <c r="I1842" s="23" t="s">
        <v>9</v>
      </c>
      <c r="J1842" s="23"/>
      <c r="K1842" s="22"/>
      <c r="L1842" s="22"/>
      <c r="M1842" s="23"/>
      <c r="N1842" s="23"/>
      <c r="O1842" s="26" t="s">
        <v>2379</v>
      </c>
      <c r="P1842" s="26"/>
      <c r="Q1842" s="22"/>
      <c r="R1842" s="24"/>
      <c r="S1842" s="24"/>
      <c r="T1842" s="24"/>
      <c r="U1842" s="24"/>
      <c r="V1842" s="24"/>
      <c r="W1842" s="22" t="s">
        <v>230</v>
      </c>
      <c r="X1842" s="4" t="str">
        <f>IF(Tabela2[[#This Row],[sigla]]="","",VLOOKUP(Tabela2[[#This Row],[sigla]],créditos_base!B:C,2,0))</f>
        <v>RAFAEL L. GAION/ARQUIVO DA EDITORA</v>
      </c>
      <c r="Y1842" s="23"/>
      <c r="Z1842" s="23" t="str">
        <f>Tabela2[[#This Row],[ilustrador]]</f>
        <v>RAFAEL L. GAION/ARQUIVO DA EDITORA</v>
      </c>
      <c r="AA1842" s="22"/>
      <c r="AB1842" s="20"/>
      <c r="AD1842" s="4" t="str">
        <f>"Pitanguá"</f>
        <v>Pitanguá</v>
      </c>
      <c r="AE1842" s="14" t="str">
        <f>"Matemática"</f>
        <v>Matemática</v>
      </c>
      <c r="AF1842" s="14"/>
    </row>
    <row r="1843" spans="1:32" ht="28.8" x14ac:dyDescent="0.3">
      <c r="A1843" s="23" t="s">
        <v>3499</v>
      </c>
      <c r="B1843" s="20" t="s">
        <v>6</v>
      </c>
      <c r="C1843" s="20" t="s">
        <v>7</v>
      </c>
      <c r="D1843" s="20" t="s">
        <v>8</v>
      </c>
      <c r="E1843" s="22">
        <v>190</v>
      </c>
      <c r="F1843" s="22">
        <v>4</v>
      </c>
      <c r="G1843" s="22">
        <v>7</v>
      </c>
      <c r="H1843" s="22"/>
      <c r="I1843" s="23" t="s">
        <v>9</v>
      </c>
      <c r="J1843" s="23"/>
      <c r="K1843" s="22"/>
      <c r="L1843" s="22"/>
      <c r="M1843" s="23"/>
      <c r="N1843" s="23"/>
      <c r="O1843" s="26" t="s">
        <v>3500</v>
      </c>
      <c r="P1843" s="26"/>
      <c r="Q1843" s="22"/>
      <c r="R1843" s="24"/>
      <c r="S1843" s="24"/>
      <c r="T1843" s="24"/>
      <c r="U1843" s="24"/>
      <c r="V1843" s="24"/>
      <c r="W1843" s="22" t="s">
        <v>20</v>
      </c>
      <c r="X1843" s="4" t="str">
        <f>IF(Tabela2[[#This Row],[sigla]]="","",VLOOKUP(Tabela2[[#This Row],[sigla]],créditos_base!B:C,2,0))</f>
        <v>SONIA HORN/ARQUIVO DA EDITORA</v>
      </c>
      <c r="Y1843" s="23"/>
      <c r="Z1843" s="23" t="str">
        <f>Tabela2[[#This Row],[ilustrador]]</f>
        <v>SONIA HORN/ARQUIVO DA EDITORA</v>
      </c>
      <c r="AA1843" s="22"/>
      <c r="AB1843" s="20"/>
      <c r="AD1843" s="4" t="str">
        <f>"Pitanguá"</f>
        <v>Pitanguá</v>
      </c>
      <c r="AE1843" s="14" t="str">
        <f>"Matemática"</f>
        <v>Matemática</v>
      </c>
      <c r="AF1843" s="14"/>
    </row>
    <row r="1844" spans="1:32" ht="28.8" x14ac:dyDescent="0.3">
      <c r="A1844" s="23" t="s">
        <v>4262</v>
      </c>
      <c r="B1844" s="20" t="s">
        <v>135</v>
      </c>
      <c r="C1844" s="20" t="s">
        <v>89</v>
      </c>
      <c r="D1844" s="20" t="s">
        <v>8</v>
      </c>
      <c r="E1844" s="22">
        <v>230</v>
      </c>
      <c r="F1844" s="22">
        <v>5</v>
      </c>
      <c r="G1844" s="22">
        <v>7</v>
      </c>
      <c r="H1844" s="22"/>
      <c r="I1844" s="23" t="s">
        <v>33</v>
      </c>
      <c r="J1844" s="23"/>
      <c r="K1844" s="22"/>
      <c r="L1844" s="22"/>
      <c r="M1844" s="23"/>
      <c r="N1844" s="23"/>
      <c r="O1844" s="26" t="s">
        <v>4263</v>
      </c>
      <c r="P1844" s="26"/>
      <c r="Q1844" s="22">
        <v>140</v>
      </c>
      <c r="R1844" s="24">
        <v>45869</v>
      </c>
      <c r="S1844" s="24">
        <v>45876</v>
      </c>
      <c r="T1844" s="24"/>
      <c r="U1844" s="24"/>
      <c r="V1844" s="24">
        <v>45876</v>
      </c>
      <c r="W1844" s="22" t="s">
        <v>332</v>
      </c>
      <c r="X1844" s="4" t="str">
        <f>IF(Tabela2[[#This Row],[sigla]]="","",VLOOKUP(Tabela2[[#This Row],[sigla]],créditos_base!B:C,2,0))</f>
        <v>CYNTHIA SEKIGUCHI/ARQUIVO DA EDITORA</v>
      </c>
      <c r="Y1844" s="23" t="s">
        <v>524</v>
      </c>
      <c r="Z1844" s="23" t="str">
        <f>Tabela2[[#This Row],[ilustrador]]</f>
        <v>CYNTHIA SEKIGUCHI/ARQUIVO DA EDITORA</v>
      </c>
      <c r="AA1844" s="22">
        <v>13</v>
      </c>
      <c r="AB1844" s="20" t="s">
        <v>525</v>
      </c>
      <c r="AC1844" s="20" t="s">
        <v>36</v>
      </c>
      <c r="AD1844" s="4" t="str">
        <f>"Pitanguá"</f>
        <v>Pitanguá</v>
      </c>
      <c r="AE1844" s="14" t="str">
        <f>"Matemática"</f>
        <v>Matemática</v>
      </c>
      <c r="AF1844" s="14"/>
    </row>
    <row r="1845" spans="1:32" ht="57.6" x14ac:dyDescent="0.3">
      <c r="A1845" s="23" t="s">
        <v>4435</v>
      </c>
      <c r="B1845" s="20" t="s">
        <v>6</v>
      </c>
      <c r="C1845" s="20" t="s">
        <v>7</v>
      </c>
      <c r="D1845" s="20" t="s">
        <v>8</v>
      </c>
      <c r="E1845" s="22">
        <v>178</v>
      </c>
      <c r="F1845" s="22">
        <v>2</v>
      </c>
      <c r="G1845" s="22">
        <v>7</v>
      </c>
      <c r="H1845" s="22"/>
      <c r="I1845" s="23" t="s">
        <v>90</v>
      </c>
      <c r="J1845" s="23"/>
      <c r="K1845" s="22"/>
      <c r="L1845" s="22"/>
      <c r="M1845" s="23"/>
      <c r="N1845" s="23"/>
      <c r="O1845" s="26" t="s">
        <v>4436</v>
      </c>
      <c r="P1845" s="26"/>
      <c r="Q1845" s="22">
        <v>66</v>
      </c>
      <c r="R1845" s="24">
        <v>45811</v>
      </c>
      <c r="S1845" s="24">
        <v>45812</v>
      </c>
      <c r="T1845" s="24"/>
      <c r="U1845" s="24"/>
      <c r="V1845" s="24">
        <v>45812</v>
      </c>
      <c r="W1845" s="22" t="s">
        <v>425</v>
      </c>
      <c r="X1845" s="4" t="str">
        <f>IF(Tabela2[[#This Row],[sigla]]="","",VLOOKUP(Tabela2[[#This Row],[sigla]],créditos_base!B:C,2,0))</f>
        <v>BÁRBARA SARZI/ARQUIVO DA EDITORA</v>
      </c>
      <c r="Y1845" s="23" t="s">
        <v>1139</v>
      </c>
      <c r="Z1845" s="23" t="str">
        <f>Tabela2[[#This Row],[ilustrador]]</f>
        <v>BÁRBARA SARZI/ARQUIVO DA EDITORA</v>
      </c>
      <c r="AA1845" s="22">
        <v>13</v>
      </c>
      <c r="AB1845" s="20" t="s">
        <v>2564</v>
      </c>
      <c r="AC1845" s="20" t="s">
        <v>36</v>
      </c>
      <c r="AD1845" s="4" t="str">
        <f>"Pitanguá"</f>
        <v>Pitanguá</v>
      </c>
      <c r="AE1845" s="14" t="str">
        <f>"Matemática"</f>
        <v>Matemática</v>
      </c>
      <c r="AF1845" s="14"/>
    </row>
    <row r="1846" spans="1:32" ht="57.6" x14ac:dyDescent="0.3">
      <c r="A1846" s="23" t="s">
        <v>2380</v>
      </c>
      <c r="B1846" s="20" t="s">
        <v>16</v>
      </c>
      <c r="C1846" s="20" t="s">
        <v>7</v>
      </c>
      <c r="D1846" s="20" t="s">
        <v>8</v>
      </c>
      <c r="E1846" s="22">
        <v>186</v>
      </c>
      <c r="F1846" s="22">
        <v>3</v>
      </c>
      <c r="G1846" s="22">
        <v>7</v>
      </c>
      <c r="H1846" s="22"/>
      <c r="I1846" s="23" t="s">
        <v>33</v>
      </c>
      <c r="J1846" s="23"/>
      <c r="K1846" s="22"/>
      <c r="L1846" s="22"/>
      <c r="M1846" s="23"/>
      <c r="N1846" s="23"/>
      <c r="O1846" s="26" t="s">
        <v>2381</v>
      </c>
      <c r="P1846" s="26"/>
      <c r="Q1846" s="22">
        <v>82</v>
      </c>
      <c r="R1846" s="24">
        <v>45829</v>
      </c>
      <c r="S1846" s="24">
        <v>45833</v>
      </c>
      <c r="T1846" s="24"/>
      <c r="U1846" s="24"/>
      <c r="V1846" s="24">
        <v>45833</v>
      </c>
      <c r="W1846" s="22" t="s">
        <v>546</v>
      </c>
      <c r="X1846" s="4" t="str">
        <f>IF(Tabela2[[#This Row],[sigla]]="","",VLOOKUP(Tabela2[[#This Row],[sigla]],créditos_base!B:C,2,0))</f>
        <v>GUILHERME ARANEGA/ARQUIVO DA EDITORA</v>
      </c>
      <c r="Y1846" s="23" t="s">
        <v>880</v>
      </c>
      <c r="Z1846" s="23" t="str">
        <f>Tabela2[[#This Row],[ilustrador]]</f>
        <v>GUILHERME ARANEGA/ARQUIVO DA EDITORA</v>
      </c>
      <c r="AA1846" s="22">
        <v>13</v>
      </c>
      <c r="AB1846" s="20" t="s">
        <v>244</v>
      </c>
      <c r="AC1846" s="20" t="s">
        <v>36</v>
      </c>
      <c r="AD1846" s="4" t="str">
        <f>"Pitanguá"</f>
        <v>Pitanguá</v>
      </c>
      <c r="AE1846" s="14" t="str">
        <f>"Matemática"</f>
        <v>Matemática</v>
      </c>
      <c r="AF1846" s="14"/>
    </row>
    <row r="1847" spans="1:32" ht="43.2" x14ac:dyDescent="0.3">
      <c r="A1847" s="23" t="s">
        <v>3501</v>
      </c>
      <c r="B1847" s="20" t="s">
        <v>16</v>
      </c>
      <c r="C1847" s="20" t="s">
        <v>89</v>
      </c>
      <c r="D1847" s="20" t="s">
        <v>8</v>
      </c>
      <c r="E1847" s="22">
        <v>190</v>
      </c>
      <c r="F1847" s="22">
        <v>4</v>
      </c>
      <c r="G1847" s="22">
        <v>7</v>
      </c>
      <c r="H1847" s="22"/>
      <c r="I1847" s="23" t="s">
        <v>33</v>
      </c>
      <c r="J1847" s="23"/>
      <c r="K1847" s="22"/>
      <c r="L1847" s="22"/>
      <c r="M1847" s="23"/>
      <c r="N1847" s="23"/>
      <c r="O1847" s="26" t="s">
        <v>3502</v>
      </c>
      <c r="P1847" s="26"/>
      <c r="Q1847" s="22">
        <v>156</v>
      </c>
      <c r="R1847" s="24">
        <v>45885</v>
      </c>
      <c r="S1847" s="24">
        <v>45887</v>
      </c>
      <c r="T1847" s="24"/>
      <c r="U1847" s="24"/>
      <c r="V1847" s="24">
        <v>45887</v>
      </c>
      <c r="W1847" s="22" t="s">
        <v>940</v>
      </c>
      <c r="X1847" s="4" t="str">
        <f>IF(Tabela2[[#This Row],[sigla]]="","",VLOOKUP(Tabela2[[#This Row],[sigla]],créditos_base!B:C,2,0))</f>
        <v>RONALDO LUCENA/ARQUIVO DA EDITORA</v>
      </c>
      <c r="Y1847" s="23" t="s">
        <v>433</v>
      </c>
      <c r="Z1847" s="23" t="str">
        <f>Tabela2[[#This Row],[ilustrador]]</f>
        <v>RONALDO LUCENA/ARQUIVO DA EDITORA</v>
      </c>
      <c r="AA1847" s="22">
        <v>14</v>
      </c>
      <c r="AB1847" s="20" t="s">
        <v>153</v>
      </c>
      <c r="AC1847" s="20" t="s">
        <v>36</v>
      </c>
      <c r="AD1847" s="4" t="str">
        <f>"Pitanguá"</f>
        <v>Pitanguá</v>
      </c>
      <c r="AE1847" s="14" t="str">
        <f>"Matemática"</f>
        <v>Matemática</v>
      </c>
      <c r="AF1847" s="14"/>
    </row>
    <row r="1848" spans="1:32" ht="28.8" x14ac:dyDescent="0.3">
      <c r="A1848" s="23" t="s">
        <v>4264</v>
      </c>
      <c r="B1848" s="20" t="s">
        <v>135</v>
      </c>
      <c r="C1848" s="20" t="s">
        <v>89</v>
      </c>
      <c r="D1848" s="20" t="s">
        <v>8</v>
      </c>
      <c r="E1848" s="22">
        <v>231</v>
      </c>
      <c r="F1848" s="22">
        <v>5</v>
      </c>
      <c r="G1848" s="22">
        <v>7</v>
      </c>
      <c r="H1848" s="22"/>
      <c r="I1848" s="23" t="s">
        <v>33</v>
      </c>
      <c r="J1848" s="23"/>
      <c r="K1848" s="22"/>
      <c r="L1848" s="22"/>
      <c r="M1848" s="23"/>
      <c r="N1848" s="23"/>
      <c r="O1848" s="26" t="s">
        <v>4265</v>
      </c>
      <c r="P1848" s="26"/>
      <c r="Q1848" s="22">
        <v>140</v>
      </c>
      <c r="R1848" s="24">
        <v>45869</v>
      </c>
      <c r="S1848" s="24">
        <v>45876</v>
      </c>
      <c r="T1848" s="24"/>
      <c r="U1848" s="24"/>
      <c r="V1848" s="24">
        <v>45876</v>
      </c>
      <c r="W1848" s="22" t="s">
        <v>332</v>
      </c>
      <c r="X1848" s="4" t="str">
        <f>IF(Tabela2[[#This Row],[sigla]]="","",VLOOKUP(Tabela2[[#This Row],[sigla]],créditos_base!B:C,2,0))</f>
        <v>CYNTHIA SEKIGUCHI/ARQUIVO DA EDITORA</v>
      </c>
      <c r="Y1848" s="23" t="s">
        <v>524</v>
      </c>
      <c r="Z1848" s="23" t="str">
        <f>Tabela2[[#This Row],[ilustrador]]</f>
        <v>CYNTHIA SEKIGUCHI/ARQUIVO DA EDITORA</v>
      </c>
      <c r="AA1848" s="22">
        <v>13</v>
      </c>
      <c r="AB1848" s="20" t="s">
        <v>525</v>
      </c>
      <c r="AC1848" s="20" t="s">
        <v>36</v>
      </c>
      <c r="AD1848" s="4" t="str">
        <f>"Pitanguá"</f>
        <v>Pitanguá</v>
      </c>
      <c r="AE1848" s="14" t="str">
        <f>"Matemática"</f>
        <v>Matemática</v>
      </c>
      <c r="AF1848" s="14"/>
    </row>
    <row r="1849" spans="1:32" ht="28.8" x14ac:dyDescent="0.3">
      <c r="A1849" s="23" t="s">
        <v>4437</v>
      </c>
      <c r="B1849" s="20" t="s">
        <v>6</v>
      </c>
      <c r="C1849" s="20" t="s">
        <v>7</v>
      </c>
      <c r="D1849" s="20" t="s">
        <v>8</v>
      </c>
      <c r="E1849" s="22">
        <v>178</v>
      </c>
      <c r="F1849" s="22">
        <v>2</v>
      </c>
      <c r="G1849" s="22">
        <v>7</v>
      </c>
      <c r="H1849" s="22"/>
      <c r="I1849" s="23" t="s">
        <v>90</v>
      </c>
      <c r="J1849" s="23"/>
      <c r="K1849" s="22"/>
      <c r="L1849" s="22"/>
      <c r="M1849" s="23"/>
      <c r="N1849" s="23"/>
      <c r="O1849" s="26" t="s">
        <v>4438</v>
      </c>
      <c r="P1849" s="26"/>
      <c r="Q1849" s="22">
        <v>66</v>
      </c>
      <c r="R1849" s="24">
        <v>45811</v>
      </c>
      <c r="S1849" s="24">
        <v>45812</v>
      </c>
      <c r="T1849" s="24"/>
      <c r="U1849" s="24"/>
      <c r="V1849" s="24">
        <v>45812</v>
      </c>
      <c r="W1849" s="22" t="s">
        <v>425</v>
      </c>
      <c r="X1849" s="4" t="str">
        <f>IF(Tabela2[[#This Row],[sigla]]="","",VLOOKUP(Tabela2[[#This Row],[sigla]],créditos_base!B:C,2,0))</f>
        <v>BÁRBARA SARZI/ARQUIVO DA EDITORA</v>
      </c>
      <c r="Y1849" s="23" t="s">
        <v>1139</v>
      </c>
      <c r="Z1849" s="23" t="str">
        <f>Tabela2[[#This Row],[ilustrador]]</f>
        <v>BÁRBARA SARZI/ARQUIVO DA EDITORA</v>
      </c>
      <c r="AA1849" s="22">
        <v>13</v>
      </c>
      <c r="AB1849" s="20" t="s">
        <v>2564</v>
      </c>
      <c r="AC1849" s="20" t="s">
        <v>36</v>
      </c>
      <c r="AD1849" s="4" t="str">
        <f>"Pitanguá"</f>
        <v>Pitanguá</v>
      </c>
      <c r="AE1849" s="14" t="str">
        <f>"Matemática"</f>
        <v>Matemática</v>
      </c>
      <c r="AF1849" s="14"/>
    </row>
    <row r="1850" spans="1:32" ht="28.8" x14ac:dyDescent="0.3">
      <c r="A1850" s="23" t="s">
        <v>2382</v>
      </c>
      <c r="B1850" s="20" t="s">
        <v>16</v>
      </c>
      <c r="C1850" s="20" t="s">
        <v>89</v>
      </c>
      <c r="D1850" s="20" t="s">
        <v>8</v>
      </c>
      <c r="E1850" s="22">
        <v>150</v>
      </c>
      <c r="F1850" s="22">
        <v>3</v>
      </c>
      <c r="G1850" s="22">
        <v>7</v>
      </c>
      <c r="H1850" s="22"/>
      <c r="I1850" s="23" t="s">
        <v>33</v>
      </c>
      <c r="J1850" s="23"/>
      <c r="K1850" s="22"/>
      <c r="L1850" s="22"/>
      <c r="M1850" s="23"/>
      <c r="N1850" s="23"/>
      <c r="O1850" s="26" t="s">
        <v>2383</v>
      </c>
      <c r="P1850" s="26"/>
      <c r="Q1850" s="22">
        <v>31</v>
      </c>
      <c r="R1850" s="24">
        <v>45758</v>
      </c>
      <c r="S1850" s="24">
        <v>45761</v>
      </c>
      <c r="T1850" s="24"/>
      <c r="U1850" s="24"/>
      <c r="V1850" s="24">
        <v>45763</v>
      </c>
      <c r="W1850" s="22" t="s">
        <v>428</v>
      </c>
      <c r="X1850" s="4" t="str">
        <f>IF(Tabela2[[#This Row],[sigla]]="","",VLOOKUP(Tabela2[[#This Row],[sigla]],créditos_base!B:C,2,0))</f>
        <v>TAMIRES AZEVEDO/ARQUIVO DA EDITORA</v>
      </c>
      <c r="Y1850" s="23" t="s">
        <v>188</v>
      </c>
      <c r="Z1850" s="23" t="str">
        <f>Tabela2[[#This Row],[ilustrador]]</f>
        <v>TAMIRES AZEVEDO/ARQUIVO DA EDITORA</v>
      </c>
      <c r="AA1850" s="22">
        <v>14</v>
      </c>
      <c r="AB1850" s="20" t="s">
        <v>153</v>
      </c>
      <c r="AC1850" s="20" t="s">
        <v>36</v>
      </c>
      <c r="AD1850" s="4" t="str">
        <f>"Pitanguá"</f>
        <v>Pitanguá</v>
      </c>
      <c r="AE1850" s="14" t="str">
        <f>"Matemática"</f>
        <v>Matemática</v>
      </c>
      <c r="AF1850" s="14"/>
    </row>
    <row r="1851" spans="1:32" ht="28.8" x14ac:dyDescent="0.3">
      <c r="A1851" s="23" t="s">
        <v>4266</v>
      </c>
      <c r="B1851" s="20" t="s">
        <v>135</v>
      </c>
      <c r="C1851" s="20" t="s">
        <v>89</v>
      </c>
      <c r="D1851" s="20" t="s">
        <v>8</v>
      </c>
      <c r="E1851" s="22">
        <v>231</v>
      </c>
      <c r="F1851" s="22">
        <v>5</v>
      </c>
      <c r="G1851" s="22">
        <v>7</v>
      </c>
      <c r="H1851" s="22"/>
      <c r="I1851" s="23" t="s">
        <v>9</v>
      </c>
      <c r="J1851" s="23"/>
      <c r="K1851" s="22"/>
      <c r="L1851" s="22"/>
      <c r="M1851" s="23"/>
      <c r="N1851" s="23"/>
      <c r="O1851" s="26" t="s">
        <v>4267</v>
      </c>
      <c r="P1851" s="26"/>
      <c r="Q1851" s="22"/>
      <c r="R1851" s="24"/>
      <c r="S1851" s="24"/>
      <c r="T1851" s="24"/>
      <c r="U1851" s="24"/>
      <c r="V1851" s="24"/>
      <c r="W1851" s="22" t="s">
        <v>940</v>
      </c>
      <c r="X1851" s="4" t="str">
        <f>IF(Tabela2[[#This Row],[sigla]]="","",VLOOKUP(Tabela2[[#This Row],[sigla]],créditos_base!B:C,2,0))</f>
        <v>RONALDO LUCENA/ARQUIVO DA EDITORA</v>
      </c>
      <c r="Y1851" s="23"/>
      <c r="Z1851" s="23" t="str">
        <f>Tabela2[[#This Row],[ilustrador]]</f>
        <v>RONALDO LUCENA/ARQUIVO DA EDITORA</v>
      </c>
      <c r="AA1851" s="22"/>
      <c r="AB1851" s="20"/>
      <c r="AD1851" s="4" t="str">
        <f>"Pitanguá"</f>
        <v>Pitanguá</v>
      </c>
      <c r="AE1851" s="14" t="str">
        <f>"Matemática"</f>
        <v>Matemática</v>
      </c>
      <c r="AF1851" s="14"/>
    </row>
    <row r="1852" spans="1:32" ht="28.8" x14ac:dyDescent="0.3">
      <c r="A1852" s="23" t="s">
        <v>4439</v>
      </c>
      <c r="B1852" s="20" t="s">
        <v>6</v>
      </c>
      <c r="C1852" s="20" t="s">
        <v>7</v>
      </c>
      <c r="D1852" s="20" t="s">
        <v>8</v>
      </c>
      <c r="E1852" s="22">
        <v>178</v>
      </c>
      <c r="F1852" s="22">
        <v>2</v>
      </c>
      <c r="G1852" s="22">
        <v>7</v>
      </c>
      <c r="H1852" s="22"/>
      <c r="I1852" s="23" t="s">
        <v>90</v>
      </c>
      <c r="J1852" s="23"/>
      <c r="K1852" s="22"/>
      <c r="L1852" s="22"/>
      <c r="M1852" s="23"/>
      <c r="N1852" s="23"/>
      <c r="O1852" s="26" t="s">
        <v>4440</v>
      </c>
      <c r="P1852" s="26"/>
      <c r="Q1852" s="22">
        <v>66</v>
      </c>
      <c r="R1852" s="24">
        <v>45811</v>
      </c>
      <c r="S1852" s="24">
        <v>45812</v>
      </c>
      <c r="T1852" s="24"/>
      <c r="U1852" s="24"/>
      <c r="V1852" s="24">
        <v>45812</v>
      </c>
      <c r="W1852" s="22" t="s">
        <v>425</v>
      </c>
      <c r="X1852" s="4" t="str">
        <f>IF(Tabela2[[#This Row],[sigla]]="","",VLOOKUP(Tabela2[[#This Row],[sigla]],créditos_base!B:C,2,0))</f>
        <v>BÁRBARA SARZI/ARQUIVO DA EDITORA</v>
      </c>
      <c r="Y1852" s="23" t="s">
        <v>1139</v>
      </c>
      <c r="Z1852" s="23" t="str">
        <f>Tabela2[[#This Row],[ilustrador]]</f>
        <v>BÁRBARA SARZI/ARQUIVO DA EDITORA</v>
      </c>
      <c r="AA1852" s="22">
        <v>13</v>
      </c>
      <c r="AB1852" s="20" t="s">
        <v>2564</v>
      </c>
      <c r="AC1852" s="20" t="s">
        <v>36</v>
      </c>
      <c r="AD1852" s="4" t="str">
        <f>"Pitanguá"</f>
        <v>Pitanguá</v>
      </c>
      <c r="AE1852" s="14" t="str">
        <f>"Matemática"</f>
        <v>Matemática</v>
      </c>
      <c r="AF1852" s="14"/>
    </row>
    <row r="1853" spans="1:32" x14ac:dyDescent="0.3">
      <c r="A1853" s="23" t="s">
        <v>2384</v>
      </c>
      <c r="B1853" s="20" t="s">
        <v>16</v>
      </c>
      <c r="C1853" s="20" t="s">
        <v>89</v>
      </c>
      <c r="D1853" s="20" t="s">
        <v>8</v>
      </c>
      <c r="E1853" s="22">
        <v>150</v>
      </c>
      <c r="F1853" s="22">
        <v>3</v>
      </c>
      <c r="G1853" s="22">
        <v>7</v>
      </c>
      <c r="H1853" s="22"/>
      <c r="I1853" s="23" t="s">
        <v>33</v>
      </c>
      <c r="J1853" s="23"/>
      <c r="K1853" s="22"/>
      <c r="L1853" s="22"/>
      <c r="M1853" s="23"/>
      <c r="N1853" s="23"/>
      <c r="O1853" s="26" t="s">
        <v>2385</v>
      </c>
      <c r="P1853" s="26"/>
      <c r="Q1853" s="22">
        <v>31</v>
      </c>
      <c r="R1853" s="24">
        <v>45758</v>
      </c>
      <c r="S1853" s="24">
        <v>45761</v>
      </c>
      <c r="T1853" s="24"/>
      <c r="U1853" s="24"/>
      <c r="V1853" s="24">
        <v>45763</v>
      </c>
      <c r="W1853" s="22" t="s">
        <v>428</v>
      </c>
      <c r="X1853" s="4" t="str">
        <f>IF(Tabela2[[#This Row],[sigla]]="","",VLOOKUP(Tabela2[[#This Row],[sigla]],créditos_base!B:C,2,0))</f>
        <v>TAMIRES AZEVEDO/ARQUIVO DA EDITORA</v>
      </c>
      <c r="Y1853" s="23" t="s">
        <v>188</v>
      </c>
      <c r="Z1853" s="23" t="str">
        <f>Tabela2[[#This Row],[ilustrador]]</f>
        <v>TAMIRES AZEVEDO/ARQUIVO DA EDITORA</v>
      </c>
      <c r="AA1853" s="22">
        <v>14</v>
      </c>
      <c r="AB1853" s="20" t="s">
        <v>153</v>
      </c>
      <c r="AC1853" s="20" t="s">
        <v>36</v>
      </c>
      <c r="AD1853" s="4" t="str">
        <f>"Pitanguá"</f>
        <v>Pitanguá</v>
      </c>
      <c r="AE1853" s="14" t="str">
        <f>"Matemática"</f>
        <v>Matemática</v>
      </c>
      <c r="AF1853" s="14"/>
    </row>
    <row r="1854" spans="1:32" x14ac:dyDescent="0.3">
      <c r="A1854" s="23" t="s">
        <v>4268</v>
      </c>
      <c r="B1854" s="20" t="s">
        <v>135</v>
      </c>
      <c r="C1854" s="20" t="s">
        <v>89</v>
      </c>
      <c r="D1854" s="20" t="s">
        <v>8</v>
      </c>
      <c r="E1854" s="22">
        <v>231</v>
      </c>
      <c r="F1854" s="22">
        <v>5</v>
      </c>
      <c r="G1854" s="22">
        <v>7</v>
      </c>
      <c r="H1854" s="22"/>
      <c r="I1854" s="23" t="s">
        <v>9</v>
      </c>
      <c r="J1854" s="23"/>
      <c r="K1854" s="22"/>
      <c r="L1854" s="22"/>
      <c r="M1854" s="23"/>
      <c r="N1854" s="23"/>
      <c r="O1854" s="26" t="s">
        <v>4269</v>
      </c>
      <c r="P1854" s="26"/>
      <c r="Q1854" s="22"/>
      <c r="R1854" s="24"/>
      <c r="S1854" s="24"/>
      <c r="T1854" s="24"/>
      <c r="U1854" s="24"/>
      <c r="V1854" s="24"/>
      <c r="W1854" s="22" t="s">
        <v>332</v>
      </c>
      <c r="X1854" s="4" t="str">
        <f>IF(Tabela2[[#This Row],[sigla]]="","",VLOOKUP(Tabela2[[#This Row],[sigla]],créditos_base!B:C,2,0))</f>
        <v>CYNTHIA SEKIGUCHI/ARQUIVO DA EDITORA</v>
      </c>
      <c r="Y1854" s="23"/>
      <c r="Z1854" s="23" t="str">
        <f>Tabela2[[#This Row],[ilustrador]]</f>
        <v>CYNTHIA SEKIGUCHI/ARQUIVO DA EDITORA</v>
      </c>
      <c r="AA1854" s="22"/>
      <c r="AB1854" s="20"/>
      <c r="AD1854" s="4" t="str">
        <f>"Pitanguá"</f>
        <v>Pitanguá</v>
      </c>
      <c r="AE1854" s="14" t="str">
        <f>"Matemática"</f>
        <v>Matemática</v>
      </c>
      <c r="AF1854" s="14"/>
    </row>
    <row r="1855" spans="1:32" x14ac:dyDescent="0.3">
      <c r="A1855" s="23" t="s">
        <v>2386</v>
      </c>
      <c r="B1855" s="20" t="s">
        <v>16</v>
      </c>
      <c r="C1855" s="20" t="s">
        <v>7</v>
      </c>
      <c r="D1855" s="20" t="s">
        <v>8</v>
      </c>
      <c r="E1855" s="22">
        <v>152</v>
      </c>
      <c r="F1855" s="22">
        <v>3</v>
      </c>
      <c r="G1855" s="22">
        <v>7</v>
      </c>
      <c r="H1855" s="22"/>
      <c r="I1855" s="23" t="s">
        <v>9</v>
      </c>
      <c r="J1855" s="23"/>
      <c r="K1855" s="22"/>
      <c r="L1855" s="22"/>
      <c r="M1855" s="23"/>
      <c r="N1855" s="23"/>
      <c r="O1855" s="26" t="s">
        <v>2387</v>
      </c>
      <c r="P1855" s="26"/>
      <c r="Q1855" s="22"/>
      <c r="R1855" s="24"/>
      <c r="S1855" s="24"/>
      <c r="T1855" s="24"/>
      <c r="U1855" s="24"/>
      <c r="V1855" s="24"/>
      <c r="W1855" s="22" t="s">
        <v>546</v>
      </c>
      <c r="X1855" s="4" t="str">
        <f>IF(Tabela2[[#This Row],[sigla]]="","",VLOOKUP(Tabela2[[#This Row],[sigla]],créditos_base!B:C,2,0))</f>
        <v>GUILHERME ARANEGA/ARQUIVO DA EDITORA</v>
      </c>
      <c r="Y1855" s="23"/>
      <c r="Z1855" s="23" t="str">
        <f>Tabela2[[#This Row],[ilustrador]]</f>
        <v>GUILHERME ARANEGA/ARQUIVO DA EDITORA</v>
      </c>
      <c r="AA1855" s="22"/>
      <c r="AB1855" s="20"/>
      <c r="AD1855" s="4" t="str">
        <f>"Pitanguá"</f>
        <v>Pitanguá</v>
      </c>
      <c r="AE1855" s="14" t="str">
        <f>"Matemática"</f>
        <v>Matemática</v>
      </c>
      <c r="AF1855" s="14"/>
    </row>
    <row r="1856" spans="1:32" x14ac:dyDescent="0.3">
      <c r="A1856" s="23" t="s">
        <v>5342</v>
      </c>
      <c r="B1856" s="20" t="s">
        <v>16</v>
      </c>
      <c r="C1856" s="20" t="s">
        <v>89</v>
      </c>
      <c r="D1856" s="20" t="s">
        <v>8</v>
      </c>
      <c r="E1856" s="22">
        <v>193</v>
      </c>
      <c r="F1856" s="22">
        <v>4</v>
      </c>
      <c r="G1856" s="22">
        <v>7</v>
      </c>
      <c r="H1856" s="22"/>
      <c r="I1856" s="23" t="s">
        <v>90</v>
      </c>
      <c r="J1856" s="23"/>
      <c r="K1856" s="22"/>
      <c r="L1856" s="22"/>
      <c r="M1856" s="23"/>
      <c r="N1856" s="23"/>
      <c r="O1856" s="26" t="s">
        <v>5343</v>
      </c>
      <c r="P1856" s="26"/>
      <c r="Q1856" s="22">
        <v>123</v>
      </c>
      <c r="R1856" s="24">
        <v>45861</v>
      </c>
      <c r="S1856" s="24">
        <v>45863</v>
      </c>
      <c r="T1856" s="24"/>
      <c r="U1856" s="24"/>
      <c r="V1856" s="24">
        <v>45863</v>
      </c>
      <c r="W1856" s="22" t="s">
        <v>2675</v>
      </c>
      <c r="X1856" s="4" t="str">
        <f>IF(Tabela2[[#This Row],[sigla]]="","",VLOOKUP(Tabela2[[#This Row],[sigla]],créditos_base!B:C,2,0))</f>
        <v>INGRIDHI BORGES/ARQUIVO DA EDITORA</v>
      </c>
      <c r="Y1856" s="23" t="s">
        <v>243</v>
      </c>
      <c r="Z1856" s="23" t="str">
        <f>Tabela2[[#This Row],[ilustrador]]</f>
        <v>INGRIDHI BORGES/ARQUIVO DA EDITORA</v>
      </c>
      <c r="AA1856" s="22">
        <v>8</v>
      </c>
      <c r="AB1856" s="20" t="s">
        <v>2058</v>
      </c>
      <c r="AC1856" s="20" t="s">
        <v>36</v>
      </c>
      <c r="AD1856" s="4" t="str">
        <f>"Pitanguá"</f>
        <v>Pitanguá</v>
      </c>
      <c r="AE1856" s="14" t="str">
        <f>"Matemática"</f>
        <v>Matemática</v>
      </c>
      <c r="AF1856" s="14"/>
    </row>
    <row r="1857" spans="1:32" x14ac:dyDescent="0.3">
      <c r="A1857" s="23" t="s">
        <v>4270</v>
      </c>
      <c r="B1857" s="20" t="s">
        <v>135</v>
      </c>
      <c r="C1857" s="20" t="s">
        <v>89</v>
      </c>
      <c r="D1857" s="20" t="s">
        <v>8</v>
      </c>
      <c r="E1857" s="22">
        <v>232</v>
      </c>
      <c r="F1857" s="22">
        <v>5</v>
      </c>
      <c r="G1857" s="22">
        <v>7</v>
      </c>
      <c r="H1857" s="22"/>
      <c r="I1857" s="23" t="s">
        <v>9</v>
      </c>
      <c r="J1857" s="23"/>
      <c r="K1857" s="22"/>
      <c r="L1857" s="22"/>
      <c r="M1857" s="23"/>
      <c r="N1857" s="23"/>
      <c r="O1857" s="26" t="s">
        <v>4271</v>
      </c>
      <c r="P1857" s="26"/>
      <c r="Q1857" s="22"/>
      <c r="R1857" s="24"/>
      <c r="S1857" s="24"/>
      <c r="T1857" s="24"/>
      <c r="U1857" s="24"/>
      <c r="V1857" s="24"/>
      <c r="W1857" s="22" t="s">
        <v>940</v>
      </c>
      <c r="X1857" s="4" t="str">
        <f>IF(Tabela2[[#This Row],[sigla]]="","",VLOOKUP(Tabela2[[#This Row],[sigla]],créditos_base!B:C,2,0))</f>
        <v>RONALDO LUCENA/ARQUIVO DA EDITORA</v>
      </c>
      <c r="Y1857" s="23"/>
      <c r="Z1857" s="23" t="str">
        <f>Tabela2[[#This Row],[ilustrador]]</f>
        <v>RONALDO LUCENA/ARQUIVO DA EDITORA</v>
      </c>
      <c r="AA1857" s="22"/>
      <c r="AB1857" s="20"/>
      <c r="AD1857" s="4" t="str">
        <f>"Pitanguá"</f>
        <v>Pitanguá</v>
      </c>
      <c r="AE1857" s="14" t="str">
        <f>"Matemática"</f>
        <v>Matemática</v>
      </c>
      <c r="AF1857" s="14"/>
    </row>
    <row r="1858" spans="1:32" x14ac:dyDescent="0.3">
      <c r="A1858" s="23" t="s">
        <v>2388</v>
      </c>
      <c r="B1858" s="20" t="s">
        <v>16</v>
      </c>
      <c r="C1858" s="20" t="s">
        <v>7</v>
      </c>
      <c r="D1858" s="20" t="s">
        <v>8</v>
      </c>
      <c r="E1858" s="22">
        <v>154</v>
      </c>
      <c r="F1858" s="22">
        <v>3</v>
      </c>
      <c r="G1858" s="22">
        <v>7</v>
      </c>
      <c r="H1858" s="22"/>
      <c r="I1858" s="23" t="s">
        <v>9</v>
      </c>
      <c r="J1858" s="23"/>
      <c r="K1858" s="22"/>
      <c r="L1858" s="22"/>
      <c r="M1858" s="23"/>
      <c r="N1858" s="23"/>
      <c r="O1858" s="26" t="s">
        <v>2389</v>
      </c>
      <c r="P1858" s="26"/>
      <c r="Q1858" s="22"/>
      <c r="R1858" s="24"/>
      <c r="S1858" s="24"/>
      <c r="T1858" s="24"/>
      <c r="U1858" s="24"/>
      <c r="V1858" s="24"/>
      <c r="W1858" s="22" t="s">
        <v>546</v>
      </c>
      <c r="X1858" s="4" t="str">
        <f>IF(Tabela2[[#This Row],[sigla]]="","",VLOOKUP(Tabela2[[#This Row],[sigla]],créditos_base!B:C,2,0))</f>
        <v>GUILHERME ARANEGA/ARQUIVO DA EDITORA</v>
      </c>
      <c r="Y1858" s="23"/>
      <c r="Z1858" s="23" t="str">
        <f>Tabela2[[#This Row],[ilustrador]]</f>
        <v>GUILHERME ARANEGA/ARQUIVO DA EDITORA</v>
      </c>
      <c r="AA1858" s="22"/>
      <c r="AB1858" s="20"/>
      <c r="AD1858" s="4" t="str">
        <f>"Pitanguá"</f>
        <v>Pitanguá</v>
      </c>
      <c r="AE1858" s="14" t="str">
        <f>"Matemática"</f>
        <v>Matemática</v>
      </c>
      <c r="AF1858" s="14"/>
    </row>
    <row r="1859" spans="1:32" ht="57.6" x14ac:dyDescent="0.3">
      <c r="A1859" s="23" t="s">
        <v>5344</v>
      </c>
      <c r="B1859" s="20" t="s">
        <v>16</v>
      </c>
      <c r="C1859" s="20" t="s">
        <v>89</v>
      </c>
      <c r="D1859" s="20" t="s">
        <v>8</v>
      </c>
      <c r="E1859" s="22">
        <v>193</v>
      </c>
      <c r="F1859" s="22">
        <v>4</v>
      </c>
      <c r="G1859" s="22">
        <v>7</v>
      </c>
      <c r="H1859" s="22"/>
      <c r="I1859" s="23" t="s">
        <v>90</v>
      </c>
      <c r="J1859" s="23"/>
      <c r="K1859" s="22"/>
      <c r="L1859" s="22"/>
      <c r="M1859" s="23"/>
      <c r="N1859" s="23"/>
      <c r="O1859" s="26" t="s">
        <v>5345</v>
      </c>
      <c r="P1859" s="26"/>
      <c r="Q1859" s="22">
        <v>123</v>
      </c>
      <c r="R1859" s="24">
        <v>45861</v>
      </c>
      <c r="S1859" s="24">
        <v>45863</v>
      </c>
      <c r="T1859" s="24"/>
      <c r="U1859" s="24"/>
      <c r="V1859" s="24">
        <v>45863</v>
      </c>
      <c r="W1859" s="22" t="s">
        <v>2675</v>
      </c>
      <c r="X1859" s="4" t="str">
        <f>IF(Tabela2[[#This Row],[sigla]]="","",VLOOKUP(Tabela2[[#This Row],[sigla]],créditos_base!B:C,2,0))</f>
        <v>INGRIDHI BORGES/ARQUIVO DA EDITORA</v>
      </c>
      <c r="Y1859" s="23" t="s">
        <v>243</v>
      </c>
      <c r="Z1859" s="23" t="str">
        <f>Tabela2[[#This Row],[ilustrador]]</f>
        <v>INGRIDHI BORGES/ARQUIVO DA EDITORA</v>
      </c>
      <c r="AA1859" s="22">
        <v>8</v>
      </c>
      <c r="AB1859" s="20" t="s">
        <v>2058</v>
      </c>
      <c r="AC1859" s="20" t="s">
        <v>36</v>
      </c>
      <c r="AD1859" s="4" t="str">
        <f>"Pitanguá"</f>
        <v>Pitanguá</v>
      </c>
      <c r="AE1859" s="14" t="str">
        <f>"Matemática"</f>
        <v>Matemática</v>
      </c>
      <c r="AF1859" s="14"/>
    </row>
    <row r="1860" spans="1:32" x14ac:dyDescent="0.3">
      <c r="A1860" s="23" t="s">
        <v>4272</v>
      </c>
      <c r="B1860" s="20" t="s">
        <v>135</v>
      </c>
      <c r="C1860" s="20" t="s">
        <v>89</v>
      </c>
      <c r="D1860" s="20" t="s">
        <v>8</v>
      </c>
      <c r="E1860" s="22">
        <v>232</v>
      </c>
      <c r="F1860" s="22">
        <v>5</v>
      </c>
      <c r="G1860" s="22">
        <v>7</v>
      </c>
      <c r="H1860" s="22"/>
      <c r="I1860" s="23" t="s">
        <v>9</v>
      </c>
      <c r="J1860" s="23"/>
      <c r="K1860" s="22"/>
      <c r="L1860" s="22"/>
      <c r="M1860" s="23"/>
      <c r="N1860" s="23"/>
      <c r="O1860" s="26" t="s">
        <v>4273</v>
      </c>
      <c r="P1860" s="26"/>
      <c r="Q1860" s="22"/>
      <c r="R1860" s="24"/>
      <c r="S1860" s="24"/>
      <c r="T1860" s="24"/>
      <c r="U1860" s="24"/>
      <c r="V1860" s="24"/>
      <c r="W1860" s="22" t="s">
        <v>940</v>
      </c>
      <c r="X1860" s="4" t="str">
        <f>IF(Tabela2[[#This Row],[sigla]]="","",VLOOKUP(Tabela2[[#This Row],[sigla]],créditos_base!B:C,2,0))</f>
        <v>RONALDO LUCENA/ARQUIVO DA EDITORA</v>
      </c>
      <c r="Y1860" s="23"/>
      <c r="Z1860" s="23" t="str">
        <f>Tabela2[[#This Row],[ilustrador]]</f>
        <v>RONALDO LUCENA/ARQUIVO DA EDITORA</v>
      </c>
      <c r="AA1860" s="22"/>
      <c r="AB1860" s="20"/>
      <c r="AD1860" s="4" t="str">
        <f>"Pitanguá"</f>
        <v>Pitanguá</v>
      </c>
      <c r="AE1860" s="14" t="str">
        <f>"Matemática"</f>
        <v>Matemática</v>
      </c>
      <c r="AF1860" s="14"/>
    </row>
    <row r="1861" spans="1:32" ht="28.8" x14ac:dyDescent="0.3">
      <c r="A1861" s="23" t="s">
        <v>5346</v>
      </c>
      <c r="B1861" s="20" t="s">
        <v>16</v>
      </c>
      <c r="C1861" s="20" t="s">
        <v>89</v>
      </c>
      <c r="D1861" s="20" t="s">
        <v>8</v>
      </c>
      <c r="E1861" s="22">
        <v>193</v>
      </c>
      <c r="F1861" s="22">
        <v>4</v>
      </c>
      <c r="G1861" s="22">
        <v>7</v>
      </c>
      <c r="H1861" s="22"/>
      <c r="I1861" s="23" t="s">
        <v>90</v>
      </c>
      <c r="J1861" s="23"/>
      <c r="K1861" s="22"/>
      <c r="L1861" s="22"/>
      <c r="M1861" s="23"/>
      <c r="N1861" s="23"/>
      <c r="O1861" s="26" t="s">
        <v>5347</v>
      </c>
      <c r="P1861" s="26"/>
      <c r="Q1861" s="22">
        <v>123</v>
      </c>
      <c r="R1861" s="24">
        <v>45861</v>
      </c>
      <c r="S1861" s="24">
        <v>45863</v>
      </c>
      <c r="T1861" s="24"/>
      <c r="U1861" s="24"/>
      <c r="V1861" s="24">
        <v>45863</v>
      </c>
      <c r="W1861" s="22" t="s">
        <v>2675</v>
      </c>
      <c r="X1861" s="4" t="str">
        <f>IF(Tabela2[[#This Row],[sigla]]="","",VLOOKUP(Tabela2[[#This Row],[sigla]],créditos_base!B:C,2,0))</f>
        <v>INGRIDHI BORGES/ARQUIVO DA EDITORA</v>
      </c>
      <c r="Y1861" s="23" t="s">
        <v>243</v>
      </c>
      <c r="Z1861" s="23" t="str">
        <f>Tabela2[[#This Row],[ilustrador]]</f>
        <v>INGRIDHI BORGES/ARQUIVO DA EDITORA</v>
      </c>
      <c r="AA1861" s="22">
        <v>8</v>
      </c>
      <c r="AB1861" s="20" t="s">
        <v>2058</v>
      </c>
      <c r="AC1861" s="20" t="s">
        <v>36</v>
      </c>
      <c r="AD1861" s="4" t="str">
        <f>"Pitanguá"</f>
        <v>Pitanguá</v>
      </c>
      <c r="AE1861" s="14" t="str">
        <f>"Matemática"</f>
        <v>Matemática</v>
      </c>
      <c r="AF1861" s="14"/>
    </row>
    <row r="1862" spans="1:32" ht="28.8" x14ac:dyDescent="0.3">
      <c r="A1862" s="23" t="s">
        <v>4274</v>
      </c>
      <c r="B1862" s="20" t="s">
        <v>135</v>
      </c>
      <c r="C1862" s="20" t="s">
        <v>89</v>
      </c>
      <c r="D1862" s="20" t="s">
        <v>8</v>
      </c>
      <c r="E1862" s="22">
        <v>232</v>
      </c>
      <c r="F1862" s="22">
        <v>5</v>
      </c>
      <c r="G1862" s="22">
        <v>7</v>
      </c>
      <c r="H1862" s="22"/>
      <c r="I1862" s="23" t="s">
        <v>9</v>
      </c>
      <c r="J1862" s="23"/>
      <c r="K1862" s="22"/>
      <c r="L1862" s="22"/>
      <c r="M1862" s="23"/>
      <c r="N1862" s="23"/>
      <c r="O1862" s="26" t="s">
        <v>4275</v>
      </c>
      <c r="P1862" s="26"/>
      <c r="Q1862" s="22"/>
      <c r="R1862" s="24"/>
      <c r="S1862" s="24"/>
      <c r="T1862" s="24"/>
      <c r="U1862" s="24"/>
      <c r="V1862" s="24"/>
      <c r="W1862" s="22" t="s">
        <v>940</v>
      </c>
      <c r="X1862" s="4" t="str">
        <f>IF(Tabela2[[#This Row],[sigla]]="","",VLOOKUP(Tabela2[[#This Row],[sigla]],créditos_base!B:C,2,0))</f>
        <v>RONALDO LUCENA/ARQUIVO DA EDITORA</v>
      </c>
      <c r="Y1862" s="23"/>
      <c r="Z1862" s="23" t="str">
        <f>Tabela2[[#This Row],[ilustrador]]</f>
        <v>RONALDO LUCENA/ARQUIVO DA EDITORA</v>
      </c>
      <c r="AA1862" s="22"/>
      <c r="AB1862" s="20"/>
      <c r="AD1862" s="4" t="str">
        <f>"Pitanguá"</f>
        <v>Pitanguá</v>
      </c>
      <c r="AE1862" s="14" t="str">
        <f>"Matemática"</f>
        <v>Matemática</v>
      </c>
      <c r="AF1862" s="14"/>
    </row>
    <row r="1863" spans="1:32" ht="28.8" x14ac:dyDescent="0.3">
      <c r="A1863" s="23" t="s">
        <v>5348</v>
      </c>
      <c r="B1863" s="20" t="s">
        <v>16</v>
      </c>
      <c r="C1863" s="20" t="s">
        <v>89</v>
      </c>
      <c r="D1863" s="20" t="s">
        <v>8</v>
      </c>
      <c r="E1863" s="22">
        <v>193</v>
      </c>
      <c r="F1863" s="22">
        <v>4</v>
      </c>
      <c r="G1863" s="22">
        <v>7</v>
      </c>
      <c r="H1863" s="22"/>
      <c r="I1863" s="23" t="s">
        <v>90</v>
      </c>
      <c r="J1863" s="23"/>
      <c r="K1863" s="22"/>
      <c r="L1863" s="22"/>
      <c r="M1863" s="23"/>
      <c r="N1863" s="23"/>
      <c r="O1863" s="26" t="s">
        <v>5349</v>
      </c>
      <c r="P1863" s="26"/>
      <c r="Q1863" s="22">
        <v>123</v>
      </c>
      <c r="R1863" s="24">
        <v>45861</v>
      </c>
      <c r="S1863" s="24">
        <v>45863</v>
      </c>
      <c r="T1863" s="24"/>
      <c r="U1863" s="24"/>
      <c r="V1863" s="24">
        <v>45863</v>
      </c>
      <c r="W1863" s="22" t="s">
        <v>2675</v>
      </c>
      <c r="X1863" s="4" t="str">
        <f>IF(Tabela2[[#This Row],[sigla]]="","",VLOOKUP(Tabela2[[#This Row],[sigla]],créditos_base!B:C,2,0))</f>
        <v>INGRIDHI BORGES/ARQUIVO DA EDITORA</v>
      </c>
      <c r="Y1863" s="23" t="s">
        <v>243</v>
      </c>
      <c r="Z1863" s="23" t="str">
        <f>Tabela2[[#This Row],[ilustrador]]</f>
        <v>INGRIDHI BORGES/ARQUIVO DA EDITORA</v>
      </c>
      <c r="AA1863" s="22">
        <v>8</v>
      </c>
      <c r="AB1863" s="20" t="s">
        <v>2058</v>
      </c>
      <c r="AC1863" s="20" t="s">
        <v>36</v>
      </c>
      <c r="AD1863" s="4" t="str">
        <f>"Pitanguá"</f>
        <v>Pitanguá</v>
      </c>
      <c r="AE1863" s="14" t="str">
        <f>"Matemática"</f>
        <v>Matemática</v>
      </c>
      <c r="AF1863" s="14"/>
    </row>
    <row r="1864" spans="1:32" ht="43.2" x14ac:dyDescent="0.3">
      <c r="A1864" s="23" t="s">
        <v>4276</v>
      </c>
      <c r="B1864" s="20" t="s">
        <v>135</v>
      </c>
      <c r="C1864" s="20" t="s">
        <v>89</v>
      </c>
      <c r="D1864" s="20" t="s">
        <v>8</v>
      </c>
      <c r="E1864" s="22">
        <v>232</v>
      </c>
      <c r="F1864" s="22">
        <v>5</v>
      </c>
      <c r="G1864" s="22">
        <v>7</v>
      </c>
      <c r="H1864" s="22"/>
      <c r="I1864" s="23" t="s">
        <v>9</v>
      </c>
      <c r="J1864" s="23"/>
      <c r="K1864" s="22"/>
      <c r="L1864" s="22"/>
      <c r="M1864" s="23"/>
      <c r="N1864" s="23"/>
      <c r="O1864" s="26" t="s">
        <v>4277</v>
      </c>
      <c r="P1864" s="26"/>
      <c r="Q1864" s="22"/>
      <c r="R1864" s="24"/>
      <c r="S1864" s="24"/>
      <c r="T1864" s="24"/>
      <c r="U1864" s="24"/>
      <c r="V1864" s="24"/>
      <c r="W1864" s="22" t="s">
        <v>940</v>
      </c>
      <c r="X1864" s="4" t="str">
        <f>IF(Tabela2[[#This Row],[sigla]]="","",VLOOKUP(Tabela2[[#This Row],[sigla]],créditos_base!B:C,2,0))</f>
        <v>RONALDO LUCENA/ARQUIVO DA EDITORA</v>
      </c>
      <c r="Y1864" s="23"/>
      <c r="Z1864" s="23" t="str">
        <f>Tabela2[[#This Row],[ilustrador]]</f>
        <v>RONALDO LUCENA/ARQUIVO DA EDITORA</v>
      </c>
      <c r="AA1864" s="22"/>
      <c r="AB1864" s="20"/>
      <c r="AD1864" s="4" t="str">
        <f>"Pitanguá"</f>
        <v>Pitanguá</v>
      </c>
      <c r="AE1864" s="14" t="str">
        <f>"Matemática"</f>
        <v>Matemática</v>
      </c>
      <c r="AF1864" s="14"/>
    </row>
    <row r="1865" spans="1:32" ht="43.2" x14ac:dyDescent="0.3">
      <c r="A1865" s="23" t="s">
        <v>4856</v>
      </c>
      <c r="B1865" s="20" t="s">
        <v>16</v>
      </c>
      <c r="C1865" s="20" t="s">
        <v>7</v>
      </c>
      <c r="D1865" s="20" t="s">
        <v>8</v>
      </c>
      <c r="E1865" s="22">
        <v>175</v>
      </c>
      <c r="F1865" s="22">
        <v>3</v>
      </c>
      <c r="G1865" s="22">
        <v>7</v>
      </c>
      <c r="H1865" s="22"/>
      <c r="I1865" s="23" t="s">
        <v>90</v>
      </c>
      <c r="J1865" s="23"/>
      <c r="K1865" s="22"/>
      <c r="L1865" s="22"/>
      <c r="M1865" s="23"/>
      <c r="N1865" s="23"/>
      <c r="O1865" s="26" t="s">
        <v>4857</v>
      </c>
      <c r="P1865" s="26"/>
      <c r="Q1865" s="22">
        <v>82</v>
      </c>
      <c r="R1865" s="24">
        <v>45829</v>
      </c>
      <c r="S1865" s="24">
        <v>45834</v>
      </c>
      <c r="T1865" s="24">
        <v>45837</v>
      </c>
      <c r="U1865" s="24">
        <v>45840</v>
      </c>
      <c r="V1865" s="24">
        <v>45845</v>
      </c>
      <c r="W1865" s="22" t="s">
        <v>4778</v>
      </c>
      <c r="X1865" s="4" t="str">
        <f>IF(Tabela2[[#This Row],[sigla]]="","",VLOOKUP(Tabela2[[#This Row],[sigla]],créditos_base!B:C,2,0))</f>
        <v>WERLLEN HOLANDA/ARQUIVO DA EDITORA</v>
      </c>
      <c r="Y1865" s="23"/>
      <c r="Z1865" s="23" t="str">
        <f>Tabela2[[#This Row],[ilustrador]]</f>
        <v>WERLLEN HOLANDA/ARQUIVO DA EDITORA</v>
      </c>
      <c r="AA1865" s="22">
        <v>4</v>
      </c>
      <c r="AB1865" s="26" t="s">
        <v>4855</v>
      </c>
      <c r="AC1865" s="20" t="s">
        <v>310</v>
      </c>
      <c r="AD1865" s="4" t="str">
        <f>"Pitanguá"</f>
        <v>Pitanguá</v>
      </c>
      <c r="AE1865" s="14" t="str">
        <f>"Matemática"</f>
        <v>Matemática</v>
      </c>
      <c r="AF1865" s="14"/>
    </row>
    <row r="1866" spans="1:32" ht="43.2" x14ac:dyDescent="0.3">
      <c r="A1866" s="23" t="s">
        <v>4278</v>
      </c>
      <c r="B1866" s="20" t="s">
        <v>135</v>
      </c>
      <c r="C1866" s="20" t="s">
        <v>89</v>
      </c>
      <c r="D1866" s="20" t="s">
        <v>8</v>
      </c>
      <c r="E1866" s="22">
        <v>232</v>
      </c>
      <c r="F1866" s="22">
        <v>5</v>
      </c>
      <c r="G1866" s="22">
        <v>7</v>
      </c>
      <c r="H1866" s="22"/>
      <c r="I1866" s="23" t="s">
        <v>9</v>
      </c>
      <c r="J1866" s="23"/>
      <c r="K1866" s="22"/>
      <c r="L1866" s="22"/>
      <c r="M1866" s="23"/>
      <c r="N1866" s="23"/>
      <c r="O1866" s="26" t="s">
        <v>4279</v>
      </c>
      <c r="P1866" s="26"/>
      <c r="Q1866" s="22"/>
      <c r="R1866" s="24"/>
      <c r="S1866" s="24"/>
      <c r="T1866" s="24"/>
      <c r="U1866" s="24"/>
      <c r="V1866" s="24"/>
      <c r="W1866" s="22" t="s">
        <v>940</v>
      </c>
      <c r="X1866" s="4" t="str">
        <f>IF(Tabela2[[#This Row],[sigla]]="","",VLOOKUP(Tabela2[[#This Row],[sigla]],créditos_base!B:C,2,0))</f>
        <v>RONALDO LUCENA/ARQUIVO DA EDITORA</v>
      </c>
      <c r="Y1866" s="23"/>
      <c r="Z1866" s="23" t="str">
        <f>Tabela2[[#This Row],[ilustrador]]</f>
        <v>RONALDO LUCENA/ARQUIVO DA EDITORA</v>
      </c>
      <c r="AA1866" s="22"/>
      <c r="AB1866" s="20"/>
      <c r="AD1866" s="4" t="str">
        <f>"Pitanguá"</f>
        <v>Pitanguá</v>
      </c>
      <c r="AE1866" s="14" t="str">
        <f>"Matemática"</f>
        <v>Matemática</v>
      </c>
      <c r="AF1866" s="14"/>
    </row>
    <row r="1867" spans="1:32" ht="43.2" x14ac:dyDescent="0.3">
      <c r="A1867" s="23" t="s">
        <v>5254</v>
      </c>
      <c r="B1867" s="20" t="s">
        <v>16</v>
      </c>
      <c r="C1867" s="20" t="s">
        <v>89</v>
      </c>
      <c r="D1867" s="20" t="s">
        <v>8</v>
      </c>
      <c r="E1867" s="22">
        <v>178</v>
      </c>
      <c r="F1867" s="22">
        <v>2</v>
      </c>
      <c r="G1867" s="22">
        <v>7</v>
      </c>
      <c r="H1867" s="22"/>
      <c r="I1867" s="23" t="s">
        <v>90</v>
      </c>
      <c r="J1867" s="23"/>
      <c r="K1867" s="22"/>
      <c r="L1867" s="22"/>
      <c r="M1867" s="23"/>
      <c r="N1867" s="23"/>
      <c r="O1867" s="26" t="s">
        <v>5255</v>
      </c>
      <c r="P1867" s="26"/>
      <c r="Q1867" s="22">
        <v>111</v>
      </c>
      <c r="R1867" s="24">
        <v>45853</v>
      </c>
      <c r="S1867" s="24">
        <v>45854</v>
      </c>
      <c r="T1867" s="24"/>
      <c r="U1867" s="24"/>
      <c r="V1867" s="24">
        <v>45854</v>
      </c>
      <c r="W1867" s="22" t="s">
        <v>468</v>
      </c>
      <c r="X1867" s="4" t="str">
        <f>IF(Tabela2[[#This Row],[sigla]]="","",VLOOKUP(Tabela2[[#This Row],[sigla]],créditos_base!B:C,2,0))</f>
        <v>VER DOCUMENTO DE ILS. TÉCNICAS</v>
      </c>
      <c r="Y1867" s="23" t="s">
        <v>243</v>
      </c>
      <c r="Z1867" s="23" t="s">
        <v>5062</v>
      </c>
      <c r="AA1867" s="22">
        <v>13</v>
      </c>
      <c r="AB1867" s="20" t="s">
        <v>5014</v>
      </c>
      <c r="AC1867" s="20" t="s">
        <v>36</v>
      </c>
      <c r="AD1867" s="4" t="str">
        <f>"Pitanguá"</f>
        <v>Pitanguá</v>
      </c>
      <c r="AE1867" s="14" t="str">
        <f>"Matemática"</f>
        <v>Matemática</v>
      </c>
      <c r="AF1867" s="14"/>
    </row>
    <row r="1868" spans="1:32" x14ac:dyDescent="0.3">
      <c r="A1868" s="23" t="s">
        <v>4280</v>
      </c>
      <c r="B1868" s="20" t="s">
        <v>135</v>
      </c>
      <c r="C1868" s="20" t="s">
        <v>89</v>
      </c>
      <c r="D1868" s="20" t="s">
        <v>8</v>
      </c>
      <c r="E1868" s="22">
        <v>232</v>
      </c>
      <c r="F1868" s="22">
        <v>5</v>
      </c>
      <c r="G1868" s="22">
        <v>7</v>
      </c>
      <c r="H1868" s="22"/>
      <c r="I1868" s="23" t="s">
        <v>9</v>
      </c>
      <c r="J1868" s="23"/>
      <c r="K1868" s="22"/>
      <c r="L1868" s="22"/>
      <c r="M1868" s="23"/>
      <c r="N1868" s="23"/>
      <c r="O1868" s="26" t="s">
        <v>4281</v>
      </c>
      <c r="P1868" s="26"/>
      <c r="Q1868" s="22"/>
      <c r="R1868" s="24"/>
      <c r="S1868" s="24"/>
      <c r="T1868" s="24"/>
      <c r="U1868" s="24"/>
      <c r="V1868" s="24"/>
      <c r="W1868" s="22" t="s">
        <v>940</v>
      </c>
      <c r="X1868" s="4" t="str">
        <f>IF(Tabela2[[#This Row],[sigla]]="","",VLOOKUP(Tabela2[[#This Row],[sigla]],créditos_base!B:C,2,0))</f>
        <v>RONALDO LUCENA/ARQUIVO DA EDITORA</v>
      </c>
      <c r="Y1868" s="23"/>
      <c r="Z1868" s="23" t="str">
        <f>Tabela2[[#This Row],[ilustrador]]</f>
        <v>RONALDO LUCENA/ARQUIVO DA EDITORA</v>
      </c>
      <c r="AA1868" s="22"/>
      <c r="AB1868" s="20"/>
      <c r="AD1868" s="4" t="str">
        <f>"Pitanguá"</f>
        <v>Pitanguá</v>
      </c>
      <c r="AE1868" s="14" t="str">
        <f>"Matemática"</f>
        <v>Matemática</v>
      </c>
      <c r="AF1868" s="14"/>
    </row>
    <row r="1869" spans="1:32" ht="43.2" x14ac:dyDescent="0.3">
      <c r="A1869" s="23" t="s">
        <v>5256</v>
      </c>
      <c r="B1869" s="20" t="s">
        <v>16</v>
      </c>
      <c r="C1869" s="20" t="s">
        <v>89</v>
      </c>
      <c r="D1869" s="20" t="s">
        <v>8</v>
      </c>
      <c r="E1869" s="22">
        <v>178</v>
      </c>
      <c r="F1869" s="22">
        <v>2</v>
      </c>
      <c r="G1869" s="22">
        <v>7</v>
      </c>
      <c r="H1869" s="22"/>
      <c r="I1869" s="23" t="s">
        <v>90</v>
      </c>
      <c r="J1869" s="23"/>
      <c r="K1869" s="22"/>
      <c r="L1869" s="22"/>
      <c r="M1869" s="23"/>
      <c r="N1869" s="23"/>
      <c r="O1869" s="26" t="s">
        <v>5257</v>
      </c>
      <c r="P1869" s="26"/>
      <c r="Q1869" s="22">
        <v>111</v>
      </c>
      <c r="R1869" s="24">
        <v>45853</v>
      </c>
      <c r="S1869" s="24">
        <v>45854</v>
      </c>
      <c r="T1869" s="24"/>
      <c r="U1869" s="24"/>
      <c r="V1869" s="24">
        <v>45854</v>
      </c>
      <c r="W1869" s="22" t="s">
        <v>468</v>
      </c>
      <c r="X1869" s="4" t="str">
        <f>IF(Tabela2[[#This Row],[sigla]]="","",VLOOKUP(Tabela2[[#This Row],[sigla]],créditos_base!B:C,2,0))</f>
        <v>VER DOCUMENTO DE ILS. TÉCNICAS</v>
      </c>
      <c r="Y1869" s="23" t="s">
        <v>243</v>
      </c>
      <c r="Z1869" s="23" t="s">
        <v>5062</v>
      </c>
      <c r="AA1869" s="22">
        <v>13</v>
      </c>
      <c r="AB1869" s="20" t="s">
        <v>5014</v>
      </c>
      <c r="AC1869" s="20" t="s">
        <v>36</v>
      </c>
      <c r="AD1869" s="4" t="str">
        <f>"Pitanguá"</f>
        <v>Pitanguá</v>
      </c>
      <c r="AE1869" s="14" t="str">
        <f>"Matemática"</f>
        <v>Matemática</v>
      </c>
      <c r="AF1869" s="14"/>
    </row>
    <row r="1870" spans="1:32" ht="43.2" x14ac:dyDescent="0.3">
      <c r="A1870" s="23" t="s">
        <v>4282</v>
      </c>
      <c r="B1870" s="20" t="s">
        <v>135</v>
      </c>
      <c r="C1870" s="20" t="s">
        <v>89</v>
      </c>
      <c r="D1870" s="20" t="s">
        <v>8</v>
      </c>
      <c r="E1870" s="22">
        <v>233</v>
      </c>
      <c r="F1870" s="22">
        <v>5</v>
      </c>
      <c r="G1870" s="22">
        <v>7</v>
      </c>
      <c r="H1870" s="22"/>
      <c r="I1870" s="23" t="s">
        <v>33</v>
      </c>
      <c r="J1870" s="23"/>
      <c r="K1870" s="22"/>
      <c r="L1870" s="22"/>
      <c r="M1870" s="23"/>
      <c r="N1870" s="23"/>
      <c r="O1870" s="26" t="s">
        <v>4283</v>
      </c>
      <c r="P1870" s="26"/>
      <c r="Q1870" s="22">
        <v>140</v>
      </c>
      <c r="R1870" s="24">
        <v>45869</v>
      </c>
      <c r="S1870" s="24">
        <v>45876</v>
      </c>
      <c r="T1870" s="24"/>
      <c r="U1870" s="24"/>
      <c r="V1870" s="24">
        <v>45876</v>
      </c>
      <c r="W1870" s="22" t="s">
        <v>940</v>
      </c>
      <c r="X1870" s="4" t="str">
        <f>IF(Tabela2[[#This Row],[sigla]]="","",VLOOKUP(Tabela2[[#This Row],[sigla]],créditos_base!B:C,2,0))</f>
        <v>RONALDO LUCENA/ARQUIVO DA EDITORA</v>
      </c>
      <c r="Y1870" s="23" t="s">
        <v>524</v>
      </c>
      <c r="Z1870" s="23" t="str">
        <f>Tabela2[[#This Row],[ilustrador]]</f>
        <v>RONALDO LUCENA/ARQUIVO DA EDITORA</v>
      </c>
      <c r="AA1870" s="22">
        <v>13</v>
      </c>
      <c r="AB1870" s="20" t="s">
        <v>525</v>
      </c>
      <c r="AC1870" s="20" t="s">
        <v>36</v>
      </c>
      <c r="AD1870" s="4" t="str">
        <f>"Pitanguá"</f>
        <v>Pitanguá</v>
      </c>
      <c r="AE1870" s="14" t="str">
        <f>"Matemática"</f>
        <v>Matemática</v>
      </c>
      <c r="AF1870" s="14"/>
    </row>
    <row r="1871" spans="1:32" ht="43.2" x14ac:dyDescent="0.3">
      <c r="A1871" s="23" t="s">
        <v>5258</v>
      </c>
      <c r="B1871" s="20" t="s">
        <v>16</v>
      </c>
      <c r="C1871" s="20" t="s">
        <v>89</v>
      </c>
      <c r="D1871" s="20" t="s">
        <v>8</v>
      </c>
      <c r="E1871" s="22">
        <v>178</v>
      </c>
      <c r="F1871" s="22">
        <v>2</v>
      </c>
      <c r="G1871" s="22">
        <v>7</v>
      </c>
      <c r="H1871" s="22"/>
      <c r="I1871" s="23" t="s">
        <v>90</v>
      </c>
      <c r="J1871" s="23"/>
      <c r="K1871" s="22"/>
      <c r="L1871" s="22"/>
      <c r="M1871" s="23"/>
      <c r="N1871" s="23"/>
      <c r="O1871" s="26" t="s">
        <v>5259</v>
      </c>
      <c r="P1871" s="26"/>
      <c r="Q1871" s="22">
        <v>111</v>
      </c>
      <c r="R1871" s="24">
        <v>45853</v>
      </c>
      <c r="S1871" s="24">
        <v>45854</v>
      </c>
      <c r="T1871" s="24"/>
      <c r="U1871" s="24"/>
      <c r="V1871" s="24">
        <v>45854</v>
      </c>
      <c r="W1871" s="22" t="s">
        <v>468</v>
      </c>
      <c r="X1871" s="4" t="str">
        <f>IF(Tabela2[[#This Row],[sigla]]="","",VLOOKUP(Tabela2[[#This Row],[sigla]],créditos_base!B:C,2,0))</f>
        <v>VER DOCUMENTO DE ILS. TÉCNICAS</v>
      </c>
      <c r="Y1871" s="23" t="s">
        <v>243</v>
      </c>
      <c r="Z1871" s="23" t="s">
        <v>5062</v>
      </c>
      <c r="AA1871" s="22">
        <v>13</v>
      </c>
      <c r="AB1871" s="20" t="s">
        <v>5014</v>
      </c>
      <c r="AC1871" s="20" t="s">
        <v>36</v>
      </c>
      <c r="AD1871" s="4" t="str">
        <f>"Pitanguá"</f>
        <v>Pitanguá</v>
      </c>
      <c r="AE1871" s="14" t="str">
        <f>"Matemática"</f>
        <v>Matemática</v>
      </c>
      <c r="AF1871" s="14"/>
    </row>
    <row r="1872" spans="1:32" ht="28.8" x14ac:dyDescent="0.3">
      <c r="A1872" s="23" t="s">
        <v>4284</v>
      </c>
      <c r="B1872" s="20" t="s">
        <v>135</v>
      </c>
      <c r="C1872" s="20" t="s">
        <v>89</v>
      </c>
      <c r="D1872" s="20" t="s">
        <v>8</v>
      </c>
      <c r="E1872" s="22">
        <v>233</v>
      </c>
      <c r="F1872" s="22">
        <v>5</v>
      </c>
      <c r="G1872" s="22">
        <v>7</v>
      </c>
      <c r="H1872" s="22"/>
      <c r="I1872" s="23" t="s">
        <v>9</v>
      </c>
      <c r="J1872" s="23"/>
      <c r="K1872" s="22"/>
      <c r="L1872" s="22"/>
      <c r="M1872" s="23"/>
      <c r="N1872" s="23"/>
      <c r="O1872" s="26" t="s">
        <v>4285</v>
      </c>
      <c r="P1872" s="26"/>
      <c r="Q1872" s="22"/>
      <c r="R1872" s="24"/>
      <c r="S1872" s="24"/>
      <c r="T1872" s="24"/>
      <c r="U1872" s="24"/>
      <c r="V1872" s="24"/>
      <c r="W1872" s="22" t="s">
        <v>940</v>
      </c>
      <c r="X1872" s="4" t="str">
        <f>IF(Tabela2[[#This Row],[sigla]]="","",VLOOKUP(Tabela2[[#This Row],[sigla]],créditos_base!B:C,2,0))</f>
        <v>RONALDO LUCENA/ARQUIVO DA EDITORA</v>
      </c>
      <c r="Y1872" s="23"/>
      <c r="Z1872" s="23" t="str">
        <f>Tabela2[[#This Row],[ilustrador]]</f>
        <v>RONALDO LUCENA/ARQUIVO DA EDITORA</v>
      </c>
      <c r="AA1872" s="22"/>
      <c r="AB1872" s="20"/>
      <c r="AD1872" s="4" t="str">
        <f>"Pitanguá"</f>
        <v>Pitanguá</v>
      </c>
      <c r="AE1872" s="14" t="str">
        <f>"Matemática"</f>
        <v>Matemática</v>
      </c>
      <c r="AF1872" s="14"/>
    </row>
    <row r="1873" spans="1:32" ht="43.2" x14ac:dyDescent="0.3">
      <c r="A1873" s="23" t="s">
        <v>5260</v>
      </c>
      <c r="B1873" s="20" t="s">
        <v>16</v>
      </c>
      <c r="C1873" s="20" t="s">
        <v>89</v>
      </c>
      <c r="D1873" s="20" t="s">
        <v>8</v>
      </c>
      <c r="E1873" s="22">
        <v>178</v>
      </c>
      <c r="F1873" s="22">
        <v>2</v>
      </c>
      <c r="G1873" s="22">
        <v>7</v>
      </c>
      <c r="H1873" s="22"/>
      <c r="I1873" s="23" t="s">
        <v>90</v>
      </c>
      <c r="J1873" s="23"/>
      <c r="K1873" s="22"/>
      <c r="L1873" s="22"/>
      <c r="M1873" s="23"/>
      <c r="N1873" s="23"/>
      <c r="O1873" s="26" t="s">
        <v>5261</v>
      </c>
      <c r="P1873" s="26"/>
      <c r="Q1873" s="22">
        <v>111</v>
      </c>
      <c r="R1873" s="24">
        <v>45853</v>
      </c>
      <c r="S1873" s="24">
        <v>45854</v>
      </c>
      <c r="T1873" s="24"/>
      <c r="U1873" s="24"/>
      <c r="V1873" s="24">
        <v>45854</v>
      </c>
      <c r="W1873" s="22" t="s">
        <v>468</v>
      </c>
      <c r="X1873" s="4" t="str">
        <f>IF(Tabela2[[#This Row],[sigla]]="","",VLOOKUP(Tabela2[[#This Row],[sigla]],créditos_base!B:C,2,0))</f>
        <v>VER DOCUMENTO DE ILS. TÉCNICAS</v>
      </c>
      <c r="Y1873" s="23" t="s">
        <v>243</v>
      </c>
      <c r="Z1873" s="23" t="s">
        <v>5062</v>
      </c>
      <c r="AA1873" s="22">
        <v>13</v>
      </c>
      <c r="AB1873" s="20" t="s">
        <v>5014</v>
      </c>
      <c r="AC1873" s="20" t="s">
        <v>36</v>
      </c>
      <c r="AD1873" s="4" t="str">
        <f>"Pitanguá"</f>
        <v>Pitanguá</v>
      </c>
      <c r="AE1873" s="14" t="str">
        <f>"Matemática"</f>
        <v>Matemática</v>
      </c>
      <c r="AF1873" s="14"/>
    </row>
    <row r="1874" spans="1:32" ht="57.6" x14ac:dyDescent="0.3">
      <c r="A1874" s="23" t="s">
        <v>4286</v>
      </c>
      <c r="B1874" s="20" t="s">
        <v>135</v>
      </c>
      <c r="C1874" s="20" t="s">
        <v>89</v>
      </c>
      <c r="D1874" s="20" t="s">
        <v>8</v>
      </c>
      <c r="E1874" s="22">
        <v>233</v>
      </c>
      <c r="F1874" s="22">
        <v>5</v>
      </c>
      <c r="G1874" s="22">
        <v>7</v>
      </c>
      <c r="H1874" s="22"/>
      <c r="I1874" s="23" t="s">
        <v>9</v>
      </c>
      <c r="J1874" s="23"/>
      <c r="K1874" s="22"/>
      <c r="L1874" s="22"/>
      <c r="M1874" s="23"/>
      <c r="N1874" s="23"/>
      <c r="O1874" s="26" t="s">
        <v>4287</v>
      </c>
      <c r="P1874" s="26"/>
      <c r="Q1874" s="22"/>
      <c r="R1874" s="24"/>
      <c r="S1874" s="24"/>
      <c r="T1874" s="24"/>
      <c r="U1874" s="24"/>
      <c r="V1874" s="24"/>
      <c r="W1874" s="22" t="s">
        <v>940</v>
      </c>
      <c r="X1874" s="4" t="str">
        <f>IF(Tabela2[[#This Row],[sigla]]="","",VLOOKUP(Tabela2[[#This Row],[sigla]],créditos_base!B:C,2,0))</f>
        <v>RONALDO LUCENA/ARQUIVO DA EDITORA</v>
      </c>
      <c r="Y1874" s="23"/>
      <c r="Z1874" s="23" t="str">
        <f>Tabela2[[#This Row],[ilustrador]]</f>
        <v>RONALDO LUCENA/ARQUIVO DA EDITORA</v>
      </c>
      <c r="AA1874" s="22"/>
      <c r="AB1874" s="20"/>
      <c r="AD1874" s="4" t="str">
        <f>"Pitanguá"</f>
        <v>Pitanguá</v>
      </c>
      <c r="AE1874" s="14" t="str">
        <f>"Matemática"</f>
        <v>Matemática</v>
      </c>
      <c r="AF1874" s="14"/>
    </row>
    <row r="1875" spans="1:32" ht="28.8" x14ac:dyDescent="0.3">
      <c r="A1875" s="23" t="s">
        <v>4861</v>
      </c>
      <c r="B1875" s="20" t="s">
        <v>16</v>
      </c>
      <c r="C1875" s="20" t="s">
        <v>89</v>
      </c>
      <c r="D1875" s="20" t="s">
        <v>8</v>
      </c>
      <c r="E1875" s="22">
        <v>193</v>
      </c>
      <c r="F1875" s="22">
        <v>3</v>
      </c>
      <c r="G1875" s="22">
        <v>7</v>
      </c>
      <c r="H1875" s="22"/>
      <c r="I1875" s="23" t="s">
        <v>90</v>
      </c>
      <c r="J1875" s="23"/>
      <c r="K1875" s="22"/>
      <c r="L1875" s="22"/>
      <c r="M1875" s="23"/>
      <c r="N1875" s="23"/>
      <c r="O1875" s="26" t="s">
        <v>4862</v>
      </c>
      <c r="P1875" s="26"/>
      <c r="Q1875" s="22">
        <v>82</v>
      </c>
      <c r="R1875" s="24">
        <v>45829</v>
      </c>
      <c r="S1875" s="24">
        <v>45833</v>
      </c>
      <c r="T1875" s="24"/>
      <c r="U1875" s="24"/>
      <c r="V1875" s="24">
        <v>45835</v>
      </c>
      <c r="W1875" s="22" t="s">
        <v>72</v>
      </c>
      <c r="X1875" s="4" t="str">
        <f>IF(Tabela2[[#This Row],[sigla]]="","",VLOOKUP(Tabela2[[#This Row],[sigla]],créditos_base!B:C,2,0))</f>
        <v>HELOÍSA PINTARELLI/ARQUIVO DA EDITORA</v>
      </c>
      <c r="Y1875" s="23"/>
      <c r="Z1875" s="23" t="s">
        <v>661</v>
      </c>
      <c r="AA1875" s="22">
        <v>13</v>
      </c>
      <c r="AB1875" s="20" t="s">
        <v>4860</v>
      </c>
      <c r="AC1875" s="20" t="s">
        <v>310</v>
      </c>
      <c r="AD1875" s="4" t="str">
        <f>"Pitanguá"</f>
        <v>Pitanguá</v>
      </c>
      <c r="AE1875" s="14" t="str">
        <f>"Matemática"</f>
        <v>Matemática</v>
      </c>
      <c r="AF1875" s="14"/>
    </row>
    <row r="1876" spans="1:32" ht="28.8" x14ac:dyDescent="0.3">
      <c r="A1876" s="23" t="s">
        <v>5340</v>
      </c>
      <c r="B1876" s="20" t="s">
        <v>16</v>
      </c>
      <c r="C1876" s="20" t="s">
        <v>89</v>
      </c>
      <c r="D1876" s="20" t="s">
        <v>8</v>
      </c>
      <c r="E1876" s="22">
        <v>187</v>
      </c>
      <c r="F1876" s="22">
        <v>4</v>
      </c>
      <c r="G1876" s="22">
        <v>7</v>
      </c>
      <c r="H1876" s="22"/>
      <c r="I1876" s="23" t="s">
        <v>90</v>
      </c>
      <c r="J1876" s="23"/>
      <c r="K1876" s="22"/>
      <c r="L1876" s="22"/>
      <c r="M1876" s="23"/>
      <c r="N1876" s="23"/>
      <c r="O1876" s="26" t="s">
        <v>5341</v>
      </c>
      <c r="P1876" s="26"/>
      <c r="Q1876" s="22">
        <v>123</v>
      </c>
      <c r="R1876" s="24">
        <v>45861</v>
      </c>
      <c r="S1876" s="24">
        <v>45863</v>
      </c>
      <c r="T1876" s="24"/>
      <c r="U1876" s="24"/>
      <c r="V1876" s="24">
        <v>45863</v>
      </c>
      <c r="W1876" s="22" t="s">
        <v>2675</v>
      </c>
      <c r="X1876" s="4" t="str">
        <f>IF(Tabela2[[#This Row],[sigla]]="","",VLOOKUP(Tabela2[[#This Row],[sigla]],créditos_base!B:C,2,0))</f>
        <v>INGRIDHI BORGES/ARQUIVO DA EDITORA</v>
      </c>
      <c r="Y1876" s="23"/>
      <c r="Z1876" s="23" t="str">
        <f>Tabela2[[#This Row],[ilustrador]]</f>
        <v>INGRIDHI BORGES/ARQUIVO DA EDITORA</v>
      </c>
      <c r="AA1876" s="22">
        <v>8</v>
      </c>
      <c r="AB1876" s="20" t="s">
        <v>2058</v>
      </c>
      <c r="AC1876" s="20" t="s">
        <v>36</v>
      </c>
      <c r="AD1876" s="4" t="str">
        <f>"Pitanguá"</f>
        <v>Pitanguá</v>
      </c>
      <c r="AE1876" s="14" t="str">
        <f>"Matemática"</f>
        <v>Matemática</v>
      </c>
      <c r="AF1876" s="14"/>
    </row>
    <row r="1877" spans="1:32" x14ac:dyDescent="0.3">
      <c r="A1877" s="23" t="s">
        <v>4288</v>
      </c>
      <c r="B1877" s="20" t="s">
        <v>135</v>
      </c>
      <c r="C1877" s="20" t="s">
        <v>89</v>
      </c>
      <c r="D1877" s="20" t="s">
        <v>8</v>
      </c>
      <c r="E1877" s="22">
        <v>233</v>
      </c>
      <c r="F1877" s="22">
        <v>5</v>
      </c>
      <c r="G1877" s="22">
        <v>7</v>
      </c>
      <c r="H1877" s="22"/>
      <c r="I1877" s="23" t="s">
        <v>9</v>
      </c>
      <c r="J1877" s="23"/>
      <c r="K1877" s="22"/>
      <c r="L1877" s="22"/>
      <c r="M1877" s="23"/>
      <c r="N1877" s="23"/>
      <c r="O1877" s="26" t="s">
        <v>4289</v>
      </c>
      <c r="P1877" s="26"/>
      <c r="Q1877" s="22"/>
      <c r="R1877" s="24"/>
      <c r="S1877" s="24"/>
      <c r="T1877" s="24"/>
      <c r="U1877" s="24"/>
      <c r="V1877" s="24"/>
      <c r="W1877" s="22" t="s">
        <v>940</v>
      </c>
      <c r="X1877" s="4" t="str">
        <f>IF(Tabela2[[#This Row],[sigla]]="","",VLOOKUP(Tabela2[[#This Row],[sigla]],créditos_base!B:C,2,0))</f>
        <v>RONALDO LUCENA/ARQUIVO DA EDITORA</v>
      </c>
      <c r="Y1877" s="23"/>
      <c r="Z1877" s="23" t="str">
        <f>Tabela2[[#This Row],[ilustrador]]</f>
        <v>RONALDO LUCENA/ARQUIVO DA EDITORA</v>
      </c>
      <c r="AA1877" s="22"/>
      <c r="AB1877" s="20"/>
      <c r="AD1877" s="4" t="str">
        <f>"Pitanguá"</f>
        <v>Pitanguá</v>
      </c>
      <c r="AE1877" s="14" t="str">
        <f>"Matemática"</f>
        <v>Matemática</v>
      </c>
      <c r="AF1877" s="14"/>
    </row>
    <row r="1878" spans="1:32" x14ac:dyDescent="0.3">
      <c r="A1878" s="23" t="s">
        <v>4290</v>
      </c>
      <c r="B1878" s="20" t="s">
        <v>135</v>
      </c>
      <c r="C1878" s="20" t="s">
        <v>89</v>
      </c>
      <c r="D1878" s="20" t="s">
        <v>8</v>
      </c>
      <c r="E1878" s="22">
        <v>234</v>
      </c>
      <c r="F1878" s="22">
        <v>5</v>
      </c>
      <c r="G1878" s="22">
        <v>7</v>
      </c>
      <c r="H1878" s="22"/>
      <c r="I1878" s="23" t="s">
        <v>9</v>
      </c>
      <c r="J1878" s="23"/>
      <c r="K1878" s="22"/>
      <c r="L1878" s="22"/>
      <c r="M1878" s="23"/>
      <c r="N1878" s="23"/>
      <c r="O1878" s="26" t="s">
        <v>4291</v>
      </c>
      <c r="P1878" s="26"/>
      <c r="Q1878" s="22"/>
      <c r="R1878" s="24"/>
      <c r="S1878" s="24"/>
      <c r="T1878" s="24"/>
      <c r="U1878" s="24"/>
      <c r="V1878" s="24"/>
      <c r="W1878" s="22" t="s">
        <v>940</v>
      </c>
      <c r="X1878" s="4" t="str">
        <f>IF(Tabela2[[#This Row],[sigla]]="","",VLOOKUP(Tabela2[[#This Row],[sigla]],créditos_base!B:C,2,0))</f>
        <v>RONALDO LUCENA/ARQUIVO DA EDITORA</v>
      </c>
      <c r="Y1878" s="23"/>
      <c r="Z1878" s="23" t="str">
        <f>Tabela2[[#This Row],[ilustrador]]</f>
        <v>RONALDO LUCENA/ARQUIVO DA EDITORA</v>
      </c>
      <c r="AA1878" s="22"/>
      <c r="AB1878" s="20"/>
      <c r="AD1878" s="4" t="str">
        <f>"Pitanguá"</f>
        <v>Pitanguá</v>
      </c>
      <c r="AE1878" s="14" t="str">
        <f>"Matemática"</f>
        <v>Matemática</v>
      </c>
      <c r="AF1878" s="14"/>
    </row>
    <row r="1879" spans="1:32" ht="28.8" x14ac:dyDescent="0.3">
      <c r="A1879" s="23" t="s">
        <v>4292</v>
      </c>
      <c r="B1879" s="20" t="s">
        <v>135</v>
      </c>
      <c r="C1879" s="20" t="s">
        <v>89</v>
      </c>
      <c r="D1879" s="20" t="s">
        <v>8</v>
      </c>
      <c r="E1879" s="22">
        <v>234</v>
      </c>
      <c r="F1879" s="22">
        <v>5</v>
      </c>
      <c r="G1879" s="22">
        <v>7</v>
      </c>
      <c r="H1879" s="22"/>
      <c r="I1879" s="23" t="s">
        <v>9</v>
      </c>
      <c r="J1879" s="23"/>
      <c r="K1879" s="22"/>
      <c r="L1879" s="22"/>
      <c r="M1879" s="23"/>
      <c r="N1879" s="23"/>
      <c r="O1879" s="26" t="s">
        <v>4293</v>
      </c>
      <c r="P1879" s="26"/>
      <c r="Q1879" s="22"/>
      <c r="R1879" s="24"/>
      <c r="S1879" s="24"/>
      <c r="T1879" s="24"/>
      <c r="U1879" s="24"/>
      <c r="V1879" s="24"/>
      <c r="W1879" s="22" t="s">
        <v>940</v>
      </c>
      <c r="X1879" s="4" t="str">
        <f>IF(Tabela2[[#This Row],[sigla]]="","",VLOOKUP(Tabela2[[#This Row],[sigla]],créditos_base!B:C,2,0))</f>
        <v>RONALDO LUCENA/ARQUIVO DA EDITORA</v>
      </c>
      <c r="Y1879" s="23"/>
      <c r="Z1879" s="23" t="str">
        <f>Tabela2[[#This Row],[ilustrador]]</f>
        <v>RONALDO LUCENA/ARQUIVO DA EDITORA</v>
      </c>
      <c r="AA1879" s="22"/>
      <c r="AB1879" s="20"/>
      <c r="AD1879" s="4" t="str">
        <f>"Pitanguá"</f>
        <v>Pitanguá</v>
      </c>
      <c r="AE1879" s="14" t="str">
        <f>"Matemática"</f>
        <v>Matemática</v>
      </c>
      <c r="AF1879" s="14"/>
    </row>
    <row r="1880" spans="1:32" ht="28.8" x14ac:dyDescent="0.3">
      <c r="A1880" s="23" t="s">
        <v>4863</v>
      </c>
      <c r="B1880" s="20" t="s">
        <v>16</v>
      </c>
      <c r="C1880" s="20" t="s">
        <v>89</v>
      </c>
      <c r="D1880" s="20" t="s">
        <v>8</v>
      </c>
      <c r="E1880" s="22">
        <v>193</v>
      </c>
      <c r="F1880" s="22">
        <v>3</v>
      </c>
      <c r="G1880" s="22">
        <v>7</v>
      </c>
      <c r="H1880" s="22"/>
      <c r="I1880" s="23" t="s">
        <v>90</v>
      </c>
      <c r="J1880" s="23"/>
      <c r="K1880" s="22"/>
      <c r="L1880" s="22"/>
      <c r="M1880" s="23"/>
      <c r="N1880" s="23"/>
      <c r="O1880" s="26" t="s">
        <v>4864</v>
      </c>
      <c r="P1880" s="26"/>
      <c r="Q1880" s="22">
        <v>82</v>
      </c>
      <c r="R1880" s="24">
        <v>45829</v>
      </c>
      <c r="S1880" s="24">
        <v>45833</v>
      </c>
      <c r="T1880" s="24"/>
      <c r="U1880" s="24"/>
      <c r="V1880" s="24">
        <v>45835</v>
      </c>
      <c r="W1880" s="22" t="s">
        <v>72</v>
      </c>
      <c r="X1880" s="4" t="str">
        <f>IF(Tabela2[[#This Row],[sigla]]="","",VLOOKUP(Tabela2[[#This Row],[sigla]],créditos_base!B:C,2,0))</f>
        <v>HELOÍSA PINTARELLI/ARQUIVO DA EDITORA</v>
      </c>
      <c r="Y1880" s="23"/>
      <c r="Z1880" s="23" t="s">
        <v>661</v>
      </c>
      <c r="AA1880" s="22">
        <v>13</v>
      </c>
      <c r="AB1880" s="20" t="s">
        <v>4860</v>
      </c>
      <c r="AC1880" s="20" t="s">
        <v>310</v>
      </c>
      <c r="AD1880" s="4" t="str">
        <f>"Pitanguá"</f>
        <v>Pitanguá</v>
      </c>
      <c r="AE1880" s="14" t="str">
        <f>"Matemática"</f>
        <v>Matemática</v>
      </c>
      <c r="AF1880" s="14"/>
    </row>
    <row r="1881" spans="1:32" ht="28.8" x14ac:dyDescent="0.3">
      <c r="A1881" s="23" t="s">
        <v>4294</v>
      </c>
      <c r="B1881" s="20" t="s">
        <v>135</v>
      </c>
      <c r="C1881" s="20" t="s">
        <v>89</v>
      </c>
      <c r="D1881" s="20" t="s">
        <v>8</v>
      </c>
      <c r="E1881" s="22">
        <v>234</v>
      </c>
      <c r="F1881" s="22">
        <v>5</v>
      </c>
      <c r="G1881" s="22">
        <v>7</v>
      </c>
      <c r="H1881" s="22"/>
      <c r="I1881" s="23" t="s">
        <v>9</v>
      </c>
      <c r="J1881" s="23"/>
      <c r="K1881" s="22"/>
      <c r="L1881" s="22"/>
      <c r="M1881" s="23"/>
      <c r="N1881" s="23"/>
      <c r="O1881" s="26" t="s">
        <v>4295</v>
      </c>
      <c r="P1881" s="26"/>
      <c r="Q1881" s="22"/>
      <c r="R1881" s="24"/>
      <c r="S1881" s="24"/>
      <c r="T1881" s="24"/>
      <c r="U1881" s="24"/>
      <c r="V1881" s="24"/>
      <c r="W1881" s="22" t="s">
        <v>940</v>
      </c>
      <c r="X1881" s="4" t="str">
        <f>IF(Tabela2[[#This Row],[sigla]]="","",VLOOKUP(Tabela2[[#This Row],[sigla]],créditos_base!B:C,2,0))</f>
        <v>RONALDO LUCENA/ARQUIVO DA EDITORA</v>
      </c>
      <c r="Y1881" s="23"/>
      <c r="Z1881" s="23" t="str">
        <f>Tabela2[[#This Row],[ilustrador]]</f>
        <v>RONALDO LUCENA/ARQUIVO DA EDITORA</v>
      </c>
      <c r="AA1881" s="22"/>
      <c r="AB1881" s="20"/>
      <c r="AD1881" s="4" t="str">
        <f>"Pitanguá"</f>
        <v>Pitanguá</v>
      </c>
      <c r="AE1881" s="14" t="str">
        <f>"Matemática"</f>
        <v>Matemática</v>
      </c>
      <c r="AF1881" s="14"/>
    </row>
    <row r="1882" spans="1:32" ht="28.8" x14ac:dyDescent="0.3">
      <c r="A1882" s="23" t="s">
        <v>4296</v>
      </c>
      <c r="B1882" s="20" t="s">
        <v>135</v>
      </c>
      <c r="C1882" s="20" t="s">
        <v>89</v>
      </c>
      <c r="D1882" s="20" t="s">
        <v>8</v>
      </c>
      <c r="E1882" s="22">
        <v>234</v>
      </c>
      <c r="F1882" s="22">
        <v>5</v>
      </c>
      <c r="G1882" s="22">
        <v>7</v>
      </c>
      <c r="H1882" s="22"/>
      <c r="I1882" s="23" t="s">
        <v>9</v>
      </c>
      <c r="J1882" s="23"/>
      <c r="K1882" s="22"/>
      <c r="L1882" s="22"/>
      <c r="M1882" s="23"/>
      <c r="N1882" s="23"/>
      <c r="O1882" s="26" t="s">
        <v>4297</v>
      </c>
      <c r="P1882" s="26"/>
      <c r="Q1882" s="22"/>
      <c r="R1882" s="24"/>
      <c r="S1882" s="24"/>
      <c r="T1882" s="24"/>
      <c r="U1882" s="24"/>
      <c r="V1882" s="24"/>
      <c r="W1882" s="22" t="s">
        <v>940</v>
      </c>
      <c r="X1882" s="4" t="str">
        <f>IF(Tabela2[[#This Row],[sigla]]="","",VLOOKUP(Tabela2[[#This Row],[sigla]],créditos_base!B:C,2,0))</f>
        <v>RONALDO LUCENA/ARQUIVO DA EDITORA</v>
      </c>
      <c r="Y1882" s="23"/>
      <c r="Z1882" s="23" t="str">
        <f>Tabela2[[#This Row],[ilustrador]]</f>
        <v>RONALDO LUCENA/ARQUIVO DA EDITORA</v>
      </c>
      <c r="AA1882" s="22"/>
      <c r="AB1882" s="20"/>
      <c r="AD1882" s="4" t="str">
        <f>"Pitanguá"</f>
        <v>Pitanguá</v>
      </c>
      <c r="AE1882" s="14" t="str">
        <f>"Matemática"</f>
        <v>Matemática</v>
      </c>
      <c r="AF1882" s="14"/>
    </row>
    <row r="1883" spans="1:32" ht="28.8" x14ac:dyDescent="0.3">
      <c r="A1883" s="23" t="s">
        <v>4848</v>
      </c>
      <c r="B1883" s="20" t="s">
        <v>6</v>
      </c>
      <c r="C1883" s="20" t="s">
        <v>89</v>
      </c>
      <c r="D1883" s="20" t="s">
        <v>8</v>
      </c>
      <c r="E1883" s="22">
        <v>168</v>
      </c>
      <c r="F1883" s="22">
        <v>3</v>
      </c>
      <c r="G1883" s="22">
        <v>7</v>
      </c>
      <c r="H1883" s="22"/>
      <c r="I1883" s="23" t="s">
        <v>90</v>
      </c>
      <c r="J1883" s="23"/>
      <c r="K1883" s="22"/>
      <c r="L1883" s="22"/>
      <c r="M1883" s="23"/>
      <c r="N1883" s="23"/>
      <c r="O1883" s="26" t="s">
        <v>4849</v>
      </c>
      <c r="P1883" s="26" t="s">
        <v>4850</v>
      </c>
      <c r="Q1883" s="22">
        <v>82</v>
      </c>
      <c r="R1883" s="24">
        <v>45829</v>
      </c>
      <c r="S1883" s="24">
        <v>45834</v>
      </c>
      <c r="T1883" s="24">
        <v>45839</v>
      </c>
      <c r="U1883" s="24"/>
      <c r="V1883" s="24"/>
      <c r="W1883" s="22" t="s">
        <v>4778</v>
      </c>
      <c r="X1883" s="4" t="str">
        <f>IF(Tabela2[[#This Row],[sigla]]="","",VLOOKUP(Tabela2[[#This Row],[sigla]],créditos_base!B:C,2,0))</f>
        <v>WERLLEN HOLANDA/ARQUIVO DA EDITORA</v>
      </c>
      <c r="Y1883" s="23"/>
      <c r="Z1883" s="23" t="str">
        <f>Tabela2[[#This Row],[ilustrador]]</f>
        <v>WERLLEN HOLANDA/ARQUIVO DA EDITORA</v>
      </c>
      <c r="AA1883" s="22">
        <v>7</v>
      </c>
      <c r="AB1883" s="26" t="s">
        <v>4851</v>
      </c>
      <c r="AC1883" s="20" t="s">
        <v>4852</v>
      </c>
      <c r="AD1883" s="4" t="str">
        <f>"Pitanguá"</f>
        <v>Pitanguá</v>
      </c>
      <c r="AE1883" s="14" t="str">
        <f>"Matemática"</f>
        <v>Matemática</v>
      </c>
      <c r="AF1883" s="14"/>
    </row>
    <row r="1884" spans="1:32" ht="28.8" x14ac:dyDescent="0.3">
      <c r="A1884" s="23" t="s">
        <v>4298</v>
      </c>
      <c r="B1884" s="20" t="s">
        <v>522</v>
      </c>
      <c r="C1884" s="20" t="s">
        <v>89</v>
      </c>
      <c r="D1884" s="20" t="s">
        <v>8</v>
      </c>
      <c r="E1884" s="22">
        <v>235</v>
      </c>
      <c r="F1884" s="22">
        <v>5</v>
      </c>
      <c r="G1884" s="22">
        <v>7</v>
      </c>
      <c r="H1884" s="22"/>
      <c r="I1884" s="23" t="s">
        <v>33</v>
      </c>
      <c r="J1884" s="23"/>
      <c r="K1884" s="22"/>
      <c r="L1884" s="22"/>
      <c r="M1884" s="23"/>
      <c r="N1884" s="23"/>
      <c r="O1884" s="26" t="s">
        <v>4299</v>
      </c>
      <c r="P1884" s="26"/>
      <c r="Q1884" s="22">
        <v>204</v>
      </c>
      <c r="R1884" s="24">
        <v>45925</v>
      </c>
      <c r="S1884" s="24">
        <v>45925</v>
      </c>
      <c r="T1884" s="24"/>
      <c r="U1884" s="24"/>
      <c r="V1884" s="24">
        <v>45925</v>
      </c>
      <c r="W1884" s="22" t="s">
        <v>3382</v>
      </c>
      <c r="X1884" s="4" t="str">
        <f>IF(Tabela2[[#This Row],[sigla]]="","",VLOOKUP(Tabela2[[#This Row],[sigla]],créditos_base!B:C,2,0))</f>
        <v>LEONARDO MARI/ARQUIVO DA EDITORA</v>
      </c>
      <c r="Y1884" s="23" t="s">
        <v>243</v>
      </c>
      <c r="Z1884" s="23" t="str">
        <f>Tabela2[[#This Row],[ilustrador]]</f>
        <v>LEONARDO MARI/ARQUIVO DA EDITORA</v>
      </c>
      <c r="AA1884" s="22">
        <v>13</v>
      </c>
      <c r="AB1884" s="20"/>
      <c r="AC1884" s="20" t="s">
        <v>36</v>
      </c>
      <c r="AD1884" s="4" t="str">
        <f>"Pitanguá"</f>
        <v>Pitanguá</v>
      </c>
      <c r="AE1884" s="14" t="str">
        <f>"Matemática"</f>
        <v>Matemática</v>
      </c>
      <c r="AF1884" s="14"/>
    </row>
    <row r="1885" spans="1:32" x14ac:dyDescent="0.3">
      <c r="A1885" s="23" t="s">
        <v>4853</v>
      </c>
      <c r="B1885" s="20" t="s">
        <v>16</v>
      </c>
      <c r="C1885" s="20" t="s">
        <v>89</v>
      </c>
      <c r="D1885" s="20" t="s">
        <v>8</v>
      </c>
      <c r="E1885" s="22">
        <v>174</v>
      </c>
      <c r="F1885" s="22">
        <v>3</v>
      </c>
      <c r="G1885" s="22">
        <v>7</v>
      </c>
      <c r="H1885" s="22"/>
      <c r="I1885" s="23" t="s">
        <v>90</v>
      </c>
      <c r="J1885" s="23"/>
      <c r="K1885" s="22"/>
      <c r="L1885" s="22"/>
      <c r="M1885" s="23"/>
      <c r="N1885" s="23"/>
      <c r="O1885" s="26" t="s">
        <v>4854</v>
      </c>
      <c r="P1885" s="26"/>
      <c r="Q1885" s="22">
        <v>82</v>
      </c>
      <c r="R1885" s="24">
        <v>45829</v>
      </c>
      <c r="S1885" s="24">
        <v>45834</v>
      </c>
      <c r="T1885" s="24">
        <v>45837</v>
      </c>
      <c r="U1885" s="24">
        <v>45840</v>
      </c>
      <c r="V1885" s="24">
        <v>45845</v>
      </c>
      <c r="W1885" s="22" t="s">
        <v>4778</v>
      </c>
      <c r="X1885" s="4" t="str">
        <f>IF(Tabela2[[#This Row],[sigla]]="","",VLOOKUP(Tabela2[[#This Row],[sigla]],créditos_base!B:C,2,0))</f>
        <v>WERLLEN HOLANDA/ARQUIVO DA EDITORA</v>
      </c>
      <c r="Y1885" s="23"/>
      <c r="Z1885" s="23" t="str">
        <f>Tabela2[[#This Row],[ilustrador]]</f>
        <v>WERLLEN HOLANDA/ARQUIVO DA EDITORA</v>
      </c>
      <c r="AA1885" s="22">
        <v>5</v>
      </c>
      <c r="AB1885" s="26" t="s">
        <v>4855</v>
      </c>
      <c r="AC1885" s="20" t="s">
        <v>310</v>
      </c>
      <c r="AD1885" s="4" t="str">
        <f>"Pitanguá"</f>
        <v>Pitanguá</v>
      </c>
      <c r="AE1885" s="14" t="str">
        <f>"Matemática"</f>
        <v>Matemática</v>
      </c>
      <c r="AF1885" s="14"/>
    </row>
    <row r="1886" spans="1:32" ht="43.2" x14ac:dyDescent="0.3">
      <c r="A1886" s="23" t="s">
        <v>4300</v>
      </c>
      <c r="B1886" s="20" t="s">
        <v>16</v>
      </c>
      <c r="C1886" s="20" t="s">
        <v>89</v>
      </c>
      <c r="D1886" s="20" t="s">
        <v>8</v>
      </c>
      <c r="E1886" s="22">
        <v>235</v>
      </c>
      <c r="F1886" s="22">
        <v>5</v>
      </c>
      <c r="G1886" s="22">
        <v>7</v>
      </c>
      <c r="H1886" s="22"/>
      <c r="I1886" s="23" t="s">
        <v>9</v>
      </c>
      <c r="J1886" s="23"/>
      <c r="K1886" s="22"/>
      <c r="L1886" s="22"/>
      <c r="M1886" s="23"/>
      <c r="N1886" s="23"/>
      <c r="O1886" s="26" t="s">
        <v>4301</v>
      </c>
      <c r="P1886" s="26"/>
      <c r="Q1886" s="22"/>
      <c r="R1886" s="24"/>
      <c r="S1886" s="24"/>
      <c r="T1886" s="24"/>
      <c r="U1886" s="24"/>
      <c r="V1886" s="24"/>
      <c r="W1886" s="22" t="s">
        <v>356</v>
      </c>
      <c r="X1886" s="4" t="str">
        <f>IF(Tabela2[[#This Row],[sigla]]="","",VLOOKUP(Tabela2[[#This Row],[sigla]],créditos_base!B:C,2,0))</f>
        <v>CAMILA CARMONA/ARQUIVO DA EDITORA</v>
      </c>
      <c r="Y1886" s="23"/>
      <c r="Z1886" s="23" t="str">
        <f>Tabela2[[#This Row],[ilustrador]]</f>
        <v>CAMILA CARMONA/ARQUIVO DA EDITORA</v>
      </c>
      <c r="AA1886" s="22"/>
      <c r="AB1886" s="20"/>
      <c r="AD1886" s="4" t="str">
        <f>"Pitanguá"</f>
        <v>Pitanguá</v>
      </c>
      <c r="AE1886" s="14" t="str">
        <f>"Matemática"</f>
        <v>Matemática</v>
      </c>
      <c r="AF1886" s="14"/>
    </row>
    <row r="1887" spans="1:32" x14ac:dyDescent="0.3">
      <c r="A1887" s="23" t="s">
        <v>4302</v>
      </c>
      <c r="B1887" s="20" t="s">
        <v>135</v>
      </c>
      <c r="C1887" s="20" t="s">
        <v>89</v>
      </c>
      <c r="D1887" s="20" t="s">
        <v>8</v>
      </c>
      <c r="E1887" s="22">
        <v>236</v>
      </c>
      <c r="F1887" s="22">
        <v>5</v>
      </c>
      <c r="G1887" s="22">
        <v>7</v>
      </c>
      <c r="H1887" s="22"/>
      <c r="I1887" s="23" t="s">
        <v>9</v>
      </c>
      <c r="J1887" s="23"/>
      <c r="K1887" s="22"/>
      <c r="L1887" s="22"/>
      <c r="M1887" s="23"/>
      <c r="N1887" s="23"/>
      <c r="O1887" s="26" t="s">
        <v>4303</v>
      </c>
      <c r="P1887" s="26"/>
      <c r="Q1887" s="22"/>
      <c r="R1887" s="24"/>
      <c r="S1887" s="24"/>
      <c r="T1887" s="24"/>
      <c r="U1887" s="24"/>
      <c r="V1887" s="24"/>
      <c r="W1887" s="22" t="s">
        <v>940</v>
      </c>
      <c r="X1887" s="4" t="str">
        <f>IF(Tabela2[[#This Row],[sigla]]="","",VLOOKUP(Tabela2[[#This Row],[sigla]],créditos_base!B:C,2,0))</f>
        <v>RONALDO LUCENA/ARQUIVO DA EDITORA</v>
      </c>
      <c r="Y1887" s="23"/>
      <c r="Z1887" s="23" t="str">
        <f>Tabela2[[#This Row],[ilustrador]]</f>
        <v>RONALDO LUCENA/ARQUIVO DA EDITORA</v>
      </c>
      <c r="AA1887" s="22"/>
      <c r="AB1887" s="20"/>
      <c r="AD1887" s="4" t="str">
        <f>"Pitanguá"</f>
        <v>Pitanguá</v>
      </c>
      <c r="AE1887" s="14" t="str">
        <f>"Matemática"</f>
        <v>Matemática</v>
      </c>
      <c r="AF1887" s="14"/>
    </row>
    <row r="1888" spans="1:32" ht="28.8" x14ac:dyDescent="0.3">
      <c r="A1888" s="23" t="s">
        <v>4979</v>
      </c>
      <c r="B1888" s="20" t="s">
        <v>6</v>
      </c>
      <c r="C1888" s="20" t="s">
        <v>7</v>
      </c>
      <c r="D1888" s="20" t="s">
        <v>8</v>
      </c>
      <c r="E1888" s="22">
        <v>183</v>
      </c>
      <c r="F1888" s="22">
        <v>3</v>
      </c>
      <c r="G1888" s="22">
        <v>7</v>
      </c>
      <c r="H1888" s="22"/>
      <c r="I1888" s="23" t="s">
        <v>90</v>
      </c>
      <c r="J1888" s="23"/>
      <c r="K1888" s="22"/>
      <c r="L1888" s="22"/>
      <c r="M1888" s="23"/>
      <c r="N1888" s="23"/>
      <c r="O1888" s="26" t="s">
        <v>4980</v>
      </c>
      <c r="P1888" s="26"/>
      <c r="Q1888" s="22">
        <v>90</v>
      </c>
      <c r="R1888" s="24">
        <v>45839</v>
      </c>
      <c r="S1888" s="24">
        <v>45840</v>
      </c>
      <c r="T1888" s="24"/>
      <c r="U1888" s="24"/>
      <c r="V1888" s="24">
        <v>45840</v>
      </c>
      <c r="W1888" s="22" t="s">
        <v>425</v>
      </c>
      <c r="X1888" s="4" t="str">
        <f>IF(Tabela2[[#This Row],[sigla]]="","",VLOOKUP(Tabela2[[#This Row],[sigla]],créditos_base!B:C,2,0))</f>
        <v>BÁRBARA SARZI/ARQUIVO DA EDITORA</v>
      </c>
      <c r="Y1888" s="23" t="s">
        <v>433</v>
      </c>
      <c r="Z1888" s="23" t="str">
        <f>Tabela2[[#This Row],[ilustrador]]</f>
        <v>BÁRBARA SARZI/ARQUIVO DA EDITORA</v>
      </c>
      <c r="AA1888" s="22">
        <v>8</v>
      </c>
      <c r="AB1888" s="20" t="s">
        <v>4981</v>
      </c>
      <c r="AC1888" s="20" t="s">
        <v>36</v>
      </c>
      <c r="AD1888" s="4" t="str">
        <f>"Pitanguá"</f>
        <v>Pitanguá</v>
      </c>
      <c r="AE1888" s="14" t="str">
        <f>"Matemática"</f>
        <v>Matemática</v>
      </c>
      <c r="AF1888" s="14"/>
    </row>
    <row r="1889" spans="1:32" x14ac:dyDescent="0.3">
      <c r="A1889" s="23" t="s">
        <v>4304</v>
      </c>
      <c r="B1889" s="20" t="s">
        <v>135</v>
      </c>
      <c r="C1889" s="20" t="s">
        <v>89</v>
      </c>
      <c r="D1889" s="20" t="s">
        <v>8</v>
      </c>
      <c r="E1889" s="22">
        <v>236</v>
      </c>
      <c r="F1889" s="22">
        <v>5</v>
      </c>
      <c r="G1889" s="22">
        <v>7</v>
      </c>
      <c r="H1889" s="22"/>
      <c r="I1889" s="23" t="s">
        <v>9</v>
      </c>
      <c r="J1889" s="23"/>
      <c r="K1889" s="22"/>
      <c r="L1889" s="22"/>
      <c r="M1889" s="23"/>
      <c r="N1889" s="23"/>
      <c r="O1889" s="26" t="s">
        <v>4305</v>
      </c>
      <c r="P1889" s="26"/>
      <c r="Q1889" s="22"/>
      <c r="R1889" s="24"/>
      <c r="S1889" s="24"/>
      <c r="T1889" s="24"/>
      <c r="U1889" s="24"/>
      <c r="V1889" s="24"/>
      <c r="W1889" s="22" t="s">
        <v>940</v>
      </c>
      <c r="X1889" s="4" t="str">
        <f>IF(Tabela2[[#This Row],[sigla]]="","",VLOOKUP(Tabela2[[#This Row],[sigla]],créditos_base!B:C,2,0))</f>
        <v>RONALDO LUCENA/ARQUIVO DA EDITORA</v>
      </c>
      <c r="Y1889" s="23"/>
      <c r="Z1889" s="23" t="str">
        <f>Tabela2[[#This Row],[ilustrador]]</f>
        <v>RONALDO LUCENA/ARQUIVO DA EDITORA</v>
      </c>
      <c r="AA1889" s="22"/>
      <c r="AB1889" s="20"/>
      <c r="AD1889" s="4" t="str">
        <f>"Pitanguá"</f>
        <v>Pitanguá</v>
      </c>
      <c r="AE1889" s="14" t="str">
        <f>"Matemática"</f>
        <v>Matemática</v>
      </c>
      <c r="AF1889" s="14"/>
    </row>
    <row r="1890" spans="1:32" ht="28.8" x14ac:dyDescent="0.3">
      <c r="A1890" s="23" t="s">
        <v>4982</v>
      </c>
      <c r="B1890" s="20" t="s">
        <v>6</v>
      </c>
      <c r="C1890" s="20" t="s">
        <v>7</v>
      </c>
      <c r="D1890" s="20" t="s">
        <v>8</v>
      </c>
      <c r="E1890" s="22">
        <v>183</v>
      </c>
      <c r="F1890" s="22">
        <v>3</v>
      </c>
      <c r="G1890" s="22">
        <v>7</v>
      </c>
      <c r="H1890" s="22"/>
      <c r="I1890" s="23" t="s">
        <v>90</v>
      </c>
      <c r="J1890" s="23"/>
      <c r="K1890" s="22"/>
      <c r="L1890" s="22"/>
      <c r="M1890" s="23"/>
      <c r="N1890" s="23"/>
      <c r="O1890" s="26" t="s">
        <v>4983</v>
      </c>
      <c r="P1890" s="26"/>
      <c r="Q1890" s="22">
        <v>90</v>
      </c>
      <c r="R1890" s="24">
        <v>45839</v>
      </c>
      <c r="S1890" s="24">
        <v>45840</v>
      </c>
      <c r="T1890" s="24"/>
      <c r="U1890" s="24"/>
      <c r="V1890" s="24">
        <v>45840</v>
      </c>
      <c r="W1890" s="22" t="s">
        <v>425</v>
      </c>
      <c r="X1890" s="4" t="str">
        <f>IF(Tabela2[[#This Row],[sigla]]="","",VLOOKUP(Tabela2[[#This Row],[sigla]],créditos_base!B:C,2,0))</f>
        <v>BÁRBARA SARZI/ARQUIVO DA EDITORA</v>
      </c>
      <c r="Y1890" s="23" t="s">
        <v>433</v>
      </c>
      <c r="Z1890" s="23" t="str">
        <f>Tabela2[[#This Row],[ilustrador]]</f>
        <v>BÁRBARA SARZI/ARQUIVO DA EDITORA</v>
      </c>
      <c r="AA1890" s="22">
        <v>8</v>
      </c>
      <c r="AB1890" s="20" t="s">
        <v>4981</v>
      </c>
      <c r="AC1890" s="20" t="s">
        <v>36</v>
      </c>
      <c r="AD1890" s="4" t="str">
        <f>"Pitanguá"</f>
        <v>Pitanguá</v>
      </c>
      <c r="AE1890" s="14" t="str">
        <f>"Matemática"</f>
        <v>Matemática</v>
      </c>
      <c r="AF1890" s="14"/>
    </row>
    <row r="1891" spans="1:32" ht="28.8" x14ac:dyDescent="0.3">
      <c r="A1891" s="23" t="s">
        <v>4306</v>
      </c>
      <c r="B1891" s="20" t="s">
        <v>135</v>
      </c>
      <c r="C1891" s="20" t="s">
        <v>89</v>
      </c>
      <c r="D1891" s="20" t="s">
        <v>8</v>
      </c>
      <c r="E1891" s="22">
        <v>236</v>
      </c>
      <c r="F1891" s="22">
        <v>5</v>
      </c>
      <c r="G1891" s="22">
        <v>7</v>
      </c>
      <c r="H1891" s="22"/>
      <c r="I1891" s="23" t="s">
        <v>9</v>
      </c>
      <c r="J1891" s="23"/>
      <c r="K1891" s="22"/>
      <c r="L1891" s="22"/>
      <c r="M1891" s="23"/>
      <c r="N1891" s="23"/>
      <c r="O1891" s="26" t="s">
        <v>4307</v>
      </c>
      <c r="P1891" s="26"/>
      <c r="Q1891" s="22"/>
      <c r="R1891" s="24"/>
      <c r="S1891" s="24"/>
      <c r="T1891" s="24"/>
      <c r="U1891" s="24"/>
      <c r="V1891" s="24"/>
      <c r="W1891" s="22" t="s">
        <v>940</v>
      </c>
      <c r="X1891" s="4" t="str">
        <f>IF(Tabela2[[#This Row],[sigla]]="","",VLOOKUP(Tabela2[[#This Row],[sigla]],créditos_base!B:C,2,0))</f>
        <v>RONALDO LUCENA/ARQUIVO DA EDITORA</v>
      </c>
      <c r="Y1891" s="23"/>
      <c r="Z1891" s="23" t="str">
        <f>Tabela2[[#This Row],[ilustrador]]</f>
        <v>RONALDO LUCENA/ARQUIVO DA EDITORA</v>
      </c>
      <c r="AA1891" s="22"/>
      <c r="AB1891" s="20"/>
      <c r="AD1891" s="4" t="str">
        <f>"Pitanguá"</f>
        <v>Pitanguá</v>
      </c>
      <c r="AE1891" s="14" t="str">
        <f>"Matemática"</f>
        <v>Matemática</v>
      </c>
      <c r="AF1891" s="14"/>
    </row>
    <row r="1892" spans="1:32" ht="28.8" x14ac:dyDescent="0.3">
      <c r="A1892" s="23" t="s">
        <v>4308</v>
      </c>
      <c r="B1892" s="20" t="s">
        <v>135</v>
      </c>
      <c r="C1892" s="20" t="s">
        <v>7</v>
      </c>
      <c r="D1892" s="20" t="s">
        <v>8</v>
      </c>
      <c r="E1892" s="22">
        <v>236</v>
      </c>
      <c r="F1892" s="22">
        <v>5</v>
      </c>
      <c r="G1892" s="22">
        <v>7</v>
      </c>
      <c r="H1892" s="22"/>
      <c r="I1892" s="23" t="s">
        <v>9</v>
      </c>
      <c r="J1892" s="23"/>
      <c r="K1892" s="22"/>
      <c r="L1892" s="22"/>
      <c r="M1892" s="23"/>
      <c r="N1892" s="23"/>
      <c r="O1892" s="26" t="s">
        <v>4309</v>
      </c>
      <c r="P1892" s="26"/>
      <c r="Q1892" s="22"/>
      <c r="R1892" s="24"/>
      <c r="S1892" s="24"/>
      <c r="T1892" s="24"/>
      <c r="U1892" s="24"/>
      <c r="V1892" s="24"/>
      <c r="W1892" s="22" t="s">
        <v>940</v>
      </c>
      <c r="X1892" s="4" t="str">
        <f>IF(Tabela2[[#This Row],[sigla]]="","",VLOOKUP(Tabela2[[#This Row],[sigla]],créditos_base!B:C,2,0))</f>
        <v>RONALDO LUCENA/ARQUIVO DA EDITORA</v>
      </c>
      <c r="Y1892" s="23"/>
      <c r="Z1892" s="23" t="str">
        <f>Tabela2[[#This Row],[ilustrador]]</f>
        <v>RONALDO LUCENA/ARQUIVO DA EDITORA</v>
      </c>
      <c r="AA1892" s="22"/>
      <c r="AB1892" s="20"/>
      <c r="AD1892" s="4" t="str">
        <f>"Pitanguá"</f>
        <v>Pitanguá</v>
      </c>
      <c r="AE1892" s="14" t="str">
        <f>"Matemática"</f>
        <v>Matemática</v>
      </c>
      <c r="AF1892" s="14"/>
    </row>
    <row r="1893" spans="1:32" ht="28.8" x14ac:dyDescent="0.3">
      <c r="A1893" s="23" t="s">
        <v>5593</v>
      </c>
      <c r="B1893" s="20" t="s">
        <v>16</v>
      </c>
      <c r="C1893" s="20" t="s">
        <v>89</v>
      </c>
      <c r="D1893" s="20" t="s">
        <v>8</v>
      </c>
      <c r="E1893" s="22">
        <v>183</v>
      </c>
      <c r="F1893" s="22">
        <v>3</v>
      </c>
      <c r="G1893" s="22">
        <v>7</v>
      </c>
      <c r="H1893" s="22"/>
      <c r="I1893" s="23" t="s">
        <v>90</v>
      </c>
      <c r="J1893" s="23"/>
      <c r="K1893" s="22"/>
      <c r="L1893" s="22"/>
      <c r="M1893" s="23"/>
      <c r="N1893" s="23"/>
      <c r="O1893" s="20" t="s">
        <v>5594</v>
      </c>
      <c r="P1893" s="26"/>
      <c r="Q1893" s="22">
        <v>130</v>
      </c>
      <c r="R1893" s="24">
        <v>45863</v>
      </c>
      <c r="S1893" s="24">
        <v>45863</v>
      </c>
      <c r="T1893" s="24"/>
      <c r="U1893" s="24"/>
      <c r="V1893" s="24">
        <v>45863</v>
      </c>
      <c r="W1893" s="22" t="s">
        <v>468</v>
      </c>
      <c r="X1893" s="4" t="str">
        <f>IF(Tabela2[[#This Row],[sigla]]="","",VLOOKUP(Tabela2[[#This Row],[sigla]],créditos_base!B:C,2,0))</f>
        <v>VER DOCUMENTO DE ILS. TÉCNICAS</v>
      </c>
      <c r="Y1893" s="23" t="s">
        <v>152</v>
      </c>
      <c r="Z1893" s="23" t="s">
        <v>5062</v>
      </c>
      <c r="AA1893" s="22">
        <v>13</v>
      </c>
      <c r="AB1893" s="20" t="s">
        <v>747</v>
      </c>
      <c r="AC1893" s="20" t="s">
        <v>36</v>
      </c>
      <c r="AD1893" s="4" t="str">
        <f>"Pitanguá"</f>
        <v>Pitanguá</v>
      </c>
      <c r="AE1893" s="14" t="str">
        <f>"Matemática"</f>
        <v>Matemática</v>
      </c>
      <c r="AF1893" s="14"/>
    </row>
    <row r="1894" spans="1:32" ht="28.8" x14ac:dyDescent="0.3">
      <c r="A1894" s="23" t="s">
        <v>4310</v>
      </c>
      <c r="B1894" s="20" t="s">
        <v>135</v>
      </c>
      <c r="C1894" s="20" t="s">
        <v>7</v>
      </c>
      <c r="D1894" s="20" t="s">
        <v>8</v>
      </c>
      <c r="E1894" s="22">
        <v>236</v>
      </c>
      <c r="F1894" s="22">
        <v>5</v>
      </c>
      <c r="G1894" s="22">
        <v>7</v>
      </c>
      <c r="H1894" s="22"/>
      <c r="I1894" s="23" t="s">
        <v>9</v>
      </c>
      <c r="J1894" s="23"/>
      <c r="K1894" s="22"/>
      <c r="L1894" s="22"/>
      <c r="M1894" s="23"/>
      <c r="N1894" s="23"/>
      <c r="O1894" s="26" t="s">
        <v>4311</v>
      </c>
      <c r="P1894" s="26"/>
      <c r="Q1894" s="22"/>
      <c r="R1894" s="24"/>
      <c r="S1894" s="24"/>
      <c r="T1894" s="24"/>
      <c r="U1894" s="24"/>
      <c r="V1894" s="24"/>
      <c r="W1894" s="22" t="s">
        <v>940</v>
      </c>
      <c r="X1894" s="4" t="str">
        <f>IF(Tabela2[[#This Row],[sigla]]="","",VLOOKUP(Tabela2[[#This Row],[sigla]],créditos_base!B:C,2,0))</f>
        <v>RONALDO LUCENA/ARQUIVO DA EDITORA</v>
      </c>
      <c r="Y1894" s="23"/>
      <c r="Z1894" s="23" t="str">
        <f>Tabela2[[#This Row],[ilustrador]]</f>
        <v>RONALDO LUCENA/ARQUIVO DA EDITORA</v>
      </c>
      <c r="AA1894" s="22"/>
      <c r="AB1894" s="20"/>
      <c r="AD1894" s="4" t="str">
        <f>"Pitanguá"</f>
        <v>Pitanguá</v>
      </c>
      <c r="AE1894" s="14" t="str">
        <f>"Matemática"</f>
        <v>Matemática</v>
      </c>
      <c r="AF1894" s="14"/>
    </row>
    <row r="1895" spans="1:32" ht="28.8" x14ac:dyDescent="0.3">
      <c r="A1895" s="23" t="s">
        <v>5595</v>
      </c>
      <c r="B1895" s="20" t="s">
        <v>16</v>
      </c>
      <c r="C1895" s="20" t="s">
        <v>89</v>
      </c>
      <c r="D1895" s="20" t="s">
        <v>8</v>
      </c>
      <c r="E1895" s="22">
        <v>183</v>
      </c>
      <c r="F1895" s="22">
        <v>3</v>
      </c>
      <c r="G1895" s="22">
        <v>7</v>
      </c>
      <c r="H1895" s="22"/>
      <c r="I1895" s="23" t="s">
        <v>90</v>
      </c>
      <c r="J1895" s="23"/>
      <c r="K1895" s="22"/>
      <c r="L1895" s="22"/>
      <c r="M1895" s="23"/>
      <c r="N1895" s="23"/>
      <c r="O1895" s="20" t="s">
        <v>5594</v>
      </c>
      <c r="P1895" s="26"/>
      <c r="Q1895" s="22">
        <v>130</v>
      </c>
      <c r="R1895" s="24">
        <v>45863</v>
      </c>
      <c r="S1895" s="24">
        <v>45863</v>
      </c>
      <c r="T1895" s="24"/>
      <c r="U1895" s="24"/>
      <c r="V1895" s="24">
        <v>45863</v>
      </c>
      <c r="W1895" s="22" t="s">
        <v>468</v>
      </c>
      <c r="X1895" s="4" t="str">
        <f>IF(Tabela2[[#This Row],[sigla]]="","",VLOOKUP(Tabela2[[#This Row],[sigla]],créditos_base!B:C,2,0))</f>
        <v>VER DOCUMENTO DE ILS. TÉCNICAS</v>
      </c>
      <c r="Y1895" s="23" t="s">
        <v>152</v>
      </c>
      <c r="Z1895" s="23" t="s">
        <v>5062</v>
      </c>
      <c r="AA1895" s="22">
        <v>13</v>
      </c>
      <c r="AB1895" s="20" t="s">
        <v>747</v>
      </c>
      <c r="AC1895" s="20" t="s">
        <v>36</v>
      </c>
      <c r="AD1895" s="4" t="str">
        <f>"Pitanguá"</f>
        <v>Pitanguá</v>
      </c>
      <c r="AE1895" s="14" t="str">
        <f>"Matemática"</f>
        <v>Matemática</v>
      </c>
      <c r="AF1895" s="14"/>
    </row>
    <row r="1896" spans="1:32" ht="28.8" x14ac:dyDescent="0.3">
      <c r="A1896" s="23" t="s">
        <v>5715</v>
      </c>
      <c r="B1896" s="20" t="s">
        <v>135</v>
      </c>
      <c r="C1896" s="20" t="s">
        <v>89</v>
      </c>
      <c r="D1896" s="20" t="s">
        <v>8</v>
      </c>
      <c r="E1896" s="22">
        <v>219</v>
      </c>
      <c r="F1896" s="22">
        <v>5</v>
      </c>
      <c r="G1896" s="22">
        <v>7</v>
      </c>
      <c r="H1896" s="22"/>
      <c r="I1896" s="23" t="s">
        <v>90</v>
      </c>
      <c r="J1896" s="23"/>
      <c r="K1896" s="22"/>
      <c r="L1896" s="22"/>
      <c r="M1896" s="23"/>
      <c r="N1896" s="23"/>
      <c r="O1896" s="20" t="s">
        <v>5716</v>
      </c>
      <c r="P1896" s="26"/>
      <c r="Q1896" s="22">
        <v>140</v>
      </c>
      <c r="R1896" s="24">
        <v>45869</v>
      </c>
      <c r="S1896" s="24">
        <v>45876</v>
      </c>
      <c r="T1896" s="24"/>
      <c r="U1896" s="24"/>
      <c r="V1896" s="24">
        <v>45876</v>
      </c>
      <c r="W1896" s="22" t="s">
        <v>763</v>
      </c>
      <c r="X1896" s="4" t="str">
        <f>IF(Tabela2[[#This Row],[sigla]]="","",VLOOKUP(Tabela2[[#This Row],[sigla]],créditos_base!B:C,2,0))</f>
        <v>RAFAELA PANISSA/ARQUIVO DA EDITORA</v>
      </c>
      <c r="Y1896" s="23" t="s">
        <v>524</v>
      </c>
      <c r="Z1896" s="23" t="str">
        <f>Tabela2[[#This Row],[ilustrador]]</f>
        <v>RAFAELA PANISSA/ARQUIVO DA EDITORA</v>
      </c>
      <c r="AA1896" s="22">
        <v>8</v>
      </c>
      <c r="AB1896" s="20" t="s">
        <v>243</v>
      </c>
      <c r="AC1896" s="20" t="s">
        <v>36</v>
      </c>
      <c r="AD1896" s="4" t="str">
        <f>"Pitanguá"</f>
        <v>Pitanguá</v>
      </c>
      <c r="AE1896" s="14" t="str">
        <f>"Matemática"</f>
        <v>Matemática</v>
      </c>
      <c r="AF1896" s="14"/>
    </row>
    <row r="1897" spans="1:32" ht="43.2" x14ac:dyDescent="0.3">
      <c r="A1897" s="23" t="s">
        <v>5709</v>
      </c>
      <c r="B1897" s="20" t="s">
        <v>135</v>
      </c>
      <c r="C1897" s="20" t="s">
        <v>7</v>
      </c>
      <c r="D1897" s="20" t="s">
        <v>8</v>
      </c>
      <c r="E1897" s="22">
        <v>208</v>
      </c>
      <c r="F1897" s="22">
        <v>5</v>
      </c>
      <c r="G1897" s="22">
        <v>7</v>
      </c>
      <c r="H1897" s="22"/>
      <c r="I1897" s="23" t="s">
        <v>90</v>
      </c>
      <c r="J1897" s="23"/>
      <c r="K1897" s="22"/>
      <c r="L1897" s="22"/>
      <c r="M1897" s="23"/>
      <c r="N1897" s="23"/>
      <c r="O1897" s="26" t="s">
        <v>5710</v>
      </c>
      <c r="P1897" s="26"/>
      <c r="Q1897" s="22">
        <v>140</v>
      </c>
      <c r="R1897" s="24">
        <v>45869</v>
      </c>
      <c r="S1897" s="24">
        <v>45870</v>
      </c>
      <c r="T1897" s="24">
        <v>45874</v>
      </c>
      <c r="U1897" s="24">
        <v>45875</v>
      </c>
      <c r="V1897" s="24">
        <v>45876</v>
      </c>
      <c r="W1897" s="22" t="s">
        <v>5711</v>
      </c>
      <c r="X1897" s="4" t="str">
        <f>IF(Tabela2[[#This Row],[sigla]]="","",VLOOKUP(Tabela2[[#This Row],[sigla]],créditos_base!B:C,2,0))</f>
        <v>NATHALIA ICHIOKA/ARQUIVO DA EDITORA</v>
      </c>
      <c r="Y1897" s="23"/>
      <c r="Z1897" s="23" t="str">
        <f>Tabela2[[#This Row],[ilustrador]]</f>
        <v>NATHALIA ICHIOKA/ARQUIVO DA EDITORA</v>
      </c>
      <c r="AA1897" s="22">
        <v>4</v>
      </c>
      <c r="AB1897" s="20" t="s">
        <v>5712</v>
      </c>
      <c r="AC1897" s="20" t="s">
        <v>310</v>
      </c>
      <c r="AD1897" s="4" t="str">
        <f>"Pitanguá"</f>
        <v>Pitanguá</v>
      </c>
      <c r="AE1897" s="14" t="str">
        <f>"Matemática"</f>
        <v>Matemática</v>
      </c>
      <c r="AF1897" s="14"/>
    </row>
    <row r="1898" spans="1:32" ht="28.8" x14ac:dyDescent="0.3">
      <c r="A1898" s="23" t="s">
        <v>5713</v>
      </c>
      <c r="B1898" s="20" t="s">
        <v>135</v>
      </c>
      <c r="C1898" s="20" t="s">
        <v>7</v>
      </c>
      <c r="D1898" s="20" t="s">
        <v>8</v>
      </c>
      <c r="E1898" s="22">
        <v>209</v>
      </c>
      <c r="F1898" s="22">
        <v>5</v>
      </c>
      <c r="G1898" s="22">
        <v>7</v>
      </c>
      <c r="H1898" s="22"/>
      <c r="I1898" s="23" t="s">
        <v>90</v>
      </c>
      <c r="J1898" s="23"/>
      <c r="K1898" s="22"/>
      <c r="L1898" s="22"/>
      <c r="M1898" s="23"/>
      <c r="N1898" s="23"/>
      <c r="O1898" s="26" t="s">
        <v>5714</v>
      </c>
      <c r="P1898" s="26"/>
      <c r="Q1898" s="22">
        <v>140</v>
      </c>
      <c r="R1898" s="24">
        <v>45869</v>
      </c>
      <c r="S1898" s="24">
        <v>45870</v>
      </c>
      <c r="T1898" s="24">
        <v>45874</v>
      </c>
      <c r="U1898" s="24">
        <v>45875</v>
      </c>
      <c r="V1898" s="24">
        <v>45876</v>
      </c>
      <c r="W1898" s="22" t="s">
        <v>5711</v>
      </c>
      <c r="X1898" s="4" t="str">
        <f>IF(Tabela2[[#This Row],[sigla]]="","",VLOOKUP(Tabela2[[#This Row],[sigla]],créditos_base!B:C,2,0))</f>
        <v>NATHALIA ICHIOKA/ARQUIVO DA EDITORA</v>
      </c>
      <c r="Y1898" s="23"/>
      <c r="Z1898" s="23" t="str">
        <f>Tabela2[[#This Row],[ilustrador]]</f>
        <v>NATHALIA ICHIOKA/ARQUIVO DA EDITORA</v>
      </c>
      <c r="AA1898" s="22">
        <v>4</v>
      </c>
      <c r="AB1898" s="20" t="s">
        <v>5712</v>
      </c>
      <c r="AC1898" s="20" t="s">
        <v>310</v>
      </c>
      <c r="AD1898" s="4" t="str">
        <f>"Pitanguá"</f>
        <v>Pitanguá</v>
      </c>
      <c r="AE1898" s="14" t="str">
        <f>"Matemática"</f>
        <v>Matemática</v>
      </c>
      <c r="AF1898" s="14"/>
    </row>
    <row r="1899" spans="1:32" ht="28.8" x14ac:dyDescent="0.3">
      <c r="A1899" s="23" t="s">
        <v>5882</v>
      </c>
      <c r="B1899" s="20" t="s">
        <v>16</v>
      </c>
      <c r="C1899" s="20" t="s">
        <v>7</v>
      </c>
      <c r="D1899" s="20" t="s">
        <v>8</v>
      </c>
      <c r="E1899" s="22">
        <v>211</v>
      </c>
      <c r="F1899" s="22">
        <v>5</v>
      </c>
      <c r="G1899" s="22">
        <v>7</v>
      </c>
      <c r="H1899" s="22"/>
      <c r="I1899" s="23" t="s">
        <v>33</v>
      </c>
      <c r="J1899" s="23"/>
      <c r="K1899" s="22"/>
      <c r="L1899" s="22"/>
      <c r="M1899" s="23"/>
      <c r="N1899" s="23"/>
      <c r="O1899" s="26" t="s">
        <v>5883</v>
      </c>
      <c r="P1899" s="26"/>
      <c r="Q1899" s="22">
        <v>159</v>
      </c>
      <c r="R1899" s="24">
        <v>45890</v>
      </c>
      <c r="S1899" s="24">
        <v>45891</v>
      </c>
      <c r="T1899" s="24"/>
      <c r="U1899" s="24"/>
      <c r="V1899" s="24">
        <v>45891</v>
      </c>
      <c r="W1899" s="22" t="s">
        <v>3382</v>
      </c>
      <c r="X1899" s="4" t="str">
        <f>IF(Tabela2[[#This Row],[sigla]]="","",VLOOKUP(Tabela2[[#This Row],[sigla]],créditos_base!B:C,2,0))</f>
        <v>LEONARDO MARI/ARQUIVO DA EDITORA</v>
      </c>
      <c r="Y1899" s="23" t="s">
        <v>188</v>
      </c>
      <c r="Z1899" s="23" t="str">
        <f>Tabela2[[#This Row],[ilustrador]]</f>
        <v>LEONARDO MARI/ARQUIVO DA EDITORA</v>
      </c>
      <c r="AA1899" s="22">
        <v>14</v>
      </c>
      <c r="AB1899" s="20" t="s">
        <v>153</v>
      </c>
      <c r="AC1899" s="20" t="s">
        <v>36</v>
      </c>
      <c r="AD1899" s="4" t="str">
        <f>"Pitanguá"</f>
        <v>Pitanguá</v>
      </c>
      <c r="AE1899" s="14" t="str">
        <f>"Matemática"</f>
        <v>Matemática</v>
      </c>
      <c r="AF1899" s="14"/>
    </row>
    <row r="1900" spans="1:32" ht="28.8" x14ac:dyDescent="0.3">
      <c r="A1900" s="23" t="s">
        <v>5884</v>
      </c>
      <c r="B1900" s="20" t="s">
        <v>16</v>
      </c>
      <c r="C1900" s="20" t="s">
        <v>7</v>
      </c>
      <c r="D1900" s="20" t="s">
        <v>8</v>
      </c>
      <c r="E1900" s="22">
        <v>211</v>
      </c>
      <c r="F1900" s="22">
        <v>5</v>
      </c>
      <c r="G1900" s="22">
        <v>7</v>
      </c>
      <c r="H1900" s="22"/>
      <c r="I1900" s="23" t="s">
        <v>33</v>
      </c>
      <c r="J1900" s="23"/>
      <c r="K1900" s="22"/>
      <c r="L1900" s="22"/>
      <c r="M1900" s="23"/>
      <c r="N1900" s="23"/>
      <c r="O1900" s="26" t="s">
        <v>5885</v>
      </c>
      <c r="P1900" s="26"/>
      <c r="Q1900" s="22">
        <v>159</v>
      </c>
      <c r="R1900" s="24">
        <v>45890</v>
      </c>
      <c r="S1900" s="24">
        <v>45891</v>
      </c>
      <c r="T1900" s="24"/>
      <c r="U1900" s="24"/>
      <c r="V1900" s="24">
        <v>45891</v>
      </c>
      <c r="W1900" s="22" t="s">
        <v>3382</v>
      </c>
      <c r="X1900" s="4" t="str">
        <f>IF(Tabela2[[#This Row],[sigla]]="","",VLOOKUP(Tabela2[[#This Row],[sigla]],créditos_base!B:C,2,0))</f>
        <v>LEONARDO MARI/ARQUIVO DA EDITORA</v>
      </c>
      <c r="Y1900" s="23" t="s">
        <v>188</v>
      </c>
      <c r="Z1900" s="23" t="str">
        <f>Tabela2[[#This Row],[ilustrador]]</f>
        <v>LEONARDO MARI/ARQUIVO DA EDITORA</v>
      </c>
      <c r="AA1900" s="22">
        <v>14</v>
      </c>
      <c r="AB1900" s="20" t="s">
        <v>153</v>
      </c>
      <c r="AC1900" s="20" t="s">
        <v>36</v>
      </c>
      <c r="AD1900" s="4" t="str">
        <f>"Pitanguá"</f>
        <v>Pitanguá</v>
      </c>
      <c r="AE1900" s="14" t="str">
        <f>"Matemática"</f>
        <v>Matemática</v>
      </c>
      <c r="AF1900" s="14"/>
    </row>
    <row r="1901" spans="1:32" ht="28.8" x14ac:dyDescent="0.3">
      <c r="A1901" s="23" t="s">
        <v>557</v>
      </c>
      <c r="B1901" s="20" t="s">
        <v>16</v>
      </c>
      <c r="C1901" s="20" t="s">
        <v>89</v>
      </c>
      <c r="D1901" s="20" t="s">
        <v>8</v>
      </c>
      <c r="E1901" s="22">
        <v>90</v>
      </c>
      <c r="F1901" s="22">
        <v>1</v>
      </c>
      <c r="G1901" s="22">
        <v>8</v>
      </c>
      <c r="H1901" s="22"/>
      <c r="I1901" s="23" t="s">
        <v>33</v>
      </c>
      <c r="J1901" s="23"/>
      <c r="K1901" s="22"/>
      <c r="L1901" s="22"/>
      <c r="M1901" s="23"/>
      <c r="N1901" s="23"/>
      <c r="O1901" s="26" t="s">
        <v>558</v>
      </c>
      <c r="P1901" s="26" t="s">
        <v>559</v>
      </c>
      <c r="Q1901" s="22">
        <v>5</v>
      </c>
      <c r="R1901" s="24">
        <v>45727</v>
      </c>
      <c r="S1901" s="24">
        <v>45727</v>
      </c>
      <c r="T1901" s="24"/>
      <c r="U1901" s="24"/>
      <c r="V1901" s="24">
        <v>45727</v>
      </c>
      <c r="W1901" s="22" t="s">
        <v>468</v>
      </c>
      <c r="X1901" s="4" t="str">
        <f>IF(Tabela2[[#This Row],[sigla]]="","",VLOOKUP(Tabela2[[#This Row],[sigla]],créditos_base!B:C,2,0))</f>
        <v>VER DOCUMENTO DE ILS. TÉCNICAS</v>
      </c>
      <c r="Y1901" s="23" t="s">
        <v>188</v>
      </c>
      <c r="Z1901" s="23" t="s">
        <v>560</v>
      </c>
      <c r="AA1901" s="22">
        <v>14</v>
      </c>
      <c r="AB1901" s="20" t="s">
        <v>153</v>
      </c>
      <c r="AC1901" s="20" t="s">
        <v>36</v>
      </c>
      <c r="AD1901" s="4" t="str">
        <f>"Pitanguá"</f>
        <v>Pitanguá</v>
      </c>
      <c r="AE1901" s="14" t="str">
        <f>"Matemática"</f>
        <v>Matemática</v>
      </c>
      <c r="AF1901" s="14"/>
    </row>
    <row r="1902" spans="1:32" ht="28.8" x14ac:dyDescent="0.3">
      <c r="A1902" s="23" t="s">
        <v>3579</v>
      </c>
      <c r="B1902" s="20" t="s">
        <v>6</v>
      </c>
      <c r="C1902" s="20" t="s">
        <v>7</v>
      </c>
      <c r="D1902" s="20" t="s">
        <v>8</v>
      </c>
      <c r="E1902" s="22">
        <v>160</v>
      </c>
      <c r="F1902" s="22">
        <v>4</v>
      </c>
      <c r="G1902" s="22">
        <v>8</v>
      </c>
      <c r="H1902" s="22"/>
      <c r="I1902" s="23" t="s">
        <v>9</v>
      </c>
      <c r="J1902" s="23"/>
      <c r="K1902" s="22"/>
      <c r="L1902" s="22"/>
      <c r="M1902" s="23"/>
      <c r="N1902" s="23"/>
      <c r="O1902" s="26" t="s">
        <v>3580</v>
      </c>
      <c r="P1902" s="26" t="s">
        <v>3581</v>
      </c>
      <c r="Q1902" s="22"/>
      <c r="R1902" s="24"/>
      <c r="S1902" s="24"/>
      <c r="T1902" s="24"/>
      <c r="U1902" s="24"/>
      <c r="V1902" s="24"/>
      <c r="W1902" s="22" t="s">
        <v>3582</v>
      </c>
      <c r="X1902" s="4" t="str">
        <f>IF(Tabela2[[#This Row],[sigla]]="","",VLOOKUP(Tabela2[[#This Row],[sigla]],créditos_base!B:C,2,0))</f>
        <v>CÁTIA GERMANI/ARQUIVO DA EDITORA</v>
      </c>
      <c r="Y1902" s="23"/>
      <c r="Z1902" s="23" t="str">
        <f>Tabela2[[#This Row],[ilustrador]]</f>
        <v>CÁTIA GERMANI/ARQUIVO DA EDITORA</v>
      </c>
      <c r="AA1902" s="22"/>
      <c r="AB1902" s="20"/>
      <c r="AD1902" s="4" t="str">
        <f>"Pitanguá"</f>
        <v>Pitanguá</v>
      </c>
      <c r="AE1902" s="14" t="str">
        <f>"Matemática"</f>
        <v>Matemática</v>
      </c>
      <c r="AF1902" s="14"/>
    </row>
    <row r="1903" spans="1:32" ht="43.2" x14ac:dyDescent="0.3">
      <c r="A1903" s="23" t="s">
        <v>4577</v>
      </c>
      <c r="B1903" s="20" t="s">
        <v>16</v>
      </c>
      <c r="C1903" s="20" t="s">
        <v>7</v>
      </c>
      <c r="D1903" s="20" t="s">
        <v>8</v>
      </c>
      <c r="E1903" s="22">
        <v>184</v>
      </c>
      <c r="F1903" s="22">
        <v>5</v>
      </c>
      <c r="G1903" s="22">
        <v>8</v>
      </c>
      <c r="H1903" s="22"/>
      <c r="I1903" s="23" t="s">
        <v>33</v>
      </c>
      <c r="J1903" s="23"/>
      <c r="K1903" s="22"/>
      <c r="L1903" s="22"/>
      <c r="M1903" s="23"/>
      <c r="N1903" s="23"/>
      <c r="O1903" s="26" t="s">
        <v>4578</v>
      </c>
      <c r="P1903" s="26"/>
      <c r="Q1903" s="22">
        <v>76</v>
      </c>
      <c r="R1903" s="24">
        <v>45817</v>
      </c>
      <c r="S1903" s="24">
        <v>45825</v>
      </c>
      <c r="T1903" s="24"/>
      <c r="U1903" s="24"/>
      <c r="V1903" s="24">
        <v>45826</v>
      </c>
      <c r="W1903" s="22" t="s">
        <v>806</v>
      </c>
      <c r="X1903" s="4" t="str">
        <f>IF(Tabela2[[#This Row],[sigla]]="","",VLOOKUP(Tabela2[[#This Row],[sigla]],créditos_base!B:C,2,0))</f>
        <v>MARCOS MACHADO/ARQUIVO DA EDITORA</v>
      </c>
      <c r="Y1903" s="23" t="s">
        <v>433</v>
      </c>
      <c r="Z1903" s="23" t="str">
        <f>Tabela2[[#This Row],[ilustrador]]</f>
        <v>MARCOS MACHADO/ARQUIVO DA EDITORA</v>
      </c>
      <c r="AA1903" s="22">
        <v>14</v>
      </c>
      <c r="AB1903" s="20" t="s">
        <v>153</v>
      </c>
      <c r="AC1903" s="20" t="s">
        <v>36</v>
      </c>
      <c r="AD1903" s="4" t="str">
        <f>"Pitanguá"</f>
        <v>Pitanguá</v>
      </c>
      <c r="AE1903" s="14" t="str">
        <f>"Matemática"</f>
        <v>Matemática</v>
      </c>
      <c r="AF1903" s="14"/>
    </row>
    <row r="1904" spans="1:32" ht="28.8" x14ac:dyDescent="0.3">
      <c r="A1904" s="30" t="s">
        <v>1613</v>
      </c>
      <c r="B1904" s="20" t="s">
        <v>16</v>
      </c>
      <c r="C1904" s="20" t="s">
        <v>7</v>
      </c>
      <c r="D1904" s="20" t="s">
        <v>8</v>
      </c>
      <c r="E1904" s="22">
        <v>178</v>
      </c>
      <c r="F1904" s="22">
        <v>2</v>
      </c>
      <c r="G1904" s="22">
        <v>8</v>
      </c>
      <c r="H1904" s="22"/>
      <c r="I1904" s="23" t="s">
        <v>33</v>
      </c>
      <c r="J1904" s="23"/>
      <c r="K1904" s="22"/>
      <c r="L1904" s="22"/>
      <c r="M1904" s="23"/>
      <c r="N1904" s="23"/>
      <c r="O1904" s="26" t="s">
        <v>1614</v>
      </c>
      <c r="P1904" s="26" t="s">
        <v>1615</v>
      </c>
      <c r="Q1904" s="22">
        <v>19</v>
      </c>
      <c r="R1904" s="24">
        <v>45748</v>
      </c>
      <c r="S1904" s="24">
        <v>45750</v>
      </c>
      <c r="T1904" s="24"/>
      <c r="U1904" s="24"/>
      <c r="V1904" s="24">
        <v>45750</v>
      </c>
      <c r="W1904" s="22" t="s">
        <v>31</v>
      </c>
      <c r="X1904" s="4" t="str">
        <f>IF(Tabela2[[#This Row],[sigla]]="","",VLOOKUP(Tabela2[[#This Row],[sigla]],créditos_base!B:C,2,0))</f>
        <v>SILVIA OTOFUJI/ARQUIVO DA EDITORA</v>
      </c>
      <c r="Y1904" s="23" t="s">
        <v>152</v>
      </c>
      <c r="Z1904" s="23" t="str">
        <f>Tabela2[[#This Row],[ilustrador]]</f>
        <v>SILVIA OTOFUJI/ARQUIVO DA EDITORA</v>
      </c>
      <c r="AA1904" s="22">
        <v>13</v>
      </c>
      <c r="AB1904" s="20" t="s">
        <v>41</v>
      </c>
      <c r="AC1904" s="20" t="s">
        <v>36</v>
      </c>
      <c r="AD1904" s="4" t="str">
        <f>"Pitanguá"</f>
        <v>Pitanguá</v>
      </c>
      <c r="AE1904" s="14" t="str">
        <f>"Matemática"</f>
        <v>Matemática</v>
      </c>
      <c r="AF1904" s="14"/>
    </row>
    <row r="1905" spans="1:32" x14ac:dyDescent="0.3">
      <c r="A1905" s="23" t="s">
        <v>3583</v>
      </c>
      <c r="B1905" s="20" t="s">
        <v>16</v>
      </c>
      <c r="C1905" s="20" t="s">
        <v>89</v>
      </c>
      <c r="D1905" s="20" t="s">
        <v>8</v>
      </c>
      <c r="E1905" s="22">
        <v>160</v>
      </c>
      <c r="F1905" s="22">
        <v>4</v>
      </c>
      <c r="G1905" s="22">
        <v>8</v>
      </c>
      <c r="H1905" s="22"/>
      <c r="I1905" s="23" t="s">
        <v>9</v>
      </c>
      <c r="J1905" s="23"/>
      <c r="K1905" s="22"/>
      <c r="L1905" s="22"/>
      <c r="M1905" s="23"/>
      <c r="N1905" s="23"/>
      <c r="O1905" s="26" t="s">
        <v>3584</v>
      </c>
      <c r="P1905" s="26"/>
      <c r="Q1905" s="22"/>
      <c r="R1905" s="24"/>
      <c r="S1905" s="24"/>
      <c r="T1905" s="24"/>
      <c r="U1905" s="24"/>
      <c r="V1905" s="24"/>
      <c r="W1905" s="22" t="s">
        <v>940</v>
      </c>
      <c r="X1905" s="4" t="str">
        <f>IF(Tabela2[[#This Row],[sigla]]="","",VLOOKUP(Tabela2[[#This Row],[sigla]],créditos_base!B:C,2,0))</f>
        <v>RONALDO LUCENA/ARQUIVO DA EDITORA</v>
      </c>
      <c r="Y1905" s="23"/>
      <c r="Z1905" s="23" t="str">
        <f>Tabela2[[#This Row],[ilustrador]]</f>
        <v>RONALDO LUCENA/ARQUIVO DA EDITORA</v>
      </c>
      <c r="AA1905" s="22"/>
      <c r="AB1905" s="20"/>
      <c r="AD1905" s="4" t="str">
        <f>"Pitanguá"</f>
        <v>Pitanguá</v>
      </c>
      <c r="AE1905" s="14" t="str">
        <f>"Matemática"</f>
        <v>Matemática</v>
      </c>
      <c r="AF1905" s="14"/>
    </row>
    <row r="1906" spans="1:32" x14ac:dyDescent="0.3">
      <c r="A1906" s="23" t="s">
        <v>4579</v>
      </c>
      <c r="B1906" s="20" t="s">
        <v>16</v>
      </c>
      <c r="C1906" s="20" t="s">
        <v>7</v>
      </c>
      <c r="D1906" s="20" t="s">
        <v>8</v>
      </c>
      <c r="E1906" s="22">
        <v>184</v>
      </c>
      <c r="F1906" s="22">
        <v>5</v>
      </c>
      <c r="G1906" s="22">
        <v>8</v>
      </c>
      <c r="H1906" s="22"/>
      <c r="I1906" s="23" t="s">
        <v>33</v>
      </c>
      <c r="J1906" s="23"/>
      <c r="K1906" s="22"/>
      <c r="L1906" s="22"/>
      <c r="M1906" s="23"/>
      <c r="N1906" s="23"/>
      <c r="O1906" s="26" t="s">
        <v>4580</v>
      </c>
      <c r="P1906" s="26"/>
      <c r="Q1906" s="22">
        <v>141</v>
      </c>
      <c r="R1906" s="24">
        <v>45869</v>
      </c>
      <c r="S1906" s="24">
        <v>45875</v>
      </c>
      <c r="T1906" s="24"/>
      <c r="U1906" s="24"/>
      <c r="V1906" s="24">
        <v>45875</v>
      </c>
      <c r="W1906" s="22" t="s">
        <v>806</v>
      </c>
      <c r="X1906" s="4" t="str">
        <f>IF(Tabela2[[#This Row],[sigla]]="","",VLOOKUP(Tabela2[[#This Row],[sigla]],créditos_base!B:C,2,0))</f>
        <v>MARCOS MACHADO/ARQUIVO DA EDITORA</v>
      </c>
      <c r="Y1906" s="23" t="s">
        <v>188</v>
      </c>
      <c r="Z1906" s="23" t="str">
        <f>Tabela2[[#This Row],[ilustrador]]</f>
        <v>MARCOS MACHADO/ARQUIVO DA EDITORA</v>
      </c>
      <c r="AA1906" s="22">
        <v>13</v>
      </c>
      <c r="AB1906" s="20" t="s">
        <v>153</v>
      </c>
      <c r="AC1906" s="20" t="s">
        <v>36</v>
      </c>
      <c r="AD1906" s="4" t="str">
        <f>"Pitanguá"</f>
        <v>Pitanguá</v>
      </c>
      <c r="AE1906" s="14" t="str">
        <f>"Matemática"</f>
        <v>Matemática</v>
      </c>
      <c r="AF1906" s="14"/>
    </row>
    <row r="1907" spans="1:32" ht="28.8" x14ac:dyDescent="0.3">
      <c r="A1907" s="23" t="s">
        <v>3585</v>
      </c>
      <c r="B1907" s="20" t="s">
        <v>16</v>
      </c>
      <c r="C1907" s="20" t="s">
        <v>89</v>
      </c>
      <c r="D1907" s="20" t="s">
        <v>8</v>
      </c>
      <c r="E1907" s="22">
        <v>160</v>
      </c>
      <c r="F1907" s="22">
        <v>4</v>
      </c>
      <c r="G1907" s="22">
        <v>8</v>
      </c>
      <c r="H1907" s="22"/>
      <c r="I1907" s="23" t="s">
        <v>9</v>
      </c>
      <c r="J1907" s="23"/>
      <c r="K1907" s="22"/>
      <c r="L1907" s="22"/>
      <c r="M1907" s="23"/>
      <c r="N1907" s="23"/>
      <c r="O1907" s="26" t="s">
        <v>3586</v>
      </c>
      <c r="P1907" s="26"/>
      <c r="Q1907" s="22"/>
      <c r="R1907" s="24"/>
      <c r="S1907" s="24"/>
      <c r="T1907" s="24"/>
      <c r="U1907" s="24"/>
      <c r="V1907" s="24"/>
      <c r="W1907" s="22" t="s">
        <v>940</v>
      </c>
      <c r="X1907" s="4" t="str">
        <f>IF(Tabela2[[#This Row],[sigla]]="","",VLOOKUP(Tabela2[[#This Row],[sigla]],créditos_base!B:C,2,0))</f>
        <v>RONALDO LUCENA/ARQUIVO DA EDITORA</v>
      </c>
      <c r="Y1907" s="23"/>
      <c r="Z1907" s="23" t="str">
        <f>Tabela2[[#This Row],[ilustrador]]</f>
        <v>RONALDO LUCENA/ARQUIVO DA EDITORA</v>
      </c>
      <c r="AA1907" s="22"/>
      <c r="AB1907" s="20"/>
      <c r="AD1907" s="4" t="str">
        <f>"Pitanguá"</f>
        <v>Pitanguá</v>
      </c>
      <c r="AE1907" s="14" t="str">
        <f>"Matemática"</f>
        <v>Matemática</v>
      </c>
      <c r="AF1907" s="14"/>
    </row>
    <row r="1908" spans="1:32" ht="28.8" x14ac:dyDescent="0.3">
      <c r="A1908" s="23" t="s">
        <v>4581</v>
      </c>
      <c r="B1908" s="20" t="s">
        <v>16</v>
      </c>
      <c r="C1908" s="20" t="s">
        <v>7</v>
      </c>
      <c r="D1908" s="20" t="s">
        <v>8</v>
      </c>
      <c r="E1908" s="22">
        <v>185</v>
      </c>
      <c r="F1908" s="22">
        <v>5</v>
      </c>
      <c r="G1908" s="22">
        <v>8</v>
      </c>
      <c r="H1908" s="22"/>
      <c r="I1908" s="23" t="s">
        <v>9</v>
      </c>
      <c r="J1908" s="23"/>
      <c r="K1908" s="22"/>
      <c r="L1908" s="22"/>
      <c r="M1908" s="23"/>
      <c r="N1908" s="23"/>
      <c r="O1908" s="26" t="s">
        <v>4582</v>
      </c>
      <c r="P1908" s="26"/>
      <c r="Q1908" s="22"/>
      <c r="R1908" s="24"/>
      <c r="S1908" s="24"/>
      <c r="T1908" s="24"/>
      <c r="U1908" s="24"/>
      <c r="V1908" s="24"/>
      <c r="W1908" s="22" t="s">
        <v>230</v>
      </c>
      <c r="X1908" s="4" t="str">
        <f>IF(Tabela2[[#This Row],[sigla]]="","",VLOOKUP(Tabela2[[#This Row],[sigla]],créditos_base!B:C,2,0))</f>
        <v>RAFAEL L. GAION/ARQUIVO DA EDITORA</v>
      </c>
      <c r="Y1908" s="23"/>
      <c r="Z1908" s="23" t="str">
        <f>Tabela2[[#This Row],[ilustrador]]</f>
        <v>RAFAEL L. GAION/ARQUIVO DA EDITORA</v>
      </c>
      <c r="AA1908" s="22"/>
      <c r="AB1908" s="20"/>
      <c r="AD1908" s="4" t="str">
        <f>"Pitanguá"</f>
        <v>Pitanguá</v>
      </c>
      <c r="AE1908" s="14" t="str">
        <f>"Matemática"</f>
        <v>Matemática</v>
      </c>
      <c r="AF1908" s="14"/>
    </row>
    <row r="1909" spans="1:32" ht="28.8" x14ac:dyDescent="0.3">
      <c r="A1909" s="23" t="s">
        <v>3587</v>
      </c>
      <c r="B1909" s="20" t="s">
        <v>16</v>
      </c>
      <c r="C1909" s="20" t="s">
        <v>89</v>
      </c>
      <c r="D1909" s="20" t="s">
        <v>8</v>
      </c>
      <c r="E1909" s="22">
        <v>160</v>
      </c>
      <c r="F1909" s="22">
        <v>4</v>
      </c>
      <c r="G1909" s="22">
        <v>8</v>
      </c>
      <c r="H1909" s="22"/>
      <c r="I1909" s="23" t="s">
        <v>9</v>
      </c>
      <c r="J1909" s="23"/>
      <c r="K1909" s="22"/>
      <c r="L1909" s="22"/>
      <c r="M1909" s="23"/>
      <c r="N1909" s="23"/>
      <c r="O1909" s="26" t="s">
        <v>3588</v>
      </c>
      <c r="P1909" s="26"/>
      <c r="Q1909" s="22"/>
      <c r="R1909" s="24"/>
      <c r="S1909" s="24"/>
      <c r="T1909" s="24"/>
      <c r="U1909" s="24"/>
      <c r="V1909" s="24"/>
      <c r="W1909" s="22" t="s">
        <v>940</v>
      </c>
      <c r="X1909" s="4" t="str">
        <f>IF(Tabela2[[#This Row],[sigla]]="","",VLOOKUP(Tabela2[[#This Row],[sigla]],créditos_base!B:C,2,0))</f>
        <v>RONALDO LUCENA/ARQUIVO DA EDITORA</v>
      </c>
      <c r="Y1909" s="23"/>
      <c r="Z1909" s="23" t="str">
        <f>Tabela2[[#This Row],[ilustrador]]</f>
        <v>RONALDO LUCENA/ARQUIVO DA EDITORA</v>
      </c>
      <c r="AA1909" s="22"/>
      <c r="AB1909" s="20"/>
      <c r="AD1909" s="4" t="str">
        <f>"Pitanguá"</f>
        <v>Pitanguá</v>
      </c>
      <c r="AE1909" s="14" t="str">
        <f>"Matemática"</f>
        <v>Matemática</v>
      </c>
      <c r="AF1909" s="14"/>
    </row>
    <row r="1910" spans="1:32" x14ac:dyDescent="0.3">
      <c r="A1910" s="23" t="s">
        <v>4583</v>
      </c>
      <c r="B1910" s="20" t="s">
        <v>16</v>
      </c>
      <c r="C1910" s="20" t="s">
        <v>89</v>
      </c>
      <c r="D1910" s="20" t="s">
        <v>8</v>
      </c>
      <c r="E1910" s="22">
        <v>185</v>
      </c>
      <c r="F1910" s="22">
        <v>5</v>
      </c>
      <c r="G1910" s="22">
        <v>8</v>
      </c>
      <c r="H1910" s="22"/>
      <c r="I1910" s="23" t="s">
        <v>9</v>
      </c>
      <c r="J1910" s="23"/>
      <c r="K1910" s="22"/>
      <c r="L1910" s="22"/>
      <c r="M1910" s="23"/>
      <c r="N1910" s="23"/>
      <c r="O1910" s="26" t="s">
        <v>4584</v>
      </c>
      <c r="P1910" s="26"/>
      <c r="Q1910" s="22"/>
      <c r="R1910" s="24"/>
      <c r="S1910" s="24"/>
      <c r="T1910" s="24"/>
      <c r="U1910" s="24"/>
      <c r="V1910" s="24"/>
      <c r="W1910" s="22" t="s">
        <v>940</v>
      </c>
      <c r="X1910" s="4" t="str">
        <f>IF(Tabela2[[#This Row],[sigla]]="","",VLOOKUP(Tabela2[[#This Row],[sigla]],créditos_base!B:C,2,0))</f>
        <v>RONALDO LUCENA/ARQUIVO DA EDITORA</v>
      </c>
      <c r="Y1910" s="23"/>
      <c r="Z1910" s="23" t="str">
        <f>Tabela2[[#This Row],[ilustrador]]</f>
        <v>RONALDO LUCENA/ARQUIVO DA EDITORA</v>
      </c>
      <c r="AA1910" s="22"/>
      <c r="AB1910" s="20"/>
      <c r="AD1910" s="4" t="str">
        <f>"Pitanguá"</f>
        <v>Pitanguá</v>
      </c>
      <c r="AE1910" s="14" t="str">
        <f>"Matemática"</f>
        <v>Matemática</v>
      </c>
      <c r="AF1910" s="14"/>
    </row>
    <row r="1911" spans="1:32" ht="28.8" x14ac:dyDescent="0.3">
      <c r="A1911" s="23" t="s">
        <v>3589</v>
      </c>
      <c r="B1911" s="20" t="s">
        <v>16</v>
      </c>
      <c r="C1911" s="20" t="s">
        <v>89</v>
      </c>
      <c r="D1911" s="20" t="s">
        <v>8</v>
      </c>
      <c r="E1911" s="22">
        <v>160</v>
      </c>
      <c r="F1911" s="22">
        <v>4</v>
      </c>
      <c r="G1911" s="22">
        <v>8</v>
      </c>
      <c r="H1911" s="22"/>
      <c r="I1911" s="23" t="s">
        <v>9</v>
      </c>
      <c r="J1911" s="23"/>
      <c r="K1911" s="22"/>
      <c r="L1911" s="22"/>
      <c r="M1911" s="23"/>
      <c r="N1911" s="23"/>
      <c r="O1911" s="26" t="s">
        <v>3590</v>
      </c>
      <c r="P1911" s="26"/>
      <c r="Q1911" s="22"/>
      <c r="R1911" s="24"/>
      <c r="S1911" s="24"/>
      <c r="T1911" s="24"/>
      <c r="U1911" s="24"/>
      <c r="V1911" s="24"/>
      <c r="W1911" s="22" t="s">
        <v>940</v>
      </c>
      <c r="X1911" s="4" t="str">
        <f>IF(Tabela2[[#This Row],[sigla]]="","",VLOOKUP(Tabela2[[#This Row],[sigla]],créditos_base!B:C,2,0))</f>
        <v>RONALDO LUCENA/ARQUIVO DA EDITORA</v>
      </c>
      <c r="Y1911" s="23"/>
      <c r="Z1911" s="23" t="str">
        <f>Tabela2[[#This Row],[ilustrador]]</f>
        <v>RONALDO LUCENA/ARQUIVO DA EDITORA</v>
      </c>
      <c r="AA1911" s="22"/>
      <c r="AB1911" s="20"/>
      <c r="AD1911" s="4" t="str">
        <f>"Pitanguá"</f>
        <v>Pitanguá</v>
      </c>
      <c r="AE1911" s="14" t="str">
        <f>"Matemática"</f>
        <v>Matemática</v>
      </c>
      <c r="AF1911" s="14"/>
    </row>
    <row r="1912" spans="1:32" ht="28.8" x14ac:dyDescent="0.3">
      <c r="A1912" s="23" t="s">
        <v>4585</v>
      </c>
      <c r="B1912" s="20" t="s">
        <v>16</v>
      </c>
      <c r="C1912" s="20" t="s">
        <v>89</v>
      </c>
      <c r="D1912" s="20" t="s">
        <v>8</v>
      </c>
      <c r="E1912" s="22">
        <v>185</v>
      </c>
      <c r="F1912" s="22">
        <v>5</v>
      </c>
      <c r="G1912" s="22">
        <v>8</v>
      </c>
      <c r="H1912" s="22"/>
      <c r="I1912" s="23" t="s">
        <v>9</v>
      </c>
      <c r="J1912" s="23"/>
      <c r="K1912" s="22"/>
      <c r="L1912" s="22"/>
      <c r="M1912" s="23"/>
      <c r="N1912" s="23"/>
      <c r="O1912" s="26" t="s">
        <v>4586</v>
      </c>
      <c r="P1912" s="26"/>
      <c r="Q1912" s="22"/>
      <c r="R1912" s="24"/>
      <c r="S1912" s="24"/>
      <c r="T1912" s="24"/>
      <c r="U1912" s="24"/>
      <c r="V1912" s="24"/>
      <c r="W1912" s="22" t="s">
        <v>940</v>
      </c>
      <c r="X1912" s="4" t="str">
        <f>IF(Tabela2[[#This Row],[sigla]]="","",VLOOKUP(Tabela2[[#This Row],[sigla]],créditos_base!B:C,2,0))</f>
        <v>RONALDO LUCENA/ARQUIVO DA EDITORA</v>
      </c>
      <c r="Y1912" s="23"/>
      <c r="Z1912" s="23" t="str">
        <f>Tabela2[[#This Row],[ilustrador]]</f>
        <v>RONALDO LUCENA/ARQUIVO DA EDITORA</v>
      </c>
      <c r="AA1912" s="22"/>
      <c r="AB1912" s="20"/>
      <c r="AD1912" s="4" t="str">
        <f>"Pitanguá"</f>
        <v>Pitanguá</v>
      </c>
      <c r="AE1912" s="14" t="str">
        <f>"Matemática"</f>
        <v>Matemática</v>
      </c>
      <c r="AF1912" s="14"/>
    </row>
    <row r="1913" spans="1:32" ht="28.8" x14ac:dyDescent="0.3">
      <c r="A1913" s="23" t="s">
        <v>561</v>
      </c>
      <c r="B1913" s="20" t="s">
        <v>6</v>
      </c>
      <c r="C1913" s="20" t="s">
        <v>89</v>
      </c>
      <c r="D1913" s="20" t="s">
        <v>8</v>
      </c>
      <c r="E1913" s="22">
        <v>90</v>
      </c>
      <c r="F1913" s="22">
        <v>1</v>
      </c>
      <c r="G1913" s="22">
        <v>8</v>
      </c>
      <c r="H1913" s="22"/>
      <c r="I1913" s="23" t="s">
        <v>9</v>
      </c>
      <c r="J1913" s="23"/>
      <c r="K1913" s="22"/>
      <c r="L1913" s="22"/>
      <c r="M1913" s="23"/>
      <c r="N1913" s="23"/>
      <c r="O1913" s="26" t="s">
        <v>562</v>
      </c>
      <c r="P1913" s="26"/>
      <c r="Q1913" s="22"/>
      <c r="R1913" s="24"/>
      <c r="S1913" s="24"/>
      <c r="T1913" s="24"/>
      <c r="U1913" s="24"/>
      <c r="V1913" s="24"/>
      <c r="W1913" s="22" t="s">
        <v>160</v>
      </c>
      <c r="X1913" s="4" t="str">
        <f>IF(Tabela2[[#This Row],[sigla]]="","",VLOOKUP(Tabela2[[#This Row],[sigla]],créditos_base!B:C,2,0))</f>
        <v>SERGIO LIMA/ARQUIVO DA EDITORA</v>
      </c>
      <c r="Y1913" s="23"/>
      <c r="Z1913" s="23" t="str">
        <f>Tabela2[[#This Row],[ilustrador]]</f>
        <v>SERGIO LIMA/ARQUIVO DA EDITORA</v>
      </c>
      <c r="AA1913" s="22"/>
      <c r="AB1913" s="20"/>
      <c r="AD1913" s="4" t="str">
        <f>"Pitanguá"</f>
        <v>Pitanguá</v>
      </c>
      <c r="AE1913" s="14" t="str">
        <f>"Matemática"</f>
        <v>Matemática</v>
      </c>
      <c r="AF1913" s="14"/>
    </row>
    <row r="1914" spans="1:32" ht="57.6" x14ac:dyDescent="0.3">
      <c r="A1914" s="23" t="s">
        <v>3591</v>
      </c>
      <c r="B1914" s="20" t="s">
        <v>16</v>
      </c>
      <c r="C1914" s="20" t="s">
        <v>89</v>
      </c>
      <c r="D1914" s="20" t="s">
        <v>8</v>
      </c>
      <c r="E1914" s="22">
        <v>160</v>
      </c>
      <c r="F1914" s="22">
        <v>4</v>
      </c>
      <c r="G1914" s="22">
        <v>8</v>
      </c>
      <c r="H1914" s="22"/>
      <c r="I1914" s="23" t="s">
        <v>9</v>
      </c>
      <c r="J1914" s="23"/>
      <c r="K1914" s="22"/>
      <c r="L1914" s="22"/>
      <c r="M1914" s="23"/>
      <c r="N1914" s="23"/>
      <c r="O1914" s="26" t="s">
        <v>3592</v>
      </c>
      <c r="P1914" s="26"/>
      <c r="Q1914" s="22"/>
      <c r="R1914" s="24"/>
      <c r="S1914" s="24"/>
      <c r="T1914" s="24"/>
      <c r="U1914" s="24"/>
      <c r="V1914" s="24"/>
      <c r="W1914" s="22" t="s">
        <v>940</v>
      </c>
      <c r="X1914" s="4" t="str">
        <f>IF(Tabela2[[#This Row],[sigla]]="","",VLOOKUP(Tabela2[[#This Row],[sigla]],créditos_base!B:C,2,0))</f>
        <v>RONALDO LUCENA/ARQUIVO DA EDITORA</v>
      </c>
      <c r="Y1914" s="23"/>
      <c r="Z1914" s="23" t="str">
        <f>Tabela2[[#This Row],[ilustrador]]</f>
        <v>RONALDO LUCENA/ARQUIVO DA EDITORA</v>
      </c>
      <c r="AA1914" s="22"/>
      <c r="AB1914" s="20"/>
      <c r="AD1914" s="4" t="str">
        <f>"Pitanguá"</f>
        <v>Pitanguá</v>
      </c>
      <c r="AE1914" s="14" t="str">
        <f>"Matemática"</f>
        <v>Matemática</v>
      </c>
      <c r="AF1914" s="14"/>
    </row>
    <row r="1915" spans="1:32" ht="57.6" x14ac:dyDescent="0.3">
      <c r="A1915" s="23" t="s">
        <v>4587</v>
      </c>
      <c r="B1915" s="20" t="s">
        <v>16</v>
      </c>
      <c r="C1915" s="20" t="s">
        <v>89</v>
      </c>
      <c r="D1915" s="20" t="s">
        <v>8</v>
      </c>
      <c r="E1915" s="22">
        <v>185</v>
      </c>
      <c r="F1915" s="22">
        <v>5</v>
      </c>
      <c r="G1915" s="22">
        <v>8</v>
      </c>
      <c r="H1915" s="22"/>
      <c r="I1915" s="23" t="s">
        <v>9</v>
      </c>
      <c r="J1915" s="23"/>
      <c r="K1915" s="22"/>
      <c r="L1915" s="22"/>
      <c r="M1915" s="23"/>
      <c r="N1915" s="23"/>
      <c r="O1915" s="26" t="s">
        <v>4588</v>
      </c>
      <c r="P1915" s="26"/>
      <c r="Q1915" s="22"/>
      <c r="R1915" s="24"/>
      <c r="S1915" s="24"/>
      <c r="T1915" s="24"/>
      <c r="U1915" s="24"/>
      <c r="V1915" s="24"/>
      <c r="W1915" s="22" t="s">
        <v>940</v>
      </c>
      <c r="X1915" s="4" t="str">
        <f>IF(Tabela2[[#This Row],[sigla]]="","",VLOOKUP(Tabela2[[#This Row],[sigla]],créditos_base!B:C,2,0))</f>
        <v>RONALDO LUCENA/ARQUIVO DA EDITORA</v>
      </c>
      <c r="Y1915" s="23"/>
      <c r="Z1915" s="23" t="str">
        <f>Tabela2[[#This Row],[ilustrador]]</f>
        <v>RONALDO LUCENA/ARQUIVO DA EDITORA</v>
      </c>
      <c r="AA1915" s="22"/>
      <c r="AB1915" s="20"/>
      <c r="AD1915" s="4" t="str">
        <f>"Pitanguá"</f>
        <v>Pitanguá</v>
      </c>
      <c r="AE1915" s="14" t="str">
        <f>"Matemática"</f>
        <v>Matemática</v>
      </c>
      <c r="AF1915" s="14"/>
    </row>
    <row r="1916" spans="1:32" ht="28.8" x14ac:dyDescent="0.3">
      <c r="A1916" s="23" t="s">
        <v>563</v>
      </c>
      <c r="B1916" s="20" t="s">
        <v>6</v>
      </c>
      <c r="C1916" s="20" t="s">
        <v>89</v>
      </c>
      <c r="D1916" s="20" t="s">
        <v>8</v>
      </c>
      <c r="E1916" s="22">
        <v>90</v>
      </c>
      <c r="F1916" s="22">
        <v>1</v>
      </c>
      <c r="G1916" s="22">
        <v>8</v>
      </c>
      <c r="H1916" s="22"/>
      <c r="I1916" s="23" t="s">
        <v>9</v>
      </c>
      <c r="J1916" s="23"/>
      <c r="K1916" s="22"/>
      <c r="L1916" s="22"/>
      <c r="M1916" s="23"/>
      <c r="N1916" s="23"/>
      <c r="O1916" s="26" t="s">
        <v>564</v>
      </c>
      <c r="P1916" s="26"/>
      <c r="Q1916" s="22"/>
      <c r="R1916" s="24"/>
      <c r="S1916" s="24"/>
      <c r="T1916" s="24"/>
      <c r="U1916" s="24"/>
      <c r="V1916" s="24"/>
      <c r="W1916" s="22" t="s">
        <v>160</v>
      </c>
      <c r="X1916" s="4" t="str">
        <f>IF(Tabela2[[#This Row],[sigla]]="","",VLOOKUP(Tabela2[[#This Row],[sigla]],créditos_base!B:C,2,0))</f>
        <v>SERGIO LIMA/ARQUIVO DA EDITORA</v>
      </c>
      <c r="Y1916" s="23"/>
      <c r="Z1916" s="23" t="str">
        <f>Tabela2[[#This Row],[ilustrador]]</f>
        <v>SERGIO LIMA/ARQUIVO DA EDITORA</v>
      </c>
      <c r="AA1916" s="22"/>
      <c r="AB1916" s="20"/>
      <c r="AD1916" s="4" t="str">
        <f>"Pitanguá"</f>
        <v>Pitanguá</v>
      </c>
      <c r="AE1916" s="14" t="str">
        <f>"Matemática"</f>
        <v>Matemática</v>
      </c>
      <c r="AF1916" s="14"/>
    </row>
    <row r="1917" spans="1:32" x14ac:dyDescent="0.3">
      <c r="A1917" s="30" t="s">
        <v>1616</v>
      </c>
      <c r="B1917" s="20" t="s">
        <v>16</v>
      </c>
      <c r="C1917" s="20" t="s">
        <v>7</v>
      </c>
      <c r="D1917" s="20" t="s">
        <v>8</v>
      </c>
      <c r="E1917" s="22">
        <v>181</v>
      </c>
      <c r="F1917" s="22">
        <v>2</v>
      </c>
      <c r="G1917" s="22">
        <v>8</v>
      </c>
      <c r="H1917" s="22"/>
      <c r="I1917" s="23" t="s">
        <v>9</v>
      </c>
      <c r="J1917" s="23"/>
      <c r="K1917" s="22"/>
      <c r="L1917" s="22"/>
      <c r="M1917" s="23"/>
      <c r="N1917" s="23"/>
      <c r="O1917" s="26" t="s">
        <v>1617</v>
      </c>
      <c r="P1917" s="26"/>
      <c r="Q1917" s="22"/>
      <c r="R1917" s="24"/>
      <c r="S1917" s="24"/>
      <c r="T1917" s="24"/>
      <c r="U1917" s="24"/>
      <c r="V1917" s="24"/>
      <c r="W1917" s="22" t="s">
        <v>468</v>
      </c>
      <c r="X1917" s="4" t="str">
        <f>IF(Tabela2[[#This Row],[sigla]]="","",VLOOKUP(Tabela2[[#This Row],[sigla]],créditos_base!B:C,2,0))</f>
        <v>VER DOCUMENTO DE ILS. TÉCNICAS</v>
      </c>
      <c r="Y1917" s="23"/>
      <c r="Z1917" s="23" t="s">
        <v>1618</v>
      </c>
      <c r="AA1917" s="22"/>
      <c r="AB1917" s="20"/>
      <c r="AD1917" s="4" t="str">
        <f>"Pitanguá"</f>
        <v>Pitanguá</v>
      </c>
      <c r="AE1917" s="14" t="str">
        <f>"Matemática"</f>
        <v>Matemática</v>
      </c>
      <c r="AF1917" s="14"/>
    </row>
    <row r="1918" spans="1:32" ht="57.6" x14ac:dyDescent="0.3">
      <c r="A1918" s="23" t="s">
        <v>3593</v>
      </c>
      <c r="B1918" s="20" t="s">
        <v>16</v>
      </c>
      <c r="C1918" s="20" t="s">
        <v>89</v>
      </c>
      <c r="D1918" s="20" t="s">
        <v>8</v>
      </c>
      <c r="E1918" s="22">
        <v>160</v>
      </c>
      <c r="F1918" s="22">
        <v>4</v>
      </c>
      <c r="G1918" s="22">
        <v>8</v>
      </c>
      <c r="H1918" s="22"/>
      <c r="I1918" s="23" t="s">
        <v>9</v>
      </c>
      <c r="J1918" s="23"/>
      <c r="K1918" s="22"/>
      <c r="L1918" s="22"/>
      <c r="M1918" s="23"/>
      <c r="N1918" s="23"/>
      <c r="O1918" s="26" t="s">
        <v>3592</v>
      </c>
      <c r="P1918" s="26"/>
      <c r="Q1918" s="22"/>
      <c r="R1918" s="24"/>
      <c r="S1918" s="24"/>
      <c r="T1918" s="24"/>
      <c r="U1918" s="24"/>
      <c r="V1918" s="24"/>
      <c r="W1918" s="22" t="s">
        <v>160</v>
      </c>
      <c r="X1918" s="4" t="str">
        <f>IF(Tabela2[[#This Row],[sigla]]="","",VLOOKUP(Tabela2[[#This Row],[sigla]],créditos_base!B:C,2,0))</f>
        <v>SERGIO LIMA/ARQUIVO DA EDITORA</v>
      </c>
      <c r="Y1918" s="23"/>
      <c r="Z1918" s="23" t="str">
        <f>Tabela2[[#This Row],[ilustrador]]</f>
        <v>SERGIO LIMA/ARQUIVO DA EDITORA</v>
      </c>
      <c r="AA1918" s="22"/>
      <c r="AB1918" s="20"/>
      <c r="AD1918" s="4" t="str">
        <f>"Pitanguá"</f>
        <v>Pitanguá</v>
      </c>
      <c r="AE1918" s="14" t="str">
        <f>"Matemática"</f>
        <v>Matemática</v>
      </c>
      <c r="AF1918" s="14"/>
    </row>
    <row r="1919" spans="1:32" ht="43.2" x14ac:dyDescent="0.3">
      <c r="A1919" s="23" t="s">
        <v>4589</v>
      </c>
      <c r="B1919" s="20" t="s">
        <v>16</v>
      </c>
      <c r="C1919" s="20" t="s">
        <v>89</v>
      </c>
      <c r="D1919" s="20" t="s">
        <v>8</v>
      </c>
      <c r="E1919" s="22">
        <v>185</v>
      </c>
      <c r="F1919" s="22">
        <v>5</v>
      </c>
      <c r="G1919" s="22">
        <v>8</v>
      </c>
      <c r="H1919" s="22"/>
      <c r="I1919" s="23" t="s">
        <v>9</v>
      </c>
      <c r="J1919" s="23"/>
      <c r="K1919" s="22"/>
      <c r="L1919" s="22"/>
      <c r="M1919" s="23"/>
      <c r="N1919" s="23"/>
      <c r="O1919" s="26" t="s">
        <v>4590</v>
      </c>
      <c r="P1919" s="26"/>
      <c r="Q1919" s="22"/>
      <c r="R1919" s="24"/>
      <c r="S1919" s="24"/>
      <c r="T1919" s="24"/>
      <c r="U1919" s="24"/>
      <c r="V1919" s="24"/>
      <c r="W1919" s="22" t="s">
        <v>940</v>
      </c>
      <c r="X1919" s="4" t="str">
        <f>IF(Tabela2[[#This Row],[sigla]]="","",VLOOKUP(Tabela2[[#This Row],[sigla]],créditos_base!B:C,2,0))</f>
        <v>RONALDO LUCENA/ARQUIVO DA EDITORA</v>
      </c>
      <c r="Y1919" s="23"/>
      <c r="Z1919" s="23" t="str">
        <f>Tabela2[[#This Row],[ilustrador]]</f>
        <v>RONALDO LUCENA/ARQUIVO DA EDITORA</v>
      </c>
      <c r="AA1919" s="22"/>
      <c r="AB1919" s="20"/>
      <c r="AD1919" s="4" t="str">
        <f>"Pitanguá"</f>
        <v>Pitanguá</v>
      </c>
      <c r="AE1919" s="14" t="str">
        <f>"Matemática"</f>
        <v>Matemática</v>
      </c>
      <c r="AF1919" s="14"/>
    </row>
    <row r="1920" spans="1:32" ht="57.6" x14ac:dyDescent="0.3">
      <c r="A1920" s="23" t="s">
        <v>565</v>
      </c>
      <c r="B1920" s="20" t="s">
        <v>16</v>
      </c>
      <c r="C1920" s="20" t="s">
        <v>89</v>
      </c>
      <c r="D1920" s="20" t="s">
        <v>8</v>
      </c>
      <c r="E1920" s="22">
        <v>91</v>
      </c>
      <c r="F1920" s="22">
        <v>1</v>
      </c>
      <c r="G1920" s="22">
        <v>8</v>
      </c>
      <c r="H1920" s="22"/>
      <c r="I1920" s="23" t="s">
        <v>33</v>
      </c>
      <c r="J1920" s="23"/>
      <c r="K1920" s="22"/>
      <c r="L1920" s="22"/>
      <c r="M1920" s="23"/>
      <c r="N1920" s="23"/>
      <c r="O1920" s="26" t="s">
        <v>566</v>
      </c>
      <c r="P1920" s="26" t="s">
        <v>567</v>
      </c>
      <c r="Q1920" s="22">
        <v>5</v>
      </c>
      <c r="R1920" s="24">
        <v>45727</v>
      </c>
      <c r="S1920" s="24">
        <v>45727</v>
      </c>
      <c r="T1920" s="24"/>
      <c r="U1920" s="24"/>
      <c r="V1920" s="24">
        <v>45727</v>
      </c>
      <c r="W1920" s="22" t="s">
        <v>468</v>
      </c>
      <c r="X1920" s="4" t="str">
        <f>IF(Tabela2[[#This Row],[sigla]]="","",VLOOKUP(Tabela2[[#This Row],[sigla]],créditos_base!B:C,2,0))</f>
        <v>VER DOCUMENTO DE ILS. TÉCNICAS</v>
      </c>
      <c r="Y1920" s="23" t="s">
        <v>188</v>
      </c>
      <c r="Z1920" s="23" t="s">
        <v>560</v>
      </c>
      <c r="AA1920" s="22">
        <v>14</v>
      </c>
      <c r="AB1920" s="20" t="s">
        <v>153</v>
      </c>
      <c r="AC1920" s="20" t="s">
        <v>36</v>
      </c>
      <c r="AD1920" s="4" t="str">
        <f>"Pitanguá"</f>
        <v>Pitanguá</v>
      </c>
      <c r="AE1920" s="14" t="str">
        <f>"Matemática"</f>
        <v>Matemática</v>
      </c>
      <c r="AF1920" s="14"/>
    </row>
    <row r="1921" spans="1:32" ht="43.2" x14ac:dyDescent="0.3">
      <c r="A1921" s="30" t="s">
        <v>1619</v>
      </c>
      <c r="B1921" s="20" t="s">
        <v>16</v>
      </c>
      <c r="C1921" s="20" t="s">
        <v>7</v>
      </c>
      <c r="D1921" s="20" t="s">
        <v>8</v>
      </c>
      <c r="E1921" s="22">
        <v>181</v>
      </c>
      <c r="F1921" s="22">
        <v>2</v>
      </c>
      <c r="G1921" s="22">
        <v>8</v>
      </c>
      <c r="H1921" s="22"/>
      <c r="I1921" s="23" t="s">
        <v>9</v>
      </c>
      <c r="J1921" s="23"/>
      <c r="K1921" s="22"/>
      <c r="L1921" s="22"/>
      <c r="M1921" s="23"/>
      <c r="N1921" s="23"/>
      <c r="O1921" s="26" t="s">
        <v>1620</v>
      </c>
      <c r="P1921" s="26"/>
      <c r="Q1921" s="22"/>
      <c r="R1921" s="24"/>
      <c r="S1921" s="24"/>
      <c r="T1921" s="24"/>
      <c r="U1921" s="24"/>
      <c r="V1921" s="24"/>
      <c r="W1921" s="22" t="s">
        <v>468</v>
      </c>
      <c r="X1921" s="4" t="str">
        <f>IF(Tabela2[[#This Row],[sigla]]="","",VLOOKUP(Tabela2[[#This Row],[sigla]],créditos_base!B:C,2,0))</f>
        <v>VER DOCUMENTO DE ILS. TÉCNICAS</v>
      </c>
      <c r="Y1921" s="23"/>
      <c r="Z1921" s="23" t="s">
        <v>1618</v>
      </c>
      <c r="AA1921" s="22"/>
      <c r="AB1921" s="20"/>
      <c r="AD1921" s="4" t="str">
        <f>"Pitanguá"</f>
        <v>Pitanguá</v>
      </c>
      <c r="AE1921" s="14" t="str">
        <f>"Matemática"</f>
        <v>Matemática</v>
      </c>
      <c r="AF1921" s="14"/>
    </row>
    <row r="1922" spans="1:32" ht="158.4" x14ac:dyDescent="0.3">
      <c r="A1922" s="23" t="s">
        <v>3594</v>
      </c>
      <c r="B1922" s="20" t="s">
        <v>16</v>
      </c>
      <c r="C1922" s="20" t="s">
        <v>89</v>
      </c>
      <c r="D1922" s="20" t="s">
        <v>8</v>
      </c>
      <c r="E1922" s="22">
        <v>161</v>
      </c>
      <c r="F1922" s="22">
        <v>4</v>
      </c>
      <c r="G1922" s="22">
        <v>8</v>
      </c>
      <c r="H1922" s="22"/>
      <c r="I1922" s="23" t="s">
        <v>9</v>
      </c>
      <c r="J1922" s="23"/>
      <c r="K1922" s="22"/>
      <c r="L1922" s="22"/>
      <c r="M1922" s="23"/>
      <c r="N1922" s="23"/>
      <c r="O1922" s="26" t="s">
        <v>3595</v>
      </c>
      <c r="P1922" s="26"/>
      <c r="Q1922" s="22"/>
      <c r="R1922" s="24"/>
      <c r="S1922" s="24"/>
      <c r="T1922" s="24"/>
      <c r="U1922" s="24"/>
      <c r="V1922" s="24"/>
      <c r="W1922" s="22" t="s">
        <v>940</v>
      </c>
      <c r="X1922" s="4" t="str">
        <f>IF(Tabela2[[#This Row],[sigla]]="","",VLOOKUP(Tabela2[[#This Row],[sigla]],créditos_base!B:C,2,0))</f>
        <v>RONALDO LUCENA/ARQUIVO DA EDITORA</v>
      </c>
      <c r="Y1922" s="23"/>
      <c r="Z1922" s="23" t="str">
        <f>Tabela2[[#This Row],[ilustrador]]</f>
        <v>RONALDO LUCENA/ARQUIVO DA EDITORA</v>
      </c>
      <c r="AA1922" s="22"/>
      <c r="AB1922" s="20"/>
      <c r="AD1922" s="4" t="str">
        <f>"Pitanguá"</f>
        <v>Pitanguá</v>
      </c>
      <c r="AE1922" s="14" t="str">
        <f>"Matemática"</f>
        <v>Matemática</v>
      </c>
      <c r="AF1922" s="14"/>
    </row>
    <row r="1923" spans="1:32" x14ac:dyDescent="0.3">
      <c r="A1923" s="23" t="s">
        <v>4591</v>
      </c>
      <c r="B1923" s="20" t="s">
        <v>16</v>
      </c>
      <c r="C1923" s="20" t="s">
        <v>89</v>
      </c>
      <c r="D1923" s="20" t="s">
        <v>8</v>
      </c>
      <c r="E1923" s="22">
        <v>185</v>
      </c>
      <c r="F1923" s="22">
        <v>5</v>
      </c>
      <c r="G1923" s="22">
        <v>8</v>
      </c>
      <c r="H1923" s="22"/>
      <c r="I1923" s="23" t="s">
        <v>9</v>
      </c>
      <c r="J1923" s="23"/>
      <c r="K1923" s="22"/>
      <c r="L1923" s="22"/>
      <c r="M1923" s="23"/>
      <c r="N1923" s="23"/>
      <c r="O1923" s="26" t="s">
        <v>4592</v>
      </c>
      <c r="P1923" s="26"/>
      <c r="Q1923" s="22"/>
      <c r="R1923" s="24"/>
      <c r="S1923" s="24"/>
      <c r="T1923" s="24"/>
      <c r="U1923" s="24"/>
      <c r="V1923" s="24"/>
      <c r="W1923" s="22" t="s">
        <v>940</v>
      </c>
      <c r="X1923" s="4" t="str">
        <f>IF(Tabela2[[#This Row],[sigla]]="","",VLOOKUP(Tabela2[[#This Row],[sigla]],créditos_base!B:C,2,0))</f>
        <v>RONALDO LUCENA/ARQUIVO DA EDITORA</v>
      </c>
      <c r="Y1923" s="23"/>
      <c r="Z1923" s="23" t="str">
        <f>Tabela2[[#This Row],[ilustrador]]</f>
        <v>RONALDO LUCENA/ARQUIVO DA EDITORA</v>
      </c>
      <c r="AA1923" s="22"/>
      <c r="AB1923" s="20"/>
      <c r="AD1923" s="4" t="str">
        <f>"Pitanguá"</f>
        <v>Pitanguá</v>
      </c>
      <c r="AE1923" s="14" t="str">
        <f>"Matemática"</f>
        <v>Matemática</v>
      </c>
      <c r="AF1923" s="14"/>
    </row>
    <row r="1924" spans="1:32" x14ac:dyDescent="0.3">
      <c r="A1924" s="23" t="s">
        <v>3596</v>
      </c>
      <c r="B1924" s="20" t="s">
        <v>16</v>
      </c>
      <c r="C1924" s="20" t="s">
        <v>89</v>
      </c>
      <c r="D1924" s="20" t="s">
        <v>8</v>
      </c>
      <c r="E1924" s="22">
        <v>161</v>
      </c>
      <c r="F1924" s="22">
        <v>4</v>
      </c>
      <c r="G1924" s="22">
        <v>8</v>
      </c>
      <c r="H1924" s="22"/>
      <c r="I1924" s="23" t="s">
        <v>9</v>
      </c>
      <c r="J1924" s="23"/>
      <c r="K1924" s="22"/>
      <c r="L1924" s="22"/>
      <c r="M1924" s="23"/>
      <c r="N1924" s="23"/>
      <c r="O1924" s="26" t="s">
        <v>3597</v>
      </c>
      <c r="P1924" s="26"/>
      <c r="Q1924" s="22"/>
      <c r="R1924" s="24"/>
      <c r="S1924" s="24"/>
      <c r="T1924" s="24"/>
      <c r="U1924" s="24"/>
      <c r="V1924" s="24"/>
      <c r="W1924" s="22" t="s">
        <v>940</v>
      </c>
      <c r="X1924" s="4" t="str">
        <f>IF(Tabela2[[#This Row],[sigla]]="","",VLOOKUP(Tabela2[[#This Row],[sigla]],créditos_base!B:C,2,0))</f>
        <v>RONALDO LUCENA/ARQUIVO DA EDITORA</v>
      </c>
      <c r="Y1924" s="23"/>
      <c r="Z1924" s="23" t="str">
        <f>Tabela2[[#This Row],[ilustrador]]</f>
        <v>RONALDO LUCENA/ARQUIVO DA EDITORA</v>
      </c>
      <c r="AA1924" s="22"/>
      <c r="AB1924" s="20"/>
      <c r="AD1924" s="4" t="str">
        <f>"Pitanguá"</f>
        <v>Pitanguá</v>
      </c>
      <c r="AE1924" s="14" t="str">
        <f>"Matemática"</f>
        <v>Matemática</v>
      </c>
      <c r="AF1924" s="14"/>
    </row>
    <row r="1925" spans="1:32" ht="28.8" x14ac:dyDescent="0.3">
      <c r="A1925" s="23" t="s">
        <v>4593</v>
      </c>
      <c r="B1925" s="20" t="s">
        <v>16</v>
      </c>
      <c r="C1925" s="20" t="s">
        <v>89</v>
      </c>
      <c r="D1925" s="20" t="s">
        <v>8</v>
      </c>
      <c r="E1925" s="22">
        <v>185</v>
      </c>
      <c r="F1925" s="22">
        <v>5</v>
      </c>
      <c r="G1925" s="22">
        <v>8</v>
      </c>
      <c r="H1925" s="22"/>
      <c r="I1925" s="23" t="s">
        <v>9</v>
      </c>
      <c r="J1925" s="23"/>
      <c r="K1925" s="22"/>
      <c r="L1925" s="22"/>
      <c r="M1925" s="23"/>
      <c r="N1925" s="23"/>
      <c r="O1925" s="26" t="s">
        <v>4594</v>
      </c>
      <c r="P1925" s="26"/>
      <c r="Q1925" s="22"/>
      <c r="R1925" s="24"/>
      <c r="S1925" s="24"/>
      <c r="T1925" s="24"/>
      <c r="U1925" s="24"/>
      <c r="V1925" s="24"/>
      <c r="W1925" s="22" t="s">
        <v>940</v>
      </c>
      <c r="X1925" s="4" t="str">
        <f>IF(Tabela2[[#This Row],[sigla]]="","",VLOOKUP(Tabela2[[#This Row],[sigla]],créditos_base!B:C,2,0))</f>
        <v>RONALDO LUCENA/ARQUIVO DA EDITORA</v>
      </c>
      <c r="Y1925" s="23"/>
      <c r="Z1925" s="23" t="str">
        <f>Tabela2[[#This Row],[ilustrador]]</f>
        <v>RONALDO LUCENA/ARQUIVO DA EDITORA</v>
      </c>
      <c r="AA1925" s="22"/>
      <c r="AB1925" s="20"/>
      <c r="AD1925" s="4" t="str">
        <f>"Pitanguá"</f>
        <v>Pitanguá</v>
      </c>
      <c r="AE1925" s="14" t="str">
        <f>"Matemática"</f>
        <v>Matemática</v>
      </c>
      <c r="AF1925" s="14"/>
    </row>
    <row r="1926" spans="1:32" ht="28.8" x14ac:dyDescent="0.3">
      <c r="A1926" s="30" t="s">
        <v>1621</v>
      </c>
      <c r="B1926" s="20" t="s">
        <v>16</v>
      </c>
      <c r="C1926" s="20" t="s">
        <v>7</v>
      </c>
      <c r="D1926" s="20" t="s">
        <v>8</v>
      </c>
      <c r="E1926" s="22">
        <v>182</v>
      </c>
      <c r="F1926" s="22">
        <v>2</v>
      </c>
      <c r="G1926" s="22">
        <v>8</v>
      </c>
      <c r="H1926" s="22"/>
      <c r="I1926" s="23" t="s">
        <v>9</v>
      </c>
      <c r="J1926" s="23"/>
      <c r="K1926" s="22"/>
      <c r="L1926" s="22"/>
      <c r="M1926" s="23"/>
      <c r="N1926" s="23"/>
      <c r="O1926" s="26" t="s">
        <v>1622</v>
      </c>
      <c r="P1926" s="26"/>
      <c r="Q1926" s="22"/>
      <c r="R1926" s="24"/>
      <c r="S1926" s="24"/>
      <c r="T1926" s="24"/>
      <c r="U1926" s="24"/>
      <c r="V1926" s="24"/>
      <c r="W1926" s="22" t="s">
        <v>546</v>
      </c>
      <c r="X1926" s="4" t="str">
        <f>IF(Tabela2[[#This Row],[sigla]]="","",VLOOKUP(Tabela2[[#This Row],[sigla]],créditos_base!B:C,2,0))</f>
        <v>GUILHERME ARANEGA/ARQUIVO DA EDITORA</v>
      </c>
      <c r="Y1926" s="23"/>
      <c r="Z1926" s="23" t="str">
        <f>Tabela2[[#This Row],[ilustrador]]</f>
        <v>GUILHERME ARANEGA/ARQUIVO DA EDITORA</v>
      </c>
      <c r="AA1926" s="22"/>
      <c r="AB1926" s="20"/>
      <c r="AD1926" s="4" t="str">
        <f>"Pitanguá"</f>
        <v>Pitanguá</v>
      </c>
      <c r="AE1926" s="14" t="str">
        <f>"Matemática"</f>
        <v>Matemática</v>
      </c>
      <c r="AF1926" s="14"/>
    </row>
    <row r="1927" spans="1:32" ht="28.8" x14ac:dyDescent="0.3">
      <c r="A1927" s="23" t="s">
        <v>3598</v>
      </c>
      <c r="B1927" s="20" t="s">
        <v>16</v>
      </c>
      <c r="C1927" s="20" t="s">
        <v>89</v>
      </c>
      <c r="D1927" s="20" t="s">
        <v>8</v>
      </c>
      <c r="E1927" s="22">
        <v>161</v>
      </c>
      <c r="F1927" s="22">
        <v>4</v>
      </c>
      <c r="G1927" s="22">
        <v>8</v>
      </c>
      <c r="H1927" s="22"/>
      <c r="I1927" s="23" t="s">
        <v>9</v>
      </c>
      <c r="J1927" s="23"/>
      <c r="K1927" s="22"/>
      <c r="L1927" s="22"/>
      <c r="M1927" s="23"/>
      <c r="N1927" s="23"/>
      <c r="O1927" s="26" t="s">
        <v>3599</v>
      </c>
      <c r="P1927" s="26"/>
      <c r="Q1927" s="22"/>
      <c r="R1927" s="24"/>
      <c r="S1927" s="24"/>
      <c r="T1927" s="24"/>
      <c r="U1927" s="24"/>
      <c r="V1927" s="24"/>
      <c r="W1927" s="22" t="s">
        <v>940</v>
      </c>
      <c r="X1927" s="4" t="str">
        <f>IF(Tabela2[[#This Row],[sigla]]="","",VLOOKUP(Tabela2[[#This Row],[sigla]],créditos_base!B:C,2,0))</f>
        <v>RONALDO LUCENA/ARQUIVO DA EDITORA</v>
      </c>
      <c r="Y1927" s="23"/>
      <c r="Z1927" s="23" t="str">
        <f>Tabela2[[#This Row],[ilustrador]]</f>
        <v>RONALDO LUCENA/ARQUIVO DA EDITORA</v>
      </c>
      <c r="AA1927" s="22"/>
      <c r="AB1927" s="20"/>
      <c r="AD1927" s="4" t="str">
        <f>"Pitanguá"</f>
        <v>Pitanguá</v>
      </c>
      <c r="AE1927" s="14" t="str">
        <f>"Matemática"</f>
        <v>Matemática</v>
      </c>
      <c r="AF1927" s="14"/>
    </row>
    <row r="1928" spans="1:32" ht="28.8" x14ac:dyDescent="0.3">
      <c r="A1928" s="23" t="s">
        <v>4595</v>
      </c>
      <c r="B1928" s="20" t="s">
        <v>16</v>
      </c>
      <c r="C1928" s="20" t="s">
        <v>89</v>
      </c>
      <c r="D1928" s="20" t="s">
        <v>8</v>
      </c>
      <c r="E1928" s="22">
        <v>185</v>
      </c>
      <c r="F1928" s="22">
        <v>5</v>
      </c>
      <c r="G1928" s="22">
        <v>8</v>
      </c>
      <c r="H1928" s="22"/>
      <c r="I1928" s="23" t="s">
        <v>9</v>
      </c>
      <c r="J1928" s="23"/>
      <c r="K1928" s="22"/>
      <c r="L1928" s="22"/>
      <c r="M1928" s="23"/>
      <c r="N1928" s="23"/>
      <c r="O1928" s="26" t="s">
        <v>4596</v>
      </c>
      <c r="P1928" s="26"/>
      <c r="Q1928" s="22"/>
      <c r="R1928" s="24"/>
      <c r="S1928" s="24"/>
      <c r="T1928" s="24"/>
      <c r="U1928" s="24"/>
      <c r="V1928" s="24"/>
      <c r="W1928" s="22" t="s">
        <v>940</v>
      </c>
      <c r="X1928" s="4" t="str">
        <f>IF(Tabela2[[#This Row],[sigla]]="","",VLOOKUP(Tabela2[[#This Row],[sigla]],créditos_base!B:C,2,0))</f>
        <v>RONALDO LUCENA/ARQUIVO DA EDITORA</v>
      </c>
      <c r="Y1928" s="23"/>
      <c r="Z1928" s="23" t="str">
        <f>Tabela2[[#This Row],[ilustrador]]</f>
        <v>RONALDO LUCENA/ARQUIVO DA EDITORA</v>
      </c>
      <c r="AA1928" s="22"/>
      <c r="AB1928" s="20"/>
      <c r="AD1928" s="4" t="str">
        <f>"Pitanguá"</f>
        <v>Pitanguá</v>
      </c>
      <c r="AE1928" s="14" t="str">
        <f>"Matemática"</f>
        <v>Matemática</v>
      </c>
      <c r="AF1928" s="14"/>
    </row>
    <row r="1929" spans="1:32" x14ac:dyDescent="0.3">
      <c r="A1929" s="30" t="s">
        <v>1623</v>
      </c>
      <c r="B1929" s="20" t="s">
        <v>16</v>
      </c>
      <c r="C1929" s="20" t="s">
        <v>7</v>
      </c>
      <c r="D1929" s="20" t="s">
        <v>8</v>
      </c>
      <c r="E1929" s="22">
        <v>191</v>
      </c>
      <c r="F1929" s="22">
        <v>2</v>
      </c>
      <c r="G1929" s="22">
        <v>8</v>
      </c>
      <c r="H1929" s="22"/>
      <c r="I1929" s="23" t="s">
        <v>33</v>
      </c>
      <c r="J1929" s="23"/>
      <c r="K1929" s="22"/>
      <c r="L1929" s="22"/>
      <c r="M1929" s="23"/>
      <c r="N1929" s="23"/>
      <c r="O1929" s="26" t="s">
        <v>1624</v>
      </c>
      <c r="P1929" s="26" t="s">
        <v>1625</v>
      </c>
      <c r="Q1929" s="22">
        <v>19</v>
      </c>
      <c r="R1929" s="24">
        <v>45748</v>
      </c>
      <c r="S1929" s="24">
        <v>45750</v>
      </c>
      <c r="T1929" s="24"/>
      <c r="U1929" s="24"/>
      <c r="V1929" s="24">
        <v>45750</v>
      </c>
      <c r="W1929" s="22" t="s">
        <v>460</v>
      </c>
      <c r="X1929" s="4" t="str">
        <f>IF(Tabela2[[#This Row],[sigla]]="","",VLOOKUP(Tabela2[[#This Row],[sigla]],créditos_base!B:C,2,0))</f>
        <v>CLAUDIA SOUZA/ARQUIVO DA EDITORA</v>
      </c>
      <c r="Y1929" s="23" t="s">
        <v>152</v>
      </c>
      <c r="Z1929" s="23" t="str">
        <f>Tabela2[[#This Row],[ilustrador]]</f>
        <v>CLAUDIA SOUZA/ARQUIVO DA EDITORA</v>
      </c>
      <c r="AA1929" s="22">
        <v>13</v>
      </c>
      <c r="AB1929" s="20" t="s">
        <v>41</v>
      </c>
      <c r="AC1929" s="20" t="s">
        <v>36</v>
      </c>
      <c r="AD1929" s="4" t="str">
        <f>"Pitanguá"</f>
        <v>Pitanguá</v>
      </c>
      <c r="AE1929" s="14" t="str">
        <f>"Matemática"</f>
        <v>Matemática</v>
      </c>
      <c r="AF1929" s="14"/>
    </row>
    <row r="1930" spans="1:32" x14ac:dyDescent="0.3">
      <c r="A1930" s="23" t="s">
        <v>3600</v>
      </c>
      <c r="B1930" s="20" t="s">
        <v>16</v>
      </c>
      <c r="C1930" s="20" t="s">
        <v>89</v>
      </c>
      <c r="D1930" s="20" t="s">
        <v>8</v>
      </c>
      <c r="E1930" s="22">
        <v>161</v>
      </c>
      <c r="F1930" s="22">
        <v>4</v>
      </c>
      <c r="G1930" s="22">
        <v>8</v>
      </c>
      <c r="H1930" s="22"/>
      <c r="I1930" s="23" t="s">
        <v>9</v>
      </c>
      <c r="J1930" s="23"/>
      <c r="K1930" s="22"/>
      <c r="L1930" s="22"/>
      <c r="M1930" s="23"/>
      <c r="N1930" s="23"/>
      <c r="O1930" s="26" t="s">
        <v>3601</v>
      </c>
      <c r="P1930" s="26"/>
      <c r="Q1930" s="22"/>
      <c r="R1930" s="24"/>
      <c r="S1930" s="24"/>
      <c r="T1930" s="24"/>
      <c r="U1930" s="24"/>
      <c r="V1930" s="24"/>
      <c r="W1930" s="22" t="s">
        <v>940</v>
      </c>
      <c r="X1930" s="4" t="str">
        <f>IF(Tabela2[[#This Row],[sigla]]="","",VLOOKUP(Tabela2[[#This Row],[sigla]],créditos_base!B:C,2,0))</f>
        <v>RONALDO LUCENA/ARQUIVO DA EDITORA</v>
      </c>
      <c r="Y1930" s="23"/>
      <c r="Z1930" s="23" t="str">
        <f>Tabela2[[#This Row],[ilustrador]]</f>
        <v>RONALDO LUCENA/ARQUIVO DA EDITORA</v>
      </c>
      <c r="AA1930" s="22"/>
      <c r="AB1930" s="20"/>
      <c r="AD1930" s="4" t="str">
        <f>"Pitanguá"</f>
        <v>Pitanguá</v>
      </c>
      <c r="AE1930" s="14" t="str">
        <f>"Matemática"</f>
        <v>Matemática</v>
      </c>
      <c r="AF1930" s="14"/>
    </row>
    <row r="1931" spans="1:32" x14ac:dyDescent="0.3">
      <c r="A1931" s="23" t="s">
        <v>4597</v>
      </c>
      <c r="B1931" s="20" t="s">
        <v>16</v>
      </c>
      <c r="C1931" s="20" t="s">
        <v>89</v>
      </c>
      <c r="D1931" s="20" t="s">
        <v>8</v>
      </c>
      <c r="E1931" s="22">
        <v>185</v>
      </c>
      <c r="F1931" s="22">
        <v>5</v>
      </c>
      <c r="G1931" s="22">
        <v>8</v>
      </c>
      <c r="H1931" s="22"/>
      <c r="I1931" s="23" t="s">
        <v>9</v>
      </c>
      <c r="J1931" s="23"/>
      <c r="K1931" s="22"/>
      <c r="L1931" s="22"/>
      <c r="M1931" s="23"/>
      <c r="N1931" s="23"/>
      <c r="O1931" s="26" t="s">
        <v>4598</v>
      </c>
      <c r="P1931" s="26"/>
      <c r="Q1931" s="22"/>
      <c r="R1931" s="24"/>
      <c r="S1931" s="24"/>
      <c r="T1931" s="24"/>
      <c r="U1931" s="24"/>
      <c r="V1931" s="24"/>
      <c r="W1931" s="22" t="s">
        <v>940</v>
      </c>
      <c r="X1931" s="4" t="str">
        <f>IF(Tabela2[[#This Row],[sigla]]="","",VLOOKUP(Tabela2[[#This Row],[sigla]],créditos_base!B:C,2,0))</f>
        <v>RONALDO LUCENA/ARQUIVO DA EDITORA</v>
      </c>
      <c r="Y1931" s="23"/>
      <c r="Z1931" s="23" t="str">
        <f>Tabela2[[#This Row],[ilustrador]]</f>
        <v>RONALDO LUCENA/ARQUIVO DA EDITORA</v>
      </c>
      <c r="AA1931" s="22"/>
      <c r="AB1931" s="20"/>
      <c r="AD1931" s="4" t="str">
        <f>"Pitanguá"</f>
        <v>Pitanguá</v>
      </c>
      <c r="AE1931" s="14" t="str">
        <f>"Matemática"</f>
        <v>Matemática</v>
      </c>
      <c r="AF1931" s="14"/>
    </row>
    <row r="1932" spans="1:32" x14ac:dyDescent="0.3">
      <c r="A1932" s="23" t="s">
        <v>3602</v>
      </c>
      <c r="B1932" s="20" t="s">
        <v>16</v>
      </c>
      <c r="C1932" s="20" t="s">
        <v>89</v>
      </c>
      <c r="D1932" s="20" t="s">
        <v>8</v>
      </c>
      <c r="E1932" s="22">
        <v>161</v>
      </c>
      <c r="F1932" s="22">
        <v>4</v>
      </c>
      <c r="G1932" s="22">
        <v>8</v>
      </c>
      <c r="H1932" s="22"/>
      <c r="I1932" s="23" t="s">
        <v>9</v>
      </c>
      <c r="J1932" s="23"/>
      <c r="K1932" s="22"/>
      <c r="L1932" s="22"/>
      <c r="M1932" s="23"/>
      <c r="N1932" s="23"/>
      <c r="O1932" s="26" t="s">
        <v>3603</v>
      </c>
      <c r="P1932" s="26"/>
      <c r="Q1932" s="22"/>
      <c r="R1932" s="24"/>
      <c r="S1932" s="24"/>
      <c r="T1932" s="24"/>
      <c r="U1932" s="24"/>
      <c r="V1932" s="24"/>
      <c r="W1932" s="22" t="s">
        <v>940</v>
      </c>
      <c r="X1932" s="4" t="str">
        <f>IF(Tabela2[[#This Row],[sigla]]="","",VLOOKUP(Tabela2[[#This Row],[sigla]],créditos_base!B:C,2,0))</f>
        <v>RONALDO LUCENA/ARQUIVO DA EDITORA</v>
      </c>
      <c r="Y1932" s="23"/>
      <c r="Z1932" s="23" t="str">
        <f>Tabela2[[#This Row],[ilustrador]]</f>
        <v>RONALDO LUCENA/ARQUIVO DA EDITORA</v>
      </c>
      <c r="AA1932" s="22"/>
      <c r="AB1932" s="20"/>
      <c r="AD1932" s="4" t="str">
        <f>"Pitanguá"</f>
        <v>Pitanguá</v>
      </c>
      <c r="AE1932" s="14" t="str">
        <f>"Matemática"</f>
        <v>Matemática</v>
      </c>
      <c r="AF1932" s="14"/>
    </row>
    <row r="1933" spans="1:32" x14ac:dyDescent="0.3">
      <c r="A1933" s="23" t="s">
        <v>4599</v>
      </c>
      <c r="B1933" s="20" t="s">
        <v>16</v>
      </c>
      <c r="C1933" s="20" t="s">
        <v>7</v>
      </c>
      <c r="D1933" s="20" t="s">
        <v>8</v>
      </c>
      <c r="E1933" s="22">
        <v>186</v>
      </c>
      <c r="F1933" s="22">
        <v>5</v>
      </c>
      <c r="G1933" s="22">
        <v>8</v>
      </c>
      <c r="H1933" s="22"/>
      <c r="I1933" s="23" t="s">
        <v>9</v>
      </c>
      <c r="J1933" s="23"/>
      <c r="K1933" s="22"/>
      <c r="L1933" s="22"/>
      <c r="M1933" s="23"/>
      <c r="N1933" s="23"/>
      <c r="O1933" s="26" t="s">
        <v>4600</v>
      </c>
      <c r="P1933" s="26"/>
      <c r="Q1933" s="22"/>
      <c r="R1933" s="24"/>
      <c r="S1933" s="24"/>
      <c r="T1933" s="24"/>
      <c r="U1933" s="24"/>
      <c r="V1933" s="24"/>
      <c r="W1933" s="22" t="s">
        <v>3382</v>
      </c>
      <c r="X1933" s="4" t="str">
        <f>IF(Tabela2[[#This Row],[sigla]]="","",VLOOKUP(Tabela2[[#This Row],[sigla]],créditos_base!B:C,2,0))</f>
        <v>LEONARDO MARI/ARQUIVO DA EDITORA</v>
      </c>
      <c r="Y1933" s="23"/>
      <c r="Z1933" s="23" t="str">
        <f>Tabela2[[#This Row],[ilustrador]]</f>
        <v>LEONARDO MARI/ARQUIVO DA EDITORA</v>
      </c>
      <c r="AA1933" s="22"/>
      <c r="AB1933" s="20"/>
      <c r="AD1933" s="4" t="str">
        <f>"Pitanguá"</f>
        <v>Pitanguá</v>
      </c>
      <c r="AE1933" s="14" t="str">
        <f>"Matemática"</f>
        <v>Matemática</v>
      </c>
      <c r="AF1933" s="14"/>
    </row>
    <row r="1934" spans="1:32" x14ac:dyDescent="0.3">
      <c r="A1934" s="30" t="s">
        <v>1626</v>
      </c>
      <c r="B1934" s="20" t="s">
        <v>16</v>
      </c>
      <c r="C1934" s="20" t="s">
        <v>89</v>
      </c>
      <c r="D1934" s="20" t="s">
        <v>8</v>
      </c>
      <c r="E1934" s="22">
        <v>192</v>
      </c>
      <c r="F1934" s="22">
        <v>2</v>
      </c>
      <c r="G1934" s="22">
        <v>8</v>
      </c>
      <c r="H1934" s="22"/>
      <c r="I1934" s="23" t="s">
        <v>33</v>
      </c>
      <c r="J1934" s="23"/>
      <c r="K1934" s="22"/>
      <c r="L1934" s="22"/>
      <c r="M1934" s="23"/>
      <c r="N1934" s="23"/>
      <c r="O1934" s="26" t="s">
        <v>1627</v>
      </c>
      <c r="P1934" s="26"/>
      <c r="Q1934" s="22">
        <v>54</v>
      </c>
      <c r="R1934" s="24">
        <v>45803</v>
      </c>
      <c r="S1934" s="24">
        <v>45806</v>
      </c>
      <c r="T1934" s="24"/>
      <c r="U1934" s="24"/>
      <c r="V1934" s="24">
        <v>45806</v>
      </c>
      <c r="W1934" s="22" t="s">
        <v>160</v>
      </c>
      <c r="X1934" s="4" t="str">
        <f>IF(Tabela2[[#This Row],[sigla]]="","",VLOOKUP(Tabela2[[#This Row],[sigla]],créditos_base!B:C,2,0))</f>
        <v>SERGIO LIMA/ARQUIVO DA EDITORA</v>
      </c>
      <c r="Y1934" s="23" t="s">
        <v>1503</v>
      </c>
      <c r="Z1934" s="23" t="str">
        <f>Tabela2[[#This Row],[ilustrador]]</f>
        <v>SERGIO LIMA/ARQUIVO DA EDITORA</v>
      </c>
      <c r="AA1934" s="22"/>
      <c r="AB1934" s="20" t="s">
        <v>41</v>
      </c>
      <c r="AC1934" s="20" t="s">
        <v>36</v>
      </c>
      <c r="AD1934" s="4" t="str">
        <f>"Pitanguá"</f>
        <v>Pitanguá</v>
      </c>
      <c r="AE1934" s="14" t="str">
        <f>"Matemática"</f>
        <v>Matemática</v>
      </c>
      <c r="AF1934" s="14"/>
    </row>
    <row r="1935" spans="1:32" x14ac:dyDescent="0.3">
      <c r="A1935" s="23" t="s">
        <v>3604</v>
      </c>
      <c r="B1935" s="20" t="s">
        <v>16</v>
      </c>
      <c r="C1935" s="20" t="s">
        <v>89</v>
      </c>
      <c r="D1935" s="20" t="s">
        <v>8</v>
      </c>
      <c r="E1935" s="22">
        <v>161</v>
      </c>
      <c r="F1935" s="22">
        <v>4</v>
      </c>
      <c r="G1935" s="22">
        <v>8</v>
      </c>
      <c r="H1935" s="22"/>
      <c r="I1935" s="23" t="s">
        <v>9</v>
      </c>
      <c r="J1935" s="23"/>
      <c r="K1935" s="22"/>
      <c r="L1935" s="22"/>
      <c r="M1935" s="23"/>
      <c r="N1935" s="23"/>
      <c r="O1935" s="26" t="s">
        <v>3605</v>
      </c>
      <c r="P1935" s="26"/>
      <c r="Q1935" s="22"/>
      <c r="R1935" s="24"/>
      <c r="S1935" s="24"/>
      <c r="T1935" s="24"/>
      <c r="U1935" s="24"/>
      <c r="V1935" s="24"/>
      <c r="W1935" s="22" t="s">
        <v>940</v>
      </c>
      <c r="X1935" s="4" t="str">
        <f>IF(Tabela2[[#This Row],[sigla]]="","",VLOOKUP(Tabela2[[#This Row],[sigla]],créditos_base!B:C,2,0))</f>
        <v>RONALDO LUCENA/ARQUIVO DA EDITORA</v>
      </c>
      <c r="Y1935" s="23"/>
      <c r="Z1935" s="23" t="str">
        <f>Tabela2[[#This Row],[ilustrador]]</f>
        <v>RONALDO LUCENA/ARQUIVO DA EDITORA</v>
      </c>
      <c r="AA1935" s="22"/>
      <c r="AB1935" s="20"/>
      <c r="AD1935" s="4" t="str">
        <f>"Pitanguá"</f>
        <v>Pitanguá</v>
      </c>
      <c r="AE1935" s="14" t="str">
        <f>"Matemática"</f>
        <v>Matemática</v>
      </c>
      <c r="AF1935" s="14"/>
    </row>
    <row r="1936" spans="1:32" x14ac:dyDescent="0.3">
      <c r="A1936" s="23" t="s">
        <v>4601</v>
      </c>
      <c r="B1936" s="20" t="s">
        <v>16</v>
      </c>
      <c r="C1936" s="20" t="s">
        <v>7</v>
      </c>
      <c r="D1936" s="20" t="s">
        <v>8</v>
      </c>
      <c r="E1936" s="22">
        <v>186</v>
      </c>
      <c r="F1936" s="22">
        <v>5</v>
      </c>
      <c r="G1936" s="22">
        <v>8</v>
      </c>
      <c r="H1936" s="22"/>
      <c r="I1936" s="23" t="s">
        <v>9</v>
      </c>
      <c r="J1936" s="23"/>
      <c r="K1936" s="22"/>
      <c r="L1936" s="22"/>
      <c r="M1936" s="23"/>
      <c r="N1936" s="23"/>
      <c r="O1936" s="26" t="s">
        <v>4602</v>
      </c>
      <c r="P1936" s="26"/>
      <c r="Q1936" s="22"/>
      <c r="R1936" s="24"/>
      <c r="S1936" s="24"/>
      <c r="T1936" s="24"/>
      <c r="U1936" s="24"/>
      <c r="V1936" s="24"/>
      <c r="W1936" s="22" t="s">
        <v>31</v>
      </c>
      <c r="X1936" s="4" t="str">
        <f>IF(Tabela2[[#This Row],[sigla]]="","",VLOOKUP(Tabela2[[#This Row],[sigla]],créditos_base!B:C,2,0))</f>
        <v>SILVIA OTOFUJI/ARQUIVO DA EDITORA</v>
      </c>
      <c r="Y1936" s="23"/>
      <c r="Z1936" s="23" t="str">
        <f>Tabela2[[#This Row],[ilustrador]]</f>
        <v>SILVIA OTOFUJI/ARQUIVO DA EDITORA</v>
      </c>
      <c r="AA1936" s="22"/>
      <c r="AB1936" s="20"/>
      <c r="AD1936" s="4" t="str">
        <f>"Pitanguá"</f>
        <v>Pitanguá</v>
      </c>
      <c r="AE1936" s="14" t="str">
        <f>"Matemática"</f>
        <v>Matemática</v>
      </c>
      <c r="AF1936" s="14"/>
    </row>
    <row r="1937" spans="1:32" x14ac:dyDescent="0.3">
      <c r="A1937" s="23" t="s">
        <v>568</v>
      </c>
      <c r="B1937" s="20" t="s">
        <v>16</v>
      </c>
      <c r="C1937" s="20" t="s">
        <v>89</v>
      </c>
      <c r="D1937" s="20" t="s">
        <v>8</v>
      </c>
      <c r="E1937" s="22">
        <v>92</v>
      </c>
      <c r="F1937" s="22">
        <v>1</v>
      </c>
      <c r="G1937" s="22">
        <v>8</v>
      </c>
      <c r="H1937" s="22"/>
      <c r="I1937" s="23" t="s">
        <v>9</v>
      </c>
      <c r="J1937" s="23"/>
      <c r="K1937" s="22"/>
      <c r="L1937" s="22"/>
      <c r="M1937" s="23"/>
      <c r="N1937" s="23"/>
      <c r="O1937" s="26" t="s">
        <v>569</v>
      </c>
      <c r="P1937" s="26"/>
      <c r="Q1937" s="22"/>
      <c r="R1937" s="24"/>
      <c r="S1937" s="24"/>
      <c r="T1937" s="24"/>
      <c r="U1937" s="24"/>
      <c r="V1937" s="24"/>
      <c r="W1937" s="22" t="s">
        <v>160</v>
      </c>
      <c r="X1937" s="4" t="str">
        <f>IF(Tabela2[[#This Row],[sigla]]="","",VLOOKUP(Tabela2[[#This Row],[sigla]],créditos_base!B:C,2,0))</f>
        <v>SERGIO LIMA/ARQUIVO DA EDITORA</v>
      </c>
      <c r="Y1937" s="23"/>
      <c r="Z1937" s="23" t="str">
        <f>Tabela2[[#This Row],[ilustrador]]</f>
        <v>SERGIO LIMA/ARQUIVO DA EDITORA</v>
      </c>
      <c r="AA1937" s="22"/>
      <c r="AB1937" s="20"/>
      <c r="AD1937" s="4" t="str">
        <f>"Pitanguá"</f>
        <v>Pitanguá</v>
      </c>
      <c r="AE1937" s="14" t="str">
        <f>"Matemática"</f>
        <v>Matemática</v>
      </c>
      <c r="AF1937" s="14"/>
    </row>
    <row r="1938" spans="1:32" x14ac:dyDescent="0.3">
      <c r="A1938" s="30" t="s">
        <v>1628</v>
      </c>
      <c r="B1938" s="20" t="s">
        <v>16</v>
      </c>
      <c r="C1938" s="20" t="s">
        <v>7</v>
      </c>
      <c r="D1938" s="20" t="s">
        <v>8</v>
      </c>
      <c r="E1938" s="22">
        <v>192</v>
      </c>
      <c r="F1938" s="22">
        <v>2</v>
      </c>
      <c r="G1938" s="22">
        <v>8</v>
      </c>
      <c r="H1938" s="22"/>
      <c r="I1938" s="23" t="s">
        <v>33</v>
      </c>
      <c r="J1938" s="23"/>
      <c r="K1938" s="22"/>
      <c r="L1938" s="22"/>
      <c r="M1938" s="23"/>
      <c r="N1938" s="23"/>
      <c r="O1938" s="26" t="s">
        <v>1629</v>
      </c>
      <c r="P1938" s="26"/>
      <c r="Q1938" s="22">
        <v>54</v>
      </c>
      <c r="R1938" s="24">
        <v>45803</v>
      </c>
      <c r="S1938" s="24">
        <v>45806</v>
      </c>
      <c r="T1938" s="24"/>
      <c r="U1938" s="24"/>
      <c r="V1938" s="24">
        <v>45806</v>
      </c>
      <c r="W1938" s="22" t="s">
        <v>160</v>
      </c>
      <c r="X1938" s="4" t="str">
        <f>IF(Tabela2[[#This Row],[sigla]]="","",VLOOKUP(Tabela2[[#This Row],[sigla]],créditos_base!B:C,2,0))</f>
        <v>SERGIO LIMA/ARQUIVO DA EDITORA</v>
      </c>
      <c r="Y1938" s="23" t="s">
        <v>1503</v>
      </c>
      <c r="Z1938" s="23" t="str">
        <f>Tabela2[[#This Row],[ilustrador]]</f>
        <v>SERGIO LIMA/ARQUIVO DA EDITORA</v>
      </c>
      <c r="AA1938" s="22"/>
      <c r="AB1938" s="20" t="s">
        <v>41</v>
      </c>
      <c r="AC1938" s="20" t="s">
        <v>36</v>
      </c>
      <c r="AD1938" s="4" t="str">
        <f>"Pitanguá"</f>
        <v>Pitanguá</v>
      </c>
      <c r="AE1938" s="14" t="str">
        <f>"Matemática"</f>
        <v>Matemática</v>
      </c>
      <c r="AF1938" s="14"/>
    </row>
    <row r="1939" spans="1:32" x14ac:dyDescent="0.3">
      <c r="A1939" s="23" t="s">
        <v>2442</v>
      </c>
      <c r="B1939" s="20" t="s">
        <v>16</v>
      </c>
      <c r="C1939" s="20" t="s">
        <v>7</v>
      </c>
      <c r="D1939" s="20" t="s">
        <v>8</v>
      </c>
      <c r="E1939" s="22">
        <v>161</v>
      </c>
      <c r="F1939" s="22">
        <v>3</v>
      </c>
      <c r="G1939" s="22">
        <v>8</v>
      </c>
      <c r="H1939" s="22"/>
      <c r="I1939" s="23" t="s">
        <v>33</v>
      </c>
      <c r="J1939" s="23"/>
      <c r="K1939" s="22"/>
      <c r="L1939" s="22"/>
      <c r="M1939" s="23"/>
      <c r="N1939" s="23"/>
      <c r="O1939" s="26" t="s">
        <v>2443</v>
      </c>
      <c r="P1939" s="26"/>
      <c r="Q1939" s="22">
        <v>133</v>
      </c>
      <c r="R1939" s="24">
        <v>45864</v>
      </c>
      <c r="S1939" s="24">
        <v>45866</v>
      </c>
      <c r="T1939" s="24"/>
      <c r="U1939" s="24"/>
      <c r="V1939" s="24">
        <v>45866</v>
      </c>
      <c r="W1939" s="22" t="s">
        <v>230</v>
      </c>
      <c r="X1939" s="4" t="str">
        <f>IF(Tabela2[[#This Row],[sigla]]="","",VLOOKUP(Tabela2[[#This Row],[sigla]],créditos_base!B:C,2,0))</f>
        <v>RAFAEL L. GAION/ARQUIVO DA EDITORA</v>
      </c>
      <c r="Y1939" s="23" t="s">
        <v>433</v>
      </c>
      <c r="Z1939" s="23" t="str">
        <f>Tabela2[[#This Row],[ilustrador]]</f>
        <v>RAFAEL L. GAION/ARQUIVO DA EDITORA</v>
      </c>
      <c r="AA1939" s="22">
        <v>14</v>
      </c>
      <c r="AB1939" s="20" t="s">
        <v>153</v>
      </c>
      <c r="AC1939" s="20" t="s">
        <v>36</v>
      </c>
      <c r="AD1939" s="4" t="str">
        <f>"Pitanguá"</f>
        <v>Pitanguá</v>
      </c>
      <c r="AE1939" s="14" t="str">
        <f>"Matemática"</f>
        <v>Matemática</v>
      </c>
      <c r="AF1939" s="14"/>
    </row>
    <row r="1940" spans="1:32" x14ac:dyDescent="0.3">
      <c r="A1940" s="23" t="s">
        <v>3606</v>
      </c>
      <c r="B1940" s="20" t="s">
        <v>16</v>
      </c>
      <c r="C1940" s="20" t="s">
        <v>89</v>
      </c>
      <c r="D1940" s="20" t="s">
        <v>8</v>
      </c>
      <c r="E1940" s="22">
        <v>161</v>
      </c>
      <c r="F1940" s="22">
        <v>4</v>
      </c>
      <c r="G1940" s="22">
        <v>8</v>
      </c>
      <c r="H1940" s="22"/>
      <c r="I1940" s="23" t="s">
        <v>9</v>
      </c>
      <c r="J1940" s="23"/>
      <c r="K1940" s="22"/>
      <c r="L1940" s="22"/>
      <c r="M1940" s="23"/>
      <c r="N1940" s="23"/>
      <c r="O1940" s="26" t="s">
        <v>3607</v>
      </c>
      <c r="P1940" s="26"/>
      <c r="Q1940" s="22"/>
      <c r="R1940" s="24"/>
      <c r="S1940" s="24"/>
      <c r="T1940" s="24"/>
      <c r="U1940" s="24"/>
      <c r="V1940" s="24"/>
      <c r="W1940" s="22" t="s">
        <v>940</v>
      </c>
      <c r="X1940" s="4" t="str">
        <f>IF(Tabela2[[#This Row],[sigla]]="","",VLOOKUP(Tabela2[[#This Row],[sigla]],créditos_base!B:C,2,0))</f>
        <v>RONALDO LUCENA/ARQUIVO DA EDITORA</v>
      </c>
      <c r="Y1940" s="23"/>
      <c r="Z1940" s="23" t="str">
        <f>Tabela2[[#This Row],[ilustrador]]</f>
        <v>RONALDO LUCENA/ARQUIVO DA EDITORA</v>
      </c>
      <c r="AA1940" s="22"/>
      <c r="AB1940" s="20"/>
      <c r="AD1940" s="4" t="str">
        <f>"Pitanguá"</f>
        <v>Pitanguá</v>
      </c>
      <c r="AE1940" s="14" t="str">
        <f>"Matemática"</f>
        <v>Matemática</v>
      </c>
      <c r="AF1940" s="14"/>
    </row>
    <row r="1941" spans="1:32" x14ac:dyDescent="0.3">
      <c r="A1941" s="23" t="s">
        <v>4603</v>
      </c>
      <c r="B1941" s="20" t="s">
        <v>16</v>
      </c>
      <c r="C1941" s="20" t="s">
        <v>89</v>
      </c>
      <c r="D1941" s="20" t="s">
        <v>8</v>
      </c>
      <c r="E1941" s="22">
        <v>186</v>
      </c>
      <c r="F1941" s="22">
        <v>5</v>
      </c>
      <c r="G1941" s="22">
        <v>8</v>
      </c>
      <c r="H1941" s="22"/>
      <c r="I1941" s="23" t="s">
        <v>33</v>
      </c>
      <c r="J1941" s="23"/>
      <c r="K1941" s="22"/>
      <c r="L1941" s="22"/>
      <c r="M1941" s="23"/>
      <c r="N1941" s="23"/>
      <c r="O1941" s="26" t="s">
        <v>4604</v>
      </c>
      <c r="P1941" s="26"/>
      <c r="Q1941" s="22">
        <v>76</v>
      </c>
      <c r="R1941" s="24">
        <v>45817</v>
      </c>
      <c r="S1941" s="24">
        <v>45825</v>
      </c>
      <c r="T1941" s="24"/>
      <c r="U1941" s="24"/>
      <c r="V1941" s="24">
        <v>45826</v>
      </c>
      <c r="W1941" s="22" t="s">
        <v>3382</v>
      </c>
      <c r="X1941" s="4" t="str">
        <f>IF(Tabela2[[#This Row],[sigla]]="","",VLOOKUP(Tabela2[[#This Row],[sigla]],créditos_base!B:C,2,0))</f>
        <v>LEONARDO MARI/ARQUIVO DA EDITORA</v>
      </c>
      <c r="Y1941" s="23" t="s">
        <v>433</v>
      </c>
      <c r="Z1941" s="23" t="str">
        <f>Tabela2[[#This Row],[ilustrador]]</f>
        <v>LEONARDO MARI/ARQUIVO DA EDITORA</v>
      </c>
      <c r="AA1941" s="22">
        <v>14</v>
      </c>
      <c r="AB1941" s="20" t="s">
        <v>153</v>
      </c>
      <c r="AC1941" s="20" t="s">
        <v>36</v>
      </c>
      <c r="AD1941" s="4" t="str">
        <f>"Pitanguá"</f>
        <v>Pitanguá</v>
      </c>
      <c r="AE1941" s="14" t="str">
        <f>"Matemática"</f>
        <v>Matemática</v>
      </c>
      <c r="AF1941" s="14"/>
    </row>
    <row r="1942" spans="1:32" x14ac:dyDescent="0.3">
      <c r="A1942" s="23" t="s">
        <v>2398</v>
      </c>
      <c r="B1942" s="20" t="s">
        <v>16</v>
      </c>
      <c r="C1942" s="20" t="s">
        <v>89</v>
      </c>
      <c r="D1942" s="20" t="s">
        <v>8</v>
      </c>
      <c r="E1942" s="22">
        <v>188</v>
      </c>
      <c r="F1942" s="22">
        <v>1</v>
      </c>
      <c r="G1942" s="22">
        <v>8</v>
      </c>
      <c r="H1942" s="22"/>
      <c r="I1942" s="23" t="s">
        <v>33</v>
      </c>
      <c r="J1942" s="23"/>
      <c r="K1942" s="22"/>
      <c r="L1942" s="22"/>
      <c r="M1942" s="23"/>
      <c r="N1942" s="23"/>
      <c r="O1942" s="26" t="s">
        <v>2399</v>
      </c>
      <c r="P1942" s="26"/>
      <c r="Q1942" s="22">
        <v>32</v>
      </c>
      <c r="R1942" s="24">
        <v>45761</v>
      </c>
      <c r="S1942" s="24">
        <v>45763</v>
      </c>
      <c r="T1942" s="24"/>
      <c r="U1942" s="24"/>
      <c r="V1942" s="24">
        <v>45763</v>
      </c>
      <c r="W1942" s="22" t="s">
        <v>223</v>
      </c>
      <c r="X1942" s="4" t="str">
        <f>IF(Tabela2[[#This Row],[sigla]]="","",VLOOKUP(Tabela2[[#This Row],[sigla]],créditos_base!B:C,2,0))</f>
        <v>NATANAELE BILMAIA/ARQUIVO DA EDITORA</v>
      </c>
      <c r="Y1942" s="23" t="s">
        <v>152</v>
      </c>
      <c r="Z1942" s="23" t="str">
        <f>Tabela2[[#This Row],[ilustrador]]</f>
        <v>NATANAELE BILMAIA/ARQUIVO DA EDITORA</v>
      </c>
      <c r="AA1942" s="22">
        <v>13</v>
      </c>
      <c r="AB1942" s="20" t="s">
        <v>244</v>
      </c>
      <c r="AC1942" s="20" t="s">
        <v>36</v>
      </c>
      <c r="AD1942" s="4" t="str">
        <f>"Pitanguá"</f>
        <v>Pitanguá</v>
      </c>
      <c r="AE1942" s="14" t="str">
        <f>"Matemática"</f>
        <v>Matemática</v>
      </c>
      <c r="AF1942" s="14"/>
    </row>
    <row r="1943" spans="1:32" x14ac:dyDescent="0.3">
      <c r="A1943" s="30" t="s">
        <v>1630</v>
      </c>
      <c r="B1943" s="20" t="s">
        <v>16</v>
      </c>
      <c r="C1943" s="20" t="s">
        <v>7</v>
      </c>
      <c r="D1943" s="20" t="s">
        <v>8</v>
      </c>
      <c r="E1943" s="22">
        <v>193</v>
      </c>
      <c r="F1943" s="22">
        <v>2</v>
      </c>
      <c r="G1943" s="22">
        <v>8</v>
      </c>
      <c r="H1943" s="22"/>
      <c r="I1943" s="23" t="s">
        <v>33</v>
      </c>
      <c r="J1943" s="23"/>
      <c r="K1943" s="22"/>
      <c r="L1943" s="22"/>
      <c r="M1943" s="23"/>
      <c r="N1943" s="23"/>
      <c r="O1943" s="26" t="s">
        <v>1631</v>
      </c>
      <c r="P1943" s="26"/>
      <c r="Q1943" s="22">
        <v>54</v>
      </c>
      <c r="R1943" s="24">
        <v>45803</v>
      </c>
      <c r="S1943" s="24">
        <v>45806</v>
      </c>
      <c r="T1943" s="24"/>
      <c r="U1943" s="24"/>
      <c r="V1943" s="24">
        <v>45806</v>
      </c>
      <c r="W1943" s="22" t="s">
        <v>546</v>
      </c>
      <c r="X1943" s="4" t="str">
        <f>IF(Tabela2[[#This Row],[sigla]]="","",VLOOKUP(Tabela2[[#This Row],[sigla]],créditos_base!B:C,2,0))</f>
        <v>GUILHERME ARANEGA/ARQUIVO DA EDITORA</v>
      </c>
      <c r="Y1943" s="23" t="s">
        <v>1503</v>
      </c>
      <c r="Z1943" s="23" t="str">
        <f>Tabela2[[#This Row],[ilustrador]]</f>
        <v>GUILHERME ARANEGA/ARQUIVO DA EDITORA</v>
      </c>
      <c r="AA1943" s="22"/>
      <c r="AB1943" s="20" t="s">
        <v>41</v>
      </c>
      <c r="AC1943" s="20" t="s">
        <v>36</v>
      </c>
      <c r="AD1943" s="4" t="str">
        <f>"Pitanguá"</f>
        <v>Pitanguá</v>
      </c>
      <c r="AE1943" s="14" t="str">
        <f>"Matemática"</f>
        <v>Matemática</v>
      </c>
      <c r="AF1943" s="14"/>
    </row>
    <row r="1944" spans="1:32" x14ac:dyDescent="0.3">
      <c r="A1944" s="23" t="s">
        <v>2444</v>
      </c>
      <c r="B1944" s="20" t="s">
        <v>16</v>
      </c>
      <c r="C1944" s="20" t="s">
        <v>7</v>
      </c>
      <c r="D1944" s="20" t="s">
        <v>8</v>
      </c>
      <c r="E1944" s="22">
        <v>161</v>
      </c>
      <c r="F1944" s="22">
        <v>3</v>
      </c>
      <c r="G1944" s="22">
        <v>8</v>
      </c>
      <c r="H1944" s="22"/>
      <c r="I1944" s="23" t="s">
        <v>33</v>
      </c>
      <c r="J1944" s="23"/>
      <c r="K1944" s="22"/>
      <c r="L1944" s="22"/>
      <c r="M1944" s="23"/>
      <c r="N1944" s="23"/>
      <c r="O1944" s="26" t="s">
        <v>2445</v>
      </c>
      <c r="P1944" s="26"/>
      <c r="Q1944" s="22">
        <v>133</v>
      </c>
      <c r="R1944" s="24">
        <v>45864</v>
      </c>
      <c r="S1944" s="24">
        <v>45866</v>
      </c>
      <c r="T1944" s="24"/>
      <c r="U1944" s="24"/>
      <c r="V1944" s="24">
        <v>45866</v>
      </c>
      <c r="W1944" s="22" t="s">
        <v>230</v>
      </c>
      <c r="X1944" s="4" t="str">
        <f>IF(Tabela2[[#This Row],[sigla]]="","",VLOOKUP(Tabela2[[#This Row],[sigla]],créditos_base!B:C,2,0))</f>
        <v>RAFAEL L. GAION/ARQUIVO DA EDITORA</v>
      </c>
      <c r="Y1944" s="23" t="s">
        <v>433</v>
      </c>
      <c r="Z1944" s="23" t="str">
        <f>Tabela2[[#This Row],[ilustrador]]</f>
        <v>RAFAEL L. GAION/ARQUIVO DA EDITORA</v>
      </c>
      <c r="AA1944" s="22">
        <v>14</v>
      </c>
      <c r="AB1944" s="20" t="s">
        <v>153</v>
      </c>
      <c r="AC1944" s="20" t="s">
        <v>36</v>
      </c>
      <c r="AD1944" s="4" t="str">
        <f>"Pitanguá"</f>
        <v>Pitanguá</v>
      </c>
      <c r="AE1944" s="14" t="str">
        <f>"Matemática"</f>
        <v>Matemática</v>
      </c>
      <c r="AF1944" s="14"/>
    </row>
    <row r="1945" spans="1:32" x14ac:dyDescent="0.3">
      <c r="A1945" s="23" t="s">
        <v>3608</v>
      </c>
      <c r="B1945" s="20" t="s">
        <v>16</v>
      </c>
      <c r="C1945" s="20" t="s">
        <v>89</v>
      </c>
      <c r="D1945" s="20" t="s">
        <v>8</v>
      </c>
      <c r="E1945" s="22">
        <v>161</v>
      </c>
      <c r="F1945" s="22">
        <v>4</v>
      </c>
      <c r="G1945" s="22">
        <v>8</v>
      </c>
      <c r="H1945" s="22"/>
      <c r="I1945" s="23" t="s">
        <v>9</v>
      </c>
      <c r="J1945" s="23"/>
      <c r="K1945" s="22"/>
      <c r="L1945" s="22"/>
      <c r="M1945" s="23"/>
      <c r="N1945" s="23"/>
      <c r="O1945" s="26" t="s">
        <v>3609</v>
      </c>
      <c r="P1945" s="26"/>
      <c r="Q1945" s="22"/>
      <c r="R1945" s="24"/>
      <c r="S1945" s="24"/>
      <c r="T1945" s="24"/>
      <c r="U1945" s="24"/>
      <c r="V1945" s="24"/>
      <c r="W1945" s="22" t="s">
        <v>940</v>
      </c>
      <c r="X1945" s="4" t="str">
        <f>IF(Tabela2[[#This Row],[sigla]]="","",VLOOKUP(Tabela2[[#This Row],[sigla]],créditos_base!B:C,2,0))</f>
        <v>RONALDO LUCENA/ARQUIVO DA EDITORA</v>
      </c>
      <c r="Y1945" s="23"/>
      <c r="Z1945" s="23" t="str">
        <f>Tabela2[[#This Row],[ilustrador]]</f>
        <v>RONALDO LUCENA/ARQUIVO DA EDITORA</v>
      </c>
      <c r="AA1945" s="22"/>
      <c r="AB1945" s="20"/>
      <c r="AD1945" s="4" t="str">
        <f>"Pitanguá"</f>
        <v>Pitanguá</v>
      </c>
      <c r="AE1945" s="14" t="str">
        <f>"Matemática"</f>
        <v>Matemática</v>
      </c>
      <c r="AF1945" s="14"/>
    </row>
    <row r="1946" spans="1:32" x14ac:dyDescent="0.3">
      <c r="A1946" s="23" t="s">
        <v>4605</v>
      </c>
      <c r="B1946" s="20" t="s">
        <v>16</v>
      </c>
      <c r="C1946" s="20" t="s">
        <v>7</v>
      </c>
      <c r="D1946" s="20" t="s">
        <v>8</v>
      </c>
      <c r="E1946" s="22">
        <v>187</v>
      </c>
      <c r="F1946" s="22">
        <v>5</v>
      </c>
      <c r="G1946" s="22">
        <v>8</v>
      </c>
      <c r="H1946" s="22"/>
      <c r="I1946" s="23" t="s">
        <v>33</v>
      </c>
      <c r="J1946" s="23"/>
      <c r="K1946" s="22"/>
      <c r="L1946" s="22"/>
      <c r="M1946" s="23"/>
      <c r="N1946" s="23"/>
      <c r="O1946" s="26" t="s">
        <v>4606</v>
      </c>
      <c r="P1946" s="26"/>
      <c r="Q1946" s="22">
        <v>162</v>
      </c>
      <c r="R1946" s="24">
        <v>45891</v>
      </c>
      <c r="S1946" s="24">
        <v>45891</v>
      </c>
      <c r="T1946" s="24"/>
      <c r="U1946" s="24"/>
      <c r="V1946" s="24">
        <v>45892</v>
      </c>
      <c r="W1946" s="22" t="s">
        <v>31</v>
      </c>
      <c r="X1946" s="4" t="str">
        <f>IF(Tabela2[[#This Row],[sigla]]="","",VLOOKUP(Tabela2[[#This Row],[sigla]],créditos_base!B:C,2,0))</f>
        <v>SILVIA OTOFUJI/ARQUIVO DA EDITORA</v>
      </c>
      <c r="Y1946" s="23" t="s">
        <v>13</v>
      </c>
      <c r="Z1946" s="23" t="str">
        <f>Tabela2[[#This Row],[ilustrador]]</f>
        <v>SILVIA OTOFUJI/ARQUIVO DA EDITORA</v>
      </c>
      <c r="AA1946" s="22">
        <v>13</v>
      </c>
      <c r="AB1946" s="20" t="s">
        <v>153</v>
      </c>
      <c r="AC1946" s="20" t="s">
        <v>36</v>
      </c>
      <c r="AD1946" s="4" t="str">
        <f>"Pitanguá"</f>
        <v>Pitanguá</v>
      </c>
      <c r="AE1946" s="14" t="str">
        <f>"Matemática"</f>
        <v>Matemática</v>
      </c>
      <c r="AF1946" s="14"/>
    </row>
    <row r="1947" spans="1:32" x14ac:dyDescent="0.3">
      <c r="A1947" s="23" t="s">
        <v>2446</v>
      </c>
      <c r="B1947" s="20" t="s">
        <v>16</v>
      </c>
      <c r="C1947" s="20" t="s">
        <v>7</v>
      </c>
      <c r="D1947" s="20" t="s">
        <v>8</v>
      </c>
      <c r="E1947" s="22">
        <v>161</v>
      </c>
      <c r="F1947" s="22">
        <v>3</v>
      </c>
      <c r="G1947" s="22">
        <v>8</v>
      </c>
      <c r="H1947" s="22"/>
      <c r="I1947" s="23" t="s">
        <v>9</v>
      </c>
      <c r="J1947" s="23"/>
      <c r="K1947" s="22"/>
      <c r="L1947" s="22"/>
      <c r="M1947" s="23"/>
      <c r="N1947" s="23"/>
      <c r="O1947" s="26" t="s">
        <v>2447</v>
      </c>
      <c r="P1947" s="26"/>
      <c r="Q1947" s="22"/>
      <c r="R1947" s="24"/>
      <c r="S1947" s="24"/>
      <c r="T1947" s="24"/>
      <c r="U1947" s="24"/>
      <c r="V1947" s="24"/>
      <c r="W1947" s="22" t="s">
        <v>230</v>
      </c>
      <c r="X1947" s="4" t="str">
        <f>IF(Tabela2[[#This Row],[sigla]]="","",VLOOKUP(Tabela2[[#This Row],[sigla]],créditos_base!B:C,2,0))</f>
        <v>RAFAEL L. GAION/ARQUIVO DA EDITORA</v>
      </c>
      <c r="Y1947" s="23"/>
      <c r="Z1947" s="23" t="str">
        <f>Tabela2[[#This Row],[ilustrador]]</f>
        <v>RAFAEL L. GAION/ARQUIVO DA EDITORA</v>
      </c>
      <c r="AA1947" s="22"/>
      <c r="AB1947" s="20"/>
      <c r="AD1947" s="4" t="str">
        <f>"Pitanguá"</f>
        <v>Pitanguá</v>
      </c>
      <c r="AE1947" s="14" t="str">
        <f>"Matemática"</f>
        <v>Matemática</v>
      </c>
      <c r="AF1947" s="14"/>
    </row>
    <row r="1948" spans="1:32" x14ac:dyDescent="0.3">
      <c r="A1948" s="23" t="s">
        <v>3610</v>
      </c>
      <c r="B1948" s="20" t="s">
        <v>16</v>
      </c>
      <c r="C1948" s="20" t="s">
        <v>89</v>
      </c>
      <c r="D1948" s="20" t="s">
        <v>8</v>
      </c>
      <c r="E1948" s="22">
        <v>161</v>
      </c>
      <c r="F1948" s="22">
        <v>4</v>
      </c>
      <c r="G1948" s="22">
        <v>8</v>
      </c>
      <c r="H1948" s="22"/>
      <c r="I1948" s="23" t="s">
        <v>9</v>
      </c>
      <c r="J1948" s="23"/>
      <c r="K1948" s="22"/>
      <c r="L1948" s="22"/>
      <c r="M1948" s="23"/>
      <c r="N1948" s="23"/>
      <c r="O1948" s="26" t="s">
        <v>3611</v>
      </c>
      <c r="P1948" s="26"/>
      <c r="Q1948" s="22"/>
      <c r="R1948" s="24"/>
      <c r="S1948" s="24"/>
      <c r="T1948" s="24"/>
      <c r="U1948" s="24"/>
      <c r="V1948" s="24"/>
      <c r="W1948" s="22" t="s">
        <v>940</v>
      </c>
      <c r="X1948" s="4" t="str">
        <f>IF(Tabela2[[#This Row],[sigla]]="","",VLOOKUP(Tabela2[[#This Row],[sigla]],créditos_base!B:C,2,0))</f>
        <v>RONALDO LUCENA/ARQUIVO DA EDITORA</v>
      </c>
      <c r="Y1948" s="23"/>
      <c r="Z1948" s="23" t="str">
        <f>Tabela2[[#This Row],[ilustrador]]</f>
        <v>RONALDO LUCENA/ARQUIVO DA EDITORA</v>
      </c>
      <c r="AA1948" s="22"/>
      <c r="AB1948" s="20"/>
      <c r="AD1948" s="4" t="str">
        <f>"Pitanguá"</f>
        <v>Pitanguá</v>
      </c>
      <c r="AE1948" s="14" t="str">
        <f>"Matemática"</f>
        <v>Matemática</v>
      </c>
      <c r="AF1948" s="14"/>
    </row>
    <row r="1949" spans="1:32" x14ac:dyDescent="0.3">
      <c r="A1949" s="23" t="s">
        <v>4607</v>
      </c>
      <c r="B1949" s="20" t="s">
        <v>16</v>
      </c>
      <c r="C1949" s="20" t="s">
        <v>7</v>
      </c>
      <c r="D1949" s="20" t="s">
        <v>8</v>
      </c>
      <c r="E1949" s="22">
        <v>187</v>
      </c>
      <c r="F1949" s="22">
        <v>5</v>
      </c>
      <c r="G1949" s="22">
        <v>8</v>
      </c>
      <c r="H1949" s="22"/>
      <c r="I1949" s="23" t="s">
        <v>33</v>
      </c>
      <c r="J1949" s="23"/>
      <c r="K1949" s="22"/>
      <c r="L1949" s="22"/>
      <c r="M1949" s="23"/>
      <c r="N1949" s="23"/>
      <c r="O1949" s="26" t="s">
        <v>4608</v>
      </c>
      <c r="P1949" s="26"/>
      <c r="Q1949" s="22">
        <v>76</v>
      </c>
      <c r="R1949" s="24">
        <v>45817</v>
      </c>
      <c r="S1949" s="24">
        <v>45825</v>
      </c>
      <c r="T1949" s="24"/>
      <c r="U1949" s="24"/>
      <c r="V1949" s="24">
        <v>45826</v>
      </c>
      <c r="W1949" s="22" t="s">
        <v>31</v>
      </c>
      <c r="X1949" s="4" t="str">
        <f>IF(Tabela2[[#This Row],[sigla]]="","",VLOOKUP(Tabela2[[#This Row],[sigla]],créditos_base!B:C,2,0))</f>
        <v>SILVIA OTOFUJI/ARQUIVO DA EDITORA</v>
      </c>
      <c r="Y1949" s="23" t="s">
        <v>433</v>
      </c>
      <c r="Z1949" s="23" t="str">
        <f>Tabela2[[#This Row],[ilustrador]]</f>
        <v>SILVIA OTOFUJI/ARQUIVO DA EDITORA</v>
      </c>
      <c r="AA1949" s="22">
        <v>14</v>
      </c>
      <c r="AB1949" s="20" t="s">
        <v>153</v>
      </c>
      <c r="AC1949" s="20" t="s">
        <v>36</v>
      </c>
      <c r="AD1949" s="4" t="str">
        <f>"Pitanguá"</f>
        <v>Pitanguá</v>
      </c>
      <c r="AE1949" s="14" t="str">
        <f>"Matemática"</f>
        <v>Matemática</v>
      </c>
      <c r="AF1949" s="14"/>
    </row>
    <row r="1950" spans="1:32" x14ac:dyDescent="0.3">
      <c r="A1950" s="23" t="s">
        <v>572</v>
      </c>
      <c r="B1950" s="20" t="s">
        <v>16</v>
      </c>
      <c r="C1950" s="20" t="s">
        <v>7</v>
      </c>
      <c r="D1950" s="20" t="s">
        <v>8</v>
      </c>
      <c r="E1950" s="22">
        <v>93</v>
      </c>
      <c r="F1950" s="22">
        <v>1</v>
      </c>
      <c r="G1950" s="22">
        <v>8</v>
      </c>
      <c r="H1950" s="22"/>
      <c r="I1950" s="23" t="s">
        <v>9</v>
      </c>
      <c r="J1950" s="23"/>
      <c r="K1950" s="22"/>
      <c r="L1950" s="22"/>
      <c r="M1950" s="23"/>
      <c r="N1950" s="23"/>
      <c r="O1950" s="26" t="s">
        <v>573</v>
      </c>
      <c r="P1950" s="26"/>
      <c r="Q1950" s="22"/>
      <c r="R1950" s="24"/>
      <c r="S1950" s="24"/>
      <c r="T1950" s="24"/>
      <c r="U1950" s="24"/>
      <c r="V1950" s="24"/>
      <c r="W1950" s="22" t="s">
        <v>31</v>
      </c>
      <c r="X1950" s="4" t="str">
        <f>IF(Tabela2[[#This Row],[sigla]]="","",VLOOKUP(Tabela2[[#This Row],[sigla]],créditos_base!B:C,2,0))</f>
        <v>SILVIA OTOFUJI/ARQUIVO DA EDITORA</v>
      </c>
      <c r="Y1950" s="23"/>
      <c r="Z1950" s="23" t="str">
        <f>Tabela2[[#This Row],[ilustrador]]</f>
        <v>SILVIA OTOFUJI/ARQUIVO DA EDITORA</v>
      </c>
      <c r="AA1950" s="22"/>
      <c r="AB1950" s="20"/>
      <c r="AD1950" s="4" t="str">
        <f>"Pitanguá"</f>
        <v>Pitanguá</v>
      </c>
      <c r="AE1950" s="14" t="str">
        <f>"Matemática"</f>
        <v>Matemática</v>
      </c>
      <c r="AF1950" s="14"/>
    </row>
    <row r="1951" spans="1:32" ht="28.8" x14ac:dyDescent="0.3">
      <c r="A1951" s="23" t="s">
        <v>2448</v>
      </c>
      <c r="B1951" s="20" t="s">
        <v>16</v>
      </c>
      <c r="C1951" s="20" t="s">
        <v>7</v>
      </c>
      <c r="D1951" s="20" t="s">
        <v>8</v>
      </c>
      <c r="E1951" s="22">
        <v>162</v>
      </c>
      <c r="F1951" s="22">
        <v>3</v>
      </c>
      <c r="G1951" s="22">
        <v>8</v>
      </c>
      <c r="H1951" s="22"/>
      <c r="I1951" s="23" t="s">
        <v>9</v>
      </c>
      <c r="J1951" s="23"/>
      <c r="K1951" s="22"/>
      <c r="L1951" s="22"/>
      <c r="M1951" s="23"/>
      <c r="N1951" s="23"/>
      <c r="O1951" s="26" t="s">
        <v>2449</v>
      </c>
      <c r="P1951" s="26"/>
      <c r="Q1951" s="22"/>
      <c r="R1951" s="24"/>
      <c r="S1951" s="24"/>
      <c r="T1951" s="24"/>
      <c r="U1951" s="24"/>
      <c r="V1951" s="24"/>
      <c r="W1951" s="22" t="s">
        <v>230</v>
      </c>
      <c r="X1951" s="4" t="str">
        <f>IF(Tabela2[[#This Row],[sigla]]="","",VLOOKUP(Tabela2[[#This Row],[sigla]],créditos_base!B:C,2,0))</f>
        <v>RAFAEL L. GAION/ARQUIVO DA EDITORA</v>
      </c>
      <c r="Y1951" s="23"/>
      <c r="Z1951" s="23" t="s">
        <v>347</v>
      </c>
      <c r="AA1951" s="22"/>
      <c r="AB1951" s="20"/>
      <c r="AD1951" s="4" t="str">
        <f>"Pitanguá"</f>
        <v>Pitanguá</v>
      </c>
      <c r="AE1951" s="14" t="str">
        <f>"Matemática"</f>
        <v>Matemática</v>
      </c>
      <c r="AF1951" s="14"/>
    </row>
    <row r="1952" spans="1:32" ht="28.8" x14ac:dyDescent="0.3">
      <c r="A1952" s="23" t="s">
        <v>3612</v>
      </c>
      <c r="B1952" s="20" t="s">
        <v>16</v>
      </c>
      <c r="C1952" s="20" t="s">
        <v>89</v>
      </c>
      <c r="D1952" s="20" t="s">
        <v>8</v>
      </c>
      <c r="E1952" s="22">
        <v>161</v>
      </c>
      <c r="F1952" s="22">
        <v>4</v>
      </c>
      <c r="G1952" s="22">
        <v>8</v>
      </c>
      <c r="H1952" s="22"/>
      <c r="I1952" s="23" t="s">
        <v>9</v>
      </c>
      <c r="J1952" s="23"/>
      <c r="K1952" s="22"/>
      <c r="L1952" s="22"/>
      <c r="M1952" s="23"/>
      <c r="N1952" s="23"/>
      <c r="O1952" s="26" t="s">
        <v>3613</v>
      </c>
      <c r="P1952" s="26"/>
      <c r="Q1952" s="22"/>
      <c r="R1952" s="24"/>
      <c r="S1952" s="24"/>
      <c r="T1952" s="24"/>
      <c r="U1952" s="24"/>
      <c r="V1952" s="24"/>
      <c r="W1952" s="22" t="s">
        <v>940</v>
      </c>
      <c r="X1952" s="4" t="str">
        <f>IF(Tabela2[[#This Row],[sigla]]="","",VLOOKUP(Tabela2[[#This Row],[sigla]],créditos_base!B:C,2,0))</f>
        <v>RONALDO LUCENA/ARQUIVO DA EDITORA</v>
      </c>
      <c r="Y1952" s="23"/>
      <c r="Z1952" s="23" t="str">
        <f>Tabela2[[#This Row],[ilustrador]]</f>
        <v>RONALDO LUCENA/ARQUIVO DA EDITORA</v>
      </c>
      <c r="AA1952" s="22"/>
      <c r="AB1952" s="20"/>
      <c r="AD1952" s="4" t="str">
        <f>"Pitanguá"</f>
        <v>Pitanguá</v>
      </c>
      <c r="AE1952" s="14" t="str">
        <f>"Matemática"</f>
        <v>Matemática</v>
      </c>
      <c r="AF1952" s="14"/>
    </row>
    <row r="1953" spans="1:32" x14ac:dyDescent="0.3">
      <c r="A1953" s="23" t="s">
        <v>4609</v>
      </c>
      <c r="B1953" s="20" t="s">
        <v>16</v>
      </c>
      <c r="C1953" s="20" t="s">
        <v>540</v>
      </c>
      <c r="D1953" s="20" t="s">
        <v>8</v>
      </c>
      <c r="E1953" s="22">
        <v>188</v>
      </c>
      <c r="F1953" s="22">
        <v>5</v>
      </c>
      <c r="G1953" s="22">
        <v>8</v>
      </c>
      <c r="H1953" s="22"/>
      <c r="I1953" s="23" t="s">
        <v>33</v>
      </c>
      <c r="J1953" s="23"/>
      <c r="K1953" s="22"/>
      <c r="L1953" s="22"/>
      <c r="M1953" s="23"/>
      <c r="N1953" s="23"/>
      <c r="O1953" s="26" t="s">
        <v>4610</v>
      </c>
      <c r="P1953" s="26"/>
      <c r="Q1953" s="22">
        <v>76</v>
      </c>
      <c r="R1953" s="24">
        <v>45817</v>
      </c>
      <c r="S1953" s="24">
        <v>45825</v>
      </c>
      <c r="T1953" s="24"/>
      <c r="U1953" s="24"/>
      <c r="V1953" s="24">
        <v>45826</v>
      </c>
      <c r="W1953" s="22" t="s">
        <v>230</v>
      </c>
      <c r="X1953" s="4" t="str">
        <f>IF(Tabela2[[#This Row],[sigla]]="","",VLOOKUP(Tabela2[[#This Row],[sigla]],créditos_base!B:C,2,0))</f>
        <v>RAFAEL L. GAION/ARQUIVO DA EDITORA</v>
      </c>
      <c r="Y1953" s="23" t="s">
        <v>433</v>
      </c>
      <c r="Z1953" s="23" t="str">
        <f>Tabela2[[#This Row],[ilustrador]]</f>
        <v>RAFAEL L. GAION/ARQUIVO DA EDITORA</v>
      </c>
      <c r="AA1953" s="22">
        <v>14</v>
      </c>
      <c r="AB1953" s="20" t="s">
        <v>153</v>
      </c>
      <c r="AC1953" s="20" t="s">
        <v>36</v>
      </c>
      <c r="AD1953" s="4" t="str">
        <f>"Pitanguá"</f>
        <v>Pitanguá</v>
      </c>
      <c r="AE1953" s="14" t="str">
        <f>"Matemática"</f>
        <v>Matemática</v>
      </c>
      <c r="AF1953" s="14"/>
    </row>
    <row r="1954" spans="1:32" x14ac:dyDescent="0.3">
      <c r="A1954" s="23" t="s">
        <v>2450</v>
      </c>
      <c r="B1954" s="20" t="s">
        <v>16</v>
      </c>
      <c r="C1954" s="20" t="s">
        <v>7</v>
      </c>
      <c r="D1954" s="20" t="s">
        <v>8</v>
      </c>
      <c r="E1954" s="22">
        <v>162</v>
      </c>
      <c r="F1954" s="22">
        <v>3</v>
      </c>
      <c r="G1954" s="22">
        <v>8</v>
      </c>
      <c r="H1954" s="22"/>
      <c r="I1954" s="23" t="s">
        <v>9</v>
      </c>
      <c r="J1954" s="23"/>
      <c r="K1954" s="22"/>
      <c r="L1954" s="22"/>
      <c r="M1954" s="23"/>
      <c r="N1954" s="23"/>
      <c r="O1954" s="26" t="s">
        <v>2451</v>
      </c>
      <c r="P1954" s="26"/>
      <c r="Q1954" s="22"/>
      <c r="R1954" s="24"/>
      <c r="S1954" s="24"/>
      <c r="T1954" s="24"/>
      <c r="U1954" s="24"/>
      <c r="V1954" s="24"/>
      <c r="W1954" s="22" t="s">
        <v>230</v>
      </c>
      <c r="X1954" s="4" t="str">
        <f>IF(Tabela2[[#This Row],[sigla]]="","",VLOOKUP(Tabela2[[#This Row],[sigla]],créditos_base!B:C,2,0))</f>
        <v>RAFAEL L. GAION/ARQUIVO DA EDITORA</v>
      </c>
      <c r="Y1954" s="23"/>
      <c r="Z1954" s="23" t="s">
        <v>347</v>
      </c>
      <c r="AA1954" s="22"/>
      <c r="AB1954" s="20"/>
      <c r="AD1954" s="4" t="str">
        <f>"Pitanguá"</f>
        <v>Pitanguá</v>
      </c>
      <c r="AE1954" s="14" t="str">
        <f>"Matemática"</f>
        <v>Matemática</v>
      </c>
      <c r="AF1954" s="14"/>
    </row>
    <row r="1955" spans="1:32" x14ac:dyDescent="0.3">
      <c r="A1955" s="23" t="s">
        <v>3614</v>
      </c>
      <c r="B1955" s="20" t="s">
        <v>16</v>
      </c>
      <c r="C1955" s="20" t="s">
        <v>89</v>
      </c>
      <c r="D1955" s="20" t="s">
        <v>8</v>
      </c>
      <c r="E1955" s="22">
        <v>162</v>
      </c>
      <c r="F1955" s="22">
        <v>4</v>
      </c>
      <c r="G1955" s="22">
        <v>8</v>
      </c>
      <c r="H1955" s="22"/>
      <c r="I1955" s="23" t="s">
        <v>9</v>
      </c>
      <c r="J1955" s="23"/>
      <c r="K1955" s="22"/>
      <c r="L1955" s="22"/>
      <c r="M1955" s="23"/>
      <c r="N1955" s="23"/>
      <c r="O1955" s="26" t="s">
        <v>3615</v>
      </c>
      <c r="P1955" s="26"/>
      <c r="Q1955" s="22"/>
      <c r="R1955" s="24"/>
      <c r="S1955" s="24"/>
      <c r="T1955" s="24"/>
      <c r="U1955" s="24"/>
      <c r="V1955" s="24"/>
      <c r="W1955" s="22" t="s">
        <v>940</v>
      </c>
      <c r="X1955" s="4" t="str">
        <f>IF(Tabela2[[#This Row],[sigla]]="","",VLOOKUP(Tabela2[[#This Row],[sigla]],créditos_base!B:C,2,0))</f>
        <v>RONALDO LUCENA/ARQUIVO DA EDITORA</v>
      </c>
      <c r="Y1955" s="23"/>
      <c r="Z1955" s="23" t="str">
        <f>Tabela2[[#This Row],[ilustrador]]</f>
        <v>RONALDO LUCENA/ARQUIVO DA EDITORA</v>
      </c>
      <c r="AA1955" s="22"/>
      <c r="AB1955" s="20"/>
      <c r="AD1955" s="4" t="str">
        <f>"Pitanguá"</f>
        <v>Pitanguá</v>
      </c>
      <c r="AE1955" s="14" t="str">
        <f>"Matemática"</f>
        <v>Matemática</v>
      </c>
      <c r="AF1955" s="14"/>
    </row>
    <row r="1956" spans="1:32" x14ac:dyDescent="0.3">
      <c r="A1956" s="23" t="s">
        <v>4611</v>
      </c>
      <c r="B1956" s="20" t="s">
        <v>16</v>
      </c>
      <c r="C1956" s="20" t="s">
        <v>540</v>
      </c>
      <c r="D1956" s="20" t="s">
        <v>8</v>
      </c>
      <c r="E1956" s="22">
        <v>189</v>
      </c>
      <c r="F1956" s="22">
        <v>5</v>
      </c>
      <c r="G1956" s="22">
        <v>8</v>
      </c>
      <c r="H1956" s="22"/>
      <c r="I1956" s="23" t="s">
        <v>9</v>
      </c>
      <c r="J1956" s="23"/>
      <c r="K1956" s="22"/>
      <c r="L1956" s="22"/>
      <c r="M1956" s="23"/>
      <c r="N1956" s="23"/>
      <c r="O1956" s="26" t="s">
        <v>4612</v>
      </c>
      <c r="P1956" s="26"/>
      <c r="Q1956" s="22"/>
      <c r="R1956" s="24"/>
      <c r="S1956" s="24"/>
      <c r="T1956" s="24"/>
      <c r="U1956" s="24"/>
      <c r="V1956" s="24"/>
      <c r="W1956" s="22" t="s">
        <v>940</v>
      </c>
      <c r="X1956" s="4" t="str">
        <f>IF(Tabela2[[#This Row],[sigla]]="","",VLOOKUP(Tabela2[[#This Row],[sigla]],créditos_base!B:C,2,0))</f>
        <v>RONALDO LUCENA/ARQUIVO DA EDITORA</v>
      </c>
      <c r="Y1956" s="23"/>
      <c r="Z1956" s="23" t="str">
        <f>Tabela2[[#This Row],[ilustrador]]</f>
        <v>RONALDO LUCENA/ARQUIVO DA EDITORA</v>
      </c>
      <c r="AA1956" s="22"/>
      <c r="AB1956" s="20"/>
      <c r="AD1956" s="4" t="str">
        <f>"Pitanguá"</f>
        <v>Pitanguá</v>
      </c>
      <c r="AE1956" s="14" t="str">
        <f>"Matemática"</f>
        <v>Matemática</v>
      </c>
      <c r="AF1956" s="14"/>
    </row>
    <row r="1957" spans="1:32" x14ac:dyDescent="0.3">
      <c r="A1957" s="23" t="s">
        <v>574</v>
      </c>
      <c r="B1957" s="20" t="s">
        <v>6</v>
      </c>
      <c r="C1957" s="20" t="s">
        <v>89</v>
      </c>
      <c r="D1957" s="20" t="s">
        <v>8</v>
      </c>
      <c r="E1957" s="22">
        <v>94</v>
      </c>
      <c r="F1957" s="22">
        <v>1</v>
      </c>
      <c r="G1957" s="22">
        <v>8</v>
      </c>
      <c r="H1957" s="22"/>
      <c r="I1957" s="23" t="s">
        <v>9</v>
      </c>
      <c r="J1957" s="23"/>
      <c r="K1957" s="22"/>
      <c r="L1957" s="22"/>
      <c r="M1957" s="23"/>
      <c r="N1957" s="23"/>
      <c r="O1957" s="26" t="s">
        <v>575</v>
      </c>
      <c r="P1957" s="26"/>
      <c r="Q1957" s="22"/>
      <c r="R1957" s="24"/>
      <c r="S1957" s="24"/>
      <c r="T1957" s="24"/>
      <c r="U1957" s="24"/>
      <c r="V1957" s="24"/>
      <c r="W1957" s="22" t="s">
        <v>160</v>
      </c>
      <c r="X1957" s="4" t="str">
        <f>IF(Tabela2[[#This Row],[sigla]]="","",VLOOKUP(Tabela2[[#This Row],[sigla]],créditos_base!B:C,2,0))</f>
        <v>SERGIO LIMA/ARQUIVO DA EDITORA</v>
      </c>
      <c r="Y1957" s="23"/>
      <c r="Z1957" s="23" t="str">
        <f>Tabela2[[#This Row],[ilustrador]]</f>
        <v>SERGIO LIMA/ARQUIVO DA EDITORA</v>
      </c>
      <c r="AA1957" s="22"/>
      <c r="AB1957" s="20"/>
      <c r="AD1957" s="4" t="str">
        <f>"Pitanguá"</f>
        <v>Pitanguá</v>
      </c>
      <c r="AE1957" s="14" t="str">
        <f>"Matemática"</f>
        <v>Matemática</v>
      </c>
      <c r="AF1957" s="14"/>
    </row>
    <row r="1958" spans="1:32" x14ac:dyDescent="0.3">
      <c r="A1958" s="23" t="s">
        <v>2452</v>
      </c>
      <c r="B1958" s="20" t="s">
        <v>16</v>
      </c>
      <c r="C1958" s="20" t="s">
        <v>7</v>
      </c>
      <c r="D1958" s="20" t="s">
        <v>8</v>
      </c>
      <c r="E1958" s="22">
        <v>162</v>
      </c>
      <c r="F1958" s="22">
        <v>3</v>
      </c>
      <c r="G1958" s="22">
        <v>8</v>
      </c>
      <c r="H1958" s="22"/>
      <c r="I1958" s="23" t="s">
        <v>9</v>
      </c>
      <c r="J1958" s="23"/>
      <c r="K1958" s="22"/>
      <c r="L1958" s="22"/>
      <c r="M1958" s="23"/>
      <c r="N1958" s="23"/>
      <c r="O1958" s="26" t="s">
        <v>2453</v>
      </c>
      <c r="P1958" s="26"/>
      <c r="Q1958" s="22"/>
      <c r="R1958" s="24"/>
      <c r="S1958" s="24"/>
      <c r="T1958" s="24"/>
      <c r="U1958" s="24"/>
      <c r="V1958" s="24"/>
      <c r="W1958" s="22" t="s">
        <v>230</v>
      </c>
      <c r="X1958" s="4" t="str">
        <f>IF(Tabela2[[#This Row],[sigla]]="","",VLOOKUP(Tabela2[[#This Row],[sigla]],créditos_base!B:C,2,0))</f>
        <v>RAFAEL L. GAION/ARQUIVO DA EDITORA</v>
      </c>
      <c r="Y1958" s="23"/>
      <c r="Z1958" s="23" t="s">
        <v>347</v>
      </c>
      <c r="AA1958" s="22"/>
      <c r="AB1958" s="20"/>
      <c r="AD1958" s="4" t="str">
        <f>"Pitanguá"</f>
        <v>Pitanguá</v>
      </c>
      <c r="AE1958" s="14" t="str">
        <f>"Matemática"</f>
        <v>Matemática</v>
      </c>
      <c r="AF1958" s="14"/>
    </row>
    <row r="1959" spans="1:32" x14ac:dyDescent="0.3">
      <c r="A1959" s="23" t="s">
        <v>3616</v>
      </c>
      <c r="B1959" s="20" t="s">
        <v>16</v>
      </c>
      <c r="C1959" s="20" t="s">
        <v>89</v>
      </c>
      <c r="D1959" s="20" t="s">
        <v>8</v>
      </c>
      <c r="E1959" s="22">
        <v>162</v>
      </c>
      <c r="F1959" s="22">
        <v>4</v>
      </c>
      <c r="G1959" s="22">
        <v>8</v>
      </c>
      <c r="H1959" s="22"/>
      <c r="I1959" s="23" t="s">
        <v>9</v>
      </c>
      <c r="J1959" s="23"/>
      <c r="K1959" s="22"/>
      <c r="L1959" s="22"/>
      <c r="M1959" s="23"/>
      <c r="N1959" s="23"/>
      <c r="O1959" s="26" t="s">
        <v>3617</v>
      </c>
      <c r="P1959" s="26"/>
      <c r="Q1959" s="22"/>
      <c r="R1959" s="24"/>
      <c r="S1959" s="24"/>
      <c r="T1959" s="24"/>
      <c r="U1959" s="24"/>
      <c r="V1959" s="24"/>
      <c r="W1959" s="22" t="s">
        <v>940</v>
      </c>
      <c r="X1959" s="4" t="str">
        <f>IF(Tabela2[[#This Row],[sigla]]="","",VLOOKUP(Tabela2[[#This Row],[sigla]],créditos_base!B:C,2,0))</f>
        <v>RONALDO LUCENA/ARQUIVO DA EDITORA</v>
      </c>
      <c r="Y1959" s="23"/>
      <c r="Z1959" s="23" t="str">
        <f>Tabela2[[#This Row],[ilustrador]]</f>
        <v>RONALDO LUCENA/ARQUIVO DA EDITORA</v>
      </c>
      <c r="AA1959" s="22"/>
      <c r="AB1959" s="20"/>
      <c r="AD1959" s="4" t="str">
        <f>"Pitanguá"</f>
        <v>Pitanguá</v>
      </c>
      <c r="AE1959" s="14" t="str">
        <f>"Matemática"</f>
        <v>Matemática</v>
      </c>
      <c r="AF1959" s="14"/>
    </row>
    <row r="1960" spans="1:32" ht="28.8" x14ac:dyDescent="0.3">
      <c r="A1960" s="23" t="s">
        <v>576</v>
      </c>
      <c r="B1960" s="20" t="s">
        <v>16</v>
      </c>
      <c r="C1960" s="20" t="s">
        <v>89</v>
      </c>
      <c r="D1960" s="20" t="s">
        <v>8</v>
      </c>
      <c r="E1960" s="22">
        <v>94</v>
      </c>
      <c r="F1960" s="22">
        <v>1</v>
      </c>
      <c r="G1960" s="22">
        <v>8</v>
      </c>
      <c r="H1960" s="22"/>
      <c r="I1960" s="23" t="s">
        <v>9</v>
      </c>
      <c r="J1960" s="23"/>
      <c r="K1960" s="22"/>
      <c r="L1960" s="22"/>
      <c r="M1960" s="23"/>
      <c r="N1960" s="23"/>
      <c r="O1960" s="26" t="s">
        <v>577</v>
      </c>
      <c r="P1960" s="26"/>
      <c r="Q1960" s="22"/>
      <c r="R1960" s="24"/>
      <c r="S1960" s="24"/>
      <c r="T1960" s="24"/>
      <c r="U1960" s="24"/>
      <c r="V1960" s="24"/>
      <c r="W1960" s="22" t="s">
        <v>160</v>
      </c>
      <c r="X1960" s="4" t="str">
        <f>IF(Tabela2[[#This Row],[sigla]]="","",VLOOKUP(Tabela2[[#This Row],[sigla]],créditos_base!B:C,2,0))</f>
        <v>SERGIO LIMA/ARQUIVO DA EDITORA</v>
      </c>
      <c r="Y1960" s="23"/>
      <c r="Z1960" s="23" t="str">
        <f>Tabela2[[#This Row],[ilustrador]]</f>
        <v>SERGIO LIMA/ARQUIVO DA EDITORA</v>
      </c>
      <c r="AA1960" s="22"/>
      <c r="AB1960" s="20"/>
      <c r="AD1960" s="4" t="str">
        <f>"Pitanguá"</f>
        <v>Pitanguá</v>
      </c>
      <c r="AE1960" s="14" t="str">
        <f>"Matemática"</f>
        <v>Matemática</v>
      </c>
      <c r="AF1960" s="14"/>
    </row>
    <row r="1961" spans="1:32" ht="28.8" x14ac:dyDescent="0.3">
      <c r="A1961" s="23" t="s">
        <v>2454</v>
      </c>
      <c r="B1961" s="20" t="s">
        <v>16</v>
      </c>
      <c r="C1961" s="20" t="s">
        <v>7</v>
      </c>
      <c r="D1961" s="20" t="s">
        <v>8</v>
      </c>
      <c r="E1961" s="22">
        <v>162</v>
      </c>
      <c r="F1961" s="22">
        <v>3</v>
      </c>
      <c r="G1961" s="22">
        <v>8</v>
      </c>
      <c r="H1961" s="22"/>
      <c r="I1961" s="23" t="s">
        <v>9</v>
      </c>
      <c r="J1961" s="23"/>
      <c r="K1961" s="22"/>
      <c r="L1961" s="22"/>
      <c r="M1961" s="23"/>
      <c r="N1961" s="23"/>
      <c r="O1961" s="26" t="s">
        <v>2455</v>
      </c>
      <c r="P1961" s="26"/>
      <c r="Q1961" s="22"/>
      <c r="R1961" s="24"/>
      <c r="S1961" s="24"/>
      <c r="T1961" s="24"/>
      <c r="U1961" s="24"/>
      <c r="V1961" s="24"/>
      <c r="W1961" s="22" t="s">
        <v>230</v>
      </c>
      <c r="X1961" s="4" t="str">
        <f>IF(Tabela2[[#This Row],[sigla]]="","",VLOOKUP(Tabela2[[#This Row],[sigla]],créditos_base!B:C,2,0))</f>
        <v>RAFAEL L. GAION/ARQUIVO DA EDITORA</v>
      </c>
      <c r="Y1961" s="23"/>
      <c r="Z1961" s="23" t="s">
        <v>347</v>
      </c>
      <c r="AA1961" s="22"/>
      <c r="AB1961" s="20"/>
      <c r="AD1961" s="4" t="str">
        <f>"Pitanguá"</f>
        <v>Pitanguá</v>
      </c>
      <c r="AE1961" s="14" t="str">
        <f>"Matemática"</f>
        <v>Matemática</v>
      </c>
      <c r="AF1961" s="14"/>
    </row>
    <row r="1962" spans="1:32" ht="28.8" x14ac:dyDescent="0.3">
      <c r="A1962" s="23" t="s">
        <v>3618</v>
      </c>
      <c r="B1962" s="20" t="s">
        <v>16</v>
      </c>
      <c r="C1962" s="20" t="s">
        <v>89</v>
      </c>
      <c r="D1962" s="20" t="s">
        <v>8</v>
      </c>
      <c r="E1962" s="22">
        <v>162</v>
      </c>
      <c r="F1962" s="22">
        <v>4</v>
      </c>
      <c r="G1962" s="22">
        <v>8</v>
      </c>
      <c r="H1962" s="22"/>
      <c r="I1962" s="23" t="s">
        <v>9</v>
      </c>
      <c r="J1962" s="23"/>
      <c r="K1962" s="22"/>
      <c r="L1962" s="22"/>
      <c r="M1962" s="23"/>
      <c r="N1962" s="23"/>
      <c r="O1962" s="26" t="s">
        <v>3619</v>
      </c>
      <c r="P1962" s="26"/>
      <c r="Q1962" s="22"/>
      <c r="R1962" s="24"/>
      <c r="S1962" s="24"/>
      <c r="T1962" s="24"/>
      <c r="U1962" s="24"/>
      <c r="V1962" s="24"/>
      <c r="W1962" s="22" t="s">
        <v>940</v>
      </c>
      <c r="X1962" s="4" t="str">
        <f>IF(Tabela2[[#This Row],[sigla]]="","",VLOOKUP(Tabela2[[#This Row],[sigla]],créditos_base!B:C,2,0))</f>
        <v>RONALDO LUCENA/ARQUIVO DA EDITORA</v>
      </c>
      <c r="Y1962" s="23"/>
      <c r="Z1962" s="23" t="str">
        <f>Tabela2[[#This Row],[ilustrador]]</f>
        <v>RONALDO LUCENA/ARQUIVO DA EDITORA</v>
      </c>
      <c r="AA1962" s="22"/>
      <c r="AB1962" s="20"/>
      <c r="AD1962" s="4" t="str">
        <f>"Pitanguá"</f>
        <v>Pitanguá</v>
      </c>
      <c r="AE1962" s="14" t="str">
        <f>"Matemática"</f>
        <v>Matemática</v>
      </c>
      <c r="AF1962" s="14"/>
    </row>
    <row r="1963" spans="1:32" ht="28.8" x14ac:dyDescent="0.3">
      <c r="A1963" s="23" t="s">
        <v>4615</v>
      </c>
      <c r="B1963" s="20" t="s">
        <v>16</v>
      </c>
      <c r="C1963" s="20" t="s">
        <v>540</v>
      </c>
      <c r="D1963" s="20" t="s">
        <v>8</v>
      </c>
      <c r="E1963" s="22">
        <v>190</v>
      </c>
      <c r="F1963" s="22">
        <v>5</v>
      </c>
      <c r="G1963" s="22">
        <v>8</v>
      </c>
      <c r="H1963" s="22"/>
      <c r="I1963" s="23" t="s">
        <v>9</v>
      </c>
      <c r="J1963" s="23"/>
      <c r="K1963" s="22"/>
      <c r="L1963" s="22"/>
      <c r="M1963" s="23"/>
      <c r="N1963" s="23"/>
      <c r="O1963" s="26" t="s">
        <v>4616</v>
      </c>
      <c r="P1963" s="26"/>
      <c r="Q1963" s="22"/>
      <c r="R1963" s="24"/>
      <c r="S1963" s="24"/>
      <c r="T1963" s="24"/>
      <c r="U1963" s="24"/>
      <c r="V1963" s="24"/>
      <c r="W1963" s="22" t="s">
        <v>940</v>
      </c>
      <c r="X1963" s="4" t="str">
        <f>IF(Tabela2[[#This Row],[sigla]]="","",VLOOKUP(Tabela2[[#This Row],[sigla]],créditos_base!B:C,2,0))</f>
        <v>RONALDO LUCENA/ARQUIVO DA EDITORA</v>
      </c>
      <c r="Y1963" s="23"/>
      <c r="Z1963" s="23" t="str">
        <f>Tabela2[[#This Row],[ilustrador]]</f>
        <v>RONALDO LUCENA/ARQUIVO DA EDITORA</v>
      </c>
      <c r="AA1963" s="22"/>
      <c r="AB1963" s="20"/>
      <c r="AD1963" s="4" t="str">
        <f>"Pitanguá"</f>
        <v>Pitanguá</v>
      </c>
      <c r="AE1963" s="14" t="str">
        <f>"Matemática"</f>
        <v>Matemática</v>
      </c>
      <c r="AF1963" s="14"/>
    </row>
    <row r="1964" spans="1:32" x14ac:dyDescent="0.3">
      <c r="A1964" s="23" t="s">
        <v>578</v>
      </c>
      <c r="B1964" s="20" t="s">
        <v>16</v>
      </c>
      <c r="C1964" s="20" t="s">
        <v>89</v>
      </c>
      <c r="D1964" s="20" t="s">
        <v>8</v>
      </c>
      <c r="E1964" s="22">
        <v>94</v>
      </c>
      <c r="F1964" s="22">
        <v>1</v>
      </c>
      <c r="G1964" s="22">
        <v>8</v>
      </c>
      <c r="H1964" s="22"/>
      <c r="I1964" s="23" t="s">
        <v>9</v>
      </c>
      <c r="J1964" s="23"/>
      <c r="K1964" s="22"/>
      <c r="L1964" s="22"/>
      <c r="M1964" s="23"/>
      <c r="N1964" s="23"/>
      <c r="O1964" s="26" t="s">
        <v>579</v>
      </c>
      <c r="P1964" s="26"/>
      <c r="Q1964" s="22"/>
      <c r="R1964" s="24"/>
      <c r="S1964" s="24"/>
      <c r="T1964" s="24"/>
      <c r="U1964" s="24"/>
      <c r="V1964" s="24"/>
      <c r="W1964" s="22" t="s">
        <v>160</v>
      </c>
      <c r="X1964" s="4" t="str">
        <f>IF(Tabela2[[#This Row],[sigla]]="","",VLOOKUP(Tabela2[[#This Row],[sigla]],créditos_base!B:C,2,0))</f>
        <v>SERGIO LIMA/ARQUIVO DA EDITORA</v>
      </c>
      <c r="Y1964" s="23"/>
      <c r="Z1964" s="23" t="str">
        <f>Tabela2[[#This Row],[ilustrador]]</f>
        <v>SERGIO LIMA/ARQUIVO DA EDITORA</v>
      </c>
      <c r="AA1964" s="22"/>
      <c r="AB1964" s="20"/>
      <c r="AD1964" s="4" t="str">
        <f>"Pitanguá"</f>
        <v>Pitanguá</v>
      </c>
      <c r="AE1964" s="14" t="str">
        <f>"Matemática"</f>
        <v>Matemática</v>
      </c>
      <c r="AF1964" s="14"/>
    </row>
    <row r="1965" spans="1:32" x14ac:dyDescent="0.3">
      <c r="A1965" s="23" t="s">
        <v>2456</v>
      </c>
      <c r="B1965" s="20" t="s">
        <v>16</v>
      </c>
      <c r="C1965" s="20" t="s">
        <v>7</v>
      </c>
      <c r="D1965" s="20" t="s">
        <v>8</v>
      </c>
      <c r="E1965" s="22">
        <v>162</v>
      </c>
      <c r="F1965" s="22">
        <v>3</v>
      </c>
      <c r="G1965" s="22">
        <v>8</v>
      </c>
      <c r="H1965" s="22"/>
      <c r="I1965" s="23" t="s">
        <v>9</v>
      </c>
      <c r="J1965" s="23"/>
      <c r="K1965" s="22"/>
      <c r="L1965" s="22"/>
      <c r="M1965" s="23"/>
      <c r="N1965" s="23"/>
      <c r="O1965" s="26" t="s">
        <v>2457</v>
      </c>
      <c r="P1965" s="26"/>
      <c r="Q1965" s="22"/>
      <c r="R1965" s="24"/>
      <c r="S1965" s="24"/>
      <c r="T1965" s="24"/>
      <c r="U1965" s="24"/>
      <c r="V1965" s="24"/>
      <c r="W1965" s="22" t="s">
        <v>230</v>
      </c>
      <c r="X1965" s="4" t="str">
        <f>IF(Tabela2[[#This Row],[sigla]]="","",VLOOKUP(Tabela2[[#This Row],[sigla]],créditos_base!B:C,2,0))</f>
        <v>RAFAEL L. GAION/ARQUIVO DA EDITORA</v>
      </c>
      <c r="Y1965" s="23"/>
      <c r="Z1965" s="23" t="s">
        <v>347</v>
      </c>
      <c r="AA1965" s="22"/>
      <c r="AB1965" s="20"/>
      <c r="AD1965" s="4" t="str">
        <f>"Pitanguá"</f>
        <v>Pitanguá</v>
      </c>
      <c r="AE1965" s="14" t="str">
        <f>"Matemática"</f>
        <v>Matemática</v>
      </c>
      <c r="AF1965" s="14"/>
    </row>
    <row r="1966" spans="1:32" x14ac:dyDescent="0.3">
      <c r="A1966" s="23" t="s">
        <v>3620</v>
      </c>
      <c r="B1966" s="20" t="s">
        <v>16</v>
      </c>
      <c r="C1966" s="20" t="s">
        <v>89</v>
      </c>
      <c r="D1966" s="20" t="s">
        <v>8</v>
      </c>
      <c r="E1966" s="22">
        <v>162</v>
      </c>
      <c r="F1966" s="22">
        <v>4</v>
      </c>
      <c r="G1966" s="22">
        <v>8</v>
      </c>
      <c r="H1966" s="22"/>
      <c r="I1966" s="23" t="s">
        <v>9</v>
      </c>
      <c r="J1966" s="23"/>
      <c r="K1966" s="22"/>
      <c r="L1966" s="22"/>
      <c r="M1966" s="23"/>
      <c r="N1966" s="23"/>
      <c r="O1966" s="26" t="s">
        <v>3621</v>
      </c>
      <c r="P1966" s="26"/>
      <c r="Q1966" s="22"/>
      <c r="R1966" s="24"/>
      <c r="S1966" s="24"/>
      <c r="T1966" s="24"/>
      <c r="U1966" s="24"/>
      <c r="V1966" s="24"/>
      <c r="W1966" s="22" t="s">
        <v>940</v>
      </c>
      <c r="X1966" s="4" t="str">
        <f>IF(Tabela2[[#This Row],[sigla]]="","",VLOOKUP(Tabela2[[#This Row],[sigla]],créditos_base!B:C,2,0))</f>
        <v>RONALDO LUCENA/ARQUIVO DA EDITORA</v>
      </c>
      <c r="Y1966" s="23"/>
      <c r="Z1966" s="23" t="str">
        <f>Tabela2[[#This Row],[ilustrador]]</f>
        <v>RONALDO LUCENA/ARQUIVO DA EDITORA</v>
      </c>
      <c r="AA1966" s="22"/>
      <c r="AB1966" s="20"/>
      <c r="AD1966" s="4" t="str">
        <f>"Pitanguá"</f>
        <v>Pitanguá</v>
      </c>
      <c r="AE1966" s="14" t="str">
        <f>"Matemática"</f>
        <v>Matemática</v>
      </c>
      <c r="AF1966" s="14"/>
    </row>
    <row r="1967" spans="1:32" x14ac:dyDescent="0.3">
      <c r="A1967" s="23" t="s">
        <v>4617</v>
      </c>
      <c r="B1967" s="20" t="s">
        <v>16</v>
      </c>
      <c r="C1967" s="20" t="s">
        <v>540</v>
      </c>
      <c r="D1967" s="20" t="s">
        <v>8</v>
      </c>
      <c r="E1967" s="22">
        <v>190</v>
      </c>
      <c r="F1967" s="22">
        <v>5</v>
      </c>
      <c r="G1967" s="22">
        <v>8</v>
      </c>
      <c r="H1967" s="22"/>
      <c r="I1967" s="23" t="s">
        <v>33</v>
      </c>
      <c r="J1967" s="23"/>
      <c r="K1967" s="22"/>
      <c r="L1967" s="22"/>
      <c r="M1967" s="23"/>
      <c r="N1967" s="23"/>
      <c r="O1967" s="26" t="s">
        <v>4618</v>
      </c>
      <c r="P1967" s="26"/>
      <c r="Q1967" s="22">
        <v>76</v>
      </c>
      <c r="R1967" s="24">
        <v>45817</v>
      </c>
      <c r="S1967" s="24">
        <v>45825</v>
      </c>
      <c r="T1967" s="24"/>
      <c r="U1967" s="24"/>
      <c r="V1967" s="24">
        <v>45826</v>
      </c>
      <c r="W1967" s="22" t="s">
        <v>940</v>
      </c>
      <c r="X1967" s="4" t="str">
        <f>IF(Tabela2[[#This Row],[sigla]]="","",VLOOKUP(Tabela2[[#This Row],[sigla]],créditos_base!B:C,2,0))</f>
        <v>RONALDO LUCENA/ARQUIVO DA EDITORA</v>
      </c>
      <c r="Y1967" s="23" t="s">
        <v>433</v>
      </c>
      <c r="Z1967" s="23" t="str">
        <f>Tabela2[[#This Row],[ilustrador]]</f>
        <v>RONALDO LUCENA/ARQUIVO DA EDITORA</v>
      </c>
      <c r="AA1967" s="22">
        <v>14</v>
      </c>
      <c r="AB1967" s="20" t="s">
        <v>153</v>
      </c>
      <c r="AC1967" s="20" t="s">
        <v>36</v>
      </c>
      <c r="AD1967" s="4" t="str">
        <f>"Pitanguá"</f>
        <v>Pitanguá</v>
      </c>
      <c r="AE1967" s="14" t="str">
        <f>"Matemática"</f>
        <v>Matemática</v>
      </c>
      <c r="AF1967" s="14"/>
    </row>
    <row r="1968" spans="1:32" x14ac:dyDescent="0.3">
      <c r="A1968" s="23" t="s">
        <v>580</v>
      </c>
      <c r="B1968" s="20" t="s">
        <v>16</v>
      </c>
      <c r="C1968" s="20" t="s">
        <v>89</v>
      </c>
      <c r="D1968" s="20" t="s">
        <v>8</v>
      </c>
      <c r="E1968" s="22">
        <v>94</v>
      </c>
      <c r="F1968" s="22">
        <v>1</v>
      </c>
      <c r="G1968" s="22">
        <v>8</v>
      </c>
      <c r="H1968" s="22"/>
      <c r="I1968" s="23" t="s">
        <v>9</v>
      </c>
      <c r="J1968" s="23"/>
      <c r="K1968" s="22"/>
      <c r="L1968" s="22"/>
      <c r="M1968" s="23"/>
      <c r="N1968" s="23"/>
      <c r="O1968" s="26" t="s">
        <v>581</v>
      </c>
      <c r="P1968" s="26"/>
      <c r="Q1968" s="22"/>
      <c r="R1968" s="24"/>
      <c r="S1968" s="24"/>
      <c r="T1968" s="24"/>
      <c r="U1968" s="24"/>
      <c r="V1968" s="24"/>
      <c r="W1968" s="22" t="s">
        <v>160</v>
      </c>
      <c r="X1968" s="4" t="str">
        <f>IF(Tabela2[[#This Row],[sigla]]="","",VLOOKUP(Tabela2[[#This Row],[sigla]],créditos_base!B:C,2,0))</f>
        <v>SERGIO LIMA/ARQUIVO DA EDITORA</v>
      </c>
      <c r="Y1968" s="23"/>
      <c r="Z1968" s="23" t="str">
        <f>Tabela2[[#This Row],[ilustrador]]</f>
        <v>SERGIO LIMA/ARQUIVO DA EDITORA</v>
      </c>
      <c r="AA1968" s="22"/>
      <c r="AB1968" s="20"/>
      <c r="AD1968" s="4" t="str">
        <f>"Pitanguá"</f>
        <v>Pitanguá</v>
      </c>
      <c r="AE1968" s="14" t="str">
        <f>"Matemática"</f>
        <v>Matemática</v>
      </c>
      <c r="AF1968" s="14"/>
    </row>
    <row r="1969" spans="1:32" x14ac:dyDescent="0.3">
      <c r="A1969" s="23" t="s">
        <v>3803</v>
      </c>
      <c r="B1969" s="20" t="s">
        <v>16</v>
      </c>
      <c r="C1969" s="20" t="s">
        <v>89</v>
      </c>
      <c r="D1969" s="20" t="s">
        <v>8</v>
      </c>
      <c r="E1969" s="22">
        <v>211</v>
      </c>
      <c r="F1969" s="22">
        <v>2</v>
      </c>
      <c r="G1969" s="22">
        <v>8</v>
      </c>
      <c r="H1969" s="22"/>
      <c r="I1969" s="23" t="s">
        <v>90</v>
      </c>
      <c r="J1969" s="23"/>
      <c r="K1969" s="22"/>
      <c r="L1969" s="22"/>
      <c r="M1969" s="23"/>
      <c r="N1969" s="23"/>
      <c r="O1969" s="26" t="s">
        <v>3804</v>
      </c>
      <c r="P1969" s="26"/>
      <c r="Q1969" s="22">
        <v>54</v>
      </c>
      <c r="R1969" s="24">
        <v>45803</v>
      </c>
      <c r="S1969" s="24">
        <v>45806</v>
      </c>
      <c r="T1969" s="24"/>
      <c r="U1969" s="24"/>
      <c r="V1969" s="24">
        <v>45807</v>
      </c>
      <c r="W1969" s="22" t="s">
        <v>72</v>
      </c>
      <c r="X1969" s="4" t="str">
        <f>IF(Tabela2[[#This Row],[sigla]]="","",VLOOKUP(Tabela2[[#This Row],[sigla]],créditos_base!B:C,2,0))</f>
        <v>HELOÍSA PINTARELLI/ARQUIVO DA EDITORA</v>
      </c>
      <c r="Y1969" s="23"/>
      <c r="Z1969" s="23" t="s">
        <v>3805</v>
      </c>
      <c r="AA1969" s="22">
        <v>8</v>
      </c>
      <c r="AB1969" s="20" t="s">
        <v>3806</v>
      </c>
      <c r="AC1969" s="20" t="s">
        <v>310</v>
      </c>
      <c r="AD1969" s="4" t="str">
        <f>"Pitanguá"</f>
        <v>Pitanguá</v>
      </c>
      <c r="AE1969" s="14" t="str">
        <f>"Matemática"</f>
        <v>Matemática</v>
      </c>
      <c r="AF1969" s="14"/>
    </row>
    <row r="1970" spans="1:32" x14ac:dyDescent="0.3">
      <c r="A1970" s="23" t="s">
        <v>2458</v>
      </c>
      <c r="B1970" s="20" t="s">
        <v>16</v>
      </c>
      <c r="C1970" s="20" t="s">
        <v>7</v>
      </c>
      <c r="D1970" s="20" t="s">
        <v>8</v>
      </c>
      <c r="E1970" s="22">
        <v>163</v>
      </c>
      <c r="F1970" s="22">
        <v>3</v>
      </c>
      <c r="G1970" s="22">
        <v>8</v>
      </c>
      <c r="H1970" s="22"/>
      <c r="I1970" s="23" t="s">
        <v>9</v>
      </c>
      <c r="J1970" s="23"/>
      <c r="K1970" s="22"/>
      <c r="L1970" s="22"/>
      <c r="M1970" s="23"/>
      <c r="N1970" s="23"/>
      <c r="O1970" s="26" t="s">
        <v>2459</v>
      </c>
      <c r="P1970" s="26"/>
      <c r="Q1970" s="22"/>
      <c r="R1970" s="24"/>
      <c r="S1970" s="24"/>
      <c r="T1970" s="24"/>
      <c r="U1970" s="24"/>
      <c r="V1970" s="24"/>
      <c r="W1970" s="22" t="s">
        <v>31</v>
      </c>
      <c r="X1970" s="4" t="str">
        <f>IF(Tabela2[[#This Row],[sigla]]="","",VLOOKUP(Tabela2[[#This Row],[sigla]],créditos_base!B:C,2,0))</f>
        <v>SILVIA OTOFUJI/ARQUIVO DA EDITORA</v>
      </c>
      <c r="Y1970" s="23"/>
      <c r="Z1970" s="23" t="str">
        <f>Tabela2[[#This Row],[ilustrador]]</f>
        <v>SILVIA OTOFUJI/ARQUIVO DA EDITORA</v>
      </c>
      <c r="AA1970" s="22"/>
      <c r="AB1970" s="20"/>
      <c r="AD1970" s="4" t="str">
        <f>"Pitanguá"</f>
        <v>Pitanguá</v>
      </c>
      <c r="AE1970" s="14" t="str">
        <f>"Matemática"</f>
        <v>Matemática</v>
      </c>
      <c r="AF1970" s="14"/>
    </row>
    <row r="1971" spans="1:32" x14ac:dyDescent="0.3">
      <c r="A1971" s="23" t="s">
        <v>3622</v>
      </c>
      <c r="B1971" s="20" t="s">
        <v>16</v>
      </c>
      <c r="C1971" s="20" t="s">
        <v>89</v>
      </c>
      <c r="D1971" s="20" t="s">
        <v>8</v>
      </c>
      <c r="E1971" s="22">
        <v>162</v>
      </c>
      <c r="F1971" s="22">
        <v>4</v>
      </c>
      <c r="G1971" s="22">
        <v>8</v>
      </c>
      <c r="H1971" s="22"/>
      <c r="I1971" s="23" t="s">
        <v>9</v>
      </c>
      <c r="J1971" s="23"/>
      <c r="K1971" s="22"/>
      <c r="L1971" s="22"/>
      <c r="M1971" s="23"/>
      <c r="N1971" s="23"/>
      <c r="O1971" s="26" t="s">
        <v>3623</v>
      </c>
      <c r="P1971" s="26"/>
      <c r="Q1971" s="22"/>
      <c r="R1971" s="24"/>
      <c r="S1971" s="24"/>
      <c r="T1971" s="24"/>
      <c r="U1971" s="24"/>
      <c r="V1971" s="24"/>
      <c r="W1971" s="22" t="s">
        <v>940</v>
      </c>
      <c r="X1971" s="4" t="str">
        <f>IF(Tabela2[[#This Row],[sigla]]="","",VLOOKUP(Tabela2[[#This Row],[sigla]],créditos_base!B:C,2,0))</f>
        <v>RONALDO LUCENA/ARQUIVO DA EDITORA</v>
      </c>
      <c r="Y1971" s="23"/>
      <c r="Z1971" s="23" t="str">
        <f>Tabela2[[#This Row],[ilustrador]]</f>
        <v>RONALDO LUCENA/ARQUIVO DA EDITORA</v>
      </c>
      <c r="AA1971" s="22"/>
      <c r="AB1971" s="20"/>
      <c r="AD1971" s="4" t="str">
        <f>"Pitanguá"</f>
        <v>Pitanguá</v>
      </c>
      <c r="AE1971" s="14" t="str">
        <f>"Matemática"</f>
        <v>Matemática</v>
      </c>
      <c r="AF1971" s="14"/>
    </row>
    <row r="1972" spans="1:32" x14ac:dyDescent="0.3">
      <c r="A1972" s="23" t="s">
        <v>582</v>
      </c>
      <c r="B1972" s="20" t="s">
        <v>16</v>
      </c>
      <c r="C1972" s="20" t="s">
        <v>89</v>
      </c>
      <c r="D1972" s="20" t="s">
        <v>8</v>
      </c>
      <c r="E1972" s="22">
        <v>94</v>
      </c>
      <c r="F1972" s="22">
        <v>1</v>
      </c>
      <c r="G1972" s="22">
        <v>8</v>
      </c>
      <c r="H1972" s="22"/>
      <c r="I1972" s="23" t="s">
        <v>9</v>
      </c>
      <c r="J1972" s="23"/>
      <c r="K1972" s="22"/>
      <c r="L1972" s="22"/>
      <c r="M1972" s="23"/>
      <c r="N1972" s="23"/>
      <c r="O1972" s="26" t="s">
        <v>583</v>
      </c>
      <c r="P1972" s="26"/>
      <c r="Q1972" s="22"/>
      <c r="R1972" s="24"/>
      <c r="S1972" s="24"/>
      <c r="T1972" s="24"/>
      <c r="U1972" s="24"/>
      <c r="V1972" s="24"/>
      <c r="W1972" s="22" t="s">
        <v>160</v>
      </c>
      <c r="X1972" s="4" t="str">
        <f>IF(Tabela2[[#This Row],[sigla]]="","",VLOOKUP(Tabela2[[#This Row],[sigla]],créditos_base!B:C,2,0))</f>
        <v>SERGIO LIMA/ARQUIVO DA EDITORA</v>
      </c>
      <c r="Y1972" s="23"/>
      <c r="Z1972" s="23" t="str">
        <f>Tabela2[[#This Row],[ilustrador]]</f>
        <v>SERGIO LIMA/ARQUIVO DA EDITORA</v>
      </c>
      <c r="AA1972" s="22"/>
      <c r="AB1972" s="20"/>
      <c r="AD1972" s="4" t="str">
        <f>"Pitanguá"</f>
        <v>Pitanguá</v>
      </c>
      <c r="AE1972" s="14" t="str">
        <f>"Matemática"</f>
        <v>Matemática</v>
      </c>
      <c r="AF1972" s="14"/>
    </row>
    <row r="1973" spans="1:32" x14ac:dyDescent="0.3">
      <c r="A1973" s="23" t="s">
        <v>3807</v>
      </c>
      <c r="B1973" s="20" t="s">
        <v>16</v>
      </c>
      <c r="C1973" s="20" t="s">
        <v>89</v>
      </c>
      <c r="D1973" s="20" t="s">
        <v>8</v>
      </c>
      <c r="E1973" s="22">
        <v>211</v>
      </c>
      <c r="F1973" s="22">
        <v>2</v>
      </c>
      <c r="G1973" s="22">
        <v>8</v>
      </c>
      <c r="H1973" s="22"/>
      <c r="I1973" s="23" t="s">
        <v>90</v>
      </c>
      <c r="J1973" s="23"/>
      <c r="K1973" s="22"/>
      <c r="L1973" s="22"/>
      <c r="M1973" s="23"/>
      <c r="N1973" s="23"/>
      <c r="O1973" s="26" t="s">
        <v>3808</v>
      </c>
      <c r="P1973" s="26"/>
      <c r="Q1973" s="22">
        <v>54</v>
      </c>
      <c r="R1973" s="24">
        <v>45803</v>
      </c>
      <c r="S1973" s="24">
        <v>45806</v>
      </c>
      <c r="T1973" s="24"/>
      <c r="U1973" s="24"/>
      <c r="V1973" s="24">
        <v>45807</v>
      </c>
      <c r="W1973" s="22" t="s">
        <v>72</v>
      </c>
      <c r="X1973" s="4" t="str">
        <f>IF(Tabela2[[#This Row],[sigla]]="","",VLOOKUP(Tabela2[[#This Row],[sigla]],créditos_base!B:C,2,0))</f>
        <v>HELOÍSA PINTARELLI/ARQUIVO DA EDITORA</v>
      </c>
      <c r="Y1973" s="23"/>
      <c r="Z1973" s="23" t="str">
        <f>Tabela2[[#This Row],[ilustrador]]</f>
        <v>HELOÍSA PINTARELLI/ARQUIVO DA EDITORA</v>
      </c>
      <c r="AA1973" s="22">
        <v>8</v>
      </c>
      <c r="AB1973" s="20" t="s">
        <v>3806</v>
      </c>
      <c r="AC1973" s="20" t="s">
        <v>310</v>
      </c>
      <c r="AD1973" s="4" t="str">
        <f>"Pitanguá"</f>
        <v>Pitanguá</v>
      </c>
      <c r="AE1973" s="14" t="str">
        <f>"Matemática"</f>
        <v>Matemática</v>
      </c>
      <c r="AF1973" s="14"/>
    </row>
    <row r="1974" spans="1:32" x14ac:dyDescent="0.3">
      <c r="A1974" s="23" t="s">
        <v>3624</v>
      </c>
      <c r="B1974" s="20" t="s">
        <v>16</v>
      </c>
      <c r="C1974" s="20" t="s">
        <v>89</v>
      </c>
      <c r="D1974" s="20" t="s">
        <v>8</v>
      </c>
      <c r="E1974" s="22">
        <v>162</v>
      </c>
      <c r="F1974" s="22">
        <v>4</v>
      </c>
      <c r="G1974" s="22">
        <v>8</v>
      </c>
      <c r="H1974" s="22"/>
      <c r="I1974" s="23" t="s">
        <v>9</v>
      </c>
      <c r="J1974" s="23"/>
      <c r="K1974" s="22"/>
      <c r="L1974" s="22"/>
      <c r="M1974" s="23"/>
      <c r="N1974" s="23"/>
      <c r="O1974" s="26" t="s">
        <v>3625</v>
      </c>
      <c r="P1974" s="26"/>
      <c r="Q1974" s="22"/>
      <c r="R1974" s="24"/>
      <c r="S1974" s="24"/>
      <c r="T1974" s="24"/>
      <c r="U1974" s="24"/>
      <c r="V1974" s="24"/>
      <c r="W1974" s="22" t="s">
        <v>940</v>
      </c>
      <c r="X1974" s="4" t="str">
        <f>IF(Tabela2[[#This Row],[sigla]]="","",VLOOKUP(Tabela2[[#This Row],[sigla]],créditos_base!B:C,2,0))</f>
        <v>RONALDO LUCENA/ARQUIVO DA EDITORA</v>
      </c>
      <c r="Y1974" s="23"/>
      <c r="Z1974" s="23" t="str">
        <f>Tabela2[[#This Row],[ilustrador]]</f>
        <v>RONALDO LUCENA/ARQUIVO DA EDITORA</v>
      </c>
      <c r="AA1974" s="22"/>
      <c r="AB1974" s="20"/>
      <c r="AD1974" s="4" t="str">
        <f>"Pitanguá"</f>
        <v>Pitanguá</v>
      </c>
      <c r="AE1974" s="14" t="str">
        <f>"Matemática"</f>
        <v>Matemática</v>
      </c>
      <c r="AF1974" s="14"/>
    </row>
    <row r="1975" spans="1:32" x14ac:dyDescent="0.3">
      <c r="A1975" s="23" t="s">
        <v>4619</v>
      </c>
      <c r="B1975" s="20" t="s">
        <v>6</v>
      </c>
      <c r="C1975" s="20" t="s">
        <v>540</v>
      </c>
      <c r="D1975" s="20" t="s">
        <v>8</v>
      </c>
      <c r="E1975" s="22">
        <v>191</v>
      </c>
      <c r="F1975" s="22">
        <v>5</v>
      </c>
      <c r="G1975" s="22">
        <v>8</v>
      </c>
      <c r="H1975" s="22"/>
      <c r="I1975" s="23" t="s">
        <v>9</v>
      </c>
      <c r="J1975" s="23"/>
      <c r="K1975" s="22"/>
      <c r="L1975" s="22"/>
      <c r="M1975" s="23"/>
      <c r="N1975" s="23"/>
      <c r="O1975" s="26" t="s">
        <v>4620</v>
      </c>
      <c r="P1975" s="26"/>
      <c r="Q1975" s="22"/>
      <c r="R1975" s="24"/>
      <c r="S1975" s="24"/>
      <c r="T1975" s="24"/>
      <c r="U1975" s="24"/>
      <c r="V1975" s="24"/>
      <c r="W1975" s="22" t="s">
        <v>160</v>
      </c>
      <c r="X1975" s="4" t="str">
        <f>IF(Tabela2[[#This Row],[sigla]]="","",VLOOKUP(Tabela2[[#This Row],[sigla]],créditos_base!B:C,2,0))</f>
        <v>SERGIO LIMA/ARQUIVO DA EDITORA</v>
      </c>
      <c r="Y1975" s="23"/>
      <c r="Z1975" s="23" t="str">
        <f>Tabela2[[#This Row],[ilustrador]]</f>
        <v>SERGIO LIMA/ARQUIVO DA EDITORA</v>
      </c>
      <c r="AA1975" s="22"/>
      <c r="AB1975" s="20"/>
      <c r="AD1975" s="4" t="str">
        <f>"Pitanguá"</f>
        <v>Pitanguá</v>
      </c>
      <c r="AE1975" s="14" t="str">
        <f>"Matemática"</f>
        <v>Matemática</v>
      </c>
      <c r="AF1975" s="14"/>
    </row>
    <row r="1976" spans="1:32" x14ac:dyDescent="0.3">
      <c r="A1976" s="23" t="s">
        <v>584</v>
      </c>
      <c r="B1976" s="20" t="s">
        <v>16</v>
      </c>
      <c r="C1976" s="20" t="s">
        <v>89</v>
      </c>
      <c r="D1976" s="20" t="s">
        <v>8</v>
      </c>
      <c r="E1976" s="22">
        <v>94</v>
      </c>
      <c r="F1976" s="22">
        <v>1</v>
      </c>
      <c r="G1976" s="22">
        <v>8</v>
      </c>
      <c r="H1976" s="22"/>
      <c r="I1976" s="23" t="s">
        <v>9</v>
      </c>
      <c r="J1976" s="23"/>
      <c r="K1976" s="22"/>
      <c r="L1976" s="22"/>
      <c r="M1976" s="23"/>
      <c r="N1976" s="23"/>
      <c r="O1976" s="26" t="s">
        <v>585</v>
      </c>
      <c r="P1976" s="26"/>
      <c r="Q1976" s="22"/>
      <c r="R1976" s="24"/>
      <c r="S1976" s="24"/>
      <c r="T1976" s="24"/>
      <c r="U1976" s="24"/>
      <c r="V1976" s="24"/>
      <c r="W1976" s="22" t="s">
        <v>160</v>
      </c>
      <c r="X1976" s="4" t="str">
        <f>IF(Tabela2[[#This Row],[sigla]]="","",VLOOKUP(Tabela2[[#This Row],[sigla]],créditos_base!B:C,2,0))</f>
        <v>SERGIO LIMA/ARQUIVO DA EDITORA</v>
      </c>
      <c r="Y1976" s="23"/>
      <c r="Z1976" s="23" t="str">
        <f>Tabela2[[#This Row],[ilustrador]]</f>
        <v>SERGIO LIMA/ARQUIVO DA EDITORA</v>
      </c>
      <c r="AA1976" s="22"/>
      <c r="AB1976" s="20"/>
      <c r="AD1976" s="4" t="str">
        <f>"Pitanguá"</f>
        <v>Pitanguá</v>
      </c>
      <c r="AE1976" s="14" t="str">
        <f>"Matemática"</f>
        <v>Matemática</v>
      </c>
      <c r="AF1976" s="14"/>
    </row>
    <row r="1977" spans="1:32" x14ac:dyDescent="0.3">
      <c r="A1977" s="23" t="s">
        <v>2460</v>
      </c>
      <c r="B1977" s="20" t="s">
        <v>16</v>
      </c>
      <c r="C1977" s="20" t="s">
        <v>7</v>
      </c>
      <c r="D1977" s="20" t="s">
        <v>8</v>
      </c>
      <c r="E1977" s="22">
        <v>165</v>
      </c>
      <c r="F1977" s="22">
        <v>3</v>
      </c>
      <c r="G1977" s="22">
        <v>8</v>
      </c>
      <c r="H1977" s="22"/>
      <c r="I1977" s="23" t="s">
        <v>33</v>
      </c>
      <c r="J1977" s="23"/>
      <c r="K1977" s="22"/>
      <c r="L1977" s="22"/>
      <c r="M1977" s="23"/>
      <c r="N1977" s="23"/>
      <c r="O1977" s="26" t="s">
        <v>2461</v>
      </c>
      <c r="P1977" s="26"/>
      <c r="Q1977" s="22">
        <v>87</v>
      </c>
      <c r="R1977" s="24">
        <v>45838</v>
      </c>
      <c r="S1977" s="24">
        <v>45839</v>
      </c>
      <c r="T1977" s="24"/>
      <c r="U1977" s="24"/>
      <c r="V1977" s="24">
        <v>45842</v>
      </c>
      <c r="W1977" s="22" t="s">
        <v>356</v>
      </c>
      <c r="X1977" s="4" t="str">
        <f>IF(Tabela2[[#This Row],[sigla]]="","",VLOOKUP(Tabela2[[#This Row],[sigla]],créditos_base!B:C,2,0))</f>
        <v>CAMILA CARMONA/ARQUIVO DA EDITORA</v>
      </c>
      <c r="Y1977" s="23" t="s">
        <v>880</v>
      </c>
      <c r="Z1977" s="23" t="str">
        <f>Tabela2[[#This Row],[ilustrador]]</f>
        <v>CAMILA CARMONA/ARQUIVO DA EDITORA</v>
      </c>
      <c r="AA1977" s="22">
        <v>13</v>
      </c>
      <c r="AB1977" s="20" t="s">
        <v>244</v>
      </c>
      <c r="AC1977" s="20" t="s">
        <v>36</v>
      </c>
      <c r="AD1977" s="4" t="str">
        <f>"Pitanguá"</f>
        <v>Pitanguá</v>
      </c>
      <c r="AE1977" s="14" t="str">
        <f>"Matemática"</f>
        <v>Matemática</v>
      </c>
      <c r="AF1977" s="14"/>
    </row>
    <row r="1978" spans="1:32" x14ac:dyDescent="0.3">
      <c r="A1978" s="23" t="s">
        <v>3626</v>
      </c>
      <c r="B1978" s="20" t="s">
        <v>16</v>
      </c>
      <c r="C1978" s="20" t="s">
        <v>89</v>
      </c>
      <c r="D1978" s="20" t="s">
        <v>8</v>
      </c>
      <c r="E1978" s="22">
        <v>162</v>
      </c>
      <c r="F1978" s="22">
        <v>4</v>
      </c>
      <c r="G1978" s="22">
        <v>8</v>
      </c>
      <c r="H1978" s="22"/>
      <c r="I1978" s="23" t="s">
        <v>9</v>
      </c>
      <c r="J1978" s="23"/>
      <c r="K1978" s="22"/>
      <c r="L1978" s="22"/>
      <c r="M1978" s="23"/>
      <c r="N1978" s="23"/>
      <c r="O1978" s="26" t="s">
        <v>3627</v>
      </c>
      <c r="P1978" s="26"/>
      <c r="Q1978" s="22"/>
      <c r="R1978" s="24"/>
      <c r="S1978" s="24"/>
      <c r="T1978" s="24"/>
      <c r="U1978" s="24"/>
      <c r="V1978" s="24"/>
      <c r="W1978" s="22" t="s">
        <v>940</v>
      </c>
      <c r="X1978" s="4" t="str">
        <f>IF(Tabela2[[#This Row],[sigla]]="","",VLOOKUP(Tabela2[[#This Row],[sigla]],créditos_base!B:C,2,0))</f>
        <v>RONALDO LUCENA/ARQUIVO DA EDITORA</v>
      </c>
      <c r="Y1978" s="23"/>
      <c r="Z1978" s="23" t="str">
        <f>Tabela2[[#This Row],[ilustrador]]</f>
        <v>RONALDO LUCENA/ARQUIVO DA EDITORA</v>
      </c>
      <c r="AA1978" s="22"/>
      <c r="AB1978" s="20"/>
      <c r="AD1978" s="4" t="str">
        <f>"Pitanguá"</f>
        <v>Pitanguá</v>
      </c>
      <c r="AE1978" s="14" t="str">
        <f>"Matemática"</f>
        <v>Matemática</v>
      </c>
      <c r="AF1978" s="14"/>
    </row>
    <row r="1979" spans="1:32" x14ac:dyDescent="0.3">
      <c r="A1979" s="23" t="s">
        <v>5717</v>
      </c>
      <c r="B1979" s="20" t="s">
        <v>16</v>
      </c>
      <c r="C1979" s="20" t="s">
        <v>7</v>
      </c>
      <c r="D1979" s="20" t="s">
        <v>8</v>
      </c>
      <c r="E1979" s="22">
        <v>226</v>
      </c>
      <c r="F1979" s="22">
        <v>5</v>
      </c>
      <c r="G1979" s="22">
        <v>8</v>
      </c>
      <c r="H1979" s="22"/>
      <c r="I1979" s="23" t="s">
        <v>33</v>
      </c>
      <c r="J1979" s="23"/>
      <c r="K1979" s="22"/>
      <c r="L1979" s="22"/>
      <c r="M1979" s="23"/>
      <c r="N1979" s="23"/>
      <c r="O1979" s="26" t="s">
        <v>5718</v>
      </c>
      <c r="P1979" s="26"/>
      <c r="Q1979" s="22">
        <v>141</v>
      </c>
      <c r="R1979" s="24">
        <v>45869</v>
      </c>
      <c r="S1979" s="24">
        <v>45875</v>
      </c>
      <c r="T1979" s="24"/>
      <c r="U1979" s="24"/>
      <c r="V1979" s="24">
        <v>45875</v>
      </c>
      <c r="W1979" s="22" t="s">
        <v>31</v>
      </c>
      <c r="X1979" s="4" t="str">
        <f>IF(Tabela2[[#This Row],[sigla]]="","",VLOOKUP(Tabela2[[#This Row],[sigla]],créditos_base!B:C,2,0))</f>
        <v>SILVIA OTOFUJI/ARQUIVO DA EDITORA</v>
      </c>
      <c r="Y1979" s="23" t="s">
        <v>188</v>
      </c>
      <c r="Z1979" s="23" t="str">
        <f>Tabela2[[#This Row],[ilustrador]]</f>
        <v>SILVIA OTOFUJI/ARQUIVO DA EDITORA</v>
      </c>
      <c r="AA1979" s="22">
        <v>13</v>
      </c>
      <c r="AB1979" s="20" t="s">
        <v>153</v>
      </c>
      <c r="AC1979" s="20" t="s">
        <v>36</v>
      </c>
      <c r="AD1979" s="4" t="str">
        <f>"Pitanguá"</f>
        <v>Pitanguá</v>
      </c>
      <c r="AE1979" s="14" t="str">
        <f>"Matemática"</f>
        <v>Matemática</v>
      </c>
      <c r="AF1979" s="14"/>
    </row>
    <row r="1980" spans="1:32" x14ac:dyDescent="0.3">
      <c r="A1980" s="23" t="s">
        <v>586</v>
      </c>
      <c r="B1980" s="20" t="s">
        <v>6</v>
      </c>
      <c r="C1980" s="20" t="s">
        <v>89</v>
      </c>
      <c r="D1980" s="20" t="s">
        <v>8</v>
      </c>
      <c r="E1980" s="22">
        <v>95</v>
      </c>
      <c r="F1980" s="22">
        <v>1</v>
      </c>
      <c r="G1980" s="22">
        <v>8</v>
      </c>
      <c r="H1980" s="22"/>
      <c r="I1980" s="23" t="s">
        <v>9</v>
      </c>
      <c r="J1980" s="23"/>
      <c r="K1980" s="22"/>
      <c r="L1980" s="22"/>
      <c r="M1980" s="23"/>
      <c r="N1980" s="23"/>
      <c r="O1980" s="26" t="s">
        <v>587</v>
      </c>
      <c r="P1980" s="26"/>
      <c r="Q1980" s="22"/>
      <c r="R1980" s="24"/>
      <c r="S1980" s="24"/>
      <c r="T1980" s="24"/>
      <c r="U1980" s="24"/>
      <c r="V1980" s="24"/>
      <c r="W1980" s="22" t="s">
        <v>230</v>
      </c>
      <c r="X1980" s="4" t="str">
        <f>IF(Tabela2[[#This Row],[sigla]]="","",VLOOKUP(Tabela2[[#This Row],[sigla]],créditos_base!B:C,2,0))</f>
        <v>RAFAEL L. GAION/ARQUIVO DA EDITORA</v>
      </c>
      <c r="Y1980" s="23"/>
      <c r="Z1980" s="23" t="str">
        <f>Tabela2[[#This Row],[ilustrador]]</f>
        <v>RAFAEL L. GAION/ARQUIVO DA EDITORA</v>
      </c>
      <c r="AA1980" s="22"/>
      <c r="AB1980" s="20"/>
      <c r="AD1980" s="4" t="str">
        <f>"Pitanguá"</f>
        <v>Pitanguá</v>
      </c>
      <c r="AE1980" s="14" t="str">
        <f>"Matemática"</f>
        <v>Matemática</v>
      </c>
      <c r="AF1980" s="14"/>
    </row>
    <row r="1981" spans="1:32" x14ac:dyDescent="0.3">
      <c r="A1981" s="23" t="s">
        <v>2462</v>
      </c>
      <c r="B1981" s="20" t="s">
        <v>16</v>
      </c>
      <c r="C1981" s="20" t="s">
        <v>7</v>
      </c>
      <c r="D1981" s="20" t="s">
        <v>8</v>
      </c>
      <c r="E1981" s="22">
        <v>166</v>
      </c>
      <c r="F1981" s="22">
        <v>3</v>
      </c>
      <c r="G1981" s="22">
        <v>8</v>
      </c>
      <c r="H1981" s="22"/>
      <c r="I1981" s="23" t="s">
        <v>33</v>
      </c>
      <c r="J1981" s="23"/>
      <c r="K1981" s="22"/>
      <c r="L1981" s="22"/>
      <c r="M1981" s="23"/>
      <c r="N1981" s="23"/>
      <c r="O1981" s="26" t="s">
        <v>2463</v>
      </c>
      <c r="P1981" s="26"/>
      <c r="Q1981" s="22">
        <v>171</v>
      </c>
      <c r="R1981" s="24">
        <v>45896</v>
      </c>
      <c r="S1981" s="24">
        <v>45896</v>
      </c>
      <c r="T1981" s="24"/>
      <c r="U1981" s="24"/>
      <c r="V1981" s="24">
        <v>45897</v>
      </c>
      <c r="W1981" s="22" t="s">
        <v>1785</v>
      </c>
      <c r="X1981" s="4" t="str">
        <f>IF(Tabela2[[#This Row],[sigla]]="","",VLOOKUP(Tabela2[[#This Row],[sigla]],créditos_base!B:C,2,0))</f>
        <v>CAUÊ ZUNCHINI/ARQUIVO DA EDITORA</v>
      </c>
      <c r="Y1981" s="23" t="s">
        <v>813</v>
      </c>
      <c r="Z1981" s="23" t="str">
        <f>Tabela2[[#This Row],[ilustrador]]</f>
        <v>CAUÊ ZUNCHINI/ARQUIVO DA EDITORA</v>
      </c>
      <c r="AA1981" s="22">
        <v>13</v>
      </c>
      <c r="AB1981" s="20" t="s">
        <v>525</v>
      </c>
      <c r="AC1981" s="20" t="s">
        <v>36</v>
      </c>
      <c r="AD1981" s="4" t="str">
        <f>"Pitanguá"</f>
        <v>Pitanguá</v>
      </c>
      <c r="AE1981" s="14" t="str">
        <f>"Matemática"</f>
        <v>Matemática</v>
      </c>
      <c r="AF1981" s="14"/>
    </row>
    <row r="1982" spans="1:32" ht="43.2" x14ac:dyDescent="0.3">
      <c r="A1982" s="23" t="s">
        <v>3628</v>
      </c>
      <c r="B1982" s="20" t="s">
        <v>16</v>
      </c>
      <c r="C1982" s="20" t="s">
        <v>89</v>
      </c>
      <c r="D1982" s="20" t="s">
        <v>8</v>
      </c>
      <c r="E1982" s="22">
        <v>162</v>
      </c>
      <c r="F1982" s="22">
        <v>4</v>
      </c>
      <c r="G1982" s="22">
        <v>8</v>
      </c>
      <c r="H1982" s="22"/>
      <c r="I1982" s="23" t="s">
        <v>9</v>
      </c>
      <c r="J1982" s="23"/>
      <c r="K1982" s="22"/>
      <c r="L1982" s="22"/>
      <c r="M1982" s="23"/>
      <c r="N1982" s="23"/>
      <c r="O1982" s="26" t="s">
        <v>3629</v>
      </c>
      <c r="P1982" s="26"/>
      <c r="Q1982" s="22"/>
      <c r="R1982" s="24"/>
      <c r="S1982" s="24"/>
      <c r="T1982" s="24"/>
      <c r="U1982" s="24"/>
      <c r="V1982" s="24"/>
      <c r="W1982" s="22" t="s">
        <v>940</v>
      </c>
      <c r="X1982" s="4" t="str">
        <f>IF(Tabela2[[#This Row],[sigla]]="","",VLOOKUP(Tabela2[[#This Row],[sigla]],créditos_base!B:C,2,0))</f>
        <v>RONALDO LUCENA/ARQUIVO DA EDITORA</v>
      </c>
      <c r="Y1982" s="23"/>
      <c r="Z1982" s="23" t="str">
        <f>Tabela2[[#This Row],[ilustrador]]</f>
        <v>RONALDO LUCENA/ARQUIVO DA EDITORA</v>
      </c>
      <c r="AA1982" s="22"/>
      <c r="AB1982" s="20"/>
      <c r="AD1982" s="4" t="str">
        <f>"Pitanguá"</f>
        <v>Pitanguá</v>
      </c>
      <c r="AE1982" s="14" t="str">
        <f>"Matemática"</f>
        <v>Matemática</v>
      </c>
      <c r="AF1982" s="14"/>
    </row>
    <row r="1983" spans="1:32" x14ac:dyDescent="0.3">
      <c r="A1983" s="23" t="s">
        <v>5719</v>
      </c>
      <c r="B1983" s="20" t="s">
        <v>16</v>
      </c>
      <c r="C1983" s="20" t="s">
        <v>7</v>
      </c>
      <c r="D1983" s="20" t="s">
        <v>8</v>
      </c>
      <c r="E1983" s="22">
        <v>226</v>
      </c>
      <c r="F1983" s="22">
        <v>5</v>
      </c>
      <c r="G1983" s="22">
        <v>8</v>
      </c>
      <c r="H1983" s="22"/>
      <c r="I1983" s="23" t="s">
        <v>33</v>
      </c>
      <c r="J1983" s="23"/>
      <c r="K1983" s="22"/>
      <c r="L1983" s="22"/>
      <c r="M1983" s="23"/>
      <c r="N1983" s="23"/>
      <c r="O1983" s="26" t="s">
        <v>5720</v>
      </c>
      <c r="P1983" s="26"/>
      <c r="Q1983" s="22">
        <v>141</v>
      </c>
      <c r="R1983" s="24">
        <v>45869</v>
      </c>
      <c r="S1983" s="24">
        <v>45875</v>
      </c>
      <c r="T1983" s="24"/>
      <c r="U1983" s="24"/>
      <c r="V1983" s="24">
        <v>45875</v>
      </c>
      <c r="W1983" s="22" t="s">
        <v>31</v>
      </c>
      <c r="X1983" s="4" t="str">
        <f>IF(Tabela2[[#This Row],[sigla]]="","",VLOOKUP(Tabela2[[#This Row],[sigla]],créditos_base!B:C,2,0))</f>
        <v>SILVIA OTOFUJI/ARQUIVO DA EDITORA</v>
      </c>
      <c r="Y1983" s="23" t="s">
        <v>188</v>
      </c>
      <c r="Z1983" s="23" t="str">
        <f>Tabela2[[#This Row],[ilustrador]]</f>
        <v>SILVIA OTOFUJI/ARQUIVO DA EDITORA</v>
      </c>
      <c r="AA1983" s="22">
        <v>13</v>
      </c>
      <c r="AB1983" s="20" t="s">
        <v>153</v>
      </c>
      <c r="AC1983" s="20" t="s">
        <v>36</v>
      </c>
      <c r="AD1983" s="4" t="str">
        <f>"Pitanguá"</f>
        <v>Pitanguá</v>
      </c>
      <c r="AE1983" s="14" t="str">
        <f>"Matemática"</f>
        <v>Matemática</v>
      </c>
      <c r="AF1983" s="14"/>
    </row>
    <row r="1984" spans="1:32" x14ac:dyDescent="0.3">
      <c r="A1984" s="23" t="s">
        <v>588</v>
      </c>
      <c r="B1984" s="20" t="s">
        <v>6</v>
      </c>
      <c r="C1984" s="20" t="s">
        <v>89</v>
      </c>
      <c r="D1984" s="20" t="s">
        <v>8</v>
      </c>
      <c r="E1984" s="22">
        <v>95</v>
      </c>
      <c r="F1984" s="22">
        <v>1</v>
      </c>
      <c r="G1984" s="22">
        <v>8</v>
      </c>
      <c r="H1984" s="22"/>
      <c r="I1984" s="23" t="s">
        <v>9</v>
      </c>
      <c r="J1984" s="23"/>
      <c r="K1984" s="22"/>
      <c r="L1984" s="22"/>
      <c r="M1984" s="23"/>
      <c r="N1984" s="23"/>
      <c r="O1984" s="26" t="s">
        <v>589</v>
      </c>
      <c r="P1984" s="26"/>
      <c r="Q1984" s="22"/>
      <c r="R1984" s="24"/>
      <c r="S1984" s="24"/>
      <c r="T1984" s="24"/>
      <c r="U1984" s="24"/>
      <c r="V1984" s="24"/>
      <c r="W1984" s="22" t="s">
        <v>230</v>
      </c>
      <c r="X1984" s="4" t="str">
        <f>IF(Tabela2[[#This Row],[sigla]]="","",VLOOKUP(Tabela2[[#This Row],[sigla]],créditos_base!B:C,2,0))</f>
        <v>RAFAEL L. GAION/ARQUIVO DA EDITORA</v>
      </c>
      <c r="Y1984" s="23"/>
      <c r="Z1984" s="23" t="str">
        <f>Tabela2[[#This Row],[ilustrador]]</f>
        <v>RAFAEL L. GAION/ARQUIVO DA EDITORA</v>
      </c>
      <c r="AA1984" s="22"/>
      <c r="AB1984" s="20"/>
      <c r="AD1984" s="4" t="str">
        <f>"Pitanguá"</f>
        <v>Pitanguá</v>
      </c>
      <c r="AE1984" s="14" t="str">
        <f>"Matemática"</f>
        <v>Matemática</v>
      </c>
      <c r="AF1984" s="14"/>
    </row>
    <row r="1985" spans="1:32" x14ac:dyDescent="0.3">
      <c r="A1985" s="23" t="s">
        <v>2464</v>
      </c>
      <c r="B1985" s="20" t="s">
        <v>16</v>
      </c>
      <c r="C1985" s="20" t="s">
        <v>7</v>
      </c>
      <c r="D1985" s="20" t="s">
        <v>8</v>
      </c>
      <c r="E1985" s="22">
        <v>166</v>
      </c>
      <c r="F1985" s="22">
        <v>3</v>
      </c>
      <c r="G1985" s="22">
        <v>8</v>
      </c>
      <c r="H1985" s="22"/>
      <c r="I1985" s="23" t="s">
        <v>9</v>
      </c>
      <c r="J1985" s="23"/>
      <c r="K1985" s="22"/>
      <c r="L1985" s="22"/>
      <c r="M1985" s="23"/>
      <c r="N1985" s="23"/>
      <c r="O1985" s="26" t="s">
        <v>2465</v>
      </c>
      <c r="P1985" s="26"/>
      <c r="Q1985" s="22"/>
      <c r="R1985" s="24"/>
      <c r="S1985" s="24"/>
      <c r="T1985" s="24"/>
      <c r="U1985" s="24"/>
      <c r="V1985" s="24"/>
      <c r="W1985" s="22" t="s">
        <v>468</v>
      </c>
      <c r="X1985" s="4" t="str">
        <f>IF(Tabela2[[#This Row],[sigla]]="","",VLOOKUP(Tabela2[[#This Row],[sigla]],créditos_base!B:C,2,0))</f>
        <v>VER DOCUMENTO DE ILS. TÉCNICAS</v>
      </c>
      <c r="Y1985" s="23"/>
      <c r="Z1985" s="23" t="s">
        <v>1327</v>
      </c>
      <c r="AA1985" s="22"/>
      <c r="AB1985" s="20"/>
      <c r="AD1985" s="4" t="str">
        <f>"Pitanguá"</f>
        <v>Pitanguá</v>
      </c>
      <c r="AE1985" s="14" t="str">
        <f>"Matemática"</f>
        <v>Matemática</v>
      </c>
      <c r="AF1985" s="14"/>
    </row>
    <row r="1986" spans="1:32" x14ac:dyDescent="0.3">
      <c r="A1986" s="23" t="s">
        <v>3630</v>
      </c>
      <c r="B1986" s="20" t="s">
        <v>16</v>
      </c>
      <c r="C1986" s="20" t="s">
        <v>89</v>
      </c>
      <c r="D1986" s="20" t="s">
        <v>8</v>
      </c>
      <c r="E1986" s="22">
        <v>162</v>
      </c>
      <c r="F1986" s="22">
        <v>4</v>
      </c>
      <c r="G1986" s="22">
        <v>8</v>
      </c>
      <c r="H1986" s="22"/>
      <c r="I1986" s="23" t="s">
        <v>9</v>
      </c>
      <c r="J1986" s="23"/>
      <c r="K1986" s="22"/>
      <c r="L1986" s="22"/>
      <c r="M1986" s="23"/>
      <c r="N1986" s="23"/>
      <c r="O1986" s="26" t="s">
        <v>3631</v>
      </c>
      <c r="P1986" s="26"/>
      <c r="Q1986" s="22"/>
      <c r="R1986" s="24"/>
      <c r="S1986" s="24"/>
      <c r="T1986" s="24"/>
      <c r="U1986" s="24"/>
      <c r="V1986" s="24"/>
      <c r="W1986" s="22" t="s">
        <v>940</v>
      </c>
      <c r="X1986" s="4" t="str">
        <f>IF(Tabela2[[#This Row],[sigla]]="","",VLOOKUP(Tabela2[[#This Row],[sigla]],créditos_base!B:C,2,0))</f>
        <v>RONALDO LUCENA/ARQUIVO DA EDITORA</v>
      </c>
      <c r="Y1986" s="23"/>
      <c r="Z1986" s="23" t="str">
        <f>Tabela2[[#This Row],[ilustrador]]</f>
        <v>RONALDO LUCENA/ARQUIVO DA EDITORA</v>
      </c>
      <c r="AA1986" s="22"/>
      <c r="AB1986" s="20"/>
      <c r="AD1986" s="4" t="str">
        <f>"Pitanguá"</f>
        <v>Pitanguá</v>
      </c>
      <c r="AE1986" s="14" t="str">
        <f>"Matemática"</f>
        <v>Matemática</v>
      </c>
      <c r="AF1986" s="14"/>
    </row>
    <row r="1987" spans="1:32" x14ac:dyDescent="0.3">
      <c r="A1987" s="23" t="s">
        <v>5721</v>
      </c>
      <c r="B1987" s="20" t="s">
        <v>16</v>
      </c>
      <c r="C1987" s="20" t="s">
        <v>7</v>
      </c>
      <c r="D1987" s="20" t="s">
        <v>8</v>
      </c>
      <c r="E1987" s="22">
        <v>226</v>
      </c>
      <c r="F1987" s="22">
        <v>5</v>
      </c>
      <c r="G1987" s="22">
        <v>8</v>
      </c>
      <c r="H1987" s="22"/>
      <c r="I1987" s="23" t="s">
        <v>33</v>
      </c>
      <c r="J1987" s="23"/>
      <c r="K1987" s="22"/>
      <c r="L1987" s="22"/>
      <c r="M1987" s="23"/>
      <c r="N1987" s="23"/>
      <c r="O1987" s="26" t="s">
        <v>5722</v>
      </c>
      <c r="P1987" s="26"/>
      <c r="Q1987" s="22">
        <v>141</v>
      </c>
      <c r="R1987" s="24">
        <v>45869</v>
      </c>
      <c r="S1987" s="24">
        <v>45875</v>
      </c>
      <c r="T1987" s="24"/>
      <c r="U1987" s="24"/>
      <c r="V1987" s="24">
        <v>45875</v>
      </c>
      <c r="W1987" s="22" t="s">
        <v>31</v>
      </c>
      <c r="X1987" s="4" t="str">
        <f>IF(Tabela2[[#This Row],[sigla]]="","",VLOOKUP(Tabela2[[#This Row],[sigla]],créditos_base!B:C,2,0))</f>
        <v>SILVIA OTOFUJI/ARQUIVO DA EDITORA</v>
      </c>
      <c r="Y1987" s="23" t="s">
        <v>188</v>
      </c>
      <c r="Z1987" s="23" t="str">
        <f>Tabela2[[#This Row],[ilustrador]]</f>
        <v>SILVIA OTOFUJI/ARQUIVO DA EDITORA</v>
      </c>
      <c r="AA1987" s="22">
        <v>13</v>
      </c>
      <c r="AB1987" s="20" t="s">
        <v>153</v>
      </c>
      <c r="AC1987" s="20" t="s">
        <v>36</v>
      </c>
      <c r="AD1987" s="4" t="str">
        <f>"Pitanguá"</f>
        <v>Pitanguá</v>
      </c>
      <c r="AE1987" s="14" t="str">
        <f>"Matemática"</f>
        <v>Matemática</v>
      </c>
      <c r="AF1987" s="14"/>
    </row>
    <row r="1988" spans="1:32" x14ac:dyDescent="0.3">
      <c r="A1988" s="23" t="s">
        <v>590</v>
      </c>
      <c r="B1988" s="20" t="s">
        <v>6</v>
      </c>
      <c r="C1988" s="20" t="s">
        <v>89</v>
      </c>
      <c r="D1988" s="20" t="s">
        <v>8</v>
      </c>
      <c r="E1988" s="22">
        <v>95</v>
      </c>
      <c r="F1988" s="22">
        <v>1</v>
      </c>
      <c r="G1988" s="22">
        <v>8</v>
      </c>
      <c r="H1988" s="22"/>
      <c r="I1988" s="23" t="s">
        <v>9</v>
      </c>
      <c r="J1988" s="23"/>
      <c r="K1988" s="22"/>
      <c r="L1988" s="22"/>
      <c r="M1988" s="23"/>
      <c r="N1988" s="23"/>
      <c r="O1988" s="26" t="s">
        <v>591</v>
      </c>
      <c r="P1988" s="26"/>
      <c r="Q1988" s="22"/>
      <c r="R1988" s="24"/>
      <c r="S1988" s="24"/>
      <c r="T1988" s="24"/>
      <c r="U1988" s="24"/>
      <c r="V1988" s="24"/>
      <c r="W1988" s="22" t="s">
        <v>230</v>
      </c>
      <c r="X1988" s="4" t="str">
        <f>IF(Tabela2[[#This Row],[sigla]]="","",VLOOKUP(Tabela2[[#This Row],[sigla]],créditos_base!B:C,2,0))</f>
        <v>RAFAEL L. GAION/ARQUIVO DA EDITORA</v>
      </c>
      <c r="Y1988" s="23"/>
      <c r="Z1988" s="23" t="str">
        <f>Tabela2[[#This Row],[ilustrador]]</f>
        <v>RAFAEL L. GAION/ARQUIVO DA EDITORA</v>
      </c>
      <c r="AA1988" s="22"/>
      <c r="AB1988" s="20"/>
      <c r="AD1988" s="4" t="str">
        <f>"Pitanguá"</f>
        <v>Pitanguá</v>
      </c>
      <c r="AE1988" s="14" t="str">
        <f>"Matemática"</f>
        <v>Matemática</v>
      </c>
      <c r="AF1988" s="14"/>
    </row>
    <row r="1989" spans="1:32" x14ac:dyDescent="0.3">
      <c r="A1989" s="23" t="s">
        <v>2466</v>
      </c>
      <c r="B1989" s="20" t="s">
        <v>16</v>
      </c>
      <c r="C1989" s="20" t="s">
        <v>7</v>
      </c>
      <c r="D1989" s="20" t="s">
        <v>8</v>
      </c>
      <c r="E1989" s="22">
        <v>166</v>
      </c>
      <c r="F1989" s="22">
        <v>3</v>
      </c>
      <c r="G1989" s="22">
        <v>8</v>
      </c>
      <c r="H1989" s="22"/>
      <c r="I1989" s="23" t="s">
        <v>9</v>
      </c>
      <c r="J1989" s="23"/>
      <c r="K1989" s="22"/>
      <c r="L1989" s="22"/>
      <c r="M1989" s="23"/>
      <c r="N1989" s="23"/>
      <c r="O1989" s="26" t="s">
        <v>2467</v>
      </c>
      <c r="P1989" s="26"/>
      <c r="Q1989" s="22"/>
      <c r="R1989" s="24"/>
      <c r="S1989" s="24"/>
      <c r="T1989" s="24"/>
      <c r="U1989" s="24"/>
      <c r="V1989" s="24"/>
      <c r="W1989" s="22" t="s">
        <v>468</v>
      </c>
      <c r="X1989" s="4" t="str">
        <f>IF(Tabela2[[#This Row],[sigla]]="","",VLOOKUP(Tabela2[[#This Row],[sigla]],créditos_base!B:C,2,0))</f>
        <v>VER DOCUMENTO DE ILS. TÉCNICAS</v>
      </c>
      <c r="Y1989" s="23"/>
      <c r="Z1989" s="23" t="s">
        <v>1327</v>
      </c>
      <c r="AA1989" s="22"/>
      <c r="AB1989" s="20"/>
      <c r="AD1989" s="4" t="str">
        <f>"Pitanguá"</f>
        <v>Pitanguá</v>
      </c>
      <c r="AE1989" s="14" t="str">
        <f>"Matemática"</f>
        <v>Matemática</v>
      </c>
      <c r="AF1989" s="14"/>
    </row>
    <row r="1990" spans="1:32" x14ac:dyDescent="0.3">
      <c r="A1990" s="23" t="s">
        <v>3632</v>
      </c>
      <c r="B1990" s="20" t="s">
        <v>16</v>
      </c>
      <c r="C1990" s="20" t="s">
        <v>89</v>
      </c>
      <c r="D1990" s="20" t="s">
        <v>8</v>
      </c>
      <c r="E1990" s="22">
        <v>162</v>
      </c>
      <c r="F1990" s="22">
        <v>4</v>
      </c>
      <c r="G1990" s="22">
        <v>8</v>
      </c>
      <c r="H1990" s="22"/>
      <c r="I1990" s="23" t="s">
        <v>9</v>
      </c>
      <c r="J1990" s="23"/>
      <c r="K1990" s="22"/>
      <c r="L1990" s="22"/>
      <c r="M1990" s="23"/>
      <c r="N1990" s="23"/>
      <c r="O1990" s="26" t="s">
        <v>3633</v>
      </c>
      <c r="P1990" s="26"/>
      <c r="Q1990" s="22"/>
      <c r="R1990" s="24"/>
      <c r="S1990" s="24"/>
      <c r="T1990" s="24"/>
      <c r="U1990" s="24"/>
      <c r="V1990" s="24"/>
      <c r="W1990" s="22" t="s">
        <v>940</v>
      </c>
      <c r="X1990" s="4" t="str">
        <f>IF(Tabela2[[#This Row],[sigla]]="","",VLOOKUP(Tabela2[[#This Row],[sigla]],créditos_base!B:C,2,0))</f>
        <v>RONALDO LUCENA/ARQUIVO DA EDITORA</v>
      </c>
      <c r="Y1990" s="23"/>
      <c r="Z1990" s="23" t="str">
        <f>Tabela2[[#This Row],[ilustrador]]</f>
        <v>RONALDO LUCENA/ARQUIVO DA EDITORA</v>
      </c>
      <c r="AA1990" s="22"/>
      <c r="AB1990" s="20"/>
      <c r="AD1990" s="4" t="str">
        <f>"Pitanguá"</f>
        <v>Pitanguá</v>
      </c>
      <c r="AE1990" s="14" t="str">
        <f>"Matemática"</f>
        <v>Matemática</v>
      </c>
      <c r="AF1990" s="14"/>
    </row>
    <row r="1991" spans="1:32" x14ac:dyDescent="0.3">
      <c r="A1991" s="23" t="s">
        <v>5723</v>
      </c>
      <c r="B1991" s="20" t="s">
        <v>16</v>
      </c>
      <c r="C1991" s="20" t="s">
        <v>7</v>
      </c>
      <c r="D1991" s="20" t="s">
        <v>8</v>
      </c>
      <c r="E1991" s="22">
        <v>226</v>
      </c>
      <c r="F1991" s="22">
        <v>5</v>
      </c>
      <c r="G1991" s="22">
        <v>8</v>
      </c>
      <c r="H1991" s="22"/>
      <c r="I1991" s="23" t="s">
        <v>33</v>
      </c>
      <c r="J1991" s="23"/>
      <c r="K1991" s="22"/>
      <c r="L1991" s="22"/>
      <c r="M1991" s="23"/>
      <c r="N1991" s="23"/>
      <c r="O1991" s="26" t="s">
        <v>5724</v>
      </c>
      <c r="P1991" s="26"/>
      <c r="Q1991" s="22">
        <v>141</v>
      </c>
      <c r="R1991" s="24">
        <v>45869</v>
      </c>
      <c r="S1991" s="24">
        <v>45875</v>
      </c>
      <c r="T1991" s="24"/>
      <c r="U1991" s="24"/>
      <c r="V1991" s="24">
        <v>45875</v>
      </c>
      <c r="W1991" s="22" t="s">
        <v>31</v>
      </c>
      <c r="X1991" s="4" t="str">
        <f>IF(Tabela2[[#This Row],[sigla]]="","",VLOOKUP(Tabela2[[#This Row],[sigla]],créditos_base!B:C,2,0))</f>
        <v>SILVIA OTOFUJI/ARQUIVO DA EDITORA</v>
      </c>
      <c r="Y1991" s="23" t="s">
        <v>188</v>
      </c>
      <c r="Z1991" s="23" t="str">
        <f>Tabela2[[#This Row],[ilustrador]]</f>
        <v>SILVIA OTOFUJI/ARQUIVO DA EDITORA</v>
      </c>
      <c r="AA1991" s="22">
        <v>13</v>
      </c>
      <c r="AB1991" s="20" t="s">
        <v>153</v>
      </c>
      <c r="AC1991" s="20" t="s">
        <v>36</v>
      </c>
      <c r="AD1991" s="4" t="str">
        <f>"Pitanguá"</f>
        <v>Pitanguá</v>
      </c>
      <c r="AE1991" s="14" t="str">
        <f>"Matemática"</f>
        <v>Matemática</v>
      </c>
      <c r="AF1991" s="14"/>
    </row>
    <row r="1992" spans="1:32" x14ac:dyDescent="0.3">
      <c r="A1992" s="23" t="s">
        <v>592</v>
      </c>
      <c r="B1992" s="20" t="s">
        <v>6</v>
      </c>
      <c r="C1992" s="20" t="s">
        <v>89</v>
      </c>
      <c r="D1992" s="20" t="s">
        <v>8</v>
      </c>
      <c r="E1992" s="22">
        <v>95</v>
      </c>
      <c r="F1992" s="22">
        <v>1</v>
      </c>
      <c r="G1992" s="22">
        <v>8</v>
      </c>
      <c r="H1992" s="22"/>
      <c r="I1992" s="23" t="s">
        <v>9</v>
      </c>
      <c r="J1992" s="23"/>
      <c r="K1992" s="22"/>
      <c r="L1992" s="22"/>
      <c r="M1992" s="23"/>
      <c r="N1992" s="23"/>
      <c r="O1992" s="26" t="s">
        <v>593</v>
      </c>
      <c r="P1992" s="26"/>
      <c r="Q1992" s="22"/>
      <c r="R1992" s="24"/>
      <c r="S1992" s="24"/>
      <c r="T1992" s="24"/>
      <c r="U1992" s="24"/>
      <c r="V1992" s="24"/>
      <c r="W1992" s="22" t="s">
        <v>230</v>
      </c>
      <c r="X1992" s="4" t="str">
        <f>IF(Tabela2[[#This Row],[sigla]]="","",VLOOKUP(Tabela2[[#This Row],[sigla]],créditos_base!B:C,2,0))</f>
        <v>RAFAEL L. GAION/ARQUIVO DA EDITORA</v>
      </c>
      <c r="Y1992" s="23"/>
      <c r="Z1992" s="23" t="str">
        <f>Tabela2[[#This Row],[ilustrador]]</f>
        <v>RAFAEL L. GAION/ARQUIVO DA EDITORA</v>
      </c>
      <c r="AA1992" s="22"/>
      <c r="AB1992" s="20"/>
      <c r="AD1992" s="4" t="str">
        <f>"Pitanguá"</f>
        <v>Pitanguá</v>
      </c>
      <c r="AE1992" s="14" t="str">
        <f>"Matemática"</f>
        <v>Matemática</v>
      </c>
      <c r="AF1992" s="14"/>
    </row>
    <row r="1993" spans="1:32" x14ac:dyDescent="0.3">
      <c r="A1993" s="23" t="s">
        <v>2468</v>
      </c>
      <c r="B1993" s="20" t="s">
        <v>16</v>
      </c>
      <c r="C1993" s="20" t="s">
        <v>7</v>
      </c>
      <c r="D1993" s="20" t="s">
        <v>8</v>
      </c>
      <c r="E1993" s="22">
        <v>166</v>
      </c>
      <c r="F1993" s="22">
        <v>3</v>
      </c>
      <c r="G1993" s="22">
        <v>8</v>
      </c>
      <c r="H1993" s="22"/>
      <c r="I1993" s="23" t="s">
        <v>9</v>
      </c>
      <c r="J1993" s="23"/>
      <c r="K1993" s="22"/>
      <c r="L1993" s="22"/>
      <c r="M1993" s="23"/>
      <c r="N1993" s="23"/>
      <c r="O1993" s="26" t="s">
        <v>2469</v>
      </c>
      <c r="P1993" s="26"/>
      <c r="Q1993" s="22"/>
      <c r="R1993" s="24"/>
      <c r="S1993" s="24"/>
      <c r="T1993" s="24"/>
      <c r="U1993" s="24"/>
      <c r="V1993" s="24"/>
      <c r="W1993" s="22" t="s">
        <v>468</v>
      </c>
      <c r="X1993" s="4" t="str">
        <f>IF(Tabela2[[#This Row],[sigla]]="","",VLOOKUP(Tabela2[[#This Row],[sigla]],créditos_base!B:C,2,0))</f>
        <v>VER DOCUMENTO DE ILS. TÉCNICAS</v>
      </c>
      <c r="Y1993" s="23"/>
      <c r="Z1993" s="23" t="s">
        <v>1405</v>
      </c>
      <c r="AA1993" s="22"/>
      <c r="AB1993" s="20"/>
      <c r="AD1993" s="4" t="str">
        <f>"Pitanguá"</f>
        <v>Pitanguá</v>
      </c>
      <c r="AE1993" s="14" t="str">
        <f>"Matemática"</f>
        <v>Matemática</v>
      </c>
      <c r="AF1993" s="14"/>
    </row>
    <row r="1994" spans="1:32" x14ac:dyDescent="0.3">
      <c r="A1994" s="23" t="s">
        <v>3634</v>
      </c>
      <c r="B1994" s="20" t="s">
        <v>16</v>
      </c>
      <c r="C1994" s="20" t="s">
        <v>89</v>
      </c>
      <c r="D1994" s="20" t="s">
        <v>8</v>
      </c>
      <c r="E1994" s="22">
        <v>162</v>
      </c>
      <c r="F1994" s="22">
        <v>4</v>
      </c>
      <c r="G1994" s="22">
        <v>8</v>
      </c>
      <c r="H1994" s="22"/>
      <c r="I1994" s="23" t="s">
        <v>9</v>
      </c>
      <c r="J1994" s="23"/>
      <c r="K1994" s="22"/>
      <c r="L1994" s="22"/>
      <c r="M1994" s="23"/>
      <c r="N1994" s="23"/>
      <c r="O1994" s="20" t="s">
        <v>3635</v>
      </c>
      <c r="P1994" s="26"/>
      <c r="Q1994" s="22"/>
      <c r="R1994" s="24"/>
      <c r="S1994" s="24"/>
      <c r="T1994" s="24"/>
      <c r="U1994" s="24"/>
      <c r="V1994" s="24"/>
      <c r="W1994" s="22" t="s">
        <v>940</v>
      </c>
      <c r="X1994" s="4" t="str">
        <f>IF(Tabela2[[#This Row],[sigla]]="","",VLOOKUP(Tabela2[[#This Row],[sigla]],créditos_base!B:C,2,0))</f>
        <v>RONALDO LUCENA/ARQUIVO DA EDITORA</v>
      </c>
      <c r="Y1994" s="23"/>
      <c r="Z1994" s="23" t="str">
        <f>Tabela2[[#This Row],[ilustrador]]</f>
        <v>RONALDO LUCENA/ARQUIVO DA EDITORA</v>
      </c>
      <c r="AA1994" s="22"/>
      <c r="AB1994" s="20"/>
      <c r="AD1994" s="4" t="str">
        <f>"Pitanguá"</f>
        <v>Pitanguá</v>
      </c>
      <c r="AE1994" s="14" t="str">
        <f>"Matemática"</f>
        <v>Matemática</v>
      </c>
      <c r="AF1994" s="14"/>
    </row>
    <row r="1995" spans="1:32" x14ac:dyDescent="0.3">
      <c r="A1995" s="23" t="s">
        <v>5725</v>
      </c>
      <c r="B1995" s="20" t="s">
        <v>16</v>
      </c>
      <c r="C1995" s="20" t="s">
        <v>7</v>
      </c>
      <c r="D1995" s="20" t="s">
        <v>8</v>
      </c>
      <c r="E1995" s="22">
        <v>226</v>
      </c>
      <c r="F1995" s="22">
        <v>5</v>
      </c>
      <c r="G1995" s="22">
        <v>8</v>
      </c>
      <c r="H1995" s="22"/>
      <c r="I1995" s="23" t="s">
        <v>33</v>
      </c>
      <c r="J1995" s="23"/>
      <c r="K1995" s="22"/>
      <c r="L1995" s="22"/>
      <c r="M1995" s="23"/>
      <c r="N1995" s="23"/>
      <c r="O1995" s="26" t="s">
        <v>5726</v>
      </c>
      <c r="P1995" s="26"/>
      <c r="Q1995" s="22">
        <v>141</v>
      </c>
      <c r="R1995" s="24">
        <v>45869</v>
      </c>
      <c r="S1995" s="24">
        <v>45875</v>
      </c>
      <c r="T1995" s="24"/>
      <c r="U1995" s="24"/>
      <c r="V1995" s="24">
        <v>45875</v>
      </c>
      <c r="W1995" s="22" t="s">
        <v>31</v>
      </c>
      <c r="X1995" s="4" t="str">
        <f>IF(Tabela2[[#This Row],[sigla]]="","",VLOOKUP(Tabela2[[#This Row],[sigla]],créditos_base!B:C,2,0))</f>
        <v>SILVIA OTOFUJI/ARQUIVO DA EDITORA</v>
      </c>
      <c r="Y1995" s="23" t="s">
        <v>188</v>
      </c>
      <c r="Z1995" s="23" t="str">
        <f>Tabela2[[#This Row],[ilustrador]]</f>
        <v>SILVIA OTOFUJI/ARQUIVO DA EDITORA</v>
      </c>
      <c r="AA1995" s="22">
        <v>13</v>
      </c>
      <c r="AB1995" s="20" t="s">
        <v>153</v>
      </c>
      <c r="AC1995" s="20" t="s">
        <v>36</v>
      </c>
      <c r="AD1995" s="4" t="str">
        <f>"Pitanguá"</f>
        <v>Pitanguá</v>
      </c>
      <c r="AE1995" s="14" t="str">
        <f>"Matemática"</f>
        <v>Matemática</v>
      </c>
      <c r="AF1995" s="14"/>
    </row>
    <row r="1996" spans="1:32" x14ac:dyDescent="0.3">
      <c r="A1996" s="23" t="s">
        <v>594</v>
      </c>
      <c r="B1996" s="20" t="s">
        <v>6</v>
      </c>
      <c r="C1996" s="20" t="s">
        <v>89</v>
      </c>
      <c r="D1996" s="20" t="s">
        <v>8</v>
      </c>
      <c r="E1996" s="22">
        <v>95</v>
      </c>
      <c r="F1996" s="22">
        <v>1</v>
      </c>
      <c r="G1996" s="22">
        <v>8</v>
      </c>
      <c r="H1996" s="22"/>
      <c r="I1996" s="23" t="s">
        <v>9</v>
      </c>
      <c r="J1996" s="23"/>
      <c r="K1996" s="22"/>
      <c r="L1996" s="22"/>
      <c r="M1996" s="23"/>
      <c r="N1996" s="23"/>
      <c r="O1996" s="26" t="s">
        <v>595</v>
      </c>
      <c r="P1996" s="26"/>
      <c r="Q1996" s="22"/>
      <c r="R1996" s="24"/>
      <c r="S1996" s="24"/>
      <c r="T1996" s="24"/>
      <c r="U1996" s="24"/>
      <c r="V1996" s="24"/>
      <c r="W1996" s="22" t="s">
        <v>230</v>
      </c>
      <c r="X1996" s="4" t="str">
        <f>IF(Tabela2[[#This Row],[sigla]]="","",VLOOKUP(Tabela2[[#This Row],[sigla]],créditos_base!B:C,2,0))</f>
        <v>RAFAEL L. GAION/ARQUIVO DA EDITORA</v>
      </c>
      <c r="Y1996" s="23"/>
      <c r="Z1996" s="23" t="str">
        <f>Tabela2[[#This Row],[ilustrador]]</f>
        <v>RAFAEL L. GAION/ARQUIVO DA EDITORA</v>
      </c>
      <c r="AA1996" s="22"/>
      <c r="AB1996" s="20"/>
      <c r="AD1996" s="4" t="str">
        <f>"Pitanguá"</f>
        <v>Pitanguá</v>
      </c>
      <c r="AE1996" s="14" t="str">
        <f>"Matemática"</f>
        <v>Matemática</v>
      </c>
      <c r="AF1996" s="14"/>
    </row>
    <row r="1997" spans="1:32" x14ac:dyDescent="0.3">
      <c r="A1997" s="23" t="s">
        <v>2470</v>
      </c>
      <c r="B1997" s="20" t="s">
        <v>16</v>
      </c>
      <c r="C1997" s="20" t="s">
        <v>7</v>
      </c>
      <c r="D1997" s="20" t="s">
        <v>8</v>
      </c>
      <c r="E1997" s="22">
        <v>166</v>
      </c>
      <c r="F1997" s="22">
        <v>3</v>
      </c>
      <c r="G1997" s="22">
        <v>8</v>
      </c>
      <c r="H1997" s="22"/>
      <c r="I1997" s="23" t="s">
        <v>9</v>
      </c>
      <c r="J1997" s="23"/>
      <c r="K1997" s="22"/>
      <c r="L1997" s="22"/>
      <c r="M1997" s="23"/>
      <c r="N1997" s="23"/>
      <c r="O1997" s="26" t="s">
        <v>2471</v>
      </c>
      <c r="P1997" s="26"/>
      <c r="Q1997" s="22"/>
      <c r="R1997" s="24"/>
      <c r="S1997" s="24"/>
      <c r="T1997" s="24"/>
      <c r="U1997" s="24"/>
      <c r="V1997" s="24"/>
      <c r="W1997" s="22" t="s">
        <v>230</v>
      </c>
      <c r="X1997" s="4" t="str">
        <f>IF(Tabela2[[#This Row],[sigla]]="","",VLOOKUP(Tabela2[[#This Row],[sigla]],créditos_base!B:C,2,0))</f>
        <v>RAFAEL L. GAION/ARQUIVO DA EDITORA</v>
      </c>
      <c r="Y1997" s="23"/>
      <c r="Z1997" s="23" t="str">
        <f>Tabela2[[#This Row],[ilustrador]]</f>
        <v>RAFAEL L. GAION/ARQUIVO DA EDITORA</v>
      </c>
      <c r="AA1997" s="22"/>
      <c r="AB1997" s="20"/>
      <c r="AD1997" s="4" t="str">
        <f>"Pitanguá"</f>
        <v>Pitanguá</v>
      </c>
      <c r="AE1997" s="14" t="str">
        <f>"Matemática"</f>
        <v>Matemática</v>
      </c>
      <c r="AF1997" s="14"/>
    </row>
    <row r="1998" spans="1:32" x14ac:dyDescent="0.3">
      <c r="A1998" s="23" t="s">
        <v>5729</v>
      </c>
      <c r="B1998" s="20" t="s">
        <v>16</v>
      </c>
      <c r="C1998" s="20" t="s">
        <v>7</v>
      </c>
      <c r="D1998" s="20" t="s">
        <v>8</v>
      </c>
      <c r="E1998" s="22">
        <v>231</v>
      </c>
      <c r="F1998" s="22">
        <v>5</v>
      </c>
      <c r="G1998" s="22">
        <v>8</v>
      </c>
      <c r="H1998" s="22"/>
      <c r="I1998" s="23" t="s">
        <v>33</v>
      </c>
      <c r="J1998" s="23"/>
      <c r="K1998" s="22"/>
      <c r="L1998" s="22"/>
      <c r="M1998" s="23"/>
      <c r="N1998" s="23"/>
      <c r="O1998" s="26" t="s">
        <v>5730</v>
      </c>
      <c r="P1998" s="26"/>
      <c r="Q1998" s="22">
        <v>141</v>
      </c>
      <c r="R1998" s="24">
        <v>45869</v>
      </c>
      <c r="S1998" s="24">
        <v>45875</v>
      </c>
      <c r="T1998" s="24"/>
      <c r="U1998" s="24"/>
      <c r="V1998" s="24">
        <v>45875</v>
      </c>
      <c r="W1998" s="22" t="s">
        <v>160</v>
      </c>
      <c r="X1998" s="4" t="str">
        <f>IF(Tabela2[[#This Row],[sigla]]="","",VLOOKUP(Tabela2[[#This Row],[sigla]],créditos_base!B:C,2,0))</f>
        <v>SERGIO LIMA/ARQUIVO DA EDITORA</v>
      </c>
      <c r="Y1998" s="23" t="s">
        <v>188</v>
      </c>
      <c r="Z1998" s="23" t="str">
        <f>Tabela2[[#This Row],[ilustrador]]</f>
        <v>SERGIO LIMA/ARQUIVO DA EDITORA</v>
      </c>
      <c r="AA1998" s="22">
        <v>13</v>
      </c>
      <c r="AB1998" s="20" t="s">
        <v>153</v>
      </c>
      <c r="AC1998" s="20" t="s">
        <v>36</v>
      </c>
      <c r="AD1998" s="4" t="str">
        <f>"Pitanguá"</f>
        <v>Pitanguá</v>
      </c>
      <c r="AE1998" s="14" t="str">
        <f>"Matemática"</f>
        <v>Matemática</v>
      </c>
      <c r="AF1998" s="14"/>
    </row>
    <row r="1999" spans="1:32" ht="28.8" x14ac:dyDescent="0.3">
      <c r="A1999" s="23" t="s">
        <v>596</v>
      </c>
      <c r="B1999" s="20" t="s">
        <v>6</v>
      </c>
      <c r="C1999" s="20" t="s">
        <v>89</v>
      </c>
      <c r="D1999" s="20" t="s">
        <v>8</v>
      </c>
      <c r="E1999" s="22">
        <v>95</v>
      </c>
      <c r="F1999" s="22">
        <v>1</v>
      </c>
      <c r="G1999" s="22">
        <v>8</v>
      </c>
      <c r="H1999" s="22"/>
      <c r="I1999" s="23" t="s">
        <v>9</v>
      </c>
      <c r="J1999" s="23"/>
      <c r="K1999" s="22"/>
      <c r="L1999" s="22"/>
      <c r="M1999" s="23"/>
      <c r="N1999" s="23"/>
      <c r="O1999" s="26" t="s">
        <v>597</v>
      </c>
      <c r="P1999" s="26"/>
      <c r="Q1999" s="22"/>
      <c r="R1999" s="24"/>
      <c r="S1999" s="24"/>
      <c r="T1999" s="24"/>
      <c r="U1999" s="24"/>
      <c r="V1999" s="24"/>
      <c r="W1999" s="22" t="s">
        <v>230</v>
      </c>
      <c r="X1999" s="4" t="str">
        <f>IF(Tabela2[[#This Row],[sigla]]="","",VLOOKUP(Tabela2[[#This Row],[sigla]],créditos_base!B:C,2,0))</f>
        <v>RAFAEL L. GAION/ARQUIVO DA EDITORA</v>
      </c>
      <c r="Y1999" s="23"/>
      <c r="Z1999" s="23" t="str">
        <f>Tabela2[[#This Row],[ilustrador]]</f>
        <v>RAFAEL L. GAION/ARQUIVO DA EDITORA</v>
      </c>
      <c r="AA1999" s="22"/>
      <c r="AB1999" s="20"/>
      <c r="AD1999" s="4" t="str">
        <f>"Pitanguá"</f>
        <v>Pitanguá</v>
      </c>
      <c r="AE1999" s="14" t="str">
        <f>"Matemática"</f>
        <v>Matemática</v>
      </c>
      <c r="AF1999" s="14"/>
    </row>
    <row r="2000" spans="1:32" ht="28.8" x14ac:dyDescent="0.3">
      <c r="A2000" s="23" t="s">
        <v>3636</v>
      </c>
      <c r="B2000" s="20" t="s">
        <v>16</v>
      </c>
      <c r="C2000" s="20" t="s">
        <v>89</v>
      </c>
      <c r="D2000" s="20" t="s">
        <v>8</v>
      </c>
      <c r="E2000" s="22">
        <v>163</v>
      </c>
      <c r="F2000" s="22">
        <v>4</v>
      </c>
      <c r="G2000" s="22">
        <v>8</v>
      </c>
      <c r="H2000" s="22"/>
      <c r="I2000" s="23" t="s">
        <v>9</v>
      </c>
      <c r="J2000" s="23"/>
      <c r="K2000" s="22"/>
      <c r="L2000" s="22"/>
      <c r="M2000" s="23"/>
      <c r="N2000" s="23"/>
      <c r="O2000" s="20" t="s">
        <v>3637</v>
      </c>
      <c r="P2000" s="26"/>
      <c r="Q2000" s="22"/>
      <c r="R2000" s="24"/>
      <c r="S2000" s="24"/>
      <c r="T2000" s="24"/>
      <c r="U2000" s="24"/>
      <c r="V2000" s="24"/>
      <c r="W2000" s="22" t="s">
        <v>160</v>
      </c>
      <c r="X2000" s="4" t="str">
        <f>IF(Tabela2[[#This Row],[sigla]]="","",VLOOKUP(Tabela2[[#This Row],[sigla]],créditos_base!B:C,2,0))</f>
        <v>SERGIO LIMA/ARQUIVO DA EDITORA</v>
      </c>
      <c r="Y2000" s="23"/>
      <c r="Z2000" s="23" t="str">
        <f>Tabela2[[#This Row],[ilustrador]]</f>
        <v>SERGIO LIMA/ARQUIVO DA EDITORA</v>
      </c>
      <c r="AA2000" s="22"/>
      <c r="AB2000" s="20"/>
      <c r="AD2000" s="4" t="str">
        <f>"Pitanguá"</f>
        <v>Pitanguá</v>
      </c>
      <c r="AE2000" s="14" t="str">
        <f>"Matemática"</f>
        <v>Matemática</v>
      </c>
      <c r="AF2000" s="14"/>
    </row>
    <row r="2001" spans="1:32" ht="28.8" x14ac:dyDescent="0.3">
      <c r="A2001" s="23" t="s">
        <v>5727</v>
      </c>
      <c r="B2001" s="20" t="s">
        <v>16</v>
      </c>
      <c r="C2001" s="20" t="s">
        <v>7</v>
      </c>
      <c r="D2001" s="20" t="s">
        <v>8</v>
      </c>
      <c r="E2001" s="22">
        <v>231</v>
      </c>
      <c r="F2001" s="22">
        <v>5</v>
      </c>
      <c r="G2001" s="22">
        <v>8</v>
      </c>
      <c r="H2001" s="22"/>
      <c r="I2001" s="23" t="s">
        <v>90</v>
      </c>
      <c r="J2001" s="23"/>
      <c r="K2001" s="22"/>
      <c r="L2001" s="22"/>
      <c r="M2001" s="23"/>
      <c r="N2001" s="23"/>
      <c r="O2001" s="26" t="s">
        <v>5728</v>
      </c>
      <c r="P2001" s="26"/>
      <c r="Q2001" s="22">
        <v>141</v>
      </c>
      <c r="R2001" s="24">
        <v>45869</v>
      </c>
      <c r="S2001" s="24">
        <v>45875</v>
      </c>
      <c r="T2001" s="24"/>
      <c r="U2001" s="24"/>
      <c r="V2001" s="24">
        <v>45875</v>
      </c>
      <c r="W2001" s="22" t="s">
        <v>999</v>
      </c>
      <c r="X2001" s="4" t="str">
        <f>IF(Tabela2[[#This Row],[sigla]]="","",VLOOKUP(Tabela2[[#This Row],[sigla]],créditos_base!B:C,2,0))</f>
        <v>VINÍCIUS COSTA/ARQUIVO DA EDITORA</v>
      </c>
      <c r="Y2001" s="23"/>
      <c r="Z2001" s="23" t="str">
        <f>Tabela2[[#This Row],[ilustrador]]</f>
        <v>VINÍCIUS COSTA/ARQUIVO DA EDITORA</v>
      </c>
      <c r="AA2001" s="22">
        <v>8</v>
      </c>
      <c r="AB2001" s="20" t="s">
        <v>243</v>
      </c>
      <c r="AC2001" s="20" t="s">
        <v>36</v>
      </c>
      <c r="AD2001" s="4" t="str">
        <f>"Pitanguá"</f>
        <v>Pitanguá</v>
      </c>
      <c r="AE2001" s="14" t="str">
        <f>"Matemática"</f>
        <v>Matemática</v>
      </c>
      <c r="AF2001" s="14"/>
    </row>
    <row r="2002" spans="1:32" ht="28.8" x14ac:dyDescent="0.3">
      <c r="A2002" s="23" t="s">
        <v>598</v>
      </c>
      <c r="B2002" s="20" t="s">
        <v>6</v>
      </c>
      <c r="C2002" s="20" t="s">
        <v>89</v>
      </c>
      <c r="D2002" s="20" t="s">
        <v>8</v>
      </c>
      <c r="E2002" s="22">
        <v>95</v>
      </c>
      <c r="F2002" s="22">
        <v>1</v>
      </c>
      <c r="G2002" s="22">
        <v>8</v>
      </c>
      <c r="H2002" s="22"/>
      <c r="I2002" s="23" t="s">
        <v>9</v>
      </c>
      <c r="J2002" s="23"/>
      <c r="K2002" s="22"/>
      <c r="L2002" s="22"/>
      <c r="M2002" s="23"/>
      <c r="N2002" s="23"/>
      <c r="O2002" s="26" t="s">
        <v>599</v>
      </c>
      <c r="P2002" s="26"/>
      <c r="Q2002" s="22"/>
      <c r="R2002" s="24"/>
      <c r="S2002" s="24"/>
      <c r="T2002" s="24"/>
      <c r="U2002" s="24"/>
      <c r="V2002" s="24"/>
      <c r="W2002" s="22" t="s">
        <v>230</v>
      </c>
      <c r="X2002" s="4" t="str">
        <f>IF(Tabela2[[#This Row],[sigla]]="","",VLOOKUP(Tabela2[[#This Row],[sigla]],créditos_base!B:C,2,0))</f>
        <v>RAFAEL L. GAION/ARQUIVO DA EDITORA</v>
      </c>
      <c r="Y2002" s="23"/>
      <c r="Z2002" s="23" t="str">
        <f>Tabela2[[#This Row],[ilustrador]]</f>
        <v>RAFAEL L. GAION/ARQUIVO DA EDITORA</v>
      </c>
      <c r="AA2002" s="22"/>
      <c r="AB2002" s="20"/>
      <c r="AD2002" s="4" t="str">
        <f>"Pitanguá"</f>
        <v>Pitanguá</v>
      </c>
      <c r="AE2002" s="14" t="str">
        <f>"Matemática"</f>
        <v>Matemática</v>
      </c>
      <c r="AF2002" s="14"/>
    </row>
    <row r="2003" spans="1:32" x14ac:dyDescent="0.3">
      <c r="A2003" s="23" t="s">
        <v>2472</v>
      </c>
      <c r="B2003" s="20" t="s">
        <v>16</v>
      </c>
      <c r="C2003" s="20" t="s">
        <v>7</v>
      </c>
      <c r="D2003" s="20" t="s">
        <v>8</v>
      </c>
      <c r="E2003" s="22">
        <v>167</v>
      </c>
      <c r="F2003" s="22">
        <v>3</v>
      </c>
      <c r="G2003" s="22">
        <v>8</v>
      </c>
      <c r="H2003" s="22"/>
      <c r="I2003" s="23" t="s">
        <v>33</v>
      </c>
      <c r="J2003" s="23"/>
      <c r="K2003" s="22"/>
      <c r="L2003" s="22"/>
      <c r="M2003" s="23"/>
      <c r="N2003" s="23"/>
      <c r="O2003" s="26" t="s">
        <v>2473</v>
      </c>
      <c r="P2003" s="26"/>
      <c r="Q2003" s="22">
        <v>87</v>
      </c>
      <c r="R2003" s="24">
        <v>45838</v>
      </c>
      <c r="S2003" s="24">
        <v>45839</v>
      </c>
      <c r="T2003" s="24"/>
      <c r="U2003" s="24"/>
      <c r="V2003" s="24">
        <v>45842</v>
      </c>
      <c r="W2003" s="22" t="s">
        <v>1785</v>
      </c>
      <c r="X2003" s="4" t="str">
        <f>IF(Tabela2[[#This Row],[sigla]]="","",VLOOKUP(Tabela2[[#This Row],[sigla]],créditos_base!B:C,2,0))</f>
        <v>CAUÊ ZUNCHINI/ARQUIVO DA EDITORA</v>
      </c>
      <c r="Y2003" s="23" t="s">
        <v>880</v>
      </c>
      <c r="Z2003" s="23" t="str">
        <f>Tabela2[[#This Row],[ilustrador]]</f>
        <v>CAUÊ ZUNCHINI/ARQUIVO DA EDITORA</v>
      </c>
      <c r="AA2003" s="22">
        <v>13</v>
      </c>
      <c r="AB2003" s="20" t="s">
        <v>244</v>
      </c>
      <c r="AC2003" s="20" t="s">
        <v>36</v>
      </c>
      <c r="AD2003" s="4" t="str">
        <f>"Pitanguá"</f>
        <v>Pitanguá</v>
      </c>
      <c r="AE2003" s="14" t="str">
        <f>"Matemática"</f>
        <v>Matemática</v>
      </c>
      <c r="AF2003" s="14"/>
    </row>
    <row r="2004" spans="1:32" ht="28.8" x14ac:dyDescent="0.3">
      <c r="A2004" s="23" t="s">
        <v>3638</v>
      </c>
      <c r="B2004" s="20" t="s">
        <v>16</v>
      </c>
      <c r="C2004" s="20" t="s">
        <v>89</v>
      </c>
      <c r="D2004" s="20" t="s">
        <v>8</v>
      </c>
      <c r="E2004" s="22">
        <v>164</v>
      </c>
      <c r="F2004" s="22">
        <v>4</v>
      </c>
      <c r="G2004" s="22">
        <v>8</v>
      </c>
      <c r="H2004" s="22"/>
      <c r="I2004" s="23" t="s">
        <v>9</v>
      </c>
      <c r="J2004" s="23"/>
      <c r="K2004" s="22"/>
      <c r="L2004" s="22"/>
      <c r="M2004" s="23"/>
      <c r="N2004" s="23"/>
      <c r="O2004" s="26" t="s">
        <v>3639</v>
      </c>
      <c r="P2004" s="26"/>
      <c r="Q2004" s="22"/>
      <c r="R2004" s="24"/>
      <c r="S2004" s="24"/>
      <c r="T2004" s="24"/>
      <c r="U2004" s="24"/>
      <c r="V2004" s="24"/>
      <c r="W2004" s="22" t="s">
        <v>160</v>
      </c>
      <c r="X2004" s="4" t="str">
        <f>IF(Tabela2[[#This Row],[sigla]]="","",VLOOKUP(Tabela2[[#This Row],[sigla]],créditos_base!B:C,2,0))</f>
        <v>SERGIO LIMA/ARQUIVO DA EDITORA</v>
      </c>
      <c r="Y2004" s="23"/>
      <c r="Z2004" s="23" t="str">
        <f>Tabela2[[#This Row],[ilustrador]]</f>
        <v>SERGIO LIMA/ARQUIVO DA EDITORA</v>
      </c>
      <c r="AA2004" s="22"/>
      <c r="AB2004" s="20"/>
      <c r="AD2004" s="4" t="str">
        <f>"Pitanguá"</f>
        <v>Pitanguá</v>
      </c>
      <c r="AE2004" s="14" t="str">
        <f>"Matemática"</f>
        <v>Matemática</v>
      </c>
      <c r="AF2004" s="14"/>
    </row>
    <row r="2005" spans="1:32" x14ac:dyDescent="0.3">
      <c r="A2005" s="23" t="s">
        <v>600</v>
      </c>
      <c r="B2005" s="20" t="s">
        <v>6</v>
      </c>
      <c r="C2005" s="20" t="s">
        <v>89</v>
      </c>
      <c r="D2005" s="20" t="s">
        <v>8</v>
      </c>
      <c r="E2005" s="22">
        <v>95</v>
      </c>
      <c r="F2005" s="22">
        <v>1</v>
      </c>
      <c r="G2005" s="22">
        <v>8</v>
      </c>
      <c r="H2005" s="22"/>
      <c r="I2005" s="23" t="s">
        <v>9</v>
      </c>
      <c r="J2005" s="23"/>
      <c r="K2005" s="22"/>
      <c r="L2005" s="22"/>
      <c r="M2005" s="23"/>
      <c r="N2005" s="23"/>
      <c r="O2005" s="26" t="s">
        <v>601</v>
      </c>
      <c r="P2005" s="26"/>
      <c r="Q2005" s="22"/>
      <c r="R2005" s="24"/>
      <c r="S2005" s="24"/>
      <c r="T2005" s="24"/>
      <c r="U2005" s="24"/>
      <c r="V2005" s="24"/>
      <c r="W2005" s="22" t="s">
        <v>230</v>
      </c>
      <c r="X2005" s="4" t="str">
        <f>IF(Tabela2[[#This Row],[sigla]]="","",VLOOKUP(Tabela2[[#This Row],[sigla]],créditos_base!B:C,2,0))</f>
        <v>RAFAEL L. GAION/ARQUIVO DA EDITORA</v>
      </c>
      <c r="Y2005" s="23"/>
      <c r="Z2005" s="23" t="str">
        <f>Tabela2[[#This Row],[ilustrador]]</f>
        <v>RAFAEL L. GAION/ARQUIVO DA EDITORA</v>
      </c>
      <c r="AA2005" s="22"/>
      <c r="AB2005" s="20"/>
      <c r="AD2005" s="4" t="str">
        <f>"Pitanguá"</f>
        <v>Pitanguá</v>
      </c>
      <c r="AE2005" s="14" t="str">
        <f>"Matemática"</f>
        <v>Matemática</v>
      </c>
      <c r="AF2005" s="14"/>
    </row>
    <row r="2006" spans="1:32" x14ac:dyDescent="0.3">
      <c r="A2006" s="23" t="s">
        <v>2474</v>
      </c>
      <c r="B2006" s="20" t="s">
        <v>16</v>
      </c>
      <c r="C2006" s="20" t="s">
        <v>7</v>
      </c>
      <c r="D2006" s="20" t="s">
        <v>8</v>
      </c>
      <c r="E2006" s="22">
        <v>168</v>
      </c>
      <c r="F2006" s="22">
        <v>3</v>
      </c>
      <c r="G2006" s="22">
        <v>8</v>
      </c>
      <c r="H2006" s="22"/>
      <c r="I2006" s="23" t="s">
        <v>9</v>
      </c>
      <c r="J2006" s="23"/>
      <c r="K2006" s="22"/>
      <c r="L2006" s="22"/>
      <c r="M2006" s="23"/>
      <c r="N2006" s="23"/>
      <c r="O2006" s="26" t="s">
        <v>2475</v>
      </c>
      <c r="P2006" s="26"/>
      <c r="Q2006" s="22"/>
      <c r="R2006" s="24"/>
      <c r="S2006" s="24"/>
      <c r="T2006" s="24"/>
      <c r="U2006" s="24"/>
      <c r="V2006" s="24"/>
      <c r="W2006" s="22" t="s">
        <v>230</v>
      </c>
      <c r="X2006" s="4" t="str">
        <f>IF(Tabela2[[#This Row],[sigla]]="","",VLOOKUP(Tabela2[[#This Row],[sigla]],créditos_base!B:C,2,0))</f>
        <v>RAFAEL L. GAION/ARQUIVO DA EDITORA</v>
      </c>
      <c r="Y2006" s="23"/>
      <c r="Z2006" s="23" t="str">
        <f>Tabela2[[#This Row],[ilustrador]]</f>
        <v>RAFAEL L. GAION/ARQUIVO DA EDITORA</v>
      </c>
      <c r="AA2006" s="22"/>
      <c r="AB2006" s="20"/>
      <c r="AD2006" s="4" t="str">
        <f>"Pitanguá"</f>
        <v>Pitanguá</v>
      </c>
      <c r="AE2006" s="14" t="str">
        <f>"Matemática"</f>
        <v>Matemática</v>
      </c>
      <c r="AF2006" s="14"/>
    </row>
    <row r="2007" spans="1:32" ht="57.6" x14ac:dyDescent="0.3">
      <c r="A2007" s="23" t="s">
        <v>3640</v>
      </c>
      <c r="B2007" s="20" t="s">
        <v>16</v>
      </c>
      <c r="C2007" s="20" t="s">
        <v>89</v>
      </c>
      <c r="D2007" s="20" t="s">
        <v>8</v>
      </c>
      <c r="E2007" s="22">
        <v>164</v>
      </c>
      <c r="F2007" s="22">
        <v>4</v>
      </c>
      <c r="G2007" s="22">
        <v>8</v>
      </c>
      <c r="H2007" s="22"/>
      <c r="I2007" s="23" t="s">
        <v>9</v>
      </c>
      <c r="J2007" s="23"/>
      <c r="K2007" s="22"/>
      <c r="L2007" s="22"/>
      <c r="M2007" s="23"/>
      <c r="N2007" s="23"/>
      <c r="O2007" s="26" t="s">
        <v>3641</v>
      </c>
      <c r="P2007" s="26"/>
      <c r="Q2007" s="22"/>
      <c r="R2007" s="24"/>
      <c r="S2007" s="24"/>
      <c r="T2007" s="24"/>
      <c r="U2007" s="24"/>
      <c r="V2007" s="24"/>
      <c r="W2007" s="22" t="s">
        <v>160</v>
      </c>
      <c r="X2007" s="4" t="str">
        <f>IF(Tabela2[[#This Row],[sigla]]="","",VLOOKUP(Tabela2[[#This Row],[sigla]],créditos_base!B:C,2,0))</f>
        <v>SERGIO LIMA/ARQUIVO DA EDITORA</v>
      </c>
      <c r="Y2007" s="23"/>
      <c r="Z2007" s="23" t="str">
        <f>Tabela2[[#This Row],[ilustrador]]</f>
        <v>SERGIO LIMA/ARQUIVO DA EDITORA</v>
      </c>
      <c r="AA2007" s="22"/>
      <c r="AB2007" s="20"/>
      <c r="AD2007" s="4" t="str">
        <f>"Pitanguá"</f>
        <v>Pitanguá</v>
      </c>
      <c r="AE2007" s="14" t="str">
        <f>"Matemática"</f>
        <v>Matemática</v>
      </c>
      <c r="AF2007" s="14"/>
    </row>
    <row r="2008" spans="1:32" x14ac:dyDescent="0.3">
      <c r="A2008" s="23" t="s">
        <v>602</v>
      </c>
      <c r="B2008" s="20" t="s">
        <v>6</v>
      </c>
      <c r="C2008" s="20" t="s">
        <v>89</v>
      </c>
      <c r="D2008" s="20" t="s">
        <v>8</v>
      </c>
      <c r="E2008" s="22">
        <v>95</v>
      </c>
      <c r="F2008" s="22">
        <v>1</v>
      </c>
      <c r="G2008" s="22">
        <v>8</v>
      </c>
      <c r="H2008" s="22"/>
      <c r="I2008" s="23" t="s">
        <v>9</v>
      </c>
      <c r="J2008" s="23"/>
      <c r="K2008" s="22"/>
      <c r="L2008" s="22"/>
      <c r="M2008" s="23"/>
      <c r="N2008" s="23"/>
      <c r="O2008" s="26" t="s">
        <v>603</v>
      </c>
      <c r="P2008" s="26"/>
      <c r="Q2008" s="22"/>
      <c r="R2008" s="24"/>
      <c r="S2008" s="24"/>
      <c r="T2008" s="24"/>
      <c r="U2008" s="24"/>
      <c r="V2008" s="24"/>
      <c r="W2008" s="22" t="s">
        <v>160</v>
      </c>
      <c r="X2008" s="4" t="str">
        <f>IF(Tabela2[[#This Row],[sigla]]="","",VLOOKUP(Tabela2[[#This Row],[sigla]],créditos_base!B:C,2,0))</f>
        <v>SERGIO LIMA/ARQUIVO DA EDITORA</v>
      </c>
      <c r="Y2008" s="23"/>
      <c r="Z2008" s="23" t="str">
        <f>Tabela2[[#This Row],[ilustrador]]</f>
        <v>SERGIO LIMA/ARQUIVO DA EDITORA</v>
      </c>
      <c r="AA2008" s="22"/>
      <c r="AB2008" s="20"/>
      <c r="AD2008" s="4" t="str">
        <f>"Pitanguá"</f>
        <v>Pitanguá</v>
      </c>
      <c r="AE2008" s="14" t="str">
        <f>"Matemática"</f>
        <v>Matemática</v>
      </c>
      <c r="AF2008" s="14"/>
    </row>
    <row r="2009" spans="1:32" x14ac:dyDescent="0.3">
      <c r="A2009" s="23" t="s">
        <v>2476</v>
      </c>
      <c r="B2009" s="20" t="s">
        <v>16</v>
      </c>
      <c r="C2009" s="20" t="s">
        <v>7</v>
      </c>
      <c r="D2009" s="20" t="s">
        <v>8</v>
      </c>
      <c r="E2009" s="22">
        <v>169</v>
      </c>
      <c r="F2009" s="22">
        <v>3</v>
      </c>
      <c r="G2009" s="22">
        <v>8</v>
      </c>
      <c r="H2009" s="22"/>
      <c r="I2009" s="23" t="s">
        <v>9</v>
      </c>
      <c r="J2009" s="23"/>
      <c r="K2009" s="22"/>
      <c r="L2009" s="22"/>
      <c r="M2009" s="23"/>
      <c r="N2009" s="23"/>
      <c r="O2009" s="26" t="s">
        <v>2477</v>
      </c>
      <c r="P2009" s="26"/>
      <c r="Q2009" s="22"/>
      <c r="R2009" s="24"/>
      <c r="S2009" s="24"/>
      <c r="T2009" s="24"/>
      <c r="U2009" s="24"/>
      <c r="V2009" s="24"/>
      <c r="W2009" s="22" t="s">
        <v>31</v>
      </c>
      <c r="X2009" s="4" t="str">
        <f>IF(Tabela2[[#This Row],[sigla]]="","",VLOOKUP(Tabela2[[#This Row],[sigla]],créditos_base!B:C,2,0))</f>
        <v>SILVIA OTOFUJI/ARQUIVO DA EDITORA</v>
      </c>
      <c r="Y2009" s="23"/>
      <c r="Z2009" s="23" t="str">
        <f>Tabela2[[#This Row],[ilustrador]]</f>
        <v>SILVIA OTOFUJI/ARQUIVO DA EDITORA</v>
      </c>
      <c r="AA2009" s="22"/>
      <c r="AB2009" s="20"/>
      <c r="AD2009" s="4" t="str">
        <f>"Pitanguá"</f>
        <v>Pitanguá</v>
      </c>
      <c r="AE2009" s="14" t="str">
        <f>"Matemática"</f>
        <v>Matemática</v>
      </c>
      <c r="AF2009" s="14"/>
    </row>
    <row r="2010" spans="1:32" x14ac:dyDescent="0.3">
      <c r="A2010" s="23" t="s">
        <v>3642</v>
      </c>
      <c r="B2010" s="20" t="s">
        <v>16</v>
      </c>
      <c r="C2010" s="20" t="s">
        <v>89</v>
      </c>
      <c r="D2010" s="20" t="s">
        <v>8</v>
      </c>
      <c r="E2010" s="22">
        <v>164</v>
      </c>
      <c r="F2010" s="22">
        <v>4</v>
      </c>
      <c r="G2010" s="22">
        <v>8</v>
      </c>
      <c r="H2010" s="22"/>
      <c r="I2010" s="23" t="s">
        <v>9</v>
      </c>
      <c r="J2010" s="23"/>
      <c r="K2010" s="22"/>
      <c r="L2010" s="22"/>
      <c r="M2010" s="23"/>
      <c r="N2010" s="23"/>
      <c r="O2010" s="26" t="s">
        <v>3643</v>
      </c>
      <c r="P2010" s="26"/>
      <c r="Q2010" s="22"/>
      <c r="R2010" s="24"/>
      <c r="S2010" s="24"/>
      <c r="T2010" s="24"/>
      <c r="U2010" s="24"/>
      <c r="V2010" s="24"/>
      <c r="W2010" s="22" t="s">
        <v>160</v>
      </c>
      <c r="X2010" s="4" t="str">
        <f>IF(Tabela2[[#This Row],[sigla]]="","",VLOOKUP(Tabela2[[#This Row],[sigla]],créditos_base!B:C,2,0))</f>
        <v>SERGIO LIMA/ARQUIVO DA EDITORA</v>
      </c>
      <c r="Y2010" s="23"/>
      <c r="Z2010" s="23" t="str">
        <f>Tabela2[[#This Row],[ilustrador]]</f>
        <v>SERGIO LIMA/ARQUIVO DA EDITORA</v>
      </c>
      <c r="AA2010" s="22"/>
      <c r="AB2010" s="20"/>
      <c r="AD2010" s="4" t="str">
        <f>"Pitanguá"</f>
        <v>Pitanguá</v>
      </c>
      <c r="AE2010" s="14" t="str">
        <f>"Matemática"</f>
        <v>Matemática</v>
      </c>
      <c r="AF2010" s="14"/>
    </row>
    <row r="2011" spans="1:32" x14ac:dyDescent="0.3">
      <c r="A2011" s="23" t="s">
        <v>604</v>
      </c>
      <c r="B2011" s="20" t="s">
        <v>6</v>
      </c>
      <c r="C2011" s="20" t="s">
        <v>89</v>
      </c>
      <c r="D2011" s="20" t="s">
        <v>8</v>
      </c>
      <c r="E2011" s="22">
        <v>95</v>
      </c>
      <c r="F2011" s="22">
        <v>1</v>
      </c>
      <c r="G2011" s="22">
        <v>8</v>
      </c>
      <c r="H2011" s="22"/>
      <c r="I2011" s="23" t="s">
        <v>9</v>
      </c>
      <c r="J2011" s="23"/>
      <c r="K2011" s="22"/>
      <c r="L2011" s="22"/>
      <c r="M2011" s="23"/>
      <c r="N2011" s="23"/>
      <c r="O2011" s="26" t="s">
        <v>605</v>
      </c>
      <c r="P2011" s="26"/>
      <c r="Q2011" s="22"/>
      <c r="R2011" s="24"/>
      <c r="S2011" s="24"/>
      <c r="T2011" s="24"/>
      <c r="U2011" s="24"/>
      <c r="V2011" s="24"/>
      <c r="W2011" s="22" t="s">
        <v>160</v>
      </c>
      <c r="X2011" s="4" t="str">
        <f>IF(Tabela2[[#This Row],[sigla]]="","",VLOOKUP(Tabela2[[#This Row],[sigla]],créditos_base!B:C,2,0))</f>
        <v>SERGIO LIMA/ARQUIVO DA EDITORA</v>
      </c>
      <c r="Y2011" s="23"/>
      <c r="Z2011" s="23" t="str">
        <f>Tabela2[[#This Row],[ilustrador]]</f>
        <v>SERGIO LIMA/ARQUIVO DA EDITORA</v>
      </c>
      <c r="AA2011" s="22"/>
      <c r="AB2011" s="20"/>
      <c r="AD2011" s="4" t="str">
        <f>"Pitanguá"</f>
        <v>Pitanguá</v>
      </c>
      <c r="AE2011" s="14" t="str">
        <f>"Matemática"</f>
        <v>Matemática</v>
      </c>
      <c r="AF2011" s="14"/>
    </row>
    <row r="2012" spans="1:32" x14ac:dyDescent="0.3">
      <c r="A2012" s="23" t="s">
        <v>3644</v>
      </c>
      <c r="B2012" s="20" t="s">
        <v>16</v>
      </c>
      <c r="C2012" s="20" t="s">
        <v>89</v>
      </c>
      <c r="D2012" s="20" t="s">
        <v>8</v>
      </c>
      <c r="E2012" s="22">
        <v>164</v>
      </c>
      <c r="F2012" s="22">
        <v>4</v>
      </c>
      <c r="G2012" s="22">
        <v>8</v>
      </c>
      <c r="H2012" s="22"/>
      <c r="I2012" s="23" t="s">
        <v>9</v>
      </c>
      <c r="J2012" s="23"/>
      <c r="K2012" s="22"/>
      <c r="L2012" s="22"/>
      <c r="M2012" s="23"/>
      <c r="N2012" s="23"/>
      <c r="O2012" s="26" t="s">
        <v>3645</v>
      </c>
      <c r="P2012" s="26"/>
      <c r="Q2012" s="22"/>
      <c r="R2012" s="24"/>
      <c r="S2012" s="24"/>
      <c r="T2012" s="24"/>
      <c r="U2012" s="24"/>
      <c r="V2012" s="24"/>
      <c r="W2012" s="22" t="s">
        <v>160</v>
      </c>
      <c r="X2012" s="4" t="str">
        <f>IF(Tabela2[[#This Row],[sigla]]="","",VLOOKUP(Tabela2[[#This Row],[sigla]],créditos_base!B:C,2,0))</f>
        <v>SERGIO LIMA/ARQUIVO DA EDITORA</v>
      </c>
      <c r="Y2012" s="23"/>
      <c r="Z2012" s="23" t="str">
        <f>Tabela2[[#This Row],[ilustrador]]</f>
        <v>SERGIO LIMA/ARQUIVO DA EDITORA</v>
      </c>
      <c r="AA2012" s="22"/>
      <c r="AB2012" s="20"/>
      <c r="AD2012" s="4" t="str">
        <f>"Pitanguá"</f>
        <v>Pitanguá</v>
      </c>
      <c r="AE2012" s="14" t="str">
        <f>"Matemática"</f>
        <v>Matemática</v>
      </c>
      <c r="AF2012" s="14"/>
    </row>
    <row r="2013" spans="1:32" ht="43.2" x14ac:dyDescent="0.3">
      <c r="A2013" s="23" t="s">
        <v>606</v>
      </c>
      <c r="B2013" s="20" t="s">
        <v>6</v>
      </c>
      <c r="C2013" s="20" t="s">
        <v>89</v>
      </c>
      <c r="D2013" s="20" t="s">
        <v>8</v>
      </c>
      <c r="E2013" s="22">
        <v>95</v>
      </c>
      <c r="F2013" s="22">
        <v>1</v>
      </c>
      <c r="G2013" s="22">
        <v>8</v>
      </c>
      <c r="H2013" s="22"/>
      <c r="I2013" s="23" t="s">
        <v>9</v>
      </c>
      <c r="J2013" s="23"/>
      <c r="K2013" s="22"/>
      <c r="L2013" s="22"/>
      <c r="M2013" s="23"/>
      <c r="N2013" s="23"/>
      <c r="O2013" s="26" t="s">
        <v>607</v>
      </c>
      <c r="P2013" s="26"/>
      <c r="Q2013" s="22"/>
      <c r="R2013" s="24"/>
      <c r="S2013" s="24"/>
      <c r="T2013" s="24"/>
      <c r="U2013" s="24"/>
      <c r="V2013" s="24"/>
      <c r="W2013" s="22" t="s">
        <v>160</v>
      </c>
      <c r="X2013" s="4" t="str">
        <f>IF(Tabela2[[#This Row],[sigla]]="","",VLOOKUP(Tabela2[[#This Row],[sigla]],créditos_base!B:C,2,0))</f>
        <v>SERGIO LIMA/ARQUIVO DA EDITORA</v>
      </c>
      <c r="Y2013" s="23"/>
      <c r="Z2013" s="23" t="str">
        <f>Tabela2[[#This Row],[ilustrador]]</f>
        <v>SERGIO LIMA/ARQUIVO DA EDITORA</v>
      </c>
      <c r="AA2013" s="22"/>
      <c r="AB2013" s="20"/>
      <c r="AD2013" s="4" t="str">
        <f>"Pitanguá"</f>
        <v>Pitanguá</v>
      </c>
      <c r="AE2013" s="14" t="str">
        <f>"Matemática"</f>
        <v>Matemática</v>
      </c>
      <c r="AF2013" s="14"/>
    </row>
    <row r="2014" spans="1:32" ht="72" x14ac:dyDescent="0.3">
      <c r="A2014" s="23" t="s">
        <v>3646</v>
      </c>
      <c r="B2014" s="20" t="s">
        <v>16</v>
      </c>
      <c r="C2014" s="20" t="s">
        <v>89</v>
      </c>
      <c r="D2014" s="20" t="s">
        <v>8</v>
      </c>
      <c r="E2014" s="22">
        <v>164</v>
      </c>
      <c r="F2014" s="22">
        <v>4</v>
      </c>
      <c r="G2014" s="22">
        <v>8</v>
      </c>
      <c r="H2014" s="22"/>
      <c r="I2014" s="23" t="s">
        <v>9</v>
      </c>
      <c r="J2014" s="23"/>
      <c r="K2014" s="22"/>
      <c r="L2014" s="22"/>
      <c r="M2014" s="23"/>
      <c r="N2014" s="23"/>
      <c r="O2014" s="26" t="s">
        <v>3647</v>
      </c>
      <c r="P2014" s="26"/>
      <c r="Q2014" s="22"/>
      <c r="R2014" s="24"/>
      <c r="S2014" s="24"/>
      <c r="T2014" s="24"/>
      <c r="U2014" s="24"/>
      <c r="V2014" s="24"/>
      <c r="W2014" s="22" t="s">
        <v>940</v>
      </c>
      <c r="X2014" s="4" t="str">
        <f>IF(Tabela2[[#This Row],[sigla]]="","",VLOOKUP(Tabela2[[#This Row],[sigla]],créditos_base!B:C,2,0))</f>
        <v>RONALDO LUCENA/ARQUIVO DA EDITORA</v>
      </c>
      <c r="Y2014" s="23"/>
      <c r="Z2014" s="23" t="str">
        <f>Tabela2[[#This Row],[ilustrador]]</f>
        <v>RONALDO LUCENA/ARQUIVO DA EDITORA</v>
      </c>
      <c r="AA2014" s="22"/>
      <c r="AB2014" s="20"/>
      <c r="AD2014" s="4" t="str">
        <f>"Pitanguá"</f>
        <v>Pitanguá</v>
      </c>
      <c r="AE2014" s="14" t="str">
        <f>"Matemática"</f>
        <v>Matemática</v>
      </c>
      <c r="AF2014" s="14"/>
    </row>
    <row r="2015" spans="1:32" x14ac:dyDescent="0.3">
      <c r="A2015" s="23" t="s">
        <v>2478</v>
      </c>
      <c r="B2015" s="20" t="s">
        <v>16</v>
      </c>
      <c r="C2015" s="20" t="s">
        <v>7</v>
      </c>
      <c r="D2015" s="20" t="s">
        <v>8</v>
      </c>
      <c r="E2015" s="22">
        <v>171</v>
      </c>
      <c r="F2015" s="22">
        <v>3</v>
      </c>
      <c r="G2015" s="22">
        <v>8</v>
      </c>
      <c r="H2015" s="22"/>
      <c r="I2015" s="23" t="s">
        <v>9</v>
      </c>
      <c r="J2015" s="23"/>
      <c r="K2015" s="22"/>
      <c r="L2015" s="22"/>
      <c r="M2015" s="23"/>
      <c r="N2015" s="23"/>
      <c r="O2015" s="26" t="s">
        <v>2479</v>
      </c>
      <c r="P2015" s="26"/>
      <c r="Q2015" s="22"/>
      <c r="R2015" s="24"/>
      <c r="S2015" s="24"/>
      <c r="T2015" s="24"/>
      <c r="U2015" s="24"/>
      <c r="V2015" s="24"/>
      <c r="W2015" s="22" t="s">
        <v>468</v>
      </c>
      <c r="X2015" s="4" t="str">
        <f>IF(Tabela2[[#This Row],[sigla]]="","",VLOOKUP(Tabela2[[#This Row],[sigla]],créditos_base!B:C,2,0))</f>
        <v>VER DOCUMENTO DE ILS. TÉCNICAS</v>
      </c>
      <c r="Y2015" s="23"/>
      <c r="Z2015" s="23" t="s">
        <v>689</v>
      </c>
      <c r="AA2015" s="22"/>
      <c r="AB2015" s="20"/>
      <c r="AD2015" s="4" t="str">
        <f>"Pitanguá"</f>
        <v>Pitanguá</v>
      </c>
      <c r="AE2015" s="14" t="str">
        <f>"Matemática"</f>
        <v>Matemática</v>
      </c>
      <c r="AF2015" s="14"/>
    </row>
    <row r="2016" spans="1:32" ht="28.8" x14ac:dyDescent="0.3">
      <c r="A2016" s="23" t="s">
        <v>3648</v>
      </c>
      <c r="B2016" s="20" t="s">
        <v>16</v>
      </c>
      <c r="C2016" s="20" t="s">
        <v>89</v>
      </c>
      <c r="D2016" s="20" t="s">
        <v>8</v>
      </c>
      <c r="E2016" s="22">
        <v>164</v>
      </c>
      <c r="F2016" s="22">
        <v>4</v>
      </c>
      <c r="G2016" s="22">
        <v>8</v>
      </c>
      <c r="H2016" s="22"/>
      <c r="I2016" s="23" t="s">
        <v>9</v>
      </c>
      <c r="J2016" s="23"/>
      <c r="K2016" s="22"/>
      <c r="L2016" s="22"/>
      <c r="M2016" s="23"/>
      <c r="N2016" s="23"/>
      <c r="O2016" s="26" t="s">
        <v>3649</v>
      </c>
      <c r="P2016" s="26"/>
      <c r="Q2016" s="22"/>
      <c r="R2016" s="24"/>
      <c r="S2016" s="24"/>
      <c r="T2016" s="24"/>
      <c r="U2016" s="24"/>
      <c r="V2016" s="24"/>
      <c r="W2016" s="22" t="s">
        <v>940</v>
      </c>
      <c r="X2016" s="4" t="str">
        <f>IF(Tabela2[[#This Row],[sigla]]="","",VLOOKUP(Tabela2[[#This Row],[sigla]],créditos_base!B:C,2,0))</f>
        <v>RONALDO LUCENA/ARQUIVO DA EDITORA</v>
      </c>
      <c r="Y2016" s="23"/>
      <c r="Z2016" s="23" t="str">
        <f>Tabela2[[#This Row],[ilustrador]]</f>
        <v>RONALDO LUCENA/ARQUIVO DA EDITORA</v>
      </c>
      <c r="AA2016" s="22"/>
      <c r="AB2016" s="20"/>
      <c r="AD2016" s="4" t="str">
        <f>"Pitanguá"</f>
        <v>Pitanguá</v>
      </c>
      <c r="AE2016" s="14" t="str">
        <f>"Matemática"</f>
        <v>Matemática</v>
      </c>
      <c r="AF2016" s="14"/>
    </row>
    <row r="2017" spans="1:32" x14ac:dyDescent="0.3">
      <c r="A2017" s="23" t="s">
        <v>3650</v>
      </c>
      <c r="B2017" s="20" t="s">
        <v>16</v>
      </c>
      <c r="C2017" s="20" t="s">
        <v>89</v>
      </c>
      <c r="D2017" s="20" t="s">
        <v>8</v>
      </c>
      <c r="E2017" s="22">
        <v>164</v>
      </c>
      <c r="F2017" s="22">
        <v>4</v>
      </c>
      <c r="G2017" s="22">
        <v>8</v>
      </c>
      <c r="H2017" s="22"/>
      <c r="I2017" s="23" t="s">
        <v>9</v>
      </c>
      <c r="J2017" s="23"/>
      <c r="K2017" s="22"/>
      <c r="L2017" s="22"/>
      <c r="M2017" s="23"/>
      <c r="N2017" s="23"/>
      <c r="O2017" s="26" t="s">
        <v>3651</v>
      </c>
      <c r="P2017" s="26"/>
      <c r="Q2017" s="22"/>
      <c r="R2017" s="24"/>
      <c r="S2017" s="24"/>
      <c r="T2017" s="24"/>
      <c r="U2017" s="24"/>
      <c r="V2017" s="24"/>
      <c r="W2017" s="22" t="s">
        <v>940</v>
      </c>
      <c r="X2017" s="4" t="str">
        <f>IF(Tabela2[[#This Row],[sigla]]="","",VLOOKUP(Tabela2[[#This Row],[sigla]],créditos_base!B:C,2,0))</f>
        <v>RONALDO LUCENA/ARQUIVO DA EDITORA</v>
      </c>
      <c r="Y2017" s="23"/>
      <c r="Z2017" s="23" t="str">
        <f>Tabela2[[#This Row],[ilustrador]]</f>
        <v>RONALDO LUCENA/ARQUIVO DA EDITORA</v>
      </c>
      <c r="AA2017" s="22"/>
      <c r="AB2017" s="20"/>
      <c r="AD2017" s="4" t="str">
        <f>"Pitanguá"</f>
        <v>Pitanguá</v>
      </c>
      <c r="AE2017" s="14" t="str">
        <f>"Matemática"</f>
        <v>Matemática</v>
      </c>
      <c r="AF2017" s="14"/>
    </row>
    <row r="2018" spans="1:32" ht="28.8" x14ac:dyDescent="0.3">
      <c r="A2018" s="23" t="s">
        <v>4898</v>
      </c>
      <c r="B2018" s="20" t="s">
        <v>16</v>
      </c>
      <c r="C2018" s="20" t="s">
        <v>89</v>
      </c>
      <c r="D2018" s="20" t="s">
        <v>8</v>
      </c>
      <c r="E2018" s="22">
        <v>211</v>
      </c>
      <c r="F2018" s="22">
        <v>3</v>
      </c>
      <c r="G2018" s="22">
        <v>8</v>
      </c>
      <c r="H2018" s="22"/>
      <c r="I2018" s="23" t="s">
        <v>33</v>
      </c>
      <c r="J2018" s="23"/>
      <c r="K2018" s="22"/>
      <c r="L2018" s="22"/>
      <c r="M2018" s="23"/>
      <c r="N2018" s="23"/>
      <c r="O2018" s="26" t="s">
        <v>4899</v>
      </c>
      <c r="P2018" s="26"/>
      <c r="Q2018" s="22">
        <v>87</v>
      </c>
      <c r="R2018" s="24">
        <v>45838</v>
      </c>
      <c r="S2018" s="24">
        <v>45839</v>
      </c>
      <c r="T2018" s="24"/>
      <c r="U2018" s="24"/>
      <c r="V2018" s="24">
        <v>45842</v>
      </c>
      <c r="W2018" s="22" t="s">
        <v>2482</v>
      </c>
      <c r="X2018" s="4" t="str">
        <f>IF(Tabela2[[#This Row],[sigla]]="","",VLOOKUP(Tabela2[[#This Row],[sigla]],créditos_base!B:C,2,0))</f>
        <v>ARIEL FAJTLOWICZ/ARQUIVO DA EDITORA</v>
      </c>
      <c r="Y2018" s="23" t="s">
        <v>880</v>
      </c>
      <c r="Z2018" s="23" t="str">
        <f>Tabela2[[#This Row],[ilustrador]]</f>
        <v>ARIEL FAJTLOWICZ/ARQUIVO DA EDITORA</v>
      </c>
      <c r="AA2018" s="22">
        <v>13</v>
      </c>
      <c r="AB2018" s="20" t="s">
        <v>244</v>
      </c>
      <c r="AC2018" s="20" t="s">
        <v>36</v>
      </c>
      <c r="AD2018" s="4" t="str">
        <f>"Pitanguá"</f>
        <v>Pitanguá</v>
      </c>
      <c r="AE2018" s="14" t="str">
        <f>"Matemática"</f>
        <v>Matemática</v>
      </c>
      <c r="AF2018" s="14"/>
    </row>
    <row r="2019" spans="1:32" x14ac:dyDescent="0.3">
      <c r="A2019" s="23" t="s">
        <v>3652</v>
      </c>
      <c r="B2019" s="20" t="s">
        <v>16</v>
      </c>
      <c r="C2019" s="20" t="s">
        <v>89</v>
      </c>
      <c r="D2019" s="20" t="s">
        <v>8</v>
      </c>
      <c r="E2019" s="22">
        <v>165</v>
      </c>
      <c r="F2019" s="22">
        <v>4</v>
      </c>
      <c r="G2019" s="22">
        <v>8</v>
      </c>
      <c r="H2019" s="22"/>
      <c r="I2019" s="23" t="s">
        <v>9</v>
      </c>
      <c r="J2019" s="23"/>
      <c r="K2019" s="22"/>
      <c r="L2019" s="22"/>
      <c r="M2019" s="23"/>
      <c r="N2019" s="23"/>
      <c r="O2019" s="26" t="s">
        <v>3653</v>
      </c>
      <c r="P2019" s="26"/>
      <c r="Q2019" s="22"/>
      <c r="R2019" s="24"/>
      <c r="S2019" s="24"/>
      <c r="T2019" s="24"/>
      <c r="U2019" s="24"/>
      <c r="V2019" s="24"/>
      <c r="W2019" s="22" t="s">
        <v>160</v>
      </c>
      <c r="X2019" s="4" t="str">
        <f>IF(Tabela2[[#This Row],[sigla]]="","",VLOOKUP(Tabela2[[#This Row],[sigla]],créditos_base!B:C,2,0))</f>
        <v>SERGIO LIMA/ARQUIVO DA EDITORA</v>
      </c>
      <c r="Y2019" s="23"/>
      <c r="Z2019" s="23" t="str">
        <f>Tabela2[[#This Row],[ilustrador]]</f>
        <v>SERGIO LIMA/ARQUIVO DA EDITORA</v>
      </c>
      <c r="AA2019" s="22"/>
      <c r="AB2019" s="20"/>
      <c r="AD2019" s="4" t="str">
        <f>"Pitanguá"</f>
        <v>Pitanguá</v>
      </c>
      <c r="AE2019" s="14" t="str">
        <f>"Matemática"</f>
        <v>Matemática</v>
      </c>
      <c r="AF2019" s="14"/>
    </row>
    <row r="2020" spans="1:32" ht="28.8" x14ac:dyDescent="0.3">
      <c r="A2020" s="23" t="s">
        <v>3654</v>
      </c>
      <c r="B2020" s="20" t="s">
        <v>6</v>
      </c>
      <c r="C2020" s="20" t="s">
        <v>89</v>
      </c>
      <c r="D2020" s="20" t="s">
        <v>8</v>
      </c>
      <c r="E2020" s="22">
        <v>165</v>
      </c>
      <c r="F2020" s="22">
        <v>4</v>
      </c>
      <c r="G2020" s="22">
        <v>8</v>
      </c>
      <c r="H2020" s="22"/>
      <c r="I2020" s="23" t="s">
        <v>9</v>
      </c>
      <c r="J2020" s="23"/>
      <c r="K2020" s="22"/>
      <c r="L2020" s="22"/>
      <c r="M2020" s="23"/>
      <c r="N2020" s="23"/>
      <c r="O2020" s="26" t="s">
        <v>3655</v>
      </c>
      <c r="P2020" s="26"/>
      <c r="Q2020" s="22"/>
      <c r="R2020" s="24"/>
      <c r="S2020" s="24"/>
      <c r="T2020" s="24"/>
      <c r="U2020" s="24"/>
      <c r="V2020" s="24"/>
      <c r="W2020" s="22" t="s">
        <v>160</v>
      </c>
      <c r="X2020" s="4" t="str">
        <f>IF(Tabela2[[#This Row],[sigla]]="","",VLOOKUP(Tabela2[[#This Row],[sigla]],créditos_base!B:C,2,0))</f>
        <v>SERGIO LIMA/ARQUIVO DA EDITORA</v>
      </c>
      <c r="Y2020" s="23"/>
      <c r="Z2020" s="23" t="str">
        <f>Tabela2[[#This Row],[ilustrador]]</f>
        <v>SERGIO LIMA/ARQUIVO DA EDITORA</v>
      </c>
      <c r="AA2020" s="22"/>
      <c r="AB2020" s="20"/>
      <c r="AD2020" s="4" t="str">
        <f>"Pitanguá"</f>
        <v>Pitanguá</v>
      </c>
      <c r="AE2020" s="14" t="str">
        <f>"Matemática"</f>
        <v>Matemática</v>
      </c>
      <c r="AF2020" s="14"/>
    </row>
    <row r="2021" spans="1:32" ht="43.2" x14ac:dyDescent="0.3">
      <c r="A2021" s="23" t="s">
        <v>2480</v>
      </c>
      <c r="B2021" s="20" t="s">
        <v>16</v>
      </c>
      <c r="C2021" s="20" t="s">
        <v>7</v>
      </c>
      <c r="D2021" s="20" t="s">
        <v>8</v>
      </c>
      <c r="E2021" s="22">
        <v>175</v>
      </c>
      <c r="F2021" s="22">
        <v>3</v>
      </c>
      <c r="G2021" s="22">
        <v>8</v>
      </c>
      <c r="H2021" s="22"/>
      <c r="I2021" s="23" t="s">
        <v>9</v>
      </c>
      <c r="J2021" s="23"/>
      <c r="K2021" s="22"/>
      <c r="L2021" s="22"/>
      <c r="M2021" s="23"/>
      <c r="N2021" s="23"/>
      <c r="O2021" s="26" t="s">
        <v>2481</v>
      </c>
      <c r="P2021" s="26"/>
      <c r="Q2021" s="22"/>
      <c r="R2021" s="24"/>
      <c r="S2021" s="24"/>
      <c r="T2021" s="24"/>
      <c r="U2021" s="24"/>
      <c r="V2021" s="24"/>
      <c r="W2021" s="22" t="s">
        <v>2482</v>
      </c>
      <c r="X2021" s="4" t="str">
        <f>IF(Tabela2[[#This Row],[sigla]]="","",VLOOKUP(Tabela2[[#This Row],[sigla]],créditos_base!B:C,2,0))</f>
        <v>ARIEL FAJTLOWICZ/ARQUIVO DA EDITORA</v>
      </c>
      <c r="Y2021" s="23"/>
      <c r="Z2021" s="23" t="str">
        <f>Tabela2[[#This Row],[ilustrador]]</f>
        <v>ARIEL FAJTLOWICZ/ARQUIVO DA EDITORA</v>
      </c>
      <c r="AA2021" s="22"/>
      <c r="AB2021" s="20"/>
      <c r="AD2021" s="4" t="str">
        <f>"Pitanguá"</f>
        <v>Pitanguá</v>
      </c>
      <c r="AE2021" s="14" t="str">
        <f>"Matemática"</f>
        <v>Matemática</v>
      </c>
      <c r="AF2021" s="14"/>
    </row>
    <row r="2022" spans="1:32" ht="28.8" x14ac:dyDescent="0.3">
      <c r="A2022" s="23" t="s">
        <v>3656</v>
      </c>
      <c r="B2022" s="20" t="s">
        <v>6</v>
      </c>
      <c r="C2022" s="20" t="s">
        <v>89</v>
      </c>
      <c r="D2022" s="20" t="s">
        <v>8</v>
      </c>
      <c r="E2022" s="22">
        <v>165</v>
      </c>
      <c r="F2022" s="22">
        <v>4</v>
      </c>
      <c r="G2022" s="22">
        <v>8</v>
      </c>
      <c r="H2022" s="22"/>
      <c r="I2022" s="23" t="s">
        <v>9</v>
      </c>
      <c r="J2022" s="23"/>
      <c r="K2022" s="22"/>
      <c r="L2022" s="22"/>
      <c r="M2022" s="23"/>
      <c r="N2022" s="23"/>
      <c r="O2022" s="26" t="s">
        <v>3657</v>
      </c>
      <c r="P2022" s="26"/>
      <c r="Q2022" s="22"/>
      <c r="R2022" s="24"/>
      <c r="S2022" s="24"/>
      <c r="T2022" s="24"/>
      <c r="U2022" s="24"/>
      <c r="V2022" s="24"/>
      <c r="W2022" s="22" t="s">
        <v>160</v>
      </c>
      <c r="X2022" s="4" t="str">
        <f>IF(Tabela2[[#This Row],[sigla]]="","",VLOOKUP(Tabela2[[#This Row],[sigla]],créditos_base!B:C,2,0))</f>
        <v>SERGIO LIMA/ARQUIVO DA EDITORA</v>
      </c>
      <c r="Y2022" s="23"/>
      <c r="Z2022" s="23" t="str">
        <f>Tabela2[[#This Row],[ilustrador]]</f>
        <v>SERGIO LIMA/ARQUIVO DA EDITORA</v>
      </c>
      <c r="AA2022" s="22"/>
      <c r="AB2022" s="20"/>
      <c r="AD2022" s="4" t="str">
        <f>"Pitanguá"</f>
        <v>Pitanguá</v>
      </c>
      <c r="AE2022" s="14" t="str">
        <f>"Matemática"</f>
        <v>Matemática</v>
      </c>
      <c r="AF2022" s="14"/>
    </row>
    <row r="2023" spans="1:32" ht="28.8" x14ac:dyDescent="0.3">
      <c r="A2023" s="23" t="s">
        <v>4908</v>
      </c>
      <c r="B2023" s="20" t="s">
        <v>16</v>
      </c>
      <c r="C2023" s="20" t="s">
        <v>89</v>
      </c>
      <c r="D2023" s="20" t="s">
        <v>8</v>
      </c>
      <c r="E2023" s="22">
        <v>216</v>
      </c>
      <c r="F2023" s="22">
        <v>3</v>
      </c>
      <c r="G2023" s="22">
        <v>8</v>
      </c>
      <c r="H2023" s="22"/>
      <c r="I2023" s="23" t="s">
        <v>33</v>
      </c>
      <c r="J2023" s="23"/>
      <c r="K2023" s="22"/>
      <c r="L2023" s="22"/>
      <c r="M2023" s="23"/>
      <c r="N2023" s="23"/>
      <c r="O2023" s="26" t="s">
        <v>4909</v>
      </c>
      <c r="P2023" s="26"/>
      <c r="Q2023" s="22">
        <v>87</v>
      </c>
      <c r="R2023" s="24">
        <v>45838</v>
      </c>
      <c r="S2023" s="24">
        <v>45839</v>
      </c>
      <c r="T2023" s="24"/>
      <c r="U2023" s="24"/>
      <c r="V2023" s="24">
        <v>45842</v>
      </c>
      <c r="W2023" s="22" t="s">
        <v>468</v>
      </c>
      <c r="X2023" s="4" t="str">
        <f>IF(Tabela2[[#This Row],[sigla]]="","",VLOOKUP(Tabela2[[#This Row],[sigla]],créditos_base!B:C,2,0))</f>
        <v>VER DOCUMENTO DE ILS. TÉCNICAS</v>
      </c>
      <c r="Y2023" s="23" t="s">
        <v>880</v>
      </c>
      <c r="Z2023" s="23" t="s">
        <v>2967</v>
      </c>
      <c r="AA2023" s="22">
        <v>13</v>
      </c>
      <c r="AB2023" s="20" t="s">
        <v>244</v>
      </c>
      <c r="AC2023" s="20" t="s">
        <v>36</v>
      </c>
      <c r="AD2023" s="4" t="str">
        <f>"Pitanguá"</f>
        <v>Pitanguá</v>
      </c>
      <c r="AE2023" s="14" t="str">
        <f>"Matemática"</f>
        <v>Matemática</v>
      </c>
      <c r="AF2023" s="14"/>
    </row>
    <row r="2024" spans="1:32" ht="43.2" x14ac:dyDescent="0.3">
      <c r="A2024" s="23" t="s">
        <v>3658</v>
      </c>
      <c r="B2024" s="20" t="s">
        <v>6</v>
      </c>
      <c r="C2024" s="20" t="s">
        <v>89</v>
      </c>
      <c r="D2024" s="20" t="s">
        <v>8</v>
      </c>
      <c r="E2024" s="22">
        <v>165</v>
      </c>
      <c r="F2024" s="22">
        <v>4</v>
      </c>
      <c r="G2024" s="22">
        <v>8</v>
      </c>
      <c r="H2024" s="22"/>
      <c r="I2024" s="23" t="s">
        <v>9</v>
      </c>
      <c r="J2024" s="23"/>
      <c r="K2024" s="22"/>
      <c r="L2024" s="22"/>
      <c r="M2024" s="23"/>
      <c r="N2024" s="23"/>
      <c r="O2024" s="26" t="s">
        <v>3659</v>
      </c>
      <c r="P2024" s="26"/>
      <c r="Q2024" s="22"/>
      <c r="R2024" s="24"/>
      <c r="S2024" s="24"/>
      <c r="T2024" s="24"/>
      <c r="U2024" s="24"/>
      <c r="V2024" s="24"/>
      <c r="W2024" s="22" t="s">
        <v>160</v>
      </c>
      <c r="X2024" s="4" t="str">
        <f>IF(Tabela2[[#This Row],[sigla]]="","",VLOOKUP(Tabela2[[#This Row],[sigla]],créditos_base!B:C,2,0))</f>
        <v>SERGIO LIMA/ARQUIVO DA EDITORA</v>
      </c>
      <c r="Y2024" s="23"/>
      <c r="Z2024" s="23" t="str">
        <f>Tabela2[[#This Row],[ilustrador]]</f>
        <v>SERGIO LIMA/ARQUIVO DA EDITORA</v>
      </c>
      <c r="AA2024" s="22"/>
      <c r="AB2024" s="20"/>
      <c r="AD2024" s="4" t="str">
        <f>"Pitanguá"</f>
        <v>Pitanguá</v>
      </c>
      <c r="AE2024" s="14" t="str">
        <f>"Matemática"</f>
        <v>Matemática</v>
      </c>
      <c r="AF2024" s="14"/>
    </row>
    <row r="2025" spans="1:32" x14ac:dyDescent="0.3">
      <c r="A2025" s="23" t="s">
        <v>3660</v>
      </c>
      <c r="B2025" s="20" t="s">
        <v>6</v>
      </c>
      <c r="C2025" s="20" t="s">
        <v>89</v>
      </c>
      <c r="D2025" s="20" t="s">
        <v>8</v>
      </c>
      <c r="E2025" s="22">
        <v>165</v>
      </c>
      <c r="F2025" s="22">
        <v>4</v>
      </c>
      <c r="G2025" s="22">
        <v>8</v>
      </c>
      <c r="H2025" s="22"/>
      <c r="I2025" s="23" t="s">
        <v>9</v>
      </c>
      <c r="J2025" s="23"/>
      <c r="K2025" s="22"/>
      <c r="L2025" s="22"/>
      <c r="M2025" s="23"/>
      <c r="N2025" s="23"/>
      <c r="O2025" s="26" t="s">
        <v>3661</v>
      </c>
      <c r="P2025" s="26"/>
      <c r="Q2025" s="22"/>
      <c r="R2025" s="24"/>
      <c r="S2025" s="24"/>
      <c r="T2025" s="24"/>
      <c r="U2025" s="24"/>
      <c r="V2025" s="24"/>
      <c r="W2025" s="22" t="s">
        <v>160</v>
      </c>
      <c r="X2025" s="4" t="str">
        <f>IF(Tabela2[[#This Row],[sigla]]="","",VLOOKUP(Tabela2[[#This Row],[sigla]],créditos_base!B:C,2,0))</f>
        <v>SERGIO LIMA/ARQUIVO DA EDITORA</v>
      </c>
      <c r="Y2025" s="23"/>
      <c r="Z2025" s="23" t="str">
        <f>Tabela2[[#This Row],[ilustrador]]</f>
        <v>SERGIO LIMA/ARQUIVO DA EDITORA</v>
      </c>
      <c r="AA2025" s="22"/>
      <c r="AB2025" s="20"/>
      <c r="AD2025" s="4" t="str">
        <f>"Pitanguá"</f>
        <v>Pitanguá</v>
      </c>
      <c r="AE2025" s="14" t="str">
        <f>"Matemática"</f>
        <v>Matemática</v>
      </c>
      <c r="AF2025" s="14"/>
    </row>
    <row r="2026" spans="1:32" x14ac:dyDescent="0.3">
      <c r="A2026" s="23" t="s">
        <v>3662</v>
      </c>
      <c r="B2026" s="20" t="s">
        <v>6</v>
      </c>
      <c r="C2026" s="20" t="s">
        <v>89</v>
      </c>
      <c r="D2026" s="20" t="s">
        <v>8</v>
      </c>
      <c r="E2026" s="22">
        <v>165</v>
      </c>
      <c r="F2026" s="22">
        <v>4</v>
      </c>
      <c r="G2026" s="22">
        <v>8</v>
      </c>
      <c r="H2026" s="22"/>
      <c r="I2026" s="23" t="s">
        <v>9</v>
      </c>
      <c r="J2026" s="23"/>
      <c r="K2026" s="22"/>
      <c r="L2026" s="22"/>
      <c r="M2026" s="23"/>
      <c r="N2026" s="23"/>
      <c r="O2026" s="26" t="s">
        <v>3663</v>
      </c>
      <c r="P2026" s="26"/>
      <c r="Q2026" s="22"/>
      <c r="R2026" s="24"/>
      <c r="S2026" s="24"/>
      <c r="T2026" s="24"/>
      <c r="U2026" s="24"/>
      <c r="V2026" s="24"/>
      <c r="W2026" s="22" t="s">
        <v>160</v>
      </c>
      <c r="X2026" s="4" t="str">
        <f>IF(Tabela2[[#This Row],[sigla]]="","",VLOOKUP(Tabela2[[#This Row],[sigla]],créditos_base!B:C,2,0))</f>
        <v>SERGIO LIMA/ARQUIVO DA EDITORA</v>
      </c>
      <c r="Y2026" s="23"/>
      <c r="Z2026" s="23" t="str">
        <f>Tabela2[[#This Row],[ilustrador]]</f>
        <v>SERGIO LIMA/ARQUIVO DA EDITORA</v>
      </c>
      <c r="AA2026" s="22"/>
      <c r="AB2026" s="20"/>
      <c r="AD2026" s="4" t="str">
        <f>"Pitanguá"</f>
        <v>Pitanguá</v>
      </c>
      <c r="AE2026" s="14" t="str">
        <f>"Matemática"</f>
        <v>Matemática</v>
      </c>
      <c r="AF2026" s="14"/>
    </row>
    <row r="2027" spans="1:32" x14ac:dyDescent="0.3">
      <c r="A2027" s="23" t="s">
        <v>3664</v>
      </c>
      <c r="B2027" s="20" t="s">
        <v>16</v>
      </c>
      <c r="C2027" s="20" t="s">
        <v>89</v>
      </c>
      <c r="D2027" s="20" t="s">
        <v>8</v>
      </c>
      <c r="E2027" s="22">
        <v>166</v>
      </c>
      <c r="F2027" s="22">
        <v>4</v>
      </c>
      <c r="G2027" s="22">
        <v>8</v>
      </c>
      <c r="H2027" s="22"/>
      <c r="I2027" s="23" t="s">
        <v>9</v>
      </c>
      <c r="J2027" s="23"/>
      <c r="K2027" s="22"/>
      <c r="L2027" s="22"/>
      <c r="M2027" s="23"/>
      <c r="N2027" s="23"/>
      <c r="O2027" s="26" t="s">
        <v>3665</v>
      </c>
      <c r="P2027" s="26"/>
      <c r="Q2027" s="22"/>
      <c r="R2027" s="24"/>
      <c r="S2027" s="24"/>
      <c r="T2027" s="24"/>
      <c r="U2027" s="24"/>
      <c r="V2027" s="24"/>
      <c r="W2027" s="22" t="s">
        <v>940</v>
      </c>
      <c r="X2027" s="4" t="str">
        <f>IF(Tabela2[[#This Row],[sigla]]="","",VLOOKUP(Tabela2[[#This Row],[sigla]],créditos_base!B:C,2,0))</f>
        <v>RONALDO LUCENA/ARQUIVO DA EDITORA</v>
      </c>
      <c r="Y2027" s="23"/>
      <c r="Z2027" s="23" t="str">
        <f>Tabela2[[#This Row],[ilustrador]]</f>
        <v>RONALDO LUCENA/ARQUIVO DA EDITORA</v>
      </c>
      <c r="AA2027" s="22"/>
      <c r="AB2027" s="20"/>
      <c r="AD2027" s="4" t="str">
        <f>"Pitanguá"</f>
        <v>Pitanguá</v>
      </c>
      <c r="AE2027" s="14" t="str">
        <f>"Matemática"</f>
        <v>Matemática</v>
      </c>
      <c r="AF2027" s="14"/>
    </row>
    <row r="2028" spans="1:32" ht="28.8" x14ac:dyDescent="0.3">
      <c r="A2028" s="23" t="s">
        <v>3666</v>
      </c>
      <c r="B2028" s="20" t="s">
        <v>16</v>
      </c>
      <c r="C2028" s="20" t="s">
        <v>89</v>
      </c>
      <c r="D2028" s="20" t="s">
        <v>8</v>
      </c>
      <c r="E2028" s="22">
        <v>166</v>
      </c>
      <c r="F2028" s="22">
        <v>4</v>
      </c>
      <c r="G2028" s="22">
        <v>8</v>
      </c>
      <c r="H2028" s="22"/>
      <c r="I2028" s="23" t="s">
        <v>9</v>
      </c>
      <c r="J2028" s="23"/>
      <c r="K2028" s="22"/>
      <c r="L2028" s="22"/>
      <c r="M2028" s="23"/>
      <c r="N2028" s="23"/>
      <c r="O2028" s="26" t="s">
        <v>3667</v>
      </c>
      <c r="P2028" s="26"/>
      <c r="Q2028" s="22"/>
      <c r="R2028" s="24"/>
      <c r="S2028" s="24"/>
      <c r="T2028" s="24"/>
      <c r="U2028" s="24"/>
      <c r="V2028" s="24"/>
      <c r="W2028" s="22" t="s">
        <v>940</v>
      </c>
      <c r="X2028" s="4" t="str">
        <f>IF(Tabela2[[#This Row],[sigla]]="","",VLOOKUP(Tabela2[[#This Row],[sigla]],créditos_base!B:C,2,0))</f>
        <v>RONALDO LUCENA/ARQUIVO DA EDITORA</v>
      </c>
      <c r="Y2028" s="23"/>
      <c r="Z2028" s="23" t="str">
        <f>Tabela2[[#This Row],[ilustrador]]</f>
        <v>RONALDO LUCENA/ARQUIVO DA EDITORA</v>
      </c>
      <c r="AA2028" s="22"/>
      <c r="AB2028" s="20"/>
      <c r="AD2028" s="4" t="str">
        <f>"Pitanguá"</f>
        <v>Pitanguá</v>
      </c>
      <c r="AE2028" s="14" t="str">
        <f>"Matemática"</f>
        <v>Matemática</v>
      </c>
      <c r="AF2028" s="14"/>
    </row>
    <row r="2029" spans="1:32" ht="43.2" x14ac:dyDescent="0.3">
      <c r="A2029" s="23" t="s">
        <v>3668</v>
      </c>
      <c r="B2029" s="20" t="s">
        <v>16</v>
      </c>
      <c r="C2029" s="20" t="s">
        <v>89</v>
      </c>
      <c r="D2029" s="20" t="s">
        <v>8</v>
      </c>
      <c r="E2029" s="22">
        <v>166</v>
      </c>
      <c r="F2029" s="22">
        <v>4</v>
      </c>
      <c r="G2029" s="22">
        <v>8</v>
      </c>
      <c r="H2029" s="22"/>
      <c r="I2029" s="23" t="s">
        <v>9</v>
      </c>
      <c r="J2029" s="23"/>
      <c r="K2029" s="22"/>
      <c r="L2029" s="22"/>
      <c r="M2029" s="23"/>
      <c r="N2029" s="23"/>
      <c r="O2029" s="26" t="s">
        <v>3669</v>
      </c>
      <c r="P2029" s="26"/>
      <c r="Q2029" s="22"/>
      <c r="R2029" s="24"/>
      <c r="S2029" s="24"/>
      <c r="T2029" s="24"/>
      <c r="U2029" s="24"/>
      <c r="V2029" s="24"/>
      <c r="W2029" s="22" t="s">
        <v>940</v>
      </c>
      <c r="X2029" s="4" t="str">
        <f>IF(Tabela2[[#This Row],[sigla]]="","",VLOOKUP(Tabela2[[#This Row],[sigla]],créditos_base!B:C,2,0))</f>
        <v>RONALDO LUCENA/ARQUIVO DA EDITORA</v>
      </c>
      <c r="Y2029" s="23"/>
      <c r="Z2029" s="23" t="str">
        <f>Tabela2[[#This Row],[ilustrador]]</f>
        <v>RONALDO LUCENA/ARQUIVO DA EDITORA</v>
      </c>
      <c r="AA2029" s="22"/>
      <c r="AB2029" s="20"/>
      <c r="AD2029" s="4" t="str">
        <f>"Pitanguá"</f>
        <v>Pitanguá</v>
      </c>
      <c r="AE2029" s="14" t="str">
        <f>"Matemática"</f>
        <v>Matemática</v>
      </c>
      <c r="AF2029" s="14"/>
    </row>
    <row r="2030" spans="1:32" ht="28.8" x14ac:dyDescent="0.3">
      <c r="A2030" s="23" t="s">
        <v>2483</v>
      </c>
      <c r="B2030" s="20" t="s">
        <v>16</v>
      </c>
      <c r="C2030" s="20" t="s">
        <v>7</v>
      </c>
      <c r="D2030" s="20" t="s">
        <v>8</v>
      </c>
      <c r="E2030" s="22">
        <v>182</v>
      </c>
      <c r="F2030" s="22">
        <v>3</v>
      </c>
      <c r="G2030" s="22">
        <v>8</v>
      </c>
      <c r="H2030" s="22"/>
      <c r="I2030" s="23" t="s">
        <v>9</v>
      </c>
      <c r="J2030" s="23"/>
      <c r="K2030" s="22"/>
      <c r="L2030" s="22"/>
      <c r="M2030" s="23"/>
      <c r="N2030" s="23"/>
      <c r="O2030" s="26" t="s">
        <v>2484</v>
      </c>
      <c r="P2030" s="26"/>
      <c r="Q2030" s="22"/>
      <c r="R2030" s="24"/>
      <c r="S2030" s="24"/>
      <c r="T2030" s="24"/>
      <c r="U2030" s="24"/>
      <c r="V2030" s="24"/>
      <c r="W2030" s="22" t="s">
        <v>12</v>
      </c>
      <c r="X2030" s="4" t="str">
        <f>IF(Tabela2[[#This Row],[sigla]]="","",VLOOKUP(Tabela2[[#This Row],[sigla]],créditos_base!B:C,2,0))</f>
        <v>JORGE ZAIBA/ARQUIVO DA EDITORA</v>
      </c>
      <c r="Y2030" s="23"/>
      <c r="Z2030" s="23" t="str">
        <f>Tabela2[[#This Row],[ilustrador]]</f>
        <v>JORGE ZAIBA/ARQUIVO DA EDITORA</v>
      </c>
      <c r="AA2030" s="22"/>
      <c r="AB2030" s="20"/>
      <c r="AD2030" s="4" t="str">
        <f>"Pitanguá"</f>
        <v>Pitanguá</v>
      </c>
      <c r="AE2030" s="14" t="str">
        <f>"Matemática"</f>
        <v>Matemática</v>
      </c>
      <c r="AF2030" s="14"/>
    </row>
    <row r="2031" spans="1:32" ht="28.8" x14ac:dyDescent="0.3">
      <c r="A2031" s="23" t="s">
        <v>3670</v>
      </c>
      <c r="B2031" s="20" t="s">
        <v>16</v>
      </c>
      <c r="C2031" s="20" t="s">
        <v>7</v>
      </c>
      <c r="D2031" s="20" t="s">
        <v>8</v>
      </c>
      <c r="E2031" s="22">
        <v>167</v>
      </c>
      <c r="F2031" s="22">
        <v>4</v>
      </c>
      <c r="G2031" s="22">
        <v>8</v>
      </c>
      <c r="H2031" s="22"/>
      <c r="I2031" s="23" t="s">
        <v>9</v>
      </c>
      <c r="J2031" s="23"/>
      <c r="K2031" s="22"/>
      <c r="L2031" s="22"/>
      <c r="M2031" s="23"/>
      <c r="N2031" s="23"/>
      <c r="O2031" s="20" t="s">
        <v>3671</v>
      </c>
      <c r="P2031" s="26"/>
      <c r="Q2031" s="22"/>
      <c r="R2031" s="24"/>
      <c r="S2031" s="24"/>
      <c r="T2031" s="24"/>
      <c r="U2031" s="24"/>
      <c r="V2031" s="24"/>
      <c r="W2031" s="22" t="s">
        <v>160</v>
      </c>
      <c r="X2031" s="4" t="str">
        <f>IF(Tabela2[[#This Row],[sigla]]="","",VLOOKUP(Tabela2[[#This Row],[sigla]],créditos_base!B:C,2,0))</f>
        <v>SERGIO LIMA/ARQUIVO DA EDITORA</v>
      </c>
      <c r="Y2031" s="23"/>
      <c r="Z2031" s="23" t="str">
        <f>Tabela2[[#This Row],[ilustrador]]</f>
        <v>SERGIO LIMA/ARQUIVO DA EDITORA</v>
      </c>
      <c r="AA2031" s="22"/>
      <c r="AB2031" s="20"/>
      <c r="AD2031" s="4" t="str">
        <f>"Pitanguá"</f>
        <v>Pitanguá</v>
      </c>
      <c r="AE2031" s="14" t="str">
        <f>"Matemática"</f>
        <v>Matemática</v>
      </c>
      <c r="AF2031" s="14"/>
    </row>
    <row r="2032" spans="1:32" ht="28.8" x14ac:dyDescent="0.3">
      <c r="A2032" s="23" t="s">
        <v>2485</v>
      </c>
      <c r="B2032" s="20" t="s">
        <v>16</v>
      </c>
      <c r="C2032" s="20" t="s">
        <v>7</v>
      </c>
      <c r="D2032" s="20" t="s">
        <v>8</v>
      </c>
      <c r="E2032" s="22">
        <v>183</v>
      </c>
      <c r="F2032" s="22">
        <v>3</v>
      </c>
      <c r="G2032" s="22">
        <v>8</v>
      </c>
      <c r="H2032" s="22"/>
      <c r="I2032" s="23" t="s">
        <v>9</v>
      </c>
      <c r="J2032" s="23"/>
      <c r="K2032" s="22"/>
      <c r="L2032" s="22"/>
      <c r="M2032" s="23"/>
      <c r="N2032" s="23"/>
      <c r="O2032" s="26" t="s">
        <v>2486</v>
      </c>
      <c r="P2032" s="26"/>
      <c r="Q2032" s="22"/>
      <c r="R2032" s="24"/>
      <c r="S2032" s="24"/>
      <c r="T2032" s="24"/>
      <c r="U2032" s="24"/>
      <c r="V2032" s="24"/>
      <c r="W2032" s="22" t="s">
        <v>12</v>
      </c>
      <c r="X2032" s="4" t="str">
        <f>IF(Tabela2[[#This Row],[sigla]]="","",VLOOKUP(Tabela2[[#This Row],[sigla]],créditos_base!B:C,2,0))</f>
        <v>JORGE ZAIBA/ARQUIVO DA EDITORA</v>
      </c>
      <c r="Y2032" s="23"/>
      <c r="Z2032" s="23" t="str">
        <f>Tabela2[[#This Row],[ilustrador]]</f>
        <v>JORGE ZAIBA/ARQUIVO DA EDITORA</v>
      </c>
      <c r="AA2032" s="22"/>
      <c r="AB2032" s="20"/>
      <c r="AD2032" s="4" t="str">
        <f>"Pitanguá"</f>
        <v>Pitanguá</v>
      </c>
      <c r="AE2032" s="14" t="str">
        <f>"Matemática"</f>
        <v>Matemática</v>
      </c>
      <c r="AF2032" s="14"/>
    </row>
    <row r="2033" spans="1:32" ht="28.8" x14ac:dyDescent="0.3">
      <c r="A2033" s="23" t="s">
        <v>3672</v>
      </c>
      <c r="B2033" s="20" t="s">
        <v>16</v>
      </c>
      <c r="C2033" s="20" t="s">
        <v>7</v>
      </c>
      <c r="D2033" s="20" t="s">
        <v>8</v>
      </c>
      <c r="E2033" s="22">
        <v>167</v>
      </c>
      <c r="F2033" s="22">
        <v>4</v>
      </c>
      <c r="G2033" s="22">
        <v>8</v>
      </c>
      <c r="H2033" s="22"/>
      <c r="I2033" s="23" t="s">
        <v>9</v>
      </c>
      <c r="J2033" s="23"/>
      <c r="K2033" s="22"/>
      <c r="L2033" s="22"/>
      <c r="M2033" s="23"/>
      <c r="N2033" s="23"/>
      <c r="O2033" s="26" t="s">
        <v>3673</v>
      </c>
      <c r="P2033" s="26"/>
      <c r="Q2033" s="22"/>
      <c r="R2033" s="24"/>
      <c r="S2033" s="24"/>
      <c r="T2033" s="24"/>
      <c r="U2033" s="24"/>
      <c r="V2033" s="24"/>
      <c r="W2033" s="22" t="s">
        <v>160</v>
      </c>
      <c r="X2033" s="4" t="str">
        <f>IF(Tabela2[[#This Row],[sigla]]="","",VLOOKUP(Tabela2[[#This Row],[sigla]],créditos_base!B:C,2,0))</f>
        <v>SERGIO LIMA/ARQUIVO DA EDITORA</v>
      </c>
      <c r="Y2033" s="23"/>
      <c r="Z2033" s="23" t="str">
        <f>Tabela2[[#This Row],[ilustrador]]</f>
        <v>SERGIO LIMA/ARQUIVO DA EDITORA</v>
      </c>
      <c r="AA2033" s="22"/>
      <c r="AB2033" s="20"/>
      <c r="AD2033" s="4" t="str">
        <f>"Pitanguá"</f>
        <v>Pitanguá</v>
      </c>
      <c r="AE2033" s="14" t="str">
        <f>"Matemática"</f>
        <v>Matemática</v>
      </c>
      <c r="AF2033" s="14"/>
    </row>
    <row r="2034" spans="1:32" ht="43.2" x14ac:dyDescent="0.3">
      <c r="A2034" s="23" t="s">
        <v>2487</v>
      </c>
      <c r="B2034" s="20" t="s">
        <v>16</v>
      </c>
      <c r="C2034" s="20" t="s">
        <v>7</v>
      </c>
      <c r="D2034" s="20" t="s">
        <v>8</v>
      </c>
      <c r="E2034" s="22">
        <v>183</v>
      </c>
      <c r="F2034" s="22">
        <v>3</v>
      </c>
      <c r="G2034" s="22">
        <v>8</v>
      </c>
      <c r="H2034" s="22"/>
      <c r="I2034" s="23" t="s">
        <v>9</v>
      </c>
      <c r="J2034" s="23"/>
      <c r="K2034" s="22"/>
      <c r="L2034" s="22"/>
      <c r="M2034" s="23"/>
      <c r="N2034" s="23"/>
      <c r="O2034" s="26" t="s">
        <v>2488</v>
      </c>
      <c r="P2034" s="26"/>
      <c r="Q2034" s="22"/>
      <c r="R2034" s="24"/>
      <c r="S2034" s="24"/>
      <c r="T2034" s="24"/>
      <c r="U2034" s="24"/>
      <c r="V2034" s="24"/>
      <c r="W2034" s="22" t="s">
        <v>2482</v>
      </c>
      <c r="X2034" s="4" t="str">
        <f>IF(Tabela2[[#This Row],[sigla]]="","",VLOOKUP(Tabela2[[#This Row],[sigla]],créditos_base!B:C,2,0))</f>
        <v>ARIEL FAJTLOWICZ/ARQUIVO DA EDITORA</v>
      </c>
      <c r="Y2034" s="23"/>
      <c r="Z2034" s="23" t="str">
        <f>Tabela2[[#This Row],[ilustrador]]</f>
        <v>ARIEL FAJTLOWICZ/ARQUIVO DA EDITORA</v>
      </c>
      <c r="AA2034" s="22"/>
      <c r="AB2034" s="20"/>
      <c r="AD2034" s="4" t="str">
        <f>"Pitanguá"</f>
        <v>Pitanguá</v>
      </c>
      <c r="AE2034" s="14" t="str">
        <f>"Matemática"</f>
        <v>Matemática</v>
      </c>
      <c r="AF2034" s="14"/>
    </row>
    <row r="2035" spans="1:32" ht="28.8" x14ac:dyDescent="0.3">
      <c r="A2035" s="23" t="s">
        <v>3674</v>
      </c>
      <c r="B2035" s="20" t="s">
        <v>16</v>
      </c>
      <c r="C2035" s="20" t="s">
        <v>7</v>
      </c>
      <c r="D2035" s="20" t="s">
        <v>8</v>
      </c>
      <c r="E2035" s="22">
        <v>167</v>
      </c>
      <c r="F2035" s="22">
        <v>4</v>
      </c>
      <c r="G2035" s="22">
        <v>8</v>
      </c>
      <c r="H2035" s="22"/>
      <c r="I2035" s="23" t="s">
        <v>9</v>
      </c>
      <c r="J2035" s="23"/>
      <c r="K2035" s="22"/>
      <c r="L2035" s="22"/>
      <c r="M2035" s="23"/>
      <c r="N2035" s="23"/>
      <c r="O2035" s="26" t="s">
        <v>3675</v>
      </c>
      <c r="P2035" s="26"/>
      <c r="Q2035" s="22"/>
      <c r="R2035" s="24"/>
      <c r="S2035" s="24"/>
      <c r="T2035" s="24"/>
      <c r="U2035" s="24"/>
      <c r="V2035" s="24"/>
      <c r="W2035" s="22" t="s">
        <v>160</v>
      </c>
      <c r="X2035" s="4" t="str">
        <f>IF(Tabela2[[#This Row],[sigla]]="","",VLOOKUP(Tabela2[[#This Row],[sigla]],créditos_base!B:C,2,0))</f>
        <v>SERGIO LIMA/ARQUIVO DA EDITORA</v>
      </c>
      <c r="Y2035" s="23"/>
      <c r="Z2035" s="23" t="str">
        <f>Tabela2[[#This Row],[ilustrador]]</f>
        <v>SERGIO LIMA/ARQUIVO DA EDITORA</v>
      </c>
      <c r="AA2035" s="22"/>
      <c r="AB2035" s="20"/>
      <c r="AD2035" s="4" t="str">
        <f>"Pitanguá"</f>
        <v>Pitanguá</v>
      </c>
      <c r="AE2035" s="14" t="str">
        <f>"Matemática"</f>
        <v>Matemática</v>
      </c>
      <c r="AF2035" s="14"/>
    </row>
    <row r="2036" spans="1:32" ht="28.8" x14ac:dyDescent="0.3">
      <c r="A2036" s="23" t="s">
        <v>3676</v>
      </c>
      <c r="B2036" s="20" t="s">
        <v>16</v>
      </c>
      <c r="C2036" s="20" t="s">
        <v>7</v>
      </c>
      <c r="D2036" s="20" t="s">
        <v>8</v>
      </c>
      <c r="E2036" s="22">
        <v>167</v>
      </c>
      <c r="F2036" s="22">
        <v>4</v>
      </c>
      <c r="G2036" s="22">
        <v>8</v>
      </c>
      <c r="H2036" s="22"/>
      <c r="I2036" s="23" t="s">
        <v>9</v>
      </c>
      <c r="J2036" s="23"/>
      <c r="K2036" s="22"/>
      <c r="L2036" s="22"/>
      <c r="M2036" s="23"/>
      <c r="N2036" s="23"/>
      <c r="O2036" s="26" t="s">
        <v>3677</v>
      </c>
      <c r="P2036" s="26"/>
      <c r="Q2036" s="22"/>
      <c r="R2036" s="24"/>
      <c r="S2036" s="24"/>
      <c r="T2036" s="24"/>
      <c r="U2036" s="24"/>
      <c r="V2036" s="24"/>
      <c r="W2036" s="22" t="s">
        <v>160</v>
      </c>
      <c r="X2036" s="4" t="str">
        <f>IF(Tabela2[[#This Row],[sigla]]="","",VLOOKUP(Tabela2[[#This Row],[sigla]],créditos_base!B:C,2,0))</f>
        <v>SERGIO LIMA/ARQUIVO DA EDITORA</v>
      </c>
      <c r="Y2036" s="23"/>
      <c r="Z2036" s="23" t="str">
        <f>Tabela2[[#This Row],[ilustrador]]</f>
        <v>SERGIO LIMA/ARQUIVO DA EDITORA</v>
      </c>
      <c r="AA2036" s="22"/>
      <c r="AB2036" s="20"/>
      <c r="AD2036" s="4" t="str">
        <f>"Pitanguá"</f>
        <v>Pitanguá</v>
      </c>
      <c r="AE2036" s="14" t="str">
        <f>"Matemática"</f>
        <v>Matemática</v>
      </c>
      <c r="AF2036" s="14"/>
    </row>
    <row r="2037" spans="1:32" x14ac:dyDescent="0.3">
      <c r="A2037" s="23" t="s">
        <v>4884</v>
      </c>
      <c r="B2037" s="20" t="s">
        <v>16</v>
      </c>
      <c r="C2037" s="20" t="s">
        <v>89</v>
      </c>
      <c r="D2037" s="20" t="s">
        <v>8</v>
      </c>
      <c r="E2037" s="22">
        <v>196</v>
      </c>
      <c r="F2037" s="22">
        <v>3</v>
      </c>
      <c r="G2037" s="22">
        <v>8</v>
      </c>
      <c r="H2037" s="22"/>
      <c r="I2037" s="23" t="s">
        <v>90</v>
      </c>
      <c r="J2037" s="23"/>
      <c r="K2037" s="22"/>
      <c r="L2037" s="22"/>
      <c r="M2037" s="23"/>
      <c r="N2037" s="23"/>
      <c r="O2037" s="26" t="s">
        <v>4885</v>
      </c>
      <c r="P2037" s="26"/>
      <c r="Q2037" s="22">
        <v>87</v>
      </c>
      <c r="R2037" s="24">
        <v>45838</v>
      </c>
      <c r="S2037" s="24">
        <v>45839</v>
      </c>
      <c r="T2037" s="24"/>
      <c r="U2037" s="24"/>
      <c r="V2037" s="24">
        <v>45847</v>
      </c>
      <c r="W2037" s="22" t="s">
        <v>72</v>
      </c>
      <c r="X2037" s="4" t="str">
        <f>IF(Tabela2[[#This Row],[sigla]]="","",VLOOKUP(Tabela2[[#This Row],[sigla]],créditos_base!B:C,2,0))</f>
        <v>HELOÍSA PINTARELLI/ARQUIVO DA EDITORA</v>
      </c>
      <c r="Y2037" s="23"/>
      <c r="Z2037" s="23" t="str">
        <f>Tabela2[[#This Row],[ilustrador]]</f>
        <v>HELOÍSA PINTARELLI/ARQUIVO DA EDITORA</v>
      </c>
      <c r="AA2037" s="22">
        <v>6</v>
      </c>
      <c r="AB2037" s="20" t="s">
        <v>4886</v>
      </c>
      <c r="AC2037" s="20" t="s">
        <v>310</v>
      </c>
      <c r="AD2037" s="4" t="str">
        <f>"Pitanguá"</f>
        <v>Pitanguá</v>
      </c>
      <c r="AE2037" s="14" t="str">
        <f>"Matemática"</f>
        <v>Matemática</v>
      </c>
      <c r="AF2037" s="14"/>
    </row>
    <row r="2038" spans="1:32" ht="28.8" x14ac:dyDescent="0.3">
      <c r="A2038" s="23" t="s">
        <v>3678</v>
      </c>
      <c r="B2038" s="20" t="s">
        <v>16</v>
      </c>
      <c r="C2038" s="20" t="s">
        <v>89</v>
      </c>
      <c r="D2038" s="20" t="s">
        <v>8</v>
      </c>
      <c r="E2038" s="22">
        <v>167</v>
      </c>
      <c r="F2038" s="22">
        <v>4</v>
      </c>
      <c r="G2038" s="22">
        <v>8</v>
      </c>
      <c r="H2038" s="22"/>
      <c r="I2038" s="23" t="s">
        <v>9</v>
      </c>
      <c r="J2038" s="23"/>
      <c r="K2038" s="22"/>
      <c r="L2038" s="22"/>
      <c r="M2038" s="23"/>
      <c r="N2038" s="23"/>
      <c r="O2038" s="20" t="s">
        <v>3679</v>
      </c>
      <c r="P2038" s="26"/>
      <c r="Q2038" s="22"/>
      <c r="R2038" s="24"/>
      <c r="S2038" s="24"/>
      <c r="T2038" s="24"/>
      <c r="U2038" s="24"/>
      <c r="V2038" s="24"/>
      <c r="W2038" s="22" t="s">
        <v>160</v>
      </c>
      <c r="X2038" s="4" t="str">
        <f>IF(Tabela2[[#This Row],[sigla]]="","",VLOOKUP(Tabela2[[#This Row],[sigla]],créditos_base!B:C,2,0))</f>
        <v>SERGIO LIMA/ARQUIVO DA EDITORA</v>
      </c>
      <c r="Y2038" s="23"/>
      <c r="Z2038" s="23" t="str">
        <f>Tabela2[[#This Row],[ilustrador]]</f>
        <v>SERGIO LIMA/ARQUIVO DA EDITORA</v>
      </c>
      <c r="AA2038" s="22"/>
      <c r="AB2038" s="20"/>
      <c r="AD2038" s="4" t="str">
        <f>"Pitanguá"</f>
        <v>Pitanguá</v>
      </c>
      <c r="AE2038" s="14" t="str">
        <f>"Matemática"</f>
        <v>Matemática</v>
      </c>
      <c r="AF2038" s="14"/>
    </row>
    <row r="2039" spans="1:32" ht="28.8" x14ac:dyDescent="0.3">
      <c r="A2039" s="23" t="s">
        <v>3680</v>
      </c>
      <c r="B2039" s="20" t="s">
        <v>16</v>
      </c>
      <c r="C2039" s="20" t="s">
        <v>7</v>
      </c>
      <c r="D2039" s="20" t="s">
        <v>8</v>
      </c>
      <c r="E2039" s="22">
        <v>167</v>
      </c>
      <c r="F2039" s="22">
        <v>4</v>
      </c>
      <c r="G2039" s="22">
        <v>8</v>
      </c>
      <c r="H2039" s="22"/>
      <c r="I2039" s="23" t="s">
        <v>33</v>
      </c>
      <c r="J2039" s="23"/>
      <c r="K2039" s="22"/>
      <c r="L2039" s="22"/>
      <c r="M2039" s="23"/>
      <c r="N2039" s="23"/>
      <c r="O2039" s="26" t="s">
        <v>3681</v>
      </c>
      <c r="P2039" s="26"/>
      <c r="Q2039" s="22">
        <v>189</v>
      </c>
      <c r="R2039" s="24">
        <v>45912</v>
      </c>
      <c r="S2039" s="24">
        <v>45912</v>
      </c>
      <c r="T2039" s="24"/>
      <c r="U2039" s="24"/>
      <c r="V2039" s="24">
        <v>45912</v>
      </c>
      <c r="W2039" s="22" t="s">
        <v>160</v>
      </c>
      <c r="X2039" s="4" t="str">
        <f>IF(Tabela2[[#This Row],[sigla]]="","",VLOOKUP(Tabela2[[#This Row],[sigla]],créditos_base!B:C,2,0))</f>
        <v>SERGIO LIMA/ARQUIVO DA EDITORA</v>
      </c>
      <c r="Y2039" s="23" t="s">
        <v>813</v>
      </c>
      <c r="Z2039" s="23" t="str">
        <f>Tabela2[[#This Row],[ilustrador]]</f>
        <v>SERGIO LIMA/ARQUIVO DA EDITORA</v>
      </c>
      <c r="AA2039" s="22">
        <v>13</v>
      </c>
      <c r="AB2039" s="20" t="s">
        <v>525</v>
      </c>
      <c r="AC2039" s="20" t="s">
        <v>36</v>
      </c>
      <c r="AD2039" s="4" t="str">
        <f>"Pitanguá"</f>
        <v>Pitanguá</v>
      </c>
      <c r="AE2039" s="14" t="str">
        <f>"Matemática"</f>
        <v>Matemática</v>
      </c>
      <c r="AF2039" s="14"/>
    </row>
    <row r="2040" spans="1:32" ht="28.8" x14ac:dyDescent="0.3">
      <c r="A2040" s="23" t="s">
        <v>2390</v>
      </c>
      <c r="B2040" s="20" t="s">
        <v>16</v>
      </c>
      <c r="C2040" s="20" t="s">
        <v>89</v>
      </c>
      <c r="D2040" s="20" t="s">
        <v>8</v>
      </c>
      <c r="E2040" s="22">
        <v>193</v>
      </c>
      <c r="F2040" s="22">
        <v>1</v>
      </c>
      <c r="G2040" s="22">
        <v>8</v>
      </c>
      <c r="H2040" s="22"/>
      <c r="I2040" s="23" t="s">
        <v>90</v>
      </c>
      <c r="J2040" s="23"/>
      <c r="K2040" s="22"/>
      <c r="L2040" s="22"/>
      <c r="M2040" s="23"/>
      <c r="N2040" s="23"/>
      <c r="O2040" s="26" t="s">
        <v>2391</v>
      </c>
      <c r="P2040" s="26"/>
      <c r="Q2040" s="22">
        <v>32</v>
      </c>
      <c r="R2040" s="24">
        <v>45761</v>
      </c>
      <c r="S2040" s="24">
        <v>45763</v>
      </c>
      <c r="T2040" s="24">
        <v>45770</v>
      </c>
      <c r="U2040" s="24">
        <v>45770</v>
      </c>
      <c r="V2040" s="24">
        <v>45772</v>
      </c>
      <c r="W2040" s="22" t="s">
        <v>31</v>
      </c>
      <c r="X2040" s="4" t="str">
        <f>IF(Tabela2[[#This Row],[sigla]]="","",VLOOKUP(Tabela2[[#This Row],[sigla]],créditos_base!B:C,2,0))</f>
        <v>SILVIA OTOFUJI/ARQUIVO DA EDITORA</v>
      </c>
      <c r="Y2040" s="23"/>
      <c r="Z2040" s="23" t="str">
        <f>Tabela2[[#This Row],[ilustrador]]</f>
        <v>SILVIA OTOFUJI/ARQUIVO DA EDITORA</v>
      </c>
      <c r="AA2040" s="22">
        <v>8</v>
      </c>
      <c r="AB2040" s="20" t="s">
        <v>2392</v>
      </c>
      <c r="AC2040" s="20" t="s">
        <v>310</v>
      </c>
      <c r="AD2040" s="4" t="str">
        <f>"Pitanguá"</f>
        <v>Pitanguá</v>
      </c>
      <c r="AE2040" s="14" t="str">
        <f>"Matemática"</f>
        <v>Matemática</v>
      </c>
      <c r="AF2040" s="14"/>
    </row>
    <row r="2041" spans="1:32" ht="28.8" x14ac:dyDescent="0.3">
      <c r="A2041" s="23" t="s">
        <v>3682</v>
      </c>
      <c r="B2041" s="20" t="s">
        <v>16</v>
      </c>
      <c r="C2041" s="20" t="s">
        <v>89</v>
      </c>
      <c r="D2041" s="20" t="s">
        <v>8</v>
      </c>
      <c r="E2041" s="22">
        <v>167</v>
      </c>
      <c r="F2041" s="22">
        <v>4</v>
      </c>
      <c r="G2041" s="22">
        <v>8</v>
      </c>
      <c r="H2041" s="22"/>
      <c r="I2041" s="23" t="s">
        <v>9</v>
      </c>
      <c r="J2041" s="23"/>
      <c r="K2041" s="22"/>
      <c r="L2041" s="22"/>
      <c r="M2041" s="23"/>
      <c r="N2041" s="23"/>
      <c r="O2041" s="26" t="s">
        <v>3683</v>
      </c>
      <c r="P2041" s="26"/>
      <c r="Q2041" s="22"/>
      <c r="R2041" s="24"/>
      <c r="S2041" s="24"/>
      <c r="T2041" s="24"/>
      <c r="U2041" s="24"/>
      <c r="V2041" s="24"/>
      <c r="W2041" s="22" t="s">
        <v>160</v>
      </c>
      <c r="X2041" s="4" t="str">
        <f>IF(Tabela2[[#This Row],[sigla]]="","",VLOOKUP(Tabela2[[#This Row],[sigla]],créditos_base!B:C,2,0))</f>
        <v>SERGIO LIMA/ARQUIVO DA EDITORA</v>
      </c>
      <c r="Y2041" s="23"/>
      <c r="Z2041" s="23" t="str">
        <f>Tabela2[[#This Row],[ilustrador]]</f>
        <v>SERGIO LIMA/ARQUIVO DA EDITORA</v>
      </c>
      <c r="AA2041" s="22"/>
      <c r="AB2041" s="20"/>
      <c r="AD2041" s="4" t="str">
        <f>"Pitanguá"</f>
        <v>Pitanguá</v>
      </c>
      <c r="AE2041" s="14" t="str">
        <f>"Matemática"</f>
        <v>Matemática</v>
      </c>
      <c r="AF2041" s="14"/>
    </row>
    <row r="2042" spans="1:32" ht="28.8" x14ac:dyDescent="0.3">
      <c r="A2042" s="23" t="s">
        <v>2393</v>
      </c>
      <c r="B2042" s="20" t="s">
        <v>16</v>
      </c>
      <c r="C2042" s="20" t="s">
        <v>89</v>
      </c>
      <c r="D2042" s="20" t="s">
        <v>8</v>
      </c>
      <c r="E2042" s="22">
        <v>193</v>
      </c>
      <c r="F2042" s="22">
        <v>1</v>
      </c>
      <c r="G2042" s="22">
        <v>8</v>
      </c>
      <c r="H2042" s="22"/>
      <c r="I2042" s="23" t="s">
        <v>90</v>
      </c>
      <c r="J2042" s="23"/>
      <c r="K2042" s="22"/>
      <c r="L2042" s="22"/>
      <c r="M2042" s="23"/>
      <c r="N2042" s="23"/>
      <c r="O2042" s="26" t="s">
        <v>2391</v>
      </c>
      <c r="P2042" s="26"/>
      <c r="Q2042" s="22">
        <v>32</v>
      </c>
      <c r="R2042" s="24">
        <v>45761</v>
      </c>
      <c r="S2042" s="24">
        <v>45763</v>
      </c>
      <c r="T2042" s="24">
        <v>45770</v>
      </c>
      <c r="U2042" s="24">
        <v>45770</v>
      </c>
      <c r="V2042" s="24">
        <v>45772</v>
      </c>
      <c r="W2042" s="22" t="s">
        <v>31</v>
      </c>
      <c r="X2042" s="4" t="str">
        <f>IF(Tabela2[[#This Row],[sigla]]="","",VLOOKUP(Tabela2[[#This Row],[sigla]],créditos_base!B:C,2,0))</f>
        <v>SILVIA OTOFUJI/ARQUIVO DA EDITORA</v>
      </c>
      <c r="Y2042" s="23"/>
      <c r="Z2042" s="23" t="str">
        <f>Tabela2[[#This Row],[ilustrador]]</f>
        <v>SILVIA OTOFUJI/ARQUIVO DA EDITORA</v>
      </c>
      <c r="AA2042" s="22">
        <v>8</v>
      </c>
      <c r="AB2042" s="20" t="s">
        <v>2392</v>
      </c>
      <c r="AC2042" s="20" t="s">
        <v>310</v>
      </c>
      <c r="AD2042" s="4" t="str">
        <f>"Pitanguá"</f>
        <v>Pitanguá</v>
      </c>
      <c r="AE2042" s="14" t="str">
        <f>"Matemática"</f>
        <v>Matemática</v>
      </c>
      <c r="AF2042" s="14"/>
    </row>
    <row r="2043" spans="1:32" ht="43.2" x14ac:dyDescent="0.3">
      <c r="A2043" s="23" t="s">
        <v>4891</v>
      </c>
      <c r="B2043" s="20" t="s">
        <v>6</v>
      </c>
      <c r="C2043" s="20" t="s">
        <v>89</v>
      </c>
      <c r="D2043" s="20" t="s">
        <v>8</v>
      </c>
      <c r="E2043" s="22">
        <v>209</v>
      </c>
      <c r="F2043" s="22">
        <v>3</v>
      </c>
      <c r="G2043" s="22">
        <v>8</v>
      </c>
      <c r="H2043" s="22"/>
      <c r="I2043" s="23" t="s">
        <v>90</v>
      </c>
      <c r="J2043" s="23"/>
      <c r="K2043" s="22"/>
      <c r="L2043" s="22"/>
      <c r="M2043" s="23"/>
      <c r="N2043" s="23"/>
      <c r="O2043" s="26" t="s">
        <v>4892</v>
      </c>
      <c r="P2043" s="26"/>
      <c r="Q2043" s="22">
        <v>87</v>
      </c>
      <c r="R2043" s="24">
        <v>45838</v>
      </c>
      <c r="S2043" s="24">
        <v>45839</v>
      </c>
      <c r="T2043" s="24"/>
      <c r="U2043" s="24"/>
      <c r="V2043" s="24">
        <v>45841</v>
      </c>
      <c r="W2043" s="22" t="s">
        <v>468</v>
      </c>
      <c r="X2043" s="4" t="str">
        <f>IF(Tabela2[[#This Row],[sigla]]="","",VLOOKUP(Tabela2[[#This Row],[sigla]],créditos_base!B:C,2,0))</f>
        <v>VER DOCUMENTO DE ILS. TÉCNICAS</v>
      </c>
      <c r="Y2043" s="23" t="s">
        <v>4893</v>
      </c>
      <c r="Z2043" s="32" t="s">
        <v>661</v>
      </c>
      <c r="AA2043" s="22">
        <v>8</v>
      </c>
      <c r="AB2043" s="20" t="s">
        <v>4886</v>
      </c>
      <c r="AC2043" s="20" t="s">
        <v>310</v>
      </c>
      <c r="AD2043" s="4" t="str">
        <f>"Pitanguá"</f>
        <v>Pitanguá</v>
      </c>
      <c r="AE2043" s="14" t="str">
        <f>"Matemática"</f>
        <v>Matemática</v>
      </c>
      <c r="AF2043" s="14"/>
    </row>
    <row r="2044" spans="1:32" x14ac:dyDescent="0.3">
      <c r="A2044" s="23" t="s">
        <v>3684</v>
      </c>
      <c r="B2044" s="20" t="s">
        <v>16</v>
      </c>
      <c r="C2044" s="20" t="s">
        <v>89</v>
      </c>
      <c r="D2044" s="20" t="s">
        <v>8</v>
      </c>
      <c r="E2044" s="22">
        <v>168</v>
      </c>
      <c r="F2044" s="22">
        <v>4</v>
      </c>
      <c r="G2044" s="22">
        <v>8</v>
      </c>
      <c r="H2044" s="22"/>
      <c r="I2044" s="23" t="s">
        <v>33</v>
      </c>
      <c r="J2044" s="23"/>
      <c r="K2044" s="22"/>
      <c r="L2044" s="22"/>
      <c r="M2044" s="23"/>
      <c r="N2044" s="23"/>
      <c r="O2044" s="26" t="s">
        <v>3685</v>
      </c>
      <c r="P2044" s="26"/>
      <c r="Q2044" s="22">
        <v>53</v>
      </c>
      <c r="R2044" s="24">
        <v>45803</v>
      </c>
      <c r="S2044" s="24">
        <v>45810</v>
      </c>
      <c r="T2044" s="24"/>
      <c r="U2044" s="24"/>
      <c r="V2044" s="24">
        <v>45810</v>
      </c>
      <c r="W2044" s="22" t="s">
        <v>940</v>
      </c>
      <c r="X2044" s="4" t="str">
        <f>IF(Tabela2[[#This Row],[sigla]]="","",VLOOKUP(Tabela2[[#This Row],[sigla]],créditos_base!B:C,2,0))</f>
        <v>RONALDO LUCENA/ARQUIVO DA EDITORA</v>
      </c>
      <c r="Y2044" s="23" t="s">
        <v>1503</v>
      </c>
      <c r="Z2044" s="23" t="str">
        <f>Tabela2[[#This Row],[ilustrador]]</f>
        <v>RONALDO LUCENA/ARQUIVO DA EDITORA</v>
      </c>
      <c r="AA2044" s="22"/>
      <c r="AB2044" s="28" t="s">
        <v>41</v>
      </c>
      <c r="AC2044" s="20" t="s">
        <v>36</v>
      </c>
      <c r="AD2044" s="4" t="str">
        <f>"Pitanguá"</f>
        <v>Pitanguá</v>
      </c>
      <c r="AE2044" s="14" t="str">
        <f>"Matemática"</f>
        <v>Matemática</v>
      </c>
      <c r="AF2044" s="14"/>
    </row>
    <row r="2045" spans="1:32" ht="28.8" x14ac:dyDescent="0.3">
      <c r="A2045" s="23" t="s">
        <v>4894</v>
      </c>
      <c r="B2045" s="20" t="s">
        <v>6</v>
      </c>
      <c r="C2045" s="20" t="s">
        <v>89</v>
      </c>
      <c r="D2045" s="20" t="s">
        <v>8</v>
      </c>
      <c r="E2045" s="22">
        <v>209</v>
      </c>
      <c r="F2045" s="22">
        <v>3</v>
      </c>
      <c r="G2045" s="22">
        <v>8</v>
      </c>
      <c r="H2045" s="22"/>
      <c r="I2045" s="23" t="s">
        <v>90</v>
      </c>
      <c r="J2045" s="23"/>
      <c r="K2045" s="22"/>
      <c r="L2045" s="22"/>
      <c r="M2045" s="23"/>
      <c r="N2045" s="23"/>
      <c r="O2045" s="26" t="s">
        <v>4895</v>
      </c>
      <c r="P2045" s="26"/>
      <c r="Q2045" s="22">
        <v>87</v>
      </c>
      <c r="R2045" s="24">
        <v>45838</v>
      </c>
      <c r="S2045" s="24">
        <v>45839</v>
      </c>
      <c r="T2045" s="24"/>
      <c r="U2045" s="24"/>
      <c r="V2045" s="24">
        <v>45841</v>
      </c>
      <c r="W2045" s="22" t="s">
        <v>468</v>
      </c>
      <c r="X2045" s="4" t="str">
        <f>IF(Tabela2[[#This Row],[sigla]]="","",VLOOKUP(Tabela2[[#This Row],[sigla]],créditos_base!B:C,2,0))</f>
        <v>VER DOCUMENTO DE ILS. TÉCNICAS</v>
      </c>
      <c r="Y2045" s="23" t="s">
        <v>4893</v>
      </c>
      <c r="Z2045" s="32" t="s">
        <v>661</v>
      </c>
      <c r="AA2045" s="22">
        <v>8</v>
      </c>
      <c r="AB2045" s="20" t="s">
        <v>4886</v>
      </c>
      <c r="AC2045" s="20" t="s">
        <v>310</v>
      </c>
      <c r="AD2045" s="4" t="str">
        <f>"Pitanguá"</f>
        <v>Pitanguá</v>
      </c>
      <c r="AE2045" s="14" t="str">
        <f>"Matemática"</f>
        <v>Matemática</v>
      </c>
      <c r="AF2045" s="14"/>
    </row>
    <row r="2046" spans="1:32" ht="28.8" x14ac:dyDescent="0.3">
      <c r="A2046" s="23" t="s">
        <v>3686</v>
      </c>
      <c r="B2046" s="20" t="s">
        <v>16</v>
      </c>
      <c r="C2046" s="20" t="s">
        <v>7</v>
      </c>
      <c r="D2046" s="20" t="s">
        <v>8</v>
      </c>
      <c r="E2046" s="22">
        <v>168</v>
      </c>
      <c r="F2046" s="22">
        <v>4</v>
      </c>
      <c r="G2046" s="22">
        <v>8</v>
      </c>
      <c r="H2046" s="22"/>
      <c r="I2046" s="23" t="s">
        <v>33</v>
      </c>
      <c r="J2046" s="23"/>
      <c r="K2046" s="22"/>
      <c r="L2046" s="22"/>
      <c r="M2046" s="23"/>
      <c r="N2046" s="23"/>
      <c r="O2046" s="26" t="s">
        <v>3687</v>
      </c>
      <c r="P2046" s="26"/>
      <c r="Q2046" s="22">
        <v>189</v>
      </c>
      <c r="R2046" s="24">
        <v>45912</v>
      </c>
      <c r="S2046" s="24">
        <v>45912</v>
      </c>
      <c r="T2046" s="24"/>
      <c r="U2046" s="24"/>
      <c r="V2046" s="24">
        <v>45912</v>
      </c>
      <c r="W2046" s="22" t="s">
        <v>160</v>
      </c>
      <c r="X2046" s="4" t="str">
        <f>IF(Tabela2[[#This Row],[sigla]]="","",VLOOKUP(Tabela2[[#This Row],[sigla]],créditos_base!B:C,2,0))</f>
        <v>SERGIO LIMA/ARQUIVO DA EDITORA</v>
      </c>
      <c r="Y2046" s="23" t="s">
        <v>813</v>
      </c>
      <c r="Z2046" s="23" t="str">
        <f>Tabela2[[#This Row],[ilustrador]]</f>
        <v>SERGIO LIMA/ARQUIVO DA EDITORA</v>
      </c>
      <c r="AA2046" s="22">
        <v>13</v>
      </c>
      <c r="AB2046" s="20" t="s">
        <v>525</v>
      </c>
      <c r="AC2046" s="20" t="s">
        <v>36</v>
      </c>
      <c r="AD2046" s="4" t="str">
        <f>"Pitanguá"</f>
        <v>Pitanguá</v>
      </c>
      <c r="AE2046" s="14" t="str">
        <f>"Matemática"</f>
        <v>Matemática</v>
      </c>
      <c r="AF2046" s="14"/>
    </row>
    <row r="2047" spans="1:32" x14ac:dyDescent="0.3">
      <c r="A2047" s="23" t="s">
        <v>4896</v>
      </c>
      <c r="B2047" s="20" t="s">
        <v>6</v>
      </c>
      <c r="C2047" s="20" t="s">
        <v>89</v>
      </c>
      <c r="D2047" s="20" t="s">
        <v>8</v>
      </c>
      <c r="E2047" s="22">
        <v>209</v>
      </c>
      <c r="F2047" s="22">
        <v>3</v>
      </c>
      <c r="G2047" s="22">
        <v>8</v>
      </c>
      <c r="H2047" s="22"/>
      <c r="I2047" s="23" t="s">
        <v>90</v>
      </c>
      <c r="J2047" s="23"/>
      <c r="K2047" s="22"/>
      <c r="L2047" s="22"/>
      <c r="M2047" s="23"/>
      <c r="N2047" s="23"/>
      <c r="O2047" s="26" t="s">
        <v>4897</v>
      </c>
      <c r="P2047" s="26"/>
      <c r="Q2047" s="22">
        <v>87</v>
      </c>
      <c r="R2047" s="24">
        <v>45838</v>
      </c>
      <c r="S2047" s="24">
        <v>45839</v>
      </c>
      <c r="T2047" s="24"/>
      <c r="U2047" s="24"/>
      <c r="V2047" s="24">
        <v>45841</v>
      </c>
      <c r="W2047" s="22" t="s">
        <v>468</v>
      </c>
      <c r="X2047" s="4" t="str">
        <f>IF(Tabela2[[#This Row],[sigla]]="","",VLOOKUP(Tabela2[[#This Row],[sigla]],créditos_base!B:C,2,0))</f>
        <v>VER DOCUMENTO DE ILS. TÉCNICAS</v>
      </c>
      <c r="Y2047" s="23" t="s">
        <v>4893</v>
      </c>
      <c r="Z2047" s="32" t="s">
        <v>661</v>
      </c>
      <c r="AA2047" s="22">
        <v>8</v>
      </c>
      <c r="AB2047" s="20" t="s">
        <v>4886</v>
      </c>
      <c r="AC2047" s="20" t="s">
        <v>310</v>
      </c>
      <c r="AD2047" s="4" t="str">
        <f>"Pitanguá"</f>
        <v>Pitanguá</v>
      </c>
      <c r="AE2047" s="14" t="str">
        <f>"Matemática"</f>
        <v>Matemática</v>
      </c>
      <c r="AF2047" s="14"/>
    </row>
    <row r="2048" spans="1:32" x14ac:dyDescent="0.3">
      <c r="A2048" s="23" t="s">
        <v>3688</v>
      </c>
      <c r="B2048" s="20" t="s">
        <v>16</v>
      </c>
      <c r="C2048" s="20" t="s">
        <v>89</v>
      </c>
      <c r="D2048" s="20" t="s">
        <v>8</v>
      </c>
      <c r="E2048" s="22">
        <v>169</v>
      </c>
      <c r="F2048" s="22">
        <v>4</v>
      </c>
      <c r="G2048" s="22">
        <v>8</v>
      </c>
      <c r="H2048" s="22"/>
      <c r="I2048" s="23" t="s">
        <v>9</v>
      </c>
      <c r="J2048" s="23"/>
      <c r="K2048" s="22"/>
      <c r="L2048" s="22"/>
      <c r="M2048" s="23"/>
      <c r="N2048" s="23"/>
      <c r="O2048" s="26" t="s">
        <v>3689</v>
      </c>
      <c r="P2048" s="26"/>
      <c r="Q2048" s="22"/>
      <c r="R2048" s="24"/>
      <c r="S2048" s="24"/>
      <c r="T2048" s="24"/>
      <c r="U2048" s="24"/>
      <c r="V2048" s="24"/>
      <c r="W2048" s="22" t="s">
        <v>940</v>
      </c>
      <c r="X2048" s="4" t="str">
        <f>IF(Tabela2[[#This Row],[sigla]]="","",VLOOKUP(Tabela2[[#This Row],[sigla]],créditos_base!B:C,2,0))</f>
        <v>RONALDO LUCENA/ARQUIVO DA EDITORA</v>
      </c>
      <c r="Y2048" s="23"/>
      <c r="Z2048" s="23" t="str">
        <f>Tabela2[[#This Row],[ilustrador]]</f>
        <v>RONALDO LUCENA/ARQUIVO DA EDITORA</v>
      </c>
      <c r="AA2048" s="22"/>
      <c r="AB2048" s="20"/>
      <c r="AD2048" s="4" t="str">
        <f>"Pitanguá"</f>
        <v>Pitanguá</v>
      </c>
      <c r="AE2048" s="14" t="str">
        <f>"Matemática"</f>
        <v>Matemática</v>
      </c>
      <c r="AF2048" s="14"/>
    </row>
    <row r="2049" spans="1:32" x14ac:dyDescent="0.3">
      <c r="A2049" s="23" t="s">
        <v>2394</v>
      </c>
      <c r="B2049" s="20" t="s">
        <v>16</v>
      </c>
      <c r="C2049" s="20" t="s">
        <v>89</v>
      </c>
      <c r="D2049" s="20" t="s">
        <v>8</v>
      </c>
      <c r="E2049" s="22">
        <v>193</v>
      </c>
      <c r="F2049" s="22">
        <v>1</v>
      </c>
      <c r="G2049" s="22">
        <v>8</v>
      </c>
      <c r="H2049" s="22"/>
      <c r="I2049" s="23" t="s">
        <v>90</v>
      </c>
      <c r="J2049" s="23"/>
      <c r="K2049" s="22"/>
      <c r="L2049" s="22"/>
      <c r="M2049" s="23"/>
      <c r="N2049" s="23"/>
      <c r="O2049" s="26" t="s">
        <v>2395</v>
      </c>
      <c r="P2049" s="26"/>
      <c r="Q2049" s="22">
        <v>32</v>
      </c>
      <c r="R2049" s="24">
        <v>45761</v>
      </c>
      <c r="S2049" s="24">
        <v>45763</v>
      </c>
      <c r="T2049" s="24">
        <v>45770</v>
      </c>
      <c r="U2049" s="24">
        <v>45770</v>
      </c>
      <c r="V2049" s="24">
        <v>45772</v>
      </c>
      <c r="W2049" s="22" t="s">
        <v>31</v>
      </c>
      <c r="X2049" s="4" t="str">
        <f>IF(Tabela2[[#This Row],[sigla]]="","",VLOOKUP(Tabela2[[#This Row],[sigla]],créditos_base!B:C,2,0))</f>
        <v>SILVIA OTOFUJI/ARQUIVO DA EDITORA</v>
      </c>
      <c r="Y2049" s="23"/>
      <c r="Z2049" s="23" t="str">
        <f>Tabela2[[#This Row],[ilustrador]]</f>
        <v>SILVIA OTOFUJI/ARQUIVO DA EDITORA</v>
      </c>
      <c r="AA2049" s="22">
        <v>8</v>
      </c>
      <c r="AB2049" s="20" t="s">
        <v>2392</v>
      </c>
      <c r="AC2049" s="20" t="s">
        <v>310</v>
      </c>
      <c r="AD2049" s="4" t="str">
        <f>"Pitanguá"</f>
        <v>Pitanguá</v>
      </c>
      <c r="AE2049" s="14" t="str">
        <f>"Matemática"</f>
        <v>Matemática</v>
      </c>
      <c r="AF2049" s="14"/>
    </row>
    <row r="2050" spans="1:32" x14ac:dyDescent="0.3">
      <c r="A2050" s="23" t="s">
        <v>3690</v>
      </c>
      <c r="B2050" s="20" t="s">
        <v>16</v>
      </c>
      <c r="C2050" s="20" t="s">
        <v>89</v>
      </c>
      <c r="D2050" s="20" t="s">
        <v>8</v>
      </c>
      <c r="E2050" s="22">
        <v>169</v>
      </c>
      <c r="F2050" s="22">
        <v>4</v>
      </c>
      <c r="G2050" s="22">
        <v>8</v>
      </c>
      <c r="H2050" s="22"/>
      <c r="I2050" s="23" t="s">
        <v>9</v>
      </c>
      <c r="J2050" s="23"/>
      <c r="K2050" s="22"/>
      <c r="L2050" s="22"/>
      <c r="M2050" s="23"/>
      <c r="N2050" s="23"/>
      <c r="O2050" s="26" t="s">
        <v>3691</v>
      </c>
      <c r="P2050" s="26"/>
      <c r="Q2050" s="22"/>
      <c r="R2050" s="24"/>
      <c r="S2050" s="24"/>
      <c r="T2050" s="24"/>
      <c r="U2050" s="24"/>
      <c r="V2050" s="24"/>
      <c r="W2050" s="22" t="s">
        <v>940</v>
      </c>
      <c r="X2050" s="4" t="str">
        <f>IF(Tabela2[[#This Row],[sigla]]="","",VLOOKUP(Tabela2[[#This Row],[sigla]],créditos_base!B:C,2,0))</f>
        <v>RONALDO LUCENA/ARQUIVO DA EDITORA</v>
      </c>
      <c r="Y2050" s="23"/>
      <c r="Z2050" s="23" t="str">
        <f>Tabela2[[#This Row],[ilustrador]]</f>
        <v>RONALDO LUCENA/ARQUIVO DA EDITORA</v>
      </c>
      <c r="AA2050" s="22"/>
      <c r="AB2050" s="20"/>
      <c r="AD2050" s="4" t="str">
        <f>"Pitanguá"</f>
        <v>Pitanguá</v>
      </c>
      <c r="AE2050" s="14" t="str">
        <f>"Matemática"</f>
        <v>Matemática</v>
      </c>
      <c r="AF2050" s="14"/>
    </row>
    <row r="2051" spans="1:32" x14ac:dyDescent="0.3">
      <c r="A2051" s="23" t="s">
        <v>2396</v>
      </c>
      <c r="B2051" s="20" t="s">
        <v>16</v>
      </c>
      <c r="C2051" s="20" t="s">
        <v>89</v>
      </c>
      <c r="D2051" s="20" t="s">
        <v>8</v>
      </c>
      <c r="E2051" s="22">
        <v>193</v>
      </c>
      <c r="F2051" s="22">
        <v>1</v>
      </c>
      <c r="G2051" s="22">
        <v>8</v>
      </c>
      <c r="H2051" s="22"/>
      <c r="I2051" s="23" t="s">
        <v>90</v>
      </c>
      <c r="J2051" s="23"/>
      <c r="K2051" s="22"/>
      <c r="L2051" s="22"/>
      <c r="M2051" s="23"/>
      <c r="N2051" s="23"/>
      <c r="O2051" s="26" t="s">
        <v>2397</v>
      </c>
      <c r="P2051" s="26"/>
      <c r="Q2051" s="22">
        <v>32</v>
      </c>
      <c r="R2051" s="24">
        <v>45761</v>
      </c>
      <c r="S2051" s="24">
        <v>45763</v>
      </c>
      <c r="T2051" s="24">
        <v>45770</v>
      </c>
      <c r="U2051" s="24">
        <v>45770</v>
      </c>
      <c r="V2051" s="24">
        <v>45772</v>
      </c>
      <c r="W2051" s="22" t="s">
        <v>31</v>
      </c>
      <c r="X2051" s="4" t="str">
        <f>IF(Tabela2[[#This Row],[sigla]]="","",VLOOKUP(Tabela2[[#This Row],[sigla]],créditos_base!B:C,2,0))</f>
        <v>SILVIA OTOFUJI/ARQUIVO DA EDITORA</v>
      </c>
      <c r="Y2051" s="23"/>
      <c r="Z2051" s="23" t="str">
        <f>Tabela2[[#This Row],[ilustrador]]</f>
        <v>SILVIA OTOFUJI/ARQUIVO DA EDITORA</v>
      </c>
      <c r="AA2051" s="22">
        <v>8</v>
      </c>
      <c r="AB2051" s="20" t="s">
        <v>2392</v>
      </c>
      <c r="AC2051" s="20" t="s">
        <v>310</v>
      </c>
      <c r="AD2051" s="4" t="str">
        <f>"Pitanguá"</f>
        <v>Pitanguá</v>
      </c>
      <c r="AE2051" s="14" t="str">
        <f>"Matemática"</f>
        <v>Matemática</v>
      </c>
      <c r="AF2051" s="14"/>
    </row>
    <row r="2052" spans="1:32" ht="28.8" x14ac:dyDescent="0.3">
      <c r="A2052" s="23" t="s">
        <v>3692</v>
      </c>
      <c r="B2052" s="20" t="s">
        <v>16</v>
      </c>
      <c r="C2052" s="20" t="s">
        <v>89</v>
      </c>
      <c r="D2052" s="20" t="s">
        <v>8</v>
      </c>
      <c r="E2052" s="22">
        <v>169</v>
      </c>
      <c r="F2052" s="22">
        <v>4</v>
      </c>
      <c r="G2052" s="22">
        <v>8</v>
      </c>
      <c r="H2052" s="22"/>
      <c r="I2052" s="23" t="s">
        <v>9</v>
      </c>
      <c r="J2052" s="23"/>
      <c r="K2052" s="22"/>
      <c r="L2052" s="22"/>
      <c r="M2052" s="23"/>
      <c r="N2052" s="23"/>
      <c r="O2052" s="26" t="s">
        <v>3693</v>
      </c>
      <c r="P2052" s="26"/>
      <c r="Q2052" s="22"/>
      <c r="R2052" s="24"/>
      <c r="S2052" s="24"/>
      <c r="T2052" s="24"/>
      <c r="U2052" s="24"/>
      <c r="V2052" s="24"/>
      <c r="W2052" s="22" t="s">
        <v>940</v>
      </c>
      <c r="X2052" s="4" t="str">
        <f>IF(Tabela2[[#This Row],[sigla]]="","",VLOOKUP(Tabela2[[#This Row],[sigla]],créditos_base!B:C,2,0))</f>
        <v>RONALDO LUCENA/ARQUIVO DA EDITORA</v>
      </c>
      <c r="Y2052" s="23"/>
      <c r="Z2052" s="23" t="str">
        <f>Tabela2[[#This Row],[ilustrador]]</f>
        <v>RONALDO LUCENA/ARQUIVO DA EDITORA</v>
      </c>
      <c r="AA2052" s="22"/>
      <c r="AB2052" s="20"/>
      <c r="AD2052" s="4" t="str">
        <f>"Pitanguá"</f>
        <v>Pitanguá</v>
      </c>
      <c r="AE2052" s="14" t="str">
        <f>"Matemática"</f>
        <v>Matemática</v>
      </c>
      <c r="AF2052" s="14"/>
    </row>
    <row r="2053" spans="1:32" ht="43.2" x14ac:dyDescent="0.3">
      <c r="A2053" s="23" t="s">
        <v>4528</v>
      </c>
      <c r="B2053" s="20" t="s">
        <v>16</v>
      </c>
      <c r="C2053" s="20" t="s">
        <v>89</v>
      </c>
      <c r="D2053" s="20" t="s">
        <v>8</v>
      </c>
      <c r="E2053" s="22">
        <v>193</v>
      </c>
      <c r="F2053" s="22">
        <v>1</v>
      </c>
      <c r="G2053" s="22">
        <v>8</v>
      </c>
      <c r="H2053" s="22"/>
      <c r="I2053" s="23" t="s">
        <v>33</v>
      </c>
      <c r="J2053" s="23"/>
      <c r="K2053" s="22"/>
      <c r="L2053" s="22"/>
      <c r="M2053" s="23"/>
      <c r="N2053" s="23"/>
      <c r="O2053" s="26" t="s">
        <v>4529</v>
      </c>
      <c r="P2053" s="26"/>
      <c r="Q2053" s="22">
        <v>70</v>
      </c>
      <c r="R2053" s="24">
        <v>45812</v>
      </c>
      <c r="S2053" s="24">
        <v>45813</v>
      </c>
      <c r="T2053" s="24"/>
      <c r="U2053" s="24"/>
      <c r="V2053" s="24">
        <v>45813</v>
      </c>
      <c r="W2053" s="22" t="s">
        <v>160</v>
      </c>
      <c r="X2053" s="4" t="str">
        <f>IF(Tabela2[[#This Row],[sigla]]="","",VLOOKUP(Tabela2[[#This Row],[sigla]],créditos_base!B:C,2,0))</f>
        <v>SERGIO LIMA/ARQUIVO DA EDITORA</v>
      </c>
      <c r="Y2053" s="23" t="s">
        <v>152</v>
      </c>
      <c r="Z2053" s="23" t="str">
        <f>Tabela2[[#This Row],[ilustrador]]</f>
        <v>SERGIO LIMA/ARQUIVO DA EDITORA</v>
      </c>
      <c r="AA2053" s="22">
        <v>14</v>
      </c>
      <c r="AB2053" s="20" t="s">
        <v>153</v>
      </c>
      <c r="AC2053" s="20" t="s">
        <v>36</v>
      </c>
      <c r="AD2053" s="4" t="str">
        <f>"Pitanguá"</f>
        <v>Pitanguá</v>
      </c>
      <c r="AE2053" s="14" t="str">
        <f>"Matemática"</f>
        <v>Matemática</v>
      </c>
      <c r="AF2053" s="14"/>
    </row>
    <row r="2054" spans="1:32" ht="28.8" x14ac:dyDescent="0.3">
      <c r="A2054" s="23" t="s">
        <v>3694</v>
      </c>
      <c r="B2054" s="20" t="s">
        <v>16</v>
      </c>
      <c r="C2054" s="20" t="s">
        <v>89</v>
      </c>
      <c r="D2054" s="20" t="s">
        <v>8</v>
      </c>
      <c r="E2054" s="22">
        <v>169</v>
      </c>
      <c r="F2054" s="22">
        <v>4</v>
      </c>
      <c r="G2054" s="22">
        <v>8</v>
      </c>
      <c r="H2054" s="22"/>
      <c r="I2054" s="23" t="s">
        <v>9</v>
      </c>
      <c r="J2054" s="23"/>
      <c r="K2054" s="22"/>
      <c r="L2054" s="22"/>
      <c r="M2054" s="23"/>
      <c r="N2054" s="23"/>
      <c r="O2054" s="26" t="s">
        <v>3695</v>
      </c>
      <c r="P2054" s="26"/>
      <c r="Q2054" s="22"/>
      <c r="R2054" s="24"/>
      <c r="S2054" s="24"/>
      <c r="T2054" s="24"/>
      <c r="U2054" s="24"/>
      <c r="V2054" s="24"/>
      <c r="W2054" s="22" t="s">
        <v>940</v>
      </c>
      <c r="X2054" s="4" t="str">
        <f>IF(Tabela2[[#This Row],[sigla]]="","",VLOOKUP(Tabela2[[#This Row],[sigla]],créditos_base!B:C,2,0))</f>
        <v>RONALDO LUCENA/ARQUIVO DA EDITORA</v>
      </c>
      <c r="Y2054" s="23"/>
      <c r="Z2054" s="23" t="str">
        <f>Tabela2[[#This Row],[ilustrador]]</f>
        <v>RONALDO LUCENA/ARQUIVO DA EDITORA</v>
      </c>
      <c r="AA2054" s="22"/>
      <c r="AB2054" s="20"/>
      <c r="AD2054" s="4" t="str">
        <f>"Pitanguá"</f>
        <v>Pitanguá</v>
      </c>
      <c r="AE2054" s="14" t="str">
        <f>"Matemática"</f>
        <v>Matemática</v>
      </c>
      <c r="AF2054" s="14"/>
    </row>
    <row r="2055" spans="1:32" ht="28.8" x14ac:dyDescent="0.3">
      <c r="A2055" s="23" t="s">
        <v>4530</v>
      </c>
      <c r="B2055" s="20" t="s">
        <v>16</v>
      </c>
      <c r="C2055" s="20" t="s">
        <v>89</v>
      </c>
      <c r="D2055" s="20" t="s">
        <v>8</v>
      </c>
      <c r="E2055" s="22">
        <v>193</v>
      </c>
      <c r="F2055" s="22">
        <v>1</v>
      </c>
      <c r="G2055" s="22">
        <v>8</v>
      </c>
      <c r="H2055" s="22"/>
      <c r="I2055" s="23" t="s">
        <v>33</v>
      </c>
      <c r="J2055" s="23"/>
      <c r="K2055" s="22"/>
      <c r="L2055" s="22"/>
      <c r="M2055" s="23"/>
      <c r="N2055" s="23"/>
      <c r="O2055" s="26" t="s">
        <v>4531</v>
      </c>
      <c r="P2055" s="26"/>
      <c r="Q2055" s="22">
        <v>70</v>
      </c>
      <c r="R2055" s="24">
        <v>45812</v>
      </c>
      <c r="S2055" s="24">
        <v>45813</v>
      </c>
      <c r="T2055" s="24"/>
      <c r="U2055" s="24"/>
      <c r="V2055" s="24">
        <v>45813</v>
      </c>
      <c r="W2055" s="22" t="s">
        <v>160</v>
      </c>
      <c r="X2055" s="4" t="str">
        <f>IF(Tabela2[[#This Row],[sigla]]="","",VLOOKUP(Tabela2[[#This Row],[sigla]],créditos_base!B:C,2,0))</f>
        <v>SERGIO LIMA/ARQUIVO DA EDITORA</v>
      </c>
      <c r="Y2055" s="23" t="s">
        <v>152</v>
      </c>
      <c r="Z2055" s="23" t="str">
        <f>Tabela2[[#This Row],[ilustrador]]</f>
        <v>SERGIO LIMA/ARQUIVO DA EDITORA</v>
      </c>
      <c r="AA2055" s="22">
        <v>14</v>
      </c>
      <c r="AB2055" s="20" t="s">
        <v>153</v>
      </c>
      <c r="AC2055" s="20" t="s">
        <v>36</v>
      </c>
      <c r="AD2055" s="4" t="str">
        <f>"Pitanguá"</f>
        <v>Pitanguá</v>
      </c>
      <c r="AE2055" s="14" t="str">
        <f>"Matemática"</f>
        <v>Matemática</v>
      </c>
      <c r="AF2055" s="14"/>
    </row>
    <row r="2056" spans="1:32" x14ac:dyDescent="0.3">
      <c r="A2056" s="23" t="s">
        <v>4918</v>
      </c>
      <c r="B2056" s="20" t="s">
        <v>16</v>
      </c>
      <c r="C2056" s="20" t="s">
        <v>89</v>
      </c>
      <c r="D2056" s="20" t="s">
        <v>8</v>
      </c>
      <c r="E2056" s="22">
        <v>227</v>
      </c>
      <c r="F2056" s="22">
        <v>3</v>
      </c>
      <c r="G2056" s="22">
        <v>8</v>
      </c>
      <c r="H2056" s="22"/>
      <c r="I2056" s="23" t="s">
        <v>90</v>
      </c>
      <c r="J2056" s="23"/>
      <c r="K2056" s="22"/>
      <c r="L2056" s="22"/>
      <c r="M2056" s="23"/>
      <c r="N2056" s="23"/>
      <c r="O2056" s="26" t="s">
        <v>4919</v>
      </c>
      <c r="P2056" s="26"/>
      <c r="Q2056" s="22">
        <v>87</v>
      </c>
      <c r="R2056" s="24">
        <v>45838</v>
      </c>
      <c r="S2056" s="24">
        <v>45839</v>
      </c>
      <c r="T2056" s="24"/>
      <c r="U2056" s="24"/>
      <c r="V2056" s="24">
        <v>45841</v>
      </c>
      <c r="W2056" s="22" t="s">
        <v>468</v>
      </c>
      <c r="X2056" s="4" t="str">
        <f>IF(Tabela2[[#This Row],[sigla]]="","",VLOOKUP(Tabela2[[#This Row],[sigla]],créditos_base!B:C,2,0))</f>
        <v>VER DOCUMENTO DE ILS. TÉCNICAS</v>
      </c>
      <c r="Y2056" s="23" t="s">
        <v>4893</v>
      </c>
      <c r="Z2056" s="32" t="s">
        <v>661</v>
      </c>
      <c r="AA2056" s="22">
        <v>8</v>
      </c>
      <c r="AB2056" s="20" t="s">
        <v>4886</v>
      </c>
      <c r="AC2056" s="20" t="s">
        <v>36</v>
      </c>
      <c r="AD2056" s="4" t="str">
        <f>"Pitanguá"</f>
        <v>Pitanguá</v>
      </c>
      <c r="AE2056" s="14" t="str">
        <f>"Matemática"</f>
        <v>Matemática</v>
      </c>
      <c r="AF2056" s="14"/>
    </row>
    <row r="2057" spans="1:32" x14ac:dyDescent="0.3">
      <c r="A2057" s="23" t="s">
        <v>3696</v>
      </c>
      <c r="B2057" s="20" t="s">
        <v>16</v>
      </c>
      <c r="C2057" s="20" t="s">
        <v>89</v>
      </c>
      <c r="D2057" s="20" t="s">
        <v>8</v>
      </c>
      <c r="E2057" s="22">
        <v>169</v>
      </c>
      <c r="F2057" s="22">
        <v>4</v>
      </c>
      <c r="G2057" s="22">
        <v>8</v>
      </c>
      <c r="H2057" s="22"/>
      <c r="I2057" s="23" t="s">
        <v>9</v>
      </c>
      <c r="J2057" s="23"/>
      <c r="K2057" s="22"/>
      <c r="L2057" s="22"/>
      <c r="M2057" s="23"/>
      <c r="N2057" s="23"/>
      <c r="O2057" s="26" t="s">
        <v>3697</v>
      </c>
      <c r="P2057" s="26"/>
      <c r="Q2057" s="22"/>
      <c r="R2057" s="24"/>
      <c r="S2057" s="24"/>
      <c r="T2057" s="24"/>
      <c r="U2057" s="24"/>
      <c r="V2057" s="24"/>
      <c r="W2057" s="22" t="s">
        <v>940</v>
      </c>
      <c r="X2057" s="4" t="str">
        <f>IF(Tabela2[[#This Row],[sigla]]="","",VLOOKUP(Tabela2[[#This Row],[sigla]],créditos_base!B:C,2,0))</f>
        <v>RONALDO LUCENA/ARQUIVO DA EDITORA</v>
      </c>
      <c r="Y2057" s="23"/>
      <c r="Z2057" s="23" t="str">
        <f>Tabela2[[#This Row],[ilustrador]]</f>
        <v>RONALDO LUCENA/ARQUIVO DA EDITORA</v>
      </c>
      <c r="AA2057" s="22"/>
      <c r="AB2057" s="20"/>
      <c r="AD2057" s="4" t="str">
        <f>"Pitanguá"</f>
        <v>Pitanguá</v>
      </c>
      <c r="AE2057" s="14" t="str">
        <f>"Matemática"</f>
        <v>Matemática</v>
      </c>
      <c r="AF2057" s="14"/>
    </row>
    <row r="2058" spans="1:32" ht="57.6" x14ac:dyDescent="0.3">
      <c r="A2058" s="23" t="s">
        <v>4532</v>
      </c>
      <c r="B2058" s="20" t="s">
        <v>16</v>
      </c>
      <c r="C2058" s="20" t="s">
        <v>89</v>
      </c>
      <c r="D2058" s="20" t="s">
        <v>8</v>
      </c>
      <c r="E2058" s="22">
        <v>193</v>
      </c>
      <c r="F2058" s="22">
        <v>1</v>
      </c>
      <c r="G2058" s="22">
        <v>8</v>
      </c>
      <c r="H2058" s="22"/>
      <c r="I2058" s="23" t="s">
        <v>33</v>
      </c>
      <c r="J2058" s="23"/>
      <c r="K2058" s="22"/>
      <c r="L2058" s="22"/>
      <c r="M2058" s="23"/>
      <c r="N2058" s="23"/>
      <c r="O2058" s="26" t="s">
        <v>4533</v>
      </c>
      <c r="P2058" s="26"/>
      <c r="Q2058" s="22">
        <v>70</v>
      </c>
      <c r="R2058" s="24">
        <v>45812</v>
      </c>
      <c r="S2058" s="24">
        <v>45813</v>
      </c>
      <c r="T2058" s="24"/>
      <c r="U2058" s="24"/>
      <c r="V2058" s="24">
        <v>45813</v>
      </c>
      <c r="W2058" s="22" t="s">
        <v>160</v>
      </c>
      <c r="X2058" s="4" t="str">
        <f>IF(Tabela2[[#This Row],[sigla]]="","",VLOOKUP(Tabela2[[#This Row],[sigla]],créditos_base!B:C,2,0))</f>
        <v>SERGIO LIMA/ARQUIVO DA EDITORA</v>
      </c>
      <c r="Y2058" s="23" t="s">
        <v>152</v>
      </c>
      <c r="Z2058" s="23" t="str">
        <f>Tabela2[[#This Row],[ilustrador]]</f>
        <v>SERGIO LIMA/ARQUIVO DA EDITORA</v>
      </c>
      <c r="AA2058" s="22">
        <v>14</v>
      </c>
      <c r="AB2058" s="20" t="s">
        <v>153</v>
      </c>
      <c r="AC2058" s="20" t="s">
        <v>36</v>
      </c>
      <c r="AD2058" s="4" t="str">
        <f>"Pitanguá"</f>
        <v>Pitanguá</v>
      </c>
      <c r="AE2058" s="14" t="str">
        <f>"Matemática"</f>
        <v>Matemática</v>
      </c>
      <c r="AF2058" s="14"/>
    </row>
    <row r="2059" spans="1:32" ht="28.8" x14ac:dyDescent="0.3">
      <c r="A2059" s="23" t="s">
        <v>4920</v>
      </c>
      <c r="B2059" s="20" t="s">
        <v>16</v>
      </c>
      <c r="C2059" s="20" t="s">
        <v>89</v>
      </c>
      <c r="D2059" s="20" t="s">
        <v>8</v>
      </c>
      <c r="E2059" s="22">
        <v>227</v>
      </c>
      <c r="F2059" s="22">
        <v>3</v>
      </c>
      <c r="G2059" s="22">
        <v>8</v>
      </c>
      <c r="H2059" s="22"/>
      <c r="I2059" s="23" t="s">
        <v>90</v>
      </c>
      <c r="J2059" s="23"/>
      <c r="K2059" s="22"/>
      <c r="L2059" s="22"/>
      <c r="M2059" s="23"/>
      <c r="N2059" s="23"/>
      <c r="O2059" s="26" t="s">
        <v>4921</v>
      </c>
      <c r="P2059" s="26"/>
      <c r="Q2059" s="22">
        <v>87</v>
      </c>
      <c r="R2059" s="24">
        <v>45838</v>
      </c>
      <c r="S2059" s="24">
        <v>45839</v>
      </c>
      <c r="T2059" s="24"/>
      <c r="U2059" s="24"/>
      <c r="V2059" s="24">
        <v>45841</v>
      </c>
      <c r="W2059" s="22" t="s">
        <v>468</v>
      </c>
      <c r="X2059" s="4" t="str">
        <f>IF(Tabela2[[#This Row],[sigla]]="","",VLOOKUP(Tabela2[[#This Row],[sigla]],créditos_base!B:C,2,0))</f>
        <v>VER DOCUMENTO DE ILS. TÉCNICAS</v>
      </c>
      <c r="Y2059" s="23" t="s">
        <v>4893</v>
      </c>
      <c r="Z2059" s="32" t="s">
        <v>661</v>
      </c>
      <c r="AA2059" s="22">
        <v>8</v>
      </c>
      <c r="AB2059" s="20" t="s">
        <v>4886</v>
      </c>
      <c r="AC2059" s="20" t="s">
        <v>36</v>
      </c>
      <c r="AD2059" s="4" t="str">
        <f>"Pitanguá"</f>
        <v>Pitanguá</v>
      </c>
      <c r="AE2059" s="14" t="str">
        <f>"Matemática"</f>
        <v>Matemática</v>
      </c>
      <c r="AF2059" s="14"/>
    </row>
    <row r="2060" spans="1:32" ht="57.6" x14ac:dyDescent="0.3">
      <c r="A2060" s="23" t="s">
        <v>3698</v>
      </c>
      <c r="B2060" s="20" t="s">
        <v>16</v>
      </c>
      <c r="C2060" s="20" t="s">
        <v>89</v>
      </c>
      <c r="D2060" s="20" t="s">
        <v>8</v>
      </c>
      <c r="E2060" s="22">
        <v>169</v>
      </c>
      <c r="F2060" s="22">
        <v>4</v>
      </c>
      <c r="G2060" s="22">
        <v>8</v>
      </c>
      <c r="H2060" s="22"/>
      <c r="I2060" s="23" t="s">
        <v>9</v>
      </c>
      <c r="J2060" s="23"/>
      <c r="K2060" s="22"/>
      <c r="L2060" s="22"/>
      <c r="M2060" s="23"/>
      <c r="N2060" s="23"/>
      <c r="O2060" s="26" t="s">
        <v>3699</v>
      </c>
      <c r="P2060" s="26"/>
      <c r="Q2060" s="22"/>
      <c r="R2060" s="24"/>
      <c r="S2060" s="24"/>
      <c r="T2060" s="24"/>
      <c r="U2060" s="24"/>
      <c r="V2060" s="24"/>
      <c r="W2060" s="22" t="s">
        <v>940</v>
      </c>
      <c r="X2060" s="4" t="str">
        <f>IF(Tabela2[[#This Row],[sigla]]="","",VLOOKUP(Tabela2[[#This Row],[sigla]],créditos_base!B:C,2,0))</f>
        <v>RONALDO LUCENA/ARQUIVO DA EDITORA</v>
      </c>
      <c r="Y2060" s="23"/>
      <c r="Z2060" s="23" t="str">
        <f>Tabela2[[#This Row],[ilustrador]]</f>
        <v>RONALDO LUCENA/ARQUIVO DA EDITORA</v>
      </c>
      <c r="AA2060" s="22"/>
      <c r="AB2060" s="20"/>
      <c r="AD2060" s="4" t="str">
        <f>"Pitanguá"</f>
        <v>Pitanguá</v>
      </c>
      <c r="AE2060" s="14" t="str">
        <f>"Matemática"</f>
        <v>Matemática</v>
      </c>
      <c r="AF2060" s="14"/>
    </row>
    <row r="2061" spans="1:32" ht="43.2" x14ac:dyDescent="0.3">
      <c r="A2061" s="23" t="s">
        <v>4534</v>
      </c>
      <c r="B2061" s="20" t="s">
        <v>16</v>
      </c>
      <c r="C2061" s="20" t="s">
        <v>89</v>
      </c>
      <c r="D2061" s="20" t="s">
        <v>8</v>
      </c>
      <c r="E2061" s="22">
        <v>193</v>
      </c>
      <c r="F2061" s="22">
        <v>1</v>
      </c>
      <c r="G2061" s="22">
        <v>8</v>
      </c>
      <c r="H2061" s="22"/>
      <c r="I2061" s="23" t="s">
        <v>33</v>
      </c>
      <c r="J2061" s="23"/>
      <c r="K2061" s="22"/>
      <c r="L2061" s="22"/>
      <c r="M2061" s="23"/>
      <c r="N2061" s="23"/>
      <c r="O2061" s="26" t="s">
        <v>4535</v>
      </c>
      <c r="P2061" s="26"/>
      <c r="Q2061" s="22">
        <v>70</v>
      </c>
      <c r="R2061" s="24">
        <v>45812</v>
      </c>
      <c r="S2061" s="24">
        <v>45813</v>
      </c>
      <c r="T2061" s="24"/>
      <c r="U2061" s="24"/>
      <c r="V2061" s="24">
        <v>45813</v>
      </c>
      <c r="W2061" s="22" t="s">
        <v>160</v>
      </c>
      <c r="X2061" s="4" t="str">
        <f>IF(Tabela2[[#This Row],[sigla]]="","",VLOOKUP(Tabela2[[#This Row],[sigla]],créditos_base!B:C,2,0))</f>
        <v>SERGIO LIMA/ARQUIVO DA EDITORA</v>
      </c>
      <c r="Y2061" s="23" t="s">
        <v>152</v>
      </c>
      <c r="Z2061" s="23" t="str">
        <f>Tabela2[[#This Row],[ilustrador]]</f>
        <v>SERGIO LIMA/ARQUIVO DA EDITORA</v>
      </c>
      <c r="AA2061" s="22">
        <v>14</v>
      </c>
      <c r="AB2061" s="20" t="s">
        <v>153</v>
      </c>
      <c r="AC2061" s="20" t="s">
        <v>36</v>
      </c>
      <c r="AD2061" s="4" t="str">
        <f>"Pitanguá"</f>
        <v>Pitanguá</v>
      </c>
      <c r="AE2061" s="14" t="str">
        <f>"Matemática"</f>
        <v>Matemática</v>
      </c>
      <c r="AF2061" s="14"/>
    </row>
    <row r="2062" spans="1:32" ht="43.2" x14ac:dyDescent="0.3">
      <c r="A2062" s="23" t="s">
        <v>4922</v>
      </c>
      <c r="B2062" s="20" t="s">
        <v>16</v>
      </c>
      <c r="C2062" s="20" t="s">
        <v>89</v>
      </c>
      <c r="D2062" s="20" t="s">
        <v>8</v>
      </c>
      <c r="E2062" s="22">
        <v>227</v>
      </c>
      <c r="F2062" s="22">
        <v>3</v>
      </c>
      <c r="G2062" s="22">
        <v>8</v>
      </c>
      <c r="H2062" s="22"/>
      <c r="I2062" s="23" t="s">
        <v>90</v>
      </c>
      <c r="J2062" s="23"/>
      <c r="K2062" s="22"/>
      <c r="L2062" s="22"/>
      <c r="M2062" s="23"/>
      <c r="N2062" s="23"/>
      <c r="O2062" s="26" t="s">
        <v>4923</v>
      </c>
      <c r="P2062" s="26"/>
      <c r="Q2062" s="22">
        <v>87</v>
      </c>
      <c r="R2062" s="24">
        <v>45838</v>
      </c>
      <c r="S2062" s="24">
        <v>45839</v>
      </c>
      <c r="T2062" s="24"/>
      <c r="U2062" s="24"/>
      <c r="V2062" s="24">
        <v>45841</v>
      </c>
      <c r="W2062" s="22" t="s">
        <v>468</v>
      </c>
      <c r="X2062" s="4" t="str">
        <f>IF(Tabela2[[#This Row],[sigla]]="","",VLOOKUP(Tabela2[[#This Row],[sigla]],créditos_base!B:C,2,0))</f>
        <v>VER DOCUMENTO DE ILS. TÉCNICAS</v>
      </c>
      <c r="Y2062" s="23" t="s">
        <v>4893</v>
      </c>
      <c r="Z2062" s="32" t="s">
        <v>661</v>
      </c>
      <c r="AA2062" s="22">
        <v>8</v>
      </c>
      <c r="AB2062" s="20" t="s">
        <v>4886</v>
      </c>
      <c r="AC2062" s="20" t="s">
        <v>36</v>
      </c>
      <c r="AD2062" s="4" t="str">
        <f>"Pitanguá"</f>
        <v>Pitanguá</v>
      </c>
      <c r="AE2062" s="14" t="str">
        <f>"Matemática"</f>
        <v>Matemática</v>
      </c>
      <c r="AF2062" s="14"/>
    </row>
    <row r="2063" spans="1:32" ht="28.8" x14ac:dyDescent="0.3">
      <c r="A2063" s="23" t="s">
        <v>3700</v>
      </c>
      <c r="B2063" s="20" t="s">
        <v>16</v>
      </c>
      <c r="C2063" s="20" t="s">
        <v>89</v>
      </c>
      <c r="D2063" s="20" t="s">
        <v>8</v>
      </c>
      <c r="E2063" s="22">
        <v>169</v>
      </c>
      <c r="F2063" s="22">
        <v>4</v>
      </c>
      <c r="G2063" s="22">
        <v>8</v>
      </c>
      <c r="H2063" s="22"/>
      <c r="I2063" s="23" t="s">
        <v>9</v>
      </c>
      <c r="J2063" s="23"/>
      <c r="K2063" s="22"/>
      <c r="L2063" s="22"/>
      <c r="M2063" s="23"/>
      <c r="N2063" s="23"/>
      <c r="O2063" s="26" t="s">
        <v>3701</v>
      </c>
      <c r="P2063" s="26"/>
      <c r="Q2063" s="22"/>
      <c r="R2063" s="24"/>
      <c r="S2063" s="24"/>
      <c r="T2063" s="24"/>
      <c r="U2063" s="24"/>
      <c r="V2063" s="24"/>
      <c r="W2063" s="22" t="s">
        <v>940</v>
      </c>
      <c r="X2063" s="4" t="str">
        <f>IF(Tabela2[[#This Row],[sigla]]="","",VLOOKUP(Tabela2[[#This Row],[sigla]],créditos_base!B:C,2,0))</f>
        <v>RONALDO LUCENA/ARQUIVO DA EDITORA</v>
      </c>
      <c r="Y2063" s="23"/>
      <c r="Z2063" s="23" t="str">
        <f>Tabela2[[#This Row],[ilustrador]]</f>
        <v>RONALDO LUCENA/ARQUIVO DA EDITORA</v>
      </c>
      <c r="AA2063" s="22"/>
      <c r="AB2063" s="20"/>
      <c r="AD2063" s="4" t="str">
        <f>"Pitanguá"</f>
        <v>Pitanguá</v>
      </c>
      <c r="AE2063" s="14" t="str">
        <f>"Matemática"</f>
        <v>Matemática</v>
      </c>
      <c r="AF2063" s="14"/>
    </row>
    <row r="2064" spans="1:32" ht="28.8" x14ac:dyDescent="0.3">
      <c r="A2064" s="23" t="s">
        <v>5963</v>
      </c>
      <c r="B2064" s="20" t="s">
        <v>16</v>
      </c>
      <c r="C2064" s="20" t="s">
        <v>89</v>
      </c>
      <c r="D2064" s="20" t="s">
        <v>8</v>
      </c>
      <c r="E2064" s="22">
        <v>192</v>
      </c>
      <c r="F2064" s="22">
        <v>1</v>
      </c>
      <c r="G2064" s="22">
        <v>8</v>
      </c>
      <c r="H2064" s="22"/>
      <c r="I2064" s="23" t="s">
        <v>33</v>
      </c>
      <c r="J2064" s="23"/>
      <c r="K2064" s="22"/>
      <c r="L2064" s="22"/>
      <c r="M2064" s="23"/>
      <c r="N2064" s="23"/>
      <c r="O2064" s="26" t="s">
        <v>5964</v>
      </c>
      <c r="P2064" s="26"/>
      <c r="Q2064" s="22">
        <v>185</v>
      </c>
      <c r="R2064" s="24">
        <v>45909</v>
      </c>
      <c r="S2064" s="24">
        <v>45909</v>
      </c>
      <c r="T2064" s="24"/>
      <c r="U2064" s="24"/>
      <c r="V2064" s="24">
        <v>45909</v>
      </c>
      <c r="W2064" s="22" t="s">
        <v>72</v>
      </c>
      <c r="X2064" s="4" t="str">
        <f>IF(Tabela2[[#This Row],[sigla]]="","",VLOOKUP(Tabela2[[#This Row],[sigla]],créditos_base!B:C,2,0))</f>
        <v>HELOÍSA PINTARELLI/ARQUIVO DA EDITORA</v>
      </c>
      <c r="Y2064" s="23" t="s">
        <v>813</v>
      </c>
      <c r="Z2064" s="23" t="str">
        <f>Tabela2[[#This Row],[ilustrador]]</f>
        <v>HELOÍSA PINTARELLI/ARQUIVO DA EDITORA</v>
      </c>
      <c r="AA2064" s="22">
        <v>13</v>
      </c>
      <c r="AB2064" s="20" t="s">
        <v>5965</v>
      </c>
      <c r="AC2064" s="20" t="s">
        <v>36</v>
      </c>
      <c r="AD2064" s="4" t="str">
        <f>"Pitanguá"</f>
        <v>Pitanguá</v>
      </c>
      <c r="AE2064" s="14" t="str">
        <f>"Matemática"</f>
        <v>Matemática</v>
      </c>
      <c r="AF2064" s="14"/>
    </row>
    <row r="2065" spans="1:32" ht="28.8" x14ac:dyDescent="0.3">
      <c r="A2065" s="23" t="s">
        <v>4887</v>
      </c>
      <c r="B2065" s="20" t="s">
        <v>16</v>
      </c>
      <c r="C2065" s="20" t="s">
        <v>89</v>
      </c>
      <c r="D2065" s="20" t="s">
        <v>8</v>
      </c>
      <c r="E2065" s="22">
        <v>199</v>
      </c>
      <c r="F2065" s="22">
        <v>3</v>
      </c>
      <c r="G2065" s="22">
        <v>8</v>
      </c>
      <c r="H2065" s="22"/>
      <c r="I2065" s="23" t="s">
        <v>90</v>
      </c>
      <c r="J2065" s="23"/>
      <c r="K2065" s="22"/>
      <c r="L2065" s="22"/>
      <c r="M2065" s="23"/>
      <c r="N2065" s="23"/>
      <c r="O2065" s="26" t="s">
        <v>4888</v>
      </c>
      <c r="P2065" s="26"/>
      <c r="Q2065" s="22">
        <v>87</v>
      </c>
      <c r="R2065" s="24">
        <v>45838</v>
      </c>
      <c r="S2065" s="24">
        <v>45839</v>
      </c>
      <c r="T2065" s="24"/>
      <c r="U2065" s="24"/>
      <c r="V2065" s="24">
        <v>45841</v>
      </c>
      <c r="W2065" s="22" t="s">
        <v>72</v>
      </c>
      <c r="X2065" s="4" t="str">
        <f>IF(Tabela2[[#This Row],[sigla]]="","",VLOOKUP(Tabela2[[#This Row],[sigla]],créditos_base!B:C,2,0))</f>
        <v>HELOÍSA PINTARELLI/ARQUIVO DA EDITORA</v>
      </c>
      <c r="Y2065" s="23"/>
      <c r="Z2065" s="23" t="str">
        <f>Tabela2[[#This Row],[ilustrador]]</f>
        <v>HELOÍSA PINTARELLI/ARQUIVO DA EDITORA</v>
      </c>
      <c r="AA2065" s="22">
        <v>8</v>
      </c>
      <c r="AB2065" s="20" t="s">
        <v>4886</v>
      </c>
      <c r="AC2065" s="20" t="s">
        <v>310</v>
      </c>
      <c r="AD2065" s="4" t="str">
        <f>"Pitanguá"</f>
        <v>Pitanguá</v>
      </c>
      <c r="AE2065" s="14" t="str">
        <f>"Matemática"</f>
        <v>Matemática</v>
      </c>
      <c r="AF2065" s="14"/>
    </row>
    <row r="2066" spans="1:32" ht="28.8" x14ac:dyDescent="0.3">
      <c r="A2066" s="23" t="s">
        <v>3702</v>
      </c>
      <c r="B2066" s="20" t="s">
        <v>16</v>
      </c>
      <c r="C2066" s="20" t="s">
        <v>89</v>
      </c>
      <c r="D2066" s="20" t="s">
        <v>8</v>
      </c>
      <c r="E2066" s="22">
        <v>169</v>
      </c>
      <c r="F2066" s="22">
        <v>4</v>
      </c>
      <c r="G2066" s="22">
        <v>8</v>
      </c>
      <c r="H2066" s="22"/>
      <c r="I2066" s="23" t="s">
        <v>9</v>
      </c>
      <c r="J2066" s="23"/>
      <c r="K2066" s="22"/>
      <c r="L2066" s="22"/>
      <c r="M2066" s="23"/>
      <c r="N2066" s="23"/>
      <c r="O2066" s="26" t="s">
        <v>3703</v>
      </c>
      <c r="P2066" s="26"/>
      <c r="Q2066" s="22"/>
      <c r="R2066" s="24"/>
      <c r="S2066" s="24"/>
      <c r="T2066" s="24"/>
      <c r="U2066" s="24"/>
      <c r="V2066" s="24"/>
      <c r="W2066" s="22" t="s">
        <v>940</v>
      </c>
      <c r="X2066" s="4" t="str">
        <f>IF(Tabela2[[#This Row],[sigla]]="","",VLOOKUP(Tabela2[[#This Row],[sigla]],créditos_base!B:C,2,0))</f>
        <v>RONALDO LUCENA/ARQUIVO DA EDITORA</v>
      </c>
      <c r="Y2066" s="23"/>
      <c r="Z2066" s="23" t="str">
        <f>Tabela2[[#This Row],[ilustrador]]</f>
        <v>RONALDO LUCENA/ARQUIVO DA EDITORA</v>
      </c>
      <c r="AA2066" s="22"/>
      <c r="AB2066" s="20"/>
      <c r="AD2066" s="4" t="str">
        <f>"Pitanguá"</f>
        <v>Pitanguá</v>
      </c>
      <c r="AE2066" s="14" t="str">
        <f>"Matemática"</f>
        <v>Matemática</v>
      </c>
      <c r="AF2066" s="14"/>
    </row>
    <row r="2067" spans="1:32" x14ac:dyDescent="0.3">
      <c r="A2067" s="23" t="s">
        <v>4889</v>
      </c>
      <c r="B2067" s="20" t="s">
        <v>16</v>
      </c>
      <c r="C2067" s="20" t="s">
        <v>89</v>
      </c>
      <c r="D2067" s="20" t="s">
        <v>8</v>
      </c>
      <c r="E2067" s="22">
        <v>199</v>
      </c>
      <c r="F2067" s="22">
        <v>3</v>
      </c>
      <c r="G2067" s="22">
        <v>8</v>
      </c>
      <c r="H2067" s="22"/>
      <c r="I2067" s="23" t="s">
        <v>90</v>
      </c>
      <c r="J2067" s="23"/>
      <c r="K2067" s="22"/>
      <c r="L2067" s="22"/>
      <c r="M2067" s="23"/>
      <c r="N2067" s="23"/>
      <c r="O2067" s="26" t="s">
        <v>4890</v>
      </c>
      <c r="P2067" s="26"/>
      <c r="Q2067" s="22">
        <v>87</v>
      </c>
      <c r="R2067" s="24">
        <v>45838</v>
      </c>
      <c r="S2067" s="24">
        <v>45839</v>
      </c>
      <c r="T2067" s="24"/>
      <c r="U2067" s="24"/>
      <c r="V2067" s="24">
        <v>45841</v>
      </c>
      <c r="W2067" s="22" t="s">
        <v>72</v>
      </c>
      <c r="X2067" s="4" t="str">
        <f>IF(Tabela2[[#This Row],[sigla]]="","",VLOOKUP(Tabela2[[#This Row],[sigla]],créditos_base!B:C,2,0))</f>
        <v>HELOÍSA PINTARELLI/ARQUIVO DA EDITORA</v>
      </c>
      <c r="Y2067" s="23"/>
      <c r="Z2067" s="23" t="str">
        <f>Tabela2[[#This Row],[ilustrador]]</f>
        <v>HELOÍSA PINTARELLI/ARQUIVO DA EDITORA</v>
      </c>
      <c r="AA2067" s="22">
        <v>8</v>
      </c>
      <c r="AB2067" s="20" t="s">
        <v>4886</v>
      </c>
      <c r="AC2067" s="20" t="s">
        <v>310</v>
      </c>
      <c r="AD2067" s="4" t="str">
        <f>"Pitanguá"</f>
        <v>Pitanguá</v>
      </c>
      <c r="AE2067" s="14" t="str">
        <f>"Matemática"</f>
        <v>Matemática</v>
      </c>
      <c r="AF2067" s="14"/>
    </row>
    <row r="2068" spans="1:32" ht="28.8" x14ac:dyDescent="0.3">
      <c r="A2068" s="23" t="s">
        <v>3704</v>
      </c>
      <c r="B2068" s="20" t="s">
        <v>16</v>
      </c>
      <c r="C2068" s="20" t="s">
        <v>89</v>
      </c>
      <c r="D2068" s="20" t="s">
        <v>8</v>
      </c>
      <c r="E2068" s="22">
        <v>169</v>
      </c>
      <c r="F2068" s="22">
        <v>4</v>
      </c>
      <c r="G2068" s="22">
        <v>8</v>
      </c>
      <c r="H2068" s="22"/>
      <c r="I2068" s="23" t="s">
        <v>9</v>
      </c>
      <c r="J2068" s="23"/>
      <c r="K2068" s="22"/>
      <c r="L2068" s="22"/>
      <c r="M2068" s="23"/>
      <c r="N2068" s="23"/>
      <c r="O2068" s="26" t="s">
        <v>3705</v>
      </c>
      <c r="P2068" s="26"/>
      <c r="Q2068" s="22"/>
      <c r="R2068" s="24"/>
      <c r="S2068" s="24"/>
      <c r="T2068" s="24"/>
      <c r="U2068" s="24"/>
      <c r="V2068" s="24"/>
      <c r="W2068" s="22" t="s">
        <v>151</v>
      </c>
      <c r="X2068" s="4" t="str">
        <f>IF(Tabela2[[#This Row],[sigla]]="","",VLOOKUP(Tabela2[[#This Row],[sigla]],créditos_base!B:C,2,0))</f>
        <v>ROGÉRIO CASAGRANDE/ARQUIVO DA EDITORA</v>
      </c>
      <c r="Y2068" s="23"/>
      <c r="Z2068" s="23" t="str">
        <f>Tabela2[[#This Row],[ilustrador]]</f>
        <v>ROGÉRIO CASAGRANDE/ARQUIVO DA EDITORA</v>
      </c>
      <c r="AA2068" s="22"/>
      <c r="AB2068" s="20"/>
      <c r="AD2068" s="4" t="str">
        <f>"Pitanguá"</f>
        <v>Pitanguá</v>
      </c>
      <c r="AE2068" s="14" t="str">
        <f>"Matemática"</f>
        <v>Matemática</v>
      </c>
      <c r="AF2068" s="14"/>
    </row>
    <row r="2069" spans="1:32" ht="28.8" x14ac:dyDescent="0.3">
      <c r="A2069" s="23" t="s">
        <v>3706</v>
      </c>
      <c r="B2069" s="20" t="s">
        <v>16</v>
      </c>
      <c r="C2069" s="20" t="s">
        <v>89</v>
      </c>
      <c r="D2069" s="20" t="s">
        <v>8</v>
      </c>
      <c r="E2069" s="22">
        <v>169</v>
      </c>
      <c r="F2069" s="22">
        <v>4</v>
      </c>
      <c r="G2069" s="22">
        <v>8</v>
      </c>
      <c r="H2069" s="22"/>
      <c r="I2069" s="23" t="s">
        <v>9</v>
      </c>
      <c r="J2069" s="23"/>
      <c r="K2069" s="22"/>
      <c r="L2069" s="22"/>
      <c r="M2069" s="23"/>
      <c r="N2069" s="23"/>
      <c r="O2069" s="26" t="s">
        <v>3707</v>
      </c>
      <c r="P2069" s="26"/>
      <c r="Q2069" s="22"/>
      <c r="R2069" s="24"/>
      <c r="S2069" s="24"/>
      <c r="T2069" s="24"/>
      <c r="U2069" s="24"/>
      <c r="V2069" s="24"/>
      <c r="W2069" s="22" t="s">
        <v>151</v>
      </c>
      <c r="X2069" s="4" t="str">
        <f>IF(Tabela2[[#This Row],[sigla]]="","",VLOOKUP(Tabela2[[#This Row],[sigla]],créditos_base!B:C,2,0))</f>
        <v>ROGÉRIO CASAGRANDE/ARQUIVO DA EDITORA</v>
      </c>
      <c r="Y2069" s="23"/>
      <c r="Z2069" s="23" t="str">
        <f>Tabela2[[#This Row],[ilustrador]]</f>
        <v>ROGÉRIO CASAGRANDE/ARQUIVO DA EDITORA</v>
      </c>
      <c r="AA2069" s="22"/>
      <c r="AB2069" s="20"/>
      <c r="AD2069" s="4" t="str">
        <f>"Pitanguá"</f>
        <v>Pitanguá</v>
      </c>
      <c r="AE2069" s="14" t="str">
        <f>"Matemática"</f>
        <v>Matemática</v>
      </c>
      <c r="AF2069" s="14"/>
    </row>
    <row r="2070" spans="1:32" ht="28.8" x14ac:dyDescent="0.3">
      <c r="A2070" s="23" t="s">
        <v>3708</v>
      </c>
      <c r="B2070" s="20" t="s">
        <v>16</v>
      </c>
      <c r="C2070" s="20" t="s">
        <v>7</v>
      </c>
      <c r="D2070" s="20" t="s">
        <v>8</v>
      </c>
      <c r="E2070" s="22">
        <v>169</v>
      </c>
      <c r="F2070" s="22">
        <v>4</v>
      </c>
      <c r="G2070" s="22">
        <v>8</v>
      </c>
      <c r="H2070" s="22"/>
      <c r="I2070" s="23" t="s">
        <v>9</v>
      </c>
      <c r="J2070" s="23"/>
      <c r="K2070" s="22"/>
      <c r="L2070" s="22"/>
      <c r="M2070" s="23"/>
      <c r="N2070" s="23"/>
      <c r="O2070" s="26" t="s">
        <v>3709</v>
      </c>
      <c r="P2070" s="26"/>
      <c r="Q2070" s="22"/>
      <c r="R2070" s="24"/>
      <c r="S2070" s="24"/>
      <c r="T2070" s="24"/>
      <c r="U2070" s="24"/>
      <c r="V2070" s="24"/>
      <c r="W2070" s="22" t="s">
        <v>151</v>
      </c>
      <c r="X2070" s="4" t="str">
        <f>IF(Tabela2[[#This Row],[sigla]]="","",VLOOKUP(Tabela2[[#This Row],[sigla]],créditos_base!B:C,2,0))</f>
        <v>ROGÉRIO CASAGRANDE/ARQUIVO DA EDITORA</v>
      </c>
      <c r="Y2070" s="23"/>
      <c r="Z2070" s="23" t="str">
        <f>Tabela2[[#This Row],[ilustrador]]</f>
        <v>ROGÉRIO CASAGRANDE/ARQUIVO DA EDITORA</v>
      </c>
      <c r="AA2070" s="22"/>
      <c r="AB2070" s="20"/>
      <c r="AD2070" s="4" t="str">
        <f>"Pitanguá"</f>
        <v>Pitanguá</v>
      </c>
      <c r="AE2070" s="14" t="str">
        <f>"Matemática"</f>
        <v>Matemática</v>
      </c>
      <c r="AF2070" s="14"/>
    </row>
    <row r="2071" spans="1:32" x14ac:dyDescent="0.3">
      <c r="A2071" s="23" t="s">
        <v>4910</v>
      </c>
      <c r="B2071" s="20" t="s">
        <v>6</v>
      </c>
      <c r="C2071" s="20" t="s">
        <v>89</v>
      </c>
      <c r="D2071" s="20" t="s">
        <v>8</v>
      </c>
      <c r="E2071" s="22">
        <v>222</v>
      </c>
      <c r="F2071" s="22">
        <v>3</v>
      </c>
      <c r="G2071" s="22">
        <v>8</v>
      </c>
      <c r="H2071" s="22"/>
      <c r="I2071" s="23" t="s">
        <v>90</v>
      </c>
      <c r="J2071" s="23"/>
      <c r="K2071" s="22"/>
      <c r="L2071" s="22"/>
      <c r="M2071" s="23"/>
      <c r="N2071" s="23"/>
      <c r="O2071" s="26" t="s">
        <v>4911</v>
      </c>
      <c r="P2071" s="26"/>
      <c r="Q2071" s="22">
        <v>87</v>
      </c>
      <c r="R2071" s="24">
        <v>45838</v>
      </c>
      <c r="S2071" s="24">
        <v>45839</v>
      </c>
      <c r="T2071" s="24"/>
      <c r="U2071" s="24"/>
      <c r="V2071" s="24">
        <v>45841</v>
      </c>
      <c r="W2071" s="22" t="s">
        <v>468</v>
      </c>
      <c r="X2071" s="4" t="str">
        <f>IF(Tabela2[[#This Row],[sigla]]="","",VLOOKUP(Tabela2[[#This Row],[sigla]],créditos_base!B:C,2,0))</f>
        <v>VER DOCUMENTO DE ILS. TÉCNICAS</v>
      </c>
      <c r="Y2071" s="23" t="s">
        <v>4893</v>
      </c>
      <c r="Z2071" s="32" t="s">
        <v>661</v>
      </c>
      <c r="AA2071" s="22">
        <v>8</v>
      </c>
      <c r="AB2071" s="20" t="s">
        <v>4886</v>
      </c>
      <c r="AC2071" s="20" t="s">
        <v>310</v>
      </c>
      <c r="AD2071" s="4" t="str">
        <f>"Pitanguá"</f>
        <v>Pitanguá</v>
      </c>
      <c r="AE2071" s="14" t="str">
        <f>"Matemática"</f>
        <v>Matemática</v>
      </c>
      <c r="AF2071" s="14"/>
    </row>
    <row r="2072" spans="1:32" ht="43.2" x14ac:dyDescent="0.3">
      <c r="A2072" s="23" t="s">
        <v>3710</v>
      </c>
      <c r="B2072" s="20" t="s">
        <v>16</v>
      </c>
      <c r="C2072" s="20" t="s">
        <v>89</v>
      </c>
      <c r="D2072" s="20" t="s">
        <v>8</v>
      </c>
      <c r="E2072" s="22">
        <v>169</v>
      </c>
      <c r="F2072" s="22">
        <v>4</v>
      </c>
      <c r="G2072" s="22">
        <v>8</v>
      </c>
      <c r="H2072" s="22"/>
      <c r="I2072" s="23" t="s">
        <v>9</v>
      </c>
      <c r="J2072" s="23"/>
      <c r="K2072" s="22"/>
      <c r="L2072" s="22"/>
      <c r="M2072" s="23"/>
      <c r="N2072" s="23"/>
      <c r="O2072" s="26" t="s">
        <v>3711</v>
      </c>
      <c r="P2072" s="26"/>
      <c r="Q2072" s="22"/>
      <c r="R2072" s="24"/>
      <c r="S2072" s="24"/>
      <c r="T2072" s="24"/>
      <c r="U2072" s="24"/>
      <c r="V2072" s="24"/>
      <c r="W2072" s="22" t="s">
        <v>151</v>
      </c>
      <c r="X2072" s="4" t="str">
        <f>IF(Tabela2[[#This Row],[sigla]]="","",VLOOKUP(Tabela2[[#This Row],[sigla]],créditos_base!B:C,2,0))</f>
        <v>ROGÉRIO CASAGRANDE/ARQUIVO DA EDITORA</v>
      </c>
      <c r="Y2072" s="23"/>
      <c r="Z2072" s="23" t="str">
        <f>Tabela2[[#This Row],[ilustrador]]</f>
        <v>ROGÉRIO CASAGRANDE/ARQUIVO DA EDITORA</v>
      </c>
      <c r="AA2072" s="22"/>
      <c r="AB2072" s="20"/>
      <c r="AD2072" s="4" t="str">
        <f>"Pitanguá"</f>
        <v>Pitanguá</v>
      </c>
      <c r="AE2072" s="14" t="str">
        <f>"Matemática"</f>
        <v>Matemática</v>
      </c>
      <c r="AF2072" s="14"/>
    </row>
    <row r="2073" spans="1:32" ht="72" x14ac:dyDescent="0.3">
      <c r="A2073" s="23" t="s">
        <v>4912</v>
      </c>
      <c r="B2073" s="20" t="s">
        <v>6</v>
      </c>
      <c r="C2073" s="20" t="s">
        <v>89</v>
      </c>
      <c r="D2073" s="20" t="s">
        <v>8</v>
      </c>
      <c r="E2073" s="22">
        <v>222</v>
      </c>
      <c r="F2073" s="22">
        <v>3</v>
      </c>
      <c r="G2073" s="22">
        <v>8</v>
      </c>
      <c r="H2073" s="22"/>
      <c r="I2073" s="23" t="s">
        <v>90</v>
      </c>
      <c r="J2073" s="23"/>
      <c r="K2073" s="22"/>
      <c r="L2073" s="22"/>
      <c r="M2073" s="23"/>
      <c r="N2073" s="23"/>
      <c r="O2073" s="26" t="s">
        <v>4913</v>
      </c>
      <c r="P2073" s="26"/>
      <c r="Q2073" s="22">
        <v>87</v>
      </c>
      <c r="R2073" s="24">
        <v>45838</v>
      </c>
      <c r="S2073" s="24">
        <v>45839</v>
      </c>
      <c r="T2073" s="24"/>
      <c r="U2073" s="24"/>
      <c r="V2073" s="24">
        <v>45841</v>
      </c>
      <c r="W2073" s="22" t="s">
        <v>468</v>
      </c>
      <c r="X2073" s="4" t="str">
        <f>IF(Tabela2[[#This Row],[sigla]]="","",VLOOKUP(Tabela2[[#This Row],[sigla]],créditos_base!B:C,2,0))</f>
        <v>VER DOCUMENTO DE ILS. TÉCNICAS</v>
      </c>
      <c r="Y2073" s="23" t="s">
        <v>4893</v>
      </c>
      <c r="Z2073" s="32" t="s">
        <v>661</v>
      </c>
      <c r="AA2073" s="22">
        <v>8</v>
      </c>
      <c r="AB2073" s="20" t="s">
        <v>4886</v>
      </c>
      <c r="AC2073" s="20" t="s">
        <v>310</v>
      </c>
      <c r="AD2073" s="4" t="str">
        <f>"Pitanguá"</f>
        <v>Pitanguá</v>
      </c>
      <c r="AE2073" s="14" t="str">
        <f>"Matemática"</f>
        <v>Matemática</v>
      </c>
      <c r="AF2073" s="14"/>
    </row>
    <row r="2074" spans="1:32" ht="28.8" x14ac:dyDescent="0.3">
      <c r="A2074" s="23" t="s">
        <v>3712</v>
      </c>
      <c r="B2074" s="20" t="s">
        <v>16</v>
      </c>
      <c r="C2074" s="20" t="s">
        <v>89</v>
      </c>
      <c r="D2074" s="20" t="s">
        <v>8</v>
      </c>
      <c r="E2074" s="22">
        <v>169</v>
      </c>
      <c r="F2074" s="22">
        <v>4</v>
      </c>
      <c r="G2074" s="22">
        <v>8</v>
      </c>
      <c r="H2074" s="22"/>
      <c r="I2074" s="23" t="s">
        <v>33</v>
      </c>
      <c r="J2074" s="23"/>
      <c r="K2074" s="22"/>
      <c r="L2074" s="22"/>
      <c r="M2074" s="23"/>
      <c r="N2074" s="23"/>
      <c r="O2074" s="26" t="s">
        <v>3713</v>
      </c>
      <c r="P2074" s="26"/>
      <c r="Q2074" s="22">
        <v>189</v>
      </c>
      <c r="R2074" s="24">
        <v>45912</v>
      </c>
      <c r="S2074" s="24">
        <v>45912</v>
      </c>
      <c r="T2074" s="24"/>
      <c r="U2074" s="24"/>
      <c r="V2074" s="24">
        <v>45912</v>
      </c>
      <c r="W2074" s="22" t="s">
        <v>151</v>
      </c>
      <c r="X2074" s="4" t="str">
        <f>IF(Tabela2[[#This Row],[sigla]]="","",VLOOKUP(Tabela2[[#This Row],[sigla]],créditos_base!B:C,2,0))</f>
        <v>ROGÉRIO CASAGRANDE/ARQUIVO DA EDITORA</v>
      </c>
      <c r="Y2074" s="23" t="s">
        <v>813</v>
      </c>
      <c r="Z2074" s="23" t="str">
        <f>Tabela2[[#This Row],[ilustrador]]</f>
        <v>ROGÉRIO CASAGRANDE/ARQUIVO DA EDITORA</v>
      </c>
      <c r="AA2074" s="22">
        <v>13</v>
      </c>
      <c r="AB2074" s="20" t="s">
        <v>525</v>
      </c>
      <c r="AC2074" s="20" t="s">
        <v>36</v>
      </c>
      <c r="AD2074" s="4" t="str">
        <f>"Pitanguá"</f>
        <v>Pitanguá</v>
      </c>
      <c r="AE2074" s="14" t="str">
        <f>"Matemática"</f>
        <v>Matemática</v>
      </c>
      <c r="AF2074" s="14"/>
    </row>
    <row r="2075" spans="1:32" x14ac:dyDescent="0.3">
      <c r="A2075" s="23" t="s">
        <v>4914</v>
      </c>
      <c r="B2075" s="20" t="s">
        <v>6</v>
      </c>
      <c r="C2075" s="20" t="s">
        <v>89</v>
      </c>
      <c r="D2075" s="20" t="s">
        <v>8</v>
      </c>
      <c r="E2075" s="22">
        <v>222</v>
      </c>
      <c r="F2075" s="22">
        <v>3</v>
      </c>
      <c r="G2075" s="22">
        <v>8</v>
      </c>
      <c r="H2075" s="22"/>
      <c r="I2075" s="23" t="s">
        <v>90</v>
      </c>
      <c r="J2075" s="23"/>
      <c r="K2075" s="22"/>
      <c r="L2075" s="22"/>
      <c r="M2075" s="23"/>
      <c r="N2075" s="23"/>
      <c r="O2075" s="26" t="s">
        <v>4915</v>
      </c>
      <c r="P2075" s="26"/>
      <c r="Q2075" s="22">
        <v>87</v>
      </c>
      <c r="R2075" s="24">
        <v>45838</v>
      </c>
      <c r="S2075" s="24">
        <v>45839</v>
      </c>
      <c r="T2075" s="24"/>
      <c r="U2075" s="24"/>
      <c r="V2075" s="24">
        <v>45841</v>
      </c>
      <c r="W2075" s="22" t="s">
        <v>468</v>
      </c>
      <c r="X2075" s="4" t="str">
        <f>IF(Tabela2[[#This Row],[sigla]]="","",VLOOKUP(Tabela2[[#This Row],[sigla]],créditos_base!B:C,2,0))</f>
        <v>VER DOCUMENTO DE ILS. TÉCNICAS</v>
      </c>
      <c r="Y2075" s="23" t="s">
        <v>4893</v>
      </c>
      <c r="Z2075" s="32" t="s">
        <v>661</v>
      </c>
      <c r="AA2075" s="22">
        <v>8</v>
      </c>
      <c r="AB2075" s="20" t="s">
        <v>4886</v>
      </c>
      <c r="AC2075" s="20" t="s">
        <v>310</v>
      </c>
      <c r="AD2075" s="4" t="str">
        <f>"Pitanguá"</f>
        <v>Pitanguá</v>
      </c>
      <c r="AE2075" s="14" t="str">
        <f>"Matemática"</f>
        <v>Matemática</v>
      </c>
      <c r="AF2075" s="14"/>
    </row>
    <row r="2076" spans="1:32" ht="28.8" x14ac:dyDescent="0.3">
      <c r="A2076" s="23" t="s">
        <v>3714</v>
      </c>
      <c r="B2076" s="20" t="s">
        <v>16</v>
      </c>
      <c r="C2076" s="20" t="s">
        <v>89</v>
      </c>
      <c r="D2076" s="20" t="s">
        <v>8</v>
      </c>
      <c r="E2076" s="22">
        <v>169</v>
      </c>
      <c r="F2076" s="22">
        <v>4</v>
      </c>
      <c r="G2076" s="22">
        <v>8</v>
      </c>
      <c r="H2076" s="22"/>
      <c r="I2076" s="23" t="s">
        <v>9</v>
      </c>
      <c r="J2076" s="23"/>
      <c r="K2076" s="22"/>
      <c r="L2076" s="22"/>
      <c r="M2076" s="23"/>
      <c r="N2076" s="23"/>
      <c r="O2076" s="26" t="s">
        <v>3715</v>
      </c>
      <c r="P2076" s="26"/>
      <c r="Q2076" s="22"/>
      <c r="R2076" s="24"/>
      <c r="S2076" s="24"/>
      <c r="T2076" s="24"/>
      <c r="U2076" s="24"/>
      <c r="V2076" s="24"/>
      <c r="W2076" s="22" t="s">
        <v>151</v>
      </c>
      <c r="X2076" s="4" t="str">
        <f>IF(Tabela2[[#This Row],[sigla]]="","",VLOOKUP(Tabela2[[#This Row],[sigla]],créditos_base!B:C,2,0))</f>
        <v>ROGÉRIO CASAGRANDE/ARQUIVO DA EDITORA</v>
      </c>
      <c r="Y2076" s="23"/>
      <c r="Z2076" s="23" t="str">
        <f>Tabela2[[#This Row],[ilustrador]]</f>
        <v>ROGÉRIO CASAGRANDE/ARQUIVO DA EDITORA</v>
      </c>
      <c r="AA2076" s="22"/>
      <c r="AB2076" s="20"/>
      <c r="AD2076" s="4" t="str">
        <f>"Pitanguá"</f>
        <v>Pitanguá</v>
      </c>
      <c r="AE2076" s="14" t="str">
        <f>"Matemática"</f>
        <v>Matemática</v>
      </c>
      <c r="AF2076" s="14"/>
    </row>
    <row r="2077" spans="1:32" ht="28.8" x14ac:dyDescent="0.3">
      <c r="A2077" s="23" t="s">
        <v>4916</v>
      </c>
      <c r="B2077" s="20" t="s">
        <v>6</v>
      </c>
      <c r="C2077" s="20" t="s">
        <v>89</v>
      </c>
      <c r="D2077" s="20" t="s">
        <v>8</v>
      </c>
      <c r="E2077" s="22">
        <v>222</v>
      </c>
      <c r="F2077" s="22">
        <v>3</v>
      </c>
      <c r="G2077" s="22">
        <v>8</v>
      </c>
      <c r="H2077" s="22"/>
      <c r="I2077" s="23" t="s">
        <v>90</v>
      </c>
      <c r="J2077" s="23"/>
      <c r="K2077" s="22"/>
      <c r="L2077" s="22"/>
      <c r="M2077" s="23"/>
      <c r="N2077" s="23"/>
      <c r="O2077" s="26" t="s">
        <v>4917</v>
      </c>
      <c r="P2077" s="26"/>
      <c r="Q2077" s="22">
        <v>87</v>
      </c>
      <c r="R2077" s="24">
        <v>45838</v>
      </c>
      <c r="S2077" s="24">
        <v>45839</v>
      </c>
      <c r="T2077" s="24"/>
      <c r="U2077" s="24"/>
      <c r="V2077" s="24">
        <v>45841</v>
      </c>
      <c r="W2077" s="22" t="s">
        <v>468</v>
      </c>
      <c r="X2077" s="4" t="str">
        <f>IF(Tabela2[[#This Row],[sigla]]="","",VLOOKUP(Tabela2[[#This Row],[sigla]],créditos_base!B:C,2,0))</f>
        <v>VER DOCUMENTO DE ILS. TÉCNICAS</v>
      </c>
      <c r="Y2077" s="23" t="s">
        <v>4893</v>
      </c>
      <c r="Z2077" s="32" t="s">
        <v>661</v>
      </c>
      <c r="AA2077" s="22">
        <v>8</v>
      </c>
      <c r="AB2077" s="20" t="s">
        <v>4886</v>
      </c>
      <c r="AC2077" s="20" t="s">
        <v>310</v>
      </c>
      <c r="AD2077" s="4" t="str">
        <f>"Pitanguá"</f>
        <v>Pitanguá</v>
      </c>
      <c r="AE2077" s="14" t="str">
        <f>"Matemática"</f>
        <v>Matemática</v>
      </c>
      <c r="AF2077" s="14"/>
    </row>
    <row r="2078" spans="1:32" x14ac:dyDescent="0.3">
      <c r="A2078" s="23" t="s">
        <v>3716</v>
      </c>
      <c r="B2078" s="20" t="s">
        <v>16</v>
      </c>
      <c r="C2078" s="20" t="s">
        <v>89</v>
      </c>
      <c r="D2078" s="20" t="s">
        <v>8</v>
      </c>
      <c r="E2078" s="22">
        <v>169</v>
      </c>
      <c r="F2078" s="22">
        <v>4</v>
      </c>
      <c r="G2078" s="22">
        <v>8</v>
      </c>
      <c r="H2078" s="22"/>
      <c r="I2078" s="23" t="s">
        <v>9</v>
      </c>
      <c r="J2078" s="23"/>
      <c r="K2078" s="22"/>
      <c r="L2078" s="22"/>
      <c r="M2078" s="23"/>
      <c r="N2078" s="23"/>
      <c r="O2078" s="26" t="s">
        <v>3717</v>
      </c>
      <c r="P2078" s="26"/>
      <c r="Q2078" s="22"/>
      <c r="R2078" s="24"/>
      <c r="S2078" s="24"/>
      <c r="T2078" s="24"/>
      <c r="U2078" s="24"/>
      <c r="V2078" s="24"/>
      <c r="W2078" s="22" t="s">
        <v>151</v>
      </c>
      <c r="X2078" s="4" t="str">
        <f>IF(Tabela2[[#This Row],[sigla]]="","",VLOOKUP(Tabela2[[#This Row],[sigla]],créditos_base!B:C,2,0))</f>
        <v>ROGÉRIO CASAGRANDE/ARQUIVO DA EDITORA</v>
      </c>
      <c r="Y2078" s="23"/>
      <c r="Z2078" s="23" t="str">
        <f>Tabela2[[#This Row],[ilustrador]]</f>
        <v>ROGÉRIO CASAGRANDE/ARQUIVO DA EDITORA</v>
      </c>
      <c r="AA2078" s="22"/>
      <c r="AB2078" s="20"/>
      <c r="AD2078" s="4" t="str">
        <f>"Pitanguá"</f>
        <v>Pitanguá</v>
      </c>
      <c r="AE2078" s="14" t="str">
        <f>"Matemática"</f>
        <v>Matemática</v>
      </c>
      <c r="AF2078" s="14"/>
    </row>
    <row r="2079" spans="1:32" ht="28.8" x14ac:dyDescent="0.3">
      <c r="A2079" s="23" t="s">
        <v>3718</v>
      </c>
      <c r="B2079" s="20" t="s">
        <v>16</v>
      </c>
      <c r="C2079" s="20" t="s">
        <v>7</v>
      </c>
      <c r="D2079" s="20" t="s">
        <v>8</v>
      </c>
      <c r="E2079" s="22">
        <v>170</v>
      </c>
      <c r="F2079" s="22">
        <v>4</v>
      </c>
      <c r="G2079" s="22">
        <v>8</v>
      </c>
      <c r="H2079" s="22"/>
      <c r="I2079" s="23" t="s">
        <v>9</v>
      </c>
      <c r="J2079" s="23"/>
      <c r="K2079" s="22"/>
      <c r="L2079" s="22"/>
      <c r="M2079" s="23"/>
      <c r="N2079" s="23"/>
      <c r="O2079" s="26" t="s">
        <v>3719</v>
      </c>
      <c r="P2079" s="26"/>
      <c r="Q2079" s="22"/>
      <c r="R2079" s="24"/>
      <c r="S2079" s="24"/>
      <c r="T2079" s="24"/>
      <c r="U2079" s="24"/>
      <c r="V2079" s="24"/>
      <c r="W2079" s="22" t="s">
        <v>31</v>
      </c>
      <c r="X2079" s="4" t="str">
        <f>IF(Tabela2[[#This Row],[sigla]]="","",VLOOKUP(Tabela2[[#This Row],[sigla]],créditos_base!B:C,2,0))</f>
        <v>SILVIA OTOFUJI/ARQUIVO DA EDITORA</v>
      </c>
      <c r="Y2079" s="23"/>
      <c r="Z2079" s="23" t="str">
        <f>Tabela2[[#This Row],[ilustrador]]</f>
        <v>SILVIA OTOFUJI/ARQUIVO DA EDITORA</v>
      </c>
      <c r="AA2079" s="22"/>
      <c r="AB2079" s="20"/>
      <c r="AD2079" s="4" t="str">
        <f>"Pitanguá"</f>
        <v>Pitanguá</v>
      </c>
      <c r="AE2079" s="14" t="str">
        <f>"Matemática"</f>
        <v>Matemática</v>
      </c>
      <c r="AF2079" s="14"/>
    </row>
    <row r="2080" spans="1:32" ht="28.8" x14ac:dyDescent="0.3">
      <c r="A2080" s="23" t="s">
        <v>4900</v>
      </c>
      <c r="B2080" s="20" t="s">
        <v>16</v>
      </c>
      <c r="C2080" s="20" t="s">
        <v>89</v>
      </c>
      <c r="D2080" s="20" t="s">
        <v>8</v>
      </c>
      <c r="E2080" s="22">
        <v>212</v>
      </c>
      <c r="F2080" s="22">
        <v>3</v>
      </c>
      <c r="G2080" s="22">
        <v>8</v>
      </c>
      <c r="H2080" s="22"/>
      <c r="I2080" s="23" t="s">
        <v>90</v>
      </c>
      <c r="J2080" s="23"/>
      <c r="K2080" s="22"/>
      <c r="L2080" s="22"/>
      <c r="M2080" s="23"/>
      <c r="N2080" s="23"/>
      <c r="O2080" s="26" t="s">
        <v>4901</v>
      </c>
      <c r="P2080" s="26"/>
      <c r="Q2080" s="22">
        <v>87</v>
      </c>
      <c r="R2080" s="24">
        <v>45838</v>
      </c>
      <c r="S2080" s="24">
        <v>45839</v>
      </c>
      <c r="T2080" s="24"/>
      <c r="U2080" s="24"/>
      <c r="V2080" s="24">
        <v>45841</v>
      </c>
      <c r="W2080" s="22" t="s">
        <v>468</v>
      </c>
      <c r="X2080" s="4" t="str">
        <f>IF(Tabela2[[#This Row],[sigla]]="","",VLOOKUP(Tabela2[[#This Row],[sigla]],créditos_base!B:C,2,0))</f>
        <v>VER DOCUMENTO DE ILS. TÉCNICAS</v>
      </c>
      <c r="Y2080" s="23" t="s">
        <v>4893</v>
      </c>
      <c r="Z2080" s="32" t="s">
        <v>661</v>
      </c>
      <c r="AA2080" s="22">
        <v>8</v>
      </c>
      <c r="AB2080" s="20" t="s">
        <v>4886</v>
      </c>
      <c r="AC2080" s="20" t="s">
        <v>310</v>
      </c>
      <c r="AD2080" s="4" t="str">
        <f>"Pitanguá"</f>
        <v>Pitanguá</v>
      </c>
      <c r="AE2080" s="14" t="str">
        <f>"Matemática"</f>
        <v>Matemática</v>
      </c>
      <c r="AF2080" s="14"/>
    </row>
    <row r="2081" spans="1:32" x14ac:dyDescent="0.3">
      <c r="A2081" s="23" t="s">
        <v>3720</v>
      </c>
      <c r="B2081" s="20" t="s">
        <v>16</v>
      </c>
      <c r="C2081" s="20" t="s">
        <v>7</v>
      </c>
      <c r="D2081" s="20" t="s">
        <v>8</v>
      </c>
      <c r="E2081" s="22">
        <v>170</v>
      </c>
      <c r="F2081" s="22">
        <v>4</v>
      </c>
      <c r="G2081" s="22">
        <v>8</v>
      </c>
      <c r="H2081" s="22"/>
      <c r="I2081" s="23" t="s">
        <v>9</v>
      </c>
      <c r="J2081" s="23"/>
      <c r="K2081" s="22"/>
      <c r="L2081" s="22"/>
      <c r="M2081" s="23"/>
      <c r="N2081" s="23"/>
      <c r="O2081" s="26" t="s">
        <v>3721</v>
      </c>
      <c r="P2081" s="26"/>
      <c r="Q2081" s="22"/>
      <c r="R2081" s="24"/>
      <c r="S2081" s="24"/>
      <c r="T2081" s="24"/>
      <c r="U2081" s="24"/>
      <c r="V2081" s="24"/>
      <c r="W2081" s="22" t="s">
        <v>31</v>
      </c>
      <c r="X2081" s="4" t="str">
        <f>IF(Tabela2[[#This Row],[sigla]]="","",VLOOKUP(Tabela2[[#This Row],[sigla]],créditos_base!B:C,2,0))</f>
        <v>SILVIA OTOFUJI/ARQUIVO DA EDITORA</v>
      </c>
      <c r="Y2081" s="23"/>
      <c r="Z2081" s="23" t="str">
        <f>Tabela2[[#This Row],[ilustrador]]</f>
        <v>SILVIA OTOFUJI/ARQUIVO DA EDITORA</v>
      </c>
      <c r="AA2081" s="22"/>
      <c r="AB2081" s="20"/>
      <c r="AD2081" s="4" t="str">
        <f>"Pitanguá"</f>
        <v>Pitanguá</v>
      </c>
      <c r="AE2081" s="14" t="str">
        <f>"Matemática"</f>
        <v>Matemática</v>
      </c>
      <c r="AF2081" s="14"/>
    </row>
    <row r="2082" spans="1:32" ht="28.8" x14ac:dyDescent="0.3">
      <c r="A2082" s="23" t="s">
        <v>4902</v>
      </c>
      <c r="B2082" s="20" t="s">
        <v>16</v>
      </c>
      <c r="C2082" s="20" t="s">
        <v>89</v>
      </c>
      <c r="D2082" s="20" t="s">
        <v>8</v>
      </c>
      <c r="E2082" s="22">
        <v>212</v>
      </c>
      <c r="F2082" s="22">
        <v>3</v>
      </c>
      <c r="G2082" s="22">
        <v>8</v>
      </c>
      <c r="H2082" s="22"/>
      <c r="I2082" s="23" t="s">
        <v>90</v>
      </c>
      <c r="J2082" s="23"/>
      <c r="K2082" s="22"/>
      <c r="L2082" s="22"/>
      <c r="M2082" s="23"/>
      <c r="N2082" s="23"/>
      <c r="O2082" s="26" t="s">
        <v>4903</v>
      </c>
      <c r="P2082" s="26"/>
      <c r="Q2082" s="22">
        <v>87</v>
      </c>
      <c r="R2082" s="24">
        <v>45838</v>
      </c>
      <c r="S2082" s="24">
        <v>45839</v>
      </c>
      <c r="T2082" s="24"/>
      <c r="U2082" s="24"/>
      <c r="V2082" s="24">
        <v>45841</v>
      </c>
      <c r="W2082" s="22" t="s">
        <v>468</v>
      </c>
      <c r="X2082" s="4" t="str">
        <f>IF(Tabela2[[#This Row],[sigla]]="","",VLOOKUP(Tabela2[[#This Row],[sigla]],créditos_base!B:C,2,0))</f>
        <v>VER DOCUMENTO DE ILS. TÉCNICAS</v>
      </c>
      <c r="Y2082" s="23" t="s">
        <v>4893</v>
      </c>
      <c r="Z2082" s="32" t="s">
        <v>661</v>
      </c>
      <c r="AA2082" s="22">
        <v>8</v>
      </c>
      <c r="AB2082" s="20" t="s">
        <v>4886</v>
      </c>
      <c r="AC2082" s="20" t="s">
        <v>310</v>
      </c>
      <c r="AD2082" s="4" t="str">
        <f>"Pitanguá"</f>
        <v>Pitanguá</v>
      </c>
      <c r="AE2082" s="14" t="str">
        <f>"Matemática"</f>
        <v>Matemática</v>
      </c>
      <c r="AF2082" s="14"/>
    </row>
    <row r="2083" spans="1:32" x14ac:dyDescent="0.3">
      <c r="A2083" s="23" t="s">
        <v>3722</v>
      </c>
      <c r="B2083" s="20" t="s">
        <v>16</v>
      </c>
      <c r="C2083" s="20" t="s">
        <v>7</v>
      </c>
      <c r="D2083" s="20" t="s">
        <v>8</v>
      </c>
      <c r="E2083" s="22">
        <v>170</v>
      </c>
      <c r="F2083" s="22">
        <v>4</v>
      </c>
      <c r="G2083" s="22">
        <v>8</v>
      </c>
      <c r="H2083" s="22"/>
      <c r="I2083" s="23" t="s">
        <v>9</v>
      </c>
      <c r="J2083" s="23"/>
      <c r="K2083" s="22"/>
      <c r="L2083" s="22"/>
      <c r="M2083" s="23"/>
      <c r="N2083" s="23"/>
      <c r="O2083" s="26" t="s">
        <v>3723</v>
      </c>
      <c r="P2083" s="26"/>
      <c r="Q2083" s="22"/>
      <c r="R2083" s="24"/>
      <c r="S2083" s="24"/>
      <c r="T2083" s="24"/>
      <c r="U2083" s="24"/>
      <c r="V2083" s="24"/>
      <c r="W2083" s="22" t="s">
        <v>31</v>
      </c>
      <c r="X2083" s="4" t="str">
        <f>IF(Tabela2[[#This Row],[sigla]]="","",VLOOKUP(Tabela2[[#This Row],[sigla]],créditos_base!B:C,2,0))</f>
        <v>SILVIA OTOFUJI/ARQUIVO DA EDITORA</v>
      </c>
      <c r="Y2083" s="23"/>
      <c r="Z2083" s="23" t="str">
        <f>Tabela2[[#This Row],[ilustrador]]</f>
        <v>SILVIA OTOFUJI/ARQUIVO DA EDITORA</v>
      </c>
      <c r="AA2083" s="22"/>
      <c r="AB2083" s="20"/>
      <c r="AD2083" s="4" t="str">
        <f>"Pitanguá"</f>
        <v>Pitanguá</v>
      </c>
      <c r="AE2083" s="14" t="str">
        <f>"Matemática"</f>
        <v>Matemática</v>
      </c>
      <c r="AF2083" s="14"/>
    </row>
    <row r="2084" spans="1:32" ht="28.8" x14ac:dyDescent="0.3">
      <c r="A2084" s="23" t="s">
        <v>4904</v>
      </c>
      <c r="B2084" s="20" t="s">
        <v>16</v>
      </c>
      <c r="C2084" s="20" t="s">
        <v>89</v>
      </c>
      <c r="D2084" s="20" t="s">
        <v>8</v>
      </c>
      <c r="E2084" s="22">
        <v>212</v>
      </c>
      <c r="F2084" s="22">
        <v>3</v>
      </c>
      <c r="G2084" s="22">
        <v>8</v>
      </c>
      <c r="H2084" s="22"/>
      <c r="I2084" s="23" t="s">
        <v>90</v>
      </c>
      <c r="J2084" s="23"/>
      <c r="K2084" s="22"/>
      <c r="L2084" s="22"/>
      <c r="M2084" s="23"/>
      <c r="N2084" s="23"/>
      <c r="O2084" s="26" t="s">
        <v>4905</v>
      </c>
      <c r="P2084" s="26"/>
      <c r="Q2084" s="22">
        <v>87</v>
      </c>
      <c r="R2084" s="24">
        <v>45838</v>
      </c>
      <c r="S2084" s="24">
        <v>45839</v>
      </c>
      <c r="T2084" s="24"/>
      <c r="U2084" s="24"/>
      <c r="V2084" s="24">
        <v>45841</v>
      </c>
      <c r="W2084" s="22" t="s">
        <v>468</v>
      </c>
      <c r="X2084" s="4" t="str">
        <f>IF(Tabela2[[#This Row],[sigla]]="","",VLOOKUP(Tabela2[[#This Row],[sigla]],créditos_base!B:C,2,0))</f>
        <v>VER DOCUMENTO DE ILS. TÉCNICAS</v>
      </c>
      <c r="Y2084" s="23" t="s">
        <v>4893</v>
      </c>
      <c r="Z2084" s="32" t="s">
        <v>661</v>
      </c>
      <c r="AA2084" s="22">
        <v>8</v>
      </c>
      <c r="AB2084" s="20" t="s">
        <v>4886</v>
      </c>
      <c r="AC2084" s="20" t="s">
        <v>310</v>
      </c>
      <c r="AD2084" s="4" t="str">
        <f>"Pitanguá"</f>
        <v>Pitanguá</v>
      </c>
      <c r="AE2084" s="14" t="str">
        <f>"Matemática"</f>
        <v>Matemática</v>
      </c>
      <c r="AF2084" s="14"/>
    </row>
    <row r="2085" spans="1:32" x14ac:dyDescent="0.3">
      <c r="A2085" s="23" t="s">
        <v>3724</v>
      </c>
      <c r="B2085" s="20" t="s">
        <v>16</v>
      </c>
      <c r="C2085" s="20" t="s">
        <v>7</v>
      </c>
      <c r="D2085" s="20" t="s">
        <v>8</v>
      </c>
      <c r="E2085" s="22">
        <v>170</v>
      </c>
      <c r="F2085" s="22">
        <v>4</v>
      </c>
      <c r="G2085" s="22">
        <v>8</v>
      </c>
      <c r="H2085" s="22"/>
      <c r="I2085" s="23" t="s">
        <v>33</v>
      </c>
      <c r="J2085" s="23"/>
      <c r="K2085" s="22"/>
      <c r="L2085" s="22"/>
      <c r="M2085" s="23"/>
      <c r="N2085" s="23"/>
      <c r="O2085" s="26" t="s">
        <v>3725</v>
      </c>
      <c r="P2085" s="26"/>
      <c r="Q2085" s="22">
        <v>189</v>
      </c>
      <c r="R2085" s="24">
        <v>45912</v>
      </c>
      <c r="S2085" s="24">
        <v>45912</v>
      </c>
      <c r="T2085" s="24"/>
      <c r="U2085" s="24"/>
      <c r="V2085" s="24">
        <v>45912</v>
      </c>
      <c r="W2085" s="22" t="s">
        <v>31</v>
      </c>
      <c r="X2085" s="4" t="str">
        <f>IF(Tabela2[[#This Row],[sigla]]="","",VLOOKUP(Tabela2[[#This Row],[sigla]],créditos_base!B:C,2,0))</f>
        <v>SILVIA OTOFUJI/ARQUIVO DA EDITORA</v>
      </c>
      <c r="Y2085" s="23" t="s">
        <v>813</v>
      </c>
      <c r="Z2085" s="23" t="str">
        <f>Tabela2[[#This Row],[ilustrador]]</f>
        <v>SILVIA OTOFUJI/ARQUIVO DA EDITORA</v>
      </c>
      <c r="AA2085" s="22">
        <v>13</v>
      </c>
      <c r="AB2085" s="20" t="s">
        <v>525</v>
      </c>
      <c r="AC2085" s="20" t="s">
        <v>36</v>
      </c>
      <c r="AD2085" s="4" t="str">
        <f>"Pitanguá"</f>
        <v>Pitanguá</v>
      </c>
      <c r="AE2085" s="14" t="str">
        <f>"Matemática"</f>
        <v>Matemática</v>
      </c>
      <c r="AF2085" s="14"/>
    </row>
    <row r="2086" spans="1:32" x14ac:dyDescent="0.3">
      <c r="A2086" s="23" t="s">
        <v>4906</v>
      </c>
      <c r="B2086" s="20" t="s">
        <v>16</v>
      </c>
      <c r="C2086" s="20" t="s">
        <v>89</v>
      </c>
      <c r="D2086" s="20" t="s">
        <v>8</v>
      </c>
      <c r="E2086" s="22">
        <v>212</v>
      </c>
      <c r="F2086" s="22">
        <v>3</v>
      </c>
      <c r="G2086" s="22">
        <v>8</v>
      </c>
      <c r="H2086" s="22"/>
      <c r="I2086" s="23" t="s">
        <v>90</v>
      </c>
      <c r="J2086" s="23"/>
      <c r="K2086" s="22"/>
      <c r="L2086" s="22"/>
      <c r="M2086" s="23"/>
      <c r="N2086" s="23"/>
      <c r="O2086" s="26" t="s">
        <v>4907</v>
      </c>
      <c r="P2086" s="26"/>
      <c r="Q2086" s="22">
        <v>87</v>
      </c>
      <c r="R2086" s="24">
        <v>45838</v>
      </c>
      <c r="S2086" s="24">
        <v>45839</v>
      </c>
      <c r="T2086" s="24"/>
      <c r="U2086" s="24"/>
      <c r="V2086" s="24">
        <v>45841</v>
      </c>
      <c r="W2086" s="22" t="s">
        <v>468</v>
      </c>
      <c r="X2086" s="4" t="str">
        <f>IF(Tabela2[[#This Row],[sigla]]="","",VLOOKUP(Tabela2[[#This Row],[sigla]],créditos_base!B:C,2,0))</f>
        <v>VER DOCUMENTO DE ILS. TÉCNICAS</v>
      </c>
      <c r="Y2086" s="23" t="s">
        <v>4893</v>
      </c>
      <c r="Z2086" s="32" t="s">
        <v>661</v>
      </c>
      <c r="AA2086" s="22">
        <v>8</v>
      </c>
      <c r="AB2086" s="20" t="s">
        <v>4886</v>
      </c>
      <c r="AC2086" s="20" t="s">
        <v>310</v>
      </c>
      <c r="AD2086" s="4" t="str">
        <f>"Pitanguá"</f>
        <v>Pitanguá</v>
      </c>
      <c r="AE2086" s="14" t="str">
        <f>"Matemática"</f>
        <v>Matemática</v>
      </c>
      <c r="AF2086" s="14"/>
    </row>
    <row r="2087" spans="1:32" x14ac:dyDescent="0.3">
      <c r="A2087" s="23" t="s">
        <v>3726</v>
      </c>
      <c r="B2087" s="20" t="s">
        <v>16</v>
      </c>
      <c r="C2087" s="20" t="s">
        <v>89</v>
      </c>
      <c r="D2087" s="20" t="s">
        <v>8</v>
      </c>
      <c r="E2087" s="22">
        <v>171</v>
      </c>
      <c r="F2087" s="22">
        <v>4</v>
      </c>
      <c r="G2087" s="22">
        <v>8</v>
      </c>
      <c r="H2087" s="22"/>
      <c r="I2087" s="23" t="s">
        <v>9</v>
      </c>
      <c r="J2087" s="23"/>
      <c r="K2087" s="22"/>
      <c r="L2087" s="22"/>
      <c r="M2087" s="23"/>
      <c r="N2087" s="23"/>
      <c r="O2087" s="26" t="s">
        <v>3727</v>
      </c>
      <c r="P2087" s="26"/>
      <c r="Q2087" s="22"/>
      <c r="R2087" s="24"/>
      <c r="S2087" s="24"/>
      <c r="T2087" s="24"/>
      <c r="U2087" s="24"/>
      <c r="V2087" s="24"/>
      <c r="W2087" s="22" t="s">
        <v>940</v>
      </c>
      <c r="X2087" s="4" t="str">
        <f>IF(Tabela2[[#This Row],[sigla]]="","",VLOOKUP(Tabela2[[#This Row],[sigla]],créditos_base!B:C,2,0))</f>
        <v>RONALDO LUCENA/ARQUIVO DA EDITORA</v>
      </c>
      <c r="Y2087" s="23"/>
      <c r="Z2087" s="23" t="str">
        <f>Tabela2[[#This Row],[ilustrador]]</f>
        <v>RONALDO LUCENA/ARQUIVO DA EDITORA</v>
      </c>
      <c r="AA2087" s="22"/>
      <c r="AB2087" s="20"/>
      <c r="AD2087" s="4" t="str">
        <f>"Pitanguá"</f>
        <v>Pitanguá</v>
      </c>
      <c r="AE2087" s="14" t="str">
        <f>"Matemática"</f>
        <v>Matemática</v>
      </c>
      <c r="AF2087" s="14"/>
    </row>
    <row r="2088" spans="1:32" x14ac:dyDescent="0.3">
      <c r="A2088" s="23" t="s">
        <v>5083</v>
      </c>
      <c r="B2088" s="20" t="s">
        <v>16</v>
      </c>
      <c r="C2088" s="20" t="s">
        <v>7</v>
      </c>
      <c r="D2088" s="20" t="s">
        <v>8</v>
      </c>
      <c r="E2088" s="22">
        <v>220</v>
      </c>
      <c r="F2088" s="22">
        <v>3</v>
      </c>
      <c r="G2088" s="22">
        <v>8</v>
      </c>
      <c r="H2088" s="22"/>
      <c r="I2088" s="23" t="s">
        <v>90</v>
      </c>
      <c r="J2088" s="23"/>
      <c r="K2088" s="22"/>
      <c r="L2088" s="22"/>
      <c r="M2088" s="23"/>
      <c r="N2088" s="23"/>
      <c r="O2088" s="26" t="s">
        <v>5084</v>
      </c>
      <c r="P2088" s="26"/>
      <c r="Q2088" s="22">
        <v>96</v>
      </c>
      <c r="R2088" s="24">
        <v>45845</v>
      </c>
      <c r="S2088" s="24">
        <v>45845</v>
      </c>
      <c r="T2088" s="24">
        <v>45853</v>
      </c>
      <c r="U2088" s="24">
        <v>45855</v>
      </c>
      <c r="V2088" s="24">
        <v>45861</v>
      </c>
      <c r="W2088" s="22" t="s">
        <v>2221</v>
      </c>
      <c r="X2088" s="4" t="str">
        <f>IF(Tabela2[[#This Row],[sigla]]="","",VLOOKUP(Tabela2[[#This Row],[sigla]],créditos_base!B:C,2,0))</f>
        <v>REINALDO ROSA/ARQUIVO DA EDITORA</v>
      </c>
      <c r="Y2088" s="23"/>
      <c r="Z2088" s="23" t="str">
        <f>Tabela2[[#This Row],[ilustrador]]</f>
        <v>REINALDO ROSA/ARQUIVO DA EDITORA</v>
      </c>
      <c r="AA2088" s="22">
        <v>6</v>
      </c>
      <c r="AB2088" s="26" t="s">
        <v>5085</v>
      </c>
      <c r="AC2088" s="20" t="s">
        <v>310</v>
      </c>
      <c r="AD2088" s="4" t="str">
        <f>"Pitanguá"</f>
        <v>Pitanguá</v>
      </c>
      <c r="AE2088" s="14" t="str">
        <f>"Matemática"</f>
        <v>Matemática</v>
      </c>
      <c r="AF2088" s="14"/>
    </row>
    <row r="2089" spans="1:32" x14ac:dyDescent="0.3">
      <c r="A2089" s="23" t="s">
        <v>3728</v>
      </c>
      <c r="B2089" s="20" t="s">
        <v>16</v>
      </c>
      <c r="C2089" s="20" t="s">
        <v>7</v>
      </c>
      <c r="D2089" s="20" t="s">
        <v>8</v>
      </c>
      <c r="E2089" s="22">
        <v>171</v>
      </c>
      <c r="F2089" s="22">
        <v>4</v>
      </c>
      <c r="G2089" s="22">
        <v>8</v>
      </c>
      <c r="H2089" s="22"/>
      <c r="I2089" s="23" t="s">
        <v>9</v>
      </c>
      <c r="J2089" s="23"/>
      <c r="K2089" s="22"/>
      <c r="L2089" s="22"/>
      <c r="M2089" s="23"/>
      <c r="N2089" s="23"/>
      <c r="O2089" s="26" t="s">
        <v>3729</v>
      </c>
      <c r="P2089" s="26"/>
      <c r="Q2089" s="22"/>
      <c r="R2089" s="24"/>
      <c r="S2089" s="24"/>
      <c r="T2089" s="24"/>
      <c r="U2089" s="24"/>
      <c r="V2089" s="24"/>
      <c r="W2089" s="22" t="s">
        <v>31</v>
      </c>
      <c r="X2089" s="4" t="str">
        <f>IF(Tabela2[[#This Row],[sigla]]="","",VLOOKUP(Tabela2[[#This Row],[sigla]],créditos_base!B:C,2,0))</f>
        <v>SILVIA OTOFUJI/ARQUIVO DA EDITORA</v>
      </c>
      <c r="Y2089" s="23"/>
      <c r="Z2089" s="23" t="str">
        <f>Tabela2[[#This Row],[ilustrador]]</f>
        <v>SILVIA OTOFUJI/ARQUIVO DA EDITORA</v>
      </c>
      <c r="AA2089" s="22"/>
      <c r="AB2089" s="20"/>
      <c r="AD2089" s="4" t="str">
        <f>"Pitanguá"</f>
        <v>Pitanguá</v>
      </c>
      <c r="AE2089" s="14" t="str">
        <f>"Matemática"</f>
        <v>Matemática</v>
      </c>
      <c r="AF2089" s="14"/>
    </row>
    <row r="2090" spans="1:32" x14ac:dyDescent="0.3">
      <c r="A2090" s="23" t="s">
        <v>5086</v>
      </c>
      <c r="B2090" s="20" t="s">
        <v>16</v>
      </c>
      <c r="C2090" s="20" t="s">
        <v>7</v>
      </c>
      <c r="D2090" s="20" t="s">
        <v>8</v>
      </c>
      <c r="E2090" s="22">
        <v>220</v>
      </c>
      <c r="F2090" s="22">
        <v>3</v>
      </c>
      <c r="G2090" s="22">
        <v>8</v>
      </c>
      <c r="H2090" s="22"/>
      <c r="I2090" s="23" t="s">
        <v>90</v>
      </c>
      <c r="J2090" s="23"/>
      <c r="K2090" s="22"/>
      <c r="L2090" s="22"/>
      <c r="M2090" s="23"/>
      <c r="N2090" s="23"/>
      <c r="O2090" s="26" t="s">
        <v>5087</v>
      </c>
      <c r="P2090" s="26"/>
      <c r="Q2090" s="22">
        <v>96</v>
      </c>
      <c r="R2090" s="24">
        <v>45845</v>
      </c>
      <c r="S2090" s="24">
        <v>45845</v>
      </c>
      <c r="T2090" s="24">
        <v>45853</v>
      </c>
      <c r="U2090" s="24">
        <v>45855</v>
      </c>
      <c r="V2090" s="24">
        <v>45861</v>
      </c>
      <c r="W2090" s="22" t="s">
        <v>2221</v>
      </c>
      <c r="X2090" s="4" t="str">
        <f>IF(Tabela2[[#This Row],[sigla]]="","",VLOOKUP(Tabela2[[#This Row],[sigla]],créditos_base!B:C,2,0))</f>
        <v>REINALDO ROSA/ARQUIVO DA EDITORA</v>
      </c>
      <c r="Y2090" s="23"/>
      <c r="Z2090" s="23" t="str">
        <f>Tabela2[[#This Row],[ilustrador]]</f>
        <v>REINALDO ROSA/ARQUIVO DA EDITORA</v>
      </c>
      <c r="AA2090" s="22">
        <v>6</v>
      </c>
      <c r="AB2090" s="26" t="s">
        <v>5085</v>
      </c>
      <c r="AC2090" s="20" t="s">
        <v>310</v>
      </c>
      <c r="AD2090" s="4" t="str">
        <f>"Pitanguá"</f>
        <v>Pitanguá</v>
      </c>
      <c r="AE2090" s="14" t="str">
        <f>"Matemática"</f>
        <v>Matemática</v>
      </c>
      <c r="AF2090" s="14"/>
    </row>
    <row r="2091" spans="1:32" x14ac:dyDescent="0.3">
      <c r="A2091" s="23" t="s">
        <v>3730</v>
      </c>
      <c r="B2091" s="20" t="s">
        <v>16</v>
      </c>
      <c r="C2091" s="20" t="s">
        <v>89</v>
      </c>
      <c r="D2091" s="20" t="s">
        <v>8</v>
      </c>
      <c r="E2091" s="22">
        <v>171</v>
      </c>
      <c r="F2091" s="22">
        <v>4</v>
      </c>
      <c r="G2091" s="22">
        <v>8</v>
      </c>
      <c r="H2091" s="22"/>
      <c r="I2091" s="23" t="s">
        <v>9</v>
      </c>
      <c r="J2091" s="23"/>
      <c r="K2091" s="22"/>
      <c r="L2091" s="22"/>
      <c r="M2091" s="23"/>
      <c r="N2091" s="23"/>
      <c r="O2091" s="26" t="s">
        <v>3731</v>
      </c>
      <c r="P2091" s="26"/>
      <c r="Q2091" s="22"/>
      <c r="R2091" s="24"/>
      <c r="S2091" s="24"/>
      <c r="T2091" s="24"/>
      <c r="U2091" s="24"/>
      <c r="V2091" s="24"/>
      <c r="W2091" s="22" t="s">
        <v>940</v>
      </c>
      <c r="X2091" s="4" t="str">
        <f>IF(Tabela2[[#This Row],[sigla]]="","",VLOOKUP(Tabela2[[#This Row],[sigla]],créditos_base!B:C,2,0))</f>
        <v>RONALDO LUCENA/ARQUIVO DA EDITORA</v>
      </c>
      <c r="Y2091" s="23"/>
      <c r="Z2091" s="23" t="str">
        <f>Tabela2[[#This Row],[ilustrador]]</f>
        <v>RONALDO LUCENA/ARQUIVO DA EDITORA</v>
      </c>
      <c r="AA2091" s="22"/>
      <c r="AB2091" s="20"/>
      <c r="AD2091" s="4" t="str">
        <f>"Pitanguá"</f>
        <v>Pitanguá</v>
      </c>
      <c r="AE2091" s="14" t="str">
        <f>"Matemática"</f>
        <v>Matemática</v>
      </c>
      <c r="AF2091" s="14"/>
    </row>
    <row r="2092" spans="1:32" x14ac:dyDescent="0.3">
      <c r="A2092" s="23" t="s">
        <v>5054</v>
      </c>
      <c r="B2092" s="20" t="s">
        <v>16</v>
      </c>
      <c r="C2092" s="20" t="s">
        <v>89</v>
      </c>
      <c r="D2092" s="20" t="s">
        <v>8</v>
      </c>
      <c r="E2092" s="22">
        <v>209</v>
      </c>
      <c r="F2092" s="22">
        <v>3</v>
      </c>
      <c r="G2092" s="22">
        <v>8</v>
      </c>
      <c r="H2092" s="22"/>
      <c r="I2092" s="23" t="s">
        <v>90</v>
      </c>
      <c r="J2092" s="23"/>
      <c r="K2092" s="22"/>
      <c r="L2092" s="22"/>
      <c r="M2092" s="23"/>
      <c r="N2092" s="23"/>
      <c r="O2092" s="26" t="s">
        <v>5055</v>
      </c>
      <c r="P2092" s="26"/>
      <c r="Q2092" s="22">
        <v>94</v>
      </c>
      <c r="R2092" s="24">
        <v>45841</v>
      </c>
      <c r="S2092" s="24">
        <v>45846</v>
      </c>
      <c r="T2092" s="24"/>
      <c r="U2092" s="24"/>
      <c r="V2092" s="24">
        <v>45847</v>
      </c>
      <c r="W2092" s="22" t="s">
        <v>2675</v>
      </c>
      <c r="X2092" s="4" t="str">
        <f>IF(Tabela2[[#This Row],[sigla]]="","",VLOOKUP(Tabela2[[#This Row],[sigla]],créditos_base!B:C,2,0))</f>
        <v>INGRIDHI BORGES/ARQUIVO DA EDITORA</v>
      </c>
      <c r="Y2092" s="23"/>
      <c r="Z2092" s="23" t="str">
        <f>Tabela2[[#This Row],[ilustrador]]</f>
        <v>INGRIDHI BORGES/ARQUIVO DA EDITORA</v>
      </c>
      <c r="AA2092" s="22">
        <v>8</v>
      </c>
      <c r="AB2092" s="20" t="s">
        <v>2058</v>
      </c>
      <c r="AC2092" s="20" t="s">
        <v>36</v>
      </c>
      <c r="AD2092" s="4" t="str">
        <f>"Pitanguá"</f>
        <v>Pitanguá</v>
      </c>
      <c r="AE2092" s="14" t="str">
        <f>"Matemática"</f>
        <v>Matemática</v>
      </c>
      <c r="AF2092" s="14"/>
    </row>
    <row r="2093" spans="1:32" ht="28.8" x14ac:dyDescent="0.3">
      <c r="A2093" s="23" t="s">
        <v>3732</v>
      </c>
      <c r="B2093" s="20" t="s">
        <v>16</v>
      </c>
      <c r="C2093" s="20" t="s">
        <v>89</v>
      </c>
      <c r="D2093" s="20" t="s">
        <v>8</v>
      </c>
      <c r="E2093" s="22">
        <v>171</v>
      </c>
      <c r="F2093" s="22">
        <v>4</v>
      </c>
      <c r="G2093" s="22">
        <v>8</v>
      </c>
      <c r="H2093" s="22"/>
      <c r="I2093" s="23" t="s">
        <v>9</v>
      </c>
      <c r="J2093" s="23"/>
      <c r="K2093" s="22"/>
      <c r="L2093" s="22"/>
      <c r="M2093" s="23"/>
      <c r="N2093" s="23"/>
      <c r="O2093" s="26" t="s">
        <v>3733</v>
      </c>
      <c r="P2093" s="26"/>
      <c r="Q2093" s="22"/>
      <c r="R2093" s="24"/>
      <c r="S2093" s="24"/>
      <c r="T2093" s="24"/>
      <c r="U2093" s="24"/>
      <c r="V2093" s="24"/>
      <c r="W2093" s="22" t="s">
        <v>940</v>
      </c>
      <c r="X2093" s="4" t="str">
        <f>IF(Tabela2[[#This Row],[sigla]]="","",VLOOKUP(Tabela2[[#This Row],[sigla]],créditos_base!B:C,2,0))</f>
        <v>RONALDO LUCENA/ARQUIVO DA EDITORA</v>
      </c>
      <c r="Y2093" s="23"/>
      <c r="Z2093" s="23" t="str">
        <f>Tabela2[[#This Row],[ilustrador]]</f>
        <v>RONALDO LUCENA/ARQUIVO DA EDITORA</v>
      </c>
      <c r="AA2093" s="22"/>
      <c r="AB2093" s="20"/>
      <c r="AD2093" s="4" t="str">
        <f>"Pitanguá"</f>
        <v>Pitanguá</v>
      </c>
      <c r="AE2093" s="14" t="str">
        <f>"Matemática"</f>
        <v>Matemática</v>
      </c>
      <c r="AF2093" s="14"/>
    </row>
    <row r="2094" spans="1:32" x14ac:dyDescent="0.3">
      <c r="A2094" s="23" t="s">
        <v>5056</v>
      </c>
      <c r="B2094" s="20" t="s">
        <v>16</v>
      </c>
      <c r="C2094" s="20" t="s">
        <v>89</v>
      </c>
      <c r="D2094" s="20" t="s">
        <v>8</v>
      </c>
      <c r="E2094" s="22">
        <v>209</v>
      </c>
      <c r="F2094" s="22">
        <v>3</v>
      </c>
      <c r="G2094" s="22">
        <v>8</v>
      </c>
      <c r="H2094" s="22"/>
      <c r="I2094" s="23" t="s">
        <v>90</v>
      </c>
      <c r="J2094" s="23"/>
      <c r="K2094" s="22"/>
      <c r="L2094" s="22"/>
      <c r="M2094" s="23"/>
      <c r="N2094" s="23"/>
      <c r="O2094" s="26" t="s">
        <v>5057</v>
      </c>
      <c r="P2094" s="26"/>
      <c r="Q2094" s="22">
        <v>94</v>
      </c>
      <c r="R2094" s="24">
        <v>45841</v>
      </c>
      <c r="S2094" s="24">
        <v>45846</v>
      </c>
      <c r="T2094" s="24"/>
      <c r="U2094" s="24"/>
      <c r="V2094" s="24">
        <v>45847</v>
      </c>
      <c r="W2094" s="22" t="s">
        <v>2675</v>
      </c>
      <c r="X2094" s="4" t="str">
        <f>IF(Tabela2[[#This Row],[sigla]]="","",VLOOKUP(Tabela2[[#This Row],[sigla]],créditos_base!B:C,2,0))</f>
        <v>INGRIDHI BORGES/ARQUIVO DA EDITORA</v>
      </c>
      <c r="Y2094" s="23"/>
      <c r="Z2094" s="23" t="str">
        <f>Tabela2[[#This Row],[ilustrador]]</f>
        <v>INGRIDHI BORGES/ARQUIVO DA EDITORA</v>
      </c>
      <c r="AA2094" s="22">
        <v>8</v>
      </c>
      <c r="AB2094" s="20" t="s">
        <v>2058</v>
      </c>
      <c r="AC2094" s="20" t="s">
        <v>36</v>
      </c>
      <c r="AD2094" s="4" t="str">
        <f>"Pitanguá"</f>
        <v>Pitanguá</v>
      </c>
      <c r="AE2094" s="14" t="str">
        <f>"Matemática"</f>
        <v>Matemática</v>
      </c>
      <c r="AF2094" s="14"/>
    </row>
    <row r="2095" spans="1:32" ht="28.8" x14ac:dyDescent="0.3">
      <c r="A2095" s="23" t="s">
        <v>3734</v>
      </c>
      <c r="B2095" s="20" t="s">
        <v>16</v>
      </c>
      <c r="C2095" s="20" t="s">
        <v>89</v>
      </c>
      <c r="D2095" s="20" t="s">
        <v>8</v>
      </c>
      <c r="E2095" s="22">
        <v>171</v>
      </c>
      <c r="F2095" s="22">
        <v>4</v>
      </c>
      <c r="G2095" s="22">
        <v>8</v>
      </c>
      <c r="H2095" s="22"/>
      <c r="I2095" s="23" t="s">
        <v>9</v>
      </c>
      <c r="J2095" s="23"/>
      <c r="K2095" s="22"/>
      <c r="L2095" s="22"/>
      <c r="M2095" s="23"/>
      <c r="N2095" s="23"/>
      <c r="O2095" s="26" t="s">
        <v>3735</v>
      </c>
      <c r="P2095" s="26"/>
      <c r="Q2095" s="22"/>
      <c r="R2095" s="24"/>
      <c r="S2095" s="24"/>
      <c r="T2095" s="24"/>
      <c r="U2095" s="24"/>
      <c r="V2095" s="24"/>
      <c r="W2095" s="22" t="s">
        <v>940</v>
      </c>
      <c r="X2095" s="4" t="str">
        <f>IF(Tabela2[[#This Row],[sigla]]="","",VLOOKUP(Tabela2[[#This Row],[sigla]],créditos_base!B:C,2,0))</f>
        <v>RONALDO LUCENA/ARQUIVO DA EDITORA</v>
      </c>
      <c r="Y2095" s="23"/>
      <c r="Z2095" s="23" t="str">
        <f>Tabela2[[#This Row],[ilustrador]]</f>
        <v>RONALDO LUCENA/ARQUIVO DA EDITORA</v>
      </c>
      <c r="AA2095" s="22"/>
      <c r="AB2095" s="20"/>
      <c r="AD2095" s="4" t="str">
        <f>"Pitanguá"</f>
        <v>Pitanguá</v>
      </c>
      <c r="AE2095" s="14" t="str">
        <f>"Matemática"</f>
        <v>Matemática</v>
      </c>
      <c r="AF2095" s="14"/>
    </row>
    <row r="2096" spans="1:32" ht="28.8" x14ac:dyDescent="0.3">
      <c r="A2096" s="23" t="s">
        <v>5058</v>
      </c>
      <c r="B2096" s="20" t="s">
        <v>16</v>
      </c>
      <c r="C2096" s="20" t="s">
        <v>89</v>
      </c>
      <c r="D2096" s="20" t="s">
        <v>8</v>
      </c>
      <c r="E2096" s="22">
        <v>209</v>
      </c>
      <c r="F2096" s="22">
        <v>3</v>
      </c>
      <c r="G2096" s="22">
        <v>8</v>
      </c>
      <c r="H2096" s="22"/>
      <c r="I2096" s="23" t="s">
        <v>90</v>
      </c>
      <c r="J2096" s="23"/>
      <c r="K2096" s="22"/>
      <c r="L2096" s="22"/>
      <c r="M2096" s="23"/>
      <c r="N2096" s="23"/>
      <c r="O2096" s="26" t="s">
        <v>5059</v>
      </c>
      <c r="P2096" s="26"/>
      <c r="Q2096" s="22">
        <v>94</v>
      </c>
      <c r="R2096" s="24">
        <v>45841</v>
      </c>
      <c r="S2096" s="24">
        <v>45846</v>
      </c>
      <c r="T2096" s="24"/>
      <c r="U2096" s="24"/>
      <c r="V2096" s="24">
        <v>45847</v>
      </c>
      <c r="W2096" s="22" t="s">
        <v>2675</v>
      </c>
      <c r="X2096" s="4" t="str">
        <f>IF(Tabela2[[#This Row],[sigla]]="","",VLOOKUP(Tabela2[[#This Row],[sigla]],créditos_base!B:C,2,0))</f>
        <v>INGRIDHI BORGES/ARQUIVO DA EDITORA</v>
      </c>
      <c r="Y2096" s="23"/>
      <c r="Z2096" s="23" t="str">
        <f>Tabela2[[#This Row],[ilustrador]]</f>
        <v>INGRIDHI BORGES/ARQUIVO DA EDITORA</v>
      </c>
      <c r="AA2096" s="22">
        <v>8</v>
      </c>
      <c r="AB2096" s="20" t="s">
        <v>2058</v>
      </c>
      <c r="AC2096" s="20" t="s">
        <v>36</v>
      </c>
      <c r="AD2096" s="4" t="str">
        <f>"Pitanguá"</f>
        <v>Pitanguá</v>
      </c>
      <c r="AE2096" s="14" t="str">
        <f>"Matemática"</f>
        <v>Matemática</v>
      </c>
      <c r="AF2096" s="14"/>
    </row>
    <row r="2097" spans="1:32" ht="28.8" x14ac:dyDescent="0.3">
      <c r="A2097" s="23" t="s">
        <v>3736</v>
      </c>
      <c r="B2097" s="20" t="s">
        <v>16</v>
      </c>
      <c r="C2097" s="20" t="s">
        <v>89</v>
      </c>
      <c r="D2097" s="20" t="s">
        <v>8</v>
      </c>
      <c r="E2097" s="22">
        <v>171</v>
      </c>
      <c r="F2097" s="22">
        <v>4</v>
      </c>
      <c r="G2097" s="22">
        <v>8</v>
      </c>
      <c r="H2097" s="22"/>
      <c r="I2097" s="23" t="s">
        <v>9</v>
      </c>
      <c r="J2097" s="23"/>
      <c r="K2097" s="22"/>
      <c r="L2097" s="22"/>
      <c r="M2097" s="23"/>
      <c r="N2097" s="23"/>
      <c r="O2097" s="26" t="s">
        <v>3737</v>
      </c>
      <c r="P2097" s="26"/>
      <c r="Q2097" s="22"/>
      <c r="R2097" s="24"/>
      <c r="S2097" s="24"/>
      <c r="T2097" s="24"/>
      <c r="U2097" s="24"/>
      <c r="V2097" s="24"/>
      <c r="W2097" s="22" t="s">
        <v>940</v>
      </c>
      <c r="X2097" s="4" t="str">
        <f>IF(Tabela2[[#This Row],[sigla]]="","",VLOOKUP(Tabela2[[#This Row],[sigla]],créditos_base!B:C,2,0))</f>
        <v>RONALDO LUCENA/ARQUIVO DA EDITORA</v>
      </c>
      <c r="Y2097" s="23"/>
      <c r="Z2097" s="23" t="str">
        <f>Tabela2[[#This Row],[ilustrador]]</f>
        <v>RONALDO LUCENA/ARQUIVO DA EDITORA</v>
      </c>
      <c r="AA2097" s="22"/>
      <c r="AB2097" s="20"/>
      <c r="AD2097" s="4" t="str">
        <f>"Pitanguá"</f>
        <v>Pitanguá</v>
      </c>
      <c r="AE2097" s="14" t="str">
        <f>"Matemática"</f>
        <v>Matemática</v>
      </c>
      <c r="AF2097" s="14"/>
    </row>
    <row r="2098" spans="1:32" x14ac:dyDescent="0.3">
      <c r="A2098" s="23" t="s">
        <v>5060</v>
      </c>
      <c r="B2098" s="20" t="s">
        <v>16</v>
      </c>
      <c r="C2098" s="20" t="s">
        <v>89</v>
      </c>
      <c r="D2098" s="20" t="s">
        <v>8</v>
      </c>
      <c r="E2098" s="22">
        <v>222</v>
      </c>
      <c r="F2098" s="22">
        <v>3</v>
      </c>
      <c r="G2098" s="22">
        <v>8</v>
      </c>
      <c r="H2098" s="22"/>
      <c r="I2098" s="23" t="s">
        <v>90</v>
      </c>
      <c r="J2098" s="23"/>
      <c r="K2098" s="22"/>
      <c r="L2098" s="22"/>
      <c r="M2098" s="23"/>
      <c r="N2098" s="23"/>
      <c r="O2098" s="26" t="s">
        <v>5061</v>
      </c>
      <c r="P2098" s="26"/>
      <c r="Q2098" s="22">
        <v>94</v>
      </c>
      <c r="R2098" s="24">
        <v>45841</v>
      </c>
      <c r="S2098" s="24">
        <v>45849</v>
      </c>
      <c r="T2098" s="24"/>
      <c r="U2098" s="24"/>
      <c r="V2098" s="24">
        <v>45849</v>
      </c>
      <c r="W2098" s="22" t="s">
        <v>468</v>
      </c>
      <c r="X2098" s="4" t="str">
        <f>IF(Tabela2[[#This Row],[sigla]]="","",VLOOKUP(Tabela2[[#This Row],[sigla]],créditos_base!B:C,2,0))</f>
        <v>VER DOCUMENTO DE ILS. TÉCNICAS</v>
      </c>
      <c r="Y2098" s="23"/>
      <c r="Z2098" s="23" t="s">
        <v>5062</v>
      </c>
      <c r="AA2098" s="22">
        <v>13</v>
      </c>
      <c r="AB2098" s="20" t="s">
        <v>5014</v>
      </c>
      <c r="AC2098" s="20" t="s">
        <v>36</v>
      </c>
      <c r="AD2098" s="4" t="str">
        <f>"Pitanguá"</f>
        <v>Pitanguá</v>
      </c>
      <c r="AE2098" s="14" t="str">
        <f>"Matemática"</f>
        <v>Matemática</v>
      </c>
      <c r="AF2098" s="14"/>
    </row>
    <row r="2099" spans="1:32" x14ac:dyDescent="0.3">
      <c r="A2099" s="23" t="s">
        <v>3738</v>
      </c>
      <c r="B2099" s="20" t="s">
        <v>16</v>
      </c>
      <c r="C2099" s="20" t="s">
        <v>89</v>
      </c>
      <c r="D2099" s="20" t="s">
        <v>8</v>
      </c>
      <c r="E2099" s="22">
        <v>171</v>
      </c>
      <c r="F2099" s="22">
        <v>4</v>
      </c>
      <c r="G2099" s="22">
        <v>8</v>
      </c>
      <c r="H2099" s="22"/>
      <c r="I2099" s="23" t="s">
        <v>9</v>
      </c>
      <c r="J2099" s="23"/>
      <c r="K2099" s="22"/>
      <c r="L2099" s="22"/>
      <c r="M2099" s="23"/>
      <c r="N2099" s="23"/>
      <c r="O2099" s="26" t="s">
        <v>3739</v>
      </c>
      <c r="P2099" s="26"/>
      <c r="Q2099" s="22"/>
      <c r="R2099" s="24"/>
      <c r="S2099" s="24"/>
      <c r="T2099" s="24"/>
      <c r="U2099" s="24"/>
      <c r="V2099" s="24"/>
      <c r="W2099" s="22" t="s">
        <v>940</v>
      </c>
      <c r="X2099" s="4" t="str">
        <f>IF(Tabela2[[#This Row],[sigla]]="","",VLOOKUP(Tabela2[[#This Row],[sigla]],créditos_base!B:C,2,0))</f>
        <v>RONALDO LUCENA/ARQUIVO DA EDITORA</v>
      </c>
      <c r="Y2099" s="23"/>
      <c r="Z2099" s="23" t="str">
        <f>Tabela2[[#This Row],[ilustrador]]</f>
        <v>RONALDO LUCENA/ARQUIVO DA EDITORA</v>
      </c>
      <c r="AA2099" s="22"/>
      <c r="AB2099" s="20"/>
      <c r="AD2099" s="4" t="str">
        <f>"Pitanguá"</f>
        <v>Pitanguá</v>
      </c>
      <c r="AE2099" s="14" t="str">
        <f>"Matemática"</f>
        <v>Matemática</v>
      </c>
      <c r="AF2099" s="14"/>
    </row>
    <row r="2100" spans="1:32" x14ac:dyDescent="0.3">
      <c r="A2100" s="23" t="s">
        <v>5063</v>
      </c>
      <c r="B2100" s="20" t="s">
        <v>16</v>
      </c>
      <c r="C2100" s="20" t="s">
        <v>89</v>
      </c>
      <c r="D2100" s="20" t="s">
        <v>8</v>
      </c>
      <c r="E2100" s="22">
        <v>222</v>
      </c>
      <c r="F2100" s="22">
        <v>3</v>
      </c>
      <c r="G2100" s="22">
        <v>8</v>
      </c>
      <c r="H2100" s="22"/>
      <c r="I2100" s="23" t="s">
        <v>90</v>
      </c>
      <c r="J2100" s="23"/>
      <c r="K2100" s="22"/>
      <c r="L2100" s="22"/>
      <c r="M2100" s="23"/>
      <c r="N2100" s="23"/>
      <c r="O2100" s="26" t="s">
        <v>5064</v>
      </c>
      <c r="P2100" s="26"/>
      <c r="Q2100" s="22">
        <v>94</v>
      </c>
      <c r="R2100" s="24">
        <v>45841</v>
      </c>
      <c r="S2100" s="24">
        <v>45849</v>
      </c>
      <c r="T2100" s="24"/>
      <c r="U2100" s="24"/>
      <c r="V2100" s="24">
        <v>45849</v>
      </c>
      <c r="W2100" s="22" t="s">
        <v>468</v>
      </c>
      <c r="X2100" s="4" t="str">
        <f>IF(Tabela2[[#This Row],[sigla]]="","",VLOOKUP(Tabela2[[#This Row],[sigla]],créditos_base!B:C,2,0))</f>
        <v>VER DOCUMENTO DE ILS. TÉCNICAS</v>
      </c>
      <c r="Y2100" s="23"/>
      <c r="Z2100" s="23" t="s">
        <v>5062</v>
      </c>
      <c r="AA2100" s="22">
        <v>13</v>
      </c>
      <c r="AB2100" s="20" t="s">
        <v>5014</v>
      </c>
      <c r="AC2100" s="20" t="s">
        <v>36</v>
      </c>
      <c r="AD2100" s="4" t="str">
        <f>"Pitanguá"</f>
        <v>Pitanguá</v>
      </c>
      <c r="AE2100" s="14" t="str">
        <f>"Matemática"</f>
        <v>Matemática</v>
      </c>
      <c r="AF2100" s="14"/>
    </row>
    <row r="2101" spans="1:32" ht="28.8" x14ac:dyDescent="0.3">
      <c r="A2101" s="23" t="s">
        <v>3740</v>
      </c>
      <c r="B2101" s="20" t="s">
        <v>16</v>
      </c>
      <c r="C2101" s="20" t="s">
        <v>89</v>
      </c>
      <c r="D2101" s="20" t="s">
        <v>8</v>
      </c>
      <c r="E2101" s="22">
        <v>172</v>
      </c>
      <c r="F2101" s="22">
        <v>4</v>
      </c>
      <c r="G2101" s="22">
        <v>8</v>
      </c>
      <c r="H2101" s="22"/>
      <c r="I2101" s="23" t="s">
        <v>9</v>
      </c>
      <c r="J2101" s="23"/>
      <c r="K2101" s="22"/>
      <c r="L2101" s="22"/>
      <c r="M2101" s="23"/>
      <c r="N2101" s="23"/>
      <c r="O2101" s="26" t="s">
        <v>3741</v>
      </c>
      <c r="P2101" s="26"/>
      <c r="Q2101" s="22"/>
      <c r="R2101" s="24"/>
      <c r="S2101" s="24"/>
      <c r="T2101" s="24"/>
      <c r="U2101" s="24"/>
      <c r="V2101" s="24"/>
      <c r="W2101" s="22" t="s">
        <v>940</v>
      </c>
      <c r="X2101" s="4" t="str">
        <f>IF(Tabela2[[#This Row],[sigla]]="","",VLOOKUP(Tabela2[[#This Row],[sigla]],créditos_base!B:C,2,0))</f>
        <v>RONALDO LUCENA/ARQUIVO DA EDITORA</v>
      </c>
      <c r="Y2101" s="23"/>
      <c r="Z2101" s="23" t="str">
        <f>Tabela2[[#This Row],[ilustrador]]</f>
        <v>RONALDO LUCENA/ARQUIVO DA EDITORA</v>
      </c>
      <c r="AA2101" s="22"/>
      <c r="AB2101" s="20"/>
      <c r="AD2101" s="4" t="str">
        <f>"Pitanguá"</f>
        <v>Pitanguá</v>
      </c>
      <c r="AE2101" s="14" t="str">
        <f>"Matemática"</f>
        <v>Matemática</v>
      </c>
      <c r="AF2101" s="14"/>
    </row>
    <row r="2102" spans="1:32" x14ac:dyDescent="0.3">
      <c r="A2102" s="23" t="s">
        <v>5065</v>
      </c>
      <c r="B2102" s="20" t="s">
        <v>16</v>
      </c>
      <c r="C2102" s="20" t="s">
        <v>89</v>
      </c>
      <c r="D2102" s="20" t="s">
        <v>8</v>
      </c>
      <c r="E2102" s="22">
        <v>223</v>
      </c>
      <c r="F2102" s="22">
        <v>3</v>
      </c>
      <c r="G2102" s="22">
        <v>8</v>
      </c>
      <c r="H2102" s="22"/>
      <c r="I2102" s="23" t="s">
        <v>90</v>
      </c>
      <c r="J2102" s="23"/>
      <c r="K2102" s="22"/>
      <c r="L2102" s="22"/>
      <c r="M2102" s="23"/>
      <c r="N2102" s="23"/>
      <c r="O2102" s="26" t="s">
        <v>5066</v>
      </c>
      <c r="P2102" s="26"/>
      <c r="Q2102" s="22">
        <v>94</v>
      </c>
      <c r="R2102" s="24">
        <v>45841</v>
      </c>
      <c r="S2102" s="24">
        <v>45849</v>
      </c>
      <c r="T2102" s="24"/>
      <c r="U2102" s="24"/>
      <c r="V2102" s="24">
        <v>45849</v>
      </c>
      <c r="W2102" s="22" t="s">
        <v>468</v>
      </c>
      <c r="X2102" s="4" t="str">
        <f>IF(Tabela2[[#This Row],[sigla]]="","",VLOOKUP(Tabela2[[#This Row],[sigla]],créditos_base!B:C,2,0))</f>
        <v>VER DOCUMENTO DE ILS. TÉCNICAS</v>
      </c>
      <c r="Y2102" s="23"/>
      <c r="Z2102" s="23" t="s">
        <v>5062</v>
      </c>
      <c r="AA2102" s="22">
        <v>13</v>
      </c>
      <c r="AB2102" s="20" t="s">
        <v>5014</v>
      </c>
      <c r="AC2102" s="20" t="s">
        <v>36</v>
      </c>
      <c r="AD2102" s="4" t="str">
        <f>"Pitanguá"</f>
        <v>Pitanguá</v>
      </c>
      <c r="AE2102" s="14" t="str">
        <f>"Matemática"</f>
        <v>Matemática</v>
      </c>
      <c r="AF2102" s="14"/>
    </row>
    <row r="2103" spans="1:32" ht="28.8" x14ac:dyDescent="0.3">
      <c r="A2103" s="23" t="s">
        <v>3742</v>
      </c>
      <c r="B2103" s="20" t="s">
        <v>16</v>
      </c>
      <c r="C2103" s="20" t="s">
        <v>89</v>
      </c>
      <c r="D2103" s="20" t="s">
        <v>8</v>
      </c>
      <c r="E2103" s="22">
        <v>172</v>
      </c>
      <c r="F2103" s="22">
        <v>4</v>
      </c>
      <c r="G2103" s="22">
        <v>8</v>
      </c>
      <c r="H2103" s="22"/>
      <c r="I2103" s="23" t="s">
        <v>9</v>
      </c>
      <c r="J2103" s="23"/>
      <c r="K2103" s="22"/>
      <c r="L2103" s="22"/>
      <c r="M2103" s="23"/>
      <c r="N2103" s="23"/>
      <c r="O2103" s="26" t="s">
        <v>3743</v>
      </c>
      <c r="P2103" s="26"/>
      <c r="Q2103" s="22"/>
      <c r="R2103" s="24"/>
      <c r="S2103" s="24"/>
      <c r="T2103" s="24"/>
      <c r="U2103" s="24"/>
      <c r="V2103" s="24"/>
      <c r="W2103" s="22" t="s">
        <v>940</v>
      </c>
      <c r="X2103" s="4" t="str">
        <f>IF(Tabela2[[#This Row],[sigla]]="","",VLOOKUP(Tabela2[[#This Row],[sigla]],créditos_base!B:C,2,0))</f>
        <v>RONALDO LUCENA/ARQUIVO DA EDITORA</v>
      </c>
      <c r="Y2103" s="23"/>
      <c r="Z2103" s="23" t="str">
        <f>Tabela2[[#This Row],[ilustrador]]</f>
        <v>RONALDO LUCENA/ARQUIVO DA EDITORA</v>
      </c>
      <c r="AA2103" s="22"/>
      <c r="AB2103" s="20"/>
      <c r="AD2103" s="4" t="str">
        <f>"Pitanguá"</f>
        <v>Pitanguá</v>
      </c>
      <c r="AE2103" s="14" t="str">
        <f>"Matemática"</f>
        <v>Matemática</v>
      </c>
      <c r="AF2103" s="14"/>
    </row>
    <row r="2104" spans="1:32" x14ac:dyDescent="0.3">
      <c r="A2104" s="23" t="s">
        <v>5067</v>
      </c>
      <c r="B2104" s="20" t="s">
        <v>16</v>
      </c>
      <c r="C2104" s="20" t="s">
        <v>89</v>
      </c>
      <c r="D2104" s="20" t="s">
        <v>8</v>
      </c>
      <c r="E2104" s="22">
        <v>223</v>
      </c>
      <c r="F2104" s="22">
        <v>3</v>
      </c>
      <c r="G2104" s="22">
        <v>8</v>
      </c>
      <c r="H2104" s="22"/>
      <c r="I2104" s="23" t="s">
        <v>90</v>
      </c>
      <c r="J2104" s="23"/>
      <c r="K2104" s="22"/>
      <c r="L2104" s="22"/>
      <c r="M2104" s="23"/>
      <c r="N2104" s="23"/>
      <c r="O2104" s="26" t="s">
        <v>5068</v>
      </c>
      <c r="P2104" s="26"/>
      <c r="Q2104" s="22">
        <v>94</v>
      </c>
      <c r="R2104" s="24">
        <v>45841</v>
      </c>
      <c r="S2104" s="24">
        <v>45849</v>
      </c>
      <c r="T2104" s="24"/>
      <c r="U2104" s="24"/>
      <c r="V2104" s="24">
        <v>45849</v>
      </c>
      <c r="W2104" s="22" t="s">
        <v>468</v>
      </c>
      <c r="X2104" s="4" t="str">
        <f>IF(Tabela2[[#This Row],[sigla]]="","",VLOOKUP(Tabela2[[#This Row],[sigla]],créditos_base!B:C,2,0))</f>
        <v>VER DOCUMENTO DE ILS. TÉCNICAS</v>
      </c>
      <c r="Y2104" s="23"/>
      <c r="Z2104" s="23" t="s">
        <v>5062</v>
      </c>
      <c r="AA2104" s="22">
        <v>13</v>
      </c>
      <c r="AB2104" s="20" t="s">
        <v>5014</v>
      </c>
      <c r="AC2104" s="20" t="s">
        <v>36</v>
      </c>
      <c r="AD2104" s="4" t="str">
        <f>"Pitanguá"</f>
        <v>Pitanguá</v>
      </c>
      <c r="AE2104" s="14" t="str">
        <f>"Matemática"</f>
        <v>Matemática</v>
      </c>
      <c r="AF2104" s="14"/>
    </row>
    <row r="2105" spans="1:32" x14ac:dyDescent="0.3">
      <c r="A2105" s="23" t="s">
        <v>3744</v>
      </c>
      <c r="B2105" s="20" t="s">
        <v>16</v>
      </c>
      <c r="C2105" s="20" t="s">
        <v>89</v>
      </c>
      <c r="D2105" s="20" t="s">
        <v>8</v>
      </c>
      <c r="E2105" s="22">
        <v>172</v>
      </c>
      <c r="F2105" s="22">
        <v>4</v>
      </c>
      <c r="G2105" s="22">
        <v>8</v>
      </c>
      <c r="H2105" s="22"/>
      <c r="I2105" s="23" t="s">
        <v>9</v>
      </c>
      <c r="J2105" s="23"/>
      <c r="K2105" s="22"/>
      <c r="L2105" s="22"/>
      <c r="M2105" s="23"/>
      <c r="N2105" s="23"/>
      <c r="O2105" s="26" t="s">
        <v>3745</v>
      </c>
      <c r="P2105" s="26"/>
      <c r="Q2105" s="22"/>
      <c r="R2105" s="24"/>
      <c r="S2105" s="24"/>
      <c r="T2105" s="24"/>
      <c r="U2105" s="24"/>
      <c r="V2105" s="24"/>
      <c r="W2105" s="22" t="s">
        <v>940</v>
      </c>
      <c r="X2105" s="4" t="str">
        <f>IF(Tabela2[[#This Row],[sigla]]="","",VLOOKUP(Tabela2[[#This Row],[sigla]],créditos_base!B:C,2,0))</f>
        <v>RONALDO LUCENA/ARQUIVO DA EDITORA</v>
      </c>
      <c r="Y2105" s="23"/>
      <c r="Z2105" s="23" t="str">
        <f>Tabela2[[#This Row],[ilustrador]]</f>
        <v>RONALDO LUCENA/ARQUIVO DA EDITORA</v>
      </c>
      <c r="AA2105" s="22"/>
      <c r="AB2105" s="20"/>
      <c r="AD2105" s="4" t="str">
        <f>"Pitanguá"</f>
        <v>Pitanguá</v>
      </c>
      <c r="AE2105" s="14" t="str">
        <f>"Matemática"</f>
        <v>Matemática</v>
      </c>
      <c r="AF2105" s="14"/>
    </row>
    <row r="2106" spans="1:32" x14ac:dyDescent="0.3">
      <c r="A2106" s="23" t="s">
        <v>5088</v>
      </c>
      <c r="B2106" s="20" t="s">
        <v>16</v>
      </c>
      <c r="C2106" s="20" t="s">
        <v>7</v>
      </c>
      <c r="D2106" s="20" t="s">
        <v>8</v>
      </c>
      <c r="E2106" s="22">
        <v>221</v>
      </c>
      <c r="F2106" s="22">
        <v>3</v>
      </c>
      <c r="G2106" s="22">
        <v>8</v>
      </c>
      <c r="H2106" s="22"/>
      <c r="I2106" s="23" t="s">
        <v>90</v>
      </c>
      <c r="J2106" s="23"/>
      <c r="K2106" s="22"/>
      <c r="L2106" s="22"/>
      <c r="M2106" s="23"/>
      <c r="N2106" s="23"/>
      <c r="O2106" s="26" t="s">
        <v>5089</v>
      </c>
      <c r="P2106" s="26"/>
      <c r="Q2106" s="22">
        <v>96</v>
      </c>
      <c r="R2106" s="24">
        <v>45845</v>
      </c>
      <c r="S2106" s="24">
        <v>45845</v>
      </c>
      <c r="T2106" s="24">
        <v>45853</v>
      </c>
      <c r="U2106" s="24">
        <v>45855</v>
      </c>
      <c r="V2106" s="24">
        <v>45861</v>
      </c>
      <c r="W2106" s="22" t="s">
        <v>2221</v>
      </c>
      <c r="X2106" s="4" t="str">
        <f>IF(Tabela2[[#This Row],[sigla]]="","",VLOOKUP(Tabela2[[#This Row],[sigla]],créditos_base!B:C,2,0))</f>
        <v>REINALDO ROSA/ARQUIVO DA EDITORA</v>
      </c>
      <c r="Y2106" s="23"/>
      <c r="Z2106" s="23" t="str">
        <f>Tabela2[[#This Row],[ilustrador]]</f>
        <v>REINALDO ROSA/ARQUIVO DA EDITORA</v>
      </c>
      <c r="AA2106" s="22">
        <v>6</v>
      </c>
      <c r="AB2106" s="26" t="s">
        <v>5085</v>
      </c>
      <c r="AC2106" s="20" t="s">
        <v>310</v>
      </c>
      <c r="AD2106" s="4" t="str">
        <f>"Pitanguá"</f>
        <v>Pitanguá</v>
      </c>
      <c r="AE2106" s="14" t="str">
        <f>"Matemática"</f>
        <v>Matemática</v>
      </c>
      <c r="AF2106" s="14"/>
    </row>
    <row r="2107" spans="1:32" x14ac:dyDescent="0.3">
      <c r="A2107" s="23" t="s">
        <v>3746</v>
      </c>
      <c r="B2107" s="20" t="s">
        <v>16</v>
      </c>
      <c r="C2107" s="20" t="s">
        <v>89</v>
      </c>
      <c r="D2107" s="20" t="s">
        <v>8</v>
      </c>
      <c r="E2107" s="22">
        <v>172</v>
      </c>
      <c r="F2107" s="22">
        <v>4</v>
      </c>
      <c r="G2107" s="22">
        <v>8</v>
      </c>
      <c r="H2107" s="22"/>
      <c r="I2107" s="23" t="s">
        <v>9</v>
      </c>
      <c r="J2107" s="23"/>
      <c r="K2107" s="22"/>
      <c r="L2107" s="22"/>
      <c r="M2107" s="23"/>
      <c r="N2107" s="23"/>
      <c r="O2107" s="26" t="s">
        <v>3747</v>
      </c>
      <c r="P2107" s="26"/>
      <c r="Q2107" s="22"/>
      <c r="R2107" s="24"/>
      <c r="S2107" s="24"/>
      <c r="T2107" s="24"/>
      <c r="U2107" s="24"/>
      <c r="V2107" s="24"/>
      <c r="W2107" s="22" t="s">
        <v>940</v>
      </c>
      <c r="X2107" s="4" t="str">
        <f>IF(Tabela2[[#This Row],[sigla]]="","",VLOOKUP(Tabela2[[#This Row],[sigla]],créditos_base!B:C,2,0))</f>
        <v>RONALDO LUCENA/ARQUIVO DA EDITORA</v>
      </c>
      <c r="Y2107" s="23"/>
      <c r="Z2107" s="23" t="str">
        <f>Tabela2[[#This Row],[ilustrador]]</f>
        <v>RONALDO LUCENA/ARQUIVO DA EDITORA</v>
      </c>
      <c r="AA2107" s="22"/>
      <c r="AB2107" s="20"/>
      <c r="AD2107" s="4" t="str">
        <f>"Pitanguá"</f>
        <v>Pitanguá</v>
      </c>
      <c r="AE2107" s="14" t="str">
        <f>"Matemática"</f>
        <v>Matemática</v>
      </c>
      <c r="AF2107" s="14"/>
    </row>
    <row r="2108" spans="1:32" x14ac:dyDescent="0.3">
      <c r="A2108" s="23" t="s">
        <v>5090</v>
      </c>
      <c r="B2108" s="20" t="s">
        <v>16</v>
      </c>
      <c r="C2108" s="20" t="s">
        <v>7</v>
      </c>
      <c r="D2108" s="20" t="s">
        <v>8</v>
      </c>
      <c r="E2108" s="22">
        <v>221</v>
      </c>
      <c r="F2108" s="22">
        <v>3</v>
      </c>
      <c r="G2108" s="22">
        <v>8</v>
      </c>
      <c r="H2108" s="22"/>
      <c r="I2108" s="23" t="s">
        <v>90</v>
      </c>
      <c r="J2108" s="23"/>
      <c r="K2108" s="22"/>
      <c r="L2108" s="22"/>
      <c r="M2108" s="23"/>
      <c r="N2108" s="23"/>
      <c r="O2108" s="26" t="s">
        <v>5091</v>
      </c>
      <c r="P2108" s="26"/>
      <c r="Q2108" s="22">
        <v>96</v>
      </c>
      <c r="R2108" s="24">
        <v>45845</v>
      </c>
      <c r="S2108" s="24">
        <v>45845</v>
      </c>
      <c r="T2108" s="24">
        <v>45853</v>
      </c>
      <c r="U2108" s="24">
        <v>45855</v>
      </c>
      <c r="V2108" s="24">
        <v>45861</v>
      </c>
      <c r="W2108" s="22" t="s">
        <v>2221</v>
      </c>
      <c r="X2108" s="4" t="str">
        <f>IF(Tabela2[[#This Row],[sigla]]="","",VLOOKUP(Tabela2[[#This Row],[sigla]],créditos_base!B:C,2,0))</f>
        <v>REINALDO ROSA/ARQUIVO DA EDITORA</v>
      </c>
      <c r="Y2108" s="23"/>
      <c r="Z2108" s="23" t="str">
        <f>Tabela2[[#This Row],[ilustrador]]</f>
        <v>REINALDO ROSA/ARQUIVO DA EDITORA</v>
      </c>
      <c r="AA2108" s="22">
        <v>7</v>
      </c>
      <c r="AB2108" s="26" t="s">
        <v>5085</v>
      </c>
      <c r="AC2108" s="20" t="s">
        <v>310</v>
      </c>
      <c r="AD2108" s="4" t="str">
        <f>"Pitanguá"</f>
        <v>Pitanguá</v>
      </c>
      <c r="AE2108" s="14" t="str">
        <f>"Matemática"</f>
        <v>Matemática</v>
      </c>
      <c r="AF2108" s="14"/>
    </row>
    <row r="2109" spans="1:32" ht="43.2" x14ac:dyDescent="0.3">
      <c r="A2109" s="23" t="s">
        <v>3748</v>
      </c>
      <c r="B2109" s="20" t="s">
        <v>16</v>
      </c>
      <c r="C2109" s="20" t="s">
        <v>89</v>
      </c>
      <c r="D2109" s="20" t="s">
        <v>8</v>
      </c>
      <c r="E2109" s="22">
        <v>172</v>
      </c>
      <c r="F2109" s="22">
        <v>4</v>
      </c>
      <c r="G2109" s="22">
        <v>8</v>
      </c>
      <c r="H2109" s="22"/>
      <c r="I2109" s="23" t="s">
        <v>33</v>
      </c>
      <c r="J2109" s="23"/>
      <c r="K2109" s="26"/>
      <c r="L2109" s="26"/>
      <c r="M2109" s="22">
        <v>53</v>
      </c>
      <c r="N2109" s="24"/>
      <c r="O2109" s="26" t="s">
        <v>3749</v>
      </c>
      <c r="P2109" s="26"/>
      <c r="Q2109" s="22">
        <v>53</v>
      </c>
      <c r="R2109" s="24">
        <v>45803</v>
      </c>
      <c r="S2109" s="24">
        <v>45810</v>
      </c>
      <c r="T2109" s="24"/>
      <c r="U2109" s="24"/>
      <c r="V2109" s="24">
        <v>45810</v>
      </c>
      <c r="W2109" s="22" t="s">
        <v>160</v>
      </c>
      <c r="X2109" s="4" t="str">
        <f>IF(Tabela2[[#This Row],[sigla]]="","",VLOOKUP(Tabela2[[#This Row],[sigla]],créditos_base!B:C,2,0))</f>
        <v>SERGIO LIMA/ARQUIVO DA EDITORA</v>
      </c>
      <c r="Y2109" s="23" t="s">
        <v>1503</v>
      </c>
      <c r="Z2109" s="23" t="s">
        <v>689</v>
      </c>
      <c r="AA2109" s="22"/>
      <c r="AB2109" s="28" t="s">
        <v>41</v>
      </c>
      <c r="AC2109" s="20" t="s">
        <v>36</v>
      </c>
      <c r="AD2109" s="4" t="str">
        <f>"Pitanguá"</f>
        <v>Pitanguá</v>
      </c>
      <c r="AE2109" s="14" t="str">
        <f>"Matemática"</f>
        <v>Matemática</v>
      </c>
      <c r="AF2109" s="14"/>
    </row>
    <row r="2110" spans="1:32" ht="72" x14ac:dyDescent="0.3">
      <c r="A2110" s="23" t="s">
        <v>3750</v>
      </c>
      <c r="B2110" s="20" t="s">
        <v>16</v>
      </c>
      <c r="C2110" s="20" t="s">
        <v>89</v>
      </c>
      <c r="D2110" s="20" t="s">
        <v>8</v>
      </c>
      <c r="E2110" s="22">
        <v>172</v>
      </c>
      <c r="F2110" s="22">
        <v>4</v>
      </c>
      <c r="G2110" s="22">
        <v>8</v>
      </c>
      <c r="H2110" s="22"/>
      <c r="I2110" s="23" t="s">
        <v>33</v>
      </c>
      <c r="J2110" s="23"/>
      <c r="K2110" s="26"/>
      <c r="L2110" s="26"/>
      <c r="M2110" s="22">
        <v>53</v>
      </c>
      <c r="N2110" s="24"/>
      <c r="O2110" s="26" t="s">
        <v>3751</v>
      </c>
      <c r="P2110" s="26"/>
      <c r="Q2110" s="22">
        <v>53</v>
      </c>
      <c r="R2110" s="24">
        <v>45803</v>
      </c>
      <c r="S2110" s="24">
        <v>45810</v>
      </c>
      <c r="T2110" s="24"/>
      <c r="U2110" s="24"/>
      <c r="V2110" s="24">
        <v>45810</v>
      </c>
      <c r="W2110" s="22" t="s">
        <v>160</v>
      </c>
      <c r="X2110" s="4" t="str">
        <f>IF(Tabela2[[#This Row],[sigla]]="","",VLOOKUP(Tabela2[[#This Row],[sigla]],créditos_base!B:C,2,0))</f>
        <v>SERGIO LIMA/ARQUIVO DA EDITORA</v>
      </c>
      <c r="Y2110" s="23" t="s">
        <v>1503</v>
      </c>
      <c r="Z2110" s="23" t="str">
        <f>Tabela2[[#This Row],[ilustrador]]</f>
        <v>SERGIO LIMA/ARQUIVO DA EDITORA</v>
      </c>
      <c r="AA2110" s="22"/>
      <c r="AB2110" s="28" t="s">
        <v>41</v>
      </c>
      <c r="AC2110" s="20" t="s">
        <v>36</v>
      </c>
      <c r="AD2110" s="4" t="str">
        <f>"Pitanguá"</f>
        <v>Pitanguá</v>
      </c>
      <c r="AE2110" s="14" t="str">
        <f>"Matemática"</f>
        <v>Matemática</v>
      </c>
      <c r="AF2110" s="14"/>
    </row>
    <row r="2111" spans="1:32" ht="28.8" x14ac:dyDescent="0.3">
      <c r="A2111" s="23" t="s">
        <v>3752</v>
      </c>
      <c r="B2111" s="20" t="s">
        <v>16</v>
      </c>
      <c r="C2111" s="20" t="s">
        <v>89</v>
      </c>
      <c r="D2111" s="20" t="s">
        <v>8</v>
      </c>
      <c r="E2111" s="22">
        <v>172</v>
      </c>
      <c r="F2111" s="22">
        <v>4</v>
      </c>
      <c r="G2111" s="22">
        <v>8</v>
      </c>
      <c r="H2111" s="22"/>
      <c r="I2111" s="23" t="s">
        <v>33</v>
      </c>
      <c r="J2111" s="23"/>
      <c r="K2111" s="26"/>
      <c r="L2111" s="26"/>
      <c r="M2111" s="22">
        <v>53</v>
      </c>
      <c r="N2111" s="24"/>
      <c r="O2111" s="26" t="s">
        <v>3753</v>
      </c>
      <c r="P2111" s="26"/>
      <c r="Q2111" s="22">
        <v>53</v>
      </c>
      <c r="R2111" s="24">
        <v>45803</v>
      </c>
      <c r="S2111" s="24">
        <v>45810</v>
      </c>
      <c r="T2111" s="24"/>
      <c r="U2111" s="24"/>
      <c r="V2111" s="24">
        <v>45810</v>
      </c>
      <c r="W2111" s="22" t="s">
        <v>160</v>
      </c>
      <c r="X2111" s="4" t="str">
        <f>IF(Tabela2[[#This Row],[sigla]]="","",VLOOKUP(Tabela2[[#This Row],[sigla]],créditos_base!B:C,2,0))</f>
        <v>SERGIO LIMA/ARQUIVO DA EDITORA</v>
      </c>
      <c r="Y2111" s="23" t="s">
        <v>1503</v>
      </c>
      <c r="Z2111" s="23" t="str">
        <f>Tabela2[[#This Row],[ilustrador]]</f>
        <v>SERGIO LIMA/ARQUIVO DA EDITORA</v>
      </c>
      <c r="AA2111" s="22"/>
      <c r="AB2111" s="28" t="s">
        <v>41</v>
      </c>
      <c r="AC2111" s="20" t="s">
        <v>36</v>
      </c>
      <c r="AD2111" s="4" t="str">
        <f>"Pitanguá"</f>
        <v>Pitanguá</v>
      </c>
      <c r="AE2111" s="14" t="str">
        <f>"Matemática"</f>
        <v>Matemática</v>
      </c>
      <c r="AF2111" s="14"/>
    </row>
    <row r="2112" spans="1:32" ht="28.8" x14ac:dyDescent="0.3">
      <c r="A2112" s="23" t="s">
        <v>3754</v>
      </c>
      <c r="B2112" s="20" t="s">
        <v>16</v>
      </c>
      <c r="C2112" s="20" t="s">
        <v>89</v>
      </c>
      <c r="D2112" s="20" t="s">
        <v>8</v>
      </c>
      <c r="E2112" s="22">
        <v>172</v>
      </c>
      <c r="F2112" s="22">
        <v>4</v>
      </c>
      <c r="G2112" s="22">
        <v>8</v>
      </c>
      <c r="H2112" s="22"/>
      <c r="I2112" s="23" t="s">
        <v>33</v>
      </c>
      <c r="J2112" s="23"/>
      <c r="K2112" s="26"/>
      <c r="L2112" s="26"/>
      <c r="M2112" s="22">
        <v>53</v>
      </c>
      <c r="N2112" s="24"/>
      <c r="O2112" s="26" t="s">
        <v>3755</v>
      </c>
      <c r="P2112" s="26"/>
      <c r="Q2112" s="22">
        <v>53</v>
      </c>
      <c r="R2112" s="24">
        <v>45803</v>
      </c>
      <c r="S2112" s="24">
        <v>45810</v>
      </c>
      <c r="T2112" s="24"/>
      <c r="U2112" s="24"/>
      <c r="V2112" s="24">
        <v>45810</v>
      </c>
      <c r="W2112" s="22" t="s">
        <v>160</v>
      </c>
      <c r="X2112" s="4" t="str">
        <f>IF(Tabela2[[#This Row],[sigla]]="","",VLOOKUP(Tabela2[[#This Row],[sigla]],créditos_base!B:C,2,0))</f>
        <v>SERGIO LIMA/ARQUIVO DA EDITORA</v>
      </c>
      <c r="Y2112" s="23" t="s">
        <v>1503</v>
      </c>
      <c r="Z2112" s="23" t="str">
        <f>Tabela2[[#This Row],[ilustrador]]</f>
        <v>SERGIO LIMA/ARQUIVO DA EDITORA</v>
      </c>
      <c r="AA2112" s="22"/>
      <c r="AB2112" s="28" t="s">
        <v>41</v>
      </c>
      <c r="AC2112" s="20" t="s">
        <v>36</v>
      </c>
      <c r="AD2112" s="4" t="str">
        <f>"Pitanguá"</f>
        <v>Pitanguá</v>
      </c>
      <c r="AE2112" s="14" t="str">
        <f>"Matemática"</f>
        <v>Matemática</v>
      </c>
      <c r="AF2112" s="14"/>
    </row>
    <row r="2113" spans="1:32" ht="28.8" x14ac:dyDescent="0.3">
      <c r="A2113" s="23" t="s">
        <v>3756</v>
      </c>
      <c r="B2113" s="20" t="s">
        <v>16</v>
      </c>
      <c r="C2113" s="20" t="s">
        <v>89</v>
      </c>
      <c r="D2113" s="20" t="s">
        <v>8</v>
      </c>
      <c r="E2113" s="22">
        <v>173</v>
      </c>
      <c r="F2113" s="22">
        <v>4</v>
      </c>
      <c r="G2113" s="22">
        <v>8</v>
      </c>
      <c r="H2113" s="22"/>
      <c r="I2113" s="23" t="s">
        <v>9</v>
      </c>
      <c r="J2113" s="23"/>
      <c r="K2113" s="22"/>
      <c r="L2113" s="22"/>
      <c r="M2113" s="23"/>
      <c r="N2113" s="23"/>
      <c r="O2113" s="26" t="s">
        <v>3757</v>
      </c>
      <c r="P2113" s="26"/>
      <c r="Q2113" s="22"/>
      <c r="R2113" s="24"/>
      <c r="S2113" s="24"/>
      <c r="T2113" s="24"/>
      <c r="U2113" s="24"/>
      <c r="V2113" s="24"/>
      <c r="W2113" s="22" t="s">
        <v>940</v>
      </c>
      <c r="X2113" s="4" t="str">
        <f>IF(Tabela2[[#This Row],[sigla]]="","",VLOOKUP(Tabela2[[#This Row],[sigla]],créditos_base!B:C,2,0))</f>
        <v>RONALDO LUCENA/ARQUIVO DA EDITORA</v>
      </c>
      <c r="Y2113" s="23"/>
      <c r="Z2113" s="23" t="str">
        <f>Tabela2[[#This Row],[ilustrador]]</f>
        <v>RONALDO LUCENA/ARQUIVO DA EDITORA</v>
      </c>
      <c r="AA2113" s="22"/>
      <c r="AB2113" s="20"/>
      <c r="AD2113" s="4" t="str">
        <f>"Pitanguá"</f>
        <v>Pitanguá</v>
      </c>
      <c r="AE2113" s="14" t="str">
        <f>"Matemática"</f>
        <v>Matemática</v>
      </c>
      <c r="AF2113" s="14"/>
    </row>
    <row r="2114" spans="1:32" ht="28.8" x14ac:dyDescent="0.3">
      <c r="A2114" s="23" t="s">
        <v>3758</v>
      </c>
      <c r="B2114" s="20" t="s">
        <v>16</v>
      </c>
      <c r="C2114" s="20" t="s">
        <v>89</v>
      </c>
      <c r="D2114" s="20" t="s">
        <v>8</v>
      </c>
      <c r="E2114" s="22">
        <v>173</v>
      </c>
      <c r="F2114" s="22">
        <v>4</v>
      </c>
      <c r="G2114" s="22">
        <v>8</v>
      </c>
      <c r="H2114" s="22"/>
      <c r="I2114" s="23" t="s">
        <v>9</v>
      </c>
      <c r="J2114" s="23"/>
      <c r="K2114" s="22"/>
      <c r="L2114" s="22"/>
      <c r="M2114" s="23"/>
      <c r="N2114" s="23"/>
      <c r="O2114" s="26" t="s">
        <v>3759</v>
      </c>
      <c r="P2114" s="26"/>
      <c r="Q2114" s="22"/>
      <c r="R2114" s="24"/>
      <c r="S2114" s="24"/>
      <c r="T2114" s="24"/>
      <c r="U2114" s="24"/>
      <c r="V2114" s="24"/>
      <c r="W2114" s="22" t="s">
        <v>940</v>
      </c>
      <c r="X2114" s="4" t="str">
        <f>IF(Tabela2[[#This Row],[sigla]]="","",VLOOKUP(Tabela2[[#This Row],[sigla]],créditos_base!B:C,2,0))</f>
        <v>RONALDO LUCENA/ARQUIVO DA EDITORA</v>
      </c>
      <c r="Y2114" s="23"/>
      <c r="Z2114" s="23" t="str">
        <f>Tabela2[[#This Row],[ilustrador]]</f>
        <v>RONALDO LUCENA/ARQUIVO DA EDITORA</v>
      </c>
      <c r="AA2114" s="22"/>
      <c r="AB2114" s="20"/>
      <c r="AD2114" s="4" t="str">
        <f>"Pitanguá"</f>
        <v>Pitanguá</v>
      </c>
      <c r="AE2114" s="14" t="str">
        <f>"Matemática"</f>
        <v>Matemática</v>
      </c>
      <c r="AF2114" s="14"/>
    </row>
    <row r="2115" spans="1:32" x14ac:dyDescent="0.3">
      <c r="A2115" s="23" t="s">
        <v>3760</v>
      </c>
      <c r="B2115" s="20" t="s">
        <v>16</v>
      </c>
      <c r="C2115" s="20" t="s">
        <v>89</v>
      </c>
      <c r="D2115" s="20" t="s">
        <v>8</v>
      </c>
      <c r="E2115" s="22">
        <v>173</v>
      </c>
      <c r="F2115" s="22">
        <v>4</v>
      </c>
      <c r="G2115" s="22">
        <v>8</v>
      </c>
      <c r="H2115" s="22"/>
      <c r="I2115" s="23" t="s">
        <v>9</v>
      </c>
      <c r="J2115" s="23"/>
      <c r="K2115" s="22"/>
      <c r="L2115" s="22"/>
      <c r="M2115" s="23"/>
      <c r="N2115" s="23"/>
      <c r="O2115" s="26" t="s">
        <v>3761</v>
      </c>
      <c r="P2115" s="26"/>
      <c r="Q2115" s="22"/>
      <c r="R2115" s="24"/>
      <c r="S2115" s="24"/>
      <c r="T2115" s="24"/>
      <c r="U2115" s="24"/>
      <c r="V2115" s="24"/>
      <c r="W2115" s="22" t="s">
        <v>940</v>
      </c>
      <c r="X2115" s="4" t="str">
        <f>IF(Tabela2[[#This Row],[sigla]]="","",VLOOKUP(Tabela2[[#This Row],[sigla]],créditos_base!B:C,2,0))</f>
        <v>RONALDO LUCENA/ARQUIVO DA EDITORA</v>
      </c>
      <c r="Y2115" s="23"/>
      <c r="Z2115" s="23" t="str">
        <f>Tabela2[[#This Row],[ilustrador]]</f>
        <v>RONALDO LUCENA/ARQUIVO DA EDITORA</v>
      </c>
      <c r="AA2115" s="22"/>
      <c r="AB2115" s="20"/>
      <c r="AD2115" s="4" t="str">
        <f>"Pitanguá"</f>
        <v>Pitanguá</v>
      </c>
      <c r="AE2115" s="14" t="str">
        <f>"Matemática"</f>
        <v>Matemática</v>
      </c>
      <c r="AF2115" s="14"/>
    </row>
    <row r="2116" spans="1:32" ht="43.2" x14ac:dyDescent="0.3">
      <c r="A2116" s="23" t="s">
        <v>3762</v>
      </c>
      <c r="B2116" s="20" t="s">
        <v>16</v>
      </c>
      <c r="C2116" s="20" t="s">
        <v>89</v>
      </c>
      <c r="D2116" s="20" t="s">
        <v>8</v>
      </c>
      <c r="E2116" s="22">
        <v>173</v>
      </c>
      <c r="F2116" s="22">
        <v>4</v>
      </c>
      <c r="G2116" s="22">
        <v>8</v>
      </c>
      <c r="H2116" s="22"/>
      <c r="I2116" s="23" t="s">
        <v>33</v>
      </c>
      <c r="J2116" s="23"/>
      <c r="K2116" s="22"/>
      <c r="L2116" s="22"/>
      <c r="M2116" s="23"/>
      <c r="N2116" s="23"/>
      <c r="O2116" s="26" t="s">
        <v>3763</v>
      </c>
      <c r="P2116" s="26"/>
      <c r="Q2116" s="22">
        <v>53</v>
      </c>
      <c r="R2116" s="24">
        <v>45803</v>
      </c>
      <c r="S2116" s="24">
        <v>45810</v>
      </c>
      <c r="T2116" s="24"/>
      <c r="U2116" s="24"/>
      <c r="V2116" s="24">
        <v>45810</v>
      </c>
      <c r="W2116" s="22" t="s">
        <v>940</v>
      </c>
      <c r="X2116" s="4" t="str">
        <f>IF(Tabela2[[#This Row],[sigla]]="","",VLOOKUP(Tabela2[[#This Row],[sigla]],créditos_base!B:C,2,0))</f>
        <v>RONALDO LUCENA/ARQUIVO DA EDITORA</v>
      </c>
      <c r="Y2116" s="23" t="s">
        <v>1503</v>
      </c>
      <c r="Z2116" s="23" t="str">
        <f>Tabela2[[#This Row],[ilustrador]]</f>
        <v>RONALDO LUCENA/ARQUIVO DA EDITORA</v>
      </c>
      <c r="AA2116" s="22"/>
      <c r="AB2116" s="28" t="s">
        <v>41</v>
      </c>
      <c r="AC2116" s="20" t="s">
        <v>36</v>
      </c>
      <c r="AD2116" s="4" t="str">
        <f>"Pitanguá"</f>
        <v>Pitanguá</v>
      </c>
      <c r="AE2116" s="14" t="str">
        <f>"Matemática"</f>
        <v>Matemática</v>
      </c>
      <c r="AF2116" s="14"/>
    </row>
    <row r="2117" spans="1:32" ht="57.6" x14ac:dyDescent="0.3">
      <c r="A2117" s="23" t="s">
        <v>3764</v>
      </c>
      <c r="B2117" s="20" t="s">
        <v>16</v>
      </c>
      <c r="C2117" s="20" t="s">
        <v>7</v>
      </c>
      <c r="D2117" s="20" t="s">
        <v>8</v>
      </c>
      <c r="E2117" s="22">
        <v>174</v>
      </c>
      <c r="F2117" s="22">
        <v>4</v>
      </c>
      <c r="G2117" s="22">
        <v>8</v>
      </c>
      <c r="H2117" s="22"/>
      <c r="I2117" s="23" t="s">
        <v>9</v>
      </c>
      <c r="J2117" s="23"/>
      <c r="K2117" s="22"/>
      <c r="L2117" s="22"/>
      <c r="M2117" s="23"/>
      <c r="N2117" s="23"/>
      <c r="O2117" s="26" t="s">
        <v>3765</v>
      </c>
      <c r="P2117" s="26"/>
      <c r="Q2117" s="22"/>
      <c r="R2117" s="24"/>
      <c r="S2117" s="24"/>
      <c r="T2117" s="24"/>
      <c r="U2117" s="24"/>
      <c r="V2117" s="24"/>
      <c r="W2117" s="22" t="s">
        <v>160</v>
      </c>
      <c r="X2117" s="4" t="str">
        <f>IF(Tabela2[[#This Row],[sigla]]="","",VLOOKUP(Tabela2[[#This Row],[sigla]],créditos_base!B:C,2,0))</f>
        <v>SERGIO LIMA/ARQUIVO DA EDITORA</v>
      </c>
      <c r="Y2117" s="23"/>
      <c r="Z2117" s="23" t="str">
        <f>Tabela2[[#This Row],[ilustrador]]</f>
        <v>SERGIO LIMA/ARQUIVO DA EDITORA</v>
      </c>
      <c r="AA2117" s="22"/>
      <c r="AB2117" s="20"/>
      <c r="AD2117" s="4" t="str">
        <f>"Pitanguá"</f>
        <v>Pitanguá</v>
      </c>
      <c r="AE2117" s="14" t="str">
        <f>"Matemática"</f>
        <v>Matemática</v>
      </c>
      <c r="AF2117" s="14"/>
    </row>
    <row r="2118" spans="1:32" x14ac:dyDescent="0.3">
      <c r="A2118" s="23" t="s">
        <v>3766</v>
      </c>
      <c r="B2118" s="20" t="s">
        <v>16</v>
      </c>
      <c r="C2118" s="20" t="s">
        <v>7</v>
      </c>
      <c r="D2118" s="20" t="s">
        <v>8</v>
      </c>
      <c r="E2118" s="22">
        <v>174</v>
      </c>
      <c r="F2118" s="22">
        <v>4</v>
      </c>
      <c r="G2118" s="22">
        <v>8</v>
      </c>
      <c r="H2118" s="22"/>
      <c r="I2118" s="23" t="s">
        <v>9</v>
      </c>
      <c r="J2118" s="23"/>
      <c r="K2118" s="22"/>
      <c r="L2118" s="22"/>
      <c r="M2118" s="23"/>
      <c r="N2118" s="23"/>
      <c r="O2118" s="26" t="s">
        <v>3767</v>
      </c>
      <c r="P2118" s="26"/>
      <c r="Q2118" s="22"/>
      <c r="R2118" s="24"/>
      <c r="S2118" s="24"/>
      <c r="T2118" s="24"/>
      <c r="U2118" s="24"/>
      <c r="V2118" s="24"/>
      <c r="W2118" s="22" t="s">
        <v>160</v>
      </c>
      <c r="X2118" s="4" t="str">
        <f>IF(Tabela2[[#This Row],[sigla]]="","",VLOOKUP(Tabela2[[#This Row],[sigla]],créditos_base!B:C,2,0))</f>
        <v>SERGIO LIMA/ARQUIVO DA EDITORA</v>
      </c>
      <c r="Y2118" s="23"/>
      <c r="Z2118" s="23" t="str">
        <f>Tabela2[[#This Row],[ilustrador]]</f>
        <v>SERGIO LIMA/ARQUIVO DA EDITORA</v>
      </c>
      <c r="AA2118" s="22"/>
      <c r="AB2118" s="20"/>
      <c r="AD2118" s="4" t="str">
        <f>"Pitanguá"</f>
        <v>Pitanguá</v>
      </c>
      <c r="AE2118" s="14" t="str">
        <f>"Matemática"</f>
        <v>Matemática</v>
      </c>
      <c r="AF2118" s="14"/>
    </row>
    <row r="2119" spans="1:32" ht="28.8" x14ac:dyDescent="0.3">
      <c r="A2119" s="23" t="s">
        <v>3768</v>
      </c>
      <c r="B2119" s="20" t="s">
        <v>16</v>
      </c>
      <c r="C2119" s="20" t="s">
        <v>89</v>
      </c>
      <c r="D2119" s="20" t="s">
        <v>8</v>
      </c>
      <c r="E2119" s="22">
        <v>175</v>
      </c>
      <c r="F2119" s="22">
        <v>4</v>
      </c>
      <c r="G2119" s="22">
        <v>8</v>
      </c>
      <c r="H2119" s="22"/>
      <c r="I2119" s="23" t="s">
        <v>9</v>
      </c>
      <c r="J2119" s="23"/>
      <c r="K2119" s="22"/>
      <c r="L2119" s="22"/>
      <c r="M2119" s="23"/>
      <c r="N2119" s="23"/>
      <c r="O2119" s="26" t="s">
        <v>3769</v>
      </c>
      <c r="P2119" s="26"/>
      <c r="Q2119" s="22"/>
      <c r="R2119" s="24"/>
      <c r="S2119" s="24"/>
      <c r="T2119" s="24"/>
      <c r="U2119" s="24"/>
      <c r="V2119" s="24"/>
      <c r="W2119" s="22" t="s">
        <v>940</v>
      </c>
      <c r="X2119" s="4" t="str">
        <f>IF(Tabela2[[#This Row],[sigla]]="","",VLOOKUP(Tabela2[[#This Row],[sigla]],créditos_base!B:C,2,0))</f>
        <v>RONALDO LUCENA/ARQUIVO DA EDITORA</v>
      </c>
      <c r="Y2119" s="23"/>
      <c r="Z2119" s="23" t="str">
        <f>Tabela2[[#This Row],[ilustrador]]</f>
        <v>RONALDO LUCENA/ARQUIVO DA EDITORA</v>
      </c>
      <c r="AA2119" s="22"/>
      <c r="AB2119" s="20"/>
      <c r="AD2119" s="4" t="str">
        <f>"Pitanguá"</f>
        <v>Pitanguá</v>
      </c>
      <c r="AE2119" s="14" t="str">
        <f>"Matemática"</f>
        <v>Matemática</v>
      </c>
      <c r="AF2119" s="14"/>
    </row>
    <row r="2120" spans="1:32" ht="28.8" x14ac:dyDescent="0.3">
      <c r="A2120" s="23" t="s">
        <v>3770</v>
      </c>
      <c r="B2120" s="20" t="s">
        <v>16</v>
      </c>
      <c r="C2120" s="20" t="s">
        <v>89</v>
      </c>
      <c r="D2120" s="20" t="s">
        <v>8</v>
      </c>
      <c r="E2120" s="22">
        <v>175</v>
      </c>
      <c r="F2120" s="22">
        <v>4</v>
      </c>
      <c r="G2120" s="22">
        <v>8</v>
      </c>
      <c r="H2120" s="22"/>
      <c r="I2120" s="23" t="s">
        <v>9</v>
      </c>
      <c r="J2120" s="23"/>
      <c r="K2120" s="22"/>
      <c r="L2120" s="22"/>
      <c r="M2120" s="23"/>
      <c r="N2120" s="23"/>
      <c r="O2120" s="26" t="s">
        <v>3771</v>
      </c>
      <c r="P2120" s="26"/>
      <c r="Q2120" s="22"/>
      <c r="R2120" s="24"/>
      <c r="S2120" s="24"/>
      <c r="T2120" s="24"/>
      <c r="U2120" s="24"/>
      <c r="V2120" s="24"/>
      <c r="W2120" s="22" t="s">
        <v>940</v>
      </c>
      <c r="X2120" s="4" t="str">
        <f>IF(Tabela2[[#This Row],[sigla]]="","",VLOOKUP(Tabela2[[#This Row],[sigla]],créditos_base!B:C,2,0))</f>
        <v>RONALDO LUCENA/ARQUIVO DA EDITORA</v>
      </c>
      <c r="Y2120" s="23"/>
      <c r="Z2120" s="23" t="str">
        <f>Tabela2[[#This Row],[ilustrador]]</f>
        <v>RONALDO LUCENA/ARQUIVO DA EDITORA</v>
      </c>
      <c r="AA2120" s="22"/>
      <c r="AB2120" s="20"/>
      <c r="AD2120" s="4" t="str">
        <f>"Pitanguá"</f>
        <v>Pitanguá</v>
      </c>
      <c r="AE2120" s="14" t="str">
        <f>"Matemática"</f>
        <v>Matemática</v>
      </c>
      <c r="AF2120" s="14"/>
    </row>
    <row r="2121" spans="1:32" ht="28.8" x14ac:dyDescent="0.3">
      <c r="A2121" s="23" t="s">
        <v>3772</v>
      </c>
      <c r="B2121" s="20" t="s">
        <v>16</v>
      </c>
      <c r="C2121" s="20" t="s">
        <v>89</v>
      </c>
      <c r="D2121" s="20" t="s">
        <v>8</v>
      </c>
      <c r="E2121" s="22">
        <v>175</v>
      </c>
      <c r="F2121" s="22">
        <v>4</v>
      </c>
      <c r="G2121" s="22">
        <v>8</v>
      </c>
      <c r="H2121" s="22"/>
      <c r="I2121" s="23" t="s">
        <v>9</v>
      </c>
      <c r="J2121" s="23"/>
      <c r="K2121" s="22"/>
      <c r="L2121" s="22"/>
      <c r="M2121" s="23"/>
      <c r="N2121" s="23"/>
      <c r="O2121" s="26" t="s">
        <v>3773</v>
      </c>
      <c r="P2121" s="26"/>
      <c r="Q2121" s="22"/>
      <c r="R2121" s="24"/>
      <c r="S2121" s="24"/>
      <c r="T2121" s="24"/>
      <c r="U2121" s="24"/>
      <c r="V2121" s="24"/>
      <c r="W2121" s="22" t="s">
        <v>940</v>
      </c>
      <c r="X2121" s="4" t="str">
        <f>IF(Tabela2[[#This Row],[sigla]]="","",VLOOKUP(Tabela2[[#This Row],[sigla]],créditos_base!B:C,2,0))</f>
        <v>RONALDO LUCENA/ARQUIVO DA EDITORA</v>
      </c>
      <c r="Y2121" s="23"/>
      <c r="Z2121" s="23" t="str">
        <f>Tabela2[[#This Row],[ilustrador]]</f>
        <v>RONALDO LUCENA/ARQUIVO DA EDITORA</v>
      </c>
      <c r="AA2121" s="22"/>
      <c r="AB2121" s="20"/>
      <c r="AD2121" s="4" t="str">
        <f>"Pitanguá"</f>
        <v>Pitanguá</v>
      </c>
      <c r="AE2121" s="14" t="str">
        <f>"Matemática"</f>
        <v>Matemática</v>
      </c>
      <c r="AF2121" s="14"/>
    </row>
    <row r="2122" spans="1:32" ht="28.8" x14ac:dyDescent="0.3">
      <c r="A2122" s="23" t="s">
        <v>3774</v>
      </c>
      <c r="B2122" s="20" t="s">
        <v>6</v>
      </c>
      <c r="C2122" s="20" t="s">
        <v>89</v>
      </c>
      <c r="D2122" s="20" t="s">
        <v>8</v>
      </c>
      <c r="E2122" s="22">
        <v>175</v>
      </c>
      <c r="F2122" s="22">
        <v>4</v>
      </c>
      <c r="G2122" s="22">
        <v>8</v>
      </c>
      <c r="H2122" s="22"/>
      <c r="I2122" s="23" t="s">
        <v>33</v>
      </c>
      <c r="J2122" s="23"/>
      <c r="K2122" s="22"/>
      <c r="L2122" s="22"/>
      <c r="M2122" s="23"/>
      <c r="N2122" s="23"/>
      <c r="O2122" s="26" t="s">
        <v>3775</v>
      </c>
      <c r="P2122" s="26"/>
      <c r="Q2122" s="22">
        <v>53</v>
      </c>
      <c r="R2122" s="24">
        <v>45803</v>
      </c>
      <c r="S2122" s="24">
        <v>45810</v>
      </c>
      <c r="T2122" s="24"/>
      <c r="U2122" s="24"/>
      <c r="V2122" s="24">
        <v>45810</v>
      </c>
      <c r="W2122" s="22" t="s">
        <v>160</v>
      </c>
      <c r="X2122" s="4" t="str">
        <f>IF(Tabela2[[#This Row],[sigla]]="","",VLOOKUP(Tabela2[[#This Row],[sigla]],créditos_base!B:C,2,0))</f>
        <v>SERGIO LIMA/ARQUIVO DA EDITORA</v>
      </c>
      <c r="Y2122" s="23" t="s">
        <v>1503</v>
      </c>
      <c r="Z2122" s="23" t="str">
        <f>Tabela2[[#This Row],[ilustrador]]</f>
        <v>SERGIO LIMA/ARQUIVO DA EDITORA</v>
      </c>
      <c r="AA2122" s="22"/>
      <c r="AB2122" s="28" t="s">
        <v>41</v>
      </c>
      <c r="AC2122" s="20" t="s">
        <v>36</v>
      </c>
      <c r="AD2122" s="4" t="str">
        <f>"Pitanguá"</f>
        <v>Pitanguá</v>
      </c>
      <c r="AE2122" s="14" t="str">
        <f>"Matemática"</f>
        <v>Matemática</v>
      </c>
      <c r="AF2122" s="14"/>
    </row>
    <row r="2123" spans="1:32" ht="28.8" x14ac:dyDescent="0.3">
      <c r="A2123" s="23" t="s">
        <v>3776</v>
      </c>
      <c r="B2123" s="20" t="s">
        <v>6</v>
      </c>
      <c r="C2123" s="20" t="s">
        <v>89</v>
      </c>
      <c r="D2123" s="20" t="s">
        <v>8</v>
      </c>
      <c r="E2123" s="22">
        <v>175</v>
      </c>
      <c r="F2123" s="22">
        <v>4</v>
      </c>
      <c r="G2123" s="22">
        <v>8</v>
      </c>
      <c r="H2123" s="22"/>
      <c r="I2123" s="23" t="s">
        <v>33</v>
      </c>
      <c r="J2123" s="23"/>
      <c r="K2123" s="22"/>
      <c r="L2123" s="22"/>
      <c r="M2123" s="23"/>
      <c r="N2123" s="23"/>
      <c r="O2123" s="26" t="s">
        <v>3777</v>
      </c>
      <c r="P2123" s="26"/>
      <c r="Q2123" s="22">
        <v>53</v>
      </c>
      <c r="R2123" s="24">
        <v>45803</v>
      </c>
      <c r="S2123" s="24">
        <v>45810</v>
      </c>
      <c r="T2123" s="24"/>
      <c r="U2123" s="24"/>
      <c r="V2123" s="24">
        <v>45810</v>
      </c>
      <c r="W2123" s="22" t="s">
        <v>160</v>
      </c>
      <c r="X2123" s="4" t="str">
        <f>IF(Tabela2[[#This Row],[sigla]]="","",VLOOKUP(Tabela2[[#This Row],[sigla]],créditos_base!B:C,2,0))</f>
        <v>SERGIO LIMA/ARQUIVO DA EDITORA</v>
      </c>
      <c r="Y2123" s="23" t="s">
        <v>1503</v>
      </c>
      <c r="Z2123" s="23" t="str">
        <f>Tabela2[[#This Row],[ilustrador]]</f>
        <v>SERGIO LIMA/ARQUIVO DA EDITORA</v>
      </c>
      <c r="AA2123" s="22"/>
      <c r="AB2123" s="28" t="s">
        <v>41</v>
      </c>
      <c r="AC2123" s="20" t="s">
        <v>36</v>
      </c>
      <c r="AD2123" s="4" t="str">
        <f>"Pitanguá"</f>
        <v>Pitanguá</v>
      </c>
      <c r="AE2123" s="14" t="str">
        <f>"Matemática"</f>
        <v>Matemática</v>
      </c>
      <c r="AF2123" s="14"/>
    </row>
    <row r="2124" spans="1:32" ht="28.8" x14ac:dyDescent="0.3">
      <c r="A2124" s="23" t="s">
        <v>3778</v>
      </c>
      <c r="B2124" s="20" t="s">
        <v>6</v>
      </c>
      <c r="C2124" s="20" t="s">
        <v>89</v>
      </c>
      <c r="D2124" s="20" t="s">
        <v>8</v>
      </c>
      <c r="E2124" s="22">
        <v>175</v>
      </c>
      <c r="F2124" s="22">
        <v>4</v>
      </c>
      <c r="G2124" s="22">
        <v>8</v>
      </c>
      <c r="H2124" s="22"/>
      <c r="I2124" s="23" t="s">
        <v>9</v>
      </c>
      <c r="J2124" s="23"/>
      <c r="K2124" s="22"/>
      <c r="L2124" s="22"/>
      <c r="M2124" s="23"/>
      <c r="N2124" s="23"/>
      <c r="O2124" s="26" t="s">
        <v>3779</v>
      </c>
      <c r="P2124" s="26"/>
      <c r="Q2124" s="22"/>
      <c r="R2124" s="24"/>
      <c r="S2124" s="24"/>
      <c r="T2124" s="24"/>
      <c r="U2124" s="24"/>
      <c r="V2124" s="24"/>
      <c r="W2124" s="22" t="s">
        <v>160</v>
      </c>
      <c r="X2124" s="4" t="str">
        <f>IF(Tabela2[[#This Row],[sigla]]="","",VLOOKUP(Tabela2[[#This Row],[sigla]],créditos_base!B:C,2,0))</f>
        <v>SERGIO LIMA/ARQUIVO DA EDITORA</v>
      </c>
      <c r="Y2124" s="23"/>
      <c r="Z2124" s="23" t="str">
        <f>Tabela2[[#This Row],[ilustrador]]</f>
        <v>SERGIO LIMA/ARQUIVO DA EDITORA</v>
      </c>
      <c r="AA2124" s="22"/>
      <c r="AB2124" s="20"/>
      <c r="AD2124" s="4" t="str">
        <f>"Pitanguá"</f>
        <v>Pitanguá</v>
      </c>
      <c r="AE2124" s="14" t="str">
        <f>"Matemática"</f>
        <v>Matemática</v>
      </c>
      <c r="AF2124" s="14"/>
    </row>
    <row r="2125" spans="1:32" ht="43.2" x14ac:dyDescent="0.3">
      <c r="A2125" s="23" t="s">
        <v>3780</v>
      </c>
      <c r="B2125" s="20" t="s">
        <v>6</v>
      </c>
      <c r="C2125" s="20" t="s">
        <v>89</v>
      </c>
      <c r="D2125" s="20" t="s">
        <v>8</v>
      </c>
      <c r="E2125" s="22">
        <v>175</v>
      </c>
      <c r="F2125" s="22">
        <v>4</v>
      </c>
      <c r="G2125" s="22">
        <v>8</v>
      </c>
      <c r="H2125" s="22"/>
      <c r="I2125" s="23" t="s">
        <v>33</v>
      </c>
      <c r="J2125" s="23"/>
      <c r="K2125" s="22"/>
      <c r="L2125" s="22"/>
      <c r="M2125" s="23"/>
      <c r="N2125" s="23"/>
      <c r="O2125" s="26" t="s">
        <v>3781</v>
      </c>
      <c r="P2125" s="26"/>
      <c r="Q2125" s="22">
        <v>53</v>
      </c>
      <c r="R2125" s="24">
        <v>45803</v>
      </c>
      <c r="S2125" s="24">
        <v>45810</v>
      </c>
      <c r="T2125" s="24"/>
      <c r="U2125" s="24"/>
      <c r="V2125" s="24">
        <v>45810</v>
      </c>
      <c r="W2125" s="22" t="s">
        <v>160</v>
      </c>
      <c r="X2125" s="4" t="str">
        <f>IF(Tabela2[[#This Row],[sigla]]="","",VLOOKUP(Tabela2[[#This Row],[sigla]],créditos_base!B:C,2,0))</f>
        <v>SERGIO LIMA/ARQUIVO DA EDITORA</v>
      </c>
      <c r="Y2125" s="23" t="s">
        <v>1503</v>
      </c>
      <c r="Z2125" s="23" t="str">
        <f>Tabela2[[#This Row],[ilustrador]]</f>
        <v>SERGIO LIMA/ARQUIVO DA EDITORA</v>
      </c>
      <c r="AA2125" s="22"/>
      <c r="AB2125" s="28" t="s">
        <v>41</v>
      </c>
      <c r="AC2125" s="20" t="s">
        <v>36</v>
      </c>
      <c r="AD2125" s="4" t="str">
        <f>"Pitanguá"</f>
        <v>Pitanguá</v>
      </c>
      <c r="AE2125" s="14" t="str">
        <f>"Matemática"</f>
        <v>Matemática</v>
      </c>
      <c r="AF2125" s="14"/>
    </row>
    <row r="2126" spans="1:32" ht="43.2" x14ac:dyDescent="0.3">
      <c r="A2126" s="23" t="s">
        <v>5233</v>
      </c>
      <c r="B2126" s="20" t="s">
        <v>16</v>
      </c>
      <c r="C2126" s="20" t="s">
        <v>89</v>
      </c>
      <c r="D2126" s="20" t="s">
        <v>8</v>
      </c>
      <c r="E2126" s="22">
        <v>200</v>
      </c>
      <c r="F2126" s="22">
        <v>4</v>
      </c>
      <c r="G2126" s="22">
        <v>8</v>
      </c>
      <c r="H2126" s="22"/>
      <c r="I2126" s="23" t="s">
        <v>90</v>
      </c>
      <c r="J2126" s="23"/>
      <c r="K2126" s="22"/>
      <c r="L2126" s="22"/>
      <c r="M2126" s="23"/>
      <c r="N2126" s="23"/>
      <c r="O2126" s="20" t="s">
        <v>5234</v>
      </c>
      <c r="P2126" s="26"/>
      <c r="Q2126" s="22">
        <v>109</v>
      </c>
      <c r="R2126" s="24">
        <v>45852</v>
      </c>
      <c r="S2126" s="24">
        <v>45854</v>
      </c>
      <c r="T2126" s="24"/>
      <c r="U2126" s="24"/>
      <c r="V2126" s="24">
        <v>45855</v>
      </c>
      <c r="W2126" s="22" t="s">
        <v>5235</v>
      </c>
      <c r="X2126" s="4" t="str">
        <f>IF(Tabela2[[#This Row],[sigla]]="","",VLOOKUP(Tabela2[[#This Row],[sigla]],créditos_base!B:C,2,0))</f>
        <v>NOME DO ILUSTRADOR/ARQUIVO DA EDITORA</v>
      </c>
      <c r="Y2126" s="23" t="s">
        <v>152</v>
      </c>
      <c r="Z2126" s="23" t="s">
        <v>5236</v>
      </c>
      <c r="AA2126" s="22"/>
      <c r="AB2126" s="20"/>
      <c r="AC2126" s="20" t="s">
        <v>36</v>
      </c>
      <c r="AD2126" s="4" t="str">
        <f>"Pitanguá"</f>
        <v>Pitanguá</v>
      </c>
      <c r="AE2126" s="14" t="str">
        <f>"Matemática"</f>
        <v>Matemática</v>
      </c>
      <c r="AF2126" s="14"/>
    </row>
    <row r="2127" spans="1:32" ht="43.2" x14ac:dyDescent="0.3">
      <c r="A2127" s="23" t="s">
        <v>5237</v>
      </c>
      <c r="B2127" s="20" t="s">
        <v>16</v>
      </c>
      <c r="C2127" s="20" t="s">
        <v>89</v>
      </c>
      <c r="D2127" s="20" t="s">
        <v>8</v>
      </c>
      <c r="E2127" s="22">
        <v>200</v>
      </c>
      <c r="F2127" s="22">
        <v>4</v>
      </c>
      <c r="G2127" s="22">
        <v>8</v>
      </c>
      <c r="H2127" s="22"/>
      <c r="I2127" s="23" t="s">
        <v>90</v>
      </c>
      <c r="J2127" s="23"/>
      <c r="K2127" s="22"/>
      <c r="L2127" s="22"/>
      <c r="M2127" s="23"/>
      <c r="N2127" s="23"/>
      <c r="O2127" s="20" t="s">
        <v>5238</v>
      </c>
      <c r="P2127" s="26"/>
      <c r="Q2127" s="22">
        <v>109</v>
      </c>
      <c r="R2127" s="24">
        <v>45852</v>
      </c>
      <c r="S2127" s="24">
        <v>45854</v>
      </c>
      <c r="T2127" s="24"/>
      <c r="U2127" s="24"/>
      <c r="V2127" s="24">
        <v>45855</v>
      </c>
      <c r="W2127" s="22" t="s">
        <v>5235</v>
      </c>
      <c r="X2127" s="4" t="str">
        <f>IF(Tabela2[[#This Row],[sigla]]="","",VLOOKUP(Tabela2[[#This Row],[sigla]],créditos_base!B:C,2,0))</f>
        <v>NOME DO ILUSTRADOR/ARQUIVO DA EDITORA</v>
      </c>
      <c r="Y2127" s="23" t="s">
        <v>152</v>
      </c>
      <c r="Z2127" s="23" t="s">
        <v>5236</v>
      </c>
      <c r="AA2127" s="22"/>
      <c r="AB2127" s="20"/>
      <c r="AC2127" s="20" t="s">
        <v>36</v>
      </c>
      <c r="AD2127" s="4" t="str">
        <f>"Pitanguá"</f>
        <v>Pitanguá</v>
      </c>
      <c r="AE2127" s="14" t="str">
        <f>"Matemática"</f>
        <v>Matemática</v>
      </c>
      <c r="AF2127" s="14"/>
    </row>
    <row r="2128" spans="1:32" ht="43.2" x14ac:dyDescent="0.3">
      <c r="A2128" s="23" t="s">
        <v>5239</v>
      </c>
      <c r="B2128" s="20" t="s">
        <v>16</v>
      </c>
      <c r="C2128" s="20" t="s">
        <v>89</v>
      </c>
      <c r="D2128" s="20" t="s">
        <v>8</v>
      </c>
      <c r="E2128" s="22">
        <v>201</v>
      </c>
      <c r="F2128" s="22">
        <v>4</v>
      </c>
      <c r="G2128" s="22">
        <v>8</v>
      </c>
      <c r="H2128" s="22"/>
      <c r="I2128" s="23" t="s">
        <v>90</v>
      </c>
      <c r="J2128" s="23"/>
      <c r="K2128" s="22"/>
      <c r="L2128" s="22"/>
      <c r="M2128" s="23"/>
      <c r="N2128" s="23"/>
      <c r="O2128" s="26" t="s">
        <v>5240</v>
      </c>
      <c r="P2128" s="26"/>
      <c r="Q2128" s="22">
        <v>109</v>
      </c>
      <c r="R2128" s="24">
        <v>45852</v>
      </c>
      <c r="S2128" s="24">
        <v>45854</v>
      </c>
      <c r="T2128" s="24"/>
      <c r="U2128" s="24"/>
      <c r="V2128" s="24">
        <v>45855</v>
      </c>
      <c r="W2128" s="22" t="s">
        <v>1217</v>
      </c>
      <c r="X2128" s="4" t="str">
        <f>IF(Tabela2[[#This Row],[sigla]]="","",VLOOKUP(Tabela2[[#This Row],[sigla]],créditos_base!B:C,2,0))</f>
        <v>KEITHY MOSTACHI/ARQUIVO DA EDITORA</v>
      </c>
      <c r="Y2128" s="23"/>
      <c r="Z2128" s="23" t="str">
        <f>Tabela2[[#This Row],[ilustrador]]</f>
        <v>KEITHY MOSTACHI/ARQUIVO DA EDITORA</v>
      </c>
      <c r="AA2128" s="22"/>
      <c r="AB2128" s="20"/>
      <c r="AC2128" s="20" t="s">
        <v>36</v>
      </c>
      <c r="AD2128" s="4" t="str">
        <f>"Pitanguá"</f>
        <v>Pitanguá</v>
      </c>
      <c r="AE2128" s="14" t="str">
        <f>"Matemática"</f>
        <v>Matemática</v>
      </c>
      <c r="AF2128" s="14"/>
    </row>
    <row r="2129" spans="1:32" ht="43.2" x14ac:dyDescent="0.3">
      <c r="A2129" s="23" t="s">
        <v>5241</v>
      </c>
      <c r="B2129" s="20" t="s">
        <v>16</v>
      </c>
      <c r="C2129" s="20" t="s">
        <v>7</v>
      </c>
      <c r="D2129" s="20" t="s">
        <v>8</v>
      </c>
      <c r="E2129" s="22">
        <v>202</v>
      </c>
      <c r="F2129" s="22">
        <v>4</v>
      </c>
      <c r="G2129" s="22">
        <v>8</v>
      </c>
      <c r="H2129" s="22"/>
      <c r="I2129" s="23" t="s">
        <v>33</v>
      </c>
      <c r="J2129" s="23"/>
      <c r="K2129" s="22"/>
      <c r="L2129" s="22"/>
      <c r="M2129" s="23"/>
      <c r="N2129" s="23"/>
      <c r="O2129" s="26" t="s">
        <v>5242</v>
      </c>
      <c r="P2129" s="26"/>
      <c r="Q2129" s="22">
        <v>109</v>
      </c>
      <c r="R2129" s="24">
        <v>45852</v>
      </c>
      <c r="S2129" s="24">
        <v>45854</v>
      </c>
      <c r="T2129" s="24"/>
      <c r="U2129" s="24"/>
      <c r="V2129" s="24">
        <v>45855</v>
      </c>
      <c r="W2129" s="22" t="s">
        <v>31</v>
      </c>
      <c r="X2129" s="4" t="str">
        <f>IF(Tabela2[[#This Row],[sigla]]="","",VLOOKUP(Tabela2[[#This Row],[sigla]],créditos_base!B:C,2,0))</f>
        <v>SILVIA OTOFUJI/ARQUIVO DA EDITORA</v>
      </c>
      <c r="Y2129" s="23" t="s">
        <v>152</v>
      </c>
      <c r="Z2129" s="23" t="str">
        <f>Tabela2[[#This Row],[ilustrador]]</f>
        <v>SILVIA OTOFUJI/ARQUIVO DA EDITORA</v>
      </c>
      <c r="AA2129" s="22"/>
      <c r="AB2129" s="20"/>
      <c r="AC2129" s="20" t="s">
        <v>36</v>
      </c>
      <c r="AD2129" s="4" t="str">
        <f>"Pitanguá"</f>
        <v>Pitanguá</v>
      </c>
      <c r="AE2129" s="14" t="str">
        <f>"Matemática"</f>
        <v>Matemática</v>
      </c>
      <c r="AF2129" s="14"/>
    </row>
    <row r="2130" spans="1:32" ht="43.2" x14ac:dyDescent="0.3">
      <c r="A2130" s="23" t="s">
        <v>5243</v>
      </c>
      <c r="B2130" s="20" t="s">
        <v>16</v>
      </c>
      <c r="C2130" s="20" t="s">
        <v>7</v>
      </c>
      <c r="D2130" s="20" t="s">
        <v>8</v>
      </c>
      <c r="E2130" s="22">
        <v>202</v>
      </c>
      <c r="F2130" s="22">
        <v>4</v>
      </c>
      <c r="G2130" s="22">
        <v>8</v>
      </c>
      <c r="H2130" s="22"/>
      <c r="I2130" s="23" t="s">
        <v>33</v>
      </c>
      <c r="J2130" s="23"/>
      <c r="K2130" s="22"/>
      <c r="L2130" s="22"/>
      <c r="M2130" s="23"/>
      <c r="N2130" s="23"/>
      <c r="O2130" s="26" t="s">
        <v>5244</v>
      </c>
      <c r="P2130" s="26"/>
      <c r="Q2130" s="22">
        <v>109</v>
      </c>
      <c r="R2130" s="24">
        <v>45852</v>
      </c>
      <c r="S2130" s="24">
        <v>45854</v>
      </c>
      <c r="T2130" s="24"/>
      <c r="U2130" s="24"/>
      <c r="V2130" s="24">
        <v>45855</v>
      </c>
      <c r="W2130" s="22" t="s">
        <v>31</v>
      </c>
      <c r="X2130" s="4" t="str">
        <f>IF(Tabela2[[#This Row],[sigla]]="","",VLOOKUP(Tabela2[[#This Row],[sigla]],créditos_base!B:C,2,0))</f>
        <v>SILVIA OTOFUJI/ARQUIVO DA EDITORA</v>
      </c>
      <c r="Y2130" s="23" t="s">
        <v>152</v>
      </c>
      <c r="Z2130" s="23" t="str">
        <f>Tabela2[[#This Row],[ilustrador]]</f>
        <v>SILVIA OTOFUJI/ARQUIVO DA EDITORA</v>
      </c>
      <c r="AA2130" s="22"/>
      <c r="AB2130" s="20"/>
      <c r="AC2130" s="20" t="s">
        <v>36</v>
      </c>
      <c r="AD2130" s="4" t="str">
        <f>"Pitanguá"</f>
        <v>Pitanguá</v>
      </c>
      <c r="AE2130" s="14" t="str">
        <f>"Matemática"</f>
        <v>Matemática</v>
      </c>
      <c r="AF2130" s="14"/>
    </row>
    <row r="2131" spans="1:32" x14ac:dyDescent="0.3">
      <c r="A2131" s="23" t="s">
        <v>5245</v>
      </c>
      <c r="B2131" s="20" t="s">
        <v>16</v>
      </c>
      <c r="C2131" s="20" t="s">
        <v>7</v>
      </c>
      <c r="D2131" s="20" t="s">
        <v>8</v>
      </c>
      <c r="E2131" s="22">
        <v>203</v>
      </c>
      <c r="F2131" s="22">
        <v>4</v>
      </c>
      <c r="G2131" s="22">
        <v>8</v>
      </c>
      <c r="H2131" s="22"/>
      <c r="I2131" s="23" t="s">
        <v>33</v>
      </c>
      <c r="J2131" s="23"/>
      <c r="K2131" s="22"/>
      <c r="L2131" s="22"/>
      <c r="M2131" s="23"/>
      <c r="N2131" s="23"/>
      <c r="O2131" s="26" t="s">
        <v>5246</v>
      </c>
      <c r="P2131" s="26"/>
      <c r="Q2131" s="22">
        <v>109</v>
      </c>
      <c r="R2131" s="24">
        <v>45852</v>
      </c>
      <c r="S2131" s="24">
        <v>45854</v>
      </c>
      <c r="T2131" s="24"/>
      <c r="U2131" s="24"/>
      <c r="V2131" s="24">
        <v>45855</v>
      </c>
      <c r="W2131" s="22" t="s">
        <v>31</v>
      </c>
      <c r="X2131" s="4" t="str">
        <f>IF(Tabela2[[#This Row],[sigla]]="","",VLOOKUP(Tabela2[[#This Row],[sigla]],créditos_base!B:C,2,0))</f>
        <v>SILVIA OTOFUJI/ARQUIVO DA EDITORA</v>
      </c>
      <c r="Y2131" s="23" t="s">
        <v>152</v>
      </c>
      <c r="Z2131" s="23" t="str">
        <f>Tabela2[[#This Row],[ilustrador]]</f>
        <v>SILVIA OTOFUJI/ARQUIVO DA EDITORA</v>
      </c>
      <c r="AA2131" s="22"/>
      <c r="AB2131" s="20"/>
      <c r="AC2131" s="20" t="s">
        <v>36</v>
      </c>
      <c r="AD2131" s="4" t="str">
        <f>"Pitanguá"</f>
        <v>Pitanguá</v>
      </c>
      <c r="AE2131" s="14" t="str">
        <f>"Matemática"</f>
        <v>Matemática</v>
      </c>
      <c r="AF2131" s="14"/>
    </row>
    <row r="2132" spans="1:32" ht="86.4" x14ac:dyDescent="0.3">
      <c r="A2132" s="23" t="s">
        <v>5247</v>
      </c>
      <c r="B2132" s="20" t="s">
        <v>16</v>
      </c>
      <c r="C2132" s="20" t="s">
        <v>7</v>
      </c>
      <c r="D2132" s="20" t="s">
        <v>8</v>
      </c>
      <c r="E2132" s="22">
        <v>203</v>
      </c>
      <c r="F2132" s="22">
        <v>4</v>
      </c>
      <c r="G2132" s="22">
        <v>8</v>
      </c>
      <c r="H2132" s="22"/>
      <c r="I2132" s="23" t="s">
        <v>9</v>
      </c>
      <c r="J2132" s="23"/>
      <c r="K2132" s="22"/>
      <c r="L2132" s="22"/>
      <c r="M2132" s="23"/>
      <c r="N2132" s="23"/>
      <c r="O2132" s="26" t="s">
        <v>5248</v>
      </c>
      <c r="P2132" s="26"/>
      <c r="Q2132" s="22"/>
      <c r="R2132" s="24"/>
      <c r="S2132" s="24"/>
      <c r="T2132" s="24"/>
      <c r="U2132" s="24"/>
      <c r="V2132" s="24"/>
      <c r="W2132" s="22" t="s">
        <v>31</v>
      </c>
      <c r="X2132" s="4" t="str">
        <f>IF(Tabela2[[#This Row],[sigla]]="","",VLOOKUP(Tabela2[[#This Row],[sigla]],créditos_base!B:C,2,0))</f>
        <v>SILVIA OTOFUJI/ARQUIVO DA EDITORA</v>
      </c>
      <c r="Y2132" s="23"/>
      <c r="Z2132" s="23" t="str">
        <f>Tabela2[[#This Row],[ilustrador]]</f>
        <v>SILVIA OTOFUJI/ARQUIVO DA EDITORA</v>
      </c>
      <c r="AA2132" s="22"/>
      <c r="AB2132" s="20"/>
      <c r="AD2132" s="4" t="str">
        <f>"Pitanguá"</f>
        <v>Pitanguá</v>
      </c>
      <c r="AE2132" s="14" t="str">
        <f>"Matemática"</f>
        <v>Matemática</v>
      </c>
      <c r="AF2132" s="14"/>
    </row>
    <row r="2133" spans="1:32" ht="43.2" x14ac:dyDescent="0.3">
      <c r="A2133" s="23" t="s">
        <v>5249</v>
      </c>
      <c r="B2133" s="20" t="s">
        <v>16</v>
      </c>
      <c r="C2133" s="20" t="s">
        <v>7</v>
      </c>
      <c r="D2133" s="20" t="s">
        <v>8</v>
      </c>
      <c r="E2133" s="22">
        <v>203</v>
      </c>
      <c r="F2133" s="22">
        <v>4</v>
      </c>
      <c r="G2133" s="22">
        <v>8</v>
      </c>
      <c r="H2133" s="22"/>
      <c r="I2133" s="23" t="s">
        <v>33</v>
      </c>
      <c r="J2133" s="23"/>
      <c r="K2133" s="22"/>
      <c r="L2133" s="22"/>
      <c r="M2133" s="23"/>
      <c r="N2133" s="23"/>
      <c r="O2133" s="26" t="s">
        <v>5250</v>
      </c>
      <c r="P2133" s="26"/>
      <c r="Q2133" s="22">
        <v>109</v>
      </c>
      <c r="R2133" s="24">
        <v>45852</v>
      </c>
      <c r="S2133" s="24">
        <v>45854</v>
      </c>
      <c r="T2133" s="24"/>
      <c r="U2133" s="24"/>
      <c r="V2133" s="24">
        <v>45855</v>
      </c>
      <c r="W2133" s="22" t="s">
        <v>31</v>
      </c>
      <c r="X2133" s="4" t="str">
        <f>IF(Tabela2[[#This Row],[sigla]]="","",VLOOKUP(Tabela2[[#This Row],[sigla]],créditos_base!B:C,2,0))</f>
        <v>SILVIA OTOFUJI/ARQUIVO DA EDITORA</v>
      </c>
      <c r="Y2133" s="23" t="s">
        <v>152</v>
      </c>
      <c r="Z2133" s="23" t="str">
        <f>Tabela2[[#This Row],[ilustrador]]</f>
        <v>SILVIA OTOFUJI/ARQUIVO DA EDITORA</v>
      </c>
      <c r="AA2133" s="22"/>
      <c r="AB2133" s="20"/>
      <c r="AC2133" s="20" t="s">
        <v>36</v>
      </c>
      <c r="AD2133" s="4" t="str">
        <f>"Pitanguá"</f>
        <v>Pitanguá</v>
      </c>
      <c r="AE2133" s="14" t="str">
        <f>"Matemática"</f>
        <v>Matemática</v>
      </c>
      <c r="AF2133" s="14"/>
    </row>
    <row r="2134" spans="1:32" ht="28.8" x14ac:dyDescent="0.3">
      <c r="A2134" s="23" t="s">
        <v>5262</v>
      </c>
      <c r="B2134" s="20" t="s">
        <v>16</v>
      </c>
      <c r="C2134" s="20" t="s">
        <v>89</v>
      </c>
      <c r="D2134" s="20" t="s">
        <v>8</v>
      </c>
      <c r="E2134" s="22">
        <v>213</v>
      </c>
      <c r="F2134" s="22">
        <v>4</v>
      </c>
      <c r="G2134" s="22">
        <v>8</v>
      </c>
      <c r="H2134" s="22"/>
      <c r="I2134" s="23" t="s">
        <v>33</v>
      </c>
      <c r="J2134" s="23"/>
      <c r="K2134" s="22"/>
      <c r="L2134" s="22"/>
      <c r="M2134" s="23"/>
      <c r="N2134" s="23"/>
      <c r="O2134" s="26" t="s">
        <v>5263</v>
      </c>
      <c r="P2134" s="26"/>
      <c r="Q2134" s="22">
        <v>109</v>
      </c>
      <c r="R2134" s="24">
        <v>45852</v>
      </c>
      <c r="S2134" s="24">
        <v>45854</v>
      </c>
      <c r="T2134" s="24"/>
      <c r="U2134" s="24"/>
      <c r="V2134" s="24">
        <v>45855</v>
      </c>
      <c r="W2134" s="22" t="s">
        <v>160</v>
      </c>
      <c r="X2134" s="4" t="str">
        <f>IF(Tabela2[[#This Row],[sigla]]="","",VLOOKUP(Tabela2[[#This Row],[sigla]],créditos_base!B:C,2,0))</f>
        <v>SERGIO LIMA/ARQUIVO DA EDITORA</v>
      </c>
      <c r="Y2134" s="23" t="s">
        <v>152</v>
      </c>
      <c r="Z2134" s="23" t="str">
        <f>Tabela2[[#This Row],[ilustrador]]</f>
        <v>SERGIO LIMA/ARQUIVO DA EDITORA</v>
      </c>
      <c r="AA2134" s="22"/>
      <c r="AB2134" s="20"/>
      <c r="AC2134" s="20" t="s">
        <v>36</v>
      </c>
      <c r="AD2134" s="4" t="str">
        <f>"Pitanguá"</f>
        <v>Pitanguá</v>
      </c>
      <c r="AE2134" s="14" t="str">
        <f>"Matemática"</f>
        <v>Matemática</v>
      </c>
      <c r="AF2134" s="14"/>
    </row>
    <row r="2135" spans="1:32" ht="28.8" x14ac:dyDescent="0.3">
      <c r="A2135" s="23" t="s">
        <v>5264</v>
      </c>
      <c r="B2135" s="20" t="s">
        <v>16</v>
      </c>
      <c r="C2135" s="20" t="s">
        <v>89</v>
      </c>
      <c r="D2135" s="20" t="s">
        <v>8</v>
      </c>
      <c r="E2135" s="22">
        <v>213</v>
      </c>
      <c r="F2135" s="22">
        <v>4</v>
      </c>
      <c r="G2135" s="22">
        <v>8</v>
      </c>
      <c r="H2135" s="22"/>
      <c r="I2135" s="23" t="s">
        <v>33</v>
      </c>
      <c r="J2135" s="23"/>
      <c r="K2135" s="22"/>
      <c r="L2135" s="22"/>
      <c r="M2135" s="23"/>
      <c r="N2135" s="23"/>
      <c r="O2135" s="26" t="s">
        <v>5265</v>
      </c>
      <c r="P2135" s="26"/>
      <c r="Q2135" s="22">
        <v>109</v>
      </c>
      <c r="R2135" s="24">
        <v>45852</v>
      </c>
      <c r="S2135" s="24">
        <v>45854</v>
      </c>
      <c r="T2135" s="24"/>
      <c r="U2135" s="24"/>
      <c r="V2135" s="24">
        <v>45855</v>
      </c>
      <c r="W2135" s="22" t="s">
        <v>160</v>
      </c>
      <c r="X2135" s="4" t="str">
        <f>IF(Tabela2[[#This Row],[sigla]]="","",VLOOKUP(Tabela2[[#This Row],[sigla]],créditos_base!B:C,2,0))</f>
        <v>SERGIO LIMA/ARQUIVO DA EDITORA</v>
      </c>
      <c r="Y2135" s="23" t="s">
        <v>152</v>
      </c>
      <c r="Z2135" s="23" t="str">
        <f>Tabela2[[#This Row],[ilustrador]]</f>
        <v>SERGIO LIMA/ARQUIVO DA EDITORA</v>
      </c>
      <c r="AA2135" s="22"/>
      <c r="AB2135" s="20"/>
      <c r="AC2135" s="20" t="s">
        <v>36</v>
      </c>
      <c r="AD2135" s="4" t="str">
        <f>"Pitanguá"</f>
        <v>Pitanguá</v>
      </c>
      <c r="AE2135" s="14" t="str">
        <f>"Matemática"</f>
        <v>Matemática</v>
      </c>
      <c r="AF2135" s="14"/>
    </row>
    <row r="2136" spans="1:32" x14ac:dyDescent="0.3">
      <c r="A2136" s="23" t="s">
        <v>608</v>
      </c>
      <c r="B2136" s="20" t="s">
        <v>16</v>
      </c>
      <c r="C2136" s="20" t="s">
        <v>7</v>
      </c>
      <c r="D2136" s="20" t="s">
        <v>8</v>
      </c>
      <c r="E2136" s="22">
        <v>168</v>
      </c>
      <c r="F2136" s="22">
        <v>1</v>
      </c>
      <c r="G2136" s="22">
        <v>9</v>
      </c>
      <c r="H2136" s="22"/>
      <c r="I2136" s="23" t="s">
        <v>33</v>
      </c>
      <c r="J2136" s="23"/>
      <c r="K2136" s="22"/>
      <c r="L2136" s="22"/>
      <c r="M2136" s="23"/>
      <c r="N2136" s="23"/>
      <c r="O2136" s="26" t="s">
        <v>609</v>
      </c>
      <c r="P2136" s="26"/>
      <c r="Q2136" s="22">
        <v>6</v>
      </c>
      <c r="R2136" s="24">
        <v>45727</v>
      </c>
      <c r="S2136" s="24">
        <v>45727</v>
      </c>
      <c r="T2136" s="24"/>
      <c r="U2136" s="24"/>
      <c r="V2136" s="24">
        <v>45729</v>
      </c>
      <c r="W2136" s="22" t="s">
        <v>460</v>
      </c>
      <c r="X2136" s="4" t="str">
        <f>IF(Tabela2[[#This Row],[sigla]]="","",VLOOKUP(Tabela2[[#This Row],[sigla]],créditos_base!B:C,2,0))</f>
        <v>CLAUDIA SOUZA/ARQUIVO DA EDITORA</v>
      </c>
      <c r="Y2136" s="23" t="s">
        <v>140</v>
      </c>
      <c r="Z2136" s="23" t="str">
        <f>Tabela2[[#This Row],[ilustrador]]</f>
        <v>CLAUDIA SOUZA/ARQUIVO DA EDITORA</v>
      </c>
      <c r="AA2136" s="22">
        <v>14</v>
      </c>
      <c r="AB2136" s="20"/>
      <c r="AC2136" s="20" t="s">
        <v>36</v>
      </c>
      <c r="AD2136" s="4" t="str">
        <f>"Pitanguá"</f>
        <v>Pitanguá</v>
      </c>
      <c r="AE2136" s="14" t="str">
        <f>"Matemática"</f>
        <v>Matemática</v>
      </c>
      <c r="AF2136" s="14"/>
    </row>
    <row r="2137" spans="1:32" ht="28.8" x14ac:dyDescent="0.3">
      <c r="A2137" s="30" t="s">
        <v>1632</v>
      </c>
      <c r="B2137" s="20" t="s">
        <v>16</v>
      </c>
      <c r="C2137" s="20" t="s">
        <v>7</v>
      </c>
      <c r="D2137" s="20" t="s">
        <v>8</v>
      </c>
      <c r="E2137" s="22" t="s">
        <v>1300</v>
      </c>
      <c r="F2137" s="22">
        <v>2</v>
      </c>
      <c r="G2137" s="22">
        <v>9</v>
      </c>
      <c r="H2137" s="22"/>
      <c r="I2137" s="23" t="s">
        <v>9</v>
      </c>
      <c r="J2137" s="23"/>
      <c r="K2137" s="22"/>
      <c r="L2137" s="22"/>
      <c r="M2137" s="23"/>
      <c r="N2137" s="23"/>
      <c r="O2137" s="26" t="s">
        <v>1633</v>
      </c>
      <c r="P2137" s="26"/>
      <c r="Q2137" s="22"/>
      <c r="R2137" s="24"/>
      <c r="S2137" s="24"/>
      <c r="T2137" s="24"/>
      <c r="U2137" s="24"/>
      <c r="V2137" s="24"/>
      <c r="W2137" s="22" t="s">
        <v>160</v>
      </c>
      <c r="X2137" s="4" t="str">
        <f>IF(Tabela2[[#This Row],[sigla]]="","",VLOOKUP(Tabela2[[#This Row],[sigla]],créditos_base!B:C,2,0))</f>
        <v>SERGIO LIMA/ARQUIVO DA EDITORA</v>
      </c>
      <c r="Y2137" s="23"/>
      <c r="Z2137" s="23" t="str">
        <f>Tabela2[[#This Row],[ilustrador]]</f>
        <v>SERGIO LIMA/ARQUIVO DA EDITORA</v>
      </c>
      <c r="AA2137" s="22"/>
      <c r="AB2137" s="20"/>
      <c r="AD2137" s="4" t="str">
        <f>"Pitanguá"</f>
        <v>Pitanguá</v>
      </c>
      <c r="AE2137" s="14" t="str">
        <f>"Matemática"</f>
        <v>Matemática</v>
      </c>
      <c r="AF2137" s="14"/>
    </row>
    <row r="2138" spans="1:32" x14ac:dyDescent="0.3">
      <c r="A2138" s="23" t="s">
        <v>2489</v>
      </c>
      <c r="B2138" s="20" t="s">
        <v>16</v>
      </c>
      <c r="C2138" s="20" t="s">
        <v>7</v>
      </c>
      <c r="D2138" s="20" t="s">
        <v>8</v>
      </c>
      <c r="E2138" s="22">
        <v>122</v>
      </c>
      <c r="F2138" s="22">
        <v>3</v>
      </c>
      <c r="G2138" s="22">
        <v>9</v>
      </c>
      <c r="H2138" s="22"/>
      <c r="I2138" s="23" t="s">
        <v>9</v>
      </c>
      <c r="J2138" s="23"/>
      <c r="K2138" s="22"/>
      <c r="L2138" s="22"/>
      <c r="M2138" s="23"/>
      <c r="N2138" s="23"/>
      <c r="O2138" s="26" t="s">
        <v>2490</v>
      </c>
      <c r="P2138" s="26"/>
      <c r="Q2138" s="22"/>
      <c r="R2138" s="24"/>
      <c r="S2138" s="24"/>
      <c r="T2138" s="24"/>
      <c r="U2138" s="24"/>
      <c r="V2138" s="24"/>
      <c r="W2138" s="22" t="s">
        <v>87</v>
      </c>
      <c r="X2138" s="4" t="str">
        <f>IF(Tabela2[[#This Row],[sigla]]="","",VLOOKUP(Tabela2[[#This Row],[sigla]],créditos_base!B:C,2,0))</f>
        <v>CHRIS BORGES/ARQUIVO DA EDITORA</v>
      </c>
      <c r="Y2138" s="23"/>
      <c r="Z2138" s="23" t="str">
        <f>Tabela2[[#This Row],[ilustrador]]</f>
        <v>CHRIS BORGES/ARQUIVO DA EDITORA</v>
      </c>
      <c r="AA2138" s="22"/>
      <c r="AB2138" s="20"/>
      <c r="AD2138" s="4" t="str">
        <f>"Pitanguá"</f>
        <v>Pitanguá</v>
      </c>
      <c r="AE2138" s="14" t="str">
        <f>"Matemática"</f>
        <v>Matemática</v>
      </c>
      <c r="AF2138" s="14"/>
    </row>
    <row r="2139" spans="1:32" ht="28.8" x14ac:dyDescent="0.3">
      <c r="A2139" s="23" t="s">
        <v>1058</v>
      </c>
      <c r="B2139" s="20" t="s">
        <v>6</v>
      </c>
      <c r="C2139" s="20" t="s">
        <v>7</v>
      </c>
      <c r="D2139" s="20" t="s">
        <v>8</v>
      </c>
      <c r="E2139" s="22"/>
      <c r="F2139" s="22">
        <v>4</v>
      </c>
      <c r="G2139" s="22">
        <v>4</v>
      </c>
      <c r="H2139" s="22"/>
      <c r="I2139" s="23" t="s">
        <v>90</v>
      </c>
      <c r="J2139" s="23"/>
      <c r="K2139" s="22"/>
      <c r="L2139" s="22"/>
      <c r="M2139" s="23"/>
      <c r="N2139" s="23"/>
      <c r="O2139" s="26" t="s">
        <v>1059</v>
      </c>
      <c r="P2139" s="26" t="s">
        <v>1057</v>
      </c>
      <c r="Q2139" s="22">
        <v>10</v>
      </c>
      <c r="R2139" s="24">
        <v>45733</v>
      </c>
      <c r="S2139" s="24">
        <v>45733</v>
      </c>
      <c r="T2139" s="24"/>
      <c r="U2139" s="24"/>
      <c r="V2139" s="24">
        <v>45736</v>
      </c>
      <c r="W2139" s="22" t="s">
        <v>92</v>
      </c>
      <c r="X2139" s="4" t="str">
        <f>IF(Tabela2[[#This Row],[sigla]]="","",VLOOKUP(Tabela2[[#This Row],[sigla]],créditos_base!B:C,2,0))</f>
        <v>BRUNA CAMPOS/ARQUIVO DA EDITORA</v>
      </c>
      <c r="Y2139" s="23"/>
      <c r="Z2139" s="23" t="str">
        <f>Tabela2[[#This Row],[ilustrador]]</f>
        <v>BRUNA CAMPOS/ARQUIVO DA EDITORA</v>
      </c>
      <c r="AA2139" s="22">
        <v>8</v>
      </c>
      <c r="AB2139" s="20"/>
      <c r="AC2139" s="20" t="s">
        <v>36</v>
      </c>
      <c r="AD2139" s="4" t="str">
        <f>"Pitanguá"</f>
        <v>Pitanguá</v>
      </c>
      <c r="AE2139" s="14" t="str">
        <f>"Matemática"</f>
        <v>Matemática</v>
      </c>
      <c r="AF2139" s="14"/>
    </row>
    <row r="2140" spans="1:32" x14ac:dyDescent="0.3">
      <c r="A2140" s="23" t="s">
        <v>2400</v>
      </c>
      <c r="B2140" s="20" t="s">
        <v>16</v>
      </c>
      <c r="C2140" s="20" t="s">
        <v>7</v>
      </c>
      <c r="D2140" s="20" t="s">
        <v>8</v>
      </c>
      <c r="E2140" s="22">
        <v>197</v>
      </c>
      <c r="F2140" s="22">
        <v>1</v>
      </c>
      <c r="G2140" s="22">
        <v>9</v>
      </c>
      <c r="H2140" s="22"/>
      <c r="I2140" s="23" t="s">
        <v>33</v>
      </c>
      <c r="J2140" s="23"/>
      <c r="K2140" s="22"/>
      <c r="L2140" s="22"/>
      <c r="M2140" s="23"/>
      <c r="N2140" s="23"/>
      <c r="O2140" s="26" t="s">
        <v>2401</v>
      </c>
      <c r="P2140" s="26"/>
      <c r="Q2140" s="22">
        <v>33</v>
      </c>
      <c r="R2140" s="24">
        <v>45761</v>
      </c>
      <c r="S2140" s="24">
        <v>45762</v>
      </c>
      <c r="T2140" s="24"/>
      <c r="U2140" s="24"/>
      <c r="V2140" s="24">
        <v>45762</v>
      </c>
      <c r="W2140" s="22" t="s">
        <v>327</v>
      </c>
      <c r="X2140" s="4" t="str">
        <f>IF(Tabela2[[#This Row],[sigla]]="","",VLOOKUP(Tabela2[[#This Row],[sigla]],créditos_base!B:C,2,0))</f>
        <v>RAFAEL LAM/ARQUIVO DA EDITORA</v>
      </c>
      <c r="Y2140" s="23" t="s">
        <v>152</v>
      </c>
      <c r="Z2140" s="23" t="str">
        <f>Tabela2[[#This Row],[ilustrador]]</f>
        <v>RAFAEL LAM/ARQUIVO DA EDITORA</v>
      </c>
      <c r="AA2140" s="22">
        <v>14</v>
      </c>
      <c r="AB2140" s="20" t="s">
        <v>244</v>
      </c>
      <c r="AC2140" s="20" t="s">
        <v>36</v>
      </c>
      <c r="AD2140" s="4" t="str">
        <f>"Pitanguá"</f>
        <v>Pitanguá</v>
      </c>
      <c r="AE2140" s="14" t="str">
        <f>"Matemática"</f>
        <v>Matemática</v>
      </c>
      <c r="AF2140" s="14"/>
    </row>
    <row r="2141" spans="1:32" ht="57.6" x14ac:dyDescent="0.3">
      <c r="A2141" s="30" t="s">
        <v>1634</v>
      </c>
      <c r="B2141" s="20" t="s">
        <v>16</v>
      </c>
      <c r="C2141" s="20" t="s">
        <v>7</v>
      </c>
      <c r="D2141" s="20" t="s">
        <v>8</v>
      </c>
      <c r="E2141" s="22" t="s">
        <v>1300</v>
      </c>
      <c r="F2141" s="22">
        <v>2</v>
      </c>
      <c r="G2141" s="22">
        <v>9</v>
      </c>
      <c r="H2141" s="22"/>
      <c r="I2141" s="23" t="s">
        <v>9</v>
      </c>
      <c r="J2141" s="23"/>
      <c r="K2141" s="22"/>
      <c r="L2141" s="22"/>
      <c r="M2141" s="23"/>
      <c r="N2141" s="23"/>
      <c r="O2141" s="26" t="s">
        <v>1635</v>
      </c>
      <c r="P2141" s="26"/>
      <c r="Q2141" s="22"/>
      <c r="R2141" s="24"/>
      <c r="S2141" s="24"/>
      <c r="T2141" s="24"/>
      <c r="U2141" s="24"/>
      <c r="V2141" s="24"/>
      <c r="W2141" s="22" t="s">
        <v>160</v>
      </c>
      <c r="X2141" s="4" t="str">
        <f>IF(Tabela2[[#This Row],[sigla]]="","",VLOOKUP(Tabela2[[#This Row],[sigla]],créditos_base!B:C,2,0))</f>
        <v>SERGIO LIMA/ARQUIVO DA EDITORA</v>
      </c>
      <c r="Y2141" s="23"/>
      <c r="Z2141" s="23" t="str">
        <f>Tabela2[[#This Row],[ilustrador]]</f>
        <v>SERGIO LIMA/ARQUIVO DA EDITORA</v>
      </c>
      <c r="AA2141" s="22"/>
      <c r="AB2141" s="20"/>
      <c r="AD2141" s="4" t="str">
        <f>"Pitanguá"</f>
        <v>Pitanguá</v>
      </c>
      <c r="AE2141" s="14" t="str">
        <f>"Matemática"</f>
        <v>Matemática</v>
      </c>
      <c r="AF2141" s="14"/>
    </row>
    <row r="2142" spans="1:32" x14ac:dyDescent="0.3">
      <c r="A2142" s="23" t="s">
        <v>2491</v>
      </c>
      <c r="B2142" s="20" t="s">
        <v>6</v>
      </c>
      <c r="C2142" s="20" t="s">
        <v>7</v>
      </c>
      <c r="D2142" s="20" t="s">
        <v>8</v>
      </c>
      <c r="E2142" s="22">
        <v>123</v>
      </c>
      <c r="F2142" s="22">
        <v>3</v>
      </c>
      <c r="G2142" s="22">
        <v>9</v>
      </c>
      <c r="H2142" s="22"/>
      <c r="I2142" s="23" t="s">
        <v>33</v>
      </c>
      <c r="J2142" s="23"/>
      <c r="K2142" s="22"/>
      <c r="L2142" s="22"/>
      <c r="M2142" s="23"/>
      <c r="N2142" s="23"/>
      <c r="O2142" s="26" t="s">
        <v>2492</v>
      </c>
      <c r="P2142" s="26" t="s">
        <v>11</v>
      </c>
      <c r="Q2142" s="22">
        <v>34</v>
      </c>
      <c r="R2142" s="24">
        <v>45764</v>
      </c>
      <c r="S2142" s="24">
        <v>45769</v>
      </c>
      <c r="T2142" s="24"/>
      <c r="U2142" s="24"/>
      <c r="V2142" s="24">
        <v>45770</v>
      </c>
      <c r="W2142" s="22" t="s">
        <v>87</v>
      </c>
      <c r="X2142" s="4" t="str">
        <f>IF(Tabela2[[#This Row],[sigla]]="","",VLOOKUP(Tabela2[[#This Row],[sigla]],créditos_base!B:C,2,0))</f>
        <v>CHRIS BORGES/ARQUIVO DA EDITORA</v>
      </c>
      <c r="Y2142" s="23" t="s">
        <v>433</v>
      </c>
      <c r="Z2142" s="23" t="str">
        <f>Tabela2[[#This Row],[ilustrador]]</f>
        <v>CHRIS BORGES/ARQUIVO DA EDITORA</v>
      </c>
      <c r="AA2142" s="22">
        <v>13</v>
      </c>
      <c r="AB2142" s="20" t="s">
        <v>153</v>
      </c>
      <c r="AC2142" s="20" t="s">
        <v>36</v>
      </c>
      <c r="AD2142" s="4" t="str">
        <f>"Pitanguá"</f>
        <v>Pitanguá</v>
      </c>
      <c r="AE2142" s="14" t="str">
        <f>"Matemática"</f>
        <v>Matemática</v>
      </c>
      <c r="AF2142" s="14"/>
    </row>
    <row r="2143" spans="1:32" x14ac:dyDescent="0.3">
      <c r="A2143" s="23" t="s">
        <v>1060</v>
      </c>
      <c r="B2143" s="20" t="s">
        <v>6</v>
      </c>
      <c r="C2143" s="20" t="s">
        <v>7</v>
      </c>
      <c r="D2143" s="20" t="s">
        <v>8</v>
      </c>
      <c r="E2143" s="22"/>
      <c r="F2143" s="22">
        <v>4</v>
      </c>
      <c r="G2143" s="22">
        <v>4</v>
      </c>
      <c r="H2143" s="22"/>
      <c r="I2143" s="23" t="s">
        <v>90</v>
      </c>
      <c r="J2143" s="23"/>
      <c r="K2143" s="22"/>
      <c r="L2143" s="22"/>
      <c r="M2143" s="23"/>
      <c r="N2143" s="23"/>
      <c r="O2143" s="26" t="s">
        <v>1061</v>
      </c>
      <c r="P2143" s="26" t="s">
        <v>1057</v>
      </c>
      <c r="Q2143" s="22">
        <v>10</v>
      </c>
      <c r="R2143" s="24">
        <v>45733</v>
      </c>
      <c r="S2143" s="24">
        <v>45733</v>
      </c>
      <c r="T2143" s="24"/>
      <c r="U2143" s="24"/>
      <c r="V2143" s="24">
        <v>45736</v>
      </c>
      <c r="W2143" s="22" t="s">
        <v>92</v>
      </c>
      <c r="X2143" s="4" t="str">
        <f>IF(Tabela2[[#This Row],[sigla]]="","",VLOOKUP(Tabela2[[#This Row],[sigla]],créditos_base!B:C,2,0))</f>
        <v>BRUNA CAMPOS/ARQUIVO DA EDITORA</v>
      </c>
      <c r="Y2143" s="23"/>
      <c r="Z2143" s="23" t="str">
        <f>Tabela2[[#This Row],[ilustrador]]</f>
        <v>BRUNA CAMPOS/ARQUIVO DA EDITORA</v>
      </c>
      <c r="AA2143" s="22">
        <v>8</v>
      </c>
      <c r="AB2143" s="20"/>
      <c r="AC2143" s="20" t="s">
        <v>36</v>
      </c>
      <c r="AD2143" s="4" t="str">
        <f>"Pitanguá"</f>
        <v>Pitanguá</v>
      </c>
      <c r="AE2143" s="14" t="str">
        <f>"Matemática"</f>
        <v>Matemática</v>
      </c>
      <c r="AF2143" s="14"/>
    </row>
    <row r="2144" spans="1:32" x14ac:dyDescent="0.3">
      <c r="A2144" s="23" t="s">
        <v>4314</v>
      </c>
      <c r="B2144" s="20" t="s">
        <v>6</v>
      </c>
      <c r="C2144" s="20" t="s">
        <v>7</v>
      </c>
      <c r="D2144" s="20" t="s">
        <v>8</v>
      </c>
      <c r="E2144" s="22">
        <v>196</v>
      </c>
      <c r="F2144" s="22">
        <v>5</v>
      </c>
      <c r="G2144" s="22">
        <v>9</v>
      </c>
      <c r="H2144" s="22"/>
      <c r="I2144" s="23" t="s">
        <v>9</v>
      </c>
      <c r="J2144" s="23"/>
      <c r="K2144" s="22"/>
      <c r="L2144" s="22"/>
      <c r="M2144" s="23"/>
      <c r="N2144" s="23"/>
      <c r="O2144" s="26" t="s">
        <v>4315</v>
      </c>
      <c r="P2144" s="26"/>
      <c r="Q2144" s="22"/>
      <c r="R2144" s="24"/>
      <c r="S2144" s="24"/>
      <c r="T2144" s="24"/>
      <c r="U2144" s="24"/>
      <c r="V2144" s="24"/>
      <c r="W2144" s="22" t="s">
        <v>3189</v>
      </c>
      <c r="X2144" s="4" t="str">
        <f>IF(Tabela2[[#This Row],[sigla]]="","",VLOOKUP(Tabela2[[#This Row],[sigla]],créditos_base!B:C,2,0))</f>
        <v>ANDRÉ AGUIAR/ARQUIVO DA EDITORA</v>
      </c>
      <c r="Y2144" s="23"/>
      <c r="Z2144" s="23" t="str">
        <f>Tabela2[[#This Row],[ilustrador]]</f>
        <v>ANDRÉ AGUIAR/ARQUIVO DA EDITORA</v>
      </c>
      <c r="AA2144" s="22"/>
      <c r="AB2144" s="20"/>
      <c r="AD2144" s="4" t="str">
        <f>"Pitanguá"</f>
        <v>Pitanguá</v>
      </c>
      <c r="AE2144" s="14" t="str">
        <f>"Matemática"</f>
        <v>Matemática</v>
      </c>
      <c r="AF2144" s="14"/>
    </row>
    <row r="2145" spans="1:32" ht="28.8" x14ac:dyDescent="0.3">
      <c r="A2145" s="23" t="s">
        <v>610</v>
      </c>
      <c r="B2145" s="20" t="s">
        <v>16</v>
      </c>
      <c r="C2145" s="20" t="s">
        <v>89</v>
      </c>
      <c r="D2145" s="20" t="s">
        <v>8</v>
      </c>
      <c r="E2145" s="22">
        <v>170</v>
      </c>
      <c r="F2145" s="22">
        <v>1</v>
      </c>
      <c r="G2145" s="22">
        <v>9</v>
      </c>
      <c r="H2145" s="22"/>
      <c r="I2145" s="23" t="s">
        <v>9</v>
      </c>
      <c r="J2145" s="23"/>
      <c r="K2145" s="22"/>
      <c r="L2145" s="22"/>
      <c r="M2145" s="23"/>
      <c r="N2145" s="23"/>
      <c r="O2145" s="26" t="s">
        <v>611</v>
      </c>
      <c r="P2145" s="26"/>
      <c r="Q2145" s="22"/>
      <c r="R2145" s="24"/>
      <c r="S2145" s="24"/>
      <c r="T2145" s="24"/>
      <c r="U2145" s="24"/>
      <c r="V2145" s="24"/>
      <c r="W2145" s="22" t="s">
        <v>332</v>
      </c>
      <c r="X2145" s="4" t="str">
        <f>IF(Tabela2[[#This Row],[sigla]]="","",VLOOKUP(Tabela2[[#This Row],[sigla]],créditos_base!B:C,2,0))</f>
        <v>CYNTHIA SEKIGUCHI/ARQUIVO DA EDITORA</v>
      </c>
      <c r="Y2145" s="23"/>
      <c r="Z2145" s="23" t="str">
        <f>Tabela2[[#This Row],[ilustrador]]</f>
        <v>CYNTHIA SEKIGUCHI/ARQUIVO DA EDITORA</v>
      </c>
      <c r="AA2145" s="22"/>
      <c r="AB2145" s="20"/>
      <c r="AD2145" s="4" t="str">
        <f>"Pitanguá"</f>
        <v>Pitanguá</v>
      </c>
      <c r="AE2145" s="14" t="str">
        <f>"Matemática"</f>
        <v>Matemática</v>
      </c>
      <c r="AF2145" s="14"/>
    </row>
    <row r="2146" spans="1:32" x14ac:dyDescent="0.3">
      <c r="A2146" s="30" t="s">
        <v>1636</v>
      </c>
      <c r="B2146" s="20" t="s">
        <v>16</v>
      </c>
      <c r="C2146" s="20" t="s">
        <v>7</v>
      </c>
      <c r="D2146" s="20" t="s">
        <v>8</v>
      </c>
      <c r="E2146" s="22" t="s">
        <v>1300</v>
      </c>
      <c r="F2146" s="22">
        <v>2</v>
      </c>
      <c r="G2146" s="22">
        <v>9</v>
      </c>
      <c r="H2146" s="22"/>
      <c r="I2146" s="23" t="s">
        <v>9</v>
      </c>
      <c r="J2146" s="23"/>
      <c r="K2146" s="22"/>
      <c r="L2146" s="22"/>
      <c r="M2146" s="23"/>
      <c r="N2146" s="23"/>
      <c r="O2146" s="26" t="s">
        <v>1637</v>
      </c>
      <c r="P2146" s="26"/>
      <c r="Q2146" s="22"/>
      <c r="R2146" s="24"/>
      <c r="S2146" s="24"/>
      <c r="T2146" s="24"/>
      <c r="U2146" s="24"/>
      <c r="V2146" s="24"/>
      <c r="W2146" s="22" t="s">
        <v>160</v>
      </c>
      <c r="X2146" s="4" t="str">
        <f>IF(Tabela2[[#This Row],[sigla]]="","",VLOOKUP(Tabela2[[#This Row],[sigla]],créditos_base!B:C,2,0))</f>
        <v>SERGIO LIMA/ARQUIVO DA EDITORA</v>
      </c>
      <c r="Y2146" s="23"/>
      <c r="Z2146" s="23" t="str">
        <f>Tabela2[[#This Row],[ilustrador]]</f>
        <v>SERGIO LIMA/ARQUIVO DA EDITORA</v>
      </c>
      <c r="AA2146" s="22"/>
      <c r="AB2146" s="20"/>
      <c r="AD2146" s="4" t="str">
        <f>"Pitanguá"</f>
        <v>Pitanguá</v>
      </c>
      <c r="AE2146" s="14" t="str">
        <f>"Matemática"</f>
        <v>Matemática</v>
      </c>
      <c r="AF2146" s="14"/>
    </row>
    <row r="2147" spans="1:32" x14ac:dyDescent="0.3">
      <c r="A2147" s="23" t="s">
        <v>2493</v>
      </c>
      <c r="B2147" s="20" t="s">
        <v>16</v>
      </c>
      <c r="C2147" s="20" t="s">
        <v>7</v>
      </c>
      <c r="D2147" s="20" t="s">
        <v>8</v>
      </c>
      <c r="E2147" s="22">
        <v>124</v>
      </c>
      <c r="F2147" s="22">
        <v>3</v>
      </c>
      <c r="G2147" s="22">
        <v>9</v>
      </c>
      <c r="H2147" s="22"/>
      <c r="I2147" s="23" t="s">
        <v>9</v>
      </c>
      <c r="J2147" s="23"/>
      <c r="K2147" s="22"/>
      <c r="L2147" s="22"/>
      <c r="M2147" s="23"/>
      <c r="N2147" s="23"/>
      <c r="O2147" s="26" t="s">
        <v>2494</v>
      </c>
      <c r="P2147" s="26"/>
      <c r="Q2147" s="22"/>
      <c r="R2147" s="24"/>
      <c r="S2147" s="24"/>
      <c r="T2147" s="24"/>
      <c r="U2147" s="24"/>
      <c r="V2147" s="24"/>
      <c r="W2147" s="22" t="s">
        <v>87</v>
      </c>
      <c r="X2147" s="4" t="str">
        <f>IF(Tabela2[[#This Row],[sigla]]="","",VLOOKUP(Tabela2[[#This Row],[sigla]],créditos_base!B:C,2,0))</f>
        <v>CHRIS BORGES/ARQUIVO DA EDITORA</v>
      </c>
      <c r="Y2147" s="23"/>
      <c r="Z2147" s="23" t="str">
        <f>Tabela2[[#This Row],[ilustrador]]</f>
        <v>CHRIS BORGES/ARQUIVO DA EDITORA</v>
      </c>
      <c r="AA2147" s="22"/>
      <c r="AB2147" s="20"/>
      <c r="AD2147" s="4" t="str">
        <f>"Pitanguá"</f>
        <v>Pitanguá</v>
      </c>
      <c r="AE2147" s="14" t="str">
        <f>"Matemática"</f>
        <v>Matemática</v>
      </c>
      <c r="AF2147" s="14"/>
    </row>
    <row r="2148" spans="1:32" x14ac:dyDescent="0.3">
      <c r="A2148" s="23" t="s">
        <v>1062</v>
      </c>
      <c r="B2148" s="20" t="s">
        <v>6</v>
      </c>
      <c r="C2148" s="20" t="s">
        <v>7</v>
      </c>
      <c r="D2148" s="20" t="s">
        <v>8</v>
      </c>
      <c r="E2148" s="22"/>
      <c r="F2148" s="22">
        <v>4</v>
      </c>
      <c r="G2148" s="22">
        <v>4</v>
      </c>
      <c r="H2148" s="22"/>
      <c r="I2148" s="23" t="s">
        <v>90</v>
      </c>
      <c r="J2148" s="23"/>
      <c r="K2148" s="22"/>
      <c r="L2148" s="22"/>
      <c r="M2148" s="23"/>
      <c r="N2148" s="23"/>
      <c r="O2148" s="26" t="s">
        <v>1063</v>
      </c>
      <c r="P2148" s="26" t="s">
        <v>1057</v>
      </c>
      <c r="Q2148" s="22">
        <v>10</v>
      </c>
      <c r="R2148" s="24">
        <v>45733</v>
      </c>
      <c r="S2148" s="24">
        <v>45733</v>
      </c>
      <c r="T2148" s="24"/>
      <c r="U2148" s="24"/>
      <c r="V2148" s="24">
        <v>45736</v>
      </c>
      <c r="W2148" s="22" t="s">
        <v>92</v>
      </c>
      <c r="X2148" s="4" t="str">
        <f>IF(Tabela2[[#This Row],[sigla]]="","",VLOOKUP(Tabela2[[#This Row],[sigla]],créditos_base!B:C,2,0))</f>
        <v>BRUNA CAMPOS/ARQUIVO DA EDITORA</v>
      </c>
      <c r="Y2148" s="23"/>
      <c r="Z2148" s="23" t="str">
        <f>Tabela2[[#This Row],[ilustrador]]</f>
        <v>BRUNA CAMPOS/ARQUIVO DA EDITORA</v>
      </c>
      <c r="AA2148" s="22">
        <v>8</v>
      </c>
      <c r="AB2148" s="20"/>
      <c r="AC2148" s="20" t="s">
        <v>36</v>
      </c>
      <c r="AD2148" s="4" t="str">
        <f>"Pitanguá"</f>
        <v>Pitanguá</v>
      </c>
      <c r="AE2148" s="14" t="str">
        <f>"Matemática"</f>
        <v>Matemática</v>
      </c>
      <c r="AF2148" s="14"/>
    </row>
    <row r="2149" spans="1:32" ht="57.6" x14ac:dyDescent="0.3">
      <c r="A2149" s="23" t="s">
        <v>3348</v>
      </c>
      <c r="B2149" s="20" t="s">
        <v>16</v>
      </c>
      <c r="C2149" s="20" t="s">
        <v>7</v>
      </c>
      <c r="D2149" s="20" t="s">
        <v>8</v>
      </c>
      <c r="E2149" s="22">
        <v>192</v>
      </c>
      <c r="F2149" s="22">
        <v>4</v>
      </c>
      <c r="G2149" s="22">
        <v>9</v>
      </c>
      <c r="H2149" s="22"/>
      <c r="I2149" s="23" t="s">
        <v>9</v>
      </c>
      <c r="J2149" s="23"/>
      <c r="K2149" s="22"/>
      <c r="L2149" s="22"/>
      <c r="M2149" s="23"/>
      <c r="N2149" s="23"/>
      <c r="O2149" s="26" t="s">
        <v>3349</v>
      </c>
      <c r="P2149" s="26"/>
      <c r="Q2149" s="22"/>
      <c r="R2149" s="24"/>
      <c r="S2149" s="24"/>
      <c r="T2149" s="24"/>
      <c r="U2149" s="24"/>
      <c r="V2149" s="24"/>
      <c r="W2149" s="22" t="s">
        <v>20</v>
      </c>
      <c r="X2149" s="4" t="str">
        <f>IF(Tabela2[[#This Row],[sigla]]="","",VLOOKUP(Tabela2[[#This Row],[sigla]],créditos_base!B:C,2,0))</f>
        <v>SONIA HORN/ARQUIVO DA EDITORA</v>
      </c>
      <c r="Y2149" s="23"/>
      <c r="Z2149" s="23" t="str">
        <f>Tabela2[[#This Row],[ilustrador]]</f>
        <v>SONIA HORN/ARQUIVO DA EDITORA</v>
      </c>
      <c r="AA2149" s="22"/>
      <c r="AB2149" s="20"/>
      <c r="AD2149" s="4" t="str">
        <f>"Pitanguá"</f>
        <v>Pitanguá</v>
      </c>
      <c r="AE2149" s="14" t="str">
        <f>"Matemática"</f>
        <v>Matemática</v>
      </c>
      <c r="AF2149" s="14"/>
    </row>
    <row r="2150" spans="1:32" ht="28.8" x14ac:dyDescent="0.3">
      <c r="A2150" s="23" t="s">
        <v>4316</v>
      </c>
      <c r="B2150" s="20" t="s">
        <v>6</v>
      </c>
      <c r="C2150" s="20" t="s">
        <v>7</v>
      </c>
      <c r="D2150" s="20" t="s">
        <v>8</v>
      </c>
      <c r="E2150" s="22">
        <v>196</v>
      </c>
      <c r="F2150" s="22">
        <v>5</v>
      </c>
      <c r="G2150" s="22">
        <v>9</v>
      </c>
      <c r="H2150" s="22"/>
      <c r="I2150" s="23" t="s">
        <v>33</v>
      </c>
      <c r="J2150" s="23"/>
      <c r="K2150" s="22"/>
      <c r="L2150" s="22"/>
      <c r="M2150" s="23"/>
      <c r="N2150" s="23"/>
      <c r="O2150" s="26" t="s">
        <v>4317</v>
      </c>
      <c r="P2150" s="26"/>
      <c r="Q2150" s="22">
        <v>61</v>
      </c>
      <c r="R2150" s="24">
        <v>45808</v>
      </c>
      <c r="S2150" s="24">
        <v>45811</v>
      </c>
      <c r="T2150" s="24"/>
      <c r="U2150" s="24"/>
      <c r="V2150" s="24">
        <v>45811</v>
      </c>
      <c r="W2150" s="22" t="s">
        <v>356</v>
      </c>
      <c r="X2150" s="4" t="str">
        <f>IF(Tabela2[[#This Row],[sigla]]="","",VLOOKUP(Tabela2[[#This Row],[sigla]],créditos_base!B:C,2,0))</f>
        <v>CAMILA CARMONA/ARQUIVO DA EDITORA</v>
      </c>
      <c r="Y2150" s="23" t="s">
        <v>1503</v>
      </c>
      <c r="Z2150" s="23" t="str">
        <f>Tabela2[[#This Row],[ilustrador]]</f>
        <v>CAMILA CARMONA/ARQUIVO DA EDITORA</v>
      </c>
      <c r="AA2150" s="22"/>
      <c r="AB2150" s="20" t="s">
        <v>41</v>
      </c>
      <c r="AC2150" s="20" t="s">
        <v>36</v>
      </c>
      <c r="AD2150" s="4" t="str">
        <f>"Pitanguá"</f>
        <v>Pitanguá</v>
      </c>
      <c r="AE2150" s="14" t="str">
        <f>"Matemática"</f>
        <v>Matemática</v>
      </c>
      <c r="AF2150" s="14"/>
    </row>
    <row r="2151" spans="1:32" ht="144" x14ac:dyDescent="0.3">
      <c r="A2151" s="23" t="s">
        <v>612</v>
      </c>
      <c r="B2151" s="20" t="s">
        <v>16</v>
      </c>
      <c r="C2151" s="20" t="s">
        <v>89</v>
      </c>
      <c r="D2151" s="20" t="s">
        <v>8</v>
      </c>
      <c r="E2151" s="22">
        <v>170</v>
      </c>
      <c r="F2151" s="22">
        <v>1</v>
      </c>
      <c r="G2151" s="22">
        <v>9</v>
      </c>
      <c r="H2151" s="22"/>
      <c r="I2151" s="23" t="s">
        <v>90</v>
      </c>
      <c r="J2151" s="23"/>
      <c r="K2151" s="22"/>
      <c r="L2151" s="22"/>
      <c r="M2151" s="23"/>
      <c r="N2151" s="23"/>
      <c r="O2151" s="26" t="s">
        <v>613</v>
      </c>
      <c r="P2151" s="26"/>
      <c r="Q2151" s="22">
        <v>6</v>
      </c>
      <c r="R2151" s="24">
        <v>45727</v>
      </c>
      <c r="S2151" s="24">
        <v>45727</v>
      </c>
      <c r="T2151" s="24"/>
      <c r="U2151" s="24"/>
      <c r="V2151" s="24">
        <v>45729</v>
      </c>
      <c r="W2151" s="22" t="s">
        <v>468</v>
      </c>
      <c r="X2151" s="4" t="str">
        <f>IF(Tabela2[[#This Row],[sigla]]="","",VLOOKUP(Tabela2[[#This Row],[sigla]],créditos_base!B:C,2,0))</f>
        <v>VER DOCUMENTO DE ILS. TÉCNICAS</v>
      </c>
      <c r="Y2151" s="23" t="s">
        <v>140</v>
      </c>
      <c r="Z2151" s="23" t="s">
        <v>614</v>
      </c>
      <c r="AA2151" s="22">
        <v>13</v>
      </c>
      <c r="AB2151" s="20"/>
      <c r="AC2151" s="20" t="s">
        <v>36</v>
      </c>
      <c r="AD2151" s="4" t="str">
        <f>"Pitanguá"</f>
        <v>Pitanguá</v>
      </c>
      <c r="AE2151" s="14" t="str">
        <f>"Matemática"</f>
        <v>Matemática</v>
      </c>
      <c r="AF2151" s="14"/>
    </row>
    <row r="2152" spans="1:32" ht="57.6" x14ac:dyDescent="0.3">
      <c r="A2152" s="30" t="s">
        <v>1638</v>
      </c>
      <c r="B2152" s="20" t="s">
        <v>16</v>
      </c>
      <c r="C2152" s="20" t="s">
        <v>7</v>
      </c>
      <c r="D2152" s="20" t="s">
        <v>8</v>
      </c>
      <c r="E2152" s="22" t="s">
        <v>1300</v>
      </c>
      <c r="F2152" s="22">
        <v>2</v>
      </c>
      <c r="G2152" s="22">
        <v>9</v>
      </c>
      <c r="H2152" s="22"/>
      <c r="I2152" s="23" t="s">
        <v>9</v>
      </c>
      <c r="J2152" s="23"/>
      <c r="K2152" s="22"/>
      <c r="L2152" s="22"/>
      <c r="M2152" s="23"/>
      <c r="N2152" s="23"/>
      <c r="O2152" s="26" t="s">
        <v>1639</v>
      </c>
      <c r="P2152" s="26"/>
      <c r="Q2152" s="22"/>
      <c r="R2152" s="24"/>
      <c r="S2152" s="24"/>
      <c r="T2152" s="24"/>
      <c r="U2152" s="24"/>
      <c r="V2152" s="24"/>
      <c r="W2152" s="22" t="s">
        <v>160</v>
      </c>
      <c r="X2152" s="4" t="str">
        <f>IF(Tabela2[[#This Row],[sigla]]="","",VLOOKUP(Tabela2[[#This Row],[sigla]],créditos_base!B:C,2,0))</f>
        <v>SERGIO LIMA/ARQUIVO DA EDITORA</v>
      </c>
      <c r="Y2152" s="23"/>
      <c r="Z2152" s="23" t="str">
        <f>Tabela2[[#This Row],[ilustrador]]</f>
        <v>SERGIO LIMA/ARQUIVO DA EDITORA</v>
      </c>
      <c r="AA2152" s="22"/>
      <c r="AB2152" s="20"/>
      <c r="AD2152" s="4" t="str">
        <f>"Pitanguá"</f>
        <v>Pitanguá</v>
      </c>
      <c r="AE2152" s="14" t="str">
        <f>"Matemática"</f>
        <v>Matemática</v>
      </c>
      <c r="AF2152" s="14"/>
    </row>
    <row r="2153" spans="1:32" ht="158.4" x14ac:dyDescent="0.3">
      <c r="A2153" s="31" t="s">
        <v>2495</v>
      </c>
      <c r="B2153" s="20" t="s">
        <v>135</v>
      </c>
      <c r="C2153" s="20" t="s">
        <v>7</v>
      </c>
      <c r="D2153" s="20" t="s">
        <v>8</v>
      </c>
      <c r="E2153" s="22">
        <v>124</v>
      </c>
      <c r="F2153" s="22">
        <v>3</v>
      </c>
      <c r="G2153" s="22">
        <v>9</v>
      </c>
      <c r="H2153" s="22"/>
      <c r="I2153" s="23" t="s">
        <v>33</v>
      </c>
      <c r="J2153" s="23"/>
      <c r="K2153" s="22"/>
      <c r="L2153" s="22"/>
      <c r="M2153" s="23"/>
      <c r="N2153" s="23"/>
      <c r="O2153" s="26" t="s">
        <v>2496</v>
      </c>
      <c r="P2153" s="26"/>
      <c r="Q2153" s="22">
        <v>88</v>
      </c>
      <c r="R2153" s="24">
        <v>45839</v>
      </c>
      <c r="S2153" s="24">
        <v>45845</v>
      </c>
      <c r="T2153" s="24"/>
      <c r="U2153" s="24"/>
      <c r="V2153" s="24">
        <v>45845</v>
      </c>
      <c r="W2153" s="22" t="s">
        <v>87</v>
      </c>
      <c r="X2153" s="4" t="str">
        <f>IF(Tabela2[[#This Row],[sigla]]="","",VLOOKUP(Tabela2[[#This Row],[sigla]],créditos_base!B:C,2,0))</f>
        <v>CHRIS BORGES/ARQUIVO DA EDITORA</v>
      </c>
      <c r="Y2153" s="23" t="s">
        <v>152</v>
      </c>
      <c r="Z2153" s="23" t="str">
        <f>Tabela2[[#This Row],[ilustrador]]</f>
        <v>CHRIS BORGES/ARQUIVO DA EDITORA</v>
      </c>
      <c r="AA2153" s="22">
        <v>13</v>
      </c>
      <c r="AB2153" s="20" t="s">
        <v>153</v>
      </c>
      <c r="AC2153" s="20" t="s">
        <v>36</v>
      </c>
      <c r="AD2153" s="4" t="str">
        <f>"Pitanguá"</f>
        <v>Pitanguá</v>
      </c>
      <c r="AE2153" s="14" t="str">
        <f>"Matemática"</f>
        <v>Matemática</v>
      </c>
      <c r="AF2153" s="14"/>
    </row>
    <row r="2154" spans="1:32" ht="57.6" x14ac:dyDescent="0.3">
      <c r="A2154" s="23" t="s">
        <v>3350</v>
      </c>
      <c r="B2154" s="20" t="s">
        <v>16</v>
      </c>
      <c r="C2154" s="20" t="s">
        <v>89</v>
      </c>
      <c r="D2154" s="20" t="s">
        <v>8</v>
      </c>
      <c r="E2154" s="22">
        <v>192</v>
      </c>
      <c r="F2154" s="22">
        <v>4</v>
      </c>
      <c r="G2154" s="22">
        <v>9</v>
      </c>
      <c r="H2154" s="22"/>
      <c r="I2154" s="23" t="s">
        <v>9</v>
      </c>
      <c r="J2154" s="23"/>
      <c r="K2154" s="22"/>
      <c r="L2154" s="22"/>
      <c r="M2154" s="23"/>
      <c r="N2154" s="23"/>
      <c r="O2154" s="26" t="s">
        <v>3351</v>
      </c>
      <c r="P2154" s="26"/>
      <c r="Q2154" s="22"/>
      <c r="R2154" s="24"/>
      <c r="S2154" s="24"/>
      <c r="T2154" s="24"/>
      <c r="U2154" s="24"/>
      <c r="V2154" s="24"/>
      <c r="W2154" s="22" t="s">
        <v>20</v>
      </c>
      <c r="X2154" s="4" t="str">
        <f>IF(Tabela2[[#This Row],[sigla]]="","",VLOOKUP(Tabela2[[#This Row],[sigla]],créditos_base!B:C,2,0))</f>
        <v>SONIA HORN/ARQUIVO DA EDITORA</v>
      </c>
      <c r="Y2154" s="23"/>
      <c r="Z2154" s="23" t="str">
        <f>Tabela2[[#This Row],[ilustrador]]</f>
        <v>SONIA HORN/ARQUIVO DA EDITORA</v>
      </c>
      <c r="AA2154" s="22"/>
      <c r="AB2154" s="20"/>
      <c r="AD2154" s="4" t="str">
        <f>"Pitanguá"</f>
        <v>Pitanguá</v>
      </c>
      <c r="AE2154" s="14" t="str">
        <f>"Matemática"</f>
        <v>Matemática</v>
      </c>
      <c r="AF2154" s="14"/>
    </row>
    <row r="2155" spans="1:32" x14ac:dyDescent="0.3">
      <c r="A2155" s="23" t="s">
        <v>615</v>
      </c>
      <c r="B2155" s="20" t="s">
        <v>16</v>
      </c>
      <c r="C2155" s="20" t="s">
        <v>89</v>
      </c>
      <c r="D2155" s="20" t="s">
        <v>8</v>
      </c>
      <c r="E2155" s="22">
        <v>170</v>
      </c>
      <c r="F2155" s="22">
        <v>1</v>
      </c>
      <c r="G2155" s="22">
        <v>9</v>
      </c>
      <c r="H2155" s="22"/>
      <c r="I2155" s="23" t="s">
        <v>9</v>
      </c>
      <c r="J2155" s="23"/>
      <c r="K2155" s="22"/>
      <c r="L2155" s="22"/>
      <c r="M2155" s="23"/>
      <c r="N2155" s="23"/>
      <c r="O2155" s="26" t="s">
        <v>616</v>
      </c>
      <c r="P2155" s="26"/>
      <c r="Q2155" s="22"/>
      <c r="R2155" s="24"/>
      <c r="S2155" s="24"/>
      <c r="T2155" s="24"/>
      <c r="U2155" s="24"/>
      <c r="V2155" s="24"/>
      <c r="W2155" s="22" t="s">
        <v>151</v>
      </c>
      <c r="X2155" s="4" t="str">
        <f>IF(Tabela2[[#This Row],[sigla]]="","",VLOOKUP(Tabela2[[#This Row],[sigla]],créditos_base!B:C,2,0))</f>
        <v>ROGÉRIO CASAGRANDE/ARQUIVO DA EDITORA</v>
      </c>
      <c r="Y2155" s="23"/>
      <c r="Z2155" s="23" t="str">
        <f>Tabela2[[#This Row],[ilustrador]]</f>
        <v>ROGÉRIO CASAGRANDE/ARQUIVO DA EDITORA</v>
      </c>
      <c r="AA2155" s="22"/>
      <c r="AB2155" s="20"/>
      <c r="AD2155" s="4" t="str">
        <f>"Pitanguá"</f>
        <v>Pitanguá</v>
      </c>
      <c r="AE2155" s="14" t="str">
        <f>"Matemática"</f>
        <v>Matemática</v>
      </c>
      <c r="AF2155" s="14"/>
    </row>
    <row r="2156" spans="1:32" ht="28.8" x14ac:dyDescent="0.3">
      <c r="A2156" s="30" t="s">
        <v>1640</v>
      </c>
      <c r="B2156" s="20" t="s">
        <v>16</v>
      </c>
      <c r="C2156" s="20" t="s">
        <v>89</v>
      </c>
      <c r="D2156" s="20" t="s">
        <v>8</v>
      </c>
      <c r="E2156" s="22" t="s">
        <v>1300</v>
      </c>
      <c r="F2156" s="22">
        <v>2</v>
      </c>
      <c r="G2156" s="22">
        <v>9</v>
      </c>
      <c r="H2156" s="22"/>
      <c r="I2156" s="23" t="s">
        <v>9</v>
      </c>
      <c r="J2156" s="23"/>
      <c r="K2156" s="22"/>
      <c r="L2156" s="22"/>
      <c r="M2156" s="23"/>
      <c r="N2156" s="23"/>
      <c r="O2156" s="26" t="s">
        <v>1641</v>
      </c>
      <c r="P2156" s="26"/>
      <c r="Q2156" s="22"/>
      <c r="R2156" s="24"/>
      <c r="S2156" s="24"/>
      <c r="T2156" s="24"/>
      <c r="U2156" s="24"/>
      <c r="V2156" s="24"/>
      <c r="W2156" s="22" t="s">
        <v>160</v>
      </c>
      <c r="X2156" s="4" t="str">
        <f>IF(Tabela2[[#This Row],[sigla]]="","",VLOOKUP(Tabela2[[#This Row],[sigla]],créditos_base!B:C,2,0))</f>
        <v>SERGIO LIMA/ARQUIVO DA EDITORA</v>
      </c>
      <c r="Y2156" s="23"/>
      <c r="Z2156" s="23" t="str">
        <f>Tabela2[[#This Row],[ilustrador]]</f>
        <v>SERGIO LIMA/ARQUIVO DA EDITORA</v>
      </c>
      <c r="AA2156" s="22"/>
      <c r="AB2156" s="20"/>
      <c r="AD2156" s="4" t="str">
        <f>"Pitanguá"</f>
        <v>Pitanguá</v>
      </c>
      <c r="AE2156" s="14" t="str">
        <f>"Matemática"</f>
        <v>Matemática</v>
      </c>
      <c r="AF2156" s="14"/>
    </row>
    <row r="2157" spans="1:32" ht="28.8" x14ac:dyDescent="0.3">
      <c r="A2157" s="23" t="s">
        <v>2497</v>
      </c>
      <c r="B2157" s="20" t="s">
        <v>16</v>
      </c>
      <c r="C2157" s="20" t="s">
        <v>7</v>
      </c>
      <c r="D2157" s="20" t="s">
        <v>8</v>
      </c>
      <c r="E2157" s="22">
        <v>125</v>
      </c>
      <c r="F2157" s="22">
        <v>3</v>
      </c>
      <c r="G2157" s="22">
        <v>9</v>
      </c>
      <c r="H2157" s="22"/>
      <c r="I2157" s="23" t="s">
        <v>9</v>
      </c>
      <c r="J2157" s="23"/>
      <c r="K2157" s="22"/>
      <c r="L2157" s="22"/>
      <c r="M2157" s="23"/>
      <c r="N2157" s="23"/>
      <c r="O2157" s="26" t="s">
        <v>2498</v>
      </c>
      <c r="P2157" s="26"/>
      <c r="Q2157" s="22"/>
      <c r="R2157" s="24"/>
      <c r="S2157" s="24"/>
      <c r="T2157" s="24"/>
      <c r="U2157" s="24"/>
      <c r="V2157" s="24"/>
      <c r="W2157" s="22" t="s">
        <v>87</v>
      </c>
      <c r="X2157" s="4" t="str">
        <f>IF(Tabela2[[#This Row],[sigla]]="","",VLOOKUP(Tabela2[[#This Row],[sigla]],créditos_base!B:C,2,0))</f>
        <v>CHRIS BORGES/ARQUIVO DA EDITORA</v>
      </c>
      <c r="Y2157" s="23"/>
      <c r="Z2157" s="23" t="str">
        <f>Tabela2[[#This Row],[ilustrador]]</f>
        <v>CHRIS BORGES/ARQUIVO DA EDITORA</v>
      </c>
      <c r="AA2157" s="22"/>
      <c r="AB2157" s="20"/>
      <c r="AD2157" s="4" t="str">
        <f>"Pitanguá"</f>
        <v>Pitanguá</v>
      </c>
      <c r="AE2157" s="14" t="str">
        <f>"Matemática"</f>
        <v>Matemática</v>
      </c>
      <c r="AF2157" s="14"/>
    </row>
    <row r="2158" spans="1:32" ht="129.6" x14ac:dyDescent="0.3">
      <c r="A2158" s="23" t="s">
        <v>3352</v>
      </c>
      <c r="B2158" s="20" t="s">
        <v>16</v>
      </c>
      <c r="C2158" s="20" t="s">
        <v>89</v>
      </c>
      <c r="D2158" s="20" t="s">
        <v>8</v>
      </c>
      <c r="E2158" s="22">
        <v>192</v>
      </c>
      <c r="F2158" s="22">
        <v>4</v>
      </c>
      <c r="G2158" s="22">
        <v>9</v>
      </c>
      <c r="H2158" s="22"/>
      <c r="I2158" s="23" t="s">
        <v>9</v>
      </c>
      <c r="J2158" s="23"/>
      <c r="K2158" s="22"/>
      <c r="L2158" s="22"/>
      <c r="M2158" s="23"/>
      <c r="N2158" s="23"/>
      <c r="O2158" s="26" t="s">
        <v>3353</v>
      </c>
      <c r="P2158" s="26"/>
      <c r="Q2158" s="22"/>
      <c r="R2158" s="24"/>
      <c r="S2158" s="24"/>
      <c r="T2158" s="24"/>
      <c r="U2158" s="24"/>
      <c r="V2158" s="24"/>
      <c r="W2158" s="22" t="s">
        <v>20</v>
      </c>
      <c r="X2158" s="4" t="str">
        <f>IF(Tabela2[[#This Row],[sigla]]="","",VLOOKUP(Tabela2[[#This Row],[sigla]],créditos_base!B:C,2,0))</f>
        <v>SONIA HORN/ARQUIVO DA EDITORA</v>
      </c>
      <c r="Y2158" s="23"/>
      <c r="Z2158" s="23" t="str">
        <f>Tabela2[[#This Row],[ilustrador]]</f>
        <v>SONIA HORN/ARQUIVO DA EDITORA</v>
      </c>
      <c r="AA2158" s="22"/>
      <c r="AB2158" s="20"/>
      <c r="AD2158" s="4" t="str">
        <f>"Pitanguá"</f>
        <v>Pitanguá</v>
      </c>
      <c r="AE2158" s="14" t="str">
        <f>"Matemática"</f>
        <v>Matemática</v>
      </c>
      <c r="AF2158" s="14"/>
    </row>
    <row r="2159" spans="1:32" ht="100.8" x14ac:dyDescent="0.3">
      <c r="A2159" s="23" t="s">
        <v>617</v>
      </c>
      <c r="B2159" s="20" t="s">
        <v>16</v>
      </c>
      <c r="C2159" s="20" t="s">
        <v>89</v>
      </c>
      <c r="D2159" s="20" t="s">
        <v>8</v>
      </c>
      <c r="E2159" s="22">
        <v>170</v>
      </c>
      <c r="F2159" s="22">
        <v>1</v>
      </c>
      <c r="G2159" s="22">
        <v>9</v>
      </c>
      <c r="H2159" s="22"/>
      <c r="I2159" s="23" t="s">
        <v>9</v>
      </c>
      <c r="J2159" s="23"/>
      <c r="K2159" s="22"/>
      <c r="L2159" s="22"/>
      <c r="M2159" s="23"/>
      <c r="N2159" s="23"/>
      <c r="O2159" s="26" t="s">
        <v>618</v>
      </c>
      <c r="P2159" s="26"/>
      <c r="Q2159" s="22"/>
      <c r="R2159" s="24"/>
      <c r="S2159" s="24"/>
      <c r="T2159" s="24"/>
      <c r="U2159" s="24"/>
      <c r="V2159" s="24"/>
      <c r="W2159" s="22" t="s">
        <v>151</v>
      </c>
      <c r="X2159" s="4" t="str">
        <f>IF(Tabela2[[#This Row],[sigla]]="","",VLOOKUP(Tabela2[[#This Row],[sigla]],créditos_base!B:C,2,0))</f>
        <v>ROGÉRIO CASAGRANDE/ARQUIVO DA EDITORA</v>
      </c>
      <c r="Y2159" s="23"/>
      <c r="Z2159" s="23" t="str">
        <f>Tabela2[[#This Row],[ilustrador]]</f>
        <v>ROGÉRIO CASAGRANDE/ARQUIVO DA EDITORA</v>
      </c>
      <c r="AA2159" s="22"/>
      <c r="AB2159" s="20"/>
      <c r="AD2159" s="4" t="str">
        <f>"Pitanguá"</f>
        <v>Pitanguá</v>
      </c>
      <c r="AE2159" s="14" t="str">
        <f>"Matemática"</f>
        <v>Matemática</v>
      </c>
      <c r="AF2159" s="14"/>
    </row>
    <row r="2160" spans="1:32" ht="72" x14ac:dyDescent="0.3">
      <c r="A2160" s="30" t="s">
        <v>1642</v>
      </c>
      <c r="B2160" s="20" t="s">
        <v>16</v>
      </c>
      <c r="C2160" s="20" t="s">
        <v>89</v>
      </c>
      <c r="D2160" s="20" t="s">
        <v>8</v>
      </c>
      <c r="E2160" s="22" t="s">
        <v>1300</v>
      </c>
      <c r="F2160" s="22">
        <v>2</v>
      </c>
      <c r="G2160" s="22">
        <v>9</v>
      </c>
      <c r="H2160" s="22"/>
      <c r="I2160" s="23" t="s">
        <v>9</v>
      </c>
      <c r="J2160" s="23"/>
      <c r="K2160" s="22"/>
      <c r="L2160" s="22"/>
      <c r="M2160" s="23"/>
      <c r="N2160" s="23"/>
      <c r="O2160" s="26" t="s">
        <v>1643</v>
      </c>
      <c r="P2160" s="26"/>
      <c r="Q2160" s="22"/>
      <c r="R2160" s="24"/>
      <c r="S2160" s="24"/>
      <c r="T2160" s="24"/>
      <c r="U2160" s="24"/>
      <c r="V2160" s="24"/>
      <c r="W2160" s="22" t="s">
        <v>160</v>
      </c>
      <c r="X2160" s="4" t="str">
        <f>IF(Tabela2[[#This Row],[sigla]]="","",VLOOKUP(Tabela2[[#This Row],[sigla]],créditos_base!B:C,2,0))</f>
        <v>SERGIO LIMA/ARQUIVO DA EDITORA</v>
      </c>
      <c r="Y2160" s="23"/>
      <c r="Z2160" s="23" t="str">
        <f>Tabela2[[#This Row],[ilustrador]]</f>
        <v>SERGIO LIMA/ARQUIVO DA EDITORA</v>
      </c>
      <c r="AA2160" s="22"/>
      <c r="AB2160" s="20"/>
      <c r="AD2160" s="4" t="str">
        <f>"Pitanguá"</f>
        <v>Pitanguá</v>
      </c>
      <c r="AE2160" s="14" t="str">
        <f>"Matemática"</f>
        <v>Matemática</v>
      </c>
      <c r="AF2160" s="14"/>
    </row>
    <row r="2161" spans="1:32" ht="57.6" x14ac:dyDescent="0.3">
      <c r="A2161" s="23" t="s">
        <v>2499</v>
      </c>
      <c r="B2161" s="20" t="s">
        <v>16</v>
      </c>
      <c r="C2161" s="20" t="s">
        <v>7</v>
      </c>
      <c r="D2161" s="20" t="s">
        <v>8</v>
      </c>
      <c r="E2161" s="22">
        <v>125</v>
      </c>
      <c r="F2161" s="22">
        <v>3</v>
      </c>
      <c r="G2161" s="22">
        <v>9</v>
      </c>
      <c r="H2161" s="22"/>
      <c r="I2161" s="23" t="s">
        <v>9</v>
      </c>
      <c r="J2161" s="23"/>
      <c r="K2161" s="22"/>
      <c r="L2161" s="22"/>
      <c r="M2161" s="23"/>
      <c r="N2161" s="23"/>
      <c r="O2161" s="26" t="s">
        <v>2500</v>
      </c>
      <c r="P2161" s="26"/>
      <c r="Q2161" s="22"/>
      <c r="R2161" s="24"/>
      <c r="S2161" s="24"/>
      <c r="T2161" s="24"/>
      <c r="U2161" s="24"/>
      <c r="V2161" s="24"/>
      <c r="W2161" s="22" t="s">
        <v>87</v>
      </c>
      <c r="X2161" s="4" t="str">
        <f>IF(Tabela2[[#This Row],[sigla]]="","",VLOOKUP(Tabela2[[#This Row],[sigla]],créditos_base!B:C,2,0))</f>
        <v>CHRIS BORGES/ARQUIVO DA EDITORA</v>
      </c>
      <c r="Y2161" s="23"/>
      <c r="Z2161" s="23" t="str">
        <f>Tabela2[[#This Row],[ilustrador]]</f>
        <v>CHRIS BORGES/ARQUIVO DA EDITORA</v>
      </c>
      <c r="AA2161" s="22"/>
      <c r="AB2161" s="20"/>
      <c r="AD2161" s="4" t="str">
        <f>"Pitanguá"</f>
        <v>Pitanguá</v>
      </c>
      <c r="AE2161" s="14" t="str">
        <f>"Matemática"</f>
        <v>Matemática</v>
      </c>
      <c r="AF2161" s="14"/>
    </row>
    <row r="2162" spans="1:32" ht="28.8" x14ac:dyDescent="0.3">
      <c r="A2162" s="23" t="s">
        <v>3354</v>
      </c>
      <c r="B2162" s="20" t="s">
        <v>16</v>
      </c>
      <c r="C2162" s="20" t="s">
        <v>89</v>
      </c>
      <c r="D2162" s="20" t="s">
        <v>8</v>
      </c>
      <c r="E2162" s="22">
        <v>192</v>
      </c>
      <c r="F2162" s="22">
        <v>4</v>
      </c>
      <c r="G2162" s="22">
        <v>9</v>
      </c>
      <c r="H2162" s="22"/>
      <c r="I2162" s="23" t="s">
        <v>9</v>
      </c>
      <c r="J2162" s="23"/>
      <c r="K2162" s="22"/>
      <c r="L2162" s="22"/>
      <c r="M2162" s="23"/>
      <c r="N2162" s="23"/>
      <c r="O2162" s="26" t="s">
        <v>3355</v>
      </c>
      <c r="P2162" s="26"/>
      <c r="Q2162" s="22"/>
      <c r="R2162" s="24"/>
      <c r="S2162" s="24"/>
      <c r="T2162" s="24"/>
      <c r="U2162" s="24"/>
      <c r="V2162" s="24"/>
      <c r="W2162" s="22" t="s">
        <v>20</v>
      </c>
      <c r="X2162" s="4" t="str">
        <f>IF(Tabela2[[#This Row],[sigla]]="","",VLOOKUP(Tabela2[[#This Row],[sigla]],créditos_base!B:C,2,0))</f>
        <v>SONIA HORN/ARQUIVO DA EDITORA</v>
      </c>
      <c r="Y2162" s="23"/>
      <c r="Z2162" s="23" t="str">
        <f>Tabela2[[#This Row],[ilustrador]]</f>
        <v>SONIA HORN/ARQUIVO DA EDITORA</v>
      </c>
      <c r="AA2162" s="22"/>
      <c r="AB2162" s="20"/>
      <c r="AD2162" s="4" t="str">
        <f>"Pitanguá"</f>
        <v>Pitanguá</v>
      </c>
      <c r="AE2162" s="14" t="str">
        <f>"Matemática"</f>
        <v>Matemática</v>
      </c>
      <c r="AF2162" s="14"/>
    </row>
    <row r="2163" spans="1:32" ht="28.8" x14ac:dyDescent="0.3">
      <c r="A2163" s="23" t="s">
        <v>2409</v>
      </c>
      <c r="B2163" s="20" t="s">
        <v>16</v>
      </c>
      <c r="C2163" s="20" t="s">
        <v>7</v>
      </c>
      <c r="D2163" s="20" t="s">
        <v>8</v>
      </c>
      <c r="E2163" s="22">
        <v>200</v>
      </c>
      <c r="F2163" s="22">
        <v>1</v>
      </c>
      <c r="G2163" s="22">
        <v>9</v>
      </c>
      <c r="H2163" s="22"/>
      <c r="I2163" s="23" t="s">
        <v>33</v>
      </c>
      <c r="J2163" s="23"/>
      <c r="K2163" s="22"/>
      <c r="L2163" s="22"/>
      <c r="M2163" s="23"/>
      <c r="N2163" s="23"/>
      <c r="O2163" s="26" t="s">
        <v>2410</v>
      </c>
      <c r="P2163" s="26"/>
      <c r="Q2163" s="22">
        <v>33</v>
      </c>
      <c r="R2163" s="24">
        <v>45761</v>
      </c>
      <c r="S2163" s="24">
        <v>45762</v>
      </c>
      <c r="T2163" s="24"/>
      <c r="U2163" s="24"/>
      <c r="V2163" s="24">
        <v>45762</v>
      </c>
      <c r="W2163" s="22" t="s">
        <v>468</v>
      </c>
      <c r="X2163" s="4" t="str">
        <f>IF(Tabela2[[#This Row],[sigla]]="","",VLOOKUP(Tabela2[[#This Row],[sigla]],créditos_base!B:C,2,0))</f>
        <v>VER DOCUMENTO DE ILS. TÉCNICAS</v>
      </c>
      <c r="Y2163" s="23" t="s">
        <v>152</v>
      </c>
      <c r="Z2163" s="23" t="s">
        <v>1327</v>
      </c>
      <c r="AA2163" s="22">
        <v>13</v>
      </c>
      <c r="AB2163" s="20" t="s">
        <v>747</v>
      </c>
      <c r="AC2163" s="20" t="s">
        <v>36</v>
      </c>
      <c r="AD2163" s="4" t="str">
        <f>"Pitanguá"</f>
        <v>Pitanguá</v>
      </c>
      <c r="AE2163" s="14" t="str">
        <f>"Matemática"</f>
        <v>Matemática</v>
      </c>
      <c r="AF2163" s="14"/>
    </row>
    <row r="2164" spans="1:32" ht="28.8" x14ac:dyDescent="0.3">
      <c r="A2164" s="30" t="s">
        <v>1644</v>
      </c>
      <c r="B2164" s="20" t="s">
        <v>16</v>
      </c>
      <c r="C2164" s="20" t="s">
        <v>89</v>
      </c>
      <c r="D2164" s="20" t="s">
        <v>8</v>
      </c>
      <c r="E2164" s="22" t="s">
        <v>1300</v>
      </c>
      <c r="F2164" s="22">
        <v>2</v>
      </c>
      <c r="G2164" s="22">
        <v>9</v>
      </c>
      <c r="H2164" s="22"/>
      <c r="I2164" s="23" t="s">
        <v>9</v>
      </c>
      <c r="J2164" s="23"/>
      <c r="K2164" s="22"/>
      <c r="L2164" s="22"/>
      <c r="M2164" s="23"/>
      <c r="N2164" s="23"/>
      <c r="O2164" s="26" t="s">
        <v>1645</v>
      </c>
      <c r="P2164" s="26"/>
      <c r="Q2164" s="22"/>
      <c r="R2164" s="24"/>
      <c r="S2164" s="24"/>
      <c r="T2164" s="24"/>
      <c r="U2164" s="24"/>
      <c r="V2164" s="24"/>
      <c r="W2164" s="22" t="s">
        <v>160</v>
      </c>
      <c r="X2164" s="4" t="str">
        <f>IF(Tabela2[[#This Row],[sigla]]="","",VLOOKUP(Tabela2[[#This Row],[sigla]],créditos_base!B:C,2,0))</f>
        <v>SERGIO LIMA/ARQUIVO DA EDITORA</v>
      </c>
      <c r="Y2164" s="23"/>
      <c r="Z2164" s="23" t="str">
        <f>Tabela2[[#This Row],[ilustrador]]</f>
        <v>SERGIO LIMA/ARQUIVO DA EDITORA</v>
      </c>
      <c r="AA2164" s="22"/>
      <c r="AB2164" s="20"/>
      <c r="AD2164" s="4" t="str">
        <f>"Pitanguá"</f>
        <v>Pitanguá</v>
      </c>
      <c r="AE2164" s="14" t="str">
        <f>"Matemática"</f>
        <v>Matemática</v>
      </c>
      <c r="AF2164" s="14"/>
    </row>
    <row r="2165" spans="1:32" ht="28.8" x14ac:dyDescent="0.3">
      <c r="A2165" s="23" t="s">
        <v>2501</v>
      </c>
      <c r="B2165" s="20" t="s">
        <v>16</v>
      </c>
      <c r="C2165" s="20" t="s">
        <v>7</v>
      </c>
      <c r="D2165" s="20" t="s">
        <v>8</v>
      </c>
      <c r="E2165" s="22">
        <v>126</v>
      </c>
      <c r="F2165" s="22">
        <v>3</v>
      </c>
      <c r="G2165" s="22">
        <v>9</v>
      </c>
      <c r="H2165" s="22"/>
      <c r="I2165" s="23" t="s">
        <v>9</v>
      </c>
      <c r="J2165" s="23"/>
      <c r="K2165" s="22"/>
      <c r="L2165" s="22"/>
      <c r="M2165" s="23"/>
      <c r="N2165" s="23"/>
      <c r="O2165" s="26" t="s">
        <v>2502</v>
      </c>
      <c r="P2165" s="26"/>
      <c r="Q2165" s="22"/>
      <c r="R2165" s="24"/>
      <c r="S2165" s="24"/>
      <c r="T2165" s="24"/>
      <c r="U2165" s="24"/>
      <c r="V2165" s="24"/>
      <c r="W2165" s="22" t="s">
        <v>12</v>
      </c>
      <c r="X2165" s="4" t="str">
        <f>IF(Tabela2[[#This Row],[sigla]]="","",VLOOKUP(Tabela2[[#This Row],[sigla]],créditos_base!B:C,2,0))</f>
        <v>JORGE ZAIBA/ARQUIVO DA EDITORA</v>
      </c>
      <c r="Y2165" s="23"/>
      <c r="Z2165" s="23" t="str">
        <f>Tabela2[[#This Row],[ilustrador]]</f>
        <v>JORGE ZAIBA/ARQUIVO DA EDITORA</v>
      </c>
      <c r="AA2165" s="22"/>
      <c r="AB2165" s="20"/>
      <c r="AD2165" s="4" t="str">
        <f>"Pitanguá"</f>
        <v>Pitanguá</v>
      </c>
      <c r="AE2165" s="14" t="str">
        <f>"Matemática"</f>
        <v>Matemática</v>
      </c>
      <c r="AF2165" s="14"/>
    </row>
    <row r="2166" spans="1:32" ht="28.8" x14ac:dyDescent="0.3">
      <c r="A2166" s="23" t="s">
        <v>3356</v>
      </c>
      <c r="B2166" s="20" t="s">
        <v>16</v>
      </c>
      <c r="C2166" s="20" t="s">
        <v>89</v>
      </c>
      <c r="D2166" s="20" t="s">
        <v>8</v>
      </c>
      <c r="E2166" s="22">
        <v>192</v>
      </c>
      <c r="F2166" s="22">
        <v>4</v>
      </c>
      <c r="G2166" s="22">
        <v>9</v>
      </c>
      <c r="H2166" s="22"/>
      <c r="I2166" s="23" t="s">
        <v>9</v>
      </c>
      <c r="J2166" s="23"/>
      <c r="K2166" s="22"/>
      <c r="L2166" s="22"/>
      <c r="M2166" s="23"/>
      <c r="N2166" s="23"/>
      <c r="O2166" s="26" t="s">
        <v>3357</v>
      </c>
      <c r="P2166" s="26"/>
      <c r="Q2166" s="22"/>
      <c r="R2166" s="24"/>
      <c r="S2166" s="24"/>
      <c r="T2166" s="24"/>
      <c r="U2166" s="24"/>
      <c r="V2166" s="24"/>
      <c r="W2166" s="22" t="s">
        <v>940</v>
      </c>
      <c r="X2166" s="4" t="str">
        <f>IF(Tabela2[[#This Row],[sigla]]="","",VLOOKUP(Tabela2[[#This Row],[sigla]],créditos_base!B:C,2,0))</f>
        <v>RONALDO LUCENA/ARQUIVO DA EDITORA</v>
      </c>
      <c r="Y2166" s="23"/>
      <c r="Z2166" s="23" t="str">
        <f>Tabela2[[#This Row],[ilustrador]]</f>
        <v>RONALDO LUCENA/ARQUIVO DA EDITORA</v>
      </c>
      <c r="AA2166" s="22"/>
      <c r="AB2166" s="20"/>
      <c r="AD2166" s="4" t="str">
        <f>"Pitanguá"</f>
        <v>Pitanguá</v>
      </c>
      <c r="AE2166" s="14" t="str">
        <f>"Matemática"</f>
        <v>Matemática</v>
      </c>
      <c r="AF2166" s="14"/>
    </row>
    <row r="2167" spans="1:32" ht="57.6" x14ac:dyDescent="0.3">
      <c r="A2167" s="23" t="s">
        <v>4318</v>
      </c>
      <c r="B2167" s="20" t="s">
        <v>16</v>
      </c>
      <c r="C2167" s="20" t="s">
        <v>7</v>
      </c>
      <c r="D2167" s="20" t="s">
        <v>8</v>
      </c>
      <c r="E2167" s="22">
        <v>199</v>
      </c>
      <c r="F2167" s="22">
        <v>5</v>
      </c>
      <c r="G2167" s="22">
        <v>9</v>
      </c>
      <c r="H2167" s="22"/>
      <c r="I2167" s="23" t="s">
        <v>33</v>
      </c>
      <c r="J2167" s="23"/>
      <c r="K2167" s="22"/>
      <c r="L2167" s="22"/>
      <c r="M2167" s="23"/>
      <c r="N2167" s="23"/>
      <c r="O2167" s="26" t="s">
        <v>4319</v>
      </c>
      <c r="P2167" s="26"/>
      <c r="Q2167" s="22">
        <v>163</v>
      </c>
      <c r="R2167" s="24">
        <v>45891</v>
      </c>
      <c r="S2167" s="24">
        <v>45891</v>
      </c>
      <c r="T2167" s="24"/>
      <c r="U2167" s="24"/>
      <c r="V2167" s="24">
        <v>45891</v>
      </c>
      <c r="W2167" s="22" t="s">
        <v>468</v>
      </c>
      <c r="X2167" s="4" t="str">
        <f>IF(Tabela2[[#This Row],[sigla]]="","",VLOOKUP(Tabela2[[#This Row],[sigla]],créditos_base!B:C,2,0))</f>
        <v>VER DOCUMENTO DE ILS. TÉCNICAS</v>
      </c>
      <c r="Y2167" s="23" t="s">
        <v>243</v>
      </c>
      <c r="Z2167" s="23" t="s">
        <v>1327</v>
      </c>
      <c r="AA2167" s="22">
        <v>13</v>
      </c>
      <c r="AB2167" s="20" t="s">
        <v>244</v>
      </c>
      <c r="AC2167" s="20" t="s">
        <v>36</v>
      </c>
      <c r="AD2167" s="4" t="str">
        <f>"Pitanguá"</f>
        <v>Pitanguá</v>
      </c>
      <c r="AE2167" s="14" t="str">
        <f>"Matemática"</f>
        <v>Matemática</v>
      </c>
      <c r="AF2167" s="14"/>
    </row>
    <row r="2168" spans="1:32" ht="28.8" x14ac:dyDescent="0.3">
      <c r="A2168" s="23" t="s">
        <v>619</v>
      </c>
      <c r="B2168" s="20" t="s">
        <v>16</v>
      </c>
      <c r="C2168" s="20" t="s">
        <v>89</v>
      </c>
      <c r="D2168" s="20" t="s">
        <v>8</v>
      </c>
      <c r="E2168" s="22">
        <v>171</v>
      </c>
      <c r="F2168" s="22">
        <v>1</v>
      </c>
      <c r="G2168" s="22">
        <v>9</v>
      </c>
      <c r="H2168" s="22"/>
      <c r="I2168" s="23" t="s">
        <v>9</v>
      </c>
      <c r="J2168" s="23"/>
      <c r="K2168" s="22"/>
      <c r="L2168" s="22"/>
      <c r="M2168" s="23"/>
      <c r="N2168" s="23"/>
      <c r="O2168" s="26" t="s">
        <v>620</v>
      </c>
      <c r="P2168" s="26"/>
      <c r="Q2168" s="22"/>
      <c r="R2168" s="24"/>
      <c r="S2168" s="24"/>
      <c r="T2168" s="24"/>
      <c r="U2168" s="24"/>
      <c r="V2168" s="24"/>
      <c r="W2168" s="22" t="s">
        <v>151</v>
      </c>
      <c r="X2168" s="4" t="str">
        <f>IF(Tabela2[[#This Row],[sigla]]="","",VLOOKUP(Tabela2[[#This Row],[sigla]],créditos_base!B:C,2,0))</f>
        <v>ROGÉRIO CASAGRANDE/ARQUIVO DA EDITORA</v>
      </c>
      <c r="Y2168" s="23"/>
      <c r="Z2168" s="23" t="str">
        <f>Tabela2[[#This Row],[ilustrador]]</f>
        <v>ROGÉRIO CASAGRANDE/ARQUIVO DA EDITORA</v>
      </c>
      <c r="AA2168" s="22"/>
      <c r="AB2168" s="20"/>
      <c r="AD2168" s="4" t="str">
        <f>"Pitanguá"</f>
        <v>Pitanguá</v>
      </c>
      <c r="AE2168" s="14" t="str">
        <f>"Matemática"</f>
        <v>Matemática</v>
      </c>
      <c r="AF2168" s="14"/>
    </row>
    <row r="2169" spans="1:32" ht="57.6" x14ac:dyDescent="0.3">
      <c r="A2169" s="30" t="s">
        <v>1646</v>
      </c>
      <c r="B2169" s="20" t="s">
        <v>16</v>
      </c>
      <c r="C2169" s="20" t="s">
        <v>89</v>
      </c>
      <c r="D2169" s="20" t="s">
        <v>8</v>
      </c>
      <c r="E2169" s="22" t="s">
        <v>1300</v>
      </c>
      <c r="F2169" s="22">
        <v>2</v>
      </c>
      <c r="G2169" s="22">
        <v>9</v>
      </c>
      <c r="H2169" s="22"/>
      <c r="I2169" s="23" t="s">
        <v>9</v>
      </c>
      <c r="J2169" s="23"/>
      <c r="K2169" s="22"/>
      <c r="L2169" s="22"/>
      <c r="M2169" s="23"/>
      <c r="N2169" s="23"/>
      <c r="O2169" s="26" t="s">
        <v>1647</v>
      </c>
      <c r="P2169" s="26"/>
      <c r="Q2169" s="22"/>
      <c r="R2169" s="24"/>
      <c r="S2169" s="24"/>
      <c r="T2169" s="24"/>
      <c r="U2169" s="24"/>
      <c r="V2169" s="24"/>
      <c r="W2169" s="22" t="s">
        <v>160</v>
      </c>
      <c r="X2169" s="4" t="str">
        <f>IF(Tabela2[[#This Row],[sigla]]="","",VLOOKUP(Tabela2[[#This Row],[sigla]],créditos_base!B:C,2,0))</f>
        <v>SERGIO LIMA/ARQUIVO DA EDITORA</v>
      </c>
      <c r="Y2169" s="23"/>
      <c r="Z2169" s="23" t="str">
        <f>Tabela2[[#This Row],[ilustrador]]</f>
        <v>SERGIO LIMA/ARQUIVO DA EDITORA</v>
      </c>
      <c r="AA2169" s="22"/>
      <c r="AB2169" s="20"/>
      <c r="AD2169" s="4" t="str">
        <f>"Pitanguá"</f>
        <v>Pitanguá</v>
      </c>
      <c r="AE2169" s="14" t="str">
        <f>"Matemática"</f>
        <v>Matemática</v>
      </c>
      <c r="AF2169" s="14"/>
    </row>
    <row r="2170" spans="1:32" ht="57.6" x14ac:dyDescent="0.3">
      <c r="A2170" s="23" t="s">
        <v>3358</v>
      </c>
      <c r="B2170" s="20" t="s">
        <v>16</v>
      </c>
      <c r="C2170" s="20" t="s">
        <v>89</v>
      </c>
      <c r="D2170" s="20" t="s">
        <v>8</v>
      </c>
      <c r="E2170" s="22">
        <v>192</v>
      </c>
      <c r="F2170" s="22">
        <v>4</v>
      </c>
      <c r="G2170" s="22">
        <v>9</v>
      </c>
      <c r="H2170" s="22"/>
      <c r="I2170" s="23" t="s">
        <v>9</v>
      </c>
      <c r="J2170" s="23"/>
      <c r="K2170" s="22"/>
      <c r="L2170" s="22"/>
      <c r="M2170" s="23"/>
      <c r="N2170" s="23"/>
      <c r="O2170" s="26" t="s">
        <v>3359</v>
      </c>
      <c r="P2170" s="26"/>
      <c r="Q2170" s="22"/>
      <c r="R2170" s="24"/>
      <c r="S2170" s="24"/>
      <c r="T2170" s="24"/>
      <c r="U2170" s="24"/>
      <c r="V2170" s="24"/>
      <c r="W2170" s="22" t="s">
        <v>940</v>
      </c>
      <c r="X2170" s="4" t="str">
        <f>IF(Tabela2[[#This Row],[sigla]]="","",VLOOKUP(Tabela2[[#This Row],[sigla]],créditos_base!B:C,2,0))</f>
        <v>RONALDO LUCENA/ARQUIVO DA EDITORA</v>
      </c>
      <c r="Y2170" s="23"/>
      <c r="Z2170" s="23" t="str">
        <f>Tabela2[[#This Row],[ilustrador]]</f>
        <v>RONALDO LUCENA/ARQUIVO DA EDITORA</v>
      </c>
      <c r="AA2170" s="22"/>
      <c r="AB2170" s="20"/>
      <c r="AD2170" s="4" t="str">
        <f>"Pitanguá"</f>
        <v>Pitanguá</v>
      </c>
      <c r="AE2170" s="14" t="str">
        <f>"Matemática"</f>
        <v>Matemática</v>
      </c>
      <c r="AF2170" s="14"/>
    </row>
    <row r="2171" spans="1:32" ht="57.6" x14ac:dyDescent="0.3">
      <c r="A2171" s="23" t="s">
        <v>4320</v>
      </c>
      <c r="B2171" s="20" t="s">
        <v>16</v>
      </c>
      <c r="C2171" s="20" t="s">
        <v>7</v>
      </c>
      <c r="D2171" s="20" t="s">
        <v>8</v>
      </c>
      <c r="E2171" s="22">
        <v>199</v>
      </c>
      <c r="F2171" s="22">
        <v>5</v>
      </c>
      <c r="G2171" s="22">
        <v>9</v>
      </c>
      <c r="H2171" s="22"/>
      <c r="I2171" s="23" t="s">
        <v>33</v>
      </c>
      <c r="J2171" s="23"/>
      <c r="K2171" s="22"/>
      <c r="L2171" s="22"/>
      <c r="M2171" s="23"/>
      <c r="N2171" s="23"/>
      <c r="O2171" s="26" t="s">
        <v>4321</v>
      </c>
      <c r="P2171" s="26"/>
      <c r="Q2171" s="22">
        <v>163</v>
      </c>
      <c r="R2171" s="24">
        <v>45891</v>
      </c>
      <c r="S2171" s="24">
        <v>45891</v>
      </c>
      <c r="T2171" s="24"/>
      <c r="U2171" s="24"/>
      <c r="V2171" s="24">
        <v>45891</v>
      </c>
      <c r="W2171" s="22" t="s">
        <v>468</v>
      </c>
      <c r="X2171" s="4" t="str">
        <f>IF(Tabela2[[#This Row],[sigla]]="","",VLOOKUP(Tabela2[[#This Row],[sigla]],créditos_base!B:C,2,0))</f>
        <v>VER DOCUMENTO DE ILS. TÉCNICAS</v>
      </c>
      <c r="Y2171" s="23" t="s">
        <v>243</v>
      </c>
      <c r="Z2171" s="23" t="s">
        <v>1327</v>
      </c>
      <c r="AA2171" s="22">
        <v>13</v>
      </c>
      <c r="AB2171" s="20" t="s">
        <v>244</v>
      </c>
      <c r="AC2171" s="20" t="s">
        <v>36</v>
      </c>
      <c r="AD2171" s="4" t="str">
        <f>"Pitanguá"</f>
        <v>Pitanguá</v>
      </c>
      <c r="AE2171" s="14" t="str">
        <f>"Matemática"</f>
        <v>Matemática</v>
      </c>
      <c r="AF2171" s="14"/>
    </row>
    <row r="2172" spans="1:32" ht="43.2" x14ac:dyDescent="0.3">
      <c r="A2172" s="23" t="s">
        <v>621</v>
      </c>
      <c r="B2172" s="20" t="s">
        <v>16</v>
      </c>
      <c r="C2172" s="20" t="s">
        <v>89</v>
      </c>
      <c r="D2172" s="20" t="s">
        <v>8</v>
      </c>
      <c r="E2172" s="22">
        <v>171</v>
      </c>
      <c r="F2172" s="22">
        <v>1</v>
      </c>
      <c r="G2172" s="22">
        <v>9</v>
      </c>
      <c r="H2172" s="22"/>
      <c r="I2172" s="23" t="s">
        <v>9</v>
      </c>
      <c r="J2172" s="23"/>
      <c r="K2172" s="22"/>
      <c r="L2172" s="22"/>
      <c r="M2172" s="23"/>
      <c r="N2172" s="23"/>
      <c r="O2172" s="26" t="s">
        <v>622</v>
      </c>
      <c r="P2172" s="26"/>
      <c r="Q2172" s="22"/>
      <c r="R2172" s="24"/>
      <c r="S2172" s="24"/>
      <c r="T2172" s="24"/>
      <c r="U2172" s="24"/>
      <c r="V2172" s="24"/>
      <c r="W2172" s="22" t="s">
        <v>151</v>
      </c>
      <c r="X2172" s="4" t="str">
        <f>IF(Tabela2[[#This Row],[sigla]]="","",VLOOKUP(Tabela2[[#This Row],[sigla]],créditos_base!B:C,2,0))</f>
        <v>ROGÉRIO CASAGRANDE/ARQUIVO DA EDITORA</v>
      </c>
      <c r="Y2172" s="23"/>
      <c r="Z2172" s="23" t="str">
        <f>Tabela2[[#This Row],[ilustrador]]</f>
        <v>ROGÉRIO CASAGRANDE/ARQUIVO DA EDITORA</v>
      </c>
      <c r="AA2172" s="22"/>
      <c r="AB2172" s="20"/>
      <c r="AD2172" s="4" t="str">
        <f>"Pitanguá"</f>
        <v>Pitanguá</v>
      </c>
      <c r="AE2172" s="14" t="str">
        <f>"Matemática"</f>
        <v>Matemática</v>
      </c>
      <c r="AF2172" s="14"/>
    </row>
    <row r="2173" spans="1:32" ht="43.2" x14ac:dyDescent="0.3">
      <c r="A2173" s="30" t="s">
        <v>1648</v>
      </c>
      <c r="B2173" s="20" t="s">
        <v>16</v>
      </c>
      <c r="C2173" s="20" t="s">
        <v>7</v>
      </c>
      <c r="D2173" s="20" t="s">
        <v>8</v>
      </c>
      <c r="E2173" s="22" t="s">
        <v>1300</v>
      </c>
      <c r="F2173" s="22">
        <v>2</v>
      </c>
      <c r="G2173" s="22">
        <v>9</v>
      </c>
      <c r="H2173" s="22"/>
      <c r="I2173" s="23" t="s">
        <v>9</v>
      </c>
      <c r="J2173" s="23"/>
      <c r="K2173" s="22"/>
      <c r="L2173" s="22"/>
      <c r="M2173" s="23"/>
      <c r="N2173" s="23"/>
      <c r="O2173" s="26" t="s">
        <v>1649</v>
      </c>
      <c r="P2173" s="26"/>
      <c r="Q2173" s="22"/>
      <c r="R2173" s="24"/>
      <c r="S2173" s="24"/>
      <c r="T2173" s="24"/>
      <c r="U2173" s="24"/>
      <c r="V2173" s="24"/>
      <c r="W2173" s="22" t="s">
        <v>160</v>
      </c>
      <c r="X2173" s="4" t="str">
        <f>IF(Tabela2[[#This Row],[sigla]]="","",VLOOKUP(Tabela2[[#This Row],[sigla]],créditos_base!B:C,2,0))</f>
        <v>SERGIO LIMA/ARQUIVO DA EDITORA</v>
      </c>
      <c r="Y2173" s="23"/>
      <c r="Z2173" s="23" t="str">
        <f>Tabela2[[#This Row],[ilustrador]]</f>
        <v>SERGIO LIMA/ARQUIVO DA EDITORA</v>
      </c>
      <c r="AA2173" s="22"/>
      <c r="AB2173" s="20"/>
      <c r="AD2173" s="4" t="str">
        <f>"Pitanguá"</f>
        <v>Pitanguá</v>
      </c>
      <c r="AE2173" s="14" t="str">
        <f>"Matemática"</f>
        <v>Matemática</v>
      </c>
      <c r="AF2173" s="14"/>
    </row>
    <row r="2174" spans="1:32" ht="43.2" x14ac:dyDescent="0.3">
      <c r="A2174" s="23" t="s">
        <v>2503</v>
      </c>
      <c r="B2174" s="20" t="s">
        <v>16</v>
      </c>
      <c r="C2174" s="20" t="s">
        <v>7</v>
      </c>
      <c r="D2174" s="20" t="s">
        <v>8</v>
      </c>
      <c r="E2174" s="22">
        <v>127</v>
      </c>
      <c r="F2174" s="22">
        <v>3</v>
      </c>
      <c r="G2174" s="22">
        <v>9</v>
      </c>
      <c r="H2174" s="22"/>
      <c r="I2174" s="23" t="s">
        <v>33</v>
      </c>
      <c r="J2174" s="23"/>
      <c r="K2174" s="22"/>
      <c r="L2174" s="22"/>
      <c r="M2174" s="23"/>
      <c r="N2174" s="23"/>
      <c r="O2174" s="26" t="s">
        <v>2504</v>
      </c>
      <c r="P2174" s="26"/>
      <c r="Q2174" s="22">
        <v>34</v>
      </c>
      <c r="R2174" s="24">
        <v>45764</v>
      </c>
      <c r="S2174" s="24">
        <v>45769</v>
      </c>
      <c r="T2174" s="24"/>
      <c r="U2174" s="24"/>
      <c r="V2174" s="24">
        <v>45770</v>
      </c>
      <c r="W2174" s="22" t="s">
        <v>468</v>
      </c>
      <c r="X2174" s="4" t="str">
        <f>IF(Tabela2[[#This Row],[sigla]]="","",VLOOKUP(Tabela2[[#This Row],[sigla]],créditos_base!B:C,2,0))</f>
        <v>VER DOCUMENTO DE ILS. TÉCNICAS</v>
      </c>
      <c r="Y2174" s="23" t="s">
        <v>433</v>
      </c>
      <c r="Z2174" s="23" t="s">
        <v>689</v>
      </c>
      <c r="AA2174" s="22">
        <v>14</v>
      </c>
      <c r="AB2174" s="20" t="s">
        <v>153</v>
      </c>
      <c r="AC2174" s="20" t="s">
        <v>36</v>
      </c>
      <c r="AD2174" s="4" t="str">
        <f>"Pitanguá"</f>
        <v>Pitanguá</v>
      </c>
      <c r="AE2174" s="14" t="str">
        <f>"Matemática"</f>
        <v>Matemática</v>
      </c>
      <c r="AF2174" s="14"/>
    </row>
    <row r="2175" spans="1:32" ht="43.2" x14ac:dyDescent="0.3">
      <c r="A2175" s="23" t="s">
        <v>3360</v>
      </c>
      <c r="B2175" s="20" t="s">
        <v>16</v>
      </c>
      <c r="C2175" s="20" t="s">
        <v>89</v>
      </c>
      <c r="D2175" s="20" t="s">
        <v>8</v>
      </c>
      <c r="E2175" s="22">
        <v>192</v>
      </c>
      <c r="F2175" s="22">
        <v>4</v>
      </c>
      <c r="G2175" s="22">
        <v>9</v>
      </c>
      <c r="H2175" s="22"/>
      <c r="I2175" s="23" t="s">
        <v>9</v>
      </c>
      <c r="J2175" s="23"/>
      <c r="K2175" s="22"/>
      <c r="L2175" s="22"/>
      <c r="M2175" s="23"/>
      <c r="N2175" s="23"/>
      <c r="O2175" s="26" t="s">
        <v>3361</v>
      </c>
      <c r="P2175" s="26"/>
      <c r="Q2175" s="22"/>
      <c r="R2175" s="24"/>
      <c r="S2175" s="24"/>
      <c r="T2175" s="24"/>
      <c r="U2175" s="24"/>
      <c r="V2175" s="24"/>
      <c r="W2175" s="22" t="s">
        <v>940</v>
      </c>
      <c r="X2175" s="4" t="str">
        <f>IF(Tabela2[[#This Row],[sigla]]="","",VLOOKUP(Tabela2[[#This Row],[sigla]],créditos_base!B:C,2,0))</f>
        <v>RONALDO LUCENA/ARQUIVO DA EDITORA</v>
      </c>
      <c r="Y2175" s="23"/>
      <c r="Z2175" s="23" t="str">
        <f>Tabela2[[#This Row],[ilustrador]]</f>
        <v>RONALDO LUCENA/ARQUIVO DA EDITORA</v>
      </c>
      <c r="AA2175" s="22"/>
      <c r="AB2175" s="20"/>
      <c r="AD2175" s="4" t="str">
        <f>"Pitanguá"</f>
        <v>Pitanguá</v>
      </c>
      <c r="AE2175" s="14" t="str">
        <f>"Matemática"</f>
        <v>Matemática</v>
      </c>
      <c r="AF2175" s="14"/>
    </row>
    <row r="2176" spans="1:32" ht="43.2" x14ac:dyDescent="0.3">
      <c r="A2176" s="23" t="s">
        <v>4322</v>
      </c>
      <c r="B2176" s="20" t="s">
        <v>16</v>
      </c>
      <c r="C2176" s="20" t="s">
        <v>7</v>
      </c>
      <c r="D2176" s="20" t="s">
        <v>8</v>
      </c>
      <c r="E2176" s="22">
        <v>199</v>
      </c>
      <c r="F2176" s="22">
        <v>5</v>
      </c>
      <c r="G2176" s="22">
        <v>9</v>
      </c>
      <c r="H2176" s="22"/>
      <c r="I2176" s="23" t="s">
        <v>9</v>
      </c>
      <c r="J2176" s="23"/>
      <c r="K2176" s="22"/>
      <c r="L2176" s="22"/>
      <c r="M2176" s="23"/>
      <c r="N2176" s="23"/>
      <c r="O2176" s="26" t="s">
        <v>4323</v>
      </c>
      <c r="P2176" s="26"/>
      <c r="Q2176" s="22"/>
      <c r="R2176" s="24"/>
      <c r="S2176" s="24"/>
      <c r="T2176" s="24"/>
      <c r="U2176" s="24"/>
      <c r="V2176" s="24"/>
      <c r="W2176" s="22" t="s">
        <v>468</v>
      </c>
      <c r="X2176" s="4" t="str">
        <f>IF(Tabela2[[#This Row],[sigla]]="","",VLOOKUP(Tabela2[[#This Row],[sigla]],créditos_base!B:C,2,0))</f>
        <v>VER DOCUMENTO DE ILS. TÉCNICAS</v>
      </c>
      <c r="Y2176" s="23"/>
      <c r="Z2176" s="23" t="s">
        <v>1327</v>
      </c>
      <c r="AA2176" s="22"/>
      <c r="AB2176" s="20"/>
      <c r="AD2176" s="4" t="str">
        <f>"Pitanguá"</f>
        <v>Pitanguá</v>
      </c>
      <c r="AE2176" s="14" t="str">
        <f>"Matemática"</f>
        <v>Matemática</v>
      </c>
      <c r="AF2176" s="14"/>
    </row>
    <row r="2177" spans="1:32" ht="28.8" x14ac:dyDescent="0.3">
      <c r="A2177" s="23" t="s">
        <v>2411</v>
      </c>
      <c r="B2177" s="20" t="s">
        <v>16</v>
      </c>
      <c r="C2177" s="20" t="s">
        <v>7</v>
      </c>
      <c r="D2177" s="20" t="s">
        <v>8</v>
      </c>
      <c r="E2177" s="22">
        <v>201</v>
      </c>
      <c r="F2177" s="22">
        <v>1</v>
      </c>
      <c r="G2177" s="22">
        <v>9</v>
      </c>
      <c r="H2177" s="22"/>
      <c r="I2177" s="23" t="s">
        <v>33</v>
      </c>
      <c r="J2177" s="23"/>
      <c r="K2177" s="22"/>
      <c r="L2177" s="22"/>
      <c r="M2177" s="23"/>
      <c r="N2177" s="23"/>
      <c r="O2177" s="26" t="s">
        <v>2412</v>
      </c>
      <c r="P2177" s="26"/>
      <c r="Q2177" s="22">
        <v>33</v>
      </c>
      <c r="R2177" s="24">
        <v>45761</v>
      </c>
      <c r="S2177" s="24">
        <v>45762</v>
      </c>
      <c r="T2177" s="24"/>
      <c r="U2177" s="24"/>
      <c r="V2177" s="24">
        <v>45762</v>
      </c>
      <c r="W2177" s="22" t="s">
        <v>468</v>
      </c>
      <c r="X2177" s="4" t="str">
        <f>IF(Tabela2[[#This Row],[sigla]]="","",VLOOKUP(Tabela2[[#This Row],[sigla]],créditos_base!B:C,2,0))</f>
        <v>VER DOCUMENTO DE ILS. TÉCNICAS</v>
      </c>
      <c r="Y2177" s="23" t="s">
        <v>152</v>
      </c>
      <c r="Z2177" s="23" t="s">
        <v>1327</v>
      </c>
      <c r="AA2177" s="22">
        <v>13</v>
      </c>
      <c r="AB2177" s="20" t="s">
        <v>244</v>
      </c>
      <c r="AC2177" s="20" t="s">
        <v>36</v>
      </c>
      <c r="AD2177" s="4" t="str">
        <f>"Pitanguá"</f>
        <v>Pitanguá</v>
      </c>
      <c r="AE2177" s="14" t="str">
        <f>"Matemática"</f>
        <v>Matemática</v>
      </c>
      <c r="AF2177" s="14"/>
    </row>
    <row r="2178" spans="1:32" ht="43.2" x14ac:dyDescent="0.3">
      <c r="A2178" s="30" t="s">
        <v>1650</v>
      </c>
      <c r="B2178" s="20" t="s">
        <v>16</v>
      </c>
      <c r="C2178" s="20" t="s">
        <v>7</v>
      </c>
      <c r="D2178" s="20" t="s">
        <v>8</v>
      </c>
      <c r="E2178" s="22" t="s">
        <v>1300</v>
      </c>
      <c r="F2178" s="22">
        <v>2</v>
      </c>
      <c r="G2178" s="22">
        <v>9</v>
      </c>
      <c r="H2178" s="22"/>
      <c r="I2178" s="23" t="s">
        <v>9</v>
      </c>
      <c r="J2178" s="23"/>
      <c r="K2178" s="22"/>
      <c r="L2178" s="22"/>
      <c r="M2178" s="23"/>
      <c r="N2178" s="23"/>
      <c r="O2178" s="26" t="s">
        <v>1651</v>
      </c>
      <c r="P2178" s="26"/>
      <c r="Q2178" s="22"/>
      <c r="R2178" s="24"/>
      <c r="S2178" s="24"/>
      <c r="T2178" s="24"/>
      <c r="U2178" s="24"/>
      <c r="V2178" s="24"/>
      <c r="W2178" s="22" t="s">
        <v>160</v>
      </c>
      <c r="X2178" s="4" t="str">
        <f>IF(Tabela2[[#This Row],[sigla]]="","",VLOOKUP(Tabela2[[#This Row],[sigla]],créditos_base!B:C,2,0))</f>
        <v>SERGIO LIMA/ARQUIVO DA EDITORA</v>
      </c>
      <c r="Y2178" s="23"/>
      <c r="Z2178" s="23" t="str">
        <f>Tabela2[[#This Row],[ilustrador]]</f>
        <v>SERGIO LIMA/ARQUIVO DA EDITORA</v>
      </c>
      <c r="AA2178" s="22"/>
      <c r="AB2178" s="20"/>
      <c r="AD2178" s="4" t="str">
        <f>"Pitanguá"</f>
        <v>Pitanguá</v>
      </c>
      <c r="AE2178" s="14" t="str">
        <f>"Matemática"</f>
        <v>Matemática</v>
      </c>
      <c r="AF2178" s="14"/>
    </row>
    <row r="2179" spans="1:32" ht="43.2" x14ac:dyDescent="0.3">
      <c r="A2179" s="23" t="s">
        <v>2505</v>
      </c>
      <c r="B2179" s="20" t="s">
        <v>16</v>
      </c>
      <c r="C2179" s="20" t="s">
        <v>89</v>
      </c>
      <c r="D2179" s="20" t="s">
        <v>8</v>
      </c>
      <c r="E2179" s="22">
        <v>128</v>
      </c>
      <c r="F2179" s="22">
        <v>3</v>
      </c>
      <c r="G2179" s="22">
        <v>9</v>
      </c>
      <c r="H2179" s="22"/>
      <c r="I2179" s="23" t="s">
        <v>9</v>
      </c>
      <c r="J2179" s="23"/>
      <c r="K2179" s="22"/>
      <c r="L2179" s="22"/>
      <c r="M2179" s="23"/>
      <c r="N2179" s="23"/>
      <c r="O2179" s="26" t="s">
        <v>2506</v>
      </c>
      <c r="P2179" s="26"/>
      <c r="Q2179" s="22"/>
      <c r="R2179" s="24"/>
      <c r="S2179" s="24"/>
      <c r="T2179" s="24"/>
      <c r="U2179" s="24"/>
      <c r="V2179" s="24"/>
      <c r="W2179" s="22" t="s">
        <v>160</v>
      </c>
      <c r="X2179" s="4" t="str">
        <f>IF(Tabela2[[#This Row],[sigla]]="","",VLOOKUP(Tabela2[[#This Row],[sigla]],créditos_base!B:C,2,0))</f>
        <v>SERGIO LIMA/ARQUIVO DA EDITORA</v>
      </c>
      <c r="Y2179" s="23"/>
      <c r="Z2179" s="23" t="str">
        <f>Tabela2[[#This Row],[ilustrador]]</f>
        <v>SERGIO LIMA/ARQUIVO DA EDITORA</v>
      </c>
      <c r="AA2179" s="22"/>
      <c r="AB2179" s="20"/>
      <c r="AD2179" s="4" t="str">
        <f>"Pitanguá"</f>
        <v>Pitanguá</v>
      </c>
      <c r="AE2179" s="14" t="str">
        <f>"Matemática"</f>
        <v>Matemática</v>
      </c>
      <c r="AF2179" s="14"/>
    </row>
    <row r="2180" spans="1:32" ht="43.2" x14ac:dyDescent="0.3">
      <c r="A2180" s="23" t="s">
        <v>3362</v>
      </c>
      <c r="B2180" s="20" t="s">
        <v>16</v>
      </c>
      <c r="C2180" s="20" t="s">
        <v>89</v>
      </c>
      <c r="D2180" s="20" t="s">
        <v>8</v>
      </c>
      <c r="E2180" s="22">
        <v>193</v>
      </c>
      <c r="F2180" s="22">
        <v>4</v>
      </c>
      <c r="G2180" s="22">
        <v>9</v>
      </c>
      <c r="H2180" s="22"/>
      <c r="I2180" s="23" t="s">
        <v>9</v>
      </c>
      <c r="J2180" s="23"/>
      <c r="K2180" s="22"/>
      <c r="L2180" s="22"/>
      <c r="M2180" s="23"/>
      <c r="N2180" s="23"/>
      <c r="O2180" s="26" t="s">
        <v>3363</v>
      </c>
      <c r="P2180" s="26"/>
      <c r="Q2180" s="22"/>
      <c r="R2180" s="24"/>
      <c r="S2180" s="24"/>
      <c r="T2180" s="24"/>
      <c r="U2180" s="24"/>
      <c r="V2180" s="24"/>
      <c r="W2180" s="22" t="s">
        <v>940</v>
      </c>
      <c r="X2180" s="4" t="str">
        <f>IF(Tabela2[[#This Row],[sigla]]="","",VLOOKUP(Tabela2[[#This Row],[sigla]],créditos_base!B:C,2,0))</f>
        <v>RONALDO LUCENA/ARQUIVO DA EDITORA</v>
      </c>
      <c r="Y2180" s="23"/>
      <c r="Z2180" s="23" t="str">
        <f>Tabela2[[#This Row],[ilustrador]]</f>
        <v>RONALDO LUCENA/ARQUIVO DA EDITORA</v>
      </c>
      <c r="AA2180" s="22"/>
      <c r="AB2180" s="20"/>
      <c r="AD2180" s="4" t="str">
        <f>"Pitanguá"</f>
        <v>Pitanguá</v>
      </c>
      <c r="AE2180" s="14" t="str">
        <f>"Matemática"</f>
        <v>Matemática</v>
      </c>
      <c r="AF2180" s="14"/>
    </row>
    <row r="2181" spans="1:32" ht="43.2" x14ac:dyDescent="0.3">
      <c r="A2181" s="23" t="s">
        <v>4324</v>
      </c>
      <c r="B2181" s="20" t="s">
        <v>16</v>
      </c>
      <c r="C2181" s="20" t="s">
        <v>7</v>
      </c>
      <c r="D2181" s="20" t="s">
        <v>8</v>
      </c>
      <c r="E2181" s="22">
        <v>200</v>
      </c>
      <c r="F2181" s="22">
        <v>5</v>
      </c>
      <c r="G2181" s="22">
        <v>9</v>
      </c>
      <c r="H2181" s="22"/>
      <c r="I2181" s="23" t="s">
        <v>9</v>
      </c>
      <c r="J2181" s="23"/>
      <c r="K2181" s="22"/>
      <c r="L2181" s="22"/>
      <c r="M2181" s="23"/>
      <c r="N2181" s="23"/>
      <c r="O2181" s="26" t="s">
        <v>4325</v>
      </c>
      <c r="P2181" s="26"/>
      <c r="Q2181" s="22"/>
      <c r="R2181" s="24"/>
      <c r="S2181" s="24"/>
      <c r="T2181" s="24"/>
      <c r="U2181" s="24"/>
      <c r="V2181" s="24"/>
      <c r="W2181" s="22" t="s">
        <v>230</v>
      </c>
      <c r="X2181" s="4" t="str">
        <f>IF(Tabela2[[#This Row],[sigla]]="","",VLOOKUP(Tabela2[[#This Row],[sigla]],créditos_base!B:C,2,0))</f>
        <v>RAFAEL L. GAION/ARQUIVO DA EDITORA</v>
      </c>
      <c r="Y2181" s="23"/>
      <c r="Z2181" s="23" t="str">
        <f>Tabela2[[#This Row],[ilustrador]]</f>
        <v>RAFAEL L. GAION/ARQUIVO DA EDITORA</v>
      </c>
      <c r="AA2181" s="22"/>
      <c r="AB2181" s="20"/>
      <c r="AD2181" s="4" t="str">
        <f>"Pitanguá"</f>
        <v>Pitanguá</v>
      </c>
      <c r="AE2181" s="14" t="str">
        <f>"Matemática"</f>
        <v>Matemática</v>
      </c>
      <c r="AF2181" s="14"/>
    </row>
    <row r="2182" spans="1:32" ht="43.2" x14ac:dyDescent="0.3">
      <c r="A2182" s="30" t="s">
        <v>1652</v>
      </c>
      <c r="B2182" s="20" t="s">
        <v>16</v>
      </c>
      <c r="C2182" s="20" t="s">
        <v>7</v>
      </c>
      <c r="D2182" s="20" t="s">
        <v>8</v>
      </c>
      <c r="E2182" s="22" t="s">
        <v>1300</v>
      </c>
      <c r="F2182" s="22">
        <v>2</v>
      </c>
      <c r="G2182" s="22">
        <v>9</v>
      </c>
      <c r="H2182" s="22"/>
      <c r="I2182" s="23" t="s">
        <v>9</v>
      </c>
      <c r="J2182" s="23"/>
      <c r="K2182" s="22"/>
      <c r="L2182" s="22"/>
      <c r="M2182" s="23"/>
      <c r="N2182" s="23"/>
      <c r="O2182" s="26" t="s">
        <v>1653</v>
      </c>
      <c r="P2182" s="26"/>
      <c r="Q2182" s="22"/>
      <c r="R2182" s="24"/>
      <c r="S2182" s="24"/>
      <c r="T2182" s="24"/>
      <c r="U2182" s="24"/>
      <c r="V2182" s="24"/>
      <c r="W2182" s="22" t="s">
        <v>160</v>
      </c>
      <c r="X2182" s="4" t="str">
        <f>IF(Tabela2[[#This Row],[sigla]]="","",VLOOKUP(Tabela2[[#This Row],[sigla]],créditos_base!B:C,2,0))</f>
        <v>SERGIO LIMA/ARQUIVO DA EDITORA</v>
      </c>
      <c r="Y2182" s="23"/>
      <c r="Z2182" s="23" t="str">
        <f>Tabela2[[#This Row],[ilustrador]]</f>
        <v>SERGIO LIMA/ARQUIVO DA EDITORA</v>
      </c>
      <c r="AA2182" s="22"/>
      <c r="AB2182" s="20"/>
      <c r="AD2182" s="4" t="str">
        <f>"Pitanguá"</f>
        <v>Pitanguá</v>
      </c>
      <c r="AE2182" s="14" t="str">
        <f>"Matemática"</f>
        <v>Matemática</v>
      </c>
      <c r="AF2182" s="14"/>
    </row>
    <row r="2183" spans="1:32" ht="43.2" x14ac:dyDescent="0.3">
      <c r="A2183" s="23" t="s">
        <v>2507</v>
      </c>
      <c r="B2183" s="20" t="s">
        <v>16</v>
      </c>
      <c r="C2183" s="20" t="s">
        <v>89</v>
      </c>
      <c r="D2183" s="20" t="s">
        <v>8</v>
      </c>
      <c r="E2183" s="22">
        <v>128</v>
      </c>
      <c r="F2183" s="22">
        <v>3</v>
      </c>
      <c r="G2183" s="22">
        <v>9</v>
      </c>
      <c r="H2183" s="22"/>
      <c r="I2183" s="23" t="s">
        <v>9</v>
      </c>
      <c r="J2183" s="23"/>
      <c r="K2183" s="22"/>
      <c r="L2183" s="22"/>
      <c r="M2183" s="23"/>
      <c r="N2183" s="23"/>
      <c r="O2183" s="26" t="s">
        <v>2508</v>
      </c>
      <c r="P2183" s="26"/>
      <c r="Q2183" s="22"/>
      <c r="R2183" s="24"/>
      <c r="S2183" s="24"/>
      <c r="T2183" s="24"/>
      <c r="U2183" s="24"/>
      <c r="V2183" s="24"/>
      <c r="W2183" s="22" t="s">
        <v>160</v>
      </c>
      <c r="X2183" s="4" t="str">
        <f>IF(Tabela2[[#This Row],[sigla]]="","",VLOOKUP(Tabela2[[#This Row],[sigla]],créditos_base!B:C,2,0))</f>
        <v>SERGIO LIMA/ARQUIVO DA EDITORA</v>
      </c>
      <c r="Y2183" s="23"/>
      <c r="Z2183" s="23" t="str">
        <f>Tabela2[[#This Row],[ilustrador]]</f>
        <v>SERGIO LIMA/ARQUIVO DA EDITORA</v>
      </c>
      <c r="AA2183" s="22"/>
      <c r="AB2183" s="20"/>
      <c r="AD2183" s="4" t="str">
        <f>"Pitanguá"</f>
        <v>Pitanguá</v>
      </c>
      <c r="AE2183" s="14" t="str">
        <f>"Matemática"</f>
        <v>Matemática</v>
      </c>
      <c r="AF2183" s="14"/>
    </row>
    <row r="2184" spans="1:32" ht="43.2" x14ac:dyDescent="0.3">
      <c r="A2184" s="23" t="s">
        <v>3364</v>
      </c>
      <c r="B2184" s="20" t="s">
        <v>16</v>
      </c>
      <c r="C2184" s="20" t="s">
        <v>7</v>
      </c>
      <c r="D2184" s="20" t="s">
        <v>8</v>
      </c>
      <c r="E2184" s="22">
        <v>193</v>
      </c>
      <c r="F2184" s="22">
        <v>4</v>
      </c>
      <c r="G2184" s="22">
        <v>9</v>
      </c>
      <c r="H2184" s="22"/>
      <c r="I2184" s="23" t="s">
        <v>33</v>
      </c>
      <c r="J2184" s="23"/>
      <c r="K2184" s="22"/>
      <c r="L2184" s="22"/>
      <c r="M2184" s="23"/>
      <c r="N2184" s="23"/>
      <c r="O2184" s="26" t="s">
        <v>3365</v>
      </c>
      <c r="P2184" s="26"/>
      <c r="Q2184" s="22">
        <v>190</v>
      </c>
      <c r="R2184" s="24">
        <v>45912</v>
      </c>
      <c r="S2184" s="24">
        <v>45912</v>
      </c>
      <c r="T2184" s="24"/>
      <c r="U2184" s="24"/>
      <c r="V2184" s="24">
        <v>45912</v>
      </c>
      <c r="W2184" s="22" t="s">
        <v>327</v>
      </c>
      <c r="X2184" s="4" t="str">
        <f>IF(Tabela2[[#This Row],[sigla]]="","",VLOOKUP(Tabela2[[#This Row],[sigla]],créditos_base!B:C,2,0))</f>
        <v>RAFAEL LAM/ARQUIVO DA EDITORA</v>
      </c>
      <c r="Y2184" s="23" t="s">
        <v>813</v>
      </c>
      <c r="Z2184" s="23" t="str">
        <f>Tabela2[[#This Row],[ilustrador]]</f>
        <v>RAFAEL LAM/ARQUIVO DA EDITORA</v>
      </c>
      <c r="AA2184" s="22">
        <v>13</v>
      </c>
      <c r="AB2184" s="20" t="s">
        <v>525</v>
      </c>
      <c r="AC2184" s="20" t="s">
        <v>36</v>
      </c>
      <c r="AD2184" s="4" t="str">
        <f>"Pitanguá"</f>
        <v>Pitanguá</v>
      </c>
      <c r="AE2184" s="14" t="str">
        <f>"Matemática"</f>
        <v>Matemática</v>
      </c>
      <c r="AF2184" s="14"/>
    </row>
    <row r="2185" spans="1:32" ht="43.2" x14ac:dyDescent="0.3">
      <c r="A2185" s="23" t="s">
        <v>4326</v>
      </c>
      <c r="B2185" s="20" t="s">
        <v>16</v>
      </c>
      <c r="C2185" s="20" t="s">
        <v>7</v>
      </c>
      <c r="D2185" s="20" t="s">
        <v>8</v>
      </c>
      <c r="E2185" s="22">
        <v>200</v>
      </c>
      <c r="F2185" s="22">
        <v>5</v>
      </c>
      <c r="G2185" s="22">
        <v>9</v>
      </c>
      <c r="H2185" s="22"/>
      <c r="I2185" s="23" t="s">
        <v>9</v>
      </c>
      <c r="J2185" s="23"/>
      <c r="K2185" s="22"/>
      <c r="L2185" s="22"/>
      <c r="M2185" s="23"/>
      <c r="N2185" s="23"/>
      <c r="O2185" s="26" t="s">
        <v>4327</v>
      </c>
      <c r="P2185" s="26"/>
      <c r="Q2185" s="22"/>
      <c r="R2185" s="24"/>
      <c r="S2185" s="24"/>
      <c r="T2185" s="24"/>
      <c r="U2185" s="24"/>
      <c r="V2185" s="24"/>
      <c r="W2185" s="22" t="s">
        <v>230</v>
      </c>
      <c r="X2185" s="4" t="str">
        <f>IF(Tabela2[[#This Row],[sigla]]="","",VLOOKUP(Tabela2[[#This Row],[sigla]],créditos_base!B:C,2,0))</f>
        <v>RAFAEL L. GAION/ARQUIVO DA EDITORA</v>
      </c>
      <c r="Y2185" s="23"/>
      <c r="Z2185" s="23" t="str">
        <f>Tabela2[[#This Row],[ilustrador]]</f>
        <v>RAFAEL L. GAION/ARQUIVO DA EDITORA</v>
      </c>
      <c r="AA2185" s="22"/>
      <c r="AB2185" s="20"/>
      <c r="AD2185" s="4" t="str">
        <f>"Pitanguá"</f>
        <v>Pitanguá</v>
      </c>
      <c r="AE2185" s="14" t="str">
        <f>"Matemática"</f>
        <v>Matemática</v>
      </c>
      <c r="AF2185" s="14"/>
    </row>
    <row r="2186" spans="1:32" ht="62.4" x14ac:dyDescent="0.3">
      <c r="A2186" s="30" t="s">
        <v>1654</v>
      </c>
      <c r="B2186" s="20" t="s">
        <v>16</v>
      </c>
      <c r="C2186" s="20" t="s">
        <v>89</v>
      </c>
      <c r="D2186" s="20" t="s">
        <v>8</v>
      </c>
      <c r="E2186" s="22">
        <v>80</v>
      </c>
      <c r="F2186" s="22">
        <v>2</v>
      </c>
      <c r="G2186" s="22">
        <v>9</v>
      </c>
      <c r="H2186" s="22"/>
      <c r="I2186" s="23" t="s">
        <v>9</v>
      </c>
      <c r="J2186" s="23"/>
      <c r="K2186" s="22"/>
      <c r="L2186" s="22"/>
      <c r="M2186" s="23"/>
      <c r="N2186" s="23"/>
      <c r="O2186" s="26" t="s">
        <v>1655</v>
      </c>
      <c r="P2186" s="26"/>
      <c r="Q2186" s="22"/>
      <c r="R2186" s="24"/>
      <c r="S2186" s="24"/>
      <c r="T2186" s="24"/>
      <c r="U2186" s="24"/>
      <c r="V2186" s="24"/>
      <c r="W2186" s="22" t="s">
        <v>940</v>
      </c>
      <c r="X2186" s="4" t="str">
        <f>IF(Tabela2[[#This Row],[sigla]]="","",VLOOKUP(Tabela2[[#This Row],[sigla]],créditos_base!B:C,2,0))</f>
        <v>RONALDO LUCENA/ARQUIVO DA EDITORA</v>
      </c>
      <c r="Y2186" s="23"/>
      <c r="Z2186" s="23" t="str">
        <f>Tabela2[[#This Row],[ilustrador]]</f>
        <v>RONALDO LUCENA/ARQUIVO DA EDITORA</v>
      </c>
      <c r="AA2186" s="22"/>
      <c r="AB2186" s="20"/>
      <c r="AD2186" s="4" t="str">
        <f>"Pitanguá"</f>
        <v>Pitanguá</v>
      </c>
      <c r="AE2186" s="14" t="str">
        <f>"Matemática"</f>
        <v>Matemática</v>
      </c>
      <c r="AF2186" s="14"/>
    </row>
    <row r="2187" spans="1:32" ht="57.6" x14ac:dyDescent="0.3">
      <c r="A2187" s="23" t="s">
        <v>2509</v>
      </c>
      <c r="B2187" s="20" t="s">
        <v>16</v>
      </c>
      <c r="C2187" s="20" t="s">
        <v>89</v>
      </c>
      <c r="D2187" s="20" t="s">
        <v>8</v>
      </c>
      <c r="E2187" s="22">
        <v>128</v>
      </c>
      <c r="F2187" s="22">
        <v>3</v>
      </c>
      <c r="G2187" s="22">
        <v>9</v>
      </c>
      <c r="H2187" s="22"/>
      <c r="I2187" s="23" t="s">
        <v>9</v>
      </c>
      <c r="J2187" s="23"/>
      <c r="K2187" s="22"/>
      <c r="L2187" s="22"/>
      <c r="M2187" s="23"/>
      <c r="N2187" s="23"/>
      <c r="O2187" s="26" t="s">
        <v>2510</v>
      </c>
      <c r="P2187" s="26"/>
      <c r="Q2187" s="22"/>
      <c r="R2187" s="24"/>
      <c r="S2187" s="24"/>
      <c r="T2187" s="24"/>
      <c r="U2187" s="24"/>
      <c r="V2187" s="24"/>
      <c r="W2187" s="22" t="s">
        <v>160</v>
      </c>
      <c r="X2187" s="4" t="str">
        <f>IF(Tabela2[[#This Row],[sigla]]="","",VLOOKUP(Tabela2[[#This Row],[sigla]],créditos_base!B:C,2,0))</f>
        <v>SERGIO LIMA/ARQUIVO DA EDITORA</v>
      </c>
      <c r="Y2187" s="23"/>
      <c r="Z2187" s="23" t="str">
        <f>Tabela2[[#This Row],[ilustrador]]</f>
        <v>SERGIO LIMA/ARQUIVO DA EDITORA</v>
      </c>
      <c r="AA2187" s="22"/>
      <c r="AB2187" s="20"/>
      <c r="AD2187" s="4" t="str">
        <f>"Pitanguá"</f>
        <v>Pitanguá</v>
      </c>
      <c r="AE2187" s="14" t="str">
        <f>"Matemática"</f>
        <v>Matemática</v>
      </c>
      <c r="AF2187" s="14"/>
    </row>
    <row r="2188" spans="1:32" ht="28.8" x14ac:dyDescent="0.3">
      <c r="A2188" s="23" t="s">
        <v>3366</v>
      </c>
      <c r="B2188" s="20" t="s">
        <v>16</v>
      </c>
      <c r="C2188" s="20" t="s">
        <v>89</v>
      </c>
      <c r="D2188" s="20" t="s">
        <v>8</v>
      </c>
      <c r="E2188" s="22">
        <v>193</v>
      </c>
      <c r="F2188" s="22">
        <v>4</v>
      </c>
      <c r="G2188" s="22">
        <v>9</v>
      </c>
      <c r="H2188" s="22"/>
      <c r="I2188" s="23" t="s">
        <v>9</v>
      </c>
      <c r="J2188" s="23"/>
      <c r="K2188" s="22"/>
      <c r="L2188" s="22"/>
      <c r="M2188" s="23"/>
      <c r="N2188" s="23"/>
      <c r="O2188" s="26" t="s">
        <v>3367</v>
      </c>
      <c r="P2188" s="26"/>
      <c r="Q2188" s="22"/>
      <c r="R2188" s="24"/>
      <c r="S2188" s="24"/>
      <c r="T2188" s="24"/>
      <c r="U2188" s="24"/>
      <c r="V2188" s="24"/>
      <c r="W2188" s="22" t="s">
        <v>940</v>
      </c>
      <c r="X2188" s="4" t="str">
        <f>IF(Tabela2[[#This Row],[sigla]]="","",VLOOKUP(Tabela2[[#This Row],[sigla]],créditos_base!B:C,2,0))</f>
        <v>RONALDO LUCENA/ARQUIVO DA EDITORA</v>
      </c>
      <c r="Y2188" s="23"/>
      <c r="Z2188" s="23" t="str">
        <f>Tabela2[[#This Row],[ilustrador]]</f>
        <v>RONALDO LUCENA/ARQUIVO DA EDITORA</v>
      </c>
      <c r="AA2188" s="22"/>
      <c r="AB2188" s="20"/>
      <c r="AD2188" s="4" t="str">
        <f>"Pitanguá"</f>
        <v>Pitanguá</v>
      </c>
      <c r="AE2188" s="14" t="str">
        <f>"Matemática"</f>
        <v>Matemática</v>
      </c>
      <c r="AF2188" s="14"/>
    </row>
    <row r="2189" spans="1:32" ht="28.8" x14ac:dyDescent="0.3">
      <c r="A2189" s="23" t="s">
        <v>4328</v>
      </c>
      <c r="B2189" s="20" t="s">
        <v>16</v>
      </c>
      <c r="C2189" s="20" t="s">
        <v>7</v>
      </c>
      <c r="D2189" s="20" t="s">
        <v>8</v>
      </c>
      <c r="E2189" s="22">
        <v>200</v>
      </c>
      <c r="F2189" s="22">
        <v>5</v>
      </c>
      <c r="G2189" s="22">
        <v>9</v>
      </c>
      <c r="H2189" s="22"/>
      <c r="I2189" s="23" t="s">
        <v>9</v>
      </c>
      <c r="J2189" s="23"/>
      <c r="K2189" s="22"/>
      <c r="L2189" s="22"/>
      <c r="M2189" s="23"/>
      <c r="N2189" s="23"/>
      <c r="O2189" s="26" t="s">
        <v>4329</v>
      </c>
      <c r="P2189" s="26"/>
      <c r="Q2189" s="22"/>
      <c r="R2189" s="24"/>
      <c r="S2189" s="24"/>
      <c r="T2189" s="24"/>
      <c r="U2189" s="24"/>
      <c r="V2189" s="24"/>
      <c r="W2189" s="22" t="s">
        <v>230</v>
      </c>
      <c r="X2189" s="4" t="str">
        <f>IF(Tabela2[[#This Row],[sigla]]="","",VLOOKUP(Tabela2[[#This Row],[sigla]],créditos_base!B:C,2,0))</f>
        <v>RAFAEL L. GAION/ARQUIVO DA EDITORA</v>
      </c>
      <c r="Y2189" s="23"/>
      <c r="Z2189" s="23" t="str">
        <f>Tabela2[[#This Row],[ilustrador]]</f>
        <v>RAFAEL L. GAION/ARQUIVO DA EDITORA</v>
      </c>
      <c r="AA2189" s="22"/>
      <c r="AB2189" s="20"/>
      <c r="AD2189" s="4" t="str">
        <f>"Pitanguá"</f>
        <v>Pitanguá</v>
      </c>
      <c r="AE2189" s="14" t="str">
        <f>"Matemática"</f>
        <v>Matemática</v>
      </c>
      <c r="AF2189" s="14"/>
    </row>
    <row r="2190" spans="1:32" x14ac:dyDescent="0.3">
      <c r="A2190" s="30" t="s">
        <v>1656</v>
      </c>
      <c r="B2190" s="20" t="s">
        <v>16</v>
      </c>
      <c r="C2190" s="20" t="s">
        <v>89</v>
      </c>
      <c r="D2190" s="20" t="s">
        <v>8</v>
      </c>
      <c r="E2190" s="22">
        <v>80</v>
      </c>
      <c r="F2190" s="22">
        <v>2</v>
      </c>
      <c r="G2190" s="22">
        <v>9</v>
      </c>
      <c r="H2190" s="22"/>
      <c r="I2190" s="23" t="s">
        <v>9</v>
      </c>
      <c r="J2190" s="23"/>
      <c r="K2190" s="22"/>
      <c r="L2190" s="22"/>
      <c r="M2190" s="23"/>
      <c r="N2190" s="23"/>
      <c r="O2190" s="26" t="s">
        <v>1657</v>
      </c>
      <c r="P2190" s="26"/>
      <c r="Q2190" s="22"/>
      <c r="R2190" s="24"/>
      <c r="S2190" s="24"/>
      <c r="T2190" s="24"/>
      <c r="U2190" s="24"/>
      <c r="V2190" s="24"/>
      <c r="W2190" s="22" t="s">
        <v>940</v>
      </c>
      <c r="X2190" s="4" t="str">
        <f>IF(Tabela2[[#This Row],[sigla]]="","",VLOOKUP(Tabela2[[#This Row],[sigla]],créditos_base!B:C,2,0))</f>
        <v>RONALDO LUCENA/ARQUIVO DA EDITORA</v>
      </c>
      <c r="Y2190" s="23"/>
      <c r="Z2190" s="23" t="str">
        <f>Tabela2[[#This Row],[ilustrador]]</f>
        <v>RONALDO LUCENA/ARQUIVO DA EDITORA</v>
      </c>
      <c r="AA2190" s="22"/>
      <c r="AB2190" s="20"/>
      <c r="AD2190" s="4" t="str">
        <f>"Pitanguá"</f>
        <v>Pitanguá</v>
      </c>
      <c r="AE2190" s="14" t="str">
        <f>"Matemática"</f>
        <v>Matemática</v>
      </c>
      <c r="AF2190" s="14"/>
    </row>
    <row r="2191" spans="1:32" x14ac:dyDescent="0.3">
      <c r="A2191" s="23" t="s">
        <v>2511</v>
      </c>
      <c r="B2191" s="20" t="s">
        <v>16</v>
      </c>
      <c r="C2191" s="20" t="s">
        <v>89</v>
      </c>
      <c r="D2191" s="20" t="s">
        <v>8</v>
      </c>
      <c r="E2191" s="22">
        <v>128</v>
      </c>
      <c r="F2191" s="22">
        <v>3</v>
      </c>
      <c r="G2191" s="22">
        <v>9</v>
      </c>
      <c r="H2191" s="22"/>
      <c r="I2191" s="23" t="s">
        <v>9</v>
      </c>
      <c r="J2191" s="23"/>
      <c r="K2191" s="22"/>
      <c r="L2191" s="22"/>
      <c r="M2191" s="23"/>
      <c r="N2191" s="23"/>
      <c r="O2191" s="26" t="s">
        <v>2512</v>
      </c>
      <c r="P2191" s="26"/>
      <c r="Q2191" s="22"/>
      <c r="R2191" s="24"/>
      <c r="S2191" s="24"/>
      <c r="T2191" s="24"/>
      <c r="U2191" s="24"/>
      <c r="V2191" s="24"/>
      <c r="W2191" s="22" t="s">
        <v>160</v>
      </c>
      <c r="X2191" s="4" t="str">
        <f>IF(Tabela2[[#This Row],[sigla]]="","",VLOOKUP(Tabela2[[#This Row],[sigla]],créditos_base!B:C,2,0))</f>
        <v>SERGIO LIMA/ARQUIVO DA EDITORA</v>
      </c>
      <c r="Y2191" s="23"/>
      <c r="Z2191" s="23" t="str">
        <f>Tabela2[[#This Row],[ilustrador]]</f>
        <v>SERGIO LIMA/ARQUIVO DA EDITORA</v>
      </c>
      <c r="AA2191" s="22"/>
      <c r="AB2191" s="20"/>
      <c r="AD2191" s="4" t="str">
        <f>"Pitanguá"</f>
        <v>Pitanguá</v>
      </c>
      <c r="AE2191" s="14" t="str">
        <f>"Matemática"</f>
        <v>Matemática</v>
      </c>
      <c r="AF2191" s="14"/>
    </row>
    <row r="2192" spans="1:32" x14ac:dyDescent="0.3">
      <c r="A2192" s="23" t="s">
        <v>3368</v>
      </c>
      <c r="B2192" s="20" t="s">
        <v>16</v>
      </c>
      <c r="C2192" s="20" t="s">
        <v>89</v>
      </c>
      <c r="D2192" s="20" t="s">
        <v>8</v>
      </c>
      <c r="E2192" s="22">
        <v>193</v>
      </c>
      <c r="F2192" s="22">
        <v>4</v>
      </c>
      <c r="G2192" s="22">
        <v>9</v>
      </c>
      <c r="H2192" s="22"/>
      <c r="I2192" s="23" t="s">
        <v>9</v>
      </c>
      <c r="J2192" s="23"/>
      <c r="K2192" s="22"/>
      <c r="L2192" s="22"/>
      <c r="M2192" s="23"/>
      <c r="N2192" s="23"/>
      <c r="O2192" s="26" t="s">
        <v>3369</v>
      </c>
      <c r="P2192" s="26"/>
      <c r="Q2192" s="22"/>
      <c r="R2192" s="24"/>
      <c r="S2192" s="24"/>
      <c r="T2192" s="24"/>
      <c r="U2192" s="24"/>
      <c r="V2192" s="24"/>
      <c r="W2192" s="22" t="s">
        <v>940</v>
      </c>
      <c r="X2192" s="4" t="str">
        <f>IF(Tabela2[[#This Row],[sigla]]="","",VLOOKUP(Tabela2[[#This Row],[sigla]],créditos_base!B:C,2,0))</f>
        <v>RONALDO LUCENA/ARQUIVO DA EDITORA</v>
      </c>
      <c r="Y2192" s="23"/>
      <c r="Z2192" s="23" t="str">
        <f>Tabela2[[#This Row],[ilustrador]]</f>
        <v>RONALDO LUCENA/ARQUIVO DA EDITORA</v>
      </c>
      <c r="AA2192" s="22"/>
      <c r="AB2192" s="20"/>
      <c r="AD2192" s="4" t="str">
        <f>"Pitanguá"</f>
        <v>Pitanguá</v>
      </c>
      <c r="AE2192" s="14" t="str">
        <f>"Matemática"</f>
        <v>Matemática</v>
      </c>
      <c r="AF2192" s="14"/>
    </row>
    <row r="2193" spans="1:32" ht="28.8" x14ac:dyDescent="0.3">
      <c r="A2193" s="30" t="s">
        <v>1658</v>
      </c>
      <c r="B2193" s="20" t="s">
        <v>16</v>
      </c>
      <c r="C2193" s="20" t="s">
        <v>89</v>
      </c>
      <c r="D2193" s="20" t="s">
        <v>8</v>
      </c>
      <c r="E2193" s="22">
        <v>80</v>
      </c>
      <c r="F2193" s="22">
        <v>2</v>
      </c>
      <c r="G2193" s="22">
        <v>9</v>
      </c>
      <c r="H2193" s="22"/>
      <c r="I2193" s="23" t="s">
        <v>9</v>
      </c>
      <c r="J2193" s="23"/>
      <c r="K2193" s="22"/>
      <c r="L2193" s="22"/>
      <c r="M2193" s="23"/>
      <c r="N2193" s="23"/>
      <c r="O2193" s="26" t="s">
        <v>1659</v>
      </c>
      <c r="P2193" s="26"/>
      <c r="Q2193" s="22"/>
      <c r="R2193" s="24"/>
      <c r="S2193" s="24"/>
      <c r="T2193" s="24"/>
      <c r="U2193" s="24"/>
      <c r="V2193" s="24"/>
      <c r="W2193" s="22" t="s">
        <v>940</v>
      </c>
      <c r="X2193" s="4" t="str">
        <f>IF(Tabela2[[#This Row],[sigla]]="","",VLOOKUP(Tabela2[[#This Row],[sigla]],créditos_base!B:C,2,0))</f>
        <v>RONALDO LUCENA/ARQUIVO DA EDITORA</v>
      </c>
      <c r="Y2193" s="23"/>
      <c r="Z2193" s="23" t="str">
        <f>Tabela2[[#This Row],[ilustrador]]</f>
        <v>RONALDO LUCENA/ARQUIVO DA EDITORA</v>
      </c>
      <c r="AA2193" s="22"/>
      <c r="AB2193" s="20"/>
      <c r="AD2193" s="4" t="str">
        <f>"Pitanguá"</f>
        <v>Pitanguá</v>
      </c>
      <c r="AE2193" s="14" t="str">
        <f>"Matemática"</f>
        <v>Matemática</v>
      </c>
      <c r="AF2193" s="14"/>
    </row>
    <row r="2194" spans="1:32" x14ac:dyDescent="0.3">
      <c r="A2194" s="23" t="s">
        <v>2513</v>
      </c>
      <c r="B2194" s="20" t="s">
        <v>16</v>
      </c>
      <c r="C2194" s="20" t="s">
        <v>89</v>
      </c>
      <c r="D2194" s="20" t="s">
        <v>8</v>
      </c>
      <c r="E2194" s="22">
        <v>128</v>
      </c>
      <c r="F2194" s="22">
        <v>3</v>
      </c>
      <c r="G2194" s="22">
        <v>9</v>
      </c>
      <c r="H2194" s="22"/>
      <c r="I2194" s="23" t="s">
        <v>9</v>
      </c>
      <c r="J2194" s="23"/>
      <c r="K2194" s="22"/>
      <c r="L2194" s="22"/>
      <c r="M2194" s="23"/>
      <c r="N2194" s="23"/>
      <c r="O2194" s="26" t="s">
        <v>2514</v>
      </c>
      <c r="P2194" s="26"/>
      <c r="Q2194" s="22"/>
      <c r="R2194" s="24"/>
      <c r="S2194" s="24"/>
      <c r="T2194" s="24"/>
      <c r="U2194" s="24"/>
      <c r="V2194" s="24"/>
      <c r="W2194" s="22" t="s">
        <v>160</v>
      </c>
      <c r="X2194" s="4" t="str">
        <f>IF(Tabela2[[#This Row],[sigla]]="","",VLOOKUP(Tabela2[[#This Row],[sigla]],créditos_base!B:C,2,0))</f>
        <v>SERGIO LIMA/ARQUIVO DA EDITORA</v>
      </c>
      <c r="Y2194" s="23"/>
      <c r="Z2194" s="23" t="str">
        <f>Tabela2[[#This Row],[ilustrador]]</f>
        <v>SERGIO LIMA/ARQUIVO DA EDITORA</v>
      </c>
      <c r="AA2194" s="22"/>
      <c r="AB2194" s="20"/>
      <c r="AD2194" s="4" t="str">
        <f>"Pitanguá"</f>
        <v>Pitanguá</v>
      </c>
      <c r="AE2194" s="14" t="str">
        <f>"Matemática"</f>
        <v>Matemática</v>
      </c>
      <c r="AF2194" s="14"/>
    </row>
    <row r="2195" spans="1:32" x14ac:dyDescent="0.3">
      <c r="A2195" s="23" t="s">
        <v>3370</v>
      </c>
      <c r="B2195" s="20" t="s">
        <v>16</v>
      </c>
      <c r="C2195" s="20" t="s">
        <v>7</v>
      </c>
      <c r="D2195" s="20" t="s">
        <v>8</v>
      </c>
      <c r="E2195" s="22">
        <v>194</v>
      </c>
      <c r="F2195" s="22">
        <v>4</v>
      </c>
      <c r="G2195" s="22">
        <v>9</v>
      </c>
      <c r="H2195" s="22"/>
      <c r="I2195" s="23" t="s">
        <v>9</v>
      </c>
      <c r="J2195" s="23"/>
      <c r="K2195" s="22"/>
      <c r="L2195" s="22"/>
      <c r="M2195" s="23"/>
      <c r="N2195" s="23"/>
      <c r="O2195" s="26" t="s">
        <v>3371</v>
      </c>
      <c r="P2195" s="26"/>
      <c r="Q2195" s="22"/>
      <c r="R2195" s="24"/>
      <c r="S2195" s="24"/>
      <c r="T2195" s="24"/>
      <c r="U2195" s="24"/>
      <c r="V2195" s="24"/>
      <c r="W2195" s="22" t="s">
        <v>327</v>
      </c>
      <c r="X2195" s="4" t="str">
        <f>IF(Tabela2[[#This Row],[sigla]]="","",VLOOKUP(Tabela2[[#This Row],[sigla]],créditos_base!B:C,2,0))</f>
        <v>RAFAEL LAM/ARQUIVO DA EDITORA</v>
      </c>
      <c r="Y2195" s="23"/>
      <c r="Z2195" s="23" t="str">
        <f>Tabela2[[#This Row],[ilustrador]]</f>
        <v>RAFAEL LAM/ARQUIVO DA EDITORA</v>
      </c>
      <c r="AA2195" s="22"/>
      <c r="AB2195" s="20"/>
      <c r="AD2195" s="4" t="str">
        <f>"Pitanguá"</f>
        <v>Pitanguá</v>
      </c>
      <c r="AE2195" s="14" t="str">
        <f>"Matemática"</f>
        <v>Matemática</v>
      </c>
      <c r="AF2195" s="14"/>
    </row>
    <row r="2196" spans="1:32" x14ac:dyDescent="0.3">
      <c r="A2196" s="30" t="s">
        <v>1660</v>
      </c>
      <c r="B2196" s="20" t="s">
        <v>16</v>
      </c>
      <c r="C2196" s="20" t="s">
        <v>89</v>
      </c>
      <c r="D2196" s="20" t="s">
        <v>8</v>
      </c>
      <c r="E2196" s="22">
        <v>80</v>
      </c>
      <c r="F2196" s="22">
        <v>2</v>
      </c>
      <c r="G2196" s="22">
        <v>9</v>
      </c>
      <c r="H2196" s="22"/>
      <c r="I2196" s="23" t="s">
        <v>9</v>
      </c>
      <c r="J2196" s="23"/>
      <c r="K2196" s="22"/>
      <c r="L2196" s="22"/>
      <c r="M2196" s="23"/>
      <c r="N2196" s="23"/>
      <c r="O2196" s="26" t="s">
        <v>1661</v>
      </c>
      <c r="P2196" s="26"/>
      <c r="Q2196" s="22"/>
      <c r="R2196" s="24"/>
      <c r="S2196" s="24"/>
      <c r="T2196" s="24"/>
      <c r="U2196" s="24"/>
      <c r="V2196" s="24"/>
      <c r="W2196" s="22" t="s">
        <v>940</v>
      </c>
      <c r="X2196" s="4" t="str">
        <f>IF(Tabela2[[#This Row],[sigla]]="","",VLOOKUP(Tabela2[[#This Row],[sigla]],créditos_base!B:C,2,0))</f>
        <v>RONALDO LUCENA/ARQUIVO DA EDITORA</v>
      </c>
      <c r="Y2196" s="23"/>
      <c r="Z2196" s="23" t="str">
        <f>Tabela2[[#This Row],[ilustrador]]</f>
        <v>RONALDO LUCENA/ARQUIVO DA EDITORA</v>
      </c>
      <c r="AA2196" s="22"/>
      <c r="AB2196" s="20"/>
      <c r="AD2196" s="4" t="str">
        <f>"Pitanguá"</f>
        <v>Pitanguá</v>
      </c>
      <c r="AE2196" s="14" t="str">
        <f>"Matemática"</f>
        <v>Matemática</v>
      </c>
      <c r="AF2196" s="14"/>
    </row>
    <row r="2197" spans="1:32" x14ac:dyDescent="0.3">
      <c r="A2197" s="23" t="s">
        <v>2515</v>
      </c>
      <c r="B2197" s="20" t="s">
        <v>16</v>
      </c>
      <c r="C2197" s="20" t="s">
        <v>89</v>
      </c>
      <c r="D2197" s="20" t="s">
        <v>8</v>
      </c>
      <c r="E2197" s="22">
        <v>128</v>
      </c>
      <c r="F2197" s="22">
        <v>3</v>
      </c>
      <c r="G2197" s="22">
        <v>9</v>
      </c>
      <c r="H2197" s="22"/>
      <c r="I2197" s="23" t="s">
        <v>33</v>
      </c>
      <c r="J2197" s="23"/>
      <c r="K2197" s="22"/>
      <c r="L2197" s="22"/>
      <c r="M2197" s="23"/>
      <c r="N2197" s="23"/>
      <c r="O2197" s="26" t="s">
        <v>2516</v>
      </c>
      <c r="P2197" s="26"/>
      <c r="Q2197" s="22">
        <v>34</v>
      </c>
      <c r="R2197" s="24">
        <v>45764</v>
      </c>
      <c r="S2197" s="24">
        <v>45769</v>
      </c>
      <c r="T2197" s="24"/>
      <c r="U2197" s="24"/>
      <c r="V2197" s="24">
        <v>45770</v>
      </c>
      <c r="W2197" s="22" t="s">
        <v>468</v>
      </c>
      <c r="X2197" s="4" t="str">
        <f>IF(Tabela2[[#This Row],[sigla]]="","",VLOOKUP(Tabela2[[#This Row],[sigla]],créditos_base!B:C,2,0))</f>
        <v>VER DOCUMENTO DE ILS. TÉCNICAS</v>
      </c>
      <c r="Y2197" s="23" t="s">
        <v>433</v>
      </c>
      <c r="Z2197" s="23" t="s">
        <v>689</v>
      </c>
      <c r="AA2197" s="22">
        <v>14</v>
      </c>
      <c r="AB2197" s="20" t="s">
        <v>153</v>
      </c>
      <c r="AC2197" s="20" t="s">
        <v>36</v>
      </c>
      <c r="AD2197" s="4" t="str">
        <f>"Pitanguá"</f>
        <v>Pitanguá</v>
      </c>
      <c r="AE2197" s="14" t="str">
        <f>"Matemática"</f>
        <v>Matemática</v>
      </c>
      <c r="AF2197" s="14"/>
    </row>
    <row r="2198" spans="1:32" ht="28.8" x14ac:dyDescent="0.3">
      <c r="A2198" s="23" t="s">
        <v>3372</v>
      </c>
      <c r="B2198" s="20" t="s">
        <v>16</v>
      </c>
      <c r="C2198" s="20" t="s">
        <v>89</v>
      </c>
      <c r="D2198" s="20" t="s">
        <v>8</v>
      </c>
      <c r="E2198" s="22">
        <v>194</v>
      </c>
      <c r="F2198" s="22">
        <v>4</v>
      </c>
      <c r="G2198" s="22">
        <v>9</v>
      </c>
      <c r="H2198" s="22"/>
      <c r="I2198" s="23" t="s">
        <v>9</v>
      </c>
      <c r="J2198" s="23"/>
      <c r="K2198" s="22"/>
      <c r="L2198" s="22"/>
      <c r="M2198" s="23"/>
      <c r="N2198" s="23"/>
      <c r="O2198" s="26" t="s">
        <v>3373</v>
      </c>
      <c r="P2198" s="26"/>
      <c r="Q2198" s="22"/>
      <c r="R2198" s="24"/>
      <c r="S2198" s="24"/>
      <c r="T2198" s="24"/>
      <c r="U2198" s="24"/>
      <c r="V2198" s="24"/>
      <c r="W2198" s="22" t="s">
        <v>940</v>
      </c>
      <c r="X2198" s="4" t="str">
        <f>IF(Tabela2[[#This Row],[sigla]]="","",VLOOKUP(Tabela2[[#This Row],[sigla]],créditos_base!B:C,2,0))</f>
        <v>RONALDO LUCENA/ARQUIVO DA EDITORA</v>
      </c>
      <c r="Y2198" s="23"/>
      <c r="Z2198" s="23" t="str">
        <f>Tabela2[[#This Row],[ilustrador]]</f>
        <v>RONALDO LUCENA/ARQUIVO DA EDITORA</v>
      </c>
      <c r="AA2198" s="22"/>
      <c r="AB2198" s="20"/>
      <c r="AD2198" s="4" t="str">
        <f>"Pitanguá"</f>
        <v>Pitanguá</v>
      </c>
      <c r="AE2198" s="14" t="str">
        <f>"Matemática"</f>
        <v>Matemática</v>
      </c>
      <c r="AF2198" s="14"/>
    </row>
    <row r="2199" spans="1:32" ht="28.8" x14ac:dyDescent="0.3">
      <c r="A2199" s="23" t="s">
        <v>4330</v>
      </c>
      <c r="B2199" s="20" t="s">
        <v>16</v>
      </c>
      <c r="C2199" s="20" t="s">
        <v>89</v>
      </c>
      <c r="D2199" s="20" t="s">
        <v>8</v>
      </c>
      <c r="E2199" s="22">
        <v>202</v>
      </c>
      <c r="F2199" s="22">
        <v>5</v>
      </c>
      <c r="G2199" s="22">
        <v>9</v>
      </c>
      <c r="H2199" s="22"/>
      <c r="I2199" s="23" t="s">
        <v>9</v>
      </c>
      <c r="J2199" s="23"/>
      <c r="K2199" s="22"/>
      <c r="L2199" s="22"/>
      <c r="M2199" s="23"/>
      <c r="N2199" s="23"/>
      <c r="O2199" s="26" t="s">
        <v>4331</v>
      </c>
      <c r="P2199" s="26"/>
      <c r="Q2199" s="22"/>
      <c r="R2199" s="24"/>
      <c r="S2199" s="24"/>
      <c r="T2199" s="24"/>
      <c r="U2199" s="24"/>
      <c r="V2199" s="24"/>
      <c r="W2199" s="22" t="s">
        <v>160</v>
      </c>
      <c r="X2199" s="4" t="str">
        <f>IF(Tabela2[[#This Row],[sigla]]="","",VLOOKUP(Tabela2[[#This Row],[sigla]],créditos_base!B:C,2,0))</f>
        <v>SERGIO LIMA/ARQUIVO DA EDITORA</v>
      </c>
      <c r="Y2199" s="23"/>
      <c r="Z2199" s="23" t="str">
        <f>Tabela2[[#This Row],[ilustrador]]</f>
        <v>SERGIO LIMA/ARQUIVO DA EDITORA</v>
      </c>
      <c r="AA2199" s="22"/>
      <c r="AB2199" s="20"/>
      <c r="AD2199" s="4" t="str">
        <f>"Pitanguá"</f>
        <v>Pitanguá</v>
      </c>
      <c r="AE2199" s="14" t="str">
        <f>"Matemática"</f>
        <v>Matemática</v>
      </c>
      <c r="AF2199" s="14"/>
    </row>
    <row r="2200" spans="1:32" ht="57.6" x14ac:dyDescent="0.3">
      <c r="A2200" s="30" t="s">
        <v>1662</v>
      </c>
      <c r="B2200" s="20" t="s">
        <v>16</v>
      </c>
      <c r="C2200" s="20" t="s">
        <v>89</v>
      </c>
      <c r="D2200" s="20" t="s">
        <v>8</v>
      </c>
      <c r="E2200" s="22">
        <v>80</v>
      </c>
      <c r="F2200" s="22">
        <v>2</v>
      </c>
      <c r="G2200" s="22">
        <v>9</v>
      </c>
      <c r="H2200" s="22"/>
      <c r="I2200" s="23" t="s">
        <v>9</v>
      </c>
      <c r="J2200" s="23"/>
      <c r="K2200" s="22"/>
      <c r="L2200" s="22"/>
      <c r="M2200" s="23"/>
      <c r="N2200" s="23"/>
      <c r="O2200" s="26" t="s">
        <v>1663</v>
      </c>
      <c r="P2200" s="26"/>
      <c r="Q2200" s="22"/>
      <c r="R2200" s="24"/>
      <c r="S2200" s="24"/>
      <c r="T2200" s="24"/>
      <c r="U2200" s="24"/>
      <c r="V2200" s="24"/>
      <c r="W2200" s="22" t="s">
        <v>940</v>
      </c>
      <c r="X2200" s="4" t="str">
        <f>IF(Tabela2[[#This Row],[sigla]]="","",VLOOKUP(Tabela2[[#This Row],[sigla]],créditos_base!B:C,2,0))</f>
        <v>RONALDO LUCENA/ARQUIVO DA EDITORA</v>
      </c>
      <c r="Y2200" s="23"/>
      <c r="Z2200" s="23" t="str">
        <f>Tabela2[[#This Row],[ilustrador]]</f>
        <v>RONALDO LUCENA/ARQUIVO DA EDITORA</v>
      </c>
      <c r="AA2200" s="22"/>
      <c r="AB2200" s="20"/>
      <c r="AD2200" s="4" t="str">
        <f>"Pitanguá"</f>
        <v>Pitanguá</v>
      </c>
      <c r="AE2200" s="14" t="str">
        <f>"Matemática"</f>
        <v>Matemática</v>
      </c>
      <c r="AF2200" s="14"/>
    </row>
    <row r="2201" spans="1:32" ht="57.6" x14ac:dyDescent="0.3">
      <c r="A2201" s="23" t="s">
        <v>2517</v>
      </c>
      <c r="B2201" s="20" t="s">
        <v>16</v>
      </c>
      <c r="C2201" s="20" t="s">
        <v>89</v>
      </c>
      <c r="D2201" s="20" t="s">
        <v>8</v>
      </c>
      <c r="E2201" s="22">
        <v>128</v>
      </c>
      <c r="F2201" s="22">
        <v>3</v>
      </c>
      <c r="G2201" s="22">
        <v>9</v>
      </c>
      <c r="H2201" s="22"/>
      <c r="I2201" s="23" t="s">
        <v>9</v>
      </c>
      <c r="J2201" s="23"/>
      <c r="K2201" s="22"/>
      <c r="L2201" s="22"/>
      <c r="M2201" s="23"/>
      <c r="N2201" s="23"/>
      <c r="O2201" s="26" t="s">
        <v>2518</v>
      </c>
      <c r="P2201" s="26"/>
      <c r="Q2201" s="22"/>
      <c r="R2201" s="24"/>
      <c r="S2201" s="24"/>
      <c r="T2201" s="24"/>
      <c r="U2201" s="24"/>
      <c r="V2201" s="24"/>
      <c r="W2201" s="22" t="s">
        <v>468</v>
      </c>
      <c r="X2201" s="4" t="str">
        <f>IF(Tabela2[[#This Row],[sigla]]="","",VLOOKUP(Tabela2[[#This Row],[sigla]],créditos_base!B:C,2,0))</f>
        <v>VER DOCUMENTO DE ILS. TÉCNICAS</v>
      </c>
      <c r="Y2201" s="23"/>
      <c r="Z2201" s="23" t="s">
        <v>689</v>
      </c>
      <c r="AA2201" s="22"/>
      <c r="AB2201" s="20"/>
      <c r="AD2201" s="4" t="str">
        <f>"Pitanguá"</f>
        <v>Pitanguá</v>
      </c>
      <c r="AE2201" s="14" t="str">
        <f>"Matemática"</f>
        <v>Matemática</v>
      </c>
      <c r="AF2201" s="14"/>
    </row>
    <row r="2202" spans="1:32" ht="57.6" x14ac:dyDescent="0.3">
      <c r="A2202" s="23" t="s">
        <v>3374</v>
      </c>
      <c r="B2202" s="20" t="s">
        <v>16</v>
      </c>
      <c r="C2202" s="20" t="s">
        <v>89</v>
      </c>
      <c r="D2202" s="20" t="s">
        <v>8</v>
      </c>
      <c r="E2202" s="22">
        <v>194</v>
      </c>
      <c r="F2202" s="22">
        <v>4</v>
      </c>
      <c r="G2202" s="22">
        <v>9</v>
      </c>
      <c r="H2202" s="22"/>
      <c r="I2202" s="23" t="s">
        <v>9</v>
      </c>
      <c r="J2202" s="23"/>
      <c r="K2202" s="22"/>
      <c r="L2202" s="22"/>
      <c r="M2202" s="23"/>
      <c r="N2202" s="23"/>
      <c r="O2202" s="26" t="s">
        <v>3375</v>
      </c>
      <c r="P2202" s="26"/>
      <c r="Q2202" s="22"/>
      <c r="R2202" s="24"/>
      <c r="S2202" s="24"/>
      <c r="T2202" s="24"/>
      <c r="U2202" s="24"/>
      <c r="V2202" s="24"/>
      <c r="W2202" s="22" t="s">
        <v>940</v>
      </c>
      <c r="X2202" s="4" t="str">
        <f>IF(Tabela2[[#This Row],[sigla]]="","",VLOOKUP(Tabela2[[#This Row],[sigla]],créditos_base!B:C,2,0))</f>
        <v>RONALDO LUCENA/ARQUIVO DA EDITORA</v>
      </c>
      <c r="Y2202" s="23"/>
      <c r="Z2202" s="23" t="str">
        <f>Tabela2[[#This Row],[ilustrador]]</f>
        <v>RONALDO LUCENA/ARQUIVO DA EDITORA</v>
      </c>
      <c r="AA2202" s="22"/>
      <c r="AB2202" s="20"/>
      <c r="AD2202" s="4" t="str">
        <f>"Pitanguá"</f>
        <v>Pitanguá</v>
      </c>
      <c r="AE2202" s="14" t="str">
        <f>"Matemática"</f>
        <v>Matemática</v>
      </c>
      <c r="AF2202" s="14"/>
    </row>
    <row r="2203" spans="1:32" ht="43.2" x14ac:dyDescent="0.3">
      <c r="A2203" s="23" t="s">
        <v>4332</v>
      </c>
      <c r="B2203" s="20" t="s">
        <v>16</v>
      </c>
      <c r="C2203" s="20" t="s">
        <v>89</v>
      </c>
      <c r="D2203" s="20" t="s">
        <v>8</v>
      </c>
      <c r="E2203" s="22">
        <v>202</v>
      </c>
      <c r="F2203" s="22">
        <v>5</v>
      </c>
      <c r="G2203" s="22">
        <v>9</v>
      </c>
      <c r="H2203" s="22"/>
      <c r="I2203" s="23" t="s">
        <v>9</v>
      </c>
      <c r="J2203" s="23"/>
      <c r="K2203" s="22"/>
      <c r="L2203" s="22"/>
      <c r="M2203" s="23"/>
      <c r="N2203" s="23"/>
      <c r="O2203" s="26" t="s">
        <v>4333</v>
      </c>
      <c r="P2203" s="26"/>
      <c r="Q2203" s="22"/>
      <c r="R2203" s="24"/>
      <c r="S2203" s="24"/>
      <c r="T2203" s="24"/>
      <c r="U2203" s="24"/>
      <c r="V2203" s="24"/>
      <c r="W2203" s="22" t="s">
        <v>160</v>
      </c>
      <c r="X2203" s="4" t="str">
        <f>IF(Tabela2[[#This Row],[sigla]]="","",VLOOKUP(Tabela2[[#This Row],[sigla]],créditos_base!B:C,2,0))</f>
        <v>SERGIO LIMA/ARQUIVO DA EDITORA</v>
      </c>
      <c r="Y2203" s="23"/>
      <c r="Z2203" s="23" t="str">
        <f>Tabela2[[#This Row],[ilustrador]]</f>
        <v>SERGIO LIMA/ARQUIVO DA EDITORA</v>
      </c>
      <c r="AA2203" s="22"/>
      <c r="AB2203" s="20"/>
      <c r="AD2203" s="4" t="str">
        <f>"Pitanguá"</f>
        <v>Pitanguá</v>
      </c>
      <c r="AE2203" s="14" t="str">
        <f>"Matemática"</f>
        <v>Matemática</v>
      </c>
      <c r="AF2203" s="14"/>
    </row>
    <row r="2204" spans="1:32" ht="28.8" x14ac:dyDescent="0.3">
      <c r="A2204" s="30" t="s">
        <v>1664</v>
      </c>
      <c r="B2204" s="20" t="s">
        <v>16</v>
      </c>
      <c r="C2204" s="20" t="s">
        <v>89</v>
      </c>
      <c r="D2204" s="20" t="s">
        <v>8</v>
      </c>
      <c r="E2204" s="22">
        <v>80</v>
      </c>
      <c r="F2204" s="22">
        <v>2</v>
      </c>
      <c r="G2204" s="22">
        <v>9</v>
      </c>
      <c r="H2204" s="22"/>
      <c r="I2204" s="23" t="s">
        <v>9</v>
      </c>
      <c r="J2204" s="23"/>
      <c r="K2204" s="22"/>
      <c r="L2204" s="22"/>
      <c r="M2204" s="23"/>
      <c r="N2204" s="23"/>
      <c r="O2204" s="26" t="s">
        <v>1665</v>
      </c>
      <c r="P2204" s="26"/>
      <c r="Q2204" s="22"/>
      <c r="R2204" s="24"/>
      <c r="S2204" s="24"/>
      <c r="T2204" s="24"/>
      <c r="U2204" s="24"/>
      <c r="V2204" s="24"/>
      <c r="W2204" s="22" t="s">
        <v>940</v>
      </c>
      <c r="X2204" s="4" t="str">
        <f>IF(Tabela2[[#This Row],[sigla]]="","",VLOOKUP(Tabela2[[#This Row],[sigla]],créditos_base!B:C,2,0))</f>
        <v>RONALDO LUCENA/ARQUIVO DA EDITORA</v>
      </c>
      <c r="Y2204" s="23"/>
      <c r="Z2204" s="23" t="str">
        <f>Tabela2[[#This Row],[ilustrador]]</f>
        <v>RONALDO LUCENA/ARQUIVO DA EDITORA</v>
      </c>
      <c r="AA2204" s="22"/>
      <c r="AB2204" s="20"/>
      <c r="AD2204" s="4" t="str">
        <f>"Pitanguá"</f>
        <v>Pitanguá</v>
      </c>
      <c r="AE2204" s="14" t="str">
        <f>"Matemática"</f>
        <v>Matemática</v>
      </c>
      <c r="AF2204" s="14"/>
    </row>
    <row r="2205" spans="1:32" ht="86.4" x14ac:dyDescent="0.3">
      <c r="A2205" s="23" t="s">
        <v>2519</v>
      </c>
      <c r="B2205" s="20" t="s">
        <v>6</v>
      </c>
      <c r="C2205" s="20" t="s">
        <v>89</v>
      </c>
      <c r="D2205" s="20" t="s">
        <v>8</v>
      </c>
      <c r="E2205" s="22">
        <v>129</v>
      </c>
      <c r="F2205" s="22">
        <v>3</v>
      </c>
      <c r="G2205" s="22">
        <v>9</v>
      </c>
      <c r="H2205" s="22"/>
      <c r="I2205" s="23" t="s">
        <v>33</v>
      </c>
      <c r="J2205" s="23"/>
      <c r="K2205" s="22"/>
      <c r="L2205" s="22"/>
      <c r="M2205" s="23"/>
      <c r="N2205" s="23"/>
      <c r="O2205" s="26" t="s">
        <v>2520</v>
      </c>
      <c r="P2205" s="26" t="s">
        <v>11</v>
      </c>
      <c r="Q2205" s="22">
        <v>34</v>
      </c>
      <c r="R2205" s="24">
        <v>45764</v>
      </c>
      <c r="S2205" s="24">
        <v>45769</v>
      </c>
      <c r="T2205" s="24"/>
      <c r="U2205" s="24"/>
      <c r="V2205" s="24">
        <v>45770</v>
      </c>
      <c r="W2205" s="22" t="s">
        <v>468</v>
      </c>
      <c r="X2205" s="4" t="str">
        <f>IF(Tabela2[[#This Row],[sigla]]="","",VLOOKUP(Tabela2[[#This Row],[sigla]],créditos_base!B:C,2,0))</f>
        <v>VER DOCUMENTO DE ILS. TÉCNICAS</v>
      </c>
      <c r="Y2205" s="23" t="s">
        <v>433</v>
      </c>
      <c r="Z2205" s="23" t="str">
        <f>Tabela2[[#This Row],[ilustrador]]</f>
        <v>VER DOCUMENTO DE ILS. TÉCNICAS</v>
      </c>
      <c r="AA2205" s="22">
        <v>14</v>
      </c>
      <c r="AB2205" s="20" t="s">
        <v>153</v>
      </c>
      <c r="AC2205" s="20" t="s">
        <v>36</v>
      </c>
      <c r="AD2205" s="4" t="str">
        <f>"Pitanguá"</f>
        <v>Pitanguá</v>
      </c>
      <c r="AE2205" s="14" t="str">
        <f>"Matemática"</f>
        <v>Matemática</v>
      </c>
      <c r="AF2205" s="14"/>
    </row>
    <row r="2206" spans="1:32" ht="28.8" x14ac:dyDescent="0.3">
      <c r="A2206" s="23" t="s">
        <v>3376</v>
      </c>
      <c r="B2206" s="20" t="s">
        <v>16</v>
      </c>
      <c r="C2206" s="20" t="s">
        <v>89</v>
      </c>
      <c r="D2206" s="20" t="s">
        <v>8</v>
      </c>
      <c r="E2206" s="22">
        <v>194</v>
      </c>
      <c r="F2206" s="22">
        <v>4</v>
      </c>
      <c r="G2206" s="22">
        <v>9</v>
      </c>
      <c r="H2206" s="22"/>
      <c r="I2206" s="23" t="s">
        <v>9</v>
      </c>
      <c r="J2206" s="23"/>
      <c r="K2206" s="22"/>
      <c r="L2206" s="22"/>
      <c r="M2206" s="23"/>
      <c r="N2206" s="23"/>
      <c r="O2206" s="26" t="s">
        <v>3377</v>
      </c>
      <c r="P2206" s="26"/>
      <c r="Q2206" s="22"/>
      <c r="R2206" s="24"/>
      <c r="S2206" s="24"/>
      <c r="T2206" s="24"/>
      <c r="U2206" s="24"/>
      <c r="V2206" s="24"/>
      <c r="W2206" s="22" t="s">
        <v>940</v>
      </c>
      <c r="X2206" s="4" t="str">
        <f>IF(Tabela2[[#This Row],[sigla]]="","",VLOOKUP(Tabela2[[#This Row],[sigla]],créditos_base!B:C,2,0))</f>
        <v>RONALDO LUCENA/ARQUIVO DA EDITORA</v>
      </c>
      <c r="Y2206" s="23"/>
      <c r="Z2206" s="23" t="str">
        <f>Tabela2[[#This Row],[ilustrador]]</f>
        <v>RONALDO LUCENA/ARQUIVO DA EDITORA</v>
      </c>
      <c r="AA2206" s="22"/>
      <c r="AB2206" s="20"/>
      <c r="AD2206" s="4" t="str">
        <f>"Pitanguá"</f>
        <v>Pitanguá</v>
      </c>
      <c r="AE2206" s="14" t="str">
        <f>"Matemática"</f>
        <v>Matemática</v>
      </c>
      <c r="AF2206" s="14"/>
    </row>
    <row r="2207" spans="1:32" ht="57.6" x14ac:dyDescent="0.3">
      <c r="A2207" s="23" t="s">
        <v>4334</v>
      </c>
      <c r="B2207" s="20" t="s">
        <v>16</v>
      </c>
      <c r="C2207" s="20" t="s">
        <v>89</v>
      </c>
      <c r="D2207" s="20" t="s">
        <v>8</v>
      </c>
      <c r="E2207" s="22">
        <v>202</v>
      </c>
      <c r="F2207" s="22">
        <v>5</v>
      </c>
      <c r="G2207" s="22">
        <v>9</v>
      </c>
      <c r="H2207" s="22"/>
      <c r="I2207" s="23" t="s">
        <v>9</v>
      </c>
      <c r="J2207" s="23"/>
      <c r="K2207" s="22"/>
      <c r="L2207" s="22"/>
      <c r="M2207" s="23"/>
      <c r="N2207" s="23"/>
      <c r="O2207" s="26" t="s">
        <v>4335</v>
      </c>
      <c r="P2207" s="26"/>
      <c r="Q2207" s="22"/>
      <c r="R2207" s="24"/>
      <c r="S2207" s="24"/>
      <c r="T2207" s="24"/>
      <c r="U2207" s="24"/>
      <c r="V2207" s="24"/>
      <c r="W2207" s="22" t="s">
        <v>160</v>
      </c>
      <c r="X2207" s="4" t="str">
        <f>IF(Tabela2[[#This Row],[sigla]]="","",VLOOKUP(Tabela2[[#This Row],[sigla]],créditos_base!B:C,2,0))</f>
        <v>SERGIO LIMA/ARQUIVO DA EDITORA</v>
      </c>
      <c r="Y2207" s="23"/>
      <c r="Z2207" s="23" t="str">
        <f>Tabela2[[#This Row],[ilustrador]]</f>
        <v>SERGIO LIMA/ARQUIVO DA EDITORA</v>
      </c>
      <c r="AA2207" s="22"/>
      <c r="AB2207" s="20"/>
      <c r="AD2207" s="4" t="str">
        <f>"Pitanguá"</f>
        <v>Pitanguá</v>
      </c>
      <c r="AE2207" s="14" t="str">
        <f>"Matemática"</f>
        <v>Matemática</v>
      </c>
      <c r="AF2207" s="14"/>
    </row>
    <row r="2208" spans="1:32" ht="28.8" x14ac:dyDescent="0.3">
      <c r="A2208" s="30" t="s">
        <v>1666</v>
      </c>
      <c r="B2208" s="20" t="s">
        <v>16</v>
      </c>
      <c r="C2208" s="20" t="s">
        <v>89</v>
      </c>
      <c r="D2208" s="20" t="s">
        <v>8</v>
      </c>
      <c r="E2208" s="22">
        <v>81</v>
      </c>
      <c r="F2208" s="22">
        <v>2</v>
      </c>
      <c r="G2208" s="22">
        <v>9</v>
      </c>
      <c r="H2208" s="22"/>
      <c r="I2208" s="23" t="s">
        <v>33</v>
      </c>
      <c r="J2208" s="23"/>
      <c r="K2208" s="22"/>
      <c r="L2208" s="22"/>
      <c r="M2208" s="23"/>
      <c r="N2208" s="23"/>
      <c r="O2208" s="26" t="s">
        <v>1667</v>
      </c>
      <c r="P2208" s="26"/>
      <c r="Q2208" s="22">
        <v>20</v>
      </c>
      <c r="R2208" s="24">
        <v>45748</v>
      </c>
      <c r="S2208" s="24">
        <v>45748</v>
      </c>
      <c r="T2208" s="24"/>
      <c r="U2208" s="24"/>
      <c r="V2208" s="24">
        <v>45754</v>
      </c>
      <c r="W2208" s="22" t="s">
        <v>468</v>
      </c>
      <c r="X2208" s="4" t="str">
        <f>IF(Tabela2[[#This Row],[sigla]]="","",VLOOKUP(Tabela2[[#This Row],[sigla]],créditos_base!B:C,2,0))</f>
        <v>VER DOCUMENTO DE ILS. TÉCNICAS</v>
      </c>
      <c r="Y2208" s="23" t="s">
        <v>433</v>
      </c>
      <c r="Z2208" s="23" t="s">
        <v>1668</v>
      </c>
      <c r="AA2208" s="22">
        <v>13</v>
      </c>
      <c r="AB2208" s="20" t="s">
        <v>153</v>
      </c>
      <c r="AC2208" s="20" t="s">
        <v>36</v>
      </c>
      <c r="AD2208" s="4" t="str">
        <f>"Pitanguá"</f>
        <v>Pitanguá</v>
      </c>
      <c r="AE2208" s="14" t="str">
        <f>"Matemática"</f>
        <v>Matemática</v>
      </c>
      <c r="AF2208" s="14"/>
    </row>
    <row r="2209" spans="1:32" x14ac:dyDescent="0.3">
      <c r="A2209" s="23" t="s">
        <v>2521</v>
      </c>
      <c r="B2209" s="20" t="s">
        <v>6</v>
      </c>
      <c r="C2209" s="20" t="s">
        <v>89</v>
      </c>
      <c r="D2209" s="20" t="s">
        <v>8</v>
      </c>
      <c r="E2209" s="22">
        <v>129</v>
      </c>
      <c r="F2209" s="22">
        <v>3</v>
      </c>
      <c r="G2209" s="22">
        <v>9</v>
      </c>
      <c r="H2209" s="22"/>
      <c r="I2209" s="23" t="s">
        <v>9</v>
      </c>
      <c r="J2209" s="23"/>
      <c r="K2209" s="22"/>
      <c r="L2209" s="22"/>
      <c r="M2209" s="23"/>
      <c r="N2209" s="23"/>
      <c r="O2209" s="26" t="s">
        <v>2522</v>
      </c>
      <c r="P2209" s="26" t="s">
        <v>11</v>
      </c>
      <c r="Q2209" s="22"/>
      <c r="R2209" s="24"/>
      <c r="S2209" s="24"/>
      <c r="T2209" s="24"/>
      <c r="U2209" s="24"/>
      <c r="V2209" s="24"/>
      <c r="W2209" s="22" t="s">
        <v>806</v>
      </c>
      <c r="X2209" s="4" t="str">
        <f>IF(Tabela2[[#This Row],[sigla]]="","",VLOOKUP(Tabela2[[#This Row],[sigla]],créditos_base!B:C,2,0))</f>
        <v>MARCOS MACHADO/ARQUIVO DA EDITORA</v>
      </c>
      <c r="Y2209" s="23"/>
      <c r="Z2209" s="23" t="str">
        <f>Tabela2[[#This Row],[ilustrador]]</f>
        <v>MARCOS MACHADO/ARQUIVO DA EDITORA</v>
      </c>
      <c r="AA2209" s="22"/>
      <c r="AB2209" s="20"/>
      <c r="AD2209" s="4" t="str">
        <f>"Pitanguá"</f>
        <v>Pitanguá</v>
      </c>
      <c r="AE2209" s="14" t="str">
        <f>"Matemática"</f>
        <v>Matemática</v>
      </c>
      <c r="AF2209" s="14"/>
    </row>
    <row r="2210" spans="1:32" ht="43.2" x14ac:dyDescent="0.3">
      <c r="A2210" s="23" t="s">
        <v>3378</v>
      </c>
      <c r="B2210" s="20" t="s">
        <v>16</v>
      </c>
      <c r="C2210" s="20" t="s">
        <v>89</v>
      </c>
      <c r="D2210" s="20" t="s">
        <v>8</v>
      </c>
      <c r="E2210" s="22">
        <v>195</v>
      </c>
      <c r="F2210" s="22">
        <v>4</v>
      </c>
      <c r="G2210" s="22">
        <v>9</v>
      </c>
      <c r="H2210" s="22"/>
      <c r="I2210" s="23" t="s">
        <v>9</v>
      </c>
      <c r="J2210" s="23"/>
      <c r="K2210" s="22"/>
      <c r="L2210" s="22"/>
      <c r="M2210" s="23"/>
      <c r="N2210" s="23"/>
      <c r="O2210" s="26" t="s">
        <v>3379</v>
      </c>
      <c r="P2210" s="26"/>
      <c r="Q2210" s="22"/>
      <c r="R2210" s="24"/>
      <c r="S2210" s="24"/>
      <c r="T2210" s="24"/>
      <c r="U2210" s="24"/>
      <c r="V2210" s="24"/>
      <c r="W2210" s="22" t="s">
        <v>940</v>
      </c>
      <c r="X2210" s="4" t="str">
        <f>IF(Tabela2[[#This Row],[sigla]]="","",VLOOKUP(Tabela2[[#This Row],[sigla]],créditos_base!B:C,2,0))</f>
        <v>RONALDO LUCENA/ARQUIVO DA EDITORA</v>
      </c>
      <c r="Y2210" s="23"/>
      <c r="Z2210" s="23" t="str">
        <f>Tabela2[[#This Row],[ilustrador]]</f>
        <v>RONALDO LUCENA/ARQUIVO DA EDITORA</v>
      </c>
      <c r="AA2210" s="22"/>
      <c r="AB2210" s="20"/>
      <c r="AD2210" s="4" t="str">
        <f>"Pitanguá"</f>
        <v>Pitanguá</v>
      </c>
      <c r="AE2210" s="14" t="str">
        <f>"Matemática"</f>
        <v>Matemática</v>
      </c>
      <c r="AF2210" s="14"/>
    </row>
    <row r="2211" spans="1:32" x14ac:dyDescent="0.3">
      <c r="A2211" s="30" t="s">
        <v>1669</v>
      </c>
      <c r="B2211" s="20" t="s">
        <v>16</v>
      </c>
      <c r="C2211" s="20" t="s">
        <v>89</v>
      </c>
      <c r="D2211" s="20" t="s">
        <v>8</v>
      </c>
      <c r="E2211" s="22">
        <v>81</v>
      </c>
      <c r="F2211" s="22">
        <v>2</v>
      </c>
      <c r="G2211" s="22">
        <v>9</v>
      </c>
      <c r="H2211" s="22"/>
      <c r="I2211" s="23" t="s">
        <v>33</v>
      </c>
      <c r="J2211" s="23"/>
      <c r="K2211" s="22"/>
      <c r="L2211" s="22"/>
      <c r="M2211" s="23"/>
      <c r="N2211" s="23"/>
      <c r="O2211" s="26" t="s">
        <v>1670</v>
      </c>
      <c r="P2211" s="26"/>
      <c r="Q2211" s="22">
        <v>20</v>
      </c>
      <c r="R2211" s="24">
        <v>45748</v>
      </c>
      <c r="S2211" s="24">
        <v>45748</v>
      </c>
      <c r="T2211" s="24"/>
      <c r="U2211" s="24"/>
      <c r="V2211" s="24">
        <v>45754</v>
      </c>
      <c r="W2211" s="22" t="s">
        <v>468</v>
      </c>
      <c r="X2211" s="4" t="str">
        <f>IF(Tabela2[[#This Row],[sigla]]="","",VLOOKUP(Tabela2[[#This Row],[sigla]],créditos_base!B:C,2,0))</f>
        <v>VER DOCUMENTO DE ILS. TÉCNICAS</v>
      </c>
      <c r="Y2211" s="23" t="s">
        <v>433</v>
      </c>
      <c r="Z2211" s="23" t="s">
        <v>1668</v>
      </c>
      <c r="AA2211" s="22">
        <v>13</v>
      </c>
      <c r="AB2211" s="20" t="s">
        <v>153</v>
      </c>
      <c r="AC2211" s="20" t="s">
        <v>36</v>
      </c>
      <c r="AD2211" s="4" t="str">
        <f>"Pitanguá"</f>
        <v>Pitanguá</v>
      </c>
      <c r="AE2211" s="14" t="str">
        <f>"Matemática"</f>
        <v>Matemática</v>
      </c>
      <c r="AF2211" s="14"/>
    </row>
    <row r="2212" spans="1:32" x14ac:dyDescent="0.3">
      <c r="A2212" s="23" t="s">
        <v>2523</v>
      </c>
      <c r="B2212" s="20" t="s">
        <v>6</v>
      </c>
      <c r="C2212" s="20" t="s">
        <v>89</v>
      </c>
      <c r="D2212" s="20" t="s">
        <v>8</v>
      </c>
      <c r="E2212" s="22">
        <v>129</v>
      </c>
      <c r="F2212" s="22">
        <v>3</v>
      </c>
      <c r="G2212" s="22">
        <v>9</v>
      </c>
      <c r="H2212" s="22"/>
      <c r="I2212" s="23" t="s">
        <v>9</v>
      </c>
      <c r="J2212" s="23"/>
      <c r="K2212" s="22"/>
      <c r="L2212" s="22"/>
      <c r="M2212" s="23"/>
      <c r="N2212" s="23"/>
      <c r="O2212" s="26" t="s">
        <v>2524</v>
      </c>
      <c r="P2212" s="26" t="s">
        <v>11</v>
      </c>
      <c r="Q2212" s="22"/>
      <c r="R2212" s="24"/>
      <c r="S2212" s="24"/>
      <c r="T2212" s="24"/>
      <c r="U2212" s="24"/>
      <c r="V2212" s="24"/>
      <c r="W2212" s="22" t="s">
        <v>806</v>
      </c>
      <c r="X2212" s="4" t="str">
        <f>IF(Tabela2[[#This Row],[sigla]]="","",VLOOKUP(Tabela2[[#This Row],[sigla]],créditos_base!B:C,2,0))</f>
        <v>MARCOS MACHADO/ARQUIVO DA EDITORA</v>
      </c>
      <c r="Y2212" s="23"/>
      <c r="Z2212" s="23" t="str">
        <f>Tabela2[[#This Row],[ilustrador]]</f>
        <v>MARCOS MACHADO/ARQUIVO DA EDITORA</v>
      </c>
      <c r="AA2212" s="22"/>
      <c r="AB2212" s="20"/>
      <c r="AD2212" s="4" t="str">
        <f>"Pitanguá"</f>
        <v>Pitanguá</v>
      </c>
      <c r="AE2212" s="14" t="str">
        <f>"Matemática"</f>
        <v>Matemática</v>
      </c>
      <c r="AF2212" s="14"/>
    </row>
    <row r="2213" spans="1:32" x14ac:dyDescent="0.3">
      <c r="A2213" s="23" t="s">
        <v>3380</v>
      </c>
      <c r="B2213" s="20" t="s">
        <v>16</v>
      </c>
      <c r="C2213" s="20" t="s">
        <v>89</v>
      </c>
      <c r="D2213" s="20" t="s">
        <v>8</v>
      </c>
      <c r="E2213" s="22">
        <v>195</v>
      </c>
      <c r="F2213" s="22">
        <v>4</v>
      </c>
      <c r="G2213" s="22">
        <v>9</v>
      </c>
      <c r="H2213" s="22"/>
      <c r="I2213" s="23" t="s">
        <v>9</v>
      </c>
      <c r="J2213" s="23"/>
      <c r="K2213" s="22"/>
      <c r="L2213" s="22"/>
      <c r="M2213" s="23"/>
      <c r="N2213" s="23"/>
      <c r="O2213" s="26" t="s">
        <v>3381</v>
      </c>
      <c r="P2213" s="26"/>
      <c r="Q2213" s="22"/>
      <c r="R2213" s="24"/>
      <c r="S2213" s="24"/>
      <c r="T2213" s="24"/>
      <c r="U2213" s="24"/>
      <c r="V2213" s="24"/>
      <c r="W2213" s="22" t="s">
        <v>3382</v>
      </c>
      <c r="X2213" s="4" t="str">
        <f>IF(Tabela2[[#This Row],[sigla]]="","",VLOOKUP(Tabela2[[#This Row],[sigla]],créditos_base!B:C,2,0))</f>
        <v>LEONARDO MARI/ARQUIVO DA EDITORA</v>
      </c>
      <c r="Y2213" s="23"/>
      <c r="Z2213" s="23" t="str">
        <f>Tabela2[[#This Row],[ilustrador]]</f>
        <v>LEONARDO MARI/ARQUIVO DA EDITORA</v>
      </c>
      <c r="AA2213" s="22"/>
      <c r="AB2213" s="20"/>
      <c r="AD2213" s="4" t="str">
        <f>"Pitanguá"</f>
        <v>Pitanguá</v>
      </c>
      <c r="AE2213" s="14" t="str">
        <f>"Matemática"</f>
        <v>Matemática</v>
      </c>
      <c r="AF2213" s="14"/>
    </row>
    <row r="2214" spans="1:32" x14ac:dyDescent="0.3">
      <c r="A2214" s="30" t="s">
        <v>1671</v>
      </c>
      <c r="B2214" s="20" t="s">
        <v>16</v>
      </c>
      <c r="C2214" s="20" t="s">
        <v>89</v>
      </c>
      <c r="D2214" s="20" t="s">
        <v>8</v>
      </c>
      <c r="E2214" s="22">
        <v>81</v>
      </c>
      <c r="F2214" s="22">
        <v>2</v>
      </c>
      <c r="G2214" s="22">
        <v>9</v>
      </c>
      <c r="H2214" s="22"/>
      <c r="I2214" s="23" t="s">
        <v>33</v>
      </c>
      <c r="J2214" s="23"/>
      <c r="K2214" s="22"/>
      <c r="L2214" s="22"/>
      <c r="M2214" s="23"/>
      <c r="N2214" s="23"/>
      <c r="O2214" s="26" t="s">
        <v>1672</v>
      </c>
      <c r="P2214" s="26"/>
      <c r="Q2214" s="22">
        <v>20</v>
      </c>
      <c r="R2214" s="24">
        <v>45748</v>
      </c>
      <c r="S2214" s="24">
        <v>45748</v>
      </c>
      <c r="T2214" s="24"/>
      <c r="U2214" s="24"/>
      <c r="V2214" s="24">
        <v>45754</v>
      </c>
      <c r="W2214" s="22" t="s">
        <v>468</v>
      </c>
      <c r="X2214" s="4" t="str">
        <f>IF(Tabela2[[#This Row],[sigla]]="","",VLOOKUP(Tabela2[[#This Row],[sigla]],créditos_base!B:C,2,0))</f>
        <v>VER DOCUMENTO DE ILS. TÉCNICAS</v>
      </c>
      <c r="Y2214" s="23" t="s">
        <v>433</v>
      </c>
      <c r="Z2214" s="23" t="s">
        <v>1668</v>
      </c>
      <c r="AA2214" s="22">
        <v>13</v>
      </c>
      <c r="AB2214" s="20" t="s">
        <v>153</v>
      </c>
      <c r="AC2214" s="20" t="s">
        <v>36</v>
      </c>
      <c r="AD2214" s="4" t="str">
        <f>"Pitanguá"</f>
        <v>Pitanguá</v>
      </c>
      <c r="AE2214" s="14" t="str">
        <f>"Matemática"</f>
        <v>Matemática</v>
      </c>
      <c r="AF2214" s="14"/>
    </row>
    <row r="2215" spans="1:32" x14ac:dyDescent="0.3">
      <c r="A2215" s="23" t="s">
        <v>2525</v>
      </c>
      <c r="B2215" s="20" t="s">
        <v>16</v>
      </c>
      <c r="C2215" s="20" t="s">
        <v>7</v>
      </c>
      <c r="D2215" s="20" t="s">
        <v>8</v>
      </c>
      <c r="E2215" s="22">
        <v>130</v>
      </c>
      <c r="F2215" s="22">
        <v>3</v>
      </c>
      <c r="G2215" s="22">
        <v>9</v>
      </c>
      <c r="H2215" s="22"/>
      <c r="I2215" s="23" t="s">
        <v>33</v>
      </c>
      <c r="J2215" s="23"/>
      <c r="K2215" s="22"/>
      <c r="L2215" s="22"/>
      <c r="M2215" s="23"/>
      <c r="N2215" s="23"/>
      <c r="O2215" s="26" t="s">
        <v>2526</v>
      </c>
      <c r="P2215" s="26"/>
      <c r="Q2215" s="22">
        <v>34</v>
      </c>
      <c r="R2215" s="24">
        <v>45764</v>
      </c>
      <c r="S2215" s="24">
        <v>45769</v>
      </c>
      <c r="T2215" s="24"/>
      <c r="U2215" s="24"/>
      <c r="V2215" s="24">
        <v>45770</v>
      </c>
      <c r="W2215" s="22" t="s">
        <v>468</v>
      </c>
      <c r="X2215" s="4" t="str">
        <f>IF(Tabela2[[#This Row],[sigla]]="","",VLOOKUP(Tabela2[[#This Row],[sigla]],créditos_base!B:C,2,0))</f>
        <v>VER DOCUMENTO DE ILS. TÉCNICAS</v>
      </c>
      <c r="Y2215" s="23" t="s">
        <v>433</v>
      </c>
      <c r="Z2215" s="23" t="s">
        <v>689</v>
      </c>
      <c r="AA2215" s="22">
        <v>14</v>
      </c>
      <c r="AB2215" s="20" t="s">
        <v>153</v>
      </c>
      <c r="AC2215" s="20" t="s">
        <v>36</v>
      </c>
      <c r="AD2215" s="4" t="str">
        <f>"Pitanguá"</f>
        <v>Pitanguá</v>
      </c>
      <c r="AE2215" s="14" t="str">
        <f>"Matemática"</f>
        <v>Matemática</v>
      </c>
      <c r="AF2215" s="14"/>
    </row>
    <row r="2216" spans="1:32" x14ac:dyDescent="0.3">
      <c r="A2216" s="23" t="s">
        <v>3383</v>
      </c>
      <c r="B2216" s="20" t="s">
        <v>16</v>
      </c>
      <c r="C2216" s="20" t="s">
        <v>7</v>
      </c>
      <c r="D2216" s="20" t="s">
        <v>8</v>
      </c>
      <c r="E2216" s="22">
        <v>195</v>
      </c>
      <c r="F2216" s="22">
        <v>4</v>
      </c>
      <c r="G2216" s="22">
        <v>9</v>
      </c>
      <c r="H2216" s="22"/>
      <c r="I2216" s="23" t="s">
        <v>9</v>
      </c>
      <c r="J2216" s="23"/>
      <c r="K2216" s="22"/>
      <c r="L2216" s="22"/>
      <c r="M2216" s="23"/>
      <c r="N2216" s="23"/>
      <c r="O2216" s="26" t="s">
        <v>3384</v>
      </c>
      <c r="P2216" s="26"/>
      <c r="Q2216" s="22"/>
      <c r="R2216" s="24"/>
      <c r="S2216" s="24"/>
      <c r="T2216" s="24"/>
      <c r="U2216" s="24"/>
      <c r="V2216" s="24"/>
      <c r="W2216" s="22" t="s">
        <v>169</v>
      </c>
      <c r="X2216" s="4" t="str">
        <f>IF(Tabela2[[#This Row],[sigla]]="","",VLOOKUP(Tabela2[[#This Row],[sigla]],créditos_base!B:C,2,0))</f>
        <v>RENAN FONSECA/ARQUIVO DA EDITORA</v>
      </c>
      <c r="Y2216" s="23"/>
      <c r="Z2216" s="23" t="str">
        <f>Tabela2[[#This Row],[ilustrador]]</f>
        <v>RENAN FONSECA/ARQUIVO DA EDITORA</v>
      </c>
      <c r="AA2216" s="22"/>
      <c r="AB2216" s="20"/>
      <c r="AD2216" s="4" t="str">
        <f>"Pitanguá"</f>
        <v>Pitanguá</v>
      </c>
      <c r="AE2216" s="14" t="str">
        <f>"Matemática"</f>
        <v>Matemática</v>
      </c>
      <c r="AF2216" s="14"/>
    </row>
    <row r="2217" spans="1:32" ht="28.8" x14ac:dyDescent="0.3">
      <c r="A2217" s="30" t="s">
        <v>1673</v>
      </c>
      <c r="B2217" s="20" t="s">
        <v>16</v>
      </c>
      <c r="C2217" s="20" t="s">
        <v>89</v>
      </c>
      <c r="D2217" s="20" t="s">
        <v>8</v>
      </c>
      <c r="E2217" s="22">
        <v>81</v>
      </c>
      <c r="F2217" s="22">
        <v>2</v>
      </c>
      <c r="G2217" s="22">
        <v>9</v>
      </c>
      <c r="H2217" s="22"/>
      <c r="I2217" s="23" t="s">
        <v>9</v>
      </c>
      <c r="J2217" s="23"/>
      <c r="K2217" s="22"/>
      <c r="L2217" s="22"/>
      <c r="M2217" s="23"/>
      <c r="N2217" s="23"/>
      <c r="O2217" s="26" t="s">
        <v>1674</v>
      </c>
      <c r="P2217" s="26"/>
      <c r="Q2217" s="22"/>
      <c r="R2217" s="24"/>
      <c r="S2217" s="24"/>
      <c r="T2217" s="24"/>
      <c r="U2217" s="24"/>
      <c r="V2217" s="24"/>
      <c r="W2217" s="22" t="s">
        <v>468</v>
      </c>
      <c r="X2217" s="4" t="str">
        <f>IF(Tabela2[[#This Row],[sigla]]="","",VLOOKUP(Tabela2[[#This Row],[sigla]],créditos_base!B:C,2,0))</f>
        <v>VER DOCUMENTO DE ILS. TÉCNICAS</v>
      </c>
      <c r="Y2217" s="23"/>
      <c r="Z2217" s="23" t="s">
        <v>689</v>
      </c>
      <c r="AA2217" s="22"/>
      <c r="AB2217" s="20"/>
      <c r="AD2217" s="4" t="str">
        <f>"Pitanguá"</f>
        <v>Pitanguá</v>
      </c>
      <c r="AE2217" s="14" t="str">
        <f>"Matemática"</f>
        <v>Matemática</v>
      </c>
      <c r="AF2217" s="14"/>
    </row>
    <row r="2218" spans="1:32" x14ac:dyDescent="0.3">
      <c r="A2218" s="23" t="s">
        <v>2527</v>
      </c>
      <c r="B2218" s="20" t="s">
        <v>16</v>
      </c>
      <c r="C2218" s="20" t="s">
        <v>7</v>
      </c>
      <c r="D2218" s="20" t="s">
        <v>8</v>
      </c>
      <c r="E2218" s="22">
        <v>130</v>
      </c>
      <c r="F2218" s="22">
        <v>3</v>
      </c>
      <c r="G2218" s="22">
        <v>9</v>
      </c>
      <c r="H2218" s="22"/>
      <c r="I2218" s="23" t="s">
        <v>9</v>
      </c>
      <c r="J2218" s="23"/>
      <c r="K2218" s="22"/>
      <c r="L2218" s="22"/>
      <c r="M2218" s="23"/>
      <c r="N2218" s="23"/>
      <c r="O2218" s="26" t="s">
        <v>2528</v>
      </c>
      <c r="P2218" s="26"/>
      <c r="Q2218" s="22"/>
      <c r="R2218" s="24"/>
      <c r="S2218" s="24"/>
      <c r="T2218" s="24"/>
      <c r="U2218" s="24"/>
      <c r="V2218" s="24"/>
      <c r="W2218" s="22" t="s">
        <v>327</v>
      </c>
      <c r="X2218" s="4" t="str">
        <f>IF(Tabela2[[#This Row],[sigla]]="","",VLOOKUP(Tabela2[[#This Row],[sigla]],créditos_base!B:C,2,0))</f>
        <v>RAFAEL LAM/ARQUIVO DA EDITORA</v>
      </c>
      <c r="Y2218" s="23"/>
      <c r="Z2218" s="23" t="str">
        <f>Tabela2[[#This Row],[ilustrador]]</f>
        <v>RAFAEL LAM/ARQUIVO DA EDITORA</v>
      </c>
      <c r="AA2218" s="22"/>
      <c r="AB2218" s="20"/>
      <c r="AD2218" s="4" t="str">
        <f>"Pitanguá"</f>
        <v>Pitanguá</v>
      </c>
      <c r="AE2218" s="14" t="str">
        <f>"Matemática"</f>
        <v>Matemática</v>
      </c>
      <c r="AF2218" s="14"/>
    </row>
    <row r="2219" spans="1:32" ht="28.8" x14ac:dyDescent="0.3">
      <c r="A2219" s="23" t="s">
        <v>4336</v>
      </c>
      <c r="B2219" s="20" t="s">
        <v>16</v>
      </c>
      <c r="C2219" s="20" t="s">
        <v>7</v>
      </c>
      <c r="D2219" s="20" t="s">
        <v>8</v>
      </c>
      <c r="E2219" s="22">
        <v>206</v>
      </c>
      <c r="F2219" s="22">
        <v>5</v>
      </c>
      <c r="G2219" s="22">
        <v>9</v>
      </c>
      <c r="H2219" s="22"/>
      <c r="I2219" s="23" t="s">
        <v>9</v>
      </c>
      <c r="J2219" s="23"/>
      <c r="K2219" s="22"/>
      <c r="L2219" s="22"/>
      <c r="M2219" s="23"/>
      <c r="N2219" s="23"/>
      <c r="O2219" s="26" t="s">
        <v>4337</v>
      </c>
      <c r="P2219" s="26"/>
      <c r="Q2219" s="22">
        <v>206</v>
      </c>
      <c r="R2219" s="24">
        <v>25</v>
      </c>
      <c r="S2219" s="24">
        <v>45926</v>
      </c>
      <c r="T2219" s="24"/>
      <c r="U2219" s="24"/>
      <c r="V2219" s="24">
        <v>45926</v>
      </c>
      <c r="W2219" s="22" t="s">
        <v>468</v>
      </c>
      <c r="X2219" s="4" t="str">
        <f>IF(Tabela2[[#This Row],[sigla]]="","",VLOOKUP(Tabela2[[#This Row],[sigla]],créditos_base!B:C,2,0))</f>
        <v>VER DOCUMENTO DE ILS. TÉCNICAS</v>
      </c>
      <c r="Y2219" s="23" t="s">
        <v>188</v>
      </c>
      <c r="Z2219" s="23" t="s">
        <v>482</v>
      </c>
      <c r="AA2219" s="22">
        <v>13</v>
      </c>
      <c r="AB2219" s="20" t="s">
        <v>153</v>
      </c>
      <c r="AD2219" s="4" t="str">
        <f>"Pitanguá"</f>
        <v>Pitanguá</v>
      </c>
      <c r="AE2219" s="14" t="str">
        <f>"Matemática"</f>
        <v>Matemática</v>
      </c>
      <c r="AF2219" s="14"/>
    </row>
    <row r="2220" spans="1:32" x14ac:dyDescent="0.3">
      <c r="A2220" s="30" t="s">
        <v>1675</v>
      </c>
      <c r="B2220" s="20" t="s">
        <v>16</v>
      </c>
      <c r="C2220" s="20" t="s">
        <v>7</v>
      </c>
      <c r="D2220" s="20" t="s">
        <v>8</v>
      </c>
      <c r="E2220" s="22">
        <v>82</v>
      </c>
      <c r="F2220" s="22">
        <v>2</v>
      </c>
      <c r="G2220" s="22">
        <v>9</v>
      </c>
      <c r="H2220" s="22"/>
      <c r="I2220" s="23" t="s">
        <v>33</v>
      </c>
      <c r="J2220" s="23"/>
      <c r="K2220" s="22"/>
      <c r="L2220" s="22"/>
      <c r="M2220" s="23"/>
      <c r="N2220" s="23"/>
      <c r="O2220" s="26" t="s">
        <v>1676</v>
      </c>
      <c r="P2220" s="26"/>
      <c r="Q2220" s="22">
        <v>20</v>
      </c>
      <c r="R2220" s="24">
        <v>45748</v>
      </c>
      <c r="S2220" s="24">
        <v>45748</v>
      </c>
      <c r="T2220" s="24"/>
      <c r="U2220" s="24"/>
      <c r="V2220" s="24">
        <v>45754</v>
      </c>
      <c r="W2220" s="22" t="s">
        <v>12</v>
      </c>
      <c r="X2220" s="4" t="str">
        <f>IF(Tabela2[[#This Row],[sigla]]="","",VLOOKUP(Tabela2[[#This Row],[sigla]],créditos_base!B:C,2,0))</f>
        <v>JORGE ZAIBA/ARQUIVO DA EDITORA</v>
      </c>
      <c r="Y2220" s="23" t="s">
        <v>433</v>
      </c>
      <c r="Z2220" s="23" t="str">
        <f>Tabela2[[#This Row],[ilustrador]]</f>
        <v>JORGE ZAIBA/ARQUIVO DA EDITORA</v>
      </c>
      <c r="AA2220" s="22">
        <v>13</v>
      </c>
      <c r="AB2220" s="20" t="s">
        <v>153</v>
      </c>
      <c r="AC2220" s="20" t="s">
        <v>36</v>
      </c>
      <c r="AD2220" s="4" t="str">
        <f>"Pitanguá"</f>
        <v>Pitanguá</v>
      </c>
      <c r="AE2220" s="14" t="str">
        <f>"Matemática"</f>
        <v>Matemática</v>
      </c>
      <c r="AF2220" s="14"/>
    </row>
    <row r="2221" spans="1:32" ht="28.8" x14ac:dyDescent="0.3">
      <c r="A2221" s="23" t="s">
        <v>2529</v>
      </c>
      <c r="B2221" s="20" t="s">
        <v>6</v>
      </c>
      <c r="C2221" s="20" t="s">
        <v>7</v>
      </c>
      <c r="D2221" s="20" t="s">
        <v>8</v>
      </c>
      <c r="E2221" s="22">
        <v>131</v>
      </c>
      <c r="F2221" s="22">
        <v>3</v>
      </c>
      <c r="G2221" s="22">
        <v>9</v>
      </c>
      <c r="H2221" s="22"/>
      <c r="I2221" s="23" t="s">
        <v>9</v>
      </c>
      <c r="J2221" s="23"/>
      <c r="K2221" s="22"/>
      <c r="L2221" s="22"/>
      <c r="M2221" s="23"/>
      <c r="N2221" s="23"/>
      <c r="O2221" s="26" t="s">
        <v>2530</v>
      </c>
      <c r="P2221" s="26" t="s">
        <v>11</v>
      </c>
      <c r="Q2221" s="22"/>
      <c r="R2221" s="24"/>
      <c r="S2221" s="24"/>
      <c r="T2221" s="24"/>
      <c r="U2221" s="24"/>
      <c r="V2221" s="24"/>
      <c r="W2221" s="22" t="s">
        <v>12</v>
      </c>
      <c r="X2221" s="4" t="str">
        <f>IF(Tabela2[[#This Row],[sigla]]="","",VLOOKUP(Tabela2[[#This Row],[sigla]],créditos_base!B:C,2,0))</f>
        <v>JORGE ZAIBA/ARQUIVO DA EDITORA</v>
      </c>
      <c r="Y2221" s="23"/>
      <c r="Z2221" s="23" t="str">
        <f>Tabela2[[#This Row],[ilustrador]]</f>
        <v>JORGE ZAIBA/ARQUIVO DA EDITORA</v>
      </c>
      <c r="AA2221" s="22"/>
      <c r="AB2221" s="20"/>
      <c r="AD2221" s="4" t="str">
        <f>"Pitanguá"</f>
        <v>Pitanguá</v>
      </c>
      <c r="AE2221" s="14" t="str">
        <f>"Matemática"</f>
        <v>Matemática</v>
      </c>
      <c r="AF2221" s="14"/>
    </row>
    <row r="2222" spans="1:32" x14ac:dyDescent="0.3">
      <c r="A2222" s="23" t="s">
        <v>3385</v>
      </c>
      <c r="B2222" s="20" t="s">
        <v>6</v>
      </c>
      <c r="C2222" s="20" t="s">
        <v>7</v>
      </c>
      <c r="D2222" s="20" t="s">
        <v>8</v>
      </c>
      <c r="E2222" s="22">
        <v>197</v>
      </c>
      <c r="F2222" s="22">
        <v>4</v>
      </c>
      <c r="G2222" s="22">
        <v>9</v>
      </c>
      <c r="H2222" s="22"/>
      <c r="I2222" s="23" t="s">
        <v>9</v>
      </c>
      <c r="J2222" s="23"/>
      <c r="K2222" s="22"/>
      <c r="L2222" s="22"/>
      <c r="M2222" s="23"/>
      <c r="N2222" s="23"/>
      <c r="O2222" s="26" t="s">
        <v>3386</v>
      </c>
      <c r="P2222" s="26"/>
      <c r="Q2222" s="22"/>
      <c r="R2222" s="24"/>
      <c r="S2222" s="24"/>
      <c r="T2222" s="24"/>
      <c r="U2222" s="24"/>
      <c r="V2222" s="24"/>
      <c r="W2222" s="22" t="s">
        <v>940</v>
      </c>
      <c r="X2222" s="4" t="str">
        <f>IF(Tabela2[[#This Row],[sigla]]="","",VLOOKUP(Tabela2[[#This Row],[sigla]],créditos_base!B:C,2,0))</f>
        <v>RONALDO LUCENA/ARQUIVO DA EDITORA</v>
      </c>
      <c r="Y2222" s="23"/>
      <c r="Z2222" s="23" t="str">
        <f>Tabela2[[#This Row],[ilustrador]]</f>
        <v>RONALDO LUCENA/ARQUIVO DA EDITORA</v>
      </c>
      <c r="AA2222" s="22"/>
      <c r="AB2222" s="20"/>
      <c r="AD2222" s="4" t="str">
        <f>"Pitanguá"</f>
        <v>Pitanguá</v>
      </c>
      <c r="AE2222" s="14" t="str">
        <f>"Matemática"</f>
        <v>Matemática</v>
      </c>
      <c r="AF2222" s="14"/>
    </row>
    <row r="2223" spans="1:32" x14ac:dyDescent="0.3">
      <c r="A2223" s="23" t="s">
        <v>4338</v>
      </c>
      <c r="B2223" s="20" t="s">
        <v>6</v>
      </c>
      <c r="C2223" s="20" t="s">
        <v>7</v>
      </c>
      <c r="D2223" s="20" t="s">
        <v>8</v>
      </c>
      <c r="E2223" s="22">
        <v>209</v>
      </c>
      <c r="F2223" s="22">
        <v>5</v>
      </c>
      <c r="G2223" s="22">
        <v>9</v>
      </c>
      <c r="H2223" s="22"/>
      <c r="I2223" s="23" t="s">
        <v>9</v>
      </c>
      <c r="J2223" s="23"/>
      <c r="K2223" s="22"/>
      <c r="L2223" s="22"/>
      <c r="M2223" s="23"/>
      <c r="N2223" s="23"/>
      <c r="O2223" s="26" t="s">
        <v>4339</v>
      </c>
      <c r="P2223" s="26"/>
      <c r="Q2223" s="22"/>
      <c r="R2223" s="24"/>
      <c r="S2223" s="24"/>
      <c r="T2223" s="24"/>
      <c r="U2223" s="24"/>
      <c r="V2223" s="24"/>
      <c r="W2223" s="22" t="s">
        <v>1721</v>
      </c>
      <c r="X2223" s="4" t="str">
        <f>IF(Tabela2[[#This Row],[sigla]]="","",VLOOKUP(Tabela2[[#This Row],[sigla]],créditos_base!B:C,2,0))</f>
        <v>CAIO TANAKA/ARQUIVO DA EDITORA</v>
      </c>
      <c r="Y2223" s="23"/>
      <c r="Z2223" s="23" t="str">
        <f>Tabela2[[#This Row],[ilustrador]]</f>
        <v>CAIO TANAKA/ARQUIVO DA EDITORA</v>
      </c>
      <c r="AA2223" s="22"/>
      <c r="AB2223" s="20"/>
      <c r="AD2223" s="4" t="str">
        <f>"Pitanguá"</f>
        <v>Pitanguá</v>
      </c>
      <c r="AE2223" s="14" t="str">
        <f>"Matemática"</f>
        <v>Matemática</v>
      </c>
      <c r="AF2223" s="14"/>
    </row>
    <row r="2224" spans="1:32" x14ac:dyDescent="0.3">
      <c r="A2224" s="23" t="s">
        <v>623</v>
      </c>
      <c r="B2224" s="20" t="s">
        <v>16</v>
      </c>
      <c r="C2224" s="20" t="s">
        <v>89</v>
      </c>
      <c r="D2224" s="20" t="s">
        <v>8</v>
      </c>
      <c r="E2224" s="22">
        <v>174</v>
      </c>
      <c r="F2224" s="22">
        <v>1</v>
      </c>
      <c r="G2224" s="22">
        <v>9</v>
      </c>
      <c r="H2224" s="22"/>
      <c r="I2224" s="23" t="s">
        <v>9</v>
      </c>
      <c r="J2224" s="23"/>
      <c r="K2224" s="22"/>
      <c r="L2224" s="22"/>
      <c r="M2224" s="23"/>
      <c r="N2224" s="23"/>
      <c r="O2224" s="26" t="s">
        <v>624</v>
      </c>
      <c r="P2224" s="26"/>
      <c r="Q2224" s="22"/>
      <c r="R2224" s="24"/>
      <c r="S2224" s="24"/>
      <c r="T2224" s="24"/>
      <c r="U2224" s="24"/>
      <c r="V2224" s="24"/>
      <c r="W2224" s="22" t="s">
        <v>151</v>
      </c>
      <c r="X2224" s="4" t="str">
        <f>IF(Tabela2[[#This Row],[sigla]]="","",VLOOKUP(Tabela2[[#This Row],[sigla]],créditos_base!B:C,2,0))</f>
        <v>ROGÉRIO CASAGRANDE/ARQUIVO DA EDITORA</v>
      </c>
      <c r="Y2224" s="23"/>
      <c r="Z2224" s="23" t="str">
        <f>Tabela2[[#This Row],[ilustrador]]</f>
        <v>ROGÉRIO CASAGRANDE/ARQUIVO DA EDITORA</v>
      </c>
      <c r="AA2224" s="22"/>
      <c r="AB2224" s="20"/>
      <c r="AD2224" s="4" t="str">
        <f>"Pitanguá"</f>
        <v>Pitanguá</v>
      </c>
      <c r="AE2224" s="14" t="str">
        <f>"Matemática"</f>
        <v>Matemática</v>
      </c>
      <c r="AF2224" s="14"/>
    </row>
    <row r="2225" spans="1:32" x14ac:dyDescent="0.3">
      <c r="A2225" s="30" t="s">
        <v>1677</v>
      </c>
      <c r="B2225" s="20" t="s">
        <v>16</v>
      </c>
      <c r="C2225" s="20" t="s">
        <v>89</v>
      </c>
      <c r="D2225" s="20" t="s">
        <v>8</v>
      </c>
      <c r="E2225" s="22">
        <v>83</v>
      </c>
      <c r="F2225" s="22">
        <v>2</v>
      </c>
      <c r="G2225" s="22">
        <v>9</v>
      </c>
      <c r="H2225" s="22"/>
      <c r="I2225" s="23" t="s">
        <v>9</v>
      </c>
      <c r="J2225" s="23"/>
      <c r="K2225" s="22"/>
      <c r="L2225" s="22"/>
      <c r="M2225" s="23"/>
      <c r="N2225" s="23"/>
      <c r="O2225" s="26" t="s">
        <v>1678</v>
      </c>
      <c r="P2225" s="26"/>
      <c r="Q2225" s="22"/>
      <c r="R2225" s="24"/>
      <c r="S2225" s="24"/>
      <c r="T2225" s="24"/>
      <c r="U2225" s="24"/>
      <c r="V2225" s="24"/>
      <c r="W2225" s="22" t="s">
        <v>160</v>
      </c>
      <c r="X2225" s="4" t="str">
        <f>IF(Tabela2[[#This Row],[sigla]]="","",VLOOKUP(Tabela2[[#This Row],[sigla]],créditos_base!B:C,2,0))</f>
        <v>SERGIO LIMA/ARQUIVO DA EDITORA</v>
      </c>
      <c r="Y2225" s="23"/>
      <c r="Z2225" s="23" t="str">
        <f>Tabela2[[#This Row],[ilustrador]]</f>
        <v>SERGIO LIMA/ARQUIVO DA EDITORA</v>
      </c>
      <c r="AA2225" s="22"/>
      <c r="AB2225" s="20"/>
      <c r="AD2225" s="4" t="str">
        <f>"Pitanguá"</f>
        <v>Pitanguá</v>
      </c>
      <c r="AE2225" s="14" t="str">
        <f>"Matemática"</f>
        <v>Matemática</v>
      </c>
      <c r="AF2225" s="14"/>
    </row>
    <row r="2226" spans="1:32" x14ac:dyDescent="0.3">
      <c r="A2226" s="23" t="s">
        <v>2531</v>
      </c>
      <c r="B2226" s="20" t="s">
        <v>6</v>
      </c>
      <c r="C2226" s="20" t="s">
        <v>89</v>
      </c>
      <c r="D2226" s="20" t="s">
        <v>8</v>
      </c>
      <c r="E2226" s="22">
        <v>131</v>
      </c>
      <c r="F2226" s="22">
        <v>3</v>
      </c>
      <c r="G2226" s="22">
        <v>9</v>
      </c>
      <c r="H2226" s="22"/>
      <c r="I2226" s="23" t="s">
        <v>33</v>
      </c>
      <c r="J2226" s="23"/>
      <c r="K2226" s="22"/>
      <c r="L2226" s="22"/>
      <c r="M2226" s="23"/>
      <c r="N2226" s="23"/>
      <c r="O2226" s="26" t="s">
        <v>2532</v>
      </c>
      <c r="P2226" s="26" t="s">
        <v>11</v>
      </c>
      <c r="Q2226" s="22">
        <v>34</v>
      </c>
      <c r="R2226" s="24">
        <v>45764</v>
      </c>
      <c r="S2226" s="24">
        <v>45769</v>
      </c>
      <c r="T2226" s="24"/>
      <c r="U2226" s="24"/>
      <c r="V2226" s="24">
        <v>45770</v>
      </c>
      <c r="W2226" s="22" t="s">
        <v>160</v>
      </c>
      <c r="X2226" s="4" t="str">
        <f>IF(Tabela2[[#This Row],[sigla]]="","",VLOOKUP(Tabela2[[#This Row],[sigla]],créditos_base!B:C,2,0))</f>
        <v>SERGIO LIMA/ARQUIVO DA EDITORA</v>
      </c>
      <c r="Y2226" s="23" t="s">
        <v>433</v>
      </c>
      <c r="Z2226" s="23" t="str">
        <f>Tabela2[[#This Row],[ilustrador]]</f>
        <v>SERGIO LIMA/ARQUIVO DA EDITORA</v>
      </c>
      <c r="AA2226" s="22">
        <v>14</v>
      </c>
      <c r="AB2226" s="20" t="s">
        <v>153</v>
      </c>
      <c r="AC2226" s="20" t="s">
        <v>36</v>
      </c>
      <c r="AD2226" s="4" t="str">
        <f>"Pitanguá"</f>
        <v>Pitanguá</v>
      </c>
      <c r="AE2226" s="14" t="str">
        <f>"Matemática"</f>
        <v>Matemática</v>
      </c>
      <c r="AF2226" s="14"/>
    </row>
    <row r="2227" spans="1:32" x14ac:dyDescent="0.3">
      <c r="A2227" s="23" t="s">
        <v>3387</v>
      </c>
      <c r="B2227" s="20" t="s">
        <v>16</v>
      </c>
      <c r="C2227" s="20" t="s">
        <v>89</v>
      </c>
      <c r="D2227" s="20" t="s">
        <v>8</v>
      </c>
      <c r="E2227" s="22">
        <v>197</v>
      </c>
      <c r="F2227" s="22">
        <v>4</v>
      </c>
      <c r="G2227" s="22">
        <v>9</v>
      </c>
      <c r="H2227" s="22"/>
      <c r="I2227" s="23" t="s">
        <v>9</v>
      </c>
      <c r="J2227" s="23"/>
      <c r="K2227" s="22"/>
      <c r="L2227" s="22"/>
      <c r="M2227" s="23"/>
      <c r="N2227" s="23"/>
      <c r="O2227" s="20" t="s">
        <v>3388</v>
      </c>
      <c r="P2227" s="26"/>
      <c r="Q2227" s="22"/>
      <c r="R2227" s="24"/>
      <c r="S2227" s="24"/>
      <c r="T2227" s="24"/>
      <c r="U2227" s="24"/>
      <c r="V2227" s="24"/>
      <c r="W2227" s="22" t="s">
        <v>428</v>
      </c>
      <c r="X2227" s="4" t="str">
        <f>IF(Tabela2[[#This Row],[sigla]]="","",VLOOKUP(Tabela2[[#This Row],[sigla]],créditos_base!B:C,2,0))</f>
        <v>TAMIRES AZEVEDO/ARQUIVO DA EDITORA</v>
      </c>
      <c r="Y2227" s="23"/>
      <c r="Z2227" s="23" t="str">
        <f>Tabela2[[#This Row],[ilustrador]]</f>
        <v>TAMIRES AZEVEDO/ARQUIVO DA EDITORA</v>
      </c>
      <c r="AA2227" s="22"/>
      <c r="AB2227" s="20"/>
      <c r="AD2227" s="4" t="str">
        <f>"Pitanguá"</f>
        <v>Pitanguá</v>
      </c>
      <c r="AE2227" s="14" t="str">
        <f>"Matemática"</f>
        <v>Matemática</v>
      </c>
      <c r="AF2227" s="14"/>
    </row>
    <row r="2228" spans="1:32" x14ac:dyDescent="0.3">
      <c r="A2228" s="23" t="s">
        <v>625</v>
      </c>
      <c r="B2228" s="20" t="s">
        <v>16</v>
      </c>
      <c r="C2228" s="20" t="s">
        <v>89</v>
      </c>
      <c r="D2228" s="20" t="s">
        <v>8</v>
      </c>
      <c r="E2228" s="22">
        <v>174</v>
      </c>
      <c r="F2228" s="22">
        <v>1</v>
      </c>
      <c r="G2228" s="22">
        <v>9</v>
      </c>
      <c r="H2228" s="22"/>
      <c r="I2228" s="23" t="s">
        <v>9</v>
      </c>
      <c r="J2228" s="23"/>
      <c r="K2228" s="22"/>
      <c r="L2228" s="22"/>
      <c r="M2228" s="23"/>
      <c r="N2228" s="23"/>
      <c r="O2228" s="26" t="s">
        <v>626</v>
      </c>
      <c r="P2228" s="26"/>
      <c r="Q2228" s="22"/>
      <c r="R2228" s="24"/>
      <c r="S2228" s="24"/>
      <c r="T2228" s="24"/>
      <c r="U2228" s="24"/>
      <c r="V2228" s="24"/>
      <c r="W2228" s="22" t="s">
        <v>151</v>
      </c>
      <c r="X2228" s="4" t="str">
        <f>IF(Tabela2[[#This Row],[sigla]]="","",VLOOKUP(Tabela2[[#This Row],[sigla]],créditos_base!B:C,2,0))</f>
        <v>ROGÉRIO CASAGRANDE/ARQUIVO DA EDITORA</v>
      </c>
      <c r="Y2228" s="23"/>
      <c r="Z2228" s="23" t="str">
        <f>Tabela2[[#This Row],[ilustrador]]</f>
        <v>ROGÉRIO CASAGRANDE/ARQUIVO DA EDITORA</v>
      </c>
      <c r="AA2228" s="22"/>
      <c r="AB2228" s="20"/>
      <c r="AD2228" s="4" t="str">
        <f>"Pitanguá"</f>
        <v>Pitanguá</v>
      </c>
      <c r="AE2228" s="14" t="str">
        <f>"Matemática"</f>
        <v>Matemática</v>
      </c>
      <c r="AF2228" s="14"/>
    </row>
    <row r="2229" spans="1:32" x14ac:dyDescent="0.3">
      <c r="A2229" s="30" t="s">
        <v>1679</v>
      </c>
      <c r="B2229" s="20" t="s">
        <v>16</v>
      </c>
      <c r="C2229" s="20" t="s">
        <v>89</v>
      </c>
      <c r="D2229" s="20" t="s">
        <v>8</v>
      </c>
      <c r="E2229" s="22">
        <v>83</v>
      </c>
      <c r="F2229" s="22">
        <v>2</v>
      </c>
      <c r="G2229" s="22">
        <v>9</v>
      </c>
      <c r="H2229" s="22"/>
      <c r="I2229" s="23" t="s">
        <v>9</v>
      </c>
      <c r="J2229" s="23"/>
      <c r="K2229" s="22"/>
      <c r="L2229" s="22"/>
      <c r="M2229" s="23"/>
      <c r="N2229" s="23"/>
      <c r="O2229" s="26" t="s">
        <v>1680</v>
      </c>
      <c r="P2229" s="26"/>
      <c r="Q2229" s="22"/>
      <c r="R2229" s="24"/>
      <c r="S2229" s="24"/>
      <c r="T2229" s="24"/>
      <c r="U2229" s="24"/>
      <c r="V2229" s="24"/>
      <c r="W2229" s="22" t="s">
        <v>160</v>
      </c>
      <c r="X2229" s="4" t="str">
        <f>IF(Tabela2[[#This Row],[sigla]]="","",VLOOKUP(Tabela2[[#This Row],[sigla]],créditos_base!B:C,2,0))</f>
        <v>SERGIO LIMA/ARQUIVO DA EDITORA</v>
      </c>
      <c r="Y2229" s="23"/>
      <c r="Z2229" s="23" t="str">
        <f>Tabela2[[#This Row],[ilustrador]]</f>
        <v>SERGIO LIMA/ARQUIVO DA EDITORA</v>
      </c>
      <c r="AA2229" s="22"/>
      <c r="AB2229" s="20"/>
      <c r="AD2229" s="4" t="str">
        <f>"Pitanguá"</f>
        <v>Pitanguá</v>
      </c>
      <c r="AE2229" s="14" t="str">
        <f>"Matemática"</f>
        <v>Matemática</v>
      </c>
      <c r="AF2229" s="14"/>
    </row>
    <row r="2230" spans="1:32" x14ac:dyDescent="0.3">
      <c r="A2230" s="23" t="s">
        <v>4924</v>
      </c>
      <c r="B2230" s="20" t="s">
        <v>16</v>
      </c>
      <c r="C2230" s="20" t="s">
        <v>7</v>
      </c>
      <c r="D2230" s="20" t="s">
        <v>8</v>
      </c>
      <c r="E2230" s="22">
        <v>232</v>
      </c>
      <c r="F2230" s="22">
        <v>3</v>
      </c>
      <c r="G2230" s="22">
        <v>9</v>
      </c>
      <c r="H2230" s="22"/>
      <c r="I2230" s="23" t="s">
        <v>33</v>
      </c>
      <c r="J2230" s="23"/>
      <c r="K2230" s="22"/>
      <c r="L2230" s="22"/>
      <c r="M2230" s="23"/>
      <c r="N2230" s="23"/>
      <c r="O2230" s="26" t="s">
        <v>4925</v>
      </c>
      <c r="P2230" s="26"/>
      <c r="Q2230" s="22">
        <v>88</v>
      </c>
      <c r="R2230" s="24">
        <v>45839</v>
      </c>
      <c r="S2230" s="24">
        <v>45845</v>
      </c>
      <c r="T2230" s="24"/>
      <c r="U2230" s="24"/>
      <c r="V2230" s="24">
        <v>45845</v>
      </c>
      <c r="W2230" s="22" t="s">
        <v>31</v>
      </c>
      <c r="X2230" s="4" t="str">
        <f>IF(Tabela2[[#This Row],[sigla]]="","",VLOOKUP(Tabela2[[#This Row],[sigla]],créditos_base!B:C,2,0))</f>
        <v>SILVIA OTOFUJI/ARQUIVO DA EDITORA</v>
      </c>
      <c r="Y2230" s="23" t="s">
        <v>152</v>
      </c>
      <c r="Z2230" s="23" t="str">
        <f>Tabela2[[#This Row],[ilustrador]]</f>
        <v>SILVIA OTOFUJI/ARQUIVO DA EDITORA</v>
      </c>
      <c r="AA2230" s="22">
        <v>13</v>
      </c>
      <c r="AB2230" s="20" t="s">
        <v>153</v>
      </c>
      <c r="AC2230" s="20" t="s">
        <v>36</v>
      </c>
      <c r="AD2230" s="4" t="str">
        <f>"Pitanguá"</f>
        <v>Pitanguá</v>
      </c>
      <c r="AE2230" s="14" t="str">
        <f>"Matemática"</f>
        <v>Matemática</v>
      </c>
      <c r="AF2230" s="14"/>
    </row>
    <row r="2231" spans="1:32" x14ac:dyDescent="0.3">
      <c r="A2231" s="23" t="s">
        <v>3389</v>
      </c>
      <c r="B2231" s="20" t="s">
        <v>16</v>
      </c>
      <c r="C2231" s="20" t="s">
        <v>7</v>
      </c>
      <c r="D2231" s="20" t="s">
        <v>8</v>
      </c>
      <c r="E2231" s="22">
        <v>198</v>
      </c>
      <c r="F2231" s="22">
        <v>4</v>
      </c>
      <c r="G2231" s="22">
        <v>9</v>
      </c>
      <c r="H2231" s="22"/>
      <c r="I2231" s="23" t="s">
        <v>9</v>
      </c>
      <c r="J2231" s="23"/>
      <c r="K2231" s="22"/>
      <c r="L2231" s="22"/>
      <c r="M2231" s="23"/>
      <c r="N2231" s="23"/>
      <c r="O2231" s="26" t="s">
        <v>3390</v>
      </c>
      <c r="P2231" s="26"/>
      <c r="Q2231" s="22"/>
      <c r="R2231" s="24"/>
      <c r="S2231" s="24"/>
      <c r="T2231" s="24"/>
      <c r="U2231" s="24"/>
      <c r="V2231" s="24"/>
      <c r="W2231" s="22" t="s">
        <v>327</v>
      </c>
      <c r="X2231" s="4" t="str">
        <f>IF(Tabela2[[#This Row],[sigla]]="","",VLOOKUP(Tabela2[[#This Row],[sigla]],créditos_base!B:C,2,0))</f>
        <v>RAFAEL LAM/ARQUIVO DA EDITORA</v>
      </c>
      <c r="Y2231" s="23"/>
      <c r="Z2231" s="23" t="str">
        <f>Tabela2[[#This Row],[ilustrador]]</f>
        <v>RAFAEL LAM/ARQUIVO DA EDITORA</v>
      </c>
      <c r="AA2231" s="22"/>
      <c r="AB2231" s="20"/>
      <c r="AD2231" s="4" t="str">
        <f>"Pitanguá"</f>
        <v>Pitanguá</v>
      </c>
      <c r="AE2231" s="14" t="str">
        <f>"Matemática"</f>
        <v>Matemática</v>
      </c>
      <c r="AF2231" s="14"/>
    </row>
    <row r="2232" spans="1:32" x14ac:dyDescent="0.3">
      <c r="A2232" s="23" t="s">
        <v>627</v>
      </c>
      <c r="B2232" s="20" t="s">
        <v>16</v>
      </c>
      <c r="C2232" s="20" t="s">
        <v>89</v>
      </c>
      <c r="D2232" s="20" t="s">
        <v>8</v>
      </c>
      <c r="E2232" s="22">
        <v>174</v>
      </c>
      <c r="F2232" s="22">
        <v>1</v>
      </c>
      <c r="G2232" s="22">
        <v>9</v>
      </c>
      <c r="H2232" s="22"/>
      <c r="I2232" s="23" t="s">
        <v>9</v>
      </c>
      <c r="J2232" s="23"/>
      <c r="K2232" s="22"/>
      <c r="L2232" s="22"/>
      <c r="M2232" s="23"/>
      <c r="N2232" s="23"/>
      <c r="O2232" s="26" t="s">
        <v>628</v>
      </c>
      <c r="P2232" s="26"/>
      <c r="Q2232" s="22"/>
      <c r="R2232" s="24"/>
      <c r="S2232" s="24"/>
      <c r="T2232" s="24"/>
      <c r="U2232" s="24"/>
      <c r="V2232" s="24"/>
      <c r="W2232" s="22" t="s">
        <v>151</v>
      </c>
      <c r="X2232" s="4" t="str">
        <f>IF(Tabela2[[#This Row],[sigla]]="","",VLOOKUP(Tabela2[[#This Row],[sigla]],créditos_base!B:C,2,0))</f>
        <v>ROGÉRIO CASAGRANDE/ARQUIVO DA EDITORA</v>
      </c>
      <c r="Y2232" s="23"/>
      <c r="Z2232" s="23" t="str">
        <f>Tabela2[[#This Row],[ilustrador]]</f>
        <v>ROGÉRIO CASAGRANDE/ARQUIVO DA EDITORA</v>
      </c>
      <c r="AA2232" s="22"/>
      <c r="AB2232" s="20"/>
      <c r="AD2232" s="4" t="str">
        <f>"Pitanguá"</f>
        <v>Pitanguá</v>
      </c>
      <c r="AE2232" s="14" t="str">
        <f>"Matemática"</f>
        <v>Matemática</v>
      </c>
      <c r="AF2232" s="14"/>
    </row>
    <row r="2233" spans="1:32" x14ac:dyDescent="0.3">
      <c r="A2233" s="30" t="s">
        <v>1681</v>
      </c>
      <c r="B2233" s="20" t="s">
        <v>16</v>
      </c>
      <c r="C2233" s="20" t="s">
        <v>89</v>
      </c>
      <c r="D2233" s="20" t="s">
        <v>8</v>
      </c>
      <c r="E2233" s="22">
        <v>83</v>
      </c>
      <c r="F2233" s="22">
        <v>2</v>
      </c>
      <c r="G2233" s="22">
        <v>9</v>
      </c>
      <c r="H2233" s="22"/>
      <c r="I2233" s="23" t="s">
        <v>9</v>
      </c>
      <c r="J2233" s="23"/>
      <c r="K2233" s="22"/>
      <c r="L2233" s="22"/>
      <c r="M2233" s="23"/>
      <c r="N2233" s="23"/>
      <c r="O2233" s="26" t="s">
        <v>1682</v>
      </c>
      <c r="P2233" s="26"/>
      <c r="Q2233" s="22"/>
      <c r="R2233" s="24"/>
      <c r="S2233" s="24"/>
      <c r="T2233" s="24"/>
      <c r="U2233" s="24"/>
      <c r="V2233" s="24"/>
      <c r="W2233" s="22" t="s">
        <v>160</v>
      </c>
      <c r="X2233" s="4" t="str">
        <f>IF(Tabela2[[#This Row],[sigla]]="","",VLOOKUP(Tabela2[[#This Row],[sigla]],créditos_base!B:C,2,0))</f>
        <v>SERGIO LIMA/ARQUIVO DA EDITORA</v>
      </c>
      <c r="Y2233" s="23"/>
      <c r="Z2233" s="23" t="str">
        <f>Tabela2[[#This Row],[ilustrador]]</f>
        <v>SERGIO LIMA/ARQUIVO DA EDITORA</v>
      </c>
      <c r="AA2233" s="22"/>
      <c r="AB2233" s="20"/>
      <c r="AD2233" s="4" t="str">
        <f>"Pitanguá"</f>
        <v>Pitanguá</v>
      </c>
      <c r="AE2233" s="14" t="str">
        <f>"Matemática"</f>
        <v>Matemática</v>
      </c>
      <c r="AF2233" s="14"/>
    </row>
    <row r="2234" spans="1:32" x14ac:dyDescent="0.3">
      <c r="A2234" s="23" t="s">
        <v>4926</v>
      </c>
      <c r="B2234" s="20" t="s">
        <v>16</v>
      </c>
      <c r="C2234" s="20" t="s">
        <v>7</v>
      </c>
      <c r="D2234" s="20" t="s">
        <v>8</v>
      </c>
      <c r="E2234" s="22">
        <v>232</v>
      </c>
      <c r="F2234" s="22">
        <v>3</v>
      </c>
      <c r="G2234" s="22">
        <v>9</v>
      </c>
      <c r="H2234" s="22"/>
      <c r="I2234" s="23" t="s">
        <v>33</v>
      </c>
      <c r="J2234" s="23"/>
      <c r="K2234" s="22"/>
      <c r="L2234" s="22"/>
      <c r="M2234" s="23"/>
      <c r="N2234" s="23"/>
      <c r="O2234" s="26" t="s">
        <v>4927</v>
      </c>
      <c r="P2234" s="26"/>
      <c r="Q2234" s="22">
        <v>88</v>
      </c>
      <c r="R2234" s="24">
        <v>45839</v>
      </c>
      <c r="S2234" s="24">
        <v>45845</v>
      </c>
      <c r="T2234" s="24"/>
      <c r="U2234" s="24"/>
      <c r="V2234" s="24">
        <v>45845</v>
      </c>
      <c r="W2234" s="22" t="s">
        <v>31</v>
      </c>
      <c r="X2234" s="4" t="str">
        <f>IF(Tabela2[[#This Row],[sigla]]="","",VLOOKUP(Tabela2[[#This Row],[sigla]],créditos_base!B:C,2,0))</f>
        <v>SILVIA OTOFUJI/ARQUIVO DA EDITORA</v>
      </c>
      <c r="Y2234" s="23" t="s">
        <v>152</v>
      </c>
      <c r="Z2234" s="23" t="str">
        <f>Tabela2[[#This Row],[ilustrador]]</f>
        <v>SILVIA OTOFUJI/ARQUIVO DA EDITORA</v>
      </c>
      <c r="AA2234" s="22">
        <v>13</v>
      </c>
      <c r="AB2234" s="20" t="s">
        <v>153</v>
      </c>
      <c r="AC2234" s="20" t="s">
        <v>36</v>
      </c>
      <c r="AD2234" s="4" t="str">
        <f>"Pitanguá"</f>
        <v>Pitanguá</v>
      </c>
      <c r="AE2234" s="14" t="str">
        <f>"Matemática"</f>
        <v>Matemática</v>
      </c>
      <c r="AF2234" s="14"/>
    </row>
    <row r="2235" spans="1:32" ht="57.6" x14ac:dyDescent="0.3">
      <c r="A2235" s="23" t="s">
        <v>3391</v>
      </c>
      <c r="B2235" s="20" t="s">
        <v>16</v>
      </c>
      <c r="C2235" s="20" t="s">
        <v>89</v>
      </c>
      <c r="D2235" s="20" t="s">
        <v>8</v>
      </c>
      <c r="E2235" s="22">
        <v>199</v>
      </c>
      <c r="F2235" s="22">
        <v>4</v>
      </c>
      <c r="G2235" s="22">
        <v>9</v>
      </c>
      <c r="H2235" s="22"/>
      <c r="I2235" s="23" t="s">
        <v>33</v>
      </c>
      <c r="J2235" s="23"/>
      <c r="K2235" s="22"/>
      <c r="L2235" s="22"/>
      <c r="M2235" s="23"/>
      <c r="N2235" s="23"/>
      <c r="O2235" s="26" t="s">
        <v>3392</v>
      </c>
      <c r="P2235" s="26"/>
      <c r="Q2235" s="22">
        <v>49</v>
      </c>
      <c r="R2235" s="24">
        <v>45798</v>
      </c>
      <c r="S2235" s="24">
        <v>45810</v>
      </c>
      <c r="T2235" s="24"/>
      <c r="U2235" s="24"/>
      <c r="V2235" s="24">
        <v>45810</v>
      </c>
      <c r="W2235" s="22" t="s">
        <v>940</v>
      </c>
      <c r="X2235" s="4" t="str">
        <f>IF(Tabela2[[#This Row],[sigla]]="","",VLOOKUP(Tabela2[[#This Row],[sigla]],créditos_base!B:C,2,0))</f>
        <v>RONALDO LUCENA/ARQUIVO DA EDITORA</v>
      </c>
      <c r="Y2235" s="23" t="s">
        <v>433</v>
      </c>
      <c r="Z2235" s="23" t="str">
        <f>Tabela2[[#This Row],[ilustrador]]</f>
        <v>RONALDO LUCENA/ARQUIVO DA EDITORA</v>
      </c>
      <c r="AA2235" s="22">
        <v>14</v>
      </c>
      <c r="AB2235" s="20" t="s">
        <v>153</v>
      </c>
      <c r="AC2235" s="20" t="s">
        <v>36</v>
      </c>
      <c r="AD2235" s="4" t="str">
        <f>"Pitanguá"</f>
        <v>Pitanguá</v>
      </c>
      <c r="AE2235" s="14" t="str">
        <f>"Matemática"</f>
        <v>Matemática</v>
      </c>
      <c r="AF2235" s="14"/>
    </row>
    <row r="2236" spans="1:32" ht="43.2" x14ac:dyDescent="0.3">
      <c r="A2236" s="23" t="s">
        <v>629</v>
      </c>
      <c r="B2236" s="20" t="s">
        <v>16</v>
      </c>
      <c r="C2236" s="20" t="s">
        <v>89</v>
      </c>
      <c r="D2236" s="20" t="s">
        <v>8</v>
      </c>
      <c r="E2236" s="22">
        <v>174</v>
      </c>
      <c r="F2236" s="22">
        <v>1</v>
      </c>
      <c r="G2236" s="22">
        <v>9</v>
      </c>
      <c r="H2236" s="22"/>
      <c r="I2236" s="23" t="s">
        <v>9</v>
      </c>
      <c r="J2236" s="23"/>
      <c r="K2236" s="22"/>
      <c r="L2236" s="22"/>
      <c r="M2236" s="23"/>
      <c r="N2236" s="23"/>
      <c r="O2236" s="26" t="s">
        <v>630</v>
      </c>
      <c r="P2236" s="26"/>
      <c r="Q2236" s="22"/>
      <c r="R2236" s="24"/>
      <c r="S2236" s="24"/>
      <c r="T2236" s="24"/>
      <c r="U2236" s="24"/>
      <c r="V2236" s="24"/>
      <c r="W2236" s="22" t="s">
        <v>151</v>
      </c>
      <c r="X2236" s="4" t="str">
        <f>IF(Tabela2[[#This Row],[sigla]]="","",VLOOKUP(Tabela2[[#This Row],[sigla]],créditos_base!B:C,2,0))</f>
        <v>ROGÉRIO CASAGRANDE/ARQUIVO DA EDITORA</v>
      </c>
      <c r="Y2236" s="23"/>
      <c r="Z2236" s="23" t="str">
        <f>Tabela2[[#This Row],[ilustrador]]</f>
        <v>ROGÉRIO CASAGRANDE/ARQUIVO DA EDITORA</v>
      </c>
      <c r="AA2236" s="22"/>
      <c r="AB2236" s="20"/>
      <c r="AD2236" s="4" t="str">
        <f>"Pitanguá"</f>
        <v>Pitanguá</v>
      </c>
      <c r="AE2236" s="14" t="str">
        <f>"Matemática"</f>
        <v>Matemática</v>
      </c>
      <c r="AF2236" s="14"/>
    </row>
    <row r="2237" spans="1:32" x14ac:dyDescent="0.3">
      <c r="A2237" s="30" t="s">
        <v>1683</v>
      </c>
      <c r="B2237" s="20" t="s">
        <v>16</v>
      </c>
      <c r="C2237" s="20" t="s">
        <v>89</v>
      </c>
      <c r="D2237" s="20" t="s">
        <v>8</v>
      </c>
      <c r="E2237" s="22">
        <v>83</v>
      </c>
      <c r="F2237" s="22">
        <v>2</v>
      </c>
      <c r="G2237" s="22">
        <v>9</v>
      </c>
      <c r="H2237" s="22"/>
      <c r="I2237" s="23" t="s">
        <v>9</v>
      </c>
      <c r="J2237" s="23"/>
      <c r="K2237" s="22"/>
      <c r="L2237" s="22"/>
      <c r="M2237" s="23"/>
      <c r="N2237" s="23"/>
      <c r="O2237" s="26" t="s">
        <v>1684</v>
      </c>
      <c r="P2237" s="26"/>
      <c r="Q2237" s="22"/>
      <c r="R2237" s="24"/>
      <c r="S2237" s="24"/>
      <c r="T2237" s="24"/>
      <c r="U2237" s="24"/>
      <c r="V2237" s="24"/>
      <c r="W2237" s="22" t="s">
        <v>160</v>
      </c>
      <c r="X2237" s="4" t="str">
        <f>IF(Tabela2[[#This Row],[sigla]]="","",VLOOKUP(Tabela2[[#This Row],[sigla]],créditos_base!B:C,2,0))</f>
        <v>SERGIO LIMA/ARQUIVO DA EDITORA</v>
      </c>
      <c r="Y2237" s="23"/>
      <c r="Z2237" s="23" t="str">
        <f>Tabela2[[#This Row],[ilustrador]]</f>
        <v>SERGIO LIMA/ARQUIVO DA EDITORA</v>
      </c>
      <c r="AA2237" s="22"/>
      <c r="AB2237" s="20"/>
      <c r="AD2237" s="4" t="str">
        <f>"Pitanguá"</f>
        <v>Pitanguá</v>
      </c>
      <c r="AE2237" s="14" t="str">
        <f>"Matemática"</f>
        <v>Matemática</v>
      </c>
      <c r="AF2237" s="14"/>
    </row>
    <row r="2238" spans="1:32" ht="43.2" x14ac:dyDescent="0.3">
      <c r="A2238" s="23" t="s">
        <v>4930</v>
      </c>
      <c r="B2238" s="20" t="s">
        <v>16</v>
      </c>
      <c r="C2238" s="20" t="s">
        <v>7</v>
      </c>
      <c r="D2238" s="20" t="s">
        <v>8</v>
      </c>
      <c r="E2238" s="22">
        <v>232</v>
      </c>
      <c r="F2238" s="22">
        <v>3</v>
      </c>
      <c r="G2238" s="22">
        <v>9</v>
      </c>
      <c r="H2238" s="22"/>
      <c r="I2238" s="23" t="s">
        <v>33</v>
      </c>
      <c r="J2238" s="23"/>
      <c r="K2238" s="22"/>
      <c r="L2238" s="22"/>
      <c r="M2238" s="23"/>
      <c r="N2238" s="23"/>
      <c r="O2238" s="26" t="s">
        <v>4931</v>
      </c>
      <c r="P2238" s="26"/>
      <c r="Q2238" s="22">
        <v>88</v>
      </c>
      <c r="R2238" s="24">
        <v>45839</v>
      </c>
      <c r="S2238" s="24">
        <v>45845</v>
      </c>
      <c r="T2238" s="24"/>
      <c r="U2238" s="24"/>
      <c r="V2238" s="24">
        <v>45845</v>
      </c>
      <c r="W2238" s="22" t="s">
        <v>31</v>
      </c>
      <c r="X2238" s="4" t="str">
        <f>IF(Tabela2[[#This Row],[sigla]]="","",VLOOKUP(Tabela2[[#This Row],[sigla]],créditos_base!B:C,2,0))</f>
        <v>SILVIA OTOFUJI/ARQUIVO DA EDITORA</v>
      </c>
      <c r="Y2238" s="23" t="s">
        <v>152</v>
      </c>
      <c r="Z2238" s="23" t="str">
        <f>Tabela2[[#This Row],[ilustrador]]</f>
        <v>SILVIA OTOFUJI/ARQUIVO DA EDITORA</v>
      </c>
      <c r="AA2238" s="22">
        <v>13</v>
      </c>
      <c r="AB2238" s="20" t="s">
        <v>153</v>
      </c>
      <c r="AC2238" s="20" t="s">
        <v>36</v>
      </c>
      <c r="AD2238" s="4" t="str">
        <f>"Pitanguá"</f>
        <v>Pitanguá</v>
      </c>
      <c r="AE2238" s="14" t="str">
        <f>"Matemática"</f>
        <v>Matemática</v>
      </c>
      <c r="AF2238" s="14"/>
    </row>
    <row r="2239" spans="1:32" ht="72" x14ac:dyDescent="0.3">
      <c r="A2239" s="23" t="s">
        <v>3393</v>
      </c>
      <c r="B2239" s="20" t="s">
        <v>16</v>
      </c>
      <c r="C2239" s="20" t="s">
        <v>7</v>
      </c>
      <c r="D2239" s="20" t="s">
        <v>8</v>
      </c>
      <c r="E2239" s="22">
        <v>199</v>
      </c>
      <c r="F2239" s="22">
        <v>4</v>
      </c>
      <c r="G2239" s="22">
        <v>9</v>
      </c>
      <c r="H2239" s="22"/>
      <c r="I2239" s="23" t="s">
        <v>9</v>
      </c>
      <c r="J2239" s="23"/>
      <c r="K2239" s="22"/>
      <c r="L2239" s="22"/>
      <c r="M2239" s="23"/>
      <c r="N2239" s="23"/>
      <c r="O2239" s="26" t="s">
        <v>3394</v>
      </c>
      <c r="P2239" s="26"/>
      <c r="Q2239" s="22"/>
      <c r="R2239" s="24"/>
      <c r="S2239" s="24"/>
      <c r="T2239" s="24"/>
      <c r="U2239" s="24"/>
      <c r="V2239" s="24"/>
      <c r="W2239" s="22" t="s">
        <v>12</v>
      </c>
      <c r="X2239" s="4" t="str">
        <f>IF(Tabela2[[#This Row],[sigla]]="","",VLOOKUP(Tabela2[[#This Row],[sigla]],créditos_base!B:C,2,0))</f>
        <v>JORGE ZAIBA/ARQUIVO DA EDITORA</v>
      </c>
      <c r="Y2239" s="23"/>
      <c r="Z2239" s="23" t="str">
        <f>Tabela2[[#This Row],[ilustrador]]</f>
        <v>JORGE ZAIBA/ARQUIVO DA EDITORA</v>
      </c>
      <c r="AA2239" s="22"/>
      <c r="AB2239" s="20"/>
      <c r="AD2239" s="4" t="str">
        <f>"Pitanguá"</f>
        <v>Pitanguá</v>
      </c>
      <c r="AE2239" s="14" t="str">
        <f>"Matemática"</f>
        <v>Matemática</v>
      </c>
      <c r="AF2239" s="14"/>
    </row>
    <row r="2240" spans="1:32" ht="28.8" x14ac:dyDescent="0.3">
      <c r="A2240" s="23" t="s">
        <v>5745</v>
      </c>
      <c r="B2240" s="20" t="s">
        <v>16</v>
      </c>
      <c r="C2240" s="20" t="s">
        <v>7</v>
      </c>
      <c r="D2240" s="20" t="s">
        <v>8</v>
      </c>
      <c r="E2240" s="22">
        <v>258</v>
      </c>
      <c r="F2240" s="22">
        <v>5</v>
      </c>
      <c r="G2240" s="22">
        <v>10</v>
      </c>
      <c r="H2240" s="22"/>
      <c r="I2240" s="23" t="s">
        <v>33</v>
      </c>
      <c r="J2240" s="23"/>
      <c r="K2240" s="22"/>
      <c r="L2240" s="22"/>
      <c r="M2240" s="23"/>
      <c r="N2240" s="23"/>
      <c r="O2240" s="26" t="s">
        <v>5746</v>
      </c>
      <c r="P2240" s="26"/>
      <c r="Q2240" s="22">
        <v>144</v>
      </c>
      <c r="R2240" s="24">
        <v>45873</v>
      </c>
      <c r="S2240" s="24">
        <v>45880</v>
      </c>
      <c r="T2240" s="24"/>
      <c r="U2240" s="24"/>
      <c r="V2240" s="24">
        <v>45882</v>
      </c>
      <c r="W2240" s="22" t="s">
        <v>5744</v>
      </c>
      <c r="X2240" s="4" t="str">
        <f>IF(Tabela2[[#This Row],[sigla]]="","",VLOOKUP(Tabela2[[#This Row],[sigla]],créditos_base!B:C,2,0))</f>
        <v>SABRINA ERAS/ARQUIVO DA EDITORA</v>
      </c>
      <c r="Y2240" s="23" t="s">
        <v>243</v>
      </c>
      <c r="Z2240" s="23" t="str">
        <f>Tabela2[[#This Row],[ilustrador]]</f>
        <v>SABRINA ERAS/ARQUIVO DA EDITORA</v>
      </c>
      <c r="AA2240" s="22">
        <v>13</v>
      </c>
      <c r="AB2240" s="20" t="s">
        <v>5741</v>
      </c>
      <c r="AC2240" s="20" t="s">
        <v>36</v>
      </c>
      <c r="AD2240" s="4" t="str">
        <f>"Pitanguá"</f>
        <v>Pitanguá</v>
      </c>
      <c r="AE2240" s="14" t="str">
        <f>"Matemática"</f>
        <v>Matemática</v>
      </c>
      <c r="AF2240" s="14"/>
    </row>
    <row r="2241" spans="1:32" ht="43.2" x14ac:dyDescent="0.3">
      <c r="A2241" s="30" t="s">
        <v>1685</v>
      </c>
      <c r="B2241" s="20" t="s">
        <v>16</v>
      </c>
      <c r="C2241" s="20" t="s">
        <v>89</v>
      </c>
      <c r="D2241" s="20" t="s">
        <v>8</v>
      </c>
      <c r="E2241" s="22">
        <v>83</v>
      </c>
      <c r="F2241" s="22">
        <v>2</v>
      </c>
      <c r="G2241" s="22">
        <v>9</v>
      </c>
      <c r="H2241" s="22"/>
      <c r="I2241" s="23" t="s">
        <v>9</v>
      </c>
      <c r="J2241" s="23"/>
      <c r="K2241" s="22"/>
      <c r="L2241" s="22"/>
      <c r="M2241" s="23"/>
      <c r="N2241" s="23"/>
      <c r="O2241" s="26" t="s">
        <v>1686</v>
      </c>
      <c r="P2241" s="26"/>
      <c r="Q2241" s="22"/>
      <c r="R2241" s="24"/>
      <c r="S2241" s="24"/>
      <c r="T2241" s="24"/>
      <c r="U2241" s="24"/>
      <c r="V2241" s="24"/>
      <c r="W2241" s="22" t="s">
        <v>940</v>
      </c>
      <c r="X2241" s="4" t="str">
        <f>IF(Tabela2[[#This Row],[sigla]]="","",VLOOKUP(Tabela2[[#This Row],[sigla]],créditos_base!B:C,2,0))</f>
        <v>RONALDO LUCENA/ARQUIVO DA EDITORA</v>
      </c>
      <c r="Y2241" s="23"/>
      <c r="Z2241" s="23" t="str">
        <f>Tabela2[[#This Row],[ilustrador]]</f>
        <v>RONALDO LUCENA/ARQUIVO DA EDITORA</v>
      </c>
      <c r="AA2241" s="22"/>
      <c r="AB2241" s="20"/>
      <c r="AD2241" s="4" t="str">
        <f>"Pitanguá"</f>
        <v>Pitanguá</v>
      </c>
      <c r="AE2241" s="14" t="str">
        <f>"Matemática"</f>
        <v>Matemática</v>
      </c>
      <c r="AF2241" s="14"/>
    </row>
    <row r="2242" spans="1:32" x14ac:dyDescent="0.3">
      <c r="A2242" s="23" t="s">
        <v>4928</v>
      </c>
      <c r="B2242" s="20" t="s">
        <v>16</v>
      </c>
      <c r="C2242" s="20" t="s">
        <v>7</v>
      </c>
      <c r="D2242" s="20" t="s">
        <v>8</v>
      </c>
      <c r="E2242" s="22">
        <v>232</v>
      </c>
      <c r="F2242" s="22">
        <v>3</v>
      </c>
      <c r="G2242" s="22">
        <v>9</v>
      </c>
      <c r="H2242" s="22"/>
      <c r="I2242" s="23" t="s">
        <v>33</v>
      </c>
      <c r="J2242" s="23"/>
      <c r="K2242" s="22"/>
      <c r="L2242" s="22"/>
      <c r="M2242" s="23"/>
      <c r="N2242" s="23"/>
      <c r="O2242" s="26" t="s">
        <v>4929</v>
      </c>
      <c r="P2242" s="26"/>
      <c r="Q2242" s="22">
        <v>88</v>
      </c>
      <c r="R2242" s="24">
        <v>45839</v>
      </c>
      <c r="S2242" s="24">
        <v>45845</v>
      </c>
      <c r="T2242" s="24"/>
      <c r="U2242" s="24"/>
      <c r="V2242" s="24">
        <v>45845</v>
      </c>
      <c r="W2242" s="22" t="s">
        <v>31</v>
      </c>
      <c r="X2242" s="4" t="str">
        <f>IF(Tabela2[[#This Row],[sigla]]="","",VLOOKUP(Tabela2[[#This Row],[sigla]],créditos_base!B:C,2,0))</f>
        <v>SILVIA OTOFUJI/ARQUIVO DA EDITORA</v>
      </c>
      <c r="Y2242" s="23" t="s">
        <v>152</v>
      </c>
      <c r="Z2242" s="23" t="str">
        <f>Tabela2[[#This Row],[ilustrador]]</f>
        <v>SILVIA OTOFUJI/ARQUIVO DA EDITORA</v>
      </c>
      <c r="AA2242" s="22">
        <v>13</v>
      </c>
      <c r="AB2242" s="20" t="s">
        <v>153</v>
      </c>
      <c r="AC2242" s="20" t="s">
        <v>36</v>
      </c>
      <c r="AD2242" s="4" t="str">
        <f>"Pitanguá"</f>
        <v>Pitanguá</v>
      </c>
      <c r="AE2242" s="14" t="str">
        <f>"Matemática"</f>
        <v>Matemática</v>
      </c>
      <c r="AF2242" s="14"/>
    </row>
    <row r="2243" spans="1:32" x14ac:dyDescent="0.3">
      <c r="A2243" s="23" t="s">
        <v>5742</v>
      </c>
      <c r="B2243" s="20" t="s">
        <v>16</v>
      </c>
      <c r="C2243" s="20" t="s">
        <v>7</v>
      </c>
      <c r="D2243" s="20" t="s">
        <v>8</v>
      </c>
      <c r="E2243" s="22">
        <v>258</v>
      </c>
      <c r="F2243" s="22">
        <v>5</v>
      </c>
      <c r="G2243" s="22">
        <v>10</v>
      </c>
      <c r="H2243" s="22"/>
      <c r="I2243" s="23" t="s">
        <v>33</v>
      </c>
      <c r="J2243" s="23"/>
      <c r="K2243" s="22"/>
      <c r="L2243" s="22"/>
      <c r="M2243" s="23"/>
      <c r="N2243" s="23"/>
      <c r="O2243" s="26" t="s">
        <v>5743</v>
      </c>
      <c r="P2243" s="26"/>
      <c r="Q2243" s="22">
        <v>144</v>
      </c>
      <c r="R2243" s="24">
        <v>45873</v>
      </c>
      <c r="S2243" s="24">
        <v>45880</v>
      </c>
      <c r="T2243" s="24"/>
      <c r="U2243" s="24"/>
      <c r="V2243" s="24">
        <v>45882</v>
      </c>
      <c r="W2243" s="22" t="s">
        <v>5744</v>
      </c>
      <c r="X2243" s="4" t="str">
        <f>IF(Tabela2[[#This Row],[sigla]]="","",VLOOKUP(Tabela2[[#This Row],[sigla]],créditos_base!B:C,2,0))</f>
        <v>SABRINA ERAS/ARQUIVO DA EDITORA</v>
      </c>
      <c r="Y2243" s="23" t="s">
        <v>243</v>
      </c>
      <c r="Z2243" s="23" t="str">
        <f>Tabela2[[#This Row],[ilustrador]]</f>
        <v>SABRINA ERAS/ARQUIVO DA EDITORA</v>
      </c>
      <c r="AA2243" s="22">
        <v>13</v>
      </c>
      <c r="AB2243" s="20" t="s">
        <v>5741</v>
      </c>
      <c r="AC2243" s="20" t="s">
        <v>36</v>
      </c>
      <c r="AD2243" s="4" t="str">
        <f>"Pitanguá"</f>
        <v>Pitanguá</v>
      </c>
      <c r="AE2243" s="14" t="str">
        <f>"Matemática"</f>
        <v>Matemática</v>
      </c>
      <c r="AF2243" s="14"/>
    </row>
    <row r="2244" spans="1:32" x14ac:dyDescent="0.3">
      <c r="A2244" s="23" t="s">
        <v>633</v>
      </c>
      <c r="B2244" s="20" t="s">
        <v>16</v>
      </c>
      <c r="C2244" s="20" t="s">
        <v>89</v>
      </c>
      <c r="D2244" s="20" t="s">
        <v>8</v>
      </c>
      <c r="E2244" s="22">
        <v>175</v>
      </c>
      <c r="F2244" s="22">
        <v>1</v>
      </c>
      <c r="G2244" s="22">
        <v>9</v>
      </c>
      <c r="H2244" s="22"/>
      <c r="I2244" s="23" t="s">
        <v>9</v>
      </c>
      <c r="J2244" s="23"/>
      <c r="K2244" s="22"/>
      <c r="L2244" s="22"/>
      <c r="M2244" s="23"/>
      <c r="N2244" s="23"/>
      <c r="O2244" s="26" t="s">
        <v>634</v>
      </c>
      <c r="P2244" s="26"/>
      <c r="Q2244" s="22"/>
      <c r="R2244" s="24"/>
      <c r="S2244" s="24"/>
      <c r="T2244" s="24"/>
      <c r="U2244" s="24"/>
      <c r="V2244" s="24"/>
      <c r="W2244" s="22" t="s">
        <v>230</v>
      </c>
      <c r="X2244" s="4" t="str">
        <f>IF(Tabela2[[#This Row],[sigla]]="","",VLOOKUP(Tabela2[[#This Row],[sigla]],créditos_base!B:C,2,0))</f>
        <v>RAFAEL L. GAION/ARQUIVO DA EDITORA</v>
      </c>
      <c r="Y2244" s="23"/>
      <c r="Z2244" s="23" t="str">
        <f>Tabela2[[#This Row],[ilustrador]]</f>
        <v>RAFAEL L. GAION/ARQUIVO DA EDITORA</v>
      </c>
      <c r="AA2244" s="22"/>
      <c r="AB2244" s="20"/>
      <c r="AD2244" s="4" t="str">
        <f>"Pitanguá"</f>
        <v>Pitanguá</v>
      </c>
      <c r="AE2244" s="14" t="str">
        <f>"Matemática"</f>
        <v>Matemática</v>
      </c>
      <c r="AF2244" s="14"/>
    </row>
    <row r="2245" spans="1:32" ht="57.6" x14ac:dyDescent="0.3">
      <c r="A2245" s="30" t="s">
        <v>1687</v>
      </c>
      <c r="B2245" s="20" t="s">
        <v>16</v>
      </c>
      <c r="C2245" s="20" t="s">
        <v>89</v>
      </c>
      <c r="D2245" s="20" t="s">
        <v>8</v>
      </c>
      <c r="E2245" s="22">
        <v>84</v>
      </c>
      <c r="F2245" s="22">
        <v>2</v>
      </c>
      <c r="G2245" s="22">
        <v>9</v>
      </c>
      <c r="H2245" s="22"/>
      <c r="I2245" s="23" t="s">
        <v>9</v>
      </c>
      <c r="J2245" s="23"/>
      <c r="K2245" s="22"/>
      <c r="L2245" s="22"/>
      <c r="M2245" s="23"/>
      <c r="N2245" s="23"/>
      <c r="O2245" s="26" t="s">
        <v>1688</v>
      </c>
      <c r="P2245" s="26"/>
      <c r="Q2245" s="22"/>
      <c r="R2245" s="24"/>
      <c r="S2245" s="24"/>
      <c r="T2245" s="24"/>
      <c r="U2245" s="24"/>
      <c r="V2245" s="24"/>
      <c r="W2245" s="22" t="s">
        <v>940</v>
      </c>
      <c r="X2245" s="4" t="str">
        <f>IF(Tabela2[[#This Row],[sigla]]="","",VLOOKUP(Tabela2[[#This Row],[sigla]],créditos_base!B:C,2,0))</f>
        <v>RONALDO LUCENA/ARQUIVO DA EDITORA</v>
      </c>
      <c r="Y2245" s="23"/>
      <c r="Z2245" s="23" t="str">
        <f>Tabela2[[#This Row],[ilustrador]]</f>
        <v>RONALDO LUCENA/ARQUIVO DA EDITORA</v>
      </c>
      <c r="AA2245" s="22"/>
      <c r="AB2245" s="20"/>
      <c r="AD2245" s="4" t="str">
        <f>"Pitanguá"</f>
        <v>Pitanguá</v>
      </c>
      <c r="AE2245" s="14" t="str">
        <f>"Matemática"</f>
        <v>Matemática</v>
      </c>
      <c r="AF2245" s="14"/>
    </row>
    <row r="2246" spans="1:32" ht="43.2" x14ac:dyDescent="0.3">
      <c r="A2246" s="23" t="s">
        <v>4932</v>
      </c>
      <c r="B2246" s="20" t="s">
        <v>16</v>
      </c>
      <c r="C2246" s="20" t="s">
        <v>7</v>
      </c>
      <c r="D2246" s="20" t="s">
        <v>8</v>
      </c>
      <c r="E2246" s="22">
        <v>232</v>
      </c>
      <c r="F2246" s="22">
        <v>3</v>
      </c>
      <c r="G2246" s="22">
        <v>9</v>
      </c>
      <c r="H2246" s="22"/>
      <c r="I2246" s="23" t="s">
        <v>33</v>
      </c>
      <c r="J2246" s="23"/>
      <c r="K2246" s="22"/>
      <c r="L2246" s="22"/>
      <c r="M2246" s="23"/>
      <c r="N2246" s="23"/>
      <c r="O2246" s="26" t="s">
        <v>4933</v>
      </c>
      <c r="P2246" s="26"/>
      <c r="Q2246" s="22">
        <v>88</v>
      </c>
      <c r="R2246" s="24">
        <v>45839</v>
      </c>
      <c r="S2246" s="24">
        <v>45845</v>
      </c>
      <c r="T2246" s="24"/>
      <c r="U2246" s="24"/>
      <c r="V2246" s="24">
        <v>45845</v>
      </c>
      <c r="W2246" s="22" t="s">
        <v>31</v>
      </c>
      <c r="X2246" s="4" t="str">
        <f>IF(Tabela2[[#This Row],[sigla]]="","",VLOOKUP(Tabela2[[#This Row],[sigla]],créditos_base!B:C,2,0))</f>
        <v>SILVIA OTOFUJI/ARQUIVO DA EDITORA</v>
      </c>
      <c r="Y2246" s="23" t="s">
        <v>152</v>
      </c>
      <c r="Z2246" s="23" t="str">
        <f>Tabela2[[#This Row],[ilustrador]]</f>
        <v>SILVIA OTOFUJI/ARQUIVO DA EDITORA</v>
      </c>
      <c r="AA2246" s="22">
        <v>13</v>
      </c>
      <c r="AB2246" s="20" t="s">
        <v>153</v>
      </c>
      <c r="AC2246" s="20" t="s">
        <v>36</v>
      </c>
      <c r="AD2246" s="4" t="str">
        <f>"Pitanguá"</f>
        <v>Pitanguá</v>
      </c>
      <c r="AE2246" s="14" t="str">
        <f>"Matemática"</f>
        <v>Matemática</v>
      </c>
      <c r="AF2246" s="14"/>
    </row>
    <row r="2247" spans="1:32" ht="28.8" x14ac:dyDescent="0.3">
      <c r="A2247" s="23" t="s">
        <v>3395</v>
      </c>
      <c r="B2247" s="20" t="s">
        <v>16</v>
      </c>
      <c r="C2247" s="20" t="s">
        <v>7</v>
      </c>
      <c r="D2247" s="20" t="s">
        <v>8</v>
      </c>
      <c r="E2247" s="22">
        <v>200</v>
      </c>
      <c r="F2247" s="22">
        <v>4</v>
      </c>
      <c r="G2247" s="22">
        <v>9</v>
      </c>
      <c r="H2247" s="22"/>
      <c r="I2247" s="23" t="s">
        <v>9</v>
      </c>
      <c r="J2247" s="23"/>
      <c r="K2247" s="22"/>
      <c r="L2247" s="22"/>
      <c r="M2247" s="23"/>
      <c r="N2247" s="23"/>
      <c r="O2247" s="26" t="s">
        <v>3396</v>
      </c>
      <c r="P2247" s="26"/>
      <c r="Q2247" s="22"/>
      <c r="R2247" s="24"/>
      <c r="S2247" s="24"/>
      <c r="T2247" s="24"/>
      <c r="U2247" s="24"/>
      <c r="V2247" s="24"/>
      <c r="W2247" s="22" t="s">
        <v>12</v>
      </c>
      <c r="X2247" s="4" t="str">
        <f>IF(Tabela2[[#This Row],[sigla]]="","",VLOOKUP(Tabela2[[#This Row],[sigla]],créditos_base!B:C,2,0))</f>
        <v>JORGE ZAIBA/ARQUIVO DA EDITORA</v>
      </c>
      <c r="Y2247" s="23"/>
      <c r="Z2247" s="23" t="str">
        <f>Tabela2[[#This Row],[ilustrador]]</f>
        <v>JORGE ZAIBA/ARQUIVO DA EDITORA</v>
      </c>
      <c r="AA2247" s="22"/>
      <c r="AB2247" s="20"/>
      <c r="AD2247" s="4" t="str">
        <f>"Pitanguá"</f>
        <v>Pitanguá</v>
      </c>
      <c r="AE2247" s="14" t="str">
        <f>"Matemática"</f>
        <v>Matemática</v>
      </c>
      <c r="AF2247" s="14"/>
    </row>
    <row r="2248" spans="1:32" ht="28.8" x14ac:dyDescent="0.3">
      <c r="A2248" s="23" t="s">
        <v>635</v>
      </c>
      <c r="B2248" s="20" t="s">
        <v>16</v>
      </c>
      <c r="C2248" s="20" t="s">
        <v>89</v>
      </c>
      <c r="D2248" s="20" t="s">
        <v>8</v>
      </c>
      <c r="E2248" s="22">
        <v>175</v>
      </c>
      <c r="F2248" s="22">
        <v>1</v>
      </c>
      <c r="G2248" s="22">
        <v>9</v>
      </c>
      <c r="H2248" s="22"/>
      <c r="I2248" s="23" t="s">
        <v>9</v>
      </c>
      <c r="J2248" s="23"/>
      <c r="K2248" s="22"/>
      <c r="L2248" s="22"/>
      <c r="M2248" s="23"/>
      <c r="N2248" s="23"/>
      <c r="O2248" s="26" t="s">
        <v>636</v>
      </c>
      <c r="P2248" s="26"/>
      <c r="Q2248" s="22"/>
      <c r="R2248" s="24"/>
      <c r="S2248" s="24"/>
      <c r="T2248" s="24"/>
      <c r="U2248" s="24"/>
      <c r="V2248" s="24"/>
      <c r="W2248" s="22" t="s">
        <v>230</v>
      </c>
      <c r="X2248" s="4" t="str">
        <f>IF(Tabela2[[#This Row],[sigla]]="","",VLOOKUP(Tabela2[[#This Row],[sigla]],créditos_base!B:C,2,0))</f>
        <v>RAFAEL L. GAION/ARQUIVO DA EDITORA</v>
      </c>
      <c r="Y2248" s="23"/>
      <c r="Z2248" s="23" t="str">
        <f>Tabela2[[#This Row],[ilustrador]]</f>
        <v>RAFAEL L. GAION/ARQUIVO DA EDITORA</v>
      </c>
      <c r="AA2248" s="22"/>
      <c r="AB2248" s="20"/>
      <c r="AD2248" s="4" t="str">
        <f>"Pitanguá"</f>
        <v>Pitanguá</v>
      </c>
      <c r="AE2248" s="14" t="str">
        <f>"Matemática"</f>
        <v>Matemática</v>
      </c>
      <c r="AF2248" s="14"/>
    </row>
    <row r="2249" spans="1:32" ht="28.8" x14ac:dyDescent="0.3">
      <c r="A2249" s="30" t="s">
        <v>1689</v>
      </c>
      <c r="B2249" s="20" t="s">
        <v>16</v>
      </c>
      <c r="C2249" s="20" t="s">
        <v>89</v>
      </c>
      <c r="D2249" s="20" t="s">
        <v>8</v>
      </c>
      <c r="E2249" s="22">
        <v>84</v>
      </c>
      <c r="F2249" s="22">
        <v>2</v>
      </c>
      <c r="G2249" s="22">
        <v>9</v>
      </c>
      <c r="H2249" s="22"/>
      <c r="I2249" s="23" t="s">
        <v>9</v>
      </c>
      <c r="J2249" s="23"/>
      <c r="K2249" s="22"/>
      <c r="L2249" s="22"/>
      <c r="M2249" s="23"/>
      <c r="N2249" s="23"/>
      <c r="O2249" s="26" t="s">
        <v>1690</v>
      </c>
      <c r="P2249" s="26"/>
      <c r="Q2249" s="22"/>
      <c r="R2249" s="24"/>
      <c r="S2249" s="24"/>
      <c r="T2249" s="24"/>
      <c r="U2249" s="24"/>
      <c r="V2249" s="24"/>
      <c r="W2249" s="22" t="s">
        <v>940</v>
      </c>
      <c r="X2249" s="4" t="str">
        <f>IF(Tabela2[[#This Row],[sigla]]="","",VLOOKUP(Tabela2[[#This Row],[sigla]],créditos_base!B:C,2,0))</f>
        <v>RONALDO LUCENA/ARQUIVO DA EDITORA</v>
      </c>
      <c r="Y2249" s="23"/>
      <c r="Z2249" s="23" t="str">
        <f>Tabela2[[#This Row],[ilustrador]]</f>
        <v>RONALDO LUCENA/ARQUIVO DA EDITORA</v>
      </c>
      <c r="AA2249" s="22"/>
      <c r="AB2249" s="20"/>
      <c r="AD2249" s="4" t="str">
        <f>"Pitanguá"</f>
        <v>Pitanguá</v>
      </c>
      <c r="AE2249" s="14" t="str">
        <f>"Matemática"</f>
        <v>Matemática</v>
      </c>
      <c r="AF2249" s="14"/>
    </row>
    <row r="2250" spans="1:32" ht="28.8" x14ac:dyDescent="0.3">
      <c r="A2250" s="23" t="s">
        <v>4934</v>
      </c>
      <c r="B2250" s="20" t="s">
        <v>16</v>
      </c>
      <c r="C2250" s="20" t="s">
        <v>7</v>
      </c>
      <c r="D2250" s="20" t="s">
        <v>8</v>
      </c>
      <c r="E2250" s="22">
        <v>232</v>
      </c>
      <c r="F2250" s="22">
        <v>3</v>
      </c>
      <c r="G2250" s="22">
        <v>9</v>
      </c>
      <c r="H2250" s="22"/>
      <c r="I2250" s="23" t="s">
        <v>33</v>
      </c>
      <c r="J2250" s="23"/>
      <c r="K2250" s="22"/>
      <c r="L2250" s="22"/>
      <c r="M2250" s="23"/>
      <c r="N2250" s="23"/>
      <c r="O2250" s="26" t="s">
        <v>4935</v>
      </c>
      <c r="P2250" s="26"/>
      <c r="Q2250" s="22">
        <v>88</v>
      </c>
      <c r="R2250" s="24">
        <v>45839</v>
      </c>
      <c r="S2250" s="24">
        <v>45845</v>
      </c>
      <c r="T2250" s="24"/>
      <c r="U2250" s="24"/>
      <c r="V2250" s="24">
        <v>45845</v>
      </c>
      <c r="W2250" s="22" t="s">
        <v>31</v>
      </c>
      <c r="X2250" s="4" t="str">
        <f>IF(Tabela2[[#This Row],[sigla]]="","",VLOOKUP(Tabela2[[#This Row],[sigla]],créditos_base!B:C,2,0))</f>
        <v>SILVIA OTOFUJI/ARQUIVO DA EDITORA</v>
      </c>
      <c r="Y2250" s="23" t="s">
        <v>152</v>
      </c>
      <c r="Z2250" s="23" t="str">
        <f>Tabela2[[#This Row],[ilustrador]]</f>
        <v>SILVIA OTOFUJI/ARQUIVO DA EDITORA</v>
      </c>
      <c r="AA2250" s="22">
        <v>13</v>
      </c>
      <c r="AB2250" s="20" t="s">
        <v>153</v>
      </c>
      <c r="AC2250" s="20" t="s">
        <v>36</v>
      </c>
      <c r="AD2250" s="4" t="str">
        <f>"Pitanguá"</f>
        <v>Pitanguá</v>
      </c>
      <c r="AE2250" s="14" t="str">
        <f>"Matemática"</f>
        <v>Matemática</v>
      </c>
      <c r="AF2250" s="14"/>
    </row>
    <row r="2251" spans="1:32" ht="86.4" x14ac:dyDescent="0.3">
      <c r="A2251" s="23" t="s">
        <v>5361</v>
      </c>
      <c r="B2251" s="20" t="s">
        <v>16</v>
      </c>
      <c r="C2251" s="20" t="s">
        <v>7</v>
      </c>
      <c r="D2251" s="20" t="s">
        <v>8</v>
      </c>
      <c r="E2251" s="22">
        <v>228</v>
      </c>
      <c r="F2251" s="22">
        <v>4</v>
      </c>
      <c r="G2251" s="22">
        <v>9</v>
      </c>
      <c r="H2251" s="22"/>
      <c r="I2251" s="23" t="s">
        <v>33</v>
      </c>
      <c r="J2251" s="23"/>
      <c r="K2251" s="22"/>
      <c r="L2251" s="22"/>
      <c r="M2251" s="23"/>
      <c r="N2251" s="23"/>
      <c r="O2251" s="26" t="s">
        <v>5362</v>
      </c>
      <c r="P2251" s="26"/>
      <c r="Q2251" s="22">
        <v>124</v>
      </c>
      <c r="R2251" s="24">
        <v>45862</v>
      </c>
      <c r="S2251" s="24">
        <v>45866</v>
      </c>
      <c r="T2251" s="24"/>
      <c r="U2251" s="24"/>
      <c r="V2251" s="24">
        <v>45866</v>
      </c>
      <c r="W2251" s="22" t="s">
        <v>460</v>
      </c>
      <c r="X2251" s="4" t="str">
        <f>IF(Tabela2[[#This Row],[sigla]]="","",VLOOKUP(Tabela2[[#This Row],[sigla]],créditos_base!B:C,2,0))</f>
        <v>CLAUDIA SOUZA/ARQUIVO DA EDITORA</v>
      </c>
      <c r="Y2251" s="23" t="s">
        <v>524</v>
      </c>
      <c r="Z2251" s="23" t="str">
        <f>Tabela2[[#This Row],[ilustrador]]</f>
        <v>CLAUDIA SOUZA/ARQUIVO DA EDITORA</v>
      </c>
      <c r="AA2251" s="22">
        <v>13</v>
      </c>
      <c r="AB2251" s="20" t="s">
        <v>2793</v>
      </c>
      <c r="AC2251" s="20" t="s">
        <v>36</v>
      </c>
      <c r="AD2251" s="4" t="str">
        <f>"Pitanguá"</f>
        <v>Pitanguá</v>
      </c>
      <c r="AE2251" s="14" t="str">
        <f>"Matemática"</f>
        <v>Matemática</v>
      </c>
      <c r="AF2251" s="14"/>
    </row>
    <row r="2252" spans="1:32" ht="86.4" x14ac:dyDescent="0.3">
      <c r="A2252" s="23" t="s">
        <v>637</v>
      </c>
      <c r="B2252" s="20" t="s">
        <v>16</v>
      </c>
      <c r="C2252" s="20" t="s">
        <v>89</v>
      </c>
      <c r="D2252" s="20" t="s">
        <v>8</v>
      </c>
      <c r="E2252" s="22">
        <v>175</v>
      </c>
      <c r="F2252" s="22">
        <v>1</v>
      </c>
      <c r="G2252" s="22">
        <v>9</v>
      </c>
      <c r="H2252" s="22"/>
      <c r="I2252" s="23" t="s">
        <v>9</v>
      </c>
      <c r="J2252" s="23"/>
      <c r="K2252" s="22"/>
      <c r="L2252" s="22"/>
      <c r="M2252" s="23"/>
      <c r="N2252" s="23"/>
      <c r="O2252" s="26" t="s">
        <v>638</v>
      </c>
      <c r="P2252" s="26"/>
      <c r="Q2252" s="22"/>
      <c r="R2252" s="24"/>
      <c r="S2252" s="24"/>
      <c r="T2252" s="24"/>
      <c r="U2252" s="24"/>
      <c r="V2252" s="24"/>
      <c r="W2252" s="22" t="s">
        <v>230</v>
      </c>
      <c r="X2252" s="4" t="str">
        <f>IF(Tabela2[[#This Row],[sigla]]="","",VLOOKUP(Tabela2[[#This Row],[sigla]],créditos_base!B:C,2,0))</f>
        <v>RAFAEL L. GAION/ARQUIVO DA EDITORA</v>
      </c>
      <c r="Y2252" s="23"/>
      <c r="Z2252" s="23" t="str">
        <f>Tabela2[[#This Row],[ilustrador]]</f>
        <v>RAFAEL L. GAION/ARQUIVO DA EDITORA</v>
      </c>
      <c r="AA2252" s="22"/>
      <c r="AB2252" s="20"/>
      <c r="AD2252" s="4" t="str">
        <f>"Pitanguá"</f>
        <v>Pitanguá</v>
      </c>
      <c r="AE2252" s="14" t="str">
        <f>"Matemática"</f>
        <v>Matemática</v>
      </c>
      <c r="AF2252" s="14"/>
    </row>
    <row r="2253" spans="1:32" ht="28.8" x14ac:dyDescent="0.3">
      <c r="A2253" s="30" t="s">
        <v>1691</v>
      </c>
      <c r="B2253" s="20" t="s">
        <v>16</v>
      </c>
      <c r="C2253" s="20" t="s">
        <v>89</v>
      </c>
      <c r="D2253" s="20" t="s">
        <v>8</v>
      </c>
      <c r="E2253" s="22">
        <v>84</v>
      </c>
      <c r="F2253" s="22">
        <v>2</v>
      </c>
      <c r="G2253" s="22">
        <v>9</v>
      </c>
      <c r="H2253" s="22"/>
      <c r="I2253" s="23" t="s">
        <v>33</v>
      </c>
      <c r="J2253" s="23"/>
      <c r="K2253" s="22"/>
      <c r="L2253" s="22"/>
      <c r="M2253" s="23"/>
      <c r="N2253" s="23"/>
      <c r="O2253" s="26" t="s">
        <v>1692</v>
      </c>
      <c r="P2253" s="26"/>
      <c r="Q2253" s="22">
        <v>20</v>
      </c>
      <c r="R2253" s="24">
        <v>45748</v>
      </c>
      <c r="S2253" s="24">
        <v>45748</v>
      </c>
      <c r="T2253" s="24"/>
      <c r="U2253" s="24"/>
      <c r="V2253" s="24">
        <v>45754</v>
      </c>
      <c r="W2253" s="22" t="s">
        <v>940</v>
      </c>
      <c r="X2253" s="4" t="str">
        <f>IF(Tabela2[[#This Row],[sigla]]="","",VLOOKUP(Tabela2[[#This Row],[sigla]],créditos_base!B:C,2,0))</f>
        <v>RONALDO LUCENA/ARQUIVO DA EDITORA</v>
      </c>
      <c r="Y2253" s="23" t="s">
        <v>433</v>
      </c>
      <c r="Z2253" s="23" t="str">
        <f>Tabela2[[#This Row],[ilustrador]]</f>
        <v>RONALDO LUCENA/ARQUIVO DA EDITORA</v>
      </c>
      <c r="AA2253" s="22">
        <v>13</v>
      </c>
      <c r="AB2253" s="20" t="s">
        <v>153</v>
      </c>
      <c r="AC2253" s="20" t="s">
        <v>36</v>
      </c>
      <c r="AD2253" s="4" t="str">
        <f>"Pitanguá"</f>
        <v>Pitanguá</v>
      </c>
      <c r="AE2253" s="14" t="str">
        <f>"Matemática"</f>
        <v>Matemática</v>
      </c>
      <c r="AF2253" s="14"/>
    </row>
    <row r="2254" spans="1:32" x14ac:dyDescent="0.3">
      <c r="A2254" s="23" t="s">
        <v>4940</v>
      </c>
      <c r="B2254" s="20" t="s">
        <v>16</v>
      </c>
      <c r="C2254" s="20" t="s">
        <v>89</v>
      </c>
      <c r="D2254" s="20" t="s">
        <v>8</v>
      </c>
      <c r="E2254" s="22">
        <v>241</v>
      </c>
      <c r="F2254" s="22">
        <v>3</v>
      </c>
      <c r="G2254" s="22">
        <v>9</v>
      </c>
      <c r="H2254" s="22"/>
      <c r="I2254" s="23" t="s">
        <v>90</v>
      </c>
      <c r="J2254" s="23"/>
      <c r="K2254" s="22"/>
      <c r="L2254" s="22"/>
      <c r="M2254" s="23"/>
      <c r="N2254" s="23"/>
      <c r="O2254" s="26" t="s">
        <v>4941</v>
      </c>
      <c r="P2254" s="26"/>
      <c r="Q2254" s="22">
        <v>88</v>
      </c>
      <c r="R2254" s="24">
        <v>45839</v>
      </c>
      <c r="S2254" s="24">
        <v>45845</v>
      </c>
      <c r="T2254" s="24">
        <v>45845</v>
      </c>
      <c r="U2254" s="24">
        <v>45845</v>
      </c>
      <c r="V2254" s="24">
        <v>45849</v>
      </c>
      <c r="W2254" s="22" t="s">
        <v>4778</v>
      </c>
      <c r="X2254" s="4" t="str">
        <f>IF(Tabela2[[#This Row],[sigla]]="","",VLOOKUP(Tabela2[[#This Row],[sigla]],créditos_base!B:C,2,0))</f>
        <v>WERLLEN HOLANDA/ARQUIVO DA EDITORA</v>
      </c>
      <c r="Y2254" s="23"/>
      <c r="Z2254" s="23" t="str">
        <f>Tabela2[[#This Row],[ilustrador]]</f>
        <v>WERLLEN HOLANDA/ARQUIVO DA EDITORA</v>
      </c>
      <c r="AA2254" s="22">
        <v>7</v>
      </c>
      <c r="AB2254" s="20" t="s">
        <v>4942</v>
      </c>
      <c r="AC2254" s="20" t="s">
        <v>310</v>
      </c>
      <c r="AD2254" s="4" t="str">
        <f>"Pitanguá"</f>
        <v>Pitanguá</v>
      </c>
      <c r="AE2254" s="14" t="str">
        <f>"Matemática"</f>
        <v>Matemática</v>
      </c>
      <c r="AF2254" s="14"/>
    </row>
    <row r="2255" spans="1:32" ht="28.8" x14ac:dyDescent="0.3">
      <c r="A2255" s="23" t="s">
        <v>2438</v>
      </c>
      <c r="B2255" s="20" t="s">
        <v>16</v>
      </c>
      <c r="C2255" s="20" t="s">
        <v>7</v>
      </c>
      <c r="D2255" s="20" t="s">
        <v>8</v>
      </c>
      <c r="E2255" s="22">
        <v>204</v>
      </c>
      <c r="F2255" s="22">
        <v>1</v>
      </c>
      <c r="G2255" s="22">
        <v>9</v>
      </c>
      <c r="H2255" s="22"/>
      <c r="I2255" s="23" t="s">
        <v>9</v>
      </c>
      <c r="J2255" s="23"/>
      <c r="K2255" s="22"/>
      <c r="L2255" s="22"/>
      <c r="M2255" s="23"/>
      <c r="N2255" s="23"/>
      <c r="O2255" s="26" t="s">
        <v>2439</v>
      </c>
      <c r="P2255" s="26"/>
      <c r="Q2255" s="22"/>
      <c r="R2255" s="24"/>
      <c r="S2255" s="24"/>
      <c r="T2255" s="24"/>
      <c r="U2255" s="24"/>
      <c r="V2255" s="24"/>
      <c r="W2255" s="22" t="s">
        <v>87</v>
      </c>
      <c r="X2255" s="4" t="str">
        <f>IF(Tabela2[[#This Row],[sigla]]="","",VLOOKUP(Tabela2[[#This Row],[sigla]],créditos_base!B:C,2,0))</f>
        <v>CHRIS BORGES/ARQUIVO DA EDITORA</v>
      </c>
      <c r="Y2255" s="23"/>
      <c r="Z2255" s="23" t="str">
        <f>Tabela2[[#This Row],[ilustrador]]</f>
        <v>CHRIS BORGES/ARQUIVO DA EDITORA</v>
      </c>
      <c r="AA2255" s="22"/>
      <c r="AB2255" s="20"/>
      <c r="AD2255" s="4" t="str">
        <f>"Pitanguá"</f>
        <v>Pitanguá</v>
      </c>
      <c r="AE2255" s="14" t="str">
        <f>"Matemática"</f>
        <v>Matemática</v>
      </c>
      <c r="AF2255" s="14"/>
    </row>
    <row r="2256" spans="1:32" ht="28.8" x14ac:dyDescent="0.3">
      <c r="A2256" s="30" t="s">
        <v>1693</v>
      </c>
      <c r="B2256" s="20" t="s">
        <v>16</v>
      </c>
      <c r="C2256" s="20" t="s">
        <v>89</v>
      </c>
      <c r="D2256" s="20" t="s">
        <v>8</v>
      </c>
      <c r="E2256" s="22">
        <v>221</v>
      </c>
      <c r="F2256" s="22">
        <v>2</v>
      </c>
      <c r="G2256" s="22">
        <v>9</v>
      </c>
      <c r="H2256" s="22"/>
      <c r="I2256" s="23" t="s">
        <v>33</v>
      </c>
      <c r="J2256" s="23"/>
      <c r="K2256" s="22"/>
      <c r="L2256" s="22"/>
      <c r="M2256" s="23"/>
      <c r="N2256" s="23"/>
      <c r="O2256" s="26" t="s">
        <v>1694</v>
      </c>
      <c r="P2256" s="26"/>
      <c r="Q2256" s="22">
        <v>84</v>
      </c>
      <c r="R2256" s="24">
        <v>45832</v>
      </c>
      <c r="S2256" s="24">
        <v>45833</v>
      </c>
      <c r="T2256" s="24"/>
      <c r="U2256" s="24"/>
      <c r="V2256" s="24">
        <v>45833</v>
      </c>
      <c r="W2256" s="22" t="s">
        <v>160</v>
      </c>
      <c r="X2256" s="4" t="str">
        <f>IF(Tabela2[[#This Row],[sigla]]="","",VLOOKUP(Tabela2[[#This Row],[sigla]],créditos_base!B:C,2,0))</f>
        <v>SERGIO LIMA/ARQUIVO DA EDITORA</v>
      </c>
      <c r="Y2256" s="23" t="s">
        <v>880</v>
      </c>
      <c r="Z2256" s="23" t="str">
        <f>Tabela2[[#This Row],[ilustrador]]</f>
        <v>SERGIO LIMA/ARQUIVO DA EDITORA</v>
      </c>
      <c r="AA2256" s="22">
        <v>13</v>
      </c>
      <c r="AB2256" s="20" t="s">
        <v>244</v>
      </c>
      <c r="AC2256" s="20" t="s">
        <v>36</v>
      </c>
      <c r="AD2256" s="4" t="str">
        <f>"Pitanguá"</f>
        <v>Pitanguá</v>
      </c>
      <c r="AE2256" s="14" t="str">
        <f>"Matemática"</f>
        <v>Matemática</v>
      </c>
      <c r="AF2256" s="14"/>
    </row>
    <row r="2257" spans="1:32" ht="28.8" x14ac:dyDescent="0.3">
      <c r="A2257" s="23" t="s">
        <v>4971</v>
      </c>
      <c r="B2257" s="20" t="s">
        <v>16</v>
      </c>
      <c r="C2257" s="20" t="s">
        <v>89</v>
      </c>
      <c r="D2257" s="20" t="s">
        <v>8</v>
      </c>
      <c r="E2257" s="22">
        <v>241</v>
      </c>
      <c r="F2257" s="22">
        <v>3</v>
      </c>
      <c r="G2257" s="22">
        <v>9</v>
      </c>
      <c r="H2257" s="22"/>
      <c r="I2257" s="23" t="s">
        <v>33</v>
      </c>
      <c r="J2257" s="23"/>
      <c r="K2257" s="22"/>
      <c r="L2257" s="22"/>
      <c r="M2257" s="23"/>
      <c r="N2257" s="23"/>
      <c r="O2257" s="26" t="s">
        <v>4972</v>
      </c>
      <c r="P2257" s="26"/>
      <c r="Q2257" s="22">
        <v>88</v>
      </c>
      <c r="R2257" s="24">
        <v>45839</v>
      </c>
      <c r="S2257" s="24">
        <v>45845</v>
      </c>
      <c r="T2257" s="24"/>
      <c r="U2257" s="24"/>
      <c r="V2257" s="24">
        <v>45845</v>
      </c>
      <c r="W2257" s="22" t="s">
        <v>160</v>
      </c>
      <c r="X2257" s="4" t="str">
        <f>IF(Tabela2[[#This Row],[sigla]]="","",VLOOKUP(Tabela2[[#This Row],[sigla]],créditos_base!B:C,2,0))</f>
        <v>SERGIO LIMA/ARQUIVO DA EDITORA</v>
      </c>
      <c r="Y2257" s="23" t="s">
        <v>152</v>
      </c>
      <c r="Z2257" s="23" t="str">
        <f>Tabela2[[#This Row],[ilustrador]]</f>
        <v>SERGIO LIMA/ARQUIVO DA EDITORA</v>
      </c>
      <c r="AA2257" s="22">
        <v>13</v>
      </c>
      <c r="AB2257" s="20" t="s">
        <v>153</v>
      </c>
      <c r="AC2257" s="20" t="s">
        <v>36</v>
      </c>
      <c r="AD2257" s="4" t="str">
        <f>"Pitanguá"</f>
        <v>Pitanguá</v>
      </c>
      <c r="AE2257" s="14" t="str">
        <f>"Matemática"</f>
        <v>Matemática</v>
      </c>
      <c r="AF2257" s="14"/>
    </row>
    <row r="2258" spans="1:32" ht="57.6" x14ac:dyDescent="0.3">
      <c r="A2258" s="23" t="s">
        <v>3397</v>
      </c>
      <c r="B2258" s="20" t="s">
        <v>16</v>
      </c>
      <c r="C2258" s="20" t="s">
        <v>89</v>
      </c>
      <c r="D2258" s="20" t="s">
        <v>8</v>
      </c>
      <c r="E2258" s="22">
        <v>202</v>
      </c>
      <c r="F2258" s="22">
        <v>4</v>
      </c>
      <c r="G2258" s="22">
        <v>9</v>
      </c>
      <c r="H2258" s="22"/>
      <c r="I2258" s="23" t="s">
        <v>9</v>
      </c>
      <c r="J2258" s="23"/>
      <c r="K2258" s="22"/>
      <c r="L2258" s="22"/>
      <c r="M2258" s="23"/>
      <c r="N2258" s="23"/>
      <c r="O2258" s="26" t="s">
        <v>3398</v>
      </c>
      <c r="P2258" s="26"/>
      <c r="Q2258" s="22"/>
      <c r="R2258" s="24"/>
      <c r="S2258" s="24"/>
      <c r="T2258" s="24"/>
      <c r="U2258" s="24"/>
      <c r="V2258" s="24"/>
      <c r="W2258" s="22" t="s">
        <v>940</v>
      </c>
      <c r="X2258" s="4" t="str">
        <f>IF(Tabela2[[#This Row],[sigla]]="","",VLOOKUP(Tabela2[[#This Row],[sigla]],créditos_base!B:C,2,0))</f>
        <v>RONALDO LUCENA/ARQUIVO DA EDITORA</v>
      </c>
      <c r="Y2258" s="23"/>
      <c r="Z2258" s="23" t="str">
        <f>Tabela2[[#This Row],[ilustrador]]</f>
        <v>RONALDO LUCENA/ARQUIVO DA EDITORA</v>
      </c>
      <c r="AA2258" s="22"/>
      <c r="AB2258" s="20"/>
      <c r="AD2258" s="4" t="str">
        <f>"Pitanguá"</f>
        <v>Pitanguá</v>
      </c>
      <c r="AE2258" s="14" t="str">
        <f>"Matemática"</f>
        <v>Matemática</v>
      </c>
      <c r="AF2258" s="14"/>
    </row>
    <row r="2259" spans="1:32" x14ac:dyDescent="0.3">
      <c r="A2259" s="23" t="s">
        <v>639</v>
      </c>
      <c r="B2259" s="20" t="s">
        <v>16</v>
      </c>
      <c r="C2259" s="20" t="s">
        <v>89</v>
      </c>
      <c r="D2259" s="20" t="s">
        <v>8</v>
      </c>
      <c r="E2259" s="22">
        <v>176</v>
      </c>
      <c r="F2259" s="22">
        <v>1</v>
      </c>
      <c r="G2259" s="22">
        <v>9</v>
      </c>
      <c r="H2259" s="22"/>
      <c r="I2259" s="23" t="s">
        <v>90</v>
      </c>
      <c r="J2259" s="23"/>
      <c r="K2259" s="22"/>
      <c r="L2259" s="22"/>
      <c r="M2259" s="23"/>
      <c r="N2259" s="23"/>
      <c r="O2259" s="26" t="s">
        <v>640</v>
      </c>
      <c r="P2259" s="26"/>
      <c r="Q2259" s="22">
        <v>6</v>
      </c>
      <c r="R2259" s="24">
        <v>45727</v>
      </c>
      <c r="S2259" s="24">
        <v>45727</v>
      </c>
      <c r="T2259" s="24"/>
      <c r="U2259" s="24"/>
      <c r="V2259" s="24">
        <v>45729</v>
      </c>
      <c r="W2259" s="22" t="s">
        <v>468</v>
      </c>
      <c r="X2259" s="4" t="str">
        <f>IF(Tabela2[[#This Row],[sigla]]="","",VLOOKUP(Tabela2[[#This Row],[sigla]],créditos_base!B:C,2,0))</f>
        <v>VER DOCUMENTO DE ILS. TÉCNICAS</v>
      </c>
      <c r="Y2259" s="23" t="s">
        <v>140</v>
      </c>
      <c r="Z2259" s="23" t="s">
        <v>614</v>
      </c>
      <c r="AA2259" s="22">
        <v>13</v>
      </c>
      <c r="AB2259" s="20"/>
      <c r="AC2259" s="20" t="s">
        <v>36</v>
      </c>
      <c r="AD2259" s="4" t="str">
        <f>"Pitanguá"</f>
        <v>Pitanguá</v>
      </c>
      <c r="AE2259" s="14" t="str">
        <f>"Matemática"</f>
        <v>Matemática</v>
      </c>
      <c r="AF2259" s="14"/>
    </row>
    <row r="2260" spans="1:32" ht="28.8" x14ac:dyDescent="0.3">
      <c r="A2260" s="30" t="s">
        <v>1695</v>
      </c>
      <c r="B2260" s="20" t="s">
        <v>16</v>
      </c>
      <c r="C2260" s="20" t="s">
        <v>89</v>
      </c>
      <c r="D2260" s="20" t="s">
        <v>8</v>
      </c>
      <c r="E2260" s="22">
        <v>85</v>
      </c>
      <c r="F2260" s="22">
        <v>2</v>
      </c>
      <c r="G2260" s="22">
        <v>9</v>
      </c>
      <c r="H2260" s="22"/>
      <c r="I2260" s="23" t="s">
        <v>33</v>
      </c>
      <c r="J2260" s="23"/>
      <c r="K2260" s="22"/>
      <c r="L2260" s="22"/>
      <c r="M2260" s="23"/>
      <c r="N2260" s="23"/>
      <c r="O2260" s="26" t="s">
        <v>1696</v>
      </c>
      <c r="P2260" s="26"/>
      <c r="Q2260" s="22">
        <v>84</v>
      </c>
      <c r="R2260" s="24">
        <v>45832</v>
      </c>
      <c r="S2260" s="24">
        <v>45833</v>
      </c>
      <c r="T2260" s="24"/>
      <c r="U2260" s="24"/>
      <c r="V2260" s="24">
        <v>45833</v>
      </c>
      <c r="W2260" s="22" t="s">
        <v>160</v>
      </c>
      <c r="X2260" s="4" t="str">
        <f>IF(Tabela2[[#This Row],[sigla]]="","",VLOOKUP(Tabela2[[#This Row],[sigla]],créditos_base!B:C,2,0))</f>
        <v>SERGIO LIMA/ARQUIVO DA EDITORA</v>
      </c>
      <c r="Y2260" s="23" t="s">
        <v>880</v>
      </c>
      <c r="Z2260" s="23" t="str">
        <f>Tabela2[[#This Row],[ilustrador]]</f>
        <v>SERGIO LIMA/ARQUIVO DA EDITORA</v>
      </c>
      <c r="AA2260" s="22">
        <v>13</v>
      </c>
      <c r="AB2260" s="20" t="s">
        <v>244</v>
      </c>
      <c r="AC2260" s="20" t="s">
        <v>36</v>
      </c>
      <c r="AD2260" s="4" t="str">
        <f>"Pitanguá"</f>
        <v>Pitanguá</v>
      </c>
      <c r="AE2260" s="14" t="str">
        <f>"Matemática"</f>
        <v>Matemática</v>
      </c>
      <c r="AF2260" s="14"/>
    </row>
    <row r="2261" spans="1:32" x14ac:dyDescent="0.3">
      <c r="A2261" s="23" t="s">
        <v>3399</v>
      </c>
      <c r="B2261" s="20" t="s">
        <v>16</v>
      </c>
      <c r="C2261" s="20" t="s">
        <v>89</v>
      </c>
      <c r="D2261" s="20" t="s">
        <v>8</v>
      </c>
      <c r="E2261" s="22">
        <v>202</v>
      </c>
      <c r="F2261" s="22">
        <v>4</v>
      </c>
      <c r="G2261" s="22">
        <v>9</v>
      </c>
      <c r="H2261" s="22"/>
      <c r="I2261" s="23" t="s">
        <v>9</v>
      </c>
      <c r="J2261" s="23"/>
      <c r="K2261" s="22"/>
      <c r="L2261" s="22"/>
      <c r="M2261" s="23"/>
      <c r="N2261" s="23"/>
      <c r="O2261" s="26" t="s">
        <v>3400</v>
      </c>
      <c r="P2261" s="26"/>
      <c r="Q2261" s="22"/>
      <c r="R2261" s="24"/>
      <c r="S2261" s="24"/>
      <c r="T2261" s="24"/>
      <c r="U2261" s="24"/>
      <c r="V2261" s="24"/>
      <c r="W2261" s="22" t="s">
        <v>940</v>
      </c>
      <c r="X2261" s="4" t="str">
        <f>IF(Tabela2[[#This Row],[sigla]]="","",VLOOKUP(Tabela2[[#This Row],[sigla]],créditos_base!B:C,2,0))</f>
        <v>RONALDO LUCENA/ARQUIVO DA EDITORA</v>
      </c>
      <c r="Y2261" s="23"/>
      <c r="Z2261" s="23" t="str">
        <f>Tabela2[[#This Row],[ilustrador]]</f>
        <v>RONALDO LUCENA/ARQUIVO DA EDITORA</v>
      </c>
      <c r="AA2261" s="22"/>
      <c r="AB2261" s="20"/>
      <c r="AD2261" s="4" t="str">
        <f>"Pitanguá"</f>
        <v>Pitanguá</v>
      </c>
      <c r="AE2261" s="14" t="str">
        <f>"Matemática"</f>
        <v>Matemática</v>
      </c>
      <c r="AF2261" s="14"/>
    </row>
    <row r="2262" spans="1:32" ht="28.8" x14ac:dyDescent="0.3">
      <c r="A2262" s="23" t="s">
        <v>641</v>
      </c>
      <c r="B2262" s="20" t="s">
        <v>16</v>
      </c>
      <c r="C2262" s="20" t="s">
        <v>89</v>
      </c>
      <c r="D2262" s="20" t="s">
        <v>8</v>
      </c>
      <c r="E2262" s="22">
        <v>177</v>
      </c>
      <c r="F2262" s="22">
        <v>1</v>
      </c>
      <c r="G2262" s="22">
        <v>9</v>
      </c>
      <c r="H2262" s="22"/>
      <c r="I2262" s="23" t="s">
        <v>90</v>
      </c>
      <c r="J2262" s="23"/>
      <c r="K2262" s="22"/>
      <c r="L2262" s="22"/>
      <c r="M2262" s="23"/>
      <c r="N2262" s="23"/>
      <c r="O2262" s="26" t="s">
        <v>642</v>
      </c>
      <c r="P2262" s="26"/>
      <c r="Q2262" s="22">
        <v>6</v>
      </c>
      <c r="R2262" s="24">
        <v>45727</v>
      </c>
      <c r="S2262" s="24">
        <v>45727</v>
      </c>
      <c r="T2262" s="24"/>
      <c r="U2262" s="24"/>
      <c r="V2262" s="24">
        <v>45729</v>
      </c>
      <c r="W2262" s="22" t="s">
        <v>468</v>
      </c>
      <c r="X2262" s="4" t="str">
        <f>IF(Tabela2[[#This Row],[sigla]]="","",VLOOKUP(Tabela2[[#This Row],[sigla]],créditos_base!B:C,2,0))</f>
        <v>VER DOCUMENTO DE ILS. TÉCNICAS</v>
      </c>
      <c r="Y2262" s="23" t="s">
        <v>140</v>
      </c>
      <c r="Z2262" s="23" t="s">
        <v>614</v>
      </c>
      <c r="AA2262" s="22">
        <v>13</v>
      </c>
      <c r="AB2262" s="20"/>
      <c r="AC2262" s="20" t="s">
        <v>36</v>
      </c>
      <c r="AD2262" s="4" t="str">
        <f>"Pitanguá"</f>
        <v>Pitanguá</v>
      </c>
      <c r="AE2262" s="14" t="str">
        <f>"Matemática"</f>
        <v>Matemática</v>
      </c>
      <c r="AF2262" s="14"/>
    </row>
    <row r="2263" spans="1:32" x14ac:dyDescent="0.3">
      <c r="A2263" s="30" t="s">
        <v>1697</v>
      </c>
      <c r="B2263" s="20" t="s">
        <v>16</v>
      </c>
      <c r="C2263" s="20" t="s">
        <v>89</v>
      </c>
      <c r="D2263" s="20" t="s">
        <v>8</v>
      </c>
      <c r="E2263" s="22">
        <v>85</v>
      </c>
      <c r="F2263" s="22">
        <v>2</v>
      </c>
      <c r="G2263" s="22">
        <v>9</v>
      </c>
      <c r="H2263" s="22"/>
      <c r="I2263" s="23" t="s">
        <v>33</v>
      </c>
      <c r="J2263" s="23"/>
      <c r="K2263" s="22"/>
      <c r="L2263" s="22"/>
      <c r="M2263" s="23"/>
      <c r="N2263" s="23"/>
      <c r="O2263" s="26" t="s">
        <v>1698</v>
      </c>
      <c r="P2263" s="26"/>
      <c r="Q2263" s="22">
        <v>84</v>
      </c>
      <c r="R2263" s="24">
        <v>45832</v>
      </c>
      <c r="S2263" s="24">
        <v>45833</v>
      </c>
      <c r="T2263" s="24"/>
      <c r="U2263" s="24"/>
      <c r="V2263" s="24">
        <v>45833</v>
      </c>
      <c r="W2263" s="22" t="s">
        <v>160</v>
      </c>
      <c r="X2263" s="4" t="str">
        <f>IF(Tabela2[[#This Row],[sigla]]="","",VLOOKUP(Tabela2[[#This Row],[sigla]],créditos_base!B:C,2,0))</f>
        <v>SERGIO LIMA/ARQUIVO DA EDITORA</v>
      </c>
      <c r="Y2263" s="23" t="s">
        <v>880</v>
      </c>
      <c r="Z2263" s="23" t="str">
        <f>Tabela2[[#This Row],[ilustrador]]</f>
        <v>SERGIO LIMA/ARQUIVO DA EDITORA</v>
      </c>
      <c r="AA2263" s="22">
        <v>13</v>
      </c>
      <c r="AB2263" s="20" t="s">
        <v>244</v>
      </c>
      <c r="AC2263" s="20" t="s">
        <v>36</v>
      </c>
      <c r="AD2263" s="4" t="str">
        <f>"Pitanguá"</f>
        <v>Pitanguá</v>
      </c>
      <c r="AE2263" s="14" t="str">
        <f>"Matemática"</f>
        <v>Matemática</v>
      </c>
      <c r="AF2263" s="14"/>
    </row>
    <row r="2264" spans="1:32" ht="28.8" x14ac:dyDescent="0.3">
      <c r="A2264" s="23" t="s">
        <v>3401</v>
      </c>
      <c r="B2264" s="20" t="s">
        <v>16</v>
      </c>
      <c r="C2264" s="20" t="s">
        <v>7</v>
      </c>
      <c r="D2264" s="20" t="s">
        <v>8</v>
      </c>
      <c r="E2264" s="22">
        <v>203</v>
      </c>
      <c r="F2264" s="22">
        <v>4</v>
      </c>
      <c r="G2264" s="22">
        <v>9</v>
      </c>
      <c r="H2264" s="22"/>
      <c r="I2264" s="23" t="s">
        <v>9</v>
      </c>
      <c r="J2264" s="23"/>
      <c r="K2264" s="22"/>
      <c r="L2264" s="22"/>
      <c r="M2264" s="23"/>
      <c r="N2264" s="23"/>
      <c r="O2264" s="26" t="s">
        <v>3402</v>
      </c>
      <c r="P2264" s="26"/>
      <c r="Q2264" s="22"/>
      <c r="R2264" s="24"/>
      <c r="S2264" s="24"/>
      <c r="T2264" s="24"/>
      <c r="U2264" s="24"/>
      <c r="V2264" s="24"/>
      <c r="W2264" s="22" t="s">
        <v>3382</v>
      </c>
      <c r="X2264" s="4" t="str">
        <f>IF(Tabela2[[#This Row],[sigla]]="","",VLOOKUP(Tabela2[[#This Row],[sigla]],créditos_base!B:C,2,0))</f>
        <v>LEONARDO MARI/ARQUIVO DA EDITORA</v>
      </c>
      <c r="Y2264" s="23"/>
      <c r="Z2264" s="23" t="str">
        <f>Tabela2[[#This Row],[ilustrador]]</f>
        <v>LEONARDO MARI/ARQUIVO DA EDITORA</v>
      </c>
      <c r="AA2264" s="22"/>
      <c r="AB2264" s="20"/>
      <c r="AD2264" s="4" t="str">
        <f>"Pitanguá"</f>
        <v>Pitanguá</v>
      </c>
      <c r="AE2264" s="14" t="str">
        <f>"Matemática"</f>
        <v>Matemática</v>
      </c>
      <c r="AF2264" s="14"/>
    </row>
    <row r="2265" spans="1:32" ht="28.8" x14ac:dyDescent="0.3">
      <c r="A2265" s="23" t="s">
        <v>643</v>
      </c>
      <c r="B2265" s="20" t="s">
        <v>16</v>
      </c>
      <c r="C2265" s="20" t="s">
        <v>89</v>
      </c>
      <c r="D2265" s="20" t="s">
        <v>8</v>
      </c>
      <c r="E2265" s="22">
        <v>177</v>
      </c>
      <c r="F2265" s="22">
        <v>1</v>
      </c>
      <c r="G2265" s="22">
        <v>9</v>
      </c>
      <c r="H2265" s="22"/>
      <c r="I2265" s="23" t="s">
        <v>90</v>
      </c>
      <c r="J2265" s="23"/>
      <c r="K2265" s="22"/>
      <c r="L2265" s="22"/>
      <c r="M2265" s="23"/>
      <c r="N2265" s="23"/>
      <c r="O2265" s="26" t="s">
        <v>644</v>
      </c>
      <c r="P2265" s="26"/>
      <c r="Q2265" s="22">
        <v>6</v>
      </c>
      <c r="R2265" s="24">
        <v>45727</v>
      </c>
      <c r="S2265" s="24">
        <v>45727</v>
      </c>
      <c r="T2265" s="24"/>
      <c r="U2265" s="24"/>
      <c r="V2265" s="24">
        <v>45729</v>
      </c>
      <c r="W2265" s="22" t="s">
        <v>468</v>
      </c>
      <c r="X2265" s="4" t="str">
        <f>IF(Tabela2[[#This Row],[sigla]]="","",VLOOKUP(Tabela2[[#This Row],[sigla]],créditos_base!B:C,2,0))</f>
        <v>VER DOCUMENTO DE ILS. TÉCNICAS</v>
      </c>
      <c r="Y2265" s="23" t="s">
        <v>140</v>
      </c>
      <c r="Z2265" s="23" t="s">
        <v>614</v>
      </c>
      <c r="AA2265" s="22">
        <v>13</v>
      </c>
      <c r="AB2265" s="20"/>
      <c r="AC2265" s="20" t="s">
        <v>36</v>
      </c>
      <c r="AD2265" s="4" t="str">
        <f>"Pitanguá"</f>
        <v>Pitanguá</v>
      </c>
      <c r="AE2265" s="14" t="str">
        <f>"Matemática"</f>
        <v>Matemática</v>
      </c>
      <c r="AF2265" s="14"/>
    </row>
    <row r="2266" spans="1:32" ht="28.8" x14ac:dyDescent="0.3">
      <c r="A2266" s="30" t="s">
        <v>1699</v>
      </c>
      <c r="B2266" s="20" t="s">
        <v>16</v>
      </c>
      <c r="C2266" s="20" t="s">
        <v>89</v>
      </c>
      <c r="D2266" s="20" t="s">
        <v>8</v>
      </c>
      <c r="E2266" s="22">
        <v>85</v>
      </c>
      <c r="F2266" s="22">
        <v>2</v>
      </c>
      <c r="G2266" s="22">
        <v>9</v>
      </c>
      <c r="H2266" s="22"/>
      <c r="I2266" s="23" t="s">
        <v>33</v>
      </c>
      <c r="J2266" s="23"/>
      <c r="K2266" s="22"/>
      <c r="L2266" s="22"/>
      <c r="M2266" s="23"/>
      <c r="N2266" s="23"/>
      <c r="O2266" s="26" t="s">
        <v>1700</v>
      </c>
      <c r="P2266" s="26"/>
      <c r="Q2266" s="22">
        <v>84</v>
      </c>
      <c r="R2266" s="24">
        <v>45832</v>
      </c>
      <c r="S2266" s="24">
        <v>45833</v>
      </c>
      <c r="T2266" s="24"/>
      <c r="U2266" s="24"/>
      <c r="V2266" s="24">
        <v>45833</v>
      </c>
      <c r="W2266" s="22" t="s">
        <v>160</v>
      </c>
      <c r="X2266" s="4" t="str">
        <f>IF(Tabela2[[#This Row],[sigla]]="","",VLOOKUP(Tabela2[[#This Row],[sigla]],créditos_base!B:C,2,0))</f>
        <v>SERGIO LIMA/ARQUIVO DA EDITORA</v>
      </c>
      <c r="Y2266" s="23" t="s">
        <v>880</v>
      </c>
      <c r="Z2266" s="23" t="str">
        <f>Tabela2[[#This Row],[ilustrador]]</f>
        <v>SERGIO LIMA/ARQUIVO DA EDITORA</v>
      </c>
      <c r="AA2266" s="22">
        <v>13</v>
      </c>
      <c r="AB2266" s="20" t="s">
        <v>244</v>
      </c>
      <c r="AC2266" s="20" t="s">
        <v>36</v>
      </c>
      <c r="AD2266" s="4" t="str">
        <f>"Pitanguá"</f>
        <v>Pitanguá</v>
      </c>
      <c r="AE2266" s="14" t="str">
        <f>"Matemática"</f>
        <v>Matemática</v>
      </c>
      <c r="AF2266" s="14"/>
    </row>
    <row r="2267" spans="1:32" ht="28.8" x14ac:dyDescent="0.3">
      <c r="A2267" s="23" t="s">
        <v>2432</v>
      </c>
      <c r="B2267" s="20" t="s">
        <v>16</v>
      </c>
      <c r="C2267" s="20" t="s">
        <v>7</v>
      </c>
      <c r="D2267" s="20" t="s">
        <v>8</v>
      </c>
      <c r="E2267" s="22">
        <v>213</v>
      </c>
      <c r="F2267" s="22">
        <v>1</v>
      </c>
      <c r="G2267" s="22">
        <v>9</v>
      </c>
      <c r="H2267" s="22"/>
      <c r="I2267" s="23" t="s">
        <v>33</v>
      </c>
      <c r="J2267" s="23"/>
      <c r="K2267" s="22"/>
      <c r="L2267" s="22"/>
      <c r="M2267" s="23"/>
      <c r="N2267" s="23"/>
      <c r="O2267" s="26" t="s">
        <v>2433</v>
      </c>
      <c r="P2267" s="26"/>
      <c r="Q2267" s="22">
        <v>116</v>
      </c>
      <c r="R2267" s="24">
        <v>45859</v>
      </c>
      <c r="S2267" s="24">
        <v>45859</v>
      </c>
      <c r="T2267" s="24"/>
      <c r="U2267" s="24"/>
      <c r="V2267" s="24">
        <v>45859</v>
      </c>
      <c r="W2267" s="22" t="s">
        <v>12</v>
      </c>
      <c r="X2267" s="4" t="str">
        <f>IF(Tabela2[[#This Row],[sigla]]="","",VLOOKUP(Tabela2[[#This Row],[sigla]],créditos_base!B:C,2,0))</f>
        <v>JORGE ZAIBA/ARQUIVO DA EDITORA</v>
      </c>
      <c r="Y2267" s="23" t="s">
        <v>152</v>
      </c>
      <c r="Z2267" s="23" t="str">
        <f>Tabela2[[#This Row],[ilustrador]]</f>
        <v>JORGE ZAIBA/ARQUIVO DA EDITORA</v>
      </c>
      <c r="AA2267" s="22">
        <v>13</v>
      </c>
      <c r="AB2267" s="20" t="s">
        <v>153</v>
      </c>
      <c r="AC2267" s="20" t="s">
        <v>36</v>
      </c>
      <c r="AD2267" s="4" t="str">
        <f>"Pitanguá"</f>
        <v>Pitanguá</v>
      </c>
      <c r="AE2267" s="14" t="str">
        <f>"Matemática"</f>
        <v>Matemática</v>
      </c>
      <c r="AF2267" s="14"/>
    </row>
    <row r="2268" spans="1:32" ht="57.6" x14ac:dyDescent="0.3">
      <c r="A2268" s="30" t="s">
        <v>1701</v>
      </c>
      <c r="B2268" s="20" t="s">
        <v>16</v>
      </c>
      <c r="C2268" s="20" t="s">
        <v>89</v>
      </c>
      <c r="D2268" s="20" t="s">
        <v>8</v>
      </c>
      <c r="E2268" s="22">
        <v>85</v>
      </c>
      <c r="F2268" s="22">
        <v>2</v>
      </c>
      <c r="G2268" s="22">
        <v>9</v>
      </c>
      <c r="H2268" s="22"/>
      <c r="I2268" s="23" t="s">
        <v>33</v>
      </c>
      <c r="J2268" s="23"/>
      <c r="K2268" s="22"/>
      <c r="L2268" s="22"/>
      <c r="M2268" s="23"/>
      <c r="N2268" s="23"/>
      <c r="O2268" s="26" t="s">
        <v>1702</v>
      </c>
      <c r="P2268" s="26"/>
      <c r="Q2268" s="22">
        <v>84</v>
      </c>
      <c r="R2268" s="24">
        <v>45832</v>
      </c>
      <c r="S2268" s="24">
        <v>45833</v>
      </c>
      <c r="T2268" s="24"/>
      <c r="U2268" s="24"/>
      <c r="V2268" s="24">
        <v>45833</v>
      </c>
      <c r="W2268" s="22" t="s">
        <v>160</v>
      </c>
      <c r="X2268" s="4" t="str">
        <f>IF(Tabela2[[#This Row],[sigla]]="","",VLOOKUP(Tabela2[[#This Row],[sigla]],créditos_base!B:C,2,0))</f>
        <v>SERGIO LIMA/ARQUIVO DA EDITORA</v>
      </c>
      <c r="Y2268" s="23" t="s">
        <v>880</v>
      </c>
      <c r="Z2268" s="23" t="str">
        <f>Tabela2[[#This Row],[ilustrador]]</f>
        <v>SERGIO LIMA/ARQUIVO DA EDITORA</v>
      </c>
      <c r="AA2268" s="22">
        <v>13</v>
      </c>
      <c r="AB2268" s="20" t="s">
        <v>244</v>
      </c>
      <c r="AC2268" s="20" t="s">
        <v>36</v>
      </c>
      <c r="AD2268" s="4" t="str">
        <f>"Pitanguá"</f>
        <v>Pitanguá</v>
      </c>
      <c r="AE2268" s="14" t="str">
        <f>"Matemática"</f>
        <v>Matemática</v>
      </c>
      <c r="AF2268" s="14"/>
    </row>
    <row r="2269" spans="1:32" ht="28.8" x14ac:dyDescent="0.3">
      <c r="A2269" s="23" t="s">
        <v>3403</v>
      </c>
      <c r="B2269" s="20" t="s">
        <v>16</v>
      </c>
      <c r="C2269" s="20" t="s">
        <v>89</v>
      </c>
      <c r="D2269" s="20" t="s">
        <v>8</v>
      </c>
      <c r="E2269" s="22">
        <v>205</v>
      </c>
      <c r="F2269" s="22">
        <v>4</v>
      </c>
      <c r="G2269" s="22">
        <v>9</v>
      </c>
      <c r="H2269" s="22"/>
      <c r="I2269" s="23" t="s">
        <v>9</v>
      </c>
      <c r="J2269" s="23"/>
      <c r="K2269" s="22"/>
      <c r="L2269" s="22"/>
      <c r="M2269" s="23"/>
      <c r="N2269" s="23"/>
      <c r="O2269" s="26" t="s">
        <v>3404</v>
      </c>
      <c r="P2269" s="26"/>
      <c r="Q2269" s="22"/>
      <c r="R2269" s="24"/>
      <c r="S2269" s="24"/>
      <c r="T2269" s="24"/>
      <c r="U2269" s="24"/>
      <c r="V2269" s="24"/>
      <c r="W2269" s="22" t="s">
        <v>356</v>
      </c>
      <c r="X2269" s="4" t="str">
        <f>IF(Tabela2[[#This Row],[sigla]]="","",VLOOKUP(Tabela2[[#This Row],[sigla]],créditos_base!B:C,2,0))</f>
        <v>CAMILA CARMONA/ARQUIVO DA EDITORA</v>
      </c>
      <c r="Y2269" s="23"/>
      <c r="Z2269" s="23" t="str">
        <f>Tabela2[[#This Row],[ilustrador]]</f>
        <v>CAMILA CARMONA/ARQUIVO DA EDITORA</v>
      </c>
      <c r="AA2269" s="22"/>
      <c r="AB2269" s="20"/>
      <c r="AD2269" s="4" t="str">
        <f>"Pitanguá"</f>
        <v>Pitanguá</v>
      </c>
      <c r="AE2269" s="14" t="str">
        <f>"Matemática"</f>
        <v>Matemática</v>
      </c>
      <c r="AF2269" s="14"/>
    </row>
    <row r="2270" spans="1:32" ht="28.8" x14ac:dyDescent="0.3">
      <c r="A2270" s="23" t="s">
        <v>645</v>
      </c>
      <c r="B2270" s="20" t="s">
        <v>16</v>
      </c>
      <c r="C2270" s="20" t="s">
        <v>7</v>
      </c>
      <c r="D2270" s="20" t="s">
        <v>8</v>
      </c>
      <c r="E2270" s="22">
        <v>182</v>
      </c>
      <c r="F2270" s="22">
        <v>1</v>
      </c>
      <c r="G2270" s="22">
        <v>9</v>
      </c>
      <c r="H2270" s="22"/>
      <c r="I2270" s="23" t="s">
        <v>33</v>
      </c>
      <c r="J2270" s="23"/>
      <c r="K2270" s="22"/>
      <c r="L2270" s="22"/>
      <c r="M2270" s="23"/>
      <c r="N2270" s="23"/>
      <c r="O2270" s="26" t="s">
        <v>646</v>
      </c>
      <c r="P2270" s="26"/>
      <c r="Q2270" s="22">
        <v>116</v>
      </c>
      <c r="R2270" s="24">
        <v>45859</v>
      </c>
      <c r="S2270" s="24">
        <v>45859</v>
      </c>
      <c r="T2270" s="24"/>
      <c r="U2270" s="24"/>
      <c r="V2270" s="24">
        <v>45859</v>
      </c>
      <c r="W2270" s="22" t="s">
        <v>31</v>
      </c>
      <c r="X2270" s="4" t="str">
        <f>IF(Tabela2[[#This Row],[sigla]]="","",VLOOKUP(Tabela2[[#This Row],[sigla]],créditos_base!B:C,2,0))</f>
        <v>SILVIA OTOFUJI/ARQUIVO DA EDITORA</v>
      </c>
      <c r="Y2270" s="23" t="s">
        <v>152</v>
      </c>
      <c r="Z2270" s="23" t="str">
        <f>Tabela2[[#This Row],[ilustrador]]</f>
        <v>SILVIA OTOFUJI/ARQUIVO DA EDITORA</v>
      </c>
      <c r="AA2270" s="22">
        <v>13</v>
      </c>
      <c r="AB2270" s="20" t="s">
        <v>153</v>
      </c>
      <c r="AC2270" s="20" t="s">
        <v>36</v>
      </c>
      <c r="AD2270" s="4" t="str">
        <f>"Pitanguá"</f>
        <v>Pitanguá</v>
      </c>
      <c r="AE2270" s="14" t="str">
        <f>"Matemática"</f>
        <v>Matemática</v>
      </c>
      <c r="AF2270" s="14"/>
    </row>
    <row r="2271" spans="1:32" ht="28.8" x14ac:dyDescent="0.3">
      <c r="A2271" s="30" t="s">
        <v>1703</v>
      </c>
      <c r="B2271" s="20" t="s">
        <v>16</v>
      </c>
      <c r="C2271" s="20" t="s">
        <v>89</v>
      </c>
      <c r="D2271" s="20" t="s">
        <v>8</v>
      </c>
      <c r="E2271" s="22">
        <v>86</v>
      </c>
      <c r="F2271" s="22">
        <v>2</v>
      </c>
      <c r="G2271" s="22">
        <v>9</v>
      </c>
      <c r="H2271" s="22"/>
      <c r="I2271" s="23" t="s">
        <v>9</v>
      </c>
      <c r="J2271" s="23"/>
      <c r="K2271" s="22"/>
      <c r="L2271" s="22"/>
      <c r="M2271" s="23"/>
      <c r="N2271" s="23"/>
      <c r="O2271" s="26" t="s">
        <v>1704</v>
      </c>
      <c r="P2271" s="26"/>
      <c r="Q2271" s="22"/>
      <c r="R2271" s="24"/>
      <c r="S2271" s="24"/>
      <c r="T2271" s="24"/>
      <c r="U2271" s="24"/>
      <c r="V2271" s="24"/>
      <c r="W2271" s="22" t="s">
        <v>160</v>
      </c>
      <c r="X2271" s="4" t="str">
        <f>IF(Tabela2[[#This Row],[sigla]]="","",VLOOKUP(Tabela2[[#This Row],[sigla]],créditos_base!B:C,2,0))</f>
        <v>SERGIO LIMA/ARQUIVO DA EDITORA</v>
      </c>
      <c r="Y2271" s="23"/>
      <c r="Z2271" s="23" t="str">
        <f>Tabela2[[#This Row],[ilustrador]]</f>
        <v>SERGIO LIMA/ARQUIVO DA EDITORA</v>
      </c>
      <c r="AA2271" s="22"/>
      <c r="AB2271" s="20"/>
      <c r="AD2271" s="4" t="str">
        <f>"Pitanguá"</f>
        <v>Pitanguá</v>
      </c>
      <c r="AE2271" s="14" t="str">
        <f>"Matemática"</f>
        <v>Matemática</v>
      </c>
      <c r="AF2271" s="14"/>
    </row>
    <row r="2272" spans="1:32" ht="28.8" x14ac:dyDescent="0.3">
      <c r="A2272" s="23" t="s">
        <v>3405</v>
      </c>
      <c r="B2272" s="20" t="s">
        <v>16</v>
      </c>
      <c r="C2272" s="20" t="s">
        <v>89</v>
      </c>
      <c r="D2272" s="20" t="s">
        <v>8</v>
      </c>
      <c r="E2272" s="22">
        <v>205</v>
      </c>
      <c r="F2272" s="22">
        <v>4</v>
      </c>
      <c r="G2272" s="22">
        <v>9</v>
      </c>
      <c r="H2272" s="22"/>
      <c r="I2272" s="23" t="s">
        <v>9</v>
      </c>
      <c r="J2272" s="23"/>
      <c r="K2272" s="22"/>
      <c r="L2272" s="22"/>
      <c r="M2272" s="23"/>
      <c r="N2272" s="23"/>
      <c r="O2272" s="26" t="s">
        <v>3406</v>
      </c>
      <c r="P2272" s="26"/>
      <c r="Q2272" s="22"/>
      <c r="R2272" s="24"/>
      <c r="S2272" s="24"/>
      <c r="T2272" s="24"/>
      <c r="U2272" s="24"/>
      <c r="V2272" s="24"/>
      <c r="W2272" s="22" t="s">
        <v>356</v>
      </c>
      <c r="X2272" s="4" t="str">
        <f>IF(Tabela2[[#This Row],[sigla]]="","",VLOOKUP(Tabela2[[#This Row],[sigla]],créditos_base!B:C,2,0))</f>
        <v>CAMILA CARMONA/ARQUIVO DA EDITORA</v>
      </c>
      <c r="Y2272" s="23"/>
      <c r="Z2272" s="23" t="str">
        <f>Tabela2[[#This Row],[ilustrador]]</f>
        <v>CAMILA CARMONA/ARQUIVO DA EDITORA</v>
      </c>
      <c r="AA2272" s="22"/>
      <c r="AB2272" s="20"/>
      <c r="AD2272" s="4" t="str">
        <f>"Pitanguá"</f>
        <v>Pitanguá</v>
      </c>
      <c r="AE2272" s="14" t="str">
        <f>"Matemática"</f>
        <v>Matemática</v>
      </c>
      <c r="AF2272" s="14"/>
    </row>
    <row r="2273" spans="1:32" ht="28.8" x14ac:dyDescent="0.3">
      <c r="A2273" s="23" t="s">
        <v>647</v>
      </c>
      <c r="B2273" s="20" t="s">
        <v>16</v>
      </c>
      <c r="C2273" s="20" t="s">
        <v>7</v>
      </c>
      <c r="D2273" s="20" t="s">
        <v>8</v>
      </c>
      <c r="E2273" s="22">
        <v>182</v>
      </c>
      <c r="F2273" s="22">
        <v>1</v>
      </c>
      <c r="G2273" s="22">
        <v>9</v>
      </c>
      <c r="H2273" s="22"/>
      <c r="I2273" s="23" t="s">
        <v>33</v>
      </c>
      <c r="J2273" s="23"/>
      <c r="K2273" s="22"/>
      <c r="L2273" s="22"/>
      <c r="M2273" s="23"/>
      <c r="N2273" s="23"/>
      <c r="O2273" s="26" t="s">
        <v>648</v>
      </c>
      <c r="P2273" s="26"/>
      <c r="Q2273" s="22">
        <v>116</v>
      </c>
      <c r="R2273" s="24">
        <v>45859</v>
      </c>
      <c r="S2273" s="24">
        <v>45859</v>
      </c>
      <c r="T2273" s="24"/>
      <c r="U2273" s="24"/>
      <c r="V2273" s="24">
        <v>45859</v>
      </c>
      <c r="W2273" s="22" t="s">
        <v>31</v>
      </c>
      <c r="X2273" s="4" t="str">
        <f>IF(Tabela2[[#This Row],[sigla]]="","",VLOOKUP(Tabela2[[#This Row],[sigla]],créditos_base!B:C,2,0))</f>
        <v>SILVIA OTOFUJI/ARQUIVO DA EDITORA</v>
      </c>
      <c r="Y2273" s="23" t="s">
        <v>152</v>
      </c>
      <c r="Z2273" s="23" t="str">
        <f>Tabela2[[#This Row],[ilustrador]]</f>
        <v>SILVIA OTOFUJI/ARQUIVO DA EDITORA</v>
      </c>
      <c r="AA2273" s="22">
        <v>13</v>
      </c>
      <c r="AB2273" s="20" t="s">
        <v>153</v>
      </c>
      <c r="AC2273" s="20" t="s">
        <v>36</v>
      </c>
      <c r="AD2273" s="4" t="str">
        <f>"Pitanguá"</f>
        <v>Pitanguá</v>
      </c>
      <c r="AE2273" s="14" t="str">
        <f>"Matemática"</f>
        <v>Matemática</v>
      </c>
      <c r="AF2273" s="14"/>
    </row>
    <row r="2274" spans="1:32" ht="28.8" x14ac:dyDescent="0.3">
      <c r="A2274" s="30" t="s">
        <v>1705</v>
      </c>
      <c r="B2274" s="20" t="s">
        <v>16</v>
      </c>
      <c r="C2274" s="20" t="s">
        <v>89</v>
      </c>
      <c r="D2274" s="20" t="s">
        <v>8</v>
      </c>
      <c r="E2274" s="22">
        <v>86</v>
      </c>
      <c r="F2274" s="22">
        <v>2</v>
      </c>
      <c r="G2274" s="22">
        <v>9</v>
      </c>
      <c r="H2274" s="22"/>
      <c r="I2274" s="23" t="s">
        <v>9</v>
      </c>
      <c r="J2274" s="23"/>
      <c r="K2274" s="22"/>
      <c r="L2274" s="22"/>
      <c r="M2274" s="23"/>
      <c r="N2274" s="23"/>
      <c r="O2274" s="26" t="s">
        <v>1706</v>
      </c>
      <c r="P2274" s="26"/>
      <c r="Q2274" s="22"/>
      <c r="R2274" s="24"/>
      <c r="S2274" s="24"/>
      <c r="T2274" s="24"/>
      <c r="U2274" s="24"/>
      <c r="V2274" s="24"/>
      <c r="W2274" s="22" t="s">
        <v>160</v>
      </c>
      <c r="X2274" s="4" t="str">
        <f>IF(Tabela2[[#This Row],[sigla]]="","",VLOOKUP(Tabela2[[#This Row],[sigla]],créditos_base!B:C,2,0))</f>
        <v>SERGIO LIMA/ARQUIVO DA EDITORA</v>
      </c>
      <c r="Y2274" s="23"/>
      <c r="Z2274" s="23" t="str">
        <f>Tabela2[[#This Row],[ilustrador]]</f>
        <v>SERGIO LIMA/ARQUIVO DA EDITORA</v>
      </c>
      <c r="AA2274" s="22"/>
      <c r="AB2274" s="20"/>
      <c r="AD2274" s="4" t="str">
        <f>"Pitanguá"</f>
        <v>Pitanguá</v>
      </c>
      <c r="AE2274" s="14" t="str">
        <f>"Matemática"</f>
        <v>Matemática</v>
      </c>
      <c r="AF2274" s="14"/>
    </row>
    <row r="2275" spans="1:32" x14ac:dyDescent="0.3">
      <c r="A2275" s="23" t="s">
        <v>3407</v>
      </c>
      <c r="B2275" s="20" t="s">
        <v>16</v>
      </c>
      <c r="C2275" s="20" t="s">
        <v>89</v>
      </c>
      <c r="D2275" s="20" t="s">
        <v>8</v>
      </c>
      <c r="E2275" s="22">
        <v>205</v>
      </c>
      <c r="F2275" s="22">
        <v>4</v>
      </c>
      <c r="G2275" s="22">
        <v>9</v>
      </c>
      <c r="H2275" s="22"/>
      <c r="I2275" s="23" t="s">
        <v>33</v>
      </c>
      <c r="J2275" s="23"/>
      <c r="K2275" s="22"/>
      <c r="L2275" s="22"/>
      <c r="M2275" s="23"/>
      <c r="N2275" s="23"/>
      <c r="O2275" s="26" t="s">
        <v>3408</v>
      </c>
      <c r="P2275" s="26"/>
      <c r="Q2275" s="22">
        <v>49</v>
      </c>
      <c r="R2275" s="24">
        <v>45798</v>
      </c>
      <c r="S2275" s="24">
        <v>45810</v>
      </c>
      <c r="T2275" s="24"/>
      <c r="U2275" s="24"/>
      <c r="V2275" s="24">
        <v>45810</v>
      </c>
      <c r="W2275" s="22" t="s">
        <v>356</v>
      </c>
      <c r="X2275" s="4" t="str">
        <f>IF(Tabela2[[#This Row],[sigla]]="","",VLOOKUP(Tabela2[[#This Row],[sigla]],créditos_base!B:C,2,0))</f>
        <v>CAMILA CARMONA/ARQUIVO DA EDITORA</v>
      </c>
      <c r="Y2275" s="23" t="s">
        <v>433</v>
      </c>
      <c r="Z2275" s="23" t="str">
        <f>Tabela2[[#This Row],[ilustrador]]</f>
        <v>CAMILA CARMONA/ARQUIVO DA EDITORA</v>
      </c>
      <c r="AA2275" s="22">
        <v>14</v>
      </c>
      <c r="AB2275" s="20" t="s">
        <v>153</v>
      </c>
      <c r="AC2275" s="20" t="s">
        <v>36</v>
      </c>
      <c r="AD2275" s="4" t="str">
        <f>"Pitanguá"</f>
        <v>Pitanguá</v>
      </c>
      <c r="AE2275" s="14" t="str">
        <f>"Matemática"</f>
        <v>Matemática</v>
      </c>
      <c r="AF2275" s="14"/>
    </row>
    <row r="2276" spans="1:32" ht="28.8" x14ac:dyDescent="0.3">
      <c r="A2276" s="23" t="s">
        <v>649</v>
      </c>
      <c r="B2276" s="20" t="s">
        <v>16</v>
      </c>
      <c r="C2276" s="20" t="s">
        <v>7</v>
      </c>
      <c r="D2276" s="20" t="s">
        <v>8</v>
      </c>
      <c r="E2276" s="22">
        <v>182</v>
      </c>
      <c r="F2276" s="22">
        <v>1</v>
      </c>
      <c r="G2276" s="22">
        <v>9</v>
      </c>
      <c r="H2276" s="22"/>
      <c r="I2276" s="23" t="s">
        <v>33</v>
      </c>
      <c r="J2276" s="23"/>
      <c r="K2276" s="22"/>
      <c r="L2276" s="22"/>
      <c r="M2276" s="23"/>
      <c r="N2276" s="23"/>
      <c r="O2276" s="26" t="s">
        <v>650</v>
      </c>
      <c r="P2276" s="26"/>
      <c r="Q2276" s="22">
        <v>116</v>
      </c>
      <c r="R2276" s="24">
        <v>45859</v>
      </c>
      <c r="S2276" s="24">
        <v>45859</v>
      </c>
      <c r="T2276" s="24"/>
      <c r="U2276" s="24"/>
      <c r="V2276" s="24">
        <v>45859</v>
      </c>
      <c r="W2276" s="22" t="s">
        <v>31</v>
      </c>
      <c r="X2276" s="4" t="str">
        <f>IF(Tabela2[[#This Row],[sigla]]="","",VLOOKUP(Tabela2[[#This Row],[sigla]],créditos_base!B:C,2,0))</f>
        <v>SILVIA OTOFUJI/ARQUIVO DA EDITORA</v>
      </c>
      <c r="Y2276" s="23" t="s">
        <v>152</v>
      </c>
      <c r="Z2276" s="23" t="str">
        <f>Tabela2[[#This Row],[ilustrador]]</f>
        <v>SILVIA OTOFUJI/ARQUIVO DA EDITORA</v>
      </c>
      <c r="AA2276" s="22">
        <v>13</v>
      </c>
      <c r="AB2276" s="20" t="s">
        <v>153</v>
      </c>
      <c r="AC2276" s="20" t="s">
        <v>36</v>
      </c>
      <c r="AD2276" s="4" t="str">
        <f>"Pitanguá"</f>
        <v>Pitanguá</v>
      </c>
      <c r="AE2276" s="14" t="str">
        <f>"Matemática"</f>
        <v>Matemática</v>
      </c>
      <c r="AF2276" s="14"/>
    </row>
    <row r="2277" spans="1:32" ht="28.8" x14ac:dyDescent="0.3">
      <c r="A2277" s="30" t="s">
        <v>1707</v>
      </c>
      <c r="B2277" s="20" t="s">
        <v>16</v>
      </c>
      <c r="C2277" s="20" t="s">
        <v>89</v>
      </c>
      <c r="D2277" s="20" t="s">
        <v>8</v>
      </c>
      <c r="E2277" s="22">
        <v>86</v>
      </c>
      <c r="F2277" s="22">
        <v>2</v>
      </c>
      <c r="G2277" s="22">
        <v>9</v>
      </c>
      <c r="H2277" s="22"/>
      <c r="I2277" s="23" t="s">
        <v>9</v>
      </c>
      <c r="J2277" s="23"/>
      <c r="K2277" s="22"/>
      <c r="L2277" s="22"/>
      <c r="M2277" s="23"/>
      <c r="N2277" s="23"/>
      <c r="O2277" s="26" t="s">
        <v>1708</v>
      </c>
      <c r="P2277" s="26"/>
      <c r="Q2277" s="22"/>
      <c r="R2277" s="24"/>
      <c r="S2277" s="24"/>
      <c r="T2277" s="24"/>
      <c r="U2277" s="24"/>
      <c r="V2277" s="24"/>
      <c r="W2277" s="22" t="s">
        <v>160</v>
      </c>
      <c r="X2277" s="4" t="str">
        <f>IF(Tabela2[[#This Row],[sigla]]="","",VLOOKUP(Tabela2[[#This Row],[sigla]],créditos_base!B:C,2,0))</f>
        <v>SERGIO LIMA/ARQUIVO DA EDITORA</v>
      </c>
      <c r="Y2277" s="23"/>
      <c r="Z2277" s="23" t="str">
        <f>Tabela2[[#This Row],[ilustrador]]</f>
        <v>SERGIO LIMA/ARQUIVO DA EDITORA</v>
      </c>
      <c r="AA2277" s="22"/>
      <c r="AB2277" s="20"/>
      <c r="AD2277" s="4" t="str">
        <f>"Pitanguá"</f>
        <v>Pitanguá</v>
      </c>
      <c r="AE2277" s="14" t="str">
        <f>"Matemática"</f>
        <v>Matemática</v>
      </c>
      <c r="AF2277" s="14"/>
    </row>
    <row r="2278" spans="1:32" ht="28.8" x14ac:dyDescent="0.3">
      <c r="A2278" s="30" t="s">
        <v>1709</v>
      </c>
      <c r="B2278" s="20" t="s">
        <v>16</v>
      </c>
      <c r="C2278" s="20" t="s">
        <v>7</v>
      </c>
      <c r="D2278" s="20" t="s">
        <v>8</v>
      </c>
      <c r="E2278" s="22">
        <v>86</v>
      </c>
      <c r="F2278" s="22">
        <v>2</v>
      </c>
      <c r="G2278" s="22">
        <v>9</v>
      </c>
      <c r="H2278" s="22"/>
      <c r="I2278" s="23" t="s">
        <v>9</v>
      </c>
      <c r="J2278" s="23"/>
      <c r="K2278" s="22"/>
      <c r="L2278" s="22"/>
      <c r="M2278" s="23"/>
      <c r="N2278" s="23"/>
      <c r="O2278" s="26" t="s">
        <v>1710</v>
      </c>
      <c r="P2278" s="26"/>
      <c r="Q2278" s="22"/>
      <c r="R2278" s="24"/>
      <c r="S2278" s="24"/>
      <c r="T2278" s="24"/>
      <c r="U2278" s="24"/>
      <c r="V2278" s="24"/>
      <c r="W2278" s="22" t="s">
        <v>546</v>
      </c>
      <c r="X2278" s="4" t="str">
        <f>IF(Tabela2[[#This Row],[sigla]]="","",VLOOKUP(Tabela2[[#This Row],[sigla]],créditos_base!B:C,2,0))</f>
        <v>GUILHERME ARANEGA/ARQUIVO DA EDITORA</v>
      </c>
      <c r="Y2278" s="23"/>
      <c r="Z2278" s="23" t="str">
        <f>Tabela2[[#This Row],[ilustrador]]</f>
        <v>GUILHERME ARANEGA/ARQUIVO DA EDITORA</v>
      </c>
      <c r="AA2278" s="22"/>
      <c r="AB2278" s="20"/>
      <c r="AD2278" s="4" t="str">
        <f>"Pitanguá"</f>
        <v>Pitanguá</v>
      </c>
      <c r="AE2278" s="14" t="str">
        <f>"Matemática"</f>
        <v>Matemática</v>
      </c>
      <c r="AF2278" s="14"/>
    </row>
    <row r="2279" spans="1:32" ht="28.8" x14ac:dyDescent="0.3">
      <c r="A2279" s="30" t="s">
        <v>1711</v>
      </c>
      <c r="B2279" s="20" t="s">
        <v>16</v>
      </c>
      <c r="C2279" s="20" t="s">
        <v>89</v>
      </c>
      <c r="D2279" s="20" t="s">
        <v>8</v>
      </c>
      <c r="E2279" s="22">
        <v>87</v>
      </c>
      <c r="F2279" s="22">
        <v>2</v>
      </c>
      <c r="G2279" s="22">
        <v>9</v>
      </c>
      <c r="H2279" s="22"/>
      <c r="I2279" s="23" t="s">
        <v>9</v>
      </c>
      <c r="J2279" s="23"/>
      <c r="K2279" s="22"/>
      <c r="L2279" s="22"/>
      <c r="M2279" s="23"/>
      <c r="N2279" s="23"/>
      <c r="O2279" s="26" t="s">
        <v>1712</v>
      </c>
      <c r="P2279" s="26"/>
      <c r="Q2279" s="22"/>
      <c r="R2279" s="24"/>
      <c r="S2279" s="24"/>
      <c r="T2279" s="24"/>
      <c r="U2279" s="24"/>
      <c r="V2279" s="24"/>
      <c r="W2279" s="22" t="s">
        <v>160</v>
      </c>
      <c r="X2279" s="4" t="str">
        <f>IF(Tabela2[[#This Row],[sigla]]="","",VLOOKUP(Tabela2[[#This Row],[sigla]],créditos_base!B:C,2,0))</f>
        <v>SERGIO LIMA/ARQUIVO DA EDITORA</v>
      </c>
      <c r="Y2279" s="23"/>
      <c r="Z2279" s="23" t="str">
        <f>Tabela2[[#This Row],[ilustrador]]</f>
        <v>SERGIO LIMA/ARQUIVO DA EDITORA</v>
      </c>
      <c r="AA2279" s="22"/>
      <c r="AB2279" s="20"/>
      <c r="AD2279" s="4" t="str">
        <f>"Pitanguá"</f>
        <v>Pitanguá</v>
      </c>
      <c r="AE2279" s="14" t="str">
        <f>"Matemática"</f>
        <v>Matemática</v>
      </c>
      <c r="AF2279" s="14"/>
    </row>
    <row r="2280" spans="1:32" ht="28.8" x14ac:dyDescent="0.3">
      <c r="A2280" s="23" t="s">
        <v>5359</v>
      </c>
      <c r="B2280" s="20" t="s">
        <v>16</v>
      </c>
      <c r="C2280" s="20" t="s">
        <v>7</v>
      </c>
      <c r="D2280" s="20" t="s">
        <v>8</v>
      </c>
      <c r="E2280" s="22">
        <v>235</v>
      </c>
      <c r="F2280" s="22">
        <v>4</v>
      </c>
      <c r="G2280" s="22">
        <v>9</v>
      </c>
      <c r="H2280" s="22"/>
      <c r="I2280" s="23" t="s">
        <v>33</v>
      </c>
      <c r="J2280" s="23"/>
      <c r="K2280" s="22"/>
      <c r="L2280" s="22"/>
      <c r="M2280" s="23"/>
      <c r="N2280" s="23"/>
      <c r="O2280" s="26" t="s">
        <v>5360</v>
      </c>
      <c r="P2280" s="26"/>
      <c r="Q2280" s="22">
        <v>124</v>
      </c>
      <c r="R2280" s="24">
        <v>45862</v>
      </c>
      <c r="S2280" s="24">
        <v>45866</v>
      </c>
      <c r="T2280" s="24"/>
      <c r="U2280" s="24"/>
      <c r="V2280" s="24">
        <v>45866</v>
      </c>
      <c r="W2280" s="22" t="s">
        <v>806</v>
      </c>
      <c r="X2280" s="4" t="str">
        <f>IF(Tabela2[[#This Row],[sigla]]="","",VLOOKUP(Tabela2[[#This Row],[sigla]],créditos_base!B:C,2,0))</f>
        <v>MARCOS MACHADO/ARQUIVO DA EDITORA</v>
      </c>
      <c r="Y2280" s="23" t="s">
        <v>524</v>
      </c>
      <c r="Z2280" s="23" t="str">
        <f>Tabela2[[#This Row],[ilustrador]]</f>
        <v>MARCOS MACHADO/ARQUIVO DA EDITORA</v>
      </c>
      <c r="AA2280" s="22">
        <v>13</v>
      </c>
      <c r="AB2280" s="20" t="s">
        <v>2793</v>
      </c>
      <c r="AC2280" s="20" t="s">
        <v>36</v>
      </c>
      <c r="AD2280" s="4" t="str">
        <f>"Pitanguá"</f>
        <v>Pitanguá</v>
      </c>
      <c r="AE2280" s="14" t="str">
        <f>"Matemática"</f>
        <v>Matemática</v>
      </c>
      <c r="AF2280" s="14"/>
    </row>
    <row r="2281" spans="1:32" ht="43.2" x14ac:dyDescent="0.3">
      <c r="A2281" s="30" t="s">
        <v>1713</v>
      </c>
      <c r="B2281" s="20" t="s">
        <v>16</v>
      </c>
      <c r="C2281" s="20" t="s">
        <v>89</v>
      </c>
      <c r="D2281" s="20" t="s">
        <v>8</v>
      </c>
      <c r="E2281" s="22">
        <v>87</v>
      </c>
      <c r="F2281" s="22">
        <v>2</v>
      </c>
      <c r="G2281" s="22">
        <v>9</v>
      </c>
      <c r="H2281" s="22"/>
      <c r="I2281" s="23" t="s">
        <v>33</v>
      </c>
      <c r="J2281" s="23"/>
      <c r="K2281" s="22"/>
      <c r="L2281" s="22"/>
      <c r="M2281" s="23"/>
      <c r="N2281" s="23"/>
      <c r="O2281" s="26" t="s">
        <v>1714</v>
      </c>
      <c r="P2281" s="26"/>
      <c r="Q2281" s="22">
        <v>20</v>
      </c>
      <c r="R2281" s="24">
        <v>45748</v>
      </c>
      <c r="S2281" s="24">
        <v>45748</v>
      </c>
      <c r="T2281" s="24"/>
      <c r="U2281" s="24"/>
      <c r="V2281" s="24">
        <v>45754</v>
      </c>
      <c r="W2281" s="22" t="s">
        <v>468</v>
      </c>
      <c r="X2281" s="4" t="str">
        <f>IF(Tabela2[[#This Row],[sigla]]="","",VLOOKUP(Tabela2[[#This Row],[sigla]],créditos_base!B:C,2,0))</f>
        <v>VER DOCUMENTO DE ILS. TÉCNICAS</v>
      </c>
      <c r="Y2281" s="23" t="s">
        <v>433</v>
      </c>
      <c r="Z2281" s="23" t="s">
        <v>689</v>
      </c>
      <c r="AA2281" s="22">
        <v>13</v>
      </c>
      <c r="AB2281" s="20" t="s">
        <v>153</v>
      </c>
      <c r="AC2281" s="20" t="s">
        <v>36</v>
      </c>
      <c r="AD2281" s="4" t="str">
        <f>"Pitanguá"</f>
        <v>Pitanguá</v>
      </c>
      <c r="AE2281" s="14" t="str">
        <f>"Matemática"</f>
        <v>Matemática</v>
      </c>
      <c r="AF2281" s="14"/>
    </row>
    <row r="2282" spans="1:32" ht="43.2" x14ac:dyDescent="0.3">
      <c r="A2282" s="23" t="s">
        <v>4936</v>
      </c>
      <c r="B2282" s="20" t="s">
        <v>16</v>
      </c>
      <c r="C2282" s="20" t="s">
        <v>89</v>
      </c>
      <c r="D2282" s="20" t="s">
        <v>8</v>
      </c>
      <c r="E2282" s="22">
        <v>239</v>
      </c>
      <c r="F2282" s="22">
        <v>3</v>
      </c>
      <c r="G2282" s="22">
        <v>9</v>
      </c>
      <c r="H2282" s="22"/>
      <c r="I2282" s="23" t="s">
        <v>90</v>
      </c>
      <c r="J2282" s="23"/>
      <c r="K2282" s="22"/>
      <c r="L2282" s="22"/>
      <c r="M2282" s="23"/>
      <c r="N2282" s="23"/>
      <c r="O2282" s="26" t="s">
        <v>4937</v>
      </c>
      <c r="P2282" s="26"/>
      <c r="Q2282" s="22">
        <v>88</v>
      </c>
      <c r="R2282" s="24">
        <v>45839</v>
      </c>
      <c r="S2282" s="24">
        <v>45845</v>
      </c>
      <c r="T2282" s="24"/>
      <c r="U2282" s="24"/>
      <c r="V2282" s="24">
        <v>45845</v>
      </c>
      <c r="W2282" s="22" t="s">
        <v>1217</v>
      </c>
      <c r="X2282" s="4" t="str">
        <f>IF(Tabela2[[#This Row],[sigla]]="","",VLOOKUP(Tabela2[[#This Row],[sigla]],créditos_base!B:C,2,0))</f>
        <v>KEITHY MOSTACHI/ARQUIVO DA EDITORA</v>
      </c>
      <c r="Y2282" s="23"/>
      <c r="Z2282" s="23" t="str">
        <f>Tabela2[[#This Row],[ilustrador]]</f>
        <v>KEITHY MOSTACHI/ARQUIVO DA EDITORA</v>
      </c>
      <c r="AA2282" s="22">
        <v>13</v>
      </c>
      <c r="AB2282" s="20" t="s">
        <v>2564</v>
      </c>
      <c r="AC2282" s="20" t="s">
        <v>36</v>
      </c>
      <c r="AD2282" s="4" t="str">
        <f>"Pitanguá"</f>
        <v>Pitanguá</v>
      </c>
      <c r="AE2282" s="14" t="str">
        <f>"Matemática"</f>
        <v>Matemática</v>
      </c>
      <c r="AF2282" s="14"/>
    </row>
    <row r="2283" spans="1:32" ht="57.6" x14ac:dyDescent="0.3">
      <c r="A2283" s="30" t="s">
        <v>1715</v>
      </c>
      <c r="B2283" s="20" t="s">
        <v>6</v>
      </c>
      <c r="C2283" s="20" t="s">
        <v>89</v>
      </c>
      <c r="D2283" s="20" t="s">
        <v>8</v>
      </c>
      <c r="E2283" s="22">
        <v>88</v>
      </c>
      <c r="F2283" s="22">
        <v>2</v>
      </c>
      <c r="G2283" s="22">
        <v>9</v>
      </c>
      <c r="H2283" s="22"/>
      <c r="I2283" s="23" t="s">
        <v>9</v>
      </c>
      <c r="J2283" s="23"/>
      <c r="K2283" s="22"/>
      <c r="L2283" s="22"/>
      <c r="M2283" s="23"/>
      <c r="N2283" s="23"/>
      <c r="O2283" s="26" t="s">
        <v>1716</v>
      </c>
      <c r="P2283" s="26" t="s">
        <v>11</v>
      </c>
      <c r="Q2283" s="22"/>
      <c r="R2283" s="24"/>
      <c r="S2283" s="24"/>
      <c r="T2283" s="24"/>
      <c r="U2283" s="24"/>
      <c r="V2283" s="24"/>
      <c r="W2283" s="22" t="s">
        <v>460</v>
      </c>
      <c r="X2283" s="4" t="str">
        <f>IF(Tabela2[[#This Row],[sigla]]="","",VLOOKUP(Tabela2[[#This Row],[sigla]],créditos_base!B:C,2,0))</f>
        <v>CLAUDIA SOUZA/ARQUIVO DA EDITORA</v>
      </c>
      <c r="Y2283" s="23"/>
      <c r="Z2283" s="23" t="str">
        <f>Tabela2[[#This Row],[ilustrador]]</f>
        <v>CLAUDIA SOUZA/ARQUIVO DA EDITORA</v>
      </c>
      <c r="AA2283" s="22"/>
      <c r="AB2283" s="20"/>
      <c r="AD2283" s="4" t="str">
        <f>"Pitanguá"</f>
        <v>Pitanguá</v>
      </c>
      <c r="AE2283" s="14" t="str">
        <f>"Matemática"</f>
        <v>Matemática</v>
      </c>
      <c r="AF2283" s="14"/>
    </row>
    <row r="2284" spans="1:32" ht="129.6" x14ac:dyDescent="0.3">
      <c r="A2284" s="23" t="s">
        <v>4938</v>
      </c>
      <c r="B2284" s="20" t="s">
        <v>16</v>
      </c>
      <c r="C2284" s="20" t="s">
        <v>89</v>
      </c>
      <c r="D2284" s="20" t="s">
        <v>8</v>
      </c>
      <c r="E2284" s="22">
        <v>239</v>
      </c>
      <c r="F2284" s="22">
        <v>3</v>
      </c>
      <c r="G2284" s="22">
        <v>9</v>
      </c>
      <c r="H2284" s="22"/>
      <c r="I2284" s="23" t="s">
        <v>90</v>
      </c>
      <c r="J2284" s="23"/>
      <c r="K2284" s="22"/>
      <c r="L2284" s="22"/>
      <c r="M2284" s="23"/>
      <c r="N2284" s="23"/>
      <c r="O2284" s="26" t="s">
        <v>4939</v>
      </c>
      <c r="P2284" s="26"/>
      <c r="Q2284" s="22">
        <v>88</v>
      </c>
      <c r="R2284" s="24">
        <v>45839</v>
      </c>
      <c r="S2284" s="24">
        <v>45845</v>
      </c>
      <c r="T2284" s="24"/>
      <c r="U2284" s="24"/>
      <c r="V2284" s="24">
        <v>45845</v>
      </c>
      <c r="W2284" s="22" t="s">
        <v>1217</v>
      </c>
      <c r="X2284" s="4" t="str">
        <f>IF(Tabela2[[#This Row],[sigla]]="","",VLOOKUP(Tabela2[[#This Row],[sigla]],créditos_base!B:C,2,0))</f>
        <v>KEITHY MOSTACHI/ARQUIVO DA EDITORA</v>
      </c>
      <c r="Y2284" s="23"/>
      <c r="Z2284" s="23" t="str">
        <f>Tabela2[[#This Row],[ilustrador]]</f>
        <v>KEITHY MOSTACHI/ARQUIVO DA EDITORA</v>
      </c>
      <c r="AA2284" s="22">
        <v>13</v>
      </c>
      <c r="AB2284" s="20" t="s">
        <v>2564</v>
      </c>
      <c r="AC2284" s="20" t="s">
        <v>36</v>
      </c>
      <c r="AD2284" s="4" t="str">
        <f>"Pitanguá"</f>
        <v>Pitanguá</v>
      </c>
      <c r="AE2284" s="14" t="str">
        <f>"Matemática"</f>
        <v>Matemática</v>
      </c>
      <c r="AF2284" s="14"/>
    </row>
    <row r="2285" spans="1:32" ht="28.8" x14ac:dyDescent="0.3">
      <c r="A2285" s="23" t="s">
        <v>3409</v>
      </c>
      <c r="B2285" s="20" t="s">
        <v>6</v>
      </c>
      <c r="C2285" s="20" t="s">
        <v>89</v>
      </c>
      <c r="D2285" s="20" t="s">
        <v>8</v>
      </c>
      <c r="E2285" s="22">
        <v>210</v>
      </c>
      <c r="F2285" s="22">
        <v>4</v>
      </c>
      <c r="G2285" s="22">
        <v>9</v>
      </c>
      <c r="H2285" s="22"/>
      <c r="I2285" s="23" t="s">
        <v>9</v>
      </c>
      <c r="J2285" s="23"/>
      <c r="K2285" s="22"/>
      <c r="L2285" s="22"/>
      <c r="M2285" s="23"/>
      <c r="N2285" s="23"/>
      <c r="O2285" s="26" t="s">
        <v>3410</v>
      </c>
      <c r="P2285" s="26"/>
      <c r="Q2285" s="22"/>
      <c r="R2285" s="24"/>
      <c r="S2285" s="24"/>
      <c r="T2285" s="24"/>
      <c r="U2285" s="24"/>
      <c r="V2285" s="24"/>
      <c r="W2285" s="22" t="s">
        <v>940</v>
      </c>
      <c r="X2285" s="4" t="str">
        <f>IF(Tabela2[[#This Row],[sigla]]="","",VLOOKUP(Tabela2[[#This Row],[sigla]],créditos_base!B:C,2,0))</f>
        <v>RONALDO LUCENA/ARQUIVO DA EDITORA</v>
      </c>
      <c r="Y2285" s="23"/>
      <c r="Z2285" s="23" t="str">
        <f>Tabela2[[#This Row],[ilustrador]]</f>
        <v>RONALDO LUCENA/ARQUIVO DA EDITORA</v>
      </c>
      <c r="AA2285" s="22"/>
      <c r="AB2285" s="20"/>
      <c r="AD2285" s="4" t="str">
        <f>"Pitanguá"</f>
        <v>Pitanguá</v>
      </c>
      <c r="AE2285" s="14" t="str">
        <f>"Matemática"</f>
        <v>Matemática</v>
      </c>
      <c r="AF2285" s="14"/>
    </row>
    <row r="2286" spans="1:32" ht="28.8" x14ac:dyDescent="0.3">
      <c r="A2286" s="30" t="s">
        <v>1717</v>
      </c>
      <c r="B2286" s="20" t="s">
        <v>16</v>
      </c>
      <c r="C2286" s="20" t="s">
        <v>7</v>
      </c>
      <c r="D2286" s="20" t="s">
        <v>8</v>
      </c>
      <c r="E2286" s="22">
        <v>88</v>
      </c>
      <c r="F2286" s="22">
        <v>2</v>
      </c>
      <c r="G2286" s="22">
        <v>9</v>
      </c>
      <c r="H2286" s="22"/>
      <c r="I2286" s="23" t="s">
        <v>33</v>
      </c>
      <c r="J2286" s="23"/>
      <c r="K2286" s="22"/>
      <c r="L2286" s="22"/>
      <c r="M2286" s="23"/>
      <c r="N2286" s="23"/>
      <c r="O2286" s="26" t="s">
        <v>1718</v>
      </c>
      <c r="P2286" s="26"/>
      <c r="Q2286" s="22">
        <v>84</v>
      </c>
      <c r="R2286" s="24">
        <v>45832</v>
      </c>
      <c r="S2286" s="24">
        <v>45833</v>
      </c>
      <c r="T2286" s="24"/>
      <c r="U2286" s="24"/>
      <c r="V2286" s="24">
        <v>45833</v>
      </c>
      <c r="W2286" s="22" t="s">
        <v>460</v>
      </c>
      <c r="X2286" s="4" t="str">
        <f>IF(Tabela2[[#This Row],[sigla]]="","",VLOOKUP(Tabela2[[#This Row],[sigla]],créditos_base!B:C,2,0))</f>
        <v>CLAUDIA SOUZA/ARQUIVO DA EDITORA</v>
      </c>
      <c r="Y2286" s="23" t="s">
        <v>880</v>
      </c>
      <c r="Z2286" s="23" t="str">
        <f>Tabela2[[#This Row],[ilustrador]]</f>
        <v>CLAUDIA SOUZA/ARQUIVO DA EDITORA</v>
      </c>
      <c r="AA2286" s="22">
        <v>13</v>
      </c>
      <c r="AB2286" s="20" t="s">
        <v>244</v>
      </c>
      <c r="AC2286" s="20" t="s">
        <v>36</v>
      </c>
      <c r="AD2286" s="4" t="str">
        <f>"Pitanguá"</f>
        <v>Pitanguá</v>
      </c>
      <c r="AE2286" s="14" t="str">
        <f>"Matemática"</f>
        <v>Matemática</v>
      </c>
      <c r="AF2286" s="14"/>
    </row>
    <row r="2287" spans="1:32" ht="28.8" x14ac:dyDescent="0.3">
      <c r="A2287" s="23" t="s">
        <v>4973</v>
      </c>
      <c r="B2287" s="20" t="s">
        <v>16</v>
      </c>
      <c r="C2287" s="20" t="s">
        <v>89</v>
      </c>
      <c r="D2287" s="20" t="s">
        <v>8</v>
      </c>
      <c r="E2287" s="22">
        <v>241</v>
      </c>
      <c r="F2287" s="22">
        <v>3</v>
      </c>
      <c r="G2287" s="22">
        <v>9</v>
      </c>
      <c r="H2287" s="22"/>
      <c r="I2287" s="23" t="s">
        <v>33</v>
      </c>
      <c r="J2287" s="23"/>
      <c r="K2287" s="22"/>
      <c r="L2287" s="22"/>
      <c r="M2287" s="23"/>
      <c r="N2287" s="23"/>
      <c r="O2287" s="26" t="s">
        <v>4974</v>
      </c>
      <c r="P2287" s="26"/>
      <c r="Q2287" s="22">
        <v>88</v>
      </c>
      <c r="R2287" s="24">
        <v>45839</v>
      </c>
      <c r="S2287" s="24">
        <v>45845</v>
      </c>
      <c r="T2287" s="24">
        <v>45845</v>
      </c>
      <c r="U2287" s="24">
        <v>45845</v>
      </c>
      <c r="V2287" s="24">
        <v>45849</v>
      </c>
      <c r="W2287" s="22" t="s">
        <v>4778</v>
      </c>
      <c r="X2287" s="4" t="str">
        <f>IF(Tabela2[[#This Row],[sigla]]="","",VLOOKUP(Tabela2[[#This Row],[sigla]],créditos_base!B:C,2,0))</f>
        <v>WERLLEN HOLANDA/ARQUIVO DA EDITORA</v>
      </c>
      <c r="Y2287" s="23"/>
      <c r="Z2287" s="23" t="str">
        <f>Tabela2[[#This Row],[ilustrador]]</f>
        <v>WERLLEN HOLANDA/ARQUIVO DA EDITORA</v>
      </c>
      <c r="AA2287" s="22">
        <v>7</v>
      </c>
      <c r="AB2287" s="20" t="s">
        <v>4942</v>
      </c>
      <c r="AC2287" s="20" t="s">
        <v>310</v>
      </c>
      <c r="AD2287" s="4" t="str">
        <f>"Pitanguá"</f>
        <v>Pitanguá</v>
      </c>
      <c r="AE2287" s="14" t="str">
        <f>"Matemática"</f>
        <v>Matemática</v>
      </c>
      <c r="AF2287" s="14"/>
    </row>
    <row r="2288" spans="1:32" ht="57.6" x14ac:dyDescent="0.3">
      <c r="A2288" s="23" t="s">
        <v>3411</v>
      </c>
      <c r="B2288" s="20" t="s">
        <v>6</v>
      </c>
      <c r="C2288" s="20" t="s">
        <v>89</v>
      </c>
      <c r="D2288" s="20" t="s">
        <v>8</v>
      </c>
      <c r="E2288" s="22">
        <v>210</v>
      </c>
      <c r="F2288" s="22">
        <v>4</v>
      </c>
      <c r="G2288" s="22">
        <v>9</v>
      </c>
      <c r="H2288" s="22"/>
      <c r="I2288" s="23" t="s">
        <v>9</v>
      </c>
      <c r="J2288" s="23"/>
      <c r="K2288" s="22"/>
      <c r="L2288" s="22"/>
      <c r="M2288" s="23"/>
      <c r="N2288" s="23"/>
      <c r="O2288" s="26" t="s">
        <v>3412</v>
      </c>
      <c r="P2288" s="26"/>
      <c r="Q2288" s="22"/>
      <c r="R2288" s="24"/>
      <c r="S2288" s="24"/>
      <c r="T2288" s="24"/>
      <c r="U2288" s="24"/>
      <c r="V2288" s="24"/>
      <c r="W2288" s="22" t="s">
        <v>940</v>
      </c>
      <c r="X2288" s="4" t="str">
        <f>IF(Tabela2[[#This Row],[sigla]]="","",VLOOKUP(Tabela2[[#This Row],[sigla]],créditos_base!B:C,2,0))</f>
        <v>RONALDO LUCENA/ARQUIVO DA EDITORA</v>
      </c>
      <c r="Y2288" s="23"/>
      <c r="Z2288" s="23" t="str">
        <f>Tabela2[[#This Row],[ilustrador]]</f>
        <v>RONALDO LUCENA/ARQUIVO DA EDITORA</v>
      </c>
      <c r="AA2288" s="22"/>
      <c r="AB2288" s="20"/>
      <c r="AD2288" s="4" t="str">
        <f>"Pitanguá"</f>
        <v>Pitanguá</v>
      </c>
      <c r="AE2288" s="14" t="str">
        <f>"Matemática"</f>
        <v>Matemática</v>
      </c>
      <c r="AF2288" s="14"/>
    </row>
    <row r="2289" spans="1:32" ht="115.2" x14ac:dyDescent="0.3">
      <c r="A2289" s="23" t="s">
        <v>651</v>
      </c>
      <c r="B2289" s="20" t="s">
        <v>16</v>
      </c>
      <c r="C2289" s="20" t="s">
        <v>7</v>
      </c>
      <c r="D2289" s="20" t="s">
        <v>8</v>
      </c>
      <c r="E2289" s="22">
        <v>184</v>
      </c>
      <c r="F2289" s="22">
        <v>1</v>
      </c>
      <c r="G2289" s="22">
        <v>9</v>
      </c>
      <c r="H2289" s="22"/>
      <c r="I2289" s="23" t="s">
        <v>9</v>
      </c>
      <c r="J2289" s="23"/>
      <c r="K2289" s="22"/>
      <c r="L2289" s="22"/>
      <c r="M2289" s="23"/>
      <c r="N2289" s="23"/>
      <c r="O2289" s="26" t="s">
        <v>652</v>
      </c>
      <c r="P2289" s="26"/>
      <c r="Q2289" s="22"/>
      <c r="R2289" s="24"/>
      <c r="S2289" s="24"/>
      <c r="T2289" s="24"/>
      <c r="U2289" s="24"/>
      <c r="V2289" s="24"/>
      <c r="W2289" s="22" t="s">
        <v>332</v>
      </c>
      <c r="X2289" s="4" t="str">
        <f>IF(Tabela2[[#This Row],[sigla]]="","",VLOOKUP(Tabela2[[#This Row],[sigla]],créditos_base!B:C,2,0))</f>
        <v>CYNTHIA SEKIGUCHI/ARQUIVO DA EDITORA</v>
      </c>
      <c r="Y2289" s="23"/>
      <c r="Z2289" s="23" t="str">
        <f>Tabela2[[#This Row],[ilustrador]]</f>
        <v>CYNTHIA SEKIGUCHI/ARQUIVO DA EDITORA</v>
      </c>
      <c r="AA2289" s="22"/>
      <c r="AB2289" s="20"/>
      <c r="AD2289" s="4" t="str">
        <f>"Pitanguá"</f>
        <v>Pitanguá</v>
      </c>
      <c r="AE2289" s="14" t="str">
        <f>"Matemática"</f>
        <v>Matemática</v>
      </c>
      <c r="AF2289" s="14"/>
    </row>
    <row r="2290" spans="1:32" ht="331.2" x14ac:dyDescent="0.3">
      <c r="A2290" s="30" t="s">
        <v>1719</v>
      </c>
      <c r="B2290" s="20" t="s">
        <v>6</v>
      </c>
      <c r="C2290" s="20" t="s">
        <v>89</v>
      </c>
      <c r="D2290" s="20" t="s">
        <v>8</v>
      </c>
      <c r="E2290" s="22">
        <v>89</v>
      </c>
      <c r="F2290" s="22">
        <v>2</v>
      </c>
      <c r="G2290" s="22">
        <v>9</v>
      </c>
      <c r="H2290" s="22"/>
      <c r="I2290" s="23" t="s">
        <v>9</v>
      </c>
      <c r="J2290" s="23"/>
      <c r="K2290" s="22"/>
      <c r="L2290" s="22"/>
      <c r="M2290" s="23"/>
      <c r="N2290" s="23"/>
      <c r="O2290" s="26" t="s">
        <v>1720</v>
      </c>
      <c r="P2290" s="26" t="s">
        <v>11</v>
      </c>
      <c r="Q2290" s="22"/>
      <c r="R2290" s="24"/>
      <c r="S2290" s="24"/>
      <c r="T2290" s="24"/>
      <c r="U2290" s="24"/>
      <c r="V2290" s="24"/>
      <c r="W2290" s="22" t="s">
        <v>1721</v>
      </c>
      <c r="X2290" s="4" t="str">
        <f>IF(Tabela2[[#This Row],[sigla]]="","",VLOOKUP(Tabela2[[#This Row],[sigla]],créditos_base!B:C,2,0))</f>
        <v>CAIO TANAKA/ARQUIVO DA EDITORA</v>
      </c>
      <c r="Y2290" s="23"/>
      <c r="Z2290" s="23" t="str">
        <f>Tabela2[[#This Row],[ilustrador]]</f>
        <v>CAIO TANAKA/ARQUIVO DA EDITORA</v>
      </c>
      <c r="AA2290" s="22"/>
      <c r="AB2290" s="20"/>
      <c r="AD2290" s="4" t="str">
        <f>"Pitanguá"</f>
        <v>Pitanguá</v>
      </c>
      <c r="AE2290" s="14" t="str">
        <f>"Matemática"</f>
        <v>Matemática</v>
      </c>
      <c r="AF2290" s="14"/>
    </row>
    <row r="2291" spans="1:32" ht="273.60000000000002" x14ac:dyDescent="0.3">
      <c r="A2291" s="23" t="s">
        <v>3413</v>
      </c>
      <c r="B2291" s="20" t="s">
        <v>6</v>
      </c>
      <c r="C2291" s="20" t="s">
        <v>89</v>
      </c>
      <c r="D2291" s="20" t="s">
        <v>8</v>
      </c>
      <c r="E2291" s="22">
        <v>210</v>
      </c>
      <c r="F2291" s="22">
        <v>4</v>
      </c>
      <c r="G2291" s="22">
        <v>9</v>
      </c>
      <c r="H2291" s="22"/>
      <c r="I2291" s="23" t="s">
        <v>9</v>
      </c>
      <c r="J2291" s="23"/>
      <c r="K2291" s="22"/>
      <c r="L2291" s="22"/>
      <c r="M2291" s="23"/>
      <c r="N2291" s="23"/>
      <c r="O2291" s="26" t="s">
        <v>3414</v>
      </c>
      <c r="P2291" s="26"/>
      <c r="Q2291" s="22"/>
      <c r="R2291" s="24"/>
      <c r="S2291" s="24"/>
      <c r="T2291" s="24"/>
      <c r="U2291" s="24"/>
      <c r="V2291" s="24"/>
      <c r="W2291" s="22" t="s">
        <v>940</v>
      </c>
      <c r="X2291" s="4" t="str">
        <f>IF(Tabela2[[#This Row],[sigla]]="","",VLOOKUP(Tabela2[[#This Row],[sigla]],créditos_base!B:C,2,0))</f>
        <v>RONALDO LUCENA/ARQUIVO DA EDITORA</v>
      </c>
      <c r="Y2291" s="23"/>
      <c r="Z2291" s="23" t="str">
        <f>Tabela2[[#This Row],[ilustrador]]</f>
        <v>RONALDO LUCENA/ARQUIVO DA EDITORA</v>
      </c>
      <c r="AA2291" s="22"/>
      <c r="AB2291" s="20"/>
      <c r="AD2291" s="4" t="str">
        <f>"Pitanguá"</f>
        <v>Pitanguá</v>
      </c>
      <c r="AE2291" s="14" t="str">
        <f>"Matemática"</f>
        <v>Matemática</v>
      </c>
      <c r="AF2291" s="14"/>
    </row>
    <row r="2292" spans="1:32" ht="86.4" x14ac:dyDescent="0.3">
      <c r="A2292" s="30" t="s">
        <v>1722</v>
      </c>
      <c r="B2292" s="20" t="s">
        <v>6</v>
      </c>
      <c r="C2292" s="20" t="s">
        <v>89</v>
      </c>
      <c r="D2292" s="20" t="s">
        <v>8</v>
      </c>
      <c r="E2292" s="22">
        <v>89</v>
      </c>
      <c r="F2292" s="22">
        <v>2</v>
      </c>
      <c r="G2292" s="22">
        <v>9</v>
      </c>
      <c r="H2292" s="22"/>
      <c r="I2292" s="23" t="s">
        <v>9</v>
      </c>
      <c r="J2292" s="23"/>
      <c r="K2292" s="22"/>
      <c r="L2292" s="22"/>
      <c r="M2292" s="23"/>
      <c r="N2292" s="23"/>
      <c r="O2292" s="26" t="s">
        <v>1723</v>
      </c>
      <c r="P2292" s="26" t="s">
        <v>11</v>
      </c>
      <c r="Q2292" s="22"/>
      <c r="R2292" s="24"/>
      <c r="S2292" s="24"/>
      <c r="T2292" s="24"/>
      <c r="U2292" s="24"/>
      <c r="V2292" s="24"/>
      <c r="W2292" s="22" t="s">
        <v>1721</v>
      </c>
      <c r="X2292" s="4" t="str">
        <f>IF(Tabela2[[#This Row],[sigla]]="","",VLOOKUP(Tabela2[[#This Row],[sigla]],créditos_base!B:C,2,0))</f>
        <v>CAIO TANAKA/ARQUIVO DA EDITORA</v>
      </c>
      <c r="Y2292" s="23"/>
      <c r="Z2292" s="23" t="str">
        <f>Tabela2[[#This Row],[ilustrador]]</f>
        <v>CAIO TANAKA/ARQUIVO DA EDITORA</v>
      </c>
      <c r="AA2292" s="22"/>
      <c r="AB2292" s="20"/>
      <c r="AD2292" s="4" t="str">
        <f>"Pitanguá"</f>
        <v>Pitanguá</v>
      </c>
      <c r="AE2292" s="14" t="str">
        <f>"Matemática"</f>
        <v>Matemática</v>
      </c>
      <c r="AF2292" s="14"/>
    </row>
    <row r="2293" spans="1:32" ht="72" x14ac:dyDescent="0.3">
      <c r="A2293" s="23" t="s">
        <v>3415</v>
      </c>
      <c r="B2293" s="20" t="s">
        <v>6</v>
      </c>
      <c r="C2293" s="20" t="s">
        <v>89</v>
      </c>
      <c r="D2293" s="20" t="s">
        <v>8</v>
      </c>
      <c r="E2293" s="22">
        <v>210</v>
      </c>
      <c r="F2293" s="22">
        <v>4</v>
      </c>
      <c r="G2293" s="22">
        <v>9</v>
      </c>
      <c r="H2293" s="22"/>
      <c r="I2293" s="23" t="s">
        <v>9</v>
      </c>
      <c r="J2293" s="23"/>
      <c r="K2293" s="22"/>
      <c r="L2293" s="22"/>
      <c r="M2293" s="23"/>
      <c r="N2293" s="23"/>
      <c r="O2293" s="26" t="s">
        <v>3416</v>
      </c>
      <c r="P2293" s="26"/>
      <c r="Q2293" s="22"/>
      <c r="R2293" s="24"/>
      <c r="S2293" s="24"/>
      <c r="T2293" s="24"/>
      <c r="U2293" s="24"/>
      <c r="V2293" s="24"/>
      <c r="W2293" s="22" t="s">
        <v>940</v>
      </c>
      <c r="X2293" s="4" t="str">
        <f>IF(Tabela2[[#This Row],[sigla]]="","",VLOOKUP(Tabela2[[#This Row],[sigla]],créditos_base!B:C,2,0))</f>
        <v>RONALDO LUCENA/ARQUIVO DA EDITORA</v>
      </c>
      <c r="Y2293" s="23"/>
      <c r="Z2293" s="23" t="str">
        <f>Tabela2[[#This Row],[ilustrador]]</f>
        <v>RONALDO LUCENA/ARQUIVO DA EDITORA</v>
      </c>
      <c r="AA2293" s="22"/>
      <c r="AB2293" s="20"/>
      <c r="AD2293" s="4" t="str">
        <f>"Pitanguá"</f>
        <v>Pitanguá</v>
      </c>
      <c r="AE2293" s="14" t="str">
        <f>"Matemática"</f>
        <v>Matemática</v>
      </c>
      <c r="AF2293" s="14"/>
    </row>
    <row r="2294" spans="1:32" ht="144" x14ac:dyDescent="0.3">
      <c r="A2294" s="30" t="s">
        <v>1724</v>
      </c>
      <c r="B2294" s="20" t="s">
        <v>6</v>
      </c>
      <c r="C2294" s="20" t="s">
        <v>89</v>
      </c>
      <c r="D2294" s="20" t="s">
        <v>8</v>
      </c>
      <c r="E2294" s="22">
        <v>89</v>
      </c>
      <c r="F2294" s="22">
        <v>2</v>
      </c>
      <c r="G2294" s="22">
        <v>9</v>
      </c>
      <c r="H2294" s="22"/>
      <c r="I2294" s="23" t="s">
        <v>9</v>
      </c>
      <c r="J2294" s="23"/>
      <c r="K2294" s="22"/>
      <c r="L2294" s="22"/>
      <c r="M2294" s="23"/>
      <c r="N2294" s="23"/>
      <c r="O2294" s="26" t="s">
        <v>1725</v>
      </c>
      <c r="P2294" s="26" t="s">
        <v>11</v>
      </c>
      <c r="Q2294" s="22"/>
      <c r="R2294" s="24"/>
      <c r="S2294" s="24"/>
      <c r="T2294" s="24"/>
      <c r="U2294" s="24"/>
      <c r="V2294" s="24"/>
      <c r="W2294" s="22" t="s">
        <v>1721</v>
      </c>
      <c r="X2294" s="4" t="str">
        <f>IF(Tabela2[[#This Row],[sigla]]="","",VLOOKUP(Tabela2[[#This Row],[sigla]],créditos_base!B:C,2,0))</f>
        <v>CAIO TANAKA/ARQUIVO DA EDITORA</v>
      </c>
      <c r="Y2294" s="23"/>
      <c r="Z2294" s="23" t="str">
        <f>Tabela2[[#This Row],[ilustrador]]</f>
        <v>CAIO TANAKA/ARQUIVO DA EDITORA</v>
      </c>
      <c r="AA2294" s="22"/>
      <c r="AB2294" s="20"/>
      <c r="AD2294" s="4" t="str">
        <f>"Pitanguá"</f>
        <v>Pitanguá</v>
      </c>
      <c r="AE2294" s="14" t="str">
        <f>"Matemática"</f>
        <v>Matemática</v>
      </c>
      <c r="AF2294" s="14"/>
    </row>
    <row r="2295" spans="1:32" ht="72" x14ac:dyDescent="0.3">
      <c r="A2295" s="23" t="s">
        <v>3417</v>
      </c>
      <c r="B2295" s="20" t="s">
        <v>6</v>
      </c>
      <c r="C2295" s="20" t="s">
        <v>7</v>
      </c>
      <c r="D2295" s="20" t="s">
        <v>8</v>
      </c>
      <c r="E2295" s="22">
        <v>210</v>
      </c>
      <c r="F2295" s="22">
        <v>4</v>
      </c>
      <c r="G2295" s="22">
        <v>9</v>
      </c>
      <c r="H2295" s="22"/>
      <c r="I2295" s="23" t="s">
        <v>9</v>
      </c>
      <c r="J2295" s="23"/>
      <c r="K2295" s="22"/>
      <c r="L2295" s="22"/>
      <c r="M2295" s="23"/>
      <c r="N2295" s="23"/>
      <c r="O2295" s="26" t="s">
        <v>3418</v>
      </c>
      <c r="P2295" s="26"/>
      <c r="Q2295" s="22"/>
      <c r="R2295" s="24"/>
      <c r="S2295" s="24"/>
      <c r="T2295" s="24"/>
      <c r="U2295" s="24"/>
      <c r="V2295" s="24"/>
      <c r="W2295" s="22" t="s">
        <v>940</v>
      </c>
      <c r="X2295" s="4" t="str">
        <f>IF(Tabela2[[#This Row],[sigla]]="","",VLOOKUP(Tabela2[[#This Row],[sigla]],créditos_base!B:C,2,0))</f>
        <v>RONALDO LUCENA/ARQUIVO DA EDITORA</v>
      </c>
      <c r="Y2295" s="23"/>
      <c r="Z2295" s="23" t="str">
        <f>Tabela2[[#This Row],[ilustrador]]</f>
        <v>RONALDO LUCENA/ARQUIVO DA EDITORA</v>
      </c>
      <c r="AA2295" s="22"/>
      <c r="AB2295" s="20"/>
      <c r="AD2295" s="4" t="str">
        <f>"Pitanguá"</f>
        <v>Pitanguá</v>
      </c>
      <c r="AE2295" s="14" t="str">
        <f>"Matemática"</f>
        <v>Matemática</v>
      </c>
      <c r="AF2295" s="14"/>
    </row>
    <row r="2296" spans="1:32" x14ac:dyDescent="0.3">
      <c r="A2296" s="30" t="s">
        <v>1726</v>
      </c>
      <c r="B2296" s="20" t="s">
        <v>6</v>
      </c>
      <c r="C2296" s="20" t="s">
        <v>89</v>
      </c>
      <c r="D2296" s="20" t="s">
        <v>8</v>
      </c>
      <c r="E2296" s="22">
        <v>89</v>
      </c>
      <c r="F2296" s="22">
        <v>2</v>
      </c>
      <c r="G2296" s="22">
        <v>9</v>
      </c>
      <c r="H2296" s="22"/>
      <c r="I2296" s="23" t="s">
        <v>9</v>
      </c>
      <c r="J2296" s="23"/>
      <c r="K2296" s="22"/>
      <c r="L2296" s="22"/>
      <c r="M2296" s="23"/>
      <c r="N2296" s="23"/>
      <c r="O2296" s="26" t="s">
        <v>1727</v>
      </c>
      <c r="P2296" s="26" t="s">
        <v>11</v>
      </c>
      <c r="Q2296" s="22"/>
      <c r="R2296" s="24"/>
      <c r="S2296" s="24"/>
      <c r="T2296" s="24"/>
      <c r="U2296" s="24"/>
      <c r="V2296" s="24"/>
      <c r="W2296" s="22" t="s">
        <v>1721</v>
      </c>
      <c r="X2296" s="4" t="str">
        <f>IF(Tabela2[[#This Row],[sigla]]="","",VLOOKUP(Tabela2[[#This Row],[sigla]],créditos_base!B:C,2,0))</f>
        <v>CAIO TANAKA/ARQUIVO DA EDITORA</v>
      </c>
      <c r="Y2296" s="23"/>
      <c r="Z2296" s="23" t="str">
        <f>Tabela2[[#This Row],[ilustrador]]</f>
        <v>CAIO TANAKA/ARQUIVO DA EDITORA</v>
      </c>
      <c r="AA2296" s="22"/>
      <c r="AB2296" s="20"/>
      <c r="AD2296" s="4" t="str">
        <f>"Pitanguá"</f>
        <v>Pitanguá</v>
      </c>
      <c r="AE2296" s="14" t="str">
        <f>"Matemática"</f>
        <v>Matemática</v>
      </c>
      <c r="AF2296" s="14"/>
    </row>
    <row r="2297" spans="1:32" x14ac:dyDescent="0.3">
      <c r="A2297" s="23" t="s">
        <v>3419</v>
      </c>
      <c r="B2297" s="20" t="s">
        <v>6</v>
      </c>
      <c r="C2297" s="20" t="s">
        <v>7</v>
      </c>
      <c r="D2297" s="20" t="s">
        <v>8</v>
      </c>
      <c r="E2297" s="22">
        <v>210</v>
      </c>
      <c r="F2297" s="22">
        <v>4</v>
      </c>
      <c r="G2297" s="22">
        <v>9</v>
      </c>
      <c r="H2297" s="22"/>
      <c r="I2297" s="23" t="s">
        <v>9</v>
      </c>
      <c r="J2297" s="23"/>
      <c r="K2297" s="22"/>
      <c r="L2297" s="22"/>
      <c r="M2297" s="23"/>
      <c r="N2297" s="23"/>
      <c r="O2297" s="26" t="s">
        <v>3420</v>
      </c>
      <c r="P2297" s="26"/>
      <c r="Q2297" s="22"/>
      <c r="R2297" s="24"/>
      <c r="S2297" s="24"/>
      <c r="T2297" s="24"/>
      <c r="U2297" s="24"/>
      <c r="V2297" s="24"/>
      <c r="W2297" s="22" t="s">
        <v>940</v>
      </c>
      <c r="X2297" s="4" t="str">
        <f>IF(Tabela2[[#This Row],[sigla]]="","",VLOOKUP(Tabela2[[#This Row],[sigla]],créditos_base!B:C,2,0))</f>
        <v>RONALDO LUCENA/ARQUIVO DA EDITORA</v>
      </c>
      <c r="Y2297" s="23"/>
      <c r="Z2297" s="23" t="str">
        <f>Tabela2[[#This Row],[ilustrador]]</f>
        <v>RONALDO LUCENA/ARQUIVO DA EDITORA</v>
      </c>
      <c r="AA2297" s="22"/>
      <c r="AB2297" s="20"/>
      <c r="AD2297" s="4" t="str">
        <f>"Pitanguá"</f>
        <v>Pitanguá</v>
      </c>
      <c r="AE2297" s="14" t="str">
        <f>"Matemática"</f>
        <v>Matemática</v>
      </c>
      <c r="AF2297" s="14"/>
    </row>
    <row r="2298" spans="1:32" ht="72" x14ac:dyDescent="0.3">
      <c r="A2298" s="30" t="s">
        <v>1728</v>
      </c>
      <c r="B2298" s="20" t="s">
        <v>6</v>
      </c>
      <c r="C2298" s="20" t="s">
        <v>89</v>
      </c>
      <c r="D2298" s="20" t="s">
        <v>8</v>
      </c>
      <c r="E2298" s="22">
        <v>89</v>
      </c>
      <c r="F2298" s="22">
        <v>2</v>
      </c>
      <c r="G2298" s="22">
        <v>9</v>
      </c>
      <c r="H2298" s="22"/>
      <c r="I2298" s="23" t="s">
        <v>9</v>
      </c>
      <c r="J2298" s="23"/>
      <c r="K2298" s="22"/>
      <c r="L2298" s="22"/>
      <c r="M2298" s="23"/>
      <c r="N2298" s="23"/>
      <c r="O2298" s="26" t="s">
        <v>1729</v>
      </c>
      <c r="P2298" s="26" t="s">
        <v>11</v>
      </c>
      <c r="Q2298" s="22"/>
      <c r="R2298" s="24"/>
      <c r="S2298" s="24"/>
      <c r="T2298" s="24"/>
      <c r="U2298" s="24"/>
      <c r="V2298" s="24"/>
      <c r="W2298" s="22" t="s">
        <v>1721</v>
      </c>
      <c r="X2298" s="4" t="str">
        <f>IF(Tabela2[[#This Row],[sigla]]="","",VLOOKUP(Tabela2[[#This Row],[sigla]],créditos_base!B:C,2,0))</f>
        <v>CAIO TANAKA/ARQUIVO DA EDITORA</v>
      </c>
      <c r="Y2298" s="23"/>
      <c r="Z2298" s="23" t="str">
        <f>Tabela2[[#This Row],[ilustrador]]</f>
        <v>CAIO TANAKA/ARQUIVO DA EDITORA</v>
      </c>
      <c r="AA2298" s="22"/>
      <c r="AB2298" s="20"/>
      <c r="AD2298" s="4" t="str">
        <f>"Pitanguá"</f>
        <v>Pitanguá</v>
      </c>
      <c r="AE2298" s="14" t="str">
        <f>"Matemática"</f>
        <v>Matemática</v>
      </c>
      <c r="AF2298" s="14"/>
    </row>
    <row r="2299" spans="1:32" ht="43.2" x14ac:dyDescent="0.3">
      <c r="A2299" s="23" t="s">
        <v>3421</v>
      </c>
      <c r="B2299" s="20" t="s">
        <v>6</v>
      </c>
      <c r="C2299" s="20" t="s">
        <v>89</v>
      </c>
      <c r="D2299" s="20" t="s">
        <v>8</v>
      </c>
      <c r="E2299" s="22">
        <v>210</v>
      </c>
      <c r="F2299" s="22">
        <v>4</v>
      </c>
      <c r="G2299" s="22">
        <v>9</v>
      </c>
      <c r="H2299" s="22"/>
      <c r="I2299" s="23" t="s">
        <v>9</v>
      </c>
      <c r="J2299" s="23"/>
      <c r="K2299" s="22"/>
      <c r="L2299" s="22"/>
      <c r="M2299" s="23"/>
      <c r="N2299" s="23"/>
      <c r="O2299" s="26" t="s">
        <v>3422</v>
      </c>
      <c r="P2299" s="26"/>
      <c r="Q2299" s="22"/>
      <c r="R2299" s="24"/>
      <c r="S2299" s="24"/>
      <c r="T2299" s="24"/>
      <c r="U2299" s="24"/>
      <c r="V2299" s="24"/>
      <c r="W2299" s="22" t="s">
        <v>940</v>
      </c>
      <c r="X2299" s="4" t="str">
        <f>IF(Tabela2[[#This Row],[sigla]]="","",VLOOKUP(Tabela2[[#This Row],[sigla]],créditos_base!B:C,2,0))</f>
        <v>RONALDO LUCENA/ARQUIVO DA EDITORA</v>
      </c>
      <c r="Y2299" s="23"/>
      <c r="Z2299" s="23" t="str">
        <f>Tabela2[[#This Row],[ilustrador]]</f>
        <v>RONALDO LUCENA/ARQUIVO DA EDITORA</v>
      </c>
      <c r="AA2299" s="22"/>
      <c r="AB2299" s="20"/>
      <c r="AD2299" s="4" t="str">
        <f>"Pitanguá"</f>
        <v>Pitanguá</v>
      </c>
      <c r="AE2299" s="14" t="str">
        <f>"Matemática"</f>
        <v>Matemática</v>
      </c>
      <c r="AF2299" s="14"/>
    </row>
    <row r="2300" spans="1:32" ht="115.2" x14ac:dyDescent="0.3">
      <c r="A2300" s="23" t="s">
        <v>3423</v>
      </c>
      <c r="B2300" s="20" t="s">
        <v>6</v>
      </c>
      <c r="C2300" s="20" t="s">
        <v>89</v>
      </c>
      <c r="D2300" s="20" t="s">
        <v>8</v>
      </c>
      <c r="E2300" s="22">
        <v>210</v>
      </c>
      <c r="F2300" s="22">
        <v>4</v>
      </c>
      <c r="G2300" s="22">
        <v>9</v>
      </c>
      <c r="H2300" s="22"/>
      <c r="I2300" s="23" t="s">
        <v>9</v>
      </c>
      <c r="J2300" s="23"/>
      <c r="K2300" s="22"/>
      <c r="L2300" s="22"/>
      <c r="M2300" s="23"/>
      <c r="N2300" s="23"/>
      <c r="O2300" s="26" t="s">
        <v>3424</v>
      </c>
      <c r="P2300" s="26"/>
      <c r="Q2300" s="22"/>
      <c r="R2300" s="24"/>
      <c r="S2300" s="24"/>
      <c r="T2300" s="24"/>
      <c r="U2300" s="24"/>
      <c r="V2300" s="24"/>
      <c r="W2300" s="22" t="s">
        <v>940</v>
      </c>
      <c r="X2300" s="4" t="str">
        <f>IF(Tabela2[[#This Row],[sigla]]="","",VLOOKUP(Tabela2[[#This Row],[sigla]],créditos_base!B:C,2,0))</f>
        <v>RONALDO LUCENA/ARQUIVO DA EDITORA</v>
      </c>
      <c r="Y2300" s="23"/>
      <c r="Z2300" s="23" t="str">
        <f>Tabela2[[#This Row],[ilustrador]]</f>
        <v>RONALDO LUCENA/ARQUIVO DA EDITORA</v>
      </c>
      <c r="AA2300" s="22"/>
      <c r="AB2300" s="20"/>
      <c r="AD2300" s="4" t="str">
        <f>"Pitanguá"</f>
        <v>Pitanguá</v>
      </c>
      <c r="AE2300" s="14" t="str">
        <f>"Matemática"</f>
        <v>Matemática</v>
      </c>
      <c r="AF2300" s="14"/>
    </row>
    <row r="2301" spans="1:32" ht="57.6" x14ac:dyDescent="0.3">
      <c r="A2301" s="23" t="s">
        <v>4538</v>
      </c>
      <c r="B2301" s="20" t="s">
        <v>16</v>
      </c>
      <c r="C2301" s="20" t="s">
        <v>7</v>
      </c>
      <c r="D2301" s="20" t="s">
        <v>8</v>
      </c>
      <c r="E2301" s="22">
        <v>225</v>
      </c>
      <c r="F2301" s="22">
        <v>2</v>
      </c>
      <c r="G2301" s="22">
        <v>9</v>
      </c>
      <c r="H2301" s="22"/>
      <c r="I2301" s="23" t="s">
        <v>9</v>
      </c>
      <c r="J2301" s="23"/>
      <c r="K2301" s="22"/>
      <c r="L2301" s="22"/>
      <c r="M2301" s="23"/>
      <c r="N2301" s="23"/>
      <c r="O2301" s="26" t="s">
        <v>4539</v>
      </c>
      <c r="P2301" s="26"/>
      <c r="Q2301" s="22"/>
      <c r="R2301" s="24"/>
      <c r="S2301" s="24"/>
      <c r="T2301" s="24"/>
      <c r="U2301" s="24"/>
      <c r="V2301" s="24"/>
      <c r="W2301" s="22" t="s">
        <v>940</v>
      </c>
      <c r="X2301" s="4" t="str">
        <f>IF(Tabela2[[#This Row],[sigla]]="","",VLOOKUP(Tabela2[[#This Row],[sigla]],créditos_base!B:C,2,0))</f>
        <v>RONALDO LUCENA/ARQUIVO DA EDITORA</v>
      </c>
      <c r="Y2301" s="23"/>
      <c r="Z2301" s="23" t="str">
        <f>Tabela2[[#This Row],[ilustrador]]</f>
        <v>RONALDO LUCENA/ARQUIVO DA EDITORA</v>
      </c>
      <c r="AA2301" s="22"/>
      <c r="AB2301" s="20"/>
      <c r="AD2301" s="4" t="str">
        <f>"Pitanguá"</f>
        <v>Pitanguá</v>
      </c>
      <c r="AE2301" s="14" t="str">
        <f>"Matemática"</f>
        <v>Matemática</v>
      </c>
      <c r="AF2301" s="14"/>
    </row>
    <row r="2302" spans="1:32" ht="57.6" x14ac:dyDescent="0.3">
      <c r="A2302" s="23" t="s">
        <v>3425</v>
      </c>
      <c r="B2302" s="20" t="s">
        <v>6</v>
      </c>
      <c r="C2302" s="20" t="s">
        <v>89</v>
      </c>
      <c r="D2302" s="20" t="s">
        <v>8</v>
      </c>
      <c r="E2302" s="22">
        <v>210</v>
      </c>
      <c r="F2302" s="22">
        <v>4</v>
      </c>
      <c r="G2302" s="22">
        <v>9</v>
      </c>
      <c r="H2302" s="22"/>
      <c r="I2302" s="23" t="s">
        <v>9</v>
      </c>
      <c r="J2302" s="23"/>
      <c r="K2302" s="22"/>
      <c r="L2302" s="22"/>
      <c r="M2302" s="23"/>
      <c r="N2302" s="23"/>
      <c r="O2302" s="26" t="s">
        <v>3426</v>
      </c>
      <c r="P2302" s="26"/>
      <c r="Q2302" s="22"/>
      <c r="R2302" s="24"/>
      <c r="S2302" s="24"/>
      <c r="T2302" s="24"/>
      <c r="U2302" s="24"/>
      <c r="V2302" s="24"/>
      <c r="W2302" s="22" t="s">
        <v>940</v>
      </c>
      <c r="X2302" s="4" t="str">
        <f>IF(Tabela2[[#This Row],[sigla]]="","",VLOOKUP(Tabela2[[#This Row],[sigla]],créditos_base!B:C,2,0))</f>
        <v>RONALDO LUCENA/ARQUIVO DA EDITORA</v>
      </c>
      <c r="Y2302" s="23"/>
      <c r="Z2302" s="23" t="str">
        <f>Tabela2[[#This Row],[ilustrador]]</f>
        <v>RONALDO LUCENA/ARQUIVO DA EDITORA</v>
      </c>
      <c r="AA2302" s="22"/>
      <c r="AB2302" s="20"/>
      <c r="AD2302" s="4" t="str">
        <f>"Pitanguá"</f>
        <v>Pitanguá</v>
      </c>
      <c r="AE2302" s="14" t="str">
        <f>"Matemática"</f>
        <v>Matemática</v>
      </c>
      <c r="AF2302" s="14"/>
    </row>
    <row r="2303" spans="1:32" ht="57.6" x14ac:dyDescent="0.3">
      <c r="A2303" s="23" t="s">
        <v>4540</v>
      </c>
      <c r="B2303" s="20" t="s">
        <v>16</v>
      </c>
      <c r="C2303" s="20" t="s">
        <v>7</v>
      </c>
      <c r="D2303" s="20" t="s">
        <v>8</v>
      </c>
      <c r="E2303" s="22">
        <v>225</v>
      </c>
      <c r="F2303" s="22">
        <v>2</v>
      </c>
      <c r="G2303" s="22">
        <v>9</v>
      </c>
      <c r="H2303" s="22"/>
      <c r="I2303" s="23" t="s">
        <v>33</v>
      </c>
      <c r="J2303" s="23"/>
      <c r="K2303" s="22"/>
      <c r="L2303" s="22"/>
      <c r="M2303" s="23"/>
      <c r="N2303" s="23"/>
      <c r="O2303" s="26" t="s">
        <v>4541</v>
      </c>
      <c r="P2303" s="26"/>
      <c r="Q2303" s="22">
        <v>72</v>
      </c>
      <c r="R2303" s="24">
        <v>45813</v>
      </c>
      <c r="S2303" s="24">
        <v>45814</v>
      </c>
      <c r="T2303" s="24"/>
      <c r="U2303" s="24"/>
      <c r="V2303" s="24">
        <v>45814</v>
      </c>
      <c r="W2303" s="22" t="s">
        <v>160</v>
      </c>
      <c r="X2303" s="4" t="str">
        <f>IF(Tabela2[[#This Row],[sigla]]="","",VLOOKUP(Tabela2[[#This Row],[sigla]],créditos_base!B:C,2,0))</f>
        <v>SERGIO LIMA/ARQUIVO DA EDITORA</v>
      </c>
      <c r="Y2303" s="23" t="s">
        <v>1503</v>
      </c>
      <c r="Z2303" s="23" t="str">
        <f>Tabela2[[#This Row],[ilustrador]]</f>
        <v>SERGIO LIMA/ARQUIVO DA EDITORA</v>
      </c>
      <c r="AA2303" s="22"/>
      <c r="AB2303" s="20" t="s">
        <v>41</v>
      </c>
      <c r="AC2303" s="20" t="s">
        <v>36</v>
      </c>
      <c r="AD2303" s="4" t="str">
        <f>"Pitanguá"</f>
        <v>Pitanguá</v>
      </c>
      <c r="AE2303" s="14" t="str">
        <f>"Matemática"</f>
        <v>Matemática</v>
      </c>
      <c r="AF2303" s="14"/>
    </row>
    <row r="2304" spans="1:32" ht="72" x14ac:dyDescent="0.3">
      <c r="A2304" s="23" t="s">
        <v>3427</v>
      </c>
      <c r="B2304" s="20" t="s">
        <v>6</v>
      </c>
      <c r="C2304" s="20" t="s">
        <v>89</v>
      </c>
      <c r="D2304" s="20" t="s">
        <v>8</v>
      </c>
      <c r="E2304" s="22">
        <v>210</v>
      </c>
      <c r="F2304" s="22">
        <v>4</v>
      </c>
      <c r="G2304" s="22">
        <v>9</v>
      </c>
      <c r="H2304" s="22"/>
      <c r="I2304" s="23" t="s">
        <v>9</v>
      </c>
      <c r="J2304" s="23"/>
      <c r="K2304" s="22"/>
      <c r="L2304" s="22"/>
      <c r="M2304" s="23"/>
      <c r="N2304" s="23"/>
      <c r="O2304" s="26" t="s">
        <v>3428</v>
      </c>
      <c r="P2304" s="26"/>
      <c r="Q2304" s="22"/>
      <c r="R2304" s="24"/>
      <c r="S2304" s="24"/>
      <c r="T2304" s="24"/>
      <c r="U2304" s="24"/>
      <c r="V2304" s="24"/>
      <c r="W2304" s="22" t="s">
        <v>940</v>
      </c>
      <c r="X2304" s="4" t="str">
        <f>IF(Tabela2[[#This Row],[sigla]]="","",VLOOKUP(Tabela2[[#This Row],[sigla]],créditos_base!B:C,2,0))</f>
        <v>RONALDO LUCENA/ARQUIVO DA EDITORA</v>
      </c>
      <c r="Y2304" s="23"/>
      <c r="Z2304" s="23" t="str">
        <f>Tabela2[[#This Row],[ilustrador]]</f>
        <v>RONALDO LUCENA/ARQUIVO DA EDITORA</v>
      </c>
      <c r="AA2304" s="22"/>
      <c r="AB2304" s="20"/>
      <c r="AD2304" s="4" t="str">
        <f>"Pitanguá"</f>
        <v>Pitanguá</v>
      </c>
      <c r="AE2304" s="14" t="str">
        <f>"Matemática"</f>
        <v>Matemática</v>
      </c>
      <c r="AF2304" s="14"/>
    </row>
    <row r="2305" spans="1:32" ht="57.6" x14ac:dyDescent="0.3">
      <c r="A2305" s="23" t="s">
        <v>4542</v>
      </c>
      <c r="B2305" s="20" t="s">
        <v>16</v>
      </c>
      <c r="C2305" s="20" t="s">
        <v>7</v>
      </c>
      <c r="D2305" s="20" t="s">
        <v>8</v>
      </c>
      <c r="E2305" s="22">
        <v>225</v>
      </c>
      <c r="F2305" s="22">
        <v>2</v>
      </c>
      <c r="G2305" s="22">
        <v>9</v>
      </c>
      <c r="H2305" s="22"/>
      <c r="I2305" s="23" t="s">
        <v>33</v>
      </c>
      <c r="J2305" s="23"/>
      <c r="K2305" s="22"/>
      <c r="L2305" s="22"/>
      <c r="M2305" s="23"/>
      <c r="N2305" s="23"/>
      <c r="O2305" s="26" t="s">
        <v>4543</v>
      </c>
      <c r="P2305" s="26"/>
      <c r="Q2305" s="22">
        <v>72</v>
      </c>
      <c r="R2305" s="24">
        <v>45813</v>
      </c>
      <c r="S2305" s="24">
        <v>45814</v>
      </c>
      <c r="T2305" s="24"/>
      <c r="U2305" s="24"/>
      <c r="V2305" s="24">
        <v>45814</v>
      </c>
      <c r="W2305" s="22" t="s">
        <v>160</v>
      </c>
      <c r="X2305" s="4" t="str">
        <f>IF(Tabela2[[#This Row],[sigla]]="","",VLOOKUP(Tabela2[[#This Row],[sigla]],créditos_base!B:C,2,0))</f>
        <v>SERGIO LIMA/ARQUIVO DA EDITORA</v>
      </c>
      <c r="Y2305" s="23" t="s">
        <v>1503</v>
      </c>
      <c r="Z2305" s="23" t="str">
        <f>Tabela2[[#This Row],[ilustrador]]</f>
        <v>SERGIO LIMA/ARQUIVO DA EDITORA</v>
      </c>
      <c r="AA2305" s="22"/>
      <c r="AB2305" s="28" t="s">
        <v>41</v>
      </c>
      <c r="AC2305" s="20" t="s">
        <v>36</v>
      </c>
      <c r="AD2305" s="4" t="str">
        <f>"Pitanguá"</f>
        <v>Pitanguá</v>
      </c>
      <c r="AE2305" s="14" t="str">
        <f>"Matemática"</f>
        <v>Matemática</v>
      </c>
      <c r="AF2305" s="14"/>
    </row>
    <row r="2306" spans="1:32" x14ac:dyDescent="0.3">
      <c r="A2306" s="23" t="s">
        <v>5350</v>
      </c>
      <c r="B2306" s="20" t="s">
        <v>16</v>
      </c>
      <c r="C2306" s="20" t="s">
        <v>7</v>
      </c>
      <c r="D2306" s="20" t="s">
        <v>8</v>
      </c>
      <c r="E2306" s="22">
        <v>221</v>
      </c>
      <c r="F2306" s="22">
        <v>4</v>
      </c>
      <c r="G2306" s="22">
        <v>9</v>
      </c>
      <c r="H2306" s="22"/>
      <c r="I2306" s="23" t="s">
        <v>90</v>
      </c>
      <c r="J2306" s="23"/>
      <c r="K2306" s="22"/>
      <c r="L2306" s="22"/>
      <c r="M2306" s="23"/>
      <c r="N2306" s="23"/>
      <c r="O2306" s="26" t="s">
        <v>5351</v>
      </c>
      <c r="P2306" s="26"/>
      <c r="Q2306" s="22">
        <v>124</v>
      </c>
      <c r="R2306" s="24">
        <v>45862</v>
      </c>
      <c r="S2306" s="24">
        <v>45866</v>
      </c>
      <c r="T2306" s="24">
        <v>45868</v>
      </c>
      <c r="U2306" s="24">
        <v>45870</v>
      </c>
      <c r="V2306" s="24">
        <v>45875</v>
      </c>
      <c r="W2306" s="22" t="s">
        <v>4778</v>
      </c>
      <c r="X2306" s="4" t="str">
        <f>IF(Tabela2[[#This Row],[sigla]]="","",VLOOKUP(Tabela2[[#This Row],[sigla]],créditos_base!B:C,2,0))</f>
        <v>WERLLEN HOLANDA/ARQUIVO DA EDITORA</v>
      </c>
      <c r="Y2306" s="23"/>
      <c r="Z2306" s="23" t="str">
        <f>Tabela2[[#This Row],[ilustrador]]</f>
        <v>WERLLEN HOLANDA/ARQUIVO DA EDITORA</v>
      </c>
      <c r="AA2306" s="22">
        <v>3</v>
      </c>
      <c r="AB2306" s="20" t="s">
        <v>5352</v>
      </c>
      <c r="AC2306" s="20" t="s">
        <v>310</v>
      </c>
      <c r="AD2306" s="4" t="str">
        <f>"Pitanguá"</f>
        <v>Pitanguá</v>
      </c>
      <c r="AE2306" s="14" t="str">
        <f>"Matemática"</f>
        <v>Matemática</v>
      </c>
      <c r="AF2306" s="14"/>
    </row>
    <row r="2307" spans="1:32" x14ac:dyDescent="0.3">
      <c r="A2307" s="23" t="s">
        <v>4536</v>
      </c>
      <c r="B2307" s="20" t="s">
        <v>16</v>
      </c>
      <c r="C2307" s="20" t="s">
        <v>7</v>
      </c>
      <c r="D2307" s="20" t="s">
        <v>8</v>
      </c>
      <c r="E2307" s="22">
        <v>225</v>
      </c>
      <c r="F2307" s="22">
        <v>2</v>
      </c>
      <c r="G2307" s="22">
        <v>9</v>
      </c>
      <c r="H2307" s="22"/>
      <c r="I2307" s="23" t="s">
        <v>33</v>
      </c>
      <c r="J2307" s="23"/>
      <c r="K2307" s="22"/>
      <c r="L2307" s="22"/>
      <c r="M2307" s="23"/>
      <c r="N2307" s="23"/>
      <c r="O2307" s="26" t="s">
        <v>4537</v>
      </c>
      <c r="P2307" s="26"/>
      <c r="Q2307" s="22">
        <v>72</v>
      </c>
      <c r="R2307" s="24">
        <v>45813</v>
      </c>
      <c r="S2307" s="24">
        <v>45814</v>
      </c>
      <c r="T2307" s="24"/>
      <c r="U2307" s="24"/>
      <c r="V2307" s="24">
        <v>45814</v>
      </c>
      <c r="W2307" s="22" t="s">
        <v>940</v>
      </c>
      <c r="X2307" s="4" t="str">
        <f>IF(Tabela2[[#This Row],[sigla]]="","",VLOOKUP(Tabela2[[#This Row],[sigla]],créditos_base!B:C,2,0))</f>
        <v>RONALDO LUCENA/ARQUIVO DA EDITORA</v>
      </c>
      <c r="Y2307" s="23" t="s">
        <v>1503</v>
      </c>
      <c r="Z2307" s="23" t="str">
        <f>Tabela2[[#This Row],[ilustrador]]</f>
        <v>RONALDO LUCENA/ARQUIVO DA EDITORA</v>
      </c>
      <c r="AA2307" s="22"/>
      <c r="AB2307" s="28" t="s">
        <v>41</v>
      </c>
      <c r="AC2307" s="20" t="s">
        <v>36</v>
      </c>
      <c r="AD2307" s="4" t="str">
        <f>"Pitanguá"</f>
        <v>Pitanguá</v>
      </c>
      <c r="AE2307" s="14" t="str">
        <f>"Matemática"</f>
        <v>Matemática</v>
      </c>
      <c r="AF2307" s="14"/>
    </row>
    <row r="2308" spans="1:32" x14ac:dyDescent="0.3">
      <c r="A2308" s="23" t="s">
        <v>2402</v>
      </c>
      <c r="B2308" s="20" t="s">
        <v>16</v>
      </c>
      <c r="C2308" s="20" t="s">
        <v>7</v>
      </c>
      <c r="D2308" s="20" t="s">
        <v>8</v>
      </c>
      <c r="E2308" s="22">
        <v>199</v>
      </c>
      <c r="F2308" s="22">
        <v>1</v>
      </c>
      <c r="G2308" s="22">
        <v>9</v>
      </c>
      <c r="H2308" s="22"/>
      <c r="I2308" s="23" t="s">
        <v>90</v>
      </c>
      <c r="J2308" s="23"/>
      <c r="K2308" s="22"/>
      <c r="L2308" s="22"/>
      <c r="M2308" s="23"/>
      <c r="N2308" s="23"/>
      <c r="O2308" s="26" t="s">
        <v>2403</v>
      </c>
      <c r="P2308" s="26"/>
      <c r="Q2308" s="22">
        <v>33</v>
      </c>
      <c r="R2308" s="24">
        <v>45761</v>
      </c>
      <c r="S2308" s="24">
        <v>45762</v>
      </c>
      <c r="T2308" s="24"/>
      <c r="U2308" s="24"/>
      <c r="V2308" s="24">
        <v>45762</v>
      </c>
      <c r="W2308" s="22" t="s">
        <v>468</v>
      </c>
      <c r="X2308" s="4" t="str">
        <f>IF(Tabela2[[#This Row],[sigla]]="","",VLOOKUP(Tabela2[[#This Row],[sigla]],créditos_base!B:C,2,0))</f>
        <v>VER DOCUMENTO DE ILS. TÉCNICAS</v>
      </c>
      <c r="Y2308" s="23" t="s">
        <v>243</v>
      </c>
      <c r="Z2308" s="23" t="s">
        <v>1327</v>
      </c>
      <c r="AA2308" s="22">
        <v>13</v>
      </c>
      <c r="AB2308" s="20" t="s">
        <v>747</v>
      </c>
      <c r="AC2308" s="20" t="s">
        <v>36</v>
      </c>
      <c r="AD2308" s="4" t="str">
        <f>"Pitanguá"</f>
        <v>Pitanguá</v>
      </c>
      <c r="AE2308" s="14" t="str">
        <f>"Matemática"</f>
        <v>Matemática</v>
      </c>
      <c r="AF2308" s="14"/>
    </row>
    <row r="2309" spans="1:32" x14ac:dyDescent="0.3">
      <c r="A2309" s="23" t="s">
        <v>4544</v>
      </c>
      <c r="B2309" s="20" t="s">
        <v>16</v>
      </c>
      <c r="C2309" s="20" t="s">
        <v>7</v>
      </c>
      <c r="D2309" s="20" t="s">
        <v>8</v>
      </c>
      <c r="E2309" s="22">
        <v>225</v>
      </c>
      <c r="F2309" s="22">
        <v>2</v>
      </c>
      <c r="G2309" s="22">
        <v>9</v>
      </c>
      <c r="H2309" s="22"/>
      <c r="I2309" s="23" t="s">
        <v>33</v>
      </c>
      <c r="J2309" s="23"/>
      <c r="K2309" s="22"/>
      <c r="L2309" s="22"/>
      <c r="M2309" s="23"/>
      <c r="N2309" s="23"/>
      <c r="O2309" s="26" t="s">
        <v>4545</v>
      </c>
      <c r="P2309" s="26"/>
      <c r="Q2309" s="22">
        <v>72</v>
      </c>
      <c r="R2309" s="24">
        <v>45813</v>
      </c>
      <c r="S2309" s="24">
        <v>45814</v>
      </c>
      <c r="T2309" s="24"/>
      <c r="U2309" s="24"/>
      <c r="V2309" s="24">
        <v>45814</v>
      </c>
      <c r="W2309" s="22" t="s">
        <v>160</v>
      </c>
      <c r="X2309" s="4" t="str">
        <f>IF(Tabela2[[#This Row],[sigla]]="","",VLOOKUP(Tabela2[[#This Row],[sigla]],créditos_base!B:C,2,0))</f>
        <v>SERGIO LIMA/ARQUIVO DA EDITORA</v>
      </c>
      <c r="Y2309" s="23" t="s">
        <v>1503</v>
      </c>
      <c r="Z2309" s="23" t="str">
        <f>Tabela2[[#This Row],[ilustrador]]</f>
        <v>SERGIO LIMA/ARQUIVO DA EDITORA</v>
      </c>
      <c r="AA2309" s="22"/>
      <c r="AB2309" s="28" t="s">
        <v>41</v>
      </c>
      <c r="AC2309" s="20" t="s">
        <v>36</v>
      </c>
      <c r="AD2309" s="4" t="str">
        <f>"Pitanguá"</f>
        <v>Pitanguá</v>
      </c>
      <c r="AE2309" s="14" t="str">
        <f>"Matemática"</f>
        <v>Matemática</v>
      </c>
      <c r="AF2309" s="14"/>
    </row>
    <row r="2310" spans="1:32" x14ac:dyDescent="0.3">
      <c r="A2310" s="23" t="s">
        <v>2404</v>
      </c>
      <c r="B2310" s="20" t="s">
        <v>16</v>
      </c>
      <c r="C2310" s="20" t="s">
        <v>7</v>
      </c>
      <c r="D2310" s="20" t="s">
        <v>8</v>
      </c>
      <c r="E2310" s="22">
        <v>199</v>
      </c>
      <c r="F2310" s="22">
        <v>1</v>
      </c>
      <c r="G2310" s="22">
        <v>9</v>
      </c>
      <c r="H2310" s="22"/>
      <c r="I2310" s="23" t="s">
        <v>90</v>
      </c>
      <c r="J2310" s="23"/>
      <c r="K2310" s="22"/>
      <c r="L2310" s="22"/>
      <c r="M2310" s="23"/>
      <c r="N2310" s="23"/>
      <c r="O2310" s="26" t="s">
        <v>2405</v>
      </c>
      <c r="P2310" s="26"/>
      <c r="Q2310" s="22">
        <v>33</v>
      </c>
      <c r="R2310" s="24">
        <v>45761</v>
      </c>
      <c r="S2310" s="24">
        <v>45762</v>
      </c>
      <c r="T2310" s="24"/>
      <c r="U2310" s="24"/>
      <c r="V2310" s="24">
        <v>45762</v>
      </c>
      <c r="W2310" s="22" t="s">
        <v>468</v>
      </c>
      <c r="X2310" s="4" t="str">
        <f>IF(Tabela2[[#This Row],[sigla]]="","",VLOOKUP(Tabela2[[#This Row],[sigla]],créditos_base!B:C,2,0))</f>
        <v>VER DOCUMENTO DE ILS. TÉCNICAS</v>
      </c>
      <c r="Y2310" s="23" t="s">
        <v>243</v>
      </c>
      <c r="Z2310" s="23" t="s">
        <v>1327</v>
      </c>
      <c r="AA2310" s="22">
        <v>13</v>
      </c>
      <c r="AB2310" s="20" t="s">
        <v>747</v>
      </c>
      <c r="AC2310" s="20" t="s">
        <v>36</v>
      </c>
      <c r="AD2310" s="4" t="str">
        <f>"Pitanguá"</f>
        <v>Pitanguá</v>
      </c>
      <c r="AE2310" s="14" t="str">
        <f>"Matemática"</f>
        <v>Matemática</v>
      </c>
      <c r="AF2310" s="14"/>
    </row>
    <row r="2311" spans="1:32" x14ac:dyDescent="0.3">
      <c r="A2311" s="23" t="s">
        <v>5357</v>
      </c>
      <c r="B2311" s="20" t="s">
        <v>16</v>
      </c>
      <c r="C2311" s="20" t="s">
        <v>89</v>
      </c>
      <c r="D2311" s="20" t="s">
        <v>8</v>
      </c>
      <c r="E2311" s="22">
        <v>237</v>
      </c>
      <c r="F2311" s="22">
        <v>4</v>
      </c>
      <c r="G2311" s="22">
        <v>9</v>
      </c>
      <c r="H2311" s="22"/>
      <c r="I2311" s="23" t="s">
        <v>90</v>
      </c>
      <c r="J2311" s="23"/>
      <c r="K2311" s="22"/>
      <c r="L2311" s="22"/>
      <c r="M2311" s="23"/>
      <c r="N2311" s="23"/>
      <c r="O2311" s="26" t="s">
        <v>5358</v>
      </c>
      <c r="P2311" s="26"/>
      <c r="Q2311" s="22">
        <v>124</v>
      </c>
      <c r="R2311" s="24">
        <v>45862</v>
      </c>
      <c r="S2311" s="24">
        <v>45866</v>
      </c>
      <c r="T2311" s="24"/>
      <c r="U2311" s="24"/>
      <c r="V2311" s="24">
        <v>45866</v>
      </c>
      <c r="W2311" s="22" t="s">
        <v>468</v>
      </c>
      <c r="X2311" s="4" t="str">
        <f>IF(Tabela2[[#This Row],[sigla]]="","",VLOOKUP(Tabela2[[#This Row],[sigla]],créditos_base!B:C,2,0))</f>
        <v>VER DOCUMENTO DE ILS. TÉCNICAS</v>
      </c>
      <c r="Y2311" s="23" t="s">
        <v>524</v>
      </c>
      <c r="Z2311" s="23" t="s">
        <v>661</v>
      </c>
      <c r="AA2311" s="22">
        <v>13</v>
      </c>
      <c r="AB2311" s="20" t="s">
        <v>2058</v>
      </c>
      <c r="AC2311" s="20" t="s">
        <v>36</v>
      </c>
      <c r="AD2311" s="4" t="str">
        <f>"Pitanguá"</f>
        <v>Pitanguá</v>
      </c>
      <c r="AE2311" s="14" t="str">
        <f>"Matemática"</f>
        <v>Matemática</v>
      </c>
      <c r="AF2311" s="14"/>
    </row>
    <row r="2312" spans="1:32" x14ac:dyDescent="0.3">
      <c r="A2312" s="23" t="s">
        <v>2406</v>
      </c>
      <c r="B2312" s="20" t="s">
        <v>16</v>
      </c>
      <c r="C2312" s="20" t="s">
        <v>7</v>
      </c>
      <c r="D2312" s="20" t="s">
        <v>8</v>
      </c>
      <c r="E2312" s="22">
        <v>199</v>
      </c>
      <c r="F2312" s="22">
        <v>1</v>
      </c>
      <c r="G2312" s="22">
        <v>9</v>
      </c>
      <c r="H2312" s="22"/>
      <c r="I2312" s="23" t="s">
        <v>90</v>
      </c>
      <c r="J2312" s="23"/>
      <c r="K2312" s="22"/>
      <c r="L2312" s="22"/>
      <c r="M2312" s="23"/>
      <c r="N2312" s="23"/>
      <c r="O2312" s="26" t="s">
        <v>2407</v>
      </c>
      <c r="P2312" s="26"/>
      <c r="Q2312" s="22">
        <v>33</v>
      </c>
      <c r="R2312" s="24">
        <v>45761</v>
      </c>
      <c r="S2312" s="24">
        <v>45762</v>
      </c>
      <c r="T2312" s="24"/>
      <c r="U2312" s="24"/>
      <c r="V2312" s="24">
        <v>45764</v>
      </c>
      <c r="W2312" s="22" t="s">
        <v>72</v>
      </c>
      <c r="X2312" s="4" t="str">
        <f>IF(Tabela2[[#This Row],[sigla]]="","",VLOOKUP(Tabela2[[#This Row],[sigla]],créditos_base!B:C,2,0))</f>
        <v>HELOÍSA PINTARELLI/ARQUIVO DA EDITORA</v>
      </c>
      <c r="Y2312" s="23"/>
      <c r="Z2312" s="23" t="str">
        <f>Tabela2[[#This Row],[ilustrador]]</f>
        <v>HELOÍSA PINTARELLI/ARQUIVO DA EDITORA</v>
      </c>
      <c r="AA2312" s="22">
        <v>7</v>
      </c>
      <c r="AB2312" s="20" t="s">
        <v>2408</v>
      </c>
      <c r="AC2312" s="20" t="s">
        <v>310</v>
      </c>
      <c r="AD2312" s="4" t="str">
        <f>"Pitanguá"</f>
        <v>Pitanguá</v>
      </c>
      <c r="AE2312" s="14" t="str">
        <f>"Matemática"</f>
        <v>Matemática</v>
      </c>
      <c r="AF2312" s="14"/>
    </row>
    <row r="2313" spans="1:32" x14ac:dyDescent="0.3">
      <c r="A2313" s="23" t="s">
        <v>5353</v>
      </c>
      <c r="B2313" s="20" t="s">
        <v>16</v>
      </c>
      <c r="C2313" s="20" t="s">
        <v>7</v>
      </c>
      <c r="D2313" s="20" t="s">
        <v>8</v>
      </c>
      <c r="E2313" s="22">
        <v>226</v>
      </c>
      <c r="F2313" s="22">
        <v>4</v>
      </c>
      <c r="G2313" s="22">
        <v>9</v>
      </c>
      <c r="H2313" s="22"/>
      <c r="I2313" s="23" t="s">
        <v>90</v>
      </c>
      <c r="J2313" s="23"/>
      <c r="K2313" s="22"/>
      <c r="L2313" s="22"/>
      <c r="M2313" s="23"/>
      <c r="N2313" s="23"/>
      <c r="O2313" s="26" t="s">
        <v>5354</v>
      </c>
      <c r="P2313" s="26"/>
      <c r="Q2313" s="22">
        <v>124</v>
      </c>
      <c r="R2313" s="24">
        <v>45862</v>
      </c>
      <c r="S2313" s="24">
        <v>45866</v>
      </c>
      <c r="T2313" s="24">
        <v>45868</v>
      </c>
      <c r="U2313" s="24">
        <v>45870</v>
      </c>
      <c r="V2313" s="24">
        <v>45875</v>
      </c>
      <c r="W2313" s="22" t="s">
        <v>4778</v>
      </c>
      <c r="X2313" s="4" t="str">
        <f>IF(Tabela2[[#This Row],[sigla]]="","",VLOOKUP(Tabela2[[#This Row],[sigla]],créditos_base!B:C,2,0))</f>
        <v>WERLLEN HOLANDA/ARQUIVO DA EDITORA</v>
      </c>
      <c r="Y2313" s="23"/>
      <c r="Z2313" s="23" t="str">
        <f>Tabela2[[#This Row],[ilustrador]]</f>
        <v>WERLLEN HOLANDA/ARQUIVO DA EDITORA</v>
      </c>
      <c r="AA2313" s="22">
        <v>4</v>
      </c>
      <c r="AB2313" s="20" t="s">
        <v>5352</v>
      </c>
      <c r="AC2313" s="20" t="s">
        <v>310</v>
      </c>
      <c r="AD2313" s="4" t="str">
        <f>"Pitanguá"</f>
        <v>Pitanguá</v>
      </c>
      <c r="AE2313" s="14" t="str">
        <f>"Matemática"</f>
        <v>Matemática</v>
      </c>
      <c r="AF2313" s="14"/>
    </row>
    <row r="2314" spans="1:32" ht="28.8" x14ac:dyDescent="0.3">
      <c r="A2314" s="23" t="s">
        <v>5355</v>
      </c>
      <c r="B2314" s="20" t="s">
        <v>16</v>
      </c>
      <c r="C2314" s="20" t="s">
        <v>7</v>
      </c>
      <c r="D2314" s="20" t="s">
        <v>8</v>
      </c>
      <c r="E2314" s="22">
        <v>226</v>
      </c>
      <c r="F2314" s="22">
        <v>4</v>
      </c>
      <c r="G2314" s="22">
        <v>9</v>
      </c>
      <c r="H2314" s="22"/>
      <c r="I2314" s="23" t="s">
        <v>90</v>
      </c>
      <c r="J2314" s="23"/>
      <c r="K2314" s="22"/>
      <c r="L2314" s="22"/>
      <c r="M2314" s="23"/>
      <c r="N2314" s="23"/>
      <c r="O2314" s="26" t="s">
        <v>5356</v>
      </c>
      <c r="P2314" s="26"/>
      <c r="Q2314" s="22">
        <v>124</v>
      </c>
      <c r="R2314" s="24">
        <v>45862</v>
      </c>
      <c r="S2314" s="24">
        <v>45866</v>
      </c>
      <c r="T2314" s="24">
        <v>45868</v>
      </c>
      <c r="U2314" s="24">
        <v>45870</v>
      </c>
      <c r="V2314" s="24">
        <v>45875</v>
      </c>
      <c r="W2314" s="22" t="s">
        <v>4778</v>
      </c>
      <c r="X2314" s="4" t="str">
        <f>IF(Tabela2[[#This Row],[sigla]]="","",VLOOKUP(Tabela2[[#This Row],[sigla]],créditos_base!B:C,2,0))</f>
        <v>WERLLEN HOLANDA/ARQUIVO DA EDITORA</v>
      </c>
      <c r="Y2314" s="23"/>
      <c r="Z2314" s="23" t="str">
        <f>Tabela2[[#This Row],[ilustrador]]</f>
        <v>WERLLEN HOLANDA/ARQUIVO DA EDITORA</v>
      </c>
      <c r="AA2314" s="22">
        <v>4</v>
      </c>
      <c r="AB2314" s="20" t="s">
        <v>5352</v>
      </c>
      <c r="AC2314" s="20" t="s">
        <v>310</v>
      </c>
      <c r="AD2314" s="4" t="str">
        <f>"Pitanguá"</f>
        <v>Pitanguá</v>
      </c>
      <c r="AE2314" s="14" t="str">
        <f>"Matemática"</f>
        <v>Matemática</v>
      </c>
      <c r="AF2314" s="14"/>
    </row>
    <row r="2315" spans="1:32" ht="28.8" x14ac:dyDescent="0.3">
      <c r="A2315" s="23" t="s">
        <v>2428</v>
      </c>
      <c r="B2315" s="20" t="s">
        <v>16</v>
      </c>
      <c r="C2315" s="20" t="s">
        <v>7</v>
      </c>
      <c r="D2315" s="20" t="s">
        <v>8</v>
      </c>
      <c r="E2315" s="22">
        <v>210</v>
      </c>
      <c r="F2315" s="22">
        <v>1</v>
      </c>
      <c r="G2315" s="22">
        <v>9</v>
      </c>
      <c r="H2315" s="22"/>
      <c r="I2315" s="23" t="s">
        <v>90</v>
      </c>
      <c r="J2315" s="23"/>
      <c r="K2315" s="22"/>
      <c r="L2315" s="22"/>
      <c r="M2315" s="23"/>
      <c r="N2315" s="23"/>
      <c r="O2315" s="26" t="s">
        <v>2429</v>
      </c>
      <c r="P2315" s="26"/>
      <c r="Q2315" s="22">
        <v>33</v>
      </c>
      <c r="R2315" s="24">
        <v>45761</v>
      </c>
      <c r="S2315" s="24">
        <v>45762</v>
      </c>
      <c r="T2315" s="24"/>
      <c r="U2315" s="24"/>
      <c r="V2315" s="24">
        <v>45762</v>
      </c>
      <c r="W2315" s="22" t="s">
        <v>1217</v>
      </c>
      <c r="X2315" s="4" t="str">
        <f>IF(Tabela2[[#This Row],[sigla]]="","",VLOOKUP(Tabela2[[#This Row],[sigla]],créditos_base!B:C,2,0))</f>
        <v>KEITHY MOSTACHI/ARQUIVO DA EDITORA</v>
      </c>
      <c r="Y2315" s="23" t="s">
        <v>243</v>
      </c>
      <c r="Z2315" s="23" t="str">
        <f>Tabela2[[#This Row],[ilustrador]]</f>
        <v>KEITHY MOSTACHI/ARQUIVO DA EDITORA</v>
      </c>
      <c r="AA2315" s="22">
        <v>8</v>
      </c>
      <c r="AB2315" s="20" t="s">
        <v>2058</v>
      </c>
      <c r="AC2315" s="20" t="s">
        <v>36</v>
      </c>
      <c r="AD2315" s="4" t="str">
        <f>"Pitanguá"</f>
        <v>Pitanguá</v>
      </c>
      <c r="AE2315" s="14" t="str">
        <f>"Matemática"</f>
        <v>Matemática</v>
      </c>
      <c r="AF2315" s="14"/>
    </row>
    <row r="2316" spans="1:32" ht="43.2" x14ac:dyDescent="0.3">
      <c r="A2316" s="23" t="s">
        <v>5363</v>
      </c>
      <c r="B2316" s="20" t="s">
        <v>16</v>
      </c>
      <c r="C2316" s="20" t="s">
        <v>7</v>
      </c>
      <c r="D2316" s="20" t="s">
        <v>8</v>
      </c>
      <c r="E2316" s="22">
        <v>234</v>
      </c>
      <c r="F2316" s="22">
        <v>4</v>
      </c>
      <c r="G2316" s="22">
        <v>9</v>
      </c>
      <c r="H2316" s="22"/>
      <c r="I2316" s="23" t="s">
        <v>90</v>
      </c>
      <c r="J2316" s="23"/>
      <c r="K2316" s="22"/>
      <c r="L2316" s="22"/>
      <c r="M2316" s="23"/>
      <c r="N2316" s="23"/>
      <c r="O2316" s="26" t="s">
        <v>5364</v>
      </c>
      <c r="P2316" s="26"/>
      <c r="Q2316" s="22">
        <v>124</v>
      </c>
      <c r="R2316" s="24">
        <v>45862</v>
      </c>
      <c r="S2316" s="24">
        <v>45866</v>
      </c>
      <c r="T2316" s="24"/>
      <c r="U2316" s="24"/>
      <c r="V2316" s="24">
        <v>45875</v>
      </c>
      <c r="W2316" s="22" t="s">
        <v>72</v>
      </c>
      <c r="X2316" s="4" t="str">
        <f>IF(Tabela2[[#This Row],[sigla]]="","",VLOOKUP(Tabela2[[#This Row],[sigla]],créditos_base!B:C,2,0))</f>
        <v>HELOÍSA PINTARELLI/ARQUIVO DA EDITORA</v>
      </c>
      <c r="Y2316" s="23"/>
      <c r="Z2316" s="23" t="str">
        <f>Tabela2[[#This Row],[ilustrador]]</f>
        <v>HELOÍSA PINTARELLI/ARQUIVO DA EDITORA</v>
      </c>
      <c r="AA2316" s="22">
        <v>7</v>
      </c>
      <c r="AB2316" s="20" t="s">
        <v>5365</v>
      </c>
      <c r="AC2316" s="20" t="s">
        <v>36</v>
      </c>
      <c r="AD2316" s="4" t="str">
        <f>"Pitanguá"</f>
        <v>Pitanguá</v>
      </c>
      <c r="AE2316" s="14" t="str">
        <f>"Matemática"</f>
        <v>Matemática</v>
      </c>
      <c r="AF2316" s="14"/>
    </row>
    <row r="2317" spans="1:32" ht="43.2" x14ac:dyDescent="0.3">
      <c r="A2317" s="23" t="s">
        <v>2420</v>
      </c>
      <c r="B2317" s="20" t="s">
        <v>16</v>
      </c>
      <c r="C2317" s="20" t="s">
        <v>7</v>
      </c>
      <c r="D2317" s="20" t="s">
        <v>8</v>
      </c>
      <c r="E2317" s="22">
        <v>208</v>
      </c>
      <c r="F2317" s="22">
        <v>1</v>
      </c>
      <c r="G2317" s="22">
        <v>9</v>
      </c>
      <c r="H2317" s="22"/>
      <c r="I2317" s="23" t="s">
        <v>9</v>
      </c>
      <c r="J2317" s="23"/>
      <c r="K2317" s="22"/>
      <c r="L2317" s="22"/>
      <c r="M2317" s="23"/>
      <c r="N2317" s="23"/>
      <c r="O2317" s="26" t="s">
        <v>2421</v>
      </c>
      <c r="P2317" s="26"/>
      <c r="Q2317" s="22"/>
      <c r="R2317" s="24"/>
      <c r="S2317" s="24"/>
      <c r="T2317" s="24"/>
      <c r="U2317" s="24"/>
      <c r="V2317" s="24"/>
      <c r="W2317" s="22" t="s">
        <v>31</v>
      </c>
      <c r="X2317" s="4" t="str">
        <f>IF(Tabela2[[#This Row],[sigla]]="","",VLOOKUP(Tabela2[[#This Row],[sigla]],créditos_base!B:C,2,0))</f>
        <v>SILVIA OTOFUJI/ARQUIVO DA EDITORA</v>
      </c>
      <c r="Y2317" s="23"/>
      <c r="Z2317" s="23" t="str">
        <f>Tabela2[[#This Row],[ilustrador]]</f>
        <v>SILVIA OTOFUJI/ARQUIVO DA EDITORA</v>
      </c>
      <c r="AA2317" s="22"/>
      <c r="AB2317" s="20"/>
      <c r="AD2317" s="4" t="str">
        <f>"Pitanguá"</f>
        <v>Pitanguá</v>
      </c>
      <c r="AE2317" s="14" t="str">
        <f>"Matemática"</f>
        <v>Matemática</v>
      </c>
      <c r="AF2317" s="14"/>
    </row>
    <row r="2318" spans="1:32" ht="57.6" x14ac:dyDescent="0.3">
      <c r="A2318" s="23" t="s">
        <v>5366</v>
      </c>
      <c r="B2318" s="20" t="s">
        <v>16</v>
      </c>
      <c r="C2318" s="20" t="s">
        <v>7</v>
      </c>
      <c r="D2318" s="20" t="s">
        <v>8</v>
      </c>
      <c r="E2318" s="22">
        <v>234</v>
      </c>
      <c r="F2318" s="22">
        <v>4</v>
      </c>
      <c r="G2318" s="22">
        <v>9</v>
      </c>
      <c r="H2318" s="22"/>
      <c r="I2318" s="23" t="s">
        <v>90</v>
      </c>
      <c r="J2318" s="23"/>
      <c r="K2318" s="22"/>
      <c r="L2318" s="22"/>
      <c r="M2318" s="23"/>
      <c r="N2318" s="23"/>
      <c r="O2318" s="26" t="s">
        <v>5367</v>
      </c>
      <c r="P2318" s="26"/>
      <c r="Q2318" s="22">
        <v>124</v>
      </c>
      <c r="R2318" s="24">
        <v>45862</v>
      </c>
      <c r="S2318" s="24">
        <v>45866</v>
      </c>
      <c r="T2318" s="24"/>
      <c r="U2318" s="24"/>
      <c r="V2318" s="24">
        <v>45875</v>
      </c>
      <c r="W2318" s="22" t="s">
        <v>72</v>
      </c>
      <c r="X2318" s="4" t="str">
        <f>IF(Tabela2[[#This Row],[sigla]]="","",VLOOKUP(Tabela2[[#This Row],[sigla]],créditos_base!B:C,2,0))</f>
        <v>HELOÍSA PINTARELLI/ARQUIVO DA EDITORA</v>
      </c>
      <c r="Y2318" s="23"/>
      <c r="Z2318" s="23" t="str">
        <f>Tabela2[[#This Row],[ilustrador]]</f>
        <v>HELOÍSA PINTARELLI/ARQUIVO DA EDITORA</v>
      </c>
      <c r="AA2318" s="22">
        <v>7</v>
      </c>
      <c r="AB2318" s="20" t="s">
        <v>5365</v>
      </c>
      <c r="AC2318" s="20" t="s">
        <v>36</v>
      </c>
      <c r="AD2318" s="4" t="str">
        <f>"Pitanguá"</f>
        <v>Pitanguá</v>
      </c>
      <c r="AE2318" s="14" t="str">
        <f>"Matemática"</f>
        <v>Matemática</v>
      </c>
      <c r="AF2318" s="14"/>
    </row>
    <row r="2319" spans="1:32" ht="86.4" x14ac:dyDescent="0.3">
      <c r="A2319" s="23" t="s">
        <v>2422</v>
      </c>
      <c r="B2319" s="20" t="s">
        <v>16</v>
      </c>
      <c r="C2319" s="20" t="s">
        <v>7</v>
      </c>
      <c r="D2319" s="20" t="s">
        <v>8</v>
      </c>
      <c r="E2319" s="22">
        <v>209</v>
      </c>
      <c r="F2319" s="22">
        <v>1</v>
      </c>
      <c r="G2319" s="22">
        <v>9</v>
      </c>
      <c r="H2319" s="22"/>
      <c r="I2319" s="23" t="s">
        <v>33</v>
      </c>
      <c r="J2319" s="23"/>
      <c r="K2319" s="22"/>
      <c r="L2319" s="22"/>
      <c r="M2319" s="23"/>
      <c r="N2319" s="23"/>
      <c r="O2319" s="26" t="s">
        <v>2423</v>
      </c>
      <c r="P2319" s="26"/>
      <c r="Q2319" s="22">
        <v>73</v>
      </c>
      <c r="R2319" s="24">
        <v>45814</v>
      </c>
      <c r="S2319" s="24">
        <v>45814</v>
      </c>
      <c r="T2319" s="24"/>
      <c r="U2319" s="24"/>
      <c r="V2319" s="24">
        <v>45817</v>
      </c>
      <c r="W2319" s="22" t="s">
        <v>31</v>
      </c>
      <c r="X2319" s="4" t="str">
        <f>IF(Tabela2[[#This Row],[sigla]]="","",VLOOKUP(Tabela2[[#This Row],[sigla]],créditos_base!B:C,2,0))</f>
        <v>SILVIA OTOFUJI/ARQUIVO DA EDITORA</v>
      </c>
      <c r="Y2319" s="23" t="s">
        <v>152</v>
      </c>
      <c r="Z2319" s="23" t="str">
        <f>Tabela2[[#This Row],[ilustrador]]</f>
        <v>SILVIA OTOFUJI/ARQUIVO DA EDITORA</v>
      </c>
      <c r="AA2319" s="22">
        <v>13</v>
      </c>
      <c r="AB2319" s="20" t="s">
        <v>244</v>
      </c>
      <c r="AC2319" s="20" t="s">
        <v>36</v>
      </c>
      <c r="AD2319" s="4" t="str">
        <f>"Pitanguá"</f>
        <v>Pitanguá</v>
      </c>
      <c r="AE2319" s="14" t="str">
        <f>"Matemática"</f>
        <v>Matemática</v>
      </c>
      <c r="AF2319" s="14"/>
    </row>
    <row r="2320" spans="1:32" ht="86.4" x14ac:dyDescent="0.3">
      <c r="A2320" s="23" t="s">
        <v>5368</v>
      </c>
      <c r="B2320" s="20" t="s">
        <v>16</v>
      </c>
      <c r="C2320" s="20" t="s">
        <v>7</v>
      </c>
      <c r="D2320" s="20" t="s">
        <v>8</v>
      </c>
      <c r="E2320" s="22">
        <v>234</v>
      </c>
      <c r="F2320" s="22">
        <v>4</v>
      </c>
      <c r="G2320" s="22">
        <v>9</v>
      </c>
      <c r="H2320" s="22"/>
      <c r="I2320" s="23" t="s">
        <v>90</v>
      </c>
      <c r="J2320" s="23"/>
      <c r="K2320" s="22"/>
      <c r="L2320" s="22"/>
      <c r="M2320" s="23"/>
      <c r="N2320" s="23"/>
      <c r="O2320" s="26" t="s">
        <v>5369</v>
      </c>
      <c r="P2320" s="26"/>
      <c r="Q2320" s="22">
        <v>124</v>
      </c>
      <c r="R2320" s="24">
        <v>45862</v>
      </c>
      <c r="S2320" s="24">
        <v>45866</v>
      </c>
      <c r="T2320" s="24"/>
      <c r="U2320" s="24"/>
      <c r="V2320" s="24">
        <v>45875</v>
      </c>
      <c r="W2320" s="22" t="s">
        <v>72</v>
      </c>
      <c r="X2320" s="4" t="str">
        <f>IF(Tabela2[[#This Row],[sigla]]="","",VLOOKUP(Tabela2[[#This Row],[sigla]],créditos_base!B:C,2,0))</f>
        <v>HELOÍSA PINTARELLI/ARQUIVO DA EDITORA</v>
      </c>
      <c r="Y2320" s="23"/>
      <c r="Z2320" s="23" t="str">
        <f>Tabela2[[#This Row],[ilustrador]]</f>
        <v>HELOÍSA PINTARELLI/ARQUIVO DA EDITORA</v>
      </c>
      <c r="AA2320" s="22">
        <v>7</v>
      </c>
      <c r="AB2320" s="20" t="s">
        <v>5365</v>
      </c>
      <c r="AC2320" s="20" t="s">
        <v>36</v>
      </c>
      <c r="AD2320" s="4" t="str">
        <f>"Pitanguá"</f>
        <v>Pitanguá</v>
      </c>
      <c r="AE2320" s="14" t="str">
        <f>"Matemática"</f>
        <v>Matemática</v>
      </c>
      <c r="AF2320" s="14"/>
    </row>
    <row r="2321" spans="1:32" ht="129.6" x14ac:dyDescent="0.3">
      <c r="A2321" s="23" t="s">
        <v>2424</v>
      </c>
      <c r="B2321" s="20" t="s">
        <v>16</v>
      </c>
      <c r="C2321" s="20" t="s">
        <v>7</v>
      </c>
      <c r="D2321" s="20" t="s">
        <v>8</v>
      </c>
      <c r="E2321" s="22">
        <v>209</v>
      </c>
      <c r="F2321" s="22">
        <v>1</v>
      </c>
      <c r="G2321" s="22">
        <v>9</v>
      </c>
      <c r="H2321" s="22"/>
      <c r="I2321" s="23" t="s">
        <v>33</v>
      </c>
      <c r="J2321" s="23"/>
      <c r="K2321" s="22"/>
      <c r="L2321" s="22"/>
      <c r="M2321" s="23"/>
      <c r="N2321" s="23"/>
      <c r="O2321" s="26" t="s">
        <v>2425</v>
      </c>
      <c r="P2321" s="26"/>
      <c r="Q2321" s="22">
        <v>73</v>
      </c>
      <c r="R2321" s="24">
        <v>45814</v>
      </c>
      <c r="S2321" s="24">
        <v>45814</v>
      </c>
      <c r="T2321" s="24"/>
      <c r="U2321" s="24"/>
      <c r="V2321" s="24">
        <v>45817</v>
      </c>
      <c r="W2321" s="22" t="s">
        <v>31</v>
      </c>
      <c r="X2321" s="4" t="str">
        <f>IF(Tabela2[[#This Row],[sigla]]="","",VLOOKUP(Tabela2[[#This Row],[sigla]],créditos_base!B:C,2,0))</f>
        <v>SILVIA OTOFUJI/ARQUIVO DA EDITORA</v>
      </c>
      <c r="Y2321" s="23" t="s">
        <v>152</v>
      </c>
      <c r="Z2321" s="23" t="str">
        <f>Tabela2[[#This Row],[ilustrador]]</f>
        <v>SILVIA OTOFUJI/ARQUIVO DA EDITORA</v>
      </c>
      <c r="AA2321" s="22">
        <v>13</v>
      </c>
      <c r="AB2321" s="20" t="s">
        <v>244</v>
      </c>
      <c r="AC2321" s="20" t="s">
        <v>36</v>
      </c>
      <c r="AD2321" s="4" t="str">
        <f>"Pitanguá"</f>
        <v>Pitanguá</v>
      </c>
      <c r="AE2321" s="14" t="str">
        <f>"Matemática"</f>
        <v>Matemática</v>
      </c>
      <c r="AF2321" s="14"/>
    </row>
    <row r="2322" spans="1:32" x14ac:dyDescent="0.3">
      <c r="A2322" s="23" t="s">
        <v>2426</v>
      </c>
      <c r="B2322" s="20" t="s">
        <v>16</v>
      </c>
      <c r="C2322" s="20" t="s">
        <v>7</v>
      </c>
      <c r="D2322" s="20" t="s">
        <v>8</v>
      </c>
      <c r="E2322" s="22">
        <v>209</v>
      </c>
      <c r="F2322" s="22">
        <v>1</v>
      </c>
      <c r="G2322" s="22">
        <v>9</v>
      </c>
      <c r="H2322" s="22"/>
      <c r="I2322" s="23" t="s">
        <v>33</v>
      </c>
      <c r="J2322" s="23"/>
      <c r="K2322" s="22"/>
      <c r="L2322" s="22"/>
      <c r="M2322" s="23"/>
      <c r="N2322" s="23"/>
      <c r="O2322" s="26" t="s">
        <v>2427</v>
      </c>
      <c r="P2322" s="26"/>
      <c r="Q2322" s="22">
        <v>73</v>
      </c>
      <c r="R2322" s="24">
        <v>45814</v>
      </c>
      <c r="S2322" s="24">
        <v>45814</v>
      </c>
      <c r="T2322" s="24"/>
      <c r="U2322" s="24"/>
      <c r="V2322" s="24">
        <v>45817</v>
      </c>
      <c r="W2322" s="22" t="s">
        <v>31</v>
      </c>
      <c r="X2322" s="4" t="str">
        <f>IF(Tabela2[[#This Row],[sigla]]="","",VLOOKUP(Tabela2[[#This Row],[sigla]],créditos_base!B:C,2,0))</f>
        <v>SILVIA OTOFUJI/ARQUIVO DA EDITORA</v>
      </c>
      <c r="Y2322" s="23" t="s">
        <v>152</v>
      </c>
      <c r="Z2322" s="23" t="str">
        <f>Tabela2[[#This Row],[ilustrador]]</f>
        <v>SILVIA OTOFUJI/ARQUIVO DA EDITORA</v>
      </c>
      <c r="AA2322" s="22">
        <v>13</v>
      </c>
      <c r="AB2322" s="20" t="s">
        <v>244</v>
      </c>
      <c r="AC2322" s="20" t="s">
        <v>36</v>
      </c>
      <c r="AD2322" s="4" t="str">
        <f>"Pitanguá"</f>
        <v>Pitanguá</v>
      </c>
      <c r="AE2322" s="14" t="str">
        <f>"Matemática"</f>
        <v>Matemática</v>
      </c>
      <c r="AF2322" s="14"/>
    </row>
    <row r="2323" spans="1:32" x14ac:dyDescent="0.3">
      <c r="A2323" s="23" t="s">
        <v>2418</v>
      </c>
      <c r="B2323" s="20" t="s">
        <v>16</v>
      </c>
      <c r="C2323" s="20" t="s">
        <v>7</v>
      </c>
      <c r="D2323" s="20" t="s">
        <v>8</v>
      </c>
      <c r="E2323" s="22">
        <v>208</v>
      </c>
      <c r="F2323" s="22">
        <v>1</v>
      </c>
      <c r="G2323" s="22">
        <v>9</v>
      </c>
      <c r="H2323" s="22"/>
      <c r="I2323" s="23" t="s">
        <v>9</v>
      </c>
      <c r="J2323" s="23"/>
      <c r="K2323" s="22"/>
      <c r="L2323" s="22"/>
      <c r="M2323" s="23"/>
      <c r="N2323" s="23"/>
      <c r="O2323" s="26" t="s">
        <v>2419</v>
      </c>
      <c r="P2323" s="26"/>
      <c r="Q2323" s="22"/>
      <c r="R2323" s="24"/>
      <c r="S2323" s="24"/>
      <c r="T2323" s="24"/>
      <c r="U2323" s="24"/>
      <c r="V2323" s="24"/>
      <c r="W2323" s="22" t="s">
        <v>31</v>
      </c>
      <c r="X2323" s="4" t="str">
        <f>IF(Tabela2[[#This Row],[sigla]]="","",VLOOKUP(Tabela2[[#This Row],[sigla]],créditos_base!B:C,2,0))</f>
        <v>SILVIA OTOFUJI/ARQUIVO DA EDITORA</v>
      </c>
      <c r="Y2323" s="23"/>
      <c r="Z2323" s="23" t="str">
        <f>Tabela2[[#This Row],[ilustrador]]</f>
        <v>SILVIA OTOFUJI/ARQUIVO DA EDITORA</v>
      </c>
      <c r="AA2323" s="22"/>
      <c r="AB2323" s="20"/>
      <c r="AD2323" s="4" t="str">
        <f>"Pitanguá"</f>
        <v>Pitanguá</v>
      </c>
      <c r="AE2323" s="14" t="str">
        <f>"Matemática"</f>
        <v>Matemática</v>
      </c>
      <c r="AF2323" s="14"/>
    </row>
    <row r="2324" spans="1:32" ht="28.8" x14ac:dyDescent="0.3">
      <c r="A2324" s="23" t="s">
        <v>2415</v>
      </c>
      <c r="B2324" s="20" t="s">
        <v>16</v>
      </c>
      <c r="C2324" s="20" t="s">
        <v>7</v>
      </c>
      <c r="D2324" s="20" t="s">
        <v>8</v>
      </c>
      <c r="E2324" s="22">
        <v>208</v>
      </c>
      <c r="F2324" s="22">
        <v>1</v>
      </c>
      <c r="G2324" s="22">
        <v>9</v>
      </c>
      <c r="H2324" s="22"/>
      <c r="I2324" s="23" t="s">
        <v>90</v>
      </c>
      <c r="J2324" s="23"/>
      <c r="K2324" s="22"/>
      <c r="L2324" s="22"/>
      <c r="M2324" s="23"/>
      <c r="N2324" s="23"/>
      <c r="O2324" s="26" t="s">
        <v>2416</v>
      </c>
      <c r="P2324" s="26"/>
      <c r="Q2324" s="22">
        <v>33</v>
      </c>
      <c r="R2324" s="24">
        <v>45761</v>
      </c>
      <c r="S2324" s="24">
        <v>45762</v>
      </c>
      <c r="T2324" s="24">
        <v>45770</v>
      </c>
      <c r="U2324" s="24">
        <v>45770</v>
      </c>
      <c r="V2324" s="24">
        <v>45772</v>
      </c>
      <c r="W2324" s="22" t="s">
        <v>31</v>
      </c>
      <c r="X2324" s="4" t="str">
        <f>IF(Tabela2[[#This Row],[sigla]]="","",VLOOKUP(Tabela2[[#This Row],[sigla]],créditos_base!B:C,2,0))</f>
        <v>SILVIA OTOFUJI/ARQUIVO DA EDITORA</v>
      </c>
      <c r="Y2324" s="23"/>
      <c r="Z2324" s="23" t="str">
        <f>Tabela2[[#This Row],[ilustrador]]</f>
        <v>SILVIA OTOFUJI/ARQUIVO DA EDITORA</v>
      </c>
      <c r="AA2324" s="22">
        <v>7</v>
      </c>
      <c r="AB2324" s="20" t="s">
        <v>2417</v>
      </c>
      <c r="AC2324" s="20" t="s">
        <v>310</v>
      </c>
      <c r="AD2324" s="4" t="str">
        <f>"Pitanguá"</f>
        <v>Pitanguá</v>
      </c>
      <c r="AE2324" s="14" t="str">
        <f>"Matemática"</f>
        <v>Matemática</v>
      </c>
      <c r="AF2324" s="14"/>
    </row>
    <row r="2325" spans="1:32" ht="28.8" x14ac:dyDescent="0.3">
      <c r="A2325" s="23" t="s">
        <v>2434</v>
      </c>
      <c r="B2325" s="20" t="s">
        <v>16</v>
      </c>
      <c r="C2325" s="20" t="s">
        <v>7</v>
      </c>
      <c r="D2325" s="20" t="s">
        <v>8</v>
      </c>
      <c r="E2325" s="22">
        <v>217</v>
      </c>
      <c r="F2325" s="22">
        <v>1</v>
      </c>
      <c r="G2325" s="22">
        <v>9</v>
      </c>
      <c r="H2325" s="22"/>
      <c r="I2325" s="23" t="s">
        <v>90</v>
      </c>
      <c r="J2325" s="23"/>
      <c r="K2325" s="22"/>
      <c r="L2325" s="22"/>
      <c r="M2325" s="23"/>
      <c r="N2325" s="23"/>
      <c r="O2325" s="26" t="s">
        <v>2435</v>
      </c>
      <c r="P2325" s="26"/>
      <c r="Q2325" s="22">
        <v>33</v>
      </c>
      <c r="R2325" s="24">
        <v>45761</v>
      </c>
      <c r="S2325" s="24">
        <v>45762</v>
      </c>
      <c r="T2325" s="24"/>
      <c r="U2325" s="24"/>
      <c r="V2325" s="24">
        <v>45762</v>
      </c>
      <c r="W2325" s="22" t="s">
        <v>468</v>
      </c>
      <c r="X2325" s="4" t="str">
        <f>IF(Tabela2[[#This Row],[sigla]]="","",VLOOKUP(Tabela2[[#This Row],[sigla]],créditos_base!B:C,2,0))</f>
        <v>VER DOCUMENTO DE ILS. TÉCNICAS</v>
      </c>
      <c r="Y2325" s="23" t="s">
        <v>243</v>
      </c>
      <c r="Z2325" s="23" t="s">
        <v>1327</v>
      </c>
      <c r="AA2325" s="22">
        <v>13</v>
      </c>
      <c r="AB2325" s="20" t="s">
        <v>747</v>
      </c>
      <c r="AC2325" s="20" t="s">
        <v>36</v>
      </c>
      <c r="AD2325" s="4" t="str">
        <f>"Pitanguá"</f>
        <v>Pitanguá</v>
      </c>
      <c r="AE2325" s="14" t="str">
        <f>"Matemática"</f>
        <v>Matemática</v>
      </c>
      <c r="AF2325" s="14"/>
    </row>
    <row r="2326" spans="1:32" x14ac:dyDescent="0.3">
      <c r="A2326" s="23" t="s">
        <v>2436</v>
      </c>
      <c r="B2326" s="20" t="s">
        <v>16</v>
      </c>
      <c r="C2326" s="20" t="s">
        <v>7</v>
      </c>
      <c r="D2326" s="20" t="s">
        <v>8</v>
      </c>
      <c r="E2326" s="22">
        <v>217</v>
      </c>
      <c r="F2326" s="22">
        <v>1</v>
      </c>
      <c r="G2326" s="22">
        <v>9</v>
      </c>
      <c r="H2326" s="22"/>
      <c r="I2326" s="23" t="s">
        <v>90</v>
      </c>
      <c r="J2326" s="23"/>
      <c r="K2326" s="22"/>
      <c r="L2326" s="22"/>
      <c r="M2326" s="23"/>
      <c r="N2326" s="23"/>
      <c r="O2326" s="26" t="s">
        <v>2437</v>
      </c>
      <c r="P2326" s="26"/>
      <c r="Q2326" s="22">
        <v>33</v>
      </c>
      <c r="R2326" s="24">
        <v>45761</v>
      </c>
      <c r="S2326" s="24">
        <v>45762</v>
      </c>
      <c r="T2326" s="24"/>
      <c r="U2326" s="24"/>
      <c r="V2326" s="24">
        <v>45762</v>
      </c>
      <c r="W2326" s="22" t="s">
        <v>468</v>
      </c>
      <c r="X2326" s="4" t="str">
        <f>IF(Tabela2[[#This Row],[sigla]]="","",VLOOKUP(Tabela2[[#This Row],[sigla]],créditos_base!B:C,2,0))</f>
        <v>VER DOCUMENTO DE ILS. TÉCNICAS</v>
      </c>
      <c r="Y2326" s="23"/>
      <c r="Z2326" s="23" t="s">
        <v>482</v>
      </c>
      <c r="AA2326" s="22">
        <v>13</v>
      </c>
      <c r="AB2326" s="20" t="s">
        <v>747</v>
      </c>
      <c r="AC2326" s="20" t="s">
        <v>36</v>
      </c>
      <c r="AD2326" s="4" t="str">
        <f>"Pitanguá"</f>
        <v>Pitanguá</v>
      </c>
      <c r="AE2326" s="14" t="str">
        <f>"Matemática"</f>
        <v>Matemática</v>
      </c>
      <c r="AF2326" s="14"/>
    </row>
    <row r="2327" spans="1:32" x14ac:dyDescent="0.3">
      <c r="A2327" s="23" t="s">
        <v>5766</v>
      </c>
      <c r="B2327" s="20" t="s">
        <v>135</v>
      </c>
      <c r="C2327" s="20" t="s">
        <v>7</v>
      </c>
      <c r="D2327" s="20" t="s">
        <v>8</v>
      </c>
      <c r="E2327" s="22"/>
      <c r="F2327" s="22">
        <v>4</v>
      </c>
      <c r="G2327" s="22">
        <v>9</v>
      </c>
      <c r="H2327" s="22"/>
      <c r="I2327" s="23" t="s">
        <v>90</v>
      </c>
      <c r="J2327" s="23"/>
      <c r="K2327" s="22"/>
      <c r="L2327" s="22"/>
      <c r="M2327" s="23"/>
      <c r="N2327" s="23"/>
      <c r="O2327" s="20" t="s">
        <v>5767</v>
      </c>
      <c r="P2327" s="26"/>
      <c r="Q2327" s="22"/>
      <c r="R2327" s="24"/>
      <c r="S2327" s="24"/>
      <c r="T2327" s="24"/>
      <c r="U2327" s="24"/>
      <c r="V2327" s="24"/>
      <c r="W2327" s="22"/>
      <c r="X2327" s="4" t="str">
        <f>IF(Tabela2[[#This Row],[sigla]]="","",VLOOKUP(Tabela2[[#This Row],[sigla]],créditos_base!B:C,2,0))</f>
        <v/>
      </c>
      <c r="Y2327" s="23"/>
      <c r="Z2327" s="23" t="str">
        <f>Tabela2[[#This Row],[ilustrador]]</f>
        <v/>
      </c>
      <c r="AA2327" s="22"/>
      <c r="AB2327" s="20" t="s">
        <v>5768</v>
      </c>
      <c r="AD2327" s="4" t="str">
        <f>"Pitanguá"</f>
        <v>Pitanguá</v>
      </c>
      <c r="AE2327" s="14" t="str">
        <f>"Matemática"</f>
        <v>Matemática</v>
      </c>
      <c r="AF2327" s="14"/>
    </row>
    <row r="2328" spans="1:32" ht="28.8" x14ac:dyDescent="0.3">
      <c r="A2328" s="23" t="s">
        <v>2413</v>
      </c>
      <c r="B2328" s="20" t="s">
        <v>16</v>
      </c>
      <c r="C2328" s="20" t="s">
        <v>7</v>
      </c>
      <c r="D2328" s="20" t="s">
        <v>8</v>
      </c>
      <c r="E2328" s="22">
        <v>203</v>
      </c>
      <c r="F2328" s="22">
        <v>1</v>
      </c>
      <c r="G2328" s="22">
        <v>9</v>
      </c>
      <c r="H2328" s="22"/>
      <c r="I2328" s="23" t="s">
        <v>33</v>
      </c>
      <c r="J2328" s="23"/>
      <c r="K2328" s="22"/>
      <c r="L2328" s="22"/>
      <c r="M2328" s="23"/>
      <c r="N2328" s="23"/>
      <c r="O2328" s="26" t="s">
        <v>2414</v>
      </c>
      <c r="P2328" s="26"/>
      <c r="Q2328" s="22">
        <v>33</v>
      </c>
      <c r="R2328" s="24">
        <v>45761</v>
      </c>
      <c r="S2328" s="24">
        <v>45762</v>
      </c>
      <c r="T2328" s="24"/>
      <c r="U2328" s="24"/>
      <c r="V2328" s="24">
        <v>45762</v>
      </c>
      <c r="W2328" s="22" t="s">
        <v>230</v>
      </c>
      <c r="X2328" s="4" t="str">
        <f>IF(Tabela2[[#This Row],[sigla]]="","",VLOOKUP(Tabela2[[#This Row],[sigla]],créditos_base!B:C,2,0))</f>
        <v>RAFAEL L. GAION/ARQUIVO DA EDITORA</v>
      </c>
      <c r="Y2328" s="23" t="s">
        <v>152</v>
      </c>
      <c r="Z2328" s="23" t="str">
        <f>Tabela2[[#This Row],[ilustrador]]</f>
        <v>RAFAEL L. GAION/ARQUIVO DA EDITORA</v>
      </c>
      <c r="AA2328" s="22">
        <v>13</v>
      </c>
      <c r="AB2328" s="20" t="s">
        <v>244</v>
      </c>
      <c r="AC2328" s="20" t="s">
        <v>36</v>
      </c>
      <c r="AD2328" s="4" t="str">
        <f>"Pitanguá"</f>
        <v>Pitanguá</v>
      </c>
      <c r="AE2328" s="14" t="str">
        <f>"Matemática"</f>
        <v>Matemática</v>
      </c>
      <c r="AF2328" s="14"/>
    </row>
    <row r="2329" spans="1:32" ht="57.6" x14ac:dyDescent="0.3">
      <c r="A2329" s="23" t="s">
        <v>5769</v>
      </c>
      <c r="B2329" s="20" t="s">
        <v>135</v>
      </c>
      <c r="C2329" s="20" t="s">
        <v>7</v>
      </c>
      <c r="D2329" s="20" t="s">
        <v>8</v>
      </c>
      <c r="E2329" s="22"/>
      <c r="F2329" s="22">
        <v>4</v>
      </c>
      <c r="G2329" s="22">
        <v>9</v>
      </c>
      <c r="H2329" s="22"/>
      <c r="I2329" s="23" t="s">
        <v>90</v>
      </c>
      <c r="J2329" s="23"/>
      <c r="K2329" s="22"/>
      <c r="L2329" s="22"/>
      <c r="M2329" s="23"/>
      <c r="N2329" s="23"/>
      <c r="O2329" s="26" t="s">
        <v>5770</v>
      </c>
      <c r="P2329" s="26"/>
      <c r="Q2329" s="22"/>
      <c r="R2329" s="24"/>
      <c r="S2329" s="24"/>
      <c r="T2329" s="24"/>
      <c r="U2329" s="24"/>
      <c r="V2329" s="24"/>
      <c r="W2329" s="22"/>
      <c r="X2329" s="4" t="str">
        <f>IF(Tabela2[[#This Row],[sigla]]="","",VLOOKUP(Tabela2[[#This Row],[sigla]],créditos_base!B:C,2,0))</f>
        <v/>
      </c>
      <c r="Y2329" s="23"/>
      <c r="Z2329" s="23" t="str">
        <f>Tabela2[[#This Row],[ilustrador]]</f>
        <v/>
      </c>
      <c r="AA2329" s="22"/>
      <c r="AB2329" s="20" t="s">
        <v>5768</v>
      </c>
      <c r="AD2329" s="4" t="str">
        <f>"Pitanguá"</f>
        <v>Pitanguá</v>
      </c>
      <c r="AE2329" s="14" t="str">
        <f>"Matemática"</f>
        <v>Matemática</v>
      </c>
      <c r="AF2329" s="14"/>
    </row>
    <row r="2330" spans="1:32" ht="28.8" x14ac:dyDescent="0.3">
      <c r="A2330" s="23" t="s">
        <v>2440</v>
      </c>
      <c r="B2330" s="20" t="s">
        <v>16</v>
      </c>
      <c r="C2330" s="20" t="s">
        <v>7</v>
      </c>
      <c r="D2330" s="20" t="s">
        <v>8</v>
      </c>
      <c r="E2330" s="22">
        <v>217</v>
      </c>
      <c r="F2330" s="22">
        <v>1</v>
      </c>
      <c r="G2330" s="22">
        <v>9</v>
      </c>
      <c r="H2330" s="22"/>
      <c r="I2330" s="23" t="s">
        <v>90</v>
      </c>
      <c r="J2330" s="23"/>
      <c r="K2330" s="22"/>
      <c r="L2330" s="22"/>
      <c r="M2330" s="23"/>
      <c r="N2330" s="23"/>
      <c r="O2330" s="26" t="s">
        <v>2441</v>
      </c>
      <c r="P2330" s="26"/>
      <c r="Q2330" s="22">
        <v>33</v>
      </c>
      <c r="R2330" s="24">
        <v>45761</v>
      </c>
      <c r="S2330" s="24">
        <v>45762</v>
      </c>
      <c r="T2330" s="24"/>
      <c r="U2330" s="24"/>
      <c r="V2330" s="24">
        <v>45762</v>
      </c>
      <c r="W2330" s="22" t="s">
        <v>468</v>
      </c>
      <c r="X2330" s="4" t="str">
        <f>IF(Tabela2[[#This Row],[sigla]]="","",VLOOKUP(Tabela2[[#This Row],[sigla]],créditos_base!B:C,2,0))</f>
        <v>VER DOCUMENTO DE ILS. TÉCNICAS</v>
      </c>
      <c r="Y2330" s="23" t="s">
        <v>243</v>
      </c>
      <c r="Z2330" s="30" t="s">
        <v>1428</v>
      </c>
      <c r="AA2330" s="22">
        <v>13</v>
      </c>
      <c r="AB2330" s="20" t="s">
        <v>747</v>
      </c>
      <c r="AC2330" s="20" t="s">
        <v>36</v>
      </c>
      <c r="AD2330" s="4" t="str">
        <f>"Pitanguá"</f>
        <v>Pitanguá</v>
      </c>
      <c r="AE2330" s="14" t="str">
        <f>"Matemática"</f>
        <v>Matemática</v>
      </c>
      <c r="AF2330" s="14"/>
    </row>
    <row r="2331" spans="1:32" ht="86.4" x14ac:dyDescent="0.3">
      <c r="A2331" s="23" t="s">
        <v>5771</v>
      </c>
      <c r="B2331" s="20" t="s">
        <v>135</v>
      </c>
      <c r="C2331" s="20" t="s">
        <v>7</v>
      </c>
      <c r="D2331" s="20" t="s">
        <v>8</v>
      </c>
      <c r="E2331" s="22"/>
      <c r="F2331" s="22">
        <v>4</v>
      </c>
      <c r="G2331" s="22">
        <v>9</v>
      </c>
      <c r="H2331" s="22"/>
      <c r="I2331" s="23" t="s">
        <v>90</v>
      </c>
      <c r="J2331" s="23"/>
      <c r="K2331" s="22"/>
      <c r="L2331" s="22"/>
      <c r="M2331" s="23"/>
      <c r="N2331" s="23"/>
      <c r="O2331" s="26" t="s">
        <v>5772</v>
      </c>
      <c r="P2331" s="26"/>
      <c r="Q2331" s="22"/>
      <c r="R2331" s="24"/>
      <c r="S2331" s="24"/>
      <c r="T2331" s="24"/>
      <c r="U2331" s="24"/>
      <c r="V2331" s="24"/>
      <c r="W2331" s="22"/>
      <c r="X2331" s="4" t="str">
        <f>IF(Tabela2[[#This Row],[sigla]]="","",VLOOKUP(Tabela2[[#This Row],[sigla]],créditos_base!B:C,2,0))</f>
        <v/>
      </c>
      <c r="Y2331" s="23"/>
      <c r="Z2331" s="23" t="str">
        <f>Tabela2[[#This Row],[ilustrador]]</f>
        <v/>
      </c>
      <c r="AA2331" s="22"/>
      <c r="AB2331" s="20" t="s">
        <v>5768</v>
      </c>
      <c r="AD2331" s="4" t="str">
        <f>"Pitanguá"</f>
        <v>Pitanguá</v>
      </c>
      <c r="AE2331" s="14" t="str">
        <f>"Matemática"</f>
        <v>Matemática</v>
      </c>
      <c r="AF2331" s="14"/>
    </row>
    <row r="2332" spans="1:32" ht="115.2" x14ac:dyDescent="0.3">
      <c r="A2332" s="23" t="s">
        <v>5773</v>
      </c>
      <c r="B2332" s="20" t="s">
        <v>135</v>
      </c>
      <c r="C2332" s="20" t="s">
        <v>7</v>
      </c>
      <c r="D2332" s="20" t="s">
        <v>8</v>
      </c>
      <c r="E2332" s="22"/>
      <c r="F2332" s="22">
        <v>4</v>
      </c>
      <c r="G2332" s="22">
        <v>9</v>
      </c>
      <c r="H2332" s="22"/>
      <c r="I2332" s="23" t="s">
        <v>90</v>
      </c>
      <c r="J2332" s="23"/>
      <c r="K2332" s="22"/>
      <c r="L2332" s="22"/>
      <c r="M2332" s="23"/>
      <c r="N2332" s="23"/>
      <c r="O2332" s="26" t="s">
        <v>5774</v>
      </c>
      <c r="P2332" s="26"/>
      <c r="Q2332" s="22"/>
      <c r="R2332" s="24"/>
      <c r="S2332" s="24"/>
      <c r="T2332" s="24"/>
      <c r="U2332" s="24"/>
      <c r="V2332" s="24"/>
      <c r="W2332" s="22"/>
      <c r="X2332" s="4" t="str">
        <f>IF(Tabela2[[#This Row],[sigla]]="","",VLOOKUP(Tabela2[[#This Row],[sigla]],créditos_base!B:C,2,0))</f>
        <v/>
      </c>
      <c r="Y2332" s="23"/>
      <c r="Z2332" s="23" t="str">
        <f>Tabela2[[#This Row],[ilustrador]]</f>
        <v/>
      </c>
      <c r="AA2332" s="22"/>
      <c r="AB2332" s="20" t="s">
        <v>5768</v>
      </c>
      <c r="AD2332" s="4" t="str">
        <f>"Pitanguá"</f>
        <v>Pitanguá</v>
      </c>
      <c r="AE2332" s="14" t="str">
        <f>"Matemática"</f>
        <v>Matemática</v>
      </c>
      <c r="AF2332" s="14"/>
    </row>
    <row r="2333" spans="1:32" ht="43.2" x14ac:dyDescent="0.3">
      <c r="A2333" s="23" t="s">
        <v>653</v>
      </c>
      <c r="B2333" s="20" t="s">
        <v>6</v>
      </c>
      <c r="C2333" s="20" t="s">
        <v>7</v>
      </c>
      <c r="D2333" s="20" t="s">
        <v>8</v>
      </c>
      <c r="E2333" s="22">
        <v>139</v>
      </c>
      <c r="F2333" s="22">
        <v>1</v>
      </c>
      <c r="G2333" s="22">
        <v>10</v>
      </c>
      <c r="H2333" s="22"/>
      <c r="I2333" s="23" t="s">
        <v>9</v>
      </c>
      <c r="J2333" s="23"/>
      <c r="K2333" s="22"/>
      <c r="L2333" s="22"/>
      <c r="M2333" s="23"/>
      <c r="N2333" s="23"/>
      <c r="O2333" s="26" t="s">
        <v>654</v>
      </c>
      <c r="P2333" s="26" t="s">
        <v>465</v>
      </c>
      <c r="Q2333" s="22"/>
      <c r="R2333" s="24"/>
      <c r="S2333" s="24"/>
      <c r="T2333" s="24"/>
      <c r="U2333" s="24"/>
      <c r="V2333" s="24"/>
      <c r="W2333" s="22" t="s">
        <v>546</v>
      </c>
      <c r="X2333" s="4" t="str">
        <f>IF(Tabela2[[#This Row],[sigla]]="","",VLOOKUP(Tabela2[[#This Row],[sigla]],créditos_base!B:C,2,0))</f>
        <v>GUILHERME ARANEGA/ARQUIVO DA EDITORA</v>
      </c>
      <c r="Y2333" s="23"/>
      <c r="Z2333" s="23" t="str">
        <f>Tabela2[[#This Row],[ilustrador]]</f>
        <v>GUILHERME ARANEGA/ARQUIVO DA EDITORA</v>
      </c>
      <c r="AA2333" s="22"/>
      <c r="AB2333" s="20"/>
      <c r="AD2333" s="4" t="str">
        <f>"Pitanguá"</f>
        <v>Pitanguá</v>
      </c>
      <c r="AE2333" s="14" t="str">
        <f>"Matemática"</f>
        <v>Matemática</v>
      </c>
      <c r="AF2333" s="14"/>
    </row>
    <row r="2334" spans="1:32" x14ac:dyDescent="0.3">
      <c r="A2334" s="23" t="s">
        <v>4344</v>
      </c>
      <c r="B2334" s="20" t="s">
        <v>16</v>
      </c>
      <c r="C2334" s="20" t="s">
        <v>7</v>
      </c>
      <c r="D2334" s="20" t="s">
        <v>8</v>
      </c>
      <c r="E2334" s="22">
        <v>254</v>
      </c>
      <c r="F2334" s="22">
        <v>5</v>
      </c>
      <c r="G2334" s="22">
        <v>10</v>
      </c>
      <c r="H2334" s="22"/>
      <c r="I2334" s="23" t="s">
        <v>9</v>
      </c>
      <c r="J2334" s="23"/>
      <c r="K2334" s="22"/>
      <c r="L2334" s="22"/>
      <c r="M2334" s="23"/>
      <c r="N2334" s="23"/>
      <c r="O2334" s="26" t="s">
        <v>4345</v>
      </c>
      <c r="P2334" s="26"/>
      <c r="Q2334" s="22"/>
      <c r="R2334" s="24"/>
      <c r="S2334" s="24"/>
      <c r="T2334" s="24"/>
      <c r="U2334" s="24"/>
      <c r="V2334" s="24"/>
      <c r="W2334" s="22" t="s">
        <v>230</v>
      </c>
      <c r="X2334" s="4" t="str">
        <f>IF(Tabela2[[#This Row],[sigla]]="","",VLOOKUP(Tabela2[[#This Row],[sigla]],créditos_base!B:C,2,0))</f>
        <v>RAFAEL L. GAION/ARQUIVO DA EDITORA</v>
      </c>
      <c r="Y2334" s="23"/>
      <c r="Z2334" s="23" t="str">
        <f>Tabela2[[#This Row],[ilustrador]]</f>
        <v>RAFAEL L. GAION/ARQUIVO DA EDITORA</v>
      </c>
      <c r="AA2334" s="22"/>
      <c r="AB2334" s="20"/>
      <c r="AD2334" s="4" t="str">
        <f>"Pitanguá"</f>
        <v>Pitanguá</v>
      </c>
      <c r="AE2334" s="14" t="str">
        <f>"Matemática"</f>
        <v>Matemática</v>
      </c>
      <c r="AF2334" s="14"/>
    </row>
    <row r="2335" spans="1:32" x14ac:dyDescent="0.3">
      <c r="A2335" s="30" t="s">
        <v>1730</v>
      </c>
      <c r="B2335" s="20" t="s">
        <v>16</v>
      </c>
      <c r="C2335" s="20" t="s">
        <v>7</v>
      </c>
      <c r="D2335" s="20" t="s">
        <v>8</v>
      </c>
      <c r="E2335" s="22">
        <v>156</v>
      </c>
      <c r="F2335" s="22">
        <v>2</v>
      </c>
      <c r="G2335" s="22">
        <v>10</v>
      </c>
      <c r="H2335" s="22"/>
      <c r="I2335" s="23" t="s">
        <v>9</v>
      </c>
      <c r="J2335" s="23"/>
      <c r="K2335" s="22"/>
      <c r="L2335" s="22"/>
      <c r="M2335" s="23"/>
      <c r="N2335" s="23"/>
      <c r="O2335" s="26" t="s">
        <v>1731</v>
      </c>
      <c r="P2335" s="26"/>
      <c r="Q2335" s="22"/>
      <c r="R2335" s="24"/>
      <c r="S2335" s="24"/>
      <c r="T2335" s="24"/>
      <c r="U2335" s="24"/>
      <c r="V2335" s="24"/>
      <c r="W2335" s="22" t="s">
        <v>460</v>
      </c>
      <c r="X2335" s="4" t="str">
        <f>IF(Tabela2[[#This Row],[sigla]]="","",VLOOKUP(Tabela2[[#This Row],[sigla]],créditos_base!B:C,2,0))</f>
        <v>CLAUDIA SOUZA/ARQUIVO DA EDITORA</v>
      </c>
      <c r="Y2335" s="23"/>
      <c r="Z2335" s="23" t="str">
        <f>Tabela2[[#This Row],[ilustrador]]</f>
        <v>CLAUDIA SOUZA/ARQUIVO DA EDITORA</v>
      </c>
      <c r="AA2335" s="22"/>
      <c r="AB2335" s="20"/>
      <c r="AD2335" s="4" t="str">
        <f>"Pitanguá"</f>
        <v>Pitanguá</v>
      </c>
      <c r="AE2335" s="14" t="str">
        <f>"Matemática"</f>
        <v>Matemática</v>
      </c>
      <c r="AF2335" s="14"/>
    </row>
    <row r="2336" spans="1:32" x14ac:dyDescent="0.3">
      <c r="A2336" s="23" t="s">
        <v>3503</v>
      </c>
      <c r="B2336" s="20" t="s">
        <v>522</v>
      </c>
      <c r="C2336" s="20" t="s">
        <v>7</v>
      </c>
      <c r="D2336" s="20" t="s">
        <v>8</v>
      </c>
      <c r="E2336" s="22">
        <v>214</v>
      </c>
      <c r="F2336" s="22">
        <v>4</v>
      </c>
      <c r="G2336" s="22">
        <v>10</v>
      </c>
      <c r="H2336" s="22"/>
      <c r="I2336" s="23" t="s">
        <v>33</v>
      </c>
      <c r="J2336" s="23"/>
      <c r="K2336" s="22"/>
      <c r="L2336" s="22"/>
      <c r="M2336" s="23"/>
      <c r="N2336" s="23"/>
      <c r="O2336" s="26" t="s">
        <v>3504</v>
      </c>
      <c r="P2336" s="26"/>
      <c r="Q2336" s="22">
        <v>192</v>
      </c>
      <c r="R2336" s="24">
        <v>45912</v>
      </c>
      <c r="S2336" s="24">
        <v>45913</v>
      </c>
      <c r="T2336" s="24"/>
      <c r="U2336" s="24"/>
      <c r="V2336" s="24">
        <v>45913</v>
      </c>
      <c r="W2336" s="22" t="s">
        <v>3189</v>
      </c>
      <c r="X2336" s="4" t="str">
        <f>IF(Tabela2[[#This Row],[sigla]]="","",VLOOKUP(Tabela2[[#This Row],[sigla]],créditos_base!B:C,2,0))</f>
        <v>ANDRÉ AGUIAR/ARQUIVO DA EDITORA</v>
      </c>
      <c r="Y2336" s="23" t="s">
        <v>433</v>
      </c>
      <c r="Z2336" s="23" t="str">
        <f>Tabela2[[#This Row],[ilustrador]]</f>
        <v>ANDRÉ AGUIAR/ARQUIVO DA EDITORA</v>
      </c>
      <c r="AA2336" s="22">
        <v>14</v>
      </c>
      <c r="AB2336" s="20" t="s">
        <v>153</v>
      </c>
      <c r="AC2336" s="20" t="s">
        <v>36</v>
      </c>
      <c r="AD2336" s="4" t="str">
        <f>"Pitanguá"</f>
        <v>Pitanguá</v>
      </c>
      <c r="AE2336" s="14" t="str">
        <f>"Matemática"</f>
        <v>Matemática</v>
      </c>
      <c r="AF2336" s="14"/>
    </row>
    <row r="2337" spans="1:32" ht="57.6" x14ac:dyDescent="0.3">
      <c r="A2337" s="23" t="s">
        <v>4346</v>
      </c>
      <c r="B2337" s="20" t="s">
        <v>16</v>
      </c>
      <c r="C2337" s="20" t="s">
        <v>89</v>
      </c>
      <c r="D2337" s="20" t="s">
        <v>8</v>
      </c>
      <c r="E2337" s="22">
        <v>254</v>
      </c>
      <c r="F2337" s="22">
        <v>5</v>
      </c>
      <c r="G2337" s="22">
        <v>10</v>
      </c>
      <c r="H2337" s="22"/>
      <c r="I2337" s="23" t="s">
        <v>9</v>
      </c>
      <c r="J2337" s="23"/>
      <c r="K2337" s="22"/>
      <c r="L2337" s="22"/>
      <c r="M2337" s="23"/>
      <c r="N2337" s="23"/>
      <c r="O2337" s="26" t="s">
        <v>4347</v>
      </c>
      <c r="P2337" s="26"/>
      <c r="Q2337" s="22"/>
      <c r="R2337" s="24"/>
      <c r="S2337" s="24"/>
      <c r="T2337" s="24"/>
      <c r="U2337" s="24"/>
      <c r="V2337" s="24"/>
      <c r="W2337" s="22" t="s">
        <v>940</v>
      </c>
      <c r="X2337" s="4" t="str">
        <f>IF(Tabela2[[#This Row],[sigla]]="","",VLOOKUP(Tabela2[[#This Row],[sigla]],créditos_base!B:C,2,0))</f>
        <v>RONALDO LUCENA/ARQUIVO DA EDITORA</v>
      </c>
      <c r="Y2337" s="23"/>
      <c r="Z2337" s="23" t="str">
        <f>Tabela2[[#This Row],[ilustrador]]</f>
        <v>RONALDO LUCENA/ARQUIVO DA EDITORA</v>
      </c>
      <c r="AA2337" s="22"/>
      <c r="AB2337" s="20"/>
      <c r="AD2337" s="4" t="str">
        <f>"Pitanguá"</f>
        <v>Pitanguá</v>
      </c>
      <c r="AE2337" s="14" t="str">
        <f>"Matemática"</f>
        <v>Matemática</v>
      </c>
      <c r="AF2337" s="14"/>
    </row>
    <row r="2338" spans="1:32" ht="43.2" x14ac:dyDescent="0.3">
      <c r="A2338" s="30" t="s">
        <v>1732</v>
      </c>
      <c r="B2338" s="20" t="s">
        <v>16</v>
      </c>
      <c r="C2338" s="20" t="s">
        <v>7</v>
      </c>
      <c r="D2338" s="20" t="s">
        <v>8</v>
      </c>
      <c r="E2338" s="22">
        <v>157</v>
      </c>
      <c r="F2338" s="22">
        <v>2</v>
      </c>
      <c r="G2338" s="22">
        <v>10</v>
      </c>
      <c r="H2338" s="22"/>
      <c r="I2338" s="23" t="s">
        <v>9</v>
      </c>
      <c r="J2338" s="23"/>
      <c r="K2338" s="22"/>
      <c r="L2338" s="22"/>
      <c r="M2338" s="23"/>
      <c r="N2338" s="23"/>
      <c r="O2338" s="26" t="s">
        <v>1733</v>
      </c>
      <c r="P2338" s="26"/>
      <c r="Q2338" s="22"/>
      <c r="R2338" s="24"/>
      <c r="S2338" s="24"/>
      <c r="T2338" s="24"/>
      <c r="U2338" s="24"/>
      <c r="V2338" s="24"/>
      <c r="W2338" s="22" t="s">
        <v>230</v>
      </c>
      <c r="X2338" s="4" t="str">
        <f>IF(Tabela2[[#This Row],[sigla]]="","",VLOOKUP(Tabela2[[#This Row],[sigla]],créditos_base!B:C,2,0))</f>
        <v>RAFAEL L. GAION/ARQUIVO DA EDITORA</v>
      </c>
      <c r="Y2338" s="23"/>
      <c r="Z2338" s="23" t="str">
        <f>Tabela2[[#This Row],[ilustrador]]</f>
        <v>RAFAEL L. GAION/ARQUIVO DA EDITORA</v>
      </c>
      <c r="AA2338" s="22"/>
      <c r="AB2338" s="20"/>
      <c r="AD2338" s="4" t="str">
        <f>"Pitanguá"</f>
        <v>Pitanguá</v>
      </c>
      <c r="AE2338" s="14" t="str">
        <f>"Matemática"</f>
        <v>Matemática</v>
      </c>
      <c r="AF2338" s="14"/>
    </row>
    <row r="2339" spans="1:32" ht="72" x14ac:dyDescent="0.3">
      <c r="A2339" s="23" t="s">
        <v>3505</v>
      </c>
      <c r="B2339" s="20" t="s">
        <v>522</v>
      </c>
      <c r="C2339" s="20" t="s">
        <v>7</v>
      </c>
      <c r="D2339" s="20" t="s">
        <v>8</v>
      </c>
      <c r="E2339" s="22">
        <v>214</v>
      </c>
      <c r="F2339" s="22">
        <v>4</v>
      </c>
      <c r="G2339" s="22">
        <v>10</v>
      </c>
      <c r="H2339" s="22"/>
      <c r="I2339" s="23" t="s">
        <v>33</v>
      </c>
      <c r="J2339" s="23"/>
      <c r="K2339" s="22"/>
      <c r="L2339" s="22"/>
      <c r="M2339" s="23"/>
      <c r="N2339" s="23"/>
      <c r="O2339" s="26" t="s">
        <v>3506</v>
      </c>
      <c r="P2339" s="26"/>
      <c r="Q2339" s="22">
        <v>192</v>
      </c>
      <c r="R2339" s="24">
        <v>45912</v>
      </c>
      <c r="S2339" s="24">
        <v>45913</v>
      </c>
      <c r="T2339" s="24"/>
      <c r="U2339" s="24"/>
      <c r="V2339" s="24">
        <v>45913</v>
      </c>
      <c r="W2339" s="22" t="s">
        <v>3189</v>
      </c>
      <c r="X2339" s="4" t="str">
        <f>IF(Tabela2[[#This Row],[sigla]]="","",VLOOKUP(Tabela2[[#This Row],[sigla]],créditos_base!B:C,2,0))</f>
        <v>ANDRÉ AGUIAR/ARQUIVO DA EDITORA</v>
      </c>
      <c r="Y2339" s="23" t="s">
        <v>433</v>
      </c>
      <c r="Z2339" s="23" t="str">
        <f>Tabela2[[#This Row],[ilustrador]]</f>
        <v>ANDRÉ AGUIAR/ARQUIVO DA EDITORA</v>
      </c>
      <c r="AA2339" s="22">
        <v>14</v>
      </c>
      <c r="AB2339" s="20" t="s">
        <v>153</v>
      </c>
      <c r="AC2339" s="20" t="s">
        <v>36</v>
      </c>
      <c r="AD2339" s="4" t="str">
        <f>"Pitanguá"</f>
        <v>Pitanguá</v>
      </c>
      <c r="AE2339" s="14" t="str">
        <f>"Matemática"</f>
        <v>Matemática</v>
      </c>
      <c r="AF2339" s="14"/>
    </row>
    <row r="2340" spans="1:32" x14ac:dyDescent="0.3">
      <c r="A2340" s="23" t="s">
        <v>4348</v>
      </c>
      <c r="B2340" s="20" t="s">
        <v>16</v>
      </c>
      <c r="C2340" s="20" t="s">
        <v>89</v>
      </c>
      <c r="D2340" s="20" t="s">
        <v>8</v>
      </c>
      <c r="E2340" s="22">
        <v>254</v>
      </c>
      <c r="F2340" s="22">
        <v>5</v>
      </c>
      <c r="G2340" s="22">
        <v>10</v>
      </c>
      <c r="H2340" s="22"/>
      <c r="I2340" s="23" t="s">
        <v>9</v>
      </c>
      <c r="J2340" s="23"/>
      <c r="K2340" s="22"/>
      <c r="L2340" s="22"/>
      <c r="M2340" s="23"/>
      <c r="N2340" s="23"/>
      <c r="O2340" s="26" t="s">
        <v>4349</v>
      </c>
      <c r="P2340" s="26"/>
      <c r="Q2340" s="22"/>
      <c r="R2340" s="24"/>
      <c r="S2340" s="24"/>
      <c r="T2340" s="24"/>
      <c r="U2340" s="24"/>
      <c r="V2340" s="24"/>
      <c r="W2340" s="22" t="s">
        <v>940</v>
      </c>
      <c r="X2340" s="4" t="str">
        <f>IF(Tabela2[[#This Row],[sigla]]="","",VLOOKUP(Tabela2[[#This Row],[sigla]],créditos_base!B:C,2,0))</f>
        <v>RONALDO LUCENA/ARQUIVO DA EDITORA</v>
      </c>
      <c r="Y2340" s="23"/>
      <c r="Z2340" s="23" t="str">
        <f>Tabela2[[#This Row],[ilustrador]]</f>
        <v>RONALDO LUCENA/ARQUIVO DA EDITORA</v>
      </c>
      <c r="AA2340" s="22"/>
      <c r="AB2340" s="20"/>
      <c r="AD2340" s="4" t="str">
        <f>"Pitanguá"</f>
        <v>Pitanguá</v>
      </c>
      <c r="AE2340" s="14" t="str">
        <f>"Matemática"</f>
        <v>Matemática</v>
      </c>
      <c r="AF2340" s="14"/>
    </row>
    <row r="2341" spans="1:32" ht="57.6" x14ac:dyDescent="0.3">
      <c r="A2341" s="30" t="s">
        <v>1734</v>
      </c>
      <c r="B2341" s="20" t="s">
        <v>16</v>
      </c>
      <c r="C2341" s="20" t="s">
        <v>7</v>
      </c>
      <c r="D2341" s="20" t="s">
        <v>8</v>
      </c>
      <c r="E2341" s="22">
        <v>157</v>
      </c>
      <c r="F2341" s="22">
        <v>2</v>
      </c>
      <c r="G2341" s="22">
        <v>10</v>
      </c>
      <c r="H2341" s="22"/>
      <c r="I2341" s="23" t="s">
        <v>9</v>
      </c>
      <c r="J2341" s="23"/>
      <c r="K2341" s="22"/>
      <c r="L2341" s="22"/>
      <c r="M2341" s="23"/>
      <c r="N2341" s="23"/>
      <c r="O2341" s="26" t="s">
        <v>1735</v>
      </c>
      <c r="P2341" s="26"/>
      <c r="Q2341" s="22"/>
      <c r="R2341" s="24"/>
      <c r="S2341" s="24"/>
      <c r="T2341" s="24"/>
      <c r="U2341" s="24"/>
      <c r="V2341" s="24"/>
      <c r="W2341" s="22" t="s">
        <v>230</v>
      </c>
      <c r="X2341" s="4" t="str">
        <f>IF(Tabela2[[#This Row],[sigla]]="","",VLOOKUP(Tabela2[[#This Row],[sigla]],créditos_base!B:C,2,0))</f>
        <v>RAFAEL L. GAION/ARQUIVO DA EDITORA</v>
      </c>
      <c r="Y2341" s="23"/>
      <c r="Z2341" s="23" t="str">
        <f>Tabela2[[#This Row],[ilustrador]]</f>
        <v>RAFAEL L. GAION/ARQUIVO DA EDITORA</v>
      </c>
      <c r="AA2341" s="22"/>
      <c r="AB2341" s="20"/>
      <c r="AD2341" s="4" t="str">
        <f>"Pitanguá"</f>
        <v>Pitanguá</v>
      </c>
      <c r="AE2341" s="14" t="str">
        <f>"Matemática"</f>
        <v>Matemática</v>
      </c>
      <c r="AF2341" s="14"/>
    </row>
    <row r="2342" spans="1:32" ht="43.2" x14ac:dyDescent="0.3">
      <c r="A2342" s="23" t="s">
        <v>2709</v>
      </c>
      <c r="B2342" s="20" t="s">
        <v>16</v>
      </c>
      <c r="C2342" s="20" t="s">
        <v>7</v>
      </c>
      <c r="D2342" s="20" t="s">
        <v>8</v>
      </c>
      <c r="E2342" s="22">
        <v>206</v>
      </c>
      <c r="F2342" s="22">
        <v>3</v>
      </c>
      <c r="G2342" s="22">
        <v>10</v>
      </c>
      <c r="H2342" s="22"/>
      <c r="I2342" s="23" t="s">
        <v>9</v>
      </c>
      <c r="J2342" s="23"/>
      <c r="K2342" s="22"/>
      <c r="L2342" s="22"/>
      <c r="M2342" s="23"/>
      <c r="N2342" s="23"/>
      <c r="O2342" s="26" t="s">
        <v>2710</v>
      </c>
      <c r="P2342" s="26"/>
      <c r="Q2342" s="22"/>
      <c r="R2342" s="24"/>
      <c r="S2342" s="24"/>
      <c r="T2342" s="24"/>
      <c r="U2342" s="24"/>
      <c r="V2342" s="24"/>
      <c r="W2342" s="22" t="s">
        <v>230</v>
      </c>
      <c r="X2342" s="4" t="str">
        <f>IF(Tabela2[[#This Row],[sigla]]="","",VLOOKUP(Tabela2[[#This Row],[sigla]],créditos_base!B:C,2,0))</f>
        <v>RAFAEL L. GAION/ARQUIVO DA EDITORA</v>
      </c>
      <c r="Y2342" s="23"/>
      <c r="Z2342" s="23" t="str">
        <f>Tabela2[[#This Row],[ilustrador]]</f>
        <v>RAFAEL L. GAION/ARQUIVO DA EDITORA</v>
      </c>
      <c r="AA2342" s="22"/>
      <c r="AB2342" s="20"/>
      <c r="AD2342" s="4" t="str">
        <f>"Pitanguá"</f>
        <v>Pitanguá</v>
      </c>
      <c r="AE2342" s="14" t="str">
        <f>"Matemática"</f>
        <v>Matemática</v>
      </c>
      <c r="AF2342" s="14"/>
    </row>
    <row r="2343" spans="1:32" ht="43.2" x14ac:dyDescent="0.3">
      <c r="A2343" s="23" t="s">
        <v>3507</v>
      </c>
      <c r="B2343" s="20" t="s">
        <v>16</v>
      </c>
      <c r="C2343" s="20" t="s">
        <v>7</v>
      </c>
      <c r="D2343" s="20" t="s">
        <v>8</v>
      </c>
      <c r="E2343" s="22">
        <v>214</v>
      </c>
      <c r="F2343" s="22">
        <v>4</v>
      </c>
      <c r="G2343" s="22">
        <v>10</v>
      </c>
      <c r="H2343" s="22"/>
      <c r="I2343" s="23" t="s">
        <v>9</v>
      </c>
      <c r="J2343" s="23"/>
      <c r="K2343" s="22"/>
      <c r="L2343" s="22"/>
      <c r="M2343" s="23"/>
      <c r="N2343" s="23"/>
      <c r="O2343" s="26" t="s">
        <v>3508</v>
      </c>
      <c r="P2343" s="26"/>
      <c r="Q2343" s="22"/>
      <c r="R2343" s="24"/>
      <c r="S2343" s="24"/>
      <c r="T2343" s="24"/>
      <c r="U2343" s="24"/>
      <c r="V2343" s="24"/>
      <c r="W2343" s="22" t="s">
        <v>3189</v>
      </c>
      <c r="X2343" s="4" t="str">
        <f>IF(Tabela2[[#This Row],[sigla]]="","",VLOOKUP(Tabela2[[#This Row],[sigla]],créditos_base!B:C,2,0))</f>
        <v>ANDRÉ AGUIAR/ARQUIVO DA EDITORA</v>
      </c>
      <c r="Y2343" s="23"/>
      <c r="Z2343" s="23" t="str">
        <f>Tabela2[[#This Row],[ilustrador]]</f>
        <v>ANDRÉ AGUIAR/ARQUIVO DA EDITORA</v>
      </c>
      <c r="AA2343" s="22"/>
      <c r="AB2343" s="20"/>
      <c r="AD2343" s="4" t="str">
        <f>"Pitanguá"</f>
        <v>Pitanguá</v>
      </c>
      <c r="AE2343" s="14" t="str">
        <f>"Matemática"</f>
        <v>Matemática</v>
      </c>
      <c r="AF2343" s="14"/>
    </row>
    <row r="2344" spans="1:32" ht="100.8" x14ac:dyDescent="0.3">
      <c r="A2344" s="23" t="s">
        <v>4350</v>
      </c>
      <c r="B2344" s="20" t="s">
        <v>16</v>
      </c>
      <c r="C2344" s="20" t="s">
        <v>89</v>
      </c>
      <c r="D2344" s="20" t="s">
        <v>8</v>
      </c>
      <c r="E2344" s="22">
        <v>254</v>
      </c>
      <c r="F2344" s="22">
        <v>5</v>
      </c>
      <c r="G2344" s="22">
        <v>10</v>
      </c>
      <c r="H2344" s="22"/>
      <c r="I2344" s="23" t="s">
        <v>9</v>
      </c>
      <c r="J2344" s="23"/>
      <c r="K2344" s="22"/>
      <c r="L2344" s="22"/>
      <c r="M2344" s="23"/>
      <c r="N2344" s="23"/>
      <c r="O2344" s="26" t="s">
        <v>4351</v>
      </c>
      <c r="P2344" s="26"/>
      <c r="Q2344" s="22"/>
      <c r="R2344" s="24"/>
      <c r="S2344" s="24"/>
      <c r="T2344" s="24"/>
      <c r="U2344" s="24"/>
      <c r="V2344" s="24"/>
      <c r="W2344" s="22" t="s">
        <v>940</v>
      </c>
      <c r="X2344" s="4" t="str">
        <f>IF(Tabela2[[#This Row],[sigla]]="","",VLOOKUP(Tabela2[[#This Row],[sigla]],créditos_base!B:C,2,0))</f>
        <v>RONALDO LUCENA/ARQUIVO DA EDITORA</v>
      </c>
      <c r="Y2344" s="23"/>
      <c r="Z2344" s="23" t="str">
        <f>Tabela2[[#This Row],[ilustrador]]</f>
        <v>RONALDO LUCENA/ARQUIVO DA EDITORA</v>
      </c>
      <c r="AA2344" s="22"/>
      <c r="AB2344" s="20"/>
      <c r="AD2344" s="4" t="str">
        <f>"Pitanguá"</f>
        <v>Pitanguá</v>
      </c>
      <c r="AE2344" s="14" t="str">
        <f>"Matemática"</f>
        <v>Matemática</v>
      </c>
      <c r="AF2344" s="14"/>
    </row>
    <row r="2345" spans="1:32" x14ac:dyDescent="0.3">
      <c r="A2345" s="30" t="s">
        <v>1736</v>
      </c>
      <c r="B2345" s="20" t="s">
        <v>16</v>
      </c>
      <c r="C2345" s="20" t="s">
        <v>7</v>
      </c>
      <c r="D2345" s="20" t="s">
        <v>8</v>
      </c>
      <c r="E2345" s="22">
        <v>157</v>
      </c>
      <c r="F2345" s="22">
        <v>2</v>
      </c>
      <c r="G2345" s="22">
        <v>10</v>
      </c>
      <c r="H2345" s="22"/>
      <c r="I2345" s="23" t="s">
        <v>9</v>
      </c>
      <c r="J2345" s="23"/>
      <c r="K2345" s="22"/>
      <c r="L2345" s="22"/>
      <c r="M2345" s="23"/>
      <c r="N2345" s="23"/>
      <c r="O2345" s="26" t="s">
        <v>1737</v>
      </c>
      <c r="P2345" s="26"/>
      <c r="Q2345" s="22"/>
      <c r="R2345" s="24"/>
      <c r="S2345" s="24"/>
      <c r="T2345" s="24"/>
      <c r="U2345" s="24"/>
      <c r="V2345" s="24"/>
      <c r="W2345" s="22" t="s">
        <v>230</v>
      </c>
      <c r="X2345" s="4" t="str">
        <f>IF(Tabela2[[#This Row],[sigla]]="","",VLOOKUP(Tabela2[[#This Row],[sigla]],créditos_base!B:C,2,0))</f>
        <v>RAFAEL L. GAION/ARQUIVO DA EDITORA</v>
      </c>
      <c r="Y2345" s="23"/>
      <c r="Z2345" s="23" t="str">
        <f>Tabela2[[#This Row],[ilustrador]]</f>
        <v>RAFAEL L. GAION/ARQUIVO DA EDITORA</v>
      </c>
      <c r="AA2345" s="22"/>
      <c r="AB2345" s="20"/>
      <c r="AD2345" s="4" t="str">
        <f>"Pitanguá"</f>
        <v>Pitanguá</v>
      </c>
      <c r="AE2345" s="14" t="str">
        <f>"Matemática"</f>
        <v>Matemática</v>
      </c>
      <c r="AF2345" s="14"/>
    </row>
    <row r="2346" spans="1:32" ht="28.8" x14ac:dyDescent="0.3">
      <c r="A2346" s="23" t="s">
        <v>2711</v>
      </c>
      <c r="B2346" s="20" t="s">
        <v>16</v>
      </c>
      <c r="C2346" s="20" t="s">
        <v>7</v>
      </c>
      <c r="D2346" s="20" t="s">
        <v>8</v>
      </c>
      <c r="E2346" s="22">
        <v>207</v>
      </c>
      <c r="F2346" s="22">
        <v>3</v>
      </c>
      <c r="G2346" s="22">
        <v>10</v>
      </c>
      <c r="H2346" s="22"/>
      <c r="I2346" s="23" t="s">
        <v>90</v>
      </c>
      <c r="J2346" s="23"/>
      <c r="K2346" s="22"/>
      <c r="L2346" s="22"/>
      <c r="M2346" s="23"/>
      <c r="N2346" s="23"/>
      <c r="O2346" s="26" t="s">
        <v>2712</v>
      </c>
      <c r="P2346" s="26"/>
      <c r="Q2346" s="22">
        <v>38</v>
      </c>
      <c r="R2346" s="24">
        <v>45776</v>
      </c>
      <c r="S2346" s="24"/>
      <c r="T2346" s="24"/>
      <c r="U2346" s="24"/>
      <c r="V2346" s="24">
        <v>45782</v>
      </c>
      <c r="W2346" s="22"/>
      <c r="X2346" s="4" t="str">
        <f>IF(Tabela2[[#This Row],[sigla]]="","",VLOOKUP(Tabela2[[#This Row],[sigla]],créditos_base!B:C,2,0))</f>
        <v/>
      </c>
      <c r="Y2346" s="23" t="s">
        <v>2713</v>
      </c>
      <c r="Z2346" s="23" t="s">
        <v>482</v>
      </c>
      <c r="AA2346" s="22">
        <v>14</v>
      </c>
      <c r="AB2346" s="20" t="s">
        <v>244</v>
      </c>
      <c r="AC2346" s="20" t="s">
        <v>36</v>
      </c>
      <c r="AD2346" s="4" t="str">
        <f>"Pitanguá"</f>
        <v>Pitanguá</v>
      </c>
      <c r="AE2346" s="14" t="str">
        <f>"Matemática"</f>
        <v>Matemática</v>
      </c>
      <c r="AF2346" s="14"/>
    </row>
    <row r="2347" spans="1:32" ht="43.2" x14ac:dyDescent="0.3">
      <c r="A2347" s="23" t="s">
        <v>3509</v>
      </c>
      <c r="B2347" s="20" t="s">
        <v>16</v>
      </c>
      <c r="C2347" s="20" t="s">
        <v>7</v>
      </c>
      <c r="D2347" s="20" t="s">
        <v>8</v>
      </c>
      <c r="E2347" s="22">
        <v>214</v>
      </c>
      <c r="F2347" s="22">
        <v>4</v>
      </c>
      <c r="G2347" s="22">
        <v>10</v>
      </c>
      <c r="H2347" s="22"/>
      <c r="I2347" s="23" t="s">
        <v>33</v>
      </c>
      <c r="J2347" s="23"/>
      <c r="K2347" s="22"/>
      <c r="L2347" s="22"/>
      <c r="M2347" s="23"/>
      <c r="N2347" s="23"/>
      <c r="O2347" s="26" t="s">
        <v>3510</v>
      </c>
      <c r="P2347" s="26"/>
      <c r="Q2347" s="22">
        <v>158</v>
      </c>
      <c r="R2347" s="24">
        <v>45888</v>
      </c>
      <c r="S2347" s="24">
        <v>45888</v>
      </c>
      <c r="T2347" s="24"/>
      <c r="U2347" s="24"/>
      <c r="V2347" s="24">
        <v>45888</v>
      </c>
      <c r="W2347" s="22" t="s">
        <v>3189</v>
      </c>
      <c r="X2347" s="4" t="str">
        <f>IF(Tabela2[[#This Row],[sigla]]="","",VLOOKUP(Tabela2[[#This Row],[sigla]],créditos_base!B:C,2,0))</f>
        <v>ANDRÉ AGUIAR/ARQUIVO DA EDITORA</v>
      </c>
      <c r="Y2347" s="23" t="s">
        <v>243</v>
      </c>
      <c r="Z2347" s="23" t="str">
        <f>Tabela2[[#This Row],[ilustrador]]</f>
        <v>ANDRÉ AGUIAR/ARQUIVO DA EDITORA</v>
      </c>
      <c r="AA2347" s="22">
        <v>13</v>
      </c>
      <c r="AB2347" s="20" t="s">
        <v>244</v>
      </c>
      <c r="AC2347" s="20" t="s">
        <v>36</v>
      </c>
      <c r="AD2347" s="4" t="str">
        <f>"Pitanguá"</f>
        <v>Pitanguá</v>
      </c>
      <c r="AE2347" s="14" t="str">
        <f>"Matemática"</f>
        <v>Matemática</v>
      </c>
      <c r="AF2347" s="14"/>
    </row>
    <row r="2348" spans="1:32" ht="43.2" x14ac:dyDescent="0.3">
      <c r="A2348" s="23" t="s">
        <v>4352</v>
      </c>
      <c r="B2348" s="20" t="s">
        <v>6</v>
      </c>
      <c r="C2348" s="20" t="s">
        <v>89</v>
      </c>
      <c r="D2348" s="20" t="s">
        <v>8</v>
      </c>
      <c r="E2348" s="22">
        <v>239</v>
      </c>
      <c r="F2348" s="22">
        <v>5</v>
      </c>
      <c r="G2348" s="22">
        <v>10</v>
      </c>
      <c r="H2348" s="22"/>
      <c r="I2348" s="23" t="s">
        <v>9</v>
      </c>
      <c r="J2348" s="23"/>
      <c r="K2348" s="22"/>
      <c r="L2348" s="22"/>
      <c r="M2348" s="23"/>
      <c r="N2348" s="23"/>
      <c r="O2348" s="26" t="s">
        <v>4353</v>
      </c>
      <c r="P2348" s="26"/>
      <c r="Q2348" s="22"/>
      <c r="R2348" s="24"/>
      <c r="S2348" s="24"/>
      <c r="T2348" s="24"/>
      <c r="U2348" s="24"/>
      <c r="V2348" s="24"/>
      <c r="W2348" s="22" t="s">
        <v>940</v>
      </c>
      <c r="X2348" s="4" t="str">
        <f>IF(Tabela2[[#This Row],[sigla]]="","",VLOOKUP(Tabela2[[#This Row],[sigla]],créditos_base!B:C,2,0))</f>
        <v>RONALDO LUCENA/ARQUIVO DA EDITORA</v>
      </c>
      <c r="Y2348" s="23"/>
      <c r="Z2348" s="23" t="str">
        <f>Tabela2[[#This Row],[ilustrador]]</f>
        <v>RONALDO LUCENA/ARQUIVO DA EDITORA</v>
      </c>
      <c r="AA2348" s="22"/>
      <c r="AB2348" s="20"/>
      <c r="AD2348" s="4" t="str">
        <f>"Pitanguá"</f>
        <v>Pitanguá</v>
      </c>
      <c r="AE2348" s="14" t="str">
        <f>"Matemática"</f>
        <v>Matemática</v>
      </c>
      <c r="AF2348" s="14"/>
    </row>
    <row r="2349" spans="1:32" x14ac:dyDescent="0.3">
      <c r="A2349" s="23" t="s">
        <v>655</v>
      </c>
      <c r="B2349" s="20" t="s">
        <v>16</v>
      </c>
      <c r="C2349" s="20" t="s">
        <v>7</v>
      </c>
      <c r="D2349" s="20" t="s">
        <v>8</v>
      </c>
      <c r="E2349" s="22">
        <v>148</v>
      </c>
      <c r="F2349" s="22">
        <v>1</v>
      </c>
      <c r="G2349" s="22">
        <v>10</v>
      </c>
      <c r="H2349" s="22"/>
      <c r="I2349" s="23" t="s">
        <v>9</v>
      </c>
      <c r="J2349" s="23"/>
      <c r="K2349" s="22"/>
      <c r="L2349" s="22"/>
      <c r="M2349" s="23"/>
      <c r="N2349" s="23"/>
      <c r="O2349" s="26" t="s">
        <v>656</v>
      </c>
      <c r="P2349" s="26"/>
      <c r="Q2349" s="22"/>
      <c r="R2349" s="24"/>
      <c r="S2349" s="24"/>
      <c r="T2349" s="24"/>
      <c r="U2349" s="24"/>
      <c r="V2349" s="24"/>
      <c r="W2349" s="22" t="s">
        <v>31</v>
      </c>
      <c r="X2349" s="4" t="str">
        <f>IF(Tabela2[[#This Row],[sigla]]="","",VLOOKUP(Tabela2[[#This Row],[sigla]],créditos_base!B:C,2,0))</f>
        <v>SILVIA OTOFUJI/ARQUIVO DA EDITORA</v>
      </c>
      <c r="Y2349" s="23"/>
      <c r="Z2349" s="23" t="str">
        <f>Tabela2[[#This Row],[ilustrador]]</f>
        <v>SILVIA OTOFUJI/ARQUIVO DA EDITORA</v>
      </c>
      <c r="AA2349" s="22"/>
      <c r="AB2349" s="20"/>
      <c r="AD2349" s="4" t="str">
        <f>"Pitanguá"</f>
        <v>Pitanguá</v>
      </c>
      <c r="AE2349" s="14" t="str">
        <f>"Matemática"</f>
        <v>Matemática</v>
      </c>
      <c r="AF2349" s="14"/>
    </row>
    <row r="2350" spans="1:32" ht="43.2" x14ac:dyDescent="0.3">
      <c r="A2350" s="30" t="s">
        <v>1738</v>
      </c>
      <c r="B2350" s="20" t="s">
        <v>16</v>
      </c>
      <c r="C2350" s="20" t="s">
        <v>7</v>
      </c>
      <c r="D2350" s="20" t="s">
        <v>8</v>
      </c>
      <c r="E2350" s="22">
        <v>157</v>
      </c>
      <c r="F2350" s="22">
        <v>2</v>
      </c>
      <c r="G2350" s="22">
        <v>10</v>
      </c>
      <c r="H2350" s="22"/>
      <c r="I2350" s="23" t="s">
        <v>9</v>
      </c>
      <c r="J2350" s="23"/>
      <c r="K2350" s="22"/>
      <c r="L2350" s="22"/>
      <c r="M2350" s="23"/>
      <c r="N2350" s="23"/>
      <c r="O2350" s="26" t="s">
        <v>1739</v>
      </c>
      <c r="P2350" s="26"/>
      <c r="Q2350" s="22"/>
      <c r="R2350" s="24"/>
      <c r="S2350" s="24"/>
      <c r="T2350" s="24"/>
      <c r="U2350" s="24"/>
      <c r="V2350" s="24"/>
      <c r="W2350" s="22" t="s">
        <v>230</v>
      </c>
      <c r="X2350" s="4" t="str">
        <f>IF(Tabela2[[#This Row],[sigla]]="","",VLOOKUP(Tabela2[[#This Row],[sigla]],créditos_base!B:C,2,0))</f>
        <v>RAFAEL L. GAION/ARQUIVO DA EDITORA</v>
      </c>
      <c r="Y2350" s="23"/>
      <c r="Z2350" s="23" t="str">
        <f>Tabela2[[#This Row],[ilustrador]]</f>
        <v>RAFAEL L. GAION/ARQUIVO DA EDITORA</v>
      </c>
      <c r="AA2350" s="22"/>
      <c r="AB2350" s="20"/>
      <c r="AD2350" s="4" t="str">
        <f>"Pitanguá"</f>
        <v>Pitanguá</v>
      </c>
      <c r="AE2350" s="14" t="str">
        <f>"Matemática"</f>
        <v>Matemática</v>
      </c>
      <c r="AF2350" s="14"/>
    </row>
    <row r="2351" spans="1:32" ht="43.2" x14ac:dyDescent="0.3">
      <c r="A2351" s="23" t="s">
        <v>2714</v>
      </c>
      <c r="B2351" s="20" t="s">
        <v>16</v>
      </c>
      <c r="C2351" s="20" t="s">
        <v>7</v>
      </c>
      <c r="D2351" s="20" t="s">
        <v>8</v>
      </c>
      <c r="E2351" s="22">
        <v>209</v>
      </c>
      <c r="F2351" s="22">
        <v>3</v>
      </c>
      <c r="G2351" s="22">
        <v>10</v>
      </c>
      <c r="H2351" s="22"/>
      <c r="I2351" s="23" t="s">
        <v>9</v>
      </c>
      <c r="J2351" s="23"/>
      <c r="K2351" s="22"/>
      <c r="L2351" s="22"/>
      <c r="M2351" s="23"/>
      <c r="N2351" s="23"/>
      <c r="O2351" s="26" t="s">
        <v>2715</v>
      </c>
      <c r="P2351" s="26"/>
      <c r="Q2351" s="22"/>
      <c r="R2351" s="24"/>
      <c r="S2351" s="24"/>
      <c r="T2351" s="24"/>
      <c r="U2351" s="24"/>
      <c r="V2351" s="24"/>
      <c r="W2351" s="22" t="s">
        <v>230</v>
      </c>
      <c r="X2351" s="4" t="str">
        <f>IF(Tabela2[[#This Row],[sigla]]="","",VLOOKUP(Tabela2[[#This Row],[sigla]],créditos_base!B:C,2,0))</f>
        <v>RAFAEL L. GAION/ARQUIVO DA EDITORA</v>
      </c>
      <c r="Y2351" s="23"/>
      <c r="Z2351" s="23" t="str">
        <f>Tabela2[[#This Row],[ilustrador]]</f>
        <v>RAFAEL L. GAION/ARQUIVO DA EDITORA</v>
      </c>
      <c r="AA2351" s="22"/>
      <c r="AB2351" s="20"/>
      <c r="AD2351" s="4" t="str">
        <f>"Pitanguá"</f>
        <v>Pitanguá</v>
      </c>
      <c r="AE2351" s="14" t="str">
        <f>"Matemática"</f>
        <v>Matemática</v>
      </c>
      <c r="AF2351" s="14"/>
    </row>
    <row r="2352" spans="1:32" ht="187.2" x14ac:dyDescent="0.3">
      <c r="A2352" s="23" t="s">
        <v>3511</v>
      </c>
      <c r="B2352" s="20" t="s">
        <v>6</v>
      </c>
      <c r="C2352" s="20" t="s">
        <v>7</v>
      </c>
      <c r="D2352" s="20" t="s">
        <v>8</v>
      </c>
      <c r="E2352" s="22">
        <v>215</v>
      </c>
      <c r="F2352" s="22">
        <v>4</v>
      </c>
      <c r="G2352" s="22">
        <v>10</v>
      </c>
      <c r="H2352" s="22"/>
      <c r="I2352" s="23" t="s">
        <v>9</v>
      </c>
      <c r="J2352" s="23"/>
      <c r="K2352" s="22"/>
      <c r="L2352" s="22"/>
      <c r="M2352" s="23"/>
      <c r="N2352" s="23"/>
      <c r="O2352" s="26" t="s">
        <v>3512</v>
      </c>
      <c r="P2352" s="26"/>
      <c r="Q2352" s="22"/>
      <c r="R2352" s="24"/>
      <c r="S2352" s="24"/>
      <c r="T2352" s="24"/>
      <c r="U2352" s="24"/>
      <c r="V2352" s="24"/>
      <c r="W2352" s="22" t="s">
        <v>3382</v>
      </c>
      <c r="X2352" s="4" t="str">
        <f>IF(Tabela2[[#This Row],[sigla]]="","",VLOOKUP(Tabela2[[#This Row],[sigla]],créditos_base!B:C,2,0))</f>
        <v>LEONARDO MARI/ARQUIVO DA EDITORA</v>
      </c>
      <c r="Y2352" s="23"/>
      <c r="Z2352" s="23" t="str">
        <f>Tabela2[[#This Row],[ilustrador]]</f>
        <v>LEONARDO MARI/ARQUIVO DA EDITORA</v>
      </c>
      <c r="AA2352" s="22"/>
      <c r="AB2352" s="20"/>
      <c r="AD2352" s="4" t="str">
        <f>"Pitanguá"</f>
        <v>Pitanguá</v>
      </c>
      <c r="AE2352" s="14" t="str">
        <f>"Matemática"</f>
        <v>Matemática</v>
      </c>
      <c r="AF2352" s="14"/>
    </row>
    <row r="2353" spans="1:32" ht="57.6" x14ac:dyDescent="0.3">
      <c r="A2353" s="23" t="s">
        <v>4354</v>
      </c>
      <c r="B2353" s="20" t="s">
        <v>16</v>
      </c>
      <c r="C2353" s="20" t="s">
        <v>89</v>
      </c>
      <c r="D2353" s="20" t="s">
        <v>8</v>
      </c>
      <c r="E2353" s="22">
        <v>239</v>
      </c>
      <c r="F2353" s="22">
        <v>5</v>
      </c>
      <c r="G2353" s="22">
        <v>10</v>
      </c>
      <c r="H2353" s="22"/>
      <c r="I2353" s="23" t="s">
        <v>9</v>
      </c>
      <c r="J2353" s="23"/>
      <c r="K2353" s="22"/>
      <c r="L2353" s="22"/>
      <c r="M2353" s="23"/>
      <c r="N2353" s="23"/>
      <c r="O2353" s="26" t="s">
        <v>4355</v>
      </c>
      <c r="P2353" s="26"/>
      <c r="Q2353" s="22"/>
      <c r="R2353" s="24"/>
      <c r="S2353" s="24"/>
      <c r="T2353" s="24"/>
      <c r="U2353" s="24"/>
      <c r="V2353" s="24"/>
      <c r="W2353" s="22" t="s">
        <v>940</v>
      </c>
      <c r="X2353" s="4" t="str">
        <f>IF(Tabela2[[#This Row],[sigla]]="","",VLOOKUP(Tabela2[[#This Row],[sigla]],créditos_base!B:C,2,0))</f>
        <v>RONALDO LUCENA/ARQUIVO DA EDITORA</v>
      </c>
      <c r="Y2353" s="23"/>
      <c r="Z2353" s="23" t="str">
        <f>Tabela2[[#This Row],[ilustrador]]</f>
        <v>RONALDO LUCENA/ARQUIVO DA EDITORA</v>
      </c>
      <c r="AA2353" s="22"/>
      <c r="AB2353" s="20"/>
      <c r="AD2353" s="4" t="str">
        <f>"Pitanguá"</f>
        <v>Pitanguá</v>
      </c>
      <c r="AE2353" s="14" t="str">
        <f>"Matemática"</f>
        <v>Matemática</v>
      </c>
      <c r="AF2353" s="14"/>
    </row>
    <row r="2354" spans="1:32" ht="57.6" x14ac:dyDescent="0.3">
      <c r="A2354" s="23" t="s">
        <v>2716</v>
      </c>
      <c r="B2354" s="20" t="s">
        <v>16</v>
      </c>
      <c r="C2354" s="20" t="s">
        <v>7</v>
      </c>
      <c r="D2354" s="20" t="s">
        <v>8</v>
      </c>
      <c r="E2354" s="22">
        <v>210</v>
      </c>
      <c r="F2354" s="22">
        <v>3</v>
      </c>
      <c r="G2354" s="22">
        <v>10</v>
      </c>
      <c r="H2354" s="22"/>
      <c r="I2354" s="23" t="s">
        <v>9</v>
      </c>
      <c r="J2354" s="23"/>
      <c r="K2354" s="22"/>
      <c r="L2354" s="22"/>
      <c r="M2354" s="23"/>
      <c r="N2354" s="23"/>
      <c r="O2354" s="26" t="s">
        <v>2717</v>
      </c>
      <c r="P2354" s="26"/>
      <c r="Q2354" s="22"/>
      <c r="R2354" s="24"/>
      <c r="S2354" s="24"/>
      <c r="T2354" s="24"/>
      <c r="U2354" s="24"/>
      <c r="V2354" s="24"/>
      <c r="W2354" s="22" t="s">
        <v>151</v>
      </c>
      <c r="X2354" s="4" t="str">
        <f>IF(Tabela2[[#This Row],[sigla]]="","",VLOOKUP(Tabela2[[#This Row],[sigla]],créditos_base!B:C,2,0))</f>
        <v>ROGÉRIO CASAGRANDE/ARQUIVO DA EDITORA</v>
      </c>
      <c r="Y2354" s="23"/>
      <c r="Z2354" s="23" t="str">
        <f>Tabela2[[#This Row],[ilustrador]]</f>
        <v>ROGÉRIO CASAGRANDE/ARQUIVO DA EDITORA</v>
      </c>
      <c r="AA2354" s="22"/>
      <c r="AB2354" s="20"/>
      <c r="AD2354" s="4" t="str">
        <f>"Pitanguá"</f>
        <v>Pitanguá</v>
      </c>
      <c r="AE2354" s="14" t="str">
        <f>"Matemática"</f>
        <v>Matemática</v>
      </c>
      <c r="AF2354" s="14"/>
    </row>
    <row r="2355" spans="1:32" ht="43.2" x14ac:dyDescent="0.3">
      <c r="A2355" s="23" t="s">
        <v>3513</v>
      </c>
      <c r="B2355" s="20" t="s">
        <v>16</v>
      </c>
      <c r="C2355" s="20" t="s">
        <v>7</v>
      </c>
      <c r="D2355" s="20" t="s">
        <v>8</v>
      </c>
      <c r="E2355" s="22">
        <v>215</v>
      </c>
      <c r="F2355" s="22">
        <v>4</v>
      </c>
      <c r="G2355" s="22">
        <v>10</v>
      </c>
      <c r="H2355" s="22"/>
      <c r="I2355" s="23" t="s">
        <v>9</v>
      </c>
      <c r="J2355" s="23"/>
      <c r="K2355" s="22"/>
      <c r="L2355" s="22"/>
      <c r="M2355" s="23"/>
      <c r="N2355" s="23"/>
      <c r="O2355" s="26" t="s">
        <v>3514</v>
      </c>
      <c r="P2355" s="26"/>
      <c r="Q2355" s="22"/>
      <c r="R2355" s="24"/>
      <c r="S2355" s="24"/>
      <c r="T2355" s="24"/>
      <c r="U2355" s="24"/>
      <c r="V2355" s="24"/>
      <c r="W2355" s="22" t="s">
        <v>3382</v>
      </c>
      <c r="X2355" s="4" t="str">
        <f>IF(Tabela2[[#This Row],[sigla]]="","",VLOOKUP(Tabela2[[#This Row],[sigla]],créditos_base!B:C,2,0))</f>
        <v>LEONARDO MARI/ARQUIVO DA EDITORA</v>
      </c>
      <c r="Y2355" s="23"/>
      <c r="Z2355" s="23" t="str">
        <f>Tabela2[[#This Row],[ilustrador]]</f>
        <v>LEONARDO MARI/ARQUIVO DA EDITORA</v>
      </c>
      <c r="AA2355" s="22"/>
      <c r="AB2355" s="20"/>
      <c r="AD2355" s="4" t="str">
        <f>"Pitanguá"</f>
        <v>Pitanguá</v>
      </c>
      <c r="AE2355" s="14" t="str">
        <f>"Matemática"</f>
        <v>Matemática</v>
      </c>
      <c r="AF2355" s="14"/>
    </row>
    <row r="2356" spans="1:32" ht="57.6" x14ac:dyDescent="0.3">
      <c r="A2356" s="23" t="s">
        <v>4356</v>
      </c>
      <c r="B2356" s="20" t="s">
        <v>16</v>
      </c>
      <c r="C2356" s="20" t="s">
        <v>89</v>
      </c>
      <c r="D2356" s="20" t="s">
        <v>8</v>
      </c>
      <c r="E2356" s="22">
        <v>239</v>
      </c>
      <c r="F2356" s="22">
        <v>5</v>
      </c>
      <c r="G2356" s="22">
        <v>10</v>
      </c>
      <c r="H2356" s="22"/>
      <c r="I2356" s="23" t="s">
        <v>9</v>
      </c>
      <c r="J2356" s="23"/>
      <c r="K2356" s="22"/>
      <c r="L2356" s="22"/>
      <c r="M2356" s="23"/>
      <c r="N2356" s="23"/>
      <c r="O2356" s="26" t="s">
        <v>4357</v>
      </c>
      <c r="P2356" s="26"/>
      <c r="Q2356" s="22"/>
      <c r="R2356" s="24"/>
      <c r="S2356" s="24"/>
      <c r="T2356" s="24"/>
      <c r="U2356" s="24"/>
      <c r="V2356" s="24"/>
      <c r="W2356" s="22" t="s">
        <v>940</v>
      </c>
      <c r="X2356" s="4" t="str">
        <f>IF(Tabela2[[#This Row],[sigla]]="","",VLOOKUP(Tabela2[[#This Row],[sigla]],créditos_base!B:C,2,0))</f>
        <v>RONALDO LUCENA/ARQUIVO DA EDITORA</v>
      </c>
      <c r="Y2356" s="23"/>
      <c r="Z2356" s="23" t="str">
        <f>Tabela2[[#This Row],[ilustrador]]</f>
        <v>RONALDO LUCENA/ARQUIVO DA EDITORA</v>
      </c>
      <c r="AA2356" s="22"/>
      <c r="AB2356" s="20"/>
      <c r="AD2356" s="4" t="str">
        <f>"Pitanguá"</f>
        <v>Pitanguá</v>
      </c>
      <c r="AE2356" s="14" t="str">
        <f>"Matemática"</f>
        <v>Matemática</v>
      </c>
      <c r="AF2356" s="14"/>
    </row>
    <row r="2357" spans="1:32" ht="72" x14ac:dyDescent="0.3">
      <c r="A2357" s="23" t="s">
        <v>657</v>
      </c>
      <c r="B2357" s="20" t="s">
        <v>16</v>
      </c>
      <c r="C2357" s="20" t="s">
        <v>7</v>
      </c>
      <c r="D2357" s="20" t="s">
        <v>8</v>
      </c>
      <c r="E2357" s="22">
        <v>150</v>
      </c>
      <c r="F2357" s="22">
        <v>1</v>
      </c>
      <c r="G2357" s="22">
        <v>10</v>
      </c>
      <c r="H2357" s="22"/>
      <c r="I2357" s="23" t="s">
        <v>9</v>
      </c>
      <c r="J2357" s="23"/>
      <c r="K2357" s="22"/>
      <c r="L2357" s="22"/>
      <c r="M2357" s="23"/>
      <c r="N2357" s="23"/>
      <c r="O2357" s="26" t="s">
        <v>658</v>
      </c>
      <c r="P2357" s="26"/>
      <c r="Q2357" s="22"/>
      <c r="R2357" s="24"/>
      <c r="S2357" s="24"/>
      <c r="T2357" s="24"/>
      <c r="U2357" s="24"/>
      <c r="V2357" s="24"/>
      <c r="W2357" s="22" t="s">
        <v>31</v>
      </c>
      <c r="X2357" s="4" t="str">
        <f>IF(Tabela2[[#This Row],[sigla]]="","",VLOOKUP(Tabela2[[#This Row],[sigla]],créditos_base!B:C,2,0))</f>
        <v>SILVIA OTOFUJI/ARQUIVO DA EDITORA</v>
      </c>
      <c r="Y2357" s="23"/>
      <c r="Z2357" s="23" t="str">
        <f>Tabela2[[#This Row],[ilustrador]]</f>
        <v>SILVIA OTOFUJI/ARQUIVO DA EDITORA</v>
      </c>
      <c r="AA2357" s="22"/>
      <c r="AB2357" s="20"/>
      <c r="AD2357" s="4" t="str">
        <f>"Pitanguá"</f>
        <v>Pitanguá</v>
      </c>
      <c r="AE2357" s="14" t="str">
        <f>"Matemática"</f>
        <v>Matemática</v>
      </c>
      <c r="AF2357" s="14"/>
    </row>
    <row r="2358" spans="1:32" ht="28.8" x14ac:dyDescent="0.3">
      <c r="A2358" s="23" t="s">
        <v>2718</v>
      </c>
      <c r="B2358" s="20" t="s">
        <v>16</v>
      </c>
      <c r="C2358" s="20" t="s">
        <v>7</v>
      </c>
      <c r="D2358" s="20" t="s">
        <v>8</v>
      </c>
      <c r="E2358" s="22">
        <v>210</v>
      </c>
      <c r="F2358" s="22">
        <v>3</v>
      </c>
      <c r="G2358" s="22">
        <v>10</v>
      </c>
      <c r="H2358" s="22"/>
      <c r="I2358" s="23" t="s">
        <v>9</v>
      </c>
      <c r="J2358" s="23"/>
      <c r="K2358" s="22"/>
      <c r="L2358" s="22"/>
      <c r="M2358" s="23"/>
      <c r="N2358" s="23"/>
      <c r="O2358" s="26" t="s">
        <v>2719</v>
      </c>
      <c r="P2358" s="26"/>
      <c r="Q2358" s="22"/>
      <c r="R2358" s="24"/>
      <c r="S2358" s="24"/>
      <c r="T2358" s="24"/>
      <c r="U2358" s="24"/>
      <c r="V2358" s="24"/>
      <c r="W2358" s="22" t="s">
        <v>151</v>
      </c>
      <c r="X2358" s="4" t="str">
        <f>IF(Tabela2[[#This Row],[sigla]]="","",VLOOKUP(Tabela2[[#This Row],[sigla]],créditos_base!B:C,2,0))</f>
        <v>ROGÉRIO CASAGRANDE/ARQUIVO DA EDITORA</v>
      </c>
      <c r="Y2358" s="23"/>
      <c r="Z2358" s="23" t="str">
        <f>Tabela2[[#This Row],[ilustrador]]</f>
        <v>ROGÉRIO CASAGRANDE/ARQUIVO DA EDITORA</v>
      </c>
      <c r="AA2358" s="22"/>
      <c r="AB2358" s="20"/>
      <c r="AD2358" s="4" t="str">
        <f>"Pitanguá"</f>
        <v>Pitanguá</v>
      </c>
      <c r="AE2358" s="14" t="str">
        <f>"Matemática"</f>
        <v>Matemática</v>
      </c>
      <c r="AF2358" s="14"/>
    </row>
    <row r="2359" spans="1:32" ht="43.2" x14ac:dyDescent="0.3">
      <c r="A2359" s="23" t="s">
        <v>3515</v>
      </c>
      <c r="B2359" s="20" t="s">
        <v>16</v>
      </c>
      <c r="C2359" s="20" t="s">
        <v>7</v>
      </c>
      <c r="D2359" s="20" t="s">
        <v>8</v>
      </c>
      <c r="E2359" s="22">
        <v>215</v>
      </c>
      <c r="F2359" s="22">
        <v>4</v>
      </c>
      <c r="G2359" s="22">
        <v>10</v>
      </c>
      <c r="H2359" s="22"/>
      <c r="I2359" s="23" t="s">
        <v>9</v>
      </c>
      <c r="J2359" s="23"/>
      <c r="K2359" s="22"/>
      <c r="L2359" s="22"/>
      <c r="M2359" s="23"/>
      <c r="N2359" s="23"/>
      <c r="O2359" s="26" t="s">
        <v>3516</v>
      </c>
      <c r="P2359" s="26"/>
      <c r="Q2359" s="22"/>
      <c r="R2359" s="24"/>
      <c r="S2359" s="24"/>
      <c r="T2359" s="24"/>
      <c r="U2359" s="24"/>
      <c r="V2359" s="24"/>
      <c r="W2359" s="22" t="s">
        <v>3382</v>
      </c>
      <c r="X2359" s="4" t="str">
        <f>IF(Tabela2[[#This Row],[sigla]]="","",VLOOKUP(Tabela2[[#This Row],[sigla]],créditos_base!B:C,2,0))</f>
        <v>LEONARDO MARI/ARQUIVO DA EDITORA</v>
      </c>
      <c r="Y2359" s="23"/>
      <c r="Z2359" s="23" t="str">
        <f>Tabela2[[#This Row],[ilustrador]]</f>
        <v>LEONARDO MARI/ARQUIVO DA EDITORA</v>
      </c>
      <c r="AA2359" s="22"/>
      <c r="AB2359" s="20"/>
      <c r="AD2359" s="4" t="str">
        <f>"Pitanguá"</f>
        <v>Pitanguá</v>
      </c>
      <c r="AE2359" s="14" t="str">
        <f>"Matemática"</f>
        <v>Matemática</v>
      </c>
      <c r="AF2359" s="14"/>
    </row>
    <row r="2360" spans="1:32" ht="28.8" x14ac:dyDescent="0.3">
      <c r="A2360" s="23" t="s">
        <v>4358</v>
      </c>
      <c r="B2360" s="20" t="s">
        <v>16</v>
      </c>
      <c r="C2360" s="20" t="s">
        <v>89</v>
      </c>
      <c r="D2360" s="20" t="s">
        <v>8</v>
      </c>
      <c r="E2360" s="22">
        <v>239</v>
      </c>
      <c r="F2360" s="22">
        <v>5</v>
      </c>
      <c r="G2360" s="22">
        <v>10</v>
      </c>
      <c r="H2360" s="22"/>
      <c r="I2360" s="23" t="s">
        <v>9</v>
      </c>
      <c r="J2360" s="23"/>
      <c r="K2360" s="22"/>
      <c r="L2360" s="22"/>
      <c r="M2360" s="23"/>
      <c r="N2360" s="23"/>
      <c r="O2360" s="26" t="s">
        <v>4359</v>
      </c>
      <c r="P2360" s="26"/>
      <c r="Q2360" s="22"/>
      <c r="R2360" s="24"/>
      <c r="S2360" s="24"/>
      <c r="T2360" s="24"/>
      <c r="U2360" s="24"/>
      <c r="V2360" s="24"/>
      <c r="W2360" s="22" t="s">
        <v>940</v>
      </c>
      <c r="X2360" s="4" t="str">
        <f>IF(Tabela2[[#This Row],[sigla]]="","",VLOOKUP(Tabela2[[#This Row],[sigla]],créditos_base!B:C,2,0))</f>
        <v>RONALDO LUCENA/ARQUIVO DA EDITORA</v>
      </c>
      <c r="Y2360" s="23"/>
      <c r="Z2360" s="23" t="str">
        <f>Tabela2[[#This Row],[ilustrador]]</f>
        <v>RONALDO LUCENA/ARQUIVO DA EDITORA</v>
      </c>
      <c r="AA2360" s="22"/>
      <c r="AB2360" s="20"/>
      <c r="AD2360" s="4" t="str">
        <f>"Pitanguá"</f>
        <v>Pitanguá</v>
      </c>
      <c r="AE2360" s="14" t="str">
        <f>"Matemática"</f>
        <v>Matemática</v>
      </c>
      <c r="AF2360" s="14"/>
    </row>
    <row r="2361" spans="1:32" ht="28.8" x14ac:dyDescent="0.3">
      <c r="A2361" s="23" t="s">
        <v>659</v>
      </c>
      <c r="B2361" s="20" t="s">
        <v>16</v>
      </c>
      <c r="C2361" s="20" t="s">
        <v>7</v>
      </c>
      <c r="D2361" s="20" t="s">
        <v>8</v>
      </c>
      <c r="E2361" s="22">
        <v>150</v>
      </c>
      <c r="F2361" s="22">
        <v>1</v>
      </c>
      <c r="G2361" s="22">
        <v>10</v>
      </c>
      <c r="H2361" s="22"/>
      <c r="I2361" s="23" t="s">
        <v>9</v>
      </c>
      <c r="J2361" s="23"/>
      <c r="K2361" s="22"/>
      <c r="L2361" s="22"/>
      <c r="M2361" s="23"/>
      <c r="N2361" s="23"/>
      <c r="O2361" s="26" t="s">
        <v>660</v>
      </c>
      <c r="P2361" s="26"/>
      <c r="Q2361" s="22"/>
      <c r="R2361" s="24"/>
      <c r="S2361" s="24"/>
      <c r="T2361" s="24"/>
      <c r="U2361" s="24"/>
      <c r="V2361" s="24"/>
      <c r="W2361" s="22" t="s">
        <v>468</v>
      </c>
      <c r="X2361" s="4" t="str">
        <f>IF(Tabela2[[#This Row],[sigla]]="","",VLOOKUP(Tabela2[[#This Row],[sigla]],créditos_base!B:C,2,0))</f>
        <v>VER DOCUMENTO DE ILS. TÉCNICAS</v>
      </c>
      <c r="Y2361" s="23"/>
      <c r="Z2361" s="23" t="s">
        <v>661</v>
      </c>
      <c r="AA2361" s="22"/>
      <c r="AB2361" s="20"/>
      <c r="AD2361" s="4" t="str">
        <f>"Pitanguá"</f>
        <v>Pitanguá</v>
      </c>
      <c r="AE2361" s="14" t="str">
        <f>"Matemática"</f>
        <v>Matemática</v>
      </c>
      <c r="AF2361" s="14"/>
    </row>
    <row r="2362" spans="1:32" ht="28.8" x14ac:dyDescent="0.3">
      <c r="A2362" s="23" t="s">
        <v>2720</v>
      </c>
      <c r="B2362" s="20" t="s">
        <v>6</v>
      </c>
      <c r="C2362" s="20" t="s">
        <v>7</v>
      </c>
      <c r="D2362" s="20" t="s">
        <v>8</v>
      </c>
      <c r="E2362" s="22">
        <v>210</v>
      </c>
      <c r="F2362" s="22">
        <v>3</v>
      </c>
      <c r="G2362" s="22">
        <v>10</v>
      </c>
      <c r="H2362" s="22"/>
      <c r="I2362" s="23" t="s">
        <v>9</v>
      </c>
      <c r="J2362" s="23"/>
      <c r="K2362" s="22"/>
      <c r="L2362" s="22"/>
      <c r="M2362" s="23"/>
      <c r="N2362" s="23"/>
      <c r="O2362" s="26" t="s">
        <v>2721</v>
      </c>
      <c r="P2362" s="26" t="s">
        <v>11</v>
      </c>
      <c r="Q2362" s="22"/>
      <c r="R2362" s="24"/>
      <c r="S2362" s="24"/>
      <c r="T2362" s="24"/>
      <c r="U2362" s="24"/>
      <c r="V2362" s="24"/>
      <c r="W2362" s="22" t="s">
        <v>806</v>
      </c>
      <c r="X2362" s="4" t="str">
        <f>IF(Tabela2[[#This Row],[sigla]]="","",VLOOKUP(Tabela2[[#This Row],[sigla]],créditos_base!B:C,2,0))</f>
        <v>MARCOS MACHADO/ARQUIVO DA EDITORA</v>
      </c>
      <c r="Y2362" s="23"/>
      <c r="Z2362" s="23" t="str">
        <f>Tabela2[[#This Row],[ilustrador]]</f>
        <v>MARCOS MACHADO/ARQUIVO DA EDITORA</v>
      </c>
      <c r="AA2362" s="22"/>
      <c r="AB2362" s="20"/>
      <c r="AD2362" s="4" t="str">
        <f>"Pitanguá"</f>
        <v>Pitanguá</v>
      </c>
      <c r="AE2362" s="14" t="str">
        <f>"Matemática"</f>
        <v>Matemática</v>
      </c>
      <c r="AF2362" s="14"/>
    </row>
    <row r="2363" spans="1:32" ht="28.8" x14ac:dyDescent="0.3">
      <c r="A2363" s="23" t="s">
        <v>3517</v>
      </c>
      <c r="B2363" s="20" t="s">
        <v>16</v>
      </c>
      <c r="C2363" s="20" t="s">
        <v>7</v>
      </c>
      <c r="D2363" s="20" t="s">
        <v>8</v>
      </c>
      <c r="E2363" s="22">
        <v>215</v>
      </c>
      <c r="F2363" s="22">
        <v>4</v>
      </c>
      <c r="G2363" s="22">
        <v>10</v>
      </c>
      <c r="H2363" s="22"/>
      <c r="I2363" s="23" t="s">
        <v>9</v>
      </c>
      <c r="J2363" s="23"/>
      <c r="K2363" s="22"/>
      <c r="L2363" s="22"/>
      <c r="M2363" s="23"/>
      <c r="N2363" s="23"/>
      <c r="O2363" s="26" t="s">
        <v>3518</v>
      </c>
      <c r="P2363" s="26"/>
      <c r="Q2363" s="22"/>
      <c r="R2363" s="24"/>
      <c r="S2363" s="24"/>
      <c r="T2363" s="24"/>
      <c r="U2363" s="24"/>
      <c r="V2363" s="24"/>
      <c r="W2363" s="22" t="s">
        <v>3382</v>
      </c>
      <c r="X2363" s="4" t="str">
        <f>IF(Tabela2[[#This Row],[sigla]]="","",VLOOKUP(Tabela2[[#This Row],[sigla]],créditos_base!B:C,2,0))</f>
        <v>LEONARDO MARI/ARQUIVO DA EDITORA</v>
      </c>
      <c r="Y2363" s="23"/>
      <c r="Z2363" s="23" t="str">
        <f>Tabela2[[#This Row],[ilustrador]]</f>
        <v>LEONARDO MARI/ARQUIVO DA EDITORA</v>
      </c>
      <c r="AA2363" s="22"/>
      <c r="AB2363" s="20"/>
      <c r="AD2363" s="4" t="str">
        <f>"Pitanguá"</f>
        <v>Pitanguá</v>
      </c>
      <c r="AE2363" s="14" t="str">
        <f>"Matemática"</f>
        <v>Matemática</v>
      </c>
      <c r="AF2363" s="14"/>
    </row>
    <row r="2364" spans="1:32" ht="28.8" x14ac:dyDescent="0.3">
      <c r="A2364" s="23" t="s">
        <v>4360</v>
      </c>
      <c r="B2364" s="20" t="s">
        <v>16</v>
      </c>
      <c r="C2364" s="20" t="s">
        <v>89</v>
      </c>
      <c r="D2364" s="20" t="s">
        <v>8</v>
      </c>
      <c r="E2364" s="22">
        <v>239</v>
      </c>
      <c r="F2364" s="22">
        <v>5</v>
      </c>
      <c r="G2364" s="22">
        <v>10</v>
      </c>
      <c r="H2364" s="22"/>
      <c r="I2364" s="23" t="s">
        <v>9</v>
      </c>
      <c r="J2364" s="23"/>
      <c r="K2364" s="22"/>
      <c r="L2364" s="22"/>
      <c r="M2364" s="23"/>
      <c r="N2364" s="23"/>
      <c r="O2364" s="26" t="s">
        <v>4361</v>
      </c>
      <c r="P2364" s="26"/>
      <c r="Q2364" s="22"/>
      <c r="R2364" s="24"/>
      <c r="S2364" s="24"/>
      <c r="T2364" s="24"/>
      <c r="U2364" s="24"/>
      <c r="V2364" s="24"/>
      <c r="W2364" s="22" t="s">
        <v>940</v>
      </c>
      <c r="X2364" s="4" t="str">
        <f>IF(Tabela2[[#This Row],[sigla]]="","",VLOOKUP(Tabela2[[#This Row],[sigla]],créditos_base!B:C,2,0))</f>
        <v>RONALDO LUCENA/ARQUIVO DA EDITORA</v>
      </c>
      <c r="Y2364" s="23"/>
      <c r="Z2364" s="23" t="str">
        <f>Tabela2[[#This Row],[ilustrador]]</f>
        <v>RONALDO LUCENA/ARQUIVO DA EDITORA</v>
      </c>
      <c r="AA2364" s="22"/>
      <c r="AB2364" s="20"/>
      <c r="AD2364" s="4" t="str">
        <f>"Pitanguá"</f>
        <v>Pitanguá</v>
      </c>
      <c r="AE2364" s="14" t="str">
        <f>"Matemática"</f>
        <v>Matemática</v>
      </c>
      <c r="AF2364" s="14"/>
    </row>
    <row r="2365" spans="1:32" ht="43.2" x14ac:dyDescent="0.3">
      <c r="A2365" s="23" t="s">
        <v>662</v>
      </c>
      <c r="B2365" s="20" t="s">
        <v>16</v>
      </c>
      <c r="C2365" s="20" t="s">
        <v>7</v>
      </c>
      <c r="D2365" s="20" t="s">
        <v>8</v>
      </c>
      <c r="E2365" s="22">
        <v>150</v>
      </c>
      <c r="F2365" s="22">
        <v>1</v>
      </c>
      <c r="G2365" s="22">
        <v>10</v>
      </c>
      <c r="H2365" s="22"/>
      <c r="I2365" s="23" t="s">
        <v>9</v>
      </c>
      <c r="J2365" s="23"/>
      <c r="K2365" s="22"/>
      <c r="L2365" s="22"/>
      <c r="M2365" s="23"/>
      <c r="N2365" s="23"/>
      <c r="O2365" s="26" t="s">
        <v>663</v>
      </c>
      <c r="P2365" s="26"/>
      <c r="Q2365" s="22"/>
      <c r="R2365" s="24"/>
      <c r="S2365" s="24"/>
      <c r="T2365" s="24"/>
      <c r="U2365" s="24"/>
      <c r="V2365" s="24"/>
      <c r="W2365" s="22" t="s">
        <v>468</v>
      </c>
      <c r="X2365" s="4" t="str">
        <f>IF(Tabela2[[#This Row],[sigla]]="","",VLOOKUP(Tabela2[[#This Row],[sigla]],créditos_base!B:C,2,0))</f>
        <v>VER DOCUMENTO DE ILS. TÉCNICAS</v>
      </c>
      <c r="Y2365" s="23"/>
      <c r="Z2365" s="23" t="s">
        <v>661</v>
      </c>
      <c r="AA2365" s="22"/>
      <c r="AB2365" s="20"/>
      <c r="AD2365" s="4" t="str">
        <f>"Pitanguá"</f>
        <v>Pitanguá</v>
      </c>
      <c r="AE2365" s="14" t="str">
        <f>"Matemática"</f>
        <v>Matemática</v>
      </c>
      <c r="AF2365" s="14"/>
    </row>
    <row r="2366" spans="1:32" ht="28.8" x14ac:dyDescent="0.3">
      <c r="A2366" s="30" t="s">
        <v>1740</v>
      </c>
      <c r="B2366" s="20" t="s">
        <v>16</v>
      </c>
      <c r="C2366" s="20" t="s">
        <v>7</v>
      </c>
      <c r="D2366" s="20" t="s">
        <v>8</v>
      </c>
      <c r="E2366" s="22">
        <v>159</v>
      </c>
      <c r="F2366" s="22">
        <v>2</v>
      </c>
      <c r="G2366" s="22">
        <v>10</v>
      </c>
      <c r="H2366" s="22"/>
      <c r="I2366" s="23" t="s">
        <v>9</v>
      </c>
      <c r="J2366" s="23"/>
      <c r="K2366" s="22"/>
      <c r="L2366" s="22"/>
      <c r="M2366" s="23"/>
      <c r="N2366" s="23"/>
      <c r="O2366" s="26" t="s">
        <v>1741</v>
      </c>
      <c r="P2366" s="26"/>
      <c r="Q2366" s="22"/>
      <c r="R2366" s="24"/>
      <c r="S2366" s="24"/>
      <c r="T2366" s="24"/>
      <c r="U2366" s="24"/>
      <c r="V2366" s="24"/>
      <c r="W2366" s="22" t="s">
        <v>230</v>
      </c>
      <c r="X2366" s="4" t="str">
        <f>IF(Tabela2[[#This Row],[sigla]]="","",VLOOKUP(Tabela2[[#This Row],[sigla]],créditos_base!B:C,2,0))</f>
        <v>RAFAEL L. GAION/ARQUIVO DA EDITORA</v>
      </c>
      <c r="Y2366" s="23"/>
      <c r="Z2366" s="23" t="str">
        <f>Tabela2[[#This Row],[ilustrador]]</f>
        <v>RAFAEL L. GAION/ARQUIVO DA EDITORA</v>
      </c>
      <c r="AA2366" s="22"/>
      <c r="AB2366" s="20"/>
      <c r="AD2366" s="4" t="str">
        <f>"Pitanguá"</f>
        <v>Pitanguá</v>
      </c>
      <c r="AE2366" s="14" t="str">
        <f>"Matemática"</f>
        <v>Matemática</v>
      </c>
      <c r="AF2366" s="14"/>
    </row>
    <row r="2367" spans="1:32" ht="57.6" x14ac:dyDescent="0.3">
      <c r="A2367" s="23" t="s">
        <v>2722</v>
      </c>
      <c r="B2367" s="20" t="s">
        <v>16</v>
      </c>
      <c r="C2367" s="20" t="s">
        <v>7</v>
      </c>
      <c r="D2367" s="20" t="s">
        <v>8</v>
      </c>
      <c r="E2367" s="22">
        <v>210</v>
      </c>
      <c r="F2367" s="22">
        <v>3</v>
      </c>
      <c r="G2367" s="22">
        <v>10</v>
      </c>
      <c r="H2367" s="22"/>
      <c r="I2367" s="23" t="s">
        <v>33</v>
      </c>
      <c r="J2367" s="23"/>
      <c r="K2367" s="22"/>
      <c r="L2367" s="22"/>
      <c r="M2367" s="23"/>
      <c r="N2367" s="23"/>
      <c r="O2367" s="26" t="s">
        <v>2723</v>
      </c>
      <c r="P2367" s="26"/>
      <c r="Q2367" s="22">
        <v>38</v>
      </c>
      <c r="R2367" s="24">
        <v>45776</v>
      </c>
      <c r="S2367" s="24">
        <v>45776</v>
      </c>
      <c r="T2367" s="24"/>
      <c r="U2367" s="24"/>
      <c r="V2367" s="24">
        <v>45782</v>
      </c>
      <c r="W2367" s="22" t="s">
        <v>151</v>
      </c>
      <c r="X2367" s="4" t="str">
        <f>IF(Tabela2[[#This Row],[sigla]]="","",VLOOKUP(Tabela2[[#This Row],[sigla]],créditos_base!B:C,2,0))</f>
        <v>ROGÉRIO CASAGRANDE/ARQUIVO DA EDITORA</v>
      </c>
      <c r="Y2367" s="23" t="s">
        <v>2713</v>
      </c>
      <c r="Z2367" s="23" t="s">
        <v>1327</v>
      </c>
      <c r="AA2367" s="22">
        <v>14</v>
      </c>
      <c r="AB2367" s="20" t="s">
        <v>244</v>
      </c>
      <c r="AC2367" s="20" t="s">
        <v>36</v>
      </c>
      <c r="AD2367" s="4" t="str">
        <f>"Pitanguá"</f>
        <v>Pitanguá</v>
      </c>
      <c r="AE2367" s="14" t="str">
        <f>"Matemática"</f>
        <v>Matemática</v>
      </c>
      <c r="AF2367" s="14"/>
    </row>
    <row r="2368" spans="1:32" ht="43.2" x14ac:dyDescent="0.3">
      <c r="A2368" s="23" t="s">
        <v>3519</v>
      </c>
      <c r="B2368" s="20" t="s">
        <v>16</v>
      </c>
      <c r="C2368" s="20" t="s">
        <v>7</v>
      </c>
      <c r="D2368" s="20" t="s">
        <v>8</v>
      </c>
      <c r="E2368" s="22">
        <v>215</v>
      </c>
      <c r="F2368" s="22">
        <v>4</v>
      </c>
      <c r="G2368" s="22">
        <v>10</v>
      </c>
      <c r="H2368" s="22"/>
      <c r="I2368" s="23" t="s">
        <v>9</v>
      </c>
      <c r="J2368" s="23"/>
      <c r="K2368" s="22"/>
      <c r="L2368" s="22"/>
      <c r="M2368" s="23"/>
      <c r="N2368" s="23"/>
      <c r="O2368" s="26" t="s">
        <v>3520</v>
      </c>
      <c r="P2368" s="26"/>
      <c r="Q2368" s="22"/>
      <c r="R2368" s="24"/>
      <c r="S2368" s="24"/>
      <c r="T2368" s="24"/>
      <c r="U2368" s="24"/>
      <c r="V2368" s="24"/>
      <c r="W2368" s="22" t="s">
        <v>3382</v>
      </c>
      <c r="X2368" s="4" t="str">
        <f>IF(Tabela2[[#This Row],[sigla]]="","",VLOOKUP(Tabela2[[#This Row],[sigla]],créditos_base!B:C,2,0))</f>
        <v>LEONARDO MARI/ARQUIVO DA EDITORA</v>
      </c>
      <c r="Y2368" s="23"/>
      <c r="Z2368" s="23" t="str">
        <f>Tabela2[[#This Row],[ilustrador]]</f>
        <v>LEONARDO MARI/ARQUIVO DA EDITORA</v>
      </c>
      <c r="AA2368" s="22"/>
      <c r="AB2368" s="20"/>
      <c r="AD2368" s="4" t="str">
        <f>"Pitanguá"</f>
        <v>Pitanguá</v>
      </c>
      <c r="AE2368" s="14" t="str">
        <f>"Matemática"</f>
        <v>Matemática</v>
      </c>
      <c r="AF2368" s="14"/>
    </row>
    <row r="2369" spans="1:32" ht="43.2" x14ac:dyDescent="0.3">
      <c r="A2369" s="23" t="s">
        <v>4362</v>
      </c>
      <c r="B2369" s="20" t="s">
        <v>16</v>
      </c>
      <c r="C2369" s="20" t="s">
        <v>89</v>
      </c>
      <c r="D2369" s="20" t="s">
        <v>8</v>
      </c>
      <c r="E2369" s="22">
        <v>240</v>
      </c>
      <c r="F2369" s="22">
        <v>5</v>
      </c>
      <c r="G2369" s="22">
        <v>10</v>
      </c>
      <c r="H2369" s="22"/>
      <c r="I2369" s="23" t="s">
        <v>9</v>
      </c>
      <c r="J2369" s="23"/>
      <c r="K2369" s="22"/>
      <c r="L2369" s="22"/>
      <c r="M2369" s="23"/>
      <c r="N2369" s="23"/>
      <c r="O2369" s="26" t="s">
        <v>4363</v>
      </c>
      <c r="P2369" s="26"/>
      <c r="Q2369" s="22"/>
      <c r="R2369" s="24"/>
      <c r="S2369" s="24"/>
      <c r="T2369" s="24"/>
      <c r="U2369" s="24"/>
      <c r="V2369" s="24"/>
      <c r="W2369" s="22" t="s">
        <v>940</v>
      </c>
      <c r="X2369" s="4" t="str">
        <f>IF(Tabela2[[#This Row],[sigla]]="","",VLOOKUP(Tabela2[[#This Row],[sigla]],créditos_base!B:C,2,0))</f>
        <v>RONALDO LUCENA/ARQUIVO DA EDITORA</v>
      </c>
      <c r="Y2369" s="23"/>
      <c r="Z2369" s="23" t="str">
        <f>Tabela2[[#This Row],[ilustrador]]</f>
        <v>RONALDO LUCENA/ARQUIVO DA EDITORA</v>
      </c>
      <c r="AA2369" s="22"/>
      <c r="AB2369" s="20"/>
      <c r="AD2369" s="4" t="str">
        <f>"Pitanguá"</f>
        <v>Pitanguá</v>
      </c>
      <c r="AE2369" s="14" t="str">
        <f>"Matemática"</f>
        <v>Matemática</v>
      </c>
      <c r="AF2369" s="14"/>
    </row>
    <row r="2370" spans="1:32" x14ac:dyDescent="0.3">
      <c r="A2370" s="23" t="s">
        <v>664</v>
      </c>
      <c r="B2370" s="20" t="s">
        <v>16</v>
      </c>
      <c r="C2370" s="20" t="s">
        <v>7</v>
      </c>
      <c r="D2370" s="20" t="s">
        <v>8</v>
      </c>
      <c r="E2370" s="22">
        <v>150</v>
      </c>
      <c r="F2370" s="22">
        <v>1</v>
      </c>
      <c r="G2370" s="22">
        <v>10</v>
      </c>
      <c r="H2370" s="22"/>
      <c r="I2370" s="23" t="s">
        <v>9</v>
      </c>
      <c r="J2370" s="23"/>
      <c r="K2370" s="22"/>
      <c r="L2370" s="22"/>
      <c r="M2370" s="23"/>
      <c r="N2370" s="23"/>
      <c r="O2370" s="26" t="s">
        <v>665</v>
      </c>
      <c r="P2370" s="26"/>
      <c r="Q2370" s="22"/>
      <c r="R2370" s="24"/>
      <c r="S2370" s="24"/>
      <c r="T2370" s="24"/>
      <c r="U2370" s="24"/>
      <c r="V2370" s="24"/>
      <c r="W2370" s="22" t="s">
        <v>468</v>
      </c>
      <c r="X2370" s="4" t="str">
        <f>IF(Tabela2[[#This Row],[sigla]]="","",VLOOKUP(Tabela2[[#This Row],[sigla]],créditos_base!B:C,2,0))</f>
        <v>VER DOCUMENTO DE ILS. TÉCNICAS</v>
      </c>
      <c r="Y2370" s="23"/>
      <c r="Z2370" s="23" t="s">
        <v>661</v>
      </c>
      <c r="AA2370" s="22"/>
      <c r="AB2370" s="20"/>
      <c r="AD2370" s="4" t="str">
        <f>"Pitanguá"</f>
        <v>Pitanguá</v>
      </c>
      <c r="AE2370" s="14" t="str">
        <f>"Matemática"</f>
        <v>Matemática</v>
      </c>
      <c r="AF2370" s="14"/>
    </row>
    <row r="2371" spans="1:32" x14ac:dyDescent="0.3">
      <c r="A2371" s="30" t="s">
        <v>1742</v>
      </c>
      <c r="B2371" s="20" t="s">
        <v>16</v>
      </c>
      <c r="C2371" s="20" t="s">
        <v>7</v>
      </c>
      <c r="D2371" s="20" t="s">
        <v>8</v>
      </c>
      <c r="E2371" s="22">
        <v>159</v>
      </c>
      <c r="F2371" s="22">
        <v>2</v>
      </c>
      <c r="G2371" s="22">
        <v>10</v>
      </c>
      <c r="H2371" s="22"/>
      <c r="I2371" s="23" t="s">
        <v>9</v>
      </c>
      <c r="J2371" s="23"/>
      <c r="K2371" s="22"/>
      <c r="L2371" s="22"/>
      <c r="M2371" s="23"/>
      <c r="N2371" s="23"/>
      <c r="O2371" s="26" t="s">
        <v>1743</v>
      </c>
      <c r="P2371" s="26"/>
      <c r="Q2371" s="22"/>
      <c r="R2371" s="24"/>
      <c r="S2371" s="24"/>
      <c r="T2371" s="24"/>
      <c r="U2371" s="24"/>
      <c r="V2371" s="24"/>
      <c r="W2371" s="22" t="s">
        <v>230</v>
      </c>
      <c r="X2371" s="4" t="str">
        <f>IF(Tabela2[[#This Row],[sigla]]="","",VLOOKUP(Tabela2[[#This Row],[sigla]],créditos_base!B:C,2,0))</f>
        <v>RAFAEL L. GAION/ARQUIVO DA EDITORA</v>
      </c>
      <c r="Y2371" s="23"/>
      <c r="Z2371" s="23" t="str">
        <f>Tabela2[[#This Row],[ilustrador]]</f>
        <v>RAFAEL L. GAION/ARQUIVO DA EDITORA</v>
      </c>
      <c r="AA2371" s="22"/>
      <c r="AB2371" s="20"/>
      <c r="AD2371" s="4" t="str">
        <f>"Pitanguá"</f>
        <v>Pitanguá</v>
      </c>
      <c r="AE2371" s="14" t="str">
        <f>"Matemática"</f>
        <v>Matemática</v>
      </c>
      <c r="AF2371" s="14"/>
    </row>
    <row r="2372" spans="1:32" ht="28.8" x14ac:dyDescent="0.3">
      <c r="A2372" s="23" t="s">
        <v>2724</v>
      </c>
      <c r="B2372" s="20" t="s">
        <v>16</v>
      </c>
      <c r="C2372" s="20" t="s">
        <v>7</v>
      </c>
      <c r="D2372" s="20" t="s">
        <v>8</v>
      </c>
      <c r="E2372" s="22">
        <v>210</v>
      </c>
      <c r="F2372" s="22">
        <v>3</v>
      </c>
      <c r="G2372" s="22">
        <v>10</v>
      </c>
      <c r="H2372" s="22"/>
      <c r="I2372" s="23" t="s">
        <v>9</v>
      </c>
      <c r="J2372" s="23"/>
      <c r="K2372" s="22"/>
      <c r="L2372" s="22"/>
      <c r="M2372" s="23"/>
      <c r="N2372" s="23"/>
      <c r="O2372" s="26" t="s">
        <v>2725</v>
      </c>
      <c r="P2372" s="26"/>
      <c r="Q2372" s="22"/>
      <c r="R2372" s="24"/>
      <c r="S2372" s="24"/>
      <c r="T2372" s="24"/>
      <c r="U2372" s="24"/>
      <c r="V2372" s="24"/>
      <c r="W2372" s="22" t="s">
        <v>151</v>
      </c>
      <c r="X2372" s="4" t="str">
        <f>IF(Tabela2[[#This Row],[sigla]]="","",VLOOKUP(Tabela2[[#This Row],[sigla]],créditos_base!B:C,2,0))</f>
        <v>ROGÉRIO CASAGRANDE/ARQUIVO DA EDITORA</v>
      </c>
      <c r="Y2372" s="23"/>
      <c r="Z2372" s="23" t="str">
        <f>Tabela2[[#This Row],[ilustrador]]</f>
        <v>ROGÉRIO CASAGRANDE/ARQUIVO DA EDITORA</v>
      </c>
      <c r="AA2372" s="22"/>
      <c r="AB2372" s="20"/>
      <c r="AD2372" s="4" t="str">
        <f>"Pitanguá"</f>
        <v>Pitanguá</v>
      </c>
      <c r="AE2372" s="14" t="str">
        <f>"Matemática"</f>
        <v>Matemática</v>
      </c>
      <c r="AF2372" s="14"/>
    </row>
    <row r="2373" spans="1:32" ht="86.4" x14ac:dyDescent="0.3">
      <c r="A2373" s="23" t="s">
        <v>3521</v>
      </c>
      <c r="B2373" s="20" t="s">
        <v>16</v>
      </c>
      <c r="C2373" s="20" t="s">
        <v>7</v>
      </c>
      <c r="D2373" s="20" t="s">
        <v>8</v>
      </c>
      <c r="E2373" s="22">
        <v>216</v>
      </c>
      <c r="F2373" s="22">
        <v>4</v>
      </c>
      <c r="G2373" s="22">
        <v>10</v>
      </c>
      <c r="H2373" s="22"/>
      <c r="I2373" s="23" t="s">
        <v>9</v>
      </c>
      <c r="J2373" s="23"/>
      <c r="K2373" s="22"/>
      <c r="L2373" s="22"/>
      <c r="M2373" s="23"/>
      <c r="N2373" s="23"/>
      <c r="O2373" s="26" t="s">
        <v>3522</v>
      </c>
      <c r="P2373" s="26"/>
      <c r="Q2373" s="22"/>
      <c r="R2373" s="24"/>
      <c r="S2373" s="24"/>
      <c r="T2373" s="24"/>
      <c r="U2373" s="24"/>
      <c r="V2373" s="24"/>
      <c r="W2373" s="22" t="s">
        <v>940</v>
      </c>
      <c r="X2373" s="4" t="str">
        <f>IF(Tabela2[[#This Row],[sigla]]="","",VLOOKUP(Tabela2[[#This Row],[sigla]],créditos_base!B:C,2,0))</f>
        <v>RONALDO LUCENA/ARQUIVO DA EDITORA</v>
      </c>
      <c r="Y2373" s="23"/>
      <c r="Z2373" s="23" t="s">
        <v>2264</v>
      </c>
      <c r="AA2373" s="22"/>
      <c r="AB2373" s="20"/>
      <c r="AD2373" s="4" t="str">
        <f>"Pitanguá"</f>
        <v>Pitanguá</v>
      </c>
      <c r="AE2373" s="14" t="str">
        <f>"Matemática"</f>
        <v>Matemática</v>
      </c>
      <c r="AF2373" s="14"/>
    </row>
    <row r="2374" spans="1:32" ht="28.8" x14ac:dyDescent="0.3">
      <c r="A2374" s="23" t="s">
        <v>4364</v>
      </c>
      <c r="B2374" s="20" t="s">
        <v>16</v>
      </c>
      <c r="C2374" s="20" t="s">
        <v>89</v>
      </c>
      <c r="D2374" s="20" t="s">
        <v>8</v>
      </c>
      <c r="E2374" s="22">
        <v>240</v>
      </c>
      <c r="F2374" s="22">
        <v>5</v>
      </c>
      <c r="G2374" s="22">
        <v>10</v>
      </c>
      <c r="H2374" s="22"/>
      <c r="I2374" s="23" t="s">
        <v>9</v>
      </c>
      <c r="J2374" s="23"/>
      <c r="K2374" s="22"/>
      <c r="L2374" s="22"/>
      <c r="M2374" s="23"/>
      <c r="N2374" s="23"/>
      <c r="O2374" s="26" t="s">
        <v>4365</v>
      </c>
      <c r="P2374" s="26"/>
      <c r="Q2374" s="22"/>
      <c r="R2374" s="24"/>
      <c r="S2374" s="24"/>
      <c r="T2374" s="24"/>
      <c r="U2374" s="24"/>
      <c r="V2374" s="24"/>
      <c r="W2374" s="22" t="s">
        <v>940</v>
      </c>
      <c r="X2374" s="4" t="str">
        <f>IF(Tabela2[[#This Row],[sigla]]="","",VLOOKUP(Tabela2[[#This Row],[sigla]],créditos_base!B:C,2,0))</f>
        <v>RONALDO LUCENA/ARQUIVO DA EDITORA</v>
      </c>
      <c r="Y2374" s="23"/>
      <c r="Z2374" s="23" t="str">
        <f>Tabela2[[#This Row],[ilustrador]]</f>
        <v>RONALDO LUCENA/ARQUIVO DA EDITORA</v>
      </c>
      <c r="AA2374" s="22"/>
      <c r="AB2374" s="20"/>
      <c r="AD2374" s="4" t="str">
        <f>"Pitanguá"</f>
        <v>Pitanguá</v>
      </c>
      <c r="AE2374" s="14" t="str">
        <f>"Matemática"</f>
        <v>Matemática</v>
      </c>
      <c r="AF2374" s="14"/>
    </row>
    <row r="2375" spans="1:32" ht="28.8" x14ac:dyDescent="0.3">
      <c r="A2375" s="23" t="s">
        <v>666</v>
      </c>
      <c r="B2375" s="20" t="s">
        <v>16</v>
      </c>
      <c r="C2375" s="20" t="s">
        <v>7</v>
      </c>
      <c r="D2375" s="20" t="s">
        <v>8</v>
      </c>
      <c r="E2375" s="22">
        <v>151</v>
      </c>
      <c r="F2375" s="22">
        <v>1</v>
      </c>
      <c r="G2375" s="22">
        <v>10</v>
      </c>
      <c r="H2375" s="22"/>
      <c r="I2375" s="23" t="s">
        <v>9</v>
      </c>
      <c r="J2375" s="23"/>
      <c r="K2375" s="22"/>
      <c r="L2375" s="22"/>
      <c r="M2375" s="23"/>
      <c r="N2375" s="23"/>
      <c r="O2375" s="26" t="s">
        <v>667</v>
      </c>
      <c r="P2375" s="26"/>
      <c r="Q2375" s="22"/>
      <c r="R2375" s="24"/>
      <c r="S2375" s="24"/>
      <c r="T2375" s="24"/>
      <c r="U2375" s="24"/>
      <c r="V2375" s="24"/>
      <c r="W2375" s="22" t="s">
        <v>468</v>
      </c>
      <c r="X2375" s="4" t="str">
        <f>IF(Tabela2[[#This Row],[sigla]]="","",VLOOKUP(Tabela2[[#This Row],[sigla]],créditos_base!B:C,2,0))</f>
        <v>VER DOCUMENTO DE ILS. TÉCNICAS</v>
      </c>
      <c r="Y2375" s="23"/>
      <c r="Z2375" s="23" t="s">
        <v>661</v>
      </c>
      <c r="AA2375" s="22"/>
      <c r="AB2375" s="20"/>
      <c r="AD2375" s="4" t="str">
        <f>"Pitanguá"</f>
        <v>Pitanguá</v>
      </c>
      <c r="AE2375" s="14" t="str">
        <f>"Matemática"</f>
        <v>Matemática</v>
      </c>
      <c r="AF2375" s="14"/>
    </row>
    <row r="2376" spans="1:32" x14ac:dyDescent="0.3">
      <c r="A2376" s="30" t="s">
        <v>1744</v>
      </c>
      <c r="B2376" s="20" t="s">
        <v>16</v>
      </c>
      <c r="C2376" s="20" t="s">
        <v>7</v>
      </c>
      <c r="D2376" s="20" t="s">
        <v>8</v>
      </c>
      <c r="E2376" s="22">
        <v>159</v>
      </c>
      <c r="F2376" s="22">
        <v>2</v>
      </c>
      <c r="G2376" s="22">
        <v>10</v>
      </c>
      <c r="H2376" s="22"/>
      <c r="I2376" s="23" t="s">
        <v>9</v>
      </c>
      <c r="J2376" s="23"/>
      <c r="K2376" s="22"/>
      <c r="L2376" s="22"/>
      <c r="M2376" s="23"/>
      <c r="N2376" s="23"/>
      <c r="O2376" s="26" t="s">
        <v>1745</v>
      </c>
      <c r="P2376" s="26"/>
      <c r="Q2376" s="22"/>
      <c r="R2376" s="24"/>
      <c r="S2376" s="24"/>
      <c r="T2376" s="24"/>
      <c r="U2376" s="24"/>
      <c r="V2376" s="24"/>
      <c r="W2376" s="22" t="s">
        <v>230</v>
      </c>
      <c r="X2376" s="4" t="str">
        <f>IF(Tabela2[[#This Row],[sigla]]="","",VLOOKUP(Tabela2[[#This Row],[sigla]],créditos_base!B:C,2,0))</f>
        <v>RAFAEL L. GAION/ARQUIVO DA EDITORA</v>
      </c>
      <c r="Y2376" s="23"/>
      <c r="Z2376" s="23" t="str">
        <f>Tabela2[[#This Row],[ilustrador]]</f>
        <v>RAFAEL L. GAION/ARQUIVO DA EDITORA</v>
      </c>
      <c r="AA2376" s="22"/>
      <c r="AB2376" s="20"/>
      <c r="AD2376" s="4" t="str">
        <f>"Pitanguá"</f>
        <v>Pitanguá</v>
      </c>
      <c r="AE2376" s="14" t="str">
        <f>"Matemática"</f>
        <v>Matemática</v>
      </c>
      <c r="AF2376" s="14"/>
    </row>
    <row r="2377" spans="1:32" x14ac:dyDescent="0.3">
      <c r="A2377" s="23" t="s">
        <v>3523</v>
      </c>
      <c r="B2377" s="20" t="s">
        <v>16</v>
      </c>
      <c r="C2377" s="20" t="s">
        <v>7</v>
      </c>
      <c r="D2377" s="20" t="s">
        <v>8</v>
      </c>
      <c r="E2377" s="22">
        <v>216</v>
      </c>
      <c r="F2377" s="22">
        <v>4</v>
      </c>
      <c r="G2377" s="22">
        <v>10</v>
      </c>
      <c r="H2377" s="22"/>
      <c r="I2377" s="23" t="s">
        <v>9</v>
      </c>
      <c r="J2377" s="23"/>
      <c r="K2377" s="22"/>
      <c r="L2377" s="22"/>
      <c r="M2377" s="23"/>
      <c r="N2377" s="23"/>
      <c r="O2377" s="26" t="s">
        <v>3524</v>
      </c>
      <c r="P2377" s="26"/>
      <c r="Q2377" s="22"/>
      <c r="R2377" s="24"/>
      <c r="S2377" s="24"/>
      <c r="T2377" s="24"/>
      <c r="U2377" s="24"/>
      <c r="V2377" s="24"/>
      <c r="W2377" s="22" t="s">
        <v>940</v>
      </c>
      <c r="X2377" s="4" t="str">
        <f>IF(Tabela2[[#This Row],[sigla]]="","",VLOOKUP(Tabela2[[#This Row],[sigla]],créditos_base!B:C,2,0))</f>
        <v>RONALDO LUCENA/ARQUIVO DA EDITORA</v>
      </c>
      <c r="Y2377" s="23"/>
      <c r="Z2377" s="23" t="s">
        <v>2264</v>
      </c>
      <c r="AA2377" s="22"/>
      <c r="AB2377" s="20"/>
      <c r="AD2377" s="4" t="str">
        <f>"Pitanguá"</f>
        <v>Pitanguá</v>
      </c>
      <c r="AE2377" s="14" t="str">
        <f>"Matemática"</f>
        <v>Matemática</v>
      </c>
      <c r="AF2377" s="14"/>
    </row>
    <row r="2378" spans="1:32" x14ac:dyDescent="0.3">
      <c r="A2378" s="23" t="s">
        <v>4366</v>
      </c>
      <c r="B2378" s="20" t="s">
        <v>16</v>
      </c>
      <c r="C2378" s="20" t="s">
        <v>89</v>
      </c>
      <c r="D2378" s="20" t="s">
        <v>8</v>
      </c>
      <c r="E2378" s="22">
        <v>240</v>
      </c>
      <c r="F2378" s="22">
        <v>5</v>
      </c>
      <c r="G2378" s="22">
        <v>10</v>
      </c>
      <c r="H2378" s="22"/>
      <c r="I2378" s="23" t="s">
        <v>9</v>
      </c>
      <c r="J2378" s="23"/>
      <c r="K2378" s="22"/>
      <c r="L2378" s="22"/>
      <c r="M2378" s="23"/>
      <c r="N2378" s="23"/>
      <c r="O2378" s="26" t="s">
        <v>4367</v>
      </c>
      <c r="P2378" s="26"/>
      <c r="Q2378" s="22"/>
      <c r="R2378" s="24"/>
      <c r="S2378" s="24"/>
      <c r="T2378" s="24"/>
      <c r="U2378" s="24"/>
      <c r="V2378" s="24"/>
      <c r="W2378" s="22" t="s">
        <v>940</v>
      </c>
      <c r="X2378" s="4" t="str">
        <f>IF(Tabela2[[#This Row],[sigla]]="","",VLOOKUP(Tabela2[[#This Row],[sigla]],créditos_base!B:C,2,0))</f>
        <v>RONALDO LUCENA/ARQUIVO DA EDITORA</v>
      </c>
      <c r="Y2378" s="23"/>
      <c r="Z2378" s="23" t="str">
        <f>Tabela2[[#This Row],[ilustrador]]</f>
        <v>RONALDO LUCENA/ARQUIVO DA EDITORA</v>
      </c>
      <c r="AA2378" s="22"/>
      <c r="AB2378" s="20"/>
      <c r="AD2378" s="4" t="str">
        <f>"Pitanguá"</f>
        <v>Pitanguá</v>
      </c>
      <c r="AE2378" s="14" t="str">
        <f>"Matemática"</f>
        <v>Matemática</v>
      </c>
      <c r="AF2378" s="14"/>
    </row>
    <row r="2379" spans="1:32" x14ac:dyDescent="0.3">
      <c r="A2379" s="23" t="s">
        <v>668</v>
      </c>
      <c r="B2379" s="20" t="s">
        <v>16</v>
      </c>
      <c r="C2379" s="20" t="s">
        <v>7</v>
      </c>
      <c r="D2379" s="20" t="s">
        <v>8</v>
      </c>
      <c r="E2379" s="22">
        <v>151</v>
      </c>
      <c r="F2379" s="22">
        <v>1</v>
      </c>
      <c r="G2379" s="22">
        <v>10</v>
      </c>
      <c r="H2379" s="22"/>
      <c r="I2379" s="23" t="s">
        <v>9</v>
      </c>
      <c r="J2379" s="23"/>
      <c r="K2379" s="22"/>
      <c r="L2379" s="22"/>
      <c r="M2379" s="23"/>
      <c r="N2379" s="23"/>
      <c r="O2379" s="26" t="s">
        <v>669</v>
      </c>
      <c r="P2379" s="26"/>
      <c r="Q2379" s="22"/>
      <c r="R2379" s="24"/>
      <c r="S2379" s="24"/>
      <c r="T2379" s="24"/>
      <c r="U2379" s="24"/>
      <c r="V2379" s="24"/>
      <c r="W2379" s="22" t="s">
        <v>468</v>
      </c>
      <c r="X2379" s="4" t="str">
        <f>IF(Tabela2[[#This Row],[sigla]]="","",VLOOKUP(Tabela2[[#This Row],[sigla]],créditos_base!B:C,2,0))</f>
        <v>VER DOCUMENTO DE ILS. TÉCNICAS</v>
      </c>
      <c r="Y2379" s="23"/>
      <c r="Z2379" s="23" t="s">
        <v>661</v>
      </c>
      <c r="AA2379" s="22"/>
      <c r="AB2379" s="20"/>
      <c r="AD2379" s="4" t="str">
        <f>"Pitanguá"</f>
        <v>Pitanguá</v>
      </c>
      <c r="AE2379" s="14" t="str">
        <f>"Matemática"</f>
        <v>Matemática</v>
      </c>
      <c r="AF2379" s="14"/>
    </row>
    <row r="2380" spans="1:32" x14ac:dyDescent="0.3">
      <c r="A2380" s="23" t="s">
        <v>2726</v>
      </c>
      <c r="B2380" s="20" t="s">
        <v>16</v>
      </c>
      <c r="C2380" s="20" t="s">
        <v>7</v>
      </c>
      <c r="D2380" s="20" t="s">
        <v>8</v>
      </c>
      <c r="E2380" s="22">
        <v>210</v>
      </c>
      <c r="F2380" s="22">
        <v>3</v>
      </c>
      <c r="G2380" s="22">
        <v>10</v>
      </c>
      <c r="H2380" s="22"/>
      <c r="I2380" s="23" t="s">
        <v>9</v>
      </c>
      <c r="J2380" s="23"/>
      <c r="K2380" s="22"/>
      <c r="L2380" s="22"/>
      <c r="M2380" s="23"/>
      <c r="N2380" s="23"/>
      <c r="O2380" s="26" t="s">
        <v>2727</v>
      </c>
      <c r="P2380" s="26"/>
      <c r="Q2380" s="22"/>
      <c r="R2380" s="24"/>
      <c r="S2380" s="24"/>
      <c r="T2380" s="24"/>
      <c r="U2380" s="24"/>
      <c r="V2380" s="24"/>
      <c r="W2380" s="22" t="s">
        <v>151</v>
      </c>
      <c r="X2380" s="4" t="str">
        <f>IF(Tabela2[[#This Row],[sigla]]="","",VLOOKUP(Tabela2[[#This Row],[sigla]],créditos_base!B:C,2,0))</f>
        <v>ROGÉRIO CASAGRANDE/ARQUIVO DA EDITORA</v>
      </c>
      <c r="Y2380" s="23"/>
      <c r="Z2380" s="23" t="str">
        <f>Tabela2[[#This Row],[ilustrador]]</f>
        <v>ROGÉRIO CASAGRANDE/ARQUIVO DA EDITORA</v>
      </c>
      <c r="AA2380" s="22"/>
      <c r="AB2380" s="20"/>
      <c r="AD2380" s="4" t="str">
        <f>"Pitanguá"</f>
        <v>Pitanguá</v>
      </c>
      <c r="AE2380" s="14" t="str">
        <f>"Matemática"</f>
        <v>Matemática</v>
      </c>
      <c r="AF2380" s="14"/>
    </row>
    <row r="2381" spans="1:32" x14ac:dyDescent="0.3">
      <c r="A2381" s="23" t="s">
        <v>3525</v>
      </c>
      <c r="B2381" s="20" t="s">
        <v>16</v>
      </c>
      <c r="C2381" s="20" t="s">
        <v>7</v>
      </c>
      <c r="D2381" s="20" t="s">
        <v>8</v>
      </c>
      <c r="E2381" s="22">
        <v>216</v>
      </c>
      <c r="F2381" s="22">
        <v>4</v>
      </c>
      <c r="G2381" s="22">
        <v>10</v>
      </c>
      <c r="H2381" s="22"/>
      <c r="I2381" s="23" t="s">
        <v>9</v>
      </c>
      <c r="J2381" s="23"/>
      <c r="K2381" s="22"/>
      <c r="L2381" s="22"/>
      <c r="M2381" s="23"/>
      <c r="N2381" s="23"/>
      <c r="O2381" s="20" t="s">
        <v>3526</v>
      </c>
      <c r="P2381" s="26"/>
      <c r="Q2381" s="22"/>
      <c r="R2381" s="24"/>
      <c r="S2381" s="24"/>
      <c r="T2381" s="24"/>
      <c r="U2381" s="24"/>
      <c r="V2381" s="24"/>
      <c r="W2381" s="22" t="s">
        <v>940</v>
      </c>
      <c r="X2381" s="4" t="str">
        <f>IF(Tabela2[[#This Row],[sigla]]="","",VLOOKUP(Tabela2[[#This Row],[sigla]],créditos_base!B:C,2,0))</f>
        <v>RONALDO LUCENA/ARQUIVO DA EDITORA</v>
      </c>
      <c r="Y2381" s="23"/>
      <c r="Z2381" s="23" t="s">
        <v>2264</v>
      </c>
      <c r="AA2381" s="22"/>
      <c r="AB2381" s="20"/>
      <c r="AD2381" s="4" t="str">
        <f>"Pitanguá"</f>
        <v>Pitanguá</v>
      </c>
      <c r="AE2381" s="14" t="str">
        <f>"Matemática"</f>
        <v>Matemática</v>
      </c>
      <c r="AF2381" s="14"/>
    </row>
    <row r="2382" spans="1:32" x14ac:dyDescent="0.3">
      <c r="A2382" s="23" t="s">
        <v>4368</v>
      </c>
      <c r="B2382" s="20" t="s">
        <v>16</v>
      </c>
      <c r="C2382" s="20" t="s">
        <v>89</v>
      </c>
      <c r="D2382" s="20" t="s">
        <v>8</v>
      </c>
      <c r="E2382" s="22">
        <v>240</v>
      </c>
      <c r="F2382" s="22">
        <v>5</v>
      </c>
      <c r="G2382" s="22">
        <v>10</v>
      </c>
      <c r="H2382" s="22"/>
      <c r="I2382" s="23" t="s">
        <v>9</v>
      </c>
      <c r="J2382" s="23"/>
      <c r="K2382" s="22"/>
      <c r="L2382" s="22"/>
      <c r="M2382" s="23"/>
      <c r="N2382" s="23"/>
      <c r="O2382" s="26" t="s">
        <v>4369</v>
      </c>
      <c r="P2382" s="26"/>
      <c r="Q2382" s="22"/>
      <c r="R2382" s="24"/>
      <c r="S2382" s="24"/>
      <c r="T2382" s="24"/>
      <c r="U2382" s="24"/>
      <c r="V2382" s="24"/>
      <c r="W2382" s="22" t="s">
        <v>940</v>
      </c>
      <c r="X2382" s="4" t="str">
        <f>IF(Tabela2[[#This Row],[sigla]]="","",VLOOKUP(Tabela2[[#This Row],[sigla]],créditos_base!B:C,2,0))</f>
        <v>RONALDO LUCENA/ARQUIVO DA EDITORA</v>
      </c>
      <c r="Y2382" s="23"/>
      <c r="Z2382" s="23" t="str">
        <f>Tabela2[[#This Row],[ilustrador]]</f>
        <v>RONALDO LUCENA/ARQUIVO DA EDITORA</v>
      </c>
      <c r="AA2382" s="22"/>
      <c r="AB2382" s="20"/>
      <c r="AD2382" s="4" t="str">
        <f>"Pitanguá"</f>
        <v>Pitanguá</v>
      </c>
      <c r="AE2382" s="14" t="str">
        <f>"Matemática"</f>
        <v>Matemática</v>
      </c>
      <c r="AF2382" s="14"/>
    </row>
    <row r="2383" spans="1:32" ht="43.2" x14ac:dyDescent="0.3">
      <c r="A2383" s="23" t="s">
        <v>670</v>
      </c>
      <c r="B2383" s="20" t="s">
        <v>16</v>
      </c>
      <c r="C2383" s="20" t="s">
        <v>7</v>
      </c>
      <c r="D2383" s="20" t="s">
        <v>8</v>
      </c>
      <c r="E2383" s="22">
        <v>151</v>
      </c>
      <c r="F2383" s="22">
        <v>1</v>
      </c>
      <c r="G2383" s="22">
        <v>10</v>
      </c>
      <c r="H2383" s="22"/>
      <c r="I2383" s="23" t="s">
        <v>9</v>
      </c>
      <c r="J2383" s="23"/>
      <c r="K2383" s="22"/>
      <c r="L2383" s="22"/>
      <c r="M2383" s="23"/>
      <c r="N2383" s="23"/>
      <c r="O2383" s="26" t="s">
        <v>671</v>
      </c>
      <c r="P2383" s="26"/>
      <c r="Q2383" s="22"/>
      <c r="R2383" s="24"/>
      <c r="S2383" s="24"/>
      <c r="T2383" s="24"/>
      <c r="U2383" s="24"/>
      <c r="V2383" s="24"/>
      <c r="W2383" s="22" t="s">
        <v>468</v>
      </c>
      <c r="X2383" s="4" t="str">
        <f>IF(Tabela2[[#This Row],[sigla]]="","",VLOOKUP(Tabela2[[#This Row],[sigla]],créditos_base!B:C,2,0))</f>
        <v>VER DOCUMENTO DE ILS. TÉCNICAS</v>
      </c>
      <c r="Y2383" s="23"/>
      <c r="Z2383" s="23" t="s">
        <v>661</v>
      </c>
      <c r="AA2383" s="22"/>
      <c r="AB2383" s="20"/>
      <c r="AD2383" s="4" t="str">
        <f>"Pitanguá"</f>
        <v>Pitanguá</v>
      </c>
      <c r="AE2383" s="14" t="str">
        <f>"Matemática"</f>
        <v>Matemática</v>
      </c>
      <c r="AF2383" s="14"/>
    </row>
    <row r="2384" spans="1:32" ht="43.2" x14ac:dyDescent="0.3">
      <c r="A2384" s="30" t="s">
        <v>1746</v>
      </c>
      <c r="B2384" s="20" t="s">
        <v>16</v>
      </c>
      <c r="C2384" s="20" t="s">
        <v>7</v>
      </c>
      <c r="D2384" s="20" t="s">
        <v>8</v>
      </c>
      <c r="E2384" s="22">
        <v>161</v>
      </c>
      <c r="F2384" s="22">
        <v>2</v>
      </c>
      <c r="G2384" s="22">
        <v>10</v>
      </c>
      <c r="H2384" s="22"/>
      <c r="I2384" s="23" t="s">
        <v>9</v>
      </c>
      <c r="J2384" s="23"/>
      <c r="K2384" s="22"/>
      <c r="L2384" s="22"/>
      <c r="M2384" s="23"/>
      <c r="N2384" s="23"/>
      <c r="O2384" s="26" t="s">
        <v>1747</v>
      </c>
      <c r="P2384" s="26"/>
      <c r="Q2384" s="22"/>
      <c r="R2384" s="24"/>
      <c r="S2384" s="24"/>
      <c r="T2384" s="24"/>
      <c r="U2384" s="24"/>
      <c r="V2384" s="24"/>
      <c r="W2384" s="22" t="s">
        <v>230</v>
      </c>
      <c r="X2384" s="4" t="str">
        <f>IF(Tabela2[[#This Row],[sigla]]="","",VLOOKUP(Tabela2[[#This Row],[sigla]],créditos_base!B:C,2,0))</f>
        <v>RAFAEL L. GAION/ARQUIVO DA EDITORA</v>
      </c>
      <c r="Y2384" s="23"/>
      <c r="Z2384" s="23" t="str">
        <f>Tabela2[[#This Row],[ilustrador]]</f>
        <v>RAFAEL L. GAION/ARQUIVO DA EDITORA</v>
      </c>
      <c r="AA2384" s="22"/>
      <c r="AB2384" s="20"/>
      <c r="AD2384" s="4" t="str">
        <f>"Pitanguá"</f>
        <v>Pitanguá</v>
      </c>
      <c r="AE2384" s="14" t="str">
        <f>"Matemática"</f>
        <v>Matemática</v>
      </c>
      <c r="AF2384" s="14"/>
    </row>
    <row r="2385" spans="1:32" ht="100.8" x14ac:dyDescent="0.3">
      <c r="A2385" s="23" t="s">
        <v>4370</v>
      </c>
      <c r="B2385" s="20" t="s">
        <v>16</v>
      </c>
      <c r="C2385" s="20" t="s">
        <v>89</v>
      </c>
      <c r="D2385" s="20" t="s">
        <v>8</v>
      </c>
      <c r="E2385" s="22">
        <v>240</v>
      </c>
      <c r="F2385" s="22">
        <v>5</v>
      </c>
      <c r="G2385" s="22">
        <v>10</v>
      </c>
      <c r="H2385" s="22"/>
      <c r="I2385" s="23" t="s">
        <v>9</v>
      </c>
      <c r="J2385" s="23"/>
      <c r="K2385" s="22"/>
      <c r="L2385" s="22"/>
      <c r="M2385" s="23"/>
      <c r="N2385" s="23"/>
      <c r="O2385" s="26" t="s">
        <v>4371</v>
      </c>
      <c r="P2385" s="26"/>
      <c r="Q2385" s="22"/>
      <c r="R2385" s="24"/>
      <c r="S2385" s="24"/>
      <c r="T2385" s="24"/>
      <c r="U2385" s="24"/>
      <c r="V2385" s="24"/>
      <c r="W2385" s="22" t="s">
        <v>940</v>
      </c>
      <c r="X2385" s="4" t="str">
        <f>IF(Tabela2[[#This Row],[sigla]]="","",VLOOKUP(Tabela2[[#This Row],[sigla]],créditos_base!B:C,2,0))</f>
        <v>RONALDO LUCENA/ARQUIVO DA EDITORA</v>
      </c>
      <c r="Y2385" s="23"/>
      <c r="Z2385" s="23" t="str">
        <f>Tabela2[[#This Row],[ilustrador]]</f>
        <v>RONALDO LUCENA/ARQUIVO DA EDITORA</v>
      </c>
      <c r="AA2385" s="22"/>
      <c r="AB2385" s="20"/>
      <c r="AD2385" s="4" t="str">
        <f>"Pitanguá"</f>
        <v>Pitanguá</v>
      </c>
      <c r="AE2385" s="14" t="str">
        <f>"Matemática"</f>
        <v>Matemática</v>
      </c>
      <c r="AF2385" s="14"/>
    </row>
    <row r="2386" spans="1:32" ht="43.2" x14ac:dyDescent="0.3">
      <c r="A2386" s="23" t="s">
        <v>672</v>
      </c>
      <c r="B2386" s="20" t="s">
        <v>16</v>
      </c>
      <c r="C2386" s="20" t="s">
        <v>7</v>
      </c>
      <c r="D2386" s="20" t="s">
        <v>8</v>
      </c>
      <c r="E2386" s="22">
        <v>151</v>
      </c>
      <c r="F2386" s="22">
        <v>1</v>
      </c>
      <c r="G2386" s="22">
        <v>10</v>
      </c>
      <c r="H2386" s="22"/>
      <c r="I2386" s="23" t="s">
        <v>9</v>
      </c>
      <c r="J2386" s="23"/>
      <c r="K2386" s="22"/>
      <c r="L2386" s="22"/>
      <c r="M2386" s="23"/>
      <c r="N2386" s="23"/>
      <c r="O2386" s="26" t="s">
        <v>673</v>
      </c>
      <c r="P2386" s="26"/>
      <c r="Q2386" s="22"/>
      <c r="R2386" s="24"/>
      <c r="S2386" s="24"/>
      <c r="T2386" s="24"/>
      <c r="U2386" s="24"/>
      <c r="V2386" s="24"/>
      <c r="W2386" s="22" t="s">
        <v>468</v>
      </c>
      <c r="X2386" s="4" t="str">
        <f>IF(Tabela2[[#This Row],[sigla]]="","",VLOOKUP(Tabela2[[#This Row],[sigla]],créditos_base!B:C,2,0))</f>
        <v>VER DOCUMENTO DE ILS. TÉCNICAS</v>
      </c>
      <c r="Y2386" s="23"/>
      <c r="Z2386" s="23" t="s">
        <v>661</v>
      </c>
      <c r="AA2386" s="22"/>
      <c r="AB2386" s="20"/>
      <c r="AD2386" s="4" t="str">
        <f>"Pitanguá"</f>
        <v>Pitanguá</v>
      </c>
      <c r="AE2386" s="14" t="str">
        <f>"Matemática"</f>
        <v>Matemática</v>
      </c>
      <c r="AF2386" s="14"/>
    </row>
    <row r="2387" spans="1:32" ht="144" x14ac:dyDescent="0.3">
      <c r="A2387" s="30" t="s">
        <v>1748</v>
      </c>
      <c r="B2387" s="20" t="s">
        <v>16</v>
      </c>
      <c r="C2387" s="20" t="s">
        <v>7</v>
      </c>
      <c r="D2387" s="20" t="s">
        <v>8</v>
      </c>
      <c r="E2387" s="22">
        <v>161</v>
      </c>
      <c r="F2387" s="22">
        <v>2</v>
      </c>
      <c r="G2387" s="22">
        <v>10</v>
      </c>
      <c r="H2387" s="22"/>
      <c r="I2387" s="23" t="s">
        <v>9</v>
      </c>
      <c r="J2387" s="23"/>
      <c r="K2387" s="22"/>
      <c r="L2387" s="22"/>
      <c r="M2387" s="23"/>
      <c r="N2387" s="23"/>
      <c r="O2387" s="26" t="s">
        <v>1749</v>
      </c>
      <c r="P2387" s="26"/>
      <c r="Q2387" s="22"/>
      <c r="R2387" s="24"/>
      <c r="S2387" s="24"/>
      <c r="T2387" s="24"/>
      <c r="U2387" s="24"/>
      <c r="V2387" s="24"/>
      <c r="W2387" s="22" t="s">
        <v>230</v>
      </c>
      <c r="X2387" s="4" t="str">
        <f>IF(Tabela2[[#This Row],[sigla]]="","",VLOOKUP(Tabela2[[#This Row],[sigla]],créditos_base!B:C,2,0))</f>
        <v>RAFAEL L. GAION/ARQUIVO DA EDITORA</v>
      </c>
      <c r="Y2387" s="23"/>
      <c r="Z2387" s="23" t="str">
        <f>Tabela2[[#This Row],[ilustrador]]</f>
        <v>RAFAEL L. GAION/ARQUIVO DA EDITORA</v>
      </c>
      <c r="AA2387" s="22"/>
      <c r="AB2387" s="20"/>
      <c r="AD2387" s="4" t="str">
        <f>"Pitanguá"</f>
        <v>Pitanguá</v>
      </c>
      <c r="AE2387" s="14" t="str">
        <f>"Matemática"</f>
        <v>Matemática</v>
      </c>
      <c r="AF2387" s="14"/>
    </row>
    <row r="2388" spans="1:32" ht="100.8" x14ac:dyDescent="0.3">
      <c r="A2388" s="23" t="s">
        <v>2728</v>
      </c>
      <c r="B2388" s="20" t="s">
        <v>16</v>
      </c>
      <c r="C2388" s="20" t="s">
        <v>7</v>
      </c>
      <c r="D2388" s="20" t="s">
        <v>8</v>
      </c>
      <c r="E2388" s="22">
        <v>210</v>
      </c>
      <c r="F2388" s="22">
        <v>3</v>
      </c>
      <c r="G2388" s="22">
        <v>10</v>
      </c>
      <c r="H2388" s="22"/>
      <c r="I2388" s="23" t="s">
        <v>33</v>
      </c>
      <c r="J2388" s="23"/>
      <c r="K2388" s="22"/>
      <c r="L2388" s="22"/>
      <c r="M2388" s="23"/>
      <c r="N2388" s="23"/>
      <c r="O2388" s="26" t="s">
        <v>2729</v>
      </c>
      <c r="P2388" s="26"/>
      <c r="Q2388" s="22">
        <v>38</v>
      </c>
      <c r="R2388" s="24">
        <v>45776</v>
      </c>
      <c r="S2388" s="24">
        <v>45776</v>
      </c>
      <c r="T2388" s="24"/>
      <c r="U2388" s="24"/>
      <c r="V2388" s="24">
        <v>45782</v>
      </c>
      <c r="W2388" s="22" t="s">
        <v>151</v>
      </c>
      <c r="X2388" s="4" t="str">
        <f>IF(Tabela2[[#This Row],[sigla]]="","",VLOOKUP(Tabela2[[#This Row],[sigla]],créditos_base!B:C,2,0))</f>
        <v>ROGÉRIO CASAGRANDE/ARQUIVO DA EDITORA</v>
      </c>
      <c r="Y2388" s="23" t="s">
        <v>2713</v>
      </c>
      <c r="Z2388" s="23" t="s">
        <v>1327</v>
      </c>
      <c r="AA2388" s="22">
        <v>14</v>
      </c>
      <c r="AB2388" s="20" t="s">
        <v>244</v>
      </c>
      <c r="AC2388" s="20" t="s">
        <v>36</v>
      </c>
      <c r="AD2388" s="4" t="str">
        <f>"Pitanguá"</f>
        <v>Pitanguá</v>
      </c>
      <c r="AE2388" s="14" t="str">
        <f>"Matemática"</f>
        <v>Matemática</v>
      </c>
      <c r="AF2388" s="14"/>
    </row>
    <row r="2389" spans="1:32" ht="158.4" x14ac:dyDescent="0.3">
      <c r="A2389" s="23" t="s">
        <v>3527</v>
      </c>
      <c r="B2389" s="20" t="s">
        <v>16</v>
      </c>
      <c r="C2389" s="20" t="s">
        <v>7</v>
      </c>
      <c r="D2389" s="20" t="s">
        <v>8</v>
      </c>
      <c r="E2389" s="22">
        <v>216</v>
      </c>
      <c r="F2389" s="22">
        <v>4</v>
      </c>
      <c r="G2389" s="22">
        <v>10</v>
      </c>
      <c r="H2389" s="22"/>
      <c r="I2389" s="23" t="s">
        <v>33</v>
      </c>
      <c r="J2389" s="23"/>
      <c r="K2389" s="22"/>
      <c r="L2389" s="22"/>
      <c r="M2389" s="23"/>
      <c r="N2389" s="23"/>
      <c r="O2389" s="26" t="s">
        <v>3528</v>
      </c>
      <c r="P2389" s="26"/>
      <c r="Q2389" s="22">
        <v>51</v>
      </c>
      <c r="R2389" s="24">
        <v>45802</v>
      </c>
      <c r="S2389" s="24">
        <v>45810</v>
      </c>
      <c r="T2389" s="24"/>
      <c r="U2389" s="24"/>
      <c r="V2389" s="24">
        <v>45810</v>
      </c>
      <c r="W2389" s="22" t="s">
        <v>468</v>
      </c>
      <c r="X2389" s="4" t="str">
        <f>IF(Tabela2[[#This Row],[sigla]]="","",VLOOKUP(Tabela2[[#This Row],[sigla]],créditos_base!B:C,2,0))</f>
        <v>VER DOCUMENTO DE ILS. TÉCNICAS</v>
      </c>
      <c r="Y2389" s="23" t="s">
        <v>1503</v>
      </c>
      <c r="Z2389" s="23" t="s">
        <v>3529</v>
      </c>
      <c r="AA2389" s="22"/>
      <c r="AB2389" s="20" t="s">
        <v>41</v>
      </c>
      <c r="AC2389" s="20" t="s">
        <v>36</v>
      </c>
      <c r="AD2389" s="4" t="str">
        <f>"Pitanguá"</f>
        <v>Pitanguá</v>
      </c>
      <c r="AE2389" s="14" t="str">
        <f>"Matemática"</f>
        <v>Matemática</v>
      </c>
      <c r="AF2389" s="14"/>
    </row>
    <row r="2390" spans="1:32" x14ac:dyDescent="0.3">
      <c r="A2390" s="23" t="s">
        <v>4372</v>
      </c>
      <c r="B2390" s="20" t="s">
        <v>16</v>
      </c>
      <c r="C2390" s="20" t="s">
        <v>89</v>
      </c>
      <c r="D2390" s="20" t="s">
        <v>8</v>
      </c>
      <c r="E2390" s="22">
        <v>240</v>
      </c>
      <c r="F2390" s="22">
        <v>5</v>
      </c>
      <c r="G2390" s="22">
        <v>10</v>
      </c>
      <c r="H2390" s="22"/>
      <c r="I2390" s="23" t="s">
        <v>9</v>
      </c>
      <c r="J2390" s="23"/>
      <c r="K2390" s="22"/>
      <c r="L2390" s="22"/>
      <c r="M2390" s="23"/>
      <c r="N2390" s="23"/>
      <c r="O2390" s="26" t="s">
        <v>4373</v>
      </c>
      <c r="P2390" s="26"/>
      <c r="Q2390" s="22"/>
      <c r="R2390" s="24"/>
      <c r="S2390" s="24"/>
      <c r="T2390" s="24"/>
      <c r="U2390" s="24"/>
      <c r="V2390" s="24"/>
      <c r="W2390" s="22" t="s">
        <v>940</v>
      </c>
      <c r="X2390" s="4" t="str">
        <f>IF(Tabela2[[#This Row],[sigla]]="","",VLOOKUP(Tabela2[[#This Row],[sigla]],créditos_base!B:C,2,0))</f>
        <v>RONALDO LUCENA/ARQUIVO DA EDITORA</v>
      </c>
      <c r="Y2390" s="23"/>
      <c r="Z2390" s="23" t="str">
        <f>Tabela2[[#This Row],[ilustrador]]</f>
        <v>RONALDO LUCENA/ARQUIVO DA EDITORA</v>
      </c>
      <c r="AA2390" s="22"/>
      <c r="AB2390" s="20"/>
      <c r="AD2390" s="4" t="str">
        <f>"Pitanguá"</f>
        <v>Pitanguá</v>
      </c>
      <c r="AE2390" s="14" t="str">
        <f>"Matemática"</f>
        <v>Matemática</v>
      </c>
      <c r="AF2390" s="14"/>
    </row>
    <row r="2391" spans="1:32" ht="43.2" x14ac:dyDescent="0.3">
      <c r="A2391" s="23" t="s">
        <v>674</v>
      </c>
      <c r="B2391" s="20" t="s">
        <v>16</v>
      </c>
      <c r="C2391" s="20" t="s">
        <v>7</v>
      </c>
      <c r="D2391" s="20" t="s">
        <v>8</v>
      </c>
      <c r="E2391" s="22">
        <v>151</v>
      </c>
      <c r="F2391" s="22">
        <v>1</v>
      </c>
      <c r="G2391" s="22">
        <v>10</v>
      </c>
      <c r="H2391" s="22"/>
      <c r="I2391" s="23" t="s">
        <v>9</v>
      </c>
      <c r="J2391" s="23"/>
      <c r="K2391" s="22"/>
      <c r="L2391" s="22"/>
      <c r="M2391" s="23"/>
      <c r="N2391" s="23"/>
      <c r="O2391" s="26" t="s">
        <v>675</v>
      </c>
      <c r="P2391" s="26"/>
      <c r="Q2391" s="22"/>
      <c r="R2391" s="24"/>
      <c r="S2391" s="24"/>
      <c r="T2391" s="24"/>
      <c r="U2391" s="24"/>
      <c r="V2391" s="24"/>
      <c r="W2391" s="22" t="s">
        <v>468</v>
      </c>
      <c r="X2391" s="4" t="str">
        <f>IF(Tabela2[[#This Row],[sigla]]="","",VLOOKUP(Tabela2[[#This Row],[sigla]],créditos_base!B:C,2,0))</f>
        <v>VER DOCUMENTO DE ILS. TÉCNICAS</v>
      </c>
      <c r="Y2391" s="23"/>
      <c r="Z2391" s="23" t="s">
        <v>661</v>
      </c>
      <c r="AA2391" s="22"/>
      <c r="AB2391" s="20"/>
      <c r="AD2391" s="4" t="str">
        <f>"Pitanguá"</f>
        <v>Pitanguá</v>
      </c>
      <c r="AE2391" s="14" t="str">
        <f>"Matemática"</f>
        <v>Matemática</v>
      </c>
      <c r="AF2391" s="14"/>
    </row>
    <row r="2392" spans="1:32" ht="43.2" x14ac:dyDescent="0.3">
      <c r="A2392" s="30" t="s">
        <v>1750</v>
      </c>
      <c r="B2392" s="20" t="s">
        <v>16</v>
      </c>
      <c r="C2392" s="20" t="s">
        <v>7</v>
      </c>
      <c r="D2392" s="20" t="s">
        <v>8</v>
      </c>
      <c r="E2392" s="22">
        <v>234</v>
      </c>
      <c r="F2392" s="22">
        <v>2</v>
      </c>
      <c r="G2392" s="22">
        <v>10</v>
      </c>
      <c r="H2392" s="22"/>
      <c r="I2392" s="23" t="s">
        <v>33</v>
      </c>
      <c r="J2392" s="23"/>
      <c r="K2392" s="22"/>
      <c r="L2392" s="22"/>
      <c r="M2392" s="23"/>
      <c r="N2392" s="23"/>
      <c r="O2392" s="26" t="s">
        <v>1751</v>
      </c>
      <c r="P2392" s="26"/>
      <c r="Q2392" s="22">
        <v>56</v>
      </c>
      <c r="R2392" s="24">
        <v>45805</v>
      </c>
      <c r="S2392" s="24">
        <v>45805</v>
      </c>
      <c r="T2392" s="24"/>
      <c r="U2392" s="24"/>
      <c r="V2392" s="24">
        <v>45806</v>
      </c>
      <c r="W2392" s="22" t="s">
        <v>12</v>
      </c>
      <c r="X2392" s="4" t="str">
        <f>IF(Tabela2[[#This Row],[sigla]]="","",VLOOKUP(Tabela2[[#This Row],[sigla]],créditos_base!B:C,2,0))</f>
        <v>JORGE ZAIBA/ARQUIVO DA EDITORA</v>
      </c>
      <c r="Y2392" s="23" t="s">
        <v>188</v>
      </c>
      <c r="Z2392" s="23" t="str">
        <f>Tabela2[[#This Row],[ilustrador]]</f>
        <v>JORGE ZAIBA/ARQUIVO DA EDITORA</v>
      </c>
      <c r="AA2392" s="22">
        <v>14</v>
      </c>
      <c r="AB2392" s="20" t="s">
        <v>1752</v>
      </c>
      <c r="AC2392" s="20" t="s">
        <v>36</v>
      </c>
      <c r="AD2392" s="4" t="str">
        <f>"Pitanguá"</f>
        <v>Pitanguá</v>
      </c>
      <c r="AE2392" s="14" t="str">
        <f>"Matemática"</f>
        <v>Matemática</v>
      </c>
      <c r="AF2392" s="14"/>
    </row>
    <row r="2393" spans="1:32" ht="43.2" x14ac:dyDescent="0.3">
      <c r="A2393" s="23" t="s">
        <v>2730</v>
      </c>
      <c r="B2393" s="20" t="s">
        <v>16</v>
      </c>
      <c r="C2393" s="20" t="s">
        <v>7</v>
      </c>
      <c r="D2393" s="20" t="s">
        <v>8</v>
      </c>
      <c r="E2393" s="22">
        <v>211</v>
      </c>
      <c r="F2393" s="22">
        <v>3</v>
      </c>
      <c r="G2393" s="22">
        <v>10</v>
      </c>
      <c r="H2393" s="22"/>
      <c r="I2393" s="23" t="s">
        <v>9</v>
      </c>
      <c r="J2393" s="23"/>
      <c r="K2393" s="22"/>
      <c r="L2393" s="22"/>
      <c r="M2393" s="23"/>
      <c r="N2393" s="23"/>
      <c r="O2393" s="26" t="s">
        <v>2731</v>
      </c>
      <c r="P2393" s="26"/>
      <c r="Q2393" s="22"/>
      <c r="R2393" s="24"/>
      <c r="S2393" s="24"/>
      <c r="T2393" s="24"/>
      <c r="U2393" s="24"/>
      <c r="V2393" s="24">
        <v>45782</v>
      </c>
      <c r="W2393" s="22" t="s">
        <v>151</v>
      </c>
      <c r="X2393" s="4" t="str">
        <f>IF(Tabela2[[#This Row],[sigla]]="","",VLOOKUP(Tabela2[[#This Row],[sigla]],créditos_base!B:C,2,0))</f>
        <v>ROGÉRIO CASAGRANDE/ARQUIVO DA EDITORA</v>
      </c>
      <c r="Y2393" s="23" t="s">
        <v>2713</v>
      </c>
      <c r="Z2393" s="23" t="s">
        <v>2732</v>
      </c>
      <c r="AA2393" s="22">
        <v>14</v>
      </c>
      <c r="AB2393" s="20" t="s">
        <v>244</v>
      </c>
      <c r="AD2393" s="4" t="str">
        <f>"Pitanguá"</f>
        <v>Pitanguá</v>
      </c>
      <c r="AE2393" s="14" t="str">
        <f>"Matemática"</f>
        <v>Matemática</v>
      </c>
      <c r="AF2393" s="14"/>
    </row>
    <row r="2394" spans="1:32" ht="100.8" x14ac:dyDescent="0.3">
      <c r="A2394" s="23" t="s">
        <v>4374</v>
      </c>
      <c r="B2394" s="20" t="s">
        <v>16</v>
      </c>
      <c r="C2394" s="20" t="s">
        <v>89</v>
      </c>
      <c r="D2394" s="20" t="s">
        <v>8</v>
      </c>
      <c r="E2394" s="22">
        <v>240</v>
      </c>
      <c r="F2394" s="22">
        <v>5</v>
      </c>
      <c r="G2394" s="22">
        <v>10</v>
      </c>
      <c r="H2394" s="22"/>
      <c r="I2394" s="23" t="s">
        <v>9</v>
      </c>
      <c r="J2394" s="23"/>
      <c r="K2394" s="22"/>
      <c r="L2394" s="22"/>
      <c r="M2394" s="23"/>
      <c r="N2394" s="23"/>
      <c r="O2394" s="26" t="s">
        <v>4375</v>
      </c>
      <c r="P2394" s="26"/>
      <c r="Q2394" s="22"/>
      <c r="R2394" s="24"/>
      <c r="S2394" s="24"/>
      <c r="T2394" s="24"/>
      <c r="U2394" s="24"/>
      <c r="V2394" s="24"/>
      <c r="W2394" s="22" t="s">
        <v>940</v>
      </c>
      <c r="X2394" s="4" t="str">
        <f>IF(Tabela2[[#This Row],[sigla]]="","",VLOOKUP(Tabela2[[#This Row],[sigla]],créditos_base!B:C,2,0))</f>
        <v>RONALDO LUCENA/ARQUIVO DA EDITORA</v>
      </c>
      <c r="Y2394" s="23"/>
      <c r="Z2394" s="23" t="str">
        <f>Tabela2[[#This Row],[ilustrador]]</f>
        <v>RONALDO LUCENA/ARQUIVO DA EDITORA</v>
      </c>
      <c r="AA2394" s="22"/>
      <c r="AB2394" s="20"/>
      <c r="AD2394" s="4" t="str">
        <f>"Pitanguá"</f>
        <v>Pitanguá</v>
      </c>
      <c r="AE2394" s="14" t="str">
        <f>"Matemática"</f>
        <v>Matemática</v>
      </c>
      <c r="AF2394" s="14"/>
    </row>
    <row r="2395" spans="1:32" ht="72" x14ac:dyDescent="0.3">
      <c r="A2395" s="23" t="s">
        <v>676</v>
      </c>
      <c r="B2395" s="20" t="s">
        <v>16</v>
      </c>
      <c r="C2395" s="20" t="s">
        <v>7</v>
      </c>
      <c r="D2395" s="20" t="s">
        <v>8</v>
      </c>
      <c r="E2395" s="22">
        <v>151</v>
      </c>
      <c r="F2395" s="22">
        <v>1</v>
      </c>
      <c r="G2395" s="22">
        <v>10</v>
      </c>
      <c r="H2395" s="22"/>
      <c r="I2395" s="23" t="s">
        <v>9</v>
      </c>
      <c r="J2395" s="23"/>
      <c r="K2395" s="22"/>
      <c r="L2395" s="22"/>
      <c r="M2395" s="23"/>
      <c r="N2395" s="23"/>
      <c r="O2395" s="26" t="s">
        <v>677</v>
      </c>
      <c r="P2395" s="26"/>
      <c r="Q2395" s="22"/>
      <c r="R2395" s="24"/>
      <c r="S2395" s="24"/>
      <c r="T2395" s="24"/>
      <c r="U2395" s="24"/>
      <c r="V2395" s="24"/>
      <c r="W2395" s="22" t="s">
        <v>468</v>
      </c>
      <c r="X2395" s="4" t="str">
        <f>IF(Tabela2[[#This Row],[sigla]]="","",VLOOKUP(Tabela2[[#This Row],[sigla]],créditos_base!B:C,2,0))</f>
        <v>VER DOCUMENTO DE ILS. TÉCNICAS</v>
      </c>
      <c r="Y2395" s="23"/>
      <c r="Z2395" s="23" t="s">
        <v>661</v>
      </c>
      <c r="AA2395" s="22"/>
      <c r="AB2395" s="20"/>
      <c r="AD2395" s="4" t="str">
        <f>"Pitanguá"</f>
        <v>Pitanguá</v>
      </c>
      <c r="AE2395" s="14" t="str">
        <f>"Matemática"</f>
        <v>Matemática</v>
      </c>
      <c r="AF2395" s="14"/>
    </row>
    <row r="2396" spans="1:32" ht="57.6" x14ac:dyDescent="0.3">
      <c r="A2396" s="30" t="s">
        <v>1753</v>
      </c>
      <c r="B2396" s="20" t="s">
        <v>522</v>
      </c>
      <c r="C2396" s="20" t="s">
        <v>7</v>
      </c>
      <c r="D2396" s="20" t="s">
        <v>8</v>
      </c>
      <c r="E2396" s="22">
        <v>164</v>
      </c>
      <c r="F2396" s="22">
        <v>2</v>
      </c>
      <c r="G2396" s="22">
        <v>10</v>
      </c>
      <c r="H2396" s="22"/>
      <c r="I2396" s="23" t="s">
        <v>9</v>
      </c>
      <c r="J2396" s="23"/>
      <c r="K2396" s="22"/>
      <c r="L2396" s="22"/>
      <c r="M2396" s="23"/>
      <c r="N2396" s="23"/>
      <c r="O2396" s="26" t="s">
        <v>1754</v>
      </c>
      <c r="P2396" s="26"/>
      <c r="Q2396" s="22">
        <v>210</v>
      </c>
      <c r="R2396" s="24">
        <v>45927</v>
      </c>
      <c r="S2396" s="24">
        <v>45927</v>
      </c>
      <c r="T2396" s="24"/>
      <c r="U2396" s="24"/>
      <c r="V2396" s="24">
        <v>45929</v>
      </c>
      <c r="W2396" s="22" t="s">
        <v>12</v>
      </c>
      <c r="X2396" s="4" t="str">
        <f>IF(Tabela2[[#This Row],[sigla]]="","",VLOOKUP(Tabela2[[#This Row],[sigla]],créditos_base!B:C,2,0))</f>
        <v>JORGE ZAIBA/ARQUIVO DA EDITORA</v>
      </c>
      <c r="Y2396" s="23" t="s">
        <v>696</v>
      </c>
      <c r="Z2396" s="23" t="str">
        <f>Tabela2[[#This Row],[ilustrador]]</f>
        <v>JORGE ZAIBA/ARQUIVO DA EDITORA</v>
      </c>
      <c r="AA2396" s="22">
        <v>13</v>
      </c>
      <c r="AB2396" s="20" t="s">
        <v>41</v>
      </c>
      <c r="AD2396" s="4" t="str">
        <f>"Pitanguá"</f>
        <v>Pitanguá</v>
      </c>
      <c r="AE2396" s="14" t="str">
        <f>"Matemática"</f>
        <v>Matemática</v>
      </c>
      <c r="AF2396" s="14"/>
    </row>
    <row r="2397" spans="1:32" ht="43.2" x14ac:dyDescent="0.3">
      <c r="A2397" s="23" t="s">
        <v>4376</v>
      </c>
      <c r="B2397" s="20" t="s">
        <v>16</v>
      </c>
      <c r="C2397" s="20" t="s">
        <v>89</v>
      </c>
      <c r="D2397" s="20" t="s">
        <v>8</v>
      </c>
      <c r="E2397" s="22">
        <v>241</v>
      </c>
      <c r="F2397" s="22">
        <v>5</v>
      </c>
      <c r="G2397" s="22">
        <v>10</v>
      </c>
      <c r="H2397" s="22"/>
      <c r="I2397" s="23" t="s">
        <v>9</v>
      </c>
      <c r="J2397" s="23"/>
      <c r="K2397" s="22"/>
      <c r="L2397" s="22"/>
      <c r="M2397" s="23"/>
      <c r="N2397" s="23"/>
      <c r="O2397" s="26" t="s">
        <v>4377</v>
      </c>
      <c r="P2397" s="26"/>
      <c r="Q2397" s="22"/>
      <c r="R2397" s="24"/>
      <c r="S2397" s="24"/>
      <c r="T2397" s="24"/>
      <c r="U2397" s="24"/>
      <c r="V2397" s="24"/>
      <c r="W2397" s="22" t="s">
        <v>940</v>
      </c>
      <c r="X2397" s="4" t="str">
        <f>IF(Tabela2[[#This Row],[sigla]]="","",VLOOKUP(Tabela2[[#This Row],[sigla]],créditos_base!B:C,2,0))</f>
        <v>RONALDO LUCENA/ARQUIVO DA EDITORA</v>
      </c>
      <c r="Y2397" s="23"/>
      <c r="Z2397" s="23" t="str">
        <f>Tabela2[[#This Row],[ilustrador]]</f>
        <v>RONALDO LUCENA/ARQUIVO DA EDITORA</v>
      </c>
      <c r="AA2397" s="22"/>
      <c r="AB2397" s="20"/>
      <c r="AD2397" s="4" t="str">
        <f>"Pitanguá"</f>
        <v>Pitanguá</v>
      </c>
      <c r="AE2397" s="14" t="str">
        <f>"Matemática"</f>
        <v>Matemática</v>
      </c>
      <c r="AF2397" s="14"/>
    </row>
    <row r="2398" spans="1:32" ht="43.2" x14ac:dyDescent="0.3">
      <c r="A2398" s="23" t="s">
        <v>678</v>
      </c>
      <c r="B2398" s="20" t="s">
        <v>16</v>
      </c>
      <c r="C2398" s="20" t="s">
        <v>7</v>
      </c>
      <c r="D2398" s="20" t="s">
        <v>8</v>
      </c>
      <c r="E2398" s="22">
        <v>151</v>
      </c>
      <c r="F2398" s="22">
        <v>1</v>
      </c>
      <c r="G2398" s="22">
        <v>10</v>
      </c>
      <c r="H2398" s="22"/>
      <c r="I2398" s="23" t="s">
        <v>9</v>
      </c>
      <c r="J2398" s="23"/>
      <c r="K2398" s="22"/>
      <c r="L2398" s="22"/>
      <c r="M2398" s="23"/>
      <c r="N2398" s="23"/>
      <c r="O2398" s="26" t="s">
        <v>679</v>
      </c>
      <c r="P2398" s="26"/>
      <c r="Q2398" s="22"/>
      <c r="R2398" s="24"/>
      <c r="S2398" s="24"/>
      <c r="T2398" s="24"/>
      <c r="U2398" s="24"/>
      <c r="V2398" s="24"/>
      <c r="W2398" s="22" t="s">
        <v>468</v>
      </c>
      <c r="X2398" s="4" t="str">
        <f>IF(Tabela2[[#This Row],[sigla]]="","",VLOOKUP(Tabela2[[#This Row],[sigla]],créditos_base!B:C,2,0))</f>
        <v>VER DOCUMENTO DE ILS. TÉCNICAS</v>
      </c>
      <c r="Y2398" s="23"/>
      <c r="Z2398" s="23" t="s">
        <v>661</v>
      </c>
      <c r="AA2398" s="22"/>
      <c r="AB2398" s="20"/>
      <c r="AD2398" s="4" t="str">
        <f>"Pitanguá"</f>
        <v>Pitanguá</v>
      </c>
      <c r="AE2398" s="14" t="str">
        <f>"Matemática"</f>
        <v>Matemática</v>
      </c>
      <c r="AF2398" s="14"/>
    </row>
    <row r="2399" spans="1:32" ht="43.2" x14ac:dyDescent="0.3">
      <c r="A2399" s="30" t="s">
        <v>1755</v>
      </c>
      <c r="B2399" s="20" t="s">
        <v>16</v>
      </c>
      <c r="C2399" s="20" t="s">
        <v>7</v>
      </c>
      <c r="D2399" s="20" t="s">
        <v>8</v>
      </c>
      <c r="E2399" s="22">
        <v>166</v>
      </c>
      <c r="F2399" s="22">
        <v>2</v>
      </c>
      <c r="G2399" s="22">
        <v>10</v>
      </c>
      <c r="H2399" s="22"/>
      <c r="I2399" s="23" t="s">
        <v>9</v>
      </c>
      <c r="J2399" s="23"/>
      <c r="K2399" s="22"/>
      <c r="L2399" s="22"/>
      <c r="M2399" s="23"/>
      <c r="N2399" s="23"/>
      <c r="O2399" s="26" t="s">
        <v>1756</v>
      </c>
      <c r="P2399" s="26"/>
      <c r="Q2399" s="22"/>
      <c r="R2399" s="24"/>
      <c r="S2399" s="24"/>
      <c r="T2399" s="24"/>
      <c r="U2399" s="24"/>
      <c r="V2399" s="24"/>
      <c r="W2399" s="22" t="s">
        <v>31</v>
      </c>
      <c r="X2399" s="4" t="str">
        <f>IF(Tabela2[[#This Row],[sigla]]="","",VLOOKUP(Tabela2[[#This Row],[sigla]],créditos_base!B:C,2,0))</f>
        <v>SILVIA OTOFUJI/ARQUIVO DA EDITORA</v>
      </c>
      <c r="Y2399" s="23"/>
      <c r="Z2399" s="23" t="str">
        <f>Tabela2[[#This Row],[ilustrador]]</f>
        <v>SILVIA OTOFUJI/ARQUIVO DA EDITORA</v>
      </c>
      <c r="AA2399" s="22"/>
      <c r="AB2399" s="20"/>
      <c r="AD2399" s="4" t="str">
        <f>"Pitanguá"</f>
        <v>Pitanguá</v>
      </c>
      <c r="AE2399" s="14" t="str">
        <f>"Matemática"</f>
        <v>Matemática</v>
      </c>
      <c r="AF2399" s="14"/>
    </row>
    <row r="2400" spans="1:32" ht="43.2" x14ac:dyDescent="0.3">
      <c r="A2400" s="23" t="s">
        <v>4378</v>
      </c>
      <c r="B2400" s="20" t="s">
        <v>16</v>
      </c>
      <c r="C2400" s="20" t="s">
        <v>89</v>
      </c>
      <c r="D2400" s="20" t="s">
        <v>8</v>
      </c>
      <c r="E2400" s="22">
        <v>241</v>
      </c>
      <c r="F2400" s="22">
        <v>5</v>
      </c>
      <c r="G2400" s="22">
        <v>10</v>
      </c>
      <c r="H2400" s="22"/>
      <c r="I2400" s="23" t="s">
        <v>9</v>
      </c>
      <c r="J2400" s="23"/>
      <c r="K2400" s="22"/>
      <c r="L2400" s="22"/>
      <c r="M2400" s="23"/>
      <c r="N2400" s="23"/>
      <c r="O2400" s="26" t="s">
        <v>4379</v>
      </c>
      <c r="P2400" s="26"/>
      <c r="Q2400" s="22"/>
      <c r="R2400" s="24"/>
      <c r="S2400" s="24"/>
      <c r="T2400" s="24"/>
      <c r="U2400" s="24"/>
      <c r="V2400" s="24"/>
      <c r="W2400" s="22" t="s">
        <v>940</v>
      </c>
      <c r="X2400" s="4" t="str">
        <f>IF(Tabela2[[#This Row],[sigla]]="","",VLOOKUP(Tabela2[[#This Row],[sigla]],créditos_base!B:C,2,0))</f>
        <v>RONALDO LUCENA/ARQUIVO DA EDITORA</v>
      </c>
      <c r="Y2400" s="23"/>
      <c r="Z2400" s="23" t="str">
        <f>Tabela2[[#This Row],[ilustrador]]</f>
        <v>RONALDO LUCENA/ARQUIVO DA EDITORA</v>
      </c>
      <c r="AA2400" s="22"/>
      <c r="AB2400" s="20"/>
      <c r="AD2400" s="4" t="str">
        <f>"Pitanguá"</f>
        <v>Pitanguá</v>
      </c>
      <c r="AE2400" s="14" t="str">
        <f>"Matemática"</f>
        <v>Matemática</v>
      </c>
      <c r="AF2400" s="14"/>
    </row>
    <row r="2401" spans="1:32" ht="43.2" x14ac:dyDescent="0.3">
      <c r="A2401" s="23" t="s">
        <v>680</v>
      </c>
      <c r="B2401" s="20" t="s">
        <v>16</v>
      </c>
      <c r="C2401" s="20" t="s">
        <v>7</v>
      </c>
      <c r="D2401" s="20" t="s">
        <v>8</v>
      </c>
      <c r="E2401" s="22">
        <v>151</v>
      </c>
      <c r="F2401" s="22">
        <v>1</v>
      </c>
      <c r="G2401" s="22">
        <v>10</v>
      </c>
      <c r="H2401" s="22"/>
      <c r="I2401" s="23" t="s">
        <v>9</v>
      </c>
      <c r="J2401" s="23"/>
      <c r="K2401" s="22"/>
      <c r="L2401" s="22"/>
      <c r="M2401" s="23"/>
      <c r="N2401" s="23"/>
      <c r="O2401" s="26" t="s">
        <v>681</v>
      </c>
      <c r="P2401" s="26"/>
      <c r="Q2401" s="22"/>
      <c r="R2401" s="24"/>
      <c r="S2401" s="24"/>
      <c r="T2401" s="24"/>
      <c r="U2401" s="24"/>
      <c r="V2401" s="24"/>
      <c r="W2401" s="22" t="s">
        <v>468</v>
      </c>
      <c r="X2401" s="4" t="str">
        <f>IF(Tabela2[[#This Row],[sigla]]="","",VLOOKUP(Tabela2[[#This Row],[sigla]],créditos_base!B:C,2,0))</f>
        <v>VER DOCUMENTO DE ILS. TÉCNICAS</v>
      </c>
      <c r="Y2401" s="23"/>
      <c r="Z2401" s="23" t="s">
        <v>661</v>
      </c>
      <c r="AA2401" s="22"/>
      <c r="AB2401" s="20"/>
      <c r="AD2401" s="4" t="str">
        <f>"Pitanguá"</f>
        <v>Pitanguá</v>
      </c>
      <c r="AE2401" s="14" t="str">
        <f>"Matemática"</f>
        <v>Matemática</v>
      </c>
      <c r="AF2401" s="14"/>
    </row>
    <row r="2402" spans="1:32" ht="43.2" x14ac:dyDescent="0.3">
      <c r="A2402" s="23" t="s">
        <v>3857</v>
      </c>
      <c r="B2402" s="20" t="s">
        <v>16</v>
      </c>
      <c r="C2402" s="20" t="s">
        <v>7</v>
      </c>
      <c r="D2402" s="20" t="s">
        <v>8</v>
      </c>
      <c r="E2402" s="22">
        <v>240</v>
      </c>
      <c r="F2402" s="22">
        <v>2</v>
      </c>
      <c r="G2402" s="22">
        <v>10</v>
      </c>
      <c r="H2402" s="22"/>
      <c r="I2402" s="23" t="s">
        <v>33</v>
      </c>
      <c r="J2402" s="23"/>
      <c r="K2402" s="22"/>
      <c r="L2402" s="22"/>
      <c r="M2402" s="23"/>
      <c r="N2402" s="23"/>
      <c r="O2402" s="26" t="s">
        <v>3858</v>
      </c>
      <c r="P2402" s="26"/>
      <c r="Q2402" s="22">
        <v>56</v>
      </c>
      <c r="R2402" s="24">
        <v>45805</v>
      </c>
      <c r="S2402" s="24">
        <v>45805</v>
      </c>
      <c r="T2402" s="24"/>
      <c r="U2402" s="24"/>
      <c r="V2402" s="24">
        <v>45806</v>
      </c>
      <c r="W2402" s="22" t="s">
        <v>31</v>
      </c>
      <c r="X2402" s="4" t="str">
        <f>IF(Tabela2[[#This Row],[sigla]]="","",VLOOKUP(Tabela2[[#This Row],[sigla]],créditos_base!B:C,2,0))</f>
        <v>SILVIA OTOFUJI/ARQUIVO DA EDITORA</v>
      </c>
      <c r="Y2402" s="23" t="s">
        <v>188</v>
      </c>
      <c r="Z2402" s="23" t="str">
        <f>Tabela2[[#This Row],[ilustrador]]</f>
        <v>SILVIA OTOFUJI/ARQUIVO DA EDITORA</v>
      </c>
      <c r="AA2402" s="22">
        <v>14</v>
      </c>
      <c r="AB2402" s="20" t="s">
        <v>1752</v>
      </c>
      <c r="AC2402" s="20" t="s">
        <v>36</v>
      </c>
      <c r="AD2402" s="4" t="str">
        <f>"Pitanguá"</f>
        <v>Pitanguá</v>
      </c>
      <c r="AE2402" s="14" t="str">
        <f>"Matemática"</f>
        <v>Matemática</v>
      </c>
      <c r="AF2402" s="14"/>
    </row>
    <row r="2403" spans="1:32" ht="43.2" x14ac:dyDescent="0.3">
      <c r="A2403" s="23" t="s">
        <v>2733</v>
      </c>
      <c r="B2403" s="20" t="s">
        <v>16</v>
      </c>
      <c r="C2403" s="20" t="s">
        <v>7</v>
      </c>
      <c r="D2403" s="20" t="s">
        <v>8</v>
      </c>
      <c r="E2403" s="22">
        <v>212</v>
      </c>
      <c r="F2403" s="22">
        <v>3</v>
      </c>
      <c r="G2403" s="22">
        <v>10</v>
      </c>
      <c r="H2403" s="22"/>
      <c r="I2403" s="23" t="s">
        <v>9</v>
      </c>
      <c r="J2403" s="23"/>
      <c r="K2403" s="22"/>
      <c r="L2403" s="22"/>
      <c r="M2403" s="23"/>
      <c r="N2403" s="23"/>
      <c r="O2403" s="26" t="s">
        <v>2734</v>
      </c>
      <c r="P2403" s="26"/>
      <c r="Q2403" s="22"/>
      <c r="R2403" s="24"/>
      <c r="S2403" s="24"/>
      <c r="T2403" s="24"/>
      <c r="U2403" s="24"/>
      <c r="V2403" s="24"/>
      <c r="W2403" s="22" t="s">
        <v>546</v>
      </c>
      <c r="X2403" s="4" t="str">
        <f>IF(Tabela2[[#This Row],[sigla]]="","",VLOOKUP(Tabela2[[#This Row],[sigla]],créditos_base!B:C,2,0))</f>
        <v>GUILHERME ARANEGA/ARQUIVO DA EDITORA</v>
      </c>
      <c r="Y2403" s="23"/>
      <c r="Z2403" s="23" t="str">
        <f>Tabela2[[#This Row],[ilustrador]]</f>
        <v>GUILHERME ARANEGA/ARQUIVO DA EDITORA</v>
      </c>
      <c r="AA2403" s="22"/>
      <c r="AB2403" s="20"/>
      <c r="AD2403" s="4" t="str">
        <f>"Pitanguá"</f>
        <v>Pitanguá</v>
      </c>
      <c r="AE2403" s="14" t="str">
        <f>"Matemática"</f>
        <v>Matemática</v>
      </c>
      <c r="AF2403" s="14"/>
    </row>
    <row r="2404" spans="1:32" ht="43.2" x14ac:dyDescent="0.3">
      <c r="A2404" s="23" t="s">
        <v>3530</v>
      </c>
      <c r="B2404" s="20" t="s">
        <v>16</v>
      </c>
      <c r="C2404" s="20" t="s">
        <v>7</v>
      </c>
      <c r="D2404" s="20" t="s">
        <v>8</v>
      </c>
      <c r="E2404" s="22">
        <v>219</v>
      </c>
      <c r="F2404" s="22">
        <v>4</v>
      </c>
      <c r="G2404" s="22">
        <v>10</v>
      </c>
      <c r="H2404" s="22"/>
      <c r="I2404" s="23" t="s">
        <v>33</v>
      </c>
      <c r="J2404" s="23"/>
      <c r="K2404" s="22"/>
      <c r="L2404" s="22"/>
      <c r="M2404" s="23"/>
      <c r="N2404" s="23"/>
      <c r="O2404" s="26" t="s">
        <v>3531</v>
      </c>
      <c r="P2404" s="26"/>
      <c r="Q2404" s="22">
        <v>125</v>
      </c>
      <c r="R2404" s="24">
        <v>45862</v>
      </c>
      <c r="S2404" s="24">
        <v>45867</v>
      </c>
      <c r="T2404" s="24"/>
      <c r="U2404" s="24"/>
      <c r="V2404" s="24">
        <v>45867</v>
      </c>
      <c r="W2404" s="22" t="s">
        <v>327</v>
      </c>
      <c r="X2404" s="4" t="str">
        <f>IF(Tabela2[[#This Row],[sigla]]="","",VLOOKUP(Tabela2[[#This Row],[sigla]],créditos_base!B:C,2,0))</f>
        <v>RAFAEL LAM/ARQUIVO DA EDITORA</v>
      </c>
      <c r="Y2404" s="23" t="s">
        <v>1139</v>
      </c>
      <c r="Z2404" s="23" t="str">
        <f>Tabela2[[#This Row],[ilustrador]]</f>
        <v>RAFAEL LAM/ARQUIVO DA EDITORA</v>
      </c>
      <c r="AA2404" s="22">
        <v>13</v>
      </c>
      <c r="AB2404" s="20" t="s">
        <v>3532</v>
      </c>
      <c r="AC2404" s="20" t="s">
        <v>36</v>
      </c>
      <c r="AD2404" s="4" t="str">
        <f>"Pitanguá"</f>
        <v>Pitanguá</v>
      </c>
      <c r="AE2404" s="14" t="str">
        <f>"Matemática"</f>
        <v>Matemática</v>
      </c>
      <c r="AF2404" s="14"/>
    </row>
    <row r="2405" spans="1:32" ht="57.6" x14ac:dyDescent="0.3">
      <c r="A2405" s="23" t="s">
        <v>682</v>
      </c>
      <c r="B2405" s="20" t="s">
        <v>16</v>
      </c>
      <c r="C2405" s="20" t="s">
        <v>7</v>
      </c>
      <c r="D2405" s="20" t="s">
        <v>8</v>
      </c>
      <c r="E2405" s="22">
        <v>151</v>
      </c>
      <c r="F2405" s="22">
        <v>1</v>
      </c>
      <c r="G2405" s="22">
        <v>10</v>
      </c>
      <c r="H2405" s="22"/>
      <c r="I2405" s="23" t="s">
        <v>9</v>
      </c>
      <c r="J2405" s="23"/>
      <c r="K2405" s="22"/>
      <c r="L2405" s="22"/>
      <c r="M2405" s="23"/>
      <c r="N2405" s="23"/>
      <c r="O2405" s="26" t="s">
        <v>683</v>
      </c>
      <c r="P2405" s="26"/>
      <c r="Q2405" s="22"/>
      <c r="R2405" s="24"/>
      <c r="S2405" s="24"/>
      <c r="T2405" s="24"/>
      <c r="U2405" s="24"/>
      <c r="V2405" s="24"/>
      <c r="W2405" s="22" t="s">
        <v>468</v>
      </c>
      <c r="X2405" s="4" t="str">
        <f>IF(Tabela2[[#This Row],[sigla]]="","",VLOOKUP(Tabela2[[#This Row],[sigla]],créditos_base!B:C,2,0))</f>
        <v>VER DOCUMENTO DE ILS. TÉCNICAS</v>
      </c>
      <c r="Y2405" s="23"/>
      <c r="Z2405" s="23" t="s">
        <v>661</v>
      </c>
      <c r="AA2405" s="22"/>
      <c r="AB2405" s="20"/>
      <c r="AD2405" s="4" t="str">
        <f>"Pitanguá"</f>
        <v>Pitanguá</v>
      </c>
      <c r="AE2405" s="14" t="str">
        <f>"Matemática"</f>
        <v>Matemática</v>
      </c>
      <c r="AF2405" s="14"/>
    </row>
    <row r="2406" spans="1:32" ht="43.2" x14ac:dyDescent="0.3">
      <c r="A2406" s="30" t="s">
        <v>1757</v>
      </c>
      <c r="B2406" s="20" t="s">
        <v>6</v>
      </c>
      <c r="C2406" s="20" t="s">
        <v>7</v>
      </c>
      <c r="D2406" s="20" t="s">
        <v>8</v>
      </c>
      <c r="E2406" s="22">
        <v>167</v>
      </c>
      <c r="F2406" s="22">
        <v>2</v>
      </c>
      <c r="G2406" s="22">
        <v>10</v>
      </c>
      <c r="H2406" s="22"/>
      <c r="I2406" s="23" t="s">
        <v>9</v>
      </c>
      <c r="J2406" s="23"/>
      <c r="K2406" s="22"/>
      <c r="L2406" s="22"/>
      <c r="M2406" s="23"/>
      <c r="N2406" s="23"/>
      <c r="O2406" s="26" t="s">
        <v>1758</v>
      </c>
      <c r="P2406" s="26" t="s">
        <v>11</v>
      </c>
      <c r="Q2406" s="22"/>
      <c r="R2406" s="24"/>
      <c r="S2406" s="24"/>
      <c r="T2406" s="24"/>
      <c r="U2406" s="24"/>
      <c r="V2406" s="24"/>
      <c r="W2406" s="22" t="s">
        <v>31</v>
      </c>
      <c r="X2406" s="4" t="str">
        <f>IF(Tabela2[[#This Row],[sigla]]="","",VLOOKUP(Tabela2[[#This Row],[sigla]],créditos_base!B:C,2,0))</f>
        <v>SILVIA OTOFUJI/ARQUIVO DA EDITORA</v>
      </c>
      <c r="Y2406" s="23"/>
      <c r="Z2406" s="23" t="str">
        <f>Tabela2[[#This Row],[ilustrador]]</f>
        <v>SILVIA OTOFUJI/ARQUIVO DA EDITORA</v>
      </c>
      <c r="AA2406" s="22"/>
      <c r="AB2406" s="20"/>
      <c r="AD2406" s="4" t="str">
        <f>"Pitanguá"</f>
        <v>Pitanguá</v>
      </c>
      <c r="AE2406" s="14" t="str">
        <f>"Matemática"</f>
        <v>Matemática</v>
      </c>
      <c r="AF2406" s="14"/>
    </row>
    <row r="2407" spans="1:32" ht="86.4" x14ac:dyDescent="0.3">
      <c r="A2407" s="23" t="s">
        <v>2735</v>
      </c>
      <c r="B2407" s="20" t="s">
        <v>16</v>
      </c>
      <c r="C2407" s="20" t="s">
        <v>7</v>
      </c>
      <c r="D2407" s="20" t="s">
        <v>8</v>
      </c>
      <c r="E2407" s="22">
        <v>212</v>
      </c>
      <c r="F2407" s="22">
        <v>3</v>
      </c>
      <c r="G2407" s="22">
        <v>10</v>
      </c>
      <c r="H2407" s="22"/>
      <c r="I2407" s="23" t="s">
        <v>9</v>
      </c>
      <c r="J2407" s="23"/>
      <c r="K2407" s="22"/>
      <c r="L2407" s="22"/>
      <c r="M2407" s="23"/>
      <c r="N2407" s="23"/>
      <c r="O2407" s="26" t="s">
        <v>2736</v>
      </c>
      <c r="P2407" s="26"/>
      <c r="Q2407" s="22"/>
      <c r="R2407" s="24"/>
      <c r="S2407" s="24"/>
      <c r="T2407" s="24"/>
      <c r="U2407" s="24"/>
      <c r="V2407" s="24"/>
      <c r="W2407" s="22" t="s">
        <v>151</v>
      </c>
      <c r="X2407" s="4" t="str">
        <f>IF(Tabela2[[#This Row],[sigla]]="","",VLOOKUP(Tabela2[[#This Row],[sigla]],créditos_base!B:C,2,0))</f>
        <v>ROGÉRIO CASAGRANDE/ARQUIVO DA EDITORA</v>
      </c>
      <c r="Y2407" s="23"/>
      <c r="Z2407" s="23" t="str">
        <f>Tabela2[[#This Row],[ilustrador]]</f>
        <v>ROGÉRIO CASAGRANDE/ARQUIVO DA EDITORA</v>
      </c>
      <c r="AA2407" s="22"/>
      <c r="AB2407" s="20"/>
      <c r="AD2407" s="4" t="str">
        <f>"Pitanguá"</f>
        <v>Pitanguá</v>
      </c>
      <c r="AE2407" s="14" t="str">
        <f>"Matemática"</f>
        <v>Matemática</v>
      </c>
      <c r="AF2407" s="14"/>
    </row>
    <row r="2408" spans="1:32" ht="43.2" x14ac:dyDescent="0.3">
      <c r="A2408" s="23" t="s">
        <v>4380</v>
      </c>
      <c r="B2408" s="20" t="s">
        <v>16</v>
      </c>
      <c r="C2408" s="20" t="s">
        <v>7</v>
      </c>
      <c r="D2408" s="20" t="s">
        <v>8</v>
      </c>
      <c r="E2408" s="22">
        <v>242</v>
      </c>
      <c r="F2408" s="22">
        <v>5</v>
      </c>
      <c r="G2408" s="22">
        <v>10</v>
      </c>
      <c r="H2408" s="22"/>
      <c r="I2408" s="23" t="s">
        <v>9</v>
      </c>
      <c r="J2408" s="23"/>
      <c r="K2408" s="22"/>
      <c r="L2408" s="22"/>
      <c r="M2408" s="23"/>
      <c r="N2408" s="23"/>
      <c r="O2408" s="26" t="s">
        <v>4381</v>
      </c>
      <c r="P2408" s="26"/>
      <c r="Q2408" s="22"/>
      <c r="R2408" s="24"/>
      <c r="S2408" s="24"/>
      <c r="T2408" s="24"/>
      <c r="U2408" s="24"/>
      <c r="V2408" s="24"/>
      <c r="W2408" s="22" t="s">
        <v>151</v>
      </c>
      <c r="X2408" s="4" t="str">
        <f>IF(Tabela2[[#This Row],[sigla]]="","",VLOOKUP(Tabela2[[#This Row],[sigla]],créditos_base!B:C,2,0))</f>
        <v>ROGÉRIO CASAGRANDE/ARQUIVO DA EDITORA</v>
      </c>
      <c r="Y2408" s="23"/>
      <c r="Z2408" s="23" t="str">
        <f>Tabela2[[#This Row],[ilustrador]]</f>
        <v>ROGÉRIO CASAGRANDE/ARQUIVO DA EDITORA</v>
      </c>
      <c r="AA2408" s="22"/>
      <c r="AB2408" s="20"/>
      <c r="AD2408" s="4" t="str">
        <f>"Pitanguá"</f>
        <v>Pitanguá</v>
      </c>
      <c r="AE2408" s="14" t="str">
        <f>"Matemática"</f>
        <v>Matemática</v>
      </c>
      <c r="AF2408" s="14"/>
    </row>
    <row r="2409" spans="1:32" ht="43.2" x14ac:dyDescent="0.3">
      <c r="A2409" s="23" t="s">
        <v>684</v>
      </c>
      <c r="B2409" s="20" t="s">
        <v>16</v>
      </c>
      <c r="C2409" s="20" t="s">
        <v>7</v>
      </c>
      <c r="D2409" s="20" t="s">
        <v>8</v>
      </c>
      <c r="E2409" s="22">
        <v>151</v>
      </c>
      <c r="F2409" s="22">
        <v>1</v>
      </c>
      <c r="G2409" s="22">
        <v>10</v>
      </c>
      <c r="H2409" s="22"/>
      <c r="I2409" s="23" t="s">
        <v>9</v>
      </c>
      <c r="J2409" s="23"/>
      <c r="K2409" s="22"/>
      <c r="L2409" s="22"/>
      <c r="M2409" s="23"/>
      <c r="N2409" s="23"/>
      <c r="O2409" s="26" t="s">
        <v>685</v>
      </c>
      <c r="P2409" s="26"/>
      <c r="Q2409" s="22"/>
      <c r="R2409" s="24"/>
      <c r="S2409" s="24"/>
      <c r="T2409" s="24"/>
      <c r="U2409" s="24"/>
      <c r="V2409" s="24"/>
      <c r="W2409" s="22" t="s">
        <v>468</v>
      </c>
      <c r="X2409" s="4" t="str">
        <f>IF(Tabela2[[#This Row],[sigla]]="","",VLOOKUP(Tabela2[[#This Row],[sigla]],créditos_base!B:C,2,0))</f>
        <v>VER DOCUMENTO DE ILS. TÉCNICAS</v>
      </c>
      <c r="Y2409" s="23"/>
      <c r="Z2409" s="23" t="s">
        <v>686</v>
      </c>
      <c r="AA2409" s="22"/>
      <c r="AB2409" s="20"/>
      <c r="AD2409" s="4" t="str">
        <f>"Pitanguá"</f>
        <v>Pitanguá</v>
      </c>
      <c r="AE2409" s="14" t="str">
        <f>"Matemática"</f>
        <v>Matemática</v>
      </c>
      <c r="AF2409" s="14"/>
    </row>
    <row r="2410" spans="1:32" ht="57.6" x14ac:dyDescent="0.3">
      <c r="A2410" s="23" t="s">
        <v>3859</v>
      </c>
      <c r="B2410" s="20" t="s">
        <v>16</v>
      </c>
      <c r="C2410" s="20" t="s">
        <v>7</v>
      </c>
      <c r="D2410" s="20" t="s">
        <v>8</v>
      </c>
      <c r="E2410" s="22">
        <v>240</v>
      </c>
      <c r="F2410" s="22">
        <v>2</v>
      </c>
      <c r="G2410" s="22">
        <v>10</v>
      </c>
      <c r="H2410" s="22"/>
      <c r="I2410" s="23" t="s">
        <v>33</v>
      </c>
      <c r="J2410" s="23"/>
      <c r="K2410" s="22"/>
      <c r="L2410" s="22"/>
      <c r="M2410" s="23"/>
      <c r="N2410" s="23"/>
      <c r="O2410" s="26" t="s">
        <v>3860</v>
      </c>
      <c r="P2410" s="26"/>
      <c r="Q2410" s="22">
        <v>56</v>
      </c>
      <c r="R2410" s="24">
        <v>45805</v>
      </c>
      <c r="S2410" s="24">
        <v>45805</v>
      </c>
      <c r="T2410" s="24"/>
      <c r="U2410" s="24"/>
      <c r="V2410" s="24">
        <v>45806</v>
      </c>
      <c r="W2410" s="22" t="s">
        <v>31</v>
      </c>
      <c r="X2410" s="4" t="str">
        <f>IF(Tabela2[[#This Row],[sigla]]="","",VLOOKUP(Tabela2[[#This Row],[sigla]],créditos_base!B:C,2,0))</f>
        <v>SILVIA OTOFUJI/ARQUIVO DA EDITORA</v>
      </c>
      <c r="Y2410" s="23" t="s">
        <v>188</v>
      </c>
      <c r="Z2410" s="23" t="str">
        <f>Tabela2[[#This Row],[ilustrador]]</f>
        <v>SILVIA OTOFUJI/ARQUIVO DA EDITORA</v>
      </c>
      <c r="AA2410" s="22">
        <v>14</v>
      </c>
      <c r="AB2410" s="20" t="s">
        <v>1752</v>
      </c>
      <c r="AC2410" s="20" t="s">
        <v>36</v>
      </c>
      <c r="AD2410" s="4" t="str">
        <f>"Pitanguá"</f>
        <v>Pitanguá</v>
      </c>
      <c r="AE2410" s="14" t="str">
        <f>"Matemática"</f>
        <v>Matemática</v>
      </c>
      <c r="AF2410" s="14"/>
    </row>
    <row r="2411" spans="1:32" ht="28.8" x14ac:dyDescent="0.3">
      <c r="A2411" s="23" t="s">
        <v>2737</v>
      </c>
      <c r="B2411" s="20" t="s">
        <v>16</v>
      </c>
      <c r="C2411" s="20" t="s">
        <v>7</v>
      </c>
      <c r="D2411" s="20" t="s">
        <v>8</v>
      </c>
      <c r="E2411" s="22">
        <v>212</v>
      </c>
      <c r="F2411" s="22">
        <v>3</v>
      </c>
      <c r="G2411" s="22">
        <v>10</v>
      </c>
      <c r="H2411" s="22"/>
      <c r="I2411" s="23" t="s">
        <v>9</v>
      </c>
      <c r="J2411" s="23"/>
      <c r="K2411" s="22"/>
      <c r="L2411" s="22"/>
      <c r="M2411" s="23"/>
      <c r="N2411" s="23"/>
      <c r="O2411" s="26" t="s">
        <v>2738</v>
      </c>
      <c r="P2411" s="26"/>
      <c r="Q2411" s="22"/>
      <c r="R2411" s="24"/>
      <c r="S2411" s="24"/>
      <c r="T2411" s="24"/>
      <c r="U2411" s="24"/>
      <c r="V2411" s="24"/>
      <c r="W2411" s="22" t="s">
        <v>151</v>
      </c>
      <c r="X2411" s="4" t="str">
        <f>IF(Tabela2[[#This Row],[sigla]]="","",VLOOKUP(Tabela2[[#This Row],[sigla]],créditos_base!B:C,2,0))</f>
        <v>ROGÉRIO CASAGRANDE/ARQUIVO DA EDITORA</v>
      </c>
      <c r="Y2411" s="23"/>
      <c r="Z2411" s="23" t="str">
        <f>Tabela2[[#This Row],[ilustrador]]</f>
        <v>ROGÉRIO CASAGRANDE/ARQUIVO DA EDITORA</v>
      </c>
      <c r="AA2411" s="22"/>
      <c r="AB2411" s="20"/>
      <c r="AD2411" s="4" t="str">
        <f>"Pitanguá"</f>
        <v>Pitanguá</v>
      </c>
      <c r="AE2411" s="14" t="str">
        <f>"Matemática"</f>
        <v>Matemática</v>
      </c>
      <c r="AF2411" s="14"/>
    </row>
    <row r="2412" spans="1:32" ht="28.8" x14ac:dyDescent="0.3">
      <c r="A2412" s="23" t="s">
        <v>4382</v>
      </c>
      <c r="B2412" s="20" t="s">
        <v>16</v>
      </c>
      <c r="C2412" s="20" t="s">
        <v>7</v>
      </c>
      <c r="D2412" s="20" t="s">
        <v>8</v>
      </c>
      <c r="E2412" s="22">
        <v>242</v>
      </c>
      <c r="F2412" s="22">
        <v>5</v>
      </c>
      <c r="G2412" s="22">
        <v>10</v>
      </c>
      <c r="H2412" s="22"/>
      <c r="I2412" s="23" t="s">
        <v>9</v>
      </c>
      <c r="J2412" s="23"/>
      <c r="K2412" s="22"/>
      <c r="L2412" s="22"/>
      <c r="M2412" s="23"/>
      <c r="N2412" s="23"/>
      <c r="O2412" s="26" t="s">
        <v>4383</v>
      </c>
      <c r="P2412" s="26"/>
      <c r="Q2412" s="22"/>
      <c r="R2412" s="24"/>
      <c r="S2412" s="24"/>
      <c r="T2412" s="24"/>
      <c r="U2412" s="24"/>
      <c r="V2412" s="24"/>
      <c r="W2412" s="22" t="s">
        <v>151</v>
      </c>
      <c r="X2412" s="4" t="str">
        <f>IF(Tabela2[[#This Row],[sigla]]="","",VLOOKUP(Tabela2[[#This Row],[sigla]],créditos_base!B:C,2,0))</f>
        <v>ROGÉRIO CASAGRANDE/ARQUIVO DA EDITORA</v>
      </c>
      <c r="Y2412" s="23"/>
      <c r="Z2412" s="23" t="str">
        <f>Tabela2[[#This Row],[ilustrador]]</f>
        <v>ROGÉRIO CASAGRANDE/ARQUIVO DA EDITORA</v>
      </c>
      <c r="AA2412" s="22"/>
      <c r="AB2412" s="20"/>
      <c r="AD2412" s="4" t="str">
        <f>"Pitanguá"</f>
        <v>Pitanguá</v>
      </c>
      <c r="AE2412" s="14" t="str">
        <f>"Matemática"</f>
        <v>Matemática</v>
      </c>
      <c r="AF2412" s="14"/>
    </row>
    <row r="2413" spans="1:32" ht="57.6" x14ac:dyDescent="0.3">
      <c r="A2413" s="23" t="s">
        <v>687</v>
      </c>
      <c r="B2413" s="20" t="s">
        <v>16</v>
      </c>
      <c r="C2413" s="20" t="s">
        <v>7</v>
      </c>
      <c r="D2413" s="20" t="s">
        <v>8</v>
      </c>
      <c r="E2413" s="22">
        <v>153</v>
      </c>
      <c r="F2413" s="22">
        <v>1</v>
      </c>
      <c r="G2413" s="22">
        <v>10</v>
      </c>
      <c r="H2413" s="22"/>
      <c r="I2413" s="23" t="s">
        <v>33</v>
      </c>
      <c r="J2413" s="23"/>
      <c r="K2413" s="22"/>
      <c r="L2413" s="22"/>
      <c r="M2413" s="23"/>
      <c r="N2413" s="23"/>
      <c r="O2413" s="26" t="s">
        <v>688</v>
      </c>
      <c r="P2413" s="26"/>
      <c r="Q2413" s="22">
        <v>7</v>
      </c>
      <c r="R2413" s="24">
        <v>45729</v>
      </c>
      <c r="S2413" s="24">
        <v>45729</v>
      </c>
      <c r="T2413" s="24"/>
      <c r="U2413" s="24"/>
      <c r="V2413" s="24">
        <v>45729</v>
      </c>
      <c r="W2413" s="22" t="s">
        <v>468</v>
      </c>
      <c r="X2413" s="4" t="str">
        <f>IF(Tabela2[[#This Row],[sigla]]="","",VLOOKUP(Tabela2[[#This Row],[sigla]],créditos_base!B:C,2,0))</f>
        <v>VER DOCUMENTO DE ILS. TÉCNICAS</v>
      </c>
      <c r="Y2413" s="23" t="s">
        <v>140</v>
      </c>
      <c r="Z2413" s="23" t="s">
        <v>689</v>
      </c>
      <c r="AA2413" s="22">
        <v>14</v>
      </c>
      <c r="AB2413" s="20"/>
      <c r="AC2413" s="20" t="s">
        <v>36</v>
      </c>
      <c r="AD2413" s="4" t="str">
        <f>"Pitanguá"</f>
        <v>Pitanguá</v>
      </c>
      <c r="AE2413" s="14" t="str">
        <f>"Matemática"</f>
        <v>Matemática</v>
      </c>
      <c r="AF2413" s="14"/>
    </row>
    <row r="2414" spans="1:32" ht="28.8" x14ac:dyDescent="0.3">
      <c r="A2414" s="30" t="s">
        <v>1759</v>
      </c>
      <c r="B2414" s="20" t="s">
        <v>6</v>
      </c>
      <c r="C2414" s="20" t="s">
        <v>7</v>
      </c>
      <c r="D2414" s="20" t="s">
        <v>8</v>
      </c>
      <c r="E2414" s="22">
        <v>168</v>
      </c>
      <c r="F2414" s="22">
        <v>2</v>
      </c>
      <c r="G2414" s="22">
        <v>10</v>
      </c>
      <c r="H2414" s="22"/>
      <c r="I2414" s="23" t="s">
        <v>9</v>
      </c>
      <c r="J2414" s="23"/>
      <c r="K2414" s="22"/>
      <c r="L2414" s="22"/>
      <c r="M2414" s="23"/>
      <c r="N2414" s="23"/>
      <c r="O2414" s="26" t="s">
        <v>1760</v>
      </c>
      <c r="P2414" s="26" t="s">
        <v>11</v>
      </c>
      <c r="Q2414" s="22"/>
      <c r="R2414" s="24"/>
      <c r="S2414" s="24"/>
      <c r="T2414" s="24"/>
      <c r="U2414" s="24"/>
      <c r="V2414" s="24"/>
      <c r="W2414" s="22" t="s">
        <v>20</v>
      </c>
      <c r="X2414" s="4" t="str">
        <f>IF(Tabela2[[#This Row],[sigla]]="","",VLOOKUP(Tabela2[[#This Row],[sigla]],créditos_base!B:C,2,0))</f>
        <v>SONIA HORN/ARQUIVO DA EDITORA</v>
      </c>
      <c r="Y2414" s="23"/>
      <c r="Z2414" s="23" t="str">
        <f>Tabela2[[#This Row],[ilustrador]]</f>
        <v>SONIA HORN/ARQUIVO DA EDITORA</v>
      </c>
      <c r="AA2414" s="22"/>
      <c r="AB2414" s="20"/>
      <c r="AD2414" s="4" t="str">
        <f>"Pitanguá"</f>
        <v>Pitanguá</v>
      </c>
      <c r="AE2414" s="14" t="str">
        <f>"Matemática"</f>
        <v>Matemática</v>
      </c>
      <c r="AF2414" s="14"/>
    </row>
    <row r="2415" spans="1:32" ht="28.8" x14ac:dyDescent="0.3">
      <c r="A2415" s="23" t="s">
        <v>2739</v>
      </c>
      <c r="B2415" s="20" t="s">
        <v>16</v>
      </c>
      <c r="C2415" s="20" t="s">
        <v>7</v>
      </c>
      <c r="D2415" s="20" t="s">
        <v>8</v>
      </c>
      <c r="E2415" s="22">
        <v>212</v>
      </c>
      <c r="F2415" s="22">
        <v>3</v>
      </c>
      <c r="G2415" s="22">
        <v>10</v>
      </c>
      <c r="H2415" s="22"/>
      <c r="I2415" s="23" t="s">
        <v>33</v>
      </c>
      <c r="J2415" s="23"/>
      <c r="K2415" s="22"/>
      <c r="L2415" s="22"/>
      <c r="M2415" s="23"/>
      <c r="N2415" s="23"/>
      <c r="O2415" s="26" t="s">
        <v>2740</v>
      </c>
      <c r="P2415" s="26"/>
      <c r="Q2415" s="22">
        <v>176</v>
      </c>
      <c r="R2415" s="24">
        <v>45899</v>
      </c>
      <c r="S2415" s="24">
        <v>45901</v>
      </c>
      <c r="T2415" s="24"/>
      <c r="U2415" s="24"/>
      <c r="V2415" s="24">
        <v>45901</v>
      </c>
      <c r="W2415" s="22" t="s">
        <v>546</v>
      </c>
      <c r="X2415" s="4" t="str">
        <f>IF(Tabela2[[#This Row],[sigla]]="","",VLOOKUP(Tabela2[[#This Row],[sigla]],créditos_base!B:C,2,0))</f>
        <v>GUILHERME ARANEGA/ARQUIVO DA EDITORA</v>
      </c>
      <c r="Y2415" s="23" t="s">
        <v>433</v>
      </c>
      <c r="Z2415" s="23" t="str">
        <f>Tabela2[[#This Row],[ilustrador]]</f>
        <v>GUILHERME ARANEGA/ARQUIVO DA EDITORA</v>
      </c>
      <c r="AA2415" s="22">
        <v>14</v>
      </c>
      <c r="AB2415" s="20" t="s">
        <v>153</v>
      </c>
      <c r="AC2415" s="20" t="s">
        <v>36</v>
      </c>
      <c r="AD2415" s="4" t="str">
        <f>"Pitanguá"</f>
        <v>Pitanguá</v>
      </c>
      <c r="AE2415" s="14" t="str">
        <f>"Matemática"</f>
        <v>Matemática</v>
      </c>
      <c r="AF2415" s="14"/>
    </row>
    <row r="2416" spans="1:32" ht="28.8" x14ac:dyDescent="0.3">
      <c r="A2416" s="23" t="s">
        <v>4384</v>
      </c>
      <c r="B2416" s="20" t="s">
        <v>16</v>
      </c>
      <c r="C2416" s="20" t="s">
        <v>7</v>
      </c>
      <c r="D2416" s="20" t="s">
        <v>8</v>
      </c>
      <c r="E2416" s="22">
        <v>242</v>
      </c>
      <c r="F2416" s="22">
        <v>5</v>
      </c>
      <c r="G2416" s="22">
        <v>10</v>
      </c>
      <c r="H2416" s="22"/>
      <c r="I2416" s="23" t="s">
        <v>9</v>
      </c>
      <c r="J2416" s="23"/>
      <c r="K2416" s="22"/>
      <c r="L2416" s="22"/>
      <c r="M2416" s="23"/>
      <c r="N2416" s="23"/>
      <c r="O2416" s="26" t="s">
        <v>4385</v>
      </c>
      <c r="P2416" s="26"/>
      <c r="Q2416" s="22"/>
      <c r="R2416" s="24"/>
      <c r="S2416" s="24"/>
      <c r="T2416" s="24"/>
      <c r="U2416" s="24"/>
      <c r="V2416" s="24"/>
      <c r="W2416" s="22" t="s">
        <v>151</v>
      </c>
      <c r="X2416" s="4" t="str">
        <f>IF(Tabela2[[#This Row],[sigla]]="","",VLOOKUP(Tabela2[[#This Row],[sigla]],créditos_base!B:C,2,0))</f>
        <v>ROGÉRIO CASAGRANDE/ARQUIVO DA EDITORA</v>
      </c>
      <c r="Y2416" s="23"/>
      <c r="Z2416" s="23" t="str">
        <f>Tabela2[[#This Row],[ilustrador]]</f>
        <v>ROGÉRIO CASAGRANDE/ARQUIVO DA EDITORA</v>
      </c>
      <c r="AA2416" s="22"/>
      <c r="AB2416" s="20"/>
      <c r="AD2416" s="4" t="str">
        <f>"Pitanguá"</f>
        <v>Pitanguá</v>
      </c>
      <c r="AE2416" s="14" t="str">
        <f>"Matemática"</f>
        <v>Matemática</v>
      </c>
      <c r="AF2416" s="14"/>
    </row>
    <row r="2417" spans="1:32" ht="72" x14ac:dyDescent="0.3">
      <c r="A2417" s="23" t="s">
        <v>690</v>
      </c>
      <c r="B2417" s="20" t="s">
        <v>16</v>
      </c>
      <c r="C2417" s="20" t="s">
        <v>7</v>
      </c>
      <c r="D2417" s="20" t="s">
        <v>8</v>
      </c>
      <c r="E2417" s="22">
        <v>153</v>
      </c>
      <c r="F2417" s="22">
        <v>1</v>
      </c>
      <c r="G2417" s="22">
        <v>10</v>
      </c>
      <c r="H2417" s="22"/>
      <c r="I2417" s="23" t="s">
        <v>9</v>
      </c>
      <c r="J2417" s="23"/>
      <c r="K2417" s="22"/>
      <c r="L2417" s="22"/>
      <c r="M2417" s="23"/>
      <c r="N2417" s="23"/>
      <c r="O2417" s="26" t="s">
        <v>691</v>
      </c>
      <c r="P2417" s="26"/>
      <c r="Q2417" s="22"/>
      <c r="R2417" s="24"/>
      <c r="S2417" s="24"/>
      <c r="T2417" s="24"/>
      <c r="U2417" s="24"/>
      <c r="V2417" s="24"/>
      <c r="W2417" s="22" t="s">
        <v>12</v>
      </c>
      <c r="X2417" s="4" t="str">
        <f>IF(Tabela2[[#This Row],[sigla]]="","",VLOOKUP(Tabela2[[#This Row],[sigla]],créditos_base!B:C,2,0))</f>
        <v>JORGE ZAIBA/ARQUIVO DA EDITORA</v>
      </c>
      <c r="Y2417" s="23"/>
      <c r="Z2417" s="23" t="str">
        <f>Tabela2[[#This Row],[ilustrador]]</f>
        <v>JORGE ZAIBA/ARQUIVO DA EDITORA</v>
      </c>
      <c r="AA2417" s="22"/>
      <c r="AB2417" s="20"/>
      <c r="AD2417" s="4" t="str">
        <f>"Pitanguá"</f>
        <v>Pitanguá</v>
      </c>
      <c r="AE2417" s="14" t="str">
        <f>"Matemática"</f>
        <v>Matemática</v>
      </c>
      <c r="AF2417" s="14"/>
    </row>
    <row r="2418" spans="1:32" ht="43.2" x14ac:dyDescent="0.3">
      <c r="A2418" s="30" t="s">
        <v>1761</v>
      </c>
      <c r="B2418" s="20" t="s">
        <v>16</v>
      </c>
      <c r="C2418" s="20" t="s">
        <v>7</v>
      </c>
      <c r="D2418" s="20" t="s">
        <v>8</v>
      </c>
      <c r="E2418" s="22">
        <v>169</v>
      </c>
      <c r="F2418" s="22">
        <v>2</v>
      </c>
      <c r="G2418" s="22">
        <v>10</v>
      </c>
      <c r="H2418" s="22"/>
      <c r="I2418" s="23" t="s">
        <v>9</v>
      </c>
      <c r="J2418" s="23"/>
      <c r="K2418" s="22"/>
      <c r="L2418" s="22"/>
      <c r="M2418" s="23"/>
      <c r="N2418" s="23"/>
      <c r="O2418" s="26" t="s">
        <v>1762</v>
      </c>
      <c r="P2418" s="26"/>
      <c r="Q2418" s="22"/>
      <c r="R2418" s="24"/>
      <c r="S2418" s="24"/>
      <c r="T2418" s="24"/>
      <c r="U2418" s="24"/>
      <c r="V2418" s="24"/>
      <c r="W2418" s="22" t="s">
        <v>468</v>
      </c>
      <c r="X2418" s="4" t="str">
        <f>IF(Tabela2[[#This Row],[sigla]]="","",VLOOKUP(Tabela2[[#This Row],[sigla]],créditos_base!B:C,2,0))</f>
        <v>VER DOCUMENTO DE ILS. TÉCNICAS</v>
      </c>
      <c r="Y2418" s="23"/>
      <c r="Z2418" s="23" t="s">
        <v>686</v>
      </c>
      <c r="AA2418" s="22"/>
      <c r="AB2418" s="20"/>
      <c r="AD2418" s="4" t="str">
        <f>"Pitanguá"</f>
        <v>Pitanguá</v>
      </c>
      <c r="AE2418" s="14" t="str">
        <f>"Matemática"</f>
        <v>Matemática</v>
      </c>
      <c r="AF2418" s="14"/>
    </row>
    <row r="2419" spans="1:32" ht="28.8" x14ac:dyDescent="0.3">
      <c r="A2419" s="23" t="s">
        <v>2741</v>
      </c>
      <c r="B2419" s="20" t="s">
        <v>16</v>
      </c>
      <c r="C2419" s="20" t="s">
        <v>7</v>
      </c>
      <c r="D2419" s="20" t="s">
        <v>8</v>
      </c>
      <c r="E2419" s="22">
        <v>213</v>
      </c>
      <c r="F2419" s="22">
        <v>3</v>
      </c>
      <c r="G2419" s="22">
        <v>10</v>
      </c>
      <c r="H2419" s="22"/>
      <c r="I2419" s="23" t="s">
        <v>33</v>
      </c>
      <c r="J2419" s="23"/>
      <c r="K2419" s="22"/>
      <c r="L2419" s="22"/>
      <c r="M2419" s="23"/>
      <c r="N2419" s="23"/>
      <c r="O2419" s="26" t="s">
        <v>2742</v>
      </c>
      <c r="P2419" s="26"/>
      <c r="Q2419" s="22">
        <v>176</v>
      </c>
      <c r="R2419" s="24">
        <v>45899</v>
      </c>
      <c r="S2419" s="24">
        <v>45901</v>
      </c>
      <c r="T2419" s="24"/>
      <c r="U2419" s="24"/>
      <c r="V2419" s="24">
        <v>45901</v>
      </c>
      <c r="W2419" s="22" t="s">
        <v>1785</v>
      </c>
      <c r="X2419" s="4" t="str">
        <f>IF(Tabela2[[#This Row],[sigla]]="","",VLOOKUP(Tabela2[[#This Row],[sigla]],créditos_base!B:C,2,0))</f>
        <v>CAUÊ ZUNCHINI/ARQUIVO DA EDITORA</v>
      </c>
      <c r="Y2419" s="23" t="s">
        <v>433</v>
      </c>
      <c r="Z2419" s="23" t="str">
        <f>Tabela2[[#This Row],[ilustrador]]</f>
        <v>CAUÊ ZUNCHINI/ARQUIVO DA EDITORA</v>
      </c>
      <c r="AA2419" s="22">
        <v>14</v>
      </c>
      <c r="AB2419" s="20" t="s">
        <v>153</v>
      </c>
      <c r="AC2419" s="20" t="s">
        <v>36</v>
      </c>
      <c r="AD2419" s="4" t="str">
        <f>"Pitanguá"</f>
        <v>Pitanguá</v>
      </c>
      <c r="AE2419" s="14" t="str">
        <f>"Matemática"</f>
        <v>Matemática</v>
      </c>
      <c r="AF2419" s="14"/>
    </row>
    <row r="2420" spans="1:32" ht="28.8" x14ac:dyDescent="0.3">
      <c r="A2420" s="23" t="s">
        <v>4386</v>
      </c>
      <c r="B2420" s="20" t="s">
        <v>6</v>
      </c>
      <c r="C2420" s="20" t="s">
        <v>7</v>
      </c>
      <c r="D2420" s="20" t="s">
        <v>8</v>
      </c>
      <c r="E2420" s="22">
        <v>242</v>
      </c>
      <c r="F2420" s="22">
        <v>5</v>
      </c>
      <c r="G2420" s="22">
        <v>10</v>
      </c>
      <c r="H2420" s="22"/>
      <c r="I2420" s="23" t="s">
        <v>9</v>
      </c>
      <c r="J2420" s="23"/>
      <c r="K2420" s="22"/>
      <c r="L2420" s="22"/>
      <c r="M2420" s="23"/>
      <c r="N2420" s="23"/>
      <c r="O2420" s="26" t="s">
        <v>4387</v>
      </c>
      <c r="P2420" s="26"/>
      <c r="Q2420" s="22"/>
      <c r="R2420" s="24"/>
      <c r="S2420" s="24"/>
      <c r="T2420" s="24"/>
      <c r="U2420" s="24"/>
      <c r="V2420" s="24"/>
      <c r="W2420" s="22" t="s">
        <v>356</v>
      </c>
      <c r="X2420" s="4" t="str">
        <f>IF(Tabela2[[#This Row],[sigla]]="","",VLOOKUP(Tabela2[[#This Row],[sigla]],créditos_base!B:C,2,0))</f>
        <v>CAMILA CARMONA/ARQUIVO DA EDITORA</v>
      </c>
      <c r="Y2420" s="23"/>
      <c r="Z2420" s="23" t="str">
        <f>Tabela2[[#This Row],[ilustrador]]</f>
        <v>CAMILA CARMONA/ARQUIVO DA EDITORA</v>
      </c>
      <c r="AA2420" s="22"/>
      <c r="AB2420" s="20"/>
      <c r="AD2420" s="4" t="str">
        <f>"Pitanguá"</f>
        <v>Pitanguá</v>
      </c>
      <c r="AE2420" s="14" t="str">
        <f>"Matemática"</f>
        <v>Matemática</v>
      </c>
      <c r="AF2420" s="14"/>
    </row>
    <row r="2421" spans="1:32" ht="43.2" x14ac:dyDescent="0.3">
      <c r="A2421" s="23" t="s">
        <v>692</v>
      </c>
      <c r="B2421" s="20" t="s">
        <v>16</v>
      </c>
      <c r="C2421" s="20" t="s">
        <v>7</v>
      </c>
      <c r="D2421" s="20" t="s">
        <v>8</v>
      </c>
      <c r="E2421" s="22">
        <v>153</v>
      </c>
      <c r="F2421" s="22">
        <v>1</v>
      </c>
      <c r="G2421" s="22">
        <v>10</v>
      </c>
      <c r="H2421" s="22"/>
      <c r="I2421" s="23" t="s">
        <v>9</v>
      </c>
      <c r="J2421" s="23"/>
      <c r="K2421" s="22"/>
      <c r="L2421" s="22"/>
      <c r="M2421" s="23"/>
      <c r="N2421" s="23"/>
      <c r="O2421" s="26" t="s">
        <v>693</v>
      </c>
      <c r="P2421" s="26"/>
      <c r="Q2421" s="22"/>
      <c r="R2421" s="24"/>
      <c r="S2421" s="24"/>
      <c r="T2421" s="24"/>
      <c r="U2421" s="24"/>
      <c r="V2421" s="24"/>
      <c r="W2421" s="22" t="s">
        <v>12</v>
      </c>
      <c r="X2421" s="4" t="str">
        <f>IF(Tabela2[[#This Row],[sigla]]="","",VLOOKUP(Tabela2[[#This Row],[sigla]],créditos_base!B:C,2,0))</f>
        <v>JORGE ZAIBA/ARQUIVO DA EDITORA</v>
      </c>
      <c r="Y2421" s="23"/>
      <c r="Z2421" s="23" t="str">
        <f>Tabela2[[#This Row],[ilustrador]]</f>
        <v>JORGE ZAIBA/ARQUIVO DA EDITORA</v>
      </c>
      <c r="AA2421" s="22"/>
      <c r="AB2421" s="20"/>
      <c r="AD2421" s="4" t="str">
        <f>"Pitanguá"</f>
        <v>Pitanguá</v>
      </c>
      <c r="AE2421" s="14" t="str">
        <f>"Matemática"</f>
        <v>Matemática</v>
      </c>
      <c r="AF2421" s="14"/>
    </row>
    <row r="2422" spans="1:32" x14ac:dyDescent="0.3">
      <c r="A2422" s="23" t="s">
        <v>2743</v>
      </c>
      <c r="B2422" s="20" t="s">
        <v>16</v>
      </c>
      <c r="C2422" s="20" t="s">
        <v>7</v>
      </c>
      <c r="D2422" s="20" t="s">
        <v>8</v>
      </c>
      <c r="E2422" s="22">
        <v>213</v>
      </c>
      <c r="F2422" s="22">
        <v>3</v>
      </c>
      <c r="G2422" s="22">
        <v>10</v>
      </c>
      <c r="H2422" s="22"/>
      <c r="I2422" s="23" t="s">
        <v>33</v>
      </c>
      <c r="J2422" s="23"/>
      <c r="K2422" s="22"/>
      <c r="L2422" s="22"/>
      <c r="M2422" s="23"/>
      <c r="N2422" s="23"/>
      <c r="O2422" s="26" t="s">
        <v>2744</v>
      </c>
      <c r="P2422" s="26"/>
      <c r="Q2422" s="22">
        <v>38</v>
      </c>
      <c r="R2422" s="24">
        <v>45776</v>
      </c>
      <c r="S2422" s="24">
        <v>45776</v>
      </c>
      <c r="T2422" s="24"/>
      <c r="U2422" s="24"/>
      <c r="V2422" s="24">
        <v>45782</v>
      </c>
      <c r="W2422" s="22" t="s">
        <v>1785</v>
      </c>
      <c r="X2422" s="4" t="str">
        <f>IF(Tabela2[[#This Row],[sigla]]="","",VLOOKUP(Tabela2[[#This Row],[sigla]],créditos_base!B:C,2,0))</f>
        <v>CAUÊ ZUNCHINI/ARQUIVO DA EDITORA</v>
      </c>
      <c r="Y2422" s="23" t="s">
        <v>2713</v>
      </c>
      <c r="Z2422" s="23" t="str">
        <f>Tabela2[[#This Row],[ilustrador]]</f>
        <v>CAUÊ ZUNCHINI/ARQUIVO DA EDITORA</v>
      </c>
      <c r="AA2422" s="22">
        <v>14</v>
      </c>
      <c r="AB2422" s="20" t="s">
        <v>244</v>
      </c>
      <c r="AC2422" s="20" t="s">
        <v>36</v>
      </c>
      <c r="AD2422" s="4" t="str">
        <f>"Pitanguá"</f>
        <v>Pitanguá</v>
      </c>
      <c r="AE2422" s="14" t="str">
        <f>"Matemática"</f>
        <v>Matemática</v>
      </c>
      <c r="AF2422" s="14"/>
    </row>
    <row r="2423" spans="1:32" x14ac:dyDescent="0.3">
      <c r="A2423" s="23" t="s">
        <v>4388</v>
      </c>
      <c r="B2423" s="20" t="s">
        <v>6</v>
      </c>
      <c r="C2423" s="20" t="s">
        <v>7</v>
      </c>
      <c r="D2423" s="20" t="s">
        <v>8</v>
      </c>
      <c r="E2423" s="22">
        <v>242</v>
      </c>
      <c r="F2423" s="22">
        <v>5</v>
      </c>
      <c r="G2423" s="22">
        <v>10</v>
      </c>
      <c r="H2423" s="22"/>
      <c r="I2423" s="23" t="s">
        <v>9</v>
      </c>
      <c r="J2423" s="23"/>
      <c r="K2423" s="22"/>
      <c r="L2423" s="22"/>
      <c r="M2423" s="23"/>
      <c r="N2423" s="23"/>
      <c r="O2423" s="26" t="s">
        <v>4389</v>
      </c>
      <c r="P2423" s="26"/>
      <c r="Q2423" s="22"/>
      <c r="R2423" s="24"/>
      <c r="S2423" s="24"/>
      <c r="T2423" s="24"/>
      <c r="U2423" s="24"/>
      <c r="V2423" s="24"/>
      <c r="W2423" s="22" t="s">
        <v>356</v>
      </c>
      <c r="X2423" s="4" t="str">
        <f>IF(Tabela2[[#This Row],[sigla]]="","",VLOOKUP(Tabela2[[#This Row],[sigla]],créditos_base!B:C,2,0))</f>
        <v>CAMILA CARMONA/ARQUIVO DA EDITORA</v>
      </c>
      <c r="Y2423" s="23"/>
      <c r="Z2423" s="23" t="str">
        <f>Tabela2[[#This Row],[ilustrador]]</f>
        <v>CAMILA CARMONA/ARQUIVO DA EDITORA</v>
      </c>
      <c r="AA2423" s="22"/>
      <c r="AB2423" s="20"/>
      <c r="AD2423" s="4" t="str">
        <f>"Pitanguá"</f>
        <v>Pitanguá</v>
      </c>
      <c r="AE2423" s="14" t="str">
        <f>"Matemática"</f>
        <v>Matemática</v>
      </c>
      <c r="AF2423" s="14"/>
    </row>
    <row r="2424" spans="1:32" ht="28.8" x14ac:dyDescent="0.3">
      <c r="A2424" s="23" t="s">
        <v>694</v>
      </c>
      <c r="B2424" s="20" t="s">
        <v>16</v>
      </c>
      <c r="C2424" s="20" t="s">
        <v>7</v>
      </c>
      <c r="D2424" s="20" t="s">
        <v>8</v>
      </c>
      <c r="E2424" s="22">
        <v>154</v>
      </c>
      <c r="F2424" s="22">
        <v>1</v>
      </c>
      <c r="G2424" s="22">
        <v>10</v>
      </c>
      <c r="H2424" s="22"/>
      <c r="I2424" s="23" t="s">
        <v>33</v>
      </c>
      <c r="J2424" s="23"/>
      <c r="K2424" s="22"/>
      <c r="L2424" s="22"/>
      <c r="M2424" s="23"/>
      <c r="N2424" s="23"/>
      <c r="O2424" s="26" t="s">
        <v>695</v>
      </c>
      <c r="P2424" s="26"/>
      <c r="Q2424" s="22">
        <v>187</v>
      </c>
      <c r="R2424" s="24">
        <v>45910</v>
      </c>
      <c r="S2424" s="24">
        <v>45910</v>
      </c>
      <c r="T2424" s="24"/>
      <c r="U2424" s="24"/>
      <c r="V2424" s="24">
        <v>45910</v>
      </c>
      <c r="W2424" s="22" t="s">
        <v>327</v>
      </c>
      <c r="X2424" s="4" t="str">
        <f>IF(Tabela2[[#This Row],[sigla]]="","",VLOOKUP(Tabela2[[#This Row],[sigla]],créditos_base!B:C,2,0))</f>
        <v>RAFAEL LAM/ARQUIVO DA EDITORA</v>
      </c>
      <c r="Y2424" s="23" t="s">
        <v>696</v>
      </c>
      <c r="Z2424" s="23" t="str">
        <f>Tabela2[[#This Row],[ilustrador]]</f>
        <v>RAFAEL LAM/ARQUIVO DA EDITORA</v>
      </c>
      <c r="AA2424" s="22">
        <v>13</v>
      </c>
      <c r="AB2424" s="20" t="s">
        <v>41</v>
      </c>
      <c r="AC2424" s="20" t="s">
        <v>36</v>
      </c>
      <c r="AD2424" s="4" t="str">
        <f>"Pitanguá"</f>
        <v>Pitanguá</v>
      </c>
      <c r="AE2424" s="14" t="str">
        <f>"Matemática"</f>
        <v>Matemática</v>
      </c>
      <c r="AF2424" s="14"/>
    </row>
    <row r="2425" spans="1:32" ht="28.8" x14ac:dyDescent="0.3">
      <c r="A2425" s="30" t="s">
        <v>1781</v>
      </c>
      <c r="B2425" s="20" t="s">
        <v>16</v>
      </c>
      <c r="C2425" s="20" t="s">
        <v>89</v>
      </c>
      <c r="D2425" s="20" t="s">
        <v>8</v>
      </c>
      <c r="E2425" s="22">
        <v>170</v>
      </c>
      <c r="F2425" s="22">
        <v>2</v>
      </c>
      <c r="G2425" s="22">
        <v>10</v>
      </c>
      <c r="H2425" s="22"/>
      <c r="I2425" s="23" t="s">
        <v>33</v>
      </c>
      <c r="J2425" s="23"/>
      <c r="K2425" s="22"/>
      <c r="L2425" s="22"/>
      <c r="M2425" s="23"/>
      <c r="N2425" s="23"/>
      <c r="O2425" s="26" t="s">
        <v>1782</v>
      </c>
      <c r="P2425" s="26"/>
      <c r="Q2425" s="22">
        <v>21</v>
      </c>
      <c r="R2425" s="24">
        <v>45749</v>
      </c>
      <c r="S2425" s="24">
        <v>45750</v>
      </c>
      <c r="T2425" s="24"/>
      <c r="U2425" s="24"/>
      <c r="V2425" s="24">
        <v>45750</v>
      </c>
      <c r="W2425" s="22" t="s">
        <v>468</v>
      </c>
      <c r="X2425" s="4" t="str">
        <f>IF(Tabela2[[#This Row],[sigla]]="","",VLOOKUP(Tabela2[[#This Row],[sigla]],créditos_base!B:C,2,0))</f>
        <v>VER DOCUMENTO DE ILS. TÉCNICAS</v>
      </c>
      <c r="Y2425" s="23" t="s">
        <v>152</v>
      </c>
      <c r="Z2425" s="23" t="s">
        <v>686</v>
      </c>
      <c r="AA2425" s="22">
        <v>13</v>
      </c>
      <c r="AB2425" s="20"/>
      <c r="AC2425" s="20" t="s">
        <v>36</v>
      </c>
      <c r="AD2425" s="4" t="str">
        <f>"Pitanguá"</f>
        <v>Pitanguá</v>
      </c>
      <c r="AE2425" s="14" t="str">
        <f>"Matemática"</f>
        <v>Matemática</v>
      </c>
      <c r="AF2425" s="14"/>
    </row>
    <row r="2426" spans="1:32" ht="57.6" x14ac:dyDescent="0.3">
      <c r="A2426" s="23" t="s">
        <v>2745</v>
      </c>
      <c r="B2426" s="20" t="s">
        <v>16</v>
      </c>
      <c r="C2426" s="20" t="s">
        <v>7</v>
      </c>
      <c r="D2426" s="20" t="s">
        <v>8</v>
      </c>
      <c r="E2426" s="22">
        <v>213</v>
      </c>
      <c r="F2426" s="22">
        <v>3</v>
      </c>
      <c r="G2426" s="22">
        <v>10</v>
      </c>
      <c r="H2426" s="22"/>
      <c r="I2426" s="23" t="s">
        <v>9</v>
      </c>
      <c r="J2426" s="23"/>
      <c r="K2426" s="22"/>
      <c r="L2426" s="22"/>
      <c r="M2426" s="23"/>
      <c r="N2426" s="23"/>
      <c r="O2426" s="26" t="s">
        <v>2746</v>
      </c>
      <c r="P2426" s="26"/>
      <c r="Q2426" s="22"/>
      <c r="R2426" s="24"/>
      <c r="S2426" s="24"/>
      <c r="T2426" s="24"/>
      <c r="U2426" s="24"/>
      <c r="V2426" s="24"/>
      <c r="W2426" s="22" t="s">
        <v>151</v>
      </c>
      <c r="X2426" s="4" t="str">
        <f>IF(Tabela2[[#This Row],[sigla]]="","",VLOOKUP(Tabela2[[#This Row],[sigla]],créditos_base!B:C,2,0))</f>
        <v>ROGÉRIO CASAGRANDE/ARQUIVO DA EDITORA</v>
      </c>
      <c r="Y2426" s="23"/>
      <c r="Z2426" s="23" t="str">
        <f>Tabela2[[#This Row],[ilustrador]]</f>
        <v>ROGÉRIO CASAGRANDE/ARQUIVO DA EDITORA</v>
      </c>
      <c r="AA2426" s="22"/>
      <c r="AB2426" s="20"/>
      <c r="AD2426" s="4" t="str">
        <f>"Pitanguá"</f>
        <v>Pitanguá</v>
      </c>
      <c r="AE2426" s="14" t="str">
        <f>"Matemática"</f>
        <v>Matemática</v>
      </c>
      <c r="AF2426" s="14"/>
    </row>
    <row r="2427" spans="1:32" ht="43.2" x14ac:dyDescent="0.3">
      <c r="A2427" s="23" t="s">
        <v>5752</v>
      </c>
      <c r="B2427" s="20" t="s">
        <v>16</v>
      </c>
      <c r="C2427" s="20" t="s">
        <v>89</v>
      </c>
      <c r="D2427" s="20" t="s">
        <v>8</v>
      </c>
      <c r="E2427" s="22">
        <v>261</v>
      </c>
      <c r="F2427" s="22">
        <v>5</v>
      </c>
      <c r="G2427" s="22">
        <v>10</v>
      </c>
      <c r="H2427" s="22"/>
      <c r="I2427" s="23" t="s">
        <v>9</v>
      </c>
      <c r="J2427" s="23"/>
      <c r="K2427" s="22"/>
      <c r="L2427" s="22"/>
      <c r="M2427" s="23"/>
      <c r="N2427" s="23"/>
      <c r="O2427" s="26" t="s">
        <v>5753</v>
      </c>
      <c r="P2427" s="26"/>
      <c r="Q2427" s="22"/>
      <c r="R2427" s="24"/>
      <c r="S2427" s="24"/>
      <c r="T2427" s="24"/>
      <c r="U2427" s="24"/>
      <c r="V2427" s="24"/>
      <c r="W2427" s="22" t="s">
        <v>230</v>
      </c>
      <c r="X2427" s="4" t="str">
        <f>IF(Tabela2[[#This Row],[sigla]]="","",VLOOKUP(Tabela2[[#This Row],[sigla]],créditos_base!B:C,2,0))</f>
        <v>RAFAEL L. GAION/ARQUIVO DA EDITORA</v>
      </c>
      <c r="Y2427" s="23"/>
      <c r="Z2427" s="23" t="str">
        <f>Tabela2[[#This Row],[ilustrador]]</f>
        <v>RAFAEL L. GAION/ARQUIVO DA EDITORA</v>
      </c>
      <c r="AA2427" s="22"/>
      <c r="AB2427" s="20"/>
      <c r="AD2427" s="4" t="str">
        <f>"Pitanguá"</f>
        <v>Pitanguá</v>
      </c>
      <c r="AE2427" s="14" t="str">
        <f>"Matemática"</f>
        <v>Matemática</v>
      </c>
      <c r="AF2427" s="14"/>
    </row>
    <row r="2428" spans="1:32" ht="100.8" x14ac:dyDescent="0.3">
      <c r="A2428" s="23" t="s">
        <v>697</v>
      </c>
      <c r="B2428" s="20" t="s">
        <v>16</v>
      </c>
      <c r="C2428" s="20" t="s">
        <v>7</v>
      </c>
      <c r="D2428" s="20" t="s">
        <v>8</v>
      </c>
      <c r="E2428" s="22">
        <v>154</v>
      </c>
      <c r="F2428" s="22">
        <v>1</v>
      </c>
      <c r="G2428" s="22">
        <v>10</v>
      </c>
      <c r="H2428" s="22"/>
      <c r="I2428" s="23" t="s">
        <v>9</v>
      </c>
      <c r="J2428" s="23"/>
      <c r="K2428" s="22"/>
      <c r="L2428" s="22"/>
      <c r="M2428" s="23"/>
      <c r="N2428" s="23"/>
      <c r="O2428" s="26" t="s">
        <v>698</v>
      </c>
      <c r="P2428" s="26"/>
      <c r="Q2428" s="22"/>
      <c r="R2428" s="24"/>
      <c r="S2428" s="24"/>
      <c r="T2428" s="24"/>
      <c r="U2428" s="24"/>
      <c r="V2428" s="24"/>
      <c r="W2428" s="22" t="s">
        <v>468</v>
      </c>
      <c r="X2428" s="4" t="str">
        <f>IF(Tabela2[[#This Row],[sigla]]="","",VLOOKUP(Tabela2[[#This Row],[sigla]],créditos_base!B:C,2,0))</f>
        <v>VER DOCUMENTO DE ILS. TÉCNICAS</v>
      </c>
      <c r="Y2428" s="23"/>
      <c r="Z2428" s="23" t="s">
        <v>661</v>
      </c>
      <c r="AA2428" s="22"/>
      <c r="AB2428" s="20"/>
      <c r="AD2428" s="4" t="str">
        <f>"Pitanguá"</f>
        <v>Pitanguá</v>
      </c>
      <c r="AE2428" s="14" t="str">
        <f>"Matemática"</f>
        <v>Matemática</v>
      </c>
      <c r="AF2428" s="14"/>
    </row>
    <row r="2429" spans="1:32" ht="100.8" x14ac:dyDescent="0.3">
      <c r="A2429" s="30" t="s">
        <v>1763</v>
      </c>
      <c r="B2429" s="20" t="s">
        <v>16</v>
      </c>
      <c r="C2429" s="20" t="s">
        <v>7</v>
      </c>
      <c r="D2429" s="20" t="s">
        <v>8</v>
      </c>
      <c r="E2429" s="22">
        <v>171</v>
      </c>
      <c r="F2429" s="22">
        <v>2</v>
      </c>
      <c r="G2429" s="22">
        <v>10</v>
      </c>
      <c r="H2429" s="22"/>
      <c r="I2429" s="23" t="s">
        <v>9</v>
      </c>
      <c r="J2429" s="23"/>
      <c r="K2429" s="22"/>
      <c r="L2429" s="22"/>
      <c r="M2429" s="23"/>
      <c r="N2429" s="23"/>
      <c r="O2429" s="26" t="s">
        <v>1764</v>
      </c>
      <c r="P2429" s="26"/>
      <c r="Q2429" s="22"/>
      <c r="R2429" s="24"/>
      <c r="S2429" s="24"/>
      <c r="T2429" s="24"/>
      <c r="U2429" s="24"/>
      <c r="V2429" s="24"/>
      <c r="W2429" s="22" t="s">
        <v>327</v>
      </c>
      <c r="X2429" s="4" t="str">
        <f>IF(Tabela2[[#This Row],[sigla]]="","",VLOOKUP(Tabela2[[#This Row],[sigla]],créditos_base!B:C,2,0))</f>
        <v>RAFAEL LAM/ARQUIVO DA EDITORA</v>
      </c>
      <c r="Y2429" s="23"/>
      <c r="Z2429" s="23" t="str">
        <f>Tabela2[[#This Row],[ilustrador]]</f>
        <v>RAFAEL LAM/ARQUIVO DA EDITORA</v>
      </c>
      <c r="AA2429" s="22"/>
      <c r="AB2429" s="20"/>
      <c r="AD2429" s="4" t="str">
        <f>"Pitanguá"</f>
        <v>Pitanguá</v>
      </c>
      <c r="AE2429" s="14" t="str">
        <f>"Matemática"</f>
        <v>Matemática</v>
      </c>
      <c r="AF2429" s="14"/>
    </row>
    <row r="2430" spans="1:32" ht="100.8" x14ac:dyDescent="0.3">
      <c r="A2430" s="23" t="s">
        <v>2747</v>
      </c>
      <c r="B2430" s="20" t="s">
        <v>16</v>
      </c>
      <c r="C2430" s="20" t="s">
        <v>7</v>
      </c>
      <c r="D2430" s="20" t="s">
        <v>8</v>
      </c>
      <c r="E2430" s="22">
        <v>213</v>
      </c>
      <c r="F2430" s="22">
        <v>3</v>
      </c>
      <c r="G2430" s="22">
        <v>10</v>
      </c>
      <c r="H2430" s="22"/>
      <c r="I2430" s="23" t="s">
        <v>9</v>
      </c>
      <c r="J2430" s="23"/>
      <c r="K2430" s="22"/>
      <c r="L2430" s="22"/>
      <c r="M2430" s="23"/>
      <c r="N2430" s="23"/>
      <c r="O2430" s="26" t="s">
        <v>2748</v>
      </c>
      <c r="P2430" s="26"/>
      <c r="Q2430" s="22"/>
      <c r="R2430" s="24"/>
      <c r="S2430" s="24"/>
      <c r="T2430" s="24"/>
      <c r="U2430" s="24"/>
      <c r="V2430" s="24"/>
      <c r="W2430" s="22" t="s">
        <v>151</v>
      </c>
      <c r="X2430" s="4" t="str">
        <f>IF(Tabela2[[#This Row],[sigla]]="","",VLOOKUP(Tabela2[[#This Row],[sigla]],créditos_base!B:C,2,0))</f>
        <v>ROGÉRIO CASAGRANDE/ARQUIVO DA EDITORA</v>
      </c>
      <c r="Y2430" s="23"/>
      <c r="Z2430" s="23" t="str">
        <f>Tabela2[[#This Row],[ilustrador]]</f>
        <v>ROGÉRIO CASAGRANDE/ARQUIVO DA EDITORA</v>
      </c>
      <c r="AA2430" s="22"/>
      <c r="AB2430" s="20"/>
      <c r="AD2430" s="4" t="str">
        <f>"Pitanguá"</f>
        <v>Pitanguá</v>
      </c>
      <c r="AE2430" s="14" t="str">
        <f>"Matemática"</f>
        <v>Matemática</v>
      </c>
      <c r="AF2430" s="14"/>
    </row>
    <row r="2431" spans="1:32" ht="100.8" x14ac:dyDescent="0.3">
      <c r="A2431" s="23" t="s">
        <v>699</v>
      </c>
      <c r="B2431" s="20" t="s">
        <v>16</v>
      </c>
      <c r="C2431" s="20" t="s">
        <v>7</v>
      </c>
      <c r="D2431" s="20" t="s">
        <v>8</v>
      </c>
      <c r="E2431" s="22">
        <v>154</v>
      </c>
      <c r="F2431" s="22">
        <v>1</v>
      </c>
      <c r="G2431" s="22">
        <v>10</v>
      </c>
      <c r="H2431" s="22"/>
      <c r="I2431" s="23" t="s">
        <v>9</v>
      </c>
      <c r="J2431" s="23"/>
      <c r="K2431" s="22"/>
      <c r="L2431" s="22"/>
      <c r="M2431" s="23"/>
      <c r="N2431" s="23"/>
      <c r="O2431" s="26" t="s">
        <v>700</v>
      </c>
      <c r="P2431" s="26"/>
      <c r="Q2431" s="22"/>
      <c r="R2431" s="24"/>
      <c r="S2431" s="24"/>
      <c r="T2431" s="24"/>
      <c r="U2431" s="24"/>
      <c r="V2431" s="24"/>
      <c r="W2431" s="22" t="s">
        <v>468</v>
      </c>
      <c r="X2431" s="4" t="str">
        <f>IF(Tabela2[[#This Row],[sigla]]="","",VLOOKUP(Tabela2[[#This Row],[sigla]],créditos_base!B:C,2,0))</f>
        <v>VER DOCUMENTO DE ILS. TÉCNICAS</v>
      </c>
      <c r="Y2431" s="23"/>
      <c r="Z2431" s="23" t="s">
        <v>661</v>
      </c>
      <c r="AA2431" s="22"/>
      <c r="AB2431" s="20"/>
      <c r="AD2431" s="4" t="str">
        <f>"Pitanguá"</f>
        <v>Pitanguá</v>
      </c>
      <c r="AE2431" s="14" t="str">
        <f>"Matemática"</f>
        <v>Matemática</v>
      </c>
      <c r="AF2431" s="14"/>
    </row>
    <row r="2432" spans="1:32" ht="100.8" x14ac:dyDescent="0.3">
      <c r="A2432" s="23" t="s">
        <v>2749</v>
      </c>
      <c r="B2432" s="20" t="s">
        <v>16</v>
      </c>
      <c r="C2432" s="20" t="s">
        <v>7</v>
      </c>
      <c r="D2432" s="20" t="s">
        <v>8</v>
      </c>
      <c r="E2432" s="22">
        <v>213</v>
      </c>
      <c r="F2432" s="22">
        <v>3</v>
      </c>
      <c r="G2432" s="22">
        <v>10</v>
      </c>
      <c r="H2432" s="22"/>
      <c r="I2432" s="23" t="s">
        <v>33</v>
      </c>
      <c r="J2432" s="23"/>
      <c r="K2432" s="22"/>
      <c r="L2432" s="22"/>
      <c r="M2432" s="23"/>
      <c r="N2432" s="23"/>
      <c r="O2432" s="26" t="s">
        <v>2750</v>
      </c>
      <c r="P2432" s="26"/>
      <c r="Q2432" s="22">
        <v>176</v>
      </c>
      <c r="R2432" s="24">
        <v>45901</v>
      </c>
      <c r="S2432" s="24">
        <v>45901</v>
      </c>
      <c r="T2432" s="24"/>
      <c r="U2432" s="24"/>
      <c r="V2432" s="24">
        <v>45901</v>
      </c>
      <c r="W2432" s="22" t="s">
        <v>151</v>
      </c>
      <c r="X2432" s="4" t="str">
        <f>IF(Tabela2[[#This Row],[sigla]]="","",VLOOKUP(Tabela2[[#This Row],[sigla]],créditos_base!B:C,2,0))</f>
        <v>ROGÉRIO CASAGRANDE/ARQUIVO DA EDITORA</v>
      </c>
      <c r="Y2432" s="23" t="s">
        <v>696</v>
      </c>
      <c r="Z2432" s="23" t="str">
        <f>Tabela2[[#This Row],[ilustrador]]</f>
        <v>ROGÉRIO CASAGRANDE/ARQUIVO DA EDITORA</v>
      </c>
      <c r="AA2432" s="22">
        <v>14</v>
      </c>
      <c r="AB2432" s="20" t="s">
        <v>244</v>
      </c>
      <c r="AC2432" s="20" t="s">
        <v>36</v>
      </c>
      <c r="AD2432" s="4" t="str">
        <f>"Pitanguá"</f>
        <v>Pitanguá</v>
      </c>
      <c r="AE2432" s="14" t="str">
        <f>"Matemática"</f>
        <v>Matemática</v>
      </c>
      <c r="AF2432" s="14"/>
    </row>
    <row r="2433" spans="1:32" ht="100.8" x14ac:dyDescent="0.3">
      <c r="A2433" s="23" t="s">
        <v>5756</v>
      </c>
      <c r="B2433" s="20" t="s">
        <v>16</v>
      </c>
      <c r="C2433" s="20" t="s">
        <v>540</v>
      </c>
      <c r="D2433" s="20" t="s">
        <v>8</v>
      </c>
      <c r="E2433" s="22">
        <v>263</v>
      </c>
      <c r="F2433" s="22">
        <v>5</v>
      </c>
      <c r="G2433" s="22">
        <v>10</v>
      </c>
      <c r="H2433" s="22"/>
      <c r="I2433" s="23" t="s">
        <v>33</v>
      </c>
      <c r="J2433" s="23"/>
      <c r="K2433" s="22"/>
      <c r="L2433" s="22"/>
      <c r="M2433" s="23"/>
      <c r="N2433" s="23"/>
      <c r="O2433" s="26" t="s">
        <v>5757</v>
      </c>
      <c r="P2433" s="26"/>
      <c r="Q2433" s="22">
        <v>208</v>
      </c>
      <c r="R2433" s="24">
        <v>45926</v>
      </c>
      <c r="S2433" s="24">
        <v>45926</v>
      </c>
      <c r="T2433" s="24"/>
      <c r="U2433" s="24"/>
      <c r="V2433" s="24">
        <v>45926</v>
      </c>
      <c r="W2433" s="22" t="s">
        <v>425</v>
      </c>
      <c r="X2433" s="4" t="str">
        <f>IF(Tabela2[[#This Row],[sigla]]="","",VLOOKUP(Tabela2[[#This Row],[sigla]],créditos_base!B:C,2,0))</f>
        <v>BÁRBARA SARZI/ARQUIVO DA EDITORA</v>
      </c>
      <c r="Y2433" s="23" t="s">
        <v>524</v>
      </c>
      <c r="Z2433" s="23" t="str">
        <f>Tabela2[[#This Row],[ilustrador]]</f>
        <v>BÁRBARA SARZI/ARQUIVO DA EDITORA</v>
      </c>
      <c r="AA2433" s="22">
        <v>13</v>
      </c>
      <c r="AB2433" s="20" t="s">
        <v>525</v>
      </c>
      <c r="AD2433" s="4" t="str">
        <f>"Pitanguá"</f>
        <v>Pitanguá</v>
      </c>
      <c r="AE2433" s="14" t="str">
        <f>"Matemática"</f>
        <v>Matemática</v>
      </c>
      <c r="AF2433" s="14"/>
    </row>
    <row r="2434" spans="1:32" ht="100.8" x14ac:dyDescent="0.3">
      <c r="A2434" s="23" t="s">
        <v>701</v>
      </c>
      <c r="B2434" s="20" t="s">
        <v>16</v>
      </c>
      <c r="C2434" s="20" t="s">
        <v>7</v>
      </c>
      <c r="D2434" s="20" t="s">
        <v>8</v>
      </c>
      <c r="E2434" s="22">
        <v>154</v>
      </c>
      <c r="F2434" s="22">
        <v>1</v>
      </c>
      <c r="G2434" s="22">
        <v>10</v>
      </c>
      <c r="H2434" s="22"/>
      <c r="I2434" s="23" t="s">
        <v>9</v>
      </c>
      <c r="J2434" s="23"/>
      <c r="K2434" s="22"/>
      <c r="L2434" s="22"/>
      <c r="M2434" s="23"/>
      <c r="N2434" s="23"/>
      <c r="O2434" s="26" t="s">
        <v>702</v>
      </c>
      <c r="P2434" s="26"/>
      <c r="Q2434" s="22"/>
      <c r="R2434" s="24"/>
      <c r="S2434" s="24"/>
      <c r="T2434" s="24"/>
      <c r="U2434" s="24"/>
      <c r="V2434" s="24"/>
      <c r="W2434" s="22" t="s">
        <v>468</v>
      </c>
      <c r="X2434" s="4" t="str">
        <f>IF(Tabela2[[#This Row],[sigla]]="","",VLOOKUP(Tabela2[[#This Row],[sigla]],créditos_base!B:C,2,0))</f>
        <v>VER DOCUMENTO DE ILS. TÉCNICAS</v>
      </c>
      <c r="Y2434" s="23"/>
      <c r="Z2434" s="23" t="s">
        <v>661</v>
      </c>
      <c r="AA2434" s="22"/>
      <c r="AB2434" s="20"/>
      <c r="AD2434" s="4" t="str">
        <f>"Pitanguá"</f>
        <v>Pitanguá</v>
      </c>
      <c r="AE2434" s="14" t="str">
        <f>"Matemática"</f>
        <v>Matemática</v>
      </c>
      <c r="AF2434" s="14"/>
    </row>
    <row r="2435" spans="1:32" ht="100.8" x14ac:dyDescent="0.3">
      <c r="A2435" s="23" t="s">
        <v>2751</v>
      </c>
      <c r="B2435" s="20" t="s">
        <v>16</v>
      </c>
      <c r="C2435" s="20" t="s">
        <v>7</v>
      </c>
      <c r="D2435" s="20" t="s">
        <v>8</v>
      </c>
      <c r="E2435" s="22">
        <v>213</v>
      </c>
      <c r="F2435" s="22">
        <v>3</v>
      </c>
      <c r="G2435" s="22">
        <v>10</v>
      </c>
      <c r="H2435" s="22"/>
      <c r="I2435" s="23" t="s">
        <v>33</v>
      </c>
      <c r="J2435" s="23"/>
      <c r="K2435" s="22"/>
      <c r="L2435" s="22"/>
      <c r="M2435" s="23"/>
      <c r="N2435" s="23"/>
      <c r="O2435" s="26" t="s">
        <v>2752</v>
      </c>
      <c r="P2435" s="26"/>
      <c r="Q2435" s="22">
        <v>176</v>
      </c>
      <c r="R2435" s="24">
        <v>45901</v>
      </c>
      <c r="S2435" s="24">
        <v>45901</v>
      </c>
      <c r="T2435" s="24"/>
      <c r="U2435" s="24"/>
      <c r="V2435" s="24">
        <v>45901</v>
      </c>
      <c r="W2435" s="22" t="s">
        <v>151</v>
      </c>
      <c r="X2435" s="4" t="str">
        <f>IF(Tabela2[[#This Row],[sigla]]="","",VLOOKUP(Tabela2[[#This Row],[sigla]],créditos_base!B:C,2,0))</f>
        <v>ROGÉRIO CASAGRANDE/ARQUIVO DA EDITORA</v>
      </c>
      <c r="Y2435" s="23" t="s">
        <v>696</v>
      </c>
      <c r="Z2435" s="23" t="str">
        <f>Tabela2[[#This Row],[ilustrador]]</f>
        <v>ROGÉRIO CASAGRANDE/ARQUIVO DA EDITORA</v>
      </c>
      <c r="AA2435" s="22">
        <v>14</v>
      </c>
      <c r="AB2435" s="20" t="s">
        <v>244</v>
      </c>
      <c r="AC2435" s="20" t="s">
        <v>36</v>
      </c>
      <c r="AD2435" s="4" t="str">
        <f>"Pitanguá"</f>
        <v>Pitanguá</v>
      </c>
      <c r="AE2435" s="14" t="str">
        <f>"Matemática"</f>
        <v>Matemática</v>
      </c>
      <c r="AF2435" s="14"/>
    </row>
    <row r="2436" spans="1:32" ht="100.8" x14ac:dyDescent="0.3">
      <c r="A2436" s="23" t="s">
        <v>5758</v>
      </c>
      <c r="B2436" s="20" t="s">
        <v>16</v>
      </c>
      <c r="C2436" s="20" t="s">
        <v>540</v>
      </c>
      <c r="D2436" s="20" t="s">
        <v>8</v>
      </c>
      <c r="E2436" s="22">
        <v>263</v>
      </c>
      <c r="F2436" s="22">
        <v>5</v>
      </c>
      <c r="G2436" s="22">
        <v>10</v>
      </c>
      <c r="H2436" s="22"/>
      <c r="I2436" s="23" t="s">
        <v>33</v>
      </c>
      <c r="J2436" s="23"/>
      <c r="K2436" s="22"/>
      <c r="L2436" s="22"/>
      <c r="M2436" s="23"/>
      <c r="N2436" s="23"/>
      <c r="O2436" s="26" t="s">
        <v>5759</v>
      </c>
      <c r="P2436" s="26"/>
      <c r="Q2436" s="22">
        <v>144</v>
      </c>
      <c r="R2436" s="24">
        <v>45873</v>
      </c>
      <c r="S2436" s="24">
        <v>45880</v>
      </c>
      <c r="T2436" s="24"/>
      <c r="U2436" s="24"/>
      <c r="V2436" s="24">
        <v>45882</v>
      </c>
      <c r="W2436" s="22" t="s">
        <v>425</v>
      </c>
      <c r="X2436" s="4" t="str">
        <f>IF(Tabela2[[#This Row],[sigla]]="","",VLOOKUP(Tabela2[[#This Row],[sigla]],créditos_base!B:C,2,0))</f>
        <v>BÁRBARA SARZI/ARQUIVO DA EDITORA</v>
      </c>
      <c r="Y2436" s="23" t="s">
        <v>243</v>
      </c>
      <c r="Z2436" s="23" t="str">
        <f>Tabela2[[#This Row],[ilustrador]]</f>
        <v>BÁRBARA SARZI/ARQUIVO DA EDITORA</v>
      </c>
      <c r="AA2436" s="22">
        <v>13</v>
      </c>
      <c r="AB2436" s="20" t="s">
        <v>5741</v>
      </c>
      <c r="AC2436" s="20" t="s">
        <v>36</v>
      </c>
      <c r="AD2436" s="4" t="str">
        <f>"Pitanguá"</f>
        <v>Pitanguá</v>
      </c>
      <c r="AE2436" s="14" t="str">
        <f>"Matemática"</f>
        <v>Matemática</v>
      </c>
      <c r="AF2436" s="14"/>
    </row>
    <row r="2437" spans="1:32" ht="115.2" x14ac:dyDescent="0.3">
      <c r="A2437" s="23" t="s">
        <v>703</v>
      </c>
      <c r="B2437" s="20" t="s">
        <v>6</v>
      </c>
      <c r="C2437" s="20" t="s">
        <v>7</v>
      </c>
      <c r="D2437" s="20" t="s">
        <v>8</v>
      </c>
      <c r="E2437" s="22">
        <v>155</v>
      </c>
      <c r="F2437" s="22">
        <v>1</v>
      </c>
      <c r="G2437" s="22">
        <v>10</v>
      </c>
      <c r="H2437" s="22"/>
      <c r="I2437" s="23" t="s">
        <v>9</v>
      </c>
      <c r="J2437" s="23"/>
      <c r="K2437" s="22"/>
      <c r="L2437" s="22"/>
      <c r="M2437" s="23"/>
      <c r="N2437" s="23"/>
      <c r="O2437" s="26" t="s">
        <v>704</v>
      </c>
      <c r="P2437" s="26" t="s">
        <v>465</v>
      </c>
      <c r="Q2437" s="22"/>
      <c r="R2437" s="24"/>
      <c r="S2437" s="24"/>
      <c r="T2437" s="24"/>
      <c r="U2437" s="24"/>
      <c r="V2437" s="24"/>
      <c r="W2437" s="22" t="s">
        <v>160</v>
      </c>
      <c r="X2437" s="4" t="str">
        <f>IF(Tabela2[[#This Row],[sigla]]="","",VLOOKUP(Tabela2[[#This Row],[sigla]],créditos_base!B:C,2,0))</f>
        <v>SERGIO LIMA/ARQUIVO DA EDITORA</v>
      </c>
      <c r="Y2437" s="23"/>
      <c r="Z2437" s="23" t="str">
        <f>Tabela2[[#This Row],[ilustrador]]</f>
        <v>SERGIO LIMA/ARQUIVO DA EDITORA</v>
      </c>
      <c r="AA2437" s="22"/>
      <c r="AB2437" s="20"/>
      <c r="AD2437" s="4" t="str">
        <f>"Pitanguá"</f>
        <v>Pitanguá</v>
      </c>
      <c r="AE2437" s="14" t="str">
        <f>"Matemática"</f>
        <v>Matemática</v>
      </c>
      <c r="AF2437" s="14"/>
    </row>
    <row r="2438" spans="1:32" ht="86.4" x14ac:dyDescent="0.3">
      <c r="A2438" s="30" t="s">
        <v>1765</v>
      </c>
      <c r="B2438" s="20" t="s">
        <v>16</v>
      </c>
      <c r="C2438" s="20" t="s">
        <v>7</v>
      </c>
      <c r="D2438" s="20" t="s">
        <v>8</v>
      </c>
      <c r="E2438" s="22">
        <v>173</v>
      </c>
      <c r="F2438" s="22">
        <v>2</v>
      </c>
      <c r="G2438" s="22">
        <v>10</v>
      </c>
      <c r="H2438" s="22"/>
      <c r="I2438" s="23" t="s">
        <v>9</v>
      </c>
      <c r="J2438" s="23"/>
      <c r="K2438" s="22"/>
      <c r="L2438" s="22"/>
      <c r="M2438" s="23"/>
      <c r="N2438" s="23"/>
      <c r="O2438" s="26" t="s">
        <v>1766</v>
      </c>
      <c r="P2438" s="26"/>
      <c r="Q2438" s="22"/>
      <c r="R2438" s="24"/>
      <c r="S2438" s="24"/>
      <c r="T2438" s="24"/>
      <c r="U2438" s="24"/>
      <c r="V2438" s="24"/>
      <c r="W2438" s="22" t="s">
        <v>468</v>
      </c>
      <c r="X2438" s="4" t="str">
        <f>IF(Tabela2[[#This Row],[sigla]]="","",VLOOKUP(Tabela2[[#This Row],[sigla]],créditos_base!B:C,2,0))</f>
        <v>VER DOCUMENTO DE ILS. TÉCNICAS</v>
      </c>
      <c r="Y2438" s="23"/>
      <c r="Z2438" s="23" t="s">
        <v>686</v>
      </c>
      <c r="AA2438" s="22"/>
      <c r="AB2438" s="20"/>
      <c r="AD2438" s="4" t="str">
        <f>"Pitanguá"</f>
        <v>Pitanguá</v>
      </c>
      <c r="AE2438" s="14" t="str">
        <f>"Matemática"</f>
        <v>Matemática</v>
      </c>
      <c r="AF2438" s="14"/>
    </row>
    <row r="2439" spans="1:32" ht="86.4" x14ac:dyDescent="0.3">
      <c r="A2439" s="23" t="s">
        <v>4390</v>
      </c>
      <c r="B2439" s="20" t="s">
        <v>1137</v>
      </c>
      <c r="C2439" s="20" t="s">
        <v>7</v>
      </c>
      <c r="D2439" s="20" t="s">
        <v>8</v>
      </c>
      <c r="E2439" s="22">
        <v>246</v>
      </c>
      <c r="F2439" s="22">
        <v>5</v>
      </c>
      <c r="G2439" s="22">
        <v>10</v>
      </c>
      <c r="H2439" s="22"/>
      <c r="I2439" s="23" t="s">
        <v>33</v>
      </c>
      <c r="J2439" s="23"/>
      <c r="K2439" s="22"/>
      <c r="L2439" s="22"/>
      <c r="M2439" s="23"/>
      <c r="N2439" s="23"/>
      <c r="O2439" s="26" t="s">
        <v>4391</v>
      </c>
      <c r="P2439" s="26"/>
      <c r="Q2439" s="22">
        <v>219</v>
      </c>
      <c r="R2439" s="24">
        <v>45936</v>
      </c>
      <c r="S2439" s="24"/>
      <c r="T2439" s="24"/>
      <c r="U2439" s="24"/>
      <c r="V2439" s="24"/>
      <c r="W2439" s="22" t="s">
        <v>3189</v>
      </c>
      <c r="X2439" s="4" t="str">
        <f>IF(Tabela2[[#This Row],[sigla]]="","",VLOOKUP(Tabela2[[#This Row],[sigla]],créditos_base!B:C,2,0))</f>
        <v>ANDRÉ AGUIAR/ARQUIVO DA EDITORA</v>
      </c>
      <c r="Y2439" s="23"/>
      <c r="Z2439" s="23" t="str">
        <f>Tabela2[[#This Row],[ilustrador]]</f>
        <v>ANDRÉ AGUIAR/ARQUIVO DA EDITORA</v>
      </c>
      <c r="AA2439" s="22"/>
      <c r="AB2439" s="20"/>
      <c r="AD2439" s="4" t="str">
        <f>"Pitanguá"</f>
        <v>Pitanguá</v>
      </c>
      <c r="AE2439" s="14" t="str">
        <f>"Matemática"</f>
        <v>Matemática</v>
      </c>
      <c r="AF2439" s="14"/>
    </row>
    <row r="2440" spans="1:32" ht="86.4" x14ac:dyDescent="0.3">
      <c r="A2440" s="30" t="s">
        <v>1767</v>
      </c>
      <c r="B2440" s="20" t="s">
        <v>16</v>
      </c>
      <c r="C2440" s="20" t="s">
        <v>89</v>
      </c>
      <c r="D2440" s="20" t="s">
        <v>8</v>
      </c>
      <c r="E2440" s="22">
        <v>173</v>
      </c>
      <c r="F2440" s="22">
        <v>2</v>
      </c>
      <c r="G2440" s="22">
        <v>10</v>
      </c>
      <c r="H2440" s="22"/>
      <c r="I2440" s="23" t="s">
        <v>9</v>
      </c>
      <c r="J2440" s="23"/>
      <c r="K2440" s="22"/>
      <c r="L2440" s="22"/>
      <c r="M2440" s="23"/>
      <c r="N2440" s="23"/>
      <c r="O2440" s="26" t="s">
        <v>1768</v>
      </c>
      <c r="P2440" s="26"/>
      <c r="Q2440" s="22"/>
      <c r="R2440" s="24"/>
      <c r="S2440" s="24"/>
      <c r="T2440" s="24"/>
      <c r="U2440" s="24"/>
      <c r="V2440" s="24"/>
      <c r="W2440" s="22" t="s">
        <v>468</v>
      </c>
      <c r="X2440" s="4" t="str">
        <f>IF(Tabela2[[#This Row],[sigla]]="","",VLOOKUP(Tabela2[[#This Row],[sigla]],créditos_base!B:C,2,0))</f>
        <v>VER DOCUMENTO DE ILS. TÉCNICAS</v>
      </c>
      <c r="Y2440" s="23"/>
      <c r="Z2440" s="23" t="s">
        <v>689</v>
      </c>
      <c r="AA2440" s="22"/>
      <c r="AB2440" s="20"/>
      <c r="AD2440" s="4" t="str">
        <f>"Pitanguá"</f>
        <v>Pitanguá</v>
      </c>
      <c r="AE2440" s="14" t="str">
        <f>"Matemática"</f>
        <v>Matemática</v>
      </c>
      <c r="AF2440" s="14"/>
    </row>
    <row r="2441" spans="1:32" ht="86.4" x14ac:dyDescent="0.3">
      <c r="A2441" s="23" t="s">
        <v>4392</v>
      </c>
      <c r="B2441" s="20" t="s">
        <v>16</v>
      </c>
      <c r="C2441" s="20" t="s">
        <v>7</v>
      </c>
      <c r="D2441" s="20" t="s">
        <v>8</v>
      </c>
      <c r="E2441" s="22">
        <v>247</v>
      </c>
      <c r="F2441" s="22">
        <v>5</v>
      </c>
      <c r="G2441" s="22">
        <v>10</v>
      </c>
      <c r="H2441" s="22"/>
      <c r="I2441" s="23" t="s">
        <v>9</v>
      </c>
      <c r="J2441" s="23"/>
      <c r="K2441" s="22"/>
      <c r="L2441" s="22"/>
      <c r="M2441" s="23"/>
      <c r="N2441" s="23"/>
      <c r="O2441" s="26" t="s">
        <v>4393</v>
      </c>
      <c r="P2441" s="26"/>
      <c r="Q2441" s="22"/>
      <c r="R2441" s="24"/>
      <c r="S2441" s="24"/>
      <c r="T2441" s="24"/>
      <c r="U2441" s="24"/>
      <c r="V2441" s="24"/>
      <c r="W2441" s="22" t="s">
        <v>327</v>
      </c>
      <c r="X2441" s="4" t="str">
        <f>IF(Tabela2[[#This Row],[sigla]]="","",VLOOKUP(Tabela2[[#This Row],[sigla]],créditos_base!B:C,2,0))</f>
        <v>RAFAEL LAM/ARQUIVO DA EDITORA</v>
      </c>
      <c r="Y2441" s="23"/>
      <c r="Z2441" s="23" t="str">
        <f>Tabela2[[#This Row],[ilustrador]]</f>
        <v>RAFAEL LAM/ARQUIVO DA EDITORA</v>
      </c>
      <c r="AA2441" s="22"/>
      <c r="AB2441" s="20"/>
      <c r="AD2441" s="4" t="str">
        <f>"Pitanguá"</f>
        <v>Pitanguá</v>
      </c>
      <c r="AE2441" s="14" t="str">
        <f>"Matemática"</f>
        <v>Matemática</v>
      </c>
      <c r="AF2441" s="14"/>
    </row>
    <row r="2442" spans="1:32" ht="100.8" x14ac:dyDescent="0.3">
      <c r="A2442" s="30" t="s">
        <v>1769</v>
      </c>
      <c r="B2442" s="20" t="s">
        <v>16</v>
      </c>
      <c r="C2442" s="20" t="s">
        <v>7</v>
      </c>
      <c r="D2442" s="20" t="s">
        <v>8</v>
      </c>
      <c r="E2442" s="22">
        <v>248</v>
      </c>
      <c r="F2442" s="22">
        <v>2</v>
      </c>
      <c r="G2442" s="22">
        <v>10</v>
      </c>
      <c r="H2442" s="22"/>
      <c r="I2442" s="23" t="s">
        <v>33</v>
      </c>
      <c r="J2442" s="23"/>
      <c r="K2442" s="22"/>
      <c r="L2442" s="22"/>
      <c r="M2442" s="23"/>
      <c r="N2442" s="23"/>
      <c r="O2442" s="26" t="s">
        <v>1770</v>
      </c>
      <c r="P2442" s="26"/>
      <c r="Q2442" s="22">
        <v>69</v>
      </c>
      <c r="R2442" s="24">
        <v>45812</v>
      </c>
      <c r="S2442" s="24">
        <v>45817</v>
      </c>
      <c r="T2442" s="24"/>
      <c r="U2442" s="24"/>
      <c r="V2442" s="24">
        <v>45817</v>
      </c>
      <c r="W2442" s="22" t="s">
        <v>327</v>
      </c>
      <c r="X2442" s="4" t="str">
        <f>IF(Tabela2[[#This Row],[sigla]]="","",VLOOKUP(Tabela2[[#This Row],[sigla]],créditos_base!B:C,2,0))</f>
        <v>RAFAEL LAM/ARQUIVO DA EDITORA</v>
      </c>
      <c r="Y2442" s="23" t="s">
        <v>1139</v>
      </c>
      <c r="Z2442" s="23" t="str">
        <f>Tabela2[[#This Row],[ilustrador]]</f>
        <v>RAFAEL LAM/ARQUIVO DA EDITORA</v>
      </c>
      <c r="AA2442" s="22">
        <v>13</v>
      </c>
      <c r="AB2442" s="20" t="s">
        <v>1771</v>
      </c>
      <c r="AC2442" s="20" t="s">
        <v>36</v>
      </c>
      <c r="AD2442" s="4" t="str">
        <f>"Pitanguá"</f>
        <v>Pitanguá</v>
      </c>
      <c r="AE2442" s="14" t="str">
        <f>"Matemática"</f>
        <v>Matemática</v>
      </c>
      <c r="AF2442" s="14"/>
    </row>
    <row r="2443" spans="1:32" ht="86.4" x14ac:dyDescent="0.3">
      <c r="A2443" s="23" t="s">
        <v>2753</v>
      </c>
      <c r="B2443" s="20" t="s">
        <v>6</v>
      </c>
      <c r="C2443" s="20" t="s">
        <v>7</v>
      </c>
      <c r="D2443" s="20" t="s">
        <v>8</v>
      </c>
      <c r="E2443" s="22">
        <v>214</v>
      </c>
      <c r="F2443" s="22">
        <v>3</v>
      </c>
      <c r="G2443" s="22">
        <v>10</v>
      </c>
      <c r="H2443" s="22"/>
      <c r="I2443" s="23" t="s">
        <v>33</v>
      </c>
      <c r="J2443" s="23"/>
      <c r="K2443" s="22"/>
      <c r="L2443" s="22"/>
      <c r="M2443" s="23"/>
      <c r="N2443" s="23"/>
      <c r="O2443" s="26" t="s">
        <v>2754</v>
      </c>
      <c r="P2443" s="26" t="s">
        <v>11</v>
      </c>
      <c r="Q2443" s="22">
        <v>38</v>
      </c>
      <c r="R2443" s="24">
        <v>45776</v>
      </c>
      <c r="S2443" s="24">
        <v>45776</v>
      </c>
      <c r="T2443" s="24"/>
      <c r="U2443" s="24"/>
      <c r="V2443" s="24">
        <v>45782</v>
      </c>
      <c r="W2443" s="22" t="s">
        <v>468</v>
      </c>
      <c r="X2443" s="4" t="str">
        <f>IF(Tabela2[[#This Row],[sigla]]="","",VLOOKUP(Tabela2[[#This Row],[sigla]],créditos_base!B:C,2,0))</f>
        <v>VER DOCUMENTO DE ILS. TÉCNICAS</v>
      </c>
      <c r="Y2443" s="23" t="s">
        <v>2713</v>
      </c>
      <c r="Z2443" s="23" t="s">
        <v>1327</v>
      </c>
      <c r="AA2443" s="22">
        <v>14</v>
      </c>
      <c r="AB2443" s="20" t="s">
        <v>244</v>
      </c>
      <c r="AC2443" s="20" t="s">
        <v>36</v>
      </c>
      <c r="AD2443" s="4" t="str">
        <f>"Pitanguá"</f>
        <v>Pitanguá</v>
      </c>
      <c r="AE2443" s="14" t="str">
        <f>"Matemática"</f>
        <v>Matemática</v>
      </c>
      <c r="AF2443" s="14"/>
    </row>
    <row r="2444" spans="1:32" ht="86.4" x14ac:dyDescent="0.3">
      <c r="A2444" s="23" t="s">
        <v>5760</v>
      </c>
      <c r="B2444" s="20" t="s">
        <v>16</v>
      </c>
      <c r="C2444" s="20" t="s">
        <v>89</v>
      </c>
      <c r="D2444" s="20" t="s">
        <v>8</v>
      </c>
      <c r="E2444" s="22">
        <v>267</v>
      </c>
      <c r="F2444" s="22">
        <v>5</v>
      </c>
      <c r="G2444" s="22">
        <v>10</v>
      </c>
      <c r="H2444" s="22"/>
      <c r="I2444" s="23" t="s">
        <v>33</v>
      </c>
      <c r="J2444" s="23"/>
      <c r="K2444" s="22"/>
      <c r="L2444" s="22"/>
      <c r="M2444" s="23"/>
      <c r="N2444" s="23"/>
      <c r="O2444" s="26" t="s">
        <v>5761</v>
      </c>
      <c r="P2444" s="26"/>
      <c r="Q2444" s="22">
        <v>144</v>
      </c>
      <c r="R2444" s="24">
        <v>45873</v>
      </c>
      <c r="S2444" s="24">
        <v>45880</v>
      </c>
      <c r="T2444" s="24"/>
      <c r="U2444" s="24"/>
      <c r="V2444" s="24">
        <v>45882</v>
      </c>
      <c r="W2444" s="22" t="s">
        <v>230</v>
      </c>
      <c r="X2444" s="4" t="str">
        <f>IF(Tabela2[[#This Row],[sigla]]="","",VLOOKUP(Tabela2[[#This Row],[sigla]],créditos_base!B:C,2,0))</f>
        <v>RAFAEL L. GAION/ARQUIVO DA EDITORA</v>
      </c>
      <c r="Y2444" s="23" t="s">
        <v>243</v>
      </c>
      <c r="Z2444" s="23" t="str">
        <f>Tabela2[[#This Row],[ilustrador]]</f>
        <v>RAFAEL L. GAION/ARQUIVO DA EDITORA</v>
      </c>
      <c r="AA2444" s="22">
        <v>13</v>
      </c>
      <c r="AB2444" s="20" t="s">
        <v>5741</v>
      </c>
      <c r="AC2444" s="20" t="s">
        <v>36</v>
      </c>
      <c r="AD2444" s="4" t="str">
        <f>"Pitanguá"</f>
        <v>Pitanguá</v>
      </c>
      <c r="AE2444" s="14" t="str">
        <f>"Matemática"</f>
        <v>Matemática</v>
      </c>
      <c r="AF2444" s="14"/>
    </row>
    <row r="2445" spans="1:32" ht="28.8" x14ac:dyDescent="0.3">
      <c r="A2445" s="23" t="s">
        <v>705</v>
      </c>
      <c r="B2445" s="20" t="s">
        <v>16</v>
      </c>
      <c r="C2445" s="20" t="s">
        <v>7</v>
      </c>
      <c r="D2445" s="20" t="s">
        <v>8</v>
      </c>
      <c r="E2445" s="22">
        <v>158</v>
      </c>
      <c r="F2445" s="22">
        <v>1</v>
      </c>
      <c r="G2445" s="22">
        <v>10</v>
      </c>
      <c r="H2445" s="22"/>
      <c r="I2445" s="23" t="s">
        <v>9</v>
      </c>
      <c r="J2445" s="23"/>
      <c r="K2445" s="22"/>
      <c r="L2445" s="22"/>
      <c r="M2445" s="23"/>
      <c r="N2445" s="23"/>
      <c r="O2445" s="26" t="s">
        <v>706</v>
      </c>
      <c r="P2445" s="26"/>
      <c r="Q2445" s="22"/>
      <c r="R2445" s="24"/>
      <c r="S2445" s="24"/>
      <c r="T2445" s="24"/>
      <c r="U2445" s="24"/>
      <c r="V2445" s="24"/>
      <c r="W2445" s="22" t="s">
        <v>20</v>
      </c>
      <c r="X2445" s="4" t="str">
        <f>IF(Tabela2[[#This Row],[sigla]]="","",VLOOKUP(Tabela2[[#This Row],[sigla]],créditos_base!B:C,2,0))</f>
        <v>SONIA HORN/ARQUIVO DA EDITORA</v>
      </c>
      <c r="Y2445" s="23"/>
      <c r="Z2445" s="23" t="str">
        <f>Tabela2[[#This Row],[ilustrador]]</f>
        <v>SONIA HORN/ARQUIVO DA EDITORA</v>
      </c>
      <c r="AA2445" s="22"/>
      <c r="AB2445" s="20"/>
      <c r="AD2445" s="4" t="str">
        <f>"Pitanguá"</f>
        <v>Pitanguá</v>
      </c>
      <c r="AE2445" s="14" t="str">
        <f>"Matemática"</f>
        <v>Matemática</v>
      </c>
      <c r="AF2445" s="14"/>
    </row>
    <row r="2446" spans="1:32" ht="115.2" x14ac:dyDescent="0.3">
      <c r="A2446" s="30" t="s">
        <v>1772</v>
      </c>
      <c r="B2446" s="20" t="s">
        <v>16</v>
      </c>
      <c r="C2446" s="20" t="s">
        <v>7</v>
      </c>
      <c r="D2446" s="20" t="s">
        <v>8</v>
      </c>
      <c r="E2446" s="22">
        <v>248</v>
      </c>
      <c r="F2446" s="22">
        <v>2</v>
      </c>
      <c r="G2446" s="22">
        <v>10</v>
      </c>
      <c r="H2446" s="22"/>
      <c r="I2446" s="23" t="s">
        <v>33</v>
      </c>
      <c r="J2446" s="23"/>
      <c r="K2446" s="22"/>
      <c r="L2446" s="22"/>
      <c r="M2446" s="23"/>
      <c r="N2446" s="23"/>
      <c r="O2446" s="26" t="s">
        <v>1773</v>
      </c>
      <c r="P2446" s="26"/>
      <c r="Q2446" s="22">
        <v>69</v>
      </c>
      <c r="R2446" s="24">
        <v>45812</v>
      </c>
      <c r="S2446" s="24">
        <v>45817</v>
      </c>
      <c r="T2446" s="24"/>
      <c r="U2446" s="24"/>
      <c r="V2446" s="24">
        <v>45817</v>
      </c>
      <c r="W2446" s="22" t="s">
        <v>327</v>
      </c>
      <c r="X2446" s="4" t="str">
        <f>IF(Tabela2[[#This Row],[sigla]]="","",VLOOKUP(Tabela2[[#This Row],[sigla]],créditos_base!B:C,2,0))</f>
        <v>RAFAEL LAM/ARQUIVO DA EDITORA</v>
      </c>
      <c r="Y2446" s="23" t="s">
        <v>1139</v>
      </c>
      <c r="Z2446" s="23" t="str">
        <f>Tabela2[[#This Row],[ilustrador]]</f>
        <v>RAFAEL LAM/ARQUIVO DA EDITORA</v>
      </c>
      <c r="AA2446" s="22">
        <v>13</v>
      </c>
      <c r="AB2446" s="20" t="s">
        <v>1771</v>
      </c>
      <c r="AC2446" s="20" t="s">
        <v>36</v>
      </c>
      <c r="AD2446" s="4" t="str">
        <f>"Pitanguá"</f>
        <v>Pitanguá</v>
      </c>
      <c r="AE2446" s="14" t="str">
        <f>"Matemática"</f>
        <v>Matemática</v>
      </c>
      <c r="AF2446" s="14"/>
    </row>
    <row r="2447" spans="1:32" ht="100.8" x14ac:dyDescent="0.3">
      <c r="A2447" s="23" t="s">
        <v>2755</v>
      </c>
      <c r="B2447" s="20" t="s">
        <v>6</v>
      </c>
      <c r="C2447" s="20" t="s">
        <v>7</v>
      </c>
      <c r="D2447" s="20" t="s">
        <v>8</v>
      </c>
      <c r="E2447" s="22">
        <v>214</v>
      </c>
      <c r="F2447" s="22">
        <v>3</v>
      </c>
      <c r="G2447" s="22">
        <v>10</v>
      </c>
      <c r="H2447" s="22"/>
      <c r="I2447" s="23" t="s">
        <v>9</v>
      </c>
      <c r="J2447" s="23"/>
      <c r="K2447" s="22"/>
      <c r="L2447" s="22"/>
      <c r="M2447" s="23"/>
      <c r="N2447" s="23"/>
      <c r="O2447" s="26" t="s">
        <v>2756</v>
      </c>
      <c r="P2447" s="26" t="s">
        <v>11</v>
      </c>
      <c r="Q2447" s="22"/>
      <c r="R2447" s="24"/>
      <c r="S2447" s="24"/>
      <c r="T2447" s="24"/>
      <c r="U2447" s="24"/>
      <c r="V2447" s="24"/>
      <c r="W2447" s="22" t="s">
        <v>806</v>
      </c>
      <c r="X2447" s="4" t="str">
        <f>IF(Tabela2[[#This Row],[sigla]]="","",VLOOKUP(Tabela2[[#This Row],[sigla]],créditos_base!B:C,2,0))</f>
        <v>MARCOS MACHADO/ARQUIVO DA EDITORA</v>
      </c>
      <c r="Y2447" s="23"/>
      <c r="Z2447" s="23" t="str">
        <f>Tabela2[[#This Row],[ilustrador]]</f>
        <v>MARCOS MACHADO/ARQUIVO DA EDITORA</v>
      </c>
      <c r="AA2447" s="22"/>
      <c r="AB2447" s="20"/>
      <c r="AD2447" s="4" t="str">
        <f>"Pitanguá"</f>
        <v>Pitanguá</v>
      </c>
      <c r="AE2447" s="14" t="str">
        <f>"Matemática"</f>
        <v>Matemática</v>
      </c>
      <c r="AF2447" s="14"/>
    </row>
    <row r="2448" spans="1:32" ht="100.8" x14ac:dyDescent="0.3">
      <c r="A2448" s="23" t="s">
        <v>2755</v>
      </c>
      <c r="B2448" s="20" t="s">
        <v>6</v>
      </c>
      <c r="C2448" s="20" t="s">
        <v>7</v>
      </c>
      <c r="D2448" s="20" t="s">
        <v>8</v>
      </c>
      <c r="E2448" s="22">
        <v>214</v>
      </c>
      <c r="F2448" s="22">
        <v>3</v>
      </c>
      <c r="G2448" s="22">
        <v>10</v>
      </c>
      <c r="H2448" s="22"/>
      <c r="I2448" s="23" t="s">
        <v>9</v>
      </c>
      <c r="J2448" s="23"/>
      <c r="K2448" s="22"/>
      <c r="L2448" s="22"/>
      <c r="M2448" s="23"/>
      <c r="N2448" s="23"/>
      <c r="O2448" s="26" t="s">
        <v>2757</v>
      </c>
      <c r="P2448" s="26"/>
      <c r="Q2448" s="22"/>
      <c r="R2448" s="24"/>
      <c r="S2448" s="24"/>
      <c r="T2448" s="24"/>
      <c r="U2448" s="24"/>
      <c r="V2448" s="24"/>
      <c r="W2448" s="22" t="s">
        <v>468</v>
      </c>
      <c r="X2448" s="4" t="str">
        <f>IF(Tabela2[[#This Row],[sigla]]="","",VLOOKUP(Tabela2[[#This Row],[sigla]],créditos_base!B:C,2,0))</f>
        <v>VER DOCUMENTO DE ILS. TÉCNICAS</v>
      </c>
      <c r="Y2448" s="23"/>
      <c r="Z2448" s="23" t="str">
        <f>Tabela2[[#This Row],[ilustrador]]</f>
        <v>VER DOCUMENTO DE ILS. TÉCNICAS</v>
      </c>
      <c r="AA2448" s="22"/>
      <c r="AB2448" s="20"/>
      <c r="AD2448" s="4" t="str">
        <f>"Pitanguá"</f>
        <v>Pitanguá</v>
      </c>
      <c r="AE2448" s="14" t="str">
        <f>"Matemática"</f>
        <v>Matemática</v>
      </c>
      <c r="AF2448" s="14"/>
    </row>
    <row r="2449" spans="1:32" ht="43.2" x14ac:dyDescent="0.3">
      <c r="A2449" s="23" t="s">
        <v>3533</v>
      </c>
      <c r="B2449" s="20" t="s">
        <v>16</v>
      </c>
      <c r="C2449" s="20" t="s">
        <v>7</v>
      </c>
      <c r="D2449" s="20" t="s">
        <v>8</v>
      </c>
      <c r="E2449" s="22">
        <v>224</v>
      </c>
      <c r="F2449" s="22">
        <v>4</v>
      </c>
      <c r="G2449" s="22">
        <v>10</v>
      </c>
      <c r="H2449" s="22"/>
      <c r="I2449" s="23" t="s">
        <v>33</v>
      </c>
      <c r="J2449" s="23"/>
      <c r="K2449" s="22"/>
      <c r="L2449" s="22"/>
      <c r="M2449" s="23"/>
      <c r="N2449" s="23"/>
      <c r="O2449" s="26" t="s">
        <v>3534</v>
      </c>
      <c r="P2449" s="26"/>
      <c r="Q2449" s="22">
        <v>51</v>
      </c>
      <c r="R2449" s="24">
        <v>45802</v>
      </c>
      <c r="S2449" s="24">
        <v>45810</v>
      </c>
      <c r="T2449" s="24"/>
      <c r="U2449" s="24"/>
      <c r="V2449" s="24">
        <v>45810</v>
      </c>
      <c r="W2449" s="22" t="s">
        <v>356</v>
      </c>
      <c r="X2449" s="4" t="str">
        <f>IF(Tabela2[[#This Row],[sigla]]="","",VLOOKUP(Tabela2[[#This Row],[sigla]],créditos_base!B:C,2,0))</f>
        <v>CAMILA CARMONA/ARQUIVO DA EDITORA</v>
      </c>
      <c r="Y2449" s="23" t="s">
        <v>1503</v>
      </c>
      <c r="Z2449" s="23" t="str">
        <f>Tabela2[[#This Row],[ilustrador]]</f>
        <v>CAMILA CARMONA/ARQUIVO DA EDITORA</v>
      </c>
      <c r="AA2449" s="22"/>
      <c r="AB2449" s="28" t="s">
        <v>41</v>
      </c>
      <c r="AC2449" s="20" t="s">
        <v>36</v>
      </c>
      <c r="AD2449" s="4" t="str">
        <f>"Pitanguá"</f>
        <v>Pitanguá</v>
      </c>
      <c r="AE2449" s="14" t="str">
        <f>"Matemática"</f>
        <v>Matemática</v>
      </c>
      <c r="AF2449" s="14"/>
    </row>
    <row r="2450" spans="1:32" ht="43.2" x14ac:dyDescent="0.3">
      <c r="A2450" s="23" t="s">
        <v>4394</v>
      </c>
      <c r="B2450" s="20" t="s">
        <v>16</v>
      </c>
      <c r="C2450" s="20" t="s">
        <v>7</v>
      </c>
      <c r="D2450" s="20" t="s">
        <v>8</v>
      </c>
      <c r="E2450" s="22">
        <v>248</v>
      </c>
      <c r="F2450" s="22">
        <v>5</v>
      </c>
      <c r="G2450" s="22">
        <v>10</v>
      </c>
      <c r="H2450" s="22"/>
      <c r="I2450" s="23" t="s">
        <v>33</v>
      </c>
      <c r="J2450" s="23"/>
      <c r="K2450" s="22"/>
      <c r="L2450" s="22"/>
      <c r="M2450" s="23"/>
      <c r="N2450" s="23"/>
      <c r="O2450" s="26" t="s">
        <v>4395</v>
      </c>
      <c r="P2450" s="26"/>
      <c r="Q2450" s="22">
        <v>208</v>
      </c>
      <c r="R2450" s="24">
        <v>45926</v>
      </c>
      <c r="S2450" s="24">
        <v>45926</v>
      </c>
      <c r="T2450" s="24"/>
      <c r="U2450" s="24"/>
      <c r="V2450" s="24">
        <v>45926</v>
      </c>
      <c r="W2450" s="22" t="s">
        <v>230</v>
      </c>
      <c r="X2450" s="4" t="str">
        <f>IF(Tabela2[[#This Row],[sigla]]="","",VLOOKUP(Tabela2[[#This Row],[sigla]],créditos_base!B:C,2,0))</f>
        <v>RAFAEL L. GAION/ARQUIVO DA EDITORA</v>
      </c>
      <c r="Y2450" s="23" t="s">
        <v>524</v>
      </c>
      <c r="Z2450" s="23" t="s">
        <v>2369</v>
      </c>
      <c r="AA2450" s="22">
        <v>13</v>
      </c>
      <c r="AB2450" s="20" t="s">
        <v>525</v>
      </c>
      <c r="AD2450" s="4" t="str">
        <f>"Pitanguá"</f>
        <v>Pitanguá</v>
      </c>
      <c r="AE2450" s="14" t="str">
        <f>"Matemática"</f>
        <v>Matemática</v>
      </c>
      <c r="AF2450" s="14"/>
    </row>
    <row r="2451" spans="1:32" ht="43.2" x14ac:dyDescent="0.3">
      <c r="A2451" s="23" t="s">
        <v>707</v>
      </c>
      <c r="B2451" s="20" t="s">
        <v>16</v>
      </c>
      <c r="C2451" s="20" t="s">
        <v>7</v>
      </c>
      <c r="D2451" s="20" t="s">
        <v>8</v>
      </c>
      <c r="E2451" s="22">
        <v>158</v>
      </c>
      <c r="F2451" s="22">
        <v>1</v>
      </c>
      <c r="G2451" s="22">
        <v>10</v>
      </c>
      <c r="H2451" s="22"/>
      <c r="I2451" s="23" t="s">
        <v>9</v>
      </c>
      <c r="J2451" s="23"/>
      <c r="K2451" s="22"/>
      <c r="L2451" s="22"/>
      <c r="M2451" s="23"/>
      <c r="N2451" s="23"/>
      <c r="O2451" s="26" t="s">
        <v>708</v>
      </c>
      <c r="P2451" s="26"/>
      <c r="Q2451" s="22"/>
      <c r="R2451" s="24"/>
      <c r="S2451" s="24"/>
      <c r="T2451" s="24"/>
      <c r="U2451" s="24"/>
      <c r="V2451" s="24"/>
      <c r="W2451" s="22" t="s">
        <v>468</v>
      </c>
      <c r="X2451" s="4" t="str">
        <f>IF(Tabela2[[#This Row],[sigla]]="","",VLOOKUP(Tabela2[[#This Row],[sigla]],créditos_base!B:C,2,0))</f>
        <v>VER DOCUMENTO DE ILS. TÉCNICAS</v>
      </c>
      <c r="Y2451" s="23"/>
      <c r="Z2451" s="23" t="s">
        <v>661</v>
      </c>
      <c r="AA2451" s="22"/>
      <c r="AB2451" s="20"/>
      <c r="AD2451" s="4" t="str">
        <f>"Pitanguá"</f>
        <v>Pitanguá</v>
      </c>
      <c r="AE2451" s="14" t="str">
        <f>"Matemática"</f>
        <v>Matemática</v>
      </c>
      <c r="AF2451" s="14"/>
    </row>
    <row r="2452" spans="1:32" ht="72" x14ac:dyDescent="0.3">
      <c r="A2452" s="30" t="s">
        <v>1774</v>
      </c>
      <c r="B2452" s="20" t="s">
        <v>6</v>
      </c>
      <c r="C2452" s="20" t="s">
        <v>7</v>
      </c>
      <c r="D2452" s="20" t="s">
        <v>8</v>
      </c>
      <c r="E2452" s="22">
        <v>175</v>
      </c>
      <c r="F2452" s="22">
        <v>2</v>
      </c>
      <c r="G2452" s="22">
        <v>10</v>
      </c>
      <c r="H2452" s="22"/>
      <c r="I2452" s="23" t="s">
        <v>9</v>
      </c>
      <c r="J2452" s="23"/>
      <c r="K2452" s="22"/>
      <c r="L2452" s="22"/>
      <c r="M2452" s="23"/>
      <c r="N2452" s="23"/>
      <c r="O2452" s="26" t="s">
        <v>1775</v>
      </c>
      <c r="P2452" s="26" t="s">
        <v>1776</v>
      </c>
      <c r="Q2452" s="22"/>
      <c r="R2452" s="24"/>
      <c r="S2452" s="24"/>
      <c r="T2452" s="24"/>
      <c r="U2452" s="24"/>
      <c r="V2452" s="24"/>
      <c r="W2452" s="22" t="s">
        <v>12</v>
      </c>
      <c r="X2452" s="4" t="str">
        <f>IF(Tabela2[[#This Row],[sigla]]="","",VLOOKUP(Tabela2[[#This Row],[sigla]],créditos_base!B:C,2,0))</f>
        <v>JORGE ZAIBA/ARQUIVO DA EDITORA</v>
      </c>
      <c r="Y2452" s="23"/>
      <c r="Z2452" s="23" t="str">
        <f>Tabela2[[#This Row],[ilustrador]]</f>
        <v>JORGE ZAIBA/ARQUIVO DA EDITORA</v>
      </c>
      <c r="AA2452" s="22"/>
      <c r="AB2452" s="20"/>
      <c r="AD2452" s="4" t="str">
        <f>"Pitanguá"</f>
        <v>Pitanguá</v>
      </c>
      <c r="AE2452" s="14" t="str">
        <f>"Matemática"</f>
        <v>Matemática</v>
      </c>
      <c r="AF2452" s="14"/>
    </row>
    <row r="2453" spans="1:32" x14ac:dyDescent="0.3">
      <c r="A2453" s="23" t="s">
        <v>2758</v>
      </c>
      <c r="B2453" s="20" t="s">
        <v>16</v>
      </c>
      <c r="C2453" s="20" t="s">
        <v>7</v>
      </c>
      <c r="D2453" s="20" t="s">
        <v>8</v>
      </c>
      <c r="E2453" s="22">
        <v>214</v>
      </c>
      <c r="F2453" s="22">
        <v>3</v>
      </c>
      <c r="G2453" s="22">
        <v>10</v>
      </c>
      <c r="H2453" s="22"/>
      <c r="I2453" s="23" t="s">
        <v>9</v>
      </c>
      <c r="J2453" s="23"/>
      <c r="K2453" s="22"/>
      <c r="L2453" s="22"/>
      <c r="M2453" s="23"/>
      <c r="N2453" s="23"/>
      <c r="O2453" s="26" t="s">
        <v>2759</v>
      </c>
      <c r="P2453" s="26"/>
      <c r="Q2453" s="22"/>
      <c r="R2453" s="24"/>
      <c r="S2453" s="24"/>
      <c r="T2453" s="24"/>
      <c r="U2453" s="24"/>
      <c r="V2453" s="24"/>
      <c r="W2453" s="22" t="s">
        <v>151</v>
      </c>
      <c r="X2453" s="4" t="str">
        <f>IF(Tabela2[[#This Row],[sigla]]="","",VLOOKUP(Tabela2[[#This Row],[sigla]],créditos_base!B:C,2,0))</f>
        <v>ROGÉRIO CASAGRANDE/ARQUIVO DA EDITORA</v>
      </c>
      <c r="Y2453" s="23"/>
      <c r="Z2453" s="23" t="str">
        <f>Tabela2[[#This Row],[ilustrador]]</f>
        <v>ROGÉRIO CASAGRANDE/ARQUIVO DA EDITORA</v>
      </c>
      <c r="AA2453" s="22"/>
      <c r="AB2453" s="20"/>
      <c r="AD2453" s="4" t="str">
        <f>"Pitanguá"</f>
        <v>Pitanguá</v>
      </c>
      <c r="AE2453" s="14" t="str">
        <f>"Matemática"</f>
        <v>Matemática</v>
      </c>
      <c r="AF2453" s="14"/>
    </row>
    <row r="2454" spans="1:32" ht="43.2" x14ac:dyDescent="0.3">
      <c r="A2454" s="23" t="s">
        <v>3535</v>
      </c>
      <c r="B2454" s="20" t="s">
        <v>16</v>
      </c>
      <c r="C2454" s="20" t="s">
        <v>7</v>
      </c>
      <c r="D2454" s="20" t="s">
        <v>8</v>
      </c>
      <c r="E2454" s="22">
        <v>224</v>
      </c>
      <c r="F2454" s="22">
        <v>4</v>
      </c>
      <c r="G2454" s="22">
        <v>10</v>
      </c>
      <c r="H2454" s="22"/>
      <c r="I2454" s="23" t="s">
        <v>33</v>
      </c>
      <c r="J2454" s="23"/>
      <c r="K2454" s="22"/>
      <c r="L2454" s="22"/>
      <c r="M2454" s="23"/>
      <c r="N2454" s="23"/>
      <c r="O2454" s="26" t="s">
        <v>3536</v>
      </c>
      <c r="P2454" s="26"/>
      <c r="Q2454" s="22">
        <v>51</v>
      </c>
      <c r="R2454" s="24">
        <v>45802</v>
      </c>
      <c r="S2454" s="24">
        <v>45810</v>
      </c>
      <c r="T2454" s="24"/>
      <c r="U2454" s="24"/>
      <c r="V2454" s="24">
        <v>45810</v>
      </c>
      <c r="W2454" s="22" t="s">
        <v>356</v>
      </c>
      <c r="X2454" s="4" t="str">
        <f>IF(Tabela2[[#This Row],[sigla]]="","",VLOOKUP(Tabela2[[#This Row],[sigla]],créditos_base!B:C,2,0))</f>
        <v>CAMILA CARMONA/ARQUIVO DA EDITORA</v>
      </c>
      <c r="Y2454" s="23" t="s">
        <v>1503</v>
      </c>
      <c r="Z2454" s="23" t="str">
        <f>Tabela2[[#This Row],[ilustrador]]</f>
        <v>CAMILA CARMONA/ARQUIVO DA EDITORA</v>
      </c>
      <c r="AA2454" s="22"/>
      <c r="AB2454" s="28" t="s">
        <v>41</v>
      </c>
      <c r="AC2454" s="20" t="s">
        <v>36</v>
      </c>
      <c r="AD2454" s="4" t="str">
        <f>"Pitanguá"</f>
        <v>Pitanguá</v>
      </c>
      <c r="AE2454" s="14" t="str">
        <f>"Matemática"</f>
        <v>Matemática</v>
      </c>
      <c r="AF2454" s="14"/>
    </row>
    <row r="2455" spans="1:32" ht="28.8" x14ac:dyDescent="0.3">
      <c r="A2455" s="23" t="s">
        <v>4396</v>
      </c>
      <c r="B2455" s="20" t="s">
        <v>16</v>
      </c>
      <c r="C2455" s="20" t="s">
        <v>7</v>
      </c>
      <c r="D2455" s="20" t="s">
        <v>8</v>
      </c>
      <c r="E2455" s="22">
        <v>248</v>
      </c>
      <c r="F2455" s="22">
        <v>5</v>
      </c>
      <c r="G2455" s="22">
        <v>10</v>
      </c>
      <c r="H2455" s="22"/>
      <c r="I2455" s="23" t="s">
        <v>33</v>
      </c>
      <c r="J2455" s="23"/>
      <c r="K2455" s="22"/>
      <c r="L2455" s="22"/>
      <c r="M2455" s="23"/>
      <c r="N2455" s="23"/>
      <c r="O2455" s="26" t="s">
        <v>4397</v>
      </c>
      <c r="P2455" s="26"/>
      <c r="Q2455" s="22">
        <v>208</v>
      </c>
      <c r="R2455" s="24">
        <v>45926</v>
      </c>
      <c r="S2455" s="24">
        <v>45926</v>
      </c>
      <c r="T2455" s="24"/>
      <c r="U2455" s="24"/>
      <c r="V2455" s="24">
        <v>45926</v>
      </c>
      <c r="W2455" s="22" t="s">
        <v>230</v>
      </c>
      <c r="X2455" s="4" t="str">
        <f>IF(Tabela2[[#This Row],[sigla]]="","",VLOOKUP(Tabela2[[#This Row],[sigla]],créditos_base!B:C,2,0))</f>
        <v>RAFAEL L. GAION/ARQUIVO DA EDITORA</v>
      </c>
      <c r="Y2455" s="23" t="s">
        <v>524</v>
      </c>
      <c r="Z2455" s="23" t="s">
        <v>2369</v>
      </c>
      <c r="AA2455" s="22">
        <v>13</v>
      </c>
      <c r="AB2455" s="20" t="s">
        <v>525</v>
      </c>
      <c r="AD2455" s="4" t="str">
        <f>"Pitanguá"</f>
        <v>Pitanguá</v>
      </c>
      <c r="AE2455" s="14" t="str">
        <f>"Matemática"</f>
        <v>Matemática</v>
      </c>
      <c r="AF2455" s="14"/>
    </row>
    <row r="2456" spans="1:32" ht="57.6" x14ac:dyDescent="0.3">
      <c r="A2456" s="23" t="s">
        <v>709</v>
      </c>
      <c r="B2456" s="20" t="s">
        <v>16</v>
      </c>
      <c r="C2456" s="20" t="s">
        <v>7</v>
      </c>
      <c r="D2456" s="20" t="s">
        <v>8</v>
      </c>
      <c r="E2456" s="22">
        <v>158</v>
      </c>
      <c r="F2456" s="22">
        <v>1</v>
      </c>
      <c r="G2456" s="22">
        <v>10</v>
      </c>
      <c r="H2456" s="22"/>
      <c r="I2456" s="23" t="s">
        <v>9</v>
      </c>
      <c r="J2456" s="23"/>
      <c r="K2456" s="22"/>
      <c r="L2456" s="22"/>
      <c r="M2456" s="23"/>
      <c r="N2456" s="23"/>
      <c r="O2456" s="26" t="s">
        <v>710</v>
      </c>
      <c r="P2456" s="26"/>
      <c r="Q2456" s="22"/>
      <c r="R2456" s="24"/>
      <c r="S2456" s="24"/>
      <c r="T2456" s="24"/>
      <c r="U2456" s="24"/>
      <c r="V2456" s="24"/>
      <c r="W2456" s="22" t="s">
        <v>468</v>
      </c>
      <c r="X2456" s="4" t="str">
        <f>IF(Tabela2[[#This Row],[sigla]]="","",VLOOKUP(Tabela2[[#This Row],[sigla]],créditos_base!B:C,2,0))</f>
        <v>VER DOCUMENTO DE ILS. TÉCNICAS</v>
      </c>
      <c r="Y2456" s="23"/>
      <c r="Z2456" s="23" t="s">
        <v>661</v>
      </c>
      <c r="AA2456" s="22"/>
      <c r="AB2456" s="20"/>
      <c r="AD2456" s="4" t="str">
        <f>"Pitanguá"</f>
        <v>Pitanguá</v>
      </c>
      <c r="AE2456" s="14" t="str">
        <f>"Matemática"</f>
        <v>Matemática</v>
      </c>
      <c r="AF2456" s="14"/>
    </row>
    <row r="2457" spans="1:32" ht="100.8" x14ac:dyDescent="0.3">
      <c r="A2457" s="30" t="s">
        <v>1777</v>
      </c>
      <c r="B2457" s="20" t="s">
        <v>6</v>
      </c>
      <c r="C2457" s="20" t="s">
        <v>7</v>
      </c>
      <c r="D2457" s="20" t="s">
        <v>8</v>
      </c>
      <c r="E2457" s="22">
        <v>175</v>
      </c>
      <c r="F2457" s="22">
        <v>2</v>
      </c>
      <c r="G2457" s="22">
        <v>10</v>
      </c>
      <c r="H2457" s="22"/>
      <c r="I2457" s="23" t="s">
        <v>9</v>
      </c>
      <c r="J2457" s="23"/>
      <c r="K2457" s="22"/>
      <c r="L2457" s="22"/>
      <c r="M2457" s="23"/>
      <c r="N2457" s="23"/>
      <c r="O2457" s="26" t="s">
        <v>1778</v>
      </c>
      <c r="P2457" s="26" t="s">
        <v>1776</v>
      </c>
      <c r="Q2457" s="22"/>
      <c r="R2457" s="24"/>
      <c r="S2457" s="24"/>
      <c r="T2457" s="24"/>
      <c r="U2457" s="24"/>
      <c r="V2457" s="24"/>
      <c r="W2457" s="22" t="s">
        <v>12</v>
      </c>
      <c r="X2457" s="4" t="str">
        <f>IF(Tabela2[[#This Row],[sigla]]="","",VLOOKUP(Tabela2[[#This Row],[sigla]],créditos_base!B:C,2,0))</f>
        <v>JORGE ZAIBA/ARQUIVO DA EDITORA</v>
      </c>
      <c r="Y2457" s="23"/>
      <c r="Z2457" s="23" t="str">
        <f>Tabela2[[#This Row],[ilustrador]]</f>
        <v>JORGE ZAIBA/ARQUIVO DA EDITORA</v>
      </c>
      <c r="AA2457" s="22"/>
      <c r="AB2457" s="20"/>
      <c r="AD2457" s="4" t="str">
        <f>"Pitanguá"</f>
        <v>Pitanguá</v>
      </c>
      <c r="AE2457" s="14" t="str">
        <f>"Matemática"</f>
        <v>Matemática</v>
      </c>
      <c r="AF2457" s="14"/>
    </row>
    <row r="2458" spans="1:32" x14ac:dyDescent="0.3">
      <c r="A2458" s="23" t="s">
        <v>2760</v>
      </c>
      <c r="B2458" s="20" t="s">
        <v>16</v>
      </c>
      <c r="C2458" s="20" t="s">
        <v>7</v>
      </c>
      <c r="D2458" s="20" t="s">
        <v>8</v>
      </c>
      <c r="E2458" s="22">
        <v>215</v>
      </c>
      <c r="F2458" s="22">
        <v>3</v>
      </c>
      <c r="G2458" s="22">
        <v>10</v>
      </c>
      <c r="H2458" s="22"/>
      <c r="I2458" s="23" t="s">
        <v>9</v>
      </c>
      <c r="J2458" s="23"/>
      <c r="K2458" s="22"/>
      <c r="L2458" s="22"/>
      <c r="M2458" s="23"/>
      <c r="N2458" s="23"/>
      <c r="O2458" s="26" t="s">
        <v>2759</v>
      </c>
      <c r="P2458" s="26"/>
      <c r="Q2458" s="22"/>
      <c r="R2458" s="24"/>
      <c r="S2458" s="24"/>
      <c r="T2458" s="24"/>
      <c r="U2458" s="24"/>
      <c r="V2458" s="24"/>
      <c r="W2458" s="22" t="s">
        <v>151</v>
      </c>
      <c r="X2458" s="4" t="str">
        <f>IF(Tabela2[[#This Row],[sigla]]="","",VLOOKUP(Tabela2[[#This Row],[sigla]],créditos_base!B:C,2,0))</f>
        <v>ROGÉRIO CASAGRANDE/ARQUIVO DA EDITORA</v>
      </c>
      <c r="Y2458" s="23"/>
      <c r="Z2458" s="23" t="str">
        <f>Tabela2[[#This Row],[ilustrador]]</f>
        <v>ROGÉRIO CASAGRANDE/ARQUIVO DA EDITORA</v>
      </c>
      <c r="AA2458" s="22"/>
      <c r="AB2458" s="20"/>
      <c r="AD2458" s="4" t="str">
        <f>"Pitanguá"</f>
        <v>Pitanguá</v>
      </c>
      <c r="AE2458" s="14" t="str">
        <f>"Matemática"</f>
        <v>Matemática</v>
      </c>
      <c r="AF2458" s="14"/>
    </row>
    <row r="2459" spans="1:32" ht="28.8" x14ac:dyDescent="0.3">
      <c r="A2459" s="23" t="s">
        <v>3537</v>
      </c>
      <c r="B2459" s="20" t="s">
        <v>16</v>
      </c>
      <c r="C2459" s="20" t="s">
        <v>7</v>
      </c>
      <c r="D2459" s="20" t="s">
        <v>8</v>
      </c>
      <c r="E2459" s="22">
        <v>225</v>
      </c>
      <c r="F2459" s="22">
        <v>4</v>
      </c>
      <c r="G2459" s="22">
        <v>10</v>
      </c>
      <c r="H2459" s="22"/>
      <c r="I2459" s="23" t="s">
        <v>9</v>
      </c>
      <c r="J2459" s="23"/>
      <c r="K2459" s="22"/>
      <c r="L2459" s="22"/>
      <c r="M2459" s="23"/>
      <c r="N2459" s="23"/>
      <c r="O2459" s="20" t="s">
        <v>3538</v>
      </c>
      <c r="P2459" s="26"/>
      <c r="Q2459" s="22"/>
      <c r="R2459" s="24"/>
      <c r="S2459" s="24"/>
      <c r="T2459" s="24"/>
      <c r="U2459" s="24"/>
      <c r="V2459" s="24"/>
      <c r="W2459" s="22" t="s">
        <v>468</v>
      </c>
      <c r="X2459" s="4" t="str">
        <f>IF(Tabela2[[#This Row],[sigla]]="","",VLOOKUP(Tabela2[[#This Row],[sigla]],créditos_base!B:C,2,0))</f>
        <v>VER DOCUMENTO DE ILS. TÉCNICAS</v>
      </c>
      <c r="Y2459" s="23"/>
      <c r="Z2459" s="23" t="s">
        <v>1327</v>
      </c>
      <c r="AA2459" s="22"/>
      <c r="AB2459" s="20"/>
      <c r="AD2459" s="4" t="str">
        <f>"Pitanguá"</f>
        <v>Pitanguá</v>
      </c>
      <c r="AE2459" s="14" t="str">
        <f>"Matemática"</f>
        <v>Matemática</v>
      </c>
      <c r="AF2459" s="14"/>
    </row>
    <row r="2460" spans="1:32" ht="28.8" x14ac:dyDescent="0.3">
      <c r="A2460" s="23" t="s">
        <v>4398</v>
      </c>
      <c r="B2460" s="20" t="s">
        <v>16</v>
      </c>
      <c r="C2460" s="20" t="s">
        <v>7</v>
      </c>
      <c r="D2460" s="20" t="s">
        <v>8</v>
      </c>
      <c r="E2460" s="22">
        <v>248</v>
      </c>
      <c r="F2460" s="22">
        <v>5</v>
      </c>
      <c r="G2460" s="22">
        <v>10</v>
      </c>
      <c r="H2460" s="22"/>
      <c r="I2460" s="23" t="s">
        <v>33</v>
      </c>
      <c r="J2460" s="23"/>
      <c r="K2460" s="22"/>
      <c r="L2460" s="22"/>
      <c r="M2460" s="23"/>
      <c r="N2460" s="23"/>
      <c r="O2460" s="26" t="s">
        <v>4399</v>
      </c>
      <c r="P2460" s="26"/>
      <c r="Q2460" s="22">
        <v>208</v>
      </c>
      <c r="R2460" s="24">
        <v>45926</v>
      </c>
      <c r="S2460" s="24">
        <v>45926</v>
      </c>
      <c r="T2460" s="24"/>
      <c r="U2460" s="24"/>
      <c r="V2460" s="24">
        <v>45926</v>
      </c>
      <c r="W2460" s="22" t="s">
        <v>230</v>
      </c>
      <c r="X2460" s="4" t="str">
        <f>IF(Tabela2[[#This Row],[sigla]]="","",VLOOKUP(Tabela2[[#This Row],[sigla]],créditos_base!B:C,2,0))</f>
        <v>RAFAEL L. GAION/ARQUIVO DA EDITORA</v>
      </c>
      <c r="Y2460" s="23" t="s">
        <v>524</v>
      </c>
      <c r="Z2460" s="23" t="s">
        <v>2369</v>
      </c>
      <c r="AA2460" s="22">
        <v>13</v>
      </c>
      <c r="AB2460" s="20" t="s">
        <v>525</v>
      </c>
      <c r="AD2460" s="4" t="str">
        <f>"Pitanguá"</f>
        <v>Pitanguá</v>
      </c>
      <c r="AE2460" s="14" t="str">
        <f>"Matemática"</f>
        <v>Matemática</v>
      </c>
      <c r="AF2460" s="14"/>
    </row>
    <row r="2461" spans="1:32" ht="28.8" x14ac:dyDescent="0.3">
      <c r="A2461" s="23" t="s">
        <v>711</v>
      </c>
      <c r="B2461" s="20" t="s">
        <v>16</v>
      </c>
      <c r="C2461" s="20" t="s">
        <v>7</v>
      </c>
      <c r="D2461" s="20" t="s">
        <v>8</v>
      </c>
      <c r="E2461" s="22">
        <v>159</v>
      </c>
      <c r="F2461" s="22">
        <v>1</v>
      </c>
      <c r="G2461" s="22">
        <v>10</v>
      </c>
      <c r="H2461" s="22"/>
      <c r="I2461" s="23" t="s">
        <v>9</v>
      </c>
      <c r="J2461" s="23"/>
      <c r="K2461" s="22"/>
      <c r="L2461" s="22"/>
      <c r="M2461" s="23"/>
      <c r="N2461" s="23"/>
      <c r="O2461" s="26" t="s">
        <v>712</v>
      </c>
      <c r="P2461" s="26"/>
      <c r="Q2461" s="22"/>
      <c r="R2461" s="24"/>
      <c r="S2461" s="24"/>
      <c r="T2461" s="24"/>
      <c r="U2461" s="24"/>
      <c r="V2461" s="24"/>
      <c r="W2461" s="22" t="s">
        <v>468</v>
      </c>
      <c r="X2461" s="4" t="str">
        <f>IF(Tabela2[[#This Row],[sigla]]="","",VLOOKUP(Tabela2[[#This Row],[sigla]],créditos_base!B:C,2,0))</f>
        <v>VER DOCUMENTO DE ILS. TÉCNICAS</v>
      </c>
      <c r="Y2461" s="23"/>
      <c r="Z2461" s="23" t="s">
        <v>661</v>
      </c>
      <c r="AA2461" s="22"/>
      <c r="AB2461" s="20"/>
      <c r="AD2461" s="4" t="str">
        <f>"Pitanguá"</f>
        <v>Pitanguá</v>
      </c>
      <c r="AE2461" s="14" t="str">
        <f>"Matemática"</f>
        <v>Matemática</v>
      </c>
      <c r="AF2461" s="14"/>
    </row>
    <row r="2462" spans="1:32" ht="28.8" x14ac:dyDescent="0.3">
      <c r="A2462" s="30" t="s">
        <v>1779</v>
      </c>
      <c r="B2462" s="20" t="s">
        <v>16</v>
      </c>
      <c r="C2462" s="20" t="s">
        <v>7</v>
      </c>
      <c r="D2462" s="20" t="s">
        <v>8</v>
      </c>
      <c r="E2462" s="22">
        <v>175</v>
      </c>
      <c r="F2462" s="22">
        <v>2</v>
      </c>
      <c r="G2462" s="22">
        <v>10</v>
      </c>
      <c r="H2462" s="22"/>
      <c r="I2462" s="23" t="s">
        <v>9</v>
      </c>
      <c r="J2462" s="23"/>
      <c r="K2462" s="22"/>
      <c r="L2462" s="22"/>
      <c r="M2462" s="23"/>
      <c r="N2462" s="23"/>
      <c r="O2462" s="26" t="s">
        <v>1780</v>
      </c>
      <c r="P2462" s="26"/>
      <c r="Q2462" s="22"/>
      <c r="R2462" s="24"/>
      <c r="S2462" s="24"/>
      <c r="T2462" s="24"/>
      <c r="U2462" s="24"/>
      <c r="V2462" s="24"/>
      <c r="W2462" s="22" t="s">
        <v>468</v>
      </c>
      <c r="X2462" s="4" t="str">
        <f>IF(Tabela2[[#This Row],[sigla]]="","",VLOOKUP(Tabela2[[#This Row],[sigla]],créditos_base!B:C,2,0))</f>
        <v>VER DOCUMENTO DE ILS. TÉCNICAS</v>
      </c>
      <c r="Y2462" s="23"/>
      <c r="Z2462" s="23" t="s">
        <v>469</v>
      </c>
      <c r="AA2462" s="22"/>
      <c r="AB2462" s="20"/>
      <c r="AD2462" s="4" t="str">
        <f>"Pitanguá"</f>
        <v>Pitanguá</v>
      </c>
      <c r="AE2462" s="14" t="str">
        <f>"Matemática"</f>
        <v>Matemática</v>
      </c>
      <c r="AF2462" s="14"/>
    </row>
    <row r="2463" spans="1:32" ht="28.8" x14ac:dyDescent="0.3">
      <c r="A2463" s="23" t="s">
        <v>2761</v>
      </c>
      <c r="B2463" s="20" t="s">
        <v>16</v>
      </c>
      <c r="C2463" s="20" t="s">
        <v>7</v>
      </c>
      <c r="D2463" s="20" t="s">
        <v>8</v>
      </c>
      <c r="E2463" s="22">
        <v>215</v>
      </c>
      <c r="F2463" s="22">
        <v>3</v>
      </c>
      <c r="G2463" s="22">
        <v>10</v>
      </c>
      <c r="H2463" s="22"/>
      <c r="I2463" s="23" t="s">
        <v>33</v>
      </c>
      <c r="J2463" s="23"/>
      <c r="K2463" s="22"/>
      <c r="L2463" s="22"/>
      <c r="M2463" s="23"/>
      <c r="N2463" s="23"/>
      <c r="O2463" s="26" t="s">
        <v>2762</v>
      </c>
      <c r="P2463" s="26"/>
      <c r="Q2463" s="22">
        <v>176</v>
      </c>
      <c r="R2463" s="24">
        <v>45901</v>
      </c>
      <c r="S2463" s="24">
        <v>45901</v>
      </c>
      <c r="T2463" s="24"/>
      <c r="U2463" s="24"/>
      <c r="V2463" s="24">
        <v>45901</v>
      </c>
      <c r="W2463" s="22" t="s">
        <v>151</v>
      </c>
      <c r="X2463" s="4" t="str">
        <f>IF(Tabela2[[#This Row],[sigla]]="","",VLOOKUP(Tabela2[[#This Row],[sigla]],créditos_base!B:C,2,0))</f>
        <v>ROGÉRIO CASAGRANDE/ARQUIVO DA EDITORA</v>
      </c>
      <c r="Y2463" s="23" t="s">
        <v>696</v>
      </c>
      <c r="Z2463" s="23" t="str">
        <f>Tabela2[[#This Row],[ilustrador]]</f>
        <v>ROGÉRIO CASAGRANDE/ARQUIVO DA EDITORA</v>
      </c>
      <c r="AA2463" s="22">
        <v>14</v>
      </c>
      <c r="AB2463" s="20" t="s">
        <v>244</v>
      </c>
      <c r="AC2463" s="20" t="s">
        <v>36</v>
      </c>
      <c r="AD2463" s="4" t="str">
        <f>"Pitanguá"</f>
        <v>Pitanguá</v>
      </c>
      <c r="AE2463" s="14" t="str">
        <f>"Matemática"</f>
        <v>Matemática</v>
      </c>
      <c r="AF2463" s="14"/>
    </row>
    <row r="2464" spans="1:32" ht="28.8" x14ac:dyDescent="0.3">
      <c r="A2464" s="23" t="s">
        <v>3539</v>
      </c>
      <c r="B2464" s="20" t="s">
        <v>16</v>
      </c>
      <c r="C2464" s="20" t="s">
        <v>7</v>
      </c>
      <c r="D2464" s="20" t="s">
        <v>8</v>
      </c>
      <c r="E2464" s="22">
        <v>225</v>
      </c>
      <c r="F2464" s="22">
        <v>4</v>
      </c>
      <c r="G2464" s="22">
        <v>10</v>
      </c>
      <c r="H2464" s="22"/>
      <c r="I2464" s="23" t="s">
        <v>9</v>
      </c>
      <c r="J2464" s="23"/>
      <c r="K2464" s="22"/>
      <c r="L2464" s="22"/>
      <c r="M2464" s="23"/>
      <c r="N2464" s="23"/>
      <c r="O2464" s="20" t="s">
        <v>3540</v>
      </c>
      <c r="P2464" s="26"/>
      <c r="Q2464" s="22"/>
      <c r="R2464" s="24"/>
      <c r="S2464" s="24"/>
      <c r="T2464" s="24"/>
      <c r="U2464" s="24"/>
      <c r="V2464" s="24"/>
      <c r="W2464" s="22" t="s">
        <v>468</v>
      </c>
      <c r="X2464" s="4" t="str">
        <f>IF(Tabela2[[#This Row],[sigla]]="","",VLOOKUP(Tabela2[[#This Row],[sigla]],créditos_base!B:C,2,0))</f>
        <v>VER DOCUMENTO DE ILS. TÉCNICAS</v>
      </c>
      <c r="Y2464" s="23"/>
      <c r="Z2464" s="23" t="s">
        <v>1327</v>
      </c>
      <c r="AA2464" s="22"/>
      <c r="AB2464" s="20"/>
      <c r="AD2464" s="4" t="str">
        <f>"Pitanguá"</f>
        <v>Pitanguá</v>
      </c>
      <c r="AE2464" s="14" t="str">
        <f>"Matemática"</f>
        <v>Matemática</v>
      </c>
      <c r="AF2464" s="14"/>
    </row>
    <row r="2465" spans="1:32" ht="28.8" x14ac:dyDescent="0.3">
      <c r="A2465" s="23" t="s">
        <v>713</v>
      </c>
      <c r="B2465" s="20" t="s">
        <v>16</v>
      </c>
      <c r="C2465" s="20" t="s">
        <v>7</v>
      </c>
      <c r="D2465" s="20" t="s">
        <v>8</v>
      </c>
      <c r="E2465" s="22">
        <v>159</v>
      </c>
      <c r="F2465" s="22">
        <v>1</v>
      </c>
      <c r="G2465" s="22">
        <v>10</v>
      </c>
      <c r="H2465" s="22"/>
      <c r="I2465" s="23" t="s">
        <v>9</v>
      </c>
      <c r="J2465" s="23"/>
      <c r="K2465" s="22"/>
      <c r="L2465" s="22"/>
      <c r="M2465" s="23"/>
      <c r="N2465" s="23"/>
      <c r="O2465" s="26" t="s">
        <v>714</v>
      </c>
      <c r="P2465" s="26"/>
      <c r="Q2465" s="22"/>
      <c r="R2465" s="24"/>
      <c r="S2465" s="24"/>
      <c r="T2465" s="24"/>
      <c r="U2465" s="24"/>
      <c r="V2465" s="24"/>
      <c r="W2465" s="22" t="s">
        <v>468</v>
      </c>
      <c r="X2465" s="4" t="str">
        <f>IF(Tabela2[[#This Row],[sigla]]="","",VLOOKUP(Tabela2[[#This Row],[sigla]],créditos_base!B:C,2,0))</f>
        <v>VER DOCUMENTO DE ILS. TÉCNICAS</v>
      </c>
      <c r="Y2465" s="23"/>
      <c r="Z2465" s="23" t="s">
        <v>661</v>
      </c>
      <c r="AA2465" s="22"/>
      <c r="AB2465" s="20"/>
      <c r="AD2465" s="4" t="str">
        <f>"Pitanguá"</f>
        <v>Pitanguá</v>
      </c>
      <c r="AE2465" s="14" t="str">
        <f>"Matemática"</f>
        <v>Matemática</v>
      </c>
      <c r="AF2465" s="14"/>
    </row>
    <row r="2466" spans="1:32" ht="28.8" x14ac:dyDescent="0.3">
      <c r="A2466" s="23" t="s">
        <v>2763</v>
      </c>
      <c r="B2466" s="20" t="s">
        <v>16</v>
      </c>
      <c r="C2466" s="20" t="s">
        <v>7</v>
      </c>
      <c r="D2466" s="20" t="s">
        <v>8</v>
      </c>
      <c r="E2466" s="22">
        <v>215</v>
      </c>
      <c r="F2466" s="22">
        <v>3</v>
      </c>
      <c r="G2466" s="22">
        <v>10</v>
      </c>
      <c r="H2466" s="22"/>
      <c r="I2466" s="23" t="s">
        <v>33</v>
      </c>
      <c r="J2466" s="23"/>
      <c r="K2466" s="22"/>
      <c r="L2466" s="22"/>
      <c r="M2466" s="23"/>
      <c r="N2466" s="23"/>
      <c r="O2466" s="26" t="s">
        <v>2764</v>
      </c>
      <c r="P2466" s="26"/>
      <c r="Q2466" s="22">
        <v>38</v>
      </c>
      <c r="R2466" s="24">
        <v>45776</v>
      </c>
      <c r="S2466" s="24">
        <v>45776</v>
      </c>
      <c r="T2466" s="24"/>
      <c r="U2466" s="24"/>
      <c r="V2466" s="24">
        <v>45782</v>
      </c>
      <c r="W2466" s="22" t="s">
        <v>151</v>
      </c>
      <c r="X2466" s="4" t="str">
        <f>IF(Tabela2[[#This Row],[sigla]]="","",VLOOKUP(Tabela2[[#This Row],[sigla]],créditos_base!B:C,2,0))</f>
        <v>ROGÉRIO CASAGRANDE/ARQUIVO DA EDITORA</v>
      </c>
      <c r="Y2466" s="23" t="s">
        <v>2713</v>
      </c>
      <c r="Z2466" s="23" t="str">
        <f>Tabela2[[#This Row],[ilustrador]]</f>
        <v>ROGÉRIO CASAGRANDE/ARQUIVO DA EDITORA</v>
      </c>
      <c r="AA2466" s="22">
        <v>14</v>
      </c>
      <c r="AB2466" s="20" t="s">
        <v>244</v>
      </c>
      <c r="AC2466" s="20" t="s">
        <v>36</v>
      </c>
      <c r="AD2466" s="4" t="str">
        <f>"Pitanguá"</f>
        <v>Pitanguá</v>
      </c>
      <c r="AE2466" s="14" t="str">
        <f>"Matemática"</f>
        <v>Matemática</v>
      </c>
      <c r="AF2466" s="14"/>
    </row>
    <row r="2467" spans="1:32" ht="43.2" x14ac:dyDescent="0.3">
      <c r="A2467" s="23" t="s">
        <v>3541</v>
      </c>
      <c r="B2467" s="20" t="s">
        <v>16</v>
      </c>
      <c r="C2467" s="20" t="s">
        <v>7</v>
      </c>
      <c r="D2467" s="20" t="s">
        <v>8</v>
      </c>
      <c r="E2467" s="22">
        <v>225</v>
      </c>
      <c r="F2467" s="22">
        <v>4</v>
      </c>
      <c r="G2467" s="22">
        <v>10</v>
      </c>
      <c r="H2467" s="22"/>
      <c r="I2467" s="23" t="s">
        <v>9</v>
      </c>
      <c r="J2467" s="23"/>
      <c r="K2467" s="22"/>
      <c r="L2467" s="22"/>
      <c r="M2467" s="23"/>
      <c r="N2467" s="23"/>
      <c r="O2467" s="20" t="s">
        <v>3542</v>
      </c>
      <c r="P2467" s="26"/>
      <c r="Q2467" s="22"/>
      <c r="R2467" s="24"/>
      <c r="S2467" s="24"/>
      <c r="T2467" s="24"/>
      <c r="U2467" s="24"/>
      <c r="V2467" s="24"/>
      <c r="W2467" s="22" t="s">
        <v>468</v>
      </c>
      <c r="X2467" s="4" t="str">
        <f>IF(Tabela2[[#This Row],[sigla]]="","",VLOOKUP(Tabela2[[#This Row],[sigla]],créditos_base!B:C,2,0))</f>
        <v>VER DOCUMENTO DE ILS. TÉCNICAS</v>
      </c>
      <c r="Y2467" s="23"/>
      <c r="Z2467" s="23" t="s">
        <v>1327</v>
      </c>
      <c r="AA2467" s="22"/>
      <c r="AB2467" s="20"/>
      <c r="AD2467" s="4" t="str">
        <f>"Pitanguá"</f>
        <v>Pitanguá</v>
      </c>
      <c r="AE2467" s="14" t="str">
        <f>"Matemática"</f>
        <v>Matemática</v>
      </c>
      <c r="AF2467" s="14"/>
    </row>
    <row r="2468" spans="1:32" ht="57.6" x14ac:dyDescent="0.3">
      <c r="A2468" s="23" t="s">
        <v>4400</v>
      </c>
      <c r="B2468" s="20" t="s">
        <v>6</v>
      </c>
      <c r="C2468" s="20" t="s">
        <v>7</v>
      </c>
      <c r="D2468" s="20" t="s">
        <v>8</v>
      </c>
      <c r="E2468" s="22">
        <v>249</v>
      </c>
      <c r="F2468" s="22">
        <v>5</v>
      </c>
      <c r="G2468" s="22">
        <v>10</v>
      </c>
      <c r="H2468" s="22"/>
      <c r="I2468" s="23" t="s">
        <v>9</v>
      </c>
      <c r="J2468" s="23"/>
      <c r="K2468" s="22"/>
      <c r="L2468" s="22"/>
      <c r="M2468" s="23"/>
      <c r="N2468" s="23"/>
      <c r="O2468" s="26" t="s">
        <v>4401</v>
      </c>
      <c r="P2468" s="26"/>
      <c r="Q2468" s="22"/>
      <c r="R2468" s="24"/>
      <c r="S2468" s="24"/>
      <c r="T2468" s="24"/>
      <c r="U2468" s="24"/>
      <c r="V2468" s="24"/>
      <c r="W2468" s="22" t="s">
        <v>230</v>
      </c>
      <c r="X2468" s="4" t="str">
        <f>IF(Tabela2[[#This Row],[sigla]]="","",VLOOKUP(Tabela2[[#This Row],[sigla]],créditos_base!B:C,2,0))</f>
        <v>RAFAEL L. GAION/ARQUIVO DA EDITORA</v>
      </c>
      <c r="Y2468" s="23"/>
      <c r="Z2468" s="23" t="str">
        <f>Tabela2[[#This Row],[ilustrador]]</f>
        <v>RAFAEL L. GAION/ARQUIVO DA EDITORA</v>
      </c>
      <c r="AA2468" s="22"/>
      <c r="AB2468" s="20"/>
      <c r="AD2468" s="4" t="str">
        <f>"Pitanguá"</f>
        <v>Pitanguá</v>
      </c>
      <c r="AE2468" s="14" t="str">
        <f>"Matemática"</f>
        <v>Matemática</v>
      </c>
      <c r="AF2468" s="14"/>
    </row>
    <row r="2469" spans="1:32" x14ac:dyDescent="0.3">
      <c r="A2469" s="23" t="s">
        <v>715</v>
      </c>
      <c r="B2469" s="20" t="s">
        <v>16</v>
      </c>
      <c r="C2469" s="20" t="s">
        <v>7</v>
      </c>
      <c r="D2469" s="20" t="s">
        <v>8</v>
      </c>
      <c r="E2469" s="22">
        <v>159</v>
      </c>
      <c r="F2469" s="22">
        <v>1</v>
      </c>
      <c r="G2469" s="22">
        <v>10</v>
      </c>
      <c r="H2469" s="22"/>
      <c r="I2469" s="23" t="s">
        <v>9</v>
      </c>
      <c r="J2469" s="23"/>
      <c r="K2469" s="22"/>
      <c r="L2469" s="22"/>
      <c r="M2469" s="23"/>
      <c r="N2469" s="23"/>
      <c r="O2469" s="26" t="s">
        <v>716</v>
      </c>
      <c r="P2469" s="26"/>
      <c r="Q2469" s="22"/>
      <c r="R2469" s="24"/>
      <c r="S2469" s="24"/>
      <c r="T2469" s="24"/>
      <c r="U2469" s="24"/>
      <c r="V2469" s="24"/>
      <c r="W2469" s="22" t="s">
        <v>468</v>
      </c>
      <c r="X2469" s="4" t="str">
        <f>IF(Tabela2[[#This Row],[sigla]]="","",VLOOKUP(Tabela2[[#This Row],[sigla]],créditos_base!B:C,2,0))</f>
        <v>VER DOCUMENTO DE ILS. TÉCNICAS</v>
      </c>
      <c r="Y2469" s="23"/>
      <c r="Z2469" s="23" t="s">
        <v>661</v>
      </c>
      <c r="AA2469" s="22"/>
      <c r="AB2469" s="20"/>
      <c r="AD2469" s="4" t="str">
        <f>"Pitanguá"</f>
        <v>Pitanguá</v>
      </c>
      <c r="AE2469" s="14" t="str">
        <f>"Matemática"</f>
        <v>Matemática</v>
      </c>
      <c r="AF2469" s="14"/>
    </row>
    <row r="2470" spans="1:32" ht="158.4" x14ac:dyDescent="0.3">
      <c r="A2470" s="23" t="s">
        <v>3853</v>
      </c>
      <c r="B2470" s="20" t="s">
        <v>16</v>
      </c>
      <c r="C2470" s="20" t="s">
        <v>7</v>
      </c>
      <c r="D2470" s="20" t="s">
        <v>8</v>
      </c>
      <c r="E2470" s="22">
        <v>235</v>
      </c>
      <c r="F2470" s="22">
        <v>2</v>
      </c>
      <c r="G2470" s="22">
        <v>10</v>
      </c>
      <c r="H2470" s="22"/>
      <c r="I2470" s="23" t="s">
        <v>9</v>
      </c>
      <c r="J2470" s="23"/>
      <c r="K2470" s="22"/>
      <c r="L2470" s="22"/>
      <c r="M2470" s="23"/>
      <c r="N2470" s="23"/>
      <c r="O2470" s="26" t="s">
        <v>3854</v>
      </c>
      <c r="P2470" s="26"/>
      <c r="Q2470" s="22"/>
      <c r="R2470" s="24"/>
      <c r="S2470" s="24"/>
      <c r="T2470" s="24"/>
      <c r="U2470" s="24"/>
      <c r="V2470" s="24"/>
      <c r="W2470" s="22" t="s">
        <v>12</v>
      </c>
      <c r="X2470" s="4" t="str">
        <f>IF(Tabela2[[#This Row],[sigla]]="","",VLOOKUP(Tabela2[[#This Row],[sigla]],créditos_base!B:C,2,0))</f>
        <v>JORGE ZAIBA/ARQUIVO DA EDITORA</v>
      </c>
      <c r="Y2470" s="23"/>
      <c r="Z2470" s="23" t="str">
        <f>Tabela2[[#This Row],[ilustrador]]</f>
        <v>JORGE ZAIBA/ARQUIVO DA EDITORA</v>
      </c>
      <c r="AA2470" s="22"/>
      <c r="AB2470" s="20"/>
      <c r="AD2470" s="4" t="str">
        <f>"Pitanguá"</f>
        <v>Pitanguá</v>
      </c>
      <c r="AE2470" s="14" t="str">
        <f>"Matemática"</f>
        <v>Matemática</v>
      </c>
      <c r="AF2470" s="14"/>
    </row>
    <row r="2471" spans="1:32" ht="28.8" x14ac:dyDescent="0.3">
      <c r="A2471" s="23" t="s">
        <v>2765</v>
      </c>
      <c r="B2471" s="20" t="s">
        <v>16</v>
      </c>
      <c r="C2471" s="20" t="s">
        <v>7</v>
      </c>
      <c r="D2471" s="20" t="s">
        <v>8</v>
      </c>
      <c r="E2471" s="22">
        <v>215</v>
      </c>
      <c r="F2471" s="22">
        <v>3</v>
      </c>
      <c r="G2471" s="22">
        <v>10</v>
      </c>
      <c r="H2471" s="22"/>
      <c r="I2471" s="23" t="s">
        <v>33</v>
      </c>
      <c r="J2471" s="23"/>
      <c r="K2471" s="22"/>
      <c r="L2471" s="22"/>
      <c r="M2471" s="23"/>
      <c r="N2471" s="23"/>
      <c r="O2471" s="26" t="s">
        <v>2766</v>
      </c>
      <c r="P2471" s="26"/>
      <c r="Q2471" s="22">
        <v>176</v>
      </c>
      <c r="R2471" s="24">
        <v>45901</v>
      </c>
      <c r="S2471" s="24">
        <v>45901</v>
      </c>
      <c r="T2471" s="24"/>
      <c r="U2471" s="24"/>
      <c r="V2471" s="24">
        <v>45901</v>
      </c>
      <c r="W2471" s="22" t="s">
        <v>151</v>
      </c>
      <c r="X2471" s="4" t="str">
        <f>IF(Tabela2[[#This Row],[sigla]]="","",VLOOKUP(Tabela2[[#This Row],[sigla]],créditos_base!B:C,2,0))</f>
        <v>ROGÉRIO CASAGRANDE/ARQUIVO DA EDITORA</v>
      </c>
      <c r="Y2471" s="23" t="s">
        <v>696</v>
      </c>
      <c r="Z2471" s="23" t="str">
        <f>Tabela2[[#This Row],[ilustrador]]</f>
        <v>ROGÉRIO CASAGRANDE/ARQUIVO DA EDITORA</v>
      </c>
      <c r="AA2471" s="22">
        <v>14</v>
      </c>
      <c r="AB2471" s="20" t="s">
        <v>244</v>
      </c>
      <c r="AC2471" s="20" t="s">
        <v>36</v>
      </c>
      <c r="AD2471" s="4" t="str">
        <f>"Pitanguá"</f>
        <v>Pitanguá</v>
      </c>
      <c r="AE2471" s="14" t="str">
        <f>"Matemática"</f>
        <v>Matemática</v>
      </c>
      <c r="AF2471" s="14"/>
    </row>
    <row r="2472" spans="1:32" x14ac:dyDescent="0.3">
      <c r="A2472" s="23" t="s">
        <v>3543</v>
      </c>
      <c r="B2472" s="20" t="s">
        <v>16</v>
      </c>
      <c r="C2472" s="20" t="s">
        <v>7</v>
      </c>
      <c r="D2472" s="20" t="s">
        <v>8</v>
      </c>
      <c r="E2472" s="22">
        <v>225</v>
      </c>
      <c r="F2472" s="22">
        <v>4</v>
      </c>
      <c r="G2472" s="22">
        <v>10</v>
      </c>
      <c r="H2472" s="22"/>
      <c r="I2472" s="23" t="s">
        <v>9</v>
      </c>
      <c r="J2472" s="23"/>
      <c r="K2472" s="22"/>
      <c r="L2472" s="22"/>
      <c r="M2472" s="23"/>
      <c r="N2472" s="23"/>
      <c r="O2472" s="20" t="s">
        <v>3544</v>
      </c>
      <c r="P2472" s="26"/>
      <c r="Q2472" s="22"/>
      <c r="R2472" s="24"/>
      <c r="S2472" s="24"/>
      <c r="T2472" s="24"/>
      <c r="U2472" s="24"/>
      <c r="V2472" s="24"/>
      <c r="W2472" s="22" t="s">
        <v>468</v>
      </c>
      <c r="X2472" s="4" t="str">
        <f>IF(Tabela2[[#This Row],[sigla]]="","",VLOOKUP(Tabela2[[#This Row],[sigla]],créditos_base!B:C,2,0))</f>
        <v>VER DOCUMENTO DE ILS. TÉCNICAS</v>
      </c>
      <c r="Y2472" s="23"/>
      <c r="Z2472" s="23" t="s">
        <v>1327</v>
      </c>
      <c r="AA2472" s="22"/>
      <c r="AB2472" s="20"/>
      <c r="AD2472" s="4" t="str">
        <f>"Pitanguá"</f>
        <v>Pitanguá</v>
      </c>
      <c r="AE2472" s="14" t="str">
        <f>"Matemática"</f>
        <v>Matemática</v>
      </c>
      <c r="AF2472" s="14"/>
    </row>
    <row r="2473" spans="1:32" ht="57.6" x14ac:dyDescent="0.3">
      <c r="A2473" s="23" t="s">
        <v>717</v>
      </c>
      <c r="B2473" s="20" t="s">
        <v>16</v>
      </c>
      <c r="C2473" s="20" t="s">
        <v>7</v>
      </c>
      <c r="D2473" s="20" t="s">
        <v>8</v>
      </c>
      <c r="E2473" s="22">
        <v>160</v>
      </c>
      <c r="F2473" s="22">
        <v>1</v>
      </c>
      <c r="G2473" s="22">
        <v>10</v>
      </c>
      <c r="H2473" s="22"/>
      <c r="I2473" s="23" t="s">
        <v>9</v>
      </c>
      <c r="J2473" s="23"/>
      <c r="K2473" s="22"/>
      <c r="L2473" s="22"/>
      <c r="M2473" s="23"/>
      <c r="N2473" s="23"/>
      <c r="O2473" s="26" t="s">
        <v>718</v>
      </c>
      <c r="P2473" s="26"/>
      <c r="Q2473" s="22"/>
      <c r="R2473" s="24"/>
      <c r="S2473" s="24"/>
      <c r="T2473" s="24"/>
      <c r="U2473" s="24"/>
      <c r="V2473" s="24"/>
      <c r="W2473" s="22" t="s">
        <v>31</v>
      </c>
      <c r="X2473" s="4" t="str">
        <f>IF(Tabela2[[#This Row],[sigla]]="","",VLOOKUP(Tabela2[[#This Row],[sigla]],créditos_base!B:C,2,0))</f>
        <v>SILVIA OTOFUJI/ARQUIVO DA EDITORA</v>
      </c>
      <c r="Y2473" s="23"/>
      <c r="Z2473" s="23" t="str">
        <f>Tabela2[[#This Row],[ilustrador]]</f>
        <v>SILVIA OTOFUJI/ARQUIVO DA EDITORA</v>
      </c>
      <c r="AA2473" s="22"/>
      <c r="AB2473" s="20"/>
      <c r="AD2473" s="4" t="str">
        <f>"Pitanguá"</f>
        <v>Pitanguá</v>
      </c>
      <c r="AE2473" s="14" t="str">
        <f>"Matemática"</f>
        <v>Matemática</v>
      </c>
      <c r="AF2473" s="14"/>
    </row>
    <row r="2474" spans="1:32" ht="28.8" x14ac:dyDescent="0.3">
      <c r="A2474" s="23" t="s">
        <v>3847</v>
      </c>
      <c r="B2474" s="20" t="s">
        <v>16</v>
      </c>
      <c r="C2474" s="20" t="s">
        <v>7</v>
      </c>
      <c r="D2474" s="20" t="s">
        <v>8</v>
      </c>
      <c r="E2474" s="22">
        <v>232</v>
      </c>
      <c r="F2474" s="22">
        <v>2</v>
      </c>
      <c r="G2474" s="22">
        <v>10</v>
      </c>
      <c r="H2474" s="22"/>
      <c r="I2474" s="23" t="s">
        <v>33</v>
      </c>
      <c r="J2474" s="23"/>
      <c r="K2474" s="22"/>
      <c r="L2474" s="22"/>
      <c r="M2474" s="23"/>
      <c r="N2474" s="23"/>
      <c r="O2474" s="26" t="s">
        <v>3848</v>
      </c>
      <c r="P2474" s="26"/>
      <c r="Q2474" s="22">
        <v>56</v>
      </c>
      <c r="R2474" s="24">
        <v>45805</v>
      </c>
      <c r="S2474" s="24">
        <v>45805</v>
      </c>
      <c r="T2474" s="24"/>
      <c r="U2474" s="24"/>
      <c r="V2474" s="24">
        <v>45806</v>
      </c>
      <c r="W2474" s="22" t="s">
        <v>31</v>
      </c>
      <c r="X2474" s="4" t="str">
        <f>IF(Tabela2[[#This Row],[sigla]]="","",VLOOKUP(Tabela2[[#This Row],[sigla]],créditos_base!B:C,2,0))</f>
        <v>SILVIA OTOFUJI/ARQUIVO DA EDITORA</v>
      </c>
      <c r="Y2474" s="23" t="s">
        <v>188</v>
      </c>
      <c r="Z2474" s="23" t="str">
        <f>Tabela2[[#This Row],[ilustrador]]</f>
        <v>SILVIA OTOFUJI/ARQUIVO DA EDITORA</v>
      </c>
      <c r="AA2474" s="22">
        <v>14</v>
      </c>
      <c r="AB2474" s="20" t="s">
        <v>1752</v>
      </c>
      <c r="AC2474" s="20" t="s">
        <v>36</v>
      </c>
      <c r="AD2474" s="4" t="str">
        <f>"Pitanguá"</f>
        <v>Pitanguá</v>
      </c>
      <c r="AE2474" s="14" t="str">
        <f>"Matemática"</f>
        <v>Matemática</v>
      </c>
      <c r="AF2474" s="14"/>
    </row>
    <row r="2475" spans="1:32" ht="28.8" x14ac:dyDescent="0.3">
      <c r="A2475" s="23" t="s">
        <v>3545</v>
      </c>
      <c r="B2475" s="20" t="s">
        <v>16</v>
      </c>
      <c r="C2475" s="20" t="s">
        <v>7</v>
      </c>
      <c r="D2475" s="20" t="s">
        <v>8</v>
      </c>
      <c r="E2475" s="22">
        <v>225</v>
      </c>
      <c r="F2475" s="22">
        <v>4</v>
      </c>
      <c r="G2475" s="22">
        <v>10</v>
      </c>
      <c r="H2475" s="22"/>
      <c r="I2475" s="23" t="s">
        <v>9</v>
      </c>
      <c r="J2475" s="23"/>
      <c r="K2475" s="22"/>
      <c r="L2475" s="22"/>
      <c r="M2475" s="23"/>
      <c r="N2475" s="23"/>
      <c r="O2475" s="20" t="s">
        <v>3546</v>
      </c>
      <c r="P2475" s="26"/>
      <c r="Q2475" s="22"/>
      <c r="R2475" s="24"/>
      <c r="S2475" s="24"/>
      <c r="T2475" s="24"/>
      <c r="U2475" s="24"/>
      <c r="V2475" s="24"/>
      <c r="W2475" s="22" t="s">
        <v>468</v>
      </c>
      <c r="X2475" s="4" t="str">
        <f>IF(Tabela2[[#This Row],[sigla]]="","",VLOOKUP(Tabela2[[#This Row],[sigla]],créditos_base!B:C,2,0))</f>
        <v>VER DOCUMENTO DE ILS. TÉCNICAS</v>
      </c>
      <c r="Y2475" s="23"/>
      <c r="Z2475" s="23" t="s">
        <v>1327</v>
      </c>
      <c r="AA2475" s="22"/>
      <c r="AB2475" s="20"/>
      <c r="AD2475" s="4" t="str">
        <f>"Pitanguá"</f>
        <v>Pitanguá</v>
      </c>
      <c r="AE2475" s="14" t="str">
        <f>"Matemática"</f>
        <v>Matemática</v>
      </c>
      <c r="AF2475" s="14"/>
    </row>
    <row r="2476" spans="1:32" ht="158.4" x14ac:dyDescent="0.3">
      <c r="A2476" s="23" t="s">
        <v>4402</v>
      </c>
      <c r="B2476" s="20" t="s">
        <v>6</v>
      </c>
      <c r="C2476" s="20" t="s">
        <v>7</v>
      </c>
      <c r="D2476" s="20" t="s">
        <v>8</v>
      </c>
      <c r="E2476" s="22">
        <v>252</v>
      </c>
      <c r="F2476" s="22">
        <v>5</v>
      </c>
      <c r="G2476" s="22">
        <v>10</v>
      </c>
      <c r="H2476" s="22"/>
      <c r="I2476" s="23" t="s">
        <v>9</v>
      </c>
      <c r="J2476" s="23"/>
      <c r="K2476" s="22"/>
      <c r="L2476" s="22"/>
      <c r="M2476" s="23"/>
      <c r="N2476" s="23"/>
      <c r="O2476" s="26" t="s">
        <v>4403</v>
      </c>
      <c r="P2476" s="26"/>
      <c r="Q2476" s="22"/>
      <c r="R2476" s="24"/>
      <c r="S2476" s="24"/>
      <c r="T2476" s="24"/>
      <c r="U2476" s="24"/>
      <c r="V2476" s="24"/>
      <c r="W2476" s="22" t="s">
        <v>3189</v>
      </c>
      <c r="X2476" s="4" t="str">
        <f>IF(Tabela2[[#This Row],[sigla]]="","",VLOOKUP(Tabela2[[#This Row],[sigla]],créditos_base!B:C,2,0))</f>
        <v>ANDRÉ AGUIAR/ARQUIVO DA EDITORA</v>
      </c>
      <c r="Y2476" s="23"/>
      <c r="Z2476" s="23" t="str">
        <f>Tabela2[[#This Row],[ilustrador]]</f>
        <v>ANDRÉ AGUIAR/ARQUIVO DA EDITORA</v>
      </c>
      <c r="AA2476" s="22"/>
      <c r="AB2476" s="20"/>
      <c r="AD2476" s="4" t="str">
        <f>"Pitanguá"</f>
        <v>Pitanguá</v>
      </c>
      <c r="AE2476" s="14" t="str">
        <f>"Matemática"</f>
        <v>Matemática</v>
      </c>
      <c r="AF2476" s="14"/>
    </row>
    <row r="2477" spans="1:32" ht="57.6" x14ac:dyDescent="0.3">
      <c r="A2477" s="23" t="s">
        <v>719</v>
      </c>
      <c r="B2477" s="20" t="s">
        <v>16</v>
      </c>
      <c r="C2477" s="20" t="s">
        <v>7</v>
      </c>
      <c r="D2477" s="20" t="s">
        <v>8</v>
      </c>
      <c r="E2477" s="22">
        <v>162</v>
      </c>
      <c r="F2477" s="22">
        <v>1</v>
      </c>
      <c r="G2477" s="22">
        <v>10</v>
      </c>
      <c r="H2477" s="22"/>
      <c r="I2477" s="23" t="s">
        <v>9</v>
      </c>
      <c r="J2477" s="23"/>
      <c r="K2477" s="22"/>
      <c r="L2477" s="22"/>
      <c r="M2477" s="23"/>
      <c r="N2477" s="23"/>
      <c r="O2477" s="26" t="s">
        <v>720</v>
      </c>
      <c r="P2477" s="26"/>
      <c r="Q2477" s="22"/>
      <c r="R2477" s="24"/>
      <c r="S2477" s="24"/>
      <c r="T2477" s="24"/>
      <c r="U2477" s="24"/>
      <c r="V2477" s="24"/>
      <c r="W2477" s="22" t="s">
        <v>468</v>
      </c>
      <c r="X2477" s="4" t="str">
        <f>IF(Tabela2[[#This Row],[sigla]]="","",VLOOKUP(Tabela2[[#This Row],[sigla]],créditos_base!B:C,2,0))</f>
        <v>VER DOCUMENTO DE ILS. TÉCNICAS</v>
      </c>
      <c r="Y2477" s="23"/>
      <c r="Z2477" s="23" t="s">
        <v>661</v>
      </c>
      <c r="AA2477" s="22"/>
      <c r="AB2477" s="20"/>
      <c r="AD2477" s="4" t="str">
        <f>"Pitanguá"</f>
        <v>Pitanguá</v>
      </c>
      <c r="AE2477" s="14" t="str">
        <f>"Matemática"</f>
        <v>Matemática</v>
      </c>
      <c r="AF2477" s="14"/>
    </row>
    <row r="2478" spans="1:32" ht="28.8" x14ac:dyDescent="0.3">
      <c r="A2478" s="23" t="s">
        <v>4033</v>
      </c>
      <c r="B2478" s="20" t="s">
        <v>16</v>
      </c>
      <c r="C2478" s="20" t="s">
        <v>89</v>
      </c>
      <c r="D2478" s="20" t="s">
        <v>8</v>
      </c>
      <c r="E2478" s="22">
        <v>251</v>
      </c>
      <c r="F2478" s="22">
        <v>2</v>
      </c>
      <c r="G2478" s="22">
        <v>10</v>
      </c>
      <c r="H2478" s="22"/>
      <c r="I2478" s="23" t="s">
        <v>33</v>
      </c>
      <c r="J2478" s="23"/>
      <c r="K2478" s="22"/>
      <c r="L2478" s="22"/>
      <c r="M2478" s="23"/>
      <c r="N2478" s="23"/>
      <c r="O2478" s="26" t="s">
        <v>4034</v>
      </c>
      <c r="P2478" s="26"/>
      <c r="Q2478" s="22">
        <v>56</v>
      </c>
      <c r="R2478" s="24">
        <v>45805</v>
      </c>
      <c r="S2478" s="24">
        <v>45805</v>
      </c>
      <c r="T2478" s="24"/>
      <c r="U2478" s="24"/>
      <c r="V2478" s="24">
        <v>45806</v>
      </c>
      <c r="W2478" s="22" t="s">
        <v>468</v>
      </c>
      <c r="X2478" s="4" t="str">
        <f>IF(Tabela2[[#This Row],[sigla]]="","",VLOOKUP(Tabela2[[#This Row],[sigla]],créditos_base!B:C,2,0))</f>
        <v>VER DOCUMENTO DE ILS. TÉCNICAS</v>
      </c>
      <c r="Y2478" s="23" t="s">
        <v>188</v>
      </c>
      <c r="Z2478" s="23" t="s">
        <v>686</v>
      </c>
      <c r="AA2478" s="22">
        <v>14</v>
      </c>
      <c r="AB2478" s="20" t="s">
        <v>1752</v>
      </c>
      <c r="AC2478" s="20" t="s">
        <v>36</v>
      </c>
      <c r="AD2478" s="4" t="str">
        <f>"Pitanguá"</f>
        <v>Pitanguá</v>
      </c>
      <c r="AE2478" s="14" t="str">
        <f>"Matemática"</f>
        <v>Matemática</v>
      </c>
      <c r="AF2478" s="14"/>
    </row>
    <row r="2479" spans="1:32" x14ac:dyDescent="0.3">
      <c r="A2479" s="23" t="s">
        <v>2767</v>
      </c>
      <c r="B2479" s="20" t="s">
        <v>16</v>
      </c>
      <c r="C2479" s="20" t="s">
        <v>7</v>
      </c>
      <c r="D2479" s="20" t="s">
        <v>8</v>
      </c>
      <c r="E2479" s="22">
        <v>215</v>
      </c>
      <c r="F2479" s="22">
        <v>3</v>
      </c>
      <c r="G2479" s="22">
        <v>10</v>
      </c>
      <c r="H2479" s="22"/>
      <c r="I2479" s="23" t="s">
        <v>33</v>
      </c>
      <c r="J2479" s="23"/>
      <c r="K2479" s="22"/>
      <c r="L2479" s="22"/>
      <c r="M2479" s="23"/>
      <c r="N2479" s="23"/>
      <c r="O2479" s="26" t="s">
        <v>2768</v>
      </c>
      <c r="P2479" s="26"/>
      <c r="Q2479" s="22">
        <v>176</v>
      </c>
      <c r="R2479" s="24">
        <v>45901</v>
      </c>
      <c r="S2479" s="24">
        <v>45901</v>
      </c>
      <c r="T2479" s="24"/>
      <c r="U2479" s="24"/>
      <c r="V2479" s="24">
        <v>45901</v>
      </c>
      <c r="W2479" s="22" t="s">
        <v>151</v>
      </c>
      <c r="X2479" s="4" t="str">
        <f>IF(Tabela2[[#This Row],[sigla]]="","",VLOOKUP(Tabela2[[#This Row],[sigla]],créditos_base!B:C,2,0))</f>
        <v>ROGÉRIO CASAGRANDE/ARQUIVO DA EDITORA</v>
      </c>
      <c r="Y2479" s="23" t="s">
        <v>696</v>
      </c>
      <c r="Z2479" s="23" t="str">
        <f>Tabela2[[#This Row],[ilustrador]]</f>
        <v>ROGÉRIO CASAGRANDE/ARQUIVO DA EDITORA</v>
      </c>
      <c r="AA2479" s="22">
        <v>14</v>
      </c>
      <c r="AB2479" s="20" t="s">
        <v>244</v>
      </c>
      <c r="AC2479" s="20" t="s">
        <v>36</v>
      </c>
      <c r="AD2479" s="4" t="str">
        <f>"Pitanguá"</f>
        <v>Pitanguá</v>
      </c>
      <c r="AE2479" s="14" t="str">
        <f>"Matemática"</f>
        <v>Matemática</v>
      </c>
      <c r="AF2479" s="14"/>
    </row>
    <row r="2480" spans="1:32" x14ac:dyDescent="0.3">
      <c r="A2480" s="23" t="s">
        <v>3547</v>
      </c>
      <c r="B2480" s="20" t="s">
        <v>522</v>
      </c>
      <c r="C2480" s="20" t="s">
        <v>7</v>
      </c>
      <c r="D2480" s="20" t="s">
        <v>8</v>
      </c>
      <c r="E2480" s="22">
        <v>226</v>
      </c>
      <c r="F2480" s="22">
        <v>4</v>
      </c>
      <c r="G2480" s="22">
        <v>10</v>
      </c>
      <c r="H2480" s="22"/>
      <c r="I2480" s="23" t="s">
        <v>33</v>
      </c>
      <c r="J2480" s="23"/>
      <c r="K2480" s="22"/>
      <c r="L2480" s="22"/>
      <c r="M2480" s="23"/>
      <c r="N2480" s="23"/>
      <c r="O2480" s="20" t="s">
        <v>3548</v>
      </c>
      <c r="P2480" s="26"/>
      <c r="Q2480" s="22">
        <v>192</v>
      </c>
      <c r="R2480" s="24">
        <v>45912</v>
      </c>
      <c r="S2480" s="24">
        <v>45913</v>
      </c>
      <c r="T2480" s="24"/>
      <c r="U2480" s="24"/>
      <c r="V2480" s="24">
        <v>45913</v>
      </c>
      <c r="W2480" s="22" t="s">
        <v>468</v>
      </c>
      <c r="X2480" s="4" t="str">
        <f>IF(Tabela2[[#This Row],[sigla]]="","",VLOOKUP(Tabela2[[#This Row],[sigla]],créditos_base!B:C,2,0))</f>
        <v>VER DOCUMENTO DE ILS. TÉCNICAS</v>
      </c>
      <c r="Y2480" s="23" t="s">
        <v>433</v>
      </c>
      <c r="Z2480" s="23" t="s">
        <v>1327</v>
      </c>
      <c r="AA2480" s="22">
        <v>14</v>
      </c>
      <c r="AB2480" s="20" t="s">
        <v>153</v>
      </c>
      <c r="AC2480" s="20" t="s">
        <v>36</v>
      </c>
      <c r="AD2480" s="4" t="str">
        <f>"Pitanguá"</f>
        <v>Pitanguá</v>
      </c>
      <c r="AE2480" s="14" t="str">
        <f>"Matemática"</f>
        <v>Matemática</v>
      </c>
      <c r="AF2480" s="14"/>
    </row>
    <row r="2481" spans="1:32" ht="28.8" x14ac:dyDescent="0.3">
      <c r="A2481" s="23" t="s">
        <v>4404</v>
      </c>
      <c r="B2481" s="20" t="s">
        <v>6</v>
      </c>
      <c r="C2481" s="20" t="s">
        <v>89</v>
      </c>
      <c r="D2481" s="20" t="s">
        <v>8</v>
      </c>
      <c r="E2481" s="22">
        <v>254</v>
      </c>
      <c r="F2481" s="22">
        <v>5</v>
      </c>
      <c r="G2481" s="22">
        <v>10</v>
      </c>
      <c r="H2481" s="22"/>
      <c r="I2481" s="23" t="s">
        <v>9</v>
      </c>
      <c r="J2481" s="23"/>
      <c r="K2481" s="22"/>
      <c r="L2481" s="22"/>
      <c r="M2481" s="23"/>
      <c r="N2481" s="23"/>
      <c r="O2481" s="26" t="s">
        <v>4405</v>
      </c>
      <c r="P2481" s="26"/>
      <c r="Q2481" s="22"/>
      <c r="R2481" s="24"/>
      <c r="S2481" s="24"/>
      <c r="T2481" s="24"/>
      <c r="U2481" s="24"/>
      <c r="V2481" s="24"/>
      <c r="W2481" s="22" t="s">
        <v>940</v>
      </c>
      <c r="X2481" s="4" t="str">
        <f>IF(Tabela2[[#This Row],[sigla]]="","",VLOOKUP(Tabela2[[#This Row],[sigla]],créditos_base!B:C,2,0))</f>
        <v>RONALDO LUCENA/ARQUIVO DA EDITORA</v>
      </c>
      <c r="Y2481" s="23"/>
      <c r="Z2481" s="23" t="str">
        <f>Tabela2[[#This Row],[ilustrador]]</f>
        <v>RONALDO LUCENA/ARQUIVO DA EDITORA</v>
      </c>
      <c r="AA2481" s="22"/>
      <c r="AB2481" s="20"/>
      <c r="AD2481" s="4" t="str">
        <f>"Pitanguá"</f>
        <v>Pitanguá</v>
      </c>
      <c r="AE2481" s="14" t="str">
        <f>"Matemática"</f>
        <v>Matemática</v>
      </c>
      <c r="AF2481" s="14"/>
    </row>
    <row r="2482" spans="1:32" ht="28.8" x14ac:dyDescent="0.3">
      <c r="A2482" s="23" t="s">
        <v>721</v>
      </c>
      <c r="B2482" s="20" t="s">
        <v>16</v>
      </c>
      <c r="C2482" s="20" t="s">
        <v>7</v>
      </c>
      <c r="D2482" s="20" t="s">
        <v>8</v>
      </c>
      <c r="E2482" s="22">
        <v>162</v>
      </c>
      <c r="F2482" s="22">
        <v>1</v>
      </c>
      <c r="G2482" s="22">
        <v>10</v>
      </c>
      <c r="H2482" s="22"/>
      <c r="I2482" s="23" t="s">
        <v>9</v>
      </c>
      <c r="J2482" s="23"/>
      <c r="K2482" s="22"/>
      <c r="L2482" s="22"/>
      <c r="M2482" s="23"/>
      <c r="N2482" s="23"/>
      <c r="O2482" s="26" t="s">
        <v>722</v>
      </c>
      <c r="P2482" s="26"/>
      <c r="Q2482" s="22"/>
      <c r="R2482" s="24"/>
      <c r="S2482" s="24"/>
      <c r="T2482" s="24"/>
      <c r="U2482" s="24"/>
      <c r="V2482" s="24"/>
      <c r="W2482" s="22" t="s">
        <v>468</v>
      </c>
      <c r="X2482" s="4" t="str">
        <f>IF(Tabela2[[#This Row],[sigla]]="","",VLOOKUP(Tabela2[[#This Row],[sigla]],créditos_base!B:C,2,0))</f>
        <v>VER DOCUMENTO DE ILS. TÉCNICAS</v>
      </c>
      <c r="Y2482" s="23"/>
      <c r="Z2482" s="23" t="s">
        <v>661</v>
      </c>
      <c r="AA2482" s="22"/>
      <c r="AB2482" s="20"/>
      <c r="AD2482" s="4" t="str">
        <f>"Pitanguá"</f>
        <v>Pitanguá</v>
      </c>
      <c r="AE2482" s="14" t="str">
        <f>"Matemática"</f>
        <v>Matemática</v>
      </c>
      <c r="AF2482" s="14"/>
    </row>
    <row r="2483" spans="1:32" ht="28.8" x14ac:dyDescent="0.3">
      <c r="A2483" s="23" t="s">
        <v>3855</v>
      </c>
      <c r="B2483" s="20" t="s">
        <v>16</v>
      </c>
      <c r="C2483" s="20" t="s">
        <v>89</v>
      </c>
      <c r="D2483" s="20" t="s">
        <v>8</v>
      </c>
      <c r="E2483" s="22">
        <v>240</v>
      </c>
      <c r="F2483" s="22">
        <v>2</v>
      </c>
      <c r="G2483" s="22">
        <v>10</v>
      </c>
      <c r="H2483" s="22"/>
      <c r="I2483" s="23" t="s">
        <v>33</v>
      </c>
      <c r="J2483" s="23"/>
      <c r="K2483" s="22"/>
      <c r="L2483" s="22"/>
      <c r="M2483" s="23"/>
      <c r="N2483" s="23"/>
      <c r="O2483" s="26" t="s">
        <v>3856</v>
      </c>
      <c r="P2483" s="26"/>
      <c r="Q2483" s="22">
        <v>56</v>
      </c>
      <c r="R2483" s="24">
        <v>45805</v>
      </c>
      <c r="S2483" s="24">
        <v>45805</v>
      </c>
      <c r="T2483" s="24"/>
      <c r="U2483" s="24"/>
      <c r="V2483" s="24">
        <v>45806</v>
      </c>
      <c r="W2483" s="22" t="s">
        <v>356</v>
      </c>
      <c r="X2483" s="4" t="str">
        <f>IF(Tabela2[[#This Row],[sigla]]="","",VLOOKUP(Tabela2[[#This Row],[sigla]],créditos_base!B:C,2,0))</f>
        <v>CAMILA CARMONA/ARQUIVO DA EDITORA</v>
      </c>
      <c r="Y2483" s="23" t="s">
        <v>188</v>
      </c>
      <c r="Z2483" s="23" t="str">
        <f>Tabela2[[#This Row],[ilustrador]]</f>
        <v>CAMILA CARMONA/ARQUIVO DA EDITORA</v>
      </c>
      <c r="AA2483" s="22">
        <v>14</v>
      </c>
      <c r="AB2483" s="20" t="s">
        <v>1752</v>
      </c>
      <c r="AC2483" s="20" t="s">
        <v>36</v>
      </c>
      <c r="AD2483" s="4" t="str">
        <f>"Pitanguá"</f>
        <v>Pitanguá</v>
      </c>
      <c r="AE2483" s="14" t="str">
        <f>"Matemática"</f>
        <v>Matemática</v>
      </c>
      <c r="AF2483" s="14"/>
    </row>
    <row r="2484" spans="1:32" ht="72" x14ac:dyDescent="0.3">
      <c r="A2484" s="23" t="s">
        <v>3549</v>
      </c>
      <c r="B2484" s="20" t="s">
        <v>522</v>
      </c>
      <c r="C2484" s="20" t="s">
        <v>7</v>
      </c>
      <c r="D2484" s="20" t="s">
        <v>8</v>
      </c>
      <c r="E2484" s="22">
        <v>226</v>
      </c>
      <c r="F2484" s="22">
        <v>4</v>
      </c>
      <c r="G2484" s="22">
        <v>10</v>
      </c>
      <c r="H2484" s="22"/>
      <c r="I2484" s="23" t="s">
        <v>33</v>
      </c>
      <c r="J2484" s="23"/>
      <c r="K2484" s="22"/>
      <c r="L2484" s="22"/>
      <c r="M2484" s="23"/>
      <c r="N2484" s="23"/>
      <c r="O2484" s="20" t="s">
        <v>3550</v>
      </c>
      <c r="P2484" s="26"/>
      <c r="Q2484" s="22">
        <v>192</v>
      </c>
      <c r="R2484" s="24">
        <v>45912</v>
      </c>
      <c r="S2484" s="24">
        <v>45913</v>
      </c>
      <c r="T2484" s="24"/>
      <c r="U2484" s="24"/>
      <c r="V2484" s="24">
        <v>45913</v>
      </c>
      <c r="W2484" s="22" t="s">
        <v>468</v>
      </c>
      <c r="X2484" s="4" t="str">
        <f>IF(Tabela2[[#This Row],[sigla]]="","",VLOOKUP(Tabela2[[#This Row],[sigla]],créditos_base!B:C,2,0))</f>
        <v>VER DOCUMENTO DE ILS. TÉCNICAS</v>
      </c>
      <c r="Y2484" s="23" t="s">
        <v>433</v>
      </c>
      <c r="Z2484" s="23" t="s">
        <v>1327</v>
      </c>
      <c r="AA2484" s="22">
        <v>14</v>
      </c>
      <c r="AB2484" s="20" t="s">
        <v>153</v>
      </c>
      <c r="AC2484" s="20" t="s">
        <v>36</v>
      </c>
      <c r="AD2484" s="4" t="str">
        <f>"Pitanguá"</f>
        <v>Pitanguá</v>
      </c>
      <c r="AE2484" s="14" t="str">
        <f>"Matemática"</f>
        <v>Matemática</v>
      </c>
      <c r="AF2484" s="14"/>
    </row>
    <row r="2485" spans="1:32" ht="57.6" x14ac:dyDescent="0.3">
      <c r="A2485" s="23" t="s">
        <v>4406</v>
      </c>
      <c r="B2485" s="20" t="s">
        <v>6</v>
      </c>
      <c r="C2485" s="20" t="s">
        <v>89</v>
      </c>
      <c r="D2485" s="20" t="s">
        <v>8</v>
      </c>
      <c r="E2485" s="22">
        <v>254</v>
      </c>
      <c r="F2485" s="22">
        <v>5</v>
      </c>
      <c r="G2485" s="22">
        <v>10</v>
      </c>
      <c r="H2485" s="22"/>
      <c r="I2485" s="23" t="s">
        <v>9</v>
      </c>
      <c r="J2485" s="23"/>
      <c r="K2485" s="22"/>
      <c r="L2485" s="22"/>
      <c r="M2485" s="23"/>
      <c r="N2485" s="23"/>
      <c r="O2485" s="26" t="s">
        <v>4407</v>
      </c>
      <c r="P2485" s="26"/>
      <c r="Q2485" s="22"/>
      <c r="R2485" s="24"/>
      <c r="S2485" s="24"/>
      <c r="T2485" s="24"/>
      <c r="U2485" s="24"/>
      <c r="V2485" s="24"/>
      <c r="W2485" s="22" t="s">
        <v>940</v>
      </c>
      <c r="X2485" s="4" t="str">
        <f>IF(Tabela2[[#This Row],[sigla]]="","",VLOOKUP(Tabela2[[#This Row],[sigla]],créditos_base!B:C,2,0))</f>
        <v>RONALDO LUCENA/ARQUIVO DA EDITORA</v>
      </c>
      <c r="Y2485" s="23"/>
      <c r="Z2485" s="23" t="str">
        <f>Tabela2[[#This Row],[ilustrador]]</f>
        <v>RONALDO LUCENA/ARQUIVO DA EDITORA</v>
      </c>
      <c r="AA2485" s="22"/>
      <c r="AB2485" s="20"/>
      <c r="AD2485" s="4" t="str">
        <f>"Pitanguá"</f>
        <v>Pitanguá</v>
      </c>
      <c r="AE2485" s="14" t="str">
        <f>"Matemática"</f>
        <v>Matemática</v>
      </c>
      <c r="AF2485" s="14"/>
    </row>
    <row r="2486" spans="1:32" ht="43.2" x14ac:dyDescent="0.3">
      <c r="A2486" s="23" t="s">
        <v>723</v>
      </c>
      <c r="B2486" s="20" t="s">
        <v>16</v>
      </c>
      <c r="C2486" s="20" t="s">
        <v>7</v>
      </c>
      <c r="D2486" s="20" t="s">
        <v>8</v>
      </c>
      <c r="E2486" s="22">
        <v>162</v>
      </c>
      <c r="F2486" s="22">
        <v>1</v>
      </c>
      <c r="G2486" s="22">
        <v>10</v>
      </c>
      <c r="H2486" s="22"/>
      <c r="I2486" s="23" t="s">
        <v>33</v>
      </c>
      <c r="J2486" s="23"/>
      <c r="K2486" s="22"/>
      <c r="L2486" s="22"/>
      <c r="M2486" s="23"/>
      <c r="N2486" s="23"/>
      <c r="O2486" s="26" t="s">
        <v>724</v>
      </c>
      <c r="P2486" s="26"/>
      <c r="Q2486" s="22">
        <v>7</v>
      </c>
      <c r="R2486" s="24">
        <v>45729</v>
      </c>
      <c r="S2486" s="24">
        <v>45729</v>
      </c>
      <c r="T2486" s="24"/>
      <c r="U2486" s="24"/>
      <c r="V2486" s="24">
        <v>45729</v>
      </c>
      <c r="W2486" s="22" t="s">
        <v>31</v>
      </c>
      <c r="X2486" s="4" t="str">
        <f>IF(Tabela2[[#This Row],[sigla]]="","",VLOOKUP(Tabela2[[#This Row],[sigla]],créditos_base!B:C,2,0))</f>
        <v>SILVIA OTOFUJI/ARQUIVO DA EDITORA</v>
      </c>
      <c r="Y2486" s="23" t="s">
        <v>140</v>
      </c>
      <c r="Z2486" s="23" t="str">
        <f>Tabela2[[#This Row],[ilustrador]]</f>
        <v>SILVIA OTOFUJI/ARQUIVO DA EDITORA</v>
      </c>
      <c r="AA2486" s="22">
        <v>14</v>
      </c>
      <c r="AB2486" s="20"/>
      <c r="AC2486" s="20" t="s">
        <v>36</v>
      </c>
      <c r="AD2486" s="4" t="str">
        <f>"Pitanguá"</f>
        <v>Pitanguá</v>
      </c>
      <c r="AE2486" s="14" t="str">
        <f>"Matemática"</f>
        <v>Matemática</v>
      </c>
      <c r="AF2486" s="14"/>
    </row>
    <row r="2487" spans="1:32" ht="57.6" x14ac:dyDescent="0.3">
      <c r="A2487" s="23" t="s">
        <v>2769</v>
      </c>
      <c r="B2487" s="20" t="s">
        <v>6</v>
      </c>
      <c r="C2487" s="20" t="s">
        <v>7</v>
      </c>
      <c r="D2487" s="20" t="s">
        <v>8</v>
      </c>
      <c r="E2487" s="22">
        <v>215</v>
      </c>
      <c r="F2487" s="22">
        <v>3</v>
      </c>
      <c r="G2487" s="22">
        <v>10</v>
      </c>
      <c r="H2487" s="22"/>
      <c r="I2487" s="23" t="s">
        <v>9</v>
      </c>
      <c r="J2487" s="23"/>
      <c r="K2487" s="22"/>
      <c r="L2487" s="22"/>
      <c r="M2487" s="23"/>
      <c r="N2487" s="23"/>
      <c r="O2487" s="26" t="s">
        <v>2770</v>
      </c>
      <c r="P2487" s="26" t="s">
        <v>11</v>
      </c>
      <c r="Q2487" s="22"/>
      <c r="R2487" s="24"/>
      <c r="S2487" s="24"/>
      <c r="T2487" s="24"/>
      <c r="U2487" s="24"/>
      <c r="V2487" s="24"/>
      <c r="W2487" s="22" t="s">
        <v>151</v>
      </c>
      <c r="X2487" s="4" t="str">
        <f>IF(Tabela2[[#This Row],[sigla]]="","",VLOOKUP(Tabela2[[#This Row],[sigla]],créditos_base!B:C,2,0))</f>
        <v>ROGÉRIO CASAGRANDE/ARQUIVO DA EDITORA</v>
      </c>
      <c r="Y2487" s="23"/>
      <c r="Z2487" s="23" t="str">
        <f>Tabela2[[#This Row],[ilustrador]]</f>
        <v>ROGÉRIO CASAGRANDE/ARQUIVO DA EDITORA</v>
      </c>
      <c r="AA2487" s="22"/>
      <c r="AB2487" s="20"/>
      <c r="AD2487" s="4" t="str">
        <f>"Pitanguá"</f>
        <v>Pitanguá</v>
      </c>
      <c r="AE2487" s="14" t="str">
        <f>"Matemática"</f>
        <v>Matemática</v>
      </c>
      <c r="AF2487" s="14"/>
    </row>
    <row r="2488" spans="1:32" ht="28.8" x14ac:dyDescent="0.3">
      <c r="A2488" s="23" t="s">
        <v>3551</v>
      </c>
      <c r="B2488" s="20" t="s">
        <v>16</v>
      </c>
      <c r="C2488" s="20" t="s">
        <v>7</v>
      </c>
      <c r="D2488" s="20" t="s">
        <v>8</v>
      </c>
      <c r="E2488" s="22">
        <v>226</v>
      </c>
      <c r="F2488" s="22">
        <v>4</v>
      </c>
      <c r="G2488" s="22">
        <v>10</v>
      </c>
      <c r="H2488" s="22"/>
      <c r="I2488" s="23" t="s">
        <v>33</v>
      </c>
      <c r="J2488" s="23"/>
      <c r="K2488" s="22"/>
      <c r="L2488" s="22"/>
      <c r="M2488" s="23"/>
      <c r="N2488" s="23"/>
      <c r="O2488" s="26" t="s">
        <v>3552</v>
      </c>
      <c r="P2488" s="26"/>
      <c r="Q2488" s="22">
        <v>51</v>
      </c>
      <c r="R2488" s="24">
        <v>45802</v>
      </c>
      <c r="S2488" s="24">
        <v>45810</v>
      </c>
      <c r="T2488" s="24"/>
      <c r="U2488" s="24"/>
      <c r="V2488" s="24">
        <v>45810</v>
      </c>
      <c r="W2488" s="22" t="s">
        <v>460</v>
      </c>
      <c r="X2488" s="4" t="str">
        <f>IF(Tabela2[[#This Row],[sigla]]="","",VLOOKUP(Tabela2[[#This Row],[sigla]],créditos_base!B:C,2,0))</f>
        <v>CLAUDIA SOUZA/ARQUIVO DA EDITORA</v>
      </c>
      <c r="Y2488" s="23" t="s">
        <v>1503</v>
      </c>
      <c r="Z2488" s="23" t="str">
        <f>Tabela2[[#This Row],[ilustrador]]</f>
        <v>CLAUDIA SOUZA/ARQUIVO DA EDITORA</v>
      </c>
      <c r="AA2488" s="22"/>
      <c r="AB2488" s="28" t="s">
        <v>41</v>
      </c>
      <c r="AC2488" s="20" t="s">
        <v>36</v>
      </c>
      <c r="AD2488" s="4" t="str">
        <f>"Pitanguá"</f>
        <v>Pitanguá</v>
      </c>
      <c r="AE2488" s="14" t="str">
        <f>"Matemática"</f>
        <v>Matemática</v>
      </c>
      <c r="AF2488" s="14"/>
    </row>
    <row r="2489" spans="1:32" ht="43.2" x14ac:dyDescent="0.3">
      <c r="A2489" s="23" t="s">
        <v>4408</v>
      </c>
      <c r="B2489" s="20" t="s">
        <v>6</v>
      </c>
      <c r="C2489" s="20" t="s">
        <v>89</v>
      </c>
      <c r="D2489" s="20" t="s">
        <v>8</v>
      </c>
      <c r="E2489" s="22">
        <v>254</v>
      </c>
      <c r="F2489" s="22">
        <v>5</v>
      </c>
      <c r="G2489" s="22">
        <v>10</v>
      </c>
      <c r="H2489" s="22"/>
      <c r="I2489" s="23" t="s">
        <v>9</v>
      </c>
      <c r="J2489" s="23"/>
      <c r="K2489" s="22"/>
      <c r="L2489" s="22"/>
      <c r="M2489" s="23"/>
      <c r="N2489" s="23"/>
      <c r="O2489" s="26" t="s">
        <v>4409</v>
      </c>
      <c r="P2489" s="26"/>
      <c r="Q2489" s="22"/>
      <c r="R2489" s="24"/>
      <c r="S2489" s="24"/>
      <c r="T2489" s="24"/>
      <c r="U2489" s="24"/>
      <c r="V2489" s="24"/>
      <c r="W2489" s="22" t="s">
        <v>940</v>
      </c>
      <c r="X2489" s="4" t="str">
        <f>IF(Tabela2[[#This Row],[sigla]]="","",VLOOKUP(Tabela2[[#This Row],[sigla]],créditos_base!B:C,2,0))</f>
        <v>RONALDO LUCENA/ARQUIVO DA EDITORA</v>
      </c>
      <c r="Y2489" s="23"/>
      <c r="Z2489" s="23" t="str">
        <f>Tabela2[[#This Row],[ilustrador]]</f>
        <v>RONALDO LUCENA/ARQUIVO DA EDITORA</v>
      </c>
      <c r="AA2489" s="22"/>
      <c r="AB2489" s="20"/>
      <c r="AD2489" s="4" t="str">
        <f>"Pitanguá"</f>
        <v>Pitanguá</v>
      </c>
      <c r="AE2489" s="14" t="str">
        <f>"Matemática"</f>
        <v>Matemática</v>
      </c>
      <c r="AF2489" s="14"/>
    </row>
    <row r="2490" spans="1:32" ht="28.8" x14ac:dyDescent="0.3">
      <c r="A2490" s="23" t="s">
        <v>725</v>
      </c>
      <c r="B2490" s="20" t="s">
        <v>16</v>
      </c>
      <c r="C2490" s="20" t="s">
        <v>7</v>
      </c>
      <c r="D2490" s="20" t="s">
        <v>8</v>
      </c>
      <c r="E2490" s="22">
        <v>163</v>
      </c>
      <c r="F2490" s="22">
        <v>1</v>
      </c>
      <c r="G2490" s="22">
        <v>10</v>
      </c>
      <c r="H2490" s="22"/>
      <c r="I2490" s="23" t="s">
        <v>9</v>
      </c>
      <c r="J2490" s="23"/>
      <c r="K2490" s="22"/>
      <c r="L2490" s="22"/>
      <c r="M2490" s="23"/>
      <c r="N2490" s="23"/>
      <c r="O2490" s="26" t="s">
        <v>726</v>
      </c>
      <c r="P2490" s="26"/>
      <c r="Q2490" s="22"/>
      <c r="R2490" s="24"/>
      <c r="S2490" s="24"/>
      <c r="T2490" s="24"/>
      <c r="U2490" s="24"/>
      <c r="V2490" s="24"/>
      <c r="W2490" s="22" t="s">
        <v>31</v>
      </c>
      <c r="X2490" s="4" t="str">
        <f>IF(Tabela2[[#This Row],[sigla]]="","",VLOOKUP(Tabela2[[#This Row],[sigla]],créditos_base!B:C,2,0))</f>
        <v>SILVIA OTOFUJI/ARQUIVO DA EDITORA</v>
      </c>
      <c r="Y2490" s="23"/>
      <c r="Z2490" s="23" t="str">
        <f>Tabela2[[#This Row],[ilustrador]]</f>
        <v>SILVIA OTOFUJI/ARQUIVO DA EDITORA</v>
      </c>
      <c r="AA2490" s="22"/>
      <c r="AB2490" s="20"/>
      <c r="AD2490" s="4" t="str">
        <f>"Pitanguá"</f>
        <v>Pitanguá</v>
      </c>
      <c r="AE2490" s="14" t="str">
        <f>"Matemática"</f>
        <v>Matemática</v>
      </c>
      <c r="AF2490" s="14"/>
    </row>
    <row r="2491" spans="1:32" ht="28.8" x14ac:dyDescent="0.3">
      <c r="A2491" s="23" t="s">
        <v>4031</v>
      </c>
      <c r="B2491" s="20" t="s">
        <v>16</v>
      </c>
      <c r="C2491" s="20" t="s">
        <v>89</v>
      </c>
      <c r="D2491" s="20" t="s">
        <v>8</v>
      </c>
      <c r="E2491" s="22">
        <v>244</v>
      </c>
      <c r="F2491" s="22">
        <v>2</v>
      </c>
      <c r="G2491" s="22">
        <v>10</v>
      </c>
      <c r="H2491" s="22"/>
      <c r="I2491" s="23" t="s">
        <v>9</v>
      </c>
      <c r="J2491" s="23"/>
      <c r="K2491" s="22"/>
      <c r="L2491" s="22"/>
      <c r="M2491" s="23"/>
      <c r="N2491" s="23"/>
      <c r="O2491" s="26" t="s">
        <v>4032</v>
      </c>
      <c r="P2491" s="26"/>
      <c r="Q2491" s="22"/>
      <c r="R2491" s="24"/>
      <c r="S2491" s="24"/>
      <c r="T2491" s="24"/>
      <c r="U2491" s="24"/>
      <c r="V2491" s="24"/>
      <c r="W2491" s="22" t="s">
        <v>72</v>
      </c>
      <c r="X2491" s="4" t="str">
        <f>IF(Tabela2[[#This Row],[sigla]]="","",VLOOKUP(Tabela2[[#This Row],[sigla]],créditos_base!B:C,2,0))</f>
        <v>HELOÍSA PINTARELLI/ARQUIVO DA EDITORA</v>
      </c>
      <c r="Y2491" s="23"/>
      <c r="Z2491" s="23" t="str">
        <f>Tabela2[[#This Row],[ilustrador]]</f>
        <v>HELOÍSA PINTARELLI/ARQUIVO DA EDITORA</v>
      </c>
      <c r="AA2491" s="22"/>
      <c r="AB2491" s="20"/>
      <c r="AD2491" s="4" t="str">
        <f>"Pitanguá"</f>
        <v>Pitanguá</v>
      </c>
      <c r="AE2491" s="14" t="str">
        <f>"Matemática"</f>
        <v>Matemática</v>
      </c>
      <c r="AF2491" s="14"/>
    </row>
    <row r="2492" spans="1:32" ht="57.6" x14ac:dyDescent="0.3">
      <c r="A2492" s="23" t="s">
        <v>3553</v>
      </c>
      <c r="B2492" s="20" t="s">
        <v>16</v>
      </c>
      <c r="C2492" s="20" t="s">
        <v>7</v>
      </c>
      <c r="D2492" s="20" t="s">
        <v>8</v>
      </c>
      <c r="E2492" s="22">
        <v>226</v>
      </c>
      <c r="F2492" s="22">
        <v>4</v>
      </c>
      <c r="G2492" s="22">
        <v>10</v>
      </c>
      <c r="H2492" s="22"/>
      <c r="I2492" s="23" t="s">
        <v>9</v>
      </c>
      <c r="J2492" s="23"/>
      <c r="K2492" s="22"/>
      <c r="L2492" s="22"/>
      <c r="M2492" s="23"/>
      <c r="N2492" s="23"/>
      <c r="O2492" s="20" t="s">
        <v>3554</v>
      </c>
      <c r="P2492" s="26"/>
      <c r="Q2492" s="22"/>
      <c r="R2492" s="24"/>
      <c r="S2492" s="24"/>
      <c r="T2492" s="24"/>
      <c r="U2492" s="24"/>
      <c r="V2492" s="24"/>
      <c r="W2492" s="22" t="s">
        <v>468</v>
      </c>
      <c r="X2492" s="4" t="str">
        <f>IF(Tabela2[[#This Row],[sigla]]="","",VLOOKUP(Tabela2[[#This Row],[sigla]],créditos_base!B:C,2,0))</f>
        <v>VER DOCUMENTO DE ILS. TÉCNICAS</v>
      </c>
      <c r="Y2492" s="23"/>
      <c r="Z2492" s="23" t="s">
        <v>1327</v>
      </c>
      <c r="AA2492" s="22"/>
      <c r="AB2492" s="20"/>
      <c r="AD2492" s="4" t="str">
        <f>"Pitanguá"</f>
        <v>Pitanguá</v>
      </c>
      <c r="AE2492" s="14" t="str">
        <f>"Matemática"</f>
        <v>Matemática</v>
      </c>
      <c r="AF2492" s="14"/>
    </row>
    <row r="2493" spans="1:32" ht="57.6" x14ac:dyDescent="0.3">
      <c r="A2493" s="23" t="s">
        <v>4410</v>
      </c>
      <c r="B2493" s="20" t="s">
        <v>6</v>
      </c>
      <c r="C2493" s="20" t="s">
        <v>7</v>
      </c>
      <c r="D2493" s="20" t="s">
        <v>8</v>
      </c>
      <c r="E2493" s="22">
        <v>254</v>
      </c>
      <c r="F2493" s="22">
        <v>5</v>
      </c>
      <c r="G2493" s="22">
        <v>10</v>
      </c>
      <c r="H2493" s="22"/>
      <c r="I2493" s="23" t="s">
        <v>9</v>
      </c>
      <c r="J2493" s="23"/>
      <c r="K2493" s="22"/>
      <c r="L2493" s="22"/>
      <c r="M2493" s="23"/>
      <c r="N2493" s="23"/>
      <c r="O2493" s="26" t="s">
        <v>4411</v>
      </c>
      <c r="P2493" s="26"/>
      <c r="Q2493" s="22"/>
      <c r="R2493" s="24"/>
      <c r="S2493" s="24"/>
      <c r="T2493" s="24"/>
      <c r="U2493" s="24"/>
      <c r="V2493" s="24"/>
      <c r="W2493" s="22" t="s">
        <v>468</v>
      </c>
      <c r="X2493" s="4" t="str">
        <f>IF(Tabela2[[#This Row],[sigla]]="","",VLOOKUP(Tabela2[[#This Row],[sigla]],créditos_base!B:C,2,0))</f>
        <v>VER DOCUMENTO DE ILS. TÉCNICAS</v>
      </c>
      <c r="Y2493" s="23"/>
      <c r="Z2493" s="23" t="s">
        <v>1327</v>
      </c>
      <c r="AA2493" s="22"/>
      <c r="AB2493" s="20"/>
      <c r="AD2493" s="4" t="str">
        <f>"Pitanguá"</f>
        <v>Pitanguá</v>
      </c>
      <c r="AE2493" s="14" t="str">
        <f>"Matemática"</f>
        <v>Matemática</v>
      </c>
      <c r="AF2493" s="14"/>
    </row>
    <row r="2494" spans="1:32" x14ac:dyDescent="0.3">
      <c r="A2494" s="23" t="s">
        <v>727</v>
      </c>
      <c r="B2494" s="20" t="s">
        <v>16</v>
      </c>
      <c r="C2494" s="20" t="s">
        <v>7</v>
      </c>
      <c r="D2494" s="20" t="s">
        <v>8</v>
      </c>
      <c r="E2494" s="22">
        <v>163</v>
      </c>
      <c r="F2494" s="22">
        <v>1</v>
      </c>
      <c r="G2494" s="22">
        <v>10</v>
      </c>
      <c r="H2494" s="22"/>
      <c r="I2494" s="23" t="s">
        <v>9</v>
      </c>
      <c r="J2494" s="23"/>
      <c r="K2494" s="22"/>
      <c r="L2494" s="22"/>
      <c r="M2494" s="23"/>
      <c r="N2494" s="23"/>
      <c r="O2494" s="26" t="s">
        <v>728</v>
      </c>
      <c r="P2494" s="26"/>
      <c r="Q2494" s="22"/>
      <c r="R2494" s="24"/>
      <c r="S2494" s="24"/>
      <c r="T2494" s="24"/>
      <c r="U2494" s="24"/>
      <c r="V2494" s="24"/>
      <c r="W2494" s="22" t="s">
        <v>31</v>
      </c>
      <c r="X2494" s="4" t="str">
        <f>IF(Tabela2[[#This Row],[sigla]]="","",VLOOKUP(Tabela2[[#This Row],[sigla]],créditos_base!B:C,2,0))</f>
        <v>SILVIA OTOFUJI/ARQUIVO DA EDITORA</v>
      </c>
      <c r="Y2494" s="23"/>
      <c r="Z2494" s="23" t="str">
        <f>Tabela2[[#This Row],[ilustrador]]</f>
        <v>SILVIA OTOFUJI/ARQUIVO DA EDITORA</v>
      </c>
      <c r="AA2494" s="22"/>
      <c r="AB2494" s="20"/>
      <c r="AD2494" s="4" t="str">
        <f>"Pitanguá"</f>
        <v>Pitanguá</v>
      </c>
      <c r="AE2494" s="14" t="str">
        <f>"Matemática"</f>
        <v>Matemática</v>
      </c>
      <c r="AF2494" s="14"/>
    </row>
    <row r="2495" spans="1:32" ht="57.6" x14ac:dyDescent="0.3">
      <c r="A2495" s="23" t="s">
        <v>2771</v>
      </c>
      <c r="B2495" s="20" t="s">
        <v>16</v>
      </c>
      <c r="C2495" s="20" t="s">
        <v>7</v>
      </c>
      <c r="D2495" s="20" t="s">
        <v>8</v>
      </c>
      <c r="E2495" s="22">
        <v>215</v>
      </c>
      <c r="F2495" s="22">
        <v>3</v>
      </c>
      <c r="G2495" s="22">
        <v>10</v>
      </c>
      <c r="H2495" s="22"/>
      <c r="I2495" s="23" t="s">
        <v>33</v>
      </c>
      <c r="J2495" s="23"/>
      <c r="K2495" s="22"/>
      <c r="L2495" s="22"/>
      <c r="M2495" s="23"/>
      <c r="N2495" s="23"/>
      <c r="O2495" s="26" t="s">
        <v>2772</v>
      </c>
      <c r="P2495" s="26"/>
      <c r="Q2495" s="22">
        <v>176</v>
      </c>
      <c r="R2495" s="24">
        <v>45901</v>
      </c>
      <c r="S2495" s="24">
        <v>45901</v>
      </c>
      <c r="T2495" s="24"/>
      <c r="U2495" s="24"/>
      <c r="V2495" s="24">
        <v>45901</v>
      </c>
      <c r="W2495" s="22" t="s">
        <v>151</v>
      </c>
      <c r="X2495" s="4" t="str">
        <f>IF(Tabela2[[#This Row],[sigla]]="","",VLOOKUP(Tabela2[[#This Row],[sigla]],créditos_base!B:C,2,0))</f>
        <v>ROGÉRIO CASAGRANDE/ARQUIVO DA EDITORA</v>
      </c>
      <c r="Y2495" s="23" t="s">
        <v>696</v>
      </c>
      <c r="Z2495" s="23" t="str">
        <f>Tabela2[[#This Row],[ilustrador]]</f>
        <v>ROGÉRIO CASAGRANDE/ARQUIVO DA EDITORA</v>
      </c>
      <c r="AA2495" s="22">
        <v>14</v>
      </c>
      <c r="AB2495" s="20" t="s">
        <v>244</v>
      </c>
      <c r="AC2495" s="20" t="s">
        <v>36</v>
      </c>
      <c r="AD2495" s="4" t="str">
        <f>"Pitanguá"</f>
        <v>Pitanguá</v>
      </c>
      <c r="AE2495" s="14" t="str">
        <f>"Matemática"</f>
        <v>Matemática</v>
      </c>
      <c r="AF2495" s="14"/>
    </row>
    <row r="2496" spans="1:32" x14ac:dyDescent="0.3">
      <c r="A2496" s="23" t="s">
        <v>3555</v>
      </c>
      <c r="B2496" s="20" t="s">
        <v>16</v>
      </c>
      <c r="C2496" s="20" t="s">
        <v>7</v>
      </c>
      <c r="D2496" s="20" t="s">
        <v>8</v>
      </c>
      <c r="E2496" s="22">
        <v>226</v>
      </c>
      <c r="F2496" s="22">
        <v>4</v>
      </c>
      <c r="G2496" s="22">
        <v>10</v>
      </c>
      <c r="H2496" s="22"/>
      <c r="I2496" s="23" t="s">
        <v>9</v>
      </c>
      <c r="J2496" s="23"/>
      <c r="K2496" s="22"/>
      <c r="L2496" s="22"/>
      <c r="M2496" s="23"/>
      <c r="N2496" s="23"/>
      <c r="O2496" s="20" t="s">
        <v>3556</v>
      </c>
      <c r="P2496" s="26"/>
      <c r="Q2496" s="22"/>
      <c r="R2496" s="24"/>
      <c r="S2496" s="24"/>
      <c r="T2496" s="24"/>
      <c r="U2496" s="24"/>
      <c r="V2496" s="24"/>
      <c r="W2496" s="22" t="s">
        <v>468</v>
      </c>
      <c r="X2496" s="4" t="str">
        <f>IF(Tabela2[[#This Row],[sigla]]="","",VLOOKUP(Tabela2[[#This Row],[sigla]],créditos_base!B:C,2,0))</f>
        <v>VER DOCUMENTO DE ILS. TÉCNICAS</v>
      </c>
      <c r="Y2496" s="23"/>
      <c r="Z2496" s="23" t="s">
        <v>1327</v>
      </c>
      <c r="AA2496" s="22"/>
      <c r="AB2496" s="20"/>
      <c r="AD2496" s="4" t="str">
        <f>"Pitanguá"</f>
        <v>Pitanguá</v>
      </c>
      <c r="AE2496" s="14" t="str">
        <f>"Matemática"</f>
        <v>Matemática</v>
      </c>
      <c r="AF2496" s="14"/>
    </row>
    <row r="2497" spans="1:32" x14ac:dyDescent="0.3">
      <c r="A2497" s="23" t="s">
        <v>4412</v>
      </c>
      <c r="B2497" s="20" t="s">
        <v>6</v>
      </c>
      <c r="C2497" s="20" t="s">
        <v>7</v>
      </c>
      <c r="D2497" s="20" t="s">
        <v>8</v>
      </c>
      <c r="E2497" s="22">
        <v>254</v>
      </c>
      <c r="F2497" s="22">
        <v>5</v>
      </c>
      <c r="G2497" s="22">
        <v>10</v>
      </c>
      <c r="H2497" s="22"/>
      <c r="I2497" s="23" t="s">
        <v>9</v>
      </c>
      <c r="J2497" s="23"/>
      <c r="K2497" s="22"/>
      <c r="L2497" s="22"/>
      <c r="M2497" s="23"/>
      <c r="N2497" s="23"/>
      <c r="O2497" s="26" t="s">
        <v>4413</v>
      </c>
      <c r="P2497" s="26"/>
      <c r="Q2497" s="22"/>
      <c r="R2497" s="24"/>
      <c r="S2497" s="24"/>
      <c r="T2497" s="24"/>
      <c r="U2497" s="24"/>
      <c r="V2497" s="24"/>
      <c r="W2497" s="22" t="s">
        <v>468</v>
      </c>
      <c r="X2497" s="4" t="str">
        <f>IF(Tabela2[[#This Row],[sigla]]="","",VLOOKUP(Tabela2[[#This Row],[sigla]],créditos_base!B:C,2,0))</f>
        <v>VER DOCUMENTO DE ILS. TÉCNICAS</v>
      </c>
      <c r="Y2497" s="23"/>
      <c r="Z2497" s="23" t="s">
        <v>1327</v>
      </c>
      <c r="AA2497" s="22"/>
      <c r="AB2497" s="20"/>
      <c r="AD2497" s="4" t="str">
        <f>"Pitanguá"</f>
        <v>Pitanguá</v>
      </c>
      <c r="AE2497" s="14" t="str">
        <f>"Matemática"</f>
        <v>Matemática</v>
      </c>
      <c r="AF2497" s="14"/>
    </row>
    <row r="2498" spans="1:32" x14ac:dyDescent="0.3">
      <c r="A2498" s="23" t="s">
        <v>729</v>
      </c>
      <c r="B2498" s="20" t="s">
        <v>16</v>
      </c>
      <c r="C2498" s="20" t="s">
        <v>7</v>
      </c>
      <c r="D2498" s="20" t="s">
        <v>8</v>
      </c>
      <c r="E2498" s="22">
        <v>164</v>
      </c>
      <c r="F2498" s="22">
        <v>1</v>
      </c>
      <c r="G2498" s="22">
        <v>10</v>
      </c>
      <c r="H2498" s="22"/>
      <c r="I2498" s="23" t="s">
        <v>9</v>
      </c>
      <c r="J2498" s="23"/>
      <c r="K2498" s="22"/>
      <c r="L2498" s="22"/>
      <c r="M2498" s="23"/>
      <c r="N2498" s="23"/>
      <c r="O2498" s="26" t="s">
        <v>730</v>
      </c>
      <c r="P2498" s="26"/>
      <c r="Q2498" s="22"/>
      <c r="R2498" s="24"/>
      <c r="S2498" s="24"/>
      <c r="T2498" s="24"/>
      <c r="U2498" s="24"/>
      <c r="V2498" s="24"/>
      <c r="W2498" s="22" t="s">
        <v>87</v>
      </c>
      <c r="X2498" s="4" t="str">
        <f>IF(Tabela2[[#This Row],[sigla]]="","",VLOOKUP(Tabela2[[#This Row],[sigla]],créditos_base!B:C,2,0))</f>
        <v>CHRIS BORGES/ARQUIVO DA EDITORA</v>
      </c>
      <c r="Y2498" s="23"/>
      <c r="Z2498" s="23" t="str">
        <f>Tabela2[[#This Row],[ilustrador]]</f>
        <v>CHRIS BORGES/ARQUIVO DA EDITORA</v>
      </c>
      <c r="AA2498" s="22"/>
      <c r="AB2498" s="20"/>
      <c r="AD2498" s="4" t="str">
        <f>"Pitanguá"</f>
        <v>Pitanguá</v>
      </c>
      <c r="AE2498" s="14" t="str">
        <f>"Matemática"</f>
        <v>Matemática</v>
      </c>
      <c r="AF2498" s="14"/>
    </row>
    <row r="2499" spans="1:32" ht="43.2" x14ac:dyDescent="0.3">
      <c r="A2499" s="23" t="s">
        <v>3557</v>
      </c>
      <c r="B2499" s="20" t="s">
        <v>16</v>
      </c>
      <c r="C2499" s="20" t="s">
        <v>7</v>
      </c>
      <c r="D2499" s="20" t="s">
        <v>8</v>
      </c>
      <c r="E2499" s="22">
        <v>226</v>
      </c>
      <c r="F2499" s="22">
        <v>4</v>
      </c>
      <c r="G2499" s="22">
        <v>10</v>
      </c>
      <c r="H2499" s="22"/>
      <c r="I2499" s="23" t="s">
        <v>9</v>
      </c>
      <c r="J2499" s="23"/>
      <c r="K2499" s="22"/>
      <c r="L2499" s="22"/>
      <c r="M2499" s="23"/>
      <c r="N2499" s="23"/>
      <c r="O2499" s="20" t="s">
        <v>3558</v>
      </c>
      <c r="P2499" s="26"/>
      <c r="Q2499" s="22"/>
      <c r="R2499" s="24"/>
      <c r="S2499" s="24"/>
      <c r="T2499" s="24"/>
      <c r="U2499" s="24"/>
      <c r="V2499" s="24"/>
      <c r="W2499" s="22" t="s">
        <v>468</v>
      </c>
      <c r="X2499" s="4" t="str">
        <f>IF(Tabela2[[#This Row],[sigla]]="","",VLOOKUP(Tabela2[[#This Row],[sigla]],créditos_base!B:C,2,0))</f>
        <v>VER DOCUMENTO DE ILS. TÉCNICAS</v>
      </c>
      <c r="Y2499" s="23"/>
      <c r="Z2499" s="23" t="s">
        <v>1327</v>
      </c>
      <c r="AA2499" s="22"/>
      <c r="AB2499" s="20"/>
      <c r="AD2499" s="4" t="str">
        <f>"Pitanguá"</f>
        <v>Pitanguá</v>
      </c>
      <c r="AE2499" s="14" t="str">
        <f>"Matemática"</f>
        <v>Matemática</v>
      </c>
      <c r="AF2499" s="14"/>
    </row>
    <row r="2500" spans="1:32" ht="72" x14ac:dyDescent="0.3">
      <c r="A2500" s="23" t="s">
        <v>731</v>
      </c>
      <c r="B2500" s="20" t="s">
        <v>16</v>
      </c>
      <c r="C2500" s="20" t="s">
        <v>7</v>
      </c>
      <c r="D2500" s="20" t="s">
        <v>8</v>
      </c>
      <c r="E2500" s="22">
        <v>165</v>
      </c>
      <c r="F2500" s="22">
        <v>1</v>
      </c>
      <c r="G2500" s="22">
        <v>10</v>
      </c>
      <c r="H2500" s="22"/>
      <c r="I2500" s="23" t="s">
        <v>9</v>
      </c>
      <c r="J2500" s="23"/>
      <c r="K2500" s="22"/>
      <c r="L2500" s="22"/>
      <c r="M2500" s="23"/>
      <c r="N2500" s="23"/>
      <c r="O2500" s="26" t="s">
        <v>732</v>
      </c>
      <c r="P2500" s="26"/>
      <c r="Q2500" s="22"/>
      <c r="R2500" s="24"/>
      <c r="S2500" s="24"/>
      <c r="T2500" s="24"/>
      <c r="U2500" s="24"/>
      <c r="V2500" s="24"/>
      <c r="W2500" s="22" t="s">
        <v>160</v>
      </c>
      <c r="X2500" s="4" t="str">
        <f>IF(Tabela2[[#This Row],[sigla]]="","",VLOOKUP(Tabela2[[#This Row],[sigla]],créditos_base!B:C,2,0))</f>
        <v>SERGIO LIMA/ARQUIVO DA EDITORA</v>
      </c>
      <c r="Y2500" s="23"/>
      <c r="Z2500" s="23" t="str">
        <f>Tabela2[[#This Row],[ilustrador]]</f>
        <v>SERGIO LIMA/ARQUIVO DA EDITORA</v>
      </c>
      <c r="AA2500" s="22"/>
      <c r="AB2500" s="20"/>
      <c r="AD2500" s="4" t="str">
        <f>"Pitanguá"</f>
        <v>Pitanguá</v>
      </c>
      <c r="AE2500" s="14" t="str">
        <f>"Matemática"</f>
        <v>Matemática</v>
      </c>
      <c r="AF2500" s="14"/>
    </row>
    <row r="2501" spans="1:32" ht="57.6" x14ac:dyDescent="0.3">
      <c r="A2501" s="23" t="s">
        <v>2773</v>
      </c>
      <c r="B2501" s="20" t="s">
        <v>16</v>
      </c>
      <c r="C2501" s="20" t="s">
        <v>7</v>
      </c>
      <c r="D2501" s="20" t="s">
        <v>8</v>
      </c>
      <c r="E2501" s="22">
        <v>215</v>
      </c>
      <c r="F2501" s="22">
        <v>3</v>
      </c>
      <c r="G2501" s="22">
        <v>10</v>
      </c>
      <c r="H2501" s="22"/>
      <c r="I2501" s="23" t="s">
        <v>33</v>
      </c>
      <c r="J2501" s="23"/>
      <c r="K2501" s="22"/>
      <c r="L2501" s="22"/>
      <c r="M2501" s="23"/>
      <c r="N2501" s="23"/>
      <c r="O2501" s="26" t="s">
        <v>2774</v>
      </c>
      <c r="P2501" s="26"/>
      <c r="Q2501" s="22">
        <v>176</v>
      </c>
      <c r="R2501" s="24">
        <v>45901</v>
      </c>
      <c r="S2501" s="24">
        <v>45901</v>
      </c>
      <c r="T2501" s="24"/>
      <c r="U2501" s="24"/>
      <c r="V2501" s="24">
        <v>45901</v>
      </c>
      <c r="W2501" s="22" t="s">
        <v>151</v>
      </c>
      <c r="X2501" s="4" t="str">
        <f>IF(Tabela2[[#This Row],[sigla]]="","",VLOOKUP(Tabela2[[#This Row],[sigla]],créditos_base!B:C,2,0))</f>
        <v>ROGÉRIO CASAGRANDE/ARQUIVO DA EDITORA</v>
      </c>
      <c r="Y2501" s="23" t="s">
        <v>696</v>
      </c>
      <c r="Z2501" s="23" t="str">
        <f>Tabela2[[#This Row],[ilustrador]]</f>
        <v>ROGÉRIO CASAGRANDE/ARQUIVO DA EDITORA</v>
      </c>
      <c r="AA2501" s="22">
        <v>14</v>
      </c>
      <c r="AB2501" s="20" t="s">
        <v>244</v>
      </c>
      <c r="AC2501" s="20" t="s">
        <v>36</v>
      </c>
      <c r="AD2501" s="4" t="str">
        <f>"Pitanguá"</f>
        <v>Pitanguá</v>
      </c>
      <c r="AE2501" s="14" t="str">
        <f>"Matemática"</f>
        <v>Matemática</v>
      </c>
      <c r="AF2501" s="14"/>
    </row>
    <row r="2502" spans="1:32" ht="57.6" x14ac:dyDescent="0.3">
      <c r="A2502" s="23" t="s">
        <v>3559</v>
      </c>
      <c r="B2502" s="20" t="s">
        <v>16</v>
      </c>
      <c r="C2502" s="20" t="s">
        <v>7</v>
      </c>
      <c r="D2502" s="20" t="s">
        <v>8</v>
      </c>
      <c r="E2502" s="22">
        <v>227</v>
      </c>
      <c r="F2502" s="22">
        <v>4</v>
      </c>
      <c r="G2502" s="22">
        <v>10</v>
      </c>
      <c r="H2502" s="22"/>
      <c r="I2502" s="23" t="s">
        <v>9</v>
      </c>
      <c r="J2502" s="23"/>
      <c r="K2502" s="22"/>
      <c r="L2502" s="22"/>
      <c r="M2502" s="23"/>
      <c r="N2502" s="23"/>
      <c r="O2502" s="20" t="s">
        <v>3560</v>
      </c>
      <c r="P2502" s="26"/>
      <c r="Q2502" s="22"/>
      <c r="R2502" s="24"/>
      <c r="S2502" s="24"/>
      <c r="T2502" s="24"/>
      <c r="U2502" s="24"/>
      <c r="V2502" s="24"/>
      <c r="W2502" s="22" t="s">
        <v>3382</v>
      </c>
      <c r="X2502" s="4" t="str">
        <f>IF(Tabela2[[#This Row],[sigla]]="","",VLOOKUP(Tabela2[[#This Row],[sigla]],créditos_base!B:C,2,0))</f>
        <v>LEONARDO MARI/ARQUIVO DA EDITORA</v>
      </c>
      <c r="Y2502" s="23"/>
      <c r="Z2502" s="23" t="str">
        <f>Tabela2[[#This Row],[ilustrador]]</f>
        <v>LEONARDO MARI/ARQUIVO DA EDITORA</v>
      </c>
      <c r="AA2502" s="22"/>
      <c r="AB2502" s="20"/>
      <c r="AD2502" s="4" t="str">
        <f>"Pitanguá"</f>
        <v>Pitanguá</v>
      </c>
      <c r="AE2502" s="14" t="str">
        <f>"Matemática"</f>
        <v>Matemática</v>
      </c>
      <c r="AF2502" s="14"/>
    </row>
    <row r="2503" spans="1:32" ht="43.2" x14ac:dyDescent="0.3">
      <c r="A2503" s="23" t="s">
        <v>733</v>
      </c>
      <c r="B2503" s="20" t="s">
        <v>16</v>
      </c>
      <c r="C2503" s="20" t="s">
        <v>7</v>
      </c>
      <c r="D2503" s="20" t="s">
        <v>8</v>
      </c>
      <c r="E2503" s="22">
        <v>165</v>
      </c>
      <c r="F2503" s="22">
        <v>1</v>
      </c>
      <c r="G2503" s="22">
        <v>10</v>
      </c>
      <c r="H2503" s="22"/>
      <c r="I2503" s="23" t="s">
        <v>9</v>
      </c>
      <c r="J2503" s="23"/>
      <c r="K2503" s="22"/>
      <c r="L2503" s="22"/>
      <c r="M2503" s="23"/>
      <c r="N2503" s="23"/>
      <c r="O2503" s="26" t="s">
        <v>734</v>
      </c>
      <c r="P2503" s="26"/>
      <c r="Q2503" s="22"/>
      <c r="R2503" s="24"/>
      <c r="S2503" s="24"/>
      <c r="T2503" s="24"/>
      <c r="U2503" s="24"/>
      <c r="V2503" s="24"/>
      <c r="W2503" s="22" t="s">
        <v>160</v>
      </c>
      <c r="X2503" s="4" t="str">
        <f>IF(Tabela2[[#This Row],[sigla]]="","",VLOOKUP(Tabela2[[#This Row],[sigla]],créditos_base!B:C,2,0))</f>
        <v>SERGIO LIMA/ARQUIVO DA EDITORA</v>
      </c>
      <c r="Y2503" s="23"/>
      <c r="Z2503" s="23" t="str">
        <f>Tabela2[[#This Row],[ilustrador]]</f>
        <v>SERGIO LIMA/ARQUIVO DA EDITORA</v>
      </c>
      <c r="AA2503" s="22"/>
      <c r="AB2503" s="20"/>
      <c r="AD2503" s="4" t="str">
        <f>"Pitanguá"</f>
        <v>Pitanguá</v>
      </c>
      <c r="AE2503" s="14" t="str">
        <f>"Matemática"</f>
        <v>Matemática</v>
      </c>
      <c r="AF2503" s="14"/>
    </row>
    <row r="2504" spans="1:32" ht="158.4" x14ac:dyDescent="0.3">
      <c r="A2504" s="23" t="s">
        <v>3561</v>
      </c>
      <c r="B2504" s="20" t="s">
        <v>16</v>
      </c>
      <c r="C2504" s="20" t="s">
        <v>7</v>
      </c>
      <c r="D2504" s="20" t="s">
        <v>8</v>
      </c>
      <c r="E2504" s="22">
        <v>227</v>
      </c>
      <c r="F2504" s="22">
        <v>4</v>
      </c>
      <c r="G2504" s="22">
        <v>10</v>
      </c>
      <c r="H2504" s="22"/>
      <c r="I2504" s="23" t="s">
        <v>33</v>
      </c>
      <c r="J2504" s="23"/>
      <c r="K2504" s="22"/>
      <c r="L2504" s="22"/>
      <c r="M2504" s="23"/>
      <c r="N2504" s="23"/>
      <c r="O2504" s="20" t="s">
        <v>3562</v>
      </c>
      <c r="P2504" s="26"/>
      <c r="Q2504" s="22">
        <v>158</v>
      </c>
      <c r="R2504" s="24"/>
      <c r="S2504" s="24">
        <v>45888</v>
      </c>
      <c r="T2504" s="24"/>
      <c r="U2504" s="24"/>
      <c r="V2504" s="24">
        <v>45888</v>
      </c>
      <c r="W2504" s="22" t="s">
        <v>1217</v>
      </c>
      <c r="X2504" s="4" t="str">
        <f>IF(Tabela2[[#This Row],[sigla]]="","",VLOOKUP(Tabela2[[#This Row],[sigla]],créditos_base!B:C,2,0))</f>
        <v>KEITHY MOSTACHI/ARQUIVO DA EDITORA</v>
      </c>
      <c r="Y2504" s="23" t="s">
        <v>243</v>
      </c>
      <c r="Z2504" s="23" t="s">
        <v>3563</v>
      </c>
      <c r="AA2504" s="22">
        <v>13</v>
      </c>
      <c r="AB2504" s="20" t="s">
        <v>244</v>
      </c>
      <c r="AC2504" s="20" t="s">
        <v>36</v>
      </c>
      <c r="AD2504" s="4" t="str">
        <f>"Pitanguá"</f>
        <v>Pitanguá</v>
      </c>
      <c r="AE2504" s="14" t="str">
        <f>"Matemática"</f>
        <v>Matemática</v>
      </c>
      <c r="AF2504" s="14"/>
    </row>
    <row r="2505" spans="1:32" ht="43.2" x14ac:dyDescent="0.3">
      <c r="A2505" s="23" t="s">
        <v>5739</v>
      </c>
      <c r="B2505" s="20" t="s">
        <v>16</v>
      </c>
      <c r="C2505" s="20" t="s">
        <v>89</v>
      </c>
      <c r="D2505" s="20" t="s">
        <v>8</v>
      </c>
      <c r="E2505" s="22">
        <v>255</v>
      </c>
      <c r="F2505" s="22">
        <v>5</v>
      </c>
      <c r="G2505" s="22">
        <v>10</v>
      </c>
      <c r="H2505" s="22"/>
      <c r="I2505" s="23" t="s">
        <v>33</v>
      </c>
      <c r="J2505" s="23"/>
      <c r="K2505" s="22"/>
      <c r="L2505" s="22"/>
      <c r="M2505" s="23"/>
      <c r="N2505" s="23"/>
      <c r="O2505" s="26" t="s">
        <v>5740</v>
      </c>
      <c r="P2505" s="26"/>
      <c r="Q2505" s="22">
        <v>144</v>
      </c>
      <c r="R2505" s="24">
        <v>45873</v>
      </c>
      <c r="S2505" s="24">
        <v>45880</v>
      </c>
      <c r="T2505" s="24"/>
      <c r="U2505" s="24"/>
      <c r="V2505" s="24">
        <v>45882</v>
      </c>
      <c r="W2505" s="22" t="s">
        <v>230</v>
      </c>
      <c r="X2505" s="4" t="str">
        <f>IF(Tabela2[[#This Row],[sigla]]="","",VLOOKUP(Tabela2[[#This Row],[sigla]],créditos_base!B:C,2,0))</f>
        <v>RAFAEL L. GAION/ARQUIVO DA EDITORA</v>
      </c>
      <c r="Y2505" s="23" t="s">
        <v>243</v>
      </c>
      <c r="Z2505" s="23" t="str">
        <f>Tabela2[[#This Row],[ilustrador]]</f>
        <v>RAFAEL L. GAION/ARQUIVO DA EDITORA</v>
      </c>
      <c r="AA2505" s="22">
        <v>13</v>
      </c>
      <c r="AB2505" s="20" t="s">
        <v>5741</v>
      </c>
      <c r="AC2505" s="20" t="s">
        <v>36</v>
      </c>
      <c r="AD2505" s="4" t="str">
        <f>"Pitanguá"</f>
        <v>Pitanguá</v>
      </c>
      <c r="AE2505" s="14" t="str">
        <f>"Matemática"</f>
        <v>Matemática</v>
      </c>
      <c r="AF2505" s="14"/>
    </row>
    <row r="2506" spans="1:32" ht="28.8" x14ac:dyDescent="0.3">
      <c r="A2506" s="23" t="s">
        <v>2703</v>
      </c>
      <c r="B2506" s="20" t="s">
        <v>16</v>
      </c>
      <c r="C2506" s="20" t="s">
        <v>7</v>
      </c>
      <c r="D2506" s="20" t="s">
        <v>8</v>
      </c>
      <c r="E2506" s="22">
        <v>238</v>
      </c>
      <c r="F2506" s="22">
        <v>1</v>
      </c>
      <c r="G2506" s="22">
        <v>10</v>
      </c>
      <c r="H2506" s="22"/>
      <c r="I2506" s="23" t="s">
        <v>90</v>
      </c>
      <c r="J2506" s="23"/>
      <c r="K2506" s="22"/>
      <c r="L2506" s="22"/>
      <c r="M2506" s="23"/>
      <c r="N2506" s="23"/>
      <c r="O2506" s="26" t="s">
        <v>2704</v>
      </c>
      <c r="P2506" s="26"/>
      <c r="Q2506" s="22">
        <v>37</v>
      </c>
      <c r="R2506" s="24">
        <v>45775</v>
      </c>
      <c r="S2506" s="24">
        <v>45777</v>
      </c>
      <c r="T2506" s="24">
        <v>45785</v>
      </c>
      <c r="U2506" s="24">
        <v>45793</v>
      </c>
      <c r="V2506" s="24">
        <v>45800</v>
      </c>
      <c r="W2506" s="22" t="s">
        <v>2221</v>
      </c>
      <c r="X2506" s="4" t="str">
        <f>IF(Tabela2[[#This Row],[sigla]]="","",VLOOKUP(Tabela2[[#This Row],[sigla]],créditos_base!B:C,2,0))</f>
        <v>REINALDO ROSA/ARQUIVO DA EDITORA</v>
      </c>
      <c r="Y2506" s="23"/>
      <c r="Z2506" s="23" t="str">
        <f>Tabela2[[#This Row],[ilustrador]]</f>
        <v>REINALDO ROSA/ARQUIVO DA EDITORA</v>
      </c>
      <c r="AA2506" s="22">
        <v>3</v>
      </c>
      <c r="AB2506" s="26" t="s">
        <v>2702</v>
      </c>
      <c r="AC2506" s="20" t="s">
        <v>310</v>
      </c>
      <c r="AD2506" s="4" t="str">
        <f>"Pitanguá"</f>
        <v>Pitanguá</v>
      </c>
      <c r="AE2506" s="14" t="str">
        <f>"Matemática"</f>
        <v>Matemática</v>
      </c>
      <c r="AF2506" s="14"/>
    </row>
    <row r="2507" spans="1:32" ht="28.8" x14ac:dyDescent="0.3">
      <c r="A2507" s="23" t="s">
        <v>2775</v>
      </c>
      <c r="B2507" s="20" t="s">
        <v>16</v>
      </c>
      <c r="C2507" s="20" t="s">
        <v>7</v>
      </c>
      <c r="D2507" s="20" t="s">
        <v>8</v>
      </c>
      <c r="E2507" s="22">
        <v>215</v>
      </c>
      <c r="F2507" s="22">
        <v>3</v>
      </c>
      <c r="G2507" s="22">
        <v>10</v>
      </c>
      <c r="H2507" s="22"/>
      <c r="I2507" s="23" t="s">
        <v>33</v>
      </c>
      <c r="J2507" s="23"/>
      <c r="K2507" s="22"/>
      <c r="L2507" s="22"/>
      <c r="M2507" s="23"/>
      <c r="N2507" s="23"/>
      <c r="O2507" s="26" t="s">
        <v>2776</v>
      </c>
      <c r="P2507" s="26"/>
      <c r="Q2507" s="22">
        <v>176</v>
      </c>
      <c r="R2507" s="24">
        <v>45901</v>
      </c>
      <c r="S2507" s="24">
        <v>45901</v>
      </c>
      <c r="T2507" s="24"/>
      <c r="U2507" s="24"/>
      <c r="V2507" s="24">
        <v>45901</v>
      </c>
      <c r="W2507" s="22" t="s">
        <v>151</v>
      </c>
      <c r="X2507" s="4" t="str">
        <f>IF(Tabela2[[#This Row],[sigla]]="","",VLOOKUP(Tabela2[[#This Row],[sigla]],créditos_base!B:C,2,0))</f>
        <v>ROGÉRIO CASAGRANDE/ARQUIVO DA EDITORA</v>
      </c>
      <c r="Y2507" s="23" t="s">
        <v>696</v>
      </c>
      <c r="Z2507" s="23" t="str">
        <f>Tabela2[[#This Row],[ilustrador]]</f>
        <v>ROGÉRIO CASAGRANDE/ARQUIVO DA EDITORA</v>
      </c>
      <c r="AA2507" s="22">
        <v>14</v>
      </c>
      <c r="AB2507" s="20" t="s">
        <v>244</v>
      </c>
      <c r="AC2507" s="20" t="s">
        <v>36</v>
      </c>
      <c r="AD2507" s="4" t="str">
        <f>"Pitanguá"</f>
        <v>Pitanguá</v>
      </c>
      <c r="AE2507" s="14" t="str">
        <f>"Matemática"</f>
        <v>Matemática</v>
      </c>
      <c r="AF2507" s="14"/>
    </row>
    <row r="2508" spans="1:32" ht="28.8" x14ac:dyDescent="0.3">
      <c r="A2508" s="23" t="s">
        <v>3564</v>
      </c>
      <c r="B2508" s="20" t="s">
        <v>16</v>
      </c>
      <c r="C2508" s="20" t="s">
        <v>89</v>
      </c>
      <c r="D2508" s="20" t="s">
        <v>8</v>
      </c>
      <c r="E2508" s="22">
        <v>228</v>
      </c>
      <c r="F2508" s="22">
        <v>4</v>
      </c>
      <c r="G2508" s="22">
        <v>10</v>
      </c>
      <c r="H2508" s="22"/>
      <c r="I2508" s="23" t="s">
        <v>9</v>
      </c>
      <c r="J2508" s="23"/>
      <c r="K2508" s="22"/>
      <c r="L2508" s="22"/>
      <c r="M2508" s="23"/>
      <c r="N2508" s="23"/>
      <c r="O2508" s="20" t="s">
        <v>3565</v>
      </c>
      <c r="P2508" s="26"/>
      <c r="Q2508" s="22"/>
      <c r="R2508" s="24"/>
      <c r="S2508" s="24"/>
      <c r="T2508" s="24"/>
      <c r="U2508" s="24"/>
      <c r="V2508" s="24"/>
      <c r="W2508" s="22" t="s">
        <v>940</v>
      </c>
      <c r="X2508" s="4" t="str">
        <f>IF(Tabela2[[#This Row],[sigla]]="","",VLOOKUP(Tabela2[[#This Row],[sigla]],créditos_base!B:C,2,0))</f>
        <v>RONALDO LUCENA/ARQUIVO DA EDITORA</v>
      </c>
      <c r="Y2508" s="23"/>
      <c r="Z2508" s="23" t="str">
        <f>Tabela2[[#This Row],[ilustrador]]</f>
        <v>RONALDO LUCENA/ARQUIVO DA EDITORA</v>
      </c>
      <c r="AA2508" s="22"/>
      <c r="AB2508" s="20"/>
      <c r="AD2508" s="4" t="str">
        <f>"Pitanguá"</f>
        <v>Pitanguá</v>
      </c>
      <c r="AE2508" s="14" t="str">
        <f>"Matemática"</f>
        <v>Matemática</v>
      </c>
      <c r="AF2508" s="14"/>
    </row>
    <row r="2509" spans="1:32" ht="28.8" x14ac:dyDescent="0.3">
      <c r="A2509" s="23" t="s">
        <v>5747</v>
      </c>
      <c r="B2509" s="20" t="s">
        <v>16</v>
      </c>
      <c r="C2509" s="20" t="s">
        <v>89</v>
      </c>
      <c r="D2509" s="20" t="s">
        <v>8</v>
      </c>
      <c r="E2509" s="22">
        <v>260</v>
      </c>
      <c r="F2509" s="22">
        <v>5</v>
      </c>
      <c r="G2509" s="22">
        <v>10</v>
      </c>
      <c r="H2509" s="22"/>
      <c r="I2509" s="23" t="s">
        <v>90</v>
      </c>
      <c r="J2509" s="23"/>
      <c r="K2509" s="22"/>
      <c r="L2509" s="22"/>
      <c r="M2509" s="23"/>
      <c r="N2509" s="23"/>
      <c r="O2509" s="26" t="s">
        <v>5748</v>
      </c>
      <c r="P2509" s="26"/>
      <c r="Q2509" s="22">
        <v>144</v>
      </c>
      <c r="R2509" s="24">
        <v>45873</v>
      </c>
      <c r="S2509" s="24">
        <v>45880</v>
      </c>
      <c r="T2509" s="24"/>
      <c r="U2509" s="24"/>
      <c r="V2509" s="24">
        <v>45882</v>
      </c>
      <c r="W2509" s="22" t="s">
        <v>72</v>
      </c>
      <c r="X2509" s="4" t="str">
        <f>IF(Tabela2[[#This Row],[sigla]]="","",VLOOKUP(Tabela2[[#This Row],[sigla]],créditos_base!B:C,2,0))</f>
        <v>HELOÍSA PINTARELLI/ARQUIVO DA EDITORA</v>
      </c>
      <c r="Y2509" s="23"/>
      <c r="Z2509" s="23" t="s">
        <v>1327</v>
      </c>
      <c r="AA2509" s="22">
        <v>8</v>
      </c>
      <c r="AB2509" s="20" t="s">
        <v>5749</v>
      </c>
      <c r="AC2509" s="20" t="s">
        <v>310</v>
      </c>
      <c r="AD2509" s="4" t="str">
        <f>"Pitanguá"</f>
        <v>Pitanguá</v>
      </c>
      <c r="AE2509" s="14" t="str">
        <f>"Matemática"</f>
        <v>Matemática</v>
      </c>
      <c r="AF2509" s="14"/>
    </row>
    <row r="2510" spans="1:32" ht="86.4" x14ac:dyDescent="0.3">
      <c r="A2510" s="23" t="s">
        <v>2705</v>
      </c>
      <c r="B2510" s="20" t="s">
        <v>16</v>
      </c>
      <c r="C2510" s="20" t="s">
        <v>7</v>
      </c>
      <c r="D2510" s="20" t="s">
        <v>8</v>
      </c>
      <c r="E2510" s="22">
        <v>239</v>
      </c>
      <c r="F2510" s="22">
        <v>1</v>
      </c>
      <c r="G2510" s="22">
        <v>10</v>
      </c>
      <c r="H2510" s="22"/>
      <c r="I2510" s="23" t="s">
        <v>90</v>
      </c>
      <c r="J2510" s="23"/>
      <c r="K2510" s="22"/>
      <c r="L2510" s="22"/>
      <c r="M2510" s="23"/>
      <c r="N2510" s="23"/>
      <c r="O2510" s="26" t="s">
        <v>2706</v>
      </c>
      <c r="P2510" s="26"/>
      <c r="Q2510" s="22">
        <v>37</v>
      </c>
      <c r="R2510" s="24">
        <v>45775</v>
      </c>
      <c r="S2510" s="24">
        <v>45777</v>
      </c>
      <c r="T2510" s="24">
        <v>45785</v>
      </c>
      <c r="U2510" s="24">
        <v>45793</v>
      </c>
      <c r="V2510" s="24">
        <v>45800</v>
      </c>
      <c r="W2510" s="22" t="s">
        <v>2221</v>
      </c>
      <c r="X2510" s="4" t="str">
        <f>IF(Tabela2[[#This Row],[sigla]]="","",VLOOKUP(Tabela2[[#This Row],[sigla]],créditos_base!B:C,2,0))</f>
        <v>REINALDO ROSA/ARQUIVO DA EDITORA</v>
      </c>
      <c r="Y2510" s="23"/>
      <c r="Z2510" s="23" t="str">
        <f>Tabela2[[#This Row],[ilustrador]]</f>
        <v>REINALDO ROSA/ARQUIVO DA EDITORA</v>
      </c>
      <c r="AA2510" s="22">
        <v>3</v>
      </c>
      <c r="AB2510" s="26" t="s">
        <v>2702</v>
      </c>
      <c r="AC2510" s="20" t="s">
        <v>310</v>
      </c>
      <c r="AD2510" s="4" t="str">
        <f>"Pitanguá"</f>
        <v>Pitanguá</v>
      </c>
      <c r="AE2510" s="14" t="str">
        <f>"Matemática"</f>
        <v>Matemática</v>
      </c>
      <c r="AF2510" s="14"/>
    </row>
    <row r="2511" spans="1:32" ht="57.6" x14ac:dyDescent="0.3">
      <c r="A2511" s="23" t="s">
        <v>3566</v>
      </c>
      <c r="B2511" s="20" t="s">
        <v>16</v>
      </c>
      <c r="C2511" s="20" t="s">
        <v>89</v>
      </c>
      <c r="D2511" s="20" t="s">
        <v>8</v>
      </c>
      <c r="E2511" s="22">
        <v>228</v>
      </c>
      <c r="F2511" s="22">
        <v>4</v>
      </c>
      <c r="G2511" s="22">
        <v>10</v>
      </c>
      <c r="H2511" s="22"/>
      <c r="I2511" s="23" t="s">
        <v>9</v>
      </c>
      <c r="J2511" s="23"/>
      <c r="K2511" s="22"/>
      <c r="L2511" s="22"/>
      <c r="M2511" s="23"/>
      <c r="N2511" s="23"/>
      <c r="O2511" s="20" t="s">
        <v>3567</v>
      </c>
      <c r="P2511" s="26"/>
      <c r="Q2511" s="22"/>
      <c r="R2511" s="24"/>
      <c r="S2511" s="24"/>
      <c r="T2511" s="24"/>
      <c r="U2511" s="24"/>
      <c r="V2511" s="24"/>
      <c r="W2511" s="22" t="s">
        <v>940</v>
      </c>
      <c r="X2511" s="4" t="str">
        <f>IF(Tabela2[[#This Row],[sigla]]="","",VLOOKUP(Tabela2[[#This Row],[sigla]],créditos_base!B:C,2,0))</f>
        <v>RONALDO LUCENA/ARQUIVO DA EDITORA</v>
      </c>
      <c r="Y2511" s="23"/>
      <c r="Z2511" s="23" t="str">
        <f>Tabela2[[#This Row],[ilustrador]]</f>
        <v>RONALDO LUCENA/ARQUIVO DA EDITORA</v>
      </c>
      <c r="AA2511" s="22"/>
      <c r="AB2511" s="20"/>
      <c r="AD2511" s="4" t="str">
        <f>"Pitanguá"</f>
        <v>Pitanguá</v>
      </c>
      <c r="AE2511" s="14" t="str">
        <f>"Matemática"</f>
        <v>Matemática</v>
      </c>
      <c r="AF2511" s="14"/>
    </row>
    <row r="2512" spans="1:32" ht="28.8" x14ac:dyDescent="0.3">
      <c r="A2512" s="23" t="s">
        <v>5750</v>
      </c>
      <c r="B2512" s="20" t="s">
        <v>16</v>
      </c>
      <c r="C2512" s="20" t="s">
        <v>89</v>
      </c>
      <c r="D2512" s="20" t="s">
        <v>8</v>
      </c>
      <c r="E2512" s="22">
        <v>260</v>
      </c>
      <c r="F2512" s="22">
        <v>5</v>
      </c>
      <c r="G2512" s="22">
        <v>10</v>
      </c>
      <c r="H2512" s="22"/>
      <c r="I2512" s="23" t="s">
        <v>90</v>
      </c>
      <c r="J2512" s="23"/>
      <c r="K2512" s="22"/>
      <c r="L2512" s="22"/>
      <c r="M2512" s="23"/>
      <c r="N2512" s="23"/>
      <c r="O2512" s="26" t="s">
        <v>5751</v>
      </c>
      <c r="P2512" s="26"/>
      <c r="Q2512" s="22">
        <v>144</v>
      </c>
      <c r="R2512" s="24">
        <v>45873</v>
      </c>
      <c r="S2512" s="24">
        <v>45880</v>
      </c>
      <c r="T2512" s="24"/>
      <c r="U2512" s="24"/>
      <c r="V2512" s="24">
        <v>45882</v>
      </c>
      <c r="W2512" s="22" t="s">
        <v>72</v>
      </c>
      <c r="X2512" s="4" t="str">
        <f>IF(Tabela2[[#This Row],[sigla]]="","",VLOOKUP(Tabela2[[#This Row],[sigla]],créditos_base!B:C,2,0))</f>
        <v>HELOÍSA PINTARELLI/ARQUIVO DA EDITORA</v>
      </c>
      <c r="Y2512" s="23"/>
      <c r="Z2512" s="23" t="s">
        <v>1327</v>
      </c>
      <c r="AA2512" s="22">
        <v>8</v>
      </c>
      <c r="AB2512" s="20" t="s">
        <v>5749</v>
      </c>
      <c r="AC2512" s="20" t="s">
        <v>310</v>
      </c>
      <c r="AD2512" s="4" t="str">
        <f>"Pitanguá"</f>
        <v>Pitanguá</v>
      </c>
      <c r="AE2512" s="14" t="str">
        <f>"Matemática"</f>
        <v>Matemática</v>
      </c>
      <c r="AF2512" s="14"/>
    </row>
    <row r="2513" spans="1:32" ht="28.8" x14ac:dyDescent="0.3">
      <c r="A2513" s="23" t="s">
        <v>2676</v>
      </c>
      <c r="B2513" s="20" t="s">
        <v>16</v>
      </c>
      <c r="C2513" s="20" t="s">
        <v>89</v>
      </c>
      <c r="D2513" s="20" t="s">
        <v>8</v>
      </c>
      <c r="E2513" s="22">
        <v>224</v>
      </c>
      <c r="F2513" s="22">
        <v>1</v>
      </c>
      <c r="G2513" s="22">
        <v>10</v>
      </c>
      <c r="H2513" s="22"/>
      <c r="I2513" s="23" t="s">
        <v>90</v>
      </c>
      <c r="J2513" s="23"/>
      <c r="K2513" s="22"/>
      <c r="L2513" s="22"/>
      <c r="M2513" s="23"/>
      <c r="N2513" s="23"/>
      <c r="O2513" s="26" t="s">
        <v>2677</v>
      </c>
      <c r="P2513" s="26"/>
      <c r="Q2513" s="22">
        <v>37</v>
      </c>
      <c r="R2513" s="24">
        <v>45775</v>
      </c>
      <c r="S2513" s="24">
        <v>45776</v>
      </c>
      <c r="T2513" s="24"/>
      <c r="U2513" s="24"/>
      <c r="V2513" s="24">
        <v>45777</v>
      </c>
      <c r="W2513" s="22" t="s">
        <v>468</v>
      </c>
      <c r="X2513" s="4" t="str">
        <f>IF(Tabela2[[#This Row],[sigla]]="","",VLOOKUP(Tabela2[[#This Row],[sigla]],créditos_base!B:C,2,0))</f>
        <v>VER DOCUMENTO DE ILS. TÉCNICAS</v>
      </c>
      <c r="Y2513" s="23" t="s">
        <v>880</v>
      </c>
      <c r="Z2513" s="23" t="s">
        <v>661</v>
      </c>
      <c r="AA2513" s="22">
        <v>13</v>
      </c>
      <c r="AB2513" s="20" t="s">
        <v>2058</v>
      </c>
      <c r="AC2513" s="20" t="s">
        <v>36</v>
      </c>
      <c r="AD2513" s="4" t="str">
        <f>"Pitanguá"</f>
        <v>Pitanguá</v>
      </c>
      <c r="AE2513" s="14" t="str">
        <f>"Matemática"</f>
        <v>Matemática</v>
      </c>
      <c r="AF2513" s="14"/>
    </row>
    <row r="2514" spans="1:32" ht="28.8" x14ac:dyDescent="0.3">
      <c r="A2514" s="23" t="s">
        <v>3849</v>
      </c>
      <c r="B2514" s="20" t="s">
        <v>16</v>
      </c>
      <c r="C2514" s="20" t="s">
        <v>89</v>
      </c>
      <c r="D2514" s="20" t="s">
        <v>8</v>
      </c>
      <c r="E2514" s="22">
        <v>233</v>
      </c>
      <c r="F2514" s="22">
        <v>2</v>
      </c>
      <c r="G2514" s="22">
        <v>10</v>
      </c>
      <c r="H2514" s="22"/>
      <c r="I2514" s="23" t="s">
        <v>9</v>
      </c>
      <c r="J2514" s="23"/>
      <c r="K2514" s="22"/>
      <c r="L2514" s="22"/>
      <c r="M2514" s="23"/>
      <c r="N2514" s="23"/>
      <c r="O2514" s="26" t="s">
        <v>3850</v>
      </c>
      <c r="P2514" s="26"/>
      <c r="Q2514" s="22"/>
      <c r="R2514" s="24"/>
      <c r="S2514" s="24"/>
      <c r="T2514" s="24"/>
      <c r="U2514" s="24"/>
      <c r="V2514" s="24"/>
      <c r="W2514" s="22" t="s">
        <v>160</v>
      </c>
      <c r="X2514" s="4" t="str">
        <f>IF(Tabela2[[#This Row],[sigla]]="","",VLOOKUP(Tabela2[[#This Row],[sigla]],créditos_base!B:C,2,0))</f>
        <v>SERGIO LIMA/ARQUIVO DA EDITORA</v>
      </c>
      <c r="Y2514" s="23"/>
      <c r="Z2514" s="23" t="str">
        <f>Tabela2[[#This Row],[ilustrador]]</f>
        <v>SERGIO LIMA/ARQUIVO DA EDITORA</v>
      </c>
      <c r="AA2514" s="22"/>
      <c r="AB2514" s="20"/>
      <c r="AD2514" s="4" t="str">
        <f>"Pitanguá"</f>
        <v>Pitanguá</v>
      </c>
      <c r="AE2514" s="14" t="str">
        <f>"Matemática"</f>
        <v>Matemática</v>
      </c>
      <c r="AF2514" s="14"/>
    </row>
    <row r="2515" spans="1:32" ht="28.8" x14ac:dyDescent="0.3">
      <c r="A2515" s="23" t="s">
        <v>2777</v>
      </c>
      <c r="B2515" s="20" t="s">
        <v>6</v>
      </c>
      <c r="C2515" s="20" t="s">
        <v>7</v>
      </c>
      <c r="D2515" s="20" t="s">
        <v>8</v>
      </c>
      <c r="E2515" s="22">
        <v>215</v>
      </c>
      <c r="F2515" s="22">
        <v>3</v>
      </c>
      <c r="G2515" s="22">
        <v>10</v>
      </c>
      <c r="H2515" s="22"/>
      <c r="I2515" s="23" t="s">
        <v>9</v>
      </c>
      <c r="J2515" s="23"/>
      <c r="K2515" s="22"/>
      <c r="L2515" s="22"/>
      <c r="M2515" s="23"/>
      <c r="N2515" s="23"/>
      <c r="O2515" s="26" t="s">
        <v>2778</v>
      </c>
      <c r="P2515" s="26" t="s">
        <v>11</v>
      </c>
      <c r="Q2515" s="22"/>
      <c r="R2515" s="24"/>
      <c r="S2515" s="24"/>
      <c r="T2515" s="24"/>
      <c r="U2515" s="24"/>
      <c r="V2515" s="24"/>
      <c r="W2515" s="22" t="s">
        <v>151</v>
      </c>
      <c r="X2515" s="4" t="str">
        <f>IF(Tabela2[[#This Row],[sigla]]="","",VLOOKUP(Tabela2[[#This Row],[sigla]],créditos_base!B:C,2,0))</f>
        <v>ROGÉRIO CASAGRANDE/ARQUIVO DA EDITORA</v>
      </c>
      <c r="Y2515" s="23"/>
      <c r="Z2515" s="23" t="str">
        <f>Tabela2[[#This Row],[ilustrador]]</f>
        <v>ROGÉRIO CASAGRANDE/ARQUIVO DA EDITORA</v>
      </c>
      <c r="AA2515" s="22"/>
      <c r="AB2515" s="20"/>
      <c r="AD2515" s="4" t="str">
        <f>"Pitanguá"</f>
        <v>Pitanguá</v>
      </c>
      <c r="AE2515" s="14" t="str">
        <f>"Matemática"</f>
        <v>Matemática</v>
      </c>
      <c r="AF2515" s="14"/>
    </row>
    <row r="2516" spans="1:32" ht="28.8" x14ac:dyDescent="0.3">
      <c r="A2516" s="23" t="s">
        <v>3568</v>
      </c>
      <c r="B2516" s="20" t="s">
        <v>16</v>
      </c>
      <c r="C2516" s="20" t="s">
        <v>89</v>
      </c>
      <c r="D2516" s="20" t="s">
        <v>8</v>
      </c>
      <c r="E2516" s="22">
        <v>228</v>
      </c>
      <c r="F2516" s="22">
        <v>4</v>
      </c>
      <c r="G2516" s="22">
        <v>10</v>
      </c>
      <c r="H2516" s="22"/>
      <c r="I2516" s="23" t="s">
        <v>9</v>
      </c>
      <c r="J2516" s="23"/>
      <c r="K2516" s="22"/>
      <c r="L2516" s="22"/>
      <c r="M2516" s="23"/>
      <c r="N2516" s="23"/>
      <c r="O2516" s="20" t="s">
        <v>3569</v>
      </c>
      <c r="P2516" s="26"/>
      <c r="Q2516" s="22"/>
      <c r="R2516" s="24"/>
      <c r="S2516" s="24"/>
      <c r="T2516" s="24"/>
      <c r="U2516" s="24"/>
      <c r="V2516" s="24"/>
      <c r="W2516" s="22" t="s">
        <v>940</v>
      </c>
      <c r="X2516" s="4" t="str">
        <f>IF(Tabela2[[#This Row],[sigla]]="","",VLOOKUP(Tabela2[[#This Row],[sigla]],créditos_base!B:C,2,0))</f>
        <v>RONALDO LUCENA/ARQUIVO DA EDITORA</v>
      </c>
      <c r="Y2516" s="23"/>
      <c r="Z2516" s="23" t="str">
        <f>Tabela2[[#This Row],[ilustrador]]</f>
        <v>RONALDO LUCENA/ARQUIVO DA EDITORA</v>
      </c>
      <c r="AA2516" s="22"/>
      <c r="AB2516" s="20"/>
      <c r="AD2516" s="4" t="str">
        <f>"Pitanguá"</f>
        <v>Pitanguá</v>
      </c>
      <c r="AE2516" s="14" t="str">
        <f>"Matemática"</f>
        <v>Matemática</v>
      </c>
      <c r="AF2516" s="14"/>
    </row>
    <row r="2517" spans="1:32" ht="28.8" x14ac:dyDescent="0.3">
      <c r="A2517" s="23" t="s">
        <v>2678</v>
      </c>
      <c r="B2517" s="20" t="s">
        <v>16</v>
      </c>
      <c r="C2517" s="20" t="s">
        <v>89</v>
      </c>
      <c r="D2517" s="20" t="s">
        <v>8</v>
      </c>
      <c r="E2517" s="22">
        <v>224</v>
      </c>
      <c r="F2517" s="22">
        <v>1</v>
      </c>
      <c r="G2517" s="22">
        <v>10</v>
      </c>
      <c r="H2517" s="22"/>
      <c r="I2517" s="23" t="s">
        <v>90</v>
      </c>
      <c r="J2517" s="23"/>
      <c r="K2517" s="22"/>
      <c r="L2517" s="22"/>
      <c r="M2517" s="23"/>
      <c r="N2517" s="23"/>
      <c r="O2517" s="26" t="s">
        <v>2679</v>
      </c>
      <c r="P2517" s="26"/>
      <c r="Q2517" s="22">
        <v>37</v>
      </c>
      <c r="R2517" s="24">
        <v>45775</v>
      </c>
      <c r="S2517" s="24">
        <v>45776</v>
      </c>
      <c r="T2517" s="24"/>
      <c r="U2517" s="24"/>
      <c r="V2517" s="24">
        <v>45777</v>
      </c>
      <c r="W2517" s="22" t="s">
        <v>468</v>
      </c>
      <c r="X2517" s="4" t="str">
        <f>IF(Tabela2[[#This Row],[sigla]]="","",VLOOKUP(Tabela2[[#This Row],[sigla]],créditos_base!B:C,2,0))</f>
        <v>VER DOCUMENTO DE ILS. TÉCNICAS</v>
      </c>
      <c r="Y2517" s="23" t="s">
        <v>880</v>
      </c>
      <c r="Z2517" s="23" t="s">
        <v>661</v>
      </c>
      <c r="AA2517" s="22">
        <v>13</v>
      </c>
      <c r="AB2517" s="20" t="s">
        <v>2058</v>
      </c>
      <c r="AC2517" s="20" t="s">
        <v>36</v>
      </c>
      <c r="AD2517" s="4" t="str">
        <f>"Pitanguá"</f>
        <v>Pitanguá</v>
      </c>
      <c r="AE2517" s="14" t="str">
        <f>"Matemática"</f>
        <v>Matemática</v>
      </c>
      <c r="AF2517" s="14"/>
    </row>
    <row r="2518" spans="1:32" ht="28.8" x14ac:dyDescent="0.3">
      <c r="A2518" s="23" t="s">
        <v>3851</v>
      </c>
      <c r="B2518" s="20" t="s">
        <v>16</v>
      </c>
      <c r="C2518" s="20" t="s">
        <v>89</v>
      </c>
      <c r="D2518" s="20" t="s">
        <v>8</v>
      </c>
      <c r="E2518" s="22">
        <v>233</v>
      </c>
      <c r="F2518" s="22">
        <v>2</v>
      </c>
      <c r="G2518" s="22">
        <v>10</v>
      </c>
      <c r="H2518" s="22"/>
      <c r="I2518" s="23" t="s">
        <v>9</v>
      </c>
      <c r="J2518" s="23"/>
      <c r="K2518" s="22"/>
      <c r="L2518" s="22"/>
      <c r="M2518" s="23"/>
      <c r="N2518" s="23"/>
      <c r="O2518" s="26" t="s">
        <v>3852</v>
      </c>
      <c r="P2518" s="26"/>
      <c r="Q2518" s="22"/>
      <c r="R2518" s="24"/>
      <c r="S2518" s="24"/>
      <c r="T2518" s="24"/>
      <c r="U2518" s="24"/>
      <c r="V2518" s="24"/>
      <c r="W2518" s="22" t="s">
        <v>160</v>
      </c>
      <c r="X2518" s="4" t="str">
        <f>IF(Tabela2[[#This Row],[sigla]]="","",VLOOKUP(Tabela2[[#This Row],[sigla]],créditos_base!B:C,2,0))</f>
        <v>SERGIO LIMA/ARQUIVO DA EDITORA</v>
      </c>
      <c r="Y2518" s="23"/>
      <c r="Z2518" s="23" t="str">
        <f>Tabela2[[#This Row],[ilustrador]]</f>
        <v>SERGIO LIMA/ARQUIVO DA EDITORA</v>
      </c>
      <c r="AA2518" s="22"/>
      <c r="AB2518" s="20"/>
      <c r="AD2518" s="4" t="str">
        <f>"Pitanguá"</f>
        <v>Pitanguá</v>
      </c>
      <c r="AE2518" s="14" t="str">
        <f>"Matemática"</f>
        <v>Matemática</v>
      </c>
      <c r="AF2518" s="14"/>
    </row>
    <row r="2519" spans="1:32" ht="43.2" x14ac:dyDescent="0.3">
      <c r="A2519" s="23" t="s">
        <v>5382</v>
      </c>
      <c r="B2519" s="20" t="s">
        <v>16</v>
      </c>
      <c r="C2519" s="20" t="s">
        <v>7</v>
      </c>
      <c r="D2519" s="20" t="s">
        <v>8</v>
      </c>
      <c r="E2519" s="22">
        <v>255</v>
      </c>
      <c r="F2519" s="22">
        <v>4</v>
      </c>
      <c r="G2519" s="22">
        <v>10</v>
      </c>
      <c r="H2519" s="22"/>
      <c r="I2519" s="23" t="s">
        <v>33</v>
      </c>
      <c r="J2519" s="23"/>
      <c r="K2519" s="22"/>
      <c r="L2519" s="22"/>
      <c r="M2519" s="23"/>
      <c r="N2519" s="23"/>
      <c r="O2519" s="26" t="s">
        <v>5383</v>
      </c>
      <c r="P2519" s="26"/>
      <c r="Q2519" s="22">
        <v>125</v>
      </c>
      <c r="R2519" s="24">
        <v>45862</v>
      </c>
      <c r="S2519" s="24">
        <v>45867</v>
      </c>
      <c r="T2519" s="24"/>
      <c r="U2519" s="24"/>
      <c r="V2519" s="24">
        <v>45867</v>
      </c>
      <c r="W2519" s="22" t="s">
        <v>31</v>
      </c>
      <c r="X2519" s="4" t="str">
        <f>IF(Tabela2[[#This Row],[sigla]]="","",VLOOKUP(Tabela2[[#This Row],[sigla]],créditos_base!B:C,2,0))</f>
        <v>SILVIA OTOFUJI/ARQUIVO DA EDITORA</v>
      </c>
      <c r="Y2519" s="23" t="s">
        <v>1139</v>
      </c>
      <c r="Z2519" s="23" t="str">
        <f>Tabela2[[#This Row],[ilustrador]]</f>
        <v>SILVIA OTOFUJI/ARQUIVO DA EDITORA</v>
      </c>
      <c r="AA2519" s="22">
        <v>13</v>
      </c>
      <c r="AB2519" s="20" t="s">
        <v>3532</v>
      </c>
      <c r="AC2519" s="20" t="s">
        <v>36</v>
      </c>
      <c r="AD2519" s="4" t="str">
        <f>"Pitanguá"</f>
        <v>Pitanguá</v>
      </c>
      <c r="AE2519" s="14" t="str">
        <f>"Matemática"</f>
        <v>Matemática</v>
      </c>
      <c r="AF2519" s="14"/>
    </row>
    <row r="2520" spans="1:32" ht="57.6" x14ac:dyDescent="0.3">
      <c r="A2520" s="23" t="s">
        <v>5762</v>
      </c>
      <c r="B2520" s="20" t="s">
        <v>16</v>
      </c>
      <c r="C2520" s="20" t="s">
        <v>89</v>
      </c>
      <c r="D2520" s="20" t="s">
        <v>8</v>
      </c>
      <c r="E2520" s="22">
        <v>269</v>
      </c>
      <c r="F2520" s="22">
        <v>5</v>
      </c>
      <c r="G2520" s="22">
        <v>10</v>
      </c>
      <c r="H2520" s="22"/>
      <c r="I2520" s="23" t="s">
        <v>90</v>
      </c>
      <c r="J2520" s="23"/>
      <c r="K2520" s="22"/>
      <c r="L2520" s="22"/>
      <c r="M2520" s="23"/>
      <c r="N2520" s="23"/>
      <c r="O2520" s="26" t="s">
        <v>5763</v>
      </c>
      <c r="P2520" s="26"/>
      <c r="Q2520" s="22">
        <v>144</v>
      </c>
      <c r="R2520" s="24">
        <v>45873</v>
      </c>
      <c r="S2520" s="24">
        <v>45880</v>
      </c>
      <c r="T2520" s="24"/>
      <c r="U2520" s="24"/>
      <c r="V2520" s="24">
        <v>45882</v>
      </c>
      <c r="W2520" s="22" t="s">
        <v>72</v>
      </c>
      <c r="X2520" s="4" t="str">
        <f>IF(Tabela2[[#This Row],[sigla]]="","",VLOOKUP(Tabela2[[#This Row],[sigla]],créditos_base!B:C,2,0))</f>
        <v>HELOÍSA PINTARELLI/ARQUIVO DA EDITORA</v>
      </c>
      <c r="Y2520" s="23"/>
      <c r="Z2520" s="23" t="str">
        <f>Tabela2[[#This Row],[ilustrador]]</f>
        <v>HELOÍSA PINTARELLI/ARQUIVO DA EDITORA</v>
      </c>
      <c r="AA2520" s="22">
        <v>8</v>
      </c>
      <c r="AB2520" s="20" t="s">
        <v>5749</v>
      </c>
      <c r="AC2520" s="20" t="s">
        <v>310</v>
      </c>
      <c r="AD2520" s="4" t="str">
        <f>"Pitanguá"</f>
        <v>Pitanguá</v>
      </c>
      <c r="AE2520" s="14" t="str">
        <f>"Matemática"</f>
        <v>Matemática</v>
      </c>
      <c r="AF2520" s="14"/>
    </row>
    <row r="2521" spans="1:32" ht="43.2" x14ac:dyDescent="0.3">
      <c r="A2521" s="23" t="s">
        <v>2680</v>
      </c>
      <c r="B2521" s="20" t="s">
        <v>16</v>
      </c>
      <c r="C2521" s="20" t="s">
        <v>89</v>
      </c>
      <c r="D2521" s="20" t="s">
        <v>8</v>
      </c>
      <c r="E2521" s="22">
        <v>224</v>
      </c>
      <c r="F2521" s="22">
        <v>1</v>
      </c>
      <c r="G2521" s="22">
        <v>10</v>
      </c>
      <c r="H2521" s="22"/>
      <c r="I2521" s="23" t="s">
        <v>90</v>
      </c>
      <c r="J2521" s="23"/>
      <c r="K2521" s="22"/>
      <c r="L2521" s="22"/>
      <c r="M2521" s="23"/>
      <c r="N2521" s="23"/>
      <c r="O2521" s="26" t="s">
        <v>2681</v>
      </c>
      <c r="P2521" s="26"/>
      <c r="Q2521" s="22">
        <v>37</v>
      </c>
      <c r="R2521" s="24">
        <v>45775</v>
      </c>
      <c r="S2521" s="24">
        <v>45776</v>
      </c>
      <c r="T2521" s="24"/>
      <c r="U2521" s="24"/>
      <c r="V2521" s="24">
        <v>45777</v>
      </c>
      <c r="W2521" s="22" t="s">
        <v>468</v>
      </c>
      <c r="X2521" s="4" t="str">
        <f>IF(Tabela2[[#This Row],[sigla]]="","",VLOOKUP(Tabela2[[#This Row],[sigla]],créditos_base!B:C,2,0))</f>
        <v>VER DOCUMENTO DE ILS. TÉCNICAS</v>
      </c>
      <c r="Y2521" s="23" t="s">
        <v>880</v>
      </c>
      <c r="Z2521" s="23" t="s">
        <v>661</v>
      </c>
      <c r="AA2521" s="22">
        <v>13</v>
      </c>
      <c r="AB2521" s="20" t="s">
        <v>2058</v>
      </c>
      <c r="AC2521" s="20" t="s">
        <v>36</v>
      </c>
      <c r="AD2521" s="4" t="str">
        <f>"Pitanguá"</f>
        <v>Pitanguá</v>
      </c>
      <c r="AE2521" s="14" t="str">
        <f>"Matemática"</f>
        <v>Matemática</v>
      </c>
      <c r="AF2521" s="14"/>
    </row>
    <row r="2522" spans="1:32" ht="43.2" x14ac:dyDescent="0.3">
      <c r="A2522" s="23" t="s">
        <v>2779</v>
      </c>
      <c r="B2522" s="20" t="s">
        <v>16</v>
      </c>
      <c r="C2522" s="20" t="s">
        <v>7</v>
      </c>
      <c r="D2522" s="20" t="s">
        <v>8</v>
      </c>
      <c r="E2522" s="22">
        <v>216</v>
      </c>
      <c r="F2522" s="22">
        <v>3</v>
      </c>
      <c r="G2522" s="22">
        <v>10</v>
      </c>
      <c r="H2522" s="22"/>
      <c r="I2522" s="23" t="s">
        <v>33</v>
      </c>
      <c r="J2522" s="23"/>
      <c r="K2522" s="22"/>
      <c r="L2522" s="22"/>
      <c r="M2522" s="23"/>
      <c r="N2522" s="23"/>
      <c r="O2522" s="26" t="s">
        <v>2780</v>
      </c>
      <c r="P2522" s="26"/>
      <c r="Q2522" s="22">
        <v>38</v>
      </c>
      <c r="R2522" s="24">
        <v>45776</v>
      </c>
      <c r="S2522" s="24">
        <v>45776</v>
      </c>
      <c r="T2522" s="24"/>
      <c r="U2522" s="24"/>
      <c r="V2522" s="24">
        <v>45782</v>
      </c>
      <c r="W2522" s="22" t="s">
        <v>31</v>
      </c>
      <c r="X2522" s="4" t="str">
        <f>IF(Tabela2[[#This Row],[sigla]]="","",VLOOKUP(Tabela2[[#This Row],[sigla]],créditos_base!B:C,2,0))</f>
        <v>SILVIA OTOFUJI/ARQUIVO DA EDITORA</v>
      </c>
      <c r="Y2522" s="23" t="s">
        <v>2713</v>
      </c>
      <c r="Z2522" s="23" t="str">
        <f>Tabela2[[#This Row],[ilustrador]]</f>
        <v>SILVIA OTOFUJI/ARQUIVO DA EDITORA</v>
      </c>
      <c r="AA2522" s="22">
        <v>14</v>
      </c>
      <c r="AB2522" s="20" t="s">
        <v>244</v>
      </c>
      <c r="AC2522" s="20" t="s">
        <v>36</v>
      </c>
      <c r="AD2522" s="4" t="str">
        <f>"Pitanguá"</f>
        <v>Pitanguá</v>
      </c>
      <c r="AE2522" s="14" t="str">
        <f>"Matemática"</f>
        <v>Matemática</v>
      </c>
      <c r="AF2522" s="14"/>
    </row>
    <row r="2523" spans="1:32" ht="43.2" x14ac:dyDescent="0.3">
      <c r="A2523" s="23" t="s">
        <v>5764</v>
      </c>
      <c r="B2523" s="20" t="s">
        <v>16</v>
      </c>
      <c r="C2523" s="20" t="s">
        <v>89</v>
      </c>
      <c r="D2523" s="20" t="s">
        <v>8</v>
      </c>
      <c r="E2523" s="22">
        <v>271</v>
      </c>
      <c r="F2523" s="22">
        <v>5</v>
      </c>
      <c r="G2523" s="22">
        <v>10</v>
      </c>
      <c r="H2523" s="22"/>
      <c r="I2523" s="23" t="s">
        <v>90</v>
      </c>
      <c r="J2523" s="23"/>
      <c r="K2523" s="22"/>
      <c r="L2523" s="22"/>
      <c r="M2523" s="23"/>
      <c r="N2523" s="23"/>
      <c r="O2523" s="26" t="s">
        <v>5765</v>
      </c>
      <c r="P2523" s="26"/>
      <c r="Q2523" s="22">
        <v>144</v>
      </c>
      <c r="R2523" s="24">
        <v>45873</v>
      </c>
      <c r="S2523" s="24">
        <v>45880</v>
      </c>
      <c r="T2523" s="24"/>
      <c r="U2523" s="24"/>
      <c r="V2523" s="24">
        <v>45882</v>
      </c>
      <c r="W2523" s="22" t="s">
        <v>72</v>
      </c>
      <c r="X2523" s="4" t="str">
        <f>IF(Tabela2[[#This Row],[sigla]]="","",VLOOKUP(Tabela2[[#This Row],[sigla]],créditos_base!B:C,2,0))</f>
        <v>HELOÍSA PINTARELLI/ARQUIVO DA EDITORA</v>
      </c>
      <c r="Y2523" s="23"/>
      <c r="Z2523" s="23" t="str">
        <f>Tabela2[[#This Row],[ilustrador]]</f>
        <v>HELOÍSA PINTARELLI/ARQUIVO DA EDITORA</v>
      </c>
      <c r="AA2523" s="22">
        <v>8</v>
      </c>
      <c r="AB2523" s="20" t="s">
        <v>5749</v>
      </c>
      <c r="AC2523" s="20" t="s">
        <v>310</v>
      </c>
      <c r="AD2523" s="4" t="str">
        <f>"Pitanguá"</f>
        <v>Pitanguá</v>
      </c>
      <c r="AE2523" s="14" t="str">
        <f>"Matemática"</f>
        <v>Matemática</v>
      </c>
      <c r="AF2523" s="14"/>
    </row>
    <row r="2524" spans="1:32" ht="43.2" x14ac:dyDescent="0.3">
      <c r="A2524" s="23" t="s">
        <v>2682</v>
      </c>
      <c r="B2524" s="20" t="s">
        <v>6</v>
      </c>
      <c r="C2524" s="20" t="s">
        <v>89</v>
      </c>
      <c r="D2524" s="20" t="s">
        <v>8</v>
      </c>
      <c r="E2524" s="22">
        <v>225</v>
      </c>
      <c r="F2524" s="22">
        <v>1</v>
      </c>
      <c r="G2524" s="22">
        <v>10</v>
      </c>
      <c r="H2524" s="22"/>
      <c r="I2524" s="23" t="s">
        <v>33</v>
      </c>
      <c r="J2524" s="23"/>
      <c r="K2524" s="22"/>
      <c r="L2524" s="22"/>
      <c r="M2524" s="23"/>
      <c r="N2524" s="23"/>
      <c r="O2524" s="26" t="s">
        <v>2683</v>
      </c>
      <c r="P2524" s="26"/>
      <c r="Q2524" s="22">
        <v>37</v>
      </c>
      <c r="R2524" s="24">
        <v>45775</v>
      </c>
      <c r="S2524" s="24">
        <v>45776</v>
      </c>
      <c r="T2524" s="24"/>
      <c r="U2524" s="24"/>
      <c r="V2524" s="24">
        <v>45777</v>
      </c>
      <c r="W2524" s="22" t="s">
        <v>468</v>
      </c>
      <c r="X2524" s="4" t="str">
        <f>IF(Tabela2[[#This Row],[sigla]]="","",VLOOKUP(Tabela2[[#This Row],[sigla]],créditos_base!B:C,2,0))</f>
        <v>VER DOCUMENTO DE ILS. TÉCNICAS</v>
      </c>
      <c r="Y2524" s="23" t="s">
        <v>880</v>
      </c>
      <c r="Z2524" s="23" t="s">
        <v>469</v>
      </c>
      <c r="AA2524" s="22">
        <v>13</v>
      </c>
      <c r="AB2524" s="20" t="s">
        <v>2058</v>
      </c>
      <c r="AC2524" s="20" t="s">
        <v>36</v>
      </c>
      <c r="AD2524" s="4" t="str">
        <f>"Pitanguá"</f>
        <v>Pitanguá</v>
      </c>
      <c r="AE2524" s="14" t="str">
        <f>"Matemática"</f>
        <v>Matemática</v>
      </c>
      <c r="AF2524" s="14"/>
    </row>
    <row r="2525" spans="1:32" ht="43.2" x14ac:dyDescent="0.3">
      <c r="A2525" s="23" t="s">
        <v>2781</v>
      </c>
      <c r="B2525" s="20" t="s">
        <v>16</v>
      </c>
      <c r="C2525" s="20" t="s">
        <v>7</v>
      </c>
      <c r="D2525" s="20" t="s">
        <v>8</v>
      </c>
      <c r="E2525" s="22">
        <v>216</v>
      </c>
      <c r="F2525" s="22">
        <v>3</v>
      </c>
      <c r="G2525" s="22">
        <v>10</v>
      </c>
      <c r="H2525" s="22"/>
      <c r="I2525" s="23" t="s">
        <v>9</v>
      </c>
      <c r="J2525" s="23"/>
      <c r="K2525" s="22"/>
      <c r="L2525" s="22"/>
      <c r="M2525" s="23"/>
      <c r="N2525" s="23"/>
      <c r="O2525" s="26" t="s">
        <v>2782</v>
      </c>
      <c r="P2525" s="26"/>
      <c r="Q2525" s="22"/>
      <c r="R2525" s="24"/>
      <c r="S2525" s="24"/>
      <c r="T2525" s="24"/>
      <c r="U2525" s="24"/>
      <c r="V2525" s="24"/>
      <c r="W2525" s="22" t="s">
        <v>31</v>
      </c>
      <c r="X2525" s="4" t="str">
        <f>IF(Tabela2[[#This Row],[sigla]]="","",VLOOKUP(Tabela2[[#This Row],[sigla]],créditos_base!B:C,2,0))</f>
        <v>SILVIA OTOFUJI/ARQUIVO DA EDITORA</v>
      </c>
      <c r="Y2525" s="23"/>
      <c r="Z2525" s="23" t="str">
        <f>Tabela2[[#This Row],[ilustrador]]</f>
        <v>SILVIA OTOFUJI/ARQUIVO DA EDITORA</v>
      </c>
      <c r="AA2525" s="22"/>
      <c r="AB2525" s="20"/>
      <c r="AD2525" s="4" t="str">
        <f>"Pitanguá"</f>
        <v>Pitanguá</v>
      </c>
      <c r="AE2525" s="14" t="str">
        <f>"Matemática"</f>
        <v>Matemática</v>
      </c>
      <c r="AF2525" s="14"/>
    </row>
    <row r="2526" spans="1:32" ht="28.8" x14ac:dyDescent="0.3">
      <c r="A2526" s="23" t="s">
        <v>2684</v>
      </c>
      <c r="B2526" s="20" t="s">
        <v>6</v>
      </c>
      <c r="C2526" s="20" t="s">
        <v>89</v>
      </c>
      <c r="D2526" s="20" t="s">
        <v>8</v>
      </c>
      <c r="E2526" s="22">
        <v>225</v>
      </c>
      <c r="F2526" s="22">
        <v>1</v>
      </c>
      <c r="G2526" s="22">
        <v>10</v>
      </c>
      <c r="H2526" s="22"/>
      <c r="I2526" s="23" t="s">
        <v>33</v>
      </c>
      <c r="J2526" s="23"/>
      <c r="K2526" s="22"/>
      <c r="L2526" s="22"/>
      <c r="M2526" s="23"/>
      <c r="N2526" s="23"/>
      <c r="O2526" s="26" t="s">
        <v>2685</v>
      </c>
      <c r="P2526" s="26"/>
      <c r="Q2526" s="22">
        <v>37</v>
      </c>
      <c r="R2526" s="24">
        <v>45775</v>
      </c>
      <c r="S2526" s="24">
        <v>45776</v>
      </c>
      <c r="T2526" s="24"/>
      <c r="U2526" s="24"/>
      <c r="V2526" s="24">
        <v>45777</v>
      </c>
      <c r="W2526" s="22" t="s">
        <v>468</v>
      </c>
      <c r="X2526" s="4" t="str">
        <f>IF(Tabela2[[#This Row],[sigla]]="","",VLOOKUP(Tabela2[[#This Row],[sigla]],créditos_base!B:C,2,0))</f>
        <v>VER DOCUMENTO DE ILS. TÉCNICAS</v>
      </c>
      <c r="Y2526" s="23" t="s">
        <v>880</v>
      </c>
      <c r="Z2526" s="23" t="s">
        <v>469</v>
      </c>
      <c r="AA2526" s="22">
        <v>13</v>
      </c>
      <c r="AB2526" s="20" t="s">
        <v>2058</v>
      </c>
      <c r="AC2526" s="20" t="s">
        <v>36</v>
      </c>
      <c r="AD2526" s="4" t="str">
        <f>"Pitanguá"</f>
        <v>Pitanguá</v>
      </c>
      <c r="AE2526" s="14" t="str">
        <f>"Matemática"</f>
        <v>Matemática</v>
      </c>
      <c r="AF2526" s="14"/>
    </row>
    <row r="2527" spans="1:32" ht="28.8" x14ac:dyDescent="0.3">
      <c r="A2527" s="23" t="s">
        <v>2783</v>
      </c>
      <c r="B2527" s="20" t="s">
        <v>16</v>
      </c>
      <c r="C2527" s="20" t="s">
        <v>7</v>
      </c>
      <c r="D2527" s="20" t="s">
        <v>8</v>
      </c>
      <c r="E2527" s="22">
        <v>216</v>
      </c>
      <c r="F2527" s="22">
        <v>3</v>
      </c>
      <c r="G2527" s="22">
        <v>10</v>
      </c>
      <c r="H2527" s="22"/>
      <c r="I2527" s="23" t="s">
        <v>33</v>
      </c>
      <c r="J2527" s="23"/>
      <c r="K2527" s="22"/>
      <c r="L2527" s="22"/>
      <c r="M2527" s="23"/>
      <c r="N2527" s="23"/>
      <c r="O2527" s="26" t="s">
        <v>2784</v>
      </c>
      <c r="P2527" s="26"/>
      <c r="Q2527" s="22">
        <v>38</v>
      </c>
      <c r="R2527" s="24">
        <v>45776</v>
      </c>
      <c r="S2527" s="24">
        <v>45776</v>
      </c>
      <c r="T2527" s="24"/>
      <c r="U2527" s="24"/>
      <c r="V2527" s="24">
        <v>45782</v>
      </c>
      <c r="W2527" s="22" t="s">
        <v>31</v>
      </c>
      <c r="X2527" s="4" t="str">
        <f>IF(Tabela2[[#This Row],[sigla]]="","",VLOOKUP(Tabela2[[#This Row],[sigla]],créditos_base!B:C,2,0))</f>
        <v>SILVIA OTOFUJI/ARQUIVO DA EDITORA</v>
      </c>
      <c r="Y2527" s="23" t="s">
        <v>2713</v>
      </c>
      <c r="Z2527" s="23" t="str">
        <f>Tabela2[[#This Row],[ilustrador]]</f>
        <v>SILVIA OTOFUJI/ARQUIVO DA EDITORA</v>
      </c>
      <c r="AA2527" s="22">
        <v>14</v>
      </c>
      <c r="AB2527" s="20" t="s">
        <v>244</v>
      </c>
      <c r="AC2527" s="20" t="s">
        <v>36</v>
      </c>
      <c r="AD2527" s="4" t="str">
        <f>"Pitanguá"</f>
        <v>Pitanguá</v>
      </c>
      <c r="AE2527" s="14" t="str">
        <f>"Matemática"</f>
        <v>Matemática</v>
      </c>
      <c r="AF2527" s="14"/>
    </row>
    <row r="2528" spans="1:32" ht="28.8" x14ac:dyDescent="0.3">
      <c r="A2528" s="23" t="s">
        <v>2785</v>
      </c>
      <c r="B2528" s="20" t="s">
        <v>16</v>
      </c>
      <c r="C2528" s="20" t="s">
        <v>7</v>
      </c>
      <c r="D2528" s="20" t="s">
        <v>8</v>
      </c>
      <c r="E2528" s="22">
        <v>217</v>
      </c>
      <c r="F2528" s="22">
        <v>3</v>
      </c>
      <c r="G2528" s="22">
        <v>10</v>
      </c>
      <c r="H2528" s="22"/>
      <c r="I2528" s="23" t="s">
        <v>33</v>
      </c>
      <c r="J2528" s="23"/>
      <c r="K2528" s="22"/>
      <c r="L2528" s="22"/>
      <c r="M2528" s="23"/>
      <c r="N2528" s="23"/>
      <c r="O2528" s="26" t="s">
        <v>2786</v>
      </c>
      <c r="P2528" s="26"/>
      <c r="Q2528" s="22">
        <v>176</v>
      </c>
      <c r="R2528" s="24">
        <v>45899</v>
      </c>
      <c r="S2528" s="24">
        <v>45901</v>
      </c>
      <c r="T2528" s="24"/>
      <c r="U2528" s="24"/>
      <c r="V2528" s="24">
        <v>45901</v>
      </c>
      <c r="W2528" s="22" t="s">
        <v>940</v>
      </c>
      <c r="X2528" s="4" t="str">
        <f>IF(Tabela2[[#This Row],[sigla]]="","",VLOOKUP(Tabela2[[#This Row],[sigla]],créditos_base!B:C,2,0))</f>
        <v>RONALDO LUCENA/ARQUIVO DA EDITORA</v>
      </c>
      <c r="Y2528" s="23" t="s">
        <v>433</v>
      </c>
      <c r="Z2528" s="23" t="str">
        <f>Tabela2[[#This Row],[ilustrador]]</f>
        <v>RONALDO LUCENA/ARQUIVO DA EDITORA</v>
      </c>
      <c r="AA2528" s="22">
        <v>14</v>
      </c>
      <c r="AB2528" s="20" t="s">
        <v>153</v>
      </c>
      <c r="AC2528" s="20" t="s">
        <v>36</v>
      </c>
      <c r="AD2528" s="4" t="str">
        <f>"Pitanguá"</f>
        <v>Pitanguá</v>
      </c>
      <c r="AE2528" s="14" t="str">
        <f>"Matemática"</f>
        <v>Matemática</v>
      </c>
      <c r="AF2528" s="14"/>
    </row>
    <row r="2529" spans="1:32" ht="28.8" x14ac:dyDescent="0.3">
      <c r="A2529" s="23" t="s">
        <v>2787</v>
      </c>
      <c r="B2529" s="20" t="s">
        <v>16</v>
      </c>
      <c r="C2529" s="20" t="s">
        <v>7</v>
      </c>
      <c r="D2529" s="20" t="s">
        <v>8</v>
      </c>
      <c r="E2529" s="22">
        <v>217</v>
      </c>
      <c r="F2529" s="22">
        <v>3</v>
      </c>
      <c r="G2529" s="22">
        <v>10</v>
      </c>
      <c r="H2529" s="22"/>
      <c r="I2529" s="23" t="s">
        <v>9</v>
      </c>
      <c r="J2529" s="23"/>
      <c r="K2529" s="22"/>
      <c r="L2529" s="22"/>
      <c r="M2529" s="23"/>
      <c r="N2529" s="23"/>
      <c r="O2529" s="26" t="s">
        <v>2788</v>
      </c>
      <c r="P2529" s="26"/>
      <c r="Q2529" s="22"/>
      <c r="R2529" s="24"/>
      <c r="S2529" s="24"/>
      <c r="T2529" s="24"/>
      <c r="U2529" s="24"/>
      <c r="V2529" s="24"/>
      <c r="W2529" s="22" t="s">
        <v>940</v>
      </c>
      <c r="X2529" s="4" t="str">
        <f>IF(Tabela2[[#This Row],[sigla]]="","",VLOOKUP(Tabela2[[#This Row],[sigla]],créditos_base!B:C,2,0))</f>
        <v>RONALDO LUCENA/ARQUIVO DA EDITORA</v>
      </c>
      <c r="Y2529" s="23"/>
      <c r="Z2529" s="23" t="str">
        <f>Tabela2[[#This Row],[ilustrador]]</f>
        <v>RONALDO LUCENA/ARQUIVO DA EDITORA</v>
      </c>
      <c r="AA2529" s="22"/>
      <c r="AB2529" s="20"/>
      <c r="AD2529" s="4" t="str">
        <f>"Pitanguá"</f>
        <v>Pitanguá</v>
      </c>
      <c r="AE2529" s="14" t="str">
        <f>"Matemática"</f>
        <v>Matemática</v>
      </c>
      <c r="AF2529" s="14"/>
    </row>
    <row r="2530" spans="1:32" ht="43.2" x14ac:dyDescent="0.3">
      <c r="A2530" s="23" t="s">
        <v>5386</v>
      </c>
      <c r="B2530" s="20" t="s">
        <v>16</v>
      </c>
      <c r="C2530" s="20" t="s">
        <v>89</v>
      </c>
      <c r="D2530" s="20" t="s">
        <v>8</v>
      </c>
      <c r="E2530" s="22">
        <v>258</v>
      </c>
      <c r="F2530" s="22">
        <v>4</v>
      </c>
      <c r="G2530" s="22">
        <v>10</v>
      </c>
      <c r="H2530" s="22"/>
      <c r="I2530" s="23" t="s">
        <v>33</v>
      </c>
      <c r="J2530" s="23"/>
      <c r="K2530" s="22"/>
      <c r="L2530" s="22"/>
      <c r="M2530" s="23"/>
      <c r="N2530" s="23"/>
      <c r="O2530" s="26" t="s">
        <v>5387</v>
      </c>
      <c r="P2530" s="26"/>
      <c r="Q2530" s="22">
        <v>125</v>
      </c>
      <c r="R2530" s="24">
        <v>45862</v>
      </c>
      <c r="S2530" s="24">
        <v>45867</v>
      </c>
      <c r="T2530" s="24"/>
      <c r="U2530" s="24"/>
      <c r="V2530" s="24">
        <v>45867</v>
      </c>
      <c r="W2530" s="22" t="s">
        <v>468</v>
      </c>
      <c r="X2530" s="4" t="str">
        <f>IF(Tabela2[[#This Row],[sigla]]="","",VLOOKUP(Tabela2[[#This Row],[sigla]],créditos_base!B:C,2,0))</f>
        <v>VER DOCUMENTO DE ILS. TÉCNICAS</v>
      </c>
      <c r="Y2530" s="23" t="s">
        <v>1139</v>
      </c>
      <c r="Z2530" s="42" t="s">
        <v>3529</v>
      </c>
      <c r="AA2530" s="22">
        <v>13</v>
      </c>
      <c r="AB2530" s="20" t="s">
        <v>3532</v>
      </c>
      <c r="AC2530" s="20" t="s">
        <v>36</v>
      </c>
      <c r="AD2530" s="4" t="str">
        <f>"Pitanguá"</f>
        <v>Pitanguá</v>
      </c>
      <c r="AE2530" s="14" t="str">
        <f>"Matemática"</f>
        <v>Matemática</v>
      </c>
      <c r="AF2530" s="14"/>
    </row>
    <row r="2531" spans="1:32" ht="43.2" x14ac:dyDescent="0.3">
      <c r="A2531" s="23" t="s">
        <v>2789</v>
      </c>
      <c r="B2531" s="20" t="s">
        <v>6</v>
      </c>
      <c r="C2531" s="20" t="s">
        <v>7</v>
      </c>
      <c r="D2531" s="20" t="s">
        <v>8</v>
      </c>
      <c r="E2531" s="22">
        <v>218</v>
      </c>
      <c r="F2531" s="22">
        <v>3</v>
      </c>
      <c r="G2531" s="22">
        <v>10</v>
      </c>
      <c r="H2531" s="22"/>
      <c r="I2531" s="23" t="s">
        <v>9</v>
      </c>
      <c r="J2531" s="23"/>
      <c r="K2531" s="22"/>
      <c r="L2531" s="22"/>
      <c r="M2531" s="23"/>
      <c r="N2531" s="23"/>
      <c r="O2531" s="26" t="s">
        <v>2790</v>
      </c>
      <c r="P2531" s="26" t="s">
        <v>11</v>
      </c>
      <c r="Q2531" s="22"/>
      <c r="R2531" s="24"/>
      <c r="S2531" s="24"/>
      <c r="T2531" s="24"/>
      <c r="U2531" s="24"/>
      <c r="V2531" s="24"/>
      <c r="W2531" s="22" t="s">
        <v>1785</v>
      </c>
      <c r="X2531" s="4" t="str">
        <f>IF(Tabela2[[#This Row],[sigla]]="","",VLOOKUP(Tabela2[[#This Row],[sigla]],créditos_base!B:C,2,0))</f>
        <v>CAUÊ ZUNCHINI/ARQUIVO DA EDITORA</v>
      </c>
      <c r="Y2531" s="23"/>
      <c r="Z2531" s="23" t="str">
        <f>Tabela2[[#This Row],[ilustrador]]</f>
        <v>CAUÊ ZUNCHINI/ARQUIVO DA EDITORA</v>
      </c>
      <c r="AA2531" s="22"/>
      <c r="AB2531" s="20"/>
      <c r="AD2531" s="4" t="str">
        <f>"Pitanguá"</f>
        <v>Pitanguá</v>
      </c>
      <c r="AE2531" s="14" t="str">
        <f>"Matemática"</f>
        <v>Matemática</v>
      </c>
      <c r="AF2531" s="14"/>
    </row>
    <row r="2532" spans="1:32" ht="100.8" x14ac:dyDescent="0.3">
      <c r="A2532" s="23" t="s">
        <v>3570</v>
      </c>
      <c r="B2532" s="20" t="s">
        <v>16</v>
      </c>
      <c r="C2532" s="20" t="s">
        <v>540</v>
      </c>
      <c r="D2532" s="20" t="s">
        <v>8</v>
      </c>
      <c r="E2532" s="22">
        <v>233</v>
      </c>
      <c r="F2532" s="22">
        <v>4</v>
      </c>
      <c r="G2532" s="22">
        <v>10</v>
      </c>
      <c r="H2532" s="22"/>
      <c r="I2532" s="23" t="s">
        <v>9</v>
      </c>
      <c r="J2532" s="23"/>
      <c r="K2532" s="22"/>
      <c r="L2532" s="22"/>
      <c r="M2532" s="23"/>
      <c r="N2532" s="23"/>
      <c r="O2532" s="20" t="s">
        <v>3571</v>
      </c>
      <c r="P2532" s="26"/>
      <c r="Q2532" s="22"/>
      <c r="R2532" s="24"/>
      <c r="S2532" s="24"/>
      <c r="T2532" s="24"/>
      <c r="U2532" s="24"/>
      <c r="V2532" s="24"/>
      <c r="W2532" s="22" t="s">
        <v>940</v>
      </c>
      <c r="X2532" s="4" t="str">
        <f>IF(Tabela2[[#This Row],[sigla]]="","",VLOOKUP(Tabela2[[#This Row],[sigla]],créditos_base!B:C,2,0))</f>
        <v>RONALDO LUCENA/ARQUIVO DA EDITORA</v>
      </c>
      <c r="Y2532" s="23"/>
      <c r="Z2532" s="23" t="str">
        <f>Tabela2[[#This Row],[ilustrador]]</f>
        <v>RONALDO LUCENA/ARQUIVO DA EDITORA</v>
      </c>
      <c r="AA2532" s="22"/>
      <c r="AB2532" s="20"/>
      <c r="AD2532" s="4" t="str">
        <f>"Pitanguá"</f>
        <v>Pitanguá</v>
      </c>
      <c r="AE2532" s="14" t="str">
        <f>"Matemática"</f>
        <v>Matemática</v>
      </c>
      <c r="AF2532" s="14"/>
    </row>
    <row r="2533" spans="1:32" ht="28.8" x14ac:dyDescent="0.3">
      <c r="A2533" s="23" t="s">
        <v>2689</v>
      </c>
      <c r="B2533" s="20" t="s">
        <v>16</v>
      </c>
      <c r="C2533" s="20" t="s">
        <v>89</v>
      </c>
      <c r="D2533" s="20" t="s">
        <v>8</v>
      </c>
      <c r="E2533" s="22">
        <v>231</v>
      </c>
      <c r="F2533" s="22">
        <v>1</v>
      </c>
      <c r="G2533" s="22">
        <v>10</v>
      </c>
      <c r="H2533" s="22"/>
      <c r="I2533" s="23" t="s">
        <v>90</v>
      </c>
      <c r="J2533" s="23"/>
      <c r="K2533" s="22"/>
      <c r="L2533" s="22"/>
      <c r="M2533" s="23"/>
      <c r="N2533" s="23"/>
      <c r="O2533" s="26" t="s">
        <v>2690</v>
      </c>
      <c r="P2533" s="26"/>
      <c r="Q2533" s="22">
        <v>37</v>
      </c>
      <c r="R2533" s="24">
        <v>45775</v>
      </c>
      <c r="S2533" s="24">
        <v>45776</v>
      </c>
      <c r="T2533" s="24"/>
      <c r="U2533" s="24"/>
      <c r="V2533" s="24">
        <v>45779</v>
      </c>
      <c r="W2533" s="22" t="s">
        <v>468</v>
      </c>
      <c r="X2533" s="4" t="str">
        <f>IF(Tabela2[[#This Row],[sigla]]="","",VLOOKUP(Tabela2[[#This Row],[sigla]],créditos_base!B:C,2,0))</f>
        <v>VER DOCUMENTO DE ILS. TÉCNICAS</v>
      </c>
      <c r="Y2533" s="23" t="s">
        <v>880</v>
      </c>
      <c r="Z2533" s="32" t="s">
        <v>2691</v>
      </c>
      <c r="AA2533" s="22">
        <v>7</v>
      </c>
      <c r="AB2533" s="20" t="s">
        <v>2058</v>
      </c>
      <c r="AC2533" s="20" t="s">
        <v>36</v>
      </c>
      <c r="AD2533" s="4" t="str">
        <f>"Pitanguá"</f>
        <v>Pitanguá</v>
      </c>
      <c r="AE2533" s="14" t="str">
        <f>"Matemática"</f>
        <v>Matemática</v>
      </c>
      <c r="AF2533" s="14"/>
    </row>
    <row r="2534" spans="1:32" x14ac:dyDescent="0.3">
      <c r="A2534" s="23" t="s">
        <v>2791</v>
      </c>
      <c r="B2534" s="20" t="s">
        <v>16</v>
      </c>
      <c r="C2534" s="20" t="s">
        <v>89</v>
      </c>
      <c r="D2534" s="20" t="s">
        <v>8</v>
      </c>
      <c r="E2534" s="22">
        <v>219</v>
      </c>
      <c r="F2534" s="22">
        <v>3</v>
      </c>
      <c r="G2534" s="22">
        <v>10</v>
      </c>
      <c r="H2534" s="22"/>
      <c r="I2534" s="23" t="s">
        <v>33</v>
      </c>
      <c r="J2534" s="23"/>
      <c r="K2534" s="22"/>
      <c r="L2534" s="22"/>
      <c r="M2534" s="23"/>
      <c r="N2534" s="23"/>
      <c r="O2534" s="26" t="s">
        <v>2792</v>
      </c>
      <c r="P2534" s="26"/>
      <c r="Q2534" s="22">
        <v>89</v>
      </c>
      <c r="R2534" s="24">
        <v>45839</v>
      </c>
      <c r="S2534" s="24">
        <v>45842</v>
      </c>
      <c r="T2534" s="24"/>
      <c r="U2534" s="24"/>
      <c r="V2534" s="24">
        <v>45842</v>
      </c>
      <c r="W2534" s="22" t="s">
        <v>151</v>
      </c>
      <c r="X2534" s="4" t="str">
        <f>IF(Tabela2[[#This Row],[sigla]]="","",VLOOKUP(Tabela2[[#This Row],[sigla]],créditos_base!B:C,2,0))</f>
        <v>ROGÉRIO CASAGRANDE/ARQUIVO DA EDITORA</v>
      </c>
      <c r="Y2534" s="23" t="s">
        <v>524</v>
      </c>
      <c r="Z2534" s="23" t="str">
        <f>Tabela2[[#This Row],[ilustrador]]</f>
        <v>ROGÉRIO CASAGRANDE/ARQUIVO DA EDITORA</v>
      </c>
      <c r="AA2534" s="22">
        <v>13</v>
      </c>
      <c r="AB2534" s="20" t="s">
        <v>2793</v>
      </c>
      <c r="AC2534" s="20" t="s">
        <v>36</v>
      </c>
      <c r="AD2534" s="4" t="str">
        <f>"Pitanguá"</f>
        <v>Pitanguá</v>
      </c>
      <c r="AE2534" s="14" t="str">
        <f>"Matemática"</f>
        <v>Matemática</v>
      </c>
      <c r="AF2534" s="14"/>
    </row>
    <row r="2535" spans="1:32" ht="43.2" x14ac:dyDescent="0.3">
      <c r="A2535" s="23" t="s">
        <v>5388</v>
      </c>
      <c r="B2535" s="20" t="s">
        <v>16</v>
      </c>
      <c r="C2535" s="20" t="s">
        <v>89</v>
      </c>
      <c r="D2535" s="20" t="s">
        <v>8</v>
      </c>
      <c r="E2535" s="22">
        <v>260</v>
      </c>
      <c r="F2535" s="22">
        <v>4</v>
      </c>
      <c r="G2535" s="22">
        <v>10</v>
      </c>
      <c r="H2535" s="22"/>
      <c r="I2535" s="23" t="s">
        <v>33</v>
      </c>
      <c r="J2535" s="23"/>
      <c r="K2535" s="22"/>
      <c r="L2535" s="22"/>
      <c r="M2535" s="23"/>
      <c r="N2535" s="23"/>
      <c r="O2535" s="26" t="s">
        <v>5389</v>
      </c>
      <c r="P2535" s="26"/>
      <c r="Q2535" s="22">
        <v>125</v>
      </c>
      <c r="R2535" s="24">
        <v>45862</v>
      </c>
      <c r="S2535" s="24">
        <v>45867</v>
      </c>
      <c r="T2535" s="24"/>
      <c r="U2535" s="24"/>
      <c r="V2535" s="24">
        <v>45867</v>
      </c>
      <c r="W2535" s="22" t="s">
        <v>468</v>
      </c>
      <c r="X2535" s="4" t="str">
        <f>IF(Tabela2[[#This Row],[sigla]]="","",VLOOKUP(Tabela2[[#This Row],[sigla]],créditos_base!B:C,2,0))</f>
        <v>VER DOCUMENTO DE ILS. TÉCNICAS</v>
      </c>
      <c r="Y2535" s="23" t="s">
        <v>1139</v>
      </c>
      <c r="Z2535" s="42" t="s">
        <v>469</v>
      </c>
      <c r="AA2535" s="22">
        <v>13</v>
      </c>
      <c r="AB2535" s="20" t="s">
        <v>3532</v>
      </c>
      <c r="AC2535" s="20" t="s">
        <v>36</v>
      </c>
      <c r="AD2535" s="4" t="str">
        <f>"Pitanguá"</f>
        <v>Pitanguá</v>
      </c>
      <c r="AE2535" s="14" t="str">
        <f>"Matemática"</f>
        <v>Matemática</v>
      </c>
      <c r="AF2535" s="14"/>
    </row>
    <row r="2536" spans="1:32" ht="100.8" x14ac:dyDescent="0.3">
      <c r="A2536" s="23" t="s">
        <v>2696</v>
      </c>
      <c r="B2536" s="20" t="s">
        <v>6</v>
      </c>
      <c r="C2536" s="20" t="s">
        <v>89</v>
      </c>
      <c r="D2536" s="20" t="s">
        <v>8</v>
      </c>
      <c r="E2536" s="22">
        <v>234</v>
      </c>
      <c r="F2536" s="22">
        <v>1</v>
      </c>
      <c r="G2536" s="22">
        <v>10</v>
      </c>
      <c r="H2536" s="22"/>
      <c r="I2536" s="23" t="s">
        <v>9</v>
      </c>
      <c r="J2536" s="23"/>
      <c r="K2536" s="22"/>
      <c r="L2536" s="22"/>
      <c r="M2536" s="23"/>
      <c r="N2536" s="23"/>
      <c r="O2536" s="26" t="s">
        <v>2697</v>
      </c>
      <c r="P2536" s="26"/>
      <c r="Q2536" s="22"/>
      <c r="R2536" s="24"/>
      <c r="S2536" s="24"/>
      <c r="T2536" s="24"/>
      <c r="U2536" s="24"/>
      <c r="V2536" s="24"/>
      <c r="W2536" s="22" t="s">
        <v>468</v>
      </c>
      <c r="X2536" s="4" t="str">
        <f>IF(Tabela2[[#This Row],[sigla]]="","",VLOOKUP(Tabela2[[#This Row],[sigla]],créditos_base!B:C,2,0))</f>
        <v>VER DOCUMENTO DE ILS. TÉCNICAS</v>
      </c>
      <c r="Y2536" s="23"/>
      <c r="Z2536" s="23" t="s">
        <v>469</v>
      </c>
      <c r="AA2536" s="22"/>
      <c r="AB2536" s="20"/>
      <c r="AD2536" s="4" t="str">
        <f>"Pitanguá"</f>
        <v>Pitanguá</v>
      </c>
      <c r="AE2536" s="14" t="str">
        <f>"Matemática"</f>
        <v>Matemática</v>
      </c>
      <c r="AF2536" s="14"/>
    </row>
    <row r="2537" spans="1:32" ht="28.8" x14ac:dyDescent="0.3">
      <c r="A2537" s="23" t="s">
        <v>2794</v>
      </c>
      <c r="B2537" s="20" t="s">
        <v>16</v>
      </c>
      <c r="C2537" s="20" t="s">
        <v>89</v>
      </c>
      <c r="D2537" s="20" t="s">
        <v>8</v>
      </c>
      <c r="E2537" s="22">
        <v>219</v>
      </c>
      <c r="F2537" s="22">
        <v>3</v>
      </c>
      <c r="G2537" s="22">
        <v>10</v>
      </c>
      <c r="H2537" s="22"/>
      <c r="I2537" s="23" t="s">
        <v>33</v>
      </c>
      <c r="J2537" s="23"/>
      <c r="K2537" s="22"/>
      <c r="L2537" s="22"/>
      <c r="M2537" s="23"/>
      <c r="N2537" s="23"/>
      <c r="O2537" s="26" t="s">
        <v>2795</v>
      </c>
      <c r="P2537" s="26"/>
      <c r="Q2537" s="22">
        <v>89</v>
      </c>
      <c r="R2537" s="24">
        <v>45839</v>
      </c>
      <c r="S2537" s="24">
        <v>45842</v>
      </c>
      <c r="T2537" s="24"/>
      <c r="U2537" s="24"/>
      <c r="V2537" s="24">
        <v>45842</v>
      </c>
      <c r="W2537" s="22" t="s">
        <v>151</v>
      </c>
      <c r="X2537" s="4" t="str">
        <f>IF(Tabela2[[#This Row],[sigla]]="","",VLOOKUP(Tabela2[[#This Row],[sigla]],créditos_base!B:C,2,0))</f>
        <v>ROGÉRIO CASAGRANDE/ARQUIVO DA EDITORA</v>
      </c>
      <c r="Y2537" s="23" t="s">
        <v>524</v>
      </c>
      <c r="Z2537" s="23" t="str">
        <f>Tabela2[[#This Row],[ilustrador]]</f>
        <v>ROGÉRIO CASAGRANDE/ARQUIVO DA EDITORA</v>
      </c>
      <c r="AA2537" s="22">
        <v>13</v>
      </c>
      <c r="AB2537" s="20" t="s">
        <v>2793</v>
      </c>
      <c r="AC2537" s="20" t="s">
        <v>36</v>
      </c>
      <c r="AD2537" s="4" t="str">
        <f>"Pitanguá"</f>
        <v>Pitanguá</v>
      </c>
      <c r="AE2537" s="14" t="str">
        <f>"Matemática"</f>
        <v>Matemática</v>
      </c>
      <c r="AF2537" s="14"/>
    </row>
    <row r="2538" spans="1:32" ht="28.8" x14ac:dyDescent="0.3">
      <c r="A2538" s="23" t="s">
        <v>5390</v>
      </c>
      <c r="B2538" s="20" t="s">
        <v>16</v>
      </c>
      <c r="C2538" s="20" t="s">
        <v>89</v>
      </c>
      <c r="D2538" s="20" t="s">
        <v>8</v>
      </c>
      <c r="E2538" s="22">
        <v>260</v>
      </c>
      <c r="F2538" s="22">
        <v>4</v>
      </c>
      <c r="G2538" s="22">
        <v>10</v>
      </c>
      <c r="H2538" s="22"/>
      <c r="I2538" s="23" t="s">
        <v>33</v>
      </c>
      <c r="J2538" s="23"/>
      <c r="K2538" s="22"/>
      <c r="L2538" s="22"/>
      <c r="M2538" s="23"/>
      <c r="N2538" s="23"/>
      <c r="O2538" s="26" t="s">
        <v>5391</v>
      </c>
      <c r="P2538" s="26"/>
      <c r="Q2538" s="22">
        <v>125</v>
      </c>
      <c r="R2538" s="24">
        <v>45862</v>
      </c>
      <c r="S2538" s="24">
        <v>45867</v>
      </c>
      <c r="T2538" s="24"/>
      <c r="U2538" s="24"/>
      <c r="V2538" s="24">
        <v>45867</v>
      </c>
      <c r="W2538" s="22" t="s">
        <v>468</v>
      </c>
      <c r="X2538" s="4" t="str">
        <f>IF(Tabela2[[#This Row],[sigla]]="","",VLOOKUP(Tabela2[[#This Row],[sigla]],créditos_base!B:C,2,0))</f>
        <v>VER DOCUMENTO DE ILS. TÉCNICAS</v>
      </c>
      <c r="Y2538" s="23" t="s">
        <v>1139</v>
      </c>
      <c r="Z2538" s="42" t="s">
        <v>3529</v>
      </c>
      <c r="AA2538" s="22">
        <v>13</v>
      </c>
      <c r="AB2538" s="20" t="s">
        <v>3532</v>
      </c>
      <c r="AC2538" s="20" t="s">
        <v>36</v>
      </c>
      <c r="AD2538" s="4" t="str">
        <f>"Pitanguá"</f>
        <v>Pitanguá</v>
      </c>
      <c r="AE2538" s="14" t="str">
        <f>"Matemática"</f>
        <v>Matemática</v>
      </c>
      <c r="AF2538" s="14"/>
    </row>
    <row r="2539" spans="1:32" ht="28.8" x14ac:dyDescent="0.3">
      <c r="A2539" s="23" t="s">
        <v>2698</v>
      </c>
      <c r="B2539" s="20" t="s">
        <v>6</v>
      </c>
      <c r="C2539" s="20" t="s">
        <v>89</v>
      </c>
      <c r="D2539" s="20" t="s">
        <v>8</v>
      </c>
      <c r="E2539" s="22">
        <v>234</v>
      </c>
      <c r="F2539" s="22">
        <v>1</v>
      </c>
      <c r="G2539" s="22">
        <v>10</v>
      </c>
      <c r="H2539" s="22"/>
      <c r="I2539" s="23" t="s">
        <v>9</v>
      </c>
      <c r="J2539" s="23"/>
      <c r="K2539" s="22"/>
      <c r="L2539" s="22"/>
      <c r="M2539" s="23"/>
      <c r="N2539" s="23"/>
      <c r="O2539" s="26" t="s">
        <v>2699</v>
      </c>
      <c r="P2539" s="26"/>
      <c r="Q2539" s="22"/>
      <c r="R2539" s="24"/>
      <c r="S2539" s="24"/>
      <c r="T2539" s="24"/>
      <c r="U2539" s="24"/>
      <c r="V2539" s="24"/>
      <c r="W2539" s="22" t="s">
        <v>468</v>
      </c>
      <c r="X2539" s="4" t="str">
        <f>IF(Tabela2[[#This Row],[sigla]]="","",VLOOKUP(Tabela2[[#This Row],[sigla]],créditos_base!B:C,2,0))</f>
        <v>VER DOCUMENTO DE ILS. TÉCNICAS</v>
      </c>
      <c r="Y2539" s="23"/>
      <c r="Z2539" s="23" t="s">
        <v>469</v>
      </c>
      <c r="AA2539" s="22"/>
      <c r="AB2539" s="20"/>
      <c r="AD2539" s="4" t="str">
        <f>"Pitanguá"</f>
        <v>Pitanguá</v>
      </c>
      <c r="AE2539" s="14" t="str">
        <f>"Matemática"</f>
        <v>Matemática</v>
      </c>
      <c r="AF2539" s="14"/>
    </row>
    <row r="2540" spans="1:32" ht="28.8" x14ac:dyDescent="0.3">
      <c r="A2540" s="23" t="s">
        <v>2796</v>
      </c>
      <c r="B2540" s="20" t="s">
        <v>16</v>
      </c>
      <c r="C2540" s="20" t="s">
        <v>89</v>
      </c>
      <c r="D2540" s="20" t="s">
        <v>8</v>
      </c>
      <c r="E2540" s="22">
        <v>219</v>
      </c>
      <c r="F2540" s="22">
        <v>3</v>
      </c>
      <c r="G2540" s="22">
        <v>10</v>
      </c>
      <c r="H2540" s="22"/>
      <c r="I2540" s="23" t="s">
        <v>33</v>
      </c>
      <c r="J2540" s="23"/>
      <c r="K2540" s="22"/>
      <c r="L2540" s="22"/>
      <c r="M2540" s="23"/>
      <c r="N2540" s="23"/>
      <c r="O2540" s="26" t="s">
        <v>2797</v>
      </c>
      <c r="P2540" s="26"/>
      <c r="Q2540" s="22">
        <v>89</v>
      </c>
      <c r="R2540" s="24">
        <v>45839</v>
      </c>
      <c r="S2540" s="24">
        <v>45842</v>
      </c>
      <c r="T2540" s="24"/>
      <c r="U2540" s="24"/>
      <c r="V2540" s="24">
        <v>45842</v>
      </c>
      <c r="W2540" s="22" t="s">
        <v>151</v>
      </c>
      <c r="X2540" s="4" t="str">
        <f>IF(Tabela2[[#This Row],[sigla]]="","",VLOOKUP(Tabela2[[#This Row],[sigla]],créditos_base!B:C,2,0))</f>
        <v>ROGÉRIO CASAGRANDE/ARQUIVO DA EDITORA</v>
      </c>
      <c r="Y2540" s="23" t="s">
        <v>524</v>
      </c>
      <c r="Z2540" s="23" t="str">
        <f>Tabela2[[#This Row],[ilustrador]]</f>
        <v>ROGÉRIO CASAGRANDE/ARQUIVO DA EDITORA</v>
      </c>
      <c r="AA2540" s="22">
        <v>13</v>
      </c>
      <c r="AB2540" s="20" t="s">
        <v>2793</v>
      </c>
      <c r="AC2540" s="20" t="s">
        <v>36</v>
      </c>
      <c r="AD2540" s="4" t="str">
        <f>"Pitanguá"</f>
        <v>Pitanguá</v>
      </c>
      <c r="AE2540" s="14" t="str">
        <f>"Matemática"</f>
        <v>Matemática</v>
      </c>
      <c r="AF2540" s="14"/>
    </row>
    <row r="2541" spans="1:32" ht="28.8" x14ac:dyDescent="0.3">
      <c r="A2541" s="23" t="s">
        <v>5396</v>
      </c>
      <c r="B2541" s="20" t="s">
        <v>16</v>
      </c>
      <c r="C2541" s="20" t="s">
        <v>7</v>
      </c>
      <c r="D2541" s="20" t="s">
        <v>8</v>
      </c>
      <c r="E2541" s="22">
        <v>241</v>
      </c>
      <c r="F2541" s="22">
        <v>4</v>
      </c>
      <c r="G2541" s="22">
        <v>10</v>
      </c>
      <c r="H2541" s="22"/>
      <c r="I2541" s="23" t="s">
        <v>33</v>
      </c>
      <c r="J2541" s="23"/>
      <c r="K2541" s="22"/>
      <c r="L2541" s="22"/>
      <c r="M2541" s="23"/>
      <c r="N2541" s="23"/>
      <c r="O2541" s="26" t="s">
        <v>5397</v>
      </c>
      <c r="P2541" s="26"/>
      <c r="Q2541" s="22">
        <v>125</v>
      </c>
      <c r="R2541" s="24">
        <v>45862</v>
      </c>
      <c r="S2541" s="24">
        <v>45867</v>
      </c>
      <c r="T2541" s="24"/>
      <c r="U2541" s="24"/>
      <c r="V2541" s="24">
        <v>45867</v>
      </c>
      <c r="W2541" s="22" t="s">
        <v>3382</v>
      </c>
      <c r="X2541" s="4" t="str">
        <f>IF(Tabela2[[#This Row],[sigla]]="","",VLOOKUP(Tabela2[[#This Row],[sigla]],créditos_base!B:C,2,0))</f>
        <v>LEONARDO MARI/ARQUIVO DA EDITORA</v>
      </c>
      <c r="Y2541" s="23" t="s">
        <v>1139</v>
      </c>
      <c r="Z2541" s="23" t="str">
        <f>Tabela2[[#This Row],[ilustrador]]</f>
        <v>LEONARDO MARI/ARQUIVO DA EDITORA</v>
      </c>
      <c r="AA2541" s="22">
        <v>13</v>
      </c>
      <c r="AB2541" s="20" t="s">
        <v>3532</v>
      </c>
      <c r="AC2541" s="20" t="s">
        <v>36</v>
      </c>
      <c r="AD2541" s="4" t="str">
        <f>"Pitanguá"</f>
        <v>Pitanguá</v>
      </c>
      <c r="AE2541" s="14" t="str">
        <f>"Matemática"</f>
        <v>Matemática</v>
      </c>
      <c r="AF2541" s="14"/>
    </row>
    <row r="2542" spans="1:32" ht="28.8" x14ac:dyDescent="0.3">
      <c r="A2542" s="23" t="s">
        <v>2700</v>
      </c>
      <c r="B2542" s="20" t="s">
        <v>16</v>
      </c>
      <c r="C2542" s="20" t="s">
        <v>7</v>
      </c>
      <c r="D2542" s="20" t="s">
        <v>8</v>
      </c>
      <c r="E2542" s="22">
        <v>235</v>
      </c>
      <c r="F2542" s="22">
        <v>1</v>
      </c>
      <c r="G2542" s="22">
        <v>10</v>
      </c>
      <c r="H2542" s="22"/>
      <c r="I2542" s="23" t="s">
        <v>90</v>
      </c>
      <c r="J2542" s="23"/>
      <c r="K2542" s="22"/>
      <c r="L2542" s="22"/>
      <c r="M2542" s="23"/>
      <c r="N2542" s="23"/>
      <c r="O2542" s="26" t="s">
        <v>2701</v>
      </c>
      <c r="P2542" s="26"/>
      <c r="Q2542" s="22">
        <v>37</v>
      </c>
      <c r="R2542" s="24">
        <v>45775</v>
      </c>
      <c r="S2542" s="24">
        <v>45777</v>
      </c>
      <c r="T2542" s="24">
        <v>45785</v>
      </c>
      <c r="U2542" s="24">
        <v>45793</v>
      </c>
      <c r="V2542" s="24">
        <v>45800</v>
      </c>
      <c r="W2542" s="22" t="s">
        <v>2221</v>
      </c>
      <c r="X2542" s="4" t="str">
        <f>IF(Tabela2[[#This Row],[sigla]]="","",VLOOKUP(Tabela2[[#This Row],[sigla]],créditos_base!B:C,2,0))</f>
        <v>REINALDO ROSA/ARQUIVO DA EDITORA</v>
      </c>
      <c r="Y2542" s="23"/>
      <c r="Z2542" s="23" t="str">
        <f>Tabela2[[#This Row],[ilustrador]]</f>
        <v>REINALDO ROSA/ARQUIVO DA EDITORA</v>
      </c>
      <c r="AA2542" s="22">
        <v>5</v>
      </c>
      <c r="AB2542" s="26" t="s">
        <v>2702</v>
      </c>
      <c r="AC2542" s="20" t="s">
        <v>310</v>
      </c>
      <c r="AD2542" s="4" t="str">
        <f>"Pitanguá"</f>
        <v>Pitanguá</v>
      </c>
      <c r="AE2542" s="14" t="str">
        <f>"Matemática"</f>
        <v>Matemática</v>
      </c>
      <c r="AF2542" s="14"/>
    </row>
    <row r="2543" spans="1:32" ht="28.8" x14ac:dyDescent="0.3">
      <c r="A2543" s="23" t="s">
        <v>2798</v>
      </c>
      <c r="B2543" s="20" t="s">
        <v>16</v>
      </c>
      <c r="C2543" s="20" t="s">
        <v>89</v>
      </c>
      <c r="D2543" s="20" t="s">
        <v>8</v>
      </c>
      <c r="E2543" s="22">
        <v>219</v>
      </c>
      <c r="F2543" s="22">
        <v>3</v>
      </c>
      <c r="G2543" s="22">
        <v>10</v>
      </c>
      <c r="H2543" s="22"/>
      <c r="I2543" s="23" t="s">
        <v>33</v>
      </c>
      <c r="J2543" s="23"/>
      <c r="K2543" s="22"/>
      <c r="L2543" s="22"/>
      <c r="M2543" s="23"/>
      <c r="N2543" s="23"/>
      <c r="O2543" s="26" t="s">
        <v>2799</v>
      </c>
      <c r="P2543" s="26"/>
      <c r="Q2543" s="22">
        <v>89</v>
      </c>
      <c r="R2543" s="24">
        <v>45839</v>
      </c>
      <c r="S2543" s="24">
        <v>45842</v>
      </c>
      <c r="T2543" s="24"/>
      <c r="U2543" s="24"/>
      <c r="V2543" s="24">
        <v>45842</v>
      </c>
      <c r="W2543" s="22" t="s">
        <v>151</v>
      </c>
      <c r="X2543" s="4" t="str">
        <f>IF(Tabela2[[#This Row],[sigla]]="","",VLOOKUP(Tabela2[[#This Row],[sigla]],créditos_base!B:C,2,0))</f>
        <v>ROGÉRIO CASAGRANDE/ARQUIVO DA EDITORA</v>
      </c>
      <c r="Y2543" s="23" t="s">
        <v>524</v>
      </c>
      <c r="Z2543" s="23" t="str">
        <f>Tabela2[[#This Row],[ilustrador]]</f>
        <v>ROGÉRIO CASAGRANDE/ARQUIVO DA EDITORA</v>
      </c>
      <c r="AA2543" s="22">
        <v>13</v>
      </c>
      <c r="AB2543" s="20" t="s">
        <v>2793</v>
      </c>
      <c r="AC2543" s="20" t="s">
        <v>36</v>
      </c>
      <c r="AD2543" s="4" t="str">
        <f>"Pitanguá"</f>
        <v>Pitanguá</v>
      </c>
      <c r="AE2543" s="14" t="str">
        <f>"Matemática"</f>
        <v>Matemática</v>
      </c>
      <c r="AF2543" s="14"/>
    </row>
    <row r="2544" spans="1:32" ht="28.8" x14ac:dyDescent="0.3">
      <c r="A2544" s="23" t="s">
        <v>5370</v>
      </c>
      <c r="B2544" s="20" t="s">
        <v>16</v>
      </c>
      <c r="C2544" s="20" t="s">
        <v>7</v>
      </c>
      <c r="D2544" s="20" t="s">
        <v>8</v>
      </c>
      <c r="E2544" s="22">
        <v>248</v>
      </c>
      <c r="F2544" s="22">
        <v>4</v>
      </c>
      <c r="G2544" s="22">
        <v>10</v>
      </c>
      <c r="H2544" s="22"/>
      <c r="I2544" s="23" t="s">
        <v>33</v>
      </c>
      <c r="J2544" s="23"/>
      <c r="K2544" s="22"/>
      <c r="L2544" s="22"/>
      <c r="M2544" s="23"/>
      <c r="N2544" s="23"/>
      <c r="O2544" s="26" t="s">
        <v>5371</v>
      </c>
      <c r="P2544" s="26"/>
      <c r="Q2544" s="22">
        <v>125</v>
      </c>
      <c r="R2544" s="24">
        <v>45862</v>
      </c>
      <c r="S2544" s="24">
        <v>45867</v>
      </c>
      <c r="T2544" s="24"/>
      <c r="U2544" s="24"/>
      <c r="V2544" s="24">
        <v>45867</v>
      </c>
      <c r="W2544" s="22" t="s">
        <v>31</v>
      </c>
      <c r="X2544" s="4" t="str">
        <f>IF(Tabela2[[#This Row],[sigla]]="","",VLOOKUP(Tabela2[[#This Row],[sigla]],créditos_base!B:C,2,0))</f>
        <v>SILVIA OTOFUJI/ARQUIVO DA EDITORA</v>
      </c>
      <c r="Y2544" s="23" t="s">
        <v>1139</v>
      </c>
      <c r="Z2544" s="23" t="str">
        <f>Tabela2[[#This Row],[ilustrador]]</f>
        <v>SILVIA OTOFUJI/ARQUIVO DA EDITORA</v>
      </c>
      <c r="AA2544" s="22">
        <v>13</v>
      </c>
      <c r="AB2544" s="20" t="s">
        <v>3532</v>
      </c>
      <c r="AC2544" s="20" t="s">
        <v>36</v>
      </c>
      <c r="AD2544" s="4" t="str">
        <f>"Pitanguá"</f>
        <v>Pitanguá</v>
      </c>
      <c r="AE2544" s="14" t="str">
        <f>"Matemática"</f>
        <v>Matemática</v>
      </c>
      <c r="AF2544" s="14"/>
    </row>
    <row r="2545" spans="1:32" ht="28.8" x14ac:dyDescent="0.3">
      <c r="A2545" s="23" t="s">
        <v>5372</v>
      </c>
      <c r="B2545" s="20" t="s">
        <v>16</v>
      </c>
      <c r="C2545" s="20" t="s">
        <v>7</v>
      </c>
      <c r="D2545" s="20" t="s">
        <v>8</v>
      </c>
      <c r="E2545" s="22">
        <v>248</v>
      </c>
      <c r="F2545" s="22">
        <v>4</v>
      </c>
      <c r="G2545" s="22">
        <v>10</v>
      </c>
      <c r="H2545" s="22"/>
      <c r="I2545" s="23" t="s">
        <v>33</v>
      </c>
      <c r="J2545" s="23"/>
      <c r="K2545" s="22"/>
      <c r="L2545" s="22"/>
      <c r="M2545" s="23"/>
      <c r="N2545" s="23"/>
      <c r="O2545" s="26" t="s">
        <v>5373</v>
      </c>
      <c r="P2545" s="26"/>
      <c r="Q2545" s="22">
        <v>125</v>
      </c>
      <c r="R2545" s="24">
        <v>45862</v>
      </c>
      <c r="S2545" s="24">
        <v>45867</v>
      </c>
      <c r="T2545" s="24"/>
      <c r="U2545" s="24"/>
      <c r="V2545" s="24">
        <v>45867</v>
      </c>
      <c r="W2545" s="22" t="s">
        <v>31</v>
      </c>
      <c r="X2545" s="4" t="str">
        <f>IF(Tabela2[[#This Row],[sigla]]="","",VLOOKUP(Tabela2[[#This Row],[sigla]],créditos_base!B:C,2,0))</f>
        <v>SILVIA OTOFUJI/ARQUIVO DA EDITORA</v>
      </c>
      <c r="Y2545" s="23" t="s">
        <v>1139</v>
      </c>
      <c r="Z2545" s="23" t="str">
        <f>Tabela2[[#This Row],[ilustrador]]</f>
        <v>SILVIA OTOFUJI/ARQUIVO DA EDITORA</v>
      </c>
      <c r="AA2545" s="22">
        <v>13</v>
      </c>
      <c r="AB2545" s="20" t="s">
        <v>3532</v>
      </c>
      <c r="AC2545" s="20" t="s">
        <v>36</v>
      </c>
      <c r="AD2545" s="4" t="str">
        <f>"Pitanguá"</f>
        <v>Pitanguá</v>
      </c>
      <c r="AE2545" s="14" t="str">
        <f>"Matemática"</f>
        <v>Matemática</v>
      </c>
      <c r="AF2545" s="14"/>
    </row>
    <row r="2546" spans="1:32" ht="28.8" x14ac:dyDescent="0.3">
      <c r="A2546" s="23" t="s">
        <v>5374</v>
      </c>
      <c r="B2546" s="20" t="s">
        <v>16</v>
      </c>
      <c r="C2546" s="20" t="s">
        <v>7</v>
      </c>
      <c r="D2546" s="20" t="s">
        <v>8</v>
      </c>
      <c r="E2546" s="22">
        <v>248</v>
      </c>
      <c r="F2546" s="22">
        <v>4</v>
      </c>
      <c r="G2546" s="22">
        <v>10</v>
      </c>
      <c r="H2546" s="22"/>
      <c r="I2546" s="23" t="s">
        <v>33</v>
      </c>
      <c r="J2546" s="23"/>
      <c r="K2546" s="22"/>
      <c r="L2546" s="22"/>
      <c r="M2546" s="23"/>
      <c r="N2546" s="23"/>
      <c r="O2546" s="26" t="s">
        <v>5375</v>
      </c>
      <c r="P2546" s="26"/>
      <c r="Q2546" s="22">
        <v>125</v>
      </c>
      <c r="R2546" s="24">
        <v>45862</v>
      </c>
      <c r="S2546" s="24">
        <v>45867</v>
      </c>
      <c r="T2546" s="24"/>
      <c r="U2546" s="24"/>
      <c r="V2546" s="24">
        <v>45867</v>
      </c>
      <c r="W2546" s="22" t="s">
        <v>31</v>
      </c>
      <c r="X2546" s="4" t="str">
        <f>IF(Tabela2[[#This Row],[sigla]]="","",VLOOKUP(Tabela2[[#This Row],[sigla]],créditos_base!B:C,2,0))</f>
        <v>SILVIA OTOFUJI/ARQUIVO DA EDITORA</v>
      </c>
      <c r="Y2546" s="23" t="s">
        <v>1139</v>
      </c>
      <c r="Z2546" s="23" t="str">
        <f>Tabela2[[#This Row],[ilustrador]]</f>
        <v>SILVIA OTOFUJI/ARQUIVO DA EDITORA</v>
      </c>
      <c r="AA2546" s="22">
        <v>13</v>
      </c>
      <c r="AB2546" s="20" t="s">
        <v>3532</v>
      </c>
      <c r="AC2546" s="20" t="s">
        <v>36</v>
      </c>
      <c r="AD2546" s="4" t="str">
        <f>"Pitanguá"</f>
        <v>Pitanguá</v>
      </c>
      <c r="AE2546" s="14" t="str">
        <f>"Matemática"</f>
        <v>Matemática</v>
      </c>
      <c r="AF2546" s="14"/>
    </row>
    <row r="2547" spans="1:32" ht="86.4" x14ac:dyDescent="0.3">
      <c r="A2547" s="23" t="s">
        <v>2673</v>
      </c>
      <c r="B2547" s="20" t="s">
        <v>16</v>
      </c>
      <c r="C2547" s="20" t="s">
        <v>89</v>
      </c>
      <c r="D2547" s="20" t="s">
        <v>8</v>
      </c>
      <c r="E2547" s="22">
        <v>221</v>
      </c>
      <c r="F2547" s="22">
        <v>1</v>
      </c>
      <c r="G2547" s="22">
        <v>10</v>
      </c>
      <c r="H2547" s="22"/>
      <c r="I2547" s="23" t="s">
        <v>90</v>
      </c>
      <c r="J2547" s="23"/>
      <c r="K2547" s="22"/>
      <c r="L2547" s="22"/>
      <c r="M2547" s="23"/>
      <c r="N2547" s="23"/>
      <c r="O2547" s="26" t="s">
        <v>2674</v>
      </c>
      <c r="P2547" s="26"/>
      <c r="Q2547" s="22">
        <v>37</v>
      </c>
      <c r="R2547" s="24">
        <v>45775</v>
      </c>
      <c r="S2547" s="24">
        <v>45776</v>
      </c>
      <c r="T2547" s="24"/>
      <c r="U2547" s="24"/>
      <c r="V2547" s="24">
        <v>45779</v>
      </c>
      <c r="W2547" s="22" t="s">
        <v>2675</v>
      </c>
      <c r="X2547" s="4" t="str">
        <f>IF(Tabela2[[#This Row],[sigla]]="","",VLOOKUP(Tabela2[[#This Row],[sigla]],créditos_base!B:C,2,0))</f>
        <v>INGRIDHI BORGES/ARQUIVO DA EDITORA</v>
      </c>
      <c r="Y2547" s="23" t="s">
        <v>243</v>
      </c>
      <c r="Z2547" s="23" t="str">
        <f>Tabela2[[#This Row],[ilustrador]]</f>
        <v>INGRIDHI BORGES/ARQUIVO DA EDITORA</v>
      </c>
      <c r="AA2547" s="22">
        <v>7</v>
      </c>
      <c r="AB2547" s="20" t="s">
        <v>2058</v>
      </c>
      <c r="AC2547" s="20" t="s">
        <v>36</v>
      </c>
      <c r="AD2547" s="4" t="str">
        <f>"Pitanguá"</f>
        <v>Pitanguá</v>
      </c>
      <c r="AE2547" s="14" t="str">
        <f>"Matemática"</f>
        <v>Matemática</v>
      </c>
      <c r="AF2547" s="14"/>
    </row>
    <row r="2548" spans="1:32" ht="86.4" x14ac:dyDescent="0.3">
      <c r="A2548" s="23" t="s">
        <v>2800</v>
      </c>
      <c r="B2548" s="20" t="s">
        <v>16</v>
      </c>
      <c r="C2548" s="20" t="s">
        <v>7</v>
      </c>
      <c r="D2548" s="20" t="s">
        <v>8</v>
      </c>
      <c r="E2548" s="22">
        <v>220</v>
      </c>
      <c r="F2548" s="22">
        <v>3</v>
      </c>
      <c r="G2548" s="22">
        <v>10</v>
      </c>
      <c r="H2548" s="22"/>
      <c r="I2548" s="23" t="s">
        <v>9</v>
      </c>
      <c r="J2548" s="23"/>
      <c r="K2548" s="22"/>
      <c r="L2548" s="22"/>
      <c r="M2548" s="23"/>
      <c r="N2548" s="23"/>
      <c r="O2548" s="26" t="s">
        <v>2801</v>
      </c>
      <c r="P2548" s="26"/>
      <c r="Q2548" s="22"/>
      <c r="R2548" s="24"/>
      <c r="S2548" s="24"/>
      <c r="T2548" s="24"/>
      <c r="U2548" s="24"/>
      <c r="V2548" s="24"/>
      <c r="W2548" s="22" t="s">
        <v>460</v>
      </c>
      <c r="X2548" s="4" t="str">
        <f>IF(Tabela2[[#This Row],[sigla]]="","",VLOOKUP(Tabela2[[#This Row],[sigla]],créditos_base!B:C,2,0))</f>
        <v>CLAUDIA SOUZA/ARQUIVO DA EDITORA</v>
      </c>
      <c r="Y2548" s="23"/>
      <c r="Z2548" s="23" t="str">
        <f>Tabela2[[#This Row],[ilustrador]]</f>
        <v>CLAUDIA SOUZA/ARQUIVO DA EDITORA</v>
      </c>
      <c r="AA2548" s="22"/>
      <c r="AB2548" s="20"/>
      <c r="AD2548" s="4" t="str">
        <f>"Pitanguá"</f>
        <v>Pitanguá</v>
      </c>
      <c r="AE2548" s="14" t="str">
        <f>"Matemática"</f>
        <v>Matemática</v>
      </c>
      <c r="AF2548" s="14"/>
    </row>
    <row r="2549" spans="1:32" ht="28.8" x14ac:dyDescent="0.3">
      <c r="A2549" s="23" t="s">
        <v>5376</v>
      </c>
      <c r="B2549" s="20" t="s">
        <v>16</v>
      </c>
      <c r="C2549" s="20" t="s">
        <v>7</v>
      </c>
      <c r="D2549" s="20" t="s">
        <v>8</v>
      </c>
      <c r="E2549" s="22">
        <v>248</v>
      </c>
      <c r="F2549" s="22">
        <v>4</v>
      </c>
      <c r="G2549" s="22">
        <v>10</v>
      </c>
      <c r="H2549" s="22"/>
      <c r="I2549" s="23" t="s">
        <v>33</v>
      </c>
      <c r="J2549" s="23"/>
      <c r="K2549" s="22"/>
      <c r="L2549" s="22"/>
      <c r="M2549" s="23"/>
      <c r="N2549" s="23"/>
      <c r="O2549" s="26" t="s">
        <v>5377</v>
      </c>
      <c r="P2549" s="26"/>
      <c r="Q2549" s="22">
        <v>125</v>
      </c>
      <c r="R2549" s="24">
        <v>45862</v>
      </c>
      <c r="S2549" s="24">
        <v>45867</v>
      </c>
      <c r="T2549" s="24"/>
      <c r="U2549" s="24"/>
      <c r="V2549" s="24">
        <v>45867</v>
      </c>
      <c r="W2549" s="22" t="s">
        <v>31</v>
      </c>
      <c r="X2549" s="4" t="str">
        <f>IF(Tabela2[[#This Row],[sigla]]="","",VLOOKUP(Tabela2[[#This Row],[sigla]],créditos_base!B:C,2,0))</f>
        <v>SILVIA OTOFUJI/ARQUIVO DA EDITORA</v>
      </c>
      <c r="Y2549" s="23" t="s">
        <v>1139</v>
      </c>
      <c r="Z2549" s="23" t="str">
        <f>Tabela2[[#This Row],[ilustrador]]</f>
        <v>SILVIA OTOFUJI/ARQUIVO DA EDITORA</v>
      </c>
      <c r="AA2549" s="22">
        <v>13</v>
      </c>
      <c r="AB2549" s="20" t="s">
        <v>3532</v>
      </c>
      <c r="AC2549" s="20" t="s">
        <v>36</v>
      </c>
      <c r="AD2549" s="4" t="str">
        <f>"Pitanguá"</f>
        <v>Pitanguá</v>
      </c>
      <c r="AE2549" s="14" t="str">
        <f>"Matemática"</f>
        <v>Matemática</v>
      </c>
      <c r="AF2549" s="14"/>
    </row>
    <row r="2550" spans="1:32" x14ac:dyDescent="0.3">
      <c r="A2550" s="23" t="s">
        <v>2692</v>
      </c>
      <c r="B2550" s="20" t="s">
        <v>16</v>
      </c>
      <c r="C2550" s="20" t="s">
        <v>89</v>
      </c>
      <c r="D2550" s="20" t="s">
        <v>8</v>
      </c>
      <c r="E2550" s="22">
        <v>232</v>
      </c>
      <c r="F2550" s="22">
        <v>1</v>
      </c>
      <c r="G2550" s="22">
        <v>10</v>
      </c>
      <c r="H2550" s="22"/>
      <c r="I2550" s="23" t="s">
        <v>90</v>
      </c>
      <c r="J2550" s="23"/>
      <c r="K2550" s="22"/>
      <c r="L2550" s="22"/>
      <c r="M2550" s="23"/>
      <c r="N2550" s="23"/>
      <c r="O2550" s="26" t="s">
        <v>2693</v>
      </c>
      <c r="P2550" s="26"/>
      <c r="Q2550" s="22">
        <v>37</v>
      </c>
      <c r="R2550" s="24">
        <v>45775</v>
      </c>
      <c r="S2550" s="24">
        <v>45776</v>
      </c>
      <c r="T2550" s="24"/>
      <c r="U2550" s="24"/>
      <c r="V2550" s="24">
        <v>45779</v>
      </c>
      <c r="W2550" s="22" t="s">
        <v>2675</v>
      </c>
      <c r="X2550" s="4" t="str">
        <f>IF(Tabela2[[#This Row],[sigla]]="","",VLOOKUP(Tabela2[[#This Row],[sigla]],créditos_base!B:C,2,0))</f>
        <v>INGRIDHI BORGES/ARQUIVO DA EDITORA</v>
      </c>
      <c r="Y2550" s="23" t="s">
        <v>243</v>
      </c>
      <c r="Z2550" s="23" t="str">
        <f>Tabela2[[#This Row],[ilustrador]]</f>
        <v>INGRIDHI BORGES/ARQUIVO DA EDITORA</v>
      </c>
      <c r="AA2550" s="22">
        <v>13</v>
      </c>
      <c r="AB2550" s="20" t="s">
        <v>2058</v>
      </c>
      <c r="AC2550" s="20" t="s">
        <v>36</v>
      </c>
      <c r="AD2550" s="4" t="str">
        <f>"Pitanguá"</f>
        <v>Pitanguá</v>
      </c>
      <c r="AE2550" s="14" t="str">
        <f>"Matemática"</f>
        <v>Matemática</v>
      </c>
      <c r="AF2550" s="14"/>
    </row>
    <row r="2551" spans="1:32" x14ac:dyDescent="0.3">
      <c r="A2551" s="23" t="s">
        <v>5378</v>
      </c>
      <c r="B2551" s="20" t="s">
        <v>16</v>
      </c>
      <c r="C2551" s="20" t="s">
        <v>7</v>
      </c>
      <c r="D2551" s="20" t="s">
        <v>8</v>
      </c>
      <c r="E2551" s="22">
        <v>248</v>
      </c>
      <c r="F2551" s="22">
        <v>4</v>
      </c>
      <c r="G2551" s="22">
        <v>10</v>
      </c>
      <c r="H2551" s="22"/>
      <c r="I2551" s="23" t="s">
        <v>33</v>
      </c>
      <c r="J2551" s="23"/>
      <c r="K2551" s="22"/>
      <c r="L2551" s="22"/>
      <c r="M2551" s="23"/>
      <c r="N2551" s="23"/>
      <c r="O2551" s="26" t="s">
        <v>5379</v>
      </c>
      <c r="P2551" s="26"/>
      <c r="Q2551" s="22">
        <v>125</v>
      </c>
      <c r="R2551" s="24">
        <v>45862</v>
      </c>
      <c r="S2551" s="24">
        <v>45867</v>
      </c>
      <c r="T2551" s="24"/>
      <c r="U2551" s="24"/>
      <c r="V2551" s="24">
        <v>45867</v>
      </c>
      <c r="W2551" s="22" t="s">
        <v>31</v>
      </c>
      <c r="X2551" s="4" t="str">
        <f>IF(Tabela2[[#This Row],[sigla]]="","",VLOOKUP(Tabela2[[#This Row],[sigla]],créditos_base!B:C,2,0))</f>
        <v>SILVIA OTOFUJI/ARQUIVO DA EDITORA</v>
      </c>
      <c r="Y2551" s="23" t="s">
        <v>1139</v>
      </c>
      <c r="Z2551" s="23" t="str">
        <f>Tabela2[[#This Row],[ilustrador]]</f>
        <v>SILVIA OTOFUJI/ARQUIVO DA EDITORA</v>
      </c>
      <c r="AA2551" s="22">
        <v>13</v>
      </c>
      <c r="AB2551" s="20" t="s">
        <v>3532</v>
      </c>
      <c r="AC2551" s="20" t="s">
        <v>36</v>
      </c>
      <c r="AD2551" s="4" t="str">
        <f>"Pitanguá"</f>
        <v>Pitanguá</v>
      </c>
      <c r="AE2551" s="14" t="str">
        <f>"Matemática"</f>
        <v>Matemática</v>
      </c>
      <c r="AF2551" s="14"/>
    </row>
    <row r="2552" spans="1:32" ht="28.8" x14ac:dyDescent="0.3">
      <c r="A2552" s="23" t="s">
        <v>2694</v>
      </c>
      <c r="B2552" s="20" t="s">
        <v>16</v>
      </c>
      <c r="C2552" s="20" t="s">
        <v>89</v>
      </c>
      <c r="D2552" s="20" t="s">
        <v>8</v>
      </c>
      <c r="E2552" s="22">
        <v>232</v>
      </c>
      <c r="F2552" s="22">
        <v>1</v>
      </c>
      <c r="G2552" s="22">
        <v>10</v>
      </c>
      <c r="H2552" s="22"/>
      <c r="I2552" s="23" t="s">
        <v>90</v>
      </c>
      <c r="J2552" s="23"/>
      <c r="K2552" s="22"/>
      <c r="L2552" s="22"/>
      <c r="M2552" s="23"/>
      <c r="N2552" s="23"/>
      <c r="O2552" s="26" t="s">
        <v>2695</v>
      </c>
      <c r="P2552" s="26"/>
      <c r="Q2552" s="22">
        <v>37</v>
      </c>
      <c r="R2552" s="24">
        <v>45775</v>
      </c>
      <c r="S2552" s="24">
        <v>45776</v>
      </c>
      <c r="T2552" s="24"/>
      <c r="U2552" s="24"/>
      <c r="V2552" s="24">
        <v>45779</v>
      </c>
      <c r="W2552" s="22" t="s">
        <v>2675</v>
      </c>
      <c r="X2552" s="4" t="str">
        <f>IF(Tabela2[[#This Row],[sigla]]="","",VLOOKUP(Tabela2[[#This Row],[sigla]],créditos_base!B:C,2,0))</f>
        <v>INGRIDHI BORGES/ARQUIVO DA EDITORA</v>
      </c>
      <c r="Y2552" s="23" t="s">
        <v>243</v>
      </c>
      <c r="Z2552" s="23" t="str">
        <f>Tabela2[[#This Row],[ilustrador]]</f>
        <v>INGRIDHI BORGES/ARQUIVO DA EDITORA</v>
      </c>
      <c r="AA2552" s="22">
        <v>13</v>
      </c>
      <c r="AB2552" s="20" t="s">
        <v>2058</v>
      </c>
      <c r="AC2552" s="20" t="s">
        <v>36</v>
      </c>
      <c r="AD2552" s="4" t="str">
        <f>"Pitanguá"</f>
        <v>Pitanguá</v>
      </c>
      <c r="AE2552" s="14" t="str">
        <f>"Matemática"</f>
        <v>Matemática</v>
      </c>
      <c r="AF2552" s="14"/>
    </row>
    <row r="2553" spans="1:32" x14ac:dyDescent="0.3">
      <c r="A2553" s="23" t="s">
        <v>2802</v>
      </c>
      <c r="B2553" s="20" t="s">
        <v>16</v>
      </c>
      <c r="C2553" s="20" t="s">
        <v>7</v>
      </c>
      <c r="D2553" s="20" t="s">
        <v>8</v>
      </c>
      <c r="E2553" s="22">
        <v>220</v>
      </c>
      <c r="F2553" s="22">
        <v>3</v>
      </c>
      <c r="G2553" s="22">
        <v>10</v>
      </c>
      <c r="H2553" s="22"/>
      <c r="I2553" s="23" t="s">
        <v>9</v>
      </c>
      <c r="J2553" s="23"/>
      <c r="K2553" s="22"/>
      <c r="L2553" s="22"/>
      <c r="M2553" s="23"/>
      <c r="N2553" s="23"/>
      <c r="O2553" s="26" t="s">
        <v>2803</v>
      </c>
      <c r="P2553" s="26"/>
      <c r="Q2553" s="22"/>
      <c r="R2553" s="24"/>
      <c r="S2553" s="24"/>
      <c r="T2553" s="24"/>
      <c r="U2553" s="24"/>
      <c r="V2553" s="24"/>
      <c r="W2553" s="22" t="s">
        <v>151</v>
      </c>
      <c r="X2553" s="4" t="str">
        <f>IF(Tabela2[[#This Row],[sigla]]="","",VLOOKUP(Tabela2[[#This Row],[sigla]],créditos_base!B:C,2,0))</f>
        <v>ROGÉRIO CASAGRANDE/ARQUIVO DA EDITORA</v>
      </c>
      <c r="Y2553" s="23"/>
      <c r="Z2553" s="23" t="str">
        <f>Tabela2[[#This Row],[ilustrador]]</f>
        <v>ROGÉRIO CASAGRANDE/ARQUIVO DA EDITORA</v>
      </c>
      <c r="AA2553" s="22"/>
      <c r="AB2553" s="20"/>
      <c r="AD2553" s="4" t="str">
        <f>"Pitanguá"</f>
        <v>Pitanguá</v>
      </c>
      <c r="AE2553" s="14" t="str">
        <f>"Matemática"</f>
        <v>Matemática</v>
      </c>
      <c r="AF2553" s="14"/>
    </row>
    <row r="2554" spans="1:32" ht="57.6" x14ac:dyDescent="0.3">
      <c r="A2554" s="23" t="s">
        <v>5380</v>
      </c>
      <c r="B2554" s="20" t="s">
        <v>16</v>
      </c>
      <c r="C2554" s="20" t="s">
        <v>7</v>
      </c>
      <c r="D2554" s="20" t="s">
        <v>8</v>
      </c>
      <c r="E2554" s="22">
        <v>248</v>
      </c>
      <c r="F2554" s="22">
        <v>4</v>
      </c>
      <c r="G2554" s="22">
        <v>10</v>
      </c>
      <c r="H2554" s="22"/>
      <c r="I2554" s="23" t="s">
        <v>33</v>
      </c>
      <c r="J2554" s="23"/>
      <c r="K2554" s="22"/>
      <c r="L2554" s="22"/>
      <c r="M2554" s="23"/>
      <c r="N2554" s="23"/>
      <c r="O2554" s="26" t="s">
        <v>5381</v>
      </c>
      <c r="P2554" s="26"/>
      <c r="Q2554" s="22">
        <v>125</v>
      </c>
      <c r="R2554" s="24">
        <v>45862</v>
      </c>
      <c r="S2554" s="24">
        <v>45867</v>
      </c>
      <c r="T2554" s="24"/>
      <c r="U2554" s="24"/>
      <c r="V2554" s="24">
        <v>45867</v>
      </c>
      <c r="W2554" s="22" t="s">
        <v>31</v>
      </c>
      <c r="X2554" s="4" t="str">
        <f>IF(Tabela2[[#This Row],[sigla]]="","",VLOOKUP(Tabela2[[#This Row],[sigla]],créditos_base!B:C,2,0))</f>
        <v>SILVIA OTOFUJI/ARQUIVO DA EDITORA</v>
      </c>
      <c r="Y2554" s="23" t="s">
        <v>1139</v>
      </c>
      <c r="Z2554" s="23" t="str">
        <f>Tabela2[[#This Row],[ilustrador]]</f>
        <v>SILVIA OTOFUJI/ARQUIVO DA EDITORA</v>
      </c>
      <c r="AA2554" s="22">
        <v>13</v>
      </c>
      <c r="AB2554" s="20" t="s">
        <v>3532</v>
      </c>
      <c r="AC2554" s="20" t="s">
        <v>36</v>
      </c>
      <c r="AD2554" s="4" t="str">
        <f>"Pitanguá"</f>
        <v>Pitanguá</v>
      </c>
      <c r="AE2554" s="14" t="str">
        <f>"Matemática"</f>
        <v>Matemática</v>
      </c>
      <c r="AF2554" s="14"/>
    </row>
    <row r="2555" spans="1:32" ht="57.6" x14ac:dyDescent="0.3">
      <c r="A2555" s="23" t="s">
        <v>2686</v>
      </c>
      <c r="B2555" s="20" t="s">
        <v>2687</v>
      </c>
      <c r="C2555" s="20" t="s">
        <v>7</v>
      </c>
      <c r="D2555" s="20" t="s">
        <v>8</v>
      </c>
      <c r="E2555" s="22">
        <v>228</v>
      </c>
      <c r="F2555" s="22">
        <v>1</v>
      </c>
      <c r="G2555" s="22">
        <v>10</v>
      </c>
      <c r="H2555" s="22"/>
      <c r="I2555" s="23" t="s">
        <v>90</v>
      </c>
      <c r="J2555" s="23"/>
      <c r="K2555" s="22"/>
      <c r="L2555" s="22"/>
      <c r="M2555" s="23"/>
      <c r="N2555" s="23"/>
      <c r="O2555" s="26" t="s">
        <v>2688</v>
      </c>
      <c r="P2555" s="26"/>
      <c r="Q2555" s="22">
        <v>37</v>
      </c>
      <c r="R2555" s="24">
        <v>45775</v>
      </c>
      <c r="S2555" s="24">
        <v>45776</v>
      </c>
      <c r="T2555" s="24"/>
      <c r="U2555" s="24"/>
      <c r="V2555" s="24">
        <v>45779</v>
      </c>
      <c r="W2555" s="22" t="s">
        <v>2675</v>
      </c>
      <c r="X2555" s="4" t="str">
        <f>IF(Tabela2[[#This Row],[sigla]]="","",VLOOKUP(Tabela2[[#This Row],[sigla]],créditos_base!B:C,2,0))</f>
        <v>INGRIDHI BORGES/ARQUIVO DA EDITORA</v>
      </c>
      <c r="Y2555" s="23" t="s">
        <v>243</v>
      </c>
      <c r="Z2555" s="23" t="str">
        <f>Tabela2[[#This Row],[ilustrador]]</f>
        <v>INGRIDHI BORGES/ARQUIVO DA EDITORA</v>
      </c>
      <c r="AA2555" s="22">
        <v>7</v>
      </c>
      <c r="AB2555" s="20" t="s">
        <v>2058</v>
      </c>
      <c r="AC2555" s="20" t="s">
        <v>36</v>
      </c>
      <c r="AD2555" s="4" t="str">
        <f>"Pitanguá"</f>
        <v>Pitanguá</v>
      </c>
      <c r="AE2555" s="14" t="str">
        <f>"Matemática"</f>
        <v>Matemática</v>
      </c>
      <c r="AF2555" s="14"/>
    </row>
    <row r="2556" spans="1:32" ht="72" x14ac:dyDescent="0.3">
      <c r="A2556" s="23" t="s">
        <v>2804</v>
      </c>
      <c r="B2556" s="20" t="s">
        <v>16</v>
      </c>
      <c r="C2556" s="20" t="s">
        <v>89</v>
      </c>
      <c r="D2556" s="20" t="s">
        <v>8</v>
      </c>
      <c r="E2556" s="22">
        <v>220</v>
      </c>
      <c r="F2556" s="22">
        <v>3</v>
      </c>
      <c r="G2556" s="22">
        <v>10</v>
      </c>
      <c r="H2556" s="22"/>
      <c r="I2556" s="23" t="s">
        <v>9</v>
      </c>
      <c r="J2556" s="23"/>
      <c r="K2556" s="22"/>
      <c r="L2556" s="22"/>
      <c r="M2556" s="23"/>
      <c r="N2556" s="23"/>
      <c r="O2556" s="26" t="s">
        <v>2805</v>
      </c>
      <c r="P2556" s="26"/>
      <c r="Q2556" s="22"/>
      <c r="R2556" s="24"/>
      <c r="S2556" s="24"/>
      <c r="T2556" s="24"/>
      <c r="U2556" s="24"/>
      <c r="V2556" s="24"/>
      <c r="W2556" s="22" t="s">
        <v>332</v>
      </c>
      <c r="X2556" s="4" t="str">
        <f>IF(Tabela2[[#This Row],[sigla]]="","",VLOOKUP(Tabela2[[#This Row],[sigla]],créditos_base!B:C,2,0))</f>
        <v>CYNTHIA SEKIGUCHI/ARQUIVO DA EDITORA</v>
      </c>
      <c r="Y2556" s="23"/>
      <c r="Z2556" s="23" t="str">
        <f>Tabela2[[#This Row],[ilustrador]]</f>
        <v>CYNTHIA SEKIGUCHI/ARQUIVO DA EDITORA</v>
      </c>
      <c r="AA2556" s="22"/>
      <c r="AB2556" s="20"/>
      <c r="AD2556" s="4" t="str">
        <f>"Pitanguá"</f>
        <v>Pitanguá</v>
      </c>
      <c r="AE2556" s="14" t="str">
        <f>"Matemática"</f>
        <v>Matemática</v>
      </c>
      <c r="AF2556" s="14"/>
    </row>
    <row r="2557" spans="1:32" x14ac:dyDescent="0.3">
      <c r="A2557" s="23" t="s">
        <v>2806</v>
      </c>
      <c r="B2557" s="20" t="s">
        <v>16</v>
      </c>
      <c r="C2557" s="20" t="s">
        <v>7</v>
      </c>
      <c r="D2557" s="20" t="s">
        <v>8</v>
      </c>
      <c r="E2557" s="22">
        <v>220</v>
      </c>
      <c r="F2557" s="22">
        <v>3</v>
      </c>
      <c r="G2557" s="22">
        <v>10</v>
      </c>
      <c r="H2557" s="22"/>
      <c r="I2557" s="23" t="s">
        <v>33</v>
      </c>
      <c r="J2557" s="23"/>
      <c r="K2557" s="22"/>
      <c r="L2557" s="22"/>
      <c r="M2557" s="23"/>
      <c r="N2557" s="23"/>
      <c r="O2557" s="26" t="s">
        <v>2807</v>
      </c>
      <c r="P2557" s="26"/>
      <c r="Q2557" s="22">
        <v>38</v>
      </c>
      <c r="R2557" s="24">
        <v>45776</v>
      </c>
      <c r="S2557" s="24">
        <v>45776</v>
      </c>
      <c r="T2557" s="24"/>
      <c r="U2557" s="24"/>
      <c r="V2557" s="24">
        <v>45782</v>
      </c>
      <c r="W2557" s="22" t="s">
        <v>356</v>
      </c>
      <c r="X2557" s="4" t="str">
        <f>IF(Tabela2[[#This Row],[sigla]]="","",VLOOKUP(Tabela2[[#This Row],[sigla]],créditos_base!B:C,2,0))</f>
        <v>CAMILA CARMONA/ARQUIVO DA EDITORA</v>
      </c>
      <c r="Y2557" s="23" t="s">
        <v>2713</v>
      </c>
      <c r="Z2557" s="23" t="s">
        <v>482</v>
      </c>
      <c r="AA2557" s="22">
        <v>13</v>
      </c>
      <c r="AB2557" s="20" t="s">
        <v>244</v>
      </c>
      <c r="AC2557" s="20" t="s">
        <v>36</v>
      </c>
      <c r="AD2557" s="4" t="str">
        <f>"Pitanguá"</f>
        <v>Pitanguá</v>
      </c>
      <c r="AE2557" s="14" t="str">
        <f>"Matemática"</f>
        <v>Matemática</v>
      </c>
      <c r="AF2557" s="14"/>
    </row>
    <row r="2558" spans="1:32" ht="57.6" x14ac:dyDescent="0.3">
      <c r="A2558" s="23" t="s">
        <v>5294</v>
      </c>
      <c r="B2558" s="20" t="s">
        <v>16</v>
      </c>
      <c r="C2558" s="20" t="s">
        <v>89</v>
      </c>
      <c r="D2558" s="20" t="s">
        <v>8</v>
      </c>
      <c r="E2558" s="22">
        <v>225</v>
      </c>
      <c r="F2558" s="22">
        <v>1</v>
      </c>
      <c r="G2558" s="22">
        <v>10</v>
      </c>
      <c r="H2558" s="22"/>
      <c r="I2558" s="23" t="s">
        <v>90</v>
      </c>
      <c r="J2558" s="23"/>
      <c r="K2558" s="22"/>
      <c r="L2558" s="22"/>
      <c r="M2558" s="23"/>
      <c r="N2558" s="23"/>
      <c r="O2558" s="26" t="s">
        <v>5295</v>
      </c>
      <c r="P2558" s="26"/>
      <c r="Q2558" s="22">
        <v>117</v>
      </c>
      <c r="R2558" s="24">
        <v>45859</v>
      </c>
      <c r="S2558" s="24">
        <v>45859</v>
      </c>
      <c r="T2558" s="24"/>
      <c r="U2558" s="24"/>
      <c r="V2558" s="24">
        <v>45859</v>
      </c>
      <c r="W2558" s="22" t="s">
        <v>468</v>
      </c>
      <c r="X2558" s="4" t="str">
        <f>IF(Tabela2[[#This Row],[sigla]]="","",VLOOKUP(Tabela2[[#This Row],[sigla]],créditos_base!B:C,2,0))</f>
        <v>VER DOCUMENTO DE ILS. TÉCNICAS</v>
      </c>
      <c r="Y2558" s="23" t="s">
        <v>152</v>
      </c>
      <c r="Z2558" s="23" t="s">
        <v>5062</v>
      </c>
      <c r="AA2558" s="22">
        <v>13</v>
      </c>
      <c r="AB2558" s="20" t="s">
        <v>747</v>
      </c>
      <c r="AC2558" s="20" t="s">
        <v>36</v>
      </c>
      <c r="AD2558" s="4" t="str">
        <f>"Pitanguá"</f>
        <v>Pitanguá</v>
      </c>
      <c r="AE2558" s="14" t="str">
        <f>"Matemática"</f>
        <v>Matemática</v>
      </c>
      <c r="AF2558" s="14"/>
    </row>
    <row r="2559" spans="1:32" ht="100.8" x14ac:dyDescent="0.3">
      <c r="A2559" s="23" t="s">
        <v>2808</v>
      </c>
      <c r="B2559" s="20" t="s">
        <v>16</v>
      </c>
      <c r="C2559" s="20" t="s">
        <v>7</v>
      </c>
      <c r="D2559" s="20" t="s">
        <v>8</v>
      </c>
      <c r="E2559" s="22">
        <v>220</v>
      </c>
      <c r="F2559" s="22">
        <v>3</v>
      </c>
      <c r="G2559" s="22">
        <v>10</v>
      </c>
      <c r="H2559" s="22"/>
      <c r="I2559" s="23" t="s">
        <v>9</v>
      </c>
      <c r="J2559" s="23"/>
      <c r="K2559" s="22"/>
      <c r="L2559" s="22"/>
      <c r="M2559" s="23"/>
      <c r="N2559" s="23"/>
      <c r="O2559" s="26" t="s">
        <v>2809</v>
      </c>
      <c r="P2559" s="26"/>
      <c r="Q2559" s="22"/>
      <c r="R2559" s="24"/>
      <c r="S2559" s="24"/>
      <c r="T2559" s="24"/>
      <c r="U2559" s="24"/>
      <c r="V2559" s="24"/>
      <c r="W2559" s="22" t="s">
        <v>230</v>
      </c>
      <c r="X2559" s="4" t="str">
        <f>IF(Tabela2[[#This Row],[sigla]]="","",VLOOKUP(Tabela2[[#This Row],[sigla]],créditos_base!B:C,2,0))</f>
        <v>RAFAEL L. GAION/ARQUIVO DA EDITORA</v>
      </c>
      <c r="Y2559" s="23"/>
      <c r="Z2559" s="23" t="str">
        <f>Tabela2[[#This Row],[ilustrador]]</f>
        <v>RAFAEL L. GAION/ARQUIVO DA EDITORA</v>
      </c>
      <c r="AA2559" s="22"/>
      <c r="AB2559" s="20"/>
      <c r="AD2559" s="4" t="str">
        <f>"Pitanguá"</f>
        <v>Pitanguá</v>
      </c>
      <c r="AE2559" s="14" t="str">
        <f>"Matemática"</f>
        <v>Matemática</v>
      </c>
      <c r="AF2559" s="14"/>
    </row>
    <row r="2560" spans="1:32" x14ac:dyDescent="0.3">
      <c r="A2560" s="23" t="s">
        <v>5392</v>
      </c>
      <c r="B2560" s="20" t="s">
        <v>16</v>
      </c>
      <c r="C2560" s="20" t="s">
        <v>89</v>
      </c>
      <c r="D2560" s="20" t="s">
        <v>8</v>
      </c>
      <c r="E2560" s="22">
        <v>261</v>
      </c>
      <c r="F2560" s="22">
        <v>4</v>
      </c>
      <c r="G2560" s="22">
        <v>10</v>
      </c>
      <c r="H2560" s="22"/>
      <c r="I2560" s="23" t="s">
        <v>9</v>
      </c>
      <c r="J2560" s="23"/>
      <c r="K2560" s="22"/>
      <c r="L2560" s="22"/>
      <c r="M2560" s="23"/>
      <c r="N2560" s="23"/>
      <c r="O2560" s="26" t="s">
        <v>5393</v>
      </c>
      <c r="P2560" s="26"/>
      <c r="Q2560" s="22"/>
      <c r="R2560" s="24"/>
      <c r="S2560" s="24"/>
      <c r="T2560" s="24"/>
      <c r="U2560" s="24"/>
      <c r="V2560" s="24"/>
      <c r="W2560" s="22" t="s">
        <v>468</v>
      </c>
      <c r="X2560" s="4" t="str">
        <f>IF(Tabela2[[#This Row],[sigla]]="","",VLOOKUP(Tabela2[[#This Row],[sigla]],créditos_base!B:C,2,0))</f>
        <v>VER DOCUMENTO DE ILS. TÉCNICAS</v>
      </c>
      <c r="Y2560" s="23"/>
      <c r="Z2560" s="23" t="s">
        <v>1327</v>
      </c>
      <c r="AA2560" s="22"/>
      <c r="AB2560" s="20"/>
      <c r="AD2560" s="4" t="str">
        <f>"Pitanguá"</f>
        <v>Pitanguá</v>
      </c>
      <c r="AE2560" s="14" t="str">
        <f>"Matemática"</f>
        <v>Matemática</v>
      </c>
      <c r="AF2560" s="14"/>
    </row>
    <row r="2561" spans="1:32" x14ac:dyDescent="0.3">
      <c r="A2561" s="23" t="s">
        <v>5296</v>
      </c>
      <c r="B2561" s="20" t="s">
        <v>16</v>
      </c>
      <c r="C2561" s="20" t="s">
        <v>89</v>
      </c>
      <c r="D2561" s="20" t="s">
        <v>8</v>
      </c>
      <c r="E2561" s="22">
        <v>225</v>
      </c>
      <c r="F2561" s="22">
        <v>1</v>
      </c>
      <c r="G2561" s="22">
        <v>10</v>
      </c>
      <c r="H2561" s="22"/>
      <c r="I2561" s="23" t="s">
        <v>90</v>
      </c>
      <c r="J2561" s="23"/>
      <c r="K2561" s="22"/>
      <c r="L2561" s="22"/>
      <c r="M2561" s="23"/>
      <c r="N2561" s="23"/>
      <c r="O2561" s="26" t="s">
        <v>5297</v>
      </c>
      <c r="P2561" s="26"/>
      <c r="Q2561" s="22">
        <v>117</v>
      </c>
      <c r="R2561" s="24">
        <v>45859</v>
      </c>
      <c r="S2561" s="24">
        <v>45859</v>
      </c>
      <c r="T2561" s="24"/>
      <c r="U2561" s="24"/>
      <c r="V2561" s="24">
        <v>45859</v>
      </c>
      <c r="W2561" s="22" t="s">
        <v>468</v>
      </c>
      <c r="X2561" s="4" t="str">
        <f>IF(Tabela2[[#This Row],[sigla]]="","",VLOOKUP(Tabela2[[#This Row],[sigla]],créditos_base!B:C,2,0))</f>
        <v>VER DOCUMENTO DE ILS. TÉCNICAS</v>
      </c>
      <c r="Y2561" s="23" t="s">
        <v>152</v>
      </c>
      <c r="Z2561" s="23" t="s">
        <v>5062</v>
      </c>
      <c r="AA2561" s="22">
        <v>13</v>
      </c>
      <c r="AB2561" s="20" t="s">
        <v>747</v>
      </c>
      <c r="AC2561" s="20" t="s">
        <v>36</v>
      </c>
      <c r="AD2561" s="4" t="str">
        <f>"Pitanguá"</f>
        <v>Pitanguá</v>
      </c>
      <c r="AE2561" s="14" t="str">
        <f>"Matemática"</f>
        <v>Matemática</v>
      </c>
      <c r="AF2561" s="14"/>
    </row>
    <row r="2562" spans="1:32" x14ac:dyDescent="0.3">
      <c r="A2562" s="23" t="s">
        <v>2810</v>
      </c>
      <c r="B2562" s="20" t="s">
        <v>16</v>
      </c>
      <c r="C2562" s="20" t="s">
        <v>7</v>
      </c>
      <c r="D2562" s="20" t="s">
        <v>8</v>
      </c>
      <c r="E2562" s="22">
        <v>220</v>
      </c>
      <c r="F2562" s="22">
        <v>3</v>
      </c>
      <c r="G2562" s="22">
        <v>10</v>
      </c>
      <c r="H2562" s="22"/>
      <c r="I2562" s="23" t="s">
        <v>33</v>
      </c>
      <c r="J2562" s="23"/>
      <c r="K2562" s="22"/>
      <c r="L2562" s="22"/>
      <c r="M2562" s="23"/>
      <c r="N2562" s="23"/>
      <c r="O2562" s="26" t="s">
        <v>2811</v>
      </c>
      <c r="P2562" s="26"/>
      <c r="Q2562" s="22">
        <v>214</v>
      </c>
      <c r="R2562" s="24">
        <v>45930</v>
      </c>
      <c r="S2562" s="24">
        <v>45930</v>
      </c>
      <c r="T2562" s="24"/>
      <c r="U2562" s="24"/>
      <c r="V2562" s="24">
        <v>45930</v>
      </c>
      <c r="W2562" s="22" t="s">
        <v>151</v>
      </c>
      <c r="X2562" s="4" t="str">
        <f>IF(Tabela2[[#This Row],[sigla]]="","",VLOOKUP(Tabela2[[#This Row],[sigla]],créditos_base!B:C,2,0))</f>
        <v>ROGÉRIO CASAGRANDE/ARQUIVO DA EDITORA</v>
      </c>
      <c r="Y2562" s="23" t="s">
        <v>696</v>
      </c>
      <c r="Z2562" s="23" t="str">
        <f>Tabela2[[#This Row],[ilustrador]]</f>
        <v>ROGÉRIO CASAGRANDE/ARQUIVO DA EDITORA</v>
      </c>
      <c r="AA2562" s="22">
        <v>13</v>
      </c>
      <c r="AB2562" s="20" t="s">
        <v>41</v>
      </c>
      <c r="AD2562" s="4" t="str">
        <f>"Pitanguá"</f>
        <v>Pitanguá</v>
      </c>
      <c r="AE2562" s="14" t="str">
        <f>"Matemática"</f>
        <v>Matemática</v>
      </c>
      <c r="AF2562" s="14"/>
    </row>
    <row r="2563" spans="1:32" ht="43.2" x14ac:dyDescent="0.3">
      <c r="A2563" s="23" t="s">
        <v>5394</v>
      </c>
      <c r="B2563" s="20" t="s">
        <v>16</v>
      </c>
      <c r="C2563" s="20" t="s">
        <v>89</v>
      </c>
      <c r="D2563" s="20" t="s">
        <v>8</v>
      </c>
      <c r="E2563" s="22">
        <v>261</v>
      </c>
      <c r="F2563" s="22">
        <v>4</v>
      </c>
      <c r="G2563" s="22">
        <v>10</v>
      </c>
      <c r="H2563" s="22"/>
      <c r="I2563" s="23" t="s">
        <v>9</v>
      </c>
      <c r="J2563" s="23"/>
      <c r="K2563" s="22"/>
      <c r="L2563" s="22"/>
      <c r="M2563" s="23"/>
      <c r="N2563" s="23"/>
      <c r="O2563" s="26" t="s">
        <v>5395</v>
      </c>
      <c r="P2563" s="26"/>
      <c r="Q2563" s="22"/>
      <c r="R2563" s="24"/>
      <c r="S2563" s="24"/>
      <c r="T2563" s="24"/>
      <c r="U2563" s="24"/>
      <c r="V2563" s="24"/>
      <c r="W2563" s="22" t="s">
        <v>468</v>
      </c>
      <c r="X2563" s="4" t="str">
        <f>IF(Tabela2[[#This Row],[sigla]]="","",VLOOKUP(Tabela2[[#This Row],[sigla]],créditos_base!B:C,2,0))</f>
        <v>VER DOCUMENTO DE ILS. TÉCNICAS</v>
      </c>
      <c r="Y2563" s="23"/>
      <c r="Z2563" s="23" t="s">
        <v>1327</v>
      </c>
      <c r="AA2563" s="22"/>
      <c r="AB2563" s="20"/>
      <c r="AD2563" s="4" t="str">
        <f>"Pitanguá"</f>
        <v>Pitanguá</v>
      </c>
      <c r="AE2563" s="14" t="str">
        <f>"Matemática"</f>
        <v>Matemática</v>
      </c>
      <c r="AF2563" s="14"/>
    </row>
    <row r="2564" spans="1:32" ht="43.2" x14ac:dyDescent="0.3">
      <c r="A2564" s="23" t="s">
        <v>5298</v>
      </c>
      <c r="B2564" s="20" t="s">
        <v>16</v>
      </c>
      <c r="C2564" s="20" t="s">
        <v>89</v>
      </c>
      <c r="D2564" s="20" t="s">
        <v>8</v>
      </c>
      <c r="E2564" s="22">
        <v>234</v>
      </c>
      <c r="F2564" s="22">
        <v>1</v>
      </c>
      <c r="G2564" s="22">
        <v>10</v>
      </c>
      <c r="H2564" s="22"/>
      <c r="I2564" s="23" t="s">
        <v>90</v>
      </c>
      <c r="J2564" s="23"/>
      <c r="K2564" s="22"/>
      <c r="L2564" s="22"/>
      <c r="M2564" s="23"/>
      <c r="N2564" s="23"/>
      <c r="O2564" s="26" t="s">
        <v>5299</v>
      </c>
      <c r="P2564" s="26"/>
      <c r="Q2564" s="22">
        <v>117</v>
      </c>
      <c r="R2564" s="24">
        <v>45859</v>
      </c>
      <c r="S2564" s="24">
        <v>45859</v>
      </c>
      <c r="T2564" s="24"/>
      <c r="U2564" s="24"/>
      <c r="V2564" s="24">
        <v>45859</v>
      </c>
      <c r="W2564" s="22" t="s">
        <v>468</v>
      </c>
      <c r="X2564" s="4" t="str">
        <f>IF(Tabela2[[#This Row],[sigla]]="","",VLOOKUP(Tabela2[[#This Row],[sigla]],créditos_base!B:C,2,0))</f>
        <v>VER DOCUMENTO DE ILS. TÉCNICAS</v>
      </c>
      <c r="Y2564" s="23" t="s">
        <v>152</v>
      </c>
      <c r="Z2564" s="23" t="s">
        <v>5062</v>
      </c>
      <c r="AA2564" s="22">
        <v>13</v>
      </c>
      <c r="AB2564" s="20" t="s">
        <v>747</v>
      </c>
      <c r="AC2564" s="20" t="s">
        <v>36</v>
      </c>
      <c r="AD2564" s="4" t="str">
        <f>"Pitanguá"</f>
        <v>Pitanguá</v>
      </c>
      <c r="AE2564" s="14" t="str">
        <f>"Matemática"</f>
        <v>Matemática</v>
      </c>
      <c r="AF2564" s="14"/>
    </row>
    <row r="2565" spans="1:32" ht="43.2" x14ac:dyDescent="0.3">
      <c r="A2565" s="23" t="s">
        <v>2812</v>
      </c>
      <c r="B2565" s="20" t="s">
        <v>16</v>
      </c>
      <c r="C2565" s="20" t="s">
        <v>7</v>
      </c>
      <c r="D2565" s="20" t="s">
        <v>8</v>
      </c>
      <c r="E2565" s="22">
        <v>220</v>
      </c>
      <c r="F2565" s="22">
        <v>3</v>
      </c>
      <c r="G2565" s="22">
        <v>10</v>
      </c>
      <c r="H2565" s="22"/>
      <c r="I2565" s="23" t="s">
        <v>9</v>
      </c>
      <c r="J2565" s="23"/>
      <c r="K2565" s="22"/>
      <c r="L2565" s="22"/>
      <c r="M2565" s="23"/>
      <c r="N2565" s="23"/>
      <c r="O2565" s="26" t="s">
        <v>2813</v>
      </c>
      <c r="P2565" s="26"/>
      <c r="Q2565" s="22"/>
      <c r="R2565" s="24"/>
      <c r="S2565" s="24"/>
      <c r="T2565" s="24"/>
      <c r="U2565" s="24"/>
      <c r="V2565" s="24"/>
      <c r="W2565" s="22" t="s">
        <v>151</v>
      </c>
      <c r="X2565" s="4" t="str">
        <f>IF(Tabela2[[#This Row],[sigla]]="","",VLOOKUP(Tabela2[[#This Row],[sigla]],créditos_base!B:C,2,0))</f>
        <v>ROGÉRIO CASAGRANDE/ARQUIVO DA EDITORA</v>
      </c>
      <c r="Y2565" s="23"/>
      <c r="Z2565" s="23" t="str">
        <f>Tabela2[[#This Row],[ilustrador]]</f>
        <v>ROGÉRIO CASAGRANDE/ARQUIVO DA EDITORA</v>
      </c>
      <c r="AA2565" s="22"/>
      <c r="AB2565" s="20"/>
      <c r="AD2565" s="4" t="str">
        <f>"Pitanguá"</f>
        <v>Pitanguá</v>
      </c>
      <c r="AE2565" s="14" t="str">
        <f>"Matemática"</f>
        <v>Matemática</v>
      </c>
      <c r="AF2565" s="14"/>
    </row>
    <row r="2566" spans="1:32" ht="43.2" x14ac:dyDescent="0.3">
      <c r="A2566" s="23" t="s">
        <v>5300</v>
      </c>
      <c r="B2566" s="20" t="s">
        <v>16</v>
      </c>
      <c r="C2566" s="20" t="s">
        <v>89</v>
      </c>
      <c r="D2566" s="20" t="s">
        <v>8</v>
      </c>
      <c r="E2566" s="22">
        <v>234</v>
      </c>
      <c r="F2566" s="22">
        <v>1</v>
      </c>
      <c r="G2566" s="22">
        <v>10</v>
      </c>
      <c r="H2566" s="22"/>
      <c r="I2566" s="23" t="s">
        <v>90</v>
      </c>
      <c r="J2566" s="23"/>
      <c r="K2566" s="22"/>
      <c r="L2566" s="22"/>
      <c r="M2566" s="23"/>
      <c r="N2566" s="23"/>
      <c r="O2566" s="26" t="s">
        <v>5301</v>
      </c>
      <c r="P2566" s="26"/>
      <c r="Q2566" s="22">
        <v>117</v>
      </c>
      <c r="R2566" s="24">
        <v>45859</v>
      </c>
      <c r="S2566" s="24">
        <v>45859</v>
      </c>
      <c r="T2566" s="24"/>
      <c r="U2566" s="24"/>
      <c r="V2566" s="24">
        <v>45859</v>
      </c>
      <c r="W2566" s="22" t="s">
        <v>468</v>
      </c>
      <c r="X2566" s="4" t="str">
        <f>IF(Tabela2[[#This Row],[sigla]]="","",VLOOKUP(Tabela2[[#This Row],[sigla]],créditos_base!B:C,2,0))</f>
        <v>VER DOCUMENTO DE ILS. TÉCNICAS</v>
      </c>
      <c r="Y2566" s="23" t="s">
        <v>152</v>
      </c>
      <c r="Z2566" s="23" t="s">
        <v>5062</v>
      </c>
      <c r="AA2566" s="22">
        <v>13</v>
      </c>
      <c r="AB2566" s="20" t="s">
        <v>747</v>
      </c>
      <c r="AC2566" s="20" t="s">
        <v>36</v>
      </c>
      <c r="AD2566" s="4" t="str">
        <f>"Pitanguá"</f>
        <v>Pitanguá</v>
      </c>
      <c r="AE2566" s="14" t="str">
        <f>"Matemática"</f>
        <v>Matemática</v>
      </c>
      <c r="AF2566" s="14"/>
    </row>
    <row r="2567" spans="1:32" ht="43.2" x14ac:dyDescent="0.3">
      <c r="A2567" s="23" t="s">
        <v>2814</v>
      </c>
      <c r="B2567" s="20" t="s">
        <v>6</v>
      </c>
      <c r="C2567" s="20" t="s">
        <v>89</v>
      </c>
      <c r="D2567" s="20" t="s">
        <v>8</v>
      </c>
      <c r="E2567" s="22">
        <v>260</v>
      </c>
      <c r="F2567" s="22">
        <v>3</v>
      </c>
      <c r="G2567" s="22">
        <v>10</v>
      </c>
      <c r="H2567" s="22"/>
      <c r="I2567" s="23" t="s">
        <v>9</v>
      </c>
      <c r="J2567" s="23"/>
      <c r="K2567" s="22"/>
      <c r="L2567" s="22"/>
      <c r="M2567" s="23"/>
      <c r="N2567" s="23"/>
      <c r="O2567" s="26" t="s">
        <v>2815</v>
      </c>
      <c r="P2567" s="26" t="s">
        <v>11</v>
      </c>
      <c r="Q2567" s="22"/>
      <c r="R2567" s="24"/>
      <c r="S2567" s="24"/>
      <c r="T2567" s="24"/>
      <c r="U2567" s="24"/>
      <c r="V2567" s="24"/>
      <c r="W2567" s="22" t="s">
        <v>160</v>
      </c>
      <c r="X2567" s="4" t="str">
        <f>IF(Tabela2[[#This Row],[sigla]]="","",VLOOKUP(Tabela2[[#This Row],[sigla]],créditos_base!B:C,2,0))</f>
        <v>SERGIO LIMA/ARQUIVO DA EDITORA</v>
      </c>
      <c r="Y2567" s="23"/>
      <c r="Z2567" s="23" t="str">
        <f>Tabela2[[#This Row],[ilustrador]]</f>
        <v>SERGIO LIMA/ARQUIVO DA EDITORA</v>
      </c>
      <c r="AA2567" s="22"/>
      <c r="AB2567" s="20"/>
      <c r="AD2567" s="4" t="str">
        <f>"Pitanguá"</f>
        <v>Pitanguá</v>
      </c>
      <c r="AE2567" s="14" t="str">
        <f>"Matemática"</f>
        <v>Matemática</v>
      </c>
      <c r="AF2567" s="14"/>
    </row>
    <row r="2568" spans="1:32" ht="43.2" x14ac:dyDescent="0.3">
      <c r="A2568" s="23" t="s">
        <v>2816</v>
      </c>
      <c r="B2568" s="20" t="s">
        <v>16</v>
      </c>
      <c r="C2568" s="20" t="s">
        <v>7</v>
      </c>
      <c r="D2568" s="20" t="s">
        <v>8</v>
      </c>
      <c r="E2568" s="22">
        <v>221</v>
      </c>
      <c r="F2568" s="22">
        <v>3</v>
      </c>
      <c r="G2568" s="22">
        <v>10</v>
      </c>
      <c r="H2568" s="22"/>
      <c r="I2568" s="23" t="s">
        <v>33</v>
      </c>
      <c r="J2568" s="23"/>
      <c r="K2568" s="22"/>
      <c r="L2568" s="22"/>
      <c r="M2568" s="23"/>
      <c r="N2568" s="23"/>
      <c r="O2568" s="26" t="s">
        <v>2817</v>
      </c>
      <c r="P2568" s="26"/>
      <c r="Q2568" s="22">
        <v>138</v>
      </c>
      <c r="R2568" s="24">
        <v>45867</v>
      </c>
      <c r="S2568" s="24">
        <v>45867</v>
      </c>
      <c r="T2568" s="24"/>
      <c r="U2568" s="24"/>
      <c r="V2568" s="24">
        <v>45898</v>
      </c>
      <c r="W2568" s="22" t="s">
        <v>160</v>
      </c>
      <c r="X2568" s="4" t="str">
        <f>IF(Tabela2[[#This Row],[sigla]]="","",VLOOKUP(Tabela2[[#This Row],[sigla]],créditos_base!B:C,2,0))</f>
        <v>SERGIO LIMA/ARQUIVO DA EDITORA</v>
      </c>
      <c r="Y2568" s="23" t="s">
        <v>243</v>
      </c>
      <c r="Z2568" s="23" t="str">
        <f>Tabela2[[#This Row],[ilustrador]]</f>
        <v>SERGIO LIMA/ARQUIVO DA EDITORA</v>
      </c>
      <c r="AA2568" s="22">
        <v>13</v>
      </c>
      <c r="AB2568" s="20" t="s">
        <v>244</v>
      </c>
      <c r="AC2568" s="20" t="s">
        <v>36</v>
      </c>
      <c r="AD2568" s="4" t="str">
        <f>"Pitanguá"</f>
        <v>Pitanguá</v>
      </c>
      <c r="AE2568" s="14" t="str">
        <f>"Matemática"</f>
        <v>Matemática</v>
      </c>
      <c r="AF2568" s="14"/>
    </row>
    <row r="2569" spans="1:32" ht="43.2" x14ac:dyDescent="0.3">
      <c r="A2569" s="23" t="s">
        <v>4943</v>
      </c>
      <c r="B2569" s="20" t="s">
        <v>16</v>
      </c>
      <c r="C2569" s="20" t="s">
        <v>89</v>
      </c>
      <c r="D2569" s="20" t="s">
        <v>8</v>
      </c>
      <c r="E2569" s="22">
        <v>249</v>
      </c>
      <c r="F2569" s="22">
        <v>3</v>
      </c>
      <c r="G2569" s="22">
        <v>10</v>
      </c>
      <c r="H2569" s="22"/>
      <c r="I2569" s="23" t="s">
        <v>33</v>
      </c>
      <c r="J2569" s="23"/>
      <c r="K2569" s="22"/>
      <c r="L2569" s="22"/>
      <c r="M2569" s="23"/>
      <c r="N2569" s="23"/>
      <c r="O2569" s="26" t="s">
        <v>4944</v>
      </c>
      <c r="P2569" s="26"/>
      <c r="Q2569" s="22">
        <v>89</v>
      </c>
      <c r="R2569" s="24">
        <v>45839</v>
      </c>
      <c r="S2569" s="24">
        <v>45842</v>
      </c>
      <c r="T2569" s="24"/>
      <c r="U2569" s="24"/>
      <c r="V2569" s="24">
        <v>45842</v>
      </c>
      <c r="W2569" s="22" t="s">
        <v>151</v>
      </c>
      <c r="X2569" s="4" t="str">
        <f>IF(Tabela2[[#This Row],[sigla]]="","",VLOOKUP(Tabela2[[#This Row],[sigla]],créditos_base!B:C,2,0))</f>
        <v>ROGÉRIO CASAGRANDE/ARQUIVO DA EDITORA</v>
      </c>
      <c r="Y2569" s="23" t="s">
        <v>524</v>
      </c>
      <c r="Z2569" s="23" t="str">
        <f>Tabela2[[#This Row],[ilustrador]]</f>
        <v>ROGÉRIO CASAGRANDE/ARQUIVO DA EDITORA</v>
      </c>
      <c r="AA2569" s="22">
        <v>13</v>
      </c>
      <c r="AB2569" s="20" t="s">
        <v>2793</v>
      </c>
      <c r="AC2569" s="20" t="s">
        <v>36</v>
      </c>
      <c r="AD2569" s="4" t="str">
        <f>"Pitanguá"</f>
        <v>Pitanguá</v>
      </c>
      <c r="AE2569" s="14" t="str">
        <f>"Matemática"</f>
        <v>Matemática</v>
      </c>
      <c r="AF2569" s="14"/>
    </row>
    <row r="2570" spans="1:32" ht="115.2" x14ac:dyDescent="0.3">
      <c r="A2570" s="23" t="s">
        <v>4945</v>
      </c>
      <c r="B2570" s="20" t="s">
        <v>16</v>
      </c>
      <c r="C2570" s="20" t="s">
        <v>89</v>
      </c>
      <c r="D2570" s="20" t="s">
        <v>8</v>
      </c>
      <c r="E2570" s="22">
        <v>249</v>
      </c>
      <c r="F2570" s="22">
        <v>3</v>
      </c>
      <c r="G2570" s="22">
        <v>10</v>
      </c>
      <c r="H2570" s="22"/>
      <c r="I2570" s="23" t="s">
        <v>33</v>
      </c>
      <c r="J2570" s="23"/>
      <c r="K2570" s="22"/>
      <c r="L2570" s="22"/>
      <c r="M2570" s="23"/>
      <c r="N2570" s="23"/>
      <c r="O2570" s="26" t="s">
        <v>4946</v>
      </c>
      <c r="P2570" s="26"/>
      <c r="Q2570" s="22">
        <v>89</v>
      </c>
      <c r="R2570" s="24">
        <v>45839</v>
      </c>
      <c r="S2570" s="24">
        <v>45842</v>
      </c>
      <c r="T2570" s="24"/>
      <c r="U2570" s="24"/>
      <c r="V2570" s="24">
        <v>45842</v>
      </c>
      <c r="W2570" s="22" t="s">
        <v>151</v>
      </c>
      <c r="X2570" s="4" t="str">
        <f>IF(Tabela2[[#This Row],[sigla]]="","",VLOOKUP(Tabela2[[#This Row],[sigla]],créditos_base!B:C,2,0))</f>
        <v>ROGÉRIO CASAGRANDE/ARQUIVO DA EDITORA</v>
      </c>
      <c r="Y2570" s="23" t="s">
        <v>524</v>
      </c>
      <c r="Z2570" s="23" t="str">
        <f>Tabela2[[#This Row],[ilustrador]]</f>
        <v>ROGÉRIO CASAGRANDE/ARQUIVO DA EDITORA</v>
      </c>
      <c r="AA2570" s="22">
        <v>13</v>
      </c>
      <c r="AB2570" s="20" t="s">
        <v>2793</v>
      </c>
      <c r="AC2570" s="20" t="s">
        <v>36</v>
      </c>
      <c r="AD2570" s="4" t="str">
        <f>"Pitanguá"</f>
        <v>Pitanguá</v>
      </c>
      <c r="AE2570" s="14" t="str">
        <f>"Matemática"</f>
        <v>Matemática</v>
      </c>
      <c r="AF2570" s="14"/>
    </row>
    <row r="2571" spans="1:32" ht="144" x14ac:dyDescent="0.3">
      <c r="A2571" s="23" t="s">
        <v>4965</v>
      </c>
      <c r="B2571" s="20" t="s">
        <v>16</v>
      </c>
      <c r="C2571" s="20" t="s">
        <v>89</v>
      </c>
      <c r="D2571" s="20" t="s">
        <v>8</v>
      </c>
      <c r="E2571" s="22">
        <v>261</v>
      </c>
      <c r="F2571" s="22">
        <v>3</v>
      </c>
      <c r="G2571" s="22">
        <v>10</v>
      </c>
      <c r="H2571" s="22"/>
      <c r="I2571" s="23" t="s">
        <v>90</v>
      </c>
      <c r="J2571" s="23"/>
      <c r="K2571" s="22"/>
      <c r="L2571" s="22"/>
      <c r="M2571" s="23"/>
      <c r="N2571" s="23"/>
      <c r="O2571" s="26" t="s">
        <v>4966</v>
      </c>
      <c r="P2571" s="26"/>
      <c r="Q2571" s="22">
        <v>89</v>
      </c>
      <c r="R2571" s="24">
        <v>45839</v>
      </c>
      <c r="S2571" s="24">
        <v>45842</v>
      </c>
      <c r="T2571" s="24"/>
      <c r="U2571" s="24"/>
      <c r="V2571" s="24">
        <v>45842</v>
      </c>
      <c r="W2571" s="22" t="s">
        <v>356</v>
      </c>
      <c r="X2571" s="4" t="str">
        <f>IF(Tabela2[[#This Row],[sigla]]="","",VLOOKUP(Tabela2[[#This Row],[sigla]],créditos_base!B:C,2,0))</f>
        <v>CAMILA CARMONA/ARQUIVO DA EDITORA</v>
      </c>
      <c r="Y2571" s="23" t="s">
        <v>524</v>
      </c>
      <c r="Z2571" s="23" t="s">
        <v>482</v>
      </c>
      <c r="AA2571" s="22">
        <v>8</v>
      </c>
      <c r="AB2571" s="20" t="s">
        <v>2058</v>
      </c>
      <c r="AC2571" s="20" t="s">
        <v>36</v>
      </c>
      <c r="AD2571" s="4" t="str">
        <f>"Pitanguá"</f>
        <v>Pitanguá</v>
      </c>
      <c r="AE2571" s="14" t="str">
        <f>"Matemática"</f>
        <v>Matemática</v>
      </c>
      <c r="AF2571" s="14"/>
    </row>
    <row r="2572" spans="1:32" ht="43.2" x14ac:dyDescent="0.3">
      <c r="A2572" s="23" t="s">
        <v>4967</v>
      </c>
      <c r="B2572" s="20" t="s">
        <v>16</v>
      </c>
      <c r="C2572" s="20" t="s">
        <v>89</v>
      </c>
      <c r="D2572" s="20" t="s">
        <v>8</v>
      </c>
      <c r="E2572" s="22">
        <v>261</v>
      </c>
      <c r="F2572" s="22">
        <v>3</v>
      </c>
      <c r="G2572" s="22">
        <v>10</v>
      </c>
      <c r="H2572" s="22"/>
      <c r="I2572" s="23" t="s">
        <v>90</v>
      </c>
      <c r="J2572" s="23"/>
      <c r="K2572" s="22"/>
      <c r="L2572" s="22"/>
      <c r="M2572" s="23"/>
      <c r="N2572" s="23"/>
      <c r="O2572" s="26" t="s">
        <v>4968</v>
      </c>
      <c r="P2572" s="26"/>
      <c r="Q2572" s="22">
        <v>89</v>
      </c>
      <c r="R2572" s="24">
        <v>45839</v>
      </c>
      <c r="S2572" s="24">
        <v>45842</v>
      </c>
      <c r="T2572" s="24"/>
      <c r="U2572" s="24"/>
      <c r="V2572" s="24">
        <v>45842</v>
      </c>
      <c r="W2572" s="22" t="s">
        <v>151</v>
      </c>
      <c r="X2572" s="4" t="str">
        <f>IF(Tabela2[[#This Row],[sigla]]="","",VLOOKUP(Tabela2[[#This Row],[sigla]],créditos_base!B:C,2,0))</f>
        <v>ROGÉRIO CASAGRANDE/ARQUIVO DA EDITORA</v>
      </c>
      <c r="Y2572" s="23" t="s">
        <v>524</v>
      </c>
      <c r="Z2572" s="23" t="s">
        <v>1327</v>
      </c>
      <c r="AA2572" s="22">
        <v>8</v>
      </c>
      <c r="AB2572" s="20" t="s">
        <v>2058</v>
      </c>
      <c r="AC2572" s="20" t="s">
        <v>36</v>
      </c>
      <c r="AD2572" s="4" t="str">
        <f>"Pitanguá"</f>
        <v>Pitanguá</v>
      </c>
      <c r="AE2572" s="14" t="str">
        <f>"Matemática"</f>
        <v>Matemática</v>
      </c>
      <c r="AF2572" s="14"/>
    </row>
    <row r="2573" spans="1:32" ht="72" x14ac:dyDescent="0.3">
      <c r="A2573" s="23" t="s">
        <v>4969</v>
      </c>
      <c r="B2573" s="20" t="s">
        <v>16</v>
      </c>
      <c r="C2573" s="20" t="s">
        <v>89</v>
      </c>
      <c r="D2573" s="20" t="s">
        <v>8</v>
      </c>
      <c r="E2573" s="22">
        <v>261</v>
      </c>
      <c r="F2573" s="22">
        <v>3</v>
      </c>
      <c r="G2573" s="22">
        <v>10</v>
      </c>
      <c r="H2573" s="22"/>
      <c r="I2573" s="23" t="s">
        <v>90</v>
      </c>
      <c r="J2573" s="23"/>
      <c r="K2573" s="22"/>
      <c r="L2573" s="22"/>
      <c r="M2573" s="23"/>
      <c r="N2573" s="23"/>
      <c r="O2573" s="26" t="s">
        <v>4970</v>
      </c>
      <c r="P2573" s="26"/>
      <c r="Q2573" s="22">
        <v>89</v>
      </c>
      <c r="R2573" s="24">
        <v>45839</v>
      </c>
      <c r="S2573" s="24">
        <v>45842</v>
      </c>
      <c r="T2573" s="24"/>
      <c r="U2573" s="24"/>
      <c r="V2573" s="24">
        <v>45847</v>
      </c>
      <c r="W2573" s="22" t="s">
        <v>72</v>
      </c>
      <c r="X2573" s="4" t="str">
        <f>IF(Tabela2[[#This Row],[sigla]]="","",VLOOKUP(Tabela2[[#This Row],[sigla]],créditos_base!B:C,2,0))</f>
        <v>HELOÍSA PINTARELLI/ARQUIVO DA EDITORA</v>
      </c>
      <c r="Y2573" s="23"/>
      <c r="Z2573" s="23" t="str">
        <f>Tabela2[[#This Row],[ilustrador]]</f>
        <v>HELOÍSA PINTARELLI/ARQUIVO DA EDITORA</v>
      </c>
      <c r="AA2573" s="22">
        <v>7</v>
      </c>
      <c r="AB2573" s="20" t="s">
        <v>4961</v>
      </c>
      <c r="AC2573" s="20" t="s">
        <v>310</v>
      </c>
      <c r="AD2573" s="4" t="str">
        <f>"Pitanguá"</f>
        <v>Pitanguá</v>
      </c>
      <c r="AE2573" s="14" t="str">
        <f>"Matemática"</f>
        <v>Matemática</v>
      </c>
      <c r="AF2573" s="14"/>
    </row>
    <row r="2574" spans="1:32" ht="28.8" x14ac:dyDescent="0.3">
      <c r="A2574" s="23" t="s">
        <v>4947</v>
      </c>
      <c r="B2574" s="20" t="s">
        <v>16</v>
      </c>
      <c r="C2574" s="20" t="s">
        <v>89</v>
      </c>
      <c r="D2574" s="20" t="s">
        <v>8</v>
      </c>
      <c r="E2574" s="22">
        <v>253</v>
      </c>
      <c r="F2574" s="22">
        <v>3</v>
      </c>
      <c r="G2574" s="22">
        <v>10</v>
      </c>
      <c r="H2574" s="22"/>
      <c r="I2574" s="23" t="s">
        <v>33</v>
      </c>
      <c r="J2574" s="23"/>
      <c r="K2574" s="22"/>
      <c r="L2574" s="22"/>
      <c r="M2574" s="23"/>
      <c r="N2574" s="23"/>
      <c r="O2574" s="26" t="s">
        <v>4948</v>
      </c>
      <c r="P2574" s="26"/>
      <c r="Q2574" s="22">
        <v>89</v>
      </c>
      <c r="R2574" s="24">
        <v>45839</v>
      </c>
      <c r="S2574" s="24">
        <v>45842</v>
      </c>
      <c r="T2574" s="24"/>
      <c r="U2574" s="24"/>
      <c r="V2574" s="24">
        <v>45842</v>
      </c>
      <c r="W2574" s="22" t="s">
        <v>151</v>
      </c>
      <c r="X2574" s="4" t="str">
        <f>IF(Tabela2[[#This Row],[sigla]]="","",VLOOKUP(Tabela2[[#This Row],[sigla]],créditos_base!B:C,2,0))</f>
        <v>ROGÉRIO CASAGRANDE/ARQUIVO DA EDITORA</v>
      </c>
      <c r="Y2574" s="23" t="s">
        <v>524</v>
      </c>
      <c r="Z2574" s="23" t="str">
        <f>Tabela2[[#This Row],[ilustrador]]</f>
        <v>ROGÉRIO CASAGRANDE/ARQUIVO DA EDITORA</v>
      </c>
      <c r="AA2574" s="22">
        <v>13</v>
      </c>
      <c r="AB2574" s="20" t="s">
        <v>2793</v>
      </c>
      <c r="AC2574" s="20" t="s">
        <v>36</v>
      </c>
      <c r="AD2574" s="4" t="str">
        <f>"Pitanguá"</f>
        <v>Pitanguá</v>
      </c>
      <c r="AE2574" s="14" t="str">
        <f>"Matemática"</f>
        <v>Matemática</v>
      </c>
      <c r="AF2574" s="14"/>
    </row>
    <row r="2575" spans="1:32" ht="28.8" x14ac:dyDescent="0.3">
      <c r="A2575" s="23" t="s">
        <v>4949</v>
      </c>
      <c r="B2575" s="20" t="s">
        <v>16</v>
      </c>
      <c r="C2575" s="20" t="s">
        <v>89</v>
      </c>
      <c r="D2575" s="20" t="s">
        <v>8</v>
      </c>
      <c r="E2575" s="22">
        <v>253</v>
      </c>
      <c r="F2575" s="22">
        <v>3</v>
      </c>
      <c r="G2575" s="22">
        <v>10</v>
      </c>
      <c r="H2575" s="22"/>
      <c r="I2575" s="23" t="s">
        <v>33</v>
      </c>
      <c r="J2575" s="23"/>
      <c r="K2575" s="22"/>
      <c r="L2575" s="22"/>
      <c r="M2575" s="23"/>
      <c r="N2575" s="23"/>
      <c r="O2575" s="26" t="s">
        <v>4950</v>
      </c>
      <c r="P2575" s="26"/>
      <c r="Q2575" s="22">
        <v>89</v>
      </c>
      <c r="R2575" s="24">
        <v>45839</v>
      </c>
      <c r="S2575" s="24">
        <v>45842</v>
      </c>
      <c r="T2575" s="24"/>
      <c r="U2575" s="24"/>
      <c r="V2575" s="24">
        <v>45842</v>
      </c>
      <c r="W2575" s="22" t="s">
        <v>151</v>
      </c>
      <c r="X2575" s="4" t="str">
        <f>IF(Tabela2[[#This Row],[sigla]]="","",VLOOKUP(Tabela2[[#This Row],[sigla]],créditos_base!B:C,2,0))</f>
        <v>ROGÉRIO CASAGRANDE/ARQUIVO DA EDITORA</v>
      </c>
      <c r="Y2575" s="23" t="s">
        <v>524</v>
      </c>
      <c r="Z2575" s="23" t="str">
        <f>Tabela2[[#This Row],[ilustrador]]</f>
        <v>ROGÉRIO CASAGRANDE/ARQUIVO DA EDITORA</v>
      </c>
      <c r="AA2575" s="22">
        <v>13</v>
      </c>
      <c r="AB2575" s="20" t="s">
        <v>2793</v>
      </c>
      <c r="AC2575" s="20" t="s">
        <v>36</v>
      </c>
      <c r="AD2575" s="4" t="str">
        <f>"Pitanguá"</f>
        <v>Pitanguá</v>
      </c>
      <c r="AE2575" s="14" t="str">
        <f>"Matemática"</f>
        <v>Matemática</v>
      </c>
      <c r="AF2575" s="14"/>
    </row>
    <row r="2576" spans="1:32" ht="28.8" x14ac:dyDescent="0.3">
      <c r="A2576" s="23" t="s">
        <v>4951</v>
      </c>
      <c r="B2576" s="20" t="s">
        <v>6</v>
      </c>
      <c r="C2576" s="20" t="s">
        <v>89</v>
      </c>
      <c r="D2576" s="20" t="s">
        <v>8</v>
      </c>
      <c r="E2576" s="22">
        <v>253</v>
      </c>
      <c r="F2576" s="22">
        <v>3</v>
      </c>
      <c r="G2576" s="22">
        <v>10</v>
      </c>
      <c r="H2576" s="22"/>
      <c r="I2576" s="23" t="s">
        <v>33</v>
      </c>
      <c r="J2576" s="23"/>
      <c r="K2576" s="22"/>
      <c r="L2576" s="22"/>
      <c r="M2576" s="23"/>
      <c r="N2576" s="23"/>
      <c r="O2576" s="26" t="s">
        <v>4952</v>
      </c>
      <c r="P2576" s="26" t="s">
        <v>4953</v>
      </c>
      <c r="Q2576" s="22">
        <v>89</v>
      </c>
      <c r="R2576" s="24">
        <v>45839</v>
      </c>
      <c r="S2576" s="24">
        <v>45842</v>
      </c>
      <c r="T2576" s="24"/>
      <c r="U2576" s="24"/>
      <c r="V2576" s="24">
        <v>45842</v>
      </c>
      <c r="W2576" s="22" t="s">
        <v>151</v>
      </c>
      <c r="X2576" s="4" t="str">
        <f>IF(Tabela2[[#This Row],[sigla]]="","",VLOOKUP(Tabela2[[#This Row],[sigla]],créditos_base!B:C,2,0))</f>
        <v>ROGÉRIO CASAGRANDE/ARQUIVO DA EDITORA</v>
      </c>
      <c r="Y2576" s="23" t="s">
        <v>524</v>
      </c>
      <c r="Z2576" s="23" t="str">
        <f>Tabela2[[#This Row],[ilustrador]]</f>
        <v>ROGÉRIO CASAGRANDE/ARQUIVO DA EDITORA</v>
      </c>
      <c r="AA2576" s="22">
        <v>13</v>
      </c>
      <c r="AB2576" s="20" t="s">
        <v>2793</v>
      </c>
      <c r="AC2576" s="20" t="s">
        <v>36</v>
      </c>
      <c r="AD2576" s="4" t="str">
        <f>"Pitanguá"</f>
        <v>Pitanguá</v>
      </c>
      <c r="AE2576" s="14" t="str">
        <f>"Matemática"</f>
        <v>Matemática</v>
      </c>
      <c r="AF2576" s="14"/>
    </row>
    <row r="2577" spans="1:32" ht="57.6" x14ac:dyDescent="0.3">
      <c r="A2577" s="23" t="s">
        <v>4954</v>
      </c>
      <c r="B2577" s="20" t="s">
        <v>16</v>
      </c>
      <c r="C2577" s="20" t="s">
        <v>89</v>
      </c>
      <c r="D2577" s="20" t="s">
        <v>8</v>
      </c>
      <c r="E2577" s="22">
        <v>253</v>
      </c>
      <c r="F2577" s="22">
        <v>3</v>
      </c>
      <c r="G2577" s="22">
        <v>10</v>
      </c>
      <c r="H2577" s="22"/>
      <c r="I2577" s="23" t="s">
        <v>33</v>
      </c>
      <c r="J2577" s="23"/>
      <c r="K2577" s="22"/>
      <c r="L2577" s="22"/>
      <c r="M2577" s="23"/>
      <c r="N2577" s="23"/>
      <c r="O2577" s="26" t="s">
        <v>4955</v>
      </c>
      <c r="P2577" s="26"/>
      <c r="Q2577" s="22">
        <v>89</v>
      </c>
      <c r="R2577" s="24">
        <v>45839</v>
      </c>
      <c r="S2577" s="24">
        <v>45842</v>
      </c>
      <c r="T2577" s="24"/>
      <c r="U2577" s="24"/>
      <c r="V2577" s="24">
        <v>45842</v>
      </c>
      <c r="W2577" s="22" t="s">
        <v>151</v>
      </c>
      <c r="X2577" s="4" t="str">
        <f>IF(Tabela2[[#This Row],[sigla]]="","",VLOOKUP(Tabela2[[#This Row],[sigla]],créditos_base!B:C,2,0))</f>
        <v>ROGÉRIO CASAGRANDE/ARQUIVO DA EDITORA</v>
      </c>
      <c r="Y2577" s="23" t="s">
        <v>524</v>
      </c>
      <c r="Z2577" s="23" t="str">
        <f>Tabela2[[#This Row],[ilustrador]]</f>
        <v>ROGÉRIO CASAGRANDE/ARQUIVO DA EDITORA</v>
      </c>
      <c r="AA2577" s="22">
        <v>13</v>
      </c>
      <c r="AB2577" s="20" t="s">
        <v>2793</v>
      </c>
      <c r="AC2577" s="20" t="s">
        <v>36</v>
      </c>
      <c r="AD2577" s="4" t="str">
        <f>"Pitanguá"</f>
        <v>Pitanguá</v>
      </c>
      <c r="AE2577" s="14" t="str">
        <f>"Matemática"</f>
        <v>Matemática</v>
      </c>
      <c r="AF2577" s="14"/>
    </row>
    <row r="2578" spans="1:32" ht="28.8" x14ac:dyDescent="0.3">
      <c r="A2578" s="23" t="s">
        <v>4956</v>
      </c>
      <c r="B2578" s="20" t="s">
        <v>16</v>
      </c>
      <c r="C2578" s="20" t="s">
        <v>7</v>
      </c>
      <c r="D2578" s="20" t="s">
        <v>8</v>
      </c>
      <c r="E2578" s="22">
        <v>257</v>
      </c>
      <c r="F2578" s="22">
        <v>3</v>
      </c>
      <c r="G2578" s="22">
        <v>10</v>
      </c>
      <c r="H2578" s="22"/>
      <c r="I2578" s="23" t="s">
        <v>90</v>
      </c>
      <c r="J2578" s="23"/>
      <c r="K2578" s="22"/>
      <c r="L2578" s="22"/>
      <c r="M2578" s="23"/>
      <c r="N2578" s="23"/>
      <c r="O2578" s="26" t="s">
        <v>4957</v>
      </c>
      <c r="P2578" s="26"/>
      <c r="Q2578" s="22">
        <v>89</v>
      </c>
      <c r="R2578" s="24">
        <v>45839</v>
      </c>
      <c r="S2578" s="24">
        <v>45842</v>
      </c>
      <c r="T2578" s="24">
        <v>45848</v>
      </c>
      <c r="U2578" s="24">
        <v>45850</v>
      </c>
      <c r="V2578" s="24">
        <v>45856</v>
      </c>
      <c r="W2578" s="22" t="s">
        <v>31</v>
      </c>
      <c r="X2578" s="4" t="str">
        <f>IF(Tabela2[[#This Row],[sigla]]="","",VLOOKUP(Tabela2[[#This Row],[sigla]],créditos_base!B:C,2,0))</f>
        <v>SILVIA OTOFUJI/ARQUIVO DA EDITORA</v>
      </c>
      <c r="Y2578" s="23"/>
      <c r="Z2578" s="23" t="str">
        <f>Tabela2[[#This Row],[ilustrador]]</f>
        <v>SILVIA OTOFUJI/ARQUIVO DA EDITORA</v>
      </c>
      <c r="AA2578" s="22">
        <v>5</v>
      </c>
      <c r="AB2578" s="20" t="s">
        <v>4958</v>
      </c>
      <c r="AC2578" s="20" t="s">
        <v>310</v>
      </c>
      <c r="AD2578" s="4" t="str">
        <f>"Pitanguá"</f>
        <v>Pitanguá</v>
      </c>
      <c r="AE2578" s="14" t="str">
        <f>"Matemática"</f>
        <v>Matemática</v>
      </c>
      <c r="AF2578" s="14"/>
    </row>
    <row r="2579" spans="1:32" x14ac:dyDescent="0.3">
      <c r="A2579" s="23" t="s">
        <v>4959</v>
      </c>
      <c r="B2579" s="20" t="s">
        <v>16</v>
      </c>
      <c r="C2579" s="20" t="s">
        <v>89</v>
      </c>
      <c r="D2579" s="20" t="s">
        <v>8</v>
      </c>
      <c r="E2579" s="22">
        <v>258</v>
      </c>
      <c r="F2579" s="22">
        <v>3</v>
      </c>
      <c r="G2579" s="22">
        <v>10</v>
      </c>
      <c r="H2579" s="22"/>
      <c r="I2579" s="23" t="s">
        <v>90</v>
      </c>
      <c r="J2579" s="23"/>
      <c r="K2579" s="22"/>
      <c r="L2579" s="22"/>
      <c r="M2579" s="23"/>
      <c r="N2579" s="23"/>
      <c r="O2579" s="26" t="s">
        <v>4960</v>
      </c>
      <c r="P2579" s="26"/>
      <c r="Q2579" s="22">
        <v>89</v>
      </c>
      <c r="R2579" s="24">
        <v>45839</v>
      </c>
      <c r="S2579" s="24">
        <v>45842</v>
      </c>
      <c r="T2579" s="24"/>
      <c r="U2579" s="24"/>
      <c r="V2579" s="24">
        <v>45847</v>
      </c>
      <c r="W2579" s="22" t="s">
        <v>72</v>
      </c>
      <c r="X2579" s="4" t="str">
        <f>IF(Tabela2[[#This Row],[sigla]]="","",VLOOKUP(Tabela2[[#This Row],[sigla]],créditos_base!B:C,2,0))</f>
        <v>HELOÍSA PINTARELLI/ARQUIVO DA EDITORA</v>
      </c>
      <c r="Y2579" s="23"/>
      <c r="Z2579" s="23" t="str">
        <f>Tabela2[[#This Row],[ilustrador]]</f>
        <v>HELOÍSA PINTARELLI/ARQUIVO DA EDITORA</v>
      </c>
      <c r="AA2579" s="22">
        <v>7</v>
      </c>
      <c r="AB2579" s="20" t="s">
        <v>4961</v>
      </c>
      <c r="AC2579" s="20" t="s">
        <v>310</v>
      </c>
      <c r="AD2579" s="4" t="str">
        <f>"Pitanguá"</f>
        <v>Pitanguá</v>
      </c>
      <c r="AE2579" s="14" t="str">
        <f>"Matemática"</f>
        <v>Matemática</v>
      </c>
      <c r="AF2579" s="14"/>
    </row>
    <row r="2580" spans="1:32" x14ac:dyDescent="0.3">
      <c r="A2580" s="23" t="s">
        <v>4962</v>
      </c>
      <c r="B2580" s="20" t="s">
        <v>6</v>
      </c>
      <c r="C2580" s="20" t="s">
        <v>89</v>
      </c>
      <c r="D2580" s="20" t="s">
        <v>8</v>
      </c>
      <c r="E2580" s="22">
        <v>258</v>
      </c>
      <c r="F2580" s="22">
        <v>3</v>
      </c>
      <c r="G2580" s="22">
        <v>10</v>
      </c>
      <c r="H2580" s="22"/>
      <c r="I2580" s="23" t="s">
        <v>90</v>
      </c>
      <c r="J2580" s="23"/>
      <c r="K2580" s="22"/>
      <c r="L2580" s="22"/>
      <c r="M2580" s="23"/>
      <c r="N2580" s="23"/>
      <c r="O2580" s="26" t="s">
        <v>4963</v>
      </c>
      <c r="P2580" s="26" t="s">
        <v>4964</v>
      </c>
      <c r="Q2580" s="22"/>
      <c r="R2580" s="24"/>
      <c r="S2580" s="24"/>
      <c r="T2580" s="24"/>
      <c r="U2580" s="24"/>
      <c r="V2580" s="24"/>
      <c r="W2580" s="22"/>
      <c r="X2580" s="4" t="str">
        <f>IF(Tabela2[[#This Row],[sigla]]="","",VLOOKUP(Tabela2[[#This Row],[sigla]],créditos_base!B:C,2,0))</f>
        <v/>
      </c>
      <c r="Y2580" s="23"/>
      <c r="Z2580" s="23" t="str">
        <f>Tabela2[[#This Row],[ilustrador]]</f>
        <v/>
      </c>
      <c r="AA2580" s="22"/>
      <c r="AB2580" s="20"/>
      <c r="AD2580" s="4" t="str">
        <f>"Pitanguá"</f>
        <v>Pitanguá</v>
      </c>
      <c r="AE2580" s="14" t="str">
        <f>"Matemática"</f>
        <v>Matemática</v>
      </c>
      <c r="AF2580" s="14"/>
    </row>
    <row r="2581" spans="1:32" x14ac:dyDescent="0.3">
      <c r="A2581" s="23" t="s">
        <v>1101</v>
      </c>
      <c r="B2581" s="20" t="s">
        <v>16</v>
      </c>
      <c r="C2581" s="20" t="s">
        <v>89</v>
      </c>
      <c r="D2581" s="20" t="s">
        <v>8</v>
      </c>
      <c r="E2581" s="22">
        <v>264</v>
      </c>
      <c r="F2581" s="22">
        <v>4</v>
      </c>
      <c r="G2581" s="22"/>
      <c r="H2581" s="27" t="s">
        <v>1102</v>
      </c>
      <c r="I2581" s="23" t="s">
        <v>33</v>
      </c>
      <c r="J2581" s="23"/>
      <c r="K2581" s="22"/>
      <c r="L2581" s="22"/>
      <c r="M2581" s="23"/>
      <c r="N2581" s="23"/>
      <c r="O2581" s="26" t="s">
        <v>1103</v>
      </c>
      <c r="P2581" s="26"/>
      <c r="Q2581" s="22">
        <v>42</v>
      </c>
      <c r="R2581" s="24">
        <v>45783</v>
      </c>
      <c r="S2581" s="24">
        <v>45783</v>
      </c>
      <c r="T2581" s="24"/>
      <c r="U2581" s="24"/>
      <c r="V2581" s="24">
        <v>45783</v>
      </c>
      <c r="W2581" s="22" t="s">
        <v>151</v>
      </c>
      <c r="X2581" s="4" t="str">
        <f>IF(Tabela2[[#This Row],[sigla]]="","",VLOOKUP(Tabela2[[#This Row],[sigla]],créditos_base!B:C,2,0))</f>
        <v>ROGÉRIO CASAGRANDE/ARQUIVO DA EDITORA</v>
      </c>
      <c r="Y2581" s="23" t="s">
        <v>152</v>
      </c>
      <c r="Z2581" s="23" t="str">
        <f>Tabela2[[#This Row],[ilustrador]]</f>
        <v>ROGÉRIO CASAGRANDE/ARQUIVO DA EDITORA</v>
      </c>
      <c r="AA2581" s="22">
        <v>13</v>
      </c>
      <c r="AB2581" s="20" t="s">
        <v>153</v>
      </c>
      <c r="AC2581" s="20" t="s">
        <v>36</v>
      </c>
      <c r="AD2581" s="4" t="str">
        <f>"Pitanguá"</f>
        <v>Pitanguá</v>
      </c>
      <c r="AE2581" s="14" t="str">
        <f>"Matemática"</f>
        <v>Matemática</v>
      </c>
      <c r="AF2581" s="14"/>
    </row>
    <row r="2582" spans="1:32" ht="28.8" x14ac:dyDescent="0.3">
      <c r="A2582" s="23" t="s">
        <v>1104</v>
      </c>
      <c r="B2582" s="20" t="s">
        <v>16</v>
      </c>
      <c r="C2582" s="20" t="s">
        <v>89</v>
      </c>
      <c r="D2582" s="20" t="s">
        <v>8</v>
      </c>
      <c r="E2582" s="22">
        <v>264</v>
      </c>
      <c r="F2582" s="22">
        <v>4</v>
      </c>
      <c r="G2582" s="22"/>
      <c r="H2582" s="27" t="s">
        <v>1102</v>
      </c>
      <c r="I2582" s="23" t="s">
        <v>33</v>
      </c>
      <c r="J2582" s="23"/>
      <c r="K2582" s="22"/>
      <c r="L2582" s="22"/>
      <c r="M2582" s="23"/>
      <c r="N2582" s="23"/>
      <c r="O2582" s="26" t="s">
        <v>1105</v>
      </c>
      <c r="P2582" s="26"/>
      <c r="Q2582" s="22">
        <v>42</v>
      </c>
      <c r="R2582" s="24">
        <v>45783</v>
      </c>
      <c r="S2582" s="24">
        <v>45783</v>
      </c>
      <c r="T2582" s="24"/>
      <c r="U2582" s="24"/>
      <c r="V2582" s="24">
        <v>45783</v>
      </c>
      <c r="W2582" s="22" t="s">
        <v>151</v>
      </c>
      <c r="X2582" s="4" t="str">
        <f>IF(Tabela2[[#This Row],[sigla]]="","",VLOOKUP(Tabela2[[#This Row],[sigla]],créditos_base!B:C,2,0))</f>
        <v>ROGÉRIO CASAGRANDE/ARQUIVO DA EDITORA</v>
      </c>
      <c r="Y2582" s="23" t="s">
        <v>152</v>
      </c>
      <c r="Z2582" s="23" t="str">
        <f>Tabela2[[#This Row],[ilustrador]]</f>
        <v>ROGÉRIO CASAGRANDE/ARQUIVO DA EDITORA</v>
      </c>
      <c r="AA2582" s="22">
        <v>13</v>
      </c>
      <c r="AB2582" s="20" t="s">
        <v>153</v>
      </c>
      <c r="AC2582" s="20" t="s">
        <v>36</v>
      </c>
      <c r="AD2582" s="4" t="str">
        <f>"Pitanguá"</f>
        <v>Pitanguá</v>
      </c>
      <c r="AE2582" s="14" t="str">
        <f>"Matemática"</f>
        <v>Matemática</v>
      </c>
      <c r="AF2582" s="14"/>
    </row>
    <row r="2583" spans="1:32" x14ac:dyDescent="0.3">
      <c r="A2583" s="23" t="s">
        <v>1106</v>
      </c>
      <c r="B2583" s="20" t="s">
        <v>16</v>
      </c>
      <c r="C2583" s="20" t="s">
        <v>89</v>
      </c>
      <c r="D2583" s="20" t="s">
        <v>8</v>
      </c>
      <c r="E2583" s="22">
        <v>264</v>
      </c>
      <c r="F2583" s="22">
        <v>4</v>
      </c>
      <c r="G2583" s="22"/>
      <c r="H2583" s="27" t="s">
        <v>1102</v>
      </c>
      <c r="I2583" s="23" t="s">
        <v>33</v>
      </c>
      <c r="J2583" s="23"/>
      <c r="K2583" s="22"/>
      <c r="L2583" s="22"/>
      <c r="M2583" s="23"/>
      <c r="N2583" s="23"/>
      <c r="O2583" s="26" t="s">
        <v>1107</v>
      </c>
      <c r="P2583" s="26"/>
      <c r="Q2583" s="22">
        <v>42</v>
      </c>
      <c r="R2583" s="24">
        <v>45783</v>
      </c>
      <c r="S2583" s="24">
        <v>45783</v>
      </c>
      <c r="T2583" s="24"/>
      <c r="U2583" s="24"/>
      <c r="V2583" s="24">
        <v>45783</v>
      </c>
      <c r="W2583" s="22" t="s">
        <v>151</v>
      </c>
      <c r="X2583" s="4" t="str">
        <f>IF(Tabela2[[#This Row],[sigla]]="","",VLOOKUP(Tabela2[[#This Row],[sigla]],créditos_base!B:C,2,0))</f>
        <v>ROGÉRIO CASAGRANDE/ARQUIVO DA EDITORA</v>
      </c>
      <c r="Y2583" s="23" t="s">
        <v>152</v>
      </c>
      <c r="Z2583" s="23" t="str">
        <f>Tabela2[[#This Row],[ilustrador]]</f>
        <v>ROGÉRIO CASAGRANDE/ARQUIVO DA EDITORA</v>
      </c>
      <c r="AA2583" s="22">
        <v>13</v>
      </c>
      <c r="AB2583" s="20" t="s">
        <v>153</v>
      </c>
      <c r="AC2583" s="20" t="s">
        <v>36</v>
      </c>
      <c r="AD2583" s="4" t="str">
        <f>"Pitanguá"</f>
        <v>Pitanguá</v>
      </c>
      <c r="AE2583" s="14" t="str">
        <f>"Matemática"</f>
        <v>Matemática</v>
      </c>
      <c r="AF2583" s="14"/>
    </row>
    <row r="2584" spans="1:32" x14ac:dyDescent="0.3">
      <c r="A2584" s="23" t="s">
        <v>1108</v>
      </c>
      <c r="B2584" s="20" t="s">
        <v>16</v>
      </c>
      <c r="C2584" s="20" t="s">
        <v>89</v>
      </c>
      <c r="D2584" s="20" t="s">
        <v>8</v>
      </c>
      <c r="E2584" s="22">
        <v>264</v>
      </c>
      <c r="F2584" s="22">
        <v>4</v>
      </c>
      <c r="G2584" s="22"/>
      <c r="H2584" s="27" t="s">
        <v>1102</v>
      </c>
      <c r="I2584" s="23" t="s">
        <v>33</v>
      </c>
      <c r="J2584" s="23"/>
      <c r="K2584" s="22"/>
      <c r="L2584" s="22"/>
      <c r="M2584" s="23"/>
      <c r="N2584" s="23"/>
      <c r="O2584" s="26" t="s">
        <v>1109</v>
      </c>
      <c r="P2584" s="26"/>
      <c r="Q2584" s="22">
        <v>14</v>
      </c>
      <c r="R2584" s="24">
        <v>45743</v>
      </c>
      <c r="S2584" s="24"/>
      <c r="T2584" s="24"/>
      <c r="U2584" s="24"/>
      <c r="V2584" s="24">
        <v>45743</v>
      </c>
      <c r="W2584" s="22" t="s">
        <v>230</v>
      </c>
      <c r="X2584" s="4" t="str">
        <f>IF(Tabela2[[#This Row],[sigla]]="","",VLOOKUP(Tabela2[[#This Row],[sigla]],créditos_base!B:C,2,0))</f>
        <v>RAFAEL L. GAION/ARQUIVO DA EDITORA</v>
      </c>
      <c r="Y2584" s="23" t="s">
        <v>152</v>
      </c>
      <c r="Z2584" s="23" t="str">
        <f>Tabela2[[#This Row],[ilustrador]]</f>
        <v>RAFAEL L. GAION/ARQUIVO DA EDITORA</v>
      </c>
      <c r="AA2584" s="22"/>
      <c r="AB2584" s="20"/>
      <c r="AC2584" s="20" t="s">
        <v>36</v>
      </c>
      <c r="AD2584" s="4" t="str">
        <f>"Pitanguá"</f>
        <v>Pitanguá</v>
      </c>
      <c r="AE2584" s="14" t="str">
        <f>"Matemática"</f>
        <v>Matemática</v>
      </c>
      <c r="AF2584" s="14"/>
    </row>
    <row r="2585" spans="1:32" ht="43.2" x14ac:dyDescent="0.3">
      <c r="A2585" s="23" t="s">
        <v>1110</v>
      </c>
      <c r="B2585" s="20" t="s">
        <v>16</v>
      </c>
      <c r="C2585" s="20" t="s">
        <v>89</v>
      </c>
      <c r="D2585" s="20" t="s">
        <v>8</v>
      </c>
      <c r="E2585" s="22">
        <v>264</v>
      </c>
      <c r="F2585" s="22">
        <v>4</v>
      </c>
      <c r="G2585" s="22"/>
      <c r="H2585" s="27" t="s">
        <v>1102</v>
      </c>
      <c r="I2585" s="23" t="s">
        <v>33</v>
      </c>
      <c r="J2585" s="23"/>
      <c r="K2585" s="22"/>
      <c r="L2585" s="22"/>
      <c r="M2585" s="23"/>
      <c r="N2585" s="23"/>
      <c r="O2585" s="26" t="s">
        <v>1111</v>
      </c>
      <c r="P2585" s="26"/>
      <c r="Q2585" s="22">
        <v>14</v>
      </c>
      <c r="R2585" s="24">
        <v>45743</v>
      </c>
      <c r="S2585" s="24"/>
      <c r="T2585" s="24"/>
      <c r="U2585" s="24"/>
      <c r="V2585" s="24">
        <v>45743</v>
      </c>
      <c r="W2585" s="22" t="s">
        <v>230</v>
      </c>
      <c r="X2585" s="4" t="str">
        <f>IF(Tabela2[[#This Row],[sigla]]="","",VLOOKUP(Tabela2[[#This Row],[sigla]],créditos_base!B:C,2,0))</f>
        <v>RAFAEL L. GAION/ARQUIVO DA EDITORA</v>
      </c>
      <c r="Y2585" s="23" t="s">
        <v>152</v>
      </c>
      <c r="Z2585" s="23" t="str">
        <f>Tabela2[[#This Row],[ilustrador]]</f>
        <v>RAFAEL L. GAION/ARQUIVO DA EDITORA</v>
      </c>
      <c r="AA2585" s="22"/>
      <c r="AB2585" s="20"/>
      <c r="AC2585" s="20" t="s">
        <v>36</v>
      </c>
      <c r="AD2585" s="4" t="str">
        <f>"Pitanguá"</f>
        <v>Pitanguá</v>
      </c>
      <c r="AE2585" s="14" t="str">
        <f>"Matemática"</f>
        <v>Matemática</v>
      </c>
      <c r="AF2585" s="14"/>
    </row>
    <row r="2586" spans="1:32" x14ac:dyDescent="0.3">
      <c r="A2586" s="23" t="s">
        <v>1112</v>
      </c>
      <c r="B2586" s="20" t="s">
        <v>16</v>
      </c>
      <c r="C2586" s="20" t="s">
        <v>89</v>
      </c>
      <c r="D2586" s="20" t="s">
        <v>8</v>
      </c>
      <c r="E2586" s="22">
        <v>264</v>
      </c>
      <c r="F2586" s="22">
        <v>4</v>
      </c>
      <c r="G2586" s="22"/>
      <c r="H2586" s="27" t="s">
        <v>1102</v>
      </c>
      <c r="I2586" s="23" t="s">
        <v>33</v>
      </c>
      <c r="J2586" s="23"/>
      <c r="K2586" s="22"/>
      <c r="L2586" s="22"/>
      <c r="M2586" s="23"/>
      <c r="N2586" s="23"/>
      <c r="O2586" s="26" t="s">
        <v>1113</v>
      </c>
      <c r="P2586" s="26"/>
      <c r="Q2586" s="22">
        <v>14</v>
      </c>
      <c r="R2586" s="24">
        <v>45743</v>
      </c>
      <c r="S2586" s="24"/>
      <c r="T2586" s="24"/>
      <c r="U2586" s="24"/>
      <c r="V2586" s="24">
        <v>45743</v>
      </c>
      <c r="W2586" s="22" t="s">
        <v>230</v>
      </c>
      <c r="X2586" s="4" t="str">
        <f>IF(Tabela2[[#This Row],[sigla]]="","",VLOOKUP(Tabela2[[#This Row],[sigla]],créditos_base!B:C,2,0))</f>
        <v>RAFAEL L. GAION/ARQUIVO DA EDITORA</v>
      </c>
      <c r="Y2586" s="23" t="s">
        <v>152</v>
      </c>
      <c r="Z2586" s="23" t="str">
        <f>Tabela2[[#This Row],[ilustrador]]</f>
        <v>RAFAEL L. GAION/ARQUIVO DA EDITORA</v>
      </c>
      <c r="AA2586" s="22"/>
      <c r="AB2586" s="20"/>
      <c r="AC2586" s="20" t="s">
        <v>36</v>
      </c>
      <c r="AD2586" s="4" t="str">
        <f>"Pitanguá"</f>
        <v>Pitanguá</v>
      </c>
      <c r="AE2586" s="14" t="str">
        <f>"Matemática"</f>
        <v>Matemática</v>
      </c>
      <c r="AF2586" s="14"/>
    </row>
    <row r="2587" spans="1:32" x14ac:dyDescent="0.3">
      <c r="A2587" s="23" t="s">
        <v>1114</v>
      </c>
      <c r="B2587" s="20" t="s">
        <v>16</v>
      </c>
      <c r="C2587" s="20" t="s">
        <v>89</v>
      </c>
      <c r="D2587" s="20" t="s">
        <v>8</v>
      </c>
      <c r="E2587" s="22">
        <v>264</v>
      </c>
      <c r="F2587" s="22">
        <v>4</v>
      </c>
      <c r="G2587" s="22"/>
      <c r="H2587" s="27" t="s">
        <v>1102</v>
      </c>
      <c r="I2587" s="23" t="s">
        <v>33</v>
      </c>
      <c r="J2587" s="23"/>
      <c r="K2587" s="22"/>
      <c r="L2587" s="22"/>
      <c r="M2587" s="23"/>
      <c r="N2587" s="23"/>
      <c r="O2587" s="26" t="s">
        <v>1115</v>
      </c>
      <c r="P2587" s="26"/>
      <c r="Q2587" s="22">
        <v>14</v>
      </c>
      <c r="R2587" s="24">
        <v>45743</v>
      </c>
      <c r="S2587" s="24"/>
      <c r="T2587" s="24"/>
      <c r="U2587" s="24"/>
      <c r="V2587" s="24">
        <v>45743</v>
      </c>
      <c r="W2587" s="22" t="s">
        <v>230</v>
      </c>
      <c r="X2587" s="4" t="str">
        <f>IF(Tabela2[[#This Row],[sigla]]="","",VLOOKUP(Tabela2[[#This Row],[sigla]],créditos_base!B:C,2,0))</f>
        <v>RAFAEL L. GAION/ARQUIVO DA EDITORA</v>
      </c>
      <c r="Y2587" s="23" t="s">
        <v>152</v>
      </c>
      <c r="Z2587" s="23" t="str">
        <f>Tabela2[[#This Row],[ilustrador]]</f>
        <v>RAFAEL L. GAION/ARQUIVO DA EDITORA</v>
      </c>
      <c r="AA2587" s="22"/>
      <c r="AB2587" s="20"/>
      <c r="AC2587" s="20" t="s">
        <v>36</v>
      </c>
      <c r="AD2587" s="4" t="str">
        <f>"Pitanguá"</f>
        <v>Pitanguá</v>
      </c>
      <c r="AE2587" s="14" t="str">
        <f>"Matemática"</f>
        <v>Matemática</v>
      </c>
      <c r="AF2587" s="14"/>
    </row>
    <row r="2588" spans="1:32" ht="100.8" x14ac:dyDescent="0.3">
      <c r="A2588" s="23" t="s">
        <v>1116</v>
      </c>
      <c r="B2588" s="20" t="s">
        <v>16</v>
      </c>
      <c r="C2588" s="20" t="s">
        <v>89</v>
      </c>
      <c r="D2588" s="20" t="s">
        <v>8</v>
      </c>
      <c r="E2588" s="22">
        <v>264</v>
      </c>
      <c r="F2588" s="22">
        <v>4</v>
      </c>
      <c r="G2588" s="22"/>
      <c r="H2588" s="27" t="s">
        <v>1102</v>
      </c>
      <c r="I2588" s="23" t="s">
        <v>33</v>
      </c>
      <c r="J2588" s="23"/>
      <c r="K2588" s="22"/>
      <c r="L2588" s="22"/>
      <c r="M2588" s="23"/>
      <c r="N2588" s="23"/>
      <c r="O2588" s="26" t="s">
        <v>1117</v>
      </c>
      <c r="P2588" s="26"/>
      <c r="Q2588" s="22">
        <v>14</v>
      </c>
      <c r="R2588" s="24">
        <v>45743</v>
      </c>
      <c r="S2588" s="24"/>
      <c r="T2588" s="24"/>
      <c r="U2588" s="24"/>
      <c r="V2588" s="24">
        <v>45743</v>
      </c>
      <c r="W2588" s="22" t="s">
        <v>230</v>
      </c>
      <c r="X2588" s="4" t="str">
        <f>IF(Tabela2[[#This Row],[sigla]]="","",VLOOKUP(Tabela2[[#This Row],[sigla]],créditos_base!B:C,2,0))</f>
        <v>RAFAEL L. GAION/ARQUIVO DA EDITORA</v>
      </c>
      <c r="Y2588" s="23" t="s">
        <v>152</v>
      </c>
      <c r="Z2588" s="23" t="str">
        <f>Tabela2[[#This Row],[ilustrador]]</f>
        <v>RAFAEL L. GAION/ARQUIVO DA EDITORA</v>
      </c>
      <c r="AA2588" s="22"/>
      <c r="AB2588" s="20"/>
      <c r="AC2588" s="20" t="s">
        <v>36</v>
      </c>
      <c r="AD2588" s="4" t="str">
        <f>"Pitanguá"</f>
        <v>Pitanguá</v>
      </c>
      <c r="AE2588" s="14" t="str">
        <f>"Matemática"</f>
        <v>Matemática</v>
      </c>
      <c r="AF2588" s="14"/>
    </row>
    <row r="2589" spans="1:32" ht="57.6" x14ac:dyDescent="0.3">
      <c r="A2589" s="23" t="s">
        <v>1118</v>
      </c>
      <c r="B2589" s="20" t="s">
        <v>16</v>
      </c>
      <c r="C2589" s="20" t="s">
        <v>89</v>
      </c>
      <c r="D2589" s="20" t="s">
        <v>8</v>
      </c>
      <c r="E2589" s="22">
        <v>264</v>
      </c>
      <c r="F2589" s="22">
        <v>4</v>
      </c>
      <c r="G2589" s="22"/>
      <c r="H2589" s="27" t="s">
        <v>1102</v>
      </c>
      <c r="I2589" s="23" t="s">
        <v>33</v>
      </c>
      <c r="J2589" s="23"/>
      <c r="K2589" s="22"/>
      <c r="L2589" s="22"/>
      <c r="M2589" s="23"/>
      <c r="N2589" s="23"/>
      <c r="O2589" s="26" t="s">
        <v>1119</v>
      </c>
      <c r="P2589" s="26"/>
      <c r="Q2589" s="22">
        <v>14</v>
      </c>
      <c r="R2589" s="24">
        <v>45743</v>
      </c>
      <c r="S2589" s="24"/>
      <c r="T2589" s="24"/>
      <c r="U2589" s="24"/>
      <c r="V2589" s="24">
        <v>45743</v>
      </c>
      <c r="W2589" s="22" t="s">
        <v>230</v>
      </c>
      <c r="X2589" s="4" t="str">
        <f>IF(Tabela2[[#This Row],[sigla]]="","",VLOOKUP(Tabela2[[#This Row],[sigla]],créditos_base!B:C,2,0))</f>
        <v>RAFAEL L. GAION/ARQUIVO DA EDITORA</v>
      </c>
      <c r="Y2589" s="23" t="s">
        <v>152</v>
      </c>
      <c r="Z2589" s="23" t="str">
        <f>Tabela2[[#This Row],[ilustrador]]</f>
        <v>RAFAEL L. GAION/ARQUIVO DA EDITORA</v>
      </c>
      <c r="AA2589" s="22"/>
      <c r="AB2589" s="20"/>
      <c r="AC2589" s="20" t="s">
        <v>36</v>
      </c>
      <c r="AD2589" s="4" t="str">
        <f>"Pitanguá"</f>
        <v>Pitanguá</v>
      </c>
      <c r="AE2589" s="14" t="str">
        <f>"Matemática"</f>
        <v>Matemática</v>
      </c>
      <c r="AF2589" s="14"/>
    </row>
    <row r="2590" spans="1:32" ht="100.8" x14ac:dyDescent="0.3">
      <c r="A2590" s="23" t="s">
        <v>1120</v>
      </c>
      <c r="B2590" s="20" t="s">
        <v>16</v>
      </c>
      <c r="C2590" s="20" t="s">
        <v>89</v>
      </c>
      <c r="D2590" s="20" t="s">
        <v>8</v>
      </c>
      <c r="E2590" s="22">
        <v>265</v>
      </c>
      <c r="F2590" s="22">
        <v>4</v>
      </c>
      <c r="G2590" s="22"/>
      <c r="H2590" s="27" t="s">
        <v>1102</v>
      </c>
      <c r="I2590" s="23" t="s">
        <v>9</v>
      </c>
      <c r="J2590" s="23"/>
      <c r="K2590" s="22"/>
      <c r="L2590" s="22"/>
      <c r="M2590" s="23"/>
      <c r="N2590" s="23"/>
      <c r="O2590" s="26" t="s">
        <v>1121</v>
      </c>
      <c r="P2590" s="26"/>
      <c r="Q2590" s="22"/>
      <c r="R2590" s="24"/>
      <c r="S2590" s="24"/>
      <c r="T2590" s="24"/>
      <c r="U2590" s="24"/>
      <c r="V2590" s="24"/>
      <c r="W2590" s="22" t="s">
        <v>160</v>
      </c>
      <c r="X2590" s="4" t="str">
        <f>IF(Tabela2[[#This Row],[sigla]]="","",VLOOKUP(Tabela2[[#This Row],[sigla]],créditos_base!B:C,2,0))</f>
        <v>SERGIO LIMA/ARQUIVO DA EDITORA</v>
      </c>
      <c r="Y2590" s="23"/>
      <c r="Z2590" s="23" t="str">
        <f>Tabela2[[#This Row],[ilustrador]]</f>
        <v>SERGIO LIMA/ARQUIVO DA EDITORA</v>
      </c>
      <c r="AA2590" s="22"/>
      <c r="AB2590" s="20"/>
      <c r="AD2590" s="4" t="str">
        <f>"Pitanguá"</f>
        <v>Pitanguá</v>
      </c>
      <c r="AE2590" s="14" t="str">
        <f>"Matemática"</f>
        <v>Matemática</v>
      </c>
      <c r="AF2590" s="14"/>
    </row>
    <row r="2591" spans="1:32" ht="129.6" x14ac:dyDescent="0.3">
      <c r="A2591" s="23" t="s">
        <v>1122</v>
      </c>
      <c r="B2591" s="20" t="s">
        <v>16</v>
      </c>
      <c r="C2591" s="20" t="s">
        <v>7</v>
      </c>
      <c r="D2591" s="20" t="s">
        <v>8</v>
      </c>
      <c r="E2591" s="22">
        <v>265</v>
      </c>
      <c r="F2591" s="22">
        <v>4</v>
      </c>
      <c r="G2591" s="22"/>
      <c r="H2591" s="27" t="s">
        <v>1102</v>
      </c>
      <c r="I2591" s="23" t="s">
        <v>9</v>
      </c>
      <c r="J2591" s="23"/>
      <c r="K2591" s="22"/>
      <c r="L2591" s="22"/>
      <c r="M2591" s="23"/>
      <c r="N2591" s="23"/>
      <c r="O2591" s="26" t="s">
        <v>1123</v>
      </c>
      <c r="P2591" s="26"/>
      <c r="Q2591" s="22"/>
      <c r="R2591" s="24"/>
      <c r="S2591" s="24"/>
      <c r="T2591" s="24"/>
      <c r="U2591" s="24"/>
      <c r="V2591" s="24"/>
      <c r="W2591" s="22" t="s">
        <v>806</v>
      </c>
      <c r="X2591" s="4" t="str">
        <f>IF(Tabela2[[#This Row],[sigla]]="","",VLOOKUP(Tabela2[[#This Row],[sigla]],créditos_base!B:C,2,0))</f>
        <v>MARCOS MACHADO/ARQUIVO DA EDITORA</v>
      </c>
      <c r="Y2591" s="23"/>
      <c r="Z2591" s="23" t="str">
        <f>Tabela2[[#This Row],[ilustrador]]</f>
        <v>MARCOS MACHADO/ARQUIVO DA EDITORA</v>
      </c>
      <c r="AA2591" s="22"/>
      <c r="AB2591" s="20"/>
      <c r="AD2591" s="4" t="str">
        <f>"Pitanguá"</f>
        <v>Pitanguá</v>
      </c>
      <c r="AE2591" s="14" t="str">
        <f>"Matemática"</f>
        <v>Matemática</v>
      </c>
      <c r="AF2591" s="14"/>
    </row>
    <row r="2592" spans="1:32" ht="28.8" x14ac:dyDescent="0.3">
      <c r="A2592" s="23" t="s">
        <v>1124</v>
      </c>
      <c r="B2592" s="20" t="s">
        <v>16</v>
      </c>
      <c r="C2592" s="20" t="s">
        <v>89</v>
      </c>
      <c r="D2592" s="20" t="s">
        <v>8</v>
      </c>
      <c r="E2592" s="22">
        <v>265</v>
      </c>
      <c r="F2592" s="22">
        <v>4</v>
      </c>
      <c r="G2592" s="22"/>
      <c r="H2592" s="27" t="s">
        <v>1102</v>
      </c>
      <c r="I2592" s="23" t="s">
        <v>9</v>
      </c>
      <c r="J2592" s="23"/>
      <c r="K2592" s="22"/>
      <c r="L2592" s="22"/>
      <c r="M2592" s="23"/>
      <c r="N2592" s="23"/>
      <c r="O2592" s="26" t="s">
        <v>1125</v>
      </c>
      <c r="P2592" s="26" t="s">
        <v>1126</v>
      </c>
      <c r="Q2592" s="22"/>
      <c r="R2592" s="24"/>
      <c r="S2592" s="24"/>
      <c r="T2592" s="24"/>
      <c r="U2592" s="24"/>
      <c r="V2592" s="24"/>
      <c r="W2592" s="22" t="s">
        <v>160</v>
      </c>
      <c r="X2592" s="4" t="str">
        <f>IF(Tabela2[[#This Row],[sigla]]="","",VLOOKUP(Tabela2[[#This Row],[sigla]],créditos_base!B:C,2,0))</f>
        <v>SERGIO LIMA/ARQUIVO DA EDITORA</v>
      </c>
      <c r="Y2592" s="23"/>
      <c r="Z2592" s="23" t="str">
        <f>Tabela2[[#This Row],[ilustrador]]</f>
        <v>SERGIO LIMA/ARQUIVO DA EDITORA</v>
      </c>
      <c r="AA2592" s="22"/>
      <c r="AB2592" s="20"/>
      <c r="AD2592" s="4" t="str">
        <f>"Pitanguá"</f>
        <v>Pitanguá</v>
      </c>
      <c r="AE2592" s="14" t="str">
        <f>"Matemática"</f>
        <v>Matemática</v>
      </c>
      <c r="AF2592" s="14"/>
    </row>
    <row r="2593" spans="1:32" ht="28.8" x14ac:dyDescent="0.3">
      <c r="A2593" s="23" t="s">
        <v>1127</v>
      </c>
      <c r="B2593" s="20" t="s">
        <v>16</v>
      </c>
      <c r="C2593" s="20" t="s">
        <v>89</v>
      </c>
      <c r="D2593" s="20" t="s">
        <v>8</v>
      </c>
      <c r="E2593" s="22">
        <v>266</v>
      </c>
      <c r="F2593" s="22">
        <v>4</v>
      </c>
      <c r="G2593" s="22"/>
      <c r="H2593" s="27" t="s">
        <v>1102</v>
      </c>
      <c r="I2593" s="23" t="s">
        <v>9</v>
      </c>
      <c r="J2593" s="23"/>
      <c r="K2593" s="22"/>
      <c r="L2593" s="22"/>
      <c r="M2593" s="23"/>
      <c r="N2593" s="23"/>
      <c r="O2593" s="26" t="s">
        <v>1128</v>
      </c>
      <c r="P2593" s="26"/>
      <c r="Q2593" s="22"/>
      <c r="R2593" s="24"/>
      <c r="S2593" s="24"/>
      <c r="T2593" s="24"/>
      <c r="U2593" s="24"/>
      <c r="V2593" s="24"/>
      <c r="W2593" s="22" t="s">
        <v>160</v>
      </c>
      <c r="X2593" s="4" t="str">
        <f>IF(Tabela2[[#This Row],[sigla]]="","",VLOOKUP(Tabela2[[#This Row],[sigla]],créditos_base!B:C,2,0))</f>
        <v>SERGIO LIMA/ARQUIVO DA EDITORA</v>
      </c>
      <c r="Y2593" s="23"/>
      <c r="Z2593" s="23" t="str">
        <f>Tabela2[[#This Row],[ilustrador]]</f>
        <v>SERGIO LIMA/ARQUIVO DA EDITORA</v>
      </c>
      <c r="AA2593" s="22"/>
      <c r="AB2593" s="20"/>
      <c r="AD2593" s="4" t="str">
        <f>"Pitanguá"</f>
        <v>Pitanguá</v>
      </c>
      <c r="AE2593" s="14" t="str">
        <f>"Matemática"</f>
        <v>Matemática</v>
      </c>
      <c r="AF2593" s="14"/>
    </row>
    <row r="2594" spans="1:32" x14ac:dyDescent="0.3">
      <c r="A2594" s="23" t="s">
        <v>1129</v>
      </c>
      <c r="B2594" s="20" t="s">
        <v>16</v>
      </c>
      <c r="C2594" s="20" t="s">
        <v>89</v>
      </c>
      <c r="D2594" s="20" t="s">
        <v>8</v>
      </c>
      <c r="E2594" s="22">
        <v>266</v>
      </c>
      <c r="F2594" s="22">
        <v>4</v>
      </c>
      <c r="G2594" s="22"/>
      <c r="H2594" s="27" t="s">
        <v>1102</v>
      </c>
      <c r="I2594" s="23" t="s">
        <v>9</v>
      </c>
      <c r="J2594" s="23"/>
      <c r="K2594" s="22"/>
      <c r="L2594" s="22"/>
      <c r="M2594" s="23"/>
      <c r="N2594" s="23"/>
      <c r="O2594" s="26" t="s">
        <v>1130</v>
      </c>
      <c r="P2594" s="26"/>
      <c r="Q2594" s="22"/>
      <c r="R2594" s="24"/>
      <c r="S2594" s="24"/>
      <c r="T2594" s="24"/>
      <c r="U2594" s="24"/>
      <c r="V2594" s="24"/>
      <c r="W2594" s="22" t="s">
        <v>160</v>
      </c>
      <c r="X2594" s="4" t="str">
        <f>IF(Tabela2[[#This Row],[sigla]]="","",VLOOKUP(Tabela2[[#This Row],[sigla]],créditos_base!B:C,2,0))</f>
        <v>SERGIO LIMA/ARQUIVO DA EDITORA</v>
      </c>
      <c r="Y2594" s="23"/>
      <c r="Z2594" s="23" t="str">
        <f>Tabela2[[#This Row],[ilustrador]]</f>
        <v>SERGIO LIMA/ARQUIVO DA EDITORA</v>
      </c>
      <c r="AA2594" s="22"/>
      <c r="AB2594" s="20"/>
      <c r="AD2594" s="4" t="str">
        <f>"Pitanguá"</f>
        <v>Pitanguá</v>
      </c>
      <c r="AE2594" s="14" t="str">
        <f>"Matemática"</f>
        <v>Matemática</v>
      </c>
      <c r="AF2594" s="14"/>
    </row>
    <row r="2595" spans="1:32" x14ac:dyDescent="0.3">
      <c r="A2595" s="23" t="s">
        <v>1131</v>
      </c>
      <c r="B2595" s="20" t="s">
        <v>16</v>
      </c>
      <c r="C2595" s="20" t="s">
        <v>89</v>
      </c>
      <c r="D2595" s="20" t="s">
        <v>8</v>
      </c>
      <c r="E2595" s="22">
        <v>266</v>
      </c>
      <c r="F2595" s="22">
        <v>4</v>
      </c>
      <c r="G2595" s="22"/>
      <c r="H2595" s="27" t="s">
        <v>1102</v>
      </c>
      <c r="I2595" s="23" t="s">
        <v>9</v>
      </c>
      <c r="J2595" s="23"/>
      <c r="K2595" s="22"/>
      <c r="L2595" s="22"/>
      <c r="M2595" s="23"/>
      <c r="N2595" s="23"/>
      <c r="O2595" s="26" t="s">
        <v>1132</v>
      </c>
      <c r="P2595" s="26"/>
      <c r="Q2595" s="22"/>
      <c r="R2595" s="24"/>
      <c r="S2595" s="24"/>
      <c r="T2595" s="24"/>
      <c r="U2595" s="24"/>
      <c r="V2595" s="24"/>
      <c r="W2595" s="22" t="s">
        <v>425</v>
      </c>
      <c r="X2595" s="4" t="str">
        <f>IF(Tabela2[[#This Row],[sigla]]="","",VLOOKUP(Tabela2[[#This Row],[sigla]],créditos_base!B:C,2,0))</f>
        <v>BÁRBARA SARZI/ARQUIVO DA EDITORA</v>
      </c>
      <c r="Y2595" s="23"/>
      <c r="Z2595" s="23" t="str">
        <f>Tabela2[[#This Row],[ilustrador]]</f>
        <v>BÁRBARA SARZI/ARQUIVO DA EDITORA</v>
      </c>
      <c r="AA2595" s="22"/>
      <c r="AB2595" s="20"/>
      <c r="AD2595" s="4" t="str">
        <f>"Pitanguá"</f>
        <v>Pitanguá</v>
      </c>
      <c r="AE2595" s="14" t="str">
        <f>"Matemática"</f>
        <v>Matemática</v>
      </c>
      <c r="AF2595" s="14"/>
    </row>
    <row r="2596" spans="1:32" x14ac:dyDescent="0.3">
      <c r="A2596" s="23" t="s">
        <v>1133</v>
      </c>
      <c r="B2596" s="20" t="s">
        <v>16</v>
      </c>
      <c r="C2596" s="20" t="s">
        <v>89</v>
      </c>
      <c r="D2596" s="20" t="s">
        <v>8</v>
      </c>
      <c r="E2596" s="22">
        <v>267</v>
      </c>
      <c r="F2596" s="22">
        <v>4</v>
      </c>
      <c r="G2596" s="22"/>
      <c r="H2596" s="27" t="s">
        <v>1102</v>
      </c>
      <c r="I2596" s="23" t="s">
        <v>33</v>
      </c>
      <c r="J2596" s="23"/>
      <c r="K2596" s="22"/>
      <c r="L2596" s="22"/>
      <c r="M2596" s="23"/>
      <c r="N2596" s="23"/>
      <c r="O2596" s="26" t="s">
        <v>1134</v>
      </c>
      <c r="P2596" s="26"/>
      <c r="Q2596" s="22">
        <v>14</v>
      </c>
      <c r="R2596" s="24">
        <v>45743</v>
      </c>
      <c r="S2596" s="24"/>
      <c r="T2596" s="24"/>
      <c r="U2596" s="24"/>
      <c r="V2596" s="24">
        <v>45743</v>
      </c>
      <c r="W2596" s="22" t="s">
        <v>1135</v>
      </c>
      <c r="X2596" s="4" t="str">
        <f>IF(Tabela2[[#This Row],[sigla]]="","",VLOOKUP(Tabela2[[#This Row],[sigla]],créditos_base!B:C,2,0))</f>
        <v>ANA ELISA CARNEIRO/ARQUIVO DA EDITORA</v>
      </c>
      <c r="Y2596" s="23" t="s">
        <v>152</v>
      </c>
      <c r="Z2596" s="23" t="str">
        <f>Tabela2[[#This Row],[ilustrador]]</f>
        <v>ANA ELISA CARNEIRO/ARQUIVO DA EDITORA</v>
      </c>
      <c r="AA2596" s="22"/>
      <c r="AB2596" s="20"/>
      <c r="AC2596" s="20" t="s">
        <v>36</v>
      </c>
      <c r="AD2596" s="4" t="str">
        <f>"Pitanguá"</f>
        <v>Pitanguá</v>
      </c>
      <c r="AE2596" s="14" t="str">
        <f>"Matemática"</f>
        <v>Matemática</v>
      </c>
      <c r="AF2596" s="14"/>
    </row>
    <row r="2597" spans="1:32" ht="28.8" x14ac:dyDescent="0.3">
      <c r="A2597" s="23" t="s">
        <v>5155</v>
      </c>
      <c r="B2597" s="20" t="s">
        <v>16</v>
      </c>
      <c r="C2597" s="20" t="s">
        <v>89</v>
      </c>
      <c r="D2597" s="20" t="s">
        <v>8</v>
      </c>
      <c r="E2597" s="22">
        <v>44</v>
      </c>
      <c r="F2597" s="22">
        <v>1</v>
      </c>
      <c r="G2597" s="22">
        <v>2</v>
      </c>
      <c r="H2597" s="22"/>
      <c r="I2597" s="23" t="s">
        <v>90</v>
      </c>
      <c r="J2597" s="23"/>
      <c r="K2597" s="22"/>
      <c r="L2597" s="22"/>
      <c r="M2597" s="23"/>
      <c r="N2597" s="23"/>
      <c r="O2597" s="26" t="s">
        <v>5156</v>
      </c>
      <c r="P2597" s="26"/>
      <c r="Q2597" s="22">
        <v>105</v>
      </c>
      <c r="R2597" s="24">
        <v>45847</v>
      </c>
      <c r="S2597" s="24">
        <v>45848</v>
      </c>
      <c r="T2597" s="24"/>
      <c r="U2597" s="24"/>
      <c r="V2597" s="24">
        <v>45848</v>
      </c>
      <c r="W2597" s="22" t="s">
        <v>468</v>
      </c>
      <c r="X2597" s="4" t="str">
        <f>IF(Tabela2[[#This Row],[sigla]]="","",VLOOKUP(Tabela2[[#This Row],[sigla]],créditos_base!B:C,2,0))</f>
        <v>VER DOCUMENTO DE ILS. TÉCNICAS</v>
      </c>
      <c r="Y2597" s="23" t="s">
        <v>880</v>
      </c>
      <c r="Z2597" s="23" t="s">
        <v>689</v>
      </c>
      <c r="AA2597" s="22">
        <v>13</v>
      </c>
      <c r="AB2597" s="20" t="s">
        <v>5014</v>
      </c>
      <c r="AC2597" s="20" t="s">
        <v>36</v>
      </c>
      <c r="AD2597" s="4" t="str">
        <f>"Pitanguá"</f>
        <v>Pitanguá</v>
      </c>
      <c r="AE2597" s="14" t="str">
        <f>"Matemática"</f>
        <v>Matemática</v>
      </c>
      <c r="AF2597" s="14"/>
    </row>
    <row r="2598" spans="1:32" x14ac:dyDescent="0.3">
      <c r="A2598" s="23" t="s">
        <v>5173</v>
      </c>
      <c r="B2598" s="20" t="s">
        <v>6</v>
      </c>
      <c r="C2598" s="20" t="s">
        <v>89</v>
      </c>
      <c r="D2598" s="20" t="s">
        <v>1229</v>
      </c>
      <c r="E2598" s="22">
        <v>202</v>
      </c>
      <c r="F2598" s="22">
        <v>1</v>
      </c>
      <c r="G2598" s="22">
        <v>9</v>
      </c>
      <c r="H2598" s="22"/>
      <c r="I2598" s="23" t="s">
        <v>9</v>
      </c>
      <c r="J2598" s="23"/>
      <c r="K2598" s="22"/>
      <c r="L2598" s="22"/>
      <c r="M2598" s="23"/>
      <c r="N2598" s="23"/>
      <c r="O2598" s="26" t="s">
        <v>5174</v>
      </c>
      <c r="P2598" s="26" t="s">
        <v>5175</v>
      </c>
      <c r="Q2598" s="22"/>
      <c r="R2598" s="24"/>
      <c r="S2598" s="24"/>
      <c r="T2598" s="24"/>
      <c r="U2598" s="24"/>
      <c r="V2598" s="24"/>
      <c r="W2598" s="22" t="s">
        <v>356</v>
      </c>
      <c r="X2598" s="4" t="str">
        <f>IF(Tabela2[[#This Row],[sigla]]="","",VLOOKUP(Tabela2[[#This Row],[sigla]],créditos_base!B:C,2,0))</f>
        <v>CAMILA CARMONA/ARQUIVO DA EDITORA</v>
      </c>
      <c r="Y2598" s="23"/>
      <c r="Z2598" s="23" t="str">
        <f>Tabela2[[#This Row],[ilustrador]]</f>
        <v>CAMILA CARMONA/ARQUIVO DA EDITORA</v>
      </c>
      <c r="AA2598" s="22"/>
      <c r="AB2598" s="20"/>
      <c r="AD2598" s="4" t="str">
        <f>"Pitanguá"</f>
        <v>Pitanguá</v>
      </c>
      <c r="AE2598" s="14" t="str">
        <f>"Matemática"</f>
        <v>Matemática</v>
      </c>
      <c r="AF2598" s="14"/>
    </row>
    <row r="2599" spans="1:32" x14ac:dyDescent="0.3">
      <c r="A2599" s="23" t="s">
        <v>5176</v>
      </c>
      <c r="B2599" s="20" t="s">
        <v>16</v>
      </c>
      <c r="C2599" s="20" t="s">
        <v>89</v>
      </c>
      <c r="D2599" s="20" t="s">
        <v>1229</v>
      </c>
      <c r="E2599" s="22">
        <v>203</v>
      </c>
      <c r="F2599" s="22">
        <v>1</v>
      </c>
      <c r="G2599" s="22">
        <v>9</v>
      </c>
      <c r="H2599" s="22"/>
      <c r="I2599" s="23" t="s">
        <v>9</v>
      </c>
      <c r="J2599" s="23"/>
      <c r="K2599" s="22"/>
      <c r="L2599" s="22"/>
      <c r="M2599" s="23"/>
      <c r="N2599" s="23"/>
      <c r="O2599" s="26" t="s">
        <v>5177</v>
      </c>
      <c r="P2599" s="26"/>
      <c r="Q2599" s="22"/>
      <c r="R2599" s="24"/>
      <c r="S2599" s="24"/>
      <c r="T2599" s="24"/>
      <c r="U2599" s="24"/>
      <c r="V2599" s="24"/>
      <c r="W2599" s="22" t="s">
        <v>160</v>
      </c>
      <c r="X2599" s="4" t="str">
        <f>IF(Tabela2[[#This Row],[sigla]]="","",VLOOKUP(Tabela2[[#This Row],[sigla]],créditos_base!B:C,2,0))</f>
        <v>SERGIO LIMA/ARQUIVO DA EDITORA</v>
      </c>
      <c r="Y2599" s="23"/>
      <c r="Z2599" s="23" t="str">
        <f>Tabela2[[#This Row],[ilustrador]]</f>
        <v>SERGIO LIMA/ARQUIVO DA EDITORA</v>
      </c>
      <c r="AA2599" s="22"/>
      <c r="AB2599" s="20"/>
      <c r="AD2599" s="4" t="str">
        <f>"Pitanguá"</f>
        <v>Pitanguá</v>
      </c>
      <c r="AE2599" s="14" t="str">
        <f>"Matemática"</f>
        <v>Matemática</v>
      </c>
      <c r="AF2599" s="14"/>
    </row>
    <row r="2600" spans="1:32" ht="43.2" x14ac:dyDescent="0.3">
      <c r="A2600" s="23" t="s">
        <v>5178</v>
      </c>
      <c r="B2600" s="20" t="s">
        <v>16</v>
      </c>
      <c r="C2600" s="20" t="s">
        <v>89</v>
      </c>
      <c r="D2600" s="20" t="s">
        <v>1229</v>
      </c>
      <c r="E2600" s="22">
        <v>228</v>
      </c>
      <c r="F2600" s="22">
        <v>1</v>
      </c>
      <c r="G2600" s="22">
        <v>10</v>
      </c>
      <c r="H2600" s="22"/>
      <c r="I2600" s="23" t="s">
        <v>9</v>
      </c>
      <c r="J2600" s="23"/>
      <c r="K2600" s="22"/>
      <c r="L2600" s="22"/>
      <c r="M2600" s="23"/>
      <c r="N2600" s="23"/>
      <c r="O2600" s="26" t="s">
        <v>5179</v>
      </c>
      <c r="P2600" s="26"/>
      <c r="Q2600" s="22"/>
      <c r="R2600" s="24"/>
      <c r="S2600" s="24"/>
      <c r="T2600" s="24"/>
      <c r="U2600" s="24"/>
      <c r="V2600" s="24"/>
      <c r="W2600" s="22" t="s">
        <v>160</v>
      </c>
      <c r="X2600" s="4" t="str">
        <f>IF(Tabela2[[#This Row],[sigla]]="","",VLOOKUP(Tabela2[[#This Row],[sigla]],créditos_base!B:C,2,0))</f>
        <v>SERGIO LIMA/ARQUIVO DA EDITORA</v>
      </c>
      <c r="Y2600" s="23"/>
      <c r="Z2600" s="23" t="str">
        <f>Tabela2[[#This Row],[ilustrador]]</f>
        <v>SERGIO LIMA/ARQUIVO DA EDITORA</v>
      </c>
      <c r="AA2600" s="22"/>
      <c r="AB2600" s="20"/>
      <c r="AD2600" s="4" t="str">
        <f>"Pitanguá"</f>
        <v>Pitanguá</v>
      </c>
      <c r="AE2600" s="14" t="str">
        <f>"Matemática"</f>
        <v>Matemática</v>
      </c>
      <c r="AF2600" s="14"/>
    </row>
    <row r="2601" spans="1:32" x14ac:dyDescent="0.3">
      <c r="A2601" s="23" t="s">
        <v>818</v>
      </c>
      <c r="B2601" s="20" t="s">
        <v>16</v>
      </c>
      <c r="C2601" s="20" t="s">
        <v>7</v>
      </c>
      <c r="D2601" s="20" t="s">
        <v>8</v>
      </c>
      <c r="E2601" s="22">
        <v>252</v>
      </c>
      <c r="F2601" s="22">
        <v>1</v>
      </c>
      <c r="G2601" s="22"/>
      <c r="H2601" s="22" t="s">
        <v>819</v>
      </c>
      <c r="I2601" s="23" t="s">
        <v>33</v>
      </c>
      <c r="J2601" s="23"/>
      <c r="K2601" s="22"/>
      <c r="L2601" s="22"/>
      <c r="M2601" s="23"/>
      <c r="N2601" s="23"/>
      <c r="O2601" s="26" t="s">
        <v>820</v>
      </c>
      <c r="P2601" s="26"/>
      <c r="Q2601" s="22">
        <v>8</v>
      </c>
      <c r="R2601" s="24">
        <v>45733</v>
      </c>
      <c r="S2601" s="24">
        <v>45733</v>
      </c>
      <c r="T2601" s="24"/>
      <c r="U2601" s="24"/>
      <c r="V2601" s="24">
        <v>45734</v>
      </c>
      <c r="W2601" s="22" t="s">
        <v>31</v>
      </c>
      <c r="X2601" s="4" t="str">
        <f>IF(Tabela2[[#This Row],[sigla]]="","",VLOOKUP(Tabela2[[#This Row],[sigla]],créditos_base!B:C,2,0))</f>
        <v>SILVIA OTOFUJI/ARQUIVO DA EDITORA</v>
      </c>
      <c r="Y2601" s="23" t="s">
        <v>188</v>
      </c>
      <c r="Z2601" s="23" t="str">
        <f>Tabela2[[#This Row],[ilustrador]]</f>
        <v>SILVIA OTOFUJI/ARQUIVO DA EDITORA</v>
      </c>
      <c r="AA2601" s="22">
        <v>14</v>
      </c>
      <c r="AB2601" s="20" t="s">
        <v>153</v>
      </c>
      <c r="AC2601" s="20" t="s">
        <v>36</v>
      </c>
      <c r="AD2601" s="4" t="str">
        <f>"Pitanguá"</f>
        <v>Pitanguá</v>
      </c>
      <c r="AE2601" s="14" t="str">
        <f>"Matemática"</f>
        <v>Matemática</v>
      </c>
      <c r="AF2601" s="14"/>
    </row>
    <row r="2602" spans="1:32" ht="86.4" x14ac:dyDescent="0.3">
      <c r="A2602" s="23" t="s">
        <v>2653</v>
      </c>
      <c r="B2602" s="20" t="s">
        <v>16</v>
      </c>
      <c r="C2602" s="20" t="s">
        <v>7</v>
      </c>
      <c r="D2602" s="20" t="s">
        <v>8</v>
      </c>
      <c r="E2602" s="22">
        <v>14</v>
      </c>
      <c r="F2602" s="22">
        <v>2</v>
      </c>
      <c r="G2602" s="27" t="s">
        <v>2654</v>
      </c>
      <c r="H2602" s="22"/>
      <c r="I2602" s="23" t="s">
        <v>9</v>
      </c>
      <c r="J2602" s="23"/>
      <c r="K2602" s="22"/>
      <c r="L2602" s="22"/>
      <c r="M2602" s="23"/>
      <c r="N2602" s="23"/>
      <c r="O2602" s="26" t="s">
        <v>2655</v>
      </c>
      <c r="P2602" s="26"/>
      <c r="Q2602" s="22"/>
      <c r="R2602" s="24"/>
      <c r="S2602" s="24"/>
      <c r="T2602" s="24"/>
      <c r="U2602" s="24"/>
      <c r="V2602" s="24"/>
      <c r="W2602" s="22" t="s">
        <v>31</v>
      </c>
      <c r="X2602" s="4" t="str">
        <f>IF(Tabela2[[#This Row],[sigla]]="","",VLOOKUP(Tabela2[[#This Row],[sigla]],créditos_base!B:C,2,0))</f>
        <v>SILVIA OTOFUJI/ARQUIVO DA EDITORA</v>
      </c>
      <c r="Y2602" s="23"/>
      <c r="Z2602" s="23" t="str">
        <f>Tabela2[[#This Row],[ilustrador]]</f>
        <v>SILVIA OTOFUJI/ARQUIVO DA EDITORA</v>
      </c>
      <c r="AA2602" s="22"/>
      <c r="AB2602" s="20"/>
      <c r="AD2602" s="4" t="str">
        <f>"Pitanguá"</f>
        <v>Pitanguá</v>
      </c>
      <c r="AE2602" s="14" t="str">
        <f>"Matemática"</f>
        <v>Matemática</v>
      </c>
      <c r="AF2602" s="14"/>
    </row>
    <row r="2603" spans="1:32" x14ac:dyDescent="0.3">
      <c r="A2603" s="23" t="s">
        <v>3308</v>
      </c>
      <c r="B2603" s="20" t="s">
        <v>16</v>
      </c>
      <c r="C2603" s="20" t="s">
        <v>89</v>
      </c>
      <c r="D2603" s="20" t="s">
        <v>8</v>
      </c>
      <c r="E2603" s="22">
        <v>14</v>
      </c>
      <c r="F2603" s="22">
        <v>3</v>
      </c>
      <c r="G2603" s="22" t="s">
        <v>3309</v>
      </c>
      <c r="H2603" s="22"/>
      <c r="I2603" s="23" t="s">
        <v>9</v>
      </c>
      <c r="J2603" s="23"/>
      <c r="K2603" s="22"/>
      <c r="L2603" s="22"/>
      <c r="M2603" s="23"/>
      <c r="N2603" s="23"/>
      <c r="O2603" s="26" t="s">
        <v>3310</v>
      </c>
      <c r="P2603" s="26"/>
      <c r="Q2603" s="22"/>
      <c r="R2603" s="24"/>
      <c r="S2603" s="24"/>
      <c r="T2603" s="24"/>
      <c r="U2603" s="24"/>
      <c r="V2603" s="24"/>
      <c r="W2603" s="22" t="s">
        <v>468</v>
      </c>
      <c r="X2603" s="4" t="str">
        <f>IF(Tabela2[[#This Row],[sigla]]="","",VLOOKUP(Tabela2[[#This Row],[sigla]],créditos_base!B:C,2,0))</f>
        <v>VER DOCUMENTO DE ILS. TÉCNICAS</v>
      </c>
      <c r="Y2603" s="23"/>
      <c r="Z2603" s="23" t="s">
        <v>661</v>
      </c>
      <c r="AA2603" s="22"/>
      <c r="AB2603" s="20"/>
      <c r="AD2603" s="4" t="str">
        <f>"Pitanguá"</f>
        <v>Pitanguá</v>
      </c>
      <c r="AE2603" s="14" t="str">
        <f>"Matemática"</f>
        <v>Matemática</v>
      </c>
      <c r="AF2603" s="14"/>
    </row>
    <row r="2604" spans="1:32" x14ac:dyDescent="0.3">
      <c r="A2604" s="23" t="s">
        <v>5625</v>
      </c>
      <c r="B2604" s="20" t="s">
        <v>16</v>
      </c>
      <c r="C2604" s="20" t="s">
        <v>89</v>
      </c>
      <c r="D2604" s="20" t="s">
        <v>8</v>
      </c>
      <c r="E2604" s="22">
        <v>273</v>
      </c>
      <c r="F2604" s="22">
        <v>4</v>
      </c>
      <c r="G2604" s="27" t="s">
        <v>2617</v>
      </c>
      <c r="H2604" s="22"/>
      <c r="I2604" s="23" t="s">
        <v>33</v>
      </c>
      <c r="J2604" s="23"/>
      <c r="K2604" s="22"/>
      <c r="L2604" s="22"/>
      <c r="M2604" s="23"/>
      <c r="N2604" s="23"/>
      <c r="O2604" s="26" t="s">
        <v>5626</v>
      </c>
      <c r="P2604" s="26"/>
      <c r="Q2604" s="22">
        <v>134</v>
      </c>
      <c r="R2604" s="24">
        <v>45866</v>
      </c>
      <c r="S2604" s="24">
        <v>45871</v>
      </c>
      <c r="T2604" s="24"/>
      <c r="U2604" s="24"/>
      <c r="V2604" s="24">
        <v>45871</v>
      </c>
      <c r="W2604" s="22" t="s">
        <v>160</v>
      </c>
      <c r="X2604" s="4" t="str">
        <f>IF(Tabela2[[#This Row],[sigla]]="","",VLOOKUP(Tabela2[[#This Row],[sigla]],créditos_base!B:C,2,0))</f>
        <v>SERGIO LIMA/ARQUIVO DA EDITORA</v>
      </c>
      <c r="Y2604" s="23" t="s">
        <v>524</v>
      </c>
      <c r="Z2604" s="23" t="str">
        <f>Tabela2[[#This Row],[ilustrador]]</f>
        <v>SERGIO LIMA/ARQUIVO DA EDITORA</v>
      </c>
      <c r="AA2604" s="22">
        <v>13</v>
      </c>
      <c r="AB2604" s="20" t="s">
        <v>525</v>
      </c>
      <c r="AC2604" s="20" t="s">
        <v>36</v>
      </c>
      <c r="AD2604" s="4" t="str">
        <f>"Pitanguá"</f>
        <v>Pitanguá</v>
      </c>
      <c r="AE2604" s="14" t="str">
        <f>"Matemática"</f>
        <v>Matemática</v>
      </c>
      <c r="AF2604" s="14"/>
    </row>
    <row r="2605" spans="1:32" x14ac:dyDescent="0.3">
      <c r="A2605" s="23" t="s">
        <v>5813</v>
      </c>
      <c r="B2605" s="20" t="s">
        <v>16</v>
      </c>
      <c r="C2605" s="20" t="s">
        <v>89</v>
      </c>
      <c r="D2605" s="20" t="s">
        <v>8</v>
      </c>
      <c r="E2605" s="22">
        <v>276</v>
      </c>
      <c r="F2605" s="22">
        <v>5</v>
      </c>
      <c r="G2605" s="22"/>
      <c r="H2605" s="27" t="s">
        <v>1102</v>
      </c>
      <c r="I2605" s="23" t="s">
        <v>9</v>
      </c>
      <c r="J2605" s="23"/>
      <c r="K2605" s="22"/>
      <c r="L2605" s="22"/>
      <c r="M2605" s="23"/>
      <c r="N2605" s="23"/>
      <c r="O2605" s="26" t="s">
        <v>5814</v>
      </c>
      <c r="P2605" s="26"/>
      <c r="Q2605" s="22"/>
      <c r="R2605" s="24"/>
      <c r="S2605" s="24"/>
      <c r="T2605" s="24"/>
      <c r="U2605" s="24"/>
      <c r="V2605" s="24"/>
      <c r="W2605" s="22" t="s">
        <v>806</v>
      </c>
      <c r="X2605" s="4" t="str">
        <f>IF(Tabela2[[#This Row],[sigla]]="","",VLOOKUP(Tabela2[[#This Row],[sigla]],créditos_base!B:C,2,0))</f>
        <v>MARCOS MACHADO/ARQUIVO DA EDITORA</v>
      </c>
      <c r="Y2605" s="23"/>
      <c r="Z2605" s="23" t="str">
        <f>Tabela2[[#This Row],[ilustrador]]</f>
        <v>MARCOS MACHADO/ARQUIVO DA EDITORA</v>
      </c>
      <c r="AA2605" s="22"/>
      <c r="AB2605" s="20"/>
      <c r="AD2605" s="4" t="str">
        <f>"Pitanguá"</f>
        <v>Pitanguá</v>
      </c>
      <c r="AE2605" s="14" t="str">
        <f>"Matemática"</f>
        <v>Matemática</v>
      </c>
      <c r="AF2605" s="14"/>
    </row>
    <row r="2606" spans="1:32" ht="28.8" x14ac:dyDescent="0.3">
      <c r="A2606" s="23" t="s">
        <v>2656</v>
      </c>
      <c r="B2606" s="20" t="s">
        <v>16</v>
      </c>
      <c r="C2606" s="20" t="s">
        <v>7</v>
      </c>
      <c r="D2606" s="20" t="s">
        <v>8</v>
      </c>
      <c r="E2606" s="22">
        <v>14</v>
      </c>
      <c r="F2606" s="22">
        <v>2</v>
      </c>
      <c r="G2606" s="27" t="s">
        <v>2654</v>
      </c>
      <c r="H2606" s="22"/>
      <c r="I2606" s="23" t="s">
        <v>9</v>
      </c>
      <c r="J2606" s="23"/>
      <c r="K2606" s="22"/>
      <c r="L2606" s="22"/>
      <c r="M2606" s="23"/>
      <c r="N2606" s="23"/>
      <c r="O2606" s="26" t="s">
        <v>2657</v>
      </c>
      <c r="P2606" s="26"/>
      <c r="Q2606" s="22"/>
      <c r="R2606" s="24"/>
      <c r="S2606" s="24"/>
      <c r="T2606" s="24"/>
      <c r="U2606" s="24"/>
      <c r="V2606" s="24"/>
      <c r="W2606" s="22" t="s">
        <v>160</v>
      </c>
      <c r="X2606" s="4" t="str">
        <f>IF(Tabela2[[#This Row],[sigla]]="","",VLOOKUP(Tabela2[[#This Row],[sigla]],créditos_base!B:C,2,0))</f>
        <v>SERGIO LIMA/ARQUIVO DA EDITORA</v>
      </c>
      <c r="Y2606" s="23"/>
      <c r="Z2606" s="23" t="str">
        <f>Tabela2[[#This Row],[ilustrador]]</f>
        <v>SERGIO LIMA/ARQUIVO DA EDITORA</v>
      </c>
      <c r="AA2606" s="22"/>
      <c r="AB2606" s="20"/>
      <c r="AD2606" s="4" t="str">
        <f>"Pitanguá"</f>
        <v>Pitanguá</v>
      </c>
      <c r="AE2606" s="14" t="str">
        <f>"Matemática"</f>
        <v>Matemática</v>
      </c>
      <c r="AF2606" s="14"/>
    </row>
    <row r="2607" spans="1:32" x14ac:dyDescent="0.3">
      <c r="A2607" s="23" t="s">
        <v>3311</v>
      </c>
      <c r="B2607" s="20" t="s">
        <v>16</v>
      </c>
      <c r="C2607" s="20" t="s">
        <v>89</v>
      </c>
      <c r="D2607" s="20" t="s">
        <v>8</v>
      </c>
      <c r="E2607" s="22">
        <v>14</v>
      </c>
      <c r="F2607" s="22">
        <v>3</v>
      </c>
      <c r="G2607" s="22" t="s">
        <v>3309</v>
      </c>
      <c r="H2607" s="22"/>
      <c r="I2607" s="23" t="s">
        <v>9</v>
      </c>
      <c r="J2607" s="23"/>
      <c r="K2607" s="22"/>
      <c r="L2607" s="22"/>
      <c r="M2607" s="23"/>
      <c r="N2607" s="23"/>
      <c r="O2607" s="26" t="s">
        <v>3312</v>
      </c>
      <c r="P2607" s="26"/>
      <c r="Q2607" s="22"/>
      <c r="R2607" s="24"/>
      <c r="S2607" s="24"/>
      <c r="T2607" s="24"/>
      <c r="U2607" s="24"/>
      <c r="V2607" s="24"/>
      <c r="W2607" s="22" t="s">
        <v>468</v>
      </c>
      <c r="X2607" s="4" t="str">
        <f>IF(Tabela2[[#This Row],[sigla]]="","",VLOOKUP(Tabela2[[#This Row],[sigla]],créditos_base!B:C,2,0))</f>
        <v>VER DOCUMENTO DE ILS. TÉCNICAS</v>
      </c>
      <c r="Y2607" s="23"/>
      <c r="Z2607" s="23" t="s">
        <v>661</v>
      </c>
      <c r="AA2607" s="22"/>
      <c r="AB2607" s="20"/>
      <c r="AD2607" s="4" t="str">
        <f>"Pitanguá"</f>
        <v>Pitanguá</v>
      </c>
      <c r="AE2607" s="14" t="str">
        <f>"Matemática"</f>
        <v>Matemática</v>
      </c>
      <c r="AF2607" s="14"/>
    </row>
    <row r="2608" spans="1:32" x14ac:dyDescent="0.3">
      <c r="A2608" s="23" t="s">
        <v>5627</v>
      </c>
      <c r="B2608" s="20" t="s">
        <v>16</v>
      </c>
      <c r="C2608" s="20" t="s">
        <v>89</v>
      </c>
      <c r="D2608" s="20" t="s">
        <v>8</v>
      </c>
      <c r="E2608" s="22">
        <v>273</v>
      </c>
      <c r="F2608" s="22">
        <v>4</v>
      </c>
      <c r="G2608" s="27" t="s">
        <v>2617</v>
      </c>
      <c r="H2608" s="22"/>
      <c r="I2608" s="23" t="s">
        <v>33</v>
      </c>
      <c r="J2608" s="23"/>
      <c r="K2608" s="22"/>
      <c r="L2608" s="22"/>
      <c r="M2608" s="23"/>
      <c r="N2608" s="23"/>
      <c r="O2608" s="26" t="s">
        <v>5628</v>
      </c>
      <c r="P2608" s="26"/>
      <c r="Q2608" s="22">
        <v>134</v>
      </c>
      <c r="R2608" s="24">
        <v>45866</v>
      </c>
      <c r="S2608" s="24">
        <v>45869</v>
      </c>
      <c r="T2608" s="24"/>
      <c r="U2608" s="24"/>
      <c r="V2608" s="24">
        <v>45874</v>
      </c>
      <c r="W2608" s="22" t="s">
        <v>160</v>
      </c>
      <c r="X2608" s="4" t="str">
        <f>IF(Tabela2[[#This Row],[sigla]]="","",VLOOKUP(Tabela2[[#This Row],[sigla]],créditos_base!B:C,2,0))</f>
        <v>SERGIO LIMA/ARQUIVO DA EDITORA</v>
      </c>
      <c r="Y2608" s="23" t="s">
        <v>243</v>
      </c>
      <c r="Z2608" s="23" t="str">
        <f>Tabela2[[#This Row],[ilustrador]]</f>
        <v>SERGIO LIMA/ARQUIVO DA EDITORA</v>
      </c>
      <c r="AA2608" s="22">
        <v>13</v>
      </c>
      <c r="AB2608" s="20" t="s">
        <v>244</v>
      </c>
      <c r="AC2608" s="20" t="s">
        <v>36</v>
      </c>
      <c r="AD2608" s="4" t="str">
        <f>"Pitanguá"</f>
        <v>Pitanguá</v>
      </c>
      <c r="AE2608" s="14" t="str">
        <f>"Matemática"</f>
        <v>Matemática</v>
      </c>
      <c r="AF2608" s="14"/>
    </row>
    <row r="2609" spans="1:32" x14ac:dyDescent="0.3">
      <c r="A2609" s="23" t="s">
        <v>5815</v>
      </c>
      <c r="B2609" s="20" t="s">
        <v>16</v>
      </c>
      <c r="C2609" s="20" t="s">
        <v>89</v>
      </c>
      <c r="D2609" s="20" t="s">
        <v>8</v>
      </c>
      <c r="E2609" s="22">
        <v>277</v>
      </c>
      <c r="F2609" s="22">
        <v>5</v>
      </c>
      <c r="G2609" s="22"/>
      <c r="H2609" s="27" t="s">
        <v>1102</v>
      </c>
      <c r="I2609" s="23" t="s">
        <v>9</v>
      </c>
      <c r="J2609" s="23"/>
      <c r="K2609" s="22"/>
      <c r="L2609" s="22"/>
      <c r="M2609" s="23"/>
      <c r="N2609" s="23"/>
      <c r="O2609" s="26" t="s">
        <v>5816</v>
      </c>
      <c r="P2609" s="26"/>
      <c r="Q2609" s="22"/>
      <c r="R2609" s="24"/>
      <c r="S2609" s="24"/>
      <c r="T2609" s="24"/>
      <c r="U2609" s="24"/>
      <c r="V2609" s="24"/>
      <c r="W2609" s="22" t="s">
        <v>5817</v>
      </c>
      <c r="X2609" s="4" t="str">
        <f>IF(Tabela2[[#This Row],[sigla]]="","",VLOOKUP(Tabela2[[#This Row],[sigla]],créditos_base!B:C,2,0))</f>
        <v>CARLOS BORIN/ARQUIVO DA EDITORA</v>
      </c>
      <c r="Y2609" s="23"/>
      <c r="Z2609" s="23" t="str">
        <f>Tabela2[[#This Row],[ilustrador]]</f>
        <v>CARLOS BORIN/ARQUIVO DA EDITORA</v>
      </c>
      <c r="AA2609" s="22"/>
      <c r="AB2609" s="20"/>
      <c r="AD2609" s="4" t="str">
        <f>"Pitanguá"</f>
        <v>Pitanguá</v>
      </c>
      <c r="AE2609" s="14" t="str">
        <f>"Matemática"</f>
        <v>Matemática</v>
      </c>
      <c r="AF2609" s="14"/>
    </row>
    <row r="2610" spans="1:32" ht="28.8" x14ac:dyDescent="0.3">
      <c r="A2610" s="23" t="s">
        <v>907</v>
      </c>
      <c r="B2610" s="20" t="s">
        <v>16</v>
      </c>
      <c r="C2610" s="20" t="s">
        <v>7</v>
      </c>
      <c r="D2610" s="20" t="s">
        <v>8</v>
      </c>
      <c r="E2610" s="22">
        <v>254</v>
      </c>
      <c r="F2610" s="22">
        <v>1</v>
      </c>
      <c r="G2610" s="22"/>
      <c r="H2610" s="22" t="s">
        <v>819</v>
      </c>
      <c r="I2610" s="23" t="s">
        <v>9</v>
      </c>
      <c r="J2610" s="23"/>
      <c r="K2610" s="22"/>
      <c r="L2610" s="22"/>
      <c r="M2610" s="23"/>
      <c r="N2610" s="23"/>
      <c r="O2610" s="26" t="s">
        <v>908</v>
      </c>
      <c r="P2610" s="26"/>
      <c r="Q2610" s="22"/>
      <c r="R2610" s="24"/>
      <c r="S2610" s="24"/>
      <c r="T2610" s="24"/>
      <c r="U2610" s="24"/>
      <c r="V2610" s="24"/>
      <c r="W2610" s="22" t="s">
        <v>133</v>
      </c>
      <c r="X2610" s="4" t="str">
        <f>IF(Tabela2[[#This Row],[sigla]]="","",VLOOKUP(Tabela2[[#This Row],[sigla]],créditos_base!B:C,2,0))</f>
        <v>JANAINA OLIVEIRA/ARQUIVO DA EDITORA</v>
      </c>
      <c r="Y2610" s="23"/>
      <c r="Z2610" s="23" t="str">
        <f>Tabela2[[#This Row],[ilustrador]]</f>
        <v>JANAINA OLIVEIRA/ARQUIVO DA EDITORA</v>
      </c>
      <c r="AA2610" s="22"/>
      <c r="AB2610" s="20"/>
      <c r="AD2610" s="4" t="str">
        <f>"Pitanguá"</f>
        <v>Pitanguá</v>
      </c>
      <c r="AE2610" s="14" t="str">
        <f>"Matemática"</f>
        <v>Matemática</v>
      </c>
      <c r="AF2610" s="14"/>
    </row>
    <row r="2611" spans="1:32" x14ac:dyDescent="0.3">
      <c r="A2611" s="23" t="s">
        <v>3313</v>
      </c>
      <c r="B2611" s="20" t="s">
        <v>16</v>
      </c>
      <c r="C2611" s="20" t="s">
        <v>89</v>
      </c>
      <c r="D2611" s="20" t="s">
        <v>8</v>
      </c>
      <c r="E2611" s="22">
        <v>14</v>
      </c>
      <c r="F2611" s="22">
        <v>3</v>
      </c>
      <c r="G2611" s="22" t="s">
        <v>3309</v>
      </c>
      <c r="H2611" s="22"/>
      <c r="I2611" s="23" t="s">
        <v>9</v>
      </c>
      <c r="J2611" s="23"/>
      <c r="K2611" s="22"/>
      <c r="L2611" s="22"/>
      <c r="M2611" s="23"/>
      <c r="N2611" s="23"/>
      <c r="O2611" s="26" t="s">
        <v>3314</v>
      </c>
      <c r="P2611" s="26"/>
      <c r="Q2611" s="22"/>
      <c r="R2611" s="24"/>
      <c r="S2611" s="24"/>
      <c r="T2611" s="24"/>
      <c r="U2611" s="24"/>
      <c r="V2611" s="24"/>
      <c r="W2611" s="22" t="s">
        <v>468</v>
      </c>
      <c r="X2611" s="4" t="str">
        <f>IF(Tabela2[[#This Row],[sigla]]="","",VLOOKUP(Tabela2[[#This Row],[sigla]],créditos_base!B:C,2,0))</f>
        <v>VER DOCUMENTO DE ILS. TÉCNICAS</v>
      </c>
      <c r="Y2611" s="23"/>
      <c r="Z2611" s="23" t="s">
        <v>661</v>
      </c>
      <c r="AA2611" s="22"/>
      <c r="AB2611" s="20"/>
      <c r="AD2611" s="4" t="str">
        <f>"Pitanguá"</f>
        <v>Pitanguá</v>
      </c>
      <c r="AE2611" s="14" t="str">
        <f>"Matemática"</f>
        <v>Matemática</v>
      </c>
      <c r="AF2611" s="14"/>
    </row>
    <row r="2612" spans="1:32" x14ac:dyDescent="0.3">
      <c r="A2612" s="23" t="s">
        <v>5621</v>
      </c>
      <c r="B2612" s="20" t="s">
        <v>16</v>
      </c>
      <c r="C2612" s="20" t="s">
        <v>89</v>
      </c>
      <c r="D2612" s="20" t="s">
        <v>8</v>
      </c>
      <c r="E2612" s="22">
        <v>271</v>
      </c>
      <c r="F2612" s="22">
        <v>4</v>
      </c>
      <c r="G2612" s="27" t="s">
        <v>2617</v>
      </c>
      <c r="H2612" s="22"/>
      <c r="I2612" s="23" t="s">
        <v>90</v>
      </c>
      <c r="J2612" s="23"/>
      <c r="K2612" s="22"/>
      <c r="L2612" s="22"/>
      <c r="M2612" s="23"/>
      <c r="N2612" s="23"/>
      <c r="O2612" s="26" t="s">
        <v>5622</v>
      </c>
      <c r="P2612" s="26"/>
      <c r="Q2612" s="22">
        <v>134</v>
      </c>
      <c r="R2612" s="24">
        <v>45866</v>
      </c>
      <c r="S2612" s="24">
        <v>45871</v>
      </c>
      <c r="T2612" s="24"/>
      <c r="U2612" s="24"/>
      <c r="V2612" s="24">
        <v>45871</v>
      </c>
      <c r="W2612" s="22" t="s">
        <v>468</v>
      </c>
      <c r="X2612" s="4" t="str">
        <f>IF(Tabela2[[#This Row],[sigla]]="","",VLOOKUP(Tabela2[[#This Row],[sigla]],créditos_base!B:C,2,0))</f>
        <v>VER DOCUMENTO DE ILS. TÉCNICAS</v>
      </c>
      <c r="Y2612" s="23" t="s">
        <v>524</v>
      </c>
      <c r="Z2612" s="42" t="s">
        <v>5062</v>
      </c>
      <c r="AA2612" s="22">
        <v>13</v>
      </c>
      <c r="AB2612" s="20" t="s">
        <v>525</v>
      </c>
      <c r="AC2612" s="20" t="s">
        <v>36</v>
      </c>
      <c r="AD2612" s="4" t="str">
        <f>"Pitanguá"</f>
        <v>Pitanguá</v>
      </c>
      <c r="AE2612" s="14" t="str">
        <f>"Matemática"</f>
        <v>Matemática</v>
      </c>
      <c r="AF2612" s="14"/>
    </row>
    <row r="2613" spans="1:32" x14ac:dyDescent="0.3">
      <c r="A2613" s="23" t="s">
        <v>5818</v>
      </c>
      <c r="B2613" s="20" t="s">
        <v>16</v>
      </c>
      <c r="C2613" s="20" t="s">
        <v>89</v>
      </c>
      <c r="D2613" s="20" t="s">
        <v>8</v>
      </c>
      <c r="E2613" s="22">
        <v>277</v>
      </c>
      <c r="F2613" s="22">
        <v>5</v>
      </c>
      <c r="G2613" s="22"/>
      <c r="H2613" s="27" t="s">
        <v>1102</v>
      </c>
      <c r="I2613" s="23" t="s">
        <v>9</v>
      </c>
      <c r="J2613" s="23"/>
      <c r="K2613" s="22"/>
      <c r="L2613" s="22"/>
      <c r="M2613" s="23"/>
      <c r="N2613" s="23"/>
      <c r="O2613" s="26" t="s">
        <v>5819</v>
      </c>
      <c r="P2613" s="26"/>
      <c r="Q2613" s="22"/>
      <c r="R2613" s="24"/>
      <c r="S2613" s="24"/>
      <c r="T2613" s="24"/>
      <c r="U2613" s="24"/>
      <c r="V2613" s="24"/>
      <c r="W2613" s="22" t="s">
        <v>5817</v>
      </c>
      <c r="X2613" s="4" t="str">
        <f>IF(Tabela2[[#This Row],[sigla]]="","",VLOOKUP(Tabela2[[#This Row],[sigla]],créditos_base!B:C,2,0))</f>
        <v>CARLOS BORIN/ARQUIVO DA EDITORA</v>
      </c>
      <c r="Y2613" s="23"/>
      <c r="Z2613" s="23" t="str">
        <f>Tabela2[[#This Row],[ilustrador]]</f>
        <v>CARLOS BORIN/ARQUIVO DA EDITORA</v>
      </c>
      <c r="AA2613" s="22"/>
      <c r="AB2613" s="20"/>
      <c r="AD2613" s="4" t="str">
        <f>"Pitanguá"</f>
        <v>Pitanguá</v>
      </c>
      <c r="AE2613" s="14" t="str">
        <f>"Matemática"</f>
        <v>Matemática</v>
      </c>
      <c r="AF2613" s="14"/>
    </row>
    <row r="2614" spans="1:32" x14ac:dyDescent="0.3">
      <c r="A2614" s="23" t="s">
        <v>2660</v>
      </c>
      <c r="B2614" s="20" t="s">
        <v>16</v>
      </c>
      <c r="C2614" s="20" t="s">
        <v>7</v>
      </c>
      <c r="D2614" s="20" t="s">
        <v>8</v>
      </c>
      <c r="E2614" s="22">
        <v>15</v>
      </c>
      <c r="F2614" s="22">
        <v>2</v>
      </c>
      <c r="G2614" s="27" t="s">
        <v>2654</v>
      </c>
      <c r="H2614" s="22"/>
      <c r="I2614" s="23" t="s">
        <v>9</v>
      </c>
      <c r="J2614" s="23"/>
      <c r="K2614" s="22"/>
      <c r="L2614" s="22"/>
      <c r="M2614" s="23"/>
      <c r="N2614" s="23"/>
      <c r="O2614" s="26" t="s">
        <v>2661</v>
      </c>
      <c r="P2614" s="26"/>
      <c r="Q2614" s="22"/>
      <c r="R2614" s="24"/>
      <c r="S2614" s="24"/>
      <c r="T2614" s="24"/>
      <c r="U2614" s="24"/>
      <c r="V2614" s="24"/>
      <c r="W2614" s="22" t="s">
        <v>230</v>
      </c>
      <c r="X2614" s="4" t="str">
        <f>IF(Tabela2[[#This Row],[sigla]]="","",VLOOKUP(Tabela2[[#This Row],[sigla]],créditos_base!B:C,2,0))</f>
        <v>RAFAEL L. GAION/ARQUIVO DA EDITORA</v>
      </c>
      <c r="Y2614" s="23"/>
      <c r="Z2614" s="23" t="str">
        <f>Tabela2[[#This Row],[ilustrador]]</f>
        <v>RAFAEL L. GAION/ARQUIVO DA EDITORA</v>
      </c>
      <c r="AA2614" s="22"/>
      <c r="AB2614" s="20"/>
      <c r="AD2614" s="4" t="str">
        <f>"Pitanguá"</f>
        <v>Pitanguá</v>
      </c>
      <c r="AE2614" s="14" t="str">
        <f>"Matemática"</f>
        <v>Matemática</v>
      </c>
      <c r="AF2614" s="14"/>
    </row>
    <row r="2615" spans="1:32" x14ac:dyDescent="0.3">
      <c r="A2615" s="23" t="s">
        <v>3315</v>
      </c>
      <c r="B2615" s="20" t="s">
        <v>16</v>
      </c>
      <c r="C2615" s="20" t="s">
        <v>89</v>
      </c>
      <c r="D2615" s="20" t="s">
        <v>8</v>
      </c>
      <c r="E2615" s="22">
        <v>14</v>
      </c>
      <c r="F2615" s="22">
        <v>3</v>
      </c>
      <c r="G2615" s="22" t="s">
        <v>3309</v>
      </c>
      <c r="H2615" s="22"/>
      <c r="I2615" s="23" t="s">
        <v>33</v>
      </c>
      <c r="J2615" s="23"/>
      <c r="K2615" s="22"/>
      <c r="L2615" s="22"/>
      <c r="M2615" s="23"/>
      <c r="N2615" s="23"/>
      <c r="O2615" s="26" t="s">
        <v>3316</v>
      </c>
      <c r="P2615" s="26"/>
      <c r="Q2615" s="22">
        <v>47</v>
      </c>
      <c r="R2615" s="24">
        <v>45797</v>
      </c>
      <c r="S2615" s="24">
        <v>45797</v>
      </c>
      <c r="T2615" s="24"/>
      <c r="U2615" s="24"/>
      <c r="V2615" s="24">
        <v>45797</v>
      </c>
      <c r="W2615" s="22" t="s">
        <v>763</v>
      </c>
      <c r="X2615" s="4" t="str">
        <f>IF(Tabela2[[#This Row],[sigla]]="","",VLOOKUP(Tabela2[[#This Row],[sigla]],créditos_base!B:C,2,0))</f>
        <v>RAFAELA PANISSA/ARQUIVO DA EDITORA</v>
      </c>
      <c r="Y2615" s="23" t="s">
        <v>188</v>
      </c>
      <c r="Z2615" s="23" t="str">
        <f>Tabela2[[#This Row],[ilustrador]]</f>
        <v>RAFAELA PANISSA/ARQUIVO DA EDITORA</v>
      </c>
      <c r="AA2615" s="22">
        <v>14</v>
      </c>
      <c r="AB2615" s="20" t="s">
        <v>153</v>
      </c>
      <c r="AC2615" s="20" t="s">
        <v>36</v>
      </c>
      <c r="AD2615" s="4" t="str">
        <f>"Pitanguá"</f>
        <v>Pitanguá</v>
      </c>
      <c r="AE2615" s="14" t="str">
        <f>"Matemática"</f>
        <v>Matemática</v>
      </c>
      <c r="AF2615" s="14"/>
    </row>
    <row r="2616" spans="1:32" ht="28.8" x14ac:dyDescent="0.3">
      <c r="A2616" s="23" t="s">
        <v>5623</v>
      </c>
      <c r="B2616" s="20" t="s">
        <v>16</v>
      </c>
      <c r="C2616" s="20" t="s">
        <v>89</v>
      </c>
      <c r="D2616" s="20" t="s">
        <v>8</v>
      </c>
      <c r="E2616" s="22">
        <v>273</v>
      </c>
      <c r="F2616" s="22">
        <v>4</v>
      </c>
      <c r="G2616" s="27" t="s">
        <v>2617</v>
      </c>
      <c r="H2616" s="22"/>
      <c r="I2616" s="23" t="s">
        <v>9</v>
      </c>
      <c r="J2616" s="23"/>
      <c r="K2616" s="22"/>
      <c r="L2616" s="22"/>
      <c r="M2616" s="23"/>
      <c r="N2616" s="23"/>
      <c r="O2616" s="20" t="s">
        <v>5624</v>
      </c>
      <c r="P2616" s="26"/>
      <c r="Q2616" s="22"/>
      <c r="R2616" s="24"/>
      <c r="S2616" s="24"/>
      <c r="T2616" s="24"/>
      <c r="U2616" s="24"/>
      <c r="V2616" s="24"/>
      <c r="W2616" s="22" t="s">
        <v>468</v>
      </c>
      <c r="X2616" s="4" t="str">
        <f>IF(Tabela2[[#This Row],[sigla]]="","",VLOOKUP(Tabela2[[#This Row],[sigla]],créditos_base!B:C,2,0))</f>
        <v>VER DOCUMENTO DE ILS. TÉCNICAS</v>
      </c>
      <c r="Y2616" s="23"/>
      <c r="Z2616" s="23" t="s">
        <v>5062</v>
      </c>
      <c r="AA2616" s="22"/>
      <c r="AB2616" s="20"/>
      <c r="AD2616" s="4" t="str">
        <f>"Pitanguá"</f>
        <v>Pitanguá</v>
      </c>
      <c r="AE2616" s="14" t="str">
        <f>"Matemática"</f>
        <v>Matemática</v>
      </c>
      <c r="AF2616" s="14"/>
    </row>
    <row r="2617" spans="1:32" x14ac:dyDescent="0.3">
      <c r="A2617" s="23" t="s">
        <v>5820</v>
      </c>
      <c r="B2617" s="20" t="s">
        <v>16</v>
      </c>
      <c r="C2617" s="20" t="s">
        <v>89</v>
      </c>
      <c r="D2617" s="20" t="s">
        <v>8</v>
      </c>
      <c r="E2617" s="22">
        <v>277</v>
      </c>
      <c r="F2617" s="22">
        <v>5</v>
      </c>
      <c r="G2617" s="22"/>
      <c r="H2617" s="27" t="s">
        <v>1102</v>
      </c>
      <c r="I2617" s="23" t="s">
        <v>9</v>
      </c>
      <c r="J2617" s="23"/>
      <c r="K2617" s="22"/>
      <c r="L2617" s="22"/>
      <c r="M2617" s="23"/>
      <c r="N2617" s="23"/>
      <c r="O2617" s="26" t="s">
        <v>5821</v>
      </c>
      <c r="P2617" s="26"/>
      <c r="Q2617" s="22"/>
      <c r="R2617" s="24"/>
      <c r="S2617" s="24"/>
      <c r="T2617" s="24"/>
      <c r="U2617" s="24"/>
      <c r="V2617" s="24"/>
      <c r="W2617" s="22" t="s">
        <v>5817</v>
      </c>
      <c r="X2617" s="4" t="str">
        <f>IF(Tabela2[[#This Row],[sigla]]="","",VLOOKUP(Tabela2[[#This Row],[sigla]],créditos_base!B:C,2,0))</f>
        <v>CARLOS BORIN/ARQUIVO DA EDITORA</v>
      </c>
      <c r="Y2617" s="23"/>
      <c r="Z2617" s="23" t="str">
        <f>Tabela2[[#This Row],[ilustrador]]</f>
        <v>CARLOS BORIN/ARQUIVO DA EDITORA</v>
      </c>
      <c r="AA2617" s="22"/>
      <c r="AB2617" s="20"/>
      <c r="AD2617" s="4" t="str">
        <f>"Pitanguá"</f>
        <v>Pitanguá</v>
      </c>
      <c r="AE2617" s="14" t="str">
        <f>"Matemática"</f>
        <v>Matemática</v>
      </c>
      <c r="AF2617" s="14"/>
    </row>
    <row r="2618" spans="1:32" ht="28.8" x14ac:dyDescent="0.3">
      <c r="A2618" s="23" t="s">
        <v>821</v>
      </c>
      <c r="B2618" s="20" t="s">
        <v>16</v>
      </c>
      <c r="C2618" s="20" t="s">
        <v>7</v>
      </c>
      <c r="D2618" s="20" t="s">
        <v>8</v>
      </c>
      <c r="E2618" s="22">
        <v>255</v>
      </c>
      <c r="F2618" s="22">
        <v>1</v>
      </c>
      <c r="G2618" s="22"/>
      <c r="H2618" s="22" t="s">
        <v>819</v>
      </c>
      <c r="I2618" s="23" t="s">
        <v>33</v>
      </c>
      <c r="J2618" s="23"/>
      <c r="K2618" s="22"/>
      <c r="L2618" s="22"/>
      <c r="M2618" s="23"/>
      <c r="N2618" s="23"/>
      <c r="O2618" s="26" t="s">
        <v>822</v>
      </c>
      <c r="P2618" s="26"/>
      <c r="Q2618" s="22">
        <v>8</v>
      </c>
      <c r="R2618" s="24">
        <v>45733</v>
      </c>
      <c r="S2618" s="24">
        <v>45733</v>
      </c>
      <c r="T2618" s="24"/>
      <c r="U2618" s="24"/>
      <c r="V2618" s="24">
        <v>45734</v>
      </c>
      <c r="W2618" s="22" t="s">
        <v>133</v>
      </c>
      <c r="X2618" s="4" t="str">
        <f>IF(Tabela2[[#This Row],[sigla]]="","",VLOOKUP(Tabela2[[#This Row],[sigla]],créditos_base!B:C,2,0))</f>
        <v>JANAINA OLIVEIRA/ARQUIVO DA EDITORA</v>
      </c>
      <c r="Y2618" s="23" t="s">
        <v>188</v>
      </c>
      <c r="Z2618" s="23" t="str">
        <f>Tabela2[[#This Row],[ilustrador]]</f>
        <v>JANAINA OLIVEIRA/ARQUIVO DA EDITORA</v>
      </c>
      <c r="AA2618" s="22">
        <v>14</v>
      </c>
      <c r="AB2618" s="20" t="s">
        <v>153</v>
      </c>
      <c r="AC2618" s="20" t="s">
        <v>36</v>
      </c>
      <c r="AD2618" s="4" t="str">
        <f>"Pitanguá"</f>
        <v>Pitanguá</v>
      </c>
      <c r="AE2618" s="14" t="str">
        <f>"Matemática"</f>
        <v>Matemática</v>
      </c>
      <c r="AF2618" s="14"/>
    </row>
    <row r="2619" spans="1:32" x14ac:dyDescent="0.3">
      <c r="A2619" s="23" t="s">
        <v>2662</v>
      </c>
      <c r="B2619" s="20" t="s">
        <v>16</v>
      </c>
      <c r="C2619" s="20" t="s">
        <v>7</v>
      </c>
      <c r="D2619" s="20" t="s">
        <v>8</v>
      </c>
      <c r="E2619" s="22">
        <v>15</v>
      </c>
      <c r="F2619" s="22">
        <v>2</v>
      </c>
      <c r="G2619" s="27" t="s">
        <v>2654</v>
      </c>
      <c r="H2619" s="22"/>
      <c r="I2619" s="23" t="s">
        <v>9</v>
      </c>
      <c r="J2619" s="23"/>
      <c r="K2619" s="22"/>
      <c r="L2619" s="22"/>
      <c r="M2619" s="23"/>
      <c r="N2619" s="23"/>
      <c r="O2619" s="26" t="s">
        <v>2663</v>
      </c>
      <c r="P2619" s="26"/>
      <c r="Q2619" s="22"/>
      <c r="R2619" s="24"/>
      <c r="S2619" s="24"/>
      <c r="T2619" s="24"/>
      <c r="U2619" s="24"/>
      <c r="V2619" s="24"/>
      <c r="W2619" s="22" t="s">
        <v>230</v>
      </c>
      <c r="X2619" s="4" t="str">
        <f>IF(Tabela2[[#This Row],[sigla]]="","",VLOOKUP(Tabela2[[#This Row],[sigla]],créditos_base!B:C,2,0))</f>
        <v>RAFAEL L. GAION/ARQUIVO DA EDITORA</v>
      </c>
      <c r="Y2619" s="23"/>
      <c r="Z2619" s="23" t="str">
        <f>Tabela2[[#This Row],[ilustrador]]</f>
        <v>RAFAEL L. GAION/ARQUIVO DA EDITORA</v>
      </c>
      <c r="AA2619" s="22"/>
      <c r="AB2619" s="20"/>
      <c r="AD2619" s="4" t="str">
        <f>"Pitanguá"</f>
        <v>Pitanguá</v>
      </c>
      <c r="AE2619" s="14" t="str">
        <f>"Matemática"</f>
        <v>Matemática</v>
      </c>
      <c r="AF2619" s="14"/>
    </row>
    <row r="2620" spans="1:32" ht="28.8" x14ac:dyDescent="0.3">
      <c r="A2620" s="23" t="s">
        <v>3319</v>
      </c>
      <c r="B2620" s="20" t="s">
        <v>16</v>
      </c>
      <c r="C2620" s="20" t="s">
        <v>7</v>
      </c>
      <c r="D2620" s="20" t="s">
        <v>8</v>
      </c>
      <c r="E2620" s="22">
        <v>16</v>
      </c>
      <c r="F2620" s="22">
        <v>3</v>
      </c>
      <c r="G2620" s="22" t="s">
        <v>3309</v>
      </c>
      <c r="H2620" s="22"/>
      <c r="I2620" s="23" t="s">
        <v>9</v>
      </c>
      <c r="J2620" s="23"/>
      <c r="K2620" s="22"/>
      <c r="L2620" s="22"/>
      <c r="M2620" s="23"/>
      <c r="N2620" s="23"/>
      <c r="O2620" s="26" t="s">
        <v>3320</v>
      </c>
      <c r="P2620" s="26"/>
      <c r="Q2620" s="22"/>
      <c r="R2620" s="24"/>
      <c r="S2620" s="24"/>
      <c r="T2620" s="24"/>
      <c r="U2620" s="24"/>
      <c r="V2620" s="24"/>
      <c r="W2620" s="22" t="s">
        <v>468</v>
      </c>
      <c r="X2620" s="4" t="str">
        <f>IF(Tabela2[[#This Row],[sigla]]="","",VLOOKUP(Tabela2[[#This Row],[sigla]],créditos_base!B:C,2,0))</f>
        <v>VER DOCUMENTO DE ILS. TÉCNICAS</v>
      </c>
      <c r="Y2620" s="23"/>
      <c r="Z2620" s="23" t="s">
        <v>1327</v>
      </c>
      <c r="AA2620" s="22"/>
      <c r="AB2620" s="20"/>
      <c r="AD2620" s="4" t="str">
        <f>"Pitanguá"</f>
        <v>Pitanguá</v>
      </c>
      <c r="AE2620" s="14" t="str">
        <f>"Matemática"</f>
        <v>Matemática</v>
      </c>
      <c r="AF2620" s="14"/>
    </row>
    <row r="2621" spans="1:32" x14ac:dyDescent="0.3">
      <c r="A2621" s="23" t="s">
        <v>5629</v>
      </c>
      <c r="B2621" s="20" t="s">
        <v>16</v>
      </c>
      <c r="C2621" s="20" t="s">
        <v>89</v>
      </c>
      <c r="D2621" s="20" t="s">
        <v>8</v>
      </c>
      <c r="E2621" s="22">
        <v>273</v>
      </c>
      <c r="F2621" s="22">
        <v>4</v>
      </c>
      <c r="G2621" s="27" t="s">
        <v>2617</v>
      </c>
      <c r="H2621" s="22"/>
      <c r="I2621" s="23" t="s">
        <v>33</v>
      </c>
      <c r="J2621" s="23"/>
      <c r="K2621" s="22"/>
      <c r="L2621" s="22"/>
      <c r="M2621" s="23"/>
      <c r="N2621" s="23"/>
      <c r="O2621" s="26" t="s">
        <v>5630</v>
      </c>
      <c r="P2621" s="26"/>
      <c r="Q2621" s="22">
        <v>134</v>
      </c>
      <c r="R2621" s="24">
        <v>45866</v>
      </c>
      <c r="S2621" s="24">
        <v>45871</v>
      </c>
      <c r="T2621" s="24"/>
      <c r="U2621" s="24"/>
      <c r="V2621" s="24">
        <v>45871</v>
      </c>
      <c r="W2621" s="22" t="s">
        <v>160</v>
      </c>
      <c r="X2621" s="4" t="str">
        <f>IF(Tabela2[[#This Row],[sigla]]="","",VLOOKUP(Tabela2[[#This Row],[sigla]],créditos_base!B:C,2,0))</f>
        <v>SERGIO LIMA/ARQUIVO DA EDITORA</v>
      </c>
      <c r="Y2621" s="23" t="s">
        <v>524</v>
      </c>
      <c r="Z2621" s="23" t="str">
        <f>Tabela2[[#This Row],[ilustrador]]</f>
        <v>SERGIO LIMA/ARQUIVO DA EDITORA</v>
      </c>
      <c r="AA2621" s="22">
        <v>13</v>
      </c>
      <c r="AB2621" s="20" t="s">
        <v>525</v>
      </c>
      <c r="AC2621" s="20" t="s">
        <v>36</v>
      </c>
      <c r="AD2621" s="4" t="str">
        <f>"Pitanguá"</f>
        <v>Pitanguá</v>
      </c>
      <c r="AE2621" s="14" t="str">
        <f>"Matemática"</f>
        <v>Matemática</v>
      </c>
      <c r="AF2621" s="14"/>
    </row>
    <row r="2622" spans="1:32" x14ac:dyDescent="0.3">
      <c r="A2622" s="23" t="s">
        <v>3321</v>
      </c>
      <c r="B2622" s="20" t="s">
        <v>16</v>
      </c>
      <c r="C2622" s="20" t="s">
        <v>7</v>
      </c>
      <c r="D2622" s="20" t="s">
        <v>8</v>
      </c>
      <c r="E2622" s="22">
        <v>16</v>
      </c>
      <c r="F2622" s="22">
        <v>3</v>
      </c>
      <c r="G2622" s="22" t="s">
        <v>3309</v>
      </c>
      <c r="H2622" s="22"/>
      <c r="I2622" s="23" t="s">
        <v>9</v>
      </c>
      <c r="J2622" s="23"/>
      <c r="K2622" s="22"/>
      <c r="L2622" s="22"/>
      <c r="M2622" s="23"/>
      <c r="N2622" s="23"/>
      <c r="O2622" s="26" t="s">
        <v>3322</v>
      </c>
      <c r="P2622" s="26"/>
      <c r="Q2622" s="22"/>
      <c r="R2622" s="24"/>
      <c r="S2622" s="24"/>
      <c r="T2622" s="24"/>
      <c r="U2622" s="24"/>
      <c r="V2622" s="24"/>
      <c r="W2622" s="22" t="s">
        <v>468</v>
      </c>
      <c r="X2622" s="4" t="str">
        <f>IF(Tabela2[[#This Row],[sigla]]="","",VLOOKUP(Tabela2[[#This Row],[sigla]],créditos_base!B:C,2,0))</f>
        <v>VER DOCUMENTO DE ILS. TÉCNICAS</v>
      </c>
      <c r="Y2622" s="23"/>
      <c r="Z2622" s="23" t="s">
        <v>1327</v>
      </c>
      <c r="AA2622" s="22"/>
      <c r="AB2622" s="20"/>
      <c r="AD2622" s="4" t="str">
        <f>"Pitanguá"</f>
        <v>Pitanguá</v>
      </c>
      <c r="AE2622" s="14" t="str">
        <f>"Matemática"</f>
        <v>Matemática</v>
      </c>
      <c r="AF2622" s="14"/>
    </row>
    <row r="2623" spans="1:32" ht="15.6" x14ac:dyDescent="0.3">
      <c r="A2623" s="23" t="s">
        <v>5631</v>
      </c>
      <c r="B2623" s="20" t="s">
        <v>16</v>
      </c>
      <c r="C2623" s="20" t="s">
        <v>89</v>
      </c>
      <c r="D2623" s="20" t="s">
        <v>8</v>
      </c>
      <c r="E2623" s="22">
        <v>273</v>
      </c>
      <c r="F2623" s="22">
        <v>4</v>
      </c>
      <c r="G2623" s="27" t="s">
        <v>2617</v>
      </c>
      <c r="H2623" s="22"/>
      <c r="I2623" s="23" t="s">
        <v>33</v>
      </c>
      <c r="J2623" s="23"/>
      <c r="K2623" s="22"/>
      <c r="L2623" s="22"/>
      <c r="M2623" s="23"/>
      <c r="N2623" s="23"/>
      <c r="O2623" s="26" t="s">
        <v>5632</v>
      </c>
      <c r="P2623" s="26"/>
      <c r="Q2623" s="22">
        <v>134</v>
      </c>
      <c r="R2623" s="24">
        <v>45866</v>
      </c>
      <c r="S2623" s="24">
        <v>45871</v>
      </c>
      <c r="T2623" s="24"/>
      <c r="U2623" s="24"/>
      <c r="V2623" s="24">
        <v>45871</v>
      </c>
      <c r="W2623" s="22" t="s">
        <v>160</v>
      </c>
      <c r="X2623" s="4" t="str">
        <f>IF(Tabela2[[#This Row],[sigla]]="","",VLOOKUP(Tabela2[[#This Row],[sigla]],créditos_base!B:C,2,0))</f>
        <v>SERGIO LIMA/ARQUIVO DA EDITORA</v>
      </c>
      <c r="Y2623" s="23" t="s">
        <v>524</v>
      </c>
      <c r="Z2623" s="23" t="str">
        <f>Tabela2[[#This Row],[ilustrador]]</f>
        <v>SERGIO LIMA/ARQUIVO DA EDITORA</v>
      </c>
      <c r="AA2623" s="22">
        <v>13</v>
      </c>
      <c r="AB2623" s="20" t="s">
        <v>525</v>
      </c>
      <c r="AC2623" s="20" t="s">
        <v>36</v>
      </c>
      <c r="AD2623" s="4" t="str">
        <f>"Pitanguá"</f>
        <v>Pitanguá</v>
      </c>
      <c r="AE2623" s="14" t="str">
        <f>"Matemática"</f>
        <v>Matemática</v>
      </c>
      <c r="AF2623" s="14"/>
    </row>
    <row r="2624" spans="1:32" ht="28.8" x14ac:dyDescent="0.3">
      <c r="A2624" s="23" t="s">
        <v>2664</v>
      </c>
      <c r="B2624" s="20" t="s">
        <v>16</v>
      </c>
      <c r="C2624" s="20" t="s">
        <v>7</v>
      </c>
      <c r="D2624" s="20" t="s">
        <v>8</v>
      </c>
      <c r="E2624" s="22">
        <v>16</v>
      </c>
      <c r="F2624" s="22">
        <v>2</v>
      </c>
      <c r="G2624" s="27" t="s">
        <v>2654</v>
      </c>
      <c r="H2624" s="22"/>
      <c r="I2624" s="23" t="s">
        <v>9</v>
      </c>
      <c r="J2624" s="23"/>
      <c r="K2624" s="22"/>
      <c r="L2624" s="22"/>
      <c r="M2624" s="23"/>
      <c r="N2624" s="23"/>
      <c r="O2624" s="26" t="s">
        <v>2665</v>
      </c>
      <c r="P2624" s="26"/>
      <c r="Q2624" s="22"/>
      <c r="R2624" s="24"/>
      <c r="S2624" s="24"/>
      <c r="T2624" s="24"/>
      <c r="U2624" s="24"/>
      <c r="V2624" s="24"/>
      <c r="W2624" s="22" t="s">
        <v>160</v>
      </c>
      <c r="X2624" s="4" t="str">
        <f>IF(Tabela2[[#This Row],[sigla]]="","",VLOOKUP(Tabela2[[#This Row],[sigla]],créditos_base!B:C,2,0))</f>
        <v>SERGIO LIMA/ARQUIVO DA EDITORA</v>
      </c>
      <c r="Y2624" s="23"/>
      <c r="Z2624" s="23" t="str">
        <f>Tabela2[[#This Row],[ilustrador]]</f>
        <v>SERGIO LIMA/ARQUIVO DA EDITORA</v>
      </c>
      <c r="AA2624" s="22"/>
      <c r="AB2624" s="20"/>
      <c r="AD2624" s="4" t="str">
        <f>"Pitanguá"</f>
        <v>Pitanguá</v>
      </c>
      <c r="AE2624" s="14" t="str">
        <f>"Matemática"</f>
        <v>Matemática</v>
      </c>
      <c r="AF2624" s="14"/>
    </row>
    <row r="2625" spans="1:32" ht="28.8" x14ac:dyDescent="0.3">
      <c r="A2625" s="23" t="s">
        <v>3323</v>
      </c>
      <c r="B2625" s="20" t="s">
        <v>16</v>
      </c>
      <c r="C2625" s="20" t="s">
        <v>7</v>
      </c>
      <c r="D2625" s="20" t="s">
        <v>8</v>
      </c>
      <c r="E2625" s="22">
        <v>16</v>
      </c>
      <c r="F2625" s="22">
        <v>3</v>
      </c>
      <c r="G2625" s="22" t="s">
        <v>3309</v>
      </c>
      <c r="H2625" s="22"/>
      <c r="I2625" s="23" t="s">
        <v>9</v>
      </c>
      <c r="J2625" s="23"/>
      <c r="K2625" s="22"/>
      <c r="L2625" s="22"/>
      <c r="M2625" s="23"/>
      <c r="N2625" s="23"/>
      <c r="O2625" s="26" t="s">
        <v>3324</v>
      </c>
      <c r="P2625" s="26"/>
      <c r="Q2625" s="22"/>
      <c r="R2625" s="24"/>
      <c r="S2625" s="24"/>
      <c r="T2625" s="24"/>
      <c r="U2625" s="24"/>
      <c r="V2625" s="24"/>
      <c r="W2625" s="22" t="s">
        <v>468</v>
      </c>
      <c r="X2625" s="4" t="str">
        <f>IF(Tabela2[[#This Row],[sigla]]="","",VLOOKUP(Tabela2[[#This Row],[sigla]],créditos_base!B:C,2,0))</f>
        <v>VER DOCUMENTO DE ILS. TÉCNICAS</v>
      </c>
      <c r="Y2625" s="23"/>
      <c r="Z2625" s="23" t="s">
        <v>1327</v>
      </c>
      <c r="AA2625" s="22"/>
      <c r="AB2625" s="20"/>
      <c r="AD2625" s="4" t="str">
        <f>"Pitanguá"</f>
        <v>Pitanguá</v>
      </c>
      <c r="AE2625" s="14" t="str">
        <f>"Matemática"</f>
        <v>Matemática</v>
      </c>
      <c r="AF2625" s="14"/>
    </row>
    <row r="2626" spans="1:32" ht="15.6" x14ac:dyDescent="0.3">
      <c r="A2626" s="23" t="s">
        <v>5633</v>
      </c>
      <c r="B2626" s="20" t="s">
        <v>16</v>
      </c>
      <c r="C2626" s="20" t="s">
        <v>89</v>
      </c>
      <c r="D2626" s="20" t="s">
        <v>8</v>
      </c>
      <c r="E2626" s="22">
        <v>275</v>
      </c>
      <c r="F2626" s="22">
        <v>4</v>
      </c>
      <c r="G2626" s="27" t="s">
        <v>2617</v>
      </c>
      <c r="H2626" s="22"/>
      <c r="I2626" s="23" t="s">
        <v>33</v>
      </c>
      <c r="J2626" s="23"/>
      <c r="K2626" s="22"/>
      <c r="L2626" s="22"/>
      <c r="M2626" s="23"/>
      <c r="N2626" s="23"/>
      <c r="O2626" s="26" t="s">
        <v>5634</v>
      </c>
      <c r="P2626" s="26"/>
      <c r="Q2626" s="22">
        <v>134</v>
      </c>
      <c r="R2626" s="24">
        <v>45866</v>
      </c>
      <c r="S2626" s="24">
        <v>45871</v>
      </c>
      <c r="T2626" s="24"/>
      <c r="U2626" s="24"/>
      <c r="V2626" s="24">
        <v>45871</v>
      </c>
      <c r="W2626" s="22" t="s">
        <v>160</v>
      </c>
      <c r="X2626" s="4" t="str">
        <f>IF(Tabela2[[#This Row],[sigla]]="","",VLOOKUP(Tabela2[[#This Row],[sigla]],créditos_base!B:C,2,0))</f>
        <v>SERGIO LIMA/ARQUIVO DA EDITORA</v>
      </c>
      <c r="Y2626" s="23" t="s">
        <v>524</v>
      </c>
      <c r="Z2626" s="23" t="str">
        <f>Tabela2[[#This Row],[ilustrador]]</f>
        <v>SERGIO LIMA/ARQUIVO DA EDITORA</v>
      </c>
      <c r="AA2626" s="22">
        <v>13</v>
      </c>
      <c r="AB2626" s="20" t="s">
        <v>525</v>
      </c>
      <c r="AC2626" s="20" t="s">
        <v>36</v>
      </c>
      <c r="AD2626" s="4" t="str">
        <f>"Pitanguá"</f>
        <v>Pitanguá</v>
      </c>
      <c r="AE2626" s="14" t="str">
        <f>"Matemática"</f>
        <v>Matemática</v>
      </c>
      <c r="AF2626" s="14"/>
    </row>
    <row r="2627" spans="1:32" ht="15.6" x14ac:dyDescent="0.3">
      <c r="A2627" s="23" t="s">
        <v>3317</v>
      </c>
      <c r="B2627" s="20" t="s">
        <v>16</v>
      </c>
      <c r="C2627" s="20" t="s">
        <v>7</v>
      </c>
      <c r="D2627" s="20" t="s">
        <v>8</v>
      </c>
      <c r="E2627" s="22">
        <v>15</v>
      </c>
      <c r="F2627" s="22">
        <v>3</v>
      </c>
      <c r="G2627" s="22" t="s">
        <v>3309</v>
      </c>
      <c r="H2627" s="22"/>
      <c r="I2627" s="23" t="s">
        <v>9</v>
      </c>
      <c r="J2627" s="23"/>
      <c r="K2627" s="22"/>
      <c r="L2627" s="22"/>
      <c r="M2627" s="23"/>
      <c r="N2627" s="23"/>
      <c r="O2627" s="26" t="s">
        <v>3318</v>
      </c>
      <c r="P2627" s="26"/>
      <c r="Q2627" s="22"/>
      <c r="R2627" s="24"/>
      <c r="S2627" s="24"/>
      <c r="T2627" s="24"/>
      <c r="U2627" s="24"/>
      <c r="V2627" s="24"/>
      <c r="W2627" s="22" t="s">
        <v>806</v>
      </c>
      <c r="X2627" s="4" t="str">
        <f>IF(Tabela2[[#This Row],[sigla]]="","",VLOOKUP(Tabela2[[#This Row],[sigla]],créditos_base!B:C,2,0))</f>
        <v>MARCOS MACHADO/ARQUIVO DA EDITORA</v>
      </c>
      <c r="Y2627" s="23"/>
      <c r="Z2627" s="23" t="str">
        <f>Tabela2[[#This Row],[ilustrador]]</f>
        <v>MARCOS MACHADO/ARQUIVO DA EDITORA</v>
      </c>
      <c r="AA2627" s="22"/>
      <c r="AB2627" s="20"/>
      <c r="AD2627" s="4" t="str">
        <f>"Pitanguá"</f>
        <v>Pitanguá</v>
      </c>
      <c r="AE2627" s="14" t="str">
        <f>"Matemática"</f>
        <v>Matemática</v>
      </c>
      <c r="AF2627" s="14"/>
    </row>
    <row r="2628" spans="1:32" x14ac:dyDescent="0.3">
      <c r="A2628" s="23" t="s">
        <v>5635</v>
      </c>
      <c r="B2628" s="20" t="s">
        <v>16</v>
      </c>
      <c r="C2628" s="20" t="s">
        <v>89</v>
      </c>
      <c r="D2628" s="20" t="s">
        <v>8</v>
      </c>
      <c r="E2628" s="22">
        <v>275</v>
      </c>
      <c r="F2628" s="22">
        <v>4</v>
      </c>
      <c r="G2628" s="27" t="s">
        <v>2617</v>
      </c>
      <c r="H2628" s="22"/>
      <c r="I2628" s="23" t="s">
        <v>33</v>
      </c>
      <c r="J2628" s="23"/>
      <c r="K2628" s="22"/>
      <c r="L2628" s="22"/>
      <c r="M2628" s="23"/>
      <c r="N2628" s="23"/>
      <c r="O2628" s="26" t="s">
        <v>5636</v>
      </c>
      <c r="P2628" s="26"/>
      <c r="Q2628" s="22">
        <v>134</v>
      </c>
      <c r="R2628" s="24">
        <v>45866</v>
      </c>
      <c r="S2628" s="24">
        <v>45871</v>
      </c>
      <c r="T2628" s="24"/>
      <c r="U2628" s="24"/>
      <c r="V2628" s="24">
        <v>45871</v>
      </c>
      <c r="W2628" s="22" t="s">
        <v>1721</v>
      </c>
      <c r="X2628" s="4" t="str">
        <f>IF(Tabela2[[#This Row],[sigla]]="","",VLOOKUP(Tabela2[[#This Row],[sigla]],créditos_base!B:C,2,0))</f>
        <v>CAIO TANAKA/ARQUIVO DA EDITORA</v>
      </c>
      <c r="Y2628" s="23" t="s">
        <v>524</v>
      </c>
      <c r="Z2628" s="23" t="str">
        <f>Tabela2[[#This Row],[ilustrador]]</f>
        <v>CAIO TANAKA/ARQUIVO DA EDITORA</v>
      </c>
      <c r="AA2628" s="22">
        <v>13</v>
      </c>
      <c r="AB2628" s="20" t="s">
        <v>525</v>
      </c>
      <c r="AC2628" s="20" t="s">
        <v>36</v>
      </c>
      <c r="AD2628" s="4" t="str">
        <f>"Pitanguá"</f>
        <v>Pitanguá</v>
      </c>
      <c r="AE2628" s="14" t="str">
        <f>"Matemática"</f>
        <v>Matemática</v>
      </c>
      <c r="AF2628" s="14"/>
    </row>
    <row r="2629" spans="1:32" x14ac:dyDescent="0.3">
      <c r="A2629" s="23" t="s">
        <v>5826</v>
      </c>
      <c r="B2629" s="20" t="s">
        <v>16</v>
      </c>
      <c r="C2629" s="20" t="s">
        <v>89</v>
      </c>
      <c r="D2629" s="20" t="s">
        <v>8</v>
      </c>
      <c r="E2629" s="22">
        <v>278</v>
      </c>
      <c r="F2629" s="22">
        <v>5</v>
      </c>
      <c r="G2629" s="22"/>
      <c r="H2629" s="27" t="s">
        <v>1102</v>
      </c>
      <c r="I2629" s="23" t="s">
        <v>33</v>
      </c>
      <c r="J2629" s="23"/>
      <c r="K2629" s="22"/>
      <c r="L2629" s="22"/>
      <c r="M2629" s="23"/>
      <c r="N2629" s="23"/>
      <c r="O2629" s="26" t="s">
        <v>5827</v>
      </c>
      <c r="P2629" s="26"/>
      <c r="Q2629" s="22">
        <v>207</v>
      </c>
      <c r="R2629" s="24">
        <v>45926</v>
      </c>
      <c r="S2629" s="24">
        <v>45926</v>
      </c>
      <c r="T2629" s="24"/>
      <c r="U2629" s="24"/>
      <c r="V2629" s="24">
        <v>45926</v>
      </c>
      <c r="W2629" s="22" t="s">
        <v>160</v>
      </c>
      <c r="X2629" s="4" t="str">
        <f>IF(Tabela2[[#This Row],[sigla]]="","",VLOOKUP(Tabela2[[#This Row],[sigla]],créditos_base!B:C,2,0))</f>
        <v>SERGIO LIMA/ARQUIVO DA EDITORA</v>
      </c>
      <c r="Y2629" s="23" t="s">
        <v>696</v>
      </c>
      <c r="Z2629" s="23" t="str">
        <f>Tabela2[[#This Row],[ilustrador]]</f>
        <v>SERGIO LIMA/ARQUIVO DA EDITORA</v>
      </c>
      <c r="AA2629" s="22">
        <v>13</v>
      </c>
      <c r="AB2629" s="20" t="s">
        <v>41</v>
      </c>
      <c r="AD2629" s="4" t="str">
        <f>"Pitanguá"</f>
        <v>Pitanguá</v>
      </c>
      <c r="AE2629" s="14" t="str">
        <f>"Matemática"</f>
        <v>Matemática</v>
      </c>
      <c r="AF2629" s="14"/>
    </row>
    <row r="2630" spans="1:32" x14ac:dyDescent="0.3">
      <c r="A2630" s="23" t="s">
        <v>3325</v>
      </c>
      <c r="B2630" s="20" t="s">
        <v>16</v>
      </c>
      <c r="C2630" s="20" t="s">
        <v>7</v>
      </c>
      <c r="D2630" s="20" t="s">
        <v>8</v>
      </c>
      <c r="E2630" s="22">
        <v>16</v>
      </c>
      <c r="F2630" s="22">
        <v>3</v>
      </c>
      <c r="G2630" s="22" t="s">
        <v>3309</v>
      </c>
      <c r="H2630" s="22"/>
      <c r="I2630" s="23" t="s">
        <v>9</v>
      </c>
      <c r="J2630" s="23"/>
      <c r="K2630" s="22"/>
      <c r="L2630" s="22"/>
      <c r="M2630" s="23"/>
      <c r="N2630" s="23"/>
      <c r="O2630" s="26" t="s">
        <v>3326</v>
      </c>
      <c r="P2630" s="26"/>
      <c r="Q2630" s="22"/>
      <c r="R2630" s="24"/>
      <c r="S2630" s="24"/>
      <c r="T2630" s="24"/>
      <c r="U2630" s="24"/>
      <c r="V2630" s="24"/>
      <c r="W2630" s="22" t="s">
        <v>468</v>
      </c>
      <c r="X2630" s="4" t="str">
        <f>IF(Tabela2[[#This Row],[sigla]]="","",VLOOKUP(Tabela2[[#This Row],[sigla]],créditos_base!B:C,2,0))</f>
        <v>VER DOCUMENTO DE ILS. TÉCNICAS</v>
      </c>
      <c r="Y2630" s="23"/>
      <c r="Z2630" s="23" t="s">
        <v>1327</v>
      </c>
      <c r="AA2630" s="22"/>
      <c r="AB2630" s="20"/>
      <c r="AD2630" s="4" t="str">
        <f>"Pitanguá"</f>
        <v>Pitanguá</v>
      </c>
      <c r="AE2630" s="14" t="str">
        <f>"Matemática"</f>
        <v>Matemática</v>
      </c>
      <c r="AF2630" s="14"/>
    </row>
    <row r="2631" spans="1:32" ht="15.6" x14ac:dyDescent="0.3">
      <c r="A2631" s="23" t="s">
        <v>5828</v>
      </c>
      <c r="B2631" s="20" t="s">
        <v>16</v>
      </c>
      <c r="C2631" s="20" t="s">
        <v>89</v>
      </c>
      <c r="D2631" s="20" t="s">
        <v>8</v>
      </c>
      <c r="E2631" s="22">
        <v>279</v>
      </c>
      <c r="F2631" s="22">
        <v>5</v>
      </c>
      <c r="G2631" s="22"/>
      <c r="H2631" s="27" t="s">
        <v>1102</v>
      </c>
      <c r="I2631" s="23" t="s">
        <v>33</v>
      </c>
      <c r="J2631" s="23"/>
      <c r="K2631" s="22"/>
      <c r="L2631" s="22"/>
      <c r="M2631" s="23"/>
      <c r="N2631" s="23"/>
      <c r="O2631" s="26" t="s">
        <v>5829</v>
      </c>
      <c r="P2631" s="26"/>
      <c r="Q2631" s="22">
        <v>207</v>
      </c>
      <c r="R2631" s="24">
        <v>45926</v>
      </c>
      <c r="S2631" s="24">
        <v>45926</v>
      </c>
      <c r="T2631" s="24"/>
      <c r="U2631" s="24"/>
      <c r="V2631" s="24">
        <v>45926</v>
      </c>
      <c r="W2631" s="22" t="s">
        <v>940</v>
      </c>
      <c r="X2631" s="4" t="str">
        <f>IF(Tabela2[[#This Row],[sigla]]="","",VLOOKUP(Tabela2[[#This Row],[sigla]],créditos_base!B:C,2,0))</f>
        <v>RONALDO LUCENA/ARQUIVO DA EDITORA</v>
      </c>
      <c r="Y2631" s="23" t="s">
        <v>696</v>
      </c>
      <c r="Z2631" s="23" t="str">
        <f>Tabela2[[#This Row],[ilustrador]]</f>
        <v>RONALDO LUCENA/ARQUIVO DA EDITORA</v>
      </c>
      <c r="AA2631" s="22">
        <v>13</v>
      </c>
      <c r="AB2631" s="20" t="s">
        <v>41</v>
      </c>
      <c r="AD2631" s="4" t="str">
        <f>"Pitanguá"</f>
        <v>Pitanguá</v>
      </c>
      <c r="AE2631" s="14" t="str">
        <f>"Matemática"</f>
        <v>Matemática</v>
      </c>
      <c r="AF2631" s="14"/>
    </row>
    <row r="2632" spans="1:32" ht="15.6" x14ac:dyDescent="0.3">
      <c r="A2632" s="23" t="s">
        <v>3327</v>
      </c>
      <c r="B2632" s="20" t="s">
        <v>16</v>
      </c>
      <c r="C2632" s="20" t="s">
        <v>7</v>
      </c>
      <c r="D2632" s="20" t="s">
        <v>8</v>
      </c>
      <c r="E2632" s="22">
        <v>16</v>
      </c>
      <c r="F2632" s="22">
        <v>3</v>
      </c>
      <c r="G2632" s="22" t="s">
        <v>3309</v>
      </c>
      <c r="H2632" s="22"/>
      <c r="I2632" s="23" t="s">
        <v>9</v>
      </c>
      <c r="J2632" s="23"/>
      <c r="K2632" s="22"/>
      <c r="L2632" s="22"/>
      <c r="M2632" s="23"/>
      <c r="N2632" s="23"/>
      <c r="O2632" s="26" t="s">
        <v>3328</v>
      </c>
      <c r="P2632" s="26"/>
      <c r="Q2632" s="22"/>
      <c r="R2632" s="24"/>
      <c r="S2632" s="24"/>
      <c r="T2632" s="24"/>
      <c r="U2632" s="24"/>
      <c r="V2632" s="24"/>
      <c r="W2632" s="22" t="s">
        <v>468</v>
      </c>
      <c r="X2632" s="4" t="str">
        <f>IF(Tabela2[[#This Row],[sigla]]="","",VLOOKUP(Tabela2[[#This Row],[sigla]],créditos_base!B:C,2,0))</f>
        <v>VER DOCUMENTO DE ILS. TÉCNICAS</v>
      </c>
      <c r="Y2632" s="23"/>
      <c r="Z2632" s="23" t="s">
        <v>1327</v>
      </c>
      <c r="AA2632" s="22"/>
      <c r="AB2632" s="20"/>
      <c r="AD2632" s="4" t="str">
        <f>"Pitanguá"</f>
        <v>Pitanguá</v>
      </c>
      <c r="AE2632" s="14" t="str">
        <f>"Matemática"</f>
        <v>Matemática</v>
      </c>
      <c r="AF2632" s="14"/>
    </row>
    <row r="2633" spans="1:32" ht="15.6" x14ac:dyDescent="0.3">
      <c r="A2633" s="23" t="s">
        <v>5637</v>
      </c>
      <c r="B2633" s="20" t="s">
        <v>16</v>
      </c>
      <c r="C2633" s="20" t="s">
        <v>89</v>
      </c>
      <c r="D2633" s="20" t="s">
        <v>8</v>
      </c>
      <c r="E2633" s="22">
        <v>277</v>
      </c>
      <c r="F2633" s="22">
        <v>4</v>
      </c>
      <c r="G2633" s="27" t="s">
        <v>2617</v>
      </c>
      <c r="H2633" s="22"/>
      <c r="I2633" s="23" t="s">
        <v>33</v>
      </c>
      <c r="J2633" s="23"/>
      <c r="K2633" s="22"/>
      <c r="L2633" s="22"/>
      <c r="M2633" s="23"/>
      <c r="N2633" s="23"/>
      <c r="O2633" s="26" t="s">
        <v>5638</v>
      </c>
      <c r="P2633" s="26"/>
      <c r="Q2633" s="22">
        <v>134</v>
      </c>
      <c r="R2633" s="24">
        <v>45866</v>
      </c>
      <c r="S2633" s="24">
        <v>45871</v>
      </c>
      <c r="T2633" s="24"/>
      <c r="U2633" s="24"/>
      <c r="V2633" s="24">
        <v>45871</v>
      </c>
      <c r="W2633" s="22" t="s">
        <v>160</v>
      </c>
      <c r="X2633" s="4" t="str">
        <f>IF(Tabela2[[#This Row],[sigla]]="","",VLOOKUP(Tabela2[[#This Row],[sigla]],créditos_base!B:C,2,0))</f>
        <v>SERGIO LIMA/ARQUIVO DA EDITORA</v>
      </c>
      <c r="Y2633" s="23" t="s">
        <v>524</v>
      </c>
      <c r="Z2633" s="23" t="str">
        <f>Tabela2[[#This Row],[ilustrador]]</f>
        <v>SERGIO LIMA/ARQUIVO DA EDITORA</v>
      </c>
      <c r="AA2633" s="22">
        <v>13</v>
      </c>
      <c r="AB2633" s="20" t="s">
        <v>525</v>
      </c>
      <c r="AC2633" s="20" t="s">
        <v>36</v>
      </c>
      <c r="AD2633" s="4" t="str">
        <f>"Pitanguá"</f>
        <v>Pitanguá</v>
      </c>
      <c r="AE2633" s="14" t="str">
        <f>"Matemática"</f>
        <v>Matemática</v>
      </c>
      <c r="AF2633" s="14"/>
    </row>
    <row r="2634" spans="1:32" ht="15.6" x14ac:dyDescent="0.3">
      <c r="A2634" s="23" t="s">
        <v>5436</v>
      </c>
      <c r="B2634" s="20" t="s">
        <v>16</v>
      </c>
      <c r="C2634" s="20" t="s">
        <v>89</v>
      </c>
      <c r="D2634" s="20" t="s">
        <v>8</v>
      </c>
      <c r="E2634" s="22">
        <v>14</v>
      </c>
      <c r="F2634" s="22">
        <v>5</v>
      </c>
      <c r="G2634" s="22" t="s">
        <v>3309</v>
      </c>
      <c r="H2634" s="22"/>
      <c r="I2634" s="23" t="s">
        <v>9</v>
      </c>
      <c r="J2634" s="23"/>
      <c r="K2634" s="22"/>
      <c r="L2634" s="22"/>
      <c r="M2634" s="23"/>
      <c r="N2634" s="23"/>
      <c r="O2634" s="20" t="s">
        <v>5437</v>
      </c>
      <c r="P2634" s="26"/>
      <c r="Q2634" s="22"/>
      <c r="R2634" s="24"/>
      <c r="S2634" s="24"/>
      <c r="T2634" s="24"/>
      <c r="U2634" s="24"/>
      <c r="V2634" s="24"/>
      <c r="W2634" s="22" t="s">
        <v>230</v>
      </c>
      <c r="X2634" s="4" t="str">
        <f>IF(Tabela2[[#This Row],[sigla]]="","",VLOOKUP(Tabela2[[#This Row],[sigla]],créditos_base!B:C,2,0))</f>
        <v>RAFAEL L. GAION/ARQUIVO DA EDITORA</v>
      </c>
      <c r="Y2634" s="23"/>
      <c r="Z2634" s="23" t="str">
        <f>Tabela2[[#This Row],[ilustrador]]</f>
        <v>RAFAEL L. GAION/ARQUIVO DA EDITORA</v>
      </c>
      <c r="AA2634" s="22"/>
      <c r="AB2634" s="20"/>
      <c r="AD2634" s="4" t="str">
        <f>"Pitanguá"</f>
        <v>Pitanguá</v>
      </c>
      <c r="AE2634" s="14" t="str">
        <f>"Matemática"</f>
        <v>Matemática</v>
      </c>
      <c r="AF2634" s="14"/>
    </row>
    <row r="2635" spans="1:32" ht="15.6" x14ac:dyDescent="0.3">
      <c r="A2635" s="23" t="s">
        <v>2658</v>
      </c>
      <c r="B2635" s="20" t="s">
        <v>16</v>
      </c>
      <c r="C2635" s="20" t="s">
        <v>7</v>
      </c>
      <c r="D2635" s="20" t="s">
        <v>8</v>
      </c>
      <c r="E2635" s="22">
        <v>16</v>
      </c>
      <c r="F2635" s="22">
        <v>2</v>
      </c>
      <c r="G2635" s="27" t="s">
        <v>2654</v>
      </c>
      <c r="H2635" s="22"/>
      <c r="I2635" s="23" t="s">
        <v>9</v>
      </c>
      <c r="J2635" s="23"/>
      <c r="K2635" s="22"/>
      <c r="L2635" s="22"/>
      <c r="M2635" s="23"/>
      <c r="N2635" s="23"/>
      <c r="O2635" s="26" t="s">
        <v>2659</v>
      </c>
      <c r="P2635" s="26"/>
      <c r="Q2635" s="22"/>
      <c r="R2635" s="24"/>
      <c r="S2635" s="24"/>
      <c r="T2635" s="24"/>
      <c r="U2635" s="24"/>
      <c r="V2635" s="24"/>
      <c r="W2635" s="22" t="s">
        <v>1721</v>
      </c>
      <c r="X2635" s="4" t="str">
        <f>IF(Tabela2[[#This Row],[sigla]]="","",VLOOKUP(Tabela2[[#This Row],[sigla]],créditos_base!B:C,2,0))</f>
        <v>CAIO TANAKA/ARQUIVO DA EDITORA</v>
      </c>
      <c r="Y2635" s="23"/>
      <c r="Z2635" s="23" t="str">
        <f>Tabela2[[#This Row],[ilustrador]]</f>
        <v>CAIO TANAKA/ARQUIVO DA EDITORA</v>
      </c>
      <c r="AA2635" s="22"/>
      <c r="AB2635" s="20"/>
      <c r="AD2635" s="4" t="str">
        <f>"Pitanguá"</f>
        <v>Pitanguá</v>
      </c>
      <c r="AE2635" s="14" t="str">
        <f>"Matemática"</f>
        <v>Matemática</v>
      </c>
      <c r="AF2635" s="14"/>
    </row>
    <row r="2636" spans="1:32" ht="15.6" x14ac:dyDescent="0.3">
      <c r="A2636" s="23" t="s">
        <v>3329</v>
      </c>
      <c r="B2636" s="20" t="s">
        <v>16</v>
      </c>
      <c r="C2636" s="20" t="s">
        <v>7</v>
      </c>
      <c r="D2636" s="20" t="s">
        <v>8</v>
      </c>
      <c r="E2636" s="22">
        <v>16</v>
      </c>
      <c r="F2636" s="22">
        <v>3</v>
      </c>
      <c r="G2636" s="22" t="s">
        <v>3309</v>
      </c>
      <c r="H2636" s="22"/>
      <c r="I2636" s="23" t="s">
        <v>9</v>
      </c>
      <c r="J2636" s="23"/>
      <c r="K2636" s="22"/>
      <c r="L2636" s="22"/>
      <c r="M2636" s="23"/>
      <c r="N2636" s="23"/>
      <c r="O2636" s="26" t="s">
        <v>3330</v>
      </c>
      <c r="P2636" s="26"/>
      <c r="Q2636" s="22"/>
      <c r="R2636" s="24"/>
      <c r="S2636" s="24"/>
      <c r="T2636" s="24"/>
      <c r="U2636" s="24"/>
      <c r="V2636" s="24"/>
      <c r="W2636" s="22" t="s">
        <v>468</v>
      </c>
      <c r="X2636" s="4" t="str">
        <f>IF(Tabela2[[#This Row],[sigla]]="","",VLOOKUP(Tabela2[[#This Row],[sigla]],créditos_base!B:C,2,0))</f>
        <v>VER DOCUMENTO DE ILS. TÉCNICAS</v>
      </c>
      <c r="Y2636" s="23"/>
      <c r="Z2636" s="23" t="s">
        <v>1327</v>
      </c>
      <c r="AA2636" s="22"/>
      <c r="AB2636" s="20"/>
      <c r="AD2636" s="4" t="str">
        <f>"Pitanguá"</f>
        <v>Pitanguá</v>
      </c>
      <c r="AE2636" s="14" t="str">
        <f>"Matemática"</f>
        <v>Matemática</v>
      </c>
      <c r="AF2636" s="14"/>
    </row>
    <row r="2637" spans="1:32" ht="15.6" x14ac:dyDescent="0.3">
      <c r="A2637" s="23" t="s">
        <v>5639</v>
      </c>
      <c r="B2637" s="20" t="s">
        <v>16</v>
      </c>
      <c r="C2637" s="20" t="s">
        <v>89</v>
      </c>
      <c r="D2637" s="20" t="s">
        <v>8</v>
      </c>
      <c r="E2637" s="22">
        <v>277</v>
      </c>
      <c r="F2637" s="22">
        <v>4</v>
      </c>
      <c r="G2637" s="27" t="s">
        <v>2617</v>
      </c>
      <c r="H2637" s="22"/>
      <c r="I2637" s="23" t="s">
        <v>33</v>
      </c>
      <c r="J2637" s="23"/>
      <c r="K2637" s="22"/>
      <c r="L2637" s="22"/>
      <c r="M2637" s="23"/>
      <c r="N2637" s="23"/>
      <c r="O2637" s="26" t="s">
        <v>5640</v>
      </c>
      <c r="P2637" s="26"/>
      <c r="Q2637" s="22">
        <v>134</v>
      </c>
      <c r="R2637" s="24">
        <v>45866</v>
      </c>
      <c r="S2637" s="24">
        <v>45871</v>
      </c>
      <c r="T2637" s="24"/>
      <c r="U2637" s="24"/>
      <c r="V2637" s="24">
        <v>45871</v>
      </c>
      <c r="W2637" s="22" t="s">
        <v>940</v>
      </c>
      <c r="X2637" s="4" t="str">
        <f>IF(Tabela2[[#This Row],[sigla]]="","",VLOOKUP(Tabela2[[#This Row],[sigla]],créditos_base!B:C,2,0))</f>
        <v>RONALDO LUCENA/ARQUIVO DA EDITORA</v>
      </c>
      <c r="Y2637" s="23" t="s">
        <v>524</v>
      </c>
      <c r="Z2637" s="23" t="str">
        <f>Tabela2[[#This Row],[ilustrador]]</f>
        <v>RONALDO LUCENA/ARQUIVO DA EDITORA</v>
      </c>
      <c r="AA2637" s="22">
        <v>13</v>
      </c>
      <c r="AB2637" s="20" t="s">
        <v>525</v>
      </c>
      <c r="AC2637" s="20" t="s">
        <v>36</v>
      </c>
      <c r="AD2637" s="4" t="str">
        <f>"Pitanguá"</f>
        <v>Pitanguá</v>
      </c>
      <c r="AE2637" s="14" t="str">
        <f>"Matemática"</f>
        <v>Matemática</v>
      </c>
      <c r="AF2637" s="14"/>
    </row>
    <row r="2638" spans="1:32" ht="28.8" x14ac:dyDescent="0.3">
      <c r="A2638" s="23" t="s">
        <v>5438</v>
      </c>
      <c r="B2638" s="20" t="s">
        <v>16</v>
      </c>
      <c r="C2638" s="20" t="s">
        <v>89</v>
      </c>
      <c r="D2638" s="20" t="s">
        <v>8</v>
      </c>
      <c r="E2638" s="22">
        <v>14</v>
      </c>
      <c r="F2638" s="22">
        <v>5</v>
      </c>
      <c r="G2638" s="22" t="s">
        <v>3309</v>
      </c>
      <c r="H2638" s="22"/>
      <c r="I2638" s="23" t="s">
        <v>9</v>
      </c>
      <c r="J2638" s="23"/>
      <c r="K2638" s="22"/>
      <c r="L2638" s="22"/>
      <c r="M2638" s="23"/>
      <c r="N2638" s="23"/>
      <c r="O2638" s="20" t="s">
        <v>5439</v>
      </c>
      <c r="P2638" s="26"/>
      <c r="Q2638" s="22"/>
      <c r="R2638" s="24"/>
      <c r="S2638" s="24"/>
      <c r="T2638" s="24"/>
      <c r="U2638" s="24"/>
      <c r="V2638" s="24"/>
      <c r="W2638" s="22" t="s">
        <v>230</v>
      </c>
      <c r="X2638" s="4" t="str">
        <f>IF(Tabela2[[#This Row],[sigla]]="","",VLOOKUP(Tabela2[[#This Row],[sigla]],créditos_base!B:C,2,0))</f>
        <v>RAFAEL L. GAION/ARQUIVO DA EDITORA</v>
      </c>
      <c r="Y2638" s="23"/>
      <c r="Z2638" s="23" t="str">
        <f>Tabela2[[#This Row],[ilustrador]]</f>
        <v>RAFAEL L. GAION/ARQUIVO DA EDITORA</v>
      </c>
      <c r="AA2638" s="22"/>
      <c r="AB2638" s="20"/>
      <c r="AD2638" s="4" t="str">
        <f>"Pitanguá"</f>
        <v>Pitanguá</v>
      </c>
      <c r="AE2638" s="14" t="str">
        <f>"Matemática"</f>
        <v>Matemática</v>
      </c>
      <c r="AF2638" s="14"/>
    </row>
    <row r="2639" spans="1:32" ht="28.8" x14ac:dyDescent="0.3">
      <c r="A2639" s="23" t="s">
        <v>2666</v>
      </c>
      <c r="B2639" s="20" t="s">
        <v>16</v>
      </c>
      <c r="C2639" s="20" t="s">
        <v>7</v>
      </c>
      <c r="D2639" s="20" t="s">
        <v>8</v>
      </c>
      <c r="E2639" s="22">
        <v>256</v>
      </c>
      <c r="F2639" s="22">
        <v>2</v>
      </c>
      <c r="G2639" s="27" t="s">
        <v>2667</v>
      </c>
      <c r="H2639" s="22"/>
      <c r="I2639" s="23" t="s">
        <v>9</v>
      </c>
      <c r="J2639" s="23"/>
      <c r="K2639" s="22"/>
      <c r="L2639" s="22"/>
      <c r="M2639" s="23"/>
      <c r="N2639" s="23"/>
      <c r="O2639" s="26" t="s">
        <v>2668</v>
      </c>
      <c r="P2639" s="26"/>
      <c r="Q2639" s="22"/>
      <c r="R2639" s="24"/>
      <c r="S2639" s="24"/>
      <c r="T2639" s="24"/>
      <c r="U2639" s="24"/>
      <c r="V2639" s="24"/>
      <c r="W2639" s="22" t="s">
        <v>160</v>
      </c>
      <c r="X2639" s="4" t="str">
        <f>IF(Tabela2[[#This Row],[sigla]]="","",VLOOKUP(Tabela2[[#This Row],[sigla]],créditos_base!B:C,2,0))</f>
        <v>SERGIO LIMA/ARQUIVO DA EDITORA</v>
      </c>
      <c r="Y2639" s="23"/>
      <c r="Z2639" s="23" t="str">
        <f>Tabela2[[#This Row],[ilustrador]]</f>
        <v>SERGIO LIMA/ARQUIVO DA EDITORA</v>
      </c>
      <c r="AA2639" s="22"/>
      <c r="AB2639" s="20"/>
      <c r="AD2639" s="4" t="str">
        <f>"Pitanguá"</f>
        <v>Pitanguá</v>
      </c>
      <c r="AE2639" s="14" t="str">
        <f>"Matemática"</f>
        <v>Matemática</v>
      </c>
      <c r="AF2639" s="14"/>
    </row>
    <row r="2640" spans="1:32" ht="28.8" x14ac:dyDescent="0.3">
      <c r="A2640" s="23" t="s">
        <v>3331</v>
      </c>
      <c r="B2640" s="20" t="s">
        <v>16</v>
      </c>
      <c r="C2640" s="20" t="s">
        <v>7</v>
      </c>
      <c r="D2640" s="20" t="s">
        <v>8</v>
      </c>
      <c r="E2640" s="22">
        <v>16</v>
      </c>
      <c r="F2640" s="22">
        <v>3</v>
      </c>
      <c r="G2640" s="22" t="s">
        <v>3309</v>
      </c>
      <c r="H2640" s="22"/>
      <c r="I2640" s="23" t="s">
        <v>9</v>
      </c>
      <c r="J2640" s="23"/>
      <c r="K2640" s="22"/>
      <c r="L2640" s="22"/>
      <c r="M2640" s="23"/>
      <c r="N2640" s="23"/>
      <c r="O2640" s="26" t="s">
        <v>3332</v>
      </c>
      <c r="P2640" s="26"/>
      <c r="Q2640" s="22"/>
      <c r="R2640" s="24"/>
      <c r="S2640" s="24"/>
      <c r="T2640" s="24"/>
      <c r="U2640" s="24"/>
      <c r="V2640" s="24"/>
      <c r="W2640" s="22" t="s">
        <v>468</v>
      </c>
      <c r="X2640" s="4" t="str">
        <f>IF(Tabela2[[#This Row],[sigla]]="","",VLOOKUP(Tabela2[[#This Row],[sigla]],créditos_base!B:C,2,0))</f>
        <v>VER DOCUMENTO DE ILS. TÉCNICAS</v>
      </c>
      <c r="Y2640" s="23"/>
      <c r="Z2640" s="23" t="s">
        <v>1327</v>
      </c>
      <c r="AA2640" s="22"/>
      <c r="AB2640" s="20"/>
      <c r="AD2640" s="4" t="str">
        <f>"Pitanguá"</f>
        <v>Pitanguá</v>
      </c>
      <c r="AE2640" s="14" t="str">
        <f>"Matemática"</f>
        <v>Matemática</v>
      </c>
      <c r="AF2640" s="14"/>
    </row>
    <row r="2641" spans="1:32" x14ac:dyDescent="0.3">
      <c r="A2641" s="23" t="s">
        <v>5641</v>
      </c>
      <c r="B2641" s="20" t="s">
        <v>16</v>
      </c>
      <c r="C2641" s="20" t="s">
        <v>89</v>
      </c>
      <c r="D2641" s="20" t="s">
        <v>8</v>
      </c>
      <c r="E2641" s="22">
        <v>279</v>
      </c>
      <c r="F2641" s="22">
        <v>4</v>
      </c>
      <c r="G2641" s="27" t="s">
        <v>2617</v>
      </c>
      <c r="H2641" s="22"/>
      <c r="I2641" s="23" t="s">
        <v>9</v>
      </c>
      <c r="J2641" s="23"/>
      <c r="K2641" s="22"/>
      <c r="L2641" s="22"/>
      <c r="M2641" s="23"/>
      <c r="N2641" s="23"/>
      <c r="O2641" s="20" t="s">
        <v>5642</v>
      </c>
      <c r="P2641" s="26"/>
      <c r="Q2641" s="22"/>
      <c r="R2641" s="24"/>
      <c r="S2641" s="24"/>
      <c r="T2641" s="24"/>
      <c r="U2641" s="24"/>
      <c r="V2641" s="24"/>
      <c r="W2641" s="22" t="s">
        <v>160</v>
      </c>
      <c r="X2641" s="4" t="str">
        <f>IF(Tabela2[[#This Row],[sigla]]="","",VLOOKUP(Tabela2[[#This Row],[sigla]],créditos_base!B:C,2,0))</f>
        <v>SERGIO LIMA/ARQUIVO DA EDITORA</v>
      </c>
      <c r="Y2641" s="23"/>
      <c r="Z2641" s="23" t="str">
        <f>Tabela2[[#This Row],[ilustrador]]</f>
        <v>SERGIO LIMA/ARQUIVO DA EDITORA</v>
      </c>
      <c r="AA2641" s="22"/>
      <c r="AB2641" s="20"/>
      <c r="AD2641" s="4" t="str">
        <f>"Pitanguá"</f>
        <v>Pitanguá</v>
      </c>
      <c r="AE2641" s="14" t="str">
        <f>"Matemática"</f>
        <v>Matemática</v>
      </c>
      <c r="AF2641" s="14"/>
    </row>
    <row r="2642" spans="1:32" x14ac:dyDescent="0.3">
      <c r="A2642" s="23" t="s">
        <v>5440</v>
      </c>
      <c r="B2642" s="20" t="s">
        <v>6</v>
      </c>
      <c r="C2642" s="20" t="s">
        <v>89</v>
      </c>
      <c r="D2642" s="20" t="s">
        <v>8</v>
      </c>
      <c r="E2642" s="22">
        <v>16</v>
      </c>
      <c r="F2642" s="22">
        <v>5</v>
      </c>
      <c r="G2642" s="22" t="s">
        <v>3309</v>
      </c>
      <c r="H2642" s="22"/>
      <c r="I2642" s="23" t="s">
        <v>9</v>
      </c>
      <c r="J2642" s="23"/>
      <c r="K2642" s="22"/>
      <c r="L2642" s="22"/>
      <c r="M2642" s="23"/>
      <c r="N2642" s="23"/>
      <c r="O2642" s="20" t="s">
        <v>5441</v>
      </c>
      <c r="P2642" s="26" t="s">
        <v>11</v>
      </c>
      <c r="Q2642" s="22"/>
      <c r="R2642" s="24"/>
      <c r="S2642" s="24"/>
      <c r="T2642" s="24"/>
      <c r="U2642" s="24"/>
      <c r="V2642" s="24"/>
      <c r="W2642" s="22" t="s">
        <v>72</v>
      </c>
      <c r="X2642" s="4" t="str">
        <f>IF(Tabela2[[#This Row],[sigla]]="","",VLOOKUP(Tabela2[[#This Row],[sigla]],créditos_base!B:C,2,0))</f>
        <v>HELOÍSA PINTARELLI/ARQUIVO DA EDITORA</v>
      </c>
      <c r="Y2642" s="23"/>
      <c r="Z2642" s="23" t="str">
        <f>Tabela2[[#This Row],[ilustrador]]</f>
        <v>HELOÍSA PINTARELLI/ARQUIVO DA EDITORA</v>
      </c>
      <c r="AA2642" s="22"/>
      <c r="AB2642" s="20"/>
      <c r="AD2642" s="4" t="str">
        <f>"Pitanguá"</f>
        <v>Pitanguá</v>
      </c>
      <c r="AE2642" s="14" t="str">
        <f>"Matemática"</f>
        <v>Matemática</v>
      </c>
      <c r="AF2642" s="14"/>
    </row>
    <row r="2643" spans="1:32" x14ac:dyDescent="0.3">
      <c r="A2643" s="23" t="s">
        <v>2671</v>
      </c>
      <c r="B2643" s="20" t="s">
        <v>16</v>
      </c>
      <c r="C2643" s="20" t="s">
        <v>7</v>
      </c>
      <c r="D2643" s="20" t="s">
        <v>8</v>
      </c>
      <c r="E2643" s="22">
        <v>258</v>
      </c>
      <c r="F2643" s="22">
        <v>2</v>
      </c>
      <c r="G2643" s="27" t="s">
        <v>2667</v>
      </c>
      <c r="H2643" s="22"/>
      <c r="I2643" s="23" t="s">
        <v>9</v>
      </c>
      <c r="J2643" s="23"/>
      <c r="K2643" s="22"/>
      <c r="L2643" s="22"/>
      <c r="M2643" s="23"/>
      <c r="N2643" s="23"/>
      <c r="O2643" s="26" t="s">
        <v>2672</v>
      </c>
      <c r="P2643" s="26"/>
      <c r="Q2643" s="22"/>
      <c r="R2643" s="24"/>
      <c r="S2643" s="24"/>
      <c r="T2643" s="24"/>
      <c r="U2643" s="24"/>
      <c r="V2643" s="24"/>
      <c r="W2643" s="22" t="s">
        <v>31</v>
      </c>
      <c r="X2643" s="4" t="str">
        <f>IF(Tabela2[[#This Row],[sigla]]="","",VLOOKUP(Tabela2[[#This Row],[sigla]],créditos_base!B:C,2,0))</f>
        <v>SILVIA OTOFUJI/ARQUIVO DA EDITORA</v>
      </c>
      <c r="Y2643" s="23"/>
      <c r="Z2643" s="23" t="str">
        <f>Tabela2[[#This Row],[ilustrador]]</f>
        <v>SILVIA OTOFUJI/ARQUIVO DA EDITORA</v>
      </c>
      <c r="AA2643" s="22"/>
      <c r="AB2643" s="20"/>
      <c r="AD2643" s="4" t="str">
        <f>"Pitanguá"</f>
        <v>Pitanguá</v>
      </c>
      <c r="AE2643" s="14" t="str">
        <f>"Matemática"</f>
        <v>Matemática</v>
      </c>
      <c r="AF2643" s="14"/>
    </row>
    <row r="2644" spans="1:32" ht="28.8" x14ac:dyDescent="0.3">
      <c r="A2644" s="23" t="s">
        <v>3333</v>
      </c>
      <c r="B2644" s="20" t="s">
        <v>16</v>
      </c>
      <c r="C2644" s="20" t="s">
        <v>7</v>
      </c>
      <c r="D2644" s="20" t="s">
        <v>8</v>
      </c>
      <c r="E2644" s="22">
        <v>16</v>
      </c>
      <c r="F2644" s="22">
        <v>3</v>
      </c>
      <c r="G2644" s="22" t="s">
        <v>3309</v>
      </c>
      <c r="H2644" s="22"/>
      <c r="I2644" s="23" t="s">
        <v>9</v>
      </c>
      <c r="J2644" s="23"/>
      <c r="K2644" s="22"/>
      <c r="L2644" s="22"/>
      <c r="M2644" s="23"/>
      <c r="N2644" s="23"/>
      <c r="O2644" s="26" t="s">
        <v>3334</v>
      </c>
      <c r="P2644" s="26"/>
      <c r="Q2644" s="22"/>
      <c r="R2644" s="24"/>
      <c r="S2644" s="24"/>
      <c r="T2644" s="24"/>
      <c r="U2644" s="24"/>
      <c r="V2644" s="24"/>
      <c r="W2644" s="22" t="s">
        <v>468</v>
      </c>
      <c r="X2644" s="4" t="str">
        <f>IF(Tabela2[[#This Row],[sigla]]="","",VLOOKUP(Tabela2[[#This Row],[sigla]],créditos_base!B:C,2,0))</f>
        <v>VER DOCUMENTO DE ILS. TÉCNICAS</v>
      </c>
      <c r="Y2644" s="23"/>
      <c r="Z2644" s="23" t="s">
        <v>1327</v>
      </c>
      <c r="AA2644" s="22"/>
      <c r="AB2644" s="20"/>
      <c r="AD2644" s="4" t="str">
        <f>"Pitanguá"</f>
        <v>Pitanguá</v>
      </c>
      <c r="AE2644" s="14" t="str">
        <f>"Matemática"</f>
        <v>Matemática</v>
      </c>
      <c r="AF2644" s="14"/>
    </row>
    <row r="2645" spans="1:32" ht="28.8" x14ac:dyDescent="0.3">
      <c r="A2645" s="23" t="s">
        <v>5643</v>
      </c>
      <c r="B2645" s="20" t="s">
        <v>16</v>
      </c>
      <c r="C2645" s="20" t="s">
        <v>89</v>
      </c>
      <c r="D2645" s="20" t="s">
        <v>8</v>
      </c>
      <c r="E2645" s="22">
        <v>281</v>
      </c>
      <c r="F2645" s="22">
        <v>4</v>
      </c>
      <c r="G2645" s="27" t="s">
        <v>2617</v>
      </c>
      <c r="H2645" s="22"/>
      <c r="I2645" s="23" t="s">
        <v>9</v>
      </c>
      <c r="J2645" s="23"/>
      <c r="K2645" s="22"/>
      <c r="L2645" s="22"/>
      <c r="M2645" s="23"/>
      <c r="N2645" s="23"/>
      <c r="O2645" s="20" t="s">
        <v>5644</v>
      </c>
      <c r="P2645" s="26"/>
      <c r="Q2645" s="22"/>
      <c r="R2645" s="24"/>
      <c r="S2645" s="24"/>
      <c r="T2645" s="24"/>
      <c r="U2645" s="24"/>
      <c r="V2645" s="24"/>
      <c r="W2645" s="22" t="s">
        <v>160</v>
      </c>
      <c r="X2645" s="4" t="str">
        <f>IF(Tabela2[[#This Row],[sigla]]="","",VLOOKUP(Tabela2[[#This Row],[sigla]],créditos_base!B:C,2,0))</f>
        <v>SERGIO LIMA/ARQUIVO DA EDITORA</v>
      </c>
      <c r="Y2645" s="23"/>
      <c r="Z2645" s="23" t="str">
        <f>Tabela2[[#This Row],[ilustrador]]</f>
        <v>SERGIO LIMA/ARQUIVO DA EDITORA</v>
      </c>
      <c r="AA2645" s="22"/>
      <c r="AB2645" s="20"/>
      <c r="AD2645" s="4" t="str">
        <f>"Pitanguá"</f>
        <v>Pitanguá</v>
      </c>
      <c r="AE2645" s="14" t="str">
        <f>"Matemática"</f>
        <v>Matemática</v>
      </c>
      <c r="AF2645" s="14"/>
    </row>
    <row r="2646" spans="1:32" ht="28.8" x14ac:dyDescent="0.3">
      <c r="A2646" s="23" t="s">
        <v>5442</v>
      </c>
      <c r="B2646" s="20" t="s">
        <v>16</v>
      </c>
      <c r="C2646" s="20" t="s">
        <v>89</v>
      </c>
      <c r="D2646" s="20" t="s">
        <v>8</v>
      </c>
      <c r="E2646" s="22">
        <v>17</v>
      </c>
      <c r="F2646" s="22">
        <v>5</v>
      </c>
      <c r="G2646" s="22" t="s">
        <v>3309</v>
      </c>
      <c r="H2646" s="22"/>
      <c r="I2646" s="23" t="s">
        <v>9</v>
      </c>
      <c r="J2646" s="23"/>
      <c r="K2646" s="22"/>
      <c r="L2646" s="22"/>
      <c r="M2646" s="23"/>
      <c r="N2646" s="23"/>
      <c r="O2646" s="20" t="s">
        <v>5443</v>
      </c>
      <c r="P2646" s="26"/>
      <c r="Q2646" s="22"/>
      <c r="R2646" s="24"/>
      <c r="S2646" s="24"/>
      <c r="T2646" s="24"/>
      <c r="U2646" s="24"/>
      <c r="V2646" s="24"/>
      <c r="W2646" s="22" t="s">
        <v>940</v>
      </c>
      <c r="X2646" s="4" t="str">
        <f>IF(Tabela2[[#This Row],[sigla]]="","",VLOOKUP(Tabela2[[#This Row],[sigla]],créditos_base!B:C,2,0))</f>
        <v>RONALDO LUCENA/ARQUIVO DA EDITORA</v>
      </c>
      <c r="Y2646" s="23"/>
      <c r="Z2646" s="23" t="str">
        <f>Tabela2[[#This Row],[ilustrador]]</f>
        <v>RONALDO LUCENA/ARQUIVO DA EDITORA</v>
      </c>
      <c r="AA2646" s="22"/>
      <c r="AB2646" s="20"/>
      <c r="AD2646" s="4" t="str">
        <f>"Pitanguá"</f>
        <v>Pitanguá</v>
      </c>
      <c r="AE2646" s="14" t="str">
        <f>"Matemática"</f>
        <v>Matemática</v>
      </c>
      <c r="AF2646" s="14"/>
    </row>
    <row r="2647" spans="1:32" ht="28.8" x14ac:dyDescent="0.3">
      <c r="A2647" s="23" t="s">
        <v>5645</v>
      </c>
      <c r="B2647" s="20" t="s">
        <v>16</v>
      </c>
      <c r="C2647" s="20" t="s">
        <v>89</v>
      </c>
      <c r="D2647" s="20" t="s">
        <v>8</v>
      </c>
      <c r="E2647" s="22">
        <v>281</v>
      </c>
      <c r="F2647" s="22">
        <v>4</v>
      </c>
      <c r="G2647" s="27" t="s">
        <v>2617</v>
      </c>
      <c r="H2647" s="22"/>
      <c r="I2647" s="23" t="s">
        <v>9</v>
      </c>
      <c r="J2647" s="23"/>
      <c r="K2647" s="22"/>
      <c r="L2647" s="22"/>
      <c r="M2647" s="23"/>
      <c r="N2647" s="23"/>
      <c r="O2647" s="20" t="s">
        <v>5646</v>
      </c>
      <c r="P2647" s="26"/>
      <c r="Q2647" s="22"/>
      <c r="R2647" s="24"/>
      <c r="S2647" s="24"/>
      <c r="T2647" s="24"/>
      <c r="U2647" s="24"/>
      <c r="V2647" s="24"/>
      <c r="W2647" s="22" t="s">
        <v>160</v>
      </c>
      <c r="X2647" s="4" t="str">
        <f>IF(Tabela2[[#This Row],[sigla]]="","",VLOOKUP(Tabela2[[#This Row],[sigla]],créditos_base!B:C,2,0))</f>
        <v>SERGIO LIMA/ARQUIVO DA EDITORA</v>
      </c>
      <c r="Y2647" s="23"/>
      <c r="Z2647" s="23" t="str">
        <f>Tabela2[[#This Row],[ilustrador]]</f>
        <v>SERGIO LIMA/ARQUIVO DA EDITORA</v>
      </c>
      <c r="AA2647" s="22"/>
      <c r="AB2647" s="20"/>
      <c r="AD2647" s="4" t="str">
        <f>"Pitanguá"</f>
        <v>Pitanguá</v>
      </c>
      <c r="AE2647" s="14" t="str">
        <f>"Matemática"</f>
        <v>Matemática</v>
      </c>
      <c r="AF2647" s="14"/>
    </row>
    <row r="2648" spans="1:32" x14ac:dyDescent="0.3">
      <c r="A2648" s="23" t="s">
        <v>5444</v>
      </c>
      <c r="B2648" s="20" t="s">
        <v>16</v>
      </c>
      <c r="C2648" s="20" t="s">
        <v>89</v>
      </c>
      <c r="D2648" s="20" t="s">
        <v>8</v>
      </c>
      <c r="E2648" s="22">
        <v>17</v>
      </c>
      <c r="F2648" s="22">
        <v>5</v>
      </c>
      <c r="G2648" s="22" t="s">
        <v>3309</v>
      </c>
      <c r="H2648" s="22"/>
      <c r="I2648" s="23" t="s">
        <v>9</v>
      </c>
      <c r="J2648" s="23"/>
      <c r="K2648" s="22"/>
      <c r="L2648" s="22"/>
      <c r="M2648" s="23"/>
      <c r="N2648" s="23"/>
      <c r="O2648" s="20" t="s">
        <v>5445</v>
      </c>
      <c r="P2648" s="26"/>
      <c r="Q2648" s="22"/>
      <c r="R2648" s="24"/>
      <c r="S2648" s="24"/>
      <c r="T2648" s="24"/>
      <c r="U2648" s="24"/>
      <c r="V2648" s="24"/>
      <c r="W2648" s="22" t="s">
        <v>940</v>
      </c>
      <c r="X2648" s="4" t="str">
        <f>IF(Tabela2[[#This Row],[sigla]]="","",VLOOKUP(Tabela2[[#This Row],[sigla]],créditos_base!B:C,2,0))</f>
        <v>RONALDO LUCENA/ARQUIVO DA EDITORA</v>
      </c>
      <c r="Y2648" s="23"/>
      <c r="Z2648" s="23" t="str">
        <f>Tabela2[[#This Row],[ilustrador]]</f>
        <v>RONALDO LUCENA/ARQUIVO DA EDITORA</v>
      </c>
      <c r="AA2648" s="22"/>
      <c r="AB2648" s="20"/>
      <c r="AD2648" s="4" t="str">
        <f>"Pitanguá"</f>
        <v>Pitanguá</v>
      </c>
      <c r="AE2648" s="14" t="str">
        <f>"Matemática"</f>
        <v>Matemática</v>
      </c>
      <c r="AF2648" s="14"/>
    </row>
    <row r="2649" spans="1:32" ht="129.6" x14ac:dyDescent="0.3">
      <c r="A2649" s="23" t="s">
        <v>2669</v>
      </c>
      <c r="B2649" s="20" t="s">
        <v>16</v>
      </c>
      <c r="C2649" s="20" t="s">
        <v>7</v>
      </c>
      <c r="D2649" s="20" t="s">
        <v>8</v>
      </c>
      <c r="E2649" s="22">
        <v>257</v>
      </c>
      <c r="F2649" s="22">
        <v>2</v>
      </c>
      <c r="G2649" s="27" t="s">
        <v>2667</v>
      </c>
      <c r="H2649" s="22"/>
      <c r="I2649" s="23" t="s">
        <v>9</v>
      </c>
      <c r="J2649" s="23"/>
      <c r="K2649" s="22"/>
      <c r="L2649" s="22"/>
      <c r="M2649" s="23"/>
      <c r="N2649" s="23"/>
      <c r="O2649" s="26" t="s">
        <v>2670</v>
      </c>
      <c r="P2649" s="26"/>
      <c r="Q2649" s="22"/>
      <c r="R2649" s="24"/>
      <c r="S2649" s="24"/>
      <c r="T2649" s="24"/>
      <c r="U2649" s="24"/>
      <c r="V2649" s="24"/>
      <c r="W2649" s="22" t="s">
        <v>230</v>
      </c>
      <c r="X2649" s="4" t="str">
        <f>IF(Tabela2[[#This Row],[sigla]]="","",VLOOKUP(Tabela2[[#This Row],[sigla]],créditos_base!B:C,2,0))</f>
        <v>RAFAEL L. GAION/ARQUIVO DA EDITORA</v>
      </c>
      <c r="Y2649" s="23"/>
      <c r="Z2649" s="23" t="str">
        <f>Tabela2[[#This Row],[ilustrador]]</f>
        <v>RAFAEL L. GAION/ARQUIVO DA EDITORA</v>
      </c>
      <c r="AA2649" s="22"/>
      <c r="AB2649" s="20"/>
      <c r="AD2649" s="4" t="str">
        <f>"Pitanguá"</f>
        <v>Pitanguá</v>
      </c>
      <c r="AE2649" s="14" t="str">
        <f>"Matemática"</f>
        <v>Matemática</v>
      </c>
      <c r="AF2649" s="14"/>
    </row>
    <row r="2650" spans="1:32" ht="144" x14ac:dyDescent="0.3">
      <c r="A2650" s="23" t="s">
        <v>5031</v>
      </c>
      <c r="B2650" s="20" t="s">
        <v>16</v>
      </c>
      <c r="C2650" s="20" t="s">
        <v>89</v>
      </c>
      <c r="D2650" s="20" t="s">
        <v>8</v>
      </c>
      <c r="E2650" s="22">
        <v>283</v>
      </c>
      <c r="F2650" s="22">
        <v>3</v>
      </c>
      <c r="G2650" s="27" t="s">
        <v>2617</v>
      </c>
      <c r="H2650" s="22"/>
      <c r="I2650" s="23" t="s">
        <v>33</v>
      </c>
      <c r="J2650" s="23"/>
      <c r="K2650" s="22"/>
      <c r="L2650" s="22"/>
      <c r="M2650" s="23"/>
      <c r="N2650" s="23"/>
      <c r="O2650" s="26" t="s">
        <v>5032</v>
      </c>
      <c r="P2650" s="26"/>
      <c r="Q2650" s="22">
        <v>92</v>
      </c>
      <c r="R2650" s="24">
        <v>45840</v>
      </c>
      <c r="S2650" s="24">
        <v>45847</v>
      </c>
      <c r="T2650" s="24"/>
      <c r="U2650" s="24"/>
      <c r="V2650" s="24">
        <v>45847</v>
      </c>
      <c r="W2650" s="22" t="s">
        <v>160</v>
      </c>
      <c r="X2650" s="4" t="str">
        <f>IF(Tabela2[[#This Row],[sigla]]="","",VLOOKUP(Tabela2[[#This Row],[sigla]],créditos_base!B:C,2,0))</f>
        <v>SERGIO LIMA/ARQUIVO DA EDITORA</v>
      </c>
      <c r="Y2650" s="23" t="s">
        <v>880</v>
      </c>
      <c r="Z2650" s="23" t="str">
        <f>Tabela2[[#This Row],[ilustrador]]</f>
        <v>SERGIO LIMA/ARQUIVO DA EDITORA</v>
      </c>
      <c r="AA2650" s="22">
        <v>13</v>
      </c>
      <c r="AB2650" s="20" t="s">
        <v>244</v>
      </c>
      <c r="AC2650" s="20" t="s">
        <v>36</v>
      </c>
      <c r="AD2650" s="4" t="str">
        <f>"Pitanguá"</f>
        <v>Pitanguá</v>
      </c>
      <c r="AE2650" s="14" t="str">
        <f>"Matemática"</f>
        <v>Matemática</v>
      </c>
      <c r="AF2650" s="14"/>
    </row>
    <row r="2651" spans="1:32" ht="28.8" x14ac:dyDescent="0.3">
      <c r="A2651" s="23" t="s">
        <v>5647</v>
      </c>
      <c r="B2651" s="20" t="s">
        <v>16</v>
      </c>
      <c r="C2651" s="20" t="s">
        <v>89</v>
      </c>
      <c r="D2651" s="20" t="s">
        <v>8</v>
      </c>
      <c r="E2651" s="22">
        <v>283</v>
      </c>
      <c r="F2651" s="22">
        <v>4</v>
      </c>
      <c r="G2651" s="27" t="s">
        <v>2617</v>
      </c>
      <c r="H2651" s="22"/>
      <c r="I2651" s="23" t="s">
        <v>90</v>
      </c>
      <c r="J2651" s="23"/>
      <c r="K2651" s="22"/>
      <c r="L2651" s="22"/>
      <c r="M2651" s="23"/>
      <c r="N2651" s="23"/>
      <c r="O2651" s="20" t="s">
        <v>5648</v>
      </c>
      <c r="P2651" s="26"/>
      <c r="Q2651" s="22">
        <v>134</v>
      </c>
      <c r="R2651" s="24">
        <v>45866</v>
      </c>
      <c r="S2651" s="24">
        <v>45871</v>
      </c>
      <c r="T2651" s="24"/>
      <c r="U2651" s="24"/>
      <c r="V2651" s="24">
        <v>45871</v>
      </c>
      <c r="W2651" s="22" t="s">
        <v>763</v>
      </c>
      <c r="X2651" s="4" t="str">
        <f>IF(Tabela2[[#This Row],[sigla]]="","",VLOOKUP(Tabela2[[#This Row],[sigla]],créditos_base!B:C,2,0))</f>
        <v>RAFAELA PANISSA/ARQUIVO DA EDITORA</v>
      </c>
      <c r="Y2651" s="23"/>
      <c r="Z2651" s="23" t="str">
        <f>Tabela2[[#This Row],[ilustrador]]</f>
        <v>RAFAELA PANISSA/ARQUIVO DA EDITORA</v>
      </c>
      <c r="AA2651" s="22">
        <v>8</v>
      </c>
      <c r="AB2651" s="20" t="s">
        <v>954</v>
      </c>
      <c r="AC2651" s="20" t="s">
        <v>36</v>
      </c>
      <c r="AD2651" s="4" t="str">
        <f>"Pitanguá"</f>
        <v>Pitanguá</v>
      </c>
      <c r="AE2651" s="14" t="str">
        <f>"Matemática"</f>
        <v>Matemática</v>
      </c>
      <c r="AF2651" s="14"/>
    </row>
    <row r="2652" spans="1:32" ht="28.8" x14ac:dyDescent="0.3">
      <c r="A2652" s="23" t="s">
        <v>5446</v>
      </c>
      <c r="B2652" s="20" t="s">
        <v>16</v>
      </c>
      <c r="C2652" s="20" t="s">
        <v>89</v>
      </c>
      <c r="D2652" s="20" t="s">
        <v>8</v>
      </c>
      <c r="E2652" s="22">
        <v>17</v>
      </c>
      <c r="F2652" s="22">
        <v>5</v>
      </c>
      <c r="G2652" s="22" t="s">
        <v>3309</v>
      </c>
      <c r="H2652" s="22"/>
      <c r="I2652" s="23" t="s">
        <v>33</v>
      </c>
      <c r="J2652" s="23"/>
      <c r="K2652" s="22"/>
      <c r="L2652" s="22"/>
      <c r="M2652" s="23"/>
      <c r="N2652" s="23"/>
      <c r="O2652" s="26" t="s">
        <v>5447</v>
      </c>
      <c r="P2652" s="26"/>
      <c r="Q2652" s="22">
        <v>128</v>
      </c>
      <c r="R2652" s="24">
        <v>45863</v>
      </c>
      <c r="S2652" s="24">
        <v>45866</v>
      </c>
      <c r="T2652" s="24"/>
      <c r="U2652" s="24"/>
      <c r="V2652" s="24">
        <v>45866</v>
      </c>
      <c r="W2652" s="22" t="s">
        <v>160</v>
      </c>
      <c r="X2652" s="4" t="str">
        <f>IF(Tabela2[[#This Row],[sigla]]="","",VLOOKUP(Tabela2[[#This Row],[sigla]],créditos_base!B:C,2,0))</f>
        <v>SERGIO LIMA/ARQUIVO DA EDITORA</v>
      </c>
      <c r="Y2652" s="23" t="s">
        <v>433</v>
      </c>
      <c r="Z2652" s="23" t="str">
        <f>Tabela2[[#This Row],[ilustrador]]</f>
        <v>SERGIO LIMA/ARQUIVO DA EDITORA</v>
      </c>
      <c r="AA2652" s="22">
        <v>14</v>
      </c>
      <c r="AB2652" s="20" t="s">
        <v>153</v>
      </c>
      <c r="AC2652" s="20" t="s">
        <v>36</v>
      </c>
      <c r="AD2652" s="4" t="str">
        <f>"Pitanguá"</f>
        <v>Pitanguá</v>
      </c>
      <c r="AE2652" s="14" t="str">
        <f>"Matemática"</f>
        <v>Matemática</v>
      </c>
      <c r="AF2652" s="14"/>
    </row>
    <row r="2653" spans="1:32" ht="57.6" x14ac:dyDescent="0.3">
      <c r="A2653" s="23" t="s">
        <v>5041</v>
      </c>
      <c r="B2653" s="20" t="s">
        <v>16</v>
      </c>
      <c r="C2653" s="20" t="s">
        <v>89</v>
      </c>
      <c r="D2653" s="20" t="s">
        <v>8</v>
      </c>
      <c r="E2653" s="22">
        <v>266</v>
      </c>
      <c r="F2653" s="22">
        <v>3</v>
      </c>
      <c r="G2653" s="27" t="s">
        <v>5042</v>
      </c>
      <c r="H2653" s="22"/>
      <c r="I2653" s="23" t="s">
        <v>33</v>
      </c>
      <c r="J2653" s="23"/>
      <c r="K2653" s="22"/>
      <c r="L2653" s="22"/>
      <c r="M2653" s="23"/>
      <c r="N2653" s="23"/>
      <c r="O2653" s="26" t="s">
        <v>5043</v>
      </c>
      <c r="P2653" s="26"/>
      <c r="Q2653" s="22">
        <v>93</v>
      </c>
      <c r="R2653" s="24">
        <v>45840</v>
      </c>
      <c r="S2653" s="24">
        <v>45845</v>
      </c>
      <c r="T2653" s="24"/>
      <c r="U2653" s="24"/>
      <c r="V2653" s="24">
        <v>45845</v>
      </c>
      <c r="W2653" s="22" t="s">
        <v>160</v>
      </c>
      <c r="X2653" s="4" t="str">
        <f>IF(Tabela2[[#This Row],[sigla]]="","",VLOOKUP(Tabela2[[#This Row],[sigla]],créditos_base!B:C,2,0))</f>
        <v>SERGIO LIMA/ARQUIVO DA EDITORA</v>
      </c>
      <c r="Y2653" s="23" t="s">
        <v>433</v>
      </c>
      <c r="Z2653" s="23" t="str">
        <f>Tabela2[[#This Row],[ilustrador]]</f>
        <v>SERGIO LIMA/ARQUIVO DA EDITORA</v>
      </c>
      <c r="AA2653" s="22">
        <v>14</v>
      </c>
      <c r="AB2653" s="20" t="s">
        <v>153</v>
      </c>
      <c r="AC2653" s="20" t="s">
        <v>36</v>
      </c>
      <c r="AD2653" s="4" t="str">
        <f>"Pitanguá"</f>
        <v>Pitanguá</v>
      </c>
      <c r="AE2653" s="14" t="str">
        <f>"Matemática"</f>
        <v>Matemática</v>
      </c>
      <c r="AF2653" s="14"/>
    </row>
    <row r="2654" spans="1:32" ht="72" x14ac:dyDescent="0.3">
      <c r="A2654" s="23" t="s">
        <v>5649</v>
      </c>
      <c r="B2654" s="20" t="s">
        <v>522</v>
      </c>
      <c r="C2654" s="20" t="s">
        <v>89</v>
      </c>
      <c r="D2654" s="20" t="s">
        <v>8</v>
      </c>
      <c r="E2654" s="22">
        <v>285</v>
      </c>
      <c r="F2654" s="22">
        <v>4</v>
      </c>
      <c r="G2654" s="27" t="s">
        <v>2617</v>
      </c>
      <c r="H2654" s="22"/>
      <c r="I2654" s="23" t="s">
        <v>33</v>
      </c>
      <c r="J2654" s="23"/>
      <c r="K2654" s="22"/>
      <c r="L2654" s="22"/>
      <c r="M2654" s="23"/>
      <c r="N2654" s="23"/>
      <c r="O2654" s="26" t="s">
        <v>5650</v>
      </c>
      <c r="P2654" s="26"/>
      <c r="Q2654" s="22">
        <v>193</v>
      </c>
      <c r="R2654" s="24">
        <v>45913</v>
      </c>
      <c r="S2654" s="24">
        <v>45913</v>
      </c>
      <c r="T2654" s="24"/>
      <c r="U2654" s="24"/>
      <c r="V2654" s="24">
        <v>45913</v>
      </c>
      <c r="W2654" s="22" t="s">
        <v>160</v>
      </c>
      <c r="X2654" s="4" t="str">
        <f>IF(Tabela2[[#This Row],[sigla]]="","",VLOOKUP(Tabela2[[#This Row],[sigla]],créditos_base!B:C,2,0))</f>
        <v>SERGIO LIMA/ARQUIVO DA EDITORA</v>
      </c>
      <c r="Y2654" s="23" t="s">
        <v>1139</v>
      </c>
      <c r="Z2654" s="23" t="str">
        <f>Tabela2[[#This Row],[ilustrador]]</f>
        <v>SERGIO LIMA/ARQUIVO DA EDITORA</v>
      </c>
      <c r="AA2654" s="22">
        <v>13</v>
      </c>
      <c r="AB2654" s="20" t="s">
        <v>954</v>
      </c>
      <c r="AC2654" s="20" t="s">
        <v>36</v>
      </c>
      <c r="AD2654" s="4" t="str">
        <f>"Pitanguá"</f>
        <v>Pitanguá</v>
      </c>
      <c r="AE2654" s="14" t="str">
        <f>"Matemática"</f>
        <v>Matemática</v>
      </c>
      <c r="AF2654" s="14"/>
    </row>
    <row r="2655" spans="1:32" x14ac:dyDescent="0.3">
      <c r="A2655" s="23" t="s">
        <v>5448</v>
      </c>
      <c r="B2655" s="20" t="s">
        <v>16</v>
      </c>
      <c r="C2655" s="20" t="s">
        <v>89</v>
      </c>
      <c r="D2655" s="20" t="s">
        <v>8</v>
      </c>
      <c r="E2655" s="22">
        <v>17</v>
      </c>
      <c r="F2655" s="22">
        <v>5</v>
      </c>
      <c r="G2655" s="22" t="s">
        <v>3309</v>
      </c>
      <c r="H2655" s="22"/>
      <c r="I2655" s="23" t="s">
        <v>9</v>
      </c>
      <c r="J2655" s="23"/>
      <c r="K2655" s="22"/>
      <c r="L2655" s="22"/>
      <c r="M2655" s="23"/>
      <c r="N2655" s="23"/>
      <c r="O2655" s="20" t="s">
        <v>5449</v>
      </c>
      <c r="P2655" s="26"/>
      <c r="Q2655" s="22"/>
      <c r="R2655" s="24"/>
      <c r="S2655" s="24"/>
      <c r="T2655" s="24"/>
      <c r="U2655" s="24"/>
      <c r="V2655" s="24"/>
      <c r="W2655" s="22" t="s">
        <v>31</v>
      </c>
      <c r="X2655" s="4" t="str">
        <f>IF(Tabela2[[#This Row],[sigla]]="","",VLOOKUP(Tabela2[[#This Row],[sigla]],créditos_base!B:C,2,0))</f>
        <v>SILVIA OTOFUJI/ARQUIVO DA EDITORA</v>
      </c>
      <c r="Y2655" s="23"/>
      <c r="Z2655" s="23" t="str">
        <f>Tabela2[[#This Row],[ilustrador]]</f>
        <v>SILVIA OTOFUJI/ARQUIVO DA EDITORA</v>
      </c>
      <c r="AA2655" s="22"/>
      <c r="AB2655" s="20"/>
      <c r="AD2655" s="4" t="str">
        <f>"Pitanguá"</f>
        <v>Pitanguá</v>
      </c>
      <c r="AE2655" s="14" t="str">
        <f>"Matemática"</f>
        <v>Matemática</v>
      </c>
      <c r="AF2655" s="14"/>
    </row>
    <row r="2656" spans="1:32" ht="43.2" x14ac:dyDescent="0.3">
      <c r="A2656" s="23" t="s">
        <v>4035</v>
      </c>
      <c r="B2656" s="20" t="s">
        <v>6</v>
      </c>
      <c r="C2656" s="20" t="s">
        <v>89</v>
      </c>
      <c r="D2656" s="20" t="s">
        <v>8</v>
      </c>
      <c r="E2656" s="22">
        <v>261</v>
      </c>
      <c r="F2656" s="22">
        <v>2</v>
      </c>
      <c r="G2656" s="27" t="s">
        <v>2617</v>
      </c>
      <c r="H2656" s="22"/>
      <c r="I2656" s="23" t="s">
        <v>33</v>
      </c>
      <c r="J2656" s="23"/>
      <c r="K2656" s="22"/>
      <c r="L2656" s="22"/>
      <c r="M2656" s="23"/>
      <c r="N2656" s="23"/>
      <c r="O2656" s="26" t="s">
        <v>4036</v>
      </c>
      <c r="P2656" s="26" t="s">
        <v>465</v>
      </c>
      <c r="Q2656" s="22">
        <v>58</v>
      </c>
      <c r="R2656" s="24">
        <v>45805</v>
      </c>
      <c r="S2656" s="24">
        <v>45806</v>
      </c>
      <c r="T2656" s="24"/>
      <c r="U2656" s="24"/>
      <c r="V2656" s="24">
        <v>45806</v>
      </c>
      <c r="W2656" s="22" t="s">
        <v>425</v>
      </c>
      <c r="X2656" s="4" t="str">
        <f>IF(Tabela2[[#This Row],[sigla]]="","",VLOOKUP(Tabela2[[#This Row],[sigla]],créditos_base!B:C,2,0))</f>
        <v>BÁRBARA SARZI/ARQUIVO DA EDITORA</v>
      </c>
      <c r="Y2656" s="23" t="s">
        <v>152</v>
      </c>
      <c r="Z2656" s="23" t="str">
        <f>Tabela2[[#This Row],[ilustrador]]</f>
        <v>BÁRBARA SARZI/ARQUIVO DA EDITORA</v>
      </c>
      <c r="AA2656" s="22">
        <v>13</v>
      </c>
      <c r="AB2656" s="20" t="s">
        <v>747</v>
      </c>
      <c r="AC2656" s="20" t="s">
        <v>36</v>
      </c>
      <c r="AD2656" s="4" t="str">
        <f>"Pitanguá"</f>
        <v>Pitanguá</v>
      </c>
      <c r="AE2656" s="14" t="str">
        <f>"Matemática"</f>
        <v>Matemática</v>
      </c>
      <c r="AF2656" s="14"/>
    </row>
    <row r="2657" spans="1:32" ht="43.2" x14ac:dyDescent="0.3">
      <c r="A2657" s="23" t="s">
        <v>5044</v>
      </c>
      <c r="B2657" s="20" t="s">
        <v>16</v>
      </c>
      <c r="C2657" s="20" t="s">
        <v>89</v>
      </c>
      <c r="D2657" s="20" t="s">
        <v>8</v>
      </c>
      <c r="E2657" s="22">
        <v>267</v>
      </c>
      <c r="F2657" s="22">
        <v>3</v>
      </c>
      <c r="G2657" s="27" t="s">
        <v>5042</v>
      </c>
      <c r="H2657" s="22"/>
      <c r="I2657" s="23" t="s">
        <v>90</v>
      </c>
      <c r="J2657" s="23"/>
      <c r="K2657" s="22"/>
      <c r="L2657" s="22"/>
      <c r="M2657" s="23"/>
      <c r="N2657" s="23"/>
      <c r="O2657" s="26" t="s">
        <v>5045</v>
      </c>
      <c r="P2657" s="26"/>
      <c r="Q2657" s="22">
        <v>93</v>
      </c>
      <c r="R2657" s="24">
        <v>45840</v>
      </c>
      <c r="S2657" s="24">
        <v>45845</v>
      </c>
      <c r="T2657" s="24"/>
      <c r="U2657" s="24"/>
      <c r="V2657" s="24">
        <v>45845</v>
      </c>
      <c r="W2657" s="22" t="s">
        <v>5046</v>
      </c>
      <c r="X2657" s="4" t="str">
        <f>IF(Tabela2[[#This Row],[sigla]]="","",VLOOKUP(Tabela2[[#This Row],[sigla]],créditos_base!B:C,2,0))</f>
        <v>MARYANE VIOTO SILVA/ARQUIVO DA EDITORA</v>
      </c>
      <c r="Y2657" s="23"/>
      <c r="Z2657" s="23" t="str">
        <f>Tabela2[[#This Row],[ilustrador]]</f>
        <v>MARYANE VIOTO SILVA/ARQUIVO DA EDITORA</v>
      </c>
      <c r="AA2657" s="22">
        <v>8</v>
      </c>
      <c r="AB2657" s="20" t="s">
        <v>243</v>
      </c>
      <c r="AC2657" s="20" t="s">
        <v>36</v>
      </c>
      <c r="AD2657" s="4" t="str">
        <f>"Pitanguá"</f>
        <v>Pitanguá</v>
      </c>
      <c r="AE2657" s="14" t="str">
        <f>"Matemática"</f>
        <v>Matemática</v>
      </c>
      <c r="AF2657" s="14"/>
    </row>
    <row r="2658" spans="1:32" ht="43.2" x14ac:dyDescent="0.3">
      <c r="A2658" s="23" t="s">
        <v>5651</v>
      </c>
      <c r="B2658" s="20" t="s">
        <v>16</v>
      </c>
      <c r="C2658" s="20" t="s">
        <v>89</v>
      </c>
      <c r="D2658" s="20" t="s">
        <v>8</v>
      </c>
      <c r="E2658" s="22">
        <v>285</v>
      </c>
      <c r="F2658" s="22">
        <v>4</v>
      </c>
      <c r="G2658" s="27" t="s">
        <v>2617</v>
      </c>
      <c r="H2658" s="22"/>
      <c r="I2658" s="23" t="s">
        <v>9</v>
      </c>
      <c r="J2658" s="23"/>
      <c r="K2658" s="22"/>
      <c r="L2658" s="22"/>
      <c r="M2658" s="23"/>
      <c r="N2658" s="23"/>
      <c r="O2658" s="20" t="s">
        <v>5652</v>
      </c>
      <c r="P2658" s="26"/>
      <c r="Q2658" s="22"/>
      <c r="R2658" s="24"/>
      <c r="S2658" s="24">
        <v>45913</v>
      </c>
      <c r="T2658" s="24"/>
      <c r="U2658" s="24"/>
      <c r="V2658" s="24"/>
      <c r="W2658" s="22" t="s">
        <v>468</v>
      </c>
      <c r="X2658" s="4" t="str">
        <f>IF(Tabela2[[#This Row],[sigla]]="","",VLOOKUP(Tabela2[[#This Row],[sigla]],créditos_base!B:C,2,0))</f>
        <v>VER DOCUMENTO DE ILS. TÉCNICAS</v>
      </c>
      <c r="Y2658" s="23"/>
      <c r="Z2658" s="23" t="s">
        <v>689</v>
      </c>
      <c r="AA2658" s="22"/>
      <c r="AB2658" s="20"/>
      <c r="AD2658" s="4" t="str">
        <f>"Pitanguá"</f>
        <v>Pitanguá</v>
      </c>
      <c r="AE2658" s="14" t="str">
        <f>"Matemática"</f>
        <v>Matemática</v>
      </c>
      <c r="AF2658" s="14"/>
    </row>
    <row r="2659" spans="1:32" ht="43.2" x14ac:dyDescent="0.3">
      <c r="A2659" s="23" t="s">
        <v>4037</v>
      </c>
      <c r="B2659" s="20" t="s">
        <v>6</v>
      </c>
      <c r="C2659" s="20" t="s">
        <v>89</v>
      </c>
      <c r="D2659" s="20" t="s">
        <v>8</v>
      </c>
      <c r="E2659" s="22">
        <v>263</v>
      </c>
      <c r="F2659" s="22">
        <v>2</v>
      </c>
      <c r="G2659" s="27" t="s">
        <v>2617</v>
      </c>
      <c r="H2659" s="22"/>
      <c r="I2659" s="23" t="s">
        <v>33</v>
      </c>
      <c r="J2659" s="23"/>
      <c r="K2659" s="22"/>
      <c r="L2659" s="22"/>
      <c r="M2659" s="23"/>
      <c r="N2659" s="23"/>
      <c r="O2659" s="26" t="s">
        <v>4038</v>
      </c>
      <c r="P2659" s="26" t="s">
        <v>465</v>
      </c>
      <c r="Q2659" s="22">
        <v>58</v>
      </c>
      <c r="R2659" s="24">
        <v>45805</v>
      </c>
      <c r="S2659" s="24">
        <v>45806</v>
      </c>
      <c r="T2659" s="24"/>
      <c r="U2659" s="24"/>
      <c r="V2659" s="24">
        <v>45806</v>
      </c>
      <c r="W2659" s="22" t="s">
        <v>425</v>
      </c>
      <c r="X2659" s="4" t="str">
        <f>IF(Tabela2[[#This Row],[sigla]]="","",VLOOKUP(Tabela2[[#This Row],[sigla]],créditos_base!B:C,2,0))</f>
        <v>BÁRBARA SARZI/ARQUIVO DA EDITORA</v>
      </c>
      <c r="Y2659" s="23" t="s">
        <v>152</v>
      </c>
      <c r="Z2659" s="23" t="str">
        <f>Tabela2[[#This Row],[ilustrador]]</f>
        <v>BÁRBARA SARZI/ARQUIVO DA EDITORA</v>
      </c>
      <c r="AA2659" s="22">
        <v>13</v>
      </c>
      <c r="AB2659" s="20" t="s">
        <v>747</v>
      </c>
      <c r="AC2659" s="20" t="s">
        <v>36</v>
      </c>
      <c r="AD2659" s="4" t="str">
        <f>"Pitanguá"</f>
        <v>Pitanguá</v>
      </c>
      <c r="AE2659" s="14" t="str">
        <f>"Matemática"</f>
        <v>Matemática</v>
      </c>
      <c r="AF2659" s="14"/>
    </row>
    <row r="2660" spans="1:32" x14ac:dyDescent="0.3">
      <c r="A2660" s="23" t="s">
        <v>5653</v>
      </c>
      <c r="B2660" s="20" t="s">
        <v>16</v>
      </c>
      <c r="C2660" s="20" t="s">
        <v>89</v>
      </c>
      <c r="D2660" s="20" t="s">
        <v>8</v>
      </c>
      <c r="E2660" s="22">
        <v>287</v>
      </c>
      <c r="F2660" s="22">
        <v>4</v>
      </c>
      <c r="G2660" s="27" t="s">
        <v>2617</v>
      </c>
      <c r="H2660" s="22"/>
      <c r="I2660" s="23" t="s">
        <v>90</v>
      </c>
      <c r="J2660" s="23"/>
      <c r="K2660" s="22"/>
      <c r="L2660" s="22"/>
      <c r="M2660" s="23"/>
      <c r="N2660" s="23"/>
      <c r="O2660" s="20" t="s">
        <v>5654</v>
      </c>
      <c r="P2660" s="26"/>
      <c r="Q2660" s="22">
        <v>134</v>
      </c>
      <c r="R2660" s="24">
        <v>45866</v>
      </c>
      <c r="S2660" s="24">
        <v>45871</v>
      </c>
      <c r="T2660" s="24"/>
      <c r="U2660" s="24"/>
      <c r="V2660" s="24">
        <v>45871</v>
      </c>
      <c r="W2660" s="22" t="s">
        <v>763</v>
      </c>
      <c r="X2660" s="4" t="str">
        <f>IF(Tabela2[[#This Row],[sigla]]="","",VLOOKUP(Tabela2[[#This Row],[sigla]],créditos_base!B:C,2,0))</f>
        <v>RAFAELA PANISSA/ARQUIVO DA EDITORA</v>
      </c>
      <c r="Y2660" s="23"/>
      <c r="Z2660" s="23" t="str">
        <f>Tabela2[[#This Row],[ilustrador]]</f>
        <v>RAFAELA PANISSA/ARQUIVO DA EDITORA</v>
      </c>
      <c r="AA2660" s="22">
        <v>8</v>
      </c>
      <c r="AB2660" s="20" t="s">
        <v>954</v>
      </c>
      <c r="AC2660" s="20" t="s">
        <v>36</v>
      </c>
      <c r="AD2660" s="4" t="str">
        <f>"Pitanguá"</f>
        <v>Pitanguá</v>
      </c>
      <c r="AE2660" s="14" t="str">
        <f>"Matemática"</f>
        <v>Matemática</v>
      </c>
      <c r="AF2660" s="14"/>
    </row>
    <row r="2661" spans="1:32" ht="28.8" x14ac:dyDescent="0.3">
      <c r="A2661" s="23" t="s">
        <v>4560</v>
      </c>
      <c r="B2661" s="20" t="s">
        <v>16</v>
      </c>
      <c r="C2661" s="20" t="s">
        <v>89</v>
      </c>
      <c r="D2661" s="20" t="s">
        <v>8</v>
      </c>
      <c r="E2661" s="22">
        <v>263</v>
      </c>
      <c r="F2661" s="22">
        <v>2</v>
      </c>
      <c r="G2661" s="27" t="s">
        <v>2617</v>
      </c>
      <c r="H2661" s="22"/>
      <c r="I2661" s="23" t="s">
        <v>9</v>
      </c>
      <c r="J2661" s="23"/>
      <c r="K2661" s="22"/>
      <c r="L2661" s="22"/>
      <c r="M2661" s="23"/>
      <c r="N2661" s="23"/>
      <c r="O2661" s="26" t="s">
        <v>4561</v>
      </c>
      <c r="P2661" s="26"/>
      <c r="Q2661" s="22"/>
      <c r="R2661" s="24"/>
      <c r="S2661" s="24"/>
      <c r="T2661" s="24"/>
      <c r="U2661" s="24"/>
      <c r="V2661" s="24"/>
      <c r="W2661" s="22" t="s">
        <v>468</v>
      </c>
      <c r="X2661" s="4" t="str">
        <f>IF(Tabela2[[#This Row],[sigla]]="","",VLOOKUP(Tabela2[[#This Row],[sigla]],créditos_base!B:C,2,0))</f>
        <v>VER DOCUMENTO DE ILS. TÉCNICAS</v>
      </c>
      <c r="Y2661" s="23"/>
      <c r="Z2661" s="23" t="s">
        <v>661</v>
      </c>
      <c r="AA2661" s="22"/>
      <c r="AB2661" s="20"/>
      <c r="AD2661" s="4" t="str">
        <f>"Pitanguá"</f>
        <v>Pitanguá</v>
      </c>
      <c r="AE2661" s="14" t="str">
        <f>"Matemática"</f>
        <v>Matemática</v>
      </c>
      <c r="AF2661" s="14"/>
    </row>
    <row r="2662" spans="1:32" ht="28.8" x14ac:dyDescent="0.3">
      <c r="A2662" s="23" t="s">
        <v>5655</v>
      </c>
      <c r="B2662" s="20" t="s">
        <v>16</v>
      </c>
      <c r="C2662" s="20" t="s">
        <v>89</v>
      </c>
      <c r="D2662" s="20" t="s">
        <v>8</v>
      </c>
      <c r="E2662" s="22">
        <v>287</v>
      </c>
      <c r="F2662" s="22">
        <v>4</v>
      </c>
      <c r="G2662" s="27" t="s">
        <v>2617</v>
      </c>
      <c r="H2662" s="22"/>
      <c r="I2662" s="23" t="s">
        <v>9</v>
      </c>
      <c r="J2662" s="23"/>
      <c r="K2662" s="22"/>
      <c r="L2662" s="22"/>
      <c r="M2662" s="23"/>
      <c r="N2662" s="23"/>
      <c r="O2662" s="20" t="s">
        <v>5656</v>
      </c>
      <c r="P2662" s="26"/>
      <c r="Q2662" s="22"/>
      <c r="R2662" s="24"/>
      <c r="S2662" s="24"/>
      <c r="T2662" s="24"/>
      <c r="U2662" s="24"/>
      <c r="V2662" s="24"/>
      <c r="W2662" s="22" t="s">
        <v>468</v>
      </c>
      <c r="X2662" s="4" t="str">
        <f>IF(Tabela2[[#This Row],[sigla]]="","",VLOOKUP(Tabela2[[#This Row],[sigla]],créditos_base!B:C,2,0))</f>
        <v>VER DOCUMENTO DE ILS. TÉCNICAS</v>
      </c>
      <c r="Y2662" s="23"/>
      <c r="Z2662" s="23" t="s">
        <v>689</v>
      </c>
      <c r="AA2662" s="22"/>
      <c r="AB2662" s="20"/>
      <c r="AD2662" s="4" t="str">
        <f>"Pitanguá"</f>
        <v>Pitanguá</v>
      </c>
      <c r="AE2662" s="14" t="str">
        <f>"Matemática"</f>
        <v>Matemática</v>
      </c>
      <c r="AF2662" s="14"/>
    </row>
    <row r="2663" spans="1:32" ht="28.8" x14ac:dyDescent="0.3">
      <c r="A2663" s="23" t="s">
        <v>2616</v>
      </c>
      <c r="B2663" s="20" t="s">
        <v>16</v>
      </c>
      <c r="C2663" s="20" t="s">
        <v>7</v>
      </c>
      <c r="D2663" s="20" t="s">
        <v>8</v>
      </c>
      <c r="E2663" s="22">
        <v>255</v>
      </c>
      <c r="F2663" s="22">
        <v>1</v>
      </c>
      <c r="G2663" s="27" t="s">
        <v>2617</v>
      </c>
      <c r="H2663" s="22"/>
      <c r="I2663" s="23" t="s">
        <v>9</v>
      </c>
      <c r="J2663" s="23"/>
      <c r="K2663" s="22"/>
      <c r="L2663" s="22"/>
      <c r="M2663" s="23"/>
      <c r="N2663" s="23"/>
      <c r="O2663" s="26" t="s">
        <v>2618</v>
      </c>
      <c r="P2663" s="26"/>
      <c r="Q2663" s="22"/>
      <c r="R2663" s="24"/>
      <c r="S2663" s="24"/>
      <c r="T2663" s="24"/>
      <c r="U2663" s="24"/>
      <c r="V2663" s="24"/>
      <c r="W2663" s="22" t="s">
        <v>31</v>
      </c>
      <c r="X2663" s="4" t="str">
        <f>IF(Tabela2[[#This Row],[sigla]]="","",VLOOKUP(Tabela2[[#This Row],[sigla]],créditos_base!B:C,2,0))</f>
        <v>SILVIA OTOFUJI/ARQUIVO DA EDITORA</v>
      </c>
      <c r="Y2663" s="23"/>
      <c r="Z2663" s="23" t="str">
        <f>Tabela2[[#This Row],[ilustrador]]</f>
        <v>SILVIA OTOFUJI/ARQUIVO DA EDITORA</v>
      </c>
      <c r="AA2663" s="22"/>
      <c r="AB2663" s="20"/>
      <c r="AD2663" s="4" t="str">
        <f>"Pitanguá"</f>
        <v>Pitanguá</v>
      </c>
      <c r="AE2663" s="14" t="str">
        <f>"Matemática"</f>
        <v>Matemática</v>
      </c>
      <c r="AF2663" s="14"/>
    </row>
    <row r="2664" spans="1:32" x14ac:dyDescent="0.3">
      <c r="A2664" s="23" t="s">
        <v>4039</v>
      </c>
      <c r="B2664" s="20" t="s">
        <v>16</v>
      </c>
      <c r="C2664" s="20" t="s">
        <v>89</v>
      </c>
      <c r="D2664" s="20" t="s">
        <v>8</v>
      </c>
      <c r="E2664" s="22">
        <v>267</v>
      </c>
      <c r="F2664" s="22">
        <v>2</v>
      </c>
      <c r="G2664" s="27" t="s">
        <v>2617</v>
      </c>
      <c r="H2664" s="22"/>
      <c r="I2664" s="23" t="s">
        <v>33</v>
      </c>
      <c r="J2664" s="23"/>
      <c r="K2664" s="22"/>
      <c r="L2664" s="22"/>
      <c r="M2664" s="23"/>
      <c r="N2664" s="23"/>
      <c r="O2664" s="26" t="s">
        <v>4040</v>
      </c>
      <c r="P2664" s="26"/>
      <c r="Q2664" s="22">
        <v>75</v>
      </c>
      <c r="R2664" s="24">
        <v>45817</v>
      </c>
      <c r="S2664" s="24">
        <v>45818</v>
      </c>
      <c r="T2664" s="24"/>
      <c r="U2664" s="24"/>
      <c r="V2664" s="24">
        <v>45818</v>
      </c>
      <c r="W2664" s="22" t="s">
        <v>160</v>
      </c>
      <c r="X2664" s="4" t="str">
        <f>IF(Tabela2[[#This Row],[sigla]]="","",VLOOKUP(Tabela2[[#This Row],[sigla]],créditos_base!B:C,2,0))</f>
        <v>SERGIO LIMA/ARQUIVO DA EDITORA</v>
      </c>
      <c r="Y2664" s="23" t="s">
        <v>152</v>
      </c>
      <c r="Z2664" s="23" t="str">
        <f>Tabela2[[#This Row],[ilustrador]]</f>
        <v>SERGIO LIMA/ARQUIVO DA EDITORA</v>
      </c>
      <c r="AA2664" s="22">
        <v>13</v>
      </c>
      <c r="AB2664" s="20" t="s">
        <v>244</v>
      </c>
      <c r="AC2664" s="20" t="s">
        <v>36</v>
      </c>
      <c r="AD2664" s="4" t="str">
        <f>"Pitanguá"</f>
        <v>Pitanguá</v>
      </c>
      <c r="AE2664" s="14" t="str">
        <f>"Matemática"</f>
        <v>Matemática</v>
      </c>
      <c r="AF2664" s="14"/>
    </row>
    <row r="2665" spans="1:32" ht="28.8" x14ac:dyDescent="0.3">
      <c r="A2665" s="23" t="s">
        <v>5047</v>
      </c>
      <c r="B2665" s="20" t="s">
        <v>6</v>
      </c>
      <c r="C2665" s="20" t="s">
        <v>7</v>
      </c>
      <c r="D2665" s="20" t="s">
        <v>8</v>
      </c>
      <c r="E2665" s="22">
        <v>269</v>
      </c>
      <c r="F2665" s="22">
        <v>3</v>
      </c>
      <c r="G2665" s="27" t="s">
        <v>5042</v>
      </c>
      <c r="H2665" s="22"/>
      <c r="I2665" s="23" t="s">
        <v>33</v>
      </c>
      <c r="J2665" s="23"/>
      <c r="K2665" s="22"/>
      <c r="L2665" s="22"/>
      <c r="M2665" s="23"/>
      <c r="N2665" s="23"/>
      <c r="O2665" s="26" t="s">
        <v>5048</v>
      </c>
      <c r="P2665" s="26" t="s">
        <v>5049</v>
      </c>
      <c r="Q2665" s="22">
        <v>93</v>
      </c>
      <c r="R2665" s="24">
        <v>45840</v>
      </c>
      <c r="S2665" s="24">
        <v>45845</v>
      </c>
      <c r="T2665" s="24"/>
      <c r="U2665" s="24"/>
      <c r="V2665" s="24">
        <v>45845</v>
      </c>
      <c r="W2665" s="22" t="s">
        <v>940</v>
      </c>
      <c r="X2665" s="4" t="str">
        <f>IF(Tabela2[[#This Row],[sigla]]="","",VLOOKUP(Tabela2[[#This Row],[sigla]],créditos_base!B:C,2,0))</f>
        <v>RONALDO LUCENA/ARQUIVO DA EDITORA</v>
      </c>
      <c r="Y2665" s="23" t="s">
        <v>433</v>
      </c>
      <c r="Z2665" s="23" t="str">
        <f>Tabela2[[#This Row],[ilustrador]]</f>
        <v>RONALDO LUCENA/ARQUIVO DA EDITORA</v>
      </c>
      <c r="AA2665" s="22">
        <v>14</v>
      </c>
      <c r="AB2665" s="20" t="s">
        <v>153</v>
      </c>
      <c r="AC2665" s="20" t="s">
        <v>36</v>
      </c>
      <c r="AD2665" s="4" t="str">
        <f>"Pitanguá"</f>
        <v>Pitanguá</v>
      </c>
      <c r="AE2665" s="14" t="str">
        <f>"Matemática"</f>
        <v>Matemática</v>
      </c>
      <c r="AF2665" s="14"/>
    </row>
    <row r="2666" spans="1:32" ht="28.8" x14ac:dyDescent="0.3">
      <c r="A2666" s="23" t="s">
        <v>2621</v>
      </c>
      <c r="B2666" s="20" t="s">
        <v>16</v>
      </c>
      <c r="C2666" s="20" t="s">
        <v>89</v>
      </c>
      <c r="D2666" s="20" t="s">
        <v>8</v>
      </c>
      <c r="E2666" s="22">
        <v>257</v>
      </c>
      <c r="F2666" s="22">
        <v>1</v>
      </c>
      <c r="G2666" s="27" t="s">
        <v>2617</v>
      </c>
      <c r="H2666" s="22"/>
      <c r="I2666" s="23" t="s">
        <v>33</v>
      </c>
      <c r="J2666" s="23"/>
      <c r="K2666" s="22"/>
      <c r="L2666" s="22"/>
      <c r="M2666" s="23"/>
      <c r="N2666" s="23"/>
      <c r="O2666" s="26" t="s">
        <v>2622</v>
      </c>
      <c r="P2666" s="26"/>
      <c r="Q2666" s="22">
        <v>36</v>
      </c>
      <c r="R2666" s="24">
        <v>45772</v>
      </c>
      <c r="S2666" s="24">
        <v>45777</v>
      </c>
      <c r="T2666" s="24"/>
      <c r="U2666" s="24"/>
      <c r="V2666" s="24">
        <v>45779</v>
      </c>
      <c r="W2666" s="22" t="s">
        <v>806</v>
      </c>
      <c r="X2666" s="4" t="str">
        <f>IF(Tabela2[[#This Row],[sigla]]="","",VLOOKUP(Tabela2[[#This Row],[sigla]],créditos_base!B:C,2,0))</f>
        <v>MARCOS MACHADO/ARQUIVO DA EDITORA</v>
      </c>
      <c r="Y2666" s="23" t="s">
        <v>152</v>
      </c>
      <c r="Z2666" s="23" t="str">
        <f>Tabela2[[#This Row],[ilustrador]]</f>
        <v>MARCOS MACHADO/ARQUIVO DA EDITORA</v>
      </c>
      <c r="AA2666" s="22">
        <v>13</v>
      </c>
      <c r="AB2666" s="20" t="s">
        <v>153</v>
      </c>
      <c r="AC2666" s="20" t="s">
        <v>36</v>
      </c>
      <c r="AD2666" s="4" t="str">
        <f>"Pitanguá"</f>
        <v>Pitanguá</v>
      </c>
      <c r="AE2666" s="14" t="str">
        <f>"Matemática"</f>
        <v>Matemática</v>
      </c>
      <c r="AF2666" s="14"/>
    </row>
    <row r="2667" spans="1:32" x14ac:dyDescent="0.3">
      <c r="A2667" s="23" t="s">
        <v>4447</v>
      </c>
      <c r="B2667" s="20" t="s">
        <v>16</v>
      </c>
      <c r="C2667" s="20" t="s">
        <v>7</v>
      </c>
      <c r="D2667" s="20" t="s">
        <v>8</v>
      </c>
      <c r="E2667" s="22">
        <v>271</v>
      </c>
      <c r="F2667" s="22">
        <v>2</v>
      </c>
      <c r="G2667" s="27" t="s">
        <v>2617</v>
      </c>
      <c r="H2667" s="22"/>
      <c r="I2667" s="23" t="s">
        <v>9</v>
      </c>
      <c r="J2667" s="23"/>
      <c r="K2667" s="22"/>
      <c r="L2667" s="22"/>
      <c r="M2667" s="23"/>
      <c r="N2667" s="23"/>
      <c r="O2667" s="26" t="s">
        <v>4448</v>
      </c>
      <c r="P2667" s="26"/>
      <c r="Q2667" s="22"/>
      <c r="R2667" s="24"/>
      <c r="S2667" s="24"/>
      <c r="T2667" s="24"/>
      <c r="U2667" s="24"/>
      <c r="V2667" s="24"/>
      <c r="W2667" s="22" t="s">
        <v>31</v>
      </c>
      <c r="X2667" s="4" t="str">
        <f>IF(Tabela2[[#This Row],[sigla]]="","",VLOOKUP(Tabela2[[#This Row],[sigla]],créditos_base!B:C,2,0))</f>
        <v>SILVIA OTOFUJI/ARQUIVO DA EDITORA</v>
      </c>
      <c r="Y2667" s="23"/>
      <c r="Z2667" s="23" t="str">
        <f>Tabela2[[#This Row],[ilustrador]]</f>
        <v>SILVIA OTOFUJI/ARQUIVO DA EDITORA</v>
      </c>
      <c r="AA2667" s="22"/>
      <c r="AB2667" s="20"/>
      <c r="AD2667" s="4" t="str">
        <f>"Pitanguá"</f>
        <v>Pitanguá</v>
      </c>
      <c r="AE2667" s="14" t="str">
        <f>"Matemática"</f>
        <v>Matemática</v>
      </c>
      <c r="AF2667" s="14"/>
    </row>
    <row r="2668" spans="1:32" x14ac:dyDescent="0.3">
      <c r="A2668" s="23" t="s">
        <v>5050</v>
      </c>
      <c r="B2668" s="20" t="s">
        <v>16</v>
      </c>
      <c r="C2668" s="20" t="s">
        <v>7</v>
      </c>
      <c r="D2668" s="20" t="s">
        <v>8</v>
      </c>
      <c r="E2668" s="22">
        <v>269</v>
      </c>
      <c r="F2668" s="22">
        <v>3</v>
      </c>
      <c r="G2668" s="27" t="s">
        <v>5042</v>
      </c>
      <c r="H2668" s="22"/>
      <c r="I2668" s="23" t="s">
        <v>9</v>
      </c>
      <c r="J2668" s="23"/>
      <c r="K2668" s="22"/>
      <c r="L2668" s="22"/>
      <c r="M2668" s="23"/>
      <c r="N2668" s="23"/>
      <c r="O2668" s="26" t="s">
        <v>5051</v>
      </c>
      <c r="P2668" s="26"/>
      <c r="Q2668" s="22"/>
      <c r="R2668" s="24"/>
      <c r="S2668" s="24"/>
      <c r="T2668" s="24"/>
      <c r="U2668" s="24"/>
      <c r="V2668" s="24"/>
      <c r="W2668" s="22" t="s">
        <v>151</v>
      </c>
      <c r="X2668" s="4" t="str">
        <f>IF(Tabela2[[#This Row],[sigla]]="","",VLOOKUP(Tabela2[[#This Row],[sigla]],créditos_base!B:C,2,0))</f>
        <v>ROGÉRIO CASAGRANDE/ARQUIVO DA EDITORA</v>
      </c>
      <c r="Y2668" s="23"/>
      <c r="Z2668" s="23" t="str">
        <f>Tabela2[[#This Row],[ilustrador]]</f>
        <v>ROGÉRIO CASAGRANDE/ARQUIVO DA EDITORA</v>
      </c>
      <c r="AA2668" s="22"/>
      <c r="AB2668" s="20"/>
      <c r="AD2668" s="4" t="str">
        <f>"Pitanguá"</f>
        <v>Pitanguá</v>
      </c>
      <c r="AE2668" s="14" t="str">
        <f>"Matemática"</f>
        <v>Matemática</v>
      </c>
      <c r="AF2668" s="14"/>
    </row>
    <row r="2669" spans="1:32" x14ac:dyDescent="0.3">
      <c r="A2669" s="23" t="s">
        <v>2619</v>
      </c>
      <c r="B2669" s="20" t="s">
        <v>16</v>
      </c>
      <c r="C2669" s="20" t="s">
        <v>7</v>
      </c>
      <c r="D2669" s="20" t="s">
        <v>8</v>
      </c>
      <c r="E2669" s="22">
        <v>255</v>
      </c>
      <c r="F2669" s="22">
        <v>1</v>
      </c>
      <c r="G2669" s="27" t="s">
        <v>2617</v>
      </c>
      <c r="H2669" s="22"/>
      <c r="I2669" s="23" t="s">
        <v>33</v>
      </c>
      <c r="J2669" s="23"/>
      <c r="K2669" s="22"/>
      <c r="L2669" s="22"/>
      <c r="M2669" s="23"/>
      <c r="N2669" s="23"/>
      <c r="O2669" s="26" t="s">
        <v>2620</v>
      </c>
      <c r="P2669" s="26"/>
      <c r="Q2669" s="22">
        <v>36</v>
      </c>
      <c r="R2669" s="24">
        <v>45772</v>
      </c>
      <c r="S2669" s="24">
        <v>45777</v>
      </c>
      <c r="T2669" s="24"/>
      <c r="U2669" s="24"/>
      <c r="V2669" s="24">
        <v>45779</v>
      </c>
      <c r="W2669" s="22" t="s">
        <v>806</v>
      </c>
      <c r="X2669" s="4" t="str">
        <f>IF(Tabela2[[#This Row],[sigla]]="","",VLOOKUP(Tabela2[[#This Row],[sigla]],créditos_base!B:C,2,0))</f>
        <v>MARCOS MACHADO/ARQUIVO DA EDITORA</v>
      </c>
      <c r="Y2669" s="23" t="s">
        <v>152</v>
      </c>
      <c r="Z2669" s="23" t="str">
        <f>Tabela2[[#This Row],[ilustrador]]</f>
        <v>MARCOS MACHADO/ARQUIVO DA EDITORA</v>
      </c>
      <c r="AA2669" s="22">
        <v>13</v>
      </c>
      <c r="AB2669" s="20" t="s">
        <v>153</v>
      </c>
      <c r="AC2669" s="20" t="s">
        <v>36</v>
      </c>
      <c r="AD2669" s="4" t="str">
        <f>"Pitanguá"</f>
        <v>Pitanguá</v>
      </c>
      <c r="AE2669" s="14" t="str">
        <f>"Matemática"</f>
        <v>Matemática</v>
      </c>
      <c r="AF2669" s="14"/>
    </row>
    <row r="2670" spans="1:32" ht="28.8" x14ac:dyDescent="0.3">
      <c r="A2670" s="23" t="s">
        <v>4449</v>
      </c>
      <c r="B2670" s="20" t="s">
        <v>16</v>
      </c>
      <c r="C2670" s="20" t="s">
        <v>7</v>
      </c>
      <c r="D2670" s="20" t="s">
        <v>8</v>
      </c>
      <c r="E2670" s="22">
        <v>273</v>
      </c>
      <c r="F2670" s="22">
        <v>2</v>
      </c>
      <c r="G2670" s="27" t="s">
        <v>2617</v>
      </c>
      <c r="H2670" s="22"/>
      <c r="I2670" s="23" t="s">
        <v>9</v>
      </c>
      <c r="J2670" s="23"/>
      <c r="K2670" s="22"/>
      <c r="L2670" s="22"/>
      <c r="M2670" s="23"/>
      <c r="N2670" s="23"/>
      <c r="O2670" s="26" t="s">
        <v>4450</v>
      </c>
      <c r="P2670" s="26"/>
      <c r="Q2670" s="22"/>
      <c r="R2670" s="24"/>
      <c r="S2670" s="24"/>
      <c r="T2670" s="24"/>
      <c r="U2670" s="24"/>
      <c r="V2670" s="24"/>
      <c r="W2670" s="22" t="s">
        <v>31</v>
      </c>
      <c r="X2670" s="4" t="str">
        <f>IF(Tabela2[[#This Row],[sigla]]="","",VLOOKUP(Tabela2[[#This Row],[sigla]],créditos_base!B:C,2,0))</f>
        <v>SILVIA OTOFUJI/ARQUIVO DA EDITORA</v>
      </c>
      <c r="Y2670" s="23"/>
      <c r="Z2670" s="23" t="str">
        <f>Tabela2[[#This Row],[ilustrador]]</f>
        <v>SILVIA OTOFUJI/ARQUIVO DA EDITORA</v>
      </c>
      <c r="AA2670" s="22"/>
      <c r="AB2670" s="20"/>
      <c r="AD2670" s="4" t="str">
        <f>"Pitanguá"</f>
        <v>Pitanguá</v>
      </c>
      <c r="AE2670" s="14" t="str">
        <f>"Matemática"</f>
        <v>Matemática</v>
      </c>
      <c r="AF2670" s="14"/>
    </row>
    <row r="2671" spans="1:32" x14ac:dyDescent="0.3">
      <c r="A2671" s="23" t="s">
        <v>5052</v>
      </c>
      <c r="B2671" s="20" t="s">
        <v>16</v>
      </c>
      <c r="C2671" s="20" t="s">
        <v>7</v>
      </c>
      <c r="D2671" s="20" t="s">
        <v>8</v>
      </c>
      <c r="E2671" s="22">
        <v>269</v>
      </c>
      <c r="F2671" s="22">
        <v>3</v>
      </c>
      <c r="G2671" s="27" t="s">
        <v>5042</v>
      </c>
      <c r="H2671" s="22"/>
      <c r="I2671" s="23" t="s">
        <v>9</v>
      </c>
      <c r="J2671" s="23"/>
      <c r="K2671" s="22"/>
      <c r="L2671" s="22"/>
      <c r="M2671" s="23"/>
      <c r="N2671" s="23"/>
      <c r="O2671" s="26" t="s">
        <v>5053</v>
      </c>
      <c r="P2671" s="26"/>
      <c r="Q2671" s="22"/>
      <c r="R2671" s="24"/>
      <c r="S2671" s="24"/>
      <c r="T2671" s="24"/>
      <c r="U2671" s="24"/>
      <c r="V2671" s="24"/>
      <c r="W2671" s="22" t="s">
        <v>151</v>
      </c>
      <c r="X2671" s="4" t="str">
        <f>IF(Tabela2[[#This Row],[sigla]]="","",VLOOKUP(Tabela2[[#This Row],[sigla]],créditos_base!B:C,2,0))</f>
        <v>ROGÉRIO CASAGRANDE/ARQUIVO DA EDITORA</v>
      </c>
      <c r="Y2671" s="23"/>
      <c r="Z2671" s="23" t="str">
        <f>Tabela2[[#This Row],[ilustrador]]</f>
        <v>ROGÉRIO CASAGRANDE/ARQUIVO DA EDITORA</v>
      </c>
      <c r="AA2671" s="22"/>
      <c r="AB2671" s="20"/>
      <c r="AD2671" s="4" t="str">
        <f>"Pitanguá"</f>
        <v>Pitanguá</v>
      </c>
      <c r="AE2671" s="14" t="str">
        <f>"Matemática"</f>
        <v>Matemática</v>
      </c>
      <c r="AF2671" s="14"/>
    </row>
    <row r="2672" spans="1:32" ht="28.8" x14ac:dyDescent="0.3">
      <c r="A2672" s="23" t="s">
        <v>2623</v>
      </c>
      <c r="B2672" s="20" t="s">
        <v>16</v>
      </c>
      <c r="C2672" s="20" t="s">
        <v>89</v>
      </c>
      <c r="D2672" s="20" t="s">
        <v>8</v>
      </c>
      <c r="E2672" s="22">
        <v>259</v>
      </c>
      <c r="F2672" s="22">
        <v>1</v>
      </c>
      <c r="G2672" s="27" t="s">
        <v>2617</v>
      </c>
      <c r="H2672" s="22"/>
      <c r="I2672" s="23" t="s">
        <v>90</v>
      </c>
      <c r="J2672" s="23"/>
      <c r="K2672" s="22"/>
      <c r="L2672" s="22"/>
      <c r="M2672" s="23"/>
      <c r="N2672" s="23"/>
      <c r="O2672" s="26" t="s">
        <v>2624</v>
      </c>
      <c r="P2672" s="26"/>
      <c r="Q2672" s="22">
        <v>36</v>
      </c>
      <c r="R2672" s="24">
        <v>45772</v>
      </c>
      <c r="S2672" s="24">
        <v>45779</v>
      </c>
      <c r="T2672" s="24"/>
      <c r="U2672" s="24"/>
      <c r="V2672" s="24">
        <v>45779</v>
      </c>
      <c r="W2672" s="22" t="s">
        <v>468</v>
      </c>
      <c r="X2672" s="4" t="str">
        <f>IF(Tabela2[[#This Row],[sigla]]="","",VLOOKUP(Tabela2[[#This Row],[sigla]],créditos_base!B:C,2,0))</f>
        <v>VER DOCUMENTO DE ILS. TÉCNICAS</v>
      </c>
      <c r="Y2672" s="23" t="s">
        <v>152</v>
      </c>
      <c r="Z2672" s="23" t="s">
        <v>2625</v>
      </c>
      <c r="AA2672" s="22">
        <v>13</v>
      </c>
      <c r="AB2672" s="20" t="s">
        <v>2564</v>
      </c>
      <c r="AC2672" s="20" t="s">
        <v>36</v>
      </c>
      <c r="AD2672" s="4" t="str">
        <f>"Pitanguá"</f>
        <v>Pitanguá</v>
      </c>
      <c r="AE2672" s="14" t="str">
        <f>"Matemática"</f>
        <v>Matemática</v>
      </c>
      <c r="AF2672" s="14"/>
    </row>
    <row r="2673" spans="1:32" x14ac:dyDescent="0.3">
      <c r="A2673" s="23" t="s">
        <v>4451</v>
      </c>
      <c r="B2673" s="20" t="s">
        <v>16</v>
      </c>
      <c r="C2673" s="20" t="s">
        <v>7</v>
      </c>
      <c r="D2673" s="20" t="s">
        <v>8</v>
      </c>
      <c r="E2673" s="22">
        <v>273</v>
      </c>
      <c r="F2673" s="22">
        <v>2</v>
      </c>
      <c r="G2673" s="27" t="s">
        <v>2617</v>
      </c>
      <c r="H2673" s="22"/>
      <c r="I2673" s="23" t="s">
        <v>33</v>
      </c>
      <c r="J2673" s="23"/>
      <c r="K2673" s="22"/>
      <c r="L2673" s="22"/>
      <c r="M2673" s="23"/>
      <c r="N2673" s="23"/>
      <c r="O2673" s="26" t="s">
        <v>4452</v>
      </c>
      <c r="P2673" s="26"/>
      <c r="Q2673" s="22">
        <v>75</v>
      </c>
      <c r="R2673" s="24">
        <v>45817</v>
      </c>
      <c r="S2673" s="24">
        <v>45818</v>
      </c>
      <c r="T2673" s="24"/>
      <c r="U2673" s="24"/>
      <c r="V2673" s="24">
        <v>45818</v>
      </c>
      <c r="W2673" s="22" t="s">
        <v>31</v>
      </c>
      <c r="X2673" s="4" t="str">
        <f>IF(Tabela2[[#This Row],[sigla]]="","",VLOOKUP(Tabela2[[#This Row],[sigla]],créditos_base!B:C,2,0))</f>
        <v>SILVIA OTOFUJI/ARQUIVO DA EDITORA</v>
      </c>
      <c r="Y2673" s="23" t="s">
        <v>152</v>
      </c>
      <c r="Z2673" s="23" t="str">
        <f>Tabela2[[#This Row],[ilustrador]]</f>
        <v>SILVIA OTOFUJI/ARQUIVO DA EDITORA</v>
      </c>
      <c r="AA2673" s="22">
        <v>14</v>
      </c>
      <c r="AB2673" s="20" t="s">
        <v>244</v>
      </c>
      <c r="AC2673" s="20" t="s">
        <v>36</v>
      </c>
      <c r="AD2673" s="4" t="str">
        <f>"Pitanguá"</f>
        <v>Pitanguá</v>
      </c>
      <c r="AE2673" s="14" t="str">
        <f>"Matemática"</f>
        <v>Matemática</v>
      </c>
      <c r="AF2673" s="14"/>
    </row>
    <row r="2674" spans="1:32" x14ac:dyDescent="0.3">
      <c r="A2674" s="23" t="s">
        <v>5012</v>
      </c>
      <c r="B2674" s="20" t="s">
        <v>16</v>
      </c>
      <c r="C2674" s="20" t="s">
        <v>89</v>
      </c>
      <c r="D2674" s="20" t="s">
        <v>8</v>
      </c>
      <c r="E2674" s="22">
        <v>271</v>
      </c>
      <c r="F2674" s="22">
        <v>3</v>
      </c>
      <c r="G2674" s="27" t="s">
        <v>2617</v>
      </c>
      <c r="H2674" s="22"/>
      <c r="I2674" s="23" t="s">
        <v>90</v>
      </c>
      <c r="J2674" s="23"/>
      <c r="K2674" s="22"/>
      <c r="L2674" s="22"/>
      <c r="M2674" s="23"/>
      <c r="N2674" s="23"/>
      <c r="O2674" s="26" t="s">
        <v>5013</v>
      </c>
      <c r="P2674" s="26"/>
      <c r="Q2674" s="22">
        <v>92</v>
      </c>
      <c r="R2674" s="24">
        <v>45840</v>
      </c>
      <c r="S2674" s="24">
        <v>45847</v>
      </c>
      <c r="T2674" s="24"/>
      <c r="U2674" s="24"/>
      <c r="V2674" s="24">
        <v>45847</v>
      </c>
      <c r="W2674" s="22" t="s">
        <v>468</v>
      </c>
      <c r="X2674" s="4" t="str">
        <f>IF(Tabela2[[#This Row],[sigla]]="","",VLOOKUP(Tabela2[[#This Row],[sigla]],créditos_base!B:C,2,0))</f>
        <v>VER DOCUMENTO DE ILS. TÉCNICAS</v>
      </c>
      <c r="Y2674" s="23" t="s">
        <v>880</v>
      </c>
      <c r="Z2674" s="23" t="s">
        <v>661</v>
      </c>
      <c r="AA2674" s="22">
        <v>13</v>
      </c>
      <c r="AB2674" s="20" t="s">
        <v>5014</v>
      </c>
      <c r="AC2674" s="20" t="s">
        <v>36</v>
      </c>
      <c r="AD2674" s="4" t="str">
        <f>"Pitanguá"</f>
        <v>Pitanguá</v>
      </c>
      <c r="AE2674" s="14" t="str">
        <f>"Matemática"</f>
        <v>Matemática</v>
      </c>
      <c r="AF2674" s="14"/>
    </row>
    <row r="2675" spans="1:32" ht="57.6" x14ac:dyDescent="0.3">
      <c r="A2675" s="23" t="s">
        <v>2626</v>
      </c>
      <c r="B2675" s="20" t="s">
        <v>16</v>
      </c>
      <c r="C2675" s="20" t="s">
        <v>89</v>
      </c>
      <c r="D2675" s="20" t="s">
        <v>8</v>
      </c>
      <c r="E2675" s="22">
        <v>261</v>
      </c>
      <c r="F2675" s="22">
        <v>1</v>
      </c>
      <c r="G2675" s="27" t="s">
        <v>2617</v>
      </c>
      <c r="H2675" s="22"/>
      <c r="I2675" s="23" t="s">
        <v>90</v>
      </c>
      <c r="J2675" s="23"/>
      <c r="K2675" s="22"/>
      <c r="L2675" s="22"/>
      <c r="M2675" s="23"/>
      <c r="N2675" s="23"/>
      <c r="O2675" s="26" t="s">
        <v>2627</v>
      </c>
      <c r="P2675" s="26"/>
      <c r="Q2675" s="22">
        <v>36</v>
      </c>
      <c r="R2675" s="24">
        <v>45772</v>
      </c>
      <c r="S2675" s="24">
        <v>45779</v>
      </c>
      <c r="T2675" s="24"/>
      <c r="U2675" s="24"/>
      <c r="V2675" s="24">
        <v>45779</v>
      </c>
      <c r="W2675" s="22" t="s">
        <v>468</v>
      </c>
      <c r="X2675" s="4" t="str">
        <f>IF(Tabela2[[#This Row],[sigla]]="","",VLOOKUP(Tabela2[[#This Row],[sigla]],créditos_base!B:C,2,0))</f>
        <v>VER DOCUMENTO DE ILS. TÉCNICAS</v>
      </c>
      <c r="Y2675" s="23" t="s">
        <v>152</v>
      </c>
      <c r="Z2675" s="23" t="s">
        <v>2625</v>
      </c>
      <c r="AA2675" s="22">
        <v>13</v>
      </c>
      <c r="AB2675" s="20" t="s">
        <v>2564</v>
      </c>
      <c r="AC2675" s="20" t="s">
        <v>36</v>
      </c>
      <c r="AD2675" s="4" t="str">
        <f>"Pitanguá"</f>
        <v>Pitanguá</v>
      </c>
      <c r="AE2675" s="14" t="str">
        <f>"Matemática"</f>
        <v>Matemática</v>
      </c>
      <c r="AF2675" s="14"/>
    </row>
    <row r="2676" spans="1:32" ht="43.2" x14ac:dyDescent="0.3">
      <c r="A2676" s="23" t="s">
        <v>4453</v>
      </c>
      <c r="B2676" s="20" t="s">
        <v>16</v>
      </c>
      <c r="C2676" s="20" t="s">
        <v>7</v>
      </c>
      <c r="D2676" s="20" t="s">
        <v>8</v>
      </c>
      <c r="E2676" s="22">
        <v>273</v>
      </c>
      <c r="F2676" s="22">
        <v>2</v>
      </c>
      <c r="G2676" s="27" t="s">
        <v>2617</v>
      </c>
      <c r="H2676" s="22"/>
      <c r="I2676" s="23" t="s">
        <v>33</v>
      </c>
      <c r="J2676" s="23"/>
      <c r="K2676" s="22"/>
      <c r="L2676" s="22"/>
      <c r="M2676" s="23"/>
      <c r="N2676" s="23"/>
      <c r="O2676" s="26" t="s">
        <v>4454</v>
      </c>
      <c r="P2676" s="26"/>
      <c r="Q2676" s="22">
        <v>75</v>
      </c>
      <c r="R2676" s="24">
        <v>45817</v>
      </c>
      <c r="S2676" s="24">
        <v>45818</v>
      </c>
      <c r="T2676" s="24"/>
      <c r="U2676" s="24"/>
      <c r="V2676" s="24">
        <v>45818</v>
      </c>
      <c r="W2676" s="22" t="s">
        <v>31</v>
      </c>
      <c r="X2676" s="4" t="str">
        <f>IF(Tabela2[[#This Row],[sigla]]="","",VLOOKUP(Tabela2[[#This Row],[sigla]],créditos_base!B:C,2,0))</f>
        <v>SILVIA OTOFUJI/ARQUIVO DA EDITORA</v>
      </c>
      <c r="Y2676" s="23" t="s">
        <v>152</v>
      </c>
      <c r="Z2676" s="23" t="str">
        <f>Tabela2[[#This Row],[ilustrador]]</f>
        <v>SILVIA OTOFUJI/ARQUIVO DA EDITORA</v>
      </c>
      <c r="AA2676" s="22">
        <v>14</v>
      </c>
      <c r="AB2676" s="20" t="s">
        <v>244</v>
      </c>
      <c r="AC2676" s="20" t="s">
        <v>36</v>
      </c>
      <c r="AD2676" s="4" t="str">
        <f>"Pitanguá"</f>
        <v>Pitanguá</v>
      </c>
      <c r="AE2676" s="14" t="str">
        <f>"Matemática"</f>
        <v>Matemática</v>
      </c>
      <c r="AF2676" s="14"/>
    </row>
    <row r="2677" spans="1:32" ht="43.2" x14ac:dyDescent="0.3">
      <c r="A2677" s="23" t="s">
        <v>5015</v>
      </c>
      <c r="B2677" s="20" t="s">
        <v>16</v>
      </c>
      <c r="C2677" s="20" t="s">
        <v>89</v>
      </c>
      <c r="D2677" s="20" t="s">
        <v>8</v>
      </c>
      <c r="E2677" s="22">
        <v>273</v>
      </c>
      <c r="F2677" s="22">
        <v>3</v>
      </c>
      <c r="G2677" s="27" t="s">
        <v>2617</v>
      </c>
      <c r="H2677" s="22"/>
      <c r="I2677" s="23" t="s">
        <v>90</v>
      </c>
      <c r="J2677" s="23"/>
      <c r="K2677" s="22"/>
      <c r="L2677" s="22"/>
      <c r="M2677" s="23"/>
      <c r="N2677" s="23"/>
      <c r="O2677" s="26" t="s">
        <v>5016</v>
      </c>
      <c r="P2677" s="26"/>
      <c r="Q2677" s="22">
        <v>92</v>
      </c>
      <c r="R2677" s="24">
        <v>45840</v>
      </c>
      <c r="S2677" s="24">
        <v>45847</v>
      </c>
      <c r="T2677" s="24"/>
      <c r="U2677" s="24"/>
      <c r="V2677" s="24">
        <v>45847</v>
      </c>
      <c r="W2677" s="22" t="s">
        <v>468</v>
      </c>
      <c r="X2677" s="4" t="str">
        <f>IF(Tabela2[[#This Row],[sigla]]="","",VLOOKUP(Tabela2[[#This Row],[sigla]],créditos_base!B:C,2,0))</f>
        <v>VER DOCUMENTO DE ILS. TÉCNICAS</v>
      </c>
      <c r="Y2677" s="23" t="s">
        <v>880</v>
      </c>
      <c r="Z2677" s="23" t="s">
        <v>661</v>
      </c>
      <c r="AA2677" s="22">
        <v>13</v>
      </c>
      <c r="AB2677" s="20" t="s">
        <v>5014</v>
      </c>
      <c r="AC2677" s="20" t="s">
        <v>36</v>
      </c>
      <c r="AD2677" s="4" t="str">
        <f>"Pitanguá"</f>
        <v>Pitanguá</v>
      </c>
      <c r="AE2677" s="14" t="str">
        <f>"Matemática"</f>
        <v>Matemática</v>
      </c>
      <c r="AF2677" s="14"/>
    </row>
    <row r="2678" spans="1:32" ht="57.6" x14ac:dyDescent="0.3">
      <c r="A2678" s="23" t="s">
        <v>2628</v>
      </c>
      <c r="B2678" s="20" t="s">
        <v>16</v>
      </c>
      <c r="C2678" s="20" t="s">
        <v>89</v>
      </c>
      <c r="D2678" s="20" t="s">
        <v>8</v>
      </c>
      <c r="E2678" s="22">
        <v>261</v>
      </c>
      <c r="F2678" s="22">
        <v>1</v>
      </c>
      <c r="G2678" s="27" t="s">
        <v>2617</v>
      </c>
      <c r="H2678" s="22"/>
      <c r="I2678" s="23" t="s">
        <v>90</v>
      </c>
      <c r="J2678" s="23"/>
      <c r="K2678" s="22"/>
      <c r="L2678" s="22"/>
      <c r="M2678" s="23"/>
      <c r="N2678" s="23"/>
      <c r="O2678" s="26" t="s">
        <v>2629</v>
      </c>
      <c r="P2678" s="26"/>
      <c r="Q2678" s="22">
        <v>36</v>
      </c>
      <c r="R2678" s="24">
        <v>45772</v>
      </c>
      <c r="S2678" s="24">
        <v>45779</v>
      </c>
      <c r="T2678" s="24"/>
      <c r="U2678" s="24"/>
      <c r="V2678" s="24">
        <v>45779</v>
      </c>
      <c r="W2678" s="22" t="s">
        <v>468</v>
      </c>
      <c r="X2678" s="4" t="str">
        <f>IF(Tabela2[[#This Row],[sigla]]="","",VLOOKUP(Tabela2[[#This Row],[sigla]],créditos_base!B:C,2,0))</f>
        <v>VER DOCUMENTO DE ILS. TÉCNICAS</v>
      </c>
      <c r="Y2678" s="23" t="s">
        <v>152</v>
      </c>
      <c r="Z2678" s="23" t="s">
        <v>661</v>
      </c>
      <c r="AA2678" s="22">
        <v>13</v>
      </c>
      <c r="AB2678" s="20" t="s">
        <v>2564</v>
      </c>
      <c r="AC2678" s="20" t="s">
        <v>36</v>
      </c>
      <c r="AD2678" s="4" t="str">
        <f>"Pitanguá"</f>
        <v>Pitanguá</v>
      </c>
      <c r="AE2678" s="14" t="str">
        <f>"Matemática"</f>
        <v>Matemática</v>
      </c>
      <c r="AF2678" s="14"/>
    </row>
    <row r="2679" spans="1:32" ht="57.6" x14ac:dyDescent="0.3">
      <c r="A2679" s="23" t="s">
        <v>4455</v>
      </c>
      <c r="B2679" s="20" t="s">
        <v>16</v>
      </c>
      <c r="C2679" s="20" t="s">
        <v>7</v>
      </c>
      <c r="D2679" s="20" t="s">
        <v>8</v>
      </c>
      <c r="E2679" s="22">
        <v>273</v>
      </c>
      <c r="F2679" s="22">
        <v>2</v>
      </c>
      <c r="G2679" s="27" t="s">
        <v>2617</v>
      </c>
      <c r="H2679" s="22"/>
      <c r="I2679" s="23" t="s">
        <v>33</v>
      </c>
      <c r="J2679" s="23"/>
      <c r="K2679" s="22"/>
      <c r="L2679" s="22"/>
      <c r="M2679" s="23"/>
      <c r="N2679" s="23"/>
      <c r="O2679" s="26" t="s">
        <v>4456</v>
      </c>
      <c r="P2679" s="26"/>
      <c r="Q2679" s="22">
        <v>75</v>
      </c>
      <c r="R2679" s="24">
        <v>45817</v>
      </c>
      <c r="S2679" s="24">
        <v>45818</v>
      </c>
      <c r="T2679" s="24"/>
      <c r="U2679" s="24"/>
      <c r="V2679" s="24">
        <v>45818</v>
      </c>
      <c r="W2679" s="22" t="s">
        <v>31</v>
      </c>
      <c r="X2679" s="4" t="str">
        <f>IF(Tabela2[[#This Row],[sigla]]="","",VLOOKUP(Tabela2[[#This Row],[sigla]],créditos_base!B:C,2,0))</f>
        <v>SILVIA OTOFUJI/ARQUIVO DA EDITORA</v>
      </c>
      <c r="Y2679" s="23" t="s">
        <v>152</v>
      </c>
      <c r="Z2679" s="23" t="str">
        <f>Tabela2[[#This Row],[ilustrador]]</f>
        <v>SILVIA OTOFUJI/ARQUIVO DA EDITORA</v>
      </c>
      <c r="AA2679" s="22">
        <v>14</v>
      </c>
      <c r="AB2679" s="20" t="s">
        <v>244</v>
      </c>
      <c r="AC2679" s="20" t="s">
        <v>36</v>
      </c>
      <c r="AD2679" s="4" t="str">
        <f>"Pitanguá"</f>
        <v>Pitanguá</v>
      </c>
      <c r="AE2679" s="14" t="str">
        <f>"Matemática"</f>
        <v>Matemática</v>
      </c>
      <c r="AF2679" s="14"/>
    </row>
    <row r="2680" spans="1:32" ht="57.6" x14ac:dyDescent="0.3">
      <c r="A2680" s="23" t="s">
        <v>5017</v>
      </c>
      <c r="B2680" s="20" t="s">
        <v>16</v>
      </c>
      <c r="C2680" s="20" t="s">
        <v>89</v>
      </c>
      <c r="D2680" s="20" t="s">
        <v>8</v>
      </c>
      <c r="E2680" s="22">
        <v>275</v>
      </c>
      <c r="F2680" s="22">
        <v>3</v>
      </c>
      <c r="G2680" s="27" t="s">
        <v>2617</v>
      </c>
      <c r="H2680" s="22"/>
      <c r="I2680" s="23" t="s">
        <v>33</v>
      </c>
      <c r="J2680" s="23"/>
      <c r="K2680" s="22"/>
      <c r="L2680" s="22"/>
      <c r="M2680" s="23"/>
      <c r="N2680" s="23"/>
      <c r="O2680" s="26" t="s">
        <v>5018</v>
      </c>
      <c r="P2680" s="26"/>
      <c r="Q2680" s="22">
        <v>92</v>
      </c>
      <c r="R2680" s="24">
        <v>45840</v>
      </c>
      <c r="S2680" s="24">
        <v>45848</v>
      </c>
      <c r="T2680" s="24"/>
      <c r="U2680" s="24"/>
      <c r="V2680" s="24">
        <v>45848</v>
      </c>
      <c r="W2680" s="22" t="s">
        <v>160</v>
      </c>
      <c r="X2680" s="4" t="str">
        <f>IF(Tabela2[[#This Row],[sigla]]="","",VLOOKUP(Tabela2[[#This Row],[sigla]],créditos_base!B:C,2,0))</f>
        <v>SERGIO LIMA/ARQUIVO DA EDITORA</v>
      </c>
      <c r="Y2680" s="23" t="s">
        <v>880</v>
      </c>
      <c r="Z2680" s="23" t="str">
        <f>Tabela2[[#This Row],[ilustrador]]</f>
        <v>SERGIO LIMA/ARQUIVO DA EDITORA</v>
      </c>
      <c r="AA2680" s="22">
        <v>13</v>
      </c>
      <c r="AB2680" s="20" t="s">
        <v>244</v>
      </c>
      <c r="AC2680" s="20" t="s">
        <v>36</v>
      </c>
      <c r="AD2680" s="4" t="str">
        <f>"Pitanguá"</f>
        <v>Pitanguá</v>
      </c>
      <c r="AE2680" s="14" t="str">
        <f>"Matemática"</f>
        <v>Matemática</v>
      </c>
      <c r="AF2680" s="14"/>
    </row>
    <row r="2681" spans="1:32" ht="57.6" x14ac:dyDescent="0.3">
      <c r="A2681" s="23" t="s">
        <v>2630</v>
      </c>
      <c r="B2681" s="20" t="s">
        <v>16</v>
      </c>
      <c r="C2681" s="20" t="s">
        <v>89</v>
      </c>
      <c r="D2681" s="20" t="s">
        <v>8</v>
      </c>
      <c r="E2681" s="22">
        <v>263</v>
      </c>
      <c r="F2681" s="22">
        <v>1</v>
      </c>
      <c r="G2681" s="27" t="s">
        <v>2617</v>
      </c>
      <c r="H2681" s="22"/>
      <c r="I2681" s="23" t="s">
        <v>90</v>
      </c>
      <c r="J2681" s="23"/>
      <c r="K2681" s="22"/>
      <c r="L2681" s="22"/>
      <c r="M2681" s="23"/>
      <c r="N2681" s="23"/>
      <c r="O2681" s="26" t="s">
        <v>2631</v>
      </c>
      <c r="P2681" s="26"/>
      <c r="Q2681" s="22">
        <v>36</v>
      </c>
      <c r="R2681" s="24">
        <v>45772</v>
      </c>
      <c r="S2681" s="24">
        <v>45779</v>
      </c>
      <c r="T2681" s="24"/>
      <c r="U2681" s="24"/>
      <c r="V2681" s="24">
        <v>45779</v>
      </c>
      <c r="W2681" s="22" t="s">
        <v>468</v>
      </c>
      <c r="X2681" s="4" t="str">
        <f>IF(Tabela2[[#This Row],[sigla]]="","",VLOOKUP(Tabela2[[#This Row],[sigla]],créditos_base!B:C,2,0))</f>
        <v>VER DOCUMENTO DE ILS. TÉCNICAS</v>
      </c>
      <c r="Y2681" s="23" t="s">
        <v>152</v>
      </c>
      <c r="Z2681" s="23" t="s">
        <v>661</v>
      </c>
      <c r="AA2681" s="22">
        <v>13</v>
      </c>
      <c r="AB2681" s="20" t="s">
        <v>2564</v>
      </c>
      <c r="AC2681" s="20" t="s">
        <v>36</v>
      </c>
      <c r="AD2681" s="4" t="str">
        <f>"Pitanguá"</f>
        <v>Pitanguá</v>
      </c>
      <c r="AE2681" s="14" t="str">
        <f>"Matemática"</f>
        <v>Matemática</v>
      </c>
      <c r="AF2681" s="14"/>
    </row>
    <row r="2682" spans="1:32" ht="57.6" x14ac:dyDescent="0.3">
      <c r="A2682" s="23" t="s">
        <v>4457</v>
      </c>
      <c r="B2682" s="20" t="s">
        <v>16</v>
      </c>
      <c r="C2682" s="20" t="s">
        <v>7</v>
      </c>
      <c r="D2682" s="20" t="s">
        <v>8</v>
      </c>
      <c r="E2682" s="22">
        <v>273</v>
      </c>
      <c r="F2682" s="22">
        <v>2</v>
      </c>
      <c r="G2682" s="27" t="s">
        <v>2617</v>
      </c>
      <c r="H2682" s="22"/>
      <c r="I2682" s="23" t="s">
        <v>33</v>
      </c>
      <c r="J2682" s="23"/>
      <c r="K2682" s="22"/>
      <c r="L2682" s="22"/>
      <c r="M2682" s="23"/>
      <c r="N2682" s="23"/>
      <c r="O2682" s="26" t="s">
        <v>4458</v>
      </c>
      <c r="P2682" s="26"/>
      <c r="Q2682" s="22">
        <v>75</v>
      </c>
      <c r="R2682" s="24">
        <v>45817</v>
      </c>
      <c r="S2682" s="24">
        <v>45818</v>
      </c>
      <c r="T2682" s="24"/>
      <c r="U2682" s="24"/>
      <c r="V2682" s="24">
        <v>45818</v>
      </c>
      <c r="W2682" s="22" t="s">
        <v>31</v>
      </c>
      <c r="X2682" s="4" t="str">
        <f>IF(Tabela2[[#This Row],[sigla]]="","",VLOOKUP(Tabela2[[#This Row],[sigla]],créditos_base!B:C,2,0))</f>
        <v>SILVIA OTOFUJI/ARQUIVO DA EDITORA</v>
      </c>
      <c r="Y2682" s="23" t="s">
        <v>152</v>
      </c>
      <c r="Z2682" s="23" t="str">
        <f>Tabela2[[#This Row],[ilustrador]]</f>
        <v>SILVIA OTOFUJI/ARQUIVO DA EDITORA</v>
      </c>
      <c r="AA2682" s="22">
        <v>14</v>
      </c>
      <c r="AB2682" s="20" t="s">
        <v>244</v>
      </c>
      <c r="AC2682" s="20" t="s">
        <v>36</v>
      </c>
      <c r="AD2682" s="4" t="str">
        <f>"Pitanguá"</f>
        <v>Pitanguá</v>
      </c>
      <c r="AE2682" s="14" t="str">
        <f>"Matemática"</f>
        <v>Matemática</v>
      </c>
      <c r="AF2682" s="14"/>
    </row>
    <row r="2683" spans="1:32" ht="57.6" x14ac:dyDescent="0.3">
      <c r="A2683" s="23" t="s">
        <v>5019</v>
      </c>
      <c r="B2683" s="20" t="s">
        <v>16</v>
      </c>
      <c r="C2683" s="20" t="s">
        <v>89</v>
      </c>
      <c r="D2683" s="20" t="s">
        <v>8</v>
      </c>
      <c r="E2683" s="22">
        <v>275</v>
      </c>
      <c r="F2683" s="22">
        <v>3</v>
      </c>
      <c r="G2683" s="27" t="s">
        <v>2617</v>
      </c>
      <c r="H2683" s="22"/>
      <c r="I2683" s="23" t="s">
        <v>33</v>
      </c>
      <c r="J2683" s="23"/>
      <c r="K2683" s="22"/>
      <c r="L2683" s="22"/>
      <c r="M2683" s="23"/>
      <c r="N2683" s="23"/>
      <c r="O2683" s="26" t="s">
        <v>5020</v>
      </c>
      <c r="P2683" s="26"/>
      <c r="Q2683" s="22">
        <v>92</v>
      </c>
      <c r="R2683" s="24">
        <v>45840</v>
      </c>
      <c r="S2683" s="24">
        <v>45848</v>
      </c>
      <c r="T2683" s="24"/>
      <c r="U2683" s="24"/>
      <c r="V2683" s="24">
        <v>45848</v>
      </c>
      <c r="W2683" s="22" t="s">
        <v>160</v>
      </c>
      <c r="X2683" s="4" t="str">
        <f>IF(Tabela2[[#This Row],[sigla]]="","",VLOOKUP(Tabela2[[#This Row],[sigla]],créditos_base!B:C,2,0))</f>
        <v>SERGIO LIMA/ARQUIVO DA EDITORA</v>
      </c>
      <c r="Y2683" s="23" t="s">
        <v>880</v>
      </c>
      <c r="Z2683" s="23" t="str">
        <f>Tabela2[[#This Row],[ilustrador]]</f>
        <v>SERGIO LIMA/ARQUIVO DA EDITORA</v>
      </c>
      <c r="AA2683" s="22">
        <v>13</v>
      </c>
      <c r="AB2683" s="20" t="s">
        <v>244</v>
      </c>
      <c r="AC2683" s="20" t="s">
        <v>36</v>
      </c>
      <c r="AD2683" s="4" t="str">
        <f>"Pitanguá"</f>
        <v>Pitanguá</v>
      </c>
      <c r="AE2683" s="14" t="str">
        <f>"Matemática"</f>
        <v>Matemática</v>
      </c>
      <c r="AF2683" s="14"/>
    </row>
    <row r="2684" spans="1:32" ht="57.6" x14ac:dyDescent="0.3">
      <c r="A2684" s="23" t="s">
        <v>2632</v>
      </c>
      <c r="B2684" s="20" t="s">
        <v>16</v>
      </c>
      <c r="C2684" s="20" t="s">
        <v>89</v>
      </c>
      <c r="D2684" s="20" t="s">
        <v>8</v>
      </c>
      <c r="E2684" s="22">
        <v>265</v>
      </c>
      <c r="F2684" s="22">
        <v>1</v>
      </c>
      <c r="G2684" s="27" t="s">
        <v>2617</v>
      </c>
      <c r="H2684" s="22"/>
      <c r="I2684" s="23" t="s">
        <v>90</v>
      </c>
      <c r="J2684" s="23"/>
      <c r="K2684" s="22"/>
      <c r="L2684" s="22"/>
      <c r="M2684" s="23"/>
      <c r="N2684" s="23"/>
      <c r="O2684" s="26" t="s">
        <v>2633</v>
      </c>
      <c r="P2684" s="26"/>
      <c r="Q2684" s="22">
        <v>36</v>
      </c>
      <c r="R2684" s="24">
        <v>45772</v>
      </c>
      <c r="S2684" s="24">
        <v>45779</v>
      </c>
      <c r="T2684" s="24"/>
      <c r="U2684" s="24"/>
      <c r="V2684" s="24">
        <v>45784</v>
      </c>
      <c r="W2684" s="22" t="s">
        <v>72</v>
      </c>
      <c r="X2684" s="4" t="str">
        <f>IF(Tabela2[[#This Row],[sigla]]="","",VLOOKUP(Tabela2[[#This Row],[sigla]],créditos_base!B:C,2,0))</f>
        <v>HELOÍSA PINTARELLI/ARQUIVO DA EDITORA</v>
      </c>
      <c r="Y2684" s="23"/>
      <c r="Z2684" s="23" t="str">
        <f>Tabela2[[#This Row],[ilustrador]]</f>
        <v>HELOÍSA PINTARELLI/ARQUIVO DA EDITORA</v>
      </c>
      <c r="AA2684" s="22">
        <v>7</v>
      </c>
      <c r="AB2684" s="20" t="s">
        <v>2535</v>
      </c>
      <c r="AC2684" s="20" t="s">
        <v>310</v>
      </c>
      <c r="AD2684" s="4" t="str">
        <f>"Pitanguá"</f>
        <v>Pitanguá</v>
      </c>
      <c r="AE2684" s="14" t="str">
        <f>"Matemática"</f>
        <v>Matemática</v>
      </c>
      <c r="AF2684" s="14"/>
    </row>
    <row r="2685" spans="1:32" ht="28.8" x14ac:dyDescent="0.3">
      <c r="A2685" s="23" t="s">
        <v>4564</v>
      </c>
      <c r="B2685" s="20" t="s">
        <v>16</v>
      </c>
      <c r="C2685" s="20" t="s">
        <v>89</v>
      </c>
      <c r="D2685" s="20" t="s">
        <v>8</v>
      </c>
      <c r="E2685" s="22">
        <v>273</v>
      </c>
      <c r="F2685" s="22">
        <v>2</v>
      </c>
      <c r="G2685" s="27" t="s">
        <v>2617</v>
      </c>
      <c r="H2685" s="22"/>
      <c r="I2685" s="23" t="s">
        <v>33</v>
      </c>
      <c r="J2685" s="23"/>
      <c r="K2685" s="22"/>
      <c r="L2685" s="22"/>
      <c r="M2685" s="23"/>
      <c r="N2685" s="23"/>
      <c r="O2685" s="26" t="s">
        <v>4565</v>
      </c>
      <c r="P2685" s="26"/>
      <c r="Q2685" s="22">
        <v>75</v>
      </c>
      <c r="R2685" s="24">
        <v>45817</v>
      </c>
      <c r="S2685" s="24">
        <v>45818</v>
      </c>
      <c r="T2685" s="24"/>
      <c r="U2685" s="24"/>
      <c r="V2685" s="24">
        <v>45818</v>
      </c>
      <c r="W2685" s="22" t="s">
        <v>160</v>
      </c>
      <c r="X2685" s="4" t="str">
        <f>IF(Tabela2[[#This Row],[sigla]]="","",VLOOKUP(Tabela2[[#This Row],[sigla]],créditos_base!B:C,2,0))</f>
        <v>SERGIO LIMA/ARQUIVO DA EDITORA</v>
      </c>
      <c r="Y2685" s="23" t="s">
        <v>152</v>
      </c>
      <c r="Z2685" s="23" t="str">
        <f>Tabela2[[#This Row],[ilustrador]]</f>
        <v>SERGIO LIMA/ARQUIVO DA EDITORA</v>
      </c>
      <c r="AA2685" s="22">
        <v>13</v>
      </c>
      <c r="AB2685" s="20" t="s">
        <v>244</v>
      </c>
      <c r="AC2685" s="20" t="s">
        <v>36</v>
      </c>
      <c r="AD2685" s="4" t="str">
        <f>"Pitanguá"</f>
        <v>Pitanguá</v>
      </c>
      <c r="AE2685" s="14" t="str">
        <f>"Matemática"</f>
        <v>Matemática</v>
      </c>
      <c r="AF2685" s="14"/>
    </row>
    <row r="2686" spans="1:32" ht="43.2" x14ac:dyDescent="0.3">
      <c r="A2686" s="23" t="s">
        <v>5021</v>
      </c>
      <c r="B2686" s="20" t="s">
        <v>16</v>
      </c>
      <c r="C2686" s="20" t="s">
        <v>89</v>
      </c>
      <c r="D2686" s="20" t="s">
        <v>8</v>
      </c>
      <c r="E2686" s="22">
        <v>277</v>
      </c>
      <c r="F2686" s="22">
        <v>3</v>
      </c>
      <c r="G2686" s="27" t="s">
        <v>2617</v>
      </c>
      <c r="H2686" s="22"/>
      <c r="I2686" s="23" t="s">
        <v>33</v>
      </c>
      <c r="J2686" s="23"/>
      <c r="K2686" s="22"/>
      <c r="L2686" s="22"/>
      <c r="M2686" s="23"/>
      <c r="N2686" s="23"/>
      <c r="O2686" s="26" t="s">
        <v>5022</v>
      </c>
      <c r="P2686" s="26"/>
      <c r="Q2686" s="22">
        <v>92</v>
      </c>
      <c r="R2686" s="24">
        <v>45840</v>
      </c>
      <c r="S2686" s="24">
        <v>45848</v>
      </c>
      <c r="T2686" s="24"/>
      <c r="U2686" s="24"/>
      <c r="V2686" s="24">
        <v>45848</v>
      </c>
      <c r="W2686" s="22" t="s">
        <v>160</v>
      </c>
      <c r="X2686" s="4" t="str">
        <f>IF(Tabela2[[#This Row],[sigla]]="","",VLOOKUP(Tabela2[[#This Row],[sigla]],créditos_base!B:C,2,0))</f>
        <v>SERGIO LIMA/ARQUIVO DA EDITORA</v>
      </c>
      <c r="Y2686" s="23" t="s">
        <v>880</v>
      </c>
      <c r="Z2686" s="23" t="str">
        <f>Tabela2[[#This Row],[ilustrador]]</f>
        <v>SERGIO LIMA/ARQUIVO DA EDITORA</v>
      </c>
      <c r="AA2686" s="22">
        <v>13</v>
      </c>
      <c r="AB2686" s="20" t="s">
        <v>244</v>
      </c>
      <c r="AC2686" s="20" t="s">
        <v>36</v>
      </c>
      <c r="AD2686" s="4" t="str">
        <f>"Pitanguá"</f>
        <v>Pitanguá</v>
      </c>
      <c r="AE2686" s="14" t="str">
        <f>"Matemática"</f>
        <v>Matemática</v>
      </c>
      <c r="AF2686" s="14"/>
    </row>
    <row r="2687" spans="1:32" ht="43.2" x14ac:dyDescent="0.3">
      <c r="A2687" s="23" t="s">
        <v>2641</v>
      </c>
      <c r="B2687" s="20" t="s">
        <v>16</v>
      </c>
      <c r="C2687" s="20" t="s">
        <v>89</v>
      </c>
      <c r="D2687" s="20" t="s">
        <v>8</v>
      </c>
      <c r="E2687" s="22">
        <v>269</v>
      </c>
      <c r="F2687" s="22">
        <v>1</v>
      </c>
      <c r="G2687" s="27" t="s">
        <v>2617</v>
      </c>
      <c r="H2687" s="22"/>
      <c r="I2687" s="23" t="s">
        <v>90</v>
      </c>
      <c r="J2687" s="23"/>
      <c r="K2687" s="22"/>
      <c r="L2687" s="22"/>
      <c r="M2687" s="23"/>
      <c r="N2687" s="23"/>
      <c r="O2687" s="26" t="s">
        <v>2642</v>
      </c>
      <c r="P2687" s="26"/>
      <c r="Q2687" s="22">
        <v>36</v>
      </c>
      <c r="R2687" s="24">
        <v>45772</v>
      </c>
      <c r="S2687" s="24">
        <v>45779</v>
      </c>
      <c r="T2687" s="24">
        <v>45785</v>
      </c>
      <c r="U2687" s="24">
        <v>45786</v>
      </c>
      <c r="V2687" s="24">
        <v>45791</v>
      </c>
      <c r="W2687" s="22" t="s">
        <v>31</v>
      </c>
      <c r="X2687" s="4" t="str">
        <f>IF(Tabela2[[#This Row],[sigla]]="","",VLOOKUP(Tabela2[[#This Row],[sigla]],créditos_base!B:C,2,0))</f>
        <v>SILVIA OTOFUJI/ARQUIVO DA EDITORA</v>
      </c>
      <c r="Y2687" s="23"/>
      <c r="Z2687" s="23" t="str">
        <f>Tabela2[[#This Row],[ilustrador]]</f>
        <v>SILVIA OTOFUJI/ARQUIVO DA EDITORA</v>
      </c>
      <c r="AA2687" s="22">
        <v>8</v>
      </c>
      <c r="AB2687" s="20" t="s">
        <v>2640</v>
      </c>
      <c r="AC2687" s="20" t="s">
        <v>310</v>
      </c>
      <c r="AD2687" s="4" t="str">
        <f>"Pitanguá"</f>
        <v>Pitanguá</v>
      </c>
      <c r="AE2687" s="14" t="str">
        <f>"Matemática"</f>
        <v>Matemática</v>
      </c>
      <c r="AF2687" s="14"/>
    </row>
    <row r="2688" spans="1:32" ht="43.2" x14ac:dyDescent="0.3">
      <c r="A2688" s="23" t="s">
        <v>4481</v>
      </c>
      <c r="B2688" s="20" t="s">
        <v>16</v>
      </c>
      <c r="C2688" s="20" t="s">
        <v>89</v>
      </c>
      <c r="D2688" s="20" t="s">
        <v>8</v>
      </c>
      <c r="E2688" s="22">
        <v>277</v>
      </c>
      <c r="F2688" s="22">
        <v>2</v>
      </c>
      <c r="G2688" s="27" t="s">
        <v>2617</v>
      </c>
      <c r="H2688" s="22"/>
      <c r="I2688" s="23" t="s">
        <v>90</v>
      </c>
      <c r="J2688" s="23"/>
      <c r="K2688" s="22"/>
      <c r="L2688" s="22"/>
      <c r="M2688" s="23"/>
      <c r="N2688" s="23"/>
      <c r="O2688" s="26" t="s">
        <v>4482</v>
      </c>
      <c r="P2688" s="26"/>
      <c r="Q2688" s="22">
        <v>67</v>
      </c>
      <c r="R2688" s="24">
        <v>45811</v>
      </c>
      <c r="S2688" s="24">
        <v>45813</v>
      </c>
      <c r="T2688" s="24"/>
      <c r="U2688" s="24"/>
      <c r="V2688" s="24">
        <v>45818</v>
      </c>
      <c r="W2688" s="22" t="s">
        <v>72</v>
      </c>
      <c r="X2688" s="4" t="str">
        <f>IF(Tabela2[[#This Row],[sigla]]="","",VLOOKUP(Tabela2[[#This Row],[sigla]],créditos_base!B:C,2,0))</f>
        <v>HELOÍSA PINTARELLI/ARQUIVO DA EDITORA</v>
      </c>
      <c r="Y2688" s="23"/>
      <c r="Z2688" s="23" t="str">
        <f>Tabela2[[#This Row],[ilustrador]]</f>
        <v>HELOÍSA PINTARELLI/ARQUIVO DA EDITORA</v>
      </c>
      <c r="AA2688" s="22">
        <v>8</v>
      </c>
      <c r="AB2688" s="20" t="s">
        <v>4464</v>
      </c>
      <c r="AC2688" s="20" t="s">
        <v>310</v>
      </c>
      <c r="AD2688" s="4" t="str">
        <f>"Pitanguá"</f>
        <v>Pitanguá</v>
      </c>
      <c r="AE2688" s="14" t="str">
        <f>"Matemática"</f>
        <v>Matemática</v>
      </c>
      <c r="AF2688" s="14"/>
    </row>
    <row r="2689" spans="1:32" ht="43.2" x14ac:dyDescent="0.3">
      <c r="A2689" s="23" t="s">
        <v>5023</v>
      </c>
      <c r="B2689" s="20" t="s">
        <v>16</v>
      </c>
      <c r="C2689" s="20" t="s">
        <v>89</v>
      </c>
      <c r="D2689" s="20" t="s">
        <v>8</v>
      </c>
      <c r="E2689" s="22">
        <v>277</v>
      </c>
      <c r="F2689" s="22">
        <v>3</v>
      </c>
      <c r="G2689" s="27" t="s">
        <v>2617</v>
      </c>
      <c r="H2689" s="22"/>
      <c r="I2689" s="23" t="s">
        <v>33</v>
      </c>
      <c r="J2689" s="23"/>
      <c r="K2689" s="22"/>
      <c r="L2689" s="22"/>
      <c r="M2689" s="23"/>
      <c r="N2689" s="23"/>
      <c r="O2689" s="26" t="s">
        <v>5024</v>
      </c>
      <c r="P2689" s="26"/>
      <c r="Q2689" s="22">
        <v>92</v>
      </c>
      <c r="R2689" s="24">
        <v>45840</v>
      </c>
      <c r="S2689" s="24">
        <v>45848</v>
      </c>
      <c r="T2689" s="24"/>
      <c r="U2689" s="24"/>
      <c r="V2689" s="24">
        <v>45848</v>
      </c>
      <c r="W2689" s="22" t="s">
        <v>160</v>
      </c>
      <c r="X2689" s="4" t="str">
        <f>IF(Tabela2[[#This Row],[sigla]]="","",VLOOKUP(Tabela2[[#This Row],[sigla]],créditos_base!B:C,2,0))</f>
        <v>SERGIO LIMA/ARQUIVO DA EDITORA</v>
      </c>
      <c r="Y2689" s="23" t="s">
        <v>880</v>
      </c>
      <c r="Z2689" s="23" t="str">
        <f>Tabela2[[#This Row],[ilustrador]]</f>
        <v>SERGIO LIMA/ARQUIVO DA EDITORA</v>
      </c>
      <c r="AA2689" s="22">
        <v>13</v>
      </c>
      <c r="AB2689" s="20" t="s">
        <v>244</v>
      </c>
      <c r="AC2689" s="20" t="s">
        <v>36</v>
      </c>
      <c r="AD2689" s="4" t="str">
        <f>"Pitanguá"</f>
        <v>Pitanguá</v>
      </c>
      <c r="AE2689" s="14" t="str">
        <f>"Matemática"</f>
        <v>Matemática</v>
      </c>
      <c r="AF2689" s="14"/>
    </row>
    <row r="2690" spans="1:32" ht="43.2" x14ac:dyDescent="0.3">
      <c r="A2690" s="23" t="s">
        <v>2634</v>
      </c>
      <c r="B2690" s="20" t="s">
        <v>16</v>
      </c>
      <c r="C2690" s="20" t="s">
        <v>89</v>
      </c>
      <c r="D2690" s="20" t="s">
        <v>8</v>
      </c>
      <c r="E2690" s="22">
        <v>265</v>
      </c>
      <c r="F2690" s="22">
        <v>1</v>
      </c>
      <c r="G2690" s="27" t="s">
        <v>2617</v>
      </c>
      <c r="H2690" s="22"/>
      <c r="I2690" s="23" t="s">
        <v>33</v>
      </c>
      <c r="J2690" s="23"/>
      <c r="K2690" s="22"/>
      <c r="L2690" s="22"/>
      <c r="M2690" s="23"/>
      <c r="N2690" s="23"/>
      <c r="O2690" s="26" t="s">
        <v>2635</v>
      </c>
      <c r="P2690" s="26"/>
      <c r="Q2690" s="22">
        <v>182</v>
      </c>
      <c r="R2690" s="24">
        <v>45908</v>
      </c>
      <c r="S2690" s="24">
        <v>45908</v>
      </c>
      <c r="T2690" s="24"/>
      <c r="U2690" s="24"/>
      <c r="V2690" s="24">
        <v>45908</v>
      </c>
      <c r="W2690" s="22" t="s">
        <v>160</v>
      </c>
      <c r="X2690" s="4" t="str">
        <f>IF(Tabela2[[#This Row],[sigla]]="","",VLOOKUP(Tabela2[[#This Row],[sigla]],créditos_base!B:C,2,0))</f>
        <v>SERGIO LIMA/ARQUIVO DA EDITORA</v>
      </c>
      <c r="Y2690" s="23" t="s">
        <v>953</v>
      </c>
      <c r="Z2690" s="23" t="str">
        <f>Tabela2[[#This Row],[ilustrador]]</f>
        <v>SERGIO LIMA/ARQUIVO DA EDITORA</v>
      </c>
      <c r="AA2690" s="22">
        <v>13</v>
      </c>
      <c r="AB2690" s="20" t="s">
        <v>41</v>
      </c>
      <c r="AC2690" s="20" t="s">
        <v>36</v>
      </c>
      <c r="AD2690" s="4" t="str">
        <f>"Pitanguá"</f>
        <v>Pitanguá</v>
      </c>
      <c r="AE2690" s="14" t="str">
        <f>"Matemática"</f>
        <v>Matemática</v>
      </c>
      <c r="AF2690" s="14"/>
    </row>
    <row r="2691" spans="1:32" ht="43.2" x14ac:dyDescent="0.3">
      <c r="A2691" s="23" t="s">
        <v>4566</v>
      </c>
      <c r="B2691" s="20" t="s">
        <v>16</v>
      </c>
      <c r="C2691" s="20" t="s">
        <v>89</v>
      </c>
      <c r="D2691" s="20" t="s">
        <v>8</v>
      </c>
      <c r="E2691" s="22">
        <v>277</v>
      </c>
      <c r="F2691" s="22">
        <v>2</v>
      </c>
      <c r="G2691" s="27" t="s">
        <v>2617</v>
      </c>
      <c r="H2691" s="22"/>
      <c r="I2691" s="23" t="s">
        <v>90</v>
      </c>
      <c r="J2691" s="23"/>
      <c r="K2691" s="22"/>
      <c r="L2691" s="22"/>
      <c r="M2691" s="23"/>
      <c r="N2691" s="23"/>
      <c r="O2691" s="26" t="s">
        <v>4567</v>
      </c>
      <c r="P2691" s="26"/>
      <c r="Q2691" s="22">
        <v>75</v>
      </c>
      <c r="R2691" s="24">
        <v>45817</v>
      </c>
      <c r="S2691" s="24">
        <v>45818</v>
      </c>
      <c r="T2691" s="24"/>
      <c r="U2691" s="24"/>
      <c r="V2691" s="24">
        <v>45818</v>
      </c>
      <c r="W2691" s="22" t="s">
        <v>468</v>
      </c>
      <c r="X2691" s="4" t="str">
        <f>IF(Tabela2[[#This Row],[sigla]]="","",VLOOKUP(Tabela2[[#This Row],[sigla]],créditos_base!B:C,2,0))</f>
        <v>VER DOCUMENTO DE ILS. TÉCNICAS</v>
      </c>
      <c r="Y2691" s="23" t="s">
        <v>152</v>
      </c>
      <c r="Z2691" s="23" t="s">
        <v>661</v>
      </c>
      <c r="AA2691" s="22">
        <v>13</v>
      </c>
      <c r="AB2691" s="20" t="s">
        <v>747</v>
      </c>
      <c r="AC2691" s="20" t="s">
        <v>36</v>
      </c>
      <c r="AD2691" s="4" t="str">
        <f>"Pitanguá"</f>
        <v>Pitanguá</v>
      </c>
      <c r="AE2691" s="14" t="str">
        <f>"Matemática"</f>
        <v>Matemática</v>
      </c>
      <c r="AF2691" s="14"/>
    </row>
    <row r="2692" spans="1:32" ht="43.2" x14ac:dyDescent="0.3">
      <c r="A2692" s="23" t="s">
        <v>5025</v>
      </c>
      <c r="B2692" s="20" t="s">
        <v>16</v>
      </c>
      <c r="C2692" s="20" t="s">
        <v>89</v>
      </c>
      <c r="D2692" s="20" t="s">
        <v>8</v>
      </c>
      <c r="E2692" s="22">
        <v>281</v>
      </c>
      <c r="F2692" s="22">
        <v>3</v>
      </c>
      <c r="G2692" s="27" t="s">
        <v>2617</v>
      </c>
      <c r="H2692" s="22"/>
      <c r="I2692" s="23" t="s">
        <v>9</v>
      </c>
      <c r="J2692" s="23"/>
      <c r="K2692" s="22"/>
      <c r="L2692" s="22"/>
      <c r="M2692" s="23"/>
      <c r="N2692" s="23"/>
      <c r="O2692" s="26" t="s">
        <v>5026</v>
      </c>
      <c r="P2692" s="26"/>
      <c r="Q2692" s="22"/>
      <c r="R2692" s="24"/>
      <c r="S2692" s="24"/>
      <c r="T2692" s="24"/>
      <c r="U2692" s="24"/>
      <c r="V2692" s="24"/>
      <c r="W2692" s="22" t="s">
        <v>160</v>
      </c>
      <c r="X2692" s="4" t="str">
        <f>IF(Tabela2[[#This Row],[sigla]]="","",VLOOKUP(Tabela2[[#This Row],[sigla]],créditos_base!B:C,2,0))</f>
        <v>SERGIO LIMA/ARQUIVO DA EDITORA</v>
      </c>
      <c r="Y2692" s="23"/>
      <c r="Z2692" s="23" t="str">
        <f>Tabela2[[#This Row],[ilustrador]]</f>
        <v>SERGIO LIMA/ARQUIVO DA EDITORA</v>
      </c>
      <c r="AA2692" s="22"/>
      <c r="AB2692" s="20"/>
      <c r="AD2692" s="4" t="str">
        <f>"Pitanguá"</f>
        <v>Pitanguá</v>
      </c>
      <c r="AE2692" s="14" t="str">
        <f>"Matemática"</f>
        <v>Matemática</v>
      </c>
      <c r="AF2692" s="14"/>
    </row>
    <row r="2693" spans="1:32" ht="43.2" x14ac:dyDescent="0.3">
      <c r="A2693" s="23" t="s">
        <v>2636</v>
      </c>
      <c r="B2693" s="20" t="s">
        <v>16</v>
      </c>
      <c r="C2693" s="20" t="s">
        <v>89</v>
      </c>
      <c r="D2693" s="20" t="s">
        <v>8</v>
      </c>
      <c r="E2693" s="22">
        <v>267</v>
      </c>
      <c r="F2693" s="22">
        <v>1</v>
      </c>
      <c r="G2693" s="27" t="s">
        <v>2617</v>
      </c>
      <c r="H2693" s="22"/>
      <c r="I2693" s="23" t="s">
        <v>33</v>
      </c>
      <c r="J2693" s="23"/>
      <c r="K2693" s="22"/>
      <c r="L2693" s="22"/>
      <c r="M2693" s="23"/>
      <c r="N2693" s="23"/>
      <c r="O2693" s="26" t="s">
        <v>2637</v>
      </c>
      <c r="P2693" s="26"/>
      <c r="Q2693" s="22">
        <v>36</v>
      </c>
      <c r="R2693" s="24">
        <v>45772</v>
      </c>
      <c r="S2693" s="24">
        <v>45779</v>
      </c>
      <c r="T2693" s="24"/>
      <c r="U2693" s="24"/>
      <c r="V2693" s="24">
        <v>45779</v>
      </c>
      <c r="W2693" s="22" t="s">
        <v>160</v>
      </c>
      <c r="X2693" s="4" t="str">
        <f>IF(Tabela2[[#This Row],[sigla]]="","",VLOOKUP(Tabela2[[#This Row],[sigla]],créditos_base!B:C,2,0))</f>
        <v>SERGIO LIMA/ARQUIVO DA EDITORA</v>
      </c>
      <c r="Y2693" s="23" t="s">
        <v>152</v>
      </c>
      <c r="Z2693" s="23" t="str">
        <f>Tabela2[[#This Row],[ilustrador]]</f>
        <v>SERGIO LIMA/ARQUIVO DA EDITORA</v>
      </c>
      <c r="AA2693" s="22">
        <v>13</v>
      </c>
      <c r="AB2693" s="20" t="s">
        <v>153</v>
      </c>
      <c r="AC2693" s="20" t="s">
        <v>36</v>
      </c>
      <c r="AD2693" s="4" t="str">
        <f>"Pitanguá"</f>
        <v>Pitanguá</v>
      </c>
      <c r="AE2693" s="14" t="str">
        <f>"Matemática"</f>
        <v>Matemática</v>
      </c>
      <c r="AF2693" s="14"/>
    </row>
    <row r="2694" spans="1:32" ht="57.6" x14ac:dyDescent="0.3">
      <c r="A2694" s="23" t="s">
        <v>4568</v>
      </c>
      <c r="B2694" s="20" t="s">
        <v>6</v>
      </c>
      <c r="C2694" s="20" t="s">
        <v>89</v>
      </c>
      <c r="D2694" s="20" t="s">
        <v>8</v>
      </c>
      <c r="E2694" s="22">
        <v>281</v>
      </c>
      <c r="F2694" s="22">
        <v>2</v>
      </c>
      <c r="G2694" s="27" t="s">
        <v>2617</v>
      </c>
      <c r="H2694" s="22"/>
      <c r="I2694" s="23" t="s">
        <v>33</v>
      </c>
      <c r="J2694" s="23"/>
      <c r="K2694" s="22"/>
      <c r="L2694" s="22"/>
      <c r="M2694" s="23"/>
      <c r="N2694" s="23"/>
      <c r="O2694" s="26" t="s">
        <v>4569</v>
      </c>
      <c r="P2694" s="26" t="s">
        <v>4570</v>
      </c>
      <c r="Q2694" s="22">
        <v>75</v>
      </c>
      <c r="R2694" s="24">
        <v>45817</v>
      </c>
      <c r="S2694" s="24">
        <v>45818</v>
      </c>
      <c r="T2694" s="24"/>
      <c r="U2694" s="24"/>
      <c r="V2694" s="24">
        <v>45818</v>
      </c>
      <c r="W2694" s="22" t="s">
        <v>468</v>
      </c>
      <c r="X2694" s="4" t="str">
        <f>IF(Tabela2[[#This Row],[sigla]]="","",VLOOKUP(Tabela2[[#This Row],[sigla]],créditos_base!B:C,2,0))</f>
        <v>VER DOCUMENTO DE ILS. TÉCNICAS</v>
      </c>
      <c r="Y2694" s="23" t="s">
        <v>152</v>
      </c>
      <c r="Z2694" s="23" t="s">
        <v>689</v>
      </c>
      <c r="AA2694" s="22">
        <v>13</v>
      </c>
      <c r="AB2694" s="20" t="s">
        <v>244</v>
      </c>
      <c r="AC2694" s="20" t="s">
        <v>36</v>
      </c>
      <c r="AD2694" s="4" t="str">
        <f>"Pitanguá"</f>
        <v>Pitanguá</v>
      </c>
      <c r="AE2694" s="14" t="str">
        <f>"Matemática"</f>
        <v>Matemática</v>
      </c>
      <c r="AF2694" s="14"/>
    </row>
    <row r="2695" spans="1:32" ht="72" x14ac:dyDescent="0.3">
      <c r="A2695" s="23" t="s">
        <v>5027</v>
      </c>
      <c r="B2695" s="20" t="s">
        <v>16</v>
      </c>
      <c r="C2695" s="20" t="s">
        <v>89</v>
      </c>
      <c r="D2695" s="20" t="s">
        <v>8</v>
      </c>
      <c r="E2695" s="22">
        <v>281</v>
      </c>
      <c r="F2695" s="22">
        <v>3</v>
      </c>
      <c r="G2695" s="27" t="s">
        <v>2617</v>
      </c>
      <c r="H2695" s="22"/>
      <c r="I2695" s="23" t="s">
        <v>9</v>
      </c>
      <c r="J2695" s="23"/>
      <c r="K2695" s="22"/>
      <c r="L2695" s="22"/>
      <c r="M2695" s="23"/>
      <c r="N2695" s="23"/>
      <c r="O2695" s="26" t="s">
        <v>5028</v>
      </c>
      <c r="P2695" s="26"/>
      <c r="Q2695" s="22"/>
      <c r="R2695" s="24"/>
      <c r="S2695" s="24"/>
      <c r="T2695" s="24"/>
      <c r="U2695" s="24"/>
      <c r="V2695" s="24"/>
      <c r="W2695" s="22" t="s">
        <v>160</v>
      </c>
      <c r="X2695" s="4" t="str">
        <f>IF(Tabela2[[#This Row],[sigla]]="","",VLOOKUP(Tabela2[[#This Row],[sigla]],créditos_base!B:C,2,0))</f>
        <v>SERGIO LIMA/ARQUIVO DA EDITORA</v>
      </c>
      <c r="Y2695" s="23"/>
      <c r="Z2695" s="23" t="str">
        <f>Tabela2[[#This Row],[ilustrador]]</f>
        <v>SERGIO LIMA/ARQUIVO DA EDITORA</v>
      </c>
      <c r="AA2695" s="22"/>
      <c r="AB2695" s="20"/>
      <c r="AD2695" s="4" t="str">
        <f>"Pitanguá"</f>
        <v>Pitanguá</v>
      </c>
      <c r="AE2695" s="14" t="str">
        <f>"Matemática"</f>
        <v>Matemática</v>
      </c>
      <c r="AF2695" s="14"/>
    </row>
    <row r="2696" spans="1:32" ht="72" x14ac:dyDescent="0.3">
      <c r="A2696" s="23" t="s">
        <v>4571</v>
      </c>
      <c r="B2696" s="20" t="s">
        <v>6</v>
      </c>
      <c r="C2696" s="20" t="s">
        <v>89</v>
      </c>
      <c r="D2696" s="20" t="s">
        <v>8</v>
      </c>
      <c r="E2696" s="22">
        <v>283</v>
      </c>
      <c r="F2696" s="22">
        <v>2</v>
      </c>
      <c r="G2696" s="27" t="s">
        <v>2617</v>
      </c>
      <c r="H2696" s="22"/>
      <c r="I2696" s="23" t="s">
        <v>33</v>
      </c>
      <c r="J2696" s="23"/>
      <c r="K2696" s="22"/>
      <c r="L2696" s="22"/>
      <c r="M2696" s="23"/>
      <c r="N2696" s="23"/>
      <c r="O2696" s="26" t="s">
        <v>4572</v>
      </c>
      <c r="P2696" s="26" t="s">
        <v>4570</v>
      </c>
      <c r="Q2696" s="22">
        <v>75</v>
      </c>
      <c r="R2696" s="24">
        <v>45817</v>
      </c>
      <c r="S2696" s="24">
        <v>45818</v>
      </c>
      <c r="T2696" s="24"/>
      <c r="U2696" s="24"/>
      <c r="V2696" s="24">
        <v>45818</v>
      </c>
      <c r="W2696" s="22" t="s">
        <v>160</v>
      </c>
      <c r="X2696" s="4" t="str">
        <f>IF(Tabela2[[#This Row],[sigla]]="","",VLOOKUP(Tabela2[[#This Row],[sigla]],créditos_base!B:C,2,0))</f>
        <v>SERGIO LIMA/ARQUIVO DA EDITORA</v>
      </c>
      <c r="Y2696" s="23" t="s">
        <v>152</v>
      </c>
      <c r="Z2696" s="23" t="str">
        <f>Tabela2[[#This Row],[ilustrador]]</f>
        <v>SERGIO LIMA/ARQUIVO DA EDITORA</v>
      </c>
      <c r="AA2696" s="22">
        <v>13</v>
      </c>
      <c r="AB2696" s="20" t="s">
        <v>244</v>
      </c>
      <c r="AC2696" s="20" t="s">
        <v>36</v>
      </c>
      <c r="AD2696" s="4" t="str">
        <f>"Pitanguá"</f>
        <v>Pitanguá</v>
      </c>
      <c r="AE2696" s="14" t="str">
        <f>"Matemática"</f>
        <v>Matemática</v>
      </c>
      <c r="AF2696" s="14"/>
    </row>
    <row r="2697" spans="1:32" ht="72" x14ac:dyDescent="0.3">
      <c r="A2697" s="23" t="s">
        <v>5029</v>
      </c>
      <c r="B2697" s="20" t="s">
        <v>16</v>
      </c>
      <c r="C2697" s="20" t="s">
        <v>89</v>
      </c>
      <c r="D2697" s="20" t="s">
        <v>8</v>
      </c>
      <c r="E2697" s="22">
        <v>283</v>
      </c>
      <c r="F2697" s="22">
        <v>3</v>
      </c>
      <c r="G2697" s="27" t="s">
        <v>2617</v>
      </c>
      <c r="H2697" s="22"/>
      <c r="I2697" s="23" t="s">
        <v>33</v>
      </c>
      <c r="J2697" s="23"/>
      <c r="K2697" s="22"/>
      <c r="L2697" s="22"/>
      <c r="M2697" s="23"/>
      <c r="N2697" s="23"/>
      <c r="O2697" s="26" t="s">
        <v>5030</v>
      </c>
      <c r="P2697" s="26"/>
      <c r="Q2697" s="22">
        <v>92</v>
      </c>
      <c r="R2697" s="24">
        <v>45840</v>
      </c>
      <c r="S2697" s="24">
        <v>45847</v>
      </c>
      <c r="T2697" s="24"/>
      <c r="U2697" s="24"/>
      <c r="V2697" s="24">
        <v>45847</v>
      </c>
      <c r="W2697" s="22" t="s">
        <v>160</v>
      </c>
      <c r="X2697" s="4" t="str">
        <f>IF(Tabela2[[#This Row],[sigla]]="","",VLOOKUP(Tabela2[[#This Row],[sigla]],créditos_base!B:C,2,0))</f>
        <v>SERGIO LIMA/ARQUIVO DA EDITORA</v>
      </c>
      <c r="Y2697" s="23" t="s">
        <v>880</v>
      </c>
      <c r="Z2697" s="23" t="str">
        <f>Tabela2[[#This Row],[ilustrador]]</f>
        <v>SERGIO LIMA/ARQUIVO DA EDITORA</v>
      </c>
      <c r="AA2697" s="22">
        <v>13</v>
      </c>
      <c r="AB2697" s="20" t="s">
        <v>244</v>
      </c>
      <c r="AC2697" s="20" t="s">
        <v>36</v>
      </c>
      <c r="AD2697" s="4" t="str">
        <f>"Pitanguá"</f>
        <v>Pitanguá</v>
      </c>
      <c r="AE2697" s="14" t="str">
        <f>"Matemática"</f>
        <v>Matemática</v>
      </c>
      <c r="AF2697" s="14"/>
    </row>
    <row r="2698" spans="1:32" ht="43.2" x14ac:dyDescent="0.3">
      <c r="A2698" s="23" t="s">
        <v>5842</v>
      </c>
      <c r="B2698" s="20" t="s">
        <v>16</v>
      </c>
      <c r="C2698" s="20" t="s">
        <v>7</v>
      </c>
      <c r="D2698" s="20" t="s">
        <v>8</v>
      </c>
      <c r="E2698" s="22">
        <v>281</v>
      </c>
      <c r="F2698" s="22">
        <v>5</v>
      </c>
      <c r="G2698" s="22"/>
      <c r="H2698" s="27" t="s">
        <v>5843</v>
      </c>
      <c r="I2698" s="23" t="s">
        <v>33</v>
      </c>
      <c r="J2698" s="23"/>
      <c r="K2698" s="22"/>
      <c r="L2698" s="22"/>
      <c r="M2698" s="23"/>
      <c r="N2698" s="23"/>
      <c r="O2698" s="26" t="s">
        <v>5844</v>
      </c>
      <c r="P2698" s="26"/>
      <c r="Q2698" s="22">
        <v>154</v>
      </c>
      <c r="R2698" s="24">
        <v>45884</v>
      </c>
      <c r="S2698" s="24">
        <v>45886</v>
      </c>
      <c r="T2698" s="24"/>
      <c r="U2698" s="24"/>
      <c r="V2698" s="24">
        <v>45887</v>
      </c>
      <c r="W2698" s="22" t="s">
        <v>1721</v>
      </c>
      <c r="X2698" s="4" t="str">
        <f>IF(Tabela2[[#This Row],[sigla]]="","",VLOOKUP(Tabela2[[#This Row],[sigla]],créditos_base!B:C,2,0))</f>
        <v>CAIO TANAKA/ARQUIVO DA EDITORA</v>
      </c>
      <c r="Y2698" s="23" t="s">
        <v>243</v>
      </c>
      <c r="Z2698" s="23" t="str">
        <f>Tabela2[[#This Row],[ilustrador]]</f>
        <v>CAIO TANAKA/ARQUIVO DA EDITORA</v>
      </c>
      <c r="AA2698" s="22">
        <v>13</v>
      </c>
      <c r="AB2698" s="20" t="s">
        <v>244</v>
      </c>
      <c r="AC2698" s="20" t="s">
        <v>36</v>
      </c>
      <c r="AD2698" s="4" t="str">
        <f>"Pitanguá"</f>
        <v>Pitanguá</v>
      </c>
      <c r="AE2698" s="14" t="str">
        <f>"Matemática"</f>
        <v>Matemática</v>
      </c>
      <c r="AF2698" s="14"/>
    </row>
    <row r="2699" spans="1:32" ht="43.2" x14ac:dyDescent="0.3">
      <c r="A2699" s="23" t="s">
        <v>5033</v>
      </c>
      <c r="B2699" s="20" t="s">
        <v>16</v>
      </c>
      <c r="C2699" s="20" t="s">
        <v>89</v>
      </c>
      <c r="D2699" s="20" t="s">
        <v>8</v>
      </c>
      <c r="E2699" s="22">
        <v>283</v>
      </c>
      <c r="F2699" s="22">
        <v>3</v>
      </c>
      <c r="G2699" s="27" t="s">
        <v>2617</v>
      </c>
      <c r="H2699" s="22"/>
      <c r="I2699" s="23" t="s">
        <v>33</v>
      </c>
      <c r="J2699" s="23"/>
      <c r="K2699" s="22"/>
      <c r="L2699" s="22"/>
      <c r="M2699" s="23"/>
      <c r="N2699" s="23"/>
      <c r="O2699" s="26" t="s">
        <v>5034</v>
      </c>
      <c r="P2699" s="26"/>
      <c r="Q2699" s="22">
        <v>92</v>
      </c>
      <c r="R2699" s="24">
        <v>45840</v>
      </c>
      <c r="S2699" s="24">
        <v>45847</v>
      </c>
      <c r="T2699" s="24"/>
      <c r="U2699" s="24"/>
      <c r="V2699" s="24">
        <v>45847</v>
      </c>
      <c r="W2699" s="22" t="s">
        <v>160</v>
      </c>
      <c r="X2699" s="4" t="str">
        <f>IF(Tabela2[[#This Row],[sigla]]="","",VLOOKUP(Tabela2[[#This Row],[sigla]],créditos_base!B:C,2,0))</f>
        <v>SERGIO LIMA/ARQUIVO DA EDITORA</v>
      </c>
      <c r="Y2699" s="23" t="s">
        <v>880</v>
      </c>
      <c r="Z2699" s="23" t="str">
        <f>Tabela2[[#This Row],[ilustrador]]</f>
        <v>SERGIO LIMA/ARQUIVO DA EDITORA</v>
      </c>
      <c r="AA2699" s="22">
        <v>13</v>
      </c>
      <c r="AB2699" s="20" t="s">
        <v>244</v>
      </c>
      <c r="AC2699" s="20" t="s">
        <v>36</v>
      </c>
      <c r="AD2699" s="4" t="str">
        <f>"Pitanguá"</f>
        <v>Pitanguá</v>
      </c>
      <c r="AE2699" s="14" t="str">
        <f>"Matemática"</f>
        <v>Matemática</v>
      </c>
      <c r="AF2699" s="14"/>
    </row>
    <row r="2700" spans="1:32" ht="43.2" x14ac:dyDescent="0.3">
      <c r="A2700" s="23" t="s">
        <v>5845</v>
      </c>
      <c r="B2700" s="20" t="s">
        <v>16</v>
      </c>
      <c r="C2700" s="20" t="s">
        <v>7</v>
      </c>
      <c r="D2700" s="20" t="s">
        <v>8</v>
      </c>
      <c r="E2700" s="22">
        <v>281</v>
      </c>
      <c r="F2700" s="22">
        <v>5</v>
      </c>
      <c r="G2700" s="22"/>
      <c r="H2700" s="27" t="s">
        <v>5843</v>
      </c>
      <c r="I2700" s="23" t="s">
        <v>33</v>
      </c>
      <c r="J2700" s="23"/>
      <c r="K2700" s="22"/>
      <c r="L2700" s="22"/>
      <c r="M2700" s="23"/>
      <c r="N2700" s="23"/>
      <c r="O2700" s="26" t="s">
        <v>5846</v>
      </c>
      <c r="P2700" s="26"/>
      <c r="Q2700" s="22">
        <v>154</v>
      </c>
      <c r="R2700" s="24">
        <v>45884</v>
      </c>
      <c r="S2700" s="24">
        <v>45886</v>
      </c>
      <c r="T2700" s="24"/>
      <c r="U2700" s="24"/>
      <c r="V2700" s="24">
        <v>45887</v>
      </c>
      <c r="W2700" s="22" t="s">
        <v>160</v>
      </c>
      <c r="X2700" s="4" t="str">
        <f>IF(Tabela2[[#This Row],[sigla]]="","",VLOOKUP(Tabela2[[#This Row],[sigla]],créditos_base!B:C,2,0))</f>
        <v>SERGIO LIMA/ARQUIVO DA EDITORA</v>
      </c>
      <c r="Y2700" s="23" t="s">
        <v>243</v>
      </c>
      <c r="Z2700" s="23" t="str">
        <f>Tabela2[[#This Row],[ilustrador]]</f>
        <v>SERGIO LIMA/ARQUIVO DA EDITORA</v>
      </c>
      <c r="AA2700" s="22">
        <v>13</v>
      </c>
      <c r="AB2700" s="20" t="s">
        <v>244</v>
      </c>
      <c r="AC2700" s="20" t="s">
        <v>36</v>
      </c>
      <c r="AD2700" s="4" t="str">
        <f>"Pitanguá"</f>
        <v>Pitanguá</v>
      </c>
      <c r="AE2700" s="14" t="str">
        <f>"Matemática"</f>
        <v>Matemática</v>
      </c>
      <c r="AF2700" s="14"/>
    </row>
    <row r="2701" spans="1:32" ht="43.2" x14ac:dyDescent="0.3">
      <c r="A2701" s="23" t="s">
        <v>5035</v>
      </c>
      <c r="B2701" s="20" t="s">
        <v>16</v>
      </c>
      <c r="C2701" s="20" t="s">
        <v>89</v>
      </c>
      <c r="D2701" s="20" t="s">
        <v>8</v>
      </c>
      <c r="E2701" s="22">
        <v>285</v>
      </c>
      <c r="F2701" s="22">
        <v>3</v>
      </c>
      <c r="G2701" s="27" t="s">
        <v>2617</v>
      </c>
      <c r="H2701" s="22"/>
      <c r="I2701" s="23" t="s">
        <v>9</v>
      </c>
      <c r="J2701" s="23"/>
      <c r="K2701" s="22"/>
      <c r="L2701" s="22"/>
      <c r="M2701" s="23"/>
      <c r="N2701" s="23"/>
      <c r="O2701" s="26" t="s">
        <v>5036</v>
      </c>
      <c r="P2701" s="26"/>
      <c r="Q2701" s="22"/>
      <c r="R2701" s="24"/>
      <c r="S2701" s="24"/>
      <c r="T2701" s="24"/>
      <c r="U2701" s="24"/>
      <c r="V2701" s="24"/>
      <c r="W2701" s="22" t="s">
        <v>160</v>
      </c>
      <c r="X2701" s="4" t="str">
        <f>IF(Tabela2[[#This Row],[sigla]]="","",VLOOKUP(Tabela2[[#This Row],[sigla]],créditos_base!B:C,2,0))</f>
        <v>SERGIO LIMA/ARQUIVO DA EDITORA</v>
      </c>
      <c r="Y2701" s="23"/>
      <c r="Z2701" s="23" t="str">
        <f>Tabela2[[#This Row],[ilustrador]]</f>
        <v>SERGIO LIMA/ARQUIVO DA EDITORA</v>
      </c>
      <c r="AA2701" s="22"/>
      <c r="AB2701" s="20"/>
      <c r="AD2701" s="4" t="str">
        <f>"Pitanguá"</f>
        <v>Pitanguá</v>
      </c>
      <c r="AE2701" s="14" t="str">
        <f>"Matemática"</f>
        <v>Matemática</v>
      </c>
      <c r="AF2701" s="14"/>
    </row>
    <row r="2702" spans="1:32" ht="43.2" x14ac:dyDescent="0.3">
      <c r="A2702" s="23" t="s">
        <v>5847</v>
      </c>
      <c r="B2702" s="20" t="s">
        <v>16</v>
      </c>
      <c r="C2702" s="20" t="s">
        <v>7</v>
      </c>
      <c r="D2702" s="20" t="s">
        <v>8</v>
      </c>
      <c r="E2702" s="22">
        <v>283</v>
      </c>
      <c r="F2702" s="22">
        <v>5</v>
      </c>
      <c r="G2702" s="22"/>
      <c r="H2702" s="27" t="s">
        <v>5843</v>
      </c>
      <c r="I2702" s="23" t="s">
        <v>33</v>
      </c>
      <c r="J2702" s="23"/>
      <c r="K2702" s="22"/>
      <c r="L2702" s="22"/>
      <c r="M2702" s="23"/>
      <c r="N2702" s="23"/>
      <c r="O2702" s="26" t="s">
        <v>5848</v>
      </c>
      <c r="P2702" s="26"/>
      <c r="Q2702" s="22">
        <v>154</v>
      </c>
      <c r="R2702" s="24">
        <v>45884</v>
      </c>
      <c r="S2702" s="24">
        <v>45886</v>
      </c>
      <c r="T2702" s="24"/>
      <c r="U2702" s="24"/>
      <c r="V2702" s="24">
        <v>45887</v>
      </c>
      <c r="W2702" s="22" t="s">
        <v>940</v>
      </c>
      <c r="X2702" s="4" t="str">
        <f>IF(Tabela2[[#This Row],[sigla]]="","",VLOOKUP(Tabela2[[#This Row],[sigla]],créditos_base!B:C,2,0))</f>
        <v>RONALDO LUCENA/ARQUIVO DA EDITORA</v>
      </c>
      <c r="Y2702" s="23" t="s">
        <v>243</v>
      </c>
      <c r="Z2702" s="23" t="str">
        <f>Tabela2[[#This Row],[ilustrador]]</f>
        <v>RONALDO LUCENA/ARQUIVO DA EDITORA</v>
      </c>
      <c r="AA2702" s="22">
        <v>13</v>
      </c>
      <c r="AB2702" s="20" t="s">
        <v>244</v>
      </c>
      <c r="AC2702" s="20" t="s">
        <v>36</v>
      </c>
      <c r="AD2702" s="4" t="str">
        <f>"Pitanguá"</f>
        <v>Pitanguá</v>
      </c>
      <c r="AE2702" s="14" t="str">
        <f>"Matemática"</f>
        <v>Matemática</v>
      </c>
      <c r="AF2702" s="14"/>
    </row>
    <row r="2703" spans="1:32" ht="43.2" x14ac:dyDescent="0.3">
      <c r="A2703" s="23" t="s">
        <v>5037</v>
      </c>
      <c r="B2703" s="20" t="s">
        <v>16</v>
      </c>
      <c r="C2703" s="20" t="s">
        <v>89</v>
      </c>
      <c r="D2703" s="20" t="s">
        <v>8</v>
      </c>
      <c r="E2703" s="22">
        <v>287</v>
      </c>
      <c r="F2703" s="22">
        <v>3</v>
      </c>
      <c r="G2703" s="27" t="s">
        <v>2617</v>
      </c>
      <c r="H2703" s="22"/>
      <c r="I2703" s="23" t="s">
        <v>9</v>
      </c>
      <c r="J2703" s="23"/>
      <c r="K2703" s="22"/>
      <c r="L2703" s="22"/>
      <c r="M2703" s="23"/>
      <c r="N2703" s="23"/>
      <c r="O2703" s="26" t="s">
        <v>5038</v>
      </c>
      <c r="P2703" s="26"/>
      <c r="Q2703" s="22"/>
      <c r="R2703" s="24"/>
      <c r="S2703" s="24"/>
      <c r="T2703" s="24"/>
      <c r="U2703" s="24"/>
      <c r="V2703" s="24"/>
      <c r="W2703" s="22" t="s">
        <v>160</v>
      </c>
      <c r="X2703" s="4" t="str">
        <f>IF(Tabela2[[#This Row],[sigla]]="","",VLOOKUP(Tabela2[[#This Row],[sigla]],créditos_base!B:C,2,0))</f>
        <v>SERGIO LIMA/ARQUIVO DA EDITORA</v>
      </c>
      <c r="Y2703" s="23"/>
      <c r="Z2703" s="23" t="str">
        <f>Tabela2[[#This Row],[ilustrador]]</f>
        <v>SERGIO LIMA/ARQUIVO DA EDITORA</v>
      </c>
      <c r="AA2703" s="22"/>
      <c r="AB2703" s="20"/>
      <c r="AD2703" s="4" t="str">
        <f>"Pitanguá"</f>
        <v>Pitanguá</v>
      </c>
      <c r="AE2703" s="14" t="str">
        <f>"Matemática"</f>
        <v>Matemática</v>
      </c>
      <c r="AF2703" s="14"/>
    </row>
    <row r="2704" spans="1:32" ht="43.2" x14ac:dyDescent="0.3">
      <c r="A2704" s="23" t="s">
        <v>5991</v>
      </c>
      <c r="B2704" s="20" t="s">
        <v>522</v>
      </c>
      <c r="C2704" s="20" t="s">
        <v>89</v>
      </c>
      <c r="D2704" s="20" t="s">
        <v>8</v>
      </c>
      <c r="E2704" s="22">
        <v>273</v>
      </c>
      <c r="F2704" s="22">
        <v>4</v>
      </c>
      <c r="G2704" s="27" t="s">
        <v>2617</v>
      </c>
      <c r="H2704" s="22"/>
      <c r="I2704" s="23" t="s">
        <v>90</v>
      </c>
      <c r="J2704" s="23"/>
      <c r="K2704" s="22"/>
      <c r="L2704" s="22"/>
      <c r="M2704" s="23"/>
      <c r="N2704" s="23"/>
      <c r="O2704" s="26" t="s">
        <v>5992</v>
      </c>
      <c r="P2704" s="26"/>
      <c r="Q2704" s="22">
        <v>216</v>
      </c>
      <c r="R2704" s="24">
        <v>45933</v>
      </c>
      <c r="S2704" s="24">
        <v>45933</v>
      </c>
      <c r="T2704" s="24"/>
      <c r="U2704" s="24"/>
      <c r="V2704" s="24">
        <v>45933</v>
      </c>
      <c r="W2704" s="22" t="s">
        <v>468</v>
      </c>
      <c r="X2704" s="4" t="str">
        <f>IF(Tabela2[[#This Row],[sigla]]="","",VLOOKUP(Tabela2[[#This Row],[sigla]],créditos_base!B:C,2,0))</f>
        <v>VER DOCUMENTO DE ILS. TÉCNICAS</v>
      </c>
      <c r="Y2704" s="23"/>
      <c r="Z2704" s="7" t="s">
        <v>5993</v>
      </c>
      <c r="AA2704" s="22">
        <v>13</v>
      </c>
      <c r="AB2704" s="20" t="s">
        <v>2216</v>
      </c>
      <c r="AD2704" s="4" t="str">
        <f>"Pitanguá"</f>
        <v>Pitanguá</v>
      </c>
      <c r="AE2704" s="14" t="str">
        <f>"Matemática"</f>
        <v>Matemática</v>
      </c>
      <c r="AF2704" s="14"/>
    </row>
    <row r="2705" spans="1:32" ht="43.2" x14ac:dyDescent="0.3">
      <c r="A2705" s="23" t="s">
        <v>5991</v>
      </c>
      <c r="B2705" s="20" t="s">
        <v>1137</v>
      </c>
      <c r="C2705" s="20" t="s">
        <v>89</v>
      </c>
      <c r="D2705" s="20" t="s">
        <v>8</v>
      </c>
      <c r="E2705" s="22">
        <v>273</v>
      </c>
      <c r="F2705" s="22">
        <v>4</v>
      </c>
      <c r="G2705" s="27" t="s">
        <v>2617</v>
      </c>
      <c r="H2705" s="22"/>
      <c r="I2705" s="23" t="s">
        <v>90</v>
      </c>
      <c r="J2705" s="23"/>
      <c r="K2705" s="22"/>
      <c r="L2705" s="22"/>
      <c r="M2705" s="23"/>
      <c r="N2705" s="23"/>
      <c r="O2705" s="26" t="s">
        <v>5996</v>
      </c>
      <c r="P2705" s="26"/>
      <c r="Q2705" s="22"/>
      <c r="R2705" s="24"/>
      <c r="S2705" s="24"/>
      <c r="T2705" s="24"/>
      <c r="U2705" s="24"/>
      <c r="V2705" s="24"/>
      <c r="W2705" s="22"/>
      <c r="X2705" s="4" t="str">
        <f>IF(Tabela2[[#This Row],[sigla]]="","",VLOOKUP(Tabela2[[#This Row],[sigla]],#REF!,2,0))</f>
        <v/>
      </c>
      <c r="Y2705" s="23"/>
      <c r="Z2705" s="23" t="str">
        <f>Tabela2[[#This Row],[ilustrador]]</f>
        <v/>
      </c>
      <c r="AA2705" s="22"/>
      <c r="AB2705" s="20"/>
      <c r="AD2705" s="4" t="str">
        <f>"Pitanguá"</f>
        <v>Pitanguá</v>
      </c>
      <c r="AE2705" s="14" t="str">
        <f>"Matemática"</f>
        <v>Matemática</v>
      </c>
      <c r="AF2705" s="14"/>
    </row>
    <row r="2706" spans="1:32" ht="72" x14ac:dyDescent="0.3">
      <c r="A2706" s="23" t="s">
        <v>5849</v>
      </c>
      <c r="B2706" s="20" t="s">
        <v>16</v>
      </c>
      <c r="C2706" s="20" t="s">
        <v>7</v>
      </c>
      <c r="D2706" s="20" t="s">
        <v>8</v>
      </c>
      <c r="E2706" s="22">
        <v>283</v>
      </c>
      <c r="F2706" s="22">
        <v>5</v>
      </c>
      <c r="G2706" s="22"/>
      <c r="H2706" s="27" t="s">
        <v>5843</v>
      </c>
      <c r="I2706" s="23" t="s">
        <v>33</v>
      </c>
      <c r="J2706" s="23"/>
      <c r="K2706" s="22"/>
      <c r="L2706" s="22"/>
      <c r="M2706" s="23"/>
      <c r="N2706" s="23"/>
      <c r="O2706" s="26" t="s">
        <v>5850</v>
      </c>
      <c r="P2706" s="26"/>
      <c r="Q2706" s="22">
        <v>154</v>
      </c>
      <c r="R2706" s="24">
        <v>45884</v>
      </c>
      <c r="S2706" s="24">
        <v>45886</v>
      </c>
      <c r="T2706" s="24"/>
      <c r="U2706" s="24"/>
      <c r="V2706" s="24">
        <v>45887</v>
      </c>
      <c r="W2706" s="22" t="s">
        <v>940</v>
      </c>
      <c r="X2706" s="4" t="str">
        <f>IF(Tabela2[[#This Row],[sigla]]="","",VLOOKUP(Tabela2[[#This Row],[sigla]],créditos_base!B:C,2,0))</f>
        <v>RONALDO LUCENA/ARQUIVO DA EDITORA</v>
      </c>
      <c r="Y2706" s="23" t="s">
        <v>243</v>
      </c>
      <c r="Z2706" s="23" t="str">
        <f>Tabela2[[#This Row],[ilustrador]]</f>
        <v>RONALDO LUCENA/ARQUIVO DA EDITORA</v>
      </c>
      <c r="AA2706" s="22">
        <v>13</v>
      </c>
      <c r="AB2706" s="20" t="s">
        <v>244</v>
      </c>
      <c r="AC2706" s="20" t="s">
        <v>36</v>
      </c>
      <c r="AD2706" s="4" t="str">
        <f>"Pitanguá"</f>
        <v>Pitanguá</v>
      </c>
      <c r="AE2706" s="14" t="str">
        <f>"Matemática"</f>
        <v>Matemática</v>
      </c>
      <c r="AF2706" s="14"/>
    </row>
    <row r="2707" spans="1:32" ht="115.2" x14ac:dyDescent="0.3">
      <c r="A2707" s="23" t="s">
        <v>5039</v>
      </c>
      <c r="B2707" s="20" t="s">
        <v>16</v>
      </c>
      <c r="C2707" s="20" t="s">
        <v>89</v>
      </c>
      <c r="D2707" s="20" t="s">
        <v>8</v>
      </c>
      <c r="E2707" s="22">
        <v>287</v>
      </c>
      <c r="F2707" s="22">
        <v>3</v>
      </c>
      <c r="G2707" s="27" t="s">
        <v>2617</v>
      </c>
      <c r="H2707" s="22"/>
      <c r="I2707" s="23" t="s">
        <v>9</v>
      </c>
      <c r="J2707" s="23"/>
      <c r="K2707" s="22"/>
      <c r="L2707" s="22"/>
      <c r="M2707" s="23"/>
      <c r="N2707" s="23"/>
      <c r="O2707" s="26" t="s">
        <v>5040</v>
      </c>
      <c r="P2707" s="26"/>
      <c r="Q2707" s="22"/>
      <c r="R2707" s="24"/>
      <c r="S2707" s="24"/>
      <c r="T2707" s="24"/>
      <c r="U2707" s="24"/>
      <c r="V2707" s="24"/>
      <c r="W2707" s="22" t="s">
        <v>160</v>
      </c>
      <c r="X2707" s="4" t="str">
        <f>IF(Tabela2[[#This Row],[sigla]]="","",VLOOKUP(Tabela2[[#This Row],[sigla]],créditos_base!B:C,2,0))</f>
        <v>SERGIO LIMA/ARQUIVO DA EDITORA</v>
      </c>
      <c r="Y2707" s="23"/>
      <c r="Z2707" s="23" t="str">
        <f>Tabela2[[#This Row],[ilustrador]]</f>
        <v>SERGIO LIMA/ARQUIVO DA EDITORA</v>
      </c>
      <c r="AA2707" s="22"/>
      <c r="AB2707" s="20"/>
      <c r="AD2707" s="4" t="str">
        <f>"Pitanguá"</f>
        <v>Pitanguá</v>
      </c>
      <c r="AE2707" s="14" t="str">
        <f>"Matemática"</f>
        <v>Matemática</v>
      </c>
      <c r="AF2707" s="14"/>
    </row>
    <row r="2708" spans="1:32" ht="28.8" x14ac:dyDescent="0.3">
      <c r="A2708" s="23" t="s">
        <v>5994</v>
      </c>
      <c r="B2708" s="20" t="s">
        <v>522</v>
      </c>
      <c r="C2708" s="20" t="s">
        <v>89</v>
      </c>
      <c r="D2708" s="20" t="s">
        <v>8</v>
      </c>
      <c r="E2708" s="22">
        <v>273</v>
      </c>
      <c r="F2708" s="22">
        <v>4</v>
      </c>
      <c r="G2708" s="27" t="s">
        <v>2617</v>
      </c>
      <c r="H2708" s="22"/>
      <c r="I2708" s="23" t="s">
        <v>90</v>
      </c>
      <c r="J2708" s="23"/>
      <c r="K2708" s="22"/>
      <c r="L2708" s="22"/>
      <c r="M2708" s="23"/>
      <c r="N2708" s="23"/>
      <c r="O2708" s="26" t="s">
        <v>5995</v>
      </c>
      <c r="P2708" s="26"/>
      <c r="Q2708" s="22">
        <v>216</v>
      </c>
      <c r="R2708" s="24">
        <v>45933</v>
      </c>
      <c r="S2708" s="24">
        <v>45933</v>
      </c>
      <c r="T2708" s="24"/>
      <c r="U2708" s="24"/>
      <c r="V2708" s="24">
        <v>45933</v>
      </c>
      <c r="W2708" s="22" t="s">
        <v>468</v>
      </c>
      <c r="X2708" s="4" t="str">
        <f>IF(Tabela2[[#This Row],[sigla]]="","",VLOOKUP(Tabela2[[#This Row],[sigla]],créditos_base!B:C,2,0))</f>
        <v>VER DOCUMENTO DE ILS. TÉCNICAS</v>
      </c>
      <c r="Y2708" s="23"/>
      <c r="Z2708" s="7" t="s">
        <v>5993</v>
      </c>
      <c r="AA2708" s="22">
        <v>13</v>
      </c>
      <c r="AB2708" s="20" t="s">
        <v>2216</v>
      </c>
      <c r="AD2708" s="4" t="str">
        <f>"Pitanguá"</f>
        <v>Pitanguá</v>
      </c>
      <c r="AE2708" s="14" t="str">
        <f>"Matemática"</f>
        <v>Matemática</v>
      </c>
      <c r="AF2708" s="14"/>
    </row>
    <row r="2709" spans="1:32" ht="129.6" x14ac:dyDescent="0.3">
      <c r="A2709" s="23" t="s">
        <v>5851</v>
      </c>
      <c r="B2709" s="20" t="s">
        <v>16</v>
      </c>
      <c r="C2709" s="20" t="s">
        <v>7</v>
      </c>
      <c r="D2709" s="20" t="s">
        <v>8</v>
      </c>
      <c r="E2709" s="22">
        <v>283</v>
      </c>
      <c r="F2709" s="22">
        <v>5</v>
      </c>
      <c r="G2709" s="22"/>
      <c r="H2709" s="27" t="s">
        <v>5843</v>
      </c>
      <c r="I2709" s="23" t="s">
        <v>33</v>
      </c>
      <c r="J2709" s="23"/>
      <c r="K2709" s="22"/>
      <c r="L2709" s="22"/>
      <c r="M2709" s="23"/>
      <c r="N2709" s="23"/>
      <c r="O2709" s="26" t="s">
        <v>5852</v>
      </c>
      <c r="P2709" s="26"/>
      <c r="Q2709" s="22">
        <v>154</v>
      </c>
      <c r="R2709" s="24">
        <v>45884</v>
      </c>
      <c r="S2709" s="24">
        <v>45886</v>
      </c>
      <c r="T2709" s="24"/>
      <c r="U2709" s="24"/>
      <c r="V2709" s="24">
        <v>45887</v>
      </c>
      <c r="W2709" s="22" t="s">
        <v>940</v>
      </c>
      <c r="X2709" s="4" t="str">
        <f>IF(Tabela2[[#This Row],[sigla]]="","",VLOOKUP(Tabela2[[#This Row],[sigla]],créditos_base!B:C,2,0))</f>
        <v>RONALDO LUCENA/ARQUIVO DA EDITORA</v>
      </c>
      <c r="Y2709" s="23" t="s">
        <v>243</v>
      </c>
      <c r="Z2709" s="23" t="str">
        <f>Tabela2[[#This Row],[ilustrador]]</f>
        <v>RONALDO LUCENA/ARQUIVO DA EDITORA</v>
      </c>
      <c r="AA2709" s="22">
        <v>13</v>
      </c>
      <c r="AB2709" s="20" t="s">
        <v>244</v>
      </c>
      <c r="AC2709" s="20" t="s">
        <v>36</v>
      </c>
      <c r="AD2709" s="4" t="str">
        <f>"Pitanguá"</f>
        <v>Pitanguá</v>
      </c>
      <c r="AE2709" s="14" t="str">
        <f>"Matemática"</f>
        <v>Matemática</v>
      </c>
      <c r="AF2709" s="14"/>
    </row>
    <row r="2710" spans="1:32" ht="28.8" x14ac:dyDescent="0.3">
      <c r="A2710" s="23" t="s">
        <v>5853</v>
      </c>
      <c r="B2710" s="20" t="s">
        <v>16</v>
      </c>
      <c r="C2710" s="20" t="s">
        <v>7</v>
      </c>
      <c r="D2710" s="20" t="s">
        <v>8</v>
      </c>
      <c r="E2710" s="22">
        <v>283</v>
      </c>
      <c r="F2710" s="22">
        <v>5</v>
      </c>
      <c r="G2710" s="22"/>
      <c r="H2710" s="27" t="s">
        <v>5843</v>
      </c>
      <c r="I2710" s="23" t="s">
        <v>33</v>
      </c>
      <c r="J2710" s="23"/>
      <c r="K2710" s="22"/>
      <c r="L2710" s="22"/>
      <c r="M2710" s="23"/>
      <c r="N2710" s="23"/>
      <c r="O2710" s="26" t="s">
        <v>5854</v>
      </c>
      <c r="P2710" s="26"/>
      <c r="Q2710" s="22">
        <v>154</v>
      </c>
      <c r="R2710" s="24">
        <v>45884</v>
      </c>
      <c r="S2710" s="24">
        <v>45886</v>
      </c>
      <c r="T2710" s="24"/>
      <c r="U2710" s="24"/>
      <c r="V2710" s="24">
        <v>45887</v>
      </c>
      <c r="W2710" s="22" t="s">
        <v>940</v>
      </c>
      <c r="X2710" s="4" t="str">
        <f>IF(Tabela2[[#This Row],[sigla]]="","",VLOOKUP(Tabela2[[#This Row],[sigla]],créditos_base!B:C,2,0))</f>
        <v>RONALDO LUCENA/ARQUIVO DA EDITORA</v>
      </c>
      <c r="Y2710" s="23" t="s">
        <v>243</v>
      </c>
      <c r="Z2710" s="23" t="str">
        <f>Tabela2[[#This Row],[ilustrador]]</f>
        <v>RONALDO LUCENA/ARQUIVO DA EDITORA</v>
      </c>
      <c r="AA2710" s="22">
        <v>13</v>
      </c>
      <c r="AB2710" s="20" t="s">
        <v>244</v>
      </c>
      <c r="AC2710" s="20" t="s">
        <v>36</v>
      </c>
      <c r="AD2710" s="4" t="str">
        <f>"Pitanguá"</f>
        <v>Pitanguá</v>
      </c>
      <c r="AE2710" s="14" t="str">
        <f>"Matemática"</f>
        <v>Matemática</v>
      </c>
      <c r="AF2710" s="14"/>
    </row>
    <row r="2711" spans="1:32" ht="43.2" x14ac:dyDescent="0.3">
      <c r="A2711" s="23" t="s">
        <v>5855</v>
      </c>
      <c r="B2711" s="20" t="s">
        <v>16</v>
      </c>
      <c r="C2711" s="20" t="s">
        <v>7</v>
      </c>
      <c r="D2711" s="20" t="s">
        <v>8</v>
      </c>
      <c r="E2711" s="22">
        <v>283</v>
      </c>
      <c r="F2711" s="22">
        <v>5</v>
      </c>
      <c r="G2711" s="22"/>
      <c r="H2711" s="27" t="s">
        <v>5843</v>
      </c>
      <c r="I2711" s="23" t="s">
        <v>33</v>
      </c>
      <c r="J2711" s="23"/>
      <c r="K2711" s="22"/>
      <c r="L2711" s="22"/>
      <c r="M2711" s="23"/>
      <c r="N2711" s="23"/>
      <c r="O2711" s="26" t="s">
        <v>5856</v>
      </c>
      <c r="P2711" s="26"/>
      <c r="Q2711" s="22">
        <v>154</v>
      </c>
      <c r="R2711" s="24">
        <v>45884</v>
      </c>
      <c r="S2711" s="24">
        <v>45886</v>
      </c>
      <c r="T2711" s="24"/>
      <c r="U2711" s="24"/>
      <c r="V2711" s="24">
        <v>45887</v>
      </c>
      <c r="W2711" s="22" t="s">
        <v>940</v>
      </c>
      <c r="X2711" s="4" t="str">
        <f>IF(Tabela2[[#This Row],[sigla]]="","",VLOOKUP(Tabela2[[#This Row],[sigla]],créditos_base!B:C,2,0))</f>
        <v>RONALDO LUCENA/ARQUIVO DA EDITORA</v>
      </c>
      <c r="Y2711" s="23" t="s">
        <v>243</v>
      </c>
      <c r="Z2711" s="23" t="str">
        <f>Tabela2[[#This Row],[ilustrador]]</f>
        <v>RONALDO LUCENA/ARQUIVO DA EDITORA</v>
      </c>
      <c r="AA2711" s="22">
        <v>13</v>
      </c>
      <c r="AB2711" s="20" t="s">
        <v>244</v>
      </c>
      <c r="AC2711" s="20" t="s">
        <v>36</v>
      </c>
      <c r="AD2711" s="4" t="str">
        <f>"Pitanguá"</f>
        <v>Pitanguá</v>
      </c>
      <c r="AE2711" s="14" t="str">
        <f>"Matemática"</f>
        <v>Matemática</v>
      </c>
      <c r="AF2711" s="14"/>
    </row>
    <row r="2712" spans="1:32" ht="28.8" x14ac:dyDescent="0.3">
      <c r="A2712" s="23" t="s">
        <v>5857</v>
      </c>
      <c r="B2712" s="20" t="s">
        <v>16</v>
      </c>
      <c r="C2712" s="20" t="s">
        <v>7</v>
      </c>
      <c r="D2712" s="20" t="s">
        <v>8</v>
      </c>
      <c r="E2712" s="22">
        <v>285</v>
      </c>
      <c r="F2712" s="22">
        <v>5</v>
      </c>
      <c r="G2712" s="22"/>
      <c r="H2712" s="27" t="s">
        <v>5843</v>
      </c>
      <c r="I2712" s="23" t="s">
        <v>33</v>
      </c>
      <c r="J2712" s="23"/>
      <c r="K2712" s="22"/>
      <c r="L2712" s="22"/>
      <c r="M2712" s="23"/>
      <c r="N2712" s="23"/>
      <c r="O2712" s="26" t="s">
        <v>5858</v>
      </c>
      <c r="P2712" s="26"/>
      <c r="Q2712" s="22">
        <v>162</v>
      </c>
      <c r="R2712" s="24">
        <v>45891</v>
      </c>
      <c r="S2712" s="24">
        <v>45891</v>
      </c>
      <c r="T2712" s="24"/>
      <c r="U2712" s="24"/>
      <c r="V2712" s="24">
        <v>45892</v>
      </c>
      <c r="W2712" s="22" t="s">
        <v>31</v>
      </c>
      <c r="X2712" s="4" t="str">
        <f>IF(Tabela2[[#This Row],[sigla]]="","",VLOOKUP(Tabela2[[#This Row],[sigla]],créditos_base!B:C,2,0))</f>
        <v>SILVIA OTOFUJI/ARQUIVO DA EDITORA</v>
      </c>
      <c r="Y2712" s="23" t="s">
        <v>13</v>
      </c>
      <c r="Z2712" s="23" t="str">
        <f>Tabela2[[#This Row],[ilustrador]]</f>
        <v>SILVIA OTOFUJI/ARQUIVO DA EDITORA</v>
      </c>
      <c r="AA2712" s="22">
        <v>13</v>
      </c>
      <c r="AB2712" s="20" t="s">
        <v>153</v>
      </c>
      <c r="AC2712" s="20" t="s">
        <v>36</v>
      </c>
      <c r="AD2712" s="4" t="str">
        <f>"Pitanguá"</f>
        <v>Pitanguá</v>
      </c>
      <c r="AE2712" s="14" t="str">
        <f>"Matemática"</f>
        <v>Matemática</v>
      </c>
      <c r="AF2712" s="14"/>
    </row>
    <row r="2713" spans="1:32" ht="72" x14ac:dyDescent="0.3">
      <c r="A2713" s="23" t="s">
        <v>5859</v>
      </c>
      <c r="B2713" s="20" t="s">
        <v>16</v>
      </c>
      <c r="C2713" s="20" t="s">
        <v>7</v>
      </c>
      <c r="D2713" s="20" t="s">
        <v>8</v>
      </c>
      <c r="E2713" s="22">
        <v>285</v>
      </c>
      <c r="F2713" s="22">
        <v>5</v>
      </c>
      <c r="G2713" s="22"/>
      <c r="H2713" s="27" t="s">
        <v>5843</v>
      </c>
      <c r="I2713" s="23" t="s">
        <v>33</v>
      </c>
      <c r="J2713" s="23"/>
      <c r="K2713" s="22"/>
      <c r="L2713" s="22"/>
      <c r="M2713" s="23"/>
      <c r="N2713" s="23"/>
      <c r="O2713" s="26" t="s">
        <v>5860</v>
      </c>
      <c r="P2713" s="26"/>
      <c r="Q2713" s="22">
        <v>162</v>
      </c>
      <c r="R2713" s="24">
        <v>45891</v>
      </c>
      <c r="S2713" s="24">
        <v>45891</v>
      </c>
      <c r="T2713" s="24"/>
      <c r="U2713" s="24"/>
      <c r="V2713" s="24">
        <v>45892</v>
      </c>
      <c r="W2713" s="22" t="s">
        <v>31</v>
      </c>
      <c r="X2713" s="4" t="str">
        <f>IF(Tabela2[[#This Row],[sigla]]="","",VLOOKUP(Tabela2[[#This Row],[sigla]],créditos_base!B:C,2,0))</f>
        <v>SILVIA OTOFUJI/ARQUIVO DA EDITORA</v>
      </c>
      <c r="Y2713" s="23" t="s">
        <v>13</v>
      </c>
      <c r="Z2713" s="23" t="str">
        <f>Tabela2[[#This Row],[ilustrador]]</f>
        <v>SILVIA OTOFUJI/ARQUIVO DA EDITORA</v>
      </c>
      <c r="AA2713" s="22">
        <v>13</v>
      </c>
      <c r="AB2713" s="20" t="s">
        <v>153</v>
      </c>
      <c r="AC2713" s="20" t="s">
        <v>36</v>
      </c>
      <c r="AD2713" s="4" t="str">
        <f>"Pitanguá"</f>
        <v>Pitanguá</v>
      </c>
      <c r="AE2713" s="14" t="str">
        <f>"Matemática"</f>
        <v>Matemática</v>
      </c>
      <c r="AF2713" s="14"/>
    </row>
    <row r="2714" spans="1:32" ht="43.2" x14ac:dyDescent="0.3">
      <c r="A2714" s="23" t="s">
        <v>2645</v>
      </c>
      <c r="B2714" s="20" t="s">
        <v>16</v>
      </c>
      <c r="C2714" s="20" t="s">
        <v>89</v>
      </c>
      <c r="D2714" s="20" t="s">
        <v>8</v>
      </c>
      <c r="E2714" s="22">
        <v>283</v>
      </c>
      <c r="F2714" s="22">
        <v>1</v>
      </c>
      <c r="G2714" s="27" t="s">
        <v>2617</v>
      </c>
      <c r="H2714" s="22"/>
      <c r="I2714" s="23" t="s">
        <v>90</v>
      </c>
      <c r="J2714" s="23"/>
      <c r="K2714" s="22"/>
      <c r="L2714" s="22"/>
      <c r="M2714" s="23"/>
      <c r="N2714" s="23"/>
      <c r="O2714" s="26" t="s">
        <v>2646</v>
      </c>
      <c r="P2714" s="26"/>
      <c r="Q2714" s="22">
        <v>36</v>
      </c>
      <c r="R2714" s="24">
        <v>45772</v>
      </c>
      <c r="S2714" s="24">
        <v>45779</v>
      </c>
      <c r="T2714" s="24"/>
      <c r="U2714" s="24"/>
      <c r="V2714" s="24">
        <v>45784</v>
      </c>
      <c r="W2714" s="22" t="s">
        <v>72</v>
      </c>
      <c r="X2714" s="4" t="str">
        <f>IF(Tabela2[[#This Row],[sigla]]="","",VLOOKUP(Tabela2[[#This Row],[sigla]],créditos_base!B:C,2,0))</f>
        <v>HELOÍSA PINTARELLI/ARQUIVO DA EDITORA</v>
      </c>
      <c r="Y2714" s="23"/>
      <c r="Z2714" s="23" t="str">
        <f>Tabela2[[#This Row],[ilustrador]]</f>
        <v>HELOÍSA PINTARELLI/ARQUIVO DA EDITORA</v>
      </c>
      <c r="AA2714" s="22">
        <v>7</v>
      </c>
      <c r="AB2714" s="20" t="s">
        <v>2535</v>
      </c>
      <c r="AC2714" s="20" t="s">
        <v>310</v>
      </c>
      <c r="AD2714" s="4" t="str">
        <f>"Pitanguá"</f>
        <v>Pitanguá</v>
      </c>
      <c r="AE2714" s="14" t="str">
        <f>"Matemática"</f>
        <v>Matemática</v>
      </c>
      <c r="AF2714" s="14"/>
    </row>
    <row r="2715" spans="1:32" ht="43.2" x14ac:dyDescent="0.3">
      <c r="A2715" s="23" t="s">
        <v>5861</v>
      </c>
      <c r="B2715" s="20" t="s">
        <v>16</v>
      </c>
      <c r="C2715" s="20" t="s">
        <v>7</v>
      </c>
      <c r="D2715" s="20" t="s">
        <v>8</v>
      </c>
      <c r="E2715" s="22">
        <v>285</v>
      </c>
      <c r="F2715" s="22">
        <v>5</v>
      </c>
      <c r="G2715" s="22"/>
      <c r="H2715" s="27" t="s">
        <v>5843</v>
      </c>
      <c r="I2715" s="23" t="s">
        <v>33</v>
      </c>
      <c r="J2715" s="23"/>
      <c r="K2715" s="22"/>
      <c r="L2715" s="22"/>
      <c r="M2715" s="23"/>
      <c r="N2715" s="23"/>
      <c r="O2715" s="26" t="s">
        <v>5862</v>
      </c>
      <c r="P2715" s="26"/>
      <c r="Q2715" s="22">
        <v>172</v>
      </c>
      <c r="R2715" s="24">
        <v>45896</v>
      </c>
      <c r="S2715" s="24">
        <v>45896</v>
      </c>
      <c r="T2715" s="24"/>
      <c r="U2715" s="24"/>
      <c r="V2715" s="24">
        <v>45897</v>
      </c>
      <c r="W2715" s="22" t="s">
        <v>31</v>
      </c>
      <c r="X2715" s="4" t="str">
        <f>IF(Tabela2[[#This Row],[sigla]]="","",VLOOKUP(Tabela2[[#This Row],[sigla]],créditos_base!B:C,2,0))</f>
        <v>SILVIA OTOFUJI/ARQUIVO DA EDITORA</v>
      </c>
      <c r="Y2715" s="23" t="s">
        <v>696</v>
      </c>
      <c r="Z2715" s="23" t="str">
        <f>Tabela2[[#This Row],[ilustrador]]</f>
        <v>SILVIA OTOFUJI/ARQUIVO DA EDITORA</v>
      </c>
      <c r="AA2715" s="22">
        <v>13</v>
      </c>
      <c r="AB2715" s="20" t="s">
        <v>153</v>
      </c>
      <c r="AC2715" s="20" t="s">
        <v>36</v>
      </c>
      <c r="AD2715" s="4" t="str">
        <f>"Pitanguá"</f>
        <v>Pitanguá</v>
      </c>
      <c r="AE2715" s="14" t="str">
        <f>"Matemática"</f>
        <v>Matemática</v>
      </c>
      <c r="AF2715" s="14"/>
    </row>
    <row r="2716" spans="1:32" x14ac:dyDescent="0.3">
      <c r="A2716" s="23" t="s">
        <v>2647</v>
      </c>
      <c r="B2716" s="20" t="s">
        <v>16</v>
      </c>
      <c r="C2716" s="20" t="s">
        <v>89</v>
      </c>
      <c r="D2716" s="20" t="s">
        <v>8</v>
      </c>
      <c r="E2716" s="22">
        <v>285</v>
      </c>
      <c r="F2716" s="22">
        <v>1</v>
      </c>
      <c r="G2716" s="27" t="s">
        <v>2617</v>
      </c>
      <c r="H2716" s="22"/>
      <c r="I2716" s="23" t="s">
        <v>90</v>
      </c>
      <c r="J2716" s="23"/>
      <c r="K2716" s="22"/>
      <c r="L2716" s="22"/>
      <c r="M2716" s="23"/>
      <c r="N2716" s="23"/>
      <c r="O2716" s="26" t="s">
        <v>2648</v>
      </c>
      <c r="P2716" s="26"/>
      <c r="Q2716" s="22">
        <v>36</v>
      </c>
      <c r="R2716" s="24">
        <v>45772</v>
      </c>
      <c r="S2716" s="24">
        <v>45779</v>
      </c>
      <c r="T2716" s="24"/>
      <c r="U2716" s="24"/>
      <c r="V2716" s="24">
        <v>45784</v>
      </c>
      <c r="W2716" s="22" t="s">
        <v>72</v>
      </c>
      <c r="X2716" s="4" t="str">
        <f>IF(Tabela2[[#This Row],[sigla]]="","",VLOOKUP(Tabela2[[#This Row],[sigla]],créditos_base!B:C,2,0))</f>
        <v>HELOÍSA PINTARELLI/ARQUIVO DA EDITORA</v>
      </c>
      <c r="Y2716" s="23"/>
      <c r="Z2716" s="23" t="str">
        <f>Tabela2[[#This Row],[ilustrador]]</f>
        <v>HELOÍSA PINTARELLI/ARQUIVO DA EDITORA</v>
      </c>
      <c r="AA2716" s="22">
        <v>7</v>
      </c>
      <c r="AB2716" s="20" t="s">
        <v>2535</v>
      </c>
      <c r="AC2716" s="20" t="s">
        <v>310</v>
      </c>
      <c r="AD2716" s="4" t="str">
        <f>"Pitanguá"</f>
        <v>Pitanguá</v>
      </c>
      <c r="AE2716" s="14" t="str">
        <f>"Matemática"</f>
        <v>Matemática</v>
      </c>
      <c r="AF2716" s="14"/>
    </row>
    <row r="2717" spans="1:32" x14ac:dyDescent="0.3">
      <c r="A2717" s="23" t="s">
        <v>5863</v>
      </c>
      <c r="B2717" s="20" t="s">
        <v>16</v>
      </c>
      <c r="C2717" s="20" t="s">
        <v>7</v>
      </c>
      <c r="D2717" s="20" t="s">
        <v>8</v>
      </c>
      <c r="E2717" s="22">
        <v>285</v>
      </c>
      <c r="F2717" s="22">
        <v>5</v>
      </c>
      <c r="G2717" s="22"/>
      <c r="H2717" s="27" t="s">
        <v>5843</v>
      </c>
      <c r="I2717" s="23" t="s">
        <v>33</v>
      </c>
      <c r="J2717" s="23"/>
      <c r="K2717" s="22"/>
      <c r="L2717" s="22"/>
      <c r="M2717" s="23"/>
      <c r="N2717" s="23"/>
      <c r="O2717" s="26" t="s">
        <v>5864</v>
      </c>
      <c r="P2717" s="26"/>
      <c r="Q2717" s="22">
        <v>172</v>
      </c>
      <c r="R2717" s="24">
        <v>45896</v>
      </c>
      <c r="S2717" s="24">
        <v>45896</v>
      </c>
      <c r="T2717" s="24"/>
      <c r="U2717" s="24"/>
      <c r="V2717" s="24">
        <v>45897</v>
      </c>
      <c r="W2717" s="22" t="s">
        <v>31</v>
      </c>
      <c r="X2717" s="4" t="str">
        <f>IF(Tabela2[[#This Row],[sigla]]="","",VLOOKUP(Tabela2[[#This Row],[sigla]],créditos_base!B:C,2,0))</f>
        <v>SILVIA OTOFUJI/ARQUIVO DA EDITORA</v>
      </c>
      <c r="Y2717" s="23" t="s">
        <v>696</v>
      </c>
      <c r="Z2717" s="23" t="str">
        <f>Tabela2[[#This Row],[ilustrador]]</f>
        <v>SILVIA OTOFUJI/ARQUIVO DA EDITORA</v>
      </c>
      <c r="AA2717" s="22">
        <v>13</v>
      </c>
      <c r="AB2717" s="20" t="s">
        <v>153</v>
      </c>
      <c r="AC2717" s="20" t="s">
        <v>36</v>
      </c>
      <c r="AD2717" s="4" t="str">
        <f>"Pitanguá"</f>
        <v>Pitanguá</v>
      </c>
      <c r="AE2717" s="14" t="str">
        <f>"Matemática"</f>
        <v>Matemática</v>
      </c>
      <c r="AF2717" s="14"/>
    </row>
    <row r="2718" spans="1:32" x14ac:dyDescent="0.3">
      <c r="A2718" s="23" t="s">
        <v>5865</v>
      </c>
      <c r="B2718" s="20" t="s">
        <v>16</v>
      </c>
      <c r="C2718" s="20" t="s">
        <v>7</v>
      </c>
      <c r="D2718" s="20" t="s">
        <v>8</v>
      </c>
      <c r="E2718" s="22">
        <v>285</v>
      </c>
      <c r="F2718" s="22">
        <v>5</v>
      </c>
      <c r="G2718" s="22"/>
      <c r="H2718" s="27" t="s">
        <v>5843</v>
      </c>
      <c r="I2718" s="23" t="s">
        <v>33</v>
      </c>
      <c r="J2718" s="23"/>
      <c r="K2718" s="22"/>
      <c r="L2718" s="22"/>
      <c r="M2718" s="23"/>
      <c r="N2718" s="23"/>
      <c r="O2718" s="26" t="s">
        <v>5866</v>
      </c>
      <c r="P2718" s="26"/>
      <c r="Q2718" s="22">
        <v>162</v>
      </c>
      <c r="R2718" s="24">
        <v>45891</v>
      </c>
      <c r="S2718" s="24">
        <v>45891</v>
      </c>
      <c r="T2718" s="24"/>
      <c r="U2718" s="24"/>
      <c r="V2718" s="24">
        <v>45892</v>
      </c>
      <c r="W2718" s="22" t="s">
        <v>31</v>
      </c>
      <c r="X2718" s="4" t="str">
        <f>IF(Tabela2[[#This Row],[sigla]]="","",VLOOKUP(Tabela2[[#This Row],[sigla]],créditos_base!B:C,2,0))</f>
        <v>SILVIA OTOFUJI/ARQUIVO DA EDITORA</v>
      </c>
      <c r="Y2718" s="23" t="s">
        <v>13</v>
      </c>
      <c r="Z2718" s="23" t="str">
        <f>Tabela2[[#This Row],[ilustrador]]</f>
        <v>SILVIA OTOFUJI/ARQUIVO DA EDITORA</v>
      </c>
      <c r="AA2718" s="22">
        <v>13</v>
      </c>
      <c r="AB2718" s="20" t="s">
        <v>153</v>
      </c>
      <c r="AC2718" s="20" t="s">
        <v>36</v>
      </c>
      <c r="AD2718" s="4" t="str">
        <f>"Pitanguá"</f>
        <v>Pitanguá</v>
      </c>
      <c r="AE2718" s="14" t="str">
        <f>"Matemática"</f>
        <v>Matemática</v>
      </c>
      <c r="AF2718" s="14"/>
    </row>
    <row r="2719" spans="1:32" ht="43.2" x14ac:dyDescent="0.3">
      <c r="A2719" s="23" t="s">
        <v>2649</v>
      </c>
      <c r="B2719" s="20" t="s">
        <v>16</v>
      </c>
      <c r="C2719" s="20" t="s">
        <v>89</v>
      </c>
      <c r="D2719" s="20" t="s">
        <v>8</v>
      </c>
      <c r="E2719" s="22">
        <v>287</v>
      </c>
      <c r="F2719" s="22">
        <v>1</v>
      </c>
      <c r="G2719" s="27" t="s">
        <v>2617</v>
      </c>
      <c r="H2719" s="22"/>
      <c r="I2719" s="23" t="s">
        <v>9</v>
      </c>
      <c r="J2719" s="23"/>
      <c r="K2719" s="22"/>
      <c r="L2719" s="22"/>
      <c r="M2719" s="23"/>
      <c r="N2719" s="23"/>
      <c r="O2719" s="26" t="s">
        <v>2650</v>
      </c>
      <c r="P2719" s="26"/>
      <c r="Q2719" s="22"/>
      <c r="R2719" s="24"/>
      <c r="S2719" s="24"/>
      <c r="T2719" s="24"/>
      <c r="U2719" s="24"/>
      <c r="V2719" s="24"/>
      <c r="W2719" s="22"/>
      <c r="X2719" s="4" t="str">
        <f>IF(Tabela2[[#This Row],[sigla]]="","",VLOOKUP(Tabela2[[#This Row],[sigla]],créditos_base!B:C,2,0))</f>
        <v/>
      </c>
      <c r="Y2719" s="23"/>
      <c r="Z2719" s="23" t="str">
        <f>Tabela2[[#This Row],[ilustrador]]</f>
        <v/>
      </c>
      <c r="AA2719" s="22"/>
      <c r="AB2719" s="20"/>
      <c r="AD2719" s="4" t="str">
        <f>"Pitanguá"</f>
        <v>Pitanguá</v>
      </c>
      <c r="AE2719" s="14" t="str">
        <f>"Matemática"</f>
        <v>Matemática</v>
      </c>
      <c r="AF2719" s="14"/>
    </row>
    <row r="2720" spans="1:32" ht="57.6" x14ac:dyDescent="0.3">
      <c r="A2720" s="23" t="s">
        <v>2638</v>
      </c>
      <c r="B2720" s="20" t="s">
        <v>16</v>
      </c>
      <c r="C2720" s="20" t="s">
        <v>89</v>
      </c>
      <c r="D2720" s="20" t="s">
        <v>8</v>
      </c>
      <c r="E2720" s="22">
        <v>267</v>
      </c>
      <c r="F2720" s="22">
        <v>1</v>
      </c>
      <c r="G2720" s="27" t="s">
        <v>2617</v>
      </c>
      <c r="H2720" s="22"/>
      <c r="I2720" s="23" t="s">
        <v>90</v>
      </c>
      <c r="J2720" s="23"/>
      <c r="K2720" s="22"/>
      <c r="L2720" s="22"/>
      <c r="M2720" s="23"/>
      <c r="N2720" s="23"/>
      <c r="O2720" s="26" t="s">
        <v>2639</v>
      </c>
      <c r="P2720" s="26"/>
      <c r="Q2720" s="22">
        <v>36</v>
      </c>
      <c r="R2720" s="24">
        <v>45772</v>
      </c>
      <c r="S2720" s="24">
        <v>45779</v>
      </c>
      <c r="T2720" s="24">
        <v>45785</v>
      </c>
      <c r="U2720" s="24">
        <v>45786</v>
      </c>
      <c r="V2720" s="24">
        <v>45791</v>
      </c>
      <c r="W2720" s="22" t="s">
        <v>31</v>
      </c>
      <c r="X2720" s="4" t="str">
        <f>IF(Tabela2[[#This Row],[sigla]]="","",VLOOKUP(Tabela2[[#This Row],[sigla]],créditos_base!B:C,2,0))</f>
        <v>SILVIA OTOFUJI/ARQUIVO DA EDITORA</v>
      </c>
      <c r="Y2720" s="23"/>
      <c r="Z2720" s="23" t="str">
        <f>Tabela2[[#This Row],[ilustrador]]</f>
        <v>SILVIA OTOFUJI/ARQUIVO DA EDITORA</v>
      </c>
      <c r="AA2720" s="22">
        <v>8</v>
      </c>
      <c r="AB2720" s="20" t="s">
        <v>2640</v>
      </c>
      <c r="AC2720" s="20" t="s">
        <v>310</v>
      </c>
      <c r="AD2720" s="4" t="str">
        <f>"Pitanguá"</f>
        <v>Pitanguá</v>
      </c>
      <c r="AE2720" s="14" t="str">
        <f>"Matemática"</f>
        <v>Matemática</v>
      </c>
      <c r="AF2720" s="14"/>
    </row>
    <row r="2721" spans="1:32" ht="43.2" x14ac:dyDescent="0.3">
      <c r="A2721" s="23" t="s">
        <v>2643</v>
      </c>
      <c r="B2721" s="20" t="s">
        <v>16</v>
      </c>
      <c r="C2721" s="20" t="s">
        <v>89</v>
      </c>
      <c r="D2721" s="20" t="s">
        <v>8</v>
      </c>
      <c r="E2721" s="22">
        <v>269</v>
      </c>
      <c r="F2721" s="22">
        <v>1</v>
      </c>
      <c r="G2721" s="27" t="s">
        <v>2617</v>
      </c>
      <c r="H2721" s="22"/>
      <c r="I2721" s="23" t="s">
        <v>33</v>
      </c>
      <c r="J2721" s="23"/>
      <c r="K2721" s="22"/>
      <c r="L2721" s="22"/>
      <c r="M2721" s="23"/>
      <c r="N2721" s="23"/>
      <c r="O2721" s="26" t="s">
        <v>2644</v>
      </c>
      <c r="P2721" s="26"/>
      <c r="Q2721" s="22">
        <v>36</v>
      </c>
      <c r="R2721" s="24">
        <v>45772</v>
      </c>
      <c r="S2721" s="24">
        <v>45779</v>
      </c>
      <c r="T2721" s="24"/>
      <c r="U2721" s="24"/>
      <c r="V2721" s="24">
        <v>45779</v>
      </c>
      <c r="W2721" s="22" t="s">
        <v>160</v>
      </c>
      <c r="X2721" s="4" t="str">
        <f>IF(Tabela2[[#This Row],[sigla]]="","",VLOOKUP(Tabela2[[#This Row],[sigla]],créditos_base!B:C,2,0))</f>
        <v>SERGIO LIMA/ARQUIVO DA EDITORA</v>
      </c>
      <c r="Y2721" s="23" t="s">
        <v>152</v>
      </c>
      <c r="Z2721" s="23" t="str">
        <f>Tabela2[[#This Row],[ilustrador]]</f>
        <v>SERGIO LIMA/ARQUIVO DA EDITORA</v>
      </c>
      <c r="AA2721" s="22">
        <v>13</v>
      </c>
      <c r="AB2721" s="20" t="s">
        <v>153</v>
      </c>
      <c r="AC2721" s="20" t="s">
        <v>36</v>
      </c>
      <c r="AD2721" s="4" t="str">
        <f>"Pitanguá"</f>
        <v>Pitanguá</v>
      </c>
      <c r="AE2721" s="14" t="str">
        <f>"Matemática"</f>
        <v>Matemática</v>
      </c>
      <c r="AF2721" s="14"/>
    </row>
    <row r="2722" spans="1:32" ht="43.2" x14ac:dyDescent="0.3">
      <c r="A2722" s="23" t="s">
        <v>5302</v>
      </c>
      <c r="B2722" s="20" t="s">
        <v>16</v>
      </c>
      <c r="C2722" s="20" t="s">
        <v>89</v>
      </c>
      <c r="D2722" s="20" t="s">
        <v>8</v>
      </c>
      <c r="E2722" s="22">
        <v>259</v>
      </c>
      <c r="F2722" s="22">
        <v>1</v>
      </c>
      <c r="G2722" s="27" t="s">
        <v>2617</v>
      </c>
      <c r="H2722" s="22"/>
      <c r="I2722" s="23" t="s">
        <v>33</v>
      </c>
      <c r="J2722" s="23"/>
      <c r="K2722" s="22"/>
      <c r="L2722" s="22"/>
      <c r="M2722" s="23"/>
      <c r="N2722" s="23"/>
      <c r="O2722" s="26" t="s">
        <v>5303</v>
      </c>
      <c r="P2722" s="26"/>
      <c r="Q2722" s="22">
        <v>118</v>
      </c>
      <c r="R2722" s="24">
        <v>45859</v>
      </c>
      <c r="S2722" s="24">
        <v>45859</v>
      </c>
      <c r="T2722" s="24"/>
      <c r="U2722" s="24"/>
      <c r="V2722" s="24">
        <v>45859</v>
      </c>
      <c r="W2722" s="22" t="s">
        <v>468</v>
      </c>
      <c r="X2722" s="4" t="str">
        <f>IF(Tabela2[[#This Row],[sigla]]="","",VLOOKUP(Tabela2[[#This Row],[sigla]],créditos_base!B:C,2,0))</f>
        <v>VER DOCUMENTO DE ILS. TÉCNICAS</v>
      </c>
      <c r="Y2722" s="23" t="s">
        <v>152</v>
      </c>
      <c r="Z2722" s="23" t="s">
        <v>5062</v>
      </c>
      <c r="AA2722" s="22">
        <v>13</v>
      </c>
      <c r="AB2722" s="20" t="s">
        <v>747</v>
      </c>
      <c r="AC2722" s="20" t="s">
        <v>36</v>
      </c>
      <c r="AD2722" s="4" t="str">
        <f>"Pitanguá"</f>
        <v>Pitanguá</v>
      </c>
      <c r="AE2722" s="14" t="str">
        <f>"Matemática"</f>
        <v>Matemática</v>
      </c>
      <c r="AF2722" s="14"/>
    </row>
    <row r="2723" spans="1:32" ht="100.8" x14ac:dyDescent="0.3">
      <c r="A2723" s="23" t="s">
        <v>4562</v>
      </c>
      <c r="B2723" s="20" t="s">
        <v>16</v>
      </c>
      <c r="C2723" s="20" t="s">
        <v>89</v>
      </c>
      <c r="D2723" s="20" t="s">
        <v>8</v>
      </c>
      <c r="E2723" s="22">
        <v>265</v>
      </c>
      <c r="F2723" s="22">
        <v>2</v>
      </c>
      <c r="G2723" s="27" t="s">
        <v>2617</v>
      </c>
      <c r="H2723" s="22"/>
      <c r="I2723" s="23" t="s">
        <v>9</v>
      </c>
      <c r="J2723" s="23"/>
      <c r="K2723" s="22"/>
      <c r="L2723" s="22"/>
      <c r="M2723" s="23"/>
      <c r="N2723" s="23"/>
      <c r="O2723" s="26" t="s">
        <v>4563</v>
      </c>
      <c r="P2723" s="26"/>
      <c r="Q2723" s="22"/>
      <c r="R2723" s="24"/>
      <c r="S2723" s="24"/>
      <c r="T2723" s="24"/>
      <c r="U2723" s="24"/>
      <c r="V2723" s="24"/>
      <c r="W2723" s="22" t="s">
        <v>468</v>
      </c>
      <c r="X2723" s="4" t="str">
        <f>IF(Tabela2[[#This Row],[sigla]]="","",VLOOKUP(Tabela2[[#This Row],[sigla]],créditos_base!B:C,2,0))</f>
        <v>VER DOCUMENTO DE ILS. TÉCNICAS</v>
      </c>
      <c r="Y2723" s="23"/>
      <c r="Z2723" s="23" t="s">
        <v>661</v>
      </c>
      <c r="AA2723" s="22"/>
      <c r="AB2723" s="20"/>
      <c r="AD2723" s="4" t="str">
        <f>"Pitanguá"</f>
        <v>Pitanguá</v>
      </c>
      <c r="AE2723" s="14" t="str">
        <f>"Matemática"</f>
        <v>Matemática</v>
      </c>
      <c r="AF2723" s="14"/>
    </row>
    <row r="2724" spans="1:32" ht="57.6" x14ac:dyDescent="0.3">
      <c r="A2724" s="23" t="s">
        <v>5304</v>
      </c>
      <c r="B2724" s="20" t="s">
        <v>16</v>
      </c>
      <c r="C2724" s="20" t="s">
        <v>89</v>
      </c>
      <c r="D2724" s="20" t="s">
        <v>8</v>
      </c>
      <c r="E2724" s="22">
        <v>261</v>
      </c>
      <c r="F2724" s="22">
        <v>1</v>
      </c>
      <c r="G2724" s="27" t="s">
        <v>2617</v>
      </c>
      <c r="H2724" s="22"/>
      <c r="I2724" s="23" t="s">
        <v>33</v>
      </c>
      <c r="J2724" s="23"/>
      <c r="K2724" s="22"/>
      <c r="L2724" s="22"/>
      <c r="M2724" s="23"/>
      <c r="N2724" s="23"/>
      <c r="O2724" s="26" t="s">
        <v>5305</v>
      </c>
      <c r="P2724" s="26"/>
      <c r="Q2724" s="22">
        <v>118</v>
      </c>
      <c r="R2724" s="24">
        <v>45859</v>
      </c>
      <c r="S2724" s="24">
        <v>45859</v>
      </c>
      <c r="T2724" s="24"/>
      <c r="U2724" s="24"/>
      <c r="V2724" s="24">
        <v>45859</v>
      </c>
      <c r="W2724" s="22" t="s">
        <v>468</v>
      </c>
      <c r="X2724" s="4" t="str">
        <f>IF(Tabela2[[#This Row],[sigla]]="","",VLOOKUP(Tabela2[[#This Row],[sigla]],créditos_base!B:C,2,0))</f>
        <v>VER DOCUMENTO DE ILS. TÉCNICAS</v>
      </c>
      <c r="Y2724" s="23" t="s">
        <v>152</v>
      </c>
      <c r="Z2724" s="23" t="s">
        <v>5062</v>
      </c>
      <c r="AA2724" s="22">
        <v>13</v>
      </c>
      <c r="AB2724" s="20" t="s">
        <v>747</v>
      </c>
      <c r="AC2724" s="20" t="s">
        <v>36</v>
      </c>
      <c r="AD2724" s="4" t="str">
        <f>"Pitanguá"</f>
        <v>Pitanguá</v>
      </c>
      <c r="AE2724" s="14" t="str">
        <f>"Matemática"</f>
        <v>Matemática</v>
      </c>
      <c r="AF2724" s="14"/>
    </row>
    <row r="2725" spans="1:32" ht="43.2" x14ac:dyDescent="0.3">
      <c r="A2725" s="23" t="s">
        <v>4573</v>
      </c>
      <c r="B2725" s="20" t="s">
        <v>6</v>
      </c>
      <c r="C2725" s="20" t="s">
        <v>89</v>
      </c>
      <c r="D2725" s="20" t="s">
        <v>8</v>
      </c>
      <c r="E2725" s="22">
        <v>285</v>
      </c>
      <c r="F2725" s="22">
        <v>2</v>
      </c>
      <c r="G2725" s="27" t="s">
        <v>2617</v>
      </c>
      <c r="H2725" s="22"/>
      <c r="I2725" s="23" t="s">
        <v>33</v>
      </c>
      <c r="J2725" s="23"/>
      <c r="K2725" s="22"/>
      <c r="L2725" s="22"/>
      <c r="M2725" s="23"/>
      <c r="N2725" s="23"/>
      <c r="O2725" s="26" t="s">
        <v>4574</v>
      </c>
      <c r="P2725" s="26" t="s">
        <v>4570</v>
      </c>
      <c r="Q2725" s="22">
        <v>75</v>
      </c>
      <c r="R2725" s="24">
        <v>45817</v>
      </c>
      <c r="S2725" s="24">
        <v>45818</v>
      </c>
      <c r="T2725" s="24"/>
      <c r="U2725" s="24"/>
      <c r="V2725" s="24">
        <v>45818</v>
      </c>
      <c r="W2725" s="22" t="s">
        <v>160</v>
      </c>
      <c r="X2725" s="4" t="str">
        <f>IF(Tabela2[[#This Row],[sigla]]="","",VLOOKUP(Tabela2[[#This Row],[sigla]],créditos_base!B:C,2,0))</f>
        <v>SERGIO LIMA/ARQUIVO DA EDITORA</v>
      </c>
      <c r="Y2725" s="23" t="s">
        <v>152</v>
      </c>
      <c r="Z2725" s="23" t="str">
        <f>Tabela2[[#This Row],[ilustrador]]</f>
        <v>SERGIO LIMA/ARQUIVO DA EDITORA</v>
      </c>
      <c r="AA2725" s="22">
        <v>13</v>
      </c>
      <c r="AB2725" s="20" t="s">
        <v>244</v>
      </c>
      <c r="AC2725" s="20" t="s">
        <v>36</v>
      </c>
      <c r="AD2725" s="4" t="str">
        <f>"Pitanguá"</f>
        <v>Pitanguá</v>
      </c>
      <c r="AE2725" s="14" t="str">
        <f>"Matemática"</f>
        <v>Matemática</v>
      </c>
      <c r="AF2725" s="14"/>
    </row>
    <row r="2726" spans="1:32" ht="43.2" x14ac:dyDescent="0.3">
      <c r="A2726" s="23" t="s">
        <v>4575</v>
      </c>
      <c r="B2726" s="20" t="s">
        <v>6</v>
      </c>
      <c r="C2726" s="20" t="s">
        <v>89</v>
      </c>
      <c r="D2726" s="20" t="s">
        <v>8</v>
      </c>
      <c r="E2726" s="22">
        <v>287</v>
      </c>
      <c r="F2726" s="22">
        <v>2</v>
      </c>
      <c r="G2726" s="27" t="s">
        <v>2617</v>
      </c>
      <c r="H2726" s="22"/>
      <c r="I2726" s="23" t="s">
        <v>33</v>
      </c>
      <c r="J2726" s="23"/>
      <c r="K2726" s="22"/>
      <c r="L2726" s="22"/>
      <c r="M2726" s="23"/>
      <c r="N2726" s="23"/>
      <c r="O2726" s="35" t="s">
        <v>4576</v>
      </c>
      <c r="P2726" s="26" t="s">
        <v>4570</v>
      </c>
      <c r="Q2726" s="22">
        <v>75</v>
      </c>
      <c r="R2726" s="24">
        <v>45817</v>
      </c>
      <c r="S2726" s="24">
        <v>45818</v>
      </c>
      <c r="T2726" s="24"/>
      <c r="U2726" s="24"/>
      <c r="V2726" s="24">
        <v>45818</v>
      </c>
      <c r="W2726" s="22" t="s">
        <v>160</v>
      </c>
      <c r="X2726" s="4" t="str">
        <f>IF(Tabela2[[#This Row],[sigla]]="","",VLOOKUP(Tabela2[[#This Row],[sigla]],créditos_base!B:C,2,0))</f>
        <v>SERGIO LIMA/ARQUIVO DA EDITORA</v>
      </c>
      <c r="Y2726" s="23" t="s">
        <v>152</v>
      </c>
      <c r="Z2726" s="23" t="str">
        <f>Tabela2[[#This Row],[ilustrador]]</f>
        <v>SERGIO LIMA/ARQUIVO DA EDITORA</v>
      </c>
      <c r="AA2726" s="22">
        <v>13</v>
      </c>
      <c r="AB2726" s="20" t="s">
        <v>244</v>
      </c>
      <c r="AC2726" s="20" t="s">
        <v>36</v>
      </c>
      <c r="AD2726" s="4" t="str">
        <f>"Pitanguá"</f>
        <v>Pitanguá</v>
      </c>
      <c r="AE2726" s="14" t="str">
        <f>"Matemática"</f>
        <v>Matemática</v>
      </c>
      <c r="AF2726" s="14"/>
    </row>
    <row r="2727" spans="1:32" ht="43.2" x14ac:dyDescent="0.3">
      <c r="A2727" s="23" t="s">
        <v>5069</v>
      </c>
      <c r="B2727" s="20" t="s">
        <v>16</v>
      </c>
      <c r="C2727" s="20" t="s">
        <v>89</v>
      </c>
      <c r="D2727" s="20" t="s">
        <v>8</v>
      </c>
      <c r="E2727" s="22">
        <v>261</v>
      </c>
      <c r="F2727" s="22">
        <v>2</v>
      </c>
      <c r="G2727" s="27" t="s">
        <v>2617</v>
      </c>
      <c r="H2727" s="22"/>
      <c r="I2727" s="23" t="s">
        <v>90</v>
      </c>
      <c r="J2727" s="23"/>
      <c r="K2727" s="22"/>
      <c r="L2727" s="22"/>
      <c r="M2727" s="23"/>
      <c r="N2727" s="23"/>
      <c r="O2727" s="26" t="s">
        <v>5070</v>
      </c>
      <c r="P2727" s="26"/>
      <c r="Q2727" s="22">
        <v>95</v>
      </c>
      <c r="R2727" s="24">
        <v>45842</v>
      </c>
      <c r="S2727" s="24">
        <v>45842</v>
      </c>
      <c r="T2727" s="24"/>
      <c r="U2727" s="24"/>
      <c r="V2727" s="24">
        <v>45845</v>
      </c>
      <c r="W2727" s="22" t="s">
        <v>468</v>
      </c>
      <c r="X2727" s="4" t="str">
        <f>IF(Tabela2[[#This Row],[sigla]]="","",VLOOKUP(Tabela2[[#This Row],[sigla]],créditos_base!B:C,2,0))</f>
        <v>VER DOCUMENTO DE ILS. TÉCNICAS</v>
      </c>
      <c r="Y2727" s="23"/>
      <c r="Z2727" s="23" t="s">
        <v>5062</v>
      </c>
      <c r="AA2727" s="22">
        <v>13</v>
      </c>
      <c r="AB2727" s="20" t="s">
        <v>5014</v>
      </c>
      <c r="AC2727" s="20" t="s">
        <v>36</v>
      </c>
      <c r="AD2727" s="4" t="str">
        <f>"Pitanguá"</f>
        <v>Pitanguá</v>
      </c>
      <c r="AE2727" s="14" t="str">
        <f>"Matemática"</f>
        <v>Matemática</v>
      </c>
      <c r="AF2727" s="14"/>
    </row>
    <row r="2728" spans="1:32" ht="43.2" x14ac:dyDescent="0.3">
      <c r="A2728" s="23" t="s">
        <v>5071</v>
      </c>
      <c r="B2728" s="20" t="s">
        <v>16</v>
      </c>
      <c r="C2728" s="20" t="s">
        <v>89</v>
      </c>
      <c r="D2728" s="20" t="s">
        <v>8</v>
      </c>
      <c r="E2728" s="22">
        <v>263</v>
      </c>
      <c r="F2728" s="22">
        <v>2</v>
      </c>
      <c r="G2728" s="27" t="s">
        <v>2617</v>
      </c>
      <c r="H2728" s="22"/>
      <c r="I2728" s="23" t="s">
        <v>90</v>
      </c>
      <c r="J2728" s="23"/>
      <c r="K2728" s="22"/>
      <c r="L2728" s="22"/>
      <c r="M2728" s="23"/>
      <c r="N2728" s="23"/>
      <c r="O2728" s="26" t="s">
        <v>5072</v>
      </c>
      <c r="P2728" s="26"/>
      <c r="Q2728" s="22">
        <v>95</v>
      </c>
      <c r="R2728" s="24">
        <v>45842</v>
      </c>
      <c r="S2728" s="24">
        <v>45842</v>
      </c>
      <c r="T2728" s="24"/>
      <c r="U2728" s="24"/>
      <c r="V2728" s="24">
        <v>45845</v>
      </c>
      <c r="W2728" s="22" t="s">
        <v>2675</v>
      </c>
      <c r="X2728" s="4" t="str">
        <f>IF(Tabela2[[#This Row],[sigla]]="","",VLOOKUP(Tabela2[[#This Row],[sigla]],créditos_base!B:C,2,0))</f>
        <v>INGRIDHI BORGES/ARQUIVO DA EDITORA</v>
      </c>
      <c r="Y2728" s="23"/>
      <c r="Z2728" s="23" t="str">
        <f>Tabela2[[#This Row],[ilustrador]]</f>
        <v>INGRIDHI BORGES/ARQUIVO DA EDITORA</v>
      </c>
      <c r="AA2728" s="22">
        <v>8</v>
      </c>
      <c r="AB2728" s="20" t="s">
        <v>2058</v>
      </c>
      <c r="AC2728" s="20" t="s">
        <v>36</v>
      </c>
      <c r="AD2728" s="4" t="str">
        <f>"Pitanguá"</f>
        <v>Pitanguá</v>
      </c>
      <c r="AE2728" s="14" t="str">
        <f>"Matemática"</f>
        <v>Matemática</v>
      </c>
      <c r="AF2728" s="14"/>
    </row>
    <row r="2729" spans="1:32" ht="57.6" x14ac:dyDescent="0.3">
      <c r="A2729" s="23" t="s">
        <v>5131</v>
      </c>
      <c r="B2729" s="20" t="s">
        <v>16</v>
      </c>
      <c r="C2729" s="20" t="s">
        <v>89</v>
      </c>
      <c r="D2729" s="20" t="s">
        <v>8</v>
      </c>
      <c r="E2729" s="22">
        <v>277</v>
      </c>
      <c r="F2729" s="22">
        <v>2</v>
      </c>
      <c r="G2729" s="27" t="s">
        <v>2617</v>
      </c>
      <c r="H2729" s="22"/>
      <c r="I2729" s="23" t="s">
        <v>90</v>
      </c>
      <c r="J2729" s="23"/>
      <c r="K2729" s="22"/>
      <c r="L2729" s="22"/>
      <c r="M2729" s="23"/>
      <c r="N2729" s="23"/>
      <c r="O2729" s="26" t="s">
        <v>5132</v>
      </c>
      <c r="P2729" s="26"/>
      <c r="Q2729" s="22">
        <v>100</v>
      </c>
      <c r="R2729" s="24">
        <v>45845</v>
      </c>
      <c r="S2729" s="24">
        <v>45846</v>
      </c>
      <c r="T2729" s="24"/>
      <c r="U2729" s="24"/>
      <c r="V2729" s="24">
        <v>45846</v>
      </c>
      <c r="W2729" s="22" t="s">
        <v>2675</v>
      </c>
      <c r="X2729" s="4" t="str">
        <f>IF(Tabela2[[#This Row],[sigla]]="","",VLOOKUP(Tabela2[[#This Row],[sigla]],créditos_base!B:C,2,0))</f>
        <v>INGRIDHI BORGES/ARQUIVO DA EDITORA</v>
      </c>
      <c r="Y2729" s="23"/>
      <c r="Z2729" s="23" t="str">
        <f>Tabela2[[#This Row],[ilustrador]]</f>
        <v>INGRIDHI BORGES/ARQUIVO DA EDITORA</v>
      </c>
      <c r="AA2729" s="22">
        <v>8</v>
      </c>
      <c r="AB2729" s="20" t="s">
        <v>2058</v>
      </c>
      <c r="AC2729" s="20" t="s">
        <v>36</v>
      </c>
      <c r="AD2729" s="4" t="str">
        <f>"Pitanguá"</f>
        <v>Pitanguá</v>
      </c>
      <c r="AE2729" s="14" t="str">
        <f>"Matemática"</f>
        <v>Matemática</v>
      </c>
      <c r="AF2729" s="14"/>
    </row>
    <row r="2730" spans="1:32" ht="100.8" x14ac:dyDescent="0.3">
      <c r="A2730" s="23" t="s">
        <v>5133</v>
      </c>
      <c r="B2730" s="20" t="s">
        <v>16</v>
      </c>
      <c r="C2730" s="20" t="s">
        <v>89</v>
      </c>
      <c r="D2730" s="20" t="s">
        <v>8</v>
      </c>
      <c r="E2730" s="22">
        <v>279</v>
      </c>
      <c r="F2730" s="22">
        <v>2</v>
      </c>
      <c r="G2730" s="27" t="s">
        <v>2617</v>
      </c>
      <c r="H2730" s="22"/>
      <c r="I2730" s="23" t="s">
        <v>90</v>
      </c>
      <c r="J2730" s="23"/>
      <c r="K2730" s="22"/>
      <c r="L2730" s="22"/>
      <c r="M2730" s="23"/>
      <c r="N2730" s="23"/>
      <c r="O2730" s="26" t="s">
        <v>5134</v>
      </c>
      <c r="P2730" s="26"/>
      <c r="Q2730" s="22">
        <v>100</v>
      </c>
      <c r="R2730" s="24">
        <v>45845</v>
      </c>
      <c r="S2730" s="24">
        <v>45846</v>
      </c>
      <c r="T2730" s="24"/>
      <c r="U2730" s="24"/>
      <c r="V2730" s="24">
        <v>45846</v>
      </c>
      <c r="W2730" s="22" t="s">
        <v>2675</v>
      </c>
      <c r="X2730" s="4" t="str">
        <f>IF(Tabela2[[#This Row],[sigla]]="","",VLOOKUP(Tabela2[[#This Row],[sigla]],créditos_base!B:C,2,0))</f>
        <v>INGRIDHI BORGES/ARQUIVO DA EDITORA</v>
      </c>
      <c r="Y2730" s="23"/>
      <c r="Z2730" s="23" t="str">
        <f>Tabela2[[#This Row],[ilustrador]]</f>
        <v>INGRIDHI BORGES/ARQUIVO DA EDITORA</v>
      </c>
      <c r="AA2730" s="22">
        <v>8</v>
      </c>
      <c r="AB2730" s="20" t="s">
        <v>2058</v>
      </c>
      <c r="AC2730" s="20" t="s">
        <v>36</v>
      </c>
      <c r="AD2730" s="4" t="str">
        <f>"Pitanguá"</f>
        <v>Pitanguá</v>
      </c>
      <c r="AE2730" s="14" t="str">
        <f>"Matemática"</f>
        <v>Matemática</v>
      </c>
      <c r="AF2730" s="14"/>
    </row>
    <row r="2731" spans="1:32" ht="72" x14ac:dyDescent="0.3">
      <c r="A2731" s="23" t="s">
        <v>5135</v>
      </c>
      <c r="B2731" s="20" t="s">
        <v>16</v>
      </c>
      <c r="C2731" s="20" t="s">
        <v>89</v>
      </c>
      <c r="D2731" s="20" t="s">
        <v>8</v>
      </c>
      <c r="E2731" s="22">
        <v>285</v>
      </c>
      <c r="F2731" s="22">
        <v>2</v>
      </c>
      <c r="G2731" s="27" t="s">
        <v>2617</v>
      </c>
      <c r="H2731" s="22"/>
      <c r="I2731" s="23" t="s">
        <v>9</v>
      </c>
      <c r="J2731" s="23"/>
      <c r="K2731" s="22"/>
      <c r="L2731" s="22"/>
      <c r="M2731" s="23"/>
      <c r="N2731" s="23"/>
      <c r="O2731" s="26" t="s">
        <v>5136</v>
      </c>
      <c r="P2731" s="26"/>
      <c r="Q2731" s="22"/>
      <c r="R2731" s="24"/>
      <c r="S2731" s="24"/>
      <c r="T2731" s="24"/>
      <c r="U2731" s="24"/>
      <c r="V2731" s="24"/>
      <c r="W2731" s="22" t="s">
        <v>468</v>
      </c>
      <c r="X2731" s="4" t="str">
        <f>IF(Tabela2[[#This Row],[sigla]]="","",VLOOKUP(Tabela2[[#This Row],[sigla]],créditos_base!B:C,2,0))</f>
        <v>VER DOCUMENTO DE ILS. TÉCNICAS</v>
      </c>
      <c r="Y2731" s="23"/>
      <c r="Z2731" s="23" t="s">
        <v>689</v>
      </c>
      <c r="AA2731" s="22"/>
      <c r="AB2731" s="20"/>
      <c r="AD2731" s="4" t="str">
        <f>"Pitanguá"</f>
        <v>Pitanguá</v>
      </c>
      <c r="AE2731" s="14" t="str">
        <f>"Matemática"</f>
        <v>Matemática</v>
      </c>
      <c r="AF2731" s="14"/>
    </row>
    <row r="2732" spans="1:32" x14ac:dyDescent="0.3">
      <c r="A2732" s="23" t="s">
        <v>5137</v>
      </c>
      <c r="B2732" s="20" t="s">
        <v>16</v>
      </c>
      <c r="C2732" s="20" t="s">
        <v>89</v>
      </c>
      <c r="D2732" s="20" t="s">
        <v>8</v>
      </c>
      <c r="E2732" s="22">
        <v>285</v>
      </c>
      <c r="F2732" s="22">
        <v>2</v>
      </c>
      <c r="G2732" s="27" t="s">
        <v>2617</v>
      </c>
      <c r="H2732" s="22"/>
      <c r="I2732" s="23" t="s">
        <v>9</v>
      </c>
      <c r="J2732" s="23"/>
      <c r="K2732" s="22"/>
      <c r="L2732" s="22"/>
      <c r="M2732" s="23"/>
      <c r="N2732" s="23"/>
      <c r="O2732" s="26" t="s">
        <v>5138</v>
      </c>
      <c r="P2732" s="26"/>
      <c r="Q2732" s="22"/>
      <c r="R2732" s="24"/>
      <c r="S2732" s="24"/>
      <c r="T2732" s="24"/>
      <c r="U2732" s="24"/>
      <c r="V2732" s="24"/>
      <c r="W2732" s="22" t="s">
        <v>160</v>
      </c>
      <c r="X2732" s="4" t="str">
        <f>IF(Tabela2[[#This Row],[sigla]]="","",VLOOKUP(Tabela2[[#This Row],[sigla]],créditos_base!B:C,2,0))</f>
        <v>SERGIO LIMA/ARQUIVO DA EDITORA</v>
      </c>
      <c r="Y2732" s="23"/>
      <c r="Z2732" s="23" t="str">
        <f>Tabela2[[#This Row],[ilustrador]]</f>
        <v>SERGIO LIMA/ARQUIVO DA EDITORA</v>
      </c>
      <c r="AA2732" s="22"/>
      <c r="AB2732" s="20"/>
      <c r="AD2732" s="4" t="str">
        <f>"Pitanguá"</f>
        <v>Pitanguá</v>
      </c>
      <c r="AE2732" s="14" t="str">
        <f>"Matemática"</f>
        <v>Matemática</v>
      </c>
      <c r="AF2732" s="14"/>
    </row>
    <row r="2733" spans="1:32" ht="43.2" x14ac:dyDescent="0.3">
      <c r="A2733" s="23" t="s">
        <v>5139</v>
      </c>
      <c r="B2733" s="20" t="s">
        <v>16</v>
      </c>
      <c r="C2733" s="20" t="s">
        <v>89</v>
      </c>
      <c r="D2733" s="20" t="s">
        <v>8</v>
      </c>
      <c r="E2733" s="22">
        <v>287</v>
      </c>
      <c r="F2733" s="22">
        <v>2</v>
      </c>
      <c r="G2733" s="27" t="s">
        <v>2617</v>
      </c>
      <c r="H2733" s="22"/>
      <c r="I2733" s="23" t="s">
        <v>9</v>
      </c>
      <c r="J2733" s="23"/>
      <c r="K2733" s="22"/>
      <c r="L2733" s="22"/>
      <c r="M2733" s="23"/>
      <c r="N2733" s="23"/>
      <c r="O2733" s="26" t="s">
        <v>5140</v>
      </c>
      <c r="P2733" s="26"/>
      <c r="Q2733" s="22"/>
      <c r="R2733" s="24"/>
      <c r="S2733" s="24"/>
      <c r="T2733" s="24"/>
      <c r="U2733" s="24"/>
      <c r="V2733" s="24"/>
      <c r="W2733" s="22" t="s">
        <v>160</v>
      </c>
      <c r="X2733" s="4" t="str">
        <f>IF(Tabela2[[#This Row],[sigla]]="","",VLOOKUP(Tabela2[[#This Row],[sigla]],créditos_base!B:C,2,0))</f>
        <v>SERGIO LIMA/ARQUIVO DA EDITORA</v>
      </c>
      <c r="Y2733" s="23"/>
      <c r="Z2733" s="23" t="str">
        <f>Tabela2[[#This Row],[ilustrador]]</f>
        <v>SERGIO LIMA/ARQUIVO DA EDITORA</v>
      </c>
      <c r="AA2733" s="22"/>
      <c r="AB2733" s="20"/>
      <c r="AD2733" s="4" t="str">
        <f>"Pitanguá"</f>
        <v>Pitanguá</v>
      </c>
      <c r="AE2733" s="14" t="str">
        <f>"Matemática"</f>
        <v>Matemática</v>
      </c>
      <c r="AF2733" s="14"/>
    </row>
    <row r="2734" spans="1:32" ht="115.2" x14ac:dyDescent="0.3">
      <c r="A2734" s="23" t="s">
        <v>4873</v>
      </c>
      <c r="B2734" s="20" t="s">
        <v>16</v>
      </c>
      <c r="C2734" s="20" t="s">
        <v>89</v>
      </c>
      <c r="D2734" s="20" t="s">
        <v>1229</v>
      </c>
      <c r="E2734" s="22">
        <v>64</v>
      </c>
      <c r="F2734" s="22">
        <v>1</v>
      </c>
      <c r="G2734" s="22">
        <v>2</v>
      </c>
      <c r="H2734" s="22"/>
      <c r="I2734" s="23" t="s">
        <v>9</v>
      </c>
      <c r="J2734" s="23"/>
      <c r="K2734" s="22"/>
      <c r="L2734" s="22"/>
      <c r="M2734" s="23"/>
      <c r="N2734" s="23"/>
      <c r="O2734" s="26" t="s">
        <v>4874</v>
      </c>
      <c r="P2734" s="26"/>
      <c r="Q2734" s="22"/>
      <c r="R2734" s="24"/>
      <c r="S2734" s="24"/>
      <c r="T2734" s="24"/>
      <c r="U2734" s="24"/>
      <c r="V2734" s="24"/>
      <c r="W2734" s="22" t="s">
        <v>230</v>
      </c>
      <c r="X2734" s="4" t="str">
        <f>IF(Tabela2[[#This Row],[sigla]]="","",VLOOKUP(Tabela2[[#This Row],[sigla]],créditos_base!B:C,2,0))</f>
        <v>RAFAEL L. GAION/ARQUIVO DA EDITORA</v>
      </c>
      <c r="Y2734" s="23"/>
      <c r="Z2734" s="23" t="str">
        <f>Tabela2[[#This Row],[ilustrador]]</f>
        <v>RAFAEL L. GAION/ARQUIVO DA EDITORA</v>
      </c>
      <c r="AA2734" s="22"/>
      <c r="AB2734" s="20"/>
      <c r="AD2734" s="4" t="str">
        <f>"Pitanguá"</f>
        <v>Pitanguá</v>
      </c>
      <c r="AE2734" s="14" t="str">
        <f>"Matemática"</f>
        <v>Matemática</v>
      </c>
      <c r="AF2734" s="14"/>
    </row>
    <row r="2735" spans="1:32" ht="100.8" x14ac:dyDescent="0.3">
      <c r="A2735" s="23" t="s">
        <v>5282</v>
      </c>
      <c r="B2735" s="20" t="s">
        <v>16</v>
      </c>
      <c r="C2735" s="20" t="s">
        <v>89</v>
      </c>
      <c r="D2735" s="20" t="s">
        <v>1229</v>
      </c>
      <c r="E2735" s="22">
        <v>70</v>
      </c>
      <c r="F2735" s="22">
        <v>2</v>
      </c>
      <c r="G2735" s="22">
        <v>2</v>
      </c>
      <c r="H2735" s="22"/>
      <c r="I2735" s="23" t="s">
        <v>33</v>
      </c>
      <c r="J2735" s="23"/>
      <c r="K2735" s="22"/>
      <c r="L2735" s="22"/>
      <c r="M2735" s="23"/>
      <c r="N2735" s="23"/>
      <c r="O2735" s="26" t="s">
        <v>5283</v>
      </c>
      <c r="P2735" s="26"/>
      <c r="Q2735" s="22">
        <v>115</v>
      </c>
      <c r="R2735" s="24">
        <v>45857</v>
      </c>
      <c r="S2735" s="24">
        <v>45859</v>
      </c>
      <c r="T2735" s="24"/>
      <c r="U2735" s="24"/>
      <c r="V2735" s="24">
        <v>45860</v>
      </c>
      <c r="W2735" s="22" t="s">
        <v>230</v>
      </c>
      <c r="X2735" s="4" t="str">
        <f>IF(Tabela2[[#This Row],[sigla]]="","",VLOOKUP(Tabela2[[#This Row],[sigla]],créditos_base!B:C,2,0))</f>
        <v>RAFAEL L. GAION/ARQUIVO DA EDITORA</v>
      </c>
      <c r="Y2735" s="23" t="s">
        <v>243</v>
      </c>
      <c r="Z2735" s="23" t="str">
        <f>Tabela2[[#This Row],[ilustrador]]</f>
        <v>RAFAEL L. GAION/ARQUIVO DA EDITORA</v>
      </c>
      <c r="AA2735" s="22">
        <v>13</v>
      </c>
      <c r="AB2735" s="20" t="s">
        <v>244</v>
      </c>
      <c r="AC2735" s="20" t="s">
        <v>36</v>
      </c>
      <c r="AD2735" s="4" t="str">
        <f>"Pitanguá"</f>
        <v>Pitanguá</v>
      </c>
      <c r="AE2735" s="14" t="str">
        <f>"Matemática"</f>
        <v>Matemática</v>
      </c>
      <c r="AF2735" s="14"/>
    </row>
    <row r="2736" spans="1:32" ht="43.2" x14ac:dyDescent="0.3">
      <c r="A2736" s="23" t="s">
        <v>5731</v>
      </c>
      <c r="B2736" s="20" t="s">
        <v>16</v>
      </c>
      <c r="C2736" s="20" t="s">
        <v>89</v>
      </c>
      <c r="D2736" s="20" t="s">
        <v>1229</v>
      </c>
      <c r="E2736" s="22">
        <v>69</v>
      </c>
      <c r="F2736" s="22">
        <v>3</v>
      </c>
      <c r="G2736" s="22">
        <v>2</v>
      </c>
      <c r="H2736" s="22"/>
      <c r="I2736" s="23" t="s">
        <v>90</v>
      </c>
      <c r="J2736" s="23"/>
      <c r="K2736" s="22"/>
      <c r="L2736" s="22"/>
      <c r="M2736" s="23"/>
      <c r="N2736" s="23"/>
      <c r="O2736" s="26" t="s">
        <v>5732</v>
      </c>
      <c r="P2736" s="26"/>
      <c r="Q2736" s="22">
        <v>142</v>
      </c>
      <c r="R2736" s="24">
        <v>45869</v>
      </c>
      <c r="S2736" s="24">
        <v>45870</v>
      </c>
      <c r="T2736" s="24"/>
      <c r="U2736" s="24"/>
      <c r="V2736" s="24">
        <v>45870</v>
      </c>
      <c r="W2736" s="22" t="s">
        <v>2675</v>
      </c>
      <c r="X2736" s="4" t="str">
        <f>IF(Tabela2[[#This Row],[sigla]]="","",VLOOKUP(Tabela2[[#This Row],[sigla]],créditos_base!B:C,2,0))</f>
        <v>INGRIDHI BORGES/ARQUIVO DA EDITORA</v>
      </c>
      <c r="Y2736" s="23" t="s">
        <v>243</v>
      </c>
      <c r="Z2736" s="23" t="str">
        <f>Tabela2[[#This Row],[ilustrador]]</f>
        <v>INGRIDHI BORGES/ARQUIVO DA EDITORA</v>
      </c>
      <c r="AA2736" s="22">
        <v>8</v>
      </c>
      <c r="AB2736" s="20" t="s">
        <v>2058</v>
      </c>
      <c r="AC2736" s="20" t="s">
        <v>36</v>
      </c>
      <c r="AD2736" s="4" t="str">
        <f>"Pitanguá"</f>
        <v>Pitanguá</v>
      </c>
      <c r="AE2736" s="14" t="str">
        <f>"Matemática"</f>
        <v>Matemática</v>
      </c>
      <c r="AF2736" s="14"/>
    </row>
    <row r="2737" spans="1:32" ht="100.8" x14ac:dyDescent="0.3">
      <c r="A2737" s="23" t="s">
        <v>5876</v>
      </c>
      <c r="B2737" s="20" t="s">
        <v>16</v>
      </c>
      <c r="C2737" s="20" t="s">
        <v>7</v>
      </c>
      <c r="D2737" s="20" t="s">
        <v>1229</v>
      </c>
      <c r="E2737" s="22">
        <v>90</v>
      </c>
      <c r="F2737" s="22">
        <v>4</v>
      </c>
      <c r="G2737" s="22">
        <v>4</v>
      </c>
      <c r="H2737" s="22"/>
      <c r="I2737" s="23" t="s">
        <v>90</v>
      </c>
      <c r="J2737" s="23"/>
      <c r="K2737" s="22"/>
      <c r="L2737" s="22"/>
      <c r="M2737" s="23"/>
      <c r="N2737" s="23"/>
      <c r="O2737" s="26" t="s">
        <v>5877</v>
      </c>
      <c r="P2737" s="26"/>
      <c r="Q2737" s="22">
        <v>157</v>
      </c>
      <c r="R2737" s="24">
        <v>45887</v>
      </c>
      <c r="S2737" s="24">
        <v>45888</v>
      </c>
      <c r="T2737" s="24"/>
      <c r="U2737" s="24"/>
      <c r="V2737" s="24">
        <v>45888</v>
      </c>
      <c r="W2737" s="22" t="s">
        <v>5046</v>
      </c>
      <c r="X2737" s="4" t="str">
        <f>IF(Tabela2[[#This Row],[sigla]]="","",VLOOKUP(Tabela2[[#This Row],[sigla]],créditos_base!B:C,2,0))</f>
        <v>MARYANE VIOTO SILVA/ARQUIVO DA EDITORA</v>
      </c>
      <c r="Y2737" s="23"/>
      <c r="Z2737" s="23" t="str">
        <f>Tabela2[[#This Row],[ilustrador]]</f>
        <v>MARYANE VIOTO SILVA/ARQUIVO DA EDITORA</v>
      </c>
      <c r="AA2737" s="22">
        <v>8</v>
      </c>
      <c r="AB2737" s="20" t="s">
        <v>2058</v>
      </c>
      <c r="AC2737" s="20" t="s">
        <v>36</v>
      </c>
      <c r="AD2737" s="4" t="str">
        <f>"Pitanguá"</f>
        <v>Pitanguá</v>
      </c>
      <c r="AE2737" s="14" t="str">
        <f>"Matemática"</f>
        <v>Matemática</v>
      </c>
      <c r="AF2737" s="14"/>
    </row>
    <row r="2738" spans="1:32" ht="28.8" x14ac:dyDescent="0.3">
      <c r="A2738" s="23" t="s">
        <v>5284</v>
      </c>
      <c r="B2738" s="20" t="s">
        <v>16</v>
      </c>
      <c r="C2738" s="20" t="s">
        <v>89</v>
      </c>
      <c r="D2738" s="20" t="s">
        <v>1229</v>
      </c>
      <c r="E2738" s="22">
        <v>71</v>
      </c>
      <c r="F2738" s="22">
        <v>2</v>
      </c>
      <c r="G2738" s="22">
        <v>2</v>
      </c>
      <c r="H2738" s="22"/>
      <c r="I2738" s="23" t="s">
        <v>33</v>
      </c>
      <c r="J2738" s="23"/>
      <c r="K2738" s="22"/>
      <c r="L2738" s="22"/>
      <c r="M2738" s="23"/>
      <c r="N2738" s="23"/>
      <c r="O2738" s="26" t="s">
        <v>5285</v>
      </c>
      <c r="P2738" s="26"/>
      <c r="Q2738" s="22">
        <v>115</v>
      </c>
      <c r="R2738" s="24">
        <v>45857</v>
      </c>
      <c r="S2738" s="24">
        <v>45859</v>
      </c>
      <c r="T2738" s="24"/>
      <c r="U2738" s="24"/>
      <c r="V2738" s="24">
        <v>45860</v>
      </c>
      <c r="W2738" s="22" t="s">
        <v>160</v>
      </c>
      <c r="X2738" s="4" t="str">
        <f>IF(Tabela2[[#This Row],[sigla]]="","",VLOOKUP(Tabela2[[#This Row],[sigla]],créditos_base!B:C,2,0))</f>
        <v>SERGIO LIMA/ARQUIVO DA EDITORA</v>
      </c>
      <c r="Y2738" s="23" t="s">
        <v>243</v>
      </c>
      <c r="Z2738" s="23" t="str">
        <f>Tabela2[[#This Row],[ilustrador]]</f>
        <v>SERGIO LIMA/ARQUIVO DA EDITORA</v>
      </c>
      <c r="AA2738" s="22">
        <v>13</v>
      </c>
      <c r="AB2738" s="20" t="s">
        <v>244</v>
      </c>
      <c r="AC2738" s="20" t="s">
        <v>36</v>
      </c>
      <c r="AD2738" s="4" t="str">
        <f>"Pitanguá"</f>
        <v>Pitanguá</v>
      </c>
      <c r="AE2738" s="14" t="str">
        <f>"Matemática"</f>
        <v>Matemática</v>
      </c>
      <c r="AF2738" s="14"/>
    </row>
    <row r="2739" spans="1:32" ht="57.6" x14ac:dyDescent="0.3">
      <c r="A2739" s="23" t="s">
        <v>5733</v>
      </c>
      <c r="B2739" s="20" t="s">
        <v>16</v>
      </c>
      <c r="C2739" s="20" t="s">
        <v>89</v>
      </c>
      <c r="D2739" s="20" t="s">
        <v>1229</v>
      </c>
      <c r="E2739" s="22">
        <v>69</v>
      </c>
      <c r="F2739" s="22">
        <v>3</v>
      </c>
      <c r="G2739" s="22">
        <v>2</v>
      </c>
      <c r="H2739" s="22"/>
      <c r="I2739" s="23" t="s">
        <v>90</v>
      </c>
      <c r="J2739" s="23"/>
      <c r="K2739" s="22"/>
      <c r="L2739" s="22"/>
      <c r="M2739" s="23"/>
      <c r="N2739" s="23"/>
      <c r="O2739" s="26" t="s">
        <v>5734</v>
      </c>
      <c r="P2739" s="26"/>
      <c r="Q2739" s="22">
        <v>142</v>
      </c>
      <c r="R2739" s="24">
        <v>45869</v>
      </c>
      <c r="S2739" s="24">
        <v>45870</v>
      </c>
      <c r="T2739" s="24"/>
      <c r="U2739" s="24"/>
      <c r="V2739" s="24">
        <v>45870</v>
      </c>
      <c r="W2739" s="22" t="s">
        <v>2675</v>
      </c>
      <c r="X2739" s="4" t="str">
        <f>IF(Tabela2[[#This Row],[sigla]]="","",VLOOKUP(Tabela2[[#This Row],[sigla]],créditos_base!B:C,2,0))</f>
        <v>INGRIDHI BORGES/ARQUIVO DA EDITORA</v>
      </c>
      <c r="Y2739" s="23" t="s">
        <v>243</v>
      </c>
      <c r="Z2739" s="23" t="str">
        <f>Tabela2[[#This Row],[ilustrador]]</f>
        <v>INGRIDHI BORGES/ARQUIVO DA EDITORA</v>
      </c>
      <c r="AA2739" s="22">
        <v>8</v>
      </c>
      <c r="AB2739" s="20" t="s">
        <v>2058</v>
      </c>
      <c r="AC2739" s="20" t="s">
        <v>36</v>
      </c>
      <c r="AD2739" s="4" t="str">
        <f>"Pitanguá"</f>
        <v>Pitanguá</v>
      </c>
      <c r="AE2739" s="14" t="str">
        <f>"Matemática"</f>
        <v>Matemática</v>
      </c>
      <c r="AF2739" s="14"/>
    </row>
    <row r="2740" spans="1:32" ht="43.2" x14ac:dyDescent="0.3">
      <c r="A2740" s="23" t="s">
        <v>5878</v>
      </c>
      <c r="B2740" s="20" t="s">
        <v>16</v>
      </c>
      <c r="C2740" s="20" t="s">
        <v>7</v>
      </c>
      <c r="D2740" s="20" t="s">
        <v>1229</v>
      </c>
      <c r="E2740" s="22">
        <v>105</v>
      </c>
      <c r="F2740" s="22">
        <v>4</v>
      </c>
      <c r="G2740" s="22">
        <v>4</v>
      </c>
      <c r="H2740" s="22"/>
      <c r="I2740" s="23" t="s">
        <v>33</v>
      </c>
      <c r="J2740" s="23"/>
      <c r="K2740" s="22"/>
      <c r="L2740" s="22"/>
      <c r="M2740" s="23"/>
      <c r="N2740" s="23"/>
      <c r="O2740" s="26" t="s">
        <v>5879</v>
      </c>
      <c r="P2740" s="26"/>
      <c r="Q2740" s="22">
        <v>157</v>
      </c>
      <c r="R2740" s="24">
        <v>45887</v>
      </c>
      <c r="S2740" s="24">
        <v>45888</v>
      </c>
      <c r="T2740" s="24"/>
      <c r="U2740" s="24"/>
      <c r="V2740" s="24">
        <v>45888</v>
      </c>
      <c r="W2740" s="22" t="s">
        <v>940</v>
      </c>
      <c r="X2740" s="4" t="str">
        <f>IF(Tabela2[[#This Row],[sigla]]="","",VLOOKUP(Tabela2[[#This Row],[sigla]],créditos_base!B:C,2,0))</f>
        <v>RONALDO LUCENA/ARQUIVO DA EDITORA</v>
      </c>
      <c r="Y2740" s="23" t="s">
        <v>433</v>
      </c>
      <c r="Z2740" s="23" t="str">
        <f>Tabela2[[#This Row],[ilustrador]]</f>
        <v>RONALDO LUCENA/ARQUIVO DA EDITORA</v>
      </c>
      <c r="AA2740" s="22">
        <v>14</v>
      </c>
      <c r="AB2740" s="20" t="s">
        <v>153</v>
      </c>
      <c r="AC2740" s="20" t="s">
        <v>36</v>
      </c>
      <c r="AD2740" s="4" t="str">
        <f>"Pitanguá"</f>
        <v>Pitanguá</v>
      </c>
      <c r="AE2740" s="14" t="str">
        <f>"Matemática"</f>
        <v>Matemática</v>
      </c>
      <c r="AF2740" s="14"/>
    </row>
    <row r="2741" spans="1:32" ht="43.2" x14ac:dyDescent="0.3">
      <c r="A2741" s="23" t="s">
        <v>5932</v>
      </c>
      <c r="B2741" s="20" t="s">
        <v>16</v>
      </c>
      <c r="C2741" s="20" t="s">
        <v>89</v>
      </c>
      <c r="D2741" s="20" t="s">
        <v>1229</v>
      </c>
      <c r="E2741" s="22"/>
      <c r="F2741" s="22">
        <v>5</v>
      </c>
      <c r="G2741" s="22">
        <v>1</v>
      </c>
      <c r="H2741" s="22"/>
      <c r="I2741" s="23" t="s">
        <v>9</v>
      </c>
      <c r="J2741" s="23"/>
      <c r="K2741" s="22"/>
      <c r="L2741" s="22"/>
      <c r="M2741" s="23"/>
      <c r="N2741" s="23"/>
      <c r="O2741" s="26" t="s">
        <v>5933</v>
      </c>
      <c r="P2741" s="26"/>
      <c r="Q2741" s="22"/>
      <c r="R2741" s="24"/>
      <c r="S2741" s="24"/>
      <c r="T2741" s="24"/>
      <c r="U2741" s="24"/>
      <c r="V2741" s="24"/>
      <c r="W2741" s="22" t="s">
        <v>230</v>
      </c>
      <c r="X2741" s="4" t="str">
        <f>IF(Tabela2[[#This Row],[sigla]]="","",VLOOKUP(Tabela2[[#This Row],[sigla]],créditos_base!B:C,2,0))</f>
        <v>RAFAEL L. GAION/ARQUIVO DA EDITORA</v>
      </c>
      <c r="Y2741" s="23"/>
      <c r="Z2741" s="23" t="str">
        <f>Tabela2[[#This Row],[ilustrador]]</f>
        <v>RAFAEL L. GAION/ARQUIVO DA EDITORA</v>
      </c>
      <c r="AA2741" s="22"/>
      <c r="AB2741" s="20"/>
      <c r="AD2741" s="4" t="str">
        <f>"Pitanguá"</f>
        <v>Pitanguá</v>
      </c>
      <c r="AE2741" s="14" t="str">
        <f>"Matemática"</f>
        <v>Matemática</v>
      </c>
      <c r="AF2741" s="14"/>
    </row>
    <row r="2742" spans="1:32" ht="57.6" x14ac:dyDescent="0.3">
      <c r="A2742" s="23" t="s">
        <v>5596</v>
      </c>
      <c r="B2742" s="20" t="s">
        <v>16</v>
      </c>
      <c r="C2742" s="20" t="s">
        <v>89</v>
      </c>
      <c r="D2742" s="20" t="s">
        <v>1229</v>
      </c>
      <c r="E2742" s="22">
        <v>218</v>
      </c>
      <c r="F2742" s="22">
        <v>2</v>
      </c>
      <c r="G2742" s="22">
        <v>9</v>
      </c>
      <c r="H2742" s="22"/>
      <c r="I2742" s="23" t="s">
        <v>33</v>
      </c>
      <c r="J2742" s="23"/>
      <c r="K2742" s="22"/>
      <c r="L2742" s="22"/>
      <c r="M2742" s="23"/>
      <c r="N2742" s="23"/>
      <c r="O2742" s="26" t="s">
        <v>5597</v>
      </c>
      <c r="P2742" s="26"/>
      <c r="Q2742" s="22">
        <v>132</v>
      </c>
      <c r="R2742" s="24">
        <v>45864</v>
      </c>
      <c r="S2742" s="24">
        <v>45866</v>
      </c>
      <c r="T2742" s="24"/>
      <c r="U2742" s="24"/>
      <c r="V2742" s="24">
        <v>45866</v>
      </c>
      <c r="W2742" s="22" t="s">
        <v>160</v>
      </c>
      <c r="X2742" s="4" t="str">
        <f>IF(Tabela2[[#This Row],[sigla]]="","",VLOOKUP(Tabela2[[#This Row],[sigla]],créditos_base!B:C,2,0))</f>
        <v>SERGIO LIMA/ARQUIVO DA EDITORA</v>
      </c>
      <c r="Y2742" s="23" t="s">
        <v>2951</v>
      </c>
      <c r="Z2742" s="23" t="str">
        <f>Tabela2[[#This Row],[ilustrador]]</f>
        <v>SERGIO LIMA/ARQUIVO DA EDITORA</v>
      </c>
      <c r="AA2742" s="22">
        <v>14</v>
      </c>
      <c r="AB2742" s="20" t="s">
        <v>1500</v>
      </c>
      <c r="AC2742" s="20" t="s">
        <v>36</v>
      </c>
      <c r="AD2742" s="4" t="str">
        <f>"Pitanguá"</f>
        <v>Pitanguá</v>
      </c>
      <c r="AE2742" s="14" t="str">
        <f>"Matemática"</f>
        <v>Matemática</v>
      </c>
      <c r="AF2742" s="14"/>
    </row>
    <row r="2743" spans="1:32" ht="115.2" x14ac:dyDescent="0.3">
      <c r="A2743" s="23" t="s">
        <v>5735</v>
      </c>
      <c r="B2743" s="20" t="s">
        <v>16</v>
      </c>
      <c r="C2743" s="20" t="s">
        <v>89</v>
      </c>
      <c r="D2743" s="20" t="s">
        <v>1229</v>
      </c>
      <c r="E2743" s="22">
        <v>69</v>
      </c>
      <c r="F2743" s="22">
        <v>3</v>
      </c>
      <c r="G2743" s="22">
        <v>2</v>
      </c>
      <c r="H2743" s="22"/>
      <c r="I2743" s="23" t="s">
        <v>90</v>
      </c>
      <c r="J2743" s="23"/>
      <c r="K2743" s="22"/>
      <c r="L2743" s="22"/>
      <c r="M2743" s="23"/>
      <c r="N2743" s="23"/>
      <c r="O2743" s="26" t="s">
        <v>5736</v>
      </c>
      <c r="P2743" s="26"/>
      <c r="Q2743" s="22">
        <v>142</v>
      </c>
      <c r="R2743" s="24">
        <v>45869</v>
      </c>
      <c r="S2743" s="24">
        <v>45870</v>
      </c>
      <c r="T2743" s="24"/>
      <c r="U2743" s="24"/>
      <c r="V2743" s="24">
        <v>45870</v>
      </c>
      <c r="W2743" s="22" t="s">
        <v>2675</v>
      </c>
      <c r="X2743" s="4" t="str">
        <f>IF(Tabela2[[#This Row],[sigla]]="","",VLOOKUP(Tabela2[[#This Row],[sigla]],créditos_base!B:C,2,0))</f>
        <v>INGRIDHI BORGES/ARQUIVO DA EDITORA</v>
      </c>
      <c r="Y2743" s="23" t="s">
        <v>243</v>
      </c>
      <c r="Z2743" s="23" t="str">
        <f>Tabela2[[#This Row],[ilustrador]]</f>
        <v>INGRIDHI BORGES/ARQUIVO DA EDITORA</v>
      </c>
      <c r="AA2743" s="22">
        <v>8</v>
      </c>
      <c r="AB2743" s="20" t="s">
        <v>2058</v>
      </c>
      <c r="AC2743" s="20" t="s">
        <v>36</v>
      </c>
      <c r="AD2743" s="4" t="str">
        <f>"Pitanguá"</f>
        <v>Pitanguá</v>
      </c>
      <c r="AE2743" s="14" t="str">
        <f>"Matemática"</f>
        <v>Matemática</v>
      </c>
      <c r="AF2743" s="14"/>
    </row>
    <row r="2744" spans="1:32" ht="43.2" x14ac:dyDescent="0.3">
      <c r="A2744" s="23" t="s">
        <v>5880</v>
      </c>
      <c r="B2744" s="20" t="s">
        <v>16</v>
      </c>
      <c r="C2744" s="20" t="s">
        <v>7</v>
      </c>
      <c r="D2744" s="20" t="s">
        <v>1229</v>
      </c>
      <c r="E2744" s="22">
        <v>106</v>
      </c>
      <c r="F2744" s="22">
        <v>4</v>
      </c>
      <c r="G2744" s="22">
        <v>4</v>
      </c>
      <c r="H2744" s="22"/>
      <c r="I2744" s="23" t="s">
        <v>33</v>
      </c>
      <c r="J2744" s="23"/>
      <c r="K2744" s="22"/>
      <c r="L2744" s="22"/>
      <c r="M2744" s="23"/>
      <c r="N2744" s="23"/>
      <c r="O2744" s="26" t="s">
        <v>5881</v>
      </c>
      <c r="P2744" s="26"/>
      <c r="Q2744" s="22">
        <v>157</v>
      </c>
      <c r="R2744" s="24">
        <v>45887</v>
      </c>
      <c r="S2744" s="24">
        <v>45888</v>
      </c>
      <c r="T2744" s="24"/>
      <c r="U2744" s="24"/>
      <c r="V2744" s="24">
        <v>45888</v>
      </c>
      <c r="W2744" s="22" t="s">
        <v>160</v>
      </c>
      <c r="X2744" s="4" t="str">
        <f>IF(Tabela2[[#This Row],[sigla]]="","",VLOOKUP(Tabela2[[#This Row],[sigla]],créditos_base!B:C,2,0))</f>
        <v>SERGIO LIMA/ARQUIVO DA EDITORA</v>
      </c>
      <c r="Y2744" s="23" t="s">
        <v>433</v>
      </c>
      <c r="Z2744" s="23" t="str">
        <f>Tabela2[[#This Row],[ilustrador]]</f>
        <v>SERGIO LIMA/ARQUIVO DA EDITORA</v>
      </c>
      <c r="AA2744" s="22">
        <v>14</v>
      </c>
      <c r="AB2744" s="20" t="s">
        <v>153</v>
      </c>
      <c r="AC2744" s="20" t="s">
        <v>36</v>
      </c>
      <c r="AD2744" s="4" t="str">
        <f>"Pitanguá"</f>
        <v>Pitanguá</v>
      </c>
      <c r="AE2744" s="14" t="str">
        <f>"Matemática"</f>
        <v>Matemática</v>
      </c>
      <c r="AF2744" s="14"/>
    </row>
    <row r="2745" spans="1:32" ht="57.6" x14ac:dyDescent="0.3">
      <c r="A2745" s="23" t="s">
        <v>5934</v>
      </c>
      <c r="B2745" s="20" t="s">
        <v>16</v>
      </c>
      <c r="C2745" s="20" t="s">
        <v>89</v>
      </c>
      <c r="D2745" s="20" t="s">
        <v>1229</v>
      </c>
      <c r="E2745" s="22"/>
      <c r="F2745" s="22">
        <v>5</v>
      </c>
      <c r="G2745" s="22">
        <v>1</v>
      </c>
      <c r="H2745" s="22"/>
      <c r="I2745" s="23" t="s">
        <v>9</v>
      </c>
      <c r="J2745" s="23"/>
      <c r="K2745" s="22"/>
      <c r="L2745" s="22"/>
      <c r="M2745" s="23"/>
      <c r="N2745" s="23"/>
      <c r="O2745" s="26" t="s">
        <v>5935</v>
      </c>
      <c r="P2745" s="26"/>
      <c r="Q2745" s="22"/>
      <c r="R2745" s="24"/>
      <c r="S2745" s="24"/>
      <c r="T2745" s="24"/>
      <c r="U2745" s="24"/>
      <c r="V2745" s="24"/>
      <c r="W2745" s="22" t="s">
        <v>230</v>
      </c>
      <c r="X2745" s="4" t="str">
        <f>IF(Tabela2[[#This Row],[sigla]]="","",VLOOKUP(Tabela2[[#This Row],[sigla]],créditos_base!B:C,2,0))</f>
        <v>RAFAEL L. GAION/ARQUIVO DA EDITORA</v>
      </c>
      <c r="Y2745" s="23"/>
      <c r="Z2745" s="23" t="str">
        <f>Tabela2[[#This Row],[ilustrador]]</f>
        <v>RAFAEL L. GAION/ARQUIVO DA EDITORA</v>
      </c>
      <c r="AA2745" s="22"/>
      <c r="AB2745" s="20"/>
      <c r="AD2745" s="4" t="str">
        <f>"Pitanguá"</f>
        <v>Pitanguá</v>
      </c>
      <c r="AE2745" s="14" t="str">
        <f>"Matemática"</f>
        <v>Matemática</v>
      </c>
      <c r="AF2745" s="14"/>
    </row>
    <row r="2746" spans="1:32" ht="43.2" x14ac:dyDescent="0.3">
      <c r="A2746" s="23" t="s">
        <v>5073</v>
      </c>
      <c r="B2746" s="20" t="s">
        <v>16</v>
      </c>
      <c r="C2746" s="20" t="s">
        <v>89</v>
      </c>
      <c r="D2746" s="20" t="s">
        <v>1229</v>
      </c>
      <c r="E2746" s="22">
        <v>158</v>
      </c>
      <c r="F2746" s="22">
        <v>1</v>
      </c>
      <c r="G2746" s="27">
        <v>6</v>
      </c>
      <c r="H2746" s="22"/>
      <c r="I2746" s="23" t="s">
        <v>9</v>
      </c>
      <c r="J2746" s="23"/>
      <c r="K2746" s="22"/>
      <c r="L2746" s="22"/>
      <c r="M2746" s="23"/>
      <c r="N2746" s="23"/>
      <c r="O2746" s="26" t="s">
        <v>5074</v>
      </c>
      <c r="P2746" s="26"/>
      <c r="Q2746" s="22"/>
      <c r="R2746" s="24"/>
      <c r="S2746" s="24"/>
      <c r="T2746" s="24"/>
      <c r="U2746" s="24"/>
      <c r="V2746" s="24"/>
      <c r="W2746" s="22" t="s">
        <v>160</v>
      </c>
      <c r="X2746" s="4" t="str">
        <f>IF(Tabela2[[#This Row],[sigla]]="","",VLOOKUP(Tabela2[[#This Row],[sigla]],créditos_base!B:C,2,0))</f>
        <v>SERGIO LIMA/ARQUIVO DA EDITORA</v>
      </c>
      <c r="Y2746" s="23"/>
      <c r="Z2746" s="23" t="str">
        <f>Tabela2[[#This Row],[ilustrador]]</f>
        <v>SERGIO LIMA/ARQUIVO DA EDITORA</v>
      </c>
      <c r="AA2746" s="22"/>
      <c r="AB2746" s="20"/>
      <c r="AD2746" s="4" t="str">
        <f>"Pitanguá"</f>
        <v>Pitanguá</v>
      </c>
      <c r="AE2746" s="14" t="str">
        <f>"Matemática"</f>
        <v>Matemática</v>
      </c>
      <c r="AF2746" s="14"/>
    </row>
    <row r="2747" spans="1:32" x14ac:dyDescent="0.3">
      <c r="A2747" s="23" t="s">
        <v>5598</v>
      </c>
      <c r="B2747" s="20" t="s">
        <v>16</v>
      </c>
      <c r="C2747" s="20" t="s">
        <v>89</v>
      </c>
      <c r="D2747" s="20" t="s">
        <v>1229</v>
      </c>
      <c r="E2747" s="22">
        <v>220</v>
      </c>
      <c r="F2747" s="22">
        <v>2</v>
      </c>
      <c r="G2747" s="22">
        <v>9</v>
      </c>
      <c r="H2747" s="22"/>
      <c r="I2747" s="23" t="s">
        <v>33</v>
      </c>
      <c r="J2747" s="23"/>
      <c r="K2747" s="22"/>
      <c r="L2747" s="22"/>
      <c r="M2747" s="23"/>
      <c r="N2747" s="23"/>
      <c r="O2747" s="26" t="s">
        <v>5599</v>
      </c>
      <c r="P2747" s="26"/>
      <c r="Q2747" s="22">
        <v>132</v>
      </c>
      <c r="R2747" s="24">
        <v>45864</v>
      </c>
      <c r="S2747" s="24">
        <v>45866</v>
      </c>
      <c r="T2747" s="24"/>
      <c r="U2747" s="24"/>
      <c r="V2747" s="24">
        <v>45866</v>
      </c>
      <c r="W2747" s="22" t="s">
        <v>940</v>
      </c>
      <c r="X2747" s="4" t="str">
        <f>IF(Tabela2[[#This Row],[sigla]]="","",VLOOKUP(Tabela2[[#This Row],[sigla]],créditos_base!B:C,2,0))</f>
        <v>RONALDO LUCENA/ARQUIVO DA EDITORA</v>
      </c>
      <c r="Y2747" s="23" t="s">
        <v>2951</v>
      </c>
      <c r="Z2747" s="23" t="str">
        <f>Tabela2[[#This Row],[ilustrador]]</f>
        <v>RONALDO LUCENA/ARQUIVO DA EDITORA</v>
      </c>
      <c r="AA2747" s="22">
        <v>14</v>
      </c>
      <c r="AB2747" s="20" t="s">
        <v>1500</v>
      </c>
      <c r="AC2747" s="20" t="s">
        <v>36</v>
      </c>
      <c r="AD2747" s="4" t="str">
        <f>"Pitanguá"</f>
        <v>Pitanguá</v>
      </c>
      <c r="AE2747" s="14" t="str">
        <f>"Matemática"</f>
        <v>Matemática</v>
      </c>
      <c r="AF2747" s="14"/>
    </row>
    <row r="2748" spans="1:32" x14ac:dyDescent="0.3">
      <c r="A2748" s="23" t="s">
        <v>5775</v>
      </c>
      <c r="B2748" s="20" t="s">
        <v>16</v>
      </c>
      <c r="C2748" s="20" t="s">
        <v>89</v>
      </c>
      <c r="D2748" s="20" t="s">
        <v>1229</v>
      </c>
      <c r="E2748" s="22">
        <v>56</v>
      </c>
      <c r="F2748" s="22">
        <v>3</v>
      </c>
      <c r="G2748" s="22">
        <v>1</v>
      </c>
      <c r="H2748" s="22"/>
      <c r="I2748" s="23" t="s">
        <v>90</v>
      </c>
      <c r="J2748" s="23"/>
      <c r="K2748" s="22"/>
      <c r="L2748" s="22"/>
      <c r="M2748" s="23"/>
      <c r="N2748" s="23"/>
      <c r="O2748" s="26" t="s">
        <v>5776</v>
      </c>
      <c r="P2748" s="26"/>
      <c r="Q2748" s="22">
        <v>143</v>
      </c>
      <c r="R2748" s="24">
        <v>45876</v>
      </c>
      <c r="S2748" s="24">
        <v>45880</v>
      </c>
      <c r="T2748" s="24"/>
      <c r="U2748" s="24"/>
      <c r="V2748" s="24">
        <v>45880</v>
      </c>
      <c r="W2748" s="22" t="s">
        <v>5046</v>
      </c>
      <c r="X2748" s="4" t="str">
        <f>IF(Tabela2[[#This Row],[sigla]]="","",VLOOKUP(Tabela2[[#This Row],[sigla]],créditos_base!B:C,2,0))</f>
        <v>MARYANE VIOTO SILVA/ARQUIVO DA EDITORA</v>
      </c>
      <c r="Y2748" s="23"/>
      <c r="Z2748" s="23" t="str">
        <f>Tabela2[[#This Row],[ilustrador]]</f>
        <v>MARYANE VIOTO SILVA/ARQUIVO DA EDITORA</v>
      </c>
      <c r="AA2748" s="22">
        <v>8</v>
      </c>
      <c r="AB2748" s="20" t="s">
        <v>2058</v>
      </c>
      <c r="AC2748" s="20" t="s">
        <v>36</v>
      </c>
      <c r="AD2748" s="4" t="str">
        <f>"Pitanguá"</f>
        <v>Pitanguá</v>
      </c>
      <c r="AE2748" s="14" t="str">
        <f>"Matemática"</f>
        <v>Matemática</v>
      </c>
      <c r="AF2748" s="14"/>
    </row>
    <row r="2749" spans="1:32" x14ac:dyDescent="0.3">
      <c r="A2749" s="23" t="s">
        <v>5886</v>
      </c>
      <c r="B2749" s="20" t="s">
        <v>16</v>
      </c>
      <c r="C2749" s="20" t="s">
        <v>89</v>
      </c>
      <c r="D2749" s="20" t="s">
        <v>1229</v>
      </c>
      <c r="E2749" s="22">
        <v>174</v>
      </c>
      <c r="F2749" s="22">
        <v>4</v>
      </c>
      <c r="G2749" s="22">
        <v>6</v>
      </c>
      <c r="H2749" s="22"/>
      <c r="I2749" s="23" t="s">
        <v>9</v>
      </c>
      <c r="J2749" s="23"/>
      <c r="K2749" s="22"/>
      <c r="L2749" s="22"/>
      <c r="M2749" s="23"/>
      <c r="N2749" s="23"/>
      <c r="O2749" s="26" t="s">
        <v>5887</v>
      </c>
      <c r="P2749" s="26"/>
      <c r="Q2749" s="22"/>
      <c r="R2749" s="24"/>
      <c r="S2749" s="24"/>
      <c r="T2749" s="24"/>
      <c r="U2749" s="24"/>
      <c r="V2749" s="24"/>
      <c r="W2749" s="22" t="s">
        <v>940</v>
      </c>
      <c r="X2749" s="4" t="str">
        <f>IF(Tabela2[[#This Row],[sigla]]="","",VLOOKUP(Tabela2[[#This Row],[sigla]],créditos_base!B:C,2,0))</f>
        <v>RONALDO LUCENA/ARQUIVO DA EDITORA</v>
      </c>
      <c r="Y2749" s="23"/>
      <c r="Z2749" s="23" t="str">
        <f>Tabela2[[#This Row],[ilustrador]]</f>
        <v>RONALDO LUCENA/ARQUIVO DA EDITORA</v>
      </c>
      <c r="AA2749" s="22"/>
      <c r="AB2749" s="20"/>
      <c r="AD2749" s="4" t="str">
        <f>"Pitanguá"</f>
        <v>Pitanguá</v>
      </c>
      <c r="AE2749" s="14" t="str">
        <f>"Matemática"</f>
        <v>Matemática</v>
      </c>
      <c r="AF2749" s="14"/>
    </row>
    <row r="2750" spans="1:32" ht="28.8" x14ac:dyDescent="0.3">
      <c r="A2750" s="23" t="s">
        <v>5936</v>
      </c>
      <c r="B2750" s="20" t="s">
        <v>16</v>
      </c>
      <c r="C2750" s="20" t="s">
        <v>89</v>
      </c>
      <c r="D2750" s="20" t="s">
        <v>1229</v>
      </c>
      <c r="E2750" s="22"/>
      <c r="F2750" s="22">
        <v>5</v>
      </c>
      <c r="G2750" s="22">
        <v>1</v>
      </c>
      <c r="H2750" s="22"/>
      <c r="I2750" s="23" t="s">
        <v>9</v>
      </c>
      <c r="J2750" s="23"/>
      <c r="K2750" s="22"/>
      <c r="L2750" s="22"/>
      <c r="M2750" s="23"/>
      <c r="N2750" s="23"/>
      <c r="O2750" s="26" t="s">
        <v>5937</v>
      </c>
      <c r="P2750" s="26"/>
      <c r="Q2750" s="22"/>
      <c r="R2750" s="24"/>
      <c r="S2750" s="24"/>
      <c r="T2750" s="24"/>
      <c r="U2750" s="24"/>
      <c r="V2750" s="24"/>
      <c r="W2750" s="22" t="s">
        <v>230</v>
      </c>
      <c r="X2750" s="4" t="str">
        <f>IF(Tabela2[[#This Row],[sigla]]="","",VLOOKUP(Tabela2[[#This Row],[sigla]],créditos_base!B:C,2,0))</f>
        <v>RAFAEL L. GAION/ARQUIVO DA EDITORA</v>
      </c>
      <c r="Y2750" s="23"/>
      <c r="Z2750" s="23" t="str">
        <f>Tabela2[[#This Row],[ilustrador]]</f>
        <v>RAFAEL L. GAION/ARQUIVO DA EDITORA</v>
      </c>
      <c r="AA2750" s="22"/>
      <c r="AB2750" s="20"/>
      <c r="AD2750" s="4" t="str">
        <f>"Pitanguá"</f>
        <v>Pitanguá</v>
      </c>
      <c r="AE2750" s="14" t="str">
        <f>"Matemática"</f>
        <v>Matemática</v>
      </c>
      <c r="AF2750" s="14"/>
    </row>
    <row r="2751" spans="1:32" x14ac:dyDescent="0.3">
      <c r="A2751" s="23" t="s">
        <v>5075</v>
      </c>
      <c r="B2751" s="20" t="s">
        <v>16</v>
      </c>
      <c r="C2751" s="20" t="s">
        <v>89</v>
      </c>
      <c r="D2751" s="20" t="s">
        <v>1229</v>
      </c>
      <c r="E2751" s="22">
        <v>179</v>
      </c>
      <c r="F2751" s="22">
        <v>1</v>
      </c>
      <c r="G2751" s="22">
        <v>7</v>
      </c>
      <c r="H2751" s="22"/>
      <c r="I2751" s="23" t="s">
        <v>9</v>
      </c>
      <c r="J2751" s="23"/>
      <c r="K2751" s="22"/>
      <c r="L2751" s="22"/>
      <c r="M2751" s="23"/>
      <c r="N2751" s="23"/>
      <c r="O2751" s="26" t="s">
        <v>5076</v>
      </c>
      <c r="P2751" s="26"/>
      <c r="Q2751" s="22"/>
      <c r="R2751" s="24"/>
      <c r="S2751" s="24"/>
      <c r="T2751" s="24"/>
      <c r="U2751" s="24"/>
      <c r="V2751" s="24"/>
      <c r="W2751" s="22" t="s">
        <v>160</v>
      </c>
      <c r="X2751" s="4" t="str">
        <f>IF(Tabela2[[#This Row],[sigla]]="","",VLOOKUP(Tabela2[[#This Row],[sigla]],créditos_base!B:C,2,0))</f>
        <v>SERGIO LIMA/ARQUIVO DA EDITORA</v>
      </c>
      <c r="Y2751" s="23"/>
      <c r="Z2751" s="23" t="str">
        <f>Tabela2[[#This Row],[ilustrador]]</f>
        <v>SERGIO LIMA/ARQUIVO DA EDITORA</v>
      </c>
      <c r="AA2751" s="22"/>
      <c r="AB2751" s="20"/>
      <c r="AD2751" s="4" t="str">
        <f>"Pitanguá"</f>
        <v>Pitanguá</v>
      </c>
      <c r="AE2751" s="14" t="str">
        <f>"Matemática"</f>
        <v>Matemática</v>
      </c>
      <c r="AF2751" s="14"/>
    </row>
    <row r="2752" spans="1:32" ht="72" x14ac:dyDescent="0.3">
      <c r="A2752" s="23" t="s">
        <v>5600</v>
      </c>
      <c r="B2752" s="20" t="s">
        <v>16</v>
      </c>
      <c r="C2752" s="20" t="s">
        <v>89</v>
      </c>
      <c r="D2752" s="20" t="s">
        <v>1229</v>
      </c>
      <c r="E2752" s="22">
        <v>220</v>
      </c>
      <c r="F2752" s="22">
        <v>2</v>
      </c>
      <c r="G2752" s="22">
        <v>9</v>
      </c>
      <c r="H2752" s="22"/>
      <c r="I2752" s="23" t="s">
        <v>33</v>
      </c>
      <c r="J2752" s="23"/>
      <c r="K2752" s="22"/>
      <c r="L2752" s="22"/>
      <c r="M2752" s="23"/>
      <c r="N2752" s="23"/>
      <c r="O2752" s="26" t="s">
        <v>5601</v>
      </c>
      <c r="P2752" s="26"/>
      <c r="Q2752" s="22">
        <v>132</v>
      </c>
      <c r="R2752" s="24">
        <v>45864</v>
      </c>
      <c r="S2752" s="24">
        <v>45866</v>
      </c>
      <c r="T2752" s="24"/>
      <c r="U2752" s="24"/>
      <c r="V2752" s="24">
        <v>45866</v>
      </c>
      <c r="W2752" s="22" t="s">
        <v>940</v>
      </c>
      <c r="X2752" s="4" t="str">
        <f>IF(Tabela2[[#This Row],[sigla]]="","",VLOOKUP(Tabela2[[#This Row],[sigla]],créditos_base!B:C,2,0))</f>
        <v>RONALDO LUCENA/ARQUIVO DA EDITORA</v>
      </c>
      <c r="Y2752" s="23" t="s">
        <v>2951</v>
      </c>
      <c r="Z2752" s="23" t="str">
        <f>Tabela2[[#This Row],[ilustrador]]</f>
        <v>RONALDO LUCENA/ARQUIVO DA EDITORA</v>
      </c>
      <c r="AA2752" s="22">
        <v>14</v>
      </c>
      <c r="AB2752" s="20" t="s">
        <v>1500</v>
      </c>
      <c r="AC2752" s="20" t="s">
        <v>36</v>
      </c>
      <c r="AD2752" s="4" t="str">
        <f>"Pitanguá"</f>
        <v>Pitanguá</v>
      </c>
      <c r="AE2752" s="14" t="str">
        <f>"Matemática"</f>
        <v>Matemática</v>
      </c>
      <c r="AF2752" s="14"/>
    </row>
    <row r="2753" spans="1:32" ht="72" x14ac:dyDescent="0.3">
      <c r="A2753" s="23" t="s">
        <v>5777</v>
      </c>
      <c r="B2753" s="20" t="s">
        <v>16</v>
      </c>
      <c r="C2753" s="20" t="s">
        <v>89</v>
      </c>
      <c r="D2753" s="20" t="s">
        <v>1229</v>
      </c>
      <c r="E2753" s="22">
        <v>130</v>
      </c>
      <c r="F2753" s="22">
        <v>3</v>
      </c>
      <c r="G2753" s="22">
        <v>5</v>
      </c>
      <c r="H2753" s="22"/>
      <c r="I2753" s="23" t="s">
        <v>90</v>
      </c>
      <c r="J2753" s="23"/>
      <c r="K2753" s="22"/>
      <c r="L2753" s="22"/>
      <c r="M2753" s="23"/>
      <c r="N2753" s="23"/>
      <c r="O2753" s="26" t="s">
        <v>5778</v>
      </c>
      <c r="P2753" s="26"/>
      <c r="Q2753" s="22">
        <v>143</v>
      </c>
      <c r="R2753" s="24">
        <v>45876</v>
      </c>
      <c r="S2753" s="24">
        <v>45880</v>
      </c>
      <c r="T2753" s="24"/>
      <c r="U2753" s="24"/>
      <c r="V2753" s="24">
        <v>45880</v>
      </c>
      <c r="W2753" s="22" t="s">
        <v>5046</v>
      </c>
      <c r="X2753" s="4" t="str">
        <f>IF(Tabela2[[#This Row],[sigla]]="","",VLOOKUP(Tabela2[[#This Row],[sigla]],créditos_base!B:C,2,0))</f>
        <v>MARYANE VIOTO SILVA/ARQUIVO DA EDITORA</v>
      </c>
      <c r="Y2753" s="23"/>
      <c r="Z2753" s="23" t="str">
        <f>Tabela2[[#This Row],[ilustrador]]</f>
        <v>MARYANE VIOTO SILVA/ARQUIVO DA EDITORA</v>
      </c>
      <c r="AA2753" s="22">
        <v>8</v>
      </c>
      <c r="AB2753" s="20" t="s">
        <v>2058</v>
      </c>
      <c r="AC2753" s="20" t="s">
        <v>36</v>
      </c>
      <c r="AD2753" s="4" t="str">
        <f>"Pitanguá"</f>
        <v>Pitanguá</v>
      </c>
      <c r="AE2753" s="14" t="str">
        <f>"Matemática"</f>
        <v>Matemática</v>
      </c>
      <c r="AF2753" s="14"/>
    </row>
    <row r="2754" spans="1:32" ht="172.8" x14ac:dyDescent="0.3">
      <c r="A2754" s="23" t="s">
        <v>5888</v>
      </c>
      <c r="B2754" s="20" t="s">
        <v>16</v>
      </c>
      <c r="C2754" s="20" t="s">
        <v>89</v>
      </c>
      <c r="D2754" s="20" t="s">
        <v>1229</v>
      </c>
      <c r="E2754" s="22">
        <v>174</v>
      </c>
      <c r="F2754" s="22">
        <v>4</v>
      </c>
      <c r="G2754" s="22">
        <v>6</v>
      </c>
      <c r="H2754" s="22"/>
      <c r="I2754" s="23" t="s">
        <v>9</v>
      </c>
      <c r="J2754" s="23"/>
      <c r="K2754" s="22"/>
      <c r="L2754" s="22"/>
      <c r="M2754" s="23"/>
      <c r="N2754" s="23"/>
      <c r="O2754" s="26" t="s">
        <v>5889</v>
      </c>
      <c r="P2754" s="26"/>
      <c r="Q2754" s="22"/>
      <c r="R2754" s="24"/>
      <c r="S2754" s="24"/>
      <c r="T2754" s="24"/>
      <c r="U2754" s="24"/>
      <c r="V2754" s="24"/>
      <c r="W2754" s="22" t="s">
        <v>940</v>
      </c>
      <c r="X2754" s="4" t="str">
        <f>IF(Tabela2[[#This Row],[sigla]]="","",VLOOKUP(Tabela2[[#This Row],[sigla]],créditos_base!B:C,2,0))</f>
        <v>RONALDO LUCENA/ARQUIVO DA EDITORA</v>
      </c>
      <c r="Y2754" s="23"/>
      <c r="Z2754" s="23" t="str">
        <f>Tabela2[[#This Row],[ilustrador]]</f>
        <v>RONALDO LUCENA/ARQUIVO DA EDITORA</v>
      </c>
      <c r="AA2754" s="22"/>
      <c r="AB2754" s="20"/>
      <c r="AD2754" s="4" t="str">
        <f>"Pitanguá"</f>
        <v>Pitanguá</v>
      </c>
      <c r="AE2754" s="14" t="str">
        <f>"Matemática"</f>
        <v>Matemática</v>
      </c>
      <c r="AF2754" s="14"/>
    </row>
    <row r="2755" spans="1:32" ht="28.8" x14ac:dyDescent="0.3">
      <c r="A2755" s="23" t="s">
        <v>5938</v>
      </c>
      <c r="B2755" s="20" t="s">
        <v>16</v>
      </c>
      <c r="C2755" s="20" t="s">
        <v>89</v>
      </c>
      <c r="D2755" s="20" t="s">
        <v>1229</v>
      </c>
      <c r="E2755" s="22"/>
      <c r="F2755" s="22">
        <v>5</v>
      </c>
      <c r="G2755" s="22">
        <v>1</v>
      </c>
      <c r="H2755" s="22"/>
      <c r="I2755" s="23" t="s">
        <v>9</v>
      </c>
      <c r="J2755" s="23"/>
      <c r="K2755" s="22"/>
      <c r="L2755" s="22"/>
      <c r="M2755" s="23"/>
      <c r="N2755" s="23"/>
      <c r="O2755" s="26" t="s">
        <v>5939</v>
      </c>
      <c r="P2755" s="26"/>
      <c r="Q2755" s="22"/>
      <c r="R2755" s="24"/>
      <c r="S2755" s="24"/>
      <c r="T2755" s="24"/>
      <c r="U2755" s="24"/>
      <c r="V2755" s="24"/>
      <c r="W2755" s="22" t="s">
        <v>230</v>
      </c>
      <c r="X2755" s="4" t="str">
        <f>IF(Tabela2[[#This Row],[sigla]]="","",VLOOKUP(Tabela2[[#This Row],[sigla]],créditos_base!B:C,2,0))</f>
        <v>RAFAEL L. GAION/ARQUIVO DA EDITORA</v>
      </c>
      <c r="Y2755" s="23"/>
      <c r="Z2755" s="23" t="str">
        <f>Tabela2[[#This Row],[ilustrador]]</f>
        <v>RAFAEL L. GAION/ARQUIVO DA EDITORA</v>
      </c>
      <c r="AA2755" s="22"/>
      <c r="AB2755" s="20"/>
      <c r="AD2755" s="4" t="str">
        <f>"Pitanguá"</f>
        <v>Pitanguá</v>
      </c>
      <c r="AE2755" s="14" t="str">
        <f>"Matemática"</f>
        <v>Matemática</v>
      </c>
      <c r="AF2755" s="14"/>
    </row>
    <row r="2756" spans="1:32" x14ac:dyDescent="0.3">
      <c r="A2756" s="23" t="s">
        <v>5614</v>
      </c>
      <c r="B2756" s="20" t="s">
        <v>16</v>
      </c>
      <c r="C2756" s="20" t="s">
        <v>89</v>
      </c>
      <c r="D2756" s="20" t="s">
        <v>1229</v>
      </c>
      <c r="E2756" s="22">
        <v>223</v>
      </c>
      <c r="F2756" s="22">
        <v>2</v>
      </c>
      <c r="G2756" s="22">
        <v>9</v>
      </c>
      <c r="H2756" s="22"/>
      <c r="I2756" s="23" t="s">
        <v>33</v>
      </c>
      <c r="J2756" s="23"/>
      <c r="K2756" s="22"/>
      <c r="L2756" s="22"/>
      <c r="M2756" s="23"/>
      <c r="N2756" s="23"/>
      <c r="O2756" s="26" t="s">
        <v>5615</v>
      </c>
      <c r="P2756" s="26"/>
      <c r="Q2756" s="22">
        <v>132</v>
      </c>
      <c r="R2756" s="24">
        <v>45864</v>
      </c>
      <c r="S2756" s="24">
        <v>45866</v>
      </c>
      <c r="T2756" s="24"/>
      <c r="U2756" s="24"/>
      <c r="V2756" s="24">
        <v>45866</v>
      </c>
      <c r="W2756" s="22" t="s">
        <v>5145</v>
      </c>
      <c r="X2756" s="4" t="str">
        <f>IF(Tabela2[[#This Row],[sigla]]="","",VLOOKUP(Tabela2[[#This Row],[sigla]],créditos_base!B:C,2,0))</f>
        <v>NICOLAS FURTADO/ARQUIVO DA EDITORA</v>
      </c>
      <c r="Y2756" s="23" t="s">
        <v>2951</v>
      </c>
      <c r="Z2756" s="23" t="str">
        <f>Tabela2[[#This Row],[ilustrador]]</f>
        <v>NICOLAS FURTADO/ARQUIVO DA EDITORA</v>
      </c>
      <c r="AA2756" s="22">
        <v>14</v>
      </c>
      <c r="AB2756" s="20" t="s">
        <v>1500</v>
      </c>
      <c r="AC2756" s="20" t="s">
        <v>36</v>
      </c>
      <c r="AD2756" s="4" t="str">
        <f>"Pitanguá"</f>
        <v>Pitanguá</v>
      </c>
      <c r="AE2756" s="14" t="str">
        <f>"Matemática"</f>
        <v>Matemática</v>
      </c>
      <c r="AF2756" s="14"/>
    </row>
    <row r="2757" spans="1:32" x14ac:dyDescent="0.3">
      <c r="A2757" s="23" t="s">
        <v>5779</v>
      </c>
      <c r="B2757" s="20" t="s">
        <v>16</v>
      </c>
      <c r="C2757" s="20" t="s">
        <v>89</v>
      </c>
      <c r="D2757" s="20" t="s">
        <v>1229</v>
      </c>
      <c r="E2757" s="22">
        <v>130</v>
      </c>
      <c r="F2757" s="22">
        <v>3</v>
      </c>
      <c r="G2757" s="22">
        <v>5</v>
      </c>
      <c r="H2757" s="22"/>
      <c r="I2757" s="23" t="s">
        <v>9</v>
      </c>
      <c r="J2757" s="23"/>
      <c r="K2757" s="22"/>
      <c r="L2757" s="22"/>
      <c r="M2757" s="23"/>
      <c r="N2757" s="23"/>
      <c r="O2757" s="26" t="s">
        <v>5780</v>
      </c>
      <c r="P2757" s="26"/>
      <c r="Q2757" s="22"/>
      <c r="R2757" s="24"/>
      <c r="S2757" s="24"/>
      <c r="T2757" s="24"/>
      <c r="U2757" s="24"/>
      <c r="V2757" s="24"/>
      <c r="W2757" s="22" t="s">
        <v>160</v>
      </c>
      <c r="X2757" s="4" t="str">
        <f>IF(Tabela2[[#This Row],[sigla]]="","",VLOOKUP(Tabela2[[#This Row],[sigla]],créditos_base!B:C,2,0))</f>
        <v>SERGIO LIMA/ARQUIVO DA EDITORA</v>
      </c>
      <c r="Y2757" s="23"/>
      <c r="Z2757" s="23" t="str">
        <f>Tabela2[[#This Row],[ilustrador]]</f>
        <v>SERGIO LIMA/ARQUIVO DA EDITORA</v>
      </c>
      <c r="AA2757" s="22"/>
      <c r="AB2757" s="20"/>
      <c r="AD2757" s="4" t="str">
        <f>"Pitanguá"</f>
        <v>Pitanguá</v>
      </c>
      <c r="AE2757" s="14" t="str">
        <f>"Matemática"</f>
        <v>Matemática</v>
      </c>
      <c r="AF2757" s="14"/>
    </row>
    <row r="2758" spans="1:32" x14ac:dyDescent="0.3">
      <c r="A2758" s="23" t="s">
        <v>5890</v>
      </c>
      <c r="B2758" s="20" t="s">
        <v>16</v>
      </c>
      <c r="C2758" s="20" t="s">
        <v>89</v>
      </c>
      <c r="D2758" s="20" t="s">
        <v>1229</v>
      </c>
      <c r="E2758" s="22">
        <v>155</v>
      </c>
      <c r="F2758" s="22">
        <v>4</v>
      </c>
      <c r="G2758" s="22">
        <v>5</v>
      </c>
      <c r="H2758" s="22"/>
      <c r="I2758" s="23" t="s">
        <v>90</v>
      </c>
      <c r="J2758" s="23"/>
      <c r="K2758" s="22"/>
      <c r="L2758" s="22"/>
      <c r="M2758" s="23"/>
      <c r="N2758" s="23"/>
      <c r="O2758" s="26" t="s">
        <v>5891</v>
      </c>
      <c r="P2758" s="26"/>
      <c r="Q2758" s="22">
        <v>165</v>
      </c>
      <c r="R2758" s="24">
        <v>45894</v>
      </c>
      <c r="S2758" s="24">
        <v>45896</v>
      </c>
      <c r="T2758" s="24"/>
      <c r="U2758" s="24"/>
      <c r="V2758" s="24">
        <v>45899</v>
      </c>
      <c r="W2758" s="22" t="s">
        <v>72</v>
      </c>
      <c r="X2758" s="4" t="str">
        <f>IF(Tabela2[[#This Row],[sigla]]="","",VLOOKUP(Tabela2[[#This Row],[sigla]],créditos_base!B:C,2,0))</f>
        <v>HELOÍSA PINTARELLI/ARQUIVO DA EDITORA</v>
      </c>
      <c r="Y2758" s="23"/>
      <c r="Z2758" s="23" t="str">
        <f>Tabela2[[#This Row],[ilustrador]]</f>
        <v>HELOÍSA PINTARELLI/ARQUIVO DA EDITORA</v>
      </c>
      <c r="AA2758" s="22">
        <v>8</v>
      </c>
      <c r="AB2758" s="20" t="s">
        <v>5892</v>
      </c>
      <c r="AC2758" s="20" t="s">
        <v>310</v>
      </c>
      <c r="AD2758" s="4" t="str">
        <f>"Pitanguá"</f>
        <v>Pitanguá</v>
      </c>
      <c r="AE2758" s="14" t="str">
        <f>"Matemática"</f>
        <v>Matemática</v>
      </c>
      <c r="AF2758" s="14"/>
    </row>
    <row r="2759" spans="1:32" x14ac:dyDescent="0.3">
      <c r="A2759" s="23" t="s">
        <v>5280</v>
      </c>
      <c r="B2759" s="20" t="s">
        <v>16</v>
      </c>
      <c r="C2759" s="20" t="s">
        <v>7</v>
      </c>
      <c r="D2759" s="20" t="s">
        <v>1229</v>
      </c>
      <c r="E2759" s="22">
        <v>68</v>
      </c>
      <c r="F2759" s="22">
        <v>2</v>
      </c>
      <c r="G2759" s="22">
        <v>2</v>
      </c>
      <c r="H2759" s="22"/>
      <c r="I2759" s="23" t="s">
        <v>33</v>
      </c>
      <c r="J2759" s="23"/>
      <c r="K2759" s="22"/>
      <c r="L2759" s="22"/>
      <c r="M2759" s="23"/>
      <c r="N2759" s="23"/>
      <c r="O2759" s="26" t="s">
        <v>5281</v>
      </c>
      <c r="P2759" s="26"/>
      <c r="Q2759" s="22">
        <v>115</v>
      </c>
      <c r="R2759" s="24">
        <v>45857</v>
      </c>
      <c r="S2759" s="24">
        <v>45859</v>
      </c>
      <c r="T2759" s="24"/>
      <c r="U2759" s="24"/>
      <c r="V2759" s="24">
        <v>45860</v>
      </c>
      <c r="W2759" s="22" t="s">
        <v>2906</v>
      </c>
      <c r="X2759" s="4" t="str">
        <f>IF(Tabela2[[#This Row],[sigla]]="","",VLOOKUP(Tabela2[[#This Row],[sigla]],créditos_base!B:C,2,0))</f>
        <v>LEONARDO DE MOURA AMARAL/ARQUIVO DA EDITORA</v>
      </c>
      <c r="Y2759" s="23" t="s">
        <v>243</v>
      </c>
      <c r="Z2759" s="23" t="str">
        <f>Tabela2[[#This Row],[ilustrador]]</f>
        <v>LEONARDO DE MOURA AMARAL/ARQUIVO DA EDITORA</v>
      </c>
      <c r="AA2759" s="22">
        <v>13</v>
      </c>
      <c r="AB2759" s="20" t="s">
        <v>244</v>
      </c>
      <c r="AC2759" s="20" t="s">
        <v>36</v>
      </c>
      <c r="AD2759" s="4" t="str">
        <f>"Pitanguá"</f>
        <v>Pitanguá</v>
      </c>
      <c r="AE2759" s="14" t="str">
        <f>"Matemática"</f>
        <v>Matemática</v>
      </c>
      <c r="AF2759" s="14"/>
    </row>
    <row r="2760" spans="1:32" ht="86.4" x14ac:dyDescent="0.3">
      <c r="A2760" s="23" t="s">
        <v>5787</v>
      </c>
      <c r="B2760" s="20" t="s">
        <v>16</v>
      </c>
      <c r="C2760" s="20" t="s">
        <v>89</v>
      </c>
      <c r="D2760" s="20" t="s">
        <v>1229</v>
      </c>
      <c r="E2760" s="22">
        <v>133</v>
      </c>
      <c r="F2760" s="22">
        <v>3</v>
      </c>
      <c r="G2760" s="22">
        <v>5</v>
      </c>
      <c r="H2760" s="22"/>
      <c r="I2760" s="23" t="s">
        <v>9</v>
      </c>
      <c r="J2760" s="23"/>
      <c r="K2760" s="22"/>
      <c r="L2760" s="22"/>
      <c r="M2760" s="23"/>
      <c r="N2760" s="23"/>
      <c r="O2760" s="26" t="s">
        <v>5788</v>
      </c>
      <c r="P2760" s="26"/>
      <c r="Q2760" s="22"/>
      <c r="R2760" s="24"/>
      <c r="S2760" s="24"/>
      <c r="T2760" s="24"/>
      <c r="U2760" s="24"/>
      <c r="V2760" s="24"/>
      <c r="W2760" s="22" t="s">
        <v>160</v>
      </c>
      <c r="X2760" s="4" t="str">
        <f>IF(Tabela2[[#This Row],[sigla]]="","",VLOOKUP(Tabela2[[#This Row],[sigla]],créditos_base!B:C,2,0))</f>
        <v>SERGIO LIMA/ARQUIVO DA EDITORA</v>
      </c>
      <c r="Y2760" s="23"/>
      <c r="Z2760" s="23" t="str">
        <f>Tabela2[[#This Row],[ilustrador]]</f>
        <v>SERGIO LIMA/ARQUIVO DA EDITORA</v>
      </c>
      <c r="AA2760" s="22"/>
      <c r="AB2760" s="20"/>
      <c r="AD2760" s="4" t="str">
        <f>"Pitanguá"</f>
        <v>Pitanguá</v>
      </c>
      <c r="AE2760" s="14" t="str">
        <f>"Matemática"</f>
        <v>Matemática</v>
      </c>
      <c r="AF2760" s="14"/>
    </row>
    <row r="2761" spans="1:32" ht="28.8" x14ac:dyDescent="0.3">
      <c r="A2761" s="23" t="s">
        <v>5893</v>
      </c>
      <c r="B2761" s="20" t="s">
        <v>16</v>
      </c>
      <c r="C2761" s="20" t="s">
        <v>89</v>
      </c>
      <c r="D2761" s="20" t="s">
        <v>1229</v>
      </c>
      <c r="E2761" s="22">
        <v>155</v>
      </c>
      <c r="F2761" s="22">
        <v>4</v>
      </c>
      <c r="G2761" s="22">
        <v>5</v>
      </c>
      <c r="H2761" s="22"/>
      <c r="I2761" s="23" t="s">
        <v>90</v>
      </c>
      <c r="J2761" s="23"/>
      <c r="K2761" s="22"/>
      <c r="L2761" s="22"/>
      <c r="M2761" s="23"/>
      <c r="N2761" s="23"/>
      <c r="O2761" s="26" t="s">
        <v>5894</v>
      </c>
      <c r="P2761" s="26"/>
      <c r="Q2761" s="22">
        <v>165</v>
      </c>
      <c r="R2761" s="24">
        <v>45894</v>
      </c>
      <c r="S2761" s="24">
        <v>45896</v>
      </c>
      <c r="T2761" s="24"/>
      <c r="U2761" s="24"/>
      <c r="V2761" s="24">
        <v>45899</v>
      </c>
      <c r="W2761" s="22" t="s">
        <v>72</v>
      </c>
      <c r="X2761" s="4" t="str">
        <f>IF(Tabela2[[#This Row],[sigla]]="","",VLOOKUP(Tabela2[[#This Row],[sigla]],créditos_base!B:C,2,0))</f>
        <v>HELOÍSA PINTARELLI/ARQUIVO DA EDITORA</v>
      </c>
      <c r="Y2761" s="23"/>
      <c r="Z2761" s="23" t="str">
        <f>Tabela2[[#This Row],[ilustrador]]</f>
        <v>HELOÍSA PINTARELLI/ARQUIVO DA EDITORA</v>
      </c>
      <c r="AA2761" s="22">
        <v>8</v>
      </c>
      <c r="AB2761" s="20" t="s">
        <v>5895</v>
      </c>
      <c r="AC2761" s="20" t="s">
        <v>310</v>
      </c>
      <c r="AD2761" s="4" t="str">
        <f>"Pitanguá"</f>
        <v>Pitanguá</v>
      </c>
      <c r="AE2761" s="14" t="str">
        <f>"Matemática"</f>
        <v>Matemática</v>
      </c>
      <c r="AF2761" s="14"/>
    </row>
    <row r="2762" spans="1:32" ht="28.8" x14ac:dyDescent="0.3">
      <c r="A2762" s="23" t="s">
        <v>5949</v>
      </c>
      <c r="B2762" s="20" t="s">
        <v>16</v>
      </c>
      <c r="C2762" s="20" t="s">
        <v>89</v>
      </c>
      <c r="D2762" s="20" t="s">
        <v>1229</v>
      </c>
      <c r="E2762" s="22">
        <v>79</v>
      </c>
      <c r="F2762" s="22">
        <v>5</v>
      </c>
      <c r="G2762" s="22">
        <v>3</v>
      </c>
      <c r="H2762" s="22"/>
      <c r="I2762" s="23" t="s">
        <v>33</v>
      </c>
      <c r="J2762" s="23"/>
      <c r="K2762" s="22"/>
      <c r="L2762" s="22"/>
      <c r="M2762" s="23"/>
      <c r="N2762" s="23"/>
      <c r="O2762" s="26" t="s">
        <v>5950</v>
      </c>
      <c r="P2762" s="26"/>
      <c r="Q2762" s="22">
        <v>179</v>
      </c>
      <c r="R2762" s="24">
        <v>45904</v>
      </c>
      <c r="S2762" s="24">
        <v>45906</v>
      </c>
      <c r="T2762" s="24"/>
      <c r="U2762" s="24"/>
      <c r="V2762" s="24">
        <v>45906</v>
      </c>
      <c r="W2762" s="22" t="s">
        <v>160</v>
      </c>
      <c r="X2762" s="4" t="str">
        <f>IF(Tabela2[[#This Row],[sigla]]="","",VLOOKUP(Tabela2[[#This Row],[sigla]],créditos_base!B:C,2,0))</f>
        <v>SERGIO LIMA/ARQUIVO DA EDITORA</v>
      </c>
      <c r="Y2762" s="23" t="s">
        <v>433</v>
      </c>
      <c r="Z2762" s="23" t="str">
        <f>Tabela2[[#This Row],[ilustrador]]</f>
        <v>SERGIO LIMA/ARQUIVO DA EDITORA</v>
      </c>
      <c r="AA2762" s="22">
        <v>14</v>
      </c>
      <c r="AB2762" s="20" t="s">
        <v>153</v>
      </c>
      <c r="AC2762" s="20" t="s">
        <v>36</v>
      </c>
      <c r="AD2762" s="4" t="str">
        <f>"Pitanguá"</f>
        <v>Pitanguá</v>
      </c>
      <c r="AE2762" s="14" t="str">
        <f>"Matemática"</f>
        <v>Matemática</v>
      </c>
      <c r="AF2762" s="14"/>
    </row>
    <row r="2763" spans="1:32" ht="43.2" x14ac:dyDescent="0.3">
      <c r="A2763" s="23" t="s">
        <v>5077</v>
      </c>
      <c r="B2763" s="20" t="s">
        <v>16</v>
      </c>
      <c r="C2763" s="20" t="s">
        <v>89</v>
      </c>
      <c r="D2763" s="20" t="s">
        <v>1229</v>
      </c>
      <c r="E2763" s="22">
        <v>188</v>
      </c>
      <c r="F2763" s="22">
        <v>1</v>
      </c>
      <c r="G2763" s="22">
        <v>8</v>
      </c>
      <c r="H2763" s="22"/>
      <c r="I2763" s="23" t="s">
        <v>33</v>
      </c>
      <c r="J2763" s="23"/>
      <c r="K2763" s="22"/>
      <c r="L2763" s="22"/>
      <c r="M2763" s="23"/>
      <c r="N2763" s="23"/>
      <c r="O2763" s="26" t="s">
        <v>5078</v>
      </c>
      <c r="P2763" s="26"/>
      <c r="Q2763" s="22">
        <v>98</v>
      </c>
      <c r="R2763" s="24">
        <v>45845</v>
      </c>
      <c r="S2763" s="24">
        <v>45846</v>
      </c>
      <c r="T2763" s="24"/>
      <c r="U2763" s="24"/>
      <c r="V2763" s="24">
        <v>45846</v>
      </c>
      <c r="W2763" s="22" t="s">
        <v>223</v>
      </c>
      <c r="X2763" s="4" t="str">
        <f>IF(Tabela2[[#This Row],[sigla]]="","",VLOOKUP(Tabela2[[#This Row],[sigla]],créditos_base!B:C,2,0))</f>
        <v>NATANAELE BILMAIA/ARQUIVO DA EDITORA</v>
      </c>
      <c r="Y2763" s="23" t="s">
        <v>433</v>
      </c>
      <c r="Z2763" s="23" t="str">
        <f>Tabela2[[#This Row],[ilustrador]]</f>
        <v>NATANAELE BILMAIA/ARQUIVO DA EDITORA</v>
      </c>
      <c r="AA2763" s="22">
        <v>14</v>
      </c>
      <c r="AB2763" s="20" t="s">
        <v>153</v>
      </c>
      <c r="AC2763" s="20" t="s">
        <v>36</v>
      </c>
      <c r="AD2763" s="4" t="str">
        <f>"Pitanguá"</f>
        <v>Pitanguá</v>
      </c>
      <c r="AE2763" s="14" t="str">
        <f>"Matemática"</f>
        <v>Matemática</v>
      </c>
      <c r="AF2763" s="14"/>
    </row>
    <row r="2764" spans="1:32" ht="43.2" x14ac:dyDescent="0.3">
      <c r="A2764" s="23" t="s">
        <v>5286</v>
      </c>
      <c r="B2764" s="20" t="s">
        <v>16</v>
      </c>
      <c r="C2764" s="20" t="s">
        <v>89</v>
      </c>
      <c r="D2764" s="20" t="s">
        <v>1229</v>
      </c>
      <c r="E2764" s="22">
        <v>109</v>
      </c>
      <c r="F2764" s="22">
        <v>2</v>
      </c>
      <c r="G2764" s="22">
        <v>3</v>
      </c>
      <c r="H2764" s="22"/>
      <c r="I2764" s="23" t="s">
        <v>90</v>
      </c>
      <c r="J2764" s="23"/>
      <c r="K2764" s="22"/>
      <c r="L2764" s="22"/>
      <c r="M2764" s="23"/>
      <c r="N2764" s="23"/>
      <c r="O2764" s="26" t="s">
        <v>5287</v>
      </c>
      <c r="P2764" s="26"/>
      <c r="Q2764" s="22">
        <v>115</v>
      </c>
      <c r="R2764" s="24">
        <v>45857</v>
      </c>
      <c r="S2764" s="24">
        <v>45859</v>
      </c>
      <c r="T2764" s="24"/>
      <c r="U2764" s="24"/>
      <c r="V2764" s="24">
        <v>45860</v>
      </c>
      <c r="W2764" s="22" t="s">
        <v>468</v>
      </c>
      <c r="X2764" s="4" t="str">
        <f>IF(Tabela2[[#This Row],[sigla]]="","",VLOOKUP(Tabela2[[#This Row],[sigla]],créditos_base!B:C,2,0))</f>
        <v>VER DOCUMENTO DE ILS. TÉCNICAS</v>
      </c>
      <c r="Y2764" s="23" t="s">
        <v>243</v>
      </c>
      <c r="Z2764" s="23" t="s">
        <v>689</v>
      </c>
      <c r="AA2764" s="22">
        <v>13</v>
      </c>
      <c r="AB2764" s="20" t="s">
        <v>5014</v>
      </c>
      <c r="AC2764" s="20" t="s">
        <v>36</v>
      </c>
      <c r="AD2764" s="4" t="str">
        <f>"Pitanguá"</f>
        <v>Pitanguá</v>
      </c>
      <c r="AE2764" s="14" t="str">
        <f>"Matemática"</f>
        <v>Matemática</v>
      </c>
      <c r="AF2764" s="14"/>
    </row>
    <row r="2765" spans="1:32" ht="28.8" x14ac:dyDescent="0.3">
      <c r="A2765" s="23" t="s">
        <v>5789</v>
      </c>
      <c r="B2765" s="20" t="s">
        <v>16</v>
      </c>
      <c r="C2765" s="20" t="s">
        <v>89</v>
      </c>
      <c r="D2765" s="20" t="s">
        <v>1229</v>
      </c>
      <c r="E2765" s="22">
        <v>133</v>
      </c>
      <c r="F2765" s="22">
        <v>3</v>
      </c>
      <c r="G2765" s="22">
        <v>5</v>
      </c>
      <c r="H2765" s="22"/>
      <c r="I2765" s="23" t="s">
        <v>9</v>
      </c>
      <c r="J2765" s="23"/>
      <c r="K2765" s="22"/>
      <c r="L2765" s="22"/>
      <c r="M2765" s="23"/>
      <c r="N2765" s="23"/>
      <c r="O2765" s="26" t="s">
        <v>5790</v>
      </c>
      <c r="P2765" s="26"/>
      <c r="Q2765" s="22"/>
      <c r="R2765" s="24"/>
      <c r="S2765" s="24"/>
      <c r="T2765" s="24"/>
      <c r="U2765" s="24"/>
      <c r="V2765" s="24"/>
      <c r="W2765" s="22" t="s">
        <v>160</v>
      </c>
      <c r="X2765" s="4" t="str">
        <f>IF(Tabela2[[#This Row],[sigla]]="","",VLOOKUP(Tabela2[[#This Row],[sigla]],créditos_base!B:C,2,0))</f>
        <v>SERGIO LIMA/ARQUIVO DA EDITORA</v>
      </c>
      <c r="Y2765" s="23"/>
      <c r="Z2765" s="23" t="str">
        <f>Tabela2[[#This Row],[ilustrador]]</f>
        <v>SERGIO LIMA/ARQUIVO DA EDITORA</v>
      </c>
      <c r="AA2765" s="22"/>
      <c r="AB2765" s="20"/>
      <c r="AD2765" s="4" t="str">
        <f>"Pitanguá"</f>
        <v>Pitanguá</v>
      </c>
      <c r="AE2765" s="14" t="str">
        <f>"Matemática"</f>
        <v>Matemática</v>
      </c>
      <c r="AF2765" s="14"/>
    </row>
    <row r="2766" spans="1:32" ht="28.8" x14ac:dyDescent="0.3">
      <c r="A2766" s="23" t="s">
        <v>5908</v>
      </c>
      <c r="B2766" s="20" t="s">
        <v>16</v>
      </c>
      <c r="C2766" s="20" t="s">
        <v>89</v>
      </c>
      <c r="D2766" s="20" t="s">
        <v>1229</v>
      </c>
      <c r="E2766" s="22">
        <v>210</v>
      </c>
      <c r="F2766" s="22">
        <v>4</v>
      </c>
      <c r="G2766" s="22">
        <v>8</v>
      </c>
      <c r="H2766" s="22"/>
      <c r="I2766" s="23" t="s">
        <v>33</v>
      </c>
      <c r="J2766" s="23"/>
      <c r="K2766" s="22"/>
      <c r="L2766" s="22"/>
      <c r="M2766" s="23"/>
      <c r="N2766" s="23"/>
      <c r="O2766" s="26" t="s">
        <v>5909</v>
      </c>
      <c r="P2766" s="26"/>
      <c r="Q2766" s="22">
        <v>168</v>
      </c>
      <c r="R2766" s="24">
        <v>45895</v>
      </c>
      <c r="S2766" s="24">
        <v>45895</v>
      </c>
      <c r="T2766" s="24"/>
      <c r="U2766" s="24"/>
      <c r="V2766" s="24">
        <v>45896</v>
      </c>
      <c r="W2766" s="22" t="s">
        <v>160</v>
      </c>
      <c r="X2766" s="4" t="str">
        <f>IF(Tabela2[[#This Row],[sigla]]="","",VLOOKUP(Tabela2[[#This Row],[sigla]],créditos_base!B:C,2,0))</f>
        <v>SERGIO LIMA/ARQUIVO DA EDITORA</v>
      </c>
      <c r="Y2766" s="23" t="s">
        <v>243</v>
      </c>
      <c r="Z2766" s="23" t="str">
        <f>Tabela2[[#This Row],[ilustrador]]</f>
        <v>SERGIO LIMA/ARQUIVO DA EDITORA</v>
      </c>
      <c r="AA2766" s="22">
        <v>13</v>
      </c>
      <c r="AB2766" s="20" t="s">
        <v>5903</v>
      </c>
      <c r="AC2766" s="20" t="s">
        <v>36</v>
      </c>
      <c r="AD2766" s="4" t="str">
        <f>"Pitanguá"</f>
        <v>Pitanguá</v>
      </c>
      <c r="AE2766" s="14" t="str">
        <f>"Matemática"</f>
        <v>Matemática</v>
      </c>
      <c r="AF2766" s="14"/>
    </row>
    <row r="2767" spans="1:32" ht="28.8" x14ac:dyDescent="0.3">
      <c r="A2767" s="23" t="s">
        <v>5966</v>
      </c>
      <c r="B2767" s="20" t="s">
        <v>16</v>
      </c>
      <c r="C2767" s="20" t="s">
        <v>89</v>
      </c>
      <c r="D2767" s="20" t="s">
        <v>1229</v>
      </c>
      <c r="E2767" s="22">
        <v>219</v>
      </c>
      <c r="F2767" s="22">
        <v>5</v>
      </c>
      <c r="G2767" s="22">
        <v>7</v>
      </c>
      <c r="H2767" s="22"/>
      <c r="I2767" s="23" t="s">
        <v>90</v>
      </c>
      <c r="J2767" s="23"/>
      <c r="K2767" s="22"/>
      <c r="L2767" s="22"/>
      <c r="M2767" s="23"/>
      <c r="N2767" s="23"/>
      <c r="O2767" s="26" t="s">
        <v>5967</v>
      </c>
      <c r="P2767" s="26"/>
      <c r="Q2767" s="22">
        <v>191</v>
      </c>
      <c r="R2767" s="24">
        <v>45912</v>
      </c>
      <c r="S2767" s="24">
        <v>45912</v>
      </c>
      <c r="T2767" s="24"/>
      <c r="U2767" s="24"/>
      <c r="V2767" s="24">
        <v>45912</v>
      </c>
      <c r="W2767" s="22" t="s">
        <v>5942</v>
      </c>
      <c r="X2767" s="4" t="str">
        <f>IF(Tabela2[[#This Row],[sigla]]="","",VLOOKUP(Tabela2[[#This Row],[sigla]],créditos_base!B:C,2,0))</f>
        <v>GABRIELLA IMAI/ARQUIVO DA EDITORA</v>
      </c>
      <c r="Y2767" s="23"/>
      <c r="Z2767" s="23" t="str">
        <f>Tabela2[[#This Row],[ilustrador]]</f>
        <v>GABRIELLA IMAI/ARQUIVO DA EDITORA</v>
      </c>
      <c r="AA2767" s="22">
        <v>12</v>
      </c>
      <c r="AB2767" s="20" t="s">
        <v>5968</v>
      </c>
      <c r="AC2767" s="20" t="s">
        <v>36</v>
      </c>
      <c r="AD2767" s="4" t="str">
        <f>"Pitanguá"</f>
        <v>Pitanguá</v>
      </c>
      <c r="AE2767" s="14" t="str">
        <f>"Matemática"</f>
        <v>Matemática</v>
      </c>
      <c r="AF2767" s="14"/>
    </row>
    <row r="2768" spans="1:32" ht="28.8" x14ac:dyDescent="0.3">
      <c r="A2768" s="23" t="s">
        <v>5079</v>
      </c>
      <c r="B2768" s="20" t="s">
        <v>16</v>
      </c>
      <c r="C2768" s="20" t="s">
        <v>89</v>
      </c>
      <c r="D2768" s="20" t="s">
        <v>1229</v>
      </c>
      <c r="E2768" s="22">
        <v>191</v>
      </c>
      <c r="F2768" s="22">
        <v>1</v>
      </c>
      <c r="G2768" s="22">
        <v>8</v>
      </c>
      <c r="H2768" s="22"/>
      <c r="I2768" s="23" t="s">
        <v>9</v>
      </c>
      <c r="J2768" s="23"/>
      <c r="K2768" s="22"/>
      <c r="L2768" s="22"/>
      <c r="M2768" s="23"/>
      <c r="N2768" s="23"/>
      <c r="O2768" s="26" t="s">
        <v>5080</v>
      </c>
      <c r="P2768" s="26"/>
      <c r="Q2768" s="22"/>
      <c r="R2768" s="24"/>
      <c r="S2768" s="24"/>
      <c r="T2768" s="24"/>
      <c r="U2768" s="24"/>
      <c r="V2768" s="24"/>
      <c r="W2768" s="22" t="s">
        <v>160</v>
      </c>
      <c r="X2768" s="4" t="str">
        <f>IF(Tabela2[[#This Row],[sigla]]="","",VLOOKUP(Tabela2[[#This Row],[sigla]],créditos_base!B:C,2,0))</f>
        <v>SERGIO LIMA/ARQUIVO DA EDITORA</v>
      </c>
      <c r="Y2768" s="23"/>
      <c r="Z2768" s="23" t="str">
        <f>Tabela2[[#This Row],[ilustrador]]</f>
        <v>SERGIO LIMA/ARQUIVO DA EDITORA</v>
      </c>
      <c r="AA2768" s="22"/>
      <c r="AB2768" s="20"/>
      <c r="AD2768" s="4" t="str">
        <f>"Pitanguá"</f>
        <v>Pitanguá</v>
      </c>
      <c r="AE2768" s="14" t="str">
        <f>"Matemática"</f>
        <v>Matemática</v>
      </c>
      <c r="AF2768" s="14"/>
    </row>
    <row r="2769" spans="1:32" ht="86.4" x14ac:dyDescent="0.3">
      <c r="A2769" s="23" t="s">
        <v>5288</v>
      </c>
      <c r="B2769" s="20" t="s">
        <v>16</v>
      </c>
      <c r="C2769" s="20" t="s">
        <v>89</v>
      </c>
      <c r="D2769" s="20" t="s">
        <v>1229</v>
      </c>
      <c r="E2769" s="22">
        <v>109</v>
      </c>
      <c r="F2769" s="22">
        <v>2</v>
      </c>
      <c r="G2769" s="22">
        <v>3</v>
      </c>
      <c r="H2769" s="22"/>
      <c r="I2769" s="23" t="s">
        <v>90</v>
      </c>
      <c r="J2769" s="23"/>
      <c r="K2769" s="22"/>
      <c r="L2769" s="22"/>
      <c r="M2769" s="23"/>
      <c r="N2769" s="23"/>
      <c r="O2769" s="26" t="s">
        <v>5289</v>
      </c>
      <c r="P2769" s="26"/>
      <c r="Q2769" s="22">
        <v>115</v>
      </c>
      <c r="R2769" s="24">
        <v>45857</v>
      </c>
      <c r="S2769" s="24">
        <v>45859</v>
      </c>
      <c r="T2769" s="24"/>
      <c r="U2769" s="24"/>
      <c r="V2769" s="24">
        <v>45860</v>
      </c>
      <c r="W2769" s="22" t="s">
        <v>468</v>
      </c>
      <c r="X2769" s="4" t="str">
        <f>IF(Tabela2[[#This Row],[sigla]]="","",VLOOKUP(Tabela2[[#This Row],[sigla]],créditos_base!B:C,2,0))</f>
        <v>VER DOCUMENTO DE ILS. TÉCNICAS</v>
      </c>
      <c r="Y2769" s="23" t="s">
        <v>243</v>
      </c>
      <c r="Z2769" s="23" t="s">
        <v>689</v>
      </c>
      <c r="AA2769" s="22">
        <v>13</v>
      </c>
      <c r="AB2769" s="20" t="s">
        <v>5014</v>
      </c>
      <c r="AC2769" s="20" t="s">
        <v>36</v>
      </c>
      <c r="AD2769" s="4" t="str">
        <f>"Pitanguá"</f>
        <v>Pitanguá</v>
      </c>
      <c r="AE2769" s="14" t="str">
        <f>"Matemática"</f>
        <v>Matemática</v>
      </c>
      <c r="AF2769" s="14"/>
    </row>
    <row r="2770" spans="1:32" ht="28.8" x14ac:dyDescent="0.3">
      <c r="A2770" s="23" t="s">
        <v>5791</v>
      </c>
      <c r="B2770" s="20" t="s">
        <v>16</v>
      </c>
      <c r="C2770" s="20" t="s">
        <v>89</v>
      </c>
      <c r="D2770" s="20" t="s">
        <v>1229</v>
      </c>
      <c r="E2770" s="22">
        <v>133</v>
      </c>
      <c r="F2770" s="22">
        <v>3</v>
      </c>
      <c r="G2770" s="22">
        <v>5</v>
      </c>
      <c r="H2770" s="22"/>
      <c r="I2770" s="23" t="s">
        <v>9</v>
      </c>
      <c r="J2770" s="23"/>
      <c r="K2770" s="22"/>
      <c r="L2770" s="22"/>
      <c r="M2770" s="23"/>
      <c r="N2770" s="23"/>
      <c r="O2770" s="26" t="s">
        <v>5792</v>
      </c>
      <c r="P2770" s="26"/>
      <c r="Q2770" s="22"/>
      <c r="R2770" s="24"/>
      <c r="S2770" s="24"/>
      <c r="T2770" s="24"/>
      <c r="U2770" s="24"/>
      <c r="V2770" s="24"/>
      <c r="W2770" s="22" t="s">
        <v>160</v>
      </c>
      <c r="X2770" s="4" t="str">
        <f>IF(Tabela2[[#This Row],[sigla]]="","",VLOOKUP(Tabela2[[#This Row],[sigla]],créditos_base!B:C,2,0))</f>
        <v>SERGIO LIMA/ARQUIVO DA EDITORA</v>
      </c>
      <c r="Y2770" s="23"/>
      <c r="Z2770" s="23" t="str">
        <f>Tabela2[[#This Row],[ilustrador]]</f>
        <v>SERGIO LIMA/ARQUIVO DA EDITORA</v>
      </c>
      <c r="AA2770" s="22"/>
      <c r="AB2770" s="20"/>
      <c r="AD2770" s="4" t="str">
        <f>"Pitanguá"</f>
        <v>Pitanguá</v>
      </c>
      <c r="AE2770" s="14" t="str">
        <f>"Matemática"</f>
        <v>Matemática</v>
      </c>
      <c r="AF2770" s="14"/>
    </row>
    <row r="2771" spans="1:32" x14ac:dyDescent="0.3">
      <c r="A2771" s="23" t="s">
        <v>5910</v>
      </c>
      <c r="B2771" s="20" t="s">
        <v>16</v>
      </c>
      <c r="C2771" s="20" t="s">
        <v>89</v>
      </c>
      <c r="D2771" s="20" t="s">
        <v>1229</v>
      </c>
      <c r="E2771" s="22">
        <v>210</v>
      </c>
      <c r="F2771" s="22">
        <v>4</v>
      </c>
      <c r="G2771" s="22">
        <v>8</v>
      </c>
      <c r="H2771" s="22"/>
      <c r="I2771" s="23" t="s">
        <v>33</v>
      </c>
      <c r="J2771" s="23"/>
      <c r="K2771" s="22"/>
      <c r="L2771" s="22"/>
      <c r="M2771" s="23"/>
      <c r="N2771" s="23"/>
      <c r="O2771" s="26" t="s">
        <v>5911</v>
      </c>
      <c r="P2771" s="26"/>
      <c r="Q2771" s="22">
        <v>168</v>
      </c>
      <c r="R2771" s="24">
        <v>45895</v>
      </c>
      <c r="S2771" s="24">
        <v>45895</v>
      </c>
      <c r="T2771" s="24"/>
      <c r="U2771" s="24"/>
      <c r="V2771" s="24">
        <v>45896</v>
      </c>
      <c r="W2771" s="22" t="s">
        <v>160</v>
      </c>
      <c r="X2771" s="4" t="str">
        <f>IF(Tabela2[[#This Row],[sigla]]="","",VLOOKUP(Tabela2[[#This Row],[sigla]],créditos_base!B:C,2,0))</f>
        <v>SERGIO LIMA/ARQUIVO DA EDITORA</v>
      </c>
      <c r="Y2771" s="23" t="s">
        <v>243</v>
      </c>
      <c r="Z2771" s="23" t="str">
        <f>Tabela2[[#This Row],[ilustrador]]</f>
        <v>SERGIO LIMA/ARQUIVO DA EDITORA</v>
      </c>
      <c r="AA2771" s="22">
        <v>13</v>
      </c>
      <c r="AB2771" s="20" t="s">
        <v>5903</v>
      </c>
      <c r="AC2771" s="20" t="s">
        <v>36</v>
      </c>
      <c r="AD2771" s="4" t="str">
        <f>"Pitanguá"</f>
        <v>Pitanguá</v>
      </c>
      <c r="AE2771" s="14" t="str">
        <f>"Matemática"</f>
        <v>Matemática</v>
      </c>
      <c r="AF2771" s="14"/>
    </row>
    <row r="2772" spans="1:32" x14ac:dyDescent="0.3">
      <c r="A2772" s="23" t="s">
        <v>1228</v>
      </c>
      <c r="B2772" s="20" t="s">
        <v>16</v>
      </c>
      <c r="C2772" s="20" t="s">
        <v>89</v>
      </c>
      <c r="D2772" s="20" t="s">
        <v>1229</v>
      </c>
      <c r="E2772" s="22">
        <v>84</v>
      </c>
      <c r="F2772" s="22">
        <v>5</v>
      </c>
      <c r="G2772" s="22">
        <v>4</v>
      </c>
      <c r="H2772" s="22"/>
      <c r="I2772" s="23" t="s">
        <v>33</v>
      </c>
      <c r="J2772" s="23"/>
      <c r="K2772" s="22"/>
      <c r="L2772" s="22"/>
      <c r="M2772" s="23"/>
      <c r="N2772" s="23"/>
      <c r="O2772" s="26" t="s">
        <v>1230</v>
      </c>
      <c r="P2772" s="26"/>
      <c r="Q2772" s="22">
        <v>180</v>
      </c>
      <c r="R2772" s="24">
        <v>45905</v>
      </c>
      <c r="S2772" s="24">
        <v>45908</v>
      </c>
      <c r="T2772" s="24"/>
      <c r="U2772" s="24"/>
      <c r="V2772" s="24">
        <v>45908</v>
      </c>
      <c r="W2772" s="22" t="s">
        <v>356</v>
      </c>
      <c r="X2772" s="4" t="str">
        <f>IF(Tabela2[[#This Row],[sigla]]="","",VLOOKUP(Tabela2[[#This Row],[sigla]],créditos_base!B:C,2,0))</f>
        <v>CAMILA CARMONA/ARQUIVO DA EDITORA</v>
      </c>
      <c r="Y2772" s="23" t="s">
        <v>433</v>
      </c>
      <c r="Z2772" s="23" t="str">
        <f>Tabela2[[#This Row],[ilustrador]]</f>
        <v>CAMILA CARMONA/ARQUIVO DA EDITORA</v>
      </c>
      <c r="AA2772" s="22">
        <v>14</v>
      </c>
      <c r="AB2772" s="20" t="s">
        <v>153</v>
      </c>
      <c r="AC2772" s="20" t="s">
        <v>36</v>
      </c>
      <c r="AD2772" s="4" t="str">
        <f>"Pitanguá"</f>
        <v>Pitanguá</v>
      </c>
      <c r="AE2772" s="14" t="str">
        <f>"Matemática"</f>
        <v>Matemática</v>
      </c>
      <c r="AF2772" s="14"/>
    </row>
    <row r="2773" spans="1:32" x14ac:dyDescent="0.3">
      <c r="A2773" s="23" t="s">
        <v>5081</v>
      </c>
      <c r="B2773" s="20" t="s">
        <v>16</v>
      </c>
      <c r="C2773" s="20" t="s">
        <v>89</v>
      </c>
      <c r="D2773" s="20" t="s">
        <v>1229</v>
      </c>
      <c r="E2773" s="22">
        <v>191</v>
      </c>
      <c r="F2773" s="22">
        <v>1</v>
      </c>
      <c r="G2773" s="22">
        <v>8</v>
      </c>
      <c r="H2773" s="22"/>
      <c r="I2773" s="23" t="s">
        <v>9</v>
      </c>
      <c r="J2773" s="23"/>
      <c r="K2773" s="22"/>
      <c r="L2773" s="22"/>
      <c r="M2773" s="23"/>
      <c r="N2773" s="23"/>
      <c r="O2773" s="26" t="s">
        <v>5082</v>
      </c>
      <c r="P2773" s="26"/>
      <c r="Q2773" s="22"/>
      <c r="R2773" s="24"/>
      <c r="S2773" s="24"/>
      <c r="T2773" s="24"/>
      <c r="U2773" s="24"/>
      <c r="V2773" s="24"/>
      <c r="W2773" s="22" t="s">
        <v>160</v>
      </c>
      <c r="X2773" s="4" t="str">
        <f>IF(Tabela2[[#This Row],[sigla]]="","",VLOOKUP(Tabela2[[#This Row],[sigla]],créditos_base!B:C,2,0))</f>
        <v>SERGIO LIMA/ARQUIVO DA EDITORA</v>
      </c>
      <c r="Y2773" s="23"/>
      <c r="Z2773" s="23" t="str">
        <f>Tabela2[[#This Row],[ilustrador]]</f>
        <v>SERGIO LIMA/ARQUIVO DA EDITORA</v>
      </c>
      <c r="AA2773" s="22"/>
      <c r="AB2773" s="20"/>
      <c r="AD2773" s="4" t="str">
        <f>"Pitanguá"</f>
        <v>Pitanguá</v>
      </c>
      <c r="AE2773" s="14" t="str">
        <f>"Matemática"</f>
        <v>Matemática</v>
      </c>
      <c r="AF2773" s="14"/>
    </row>
    <row r="2774" spans="1:32" x14ac:dyDescent="0.3">
      <c r="A2774" s="23" t="s">
        <v>5290</v>
      </c>
      <c r="B2774" s="20" t="s">
        <v>16</v>
      </c>
      <c r="C2774" s="20" t="s">
        <v>89</v>
      </c>
      <c r="D2774" s="20" t="s">
        <v>1229</v>
      </c>
      <c r="E2774" s="22">
        <v>109</v>
      </c>
      <c r="F2774" s="22">
        <v>2</v>
      </c>
      <c r="G2774" s="22">
        <v>3</v>
      </c>
      <c r="H2774" s="22"/>
      <c r="I2774" s="23" t="s">
        <v>90</v>
      </c>
      <c r="J2774" s="23"/>
      <c r="K2774" s="22"/>
      <c r="L2774" s="22"/>
      <c r="M2774" s="23"/>
      <c r="N2774" s="23"/>
      <c r="O2774" s="26" t="s">
        <v>5291</v>
      </c>
      <c r="P2774" s="26"/>
      <c r="Q2774" s="22">
        <v>115</v>
      </c>
      <c r="R2774" s="24">
        <v>45857</v>
      </c>
      <c r="S2774" s="24">
        <v>45859</v>
      </c>
      <c r="T2774" s="24"/>
      <c r="U2774" s="24"/>
      <c r="V2774" s="24">
        <v>45860</v>
      </c>
      <c r="W2774" s="22" t="s">
        <v>468</v>
      </c>
      <c r="X2774" s="4" t="str">
        <f>IF(Tabela2[[#This Row],[sigla]]="","",VLOOKUP(Tabela2[[#This Row],[sigla]],créditos_base!B:C,2,0))</f>
        <v>VER DOCUMENTO DE ILS. TÉCNICAS</v>
      </c>
      <c r="Y2774" s="23" t="s">
        <v>243</v>
      </c>
      <c r="Z2774" s="23" t="s">
        <v>689</v>
      </c>
      <c r="AA2774" s="22">
        <v>13</v>
      </c>
      <c r="AB2774" s="20" t="s">
        <v>5014</v>
      </c>
      <c r="AC2774" s="20" t="s">
        <v>36</v>
      </c>
      <c r="AD2774" s="4" t="str">
        <f>"Pitanguá"</f>
        <v>Pitanguá</v>
      </c>
      <c r="AE2774" s="14" t="str">
        <f>"Matemática"</f>
        <v>Matemática</v>
      </c>
      <c r="AF2774" s="14"/>
    </row>
    <row r="2775" spans="1:32" ht="57.6" x14ac:dyDescent="0.3">
      <c r="A2775" s="23" t="s">
        <v>5781</v>
      </c>
      <c r="B2775" s="20" t="s">
        <v>16</v>
      </c>
      <c r="C2775" s="20" t="s">
        <v>89</v>
      </c>
      <c r="D2775" s="20" t="s">
        <v>1229</v>
      </c>
      <c r="E2775" s="22">
        <v>130</v>
      </c>
      <c r="F2775" s="22">
        <v>3</v>
      </c>
      <c r="G2775" s="22">
        <v>5</v>
      </c>
      <c r="H2775" s="22"/>
      <c r="I2775" s="23" t="s">
        <v>90</v>
      </c>
      <c r="J2775" s="23"/>
      <c r="K2775" s="22"/>
      <c r="L2775" s="22"/>
      <c r="M2775" s="23"/>
      <c r="N2775" s="23"/>
      <c r="O2775" s="26" t="s">
        <v>5782</v>
      </c>
      <c r="P2775" s="26"/>
      <c r="Q2775" s="22">
        <v>143</v>
      </c>
      <c r="R2775" s="24">
        <v>45876</v>
      </c>
      <c r="S2775" s="24">
        <v>45880</v>
      </c>
      <c r="T2775" s="24"/>
      <c r="U2775" s="24"/>
      <c r="V2775" s="24">
        <v>45880</v>
      </c>
      <c r="W2775" s="22" t="s">
        <v>5046</v>
      </c>
      <c r="X2775" s="4" t="str">
        <f>IF(Tabela2[[#This Row],[sigla]]="","",VLOOKUP(Tabela2[[#This Row],[sigla]],créditos_base!B:C,2,0))</f>
        <v>MARYANE VIOTO SILVA/ARQUIVO DA EDITORA</v>
      </c>
      <c r="Y2775" s="23"/>
      <c r="Z2775" s="23" t="str">
        <f>Tabela2[[#This Row],[ilustrador]]</f>
        <v>MARYANE VIOTO SILVA/ARQUIVO DA EDITORA</v>
      </c>
      <c r="AA2775" s="22">
        <v>8</v>
      </c>
      <c r="AB2775" s="20" t="s">
        <v>2058</v>
      </c>
      <c r="AC2775" s="20" t="s">
        <v>36</v>
      </c>
      <c r="AD2775" s="4" t="str">
        <f>"Pitanguá"</f>
        <v>Pitanguá</v>
      </c>
      <c r="AE2775" s="14" t="str">
        <f>"Matemática"</f>
        <v>Matemática</v>
      </c>
      <c r="AF2775" s="14"/>
    </row>
    <row r="2776" spans="1:32" ht="43.2" x14ac:dyDescent="0.3">
      <c r="A2776" s="23" t="s">
        <v>5912</v>
      </c>
      <c r="B2776" s="20" t="s">
        <v>16</v>
      </c>
      <c r="C2776" s="20" t="s">
        <v>89</v>
      </c>
      <c r="D2776" s="20" t="s">
        <v>1229</v>
      </c>
      <c r="E2776" s="22">
        <v>210</v>
      </c>
      <c r="F2776" s="22">
        <v>4</v>
      </c>
      <c r="G2776" s="22">
        <v>8</v>
      </c>
      <c r="H2776" s="22"/>
      <c r="I2776" s="23" t="s">
        <v>33</v>
      </c>
      <c r="J2776" s="23"/>
      <c r="K2776" s="22"/>
      <c r="L2776" s="22"/>
      <c r="M2776" s="23"/>
      <c r="N2776" s="23"/>
      <c r="O2776" s="26" t="s">
        <v>5913</v>
      </c>
      <c r="P2776" s="26"/>
      <c r="Q2776" s="22">
        <v>168</v>
      </c>
      <c r="R2776" s="24">
        <v>45895</v>
      </c>
      <c r="S2776" s="24">
        <v>45895</v>
      </c>
      <c r="T2776" s="24"/>
      <c r="U2776" s="24"/>
      <c r="V2776" s="24">
        <v>45896</v>
      </c>
      <c r="W2776" s="22" t="s">
        <v>160</v>
      </c>
      <c r="X2776" s="4" t="str">
        <f>IF(Tabela2[[#This Row],[sigla]]="","",VLOOKUP(Tabela2[[#This Row],[sigla]],créditos_base!B:C,2,0))</f>
        <v>SERGIO LIMA/ARQUIVO DA EDITORA</v>
      </c>
      <c r="Y2776" s="23" t="s">
        <v>243</v>
      </c>
      <c r="Z2776" s="23" t="str">
        <f>Tabela2[[#This Row],[ilustrador]]</f>
        <v>SERGIO LIMA/ARQUIVO DA EDITORA</v>
      </c>
      <c r="AA2776" s="22">
        <v>13</v>
      </c>
      <c r="AB2776" s="20" t="s">
        <v>5903</v>
      </c>
      <c r="AC2776" s="20" t="s">
        <v>36</v>
      </c>
      <c r="AD2776" s="4" t="str">
        <f>"Pitanguá"</f>
        <v>Pitanguá</v>
      </c>
      <c r="AE2776" s="14" t="str">
        <f>"Matemática"</f>
        <v>Matemática</v>
      </c>
      <c r="AF2776" s="14"/>
    </row>
    <row r="2777" spans="1:32" ht="28.8" x14ac:dyDescent="0.3">
      <c r="A2777" s="23" t="s">
        <v>1240</v>
      </c>
      <c r="B2777" s="20" t="s">
        <v>16</v>
      </c>
      <c r="C2777" s="20" t="s">
        <v>89</v>
      </c>
      <c r="D2777" s="20" t="s">
        <v>1229</v>
      </c>
      <c r="E2777" s="22">
        <v>84</v>
      </c>
      <c r="F2777" s="22">
        <v>5</v>
      </c>
      <c r="G2777" s="22">
        <v>4</v>
      </c>
      <c r="H2777" s="22"/>
      <c r="I2777" s="23" t="s">
        <v>33</v>
      </c>
      <c r="J2777" s="23"/>
      <c r="K2777" s="22"/>
      <c r="L2777" s="22"/>
      <c r="M2777" s="23"/>
      <c r="N2777" s="23"/>
      <c r="O2777" s="26" t="s">
        <v>1241</v>
      </c>
      <c r="P2777" s="26"/>
      <c r="Q2777" s="22">
        <v>180</v>
      </c>
      <c r="R2777" s="24">
        <v>45905</v>
      </c>
      <c r="S2777" s="24">
        <v>45908</v>
      </c>
      <c r="T2777" s="24"/>
      <c r="U2777" s="24"/>
      <c r="V2777" s="24">
        <v>45908</v>
      </c>
      <c r="W2777" s="22" t="s">
        <v>356</v>
      </c>
      <c r="X2777" s="4" t="str">
        <f>IF(Tabela2[[#This Row],[sigla]]="","",VLOOKUP(Tabela2[[#This Row],[sigla]],créditos_base!B:C,2,0))</f>
        <v>CAMILA CARMONA/ARQUIVO DA EDITORA</v>
      </c>
      <c r="Y2777" s="23" t="s">
        <v>433</v>
      </c>
      <c r="Z2777" s="23" t="str">
        <f>Tabela2[[#This Row],[ilustrador]]</f>
        <v>CAMILA CARMONA/ARQUIVO DA EDITORA</v>
      </c>
      <c r="AA2777" s="22">
        <v>14</v>
      </c>
      <c r="AB2777" s="20" t="s">
        <v>153</v>
      </c>
      <c r="AC2777" s="20" t="s">
        <v>36</v>
      </c>
      <c r="AD2777" s="4" t="str">
        <f>"Pitanguá"</f>
        <v>Pitanguá</v>
      </c>
      <c r="AE2777" s="14" t="str">
        <f>"Matemática"</f>
        <v>Matemática</v>
      </c>
      <c r="AF2777" s="14"/>
    </row>
    <row r="2778" spans="1:32" ht="72" x14ac:dyDescent="0.3">
      <c r="A2778" s="23" t="s">
        <v>4877</v>
      </c>
      <c r="B2778" s="20" t="s">
        <v>16</v>
      </c>
      <c r="C2778" s="20" t="s">
        <v>89</v>
      </c>
      <c r="D2778" s="20" t="s">
        <v>1229</v>
      </c>
      <c r="E2778" s="22">
        <v>131</v>
      </c>
      <c r="F2778" s="22">
        <v>1</v>
      </c>
      <c r="G2778" s="22">
        <v>1</v>
      </c>
      <c r="H2778" s="22"/>
      <c r="I2778" s="23" t="s">
        <v>90</v>
      </c>
      <c r="J2778" s="23"/>
      <c r="K2778" s="22"/>
      <c r="L2778" s="22"/>
      <c r="M2778" s="23"/>
      <c r="N2778" s="23"/>
      <c r="O2778" s="26" t="s">
        <v>4878</v>
      </c>
      <c r="P2778" s="26"/>
      <c r="Q2778" s="22">
        <v>85</v>
      </c>
      <c r="R2778" s="24">
        <v>45838</v>
      </c>
      <c r="S2778" s="24">
        <v>45838</v>
      </c>
      <c r="T2778" s="24"/>
      <c r="U2778" s="24"/>
      <c r="V2778" s="24">
        <v>45838</v>
      </c>
      <c r="W2778" s="22" t="s">
        <v>2675</v>
      </c>
      <c r="X2778" s="4" t="str">
        <f>IF(Tabela2[[#This Row],[sigla]]="","",VLOOKUP(Tabela2[[#This Row],[sigla]],créditos_base!B:C,2,0))</f>
        <v>INGRIDHI BORGES/ARQUIVO DA EDITORA</v>
      </c>
      <c r="Y2778" s="23"/>
      <c r="Z2778" s="23" t="str">
        <f>Tabela2[[#This Row],[ilustrador]]</f>
        <v>INGRIDHI BORGES/ARQUIVO DA EDITORA</v>
      </c>
      <c r="AA2778" s="22">
        <v>8</v>
      </c>
      <c r="AB2778" s="20" t="s">
        <v>2058</v>
      </c>
      <c r="AC2778" s="20" t="s">
        <v>36</v>
      </c>
      <c r="AD2778" s="4" t="str">
        <f>"Pitanguá"</f>
        <v>Pitanguá</v>
      </c>
      <c r="AE2778" s="14" t="str">
        <f>"Matemática"</f>
        <v>Matemática</v>
      </c>
      <c r="AF2778" s="14"/>
    </row>
    <row r="2779" spans="1:32" ht="28.8" x14ac:dyDescent="0.3">
      <c r="A2779" s="23" t="s">
        <v>5292</v>
      </c>
      <c r="B2779" s="20" t="s">
        <v>16</v>
      </c>
      <c r="C2779" s="20" t="s">
        <v>89</v>
      </c>
      <c r="D2779" s="20" t="s">
        <v>1229</v>
      </c>
      <c r="E2779" s="22">
        <v>109</v>
      </c>
      <c r="F2779" s="22">
        <v>2</v>
      </c>
      <c r="G2779" s="22">
        <v>3</v>
      </c>
      <c r="H2779" s="22"/>
      <c r="I2779" s="23" t="s">
        <v>90</v>
      </c>
      <c r="J2779" s="23"/>
      <c r="K2779" s="22"/>
      <c r="L2779" s="22"/>
      <c r="M2779" s="23"/>
      <c r="N2779" s="23"/>
      <c r="O2779" s="26" t="s">
        <v>5293</v>
      </c>
      <c r="P2779" s="26"/>
      <c r="Q2779" s="22">
        <v>115</v>
      </c>
      <c r="R2779" s="24">
        <v>45857</v>
      </c>
      <c r="S2779" s="24">
        <v>45859</v>
      </c>
      <c r="T2779" s="24"/>
      <c r="U2779" s="24"/>
      <c r="V2779" s="24">
        <v>45860</v>
      </c>
      <c r="W2779" s="22" t="s">
        <v>468</v>
      </c>
      <c r="X2779" s="4" t="str">
        <f>IF(Tabela2[[#This Row],[sigla]]="","",VLOOKUP(Tabela2[[#This Row],[sigla]],créditos_base!B:C,2,0))</f>
        <v>VER DOCUMENTO DE ILS. TÉCNICAS</v>
      </c>
      <c r="Y2779" s="23" t="s">
        <v>243</v>
      </c>
      <c r="Z2779" s="23" t="s">
        <v>689</v>
      </c>
      <c r="AA2779" s="22">
        <v>13</v>
      </c>
      <c r="AB2779" s="20" t="s">
        <v>5014</v>
      </c>
      <c r="AC2779" s="20" t="s">
        <v>36</v>
      </c>
      <c r="AD2779" s="4" t="str">
        <f>"Pitanguá"</f>
        <v>Pitanguá</v>
      </c>
      <c r="AE2779" s="14" t="str">
        <f>"Matemática"</f>
        <v>Matemática</v>
      </c>
      <c r="AF2779" s="14"/>
    </row>
    <row r="2780" spans="1:32" ht="28.8" x14ac:dyDescent="0.3">
      <c r="A2780" s="23" t="s">
        <v>5783</v>
      </c>
      <c r="B2780" s="20" t="s">
        <v>16</v>
      </c>
      <c r="C2780" s="20" t="s">
        <v>89</v>
      </c>
      <c r="D2780" s="20" t="s">
        <v>1229</v>
      </c>
      <c r="E2780" s="22">
        <v>130</v>
      </c>
      <c r="F2780" s="22">
        <v>3</v>
      </c>
      <c r="G2780" s="22">
        <v>5</v>
      </c>
      <c r="H2780" s="22"/>
      <c r="I2780" s="23" t="s">
        <v>90</v>
      </c>
      <c r="J2780" s="23"/>
      <c r="K2780" s="22"/>
      <c r="L2780" s="22"/>
      <c r="M2780" s="23"/>
      <c r="N2780" s="23"/>
      <c r="O2780" s="26" t="s">
        <v>5784</v>
      </c>
      <c r="P2780" s="26"/>
      <c r="Q2780" s="22">
        <v>143</v>
      </c>
      <c r="R2780" s="24">
        <v>45876</v>
      </c>
      <c r="S2780" s="24">
        <v>45880</v>
      </c>
      <c r="T2780" s="24"/>
      <c r="U2780" s="24"/>
      <c r="V2780" s="24">
        <v>45880</v>
      </c>
      <c r="W2780" s="22" t="s">
        <v>5046</v>
      </c>
      <c r="X2780" s="4" t="str">
        <f>IF(Tabela2[[#This Row],[sigla]]="","",VLOOKUP(Tabela2[[#This Row],[sigla]],créditos_base!B:C,2,0))</f>
        <v>MARYANE VIOTO SILVA/ARQUIVO DA EDITORA</v>
      </c>
      <c r="Y2780" s="23"/>
      <c r="Z2780" s="23" t="str">
        <f>Tabela2[[#This Row],[ilustrador]]</f>
        <v>MARYANE VIOTO SILVA/ARQUIVO DA EDITORA</v>
      </c>
      <c r="AA2780" s="22">
        <v>8</v>
      </c>
      <c r="AB2780" s="20" t="s">
        <v>2058</v>
      </c>
      <c r="AC2780" s="20" t="s">
        <v>36</v>
      </c>
      <c r="AD2780" s="4" t="str">
        <f>"Pitanguá"</f>
        <v>Pitanguá</v>
      </c>
      <c r="AE2780" s="14" t="str">
        <f>"Matemática"</f>
        <v>Matemática</v>
      </c>
      <c r="AF2780" s="14"/>
    </row>
    <row r="2781" spans="1:32" ht="28.8" x14ac:dyDescent="0.3">
      <c r="A2781" s="23" t="s">
        <v>5914</v>
      </c>
      <c r="B2781" s="20" t="s">
        <v>16</v>
      </c>
      <c r="C2781" s="20" t="s">
        <v>89</v>
      </c>
      <c r="D2781" s="20" t="s">
        <v>1229</v>
      </c>
      <c r="E2781" s="22">
        <v>210</v>
      </c>
      <c r="F2781" s="22">
        <v>4</v>
      </c>
      <c r="G2781" s="22">
        <v>8</v>
      </c>
      <c r="H2781" s="22"/>
      <c r="I2781" s="23" t="s">
        <v>33</v>
      </c>
      <c r="J2781" s="23"/>
      <c r="K2781" s="22"/>
      <c r="L2781" s="22"/>
      <c r="M2781" s="23"/>
      <c r="N2781" s="23"/>
      <c r="O2781" s="26" t="s">
        <v>5915</v>
      </c>
      <c r="P2781" s="26"/>
      <c r="Q2781" s="22">
        <v>168</v>
      </c>
      <c r="R2781" s="24">
        <v>45895</v>
      </c>
      <c r="S2781" s="24">
        <v>45895</v>
      </c>
      <c r="T2781" s="24"/>
      <c r="U2781" s="24"/>
      <c r="V2781" s="24">
        <v>45896</v>
      </c>
      <c r="W2781" s="22" t="s">
        <v>160</v>
      </c>
      <c r="X2781" s="4" t="str">
        <f>IF(Tabela2[[#This Row],[sigla]]="","",VLOOKUP(Tabela2[[#This Row],[sigla]],créditos_base!B:C,2,0))</f>
        <v>SERGIO LIMA/ARQUIVO DA EDITORA</v>
      </c>
      <c r="Y2781" s="23" t="s">
        <v>243</v>
      </c>
      <c r="Z2781" s="23" t="str">
        <f>Tabela2[[#This Row],[ilustrador]]</f>
        <v>SERGIO LIMA/ARQUIVO DA EDITORA</v>
      </c>
      <c r="AA2781" s="22">
        <v>13</v>
      </c>
      <c r="AB2781" s="20" t="s">
        <v>5903</v>
      </c>
      <c r="AC2781" s="20" t="s">
        <v>36</v>
      </c>
      <c r="AD2781" s="4" t="str">
        <f>"Pitanguá"</f>
        <v>Pitanguá</v>
      </c>
      <c r="AE2781" s="14" t="str">
        <f>"Matemática"</f>
        <v>Matemática</v>
      </c>
      <c r="AF2781" s="14"/>
    </row>
    <row r="2782" spans="1:32" ht="28.8" x14ac:dyDescent="0.3">
      <c r="A2782" s="23" t="s">
        <v>4875</v>
      </c>
      <c r="B2782" s="20" t="s">
        <v>16</v>
      </c>
      <c r="C2782" s="20" t="s">
        <v>89</v>
      </c>
      <c r="D2782" s="20" t="s">
        <v>1229</v>
      </c>
      <c r="E2782" s="22">
        <v>128</v>
      </c>
      <c r="F2782" s="22">
        <v>1</v>
      </c>
      <c r="G2782" s="22">
        <v>1</v>
      </c>
      <c r="H2782" s="22"/>
      <c r="I2782" s="23" t="s">
        <v>33</v>
      </c>
      <c r="J2782" s="23"/>
      <c r="K2782" s="22"/>
      <c r="L2782" s="22"/>
      <c r="M2782" s="23"/>
      <c r="N2782" s="23"/>
      <c r="O2782" s="26" t="s">
        <v>4876</v>
      </c>
      <c r="P2782" s="26"/>
      <c r="Q2782" s="22">
        <v>85</v>
      </c>
      <c r="R2782" s="24">
        <v>45838</v>
      </c>
      <c r="S2782" s="24">
        <v>45838</v>
      </c>
      <c r="T2782" s="24"/>
      <c r="U2782" s="24"/>
      <c r="V2782" s="24">
        <v>45838</v>
      </c>
      <c r="W2782" s="22" t="s">
        <v>230</v>
      </c>
      <c r="X2782" s="4" t="str">
        <f>IF(Tabela2[[#This Row],[sigla]]="","",VLOOKUP(Tabela2[[#This Row],[sigla]],créditos_base!B:C,2,0))</f>
        <v>RAFAEL L. GAION/ARQUIVO DA EDITORA</v>
      </c>
      <c r="Y2782" s="23" t="s">
        <v>880</v>
      </c>
      <c r="Z2782" s="23" t="str">
        <f>Tabela2[[#This Row],[ilustrador]]</f>
        <v>RAFAEL L. GAION/ARQUIVO DA EDITORA</v>
      </c>
      <c r="AA2782" s="22">
        <v>13</v>
      </c>
      <c r="AB2782" s="20" t="s">
        <v>244</v>
      </c>
      <c r="AC2782" s="20" t="s">
        <v>36</v>
      </c>
      <c r="AD2782" s="4" t="str">
        <f>"Pitanguá"</f>
        <v>Pitanguá</v>
      </c>
      <c r="AE2782" s="14" t="str">
        <f>"Matemática"</f>
        <v>Matemática</v>
      </c>
      <c r="AF2782" s="14"/>
    </row>
    <row r="2783" spans="1:32" ht="28.8" x14ac:dyDescent="0.3">
      <c r="A2783" s="23" t="s">
        <v>5313</v>
      </c>
      <c r="B2783" s="20" t="s">
        <v>16</v>
      </c>
      <c r="C2783" s="20" t="s">
        <v>7</v>
      </c>
      <c r="D2783" s="20" t="s">
        <v>1229</v>
      </c>
      <c r="E2783" s="22">
        <v>139</v>
      </c>
      <c r="F2783" s="22">
        <v>2</v>
      </c>
      <c r="G2783" s="22">
        <v>5</v>
      </c>
      <c r="H2783" s="22"/>
      <c r="I2783" s="23" t="s">
        <v>33</v>
      </c>
      <c r="J2783" s="23"/>
      <c r="K2783" s="22"/>
      <c r="L2783" s="22"/>
      <c r="M2783" s="23"/>
      <c r="N2783" s="23"/>
      <c r="O2783" s="26" t="s">
        <v>5314</v>
      </c>
      <c r="P2783" s="26"/>
      <c r="Q2783" s="22">
        <v>120</v>
      </c>
      <c r="R2783" s="24">
        <v>45860</v>
      </c>
      <c r="S2783" s="24">
        <v>45861</v>
      </c>
      <c r="T2783" s="24"/>
      <c r="U2783" s="24"/>
      <c r="V2783" s="24">
        <v>45861</v>
      </c>
      <c r="W2783" s="22" t="s">
        <v>230</v>
      </c>
      <c r="X2783" s="4" t="str">
        <f>IF(Tabela2[[#This Row],[sigla]]="","",VLOOKUP(Tabela2[[#This Row],[sigla]],créditos_base!B:C,2,0))</f>
        <v>RAFAEL L. GAION/ARQUIVO DA EDITORA</v>
      </c>
      <c r="Y2783" s="23" t="s">
        <v>2951</v>
      </c>
      <c r="Z2783" s="23" t="str">
        <f>Tabela2[[#This Row],[ilustrador]]</f>
        <v>RAFAEL L. GAION/ARQUIVO DA EDITORA</v>
      </c>
      <c r="AA2783" s="22">
        <v>14</v>
      </c>
      <c r="AB2783" s="20" t="s">
        <v>1500</v>
      </c>
      <c r="AC2783" s="20" t="s">
        <v>36</v>
      </c>
      <c r="AD2783" s="4" t="str">
        <f>"Pitanguá"</f>
        <v>Pitanguá</v>
      </c>
      <c r="AE2783" s="14" t="str">
        <f>"Matemática"</f>
        <v>Matemática</v>
      </c>
      <c r="AF2783" s="14"/>
    </row>
    <row r="2784" spans="1:32" ht="28.8" x14ac:dyDescent="0.3">
      <c r="A2784" s="23" t="s">
        <v>5785</v>
      </c>
      <c r="B2784" s="20" t="s">
        <v>16</v>
      </c>
      <c r="C2784" s="20" t="s">
        <v>89</v>
      </c>
      <c r="D2784" s="20" t="s">
        <v>1229</v>
      </c>
      <c r="E2784" s="22">
        <v>130</v>
      </c>
      <c r="F2784" s="22">
        <v>3</v>
      </c>
      <c r="G2784" s="22">
        <v>5</v>
      </c>
      <c r="H2784" s="22"/>
      <c r="I2784" s="23" t="s">
        <v>9</v>
      </c>
      <c r="J2784" s="23"/>
      <c r="K2784" s="22"/>
      <c r="L2784" s="22"/>
      <c r="M2784" s="23"/>
      <c r="N2784" s="23"/>
      <c r="O2784" s="26" t="s">
        <v>5786</v>
      </c>
      <c r="P2784" s="26"/>
      <c r="Q2784" s="22"/>
      <c r="R2784" s="24"/>
      <c r="S2784" s="24"/>
      <c r="T2784" s="24"/>
      <c r="U2784" s="24"/>
      <c r="V2784" s="24"/>
      <c r="W2784" s="22" t="s">
        <v>160</v>
      </c>
      <c r="X2784" s="4" t="str">
        <f>IF(Tabela2[[#This Row],[sigla]]="","",VLOOKUP(Tabela2[[#This Row],[sigla]],créditos_base!B:C,2,0))</f>
        <v>SERGIO LIMA/ARQUIVO DA EDITORA</v>
      </c>
      <c r="Y2784" s="23"/>
      <c r="Z2784" s="23" t="str">
        <f>Tabela2[[#This Row],[ilustrador]]</f>
        <v>SERGIO LIMA/ARQUIVO DA EDITORA</v>
      </c>
      <c r="AA2784" s="22"/>
      <c r="AB2784" s="20"/>
      <c r="AD2784" s="4" t="str">
        <f>"Pitanguá"</f>
        <v>Pitanguá</v>
      </c>
      <c r="AE2784" s="14" t="str">
        <f>"Matemática"</f>
        <v>Matemática</v>
      </c>
      <c r="AF2784" s="14"/>
    </row>
    <row r="2785" spans="1:32" ht="28.8" x14ac:dyDescent="0.3">
      <c r="A2785" s="23" t="s">
        <v>5916</v>
      </c>
      <c r="B2785" s="20" t="s">
        <v>16</v>
      </c>
      <c r="C2785" s="20" t="s">
        <v>89</v>
      </c>
      <c r="D2785" s="20" t="s">
        <v>1229</v>
      </c>
      <c r="E2785" s="22">
        <v>211</v>
      </c>
      <c r="F2785" s="22">
        <v>4</v>
      </c>
      <c r="G2785" s="22">
        <v>8</v>
      </c>
      <c r="H2785" s="22"/>
      <c r="I2785" s="23" t="s">
        <v>33</v>
      </c>
      <c r="J2785" s="23"/>
      <c r="K2785" s="22"/>
      <c r="L2785" s="22"/>
      <c r="M2785" s="23"/>
      <c r="N2785" s="23"/>
      <c r="O2785" s="26" t="s">
        <v>5917</v>
      </c>
      <c r="P2785" s="26"/>
      <c r="Q2785" s="22">
        <v>168</v>
      </c>
      <c r="R2785" s="24">
        <v>45895</v>
      </c>
      <c r="S2785" s="24">
        <v>45895</v>
      </c>
      <c r="T2785" s="24"/>
      <c r="U2785" s="24"/>
      <c r="V2785" s="24">
        <v>45896</v>
      </c>
      <c r="W2785" s="22" t="s">
        <v>940</v>
      </c>
      <c r="X2785" s="4" t="str">
        <f>IF(Tabela2[[#This Row],[sigla]]="","",VLOOKUP(Tabela2[[#This Row],[sigla]],créditos_base!B:C,2,0))</f>
        <v>RONALDO LUCENA/ARQUIVO DA EDITORA</v>
      </c>
      <c r="Y2785" s="23" t="s">
        <v>243</v>
      </c>
      <c r="Z2785" s="23" t="str">
        <f>Tabela2[[#This Row],[ilustrador]]</f>
        <v>RONALDO LUCENA/ARQUIVO DA EDITORA</v>
      </c>
      <c r="AA2785" s="22">
        <v>8</v>
      </c>
      <c r="AB2785" s="20" t="s">
        <v>5903</v>
      </c>
      <c r="AC2785" s="20" t="s">
        <v>36</v>
      </c>
      <c r="AD2785" s="4" t="str">
        <f>"Pitanguá"</f>
        <v>Pitanguá</v>
      </c>
      <c r="AE2785" s="14" t="str">
        <f>"Matemática"</f>
        <v>Matemática</v>
      </c>
      <c r="AF2785" s="14"/>
    </row>
    <row r="2786" spans="1:32" ht="28.8" x14ac:dyDescent="0.3">
      <c r="A2786" s="23" t="s">
        <v>5951</v>
      </c>
      <c r="B2786" s="20" t="s">
        <v>16</v>
      </c>
      <c r="C2786" s="20" t="s">
        <v>89</v>
      </c>
      <c r="D2786" s="20" t="s">
        <v>1229</v>
      </c>
      <c r="E2786" s="22">
        <v>95</v>
      </c>
      <c r="F2786" s="22">
        <v>5</v>
      </c>
      <c r="G2786" s="22">
        <v>4</v>
      </c>
      <c r="H2786" s="22"/>
      <c r="I2786" s="23" t="s">
        <v>90</v>
      </c>
      <c r="J2786" s="23"/>
      <c r="K2786" s="22"/>
      <c r="L2786" s="22"/>
      <c r="M2786" s="23"/>
      <c r="N2786" s="23"/>
      <c r="O2786" s="26" t="s">
        <v>5952</v>
      </c>
      <c r="P2786" s="26"/>
      <c r="Q2786" s="22">
        <v>180</v>
      </c>
      <c r="R2786" s="24">
        <v>45905</v>
      </c>
      <c r="S2786" s="24">
        <v>45908</v>
      </c>
      <c r="T2786" s="24"/>
      <c r="U2786" s="24"/>
      <c r="V2786" s="24">
        <v>45908</v>
      </c>
      <c r="W2786" s="22" t="s">
        <v>5046</v>
      </c>
      <c r="X2786" s="4" t="str">
        <f>IF(Tabela2[[#This Row],[sigla]]="","",VLOOKUP(Tabela2[[#This Row],[sigla]],créditos_base!B:C,2,0))</f>
        <v>MARYANE VIOTO SILVA/ARQUIVO DA EDITORA</v>
      </c>
      <c r="Y2786" s="23"/>
      <c r="Z2786" s="23" t="str">
        <f>Tabela2[[#This Row],[ilustrador]]</f>
        <v>MARYANE VIOTO SILVA/ARQUIVO DA EDITORA</v>
      </c>
      <c r="AA2786" s="22">
        <v>8</v>
      </c>
      <c r="AB2786" s="20" t="s">
        <v>243</v>
      </c>
      <c r="AC2786" s="20" t="s">
        <v>36</v>
      </c>
      <c r="AD2786" s="4" t="str">
        <f>"Pitanguá"</f>
        <v>Pitanguá</v>
      </c>
      <c r="AE2786" s="14" t="str">
        <f>"Matemática"</f>
        <v>Matemática</v>
      </c>
      <c r="AF2786" s="14"/>
    </row>
    <row r="2787" spans="1:32" ht="72" x14ac:dyDescent="0.3">
      <c r="A2787" s="23" t="s">
        <v>4869</v>
      </c>
      <c r="B2787" s="20" t="s">
        <v>16</v>
      </c>
      <c r="C2787" s="20" t="s">
        <v>89</v>
      </c>
      <c r="D2787" s="20" t="s">
        <v>1229</v>
      </c>
      <c r="E2787" s="22">
        <v>26</v>
      </c>
      <c r="F2787" s="22">
        <v>1</v>
      </c>
      <c r="G2787" s="22">
        <v>1</v>
      </c>
      <c r="H2787" s="22"/>
      <c r="I2787" s="23" t="s">
        <v>9</v>
      </c>
      <c r="J2787" s="23"/>
      <c r="K2787" s="22"/>
      <c r="L2787" s="22"/>
      <c r="M2787" s="23"/>
      <c r="N2787" s="23"/>
      <c r="O2787" s="26" t="s">
        <v>4870</v>
      </c>
      <c r="P2787" s="26"/>
      <c r="Q2787" s="22"/>
      <c r="R2787" s="24"/>
      <c r="S2787" s="24"/>
      <c r="T2787" s="24"/>
      <c r="U2787" s="24"/>
      <c r="V2787" s="24"/>
      <c r="W2787" s="22" t="s">
        <v>72</v>
      </c>
      <c r="X2787" s="4" t="str">
        <f>IF(Tabela2[[#This Row],[sigla]]="","",VLOOKUP(Tabela2[[#This Row],[sigla]],créditos_base!B:C,2,0))</f>
        <v>HELOÍSA PINTARELLI/ARQUIVO DA EDITORA</v>
      </c>
      <c r="Y2787" s="23"/>
      <c r="Z2787" s="23" t="str">
        <f>Tabela2[[#This Row],[ilustrador]]</f>
        <v>HELOÍSA PINTARELLI/ARQUIVO DA EDITORA</v>
      </c>
      <c r="AA2787" s="22"/>
      <c r="AB2787" s="20"/>
      <c r="AD2787" s="4" t="str">
        <f>"Pitanguá"</f>
        <v>Pitanguá</v>
      </c>
      <c r="AE2787" s="14" t="str">
        <f>"Matemática"</f>
        <v>Matemática</v>
      </c>
      <c r="AF2787" s="14"/>
    </row>
    <row r="2788" spans="1:32" ht="72" x14ac:dyDescent="0.3">
      <c r="A2788" s="23" t="s">
        <v>5901</v>
      </c>
      <c r="B2788" s="20" t="s">
        <v>16</v>
      </c>
      <c r="C2788" s="20" t="s">
        <v>89</v>
      </c>
      <c r="D2788" s="20" t="s">
        <v>1229</v>
      </c>
      <c r="E2788" s="22">
        <v>193</v>
      </c>
      <c r="F2788" s="22">
        <v>4</v>
      </c>
      <c r="G2788" s="22">
        <v>7</v>
      </c>
      <c r="H2788" s="22"/>
      <c r="I2788" s="23" t="s">
        <v>90</v>
      </c>
      <c r="J2788" s="23"/>
      <c r="K2788" s="22"/>
      <c r="L2788" s="22"/>
      <c r="M2788" s="23"/>
      <c r="N2788" s="23"/>
      <c r="O2788" s="26" t="s">
        <v>5902</v>
      </c>
      <c r="P2788" s="26"/>
      <c r="Q2788" s="22">
        <v>168</v>
      </c>
      <c r="R2788" s="24">
        <v>45895</v>
      </c>
      <c r="S2788" s="24">
        <v>45895</v>
      </c>
      <c r="T2788" s="24"/>
      <c r="U2788" s="24"/>
      <c r="V2788" s="24">
        <v>45896</v>
      </c>
      <c r="W2788" s="22" t="s">
        <v>2675</v>
      </c>
      <c r="X2788" s="4" t="str">
        <f>IF(Tabela2[[#This Row],[sigla]]="","",VLOOKUP(Tabela2[[#This Row],[sigla]],créditos_base!B:C,2,0))</f>
        <v>INGRIDHI BORGES/ARQUIVO DA EDITORA</v>
      </c>
      <c r="Y2788" s="23" t="s">
        <v>243</v>
      </c>
      <c r="Z2788" s="23" t="str">
        <f>Tabela2[[#This Row],[ilustrador]]</f>
        <v>INGRIDHI BORGES/ARQUIVO DA EDITORA</v>
      </c>
      <c r="AA2788" s="22">
        <v>13</v>
      </c>
      <c r="AB2788" s="20" t="s">
        <v>5903</v>
      </c>
      <c r="AC2788" s="20" t="s">
        <v>36</v>
      </c>
      <c r="AD2788" s="4" t="str">
        <f>"Pitanguá"</f>
        <v>Pitanguá</v>
      </c>
      <c r="AE2788" s="14" t="str">
        <f>"Matemática"</f>
        <v>Matemática</v>
      </c>
      <c r="AF2788" s="14"/>
    </row>
    <row r="2789" spans="1:32" x14ac:dyDescent="0.3">
      <c r="A2789" s="23" t="s">
        <v>5953</v>
      </c>
      <c r="B2789" s="20" t="s">
        <v>16</v>
      </c>
      <c r="C2789" s="20" t="s">
        <v>89</v>
      </c>
      <c r="D2789" s="20" t="s">
        <v>1229</v>
      </c>
      <c r="E2789" s="22">
        <v>95</v>
      </c>
      <c r="F2789" s="22">
        <v>5</v>
      </c>
      <c r="G2789" s="22">
        <v>4</v>
      </c>
      <c r="H2789" s="22"/>
      <c r="I2789" s="23" t="s">
        <v>90</v>
      </c>
      <c r="J2789" s="23"/>
      <c r="K2789" s="22"/>
      <c r="L2789" s="22"/>
      <c r="M2789" s="23"/>
      <c r="N2789" s="23"/>
      <c r="O2789" s="26" t="s">
        <v>5954</v>
      </c>
      <c r="P2789" s="26"/>
      <c r="Q2789" s="22">
        <v>180</v>
      </c>
      <c r="R2789" s="24">
        <v>45905</v>
      </c>
      <c r="S2789" s="24">
        <v>45908</v>
      </c>
      <c r="T2789" s="24"/>
      <c r="U2789" s="24"/>
      <c r="V2789" s="24">
        <v>45908</v>
      </c>
      <c r="W2789" s="22" t="s">
        <v>5046</v>
      </c>
      <c r="X2789" s="4" t="str">
        <f>IF(Tabela2[[#This Row],[sigla]]="","",VLOOKUP(Tabela2[[#This Row],[sigla]],créditos_base!B:C,2,0))</f>
        <v>MARYANE VIOTO SILVA/ARQUIVO DA EDITORA</v>
      </c>
      <c r="Y2789" s="23"/>
      <c r="Z2789" s="23" t="str">
        <f>Tabela2[[#This Row],[ilustrador]]</f>
        <v>MARYANE VIOTO SILVA/ARQUIVO DA EDITORA</v>
      </c>
      <c r="AA2789" s="22">
        <v>8</v>
      </c>
      <c r="AB2789" s="20" t="s">
        <v>243</v>
      </c>
      <c r="AC2789" s="20" t="s">
        <v>36</v>
      </c>
      <c r="AD2789" s="4" t="str">
        <f>"Pitanguá"</f>
        <v>Pitanguá</v>
      </c>
      <c r="AE2789" s="14" t="str">
        <f>"Matemática"</f>
        <v>Matemática</v>
      </c>
      <c r="AF2789" s="14"/>
    </row>
    <row r="2790" spans="1:32" x14ac:dyDescent="0.3">
      <c r="A2790" s="23" t="s">
        <v>4871</v>
      </c>
      <c r="B2790" s="20" t="s">
        <v>16</v>
      </c>
      <c r="C2790" s="20" t="s">
        <v>89</v>
      </c>
      <c r="D2790" s="20" t="s">
        <v>1229</v>
      </c>
      <c r="E2790" s="22">
        <v>29</v>
      </c>
      <c r="F2790" s="22">
        <v>1</v>
      </c>
      <c r="G2790" s="22">
        <v>1</v>
      </c>
      <c r="H2790" s="22"/>
      <c r="I2790" s="23" t="s">
        <v>9</v>
      </c>
      <c r="J2790" s="23"/>
      <c r="K2790" s="22"/>
      <c r="L2790" s="22"/>
      <c r="M2790" s="23"/>
      <c r="N2790" s="23"/>
      <c r="O2790" s="26" t="s">
        <v>4872</v>
      </c>
      <c r="P2790" s="26"/>
      <c r="Q2790" s="22"/>
      <c r="R2790" s="24"/>
      <c r="S2790" s="24"/>
      <c r="T2790" s="24"/>
      <c r="U2790" s="24"/>
      <c r="V2790" s="24"/>
      <c r="W2790" s="22" t="s">
        <v>72</v>
      </c>
      <c r="X2790" s="4" t="str">
        <f>IF(Tabela2[[#This Row],[sigla]]="","",VLOOKUP(Tabela2[[#This Row],[sigla]],créditos_base!B:C,2,0))</f>
        <v>HELOÍSA PINTARELLI/ARQUIVO DA EDITORA</v>
      </c>
      <c r="Y2790" s="23"/>
      <c r="Z2790" s="23" t="str">
        <f>Tabela2[[#This Row],[ilustrador]]</f>
        <v>HELOÍSA PINTARELLI/ARQUIVO DA EDITORA</v>
      </c>
      <c r="AA2790" s="22"/>
      <c r="AB2790" s="20"/>
      <c r="AD2790" s="4" t="str">
        <f>"Pitanguá"</f>
        <v>Pitanguá</v>
      </c>
      <c r="AE2790" s="14" t="str">
        <f>"Matemática"</f>
        <v>Matemática</v>
      </c>
      <c r="AF2790" s="14"/>
    </row>
    <row r="2791" spans="1:32" x14ac:dyDescent="0.3">
      <c r="A2791" s="23" t="s">
        <v>5602</v>
      </c>
      <c r="B2791" s="20" t="s">
        <v>16</v>
      </c>
      <c r="C2791" s="20" t="s">
        <v>89</v>
      </c>
      <c r="D2791" s="20" t="s">
        <v>1229</v>
      </c>
      <c r="E2791" s="22">
        <v>221</v>
      </c>
      <c r="F2791" s="22">
        <v>2</v>
      </c>
      <c r="G2791" s="22">
        <v>9</v>
      </c>
      <c r="H2791" s="22"/>
      <c r="I2791" s="23" t="s">
        <v>33</v>
      </c>
      <c r="J2791" s="23"/>
      <c r="K2791" s="22"/>
      <c r="L2791" s="22"/>
      <c r="M2791" s="23"/>
      <c r="N2791" s="23"/>
      <c r="O2791" s="26" t="s">
        <v>5603</v>
      </c>
      <c r="P2791" s="26"/>
      <c r="Q2791" s="22">
        <v>132</v>
      </c>
      <c r="R2791" s="24">
        <v>45864</v>
      </c>
      <c r="S2791" s="24">
        <v>45866</v>
      </c>
      <c r="T2791" s="24"/>
      <c r="U2791" s="24"/>
      <c r="V2791" s="24">
        <v>45866</v>
      </c>
      <c r="W2791" s="22" t="s">
        <v>160</v>
      </c>
      <c r="X2791" s="4" t="str">
        <f>IF(Tabela2[[#This Row],[sigla]]="","",VLOOKUP(Tabela2[[#This Row],[sigla]],créditos_base!B:C,2,0))</f>
        <v>SERGIO LIMA/ARQUIVO DA EDITORA</v>
      </c>
      <c r="Y2791" s="23" t="s">
        <v>2951</v>
      </c>
      <c r="Z2791" s="23" t="str">
        <f>Tabela2[[#This Row],[ilustrador]]</f>
        <v>SERGIO LIMA/ARQUIVO DA EDITORA</v>
      </c>
      <c r="AA2791" s="22">
        <v>14</v>
      </c>
      <c r="AB2791" s="20" t="s">
        <v>1500</v>
      </c>
      <c r="AC2791" s="20" t="s">
        <v>36</v>
      </c>
      <c r="AD2791" s="4" t="str">
        <f>"Pitanguá"</f>
        <v>Pitanguá</v>
      </c>
      <c r="AE2791" s="14" t="str">
        <f>"Matemática"</f>
        <v>Matemática</v>
      </c>
      <c r="AF2791" s="14"/>
    </row>
    <row r="2792" spans="1:32" ht="28.8" x14ac:dyDescent="0.3">
      <c r="A2792" s="23" t="s">
        <v>5904</v>
      </c>
      <c r="B2792" s="20" t="s">
        <v>16</v>
      </c>
      <c r="C2792" s="20" t="s">
        <v>89</v>
      </c>
      <c r="D2792" s="20" t="s">
        <v>1229</v>
      </c>
      <c r="E2792" s="22">
        <v>204</v>
      </c>
      <c r="F2792" s="22">
        <v>4</v>
      </c>
      <c r="G2792" s="22">
        <v>8</v>
      </c>
      <c r="H2792" s="22"/>
      <c r="I2792" s="23" t="s">
        <v>9</v>
      </c>
      <c r="J2792" s="23"/>
      <c r="K2792" s="22"/>
      <c r="L2792" s="22"/>
      <c r="M2792" s="23"/>
      <c r="N2792" s="23"/>
      <c r="O2792" s="26" t="s">
        <v>5905</v>
      </c>
      <c r="P2792" s="26"/>
      <c r="Q2792" s="22"/>
      <c r="R2792" s="24"/>
      <c r="S2792" s="24"/>
      <c r="T2792" s="24"/>
      <c r="U2792" s="24"/>
      <c r="V2792" s="24"/>
      <c r="W2792" s="22" t="s">
        <v>940</v>
      </c>
      <c r="X2792" s="4" t="str">
        <f>IF(Tabela2[[#This Row],[sigla]]="","",VLOOKUP(Tabela2[[#This Row],[sigla]],créditos_base!B:C,2,0))</f>
        <v>RONALDO LUCENA/ARQUIVO DA EDITORA</v>
      </c>
      <c r="Y2792" s="23"/>
      <c r="Z2792" s="23" t="str">
        <f>Tabela2[[#This Row],[ilustrador]]</f>
        <v>RONALDO LUCENA/ARQUIVO DA EDITORA</v>
      </c>
      <c r="AA2792" s="22"/>
      <c r="AB2792" s="20"/>
      <c r="AD2792" s="4" t="str">
        <f>"Pitanguá"</f>
        <v>Pitanguá</v>
      </c>
      <c r="AE2792" s="14" t="str">
        <f>"Matemática"</f>
        <v>Matemática</v>
      </c>
      <c r="AF2792" s="14"/>
    </row>
    <row r="2793" spans="1:32" ht="43.2" x14ac:dyDescent="0.3">
      <c r="A2793" s="23" t="s">
        <v>5955</v>
      </c>
      <c r="B2793" s="20" t="s">
        <v>16</v>
      </c>
      <c r="C2793" s="20" t="s">
        <v>89</v>
      </c>
      <c r="D2793" s="20" t="s">
        <v>1229</v>
      </c>
      <c r="E2793" s="22">
        <v>95</v>
      </c>
      <c r="F2793" s="22">
        <v>5</v>
      </c>
      <c r="G2793" s="22">
        <v>4</v>
      </c>
      <c r="H2793" s="22"/>
      <c r="I2793" s="23" t="s">
        <v>90</v>
      </c>
      <c r="J2793" s="23"/>
      <c r="K2793" s="22"/>
      <c r="L2793" s="22"/>
      <c r="M2793" s="23"/>
      <c r="N2793" s="23"/>
      <c r="O2793" s="26" t="s">
        <v>5956</v>
      </c>
      <c r="P2793" s="26"/>
      <c r="Q2793" s="22">
        <v>180</v>
      </c>
      <c r="R2793" s="24">
        <v>45905</v>
      </c>
      <c r="S2793" s="24">
        <v>45908</v>
      </c>
      <c r="T2793" s="24"/>
      <c r="U2793" s="24"/>
      <c r="V2793" s="24">
        <v>45908</v>
      </c>
      <c r="W2793" s="22" t="s">
        <v>5046</v>
      </c>
      <c r="X2793" s="4" t="str">
        <f>IF(Tabela2[[#This Row],[sigla]]="","",VLOOKUP(Tabela2[[#This Row],[sigla]],créditos_base!B:C,2,0))</f>
        <v>MARYANE VIOTO SILVA/ARQUIVO DA EDITORA</v>
      </c>
      <c r="Y2793" s="23"/>
      <c r="Z2793" s="23" t="str">
        <f>Tabela2[[#This Row],[ilustrador]]</f>
        <v>MARYANE VIOTO SILVA/ARQUIVO DA EDITORA</v>
      </c>
      <c r="AA2793" s="22">
        <v>8</v>
      </c>
      <c r="AB2793" s="20" t="s">
        <v>243</v>
      </c>
      <c r="AC2793" s="20" t="s">
        <v>36</v>
      </c>
      <c r="AD2793" s="4" t="str">
        <f>"Pitanguá"</f>
        <v>Pitanguá</v>
      </c>
      <c r="AE2793" s="14" t="str">
        <f>"Matemática"</f>
        <v>Matemática</v>
      </c>
      <c r="AF2793" s="14"/>
    </row>
    <row r="2794" spans="1:32" ht="57.6" x14ac:dyDescent="0.3">
      <c r="A2794" s="23" t="s">
        <v>5604</v>
      </c>
      <c r="B2794" s="20" t="s">
        <v>16</v>
      </c>
      <c r="C2794" s="20" t="s">
        <v>89</v>
      </c>
      <c r="D2794" s="20" t="s">
        <v>1229</v>
      </c>
      <c r="E2794" s="22">
        <v>221</v>
      </c>
      <c r="F2794" s="22">
        <v>2</v>
      </c>
      <c r="G2794" s="22">
        <v>9</v>
      </c>
      <c r="H2794" s="22"/>
      <c r="I2794" s="23" t="s">
        <v>33</v>
      </c>
      <c r="J2794" s="23"/>
      <c r="K2794" s="22"/>
      <c r="L2794" s="22"/>
      <c r="M2794" s="23"/>
      <c r="N2794" s="23"/>
      <c r="O2794" s="26" t="s">
        <v>5605</v>
      </c>
      <c r="P2794" s="26"/>
      <c r="Q2794" s="22">
        <v>132</v>
      </c>
      <c r="R2794" s="24">
        <v>45864</v>
      </c>
      <c r="S2794" s="24">
        <v>45866</v>
      </c>
      <c r="T2794" s="24"/>
      <c r="U2794" s="24"/>
      <c r="V2794" s="24">
        <v>45866</v>
      </c>
      <c r="W2794" s="22" t="s">
        <v>160</v>
      </c>
      <c r="X2794" s="4" t="str">
        <f>IF(Tabela2[[#This Row],[sigla]]="","",VLOOKUP(Tabela2[[#This Row],[sigla]],créditos_base!B:C,2,0))</f>
        <v>SERGIO LIMA/ARQUIVO DA EDITORA</v>
      </c>
      <c r="Y2794" s="23" t="s">
        <v>2951</v>
      </c>
      <c r="Z2794" s="23" t="str">
        <f>Tabela2[[#This Row],[ilustrador]]</f>
        <v>SERGIO LIMA/ARQUIVO DA EDITORA</v>
      </c>
      <c r="AA2794" s="22">
        <v>14</v>
      </c>
      <c r="AB2794" s="20" t="s">
        <v>1500</v>
      </c>
      <c r="AC2794" s="20" t="s">
        <v>36</v>
      </c>
      <c r="AD2794" s="4" t="str">
        <f>"Pitanguá"</f>
        <v>Pitanguá</v>
      </c>
      <c r="AE2794" s="14" t="str">
        <f>"Matemática"</f>
        <v>Matemática</v>
      </c>
      <c r="AF2794" s="14"/>
    </row>
    <row r="2795" spans="1:32" ht="57.6" x14ac:dyDescent="0.3">
      <c r="A2795" s="23" t="s">
        <v>5906</v>
      </c>
      <c r="B2795" s="20" t="s">
        <v>16</v>
      </c>
      <c r="C2795" s="20" t="s">
        <v>89</v>
      </c>
      <c r="D2795" s="20" t="s">
        <v>1229</v>
      </c>
      <c r="E2795" s="22">
        <v>204</v>
      </c>
      <c r="F2795" s="22">
        <v>4</v>
      </c>
      <c r="G2795" s="22">
        <v>8</v>
      </c>
      <c r="H2795" s="22"/>
      <c r="I2795" s="23" t="s">
        <v>9</v>
      </c>
      <c r="J2795" s="23"/>
      <c r="K2795" s="22"/>
      <c r="L2795" s="22"/>
      <c r="M2795" s="23"/>
      <c r="N2795" s="23"/>
      <c r="O2795" s="26" t="s">
        <v>5907</v>
      </c>
      <c r="P2795" s="26"/>
      <c r="Q2795" s="22"/>
      <c r="R2795" s="24"/>
      <c r="S2795" s="24"/>
      <c r="T2795" s="24"/>
      <c r="U2795" s="24"/>
      <c r="V2795" s="24"/>
      <c r="W2795" s="22" t="s">
        <v>940</v>
      </c>
      <c r="X2795" s="4" t="str">
        <f>IF(Tabela2[[#This Row],[sigla]]="","",VLOOKUP(Tabela2[[#This Row],[sigla]],créditos_base!B:C,2,0))</f>
        <v>RONALDO LUCENA/ARQUIVO DA EDITORA</v>
      </c>
      <c r="Y2795" s="23"/>
      <c r="Z2795" s="23" t="str">
        <f>Tabela2[[#This Row],[ilustrador]]</f>
        <v>RONALDO LUCENA/ARQUIVO DA EDITORA</v>
      </c>
      <c r="AA2795" s="22"/>
      <c r="AB2795" s="20"/>
      <c r="AD2795" s="4" t="str">
        <f>"Pitanguá"</f>
        <v>Pitanguá</v>
      </c>
      <c r="AE2795" s="14" t="str">
        <f>"Matemática"</f>
        <v>Matemática</v>
      </c>
      <c r="AF2795" s="14"/>
    </row>
    <row r="2796" spans="1:32" ht="57.6" x14ac:dyDescent="0.3">
      <c r="A2796" s="23" t="s">
        <v>5957</v>
      </c>
      <c r="B2796" s="20" t="s">
        <v>16</v>
      </c>
      <c r="C2796" s="20" t="s">
        <v>89</v>
      </c>
      <c r="D2796" s="20" t="s">
        <v>1229</v>
      </c>
      <c r="E2796" s="22">
        <v>95</v>
      </c>
      <c r="F2796" s="22">
        <v>5</v>
      </c>
      <c r="G2796" s="22">
        <v>4</v>
      </c>
      <c r="H2796" s="22"/>
      <c r="I2796" s="23" t="s">
        <v>90</v>
      </c>
      <c r="J2796" s="23"/>
      <c r="K2796" s="22"/>
      <c r="L2796" s="22"/>
      <c r="M2796" s="23"/>
      <c r="N2796" s="23"/>
      <c r="O2796" s="26" t="s">
        <v>5958</v>
      </c>
      <c r="P2796" s="26"/>
      <c r="Q2796" s="22">
        <v>180</v>
      </c>
      <c r="R2796" s="24">
        <v>45905</v>
      </c>
      <c r="S2796" s="24">
        <v>45908</v>
      </c>
      <c r="T2796" s="24"/>
      <c r="U2796" s="24"/>
      <c r="V2796" s="24">
        <v>45908</v>
      </c>
      <c r="W2796" s="22" t="s">
        <v>5046</v>
      </c>
      <c r="X2796" s="4" t="str">
        <f>IF(Tabela2[[#This Row],[sigla]]="","",VLOOKUP(Tabela2[[#This Row],[sigla]],créditos_base!B:C,2,0))</f>
        <v>MARYANE VIOTO SILVA/ARQUIVO DA EDITORA</v>
      </c>
      <c r="Y2796" s="23"/>
      <c r="Z2796" s="23" t="str">
        <f>Tabela2[[#This Row],[ilustrador]]</f>
        <v>MARYANE VIOTO SILVA/ARQUIVO DA EDITORA</v>
      </c>
      <c r="AA2796" s="22">
        <v>8</v>
      </c>
      <c r="AB2796" s="20" t="s">
        <v>243</v>
      </c>
      <c r="AC2796" s="20" t="s">
        <v>36</v>
      </c>
      <c r="AD2796" s="4" t="str">
        <f>"Pitanguá"</f>
        <v>Pitanguá</v>
      </c>
      <c r="AE2796" s="14" t="str">
        <f>"Matemática"</f>
        <v>Matemática</v>
      </c>
      <c r="AF2796" s="14"/>
    </row>
    <row r="2797" spans="1:32" ht="57.6" x14ac:dyDescent="0.3">
      <c r="A2797" s="23" t="s">
        <v>5606</v>
      </c>
      <c r="B2797" s="20" t="s">
        <v>16</v>
      </c>
      <c r="C2797" s="20" t="s">
        <v>89</v>
      </c>
      <c r="D2797" s="20" t="s">
        <v>1229</v>
      </c>
      <c r="E2797" s="22">
        <v>221</v>
      </c>
      <c r="F2797" s="22">
        <v>2</v>
      </c>
      <c r="G2797" s="22">
        <v>9</v>
      </c>
      <c r="H2797" s="22"/>
      <c r="I2797" s="23" t="s">
        <v>33</v>
      </c>
      <c r="J2797" s="23"/>
      <c r="K2797" s="22"/>
      <c r="L2797" s="22"/>
      <c r="M2797" s="23"/>
      <c r="N2797" s="23"/>
      <c r="O2797" s="26" t="s">
        <v>5607</v>
      </c>
      <c r="P2797" s="26"/>
      <c r="Q2797" s="22">
        <v>132</v>
      </c>
      <c r="R2797" s="24">
        <v>45864</v>
      </c>
      <c r="S2797" s="24">
        <v>45866</v>
      </c>
      <c r="T2797" s="24"/>
      <c r="U2797" s="24"/>
      <c r="V2797" s="24">
        <v>45866</v>
      </c>
      <c r="W2797" s="22" t="s">
        <v>160</v>
      </c>
      <c r="X2797" s="4" t="str">
        <f>IF(Tabela2[[#This Row],[sigla]]="","",VLOOKUP(Tabela2[[#This Row],[sigla]],créditos_base!B:C,2,0))</f>
        <v>SERGIO LIMA/ARQUIVO DA EDITORA</v>
      </c>
      <c r="Y2797" s="23" t="s">
        <v>2951</v>
      </c>
      <c r="Z2797" s="23" t="str">
        <f>Tabela2[[#This Row],[ilustrador]]</f>
        <v>SERGIO LIMA/ARQUIVO DA EDITORA</v>
      </c>
      <c r="AA2797" s="22">
        <v>14</v>
      </c>
      <c r="AB2797" s="20" t="s">
        <v>1500</v>
      </c>
      <c r="AC2797" s="20" t="s">
        <v>36</v>
      </c>
      <c r="AD2797" s="4" t="str">
        <f>"Pitanguá"</f>
        <v>Pitanguá</v>
      </c>
      <c r="AE2797" s="14" t="str">
        <f>"Matemática"</f>
        <v>Matemática</v>
      </c>
      <c r="AF2797" s="14"/>
    </row>
    <row r="2798" spans="1:32" ht="57.6" x14ac:dyDescent="0.3">
      <c r="A2798" s="23" t="s">
        <v>5918</v>
      </c>
      <c r="B2798" s="20" t="s">
        <v>16</v>
      </c>
      <c r="C2798" s="20" t="s">
        <v>7</v>
      </c>
      <c r="D2798" s="20" t="s">
        <v>1229</v>
      </c>
      <c r="E2798" s="22">
        <v>210</v>
      </c>
      <c r="F2798" s="22">
        <v>4</v>
      </c>
      <c r="G2798" s="22">
        <v>9</v>
      </c>
      <c r="H2798" s="22"/>
      <c r="I2798" s="23" t="s">
        <v>9</v>
      </c>
      <c r="J2798" s="23"/>
      <c r="K2798" s="22"/>
      <c r="L2798" s="22"/>
      <c r="M2798" s="23"/>
      <c r="N2798" s="23"/>
      <c r="O2798" s="26" t="s">
        <v>5919</v>
      </c>
      <c r="P2798" s="26"/>
      <c r="Q2798" s="22"/>
      <c r="R2798" s="24"/>
      <c r="S2798" s="24"/>
      <c r="T2798" s="24"/>
      <c r="U2798" s="24"/>
      <c r="V2798" s="24"/>
      <c r="W2798" s="22" t="s">
        <v>5046</v>
      </c>
      <c r="X2798" s="4" t="str">
        <f>IF(Tabela2[[#This Row],[sigla]]="","",VLOOKUP(Tabela2[[#This Row],[sigla]],créditos_base!B:C,2,0))</f>
        <v>MARYANE VIOTO SILVA/ARQUIVO DA EDITORA</v>
      </c>
      <c r="Y2798" s="23"/>
      <c r="Z2798" s="23" t="str">
        <f>Tabela2[[#This Row],[ilustrador]]</f>
        <v>MARYANE VIOTO SILVA/ARQUIVO DA EDITORA</v>
      </c>
      <c r="AA2798" s="22"/>
      <c r="AB2798" s="20"/>
      <c r="AD2798" s="4" t="str">
        <f>"Pitanguá"</f>
        <v>Pitanguá</v>
      </c>
      <c r="AE2798" s="14" t="str">
        <f>"Matemática"</f>
        <v>Matemática</v>
      </c>
      <c r="AF2798" s="14"/>
    </row>
    <row r="2799" spans="1:32" ht="43.2" x14ac:dyDescent="0.3">
      <c r="A2799" s="23" t="s">
        <v>5959</v>
      </c>
      <c r="B2799" s="20" t="s">
        <v>16</v>
      </c>
      <c r="C2799" s="20" t="s">
        <v>89</v>
      </c>
      <c r="D2799" s="20" t="s">
        <v>1229</v>
      </c>
      <c r="E2799" s="22">
        <v>95</v>
      </c>
      <c r="F2799" s="22">
        <v>5</v>
      </c>
      <c r="G2799" s="22">
        <v>4</v>
      </c>
      <c r="H2799" s="22"/>
      <c r="I2799" s="23" t="s">
        <v>90</v>
      </c>
      <c r="J2799" s="23"/>
      <c r="K2799" s="22"/>
      <c r="L2799" s="22"/>
      <c r="M2799" s="23"/>
      <c r="N2799" s="23"/>
      <c r="O2799" s="26" t="s">
        <v>5960</v>
      </c>
      <c r="P2799" s="26"/>
      <c r="Q2799" s="22">
        <v>180</v>
      </c>
      <c r="R2799" s="24">
        <v>45905</v>
      </c>
      <c r="S2799" s="24">
        <v>45908</v>
      </c>
      <c r="T2799" s="24"/>
      <c r="U2799" s="24"/>
      <c r="V2799" s="24">
        <v>45908</v>
      </c>
      <c r="W2799" s="22" t="s">
        <v>5046</v>
      </c>
      <c r="X2799" s="4" t="str">
        <f>IF(Tabela2[[#This Row],[sigla]]="","",VLOOKUP(Tabela2[[#This Row],[sigla]],créditos_base!B:C,2,0))</f>
        <v>MARYANE VIOTO SILVA/ARQUIVO DA EDITORA</v>
      </c>
      <c r="Y2799" s="23"/>
      <c r="Z2799" s="23" t="str">
        <f>Tabela2[[#This Row],[ilustrador]]</f>
        <v>MARYANE VIOTO SILVA/ARQUIVO DA EDITORA</v>
      </c>
      <c r="AA2799" s="22">
        <v>8</v>
      </c>
      <c r="AB2799" s="20" t="s">
        <v>243</v>
      </c>
      <c r="AC2799" s="20" t="s">
        <v>36</v>
      </c>
      <c r="AD2799" s="4" t="str">
        <f>"Pitanguá"</f>
        <v>Pitanguá</v>
      </c>
      <c r="AE2799" s="14" t="str">
        <f>"Matemática"</f>
        <v>Matemática</v>
      </c>
      <c r="AF2799" s="14"/>
    </row>
    <row r="2800" spans="1:32" ht="43.2" x14ac:dyDescent="0.3">
      <c r="A2800" s="23" t="s">
        <v>5922</v>
      </c>
      <c r="B2800" s="20" t="s">
        <v>6</v>
      </c>
      <c r="C2800" s="20" t="s">
        <v>7</v>
      </c>
      <c r="D2800" s="20" t="s">
        <v>5923</v>
      </c>
      <c r="E2800" s="22"/>
      <c r="F2800" s="22">
        <v>1</v>
      </c>
      <c r="G2800" s="22"/>
      <c r="H2800" s="22"/>
      <c r="I2800" s="23" t="s">
        <v>90</v>
      </c>
      <c r="J2800" s="23"/>
      <c r="K2800" s="22"/>
      <c r="L2800" s="22"/>
      <c r="M2800" s="23"/>
      <c r="N2800" s="23"/>
      <c r="O2800" s="26" t="s">
        <v>5924</v>
      </c>
      <c r="P2800" t="s">
        <v>5925</v>
      </c>
      <c r="Q2800" s="22">
        <v>175</v>
      </c>
      <c r="R2800" s="24">
        <v>45898</v>
      </c>
      <c r="S2800" s="24"/>
      <c r="T2800" s="24"/>
      <c r="U2800" s="24"/>
      <c r="V2800" s="24"/>
      <c r="W2800" s="22"/>
      <c r="X2800" s="4" t="str">
        <f>IF(Tabela2[[#This Row],[sigla]]="","",VLOOKUP(Tabela2[[#This Row],[sigla]],créditos_base!B:C,2,0))</f>
        <v/>
      </c>
      <c r="Y2800" s="23"/>
      <c r="Z2800" s="23" t="str">
        <f>Tabela2[[#This Row],[ilustrador]]</f>
        <v/>
      </c>
      <c r="AA2800" s="22"/>
      <c r="AB2800" t="s">
        <v>5925</v>
      </c>
      <c r="AD2800" s="4" t="str">
        <f>"Pitanguá"</f>
        <v>Pitanguá</v>
      </c>
      <c r="AE2800" s="14" t="str">
        <f>"Matemática"</f>
        <v>Matemática</v>
      </c>
      <c r="AF2800" s="14"/>
    </row>
    <row r="2801" spans="1:32" ht="57.6" x14ac:dyDescent="0.3">
      <c r="A2801" s="23" t="s">
        <v>5608</v>
      </c>
      <c r="B2801" s="20" t="s">
        <v>16</v>
      </c>
      <c r="C2801" s="20" t="s">
        <v>89</v>
      </c>
      <c r="D2801" s="20" t="s">
        <v>1229</v>
      </c>
      <c r="E2801" s="22">
        <v>221</v>
      </c>
      <c r="F2801" s="22">
        <v>2</v>
      </c>
      <c r="G2801" s="22">
        <v>9</v>
      </c>
      <c r="H2801" s="22"/>
      <c r="I2801" s="23" t="s">
        <v>33</v>
      </c>
      <c r="J2801" s="23"/>
      <c r="K2801" s="22"/>
      <c r="L2801" s="22"/>
      <c r="M2801" s="23"/>
      <c r="N2801" s="23"/>
      <c r="O2801" s="26" t="s">
        <v>5609</v>
      </c>
      <c r="P2801" s="26"/>
      <c r="Q2801" s="22">
        <v>132</v>
      </c>
      <c r="R2801" s="24">
        <v>45864</v>
      </c>
      <c r="S2801" s="24">
        <v>45866</v>
      </c>
      <c r="T2801" s="24"/>
      <c r="U2801" s="24"/>
      <c r="V2801" s="24">
        <v>45866</v>
      </c>
      <c r="W2801" s="22" t="s">
        <v>160</v>
      </c>
      <c r="X2801" s="4" t="str">
        <f>IF(Tabela2[[#This Row],[sigla]]="","",VLOOKUP(Tabela2[[#This Row],[sigla]],créditos_base!B:C,2,0))</f>
        <v>SERGIO LIMA/ARQUIVO DA EDITORA</v>
      </c>
      <c r="Y2801" s="23" t="s">
        <v>2951</v>
      </c>
      <c r="Z2801" s="23" t="str">
        <f>Tabela2[[#This Row],[ilustrador]]</f>
        <v>SERGIO LIMA/ARQUIVO DA EDITORA</v>
      </c>
      <c r="AA2801" s="22">
        <v>14</v>
      </c>
      <c r="AB2801" s="20" t="s">
        <v>1500</v>
      </c>
      <c r="AC2801" s="20" t="s">
        <v>36</v>
      </c>
      <c r="AD2801" s="4" t="str">
        <f>"Pitanguá"</f>
        <v>Pitanguá</v>
      </c>
      <c r="AE2801" s="14" t="str">
        <f>"Matemática"</f>
        <v>Matemática</v>
      </c>
      <c r="AF2801" s="14"/>
    </row>
    <row r="2802" spans="1:32" ht="43.2" x14ac:dyDescent="0.3">
      <c r="A2802" s="23" t="s">
        <v>5961</v>
      </c>
      <c r="B2802" s="20" t="s">
        <v>16</v>
      </c>
      <c r="C2802" s="20" t="s">
        <v>89</v>
      </c>
      <c r="D2802" s="20" t="s">
        <v>1229</v>
      </c>
      <c r="E2802" s="22">
        <v>242</v>
      </c>
      <c r="F2802" s="22">
        <v>4</v>
      </c>
      <c r="G2802" s="22">
        <v>10</v>
      </c>
      <c r="H2802" s="22"/>
      <c r="I2802" s="23" t="s">
        <v>9</v>
      </c>
      <c r="J2802" s="23"/>
      <c r="K2802" s="22"/>
      <c r="L2802" s="22"/>
      <c r="M2802" s="23"/>
      <c r="N2802" s="23"/>
      <c r="O2802" s="26" t="s">
        <v>5962</v>
      </c>
      <c r="P2802" s="26"/>
      <c r="Q2802" s="22"/>
      <c r="R2802" s="24"/>
      <c r="S2802" s="24"/>
      <c r="T2802" s="24"/>
      <c r="U2802" s="24"/>
      <c r="V2802" s="24"/>
      <c r="W2802" s="22" t="s">
        <v>230</v>
      </c>
      <c r="X2802" s="4" t="str">
        <f>IF(Tabela2[[#This Row],[sigla]]="","",VLOOKUP(Tabela2[[#This Row],[sigla]],créditos_base!B:C,2,0))</f>
        <v>RAFAEL L. GAION/ARQUIVO DA EDITORA</v>
      </c>
      <c r="Y2802" s="23"/>
      <c r="Z2802" s="23" t="str">
        <f>Tabela2[[#This Row],[ilustrador]]</f>
        <v>RAFAEL L. GAION/ARQUIVO DA EDITORA</v>
      </c>
      <c r="AA2802" s="22"/>
      <c r="AB2802" s="20"/>
      <c r="AD2802" s="4" t="str">
        <f>"Pitanguá"</f>
        <v>Pitanguá</v>
      </c>
      <c r="AE2802" s="14" t="str">
        <f>"Matemática"</f>
        <v>Matemática</v>
      </c>
      <c r="AF2802" s="14"/>
    </row>
    <row r="2803" spans="1:32" ht="57.6" x14ac:dyDescent="0.3">
      <c r="A2803" s="23" t="s">
        <v>5975</v>
      </c>
      <c r="B2803" s="20" t="s">
        <v>16</v>
      </c>
      <c r="C2803" s="20" t="s">
        <v>89</v>
      </c>
      <c r="D2803" s="20" t="s">
        <v>1229</v>
      </c>
      <c r="E2803" s="22">
        <v>129</v>
      </c>
      <c r="F2803" s="22">
        <v>5</v>
      </c>
      <c r="G2803" s="22">
        <v>5</v>
      </c>
      <c r="H2803" s="22"/>
      <c r="I2803" s="23" t="s">
        <v>33</v>
      </c>
      <c r="J2803" s="23"/>
      <c r="K2803" s="22"/>
      <c r="L2803" s="22"/>
      <c r="M2803" s="23"/>
      <c r="N2803" s="23"/>
      <c r="O2803" s="26" t="s">
        <v>5976</v>
      </c>
      <c r="P2803" s="26"/>
      <c r="Q2803" s="22">
        <v>195</v>
      </c>
      <c r="R2803" s="24">
        <v>45916</v>
      </c>
      <c r="S2803" s="24">
        <v>45916</v>
      </c>
      <c r="T2803" s="24"/>
      <c r="U2803" s="24"/>
      <c r="V2803" s="24">
        <v>45916</v>
      </c>
      <c r="W2803" s="22" t="s">
        <v>940</v>
      </c>
      <c r="X2803" s="4" t="str">
        <f>IF(Tabela2[[#This Row],[sigla]]="","",VLOOKUP(Tabela2[[#This Row],[sigla]],créditos_base!B:C,2,0))</f>
        <v>RONALDO LUCENA/ARQUIVO DA EDITORA</v>
      </c>
      <c r="Y2803" s="23" t="s">
        <v>696</v>
      </c>
      <c r="Z2803" s="23" t="str">
        <f>Tabela2[[#This Row],[ilustrador]]</f>
        <v>RONALDO LUCENA/ARQUIVO DA EDITORA</v>
      </c>
      <c r="AA2803" s="22">
        <v>13</v>
      </c>
      <c r="AB2803" s="20" t="s">
        <v>41</v>
      </c>
      <c r="AC2803" s="20" t="s">
        <v>36</v>
      </c>
      <c r="AD2803" s="4" t="str">
        <f>"Pitanguá"</f>
        <v>Pitanguá</v>
      </c>
      <c r="AE2803" s="14" t="str">
        <f>"Matemática"</f>
        <v>Matemática</v>
      </c>
      <c r="AF2803" s="14"/>
    </row>
    <row r="2804" spans="1:32" ht="43.2" x14ac:dyDescent="0.3">
      <c r="A2804" s="23" t="s">
        <v>5926</v>
      </c>
      <c r="B2804" s="20" t="s">
        <v>6</v>
      </c>
      <c r="C2804" s="20" t="s">
        <v>7</v>
      </c>
      <c r="D2804" s="20" t="s">
        <v>5923</v>
      </c>
      <c r="E2804" s="22"/>
      <c r="F2804" s="22">
        <v>1</v>
      </c>
      <c r="G2804" s="22"/>
      <c r="H2804" s="22"/>
      <c r="I2804" s="23" t="s">
        <v>90</v>
      </c>
      <c r="J2804" s="23"/>
      <c r="K2804" s="22"/>
      <c r="L2804" s="22"/>
      <c r="M2804" s="23"/>
      <c r="N2804" s="23"/>
      <c r="O2804" s="26" t="s">
        <v>5927</v>
      </c>
      <c r="P2804" t="s">
        <v>5925</v>
      </c>
      <c r="Q2804" s="22">
        <v>175</v>
      </c>
      <c r="R2804" s="24">
        <v>45898</v>
      </c>
      <c r="S2804" s="24"/>
      <c r="T2804" s="24"/>
      <c r="U2804" s="24"/>
      <c r="V2804" s="24"/>
      <c r="W2804" s="22"/>
      <c r="X2804" s="4" t="str">
        <f>IF(Tabela2[[#This Row],[sigla]]="","",VLOOKUP(Tabela2[[#This Row],[sigla]],créditos_base!B:C,2,0))</f>
        <v/>
      </c>
      <c r="Y2804" s="23"/>
      <c r="Z2804" s="23" t="str">
        <f>Tabela2[[#This Row],[ilustrador]]</f>
        <v/>
      </c>
      <c r="AA2804" s="22"/>
      <c r="AB2804" t="s">
        <v>5925</v>
      </c>
      <c r="AD2804" s="4" t="str">
        <f>"Pitanguá"</f>
        <v>Pitanguá</v>
      </c>
      <c r="AE2804" s="14" t="str">
        <f>"Matemática"</f>
        <v>Matemática</v>
      </c>
      <c r="AF2804" s="14"/>
    </row>
    <row r="2805" spans="1:32" x14ac:dyDescent="0.3">
      <c r="A2805" s="23" t="s">
        <v>5610</v>
      </c>
      <c r="B2805" s="20" t="s">
        <v>16</v>
      </c>
      <c r="C2805" s="20" t="s">
        <v>89</v>
      </c>
      <c r="D2805" s="20" t="s">
        <v>1229</v>
      </c>
      <c r="E2805" s="22">
        <v>221</v>
      </c>
      <c r="F2805" s="22">
        <v>2</v>
      </c>
      <c r="G2805" s="22">
        <v>9</v>
      </c>
      <c r="H2805" s="22"/>
      <c r="I2805" s="23" t="s">
        <v>33</v>
      </c>
      <c r="J2805" s="23"/>
      <c r="K2805" s="22"/>
      <c r="L2805" s="22"/>
      <c r="M2805" s="23"/>
      <c r="N2805" s="23"/>
      <c r="O2805" s="26" t="s">
        <v>5611</v>
      </c>
      <c r="P2805" s="26"/>
      <c r="Q2805" s="22">
        <v>132</v>
      </c>
      <c r="R2805" s="24">
        <v>45864</v>
      </c>
      <c r="S2805" s="24">
        <v>45866</v>
      </c>
      <c r="T2805" s="24"/>
      <c r="U2805" s="24"/>
      <c r="V2805" s="24">
        <v>45866</v>
      </c>
      <c r="W2805" s="22" t="s">
        <v>160</v>
      </c>
      <c r="X2805" s="4" t="str">
        <f>IF(Tabela2[[#This Row],[sigla]]="","",VLOOKUP(Tabela2[[#This Row],[sigla]],créditos_base!B:C,2,0))</f>
        <v>SERGIO LIMA/ARQUIVO DA EDITORA</v>
      </c>
      <c r="Y2805" s="23" t="s">
        <v>2951</v>
      </c>
      <c r="Z2805" s="23" t="str">
        <f>Tabela2[[#This Row],[ilustrador]]</f>
        <v>SERGIO LIMA/ARQUIVO DA EDITORA</v>
      </c>
      <c r="AA2805" s="22">
        <v>14</v>
      </c>
      <c r="AB2805" s="20" t="s">
        <v>1500</v>
      </c>
      <c r="AC2805" s="20" t="s">
        <v>36</v>
      </c>
      <c r="AD2805" s="4" t="str">
        <f>"Pitanguá"</f>
        <v>Pitanguá</v>
      </c>
      <c r="AE2805" s="14" t="str">
        <f>"Matemática"</f>
        <v>Matemática</v>
      </c>
      <c r="AF2805" s="14"/>
    </row>
    <row r="2806" spans="1:32" ht="28.8" x14ac:dyDescent="0.3">
      <c r="A2806" s="23" t="s">
        <v>5977</v>
      </c>
      <c r="B2806" s="20" t="s">
        <v>16</v>
      </c>
      <c r="C2806" s="20" t="s">
        <v>89</v>
      </c>
      <c r="D2806" s="20" t="s">
        <v>1229</v>
      </c>
      <c r="E2806" s="22">
        <v>134</v>
      </c>
      <c r="F2806" s="22">
        <v>5</v>
      </c>
      <c r="G2806" s="22">
        <v>5</v>
      </c>
      <c r="H2806" s="22"/>
      <c r="I2806" s="23" t="s">
        <v>33</v>
      </c>
      <c r="J2806" s="23"/>
      <c r="K2806" s="22"/>
      <c r="L2806" s="22"/>
      <c r="M2806" s="23"/>
      <c r="N2806" s="23"/>
      <c r="O2806" s="26" t="s">
        <v>5978</v>
      </c>
      <c r="P2806" s="26"/>
      <c r="Q2806" s="22">
        <v>195</v>
      </c>
      <c r="R2806" s="24">
        <v>45916</v>
      </c>
      <c r="S2806" s="24">
        <v>45916</v>
      </c>
      <c r="T2806" s="24"/>
      <c r="U2806" s="24"/>
      <c r="V2806" s="24">
        <v>45916</v>
      </c>
      <c r="W2806" s="22" t="s">
        <v>940</v>
      </c>
      <c r="X2806" s="4" t="str">
        <f>IF(Tabela2[[#This Row],[sigla]]="","",VLOOKUP(Tabela2[[#This Row],[sigla]],créditos_base!B:C,2,0))</f>
        <v>RONALDO LUCENA/ARQUIVO DA EDITORA</v>
      </c>
      <c r="Y2806" s="23" t="s">
        <v>696</v>
      </c>
      <c r="Z2806" s="23" t="str">
        <f>Tabela2[[#This Row],[ilustrador]]</f>
        <v>RONALDO LUCENA/ARQUIVO DA EDITORA</v>
      </c>
      <c r="AA2806" s="22">
        <v>13</v>
      </c>
      <c r="AB2806" s="20" t="s">
        <v>41</v>
      </c>
      <c r="AC2806" s="20" t="s">
        <v>36</v>
      </c>
      <c r="AD2806" s="4" t="str">
        <f>"Pitanguá"</f>
        <v>Pitanguá</v>
      </c>
      <c r="AE2806" s="14" t="str">
        <f>"Matemática"</f>
        <v>Matemática</v>
      </c>
      <c r="AF2806" s="14"/>
    </row>
    <row r="2807" spans="1:32" x14ac:dyDescent="0.3">
      <c r="A2807" s="23" t="s">
        <v>5928</v>
      </c>
      <c r="B2807" s="20" t="s">
        <v>6</v>
      </c>
      <c r="C2807" s="20" t="s">
        <v>7</v>
      </c>
      <c r="D2807" s="20" t="s">
        <v>5923</v>
      </c>
      <c r="E2807" s="22"/>
      <c r="F2807" s="22">
        <v>1</v>
      </c>
      <c r="G2807" s="22"/>
      <c r="H2807" s="22"/>
      <c r="I2807" s="23" t="s">
        <v>90</v>
      </c>
      <c r="J2807" s="23"/>
      <c r="K2807" s="22"/>
      <c r="L2807" s="22"/>
      <c r="M2807" s="23"/>
      <c r="N2807" s="23"/>
      <c r="O2807" s="26" t="s">
        <v>5929</v>
      </c>
      <c r="P2807" t="s">
        <v>5925</v>
      </c>
      <c r="Q2807" s="22">
        <v>175</v>
      </c>
      <c r="R2807" s="24">
        <v>45898</v>
      </c>
      <c r="S2807" s="24"/>
      <c r="T2807" s="24"/>
      <c r="U2807" s="24"/>
      <c r="V2807" s="24"/>
      <c r="W2807" s="22"/>
      <c r="X2807" s="4" t="str">
        <f>IF(Tabela2[[#This Row],[sigla]]="","",VLOOKUP(Tabela2[[#This Row],[sigla]],créditos_base!B:C,2,0))</f>
        <v/>
      </c>
      <c r="Y2807" s="23"/>
      <c r="Z2807" s="23" t="str">
        <f>Tabela2[[#This Row],[ilustrador]]</f>
        <v/>
      </c>
      <c r="AA2807" s="22"/>
      <c r="AB2807" t="s">
        <v>5925</v>
      </c>
      <c r="AD2807" s="4" t="str">
        <f>"Pitanguá"</f>
        <v>Pitanguá</v>
      </c>
      <c r="AE2807" s="14" t="str">
        <f>"Matemática"</f>
        <v>Matemática</v>
      </c>
      <c r="AF2807" s="14"/>
    </row>
    <row r="2808" spans="1:32" ht="15.6" x14ac:dyDescent="0.3">
      <c r="A2808" s="23" t="s">
        <v>5612</v>
      </c>
      <c r="B2808" s="20" t="s">
        <v>16</v>
      </c>
      <c r="C2808" s="20" t="s">
        <v>89</v>
      </c>
      <c r="D2808" s="20" t="s">
        <v>1229</v>
      </c>
      <c r="E2808" s="22">
        <v>222</v>
      </c>
      <c r="F2808" s="22">
        <v>2</v>
      </c>
      <c r="G2808" s="22">
        <v>9</v>
      </c>
      <c r="H2808" s="22"/>
      <c r="I2808" s="23" t="s">
        <v>33</v>
      </c>
      <c r="J2808" s="23"/>
      <c r="K2808" s="22"/>
      <c r="L2808" s="22"/>
      <c r="M2808" s="23"/>
      <c r="N2808" s="23"/>
      <c r="O2808" s="26" t="s">
        <v>5613</v>
      </c>
      <c r="P2808" s="26"/>
      <c r="Q2808" s="22">
        <v>132</v>
      </c>
      <c r="R2808" s="24">
        <v>45864</v>
      </c>
      <c r="S2808" s="24">
        <v>45866</v>
      </c>
      <c r="T2808" s="24"/>
      <c r="U2808" s="24"/>
      <c r="V2808" s="24">
        <v>45866</v>
      </c>
      <c r="W2808" s="22" t="s">
        <v>546</v>
      </c>
      <c r="X2808" s="4" t="str">
        <f>IF(Tabela2[[#This Row],[sigla]]="","",VLOOKUP(Tabela2[[#This Row],[sigla]],créditos_base!B:C,2,0))</f>
        <v>GUILHERME ARANEGA/ARQUIVO DA EDITORA</v>
      </c>
      <c r="Y2808" s="23" t="s">
        <v>2951</v>
      </c>
      <c r="Z2808" s="23" t="str">
        <f>Tabela2[[#This Row],[ilustrador]]</f>
        <v>GUILHERME ARANEGA/ARQUIVO DA EDITORA</v>
      </c>
      <c r="AA2808" s="22">
        <v>14</v>
      </c>
      <c r="AB2808" s="20" t="s">
        <v>1500</v>
      </c>
      <c r="AC2808" s="20" t="s">
        <v>36</v>
      </c>
      <c r="AD2808" s="4" t="str">
        <f>"Pitanguá"</f>
        <v>Pitanguá</v>
      </c>
      <c r="AE2808" s="14" t="str">
        <f>"Matemática"</f>
        <v>Matemática</v>
      </c>
      <c r="AF2808" s="14"/>
    </row>
    <row r="2809" spans="1:32" ht="43.2" x14ac:dyDescent="0.3">
      <c r="A2809" s="23" t="s">
        <v>5793</v>
      </c>
      <c r="B2809" s="20" t="s">
        <v>16</v>
      </c>
      <c r="C2809" s="20" t="s">
        <v>89</v>
      </c>
      <c r="D2809" s="20" t="s">
        <v>1229</v>
      </c>
      <c r="E2809" s="22">
        <v>146</v>
      </c>
      <c r="F2809" s="22">
        <v>3</v>
      </c>
      <c r="G2809" s="22">
        <v>6</v>
      </c>
      <c r="H2809" s="22"/>
      <c r="I2809" s="23" t="s">
        <v>90</v>
      </c>
      <c r="J2809" s="23"/>
      <c r="K2809" s="22"/>
      <c r="L2809" s="22"/>
      <c r="M2809" s="23"/>
      <c r="N2809" s="23"/>
      <c r="O2809" s="26" t="s">
        <v>5794</v>
      </c>
      <c r="P2809" s="26"/>
      <c r="Q2809" s="22">
        <v>143</v>
      </c>
      <c r="R2809" s="24">
        <v>45876</v>
      </c>
      <c r="S2809" s="24">
        <v>45880</v>
      </c>
      <c r="T2809" s="24"/>
      <c r="U2809" s="24"/>
      <c r="V2809" s="24">
        <v>45880</v>
      </c>
      <c r="W2809" s="22" t="s">
        <v>5046</v>
      </c>
      <c r="X2809" s="4" t="str">
        <f>IF(Tabela2[[#This Row],[sigla]]="","",VLOOKUP(Tabela2[[#This Row],[sigla]],créditos_base!B:C,2,0))</f>
        <v>MARYANE VIOTO SILVA/ARQUIVO DA EDITORA</v>
      </c>
      <c r="Y2809" s="23"/>
      <c r="Z2809" s="23" t="str">
        <f>Tabela2[[#This Row],[ilustrador]]</f>
        <v>MARYANE VIOTO SILVA/ARQUIVO DA EDITORA</v>
      </c>
      <c r="AA2809" s="22">
        <v>8</v>
      </c>
      <c r="AB2809" s="20" t="s">
        <v>2058</v>
      </c>
      <c r="AC2809" s="20" t="s">
        <v>36</v>
      </c>
      <c r="AD2809" s="4" t="str">
        <f>"Pitanguá"</f>
        <v>Pitanguá</v>
      </c>
      <c r="AE2809" s="14" t="str">
        <f>"Matemática"</f>
        <v>Matemática</v>
      </c>
      <c r="AF2809" s="14"/>
    </row>
    <row r="2810" spans="1:32" ht="57.6" x14ac:dyDescent="0.3">
      <c r="A2810" s="23" t="s">
        <v>5979</v>
      </c>
      <c r="B2810" s="20" t="s">
        <v>16</v>
      </c>
      <c r="C2810" s="20" t="s">
        <v>89</v>
      </c>
      <c r="D2810" s="20" t="s">
        <v>1229</v>
      </c>
      <c r="E2810" s="22">
        <v>134</v>
      </c>
      <c r="F2810" s="22">
        <v>5</v>
      </c>
      <c r="G2810" s="22">
        <v>5</v>
      </c>
      <c r="H2810" s="22"/>
      <c r="I2810" s="23" t="s">
        <v>33</v>
      </c>
      <c r="J2810" s="23"/>
      <c r="K2810" s="22"/>
      <c r="L2810" s="22"/>
      <c r="M2810" s="23"/>
      <c r="N2810" s="23"/>
      <c r="O2810" s="26" t="s">
        <v>5980</v>
      </c>
      <c r="P2810" s="26"/>
      <c r="Q2810" s="22">
        <v>195</v>
      </c>
      <c r="R2810" s="24">
        <v>45916</v>
      </c>
      <c r="S2810" s="24">
        <v>45916</v>
      </c>
      <c r="T2810" s="24"/>
      <c r="U2810" s="24"/>
      <c r="V2810" s="24">
        <v>45916</v>
      </c>
      <c r="W2810" s="22" t="s">
        <v>940</v>
      </c>
      <c r="X2810" s="4" t="str">
        <f>IF(Tabela2[[#This Row],[sigla]]="","",VLOOKUP(Tabela2[[#This Row],[sigla]],créditos_base!B:C,2,0))</f>
        <v>RONALDO LUCENA/ARQUIVO DA EDITORA</v>
      </c>
      <c r="Y2810" s="23" t="s">
        <v>696</v>
      </c>
      <c r="Z2810" s="23" t="str">
        <f>Tabela2[[#This Row],[ilustrador]]</f>
        <v>RONALDO LUCENA/ARQUIVO DA EDITORA</v>
      </c>
      <c r="AA2810" s="22">
        <v>13</v>
      </c>
      <c r="AB2810" s="20" t="s">
        <v>41</v>
      </c>
      <c r="AC2810" s="20" t="s">
        <v>36</v>
      </c>
      <c r="AD2810" s="4" t="str">
        <f>"Pitanguá"</f>
        <v>Pitanguá</v>
      </c>
      <c r="AE2810" s="14" t="str">
        <f>"Matemática"</f>
        <v>Matemática</v>
      </c>
      <c r="AF2810" s="14"/>
    </row>
    <row r="2811" spans="1:32" ht="43.2" x14ac:dyDescent="0.3">
      <c r="A2811" s="23" t="s">
        <v>5930</v>
      </c>
      <c r="B2811" s="20" t="s">
        <v>6</v>
      </c>
      <c r="C2811" s="20" t="s">
        <v>7</v>
      </c>
      <c r="D2811" s="20" t="s">
        <v>5923</v>
      </c>
      <c r="E2811" s="22"/>
      <c r="F2811" s="22">
        <v>1</v>
      </c>
      <c r="G2811" s="22"/>
      <c r="H2811" s="22"/>
      <c r="I2811" s="23" t="s">
        <v>90</v>
      </c>
      <c r="J2811" s="23"/>
      <c r="K2811" s="22"/>
      <c r="L2811" s="22"/>
      <c r="M2811" s="23"/>
      <c r="N2811" s="23"/>
      <c r="O2811" s="26" t="s">
        <v>5931</v>
      </c>
      <c r="P2811" t="s">
        <v>5925</v>
      </c>
      <c r="Q2811" s="22">
        <v>175</v>
      </c>
      <c r="R2811" s="24">
        <v>45898</v>
      </c>
      <c r="S2811" s="24"/>
      <c r="T2811" s="24"/>
      <c r="U2811" s="24"/>
      <c r="V2811" s="24"/>
      <c r="W2811" s="22"/>
      <c r="X2811" s="4" t="str">
        <f>IF(Tabela2[[#This Row],[sigla]]="","",VLOOKUP(Tabela2[[#This Row],[sigla]],créditos_base!B:C,2,0))</f>
        <v/>
      </c>
      <c r="Y2811" s="23"/>
      <c r="Z2811" s="23" t="str">
        <f>Tabela2[[#This Row],[ilustrador]]</f>
        <v/>
      </c>
      <c r="AA2811" s="22"/>
      <c r="AB2811" t="s">
        <v>5925</v>
      </c>
      <c r="AD2811" s="4" t="str">
        <f>"Pitanguá"</f>
        <v>Pitanguá</v>
      </c>
      <c r="AE2811" s="14" t="str">
        <f>"Matemática"</f>
        <v>Matemática</v>
      </c>
      <c r="AF2811" s="14"/>
    </row>
    <row r="2812" spans="1:32" ht="28.8" x14ac:dyDescent="0.3">
      <c r="A2812" s="23" t="s">
        <v>5616</v>
      </c>
      <c r="B2812" s="20" t="s">
        <v>16</v>
      </c>
      <c r="C2812" s="20" t="s">
        <v>89</v>
      </c>
      <c r="D2812" s="20" t="s">
        <v>1229</v>
      </c>
      <c r="E2812" s="22">
        <v>225</v>
      </c>
      <c r="F2812" s="22">
        <v>2</v>
      </c>
      <c r="G2812" s="22">
        <v>9</v>
      </c>
      <c r="H2812" s="22"/>
      <c r="I2812" s="23" t="s">
        <v>90</v>
      </c>
      <c r="J2812" s="23"/>
      <c r="K2812" s="22"/>
      <c r="L2812" s="22"/>
      <c r="M2812" s="23"/>
      <c r="N2812" s="23"/>
      <c r="O2812" s="26" t="s">
        <v>5617</v>
      </c>
      <c r="P2812" s="26"/>
      <c r="Q2812" s="22">
        <v>132</v>
      </c>
      <c r="R2812" s="24">
        <v>45864</v>
      </c>
      <c r="S2812" s="24">
        <v>45866</v>
      </c>
      <c r="T2812" s="24"/>
      <c r="U2812" s="24"/>
      <c r="V2812" s="24">
        <v>45866</v>
      </c>
      <c r="W2812" s="22" t="s">
        <v>5145</v>
      </c>
      <c r="X2812" s="4" t="str">
        <f>IF(Tabela2[[#This Row],[sigla]]="","",VLOOKUP(Tabela2[[#This Row],[sigla]],créditos_base!B:C,2,0))</f>
        <v>NICOLAS FURTADO/ARQUIVO DA EDITORA</v>
      </c>
      <c r="Y2812" s="23"/>
      <c r="Z2812" s="23" t="str">
        <f>Tabela2[[#This Row],[ilustrador]]</f>
        <v>NICOLAS FURTADO/ARQUIVO DA EDITORA</v>
      </c>
      <c r="AA2812" s="22">
        <v>8</v>
      </c>
      <c r="AB2812" s="20" t="s">
        <v>954</v>
      </c>
      <c r="AC2812" s="20" t="s">
        <v>36</v>
      </c>
      <c r="AD2812" s="4" t="str">
        <f>"Pitanguá"</f>
        <v>Pitanguá</v>
      </c>
      <c r="AE2812" s="14" t="str">
        <f>"Matemática"</f>
        <v>Matemática</v>
      </c>
      <c r="AF2812" s="14"/>
    </row>
    <row r="2813" spans="1:32" ht="28.8" x14ac:dyDescent="0.3">
      <c r="A2813" s="23" t="s">
        <v>5795</v>
      </c>
      <c r="B2813" s="20" t="s">
        <v>16</v>
      </c>
      <c r="C2813" s="20" t="s">
        <v>89</v>
      </c>
      <c r="D2813" s="20" t="s">
        <v>1229</v>
      </c>
      <c r="E2813" s="22">
        <v>176</v>
      </c>
      <c r="F2813" s="22">
        <v>3</v>
      </c>
      <c r="G2813" s="22">
        <v>7</v>
      </c>
      <c r="H2813" s="22"/>
      <c r="I2813" s="23" t="s">
        <v>9</v>
      </c>
      <c r="J2813" s="23"/>
      <c r="K2813" s="22"/>
      <c r="L2813" s="22"/>
      <c r="M2813" s="23"/>
      <c r="N2813" s="23"/>
      <c r="O2813" s="26" t="s">
        <v>5796</v>
      </c>
      <c r="P2813" s="26"/>
      <c r="Q2813" s="22"/>
      <c r="R2813" s="24"/>
      <c r="S2813" s="24"/>
      <c r="T2813" s="24"/>
      <c r="U2813" s="24"/>
      <c r="V2813" s="24"/>
      <c r="W2813" s="22" t="s">
        <v>356</v>
      </c>
      <c r="X2813" s="4" t="str">
        <f>IF(Tabela2[[#This Row],[sigla]]="","",VLOOKUP(Tabela2[[#This Row],[sigla]],créditos_base!B:C,2,0))</f>
        <v>CAMILA CARMONA/ARQUIVO DA EDITORA</v>
      </c>
      <c r="Y2813" s="23"/>
      <c r="Z2813" s="23" t="str">
        <f>Tabela2[[#This Row],[ilustrador]]</f>
        <v>CAMILA CARMONA/ARQUIVO DA EDITORA</v>
      </c>
      <c r="AA2813" s="22"/>
      <c r="AB2813" s="20"/>
      <c r="AD2813" s="4" t="str">
        <f>"Pitanguá"</f>
        <v>Pitanguá</v>
      </c>
      <c r="AE2813" s="14" t="str">
        <f>"Matemática"</f>
        <v>Matemática</v>
      </c>
      <c r="AF2813" s="14"/>
    </row>
    <row r="2814" spans="1:32" ht="28.8" x14ac:dyDescent="0.3">
      <c r="A2814" s="23" t="s">
        <v>5981</v>
      </c>
      <c r="B2814" s="20" t="s">
        <v>16</v>
      </c>
      <c r="C2814" s="20" t="s">
        <v>89</v>
      </c>
      <c r="D2814" s="20" t="s">
        <v>1229</v>
      </c>
      <c r="E2814" s="22">
        <v>134</v>
      </c>
      <c r="F2814" s="22">
        <v>5</v>
      </c>
      <c r="G2814" s="22">
        <v>5</v>
      </c>
      <c r="H2814" s="22"/>
      <c r="I2814" s="23" t="s">
        <v>33</v>
      </c>
      <c r="J2814" s="23"/>
      <c r="K2814" s="22"/>
      <c r="L2814" s="22"/>
      <c r="M2814" s="23"/>
      <c r="N2814" s="23"/>
      <c r="O2814" s="26" t="s">
        <v>5982</v>
      </c>
      <c r="P2814" s="26"/>
      <c r="Q2814" s="22">
        <v>195</v>
      </c>
      <c r="R2814" s="24">
        <v>45916</v>
      </c>
      <c r="S2814" s="24">
        <v>45916</v>
      </c>
      <c r="T2814" s="24"/>
      <c r="U2814" s="24"/>
      <c r="V2814" s="24">
        <v>45916</v>
      </c>
      <c r="W2814" s="22" t="s">
        <v>940</v>
      </c>
      <c r="X2814" s="4" t="str">
        <f>IF(Tabela2[[#This Row],[sigla]]="","",VLOOKUP(Tabela2[[#This Row],[sigla]],créditos_base!B:C,2,0))</f>
        <v>RONALDO LUCENA/ARQUIVO DA EDITORA</v>
      </c>
      <c r="Y2814" s="23" t="s">
        <v>696</v>
      </c>
      <c r="Z2814" s="23" t="str">
        <f>Tabela2[[#This Row],[ilustrador]]</f>
        <v>RONALDO LUCENA/ARQUIVO DA EDITORA</v>
      </c>
      <c r="AA2814" s="22">
        <v>13</v>
      </c>
      <c r="AB2814" s="20" t="s">
        <v>41</v>
      </c>
      <c r="AC2814" s="20" t="s">
        <v>36</v>
      </c>
      <c r="AD2814" s="4" t="str">
        <f>"Pitanguá"</f>
        <v>Pitanguá</v>
      </c>
      <c r="AE2814" s="14" t="str">
        <f>"Matemática"</f>
        <v>Matemática</v>
      </c>
      <c r="AF2814" s="14"/>
    </row>
    <row r="2815" spans="1:32" x14ac:dyDescent="0.3">
      <c r="A2815" s="23" t="s">
        <v>5618</v>
      </c>
      <c r="B2815" s="20" t="s">
        <v>16</v>
      </c>
      <c r="C2815" s="20" t="s">
        <v>89</v>
      </c>
      <c r="D2815" s="20" t="s">
        <v>1229</v>
      </c>
      <c r="E2815" s="22">
        <v>225</v>
      </c>
      <c r="F2815" s="22">
        <v>2</v>
      </c>
      <c r="G2815" s="22">
        <v>9</v>
      </c>
      <c r="H2815" s="22"/>
      <c r="I2815" s="23" t="s">
        <v>90</v>
      </c>
      <c r="J2815" s="23"/>
      <c r="K2815" s="22"/>
      <c r="L2815" s="22"/>
      <c r="M2815" s="23"/>
      <c r="N2815" s="23"/>
      <c r="O2815" s="26" t="s">
        <v>5619</v>
      </c>
      <c r="P2815" s="26"/>
      <c r="Q2815" s="22">
        <v>132</v>
      </c>
      <c r="R2815" s="24">
        <v>45864</v>
      </c>
      <c r="S2815" s="24">
        <v>45866</v>
      </c>
      <c r="T2815" s="24"/>
      <c r="U2815" s="24"/>
      <c r="V2815" s="24">
        <v>45866</v>
      </c>
      <c r="W2815" s="22" t="s">
        <v>5145</v>
      </c>
      <c r="X2815" s="4" t="str">
        <f>IF(Tabela2[[#This Row],[sigla]]="","",VLOOKUP(Tabela2[[#This Row],[sigla]],créditos_base!B:C,2,0))</f>
        <v>NICOLAS FURTADO/ARQUIVO DA EDITORA</v>
      </c>
      <c r="Y2815" s="23"/>
      <c r="Z2815" s="23" t="str">
        <f>Tabela2[[#This Row],[ilustrador]]</f>
        <v>NICOLAS FURTADO/ARQUIVO DA EDITORA</v>
      </c>
      <c r="AA2815" s="22">
        <v>8</v>
      </c>
      <c r="AB2815" s="20" t="s">
        <v>954</v>
      </c>
      <c r="AC2815" s="20" t="s">
        <v>36</v>
      </c>
      <c r="AD2815" s="4" t="str">
        <f>"Pitanguá"</f>
        <v>Pitanguá</v>
      </c>
      <c r="AE2815" s="14" t="str">
        <f>"Matemática"</f>
        <v>Matemática</v>
      </c>
      <c r="AF2815" s="14"/>
    </row>
    <row r="2816" spans="1:32" x14ac:dyDescent="0.3">
      <c r="A2816" s="23" t="s">
        <v>5797</v>
      </c>
      <c r="B2816" s="20" t="s">
        <v>16</v>
      </c>
      <c r="C2816" s="20" t="s">
        <v>89</v>
      </c>
      <c r="D2816" s="20" t="s">
        <v>1229</v>
      </c>
      <c r="E2816" s="22">
        <v>193</v>
      </c>
      <c r="F2816" s="22">
        <v>3</v>
      </c>
      <c r="G2816" s="22">
        <v>7</v>
      </c>
      <c r="H2816" s="22"/>
      <c r="I2816" s="23" t="s">
        <v>90</v>
      </c>
      <c r="J2816" s="23"/>
      <c r="K2816" s="22"/>
      <c r="L2816" s="22"/>
      <c r="M2816" s="23"/>
      <c r="N2816" s="23"/>
      <c r="O2816" s="26" t="s">
        <v>5798</v>
      </c>
      <c r="P2816" s="26"/>
      <c r="Q2816" s="22">
        <v>148</v>
      </c>
      <c r="R2816" s="24">
        <v>45878</v>
      </c>
      <c r="S2816" s="24">
        <v>45880</v>
      </c>
      <c r="T2816" s="24"/>
      <c r="U2816" s="24"/>
      <c r="V2816" s="24">
        <v>45881</v>
      </c>
      <c r="W2816" s="22" t="s">
        <v>5046</v>
      </c>
      <c r="X2816" s="4" t="str">
        <f>IF(Tabela2[[#This Row],[sigla]]="","",VLOOKUP(Tabela2[[#This Row],[sigla]],créditos_base!B:C,2,0))</f>
        <v>MARYANE VIOTO SILVA/ARQUIVO DA EDITORA</v>
      </c>
      <c r="Y2816" s="23"/>
      <c r="Z2816" s="23" t="str">
        <f>Tabela2[[#This Row],[ilustrador]]</f>
        <v>MARYANE VIOTO SILVA/ARQUIVO DA EDITORA</v>
      </c>
      <c r="AA2816" s="22">
        <v>8</v>
      </c>
      <c r="AB2816" s="20" t="s">
        <v>2058</v>
      </c>
      <c r="AC2816" s="20" t="s">
        <v>36</v>
      </c>
      <c r="AD2816" s="4" t="str">
        <f>"Pitanguá"</f>
        <v>Pitanguá</v>
      </c>
      <c r="AE2816" s="14" t="str">
        <f>"Matemática"</f>
        <v>Matemática</v>
      </c>
      <c r="AF2816" s="14"/>
    </row>
    <row r="2817" spans="1:32" ht="43.2" x14ac:dyDescent="0.3">
      <c r="A2817" s="23" t="s">
        <v>5983</v>
      </c>
      <c r="B2817" s="20" t="s">
        <v>135</v>
      </c>
      <c r="C2817" s="20" t="s">
        <v>89</v>
      </c>
      <c r="D2817" s="20" t="s">
        <v>1229</v>
      </c>
      <c r="E2817" s="22">
        <v>134</v>
      </c>
      <c r="F2817" s="22">
        <v>5</v>
      </c>
      <c r="G2817" s="22">
        <v>5</v>
      </c>
      <c r="H2817" s="22"/>
      <c r="I2817" s="23" t="s">
        <v>33</v>
      </c>
      <c r="J2817" s="23"/>
      <c r="K2817" s="22"/>
      <c r="L2817" s="22"/>
      <c r="M2817" s="23"/>
      <c r="N2817" s="23"/>
      <c r="O2817" s="26" t="s">
        <v>5984</v>
      </c>
      <c r="P2817" s="26"/>
      <c r="Q2817" s="22">
        <v>198</v>
      </c>
      <c r="R2817" s="24">
        <v>45922</v>
      </c>
      <c r="S2817" s="24">
        <v>45923</v>
      </c>
      <c r="T2817" s="24"/>
      <c r="U2817" s="24"/>
      <c r="V2817" s="24">
        <v>45923</v>
      </c>
      <c r="W2817" s="22" t="s">
        <v>940</v>
      </c>
      <c r="X2817" s="4" t="str">
        <f>IF(Tabela2[[#This Row],[sigla]]="","",VLOOKUP(Tabela2[[#This Row],[sigla]],créditos_base!B:C,2,0))</f>
        <v>RONALDO LUCENA/ARQUIVO DA EDITORA</v>
      </c>
      <c r="Y2817" s="23" t="s">
        <v>188</v>
      </c>
      <c r="Z2817" s="23" t="str">
        <f>Tabela2[[#This Row],[ilustrador]]</f>
        <v>RONALDO LUCENA/ARQUIVO DA EDITORA</v>
      </c>
      <c r="AA2817" s="22">
        <v>13</v>
      </c>
      <c r="AB2817" s="20"/>
      <c r="AC2817" s="20" t="s">
        <v>36</v>
      </c>
      <c r="AD2817" s="4" t="str">
        <f>"Pitanguá"</f>
        <v>Pitanguá</v>
      </c>
      <c r="AE2817" s="14" t="str">
        <f>"Matemática"</f>
        <v>Matemática</v>
      </c>
      <c r="AF2817" s="14"/>
    </row>
    <row r="2818" spans="1:32" ht="57.6" x14ac:dyDescent="0.3">
      <c r="A2818" s="23" t="s">
        <v>5799</v>
      </c>
      <c r="B2818" s="20" t="s">
        <v>16</v>
      </c>
      <c r="C2818" s="20" t="s">
        <v>89</v>
      </c>
      <c r="D2818" s="20" t="s">
        <v>1229</v>
      </c>
      <c r="E2818" s="22">
        <v>193</v>
      </c>
      <c r="F2818" s="22">
        <v>3</v>
      </c>
      <c r="G2818" s="22">
        <v>7</v>
      </c>
      <c r="H2818" s="22"/>
      <c r="I2818" s="23" t="s">
        <v>90</v>
      </c>
      <c r="J2818" s="23"/>
      <c r="K2818" s="22"/>
      <c r="L2818" s="22"/>
      <c r="M2818" s="23"/>
      <c r="N2818" s="23"/>
      <c r="O2818" s="26" t="s">
        <v>5800</v>
      </c>
      <c r="P2818" s="26"/>
      <c r="Q2818" s="22">
        <v>148</v>
      </c>
      <c r="R2818" s="24">
        <v>45878</v>
      </c>
      <c r="S2818" s="24">
        <v>45880</v>
      </c>
      <c r="T2818" s="24"/>
      <c r="U2818" s="24"/>
      <c r="V2818" s="24">
        <v>45881</v>
      </c>
      <c r="W2818" s="22" t="s">
        <v>5046</v>
      </c>
      <c r="X2818" s="4" t="str">
        <f>IF(Tabela2[[#This Row],[sigla]]="","",VLOOKUP(Tabela2[[#This Row],[sigla]],créditos_base!B:C,2,0))</f>
        <v>MARYANE VIOTO SILVA/ARQUIVO DA EDITORA</v>
      </c>
      <c r="Y2818" s="23"/>
      <c r="Z2818" s="23" t="str">
        <f>Tabela2[[#This Row],[ilustrador]]</f>
        <v>MARYANE VIOTO SILVA/ARQUIVO DA EDITORA</v>
      </c>
      <c r="AA2818" s="22">
        <v>8</v>
      </c>
      <c r="AB2818" s="20" t="s">
        <v>2058</v>
      </c>
      <c r="AC2818" s="20" t="s">
        <v>36</v>
      </c>
      <c r="AD2818" s="4" t="str">
        <f>"Pitanguá"</f>
        <v>Pitanguá</v>
      </c>
      <c r="AE2818" s="14" t="str">
        <f>"Matemática"</f>
        <v>Matemática</v>
      </c>
      <c r="AF2818" s="14"/>
    </row>
    <row r="2819" spans="1:32" ht="43.2" x14ac:dyDescent="0.3">
      <c r="A2819" s="23" t="s">
        <v>5985</v>
      </c>
      <c r="B2819" s="20" t="s">
        <v>16</v>
      </c>
      <c r="C2819" s="20" t="s">
        <v>89</v>
      </c>
      <c r="D2819" s="20" t="s">
        <v>1229</v>
      </c>
      <c r="E2819" s="22">
        <v>137</v>
      </c>
      <c r="F2819" s="22">
        <v>5</v>
      </c>
      <c r="G2819" s="22">
        <v>5</v>
      </c>
      <c r="H2819" s="22"/>
      <c r="I2819" s="23" t="s">
        <v>90</v>
      </c>
      <c r="J2819" s="23"/>
      <c r="K2819" s="22"/>
      <c r="L2819" s="22"/>
      <c r="M2819" s="23"/>
      <c r="N2819" s="23"/>
      <c r="O2819" s="26" t="s">
        <v>5986</v>
      </c>
      <c r="P2819" s="26"/>
      <c r="Q2819" s="22">
        <v>195</v>
      </c>
      <c r="R2819" s="24">
        <v>45916</v>
      </c>
      <c r="S2819" s="24">
        <v>45916</v>
      </c>
      <c r="T2819" s="24"/>
      <c r="U2819" s="24"/>
      <c r="V2819" s="24">
        <v>45916</v>
      </c>
      <c r="W2819" s="22" t="s">
        <v>5942</v>
      </c>
      <c r="X2819" s="4" t="str">
        <f>IF(Tabela2[[#This Row],[sigla]]="","",VLOOKUP(Tabela2[[#This Row],[sigla]],créditos_base!B:C,2,0))</f>
        <v>GABRIELLA IMAI/ARQUIVO DA EDITORA</v>
      </c>
      <c r="Y2819" s="23"/>
      <c r="Z2819" s="23" t="str">
        <f>Tabela2[[#This Row],[ilustrador]]</f>
        <v>GABRIELLA IMAI/ARQUIVO DA EDITORA</v>
      </c>
      <c r="AA2819" s="22">
        <v>12</v>
      </c>
      <c r="AB2819" s="20" t="s">
        <v>954</v>
      </c>
      <c r="AC2819" s="20" t="s">
        <v>36</v>
      </c>
      <c r="AD2819" s="4" t="str">
        <f>"Pitanguá"</f>
        <v>Pitanguá</v>
      </c>
      <c r="AE2819" s="14" t="str">
        <f>"Matemática"</f>
        <v>Matemática</v>
      </c>
      <c r="AF2819" s="14"/>
    </row>
    <row r="2820" spans="1:32" x14ac:dyDescent="0.3">
      <c r="A2820" s="23" t="s">
        <v>5801</v>
      </c>
      <c r="B2820" s="20" t="s">
        <v>16</v>
      </c>
      <c r="C2820" s="20" t="s">
        <v>89</v>
      </c>
      <c r="D2820" s="20" t="s">
        <v>1229</v>
      </c>
      <c r="E2820" s="22">
        <v>193</v>
      </c>
      <c r="F2820" s="22">
        <v>3</v>
      </c>
      <c r="G2820" s="22">
        <v>7</v>
      </c>
      <c r="H2820" s="22"/>
      <c r="I2820" s="23" t="s">
        <v>90</v>
      </c>
      <c r="J2820" s="23"/>
      <c r="K2820" s="22"/>
      <c r="L2820" s="22"/>
      <c r="M2820" s="23"/>
      <c r="N2820" s="23"/>
      <c r="O2820" s="26" t="s">
        <v>5802</v>
      </c>
      <c r="P2820" s="26"/>
      <c r="Q2820" s="22">
        <v>148</v>
      </c>
      <c r="R2820" s="24">
        <v>45878</v>
      </c>
      <c r="S2820" s="24">
        <v>45880</v>
      </c>
      <c r="T2820" s="24"/>
      <c r="U2820" s="24"/>
      <c r="V2820" s="24">
        <v>45881</v>
      </c>
      <c r="W2820" s="22" t="s">
        <v>5046</v>
      </c>
      <c r="X2820" s="4" t="str">
        <f>IF(Tabela2[[#This Row],[sigla]]="","",VLOOKUP(Tabela2[[#This Row],[sigla]],créditos_base!B:C,2,0))</f>
        <v>MARYANE VIOTO SILVA/ARQUIVO DA EDITORA</v>
      </c>
      <c r="Y2820" s="23"/>
      <c r="Z2820" s="23" t="str">
        <f>Tabela2[[#This Row],[ilustrador]]</f>
        <v>MARYANE VIOTO SILVA/ARQUIVO DA EDITORA</v>
      </c>
      <c r="AA2820" s="22">
        <v>8</v>
      </c>
      <c r="AB2820" s="20" t="s">
        <v>2058</v>
      </c>
      <c r="AC2820" s="20" t="s">
        <v>36</v>
      </c>
      <c r="AD2820" s="4" t="str">
        <f>"Pitanguá"</f>
        <v>Pitanguá</v>
      </c>
      <c r="AE2820" s="14" t="str">
        <f>"Matemática"</f>
        <v>Matemática</v>
      </c>
      <c r="AF2820" s="14"/>
    </row>
    <row r="2821" spans="1:32" ht="28.8" x14ac:dyDescent="0.3">
      <c r="A2821" s="23" t="s">
        <v>5969</v>
      </c>
      <c r="B2821" s="20" t="s">
        <v>16</v>
      </c>
      <c r="C2821" s="20" t="s">
        <v>89</v>
      </c>
      <c r="D2821" s="20" t="s">
        <v>1229</v>
      </c>
      <c r="E2821" s="22">
        <v>230</v>
      </c>
      <c r="F2821" s="22">
        <v>5</v>
      </c>
      <c r="G2821" s="22">
        <v>8</v>
      </c>
      <c r="H2821" s="22"/>
      <c r="I2821" s="23" t="s">
        <v>33</v>
      </c>
      <c r="J2821" s="23"/>
      <c r="K2821" s="22"/>
      <c r="L2821" s="22"/>
      <c r="M2821" s="23"/>
      <c r="N2821" s="23"/>
      <c r="O2821" s="26" t="s">
        <v>5970</v>
      </c>
      <c r="P2821" s="26"/>
      <c r="Q2821" s="22">
        <v>194</v>
      </c>
      <c r="R2821" s="24">
        <v>45915</v>
      </c>
      <c r="S2821" s="24">
        <v>45915</v>
      </c>
      <c r="T2821" s="24"/>
      <c r="U2821" s="24"/>
      <c r="V2821" s="24">
        <v>45915</v>
      </c>
      <c r="W2821" s="22" t="s">
        <v>940</v>
      </c>
      <c r="X2821" s="4" t="str">
        <f>IF(Tabela2[[#This Row],[sigla]]="","",VLOOKUP(Tabela2[[#This Row],[sigla]],créditos_base!B:C,2,0))</f>
        <v>RONALDO LUCENA/ARQUIVO DA EDITORA</v>
      </c>
      <c r="Y2821" s="23" t="s">
        <v>696</v>
      </c>
      <c r="Z2821" s="23" t="str">
        <f>Tabela2[[#This Row],[ilustrador]]</f>
        <v>RONALDO LUCENA/ARQUIVO DA EDITORA</v>
      </c>
      <c r="AA2821" s="22">
        <v>13</v>
      </c>
      <c r="AB2821" s="20" t="s">
        <v>41</v>
      </c>
      <c r="AC2821" s="20" t="s">
        <v>36</v>
      </c>
      <c r="AD2821" s="4" t="str">
        <f>"Pitanguá"</f>
        <v>Pitanguá</v>
      </c>
      <c r="AE2821" s="14" t="str">
        <f>"Matemática"</f>
        <v>Matemática</v>
      </c>
      <c r="AF2821" s="14"/>
    </row>
    <row r="2822" spans="1:32" ht="28.8" x14ac:dyDescent="0.3">
      <c r="A2822" s="23" t="s">
        <v>5803</v>
      </c>
      <c r="B2822" s="20" t="s">
        <v>16</v>
      </c>
      <c r="C2822" s="20" t="s">
        <v>89</v>
      </c>
      <c r="D2822" s="20" t="s">
        <v>1229</v>
      </c>
      <c r="E2822" s="22">
        <v>193</v>
      </c>
      <c r="F2822" s="22">
        <v>3</v>
      </c>
      <c r="G2822" s="22">
        <v>7</v>
      </c>
      <c r="H2822" s="22"/>
      <c r="I2822" s="23" t="s">
        <v>90</v>
      </c>
      <c r="J2822" s="23"/>
      <c r="K2822" s="22"/>
      <c r="L2822" s="22"/>
      <c r="M2822" s="23"/>
      <c r="N2822" s="23"/>
      <c r="O2822" s="26" t="s">
        <v>5804</v>
      </c>
      <c r="P2822" s="26"/>
      <c r="Q2822" s="22">
        <v>148</v>
      </c>
      <c r="R2822" s="24">
        <v>45878</v>
      </c>
      <c r="S2822" s="24">
        <v>45880</v>
      </c>
      <c r="T2822" s="24"/>
      <c r="U2822" s="24"/>
      <c r="V2822" s="24">
        <v>45881</v>
      </c>
      <c r="W2822" s="22" t="s">
        <v>5046</v>
      </c>
      <c r="X2822" s="4" t="str">
        <f>IF(Tabela2[[#This Row],[sigla]]="","",VLOOKUP(Tabela2[[#This Row],[sigla]],créditos_base!B:C,2,0))</f>
        <v>MARYANE VIOTO SILVA/ARQUIVO DA EDITORA</v>
      </c>
      <c r="Y2822" s="23"/>
      <c r="Z2822" s="23" t="str">
        <f>Tabela2[[#This Row],[ilustrador]]</f>
        <v>MARYANE VIOTO SILVA/ARQUIVO DA EDITORA</v>
      </c>
      <c r="AA2822" s="22">
        <v>8</v>
      </c>
      <c r="AB2822" s="20" t="s">
        <v>2058</v>
      </c>
      <c r="AC2822" s="20" t="s">
        <v>36</v>
      </c>
      <c r="AD2822" s="4" t="str">
        <f>"Pitanguá"</f>
        <v>Pitanguá</v>
      </c>
      <c r="AE2822" s="14" t="str">
        <f>"Matemática"</f>
        <v>Matemática</v>
      </c>
      <c r="AF2822" s="14"/>
    </row>
    <row r="2823" spans="1:32" ht="57.6" x14ac:dyDescent="0.3">
      <c r="A2823" s="23" t="s">
        <v>5971</v>
      </c>
      <c r="B2823" s="20" t="s">
        <v>16</v>
      </c>
      <c r="C2823" s="20" t="s">
        <v>89</v>
      </c>
      <c r="D2823" s="20" t="s">
        <v>1229</v>
      </c>
      <c r="E2823" s="22">
        <v>231</v>
      </c>
      <c r="F2823" s="22">
        <v>5</v>
      </c>
      <c r="G2823" s="22">
        <v>8</v>
      </c>
      <c r="H2823" s="22"/>
      <c r="I2823" s="23" t="s">
        <v>90</v>
      </c>
      <c r="J2823" s="23"/>
      <c r="K2823" s="22"/>
      <c r="L2823" s="22"/>
      <c r="M2823" s="23"/>
      <c r="N2823" s="23"/>
      <c r="O2823" s="26" t="s">
        <v>5972</v>
      </c>
      <c r="P2823" s="26"/>
      <c r="Q2823" s="22">
        <v>194</v>
      </c>
      <c r="R2823" s="24">
        <v>45915</v>
      </c>
      <c r="S2823" s="24">
        <v>45915</v>
      </c>
      <c r="T2823" s="24"/>
      <c r="U2823" s="24"/>
      <c r="V2823" s="24">
        <v>45915</v>
      </c>
      <c r="W2823" s="22" t="s">
        <v>5942</v>
      </c>
      <c r="X2823" s="4" t="str">
        <f>IF(Tabela2[[#This Row],[sigla]]="","",VLOOKUP(Tabela2[[#This Row],[sigla]],créditos_base!B:C,2,0))</f>
        <v>GABRIELLA IMAI/ARQUIVO DA EDITORA</v>
      </c>
      <c r="Y2823" s="23"/>
      <c r="Z2823" s="23" t="str">
        <f>Tabela2[[#This Row],[ilustrador]]</f>
        <v>GABRIELLA IMAI/ARQUIVO DA EDITORA</v>
      </c>
      <c r="AA2823" s="22">
        <v>12</v>
      </c>
      <c r="AB2823" s="20" t="s">
        <v>954</v>
      </c>
      <c r="AC2823" s="20" t="s">
        <v>36</v>
      </c>
      <c r="AD2823" s="4" t="str">
        <f>"Pitanguá"</f>
        <v>Pitanguá</v>
      </c>
      <c r="AE2823" s="14" t="str">
        <f>"Matemática"</f>
        <v>Matemática</v>
      </c>
      <c r="AF2823" s="14"/>
    </row>
    <row r="2824" spans="1:32" ht="57.6" x14ac:dyDescent="0.3">
      <c r="A2824" s="23" t="s">
        <v>5805</v>
      </c>
      <c r="B2824" s="20" t="s">
        <v>16</v>
      </c>
      <c r="C2824" s="20" t="s">
        <v>89</v>
      </c>
      <c r="D2824" s="20" t="s">
        <v>1229</v>
      </c>
      <c r="E2824" s="22">
        <v>238</v>
      </c>
      <c r="F2824" s="22">
        <v>3</v>
      </c>
      <c r="G2824" s="22">
        <v>9</v>
      </c>
      <c r="H2824" s="22"/>
      <c r="I2824" s="23" t="s">
        <v>33</v>
      </c>
      <c r="J2824" s="23"/>
      <c r="K2824" s="22"/>
      <c r="L2824" s="22"/>
      <c r="M2824" s="23"/>
      <c r="N2824" s="23"/>
      <c r="O2824" s="26" t="s">
        <v>5806</v>
      </c>
      <c r="P2824" s="26"/>
      <c r="Q2824" s="22">
        <v>150</v>
      </c>
      <c r="R2824" s="24">
        <v>45881</v>
      </c>
      <c r="S2824" s="24">
        <v>45882</v>
      </c>
      <c r="T2824" s="24"/>
      <c r="U2824" s="24"/>
      <c r="V2824" s="24">
        <v>45882</v>
      </c>
      <c r="W2824" s="22" t="s">
        <v>468</v>
      </c>
      <c r="X2824" s="4" t="str">
        <f>IF(Tabela2[[#This Row],[sigla]]="","",VLOOKUP(Tabela2[[#This Row],[sigla]],créditos_base!B:C,2,0))</f>
        <v>VER DOCUMENTO DE ILS. TÉCNICAS</v>
      </c>
      <c r="Y2824" s="23" t="s">
        <v>433</v>
      </c>
      <c r="Z2824" s="23" t="s">
        <v>689</v>
      </c>
      <c r="AA2824" s="22">
        <v>14</v>
      </c>
      <c r="AB2824" s="20" t="s">
        <v>153</v>
      </c>
      <c r="AC2824" s="20" t="s">
        <v>36</v>
      </c>
      <c r="AD2824" s="4" t="str">
        <f>"Pitanguá"</f>
        <v>Pitanguá</v>
      </c>
      <c r="AE2824" s="14" t="str">
        <f>"Matemática"</f>
        <v>Matemática</v>
      </c>
      <c r="AF2824" s="14"/>
    </row>
    <row r="2825" spans="1:32" ht="43.2" x14ac:dyDescent="0.3">
      <c r="A2825" s="23" t="s">
        <v>5973</v>
      </c>
      <c r="B2825" s="20" t="s">
        <v>16</v>
      </c>
      <c r="C2825" s="20" t="s">
        <v>89</v>
      </c>
      <c r="D2825" s="20" t="s">
        <v>1229</v>
      </c>
      <c r="E2825" s="22">
        <v>231</v>
      </c>
      <c r="F2825" s="22">
        <v>5</v>
      </c>
      <c r="G2825" s="22">
        <v>8</v>
      </c>
      <c r="H2825" s="22"/>
      <c r="I2825" s="23" t="s">
        <v>90</v>
      </c>
      <c r="J2825" s="23"/>
      <c r="K2825" s="22"/>
      <c r="L2825" s="22"/>
      <c r="M2825" s="23"/>
      <c r="N2825" s="23"/>
      <c r="O2825" s="26" t="s">
        <v>5974</v>
      </c>
      <c r="P2825" s="26"/>
      <c r="Q2825" s="22">
        <v>194</v>
      </c>
      <c r="R2825" s="24">
        <v>45915</v>
      </c>
      <c r="S2825" s="24">
        <v>45915</v>
      </c>
      <c r="T2825" s="24"/>
      <c r="U2825" s="24"/>
      <c r="V2825" s="24">
        <v>45915</v>
      </c>
      <c r="W2825" s="22" t="s">
        <v>5942</v>
      </c>
      <c r="X2825" s="4" t="str">
        <f>IF(Tabela2[[#This Row],[sigla]]="","",VLOOKUP(Tabela2[[#This Row],[sigla]],créditos_base!B:C,2,0))</f>
        <v>GABRIELLA IMAI/ARQUIVO DA EDITORA</v>
      </c>
      <c r="Y2825" s="23"/>
      <c r="Z2825" s="23" t="str">
        <f>Tabela2[[#This Row],[ilustrador]]</f>
        <v>GABRIELLA IMAI/ARQUIVO DA EDITORA</v>
      </c>
      <c r="AA2825" s="22">
        <v>12</v>
      </c>
      <c r="AB2825" s="20" t="s">
        <v>954</v>
      </c>
      <c r="AC2825" s="20" t="s">
        <v>36</v>
      </c>
      <c r="AD2825" s="4" t="str">
        <f>"Pitanguá"</f>
        <v>Pitanguá</v>
      </c>
      <c r="AE2825" s="14" t="str">
        <f>"Matemática"</f>
        <v>Matemática</v>
      </c>
      <c r="AF2825" s="14"/>
    </row>
    <row r="2826" spans="1:32" ht="43.2" x14ac:dyDescent="0.3">
      <c r="A2826" s="23" t="s">
        <v>5807</v>
      </c>
      <c r="B2826" s="20" t="s">
        <v>16</v>
      </c>
      <c r="C2826" s="20" t="s">
        <v>89</v>
      </c>
      <c r="D2826" s="20" t="s">
        <v>1229</v>
      </c>
      <c r="E2826" s="22">
        <v>239</v>
      </c>
      <c r="F2826" s="22">
        <v>3</v>
      </c>
      <c r="G2826" s="22">
        <v>9</v>
      </c>
      <c r="H2826" s="22"/>
      <c r="I2826" s="23" t="s">
        <v>33</v>
      </c>
      <c r="J2826" s="23"/>
      <c r="K2826" s="22"/>
      <c r="L2826" s="22"/>
      <c r="M2826" s="23"/>
      <c r="N2826" s="23"/>
      <c r="O2826" s="26" t="s">
        <v>5808</v>
      </c>
      <c r="P2826" s="26"/>
      <c r="Q2826" s="22">
        <v>150</v>
      </c>
      <c r="R2826" s="24">
        <v>45881</v>
      </c>
      <c r="S2826" s="24">
        <v>45882</v>
      </c>
      <c r="T2826" s="24"/>
      <c r="U2826" s="24"/>
      <c r="V2826" s="24">
        <v>45882</v>
      </c>
      <c r="W2826" s="22" t="s">
        <v>1217</v>
      </c>
      <c r="X2826" s="4" t="str">
        <f>IF(Tabela2[[#This Row],[sigla]]="","",VLOOKUP(Tabela2[[#This Row],[sigla]],créditos_base!B:C,2,0))</f>
        <v>KEITHY MOSTACHI/ARQUIVO DA EDITORA</v>
      </c>
      <c r="Y2826" s="23" t="s">
        <v>433</v>
      </c>
      <c r="Z2826" s="23" t="str">
        <f>Tabela2[[#This Row],[ilustrador]]</f>
        <v>KEITHY MOSTACHI/ARQUIVO DA EDITORA</v>
      </c>
      <c r="AA2826" s="22">
        <v>14</v>
      </c>
      <c r="AB2826" s="20" t="s">
        <v>153</v>
      </c>
      <c r="AC2826" s="20" t="s">
        <v>36</v>
      </c>
      <c r="AD2826" s="4" t="str">
        <f>"Pitanguá"</f>
        <v>Pitanguá</v>
      </c>
      <c r="AE2826" s="14" t="str">
        <f>"Matemática"</f>
        <v>Matemática</v>
      </c>
      <c r="AF2826" s="14"/>
    </row>
    <row r="2827" spans="1:32" ht="72" x14ac:dyDescent="0.3">
      <c r="A2827" s="23" t="s">
        <v>5987</v>
      </c>
      <c r="B2827" s="20" t="s">
        <v>16</v>
      </c>
      <c r="C2827" s="20" t="s">
        <v>89</v>
      </c>
      <c r="D2827" s="20" t="s">
        <v>1229</v>
      </c>
      <c r="E2827" s="22">
        <v>262</v>
      </c>
      <c r="F2827" s="22">
        <v>5</v>
      </c>
      <c r="G2827" s="22">
        <v>10</v>
      </c>
      <c r="H2827" s="22"/>
      <c r="I2827" s="23" t="s">
        <v>33</v>
      </c>
      <c r="J2827" s="23"/>
      <c r="K2827" s="22"/>
      <c r="L2827" s="22"/>
      <c r="M2827" s="23"/>
      <c r="N2827" s="23"/>
      <c r="O2827" s="26" t="s">
        <v>5988</v>
      </c>
      <c r="P2827" s="26"/>
      <c r="Q2827" s="22">
        <v>196</v>
      </c>
      <c r="R2827" s="24">
        <v>45919</v>
      </c>
      <c r="S2827" s="24">
        <v>45919</v>
      </c>
      <c r="T2827" s="24"/>
      <c r="U2827" s="24"/>
      <c r="V2827" s="24">
        <v>45919</v>
      </c>
      <c r="W2827" s="22" t="s">
        <v>940</v>
      </c>
      <c r="X2827" s="4" t="str">
        <f>IF(Tabela2[[#This Row],[sigla]]="","",VLOOKUP(Tabela2[[#This Row],[sigla]],créditos_base!B:C,2,0))</f>
        <v>RONALDO LUCENA/ARQUIVO DA EDITORA</v>
      </c>
      <c r="Y2827" s="23" t="s">
        <v>696</v>
      </c>
      <c r="Z2827" s="23" t="str">
        <f>Tabela2[[#This Row],[ilustrador]]</f>
        <v>RONALDO LUCENA/ARQUIVO DA EDITORA</v>
      </c>
      <c r="AA2827" s="22">
        <v>13</v>
      </c>
      <c r="AB2827" s="20" t="s">
        <v>954</v>
      </c>
      <c r="AC2827" s="20" t="s">
        <v>36</v>
      </c>
      <c r="AD2827" s="4" t="str">
        <f>"Pitanguá"</f>
        <v>Pitanguá</v>
      </c>
      <c r="AE2827" s="14" t="str">
        <f>"Matemática"</f>
        <v>Matemática</v>
      </c>
      <c r="AF2827" s="14"/>
    </row>
    <row r="2828" spans="1:32" x14ac:dyDescent="0.3">
      <c r="A2828" s="23" t="s">
        <v>5809</v>
      </c>
      <c r="B2828" s="20" t="s">
        <v>16</v>
      </c>
      <c r="C2828" s="20" t="s">
        <v>89</v>
      </c>
      <c r="D2828" s="20" t="s">
        <v>1229</v>
      </c>
      <c r="E2828" s="22">
        <v>240</v>
      </c>
      <c r="F2828" s="22">
        <v>3</v>
      </c>
      <c r="G2828" s="22">
        <v>9</v>
      </c>
      <c r="H2828" s="22"/>
      <c r="I2828" s="23" t="s">
        <v>9</v>
      </c>
      <c r="J2828" s="23"/>
      <c r="K2828" s="22"/>
      <c r="L2828" s="22"/>
      <c r="M2828" s="23"/>
      <c r="N2828" s="23"/>
      <c r="O2828" s="26" t="s">
        <v>5810</v>
      </c>
      <c r="P2828" s="26"/>
      <c r="Q2828" s="22"/>
      <c r="R2828" s="24"/>
      <c r="S2828" s="24"/>
      <c r="T2828" s="24"/>
      <c r="U2828" s="24"/>
      <c r="V2828" s="24"/>
      <c r="W2828" s="22" t="s">
        <v>160</v>
      </c>
      <c r="X2828" s="4" t="str">
        <f>IF(Tabela2[[#This Row],[sigla]]="","",VLOOKUP(Tabela2[[#This Row],[sigla]],créditos_base!B:C,2,0))</f>
        <v>SERGIO LIMA/ARQUIVO DA EDITORA</v>
      </c>
      <c r="Y2828" s="23"/>
      <c r="Z2828" s="23" t="str">
        <f>Tabela2[[#This Row],[ilustrador]]</f>
        <v>SERGIO LIMA/ARQUIVO DA EDITORA</v>
      </c>
      <c r="AA2828" s="22"/>
      <c r="AB2828" s="20"/>
      <c r="AD2828" s="4" t="str">
        <f>"Pitanguá"</f>
        <v>Pitanguá</v>
      </c>
      <c r="AE2828" s="14" t="str">
        <f>"Matemática"</f>
        <v>Matemática</v>
      </c>
      <c r="AF2828" s="14"/>
    </row>
    <row r="2829" spans="1:32" ht="115.2" x14ac:dyDescent="0.3">
      <c r="A2829" s="23" t="s">
        <v>5989</v>
      </c>
      <c r="B2829" s="20" t="s">
        <v>135</v>
      </c>
      <c r="C2829" s="20" t="s">
        <v>89</v>
      </c>
      <c r="D2829" s="20" t="s">
        <v>1229</v>
      </c>
      <c r="E2829" s="22">
        <v>224</v>
      </c>
      <c r="F2829" s="22">
        <v>5</v>
      </c>
      <c r="G2829" s="22">
        <v>8</v>
      </c>
      <c r="H2829" s="22"/>
      <c r="I2829" s="23" t="s">
        <v>33</v>
      </c>
      <c r="J2829" s="23"/>
      <c r="K2829" s="22"/>
      <c r="L2829" s="22"/>
      <c r="M2829" s="23"/>
      <c r="N2829" s="23"/>
      <c r="O2829" s="26" t="s">
        <v>5990</v>
      </c>
      <c r="P2829" s="26"/>
      <c r="Q2829" s="22">
        <v>201</v>
      </c>
      <c r="R2829" s="24">
        <v>45923</v>
      </c>
      <c r="S2829" s="24">
        <v>45923</v>
      </c>
      <c r="T2829" s="24"/>
      <c r="U2829" s="24"/>
      <c r="V2829" s="24">
        <v>45923</v>
      </c>
      <c r="W2829" s="22" t="s">
        <v>3382</v>
      </c>
      <c r="X2829" s="4" t="str">
        <f>IF(Tabela2[[#This Row],[sigla]]="","",VLOOKUP(Tabela2[[#This Row],[sigla]],créditos_base!B:C,2,0))</f>
        <v>LEONARDO MARI/ARQUIVO DA EDITORA</v>
      </c>
      <c r="Y2829" s="23" t="s">
        <v>188</v>
      </c>
      <c r="Z2829" s="23" t="str">
        <f>Tabela2[[#This Row],[ilustrador]]</f>
        <v>LEONARDO MARI/ARQUIVO DA EDITORA</v>
      </c>
      <c r="AA2829" s="22">
        <v>13</v>
      </c>
      <c r="AB2829" s="20" t="s">
        <v>41</v>
      </c>
      <c r="AC2829" s="20" t="s">
        <v>36</v>
      </c>
      <c r="AD2829" s="4" t="str">
        <f>"Pitanguá"</f>
        <v>Pitanguá</v>
      </c>
      <c r="AE2829" s="14" t="str">
        <f>"Matemática"</f>
        <v>Matemática</v>
      </c>
      <c r="AF2829" s="14"/>
    </row>
    <row r="2830" spans="1:32" ht="57.6" x14ac:dyDescent="0.3">
      <c r="A2830" s="23" t="s">
        <v>5811</v>
      </c>
      <c r="B2830" s="20" t="s">
        <v>16</v>
      </c>
      <c r="C2830" s="20" t="s">
        <v>89</v>
      </c>
      <c r="D2830" s="20" t="s">
        <v>1229</v>
      </c>
      <c r="E2830" s="22">
        <v>240</v>
      </c>
      <c r="F2830" s="22">
        <v>3</v>
      </c>
      <c r="G2830" s="22">
        <v>9</v>
      </c>
      <c r="H2830" s="22"/>
      <c r="I2830" s="23" t="s">
        <v>33</v>
      </c>
      <c r="J2830" s="23"/>
      <c r="K2830" s="22"/>
      <c r="L2830" s="22"/>
      <c r="M2830" s="23"/>
      <c r="N2830" s="23"/>
      <c r="O2830" s="26" t="s">
        <v>5812</v>
      </c>
      <c r="P2830" s="26"/>
      <c r="Q2830" s="22">
        <v>150</v>
      </c>
      <c r="R2830" s="24">
        <v>45881</v>
      </c>
      <c r="S2830" s="24">
        <v>45882</v>
      </c>
      <c r="T2830" s="24"/>
      <c r="U2830" s="24"/>
      <c r="V2830" s="24">
        <v>45882</v>
      </c>
      <c r="W2830" s="22" t="s">
        <v>468</v>
      </c>
      <c r="X2830" s="4" t="str">
        <f>IF(Tabela2[[#This Row],[sigla]]="","",VLOOKUP(Tabela2[[#This Row],[sigla]],créditos_base!B:C,2,0))</f>
        <v>VER DOCUMENTO DE ILS. TÉCNICAS</v>
      </c>
      <c r="Y2830" s="23" t="s">
        <v>433</v>
      </c>
      <c r="Z2830" s="23" t="s">
        <v>689</v>
      </c>
      <c r="AA2830" s="22">
        <v>14</v>
      </c>
      <c r="AB2830" s="20" t="s">
        <v>153</v>
      </c>
      <c r="AC2830" s="20" t="s">
        <v>36</v>
      </c>
      <c r="AD2830" s="4" t="str">
        <f>"Pitanguá"</f>
        <v>Pitanguá</v>
      </c>
      <c r="AE2830" s="14" t="str">
        <f>"Matemática"</f>
        <v>Matemática</v>
      </c>
      <c r="AF2830" s="14"/>
    </row>
    <row r="2831" spans="1:32" ht="57.6" x14ac:dyDescent="0.3">
      <c r="A2831" s="23" t="s">
        <v>5830</v>
      </c>
      <c r="B2831" s="20" t="s">
        <v>16</v>
      </c>
      <c r="C2831" s="20" t="s">
        <v>89</v>
      </c>
      <c r="D2831" s="20" t="s">
        <v>1229</v>
      </c>
      <c r="E2831" s="22">
        <v>248</v>
      </c>
      <c r="F2831" s="22">
        <v>3</v>
      </c>
      <c r="G2831" s="22">
        <v>10</v>
      </c>
      <c r="H2831" s="22"/>
      <c r="I2831" s="23" t="s">
        <v>33</v>
      </c>
      <c r="J2831" s="23"/>
      <c r="K2831" s="22"/>
      <c r="L2831" s="22"/>
      <c r="M2831" s="23"/>
      <c r="N2831" s="23"/>
      <c r="O2831" s="26" t="s">
        <v>5831</v>
      </c>
      <c r="P2831" s="26"/>
      <c r="Q2831" s="22">
        <v>153</v>
      </c>
      <c r="R2831" s="24">
        <v>45882</v>
      </c>
      <c r="S2831" s="24">
        <v>45883</v>
      </c>
      <c r="T2831" s="24"/>
      <c r="U2831" s="24"/>
      <c r="V2831" s="24">
        <v>45883</v>
      </c>
      <c r="W2831" s="22" t="s">
        <v>468</v>
      </c>
      <c r="X2831" s="4" t="str">
        <f>IF(Tabela2[[#This Row],[sigla]]="","",VLOOKUP(Tabela2[[#This Row],[sigla]],créditos_base!B:C,2,0))</f>
        <v>VER DOCUMENTO DE ILS. TÉCNICAS</v>
      </c>
      <c r="Y2831" s="23" t="s">
        <v>880</v>
      </c>
      <c r="Z2831" s="23" t="s">
        <v>1327</v>
      </c>
      <c r="AA2831" s="22">
        <v>13</v>
      </c>
      <c r="AB2831" s="20" t="s">
        <v>244</v>
      </c>
      <c r="AC2831" s="20" t="s">
        <v>36</v>
      </c>
      <c r="AD2831" s="4" t="str">
        <f>"Pitanguá"</f>
        <v>Pitanguá</v>
      </c>
      <c r="AE2831" s="14" t="str">
        <f>"Matemática"</f>
        <v>Matemática</v>
      </c>
      <c r="AF2831" s="14"/>
    </row>
    <row r="2832" spans="1:32" ht="57.6" x14ac:dyDescent="0.3">
      <c r="A2832" s="23" t="s">
        <v>5832</v>
      </c>
      <c r="B2832" s="20" t="s">
        <v>16</v>
      </c>
      <c r="C2832" s="20" t="s">
        <v>89</v>
      </c>
      <c r="D2832" s="20" t="s">
        <v>1229</v>
      </c>
      <c r="E2832" s="22">
        <v>248</v>
      </c>
      <c r="F2832" s="22">
        <v>3</v>
      </c>
      <c r="G2832" s="22">
        <v>10</v>
      </c>
      <c r="H2832" s="22"/>
      <c r="I2832" s="23" t="s">
        <v>33</v>
      </c>
      <c r="J2832" s="23"/>
      <c r="K2832" s="22"/>
      <c r="L2832" s="22"/>
      <c r="M2832" s="23"/>
      <c r="N2832" s="23"/>
      <c r="O2832" s="26" t="s">
        <v>5833</v>
      </c>
      <c r="P2832" s="26"/>
      <c r="Q2832" s="22">
        <v>153</v>
      </c>
      <c r="R2832" s="24">
        <v>45882</v>
      </c>
      <c r="S2832" s="24">
        <v>45883</v>
      </c>
      <c r="T2832" s="24"/>
      <c r="U2832" s="24"/>
      <c r="V2832" s="24">
        <v>45883</v>
      </c>
      <c r="W2832" s="22" t="s">
        <v>468</v>
      </c>
      <c r="X2832" s="4" t="str">
        <f>IF(Tabela2[[#This Row],[sigla]]="","",VLOOKUP(Tabela2[[#This Row],[sigla]],créditos_base!B:C,2,0))</f>
        <v>VER DOCUMENTO DE ILS. TÉCNICAS</v>
      </c>
      <c r="Y2832" s="23" t="s">
        <v>880</v>
      </c>
      <c r="Z2832" s="23" t="s">
        <v>1327</v>
      </c>
      <c r="AA2832" s="22">
        <v>13</v>
      </c>
      <c r="AB2832" s="20" t="s">
        <v>244</v>
      </c>
      <c r="AC2832" s="20" t="s">
        <v>36</v>
      </c>
      <c r="AD2832" s="4" t="str">
        <f>"Pitanguá"</f>
        <v>Pitanguá</v>
      </c>
      <c r="AE2832" s="14" t="str">
        <f>"Matemática"</f>
        <v>Matemática</v>
      </c>
      <c r="AF2832" s="14"/>
    </row>
    <row r="2833" spans="1:32" ht="57.6" x14ac:dyDescent="0.3">
      <c r="A2833" s="23" t="s">
        <v>5834</v>
      </c>
      <c r="B2833" s="20" t="s">
        <v>16</v>
      </c>
      <c r="C2833" s="20" t="s">
        <v>89</v>
      </c>
      <c r="D2833" s="20" t="s">
        <v>1229</v>
      </c>
      <c r="E2833" s="22">
        <v>261</v>
      </c>
      <c r="F2833" s="22">
        <v>3</v>
      </c>
      <c r="G2833" s="22">
        <v>10</v>
      </c>
      <c r="H2833" s="22"/>
      <c r="I2833" s="23" t="s">
        <v>90</v>
      </c>
      <c r="J2833" s="23"/>
      <c r="K2833" s="22"/>
      <c r="L2833" s="22"/>
      <c r="M2833" s="23"/>
      <c r="N2833" s="23"/>
      <c r="O2833" s="26" t="s">
        <v>5835</v>
      </c>
      <c r="P2833" s="26"/>
      <c r="Q2833" s="22">
        <v>153</v>
      </c>
      <c r="R2833" s="24">
        <v>45882</v>
      </c>
      <c r="S2833" s="24">
        <v>45883</v>
      </c>
      <c r="T2833" s="24"/>
      <c r="U2833" s="24"/>
      <c r="V2833" s="24">
        <v>45883</v>
      </c>
      <c r="W2833" s="22" t="s">
        <v>468</v>
      </c>
      <c r="X2833" s="4" t="str">
        <f>IF(Tabela2[[#This Row],[sigla]]="","",VLOOKUP(Tabela2[[#This Row],[sigla]],créditos_base!B:C,2,0))</f>
        <v>VER DOCUMENTO DE ILS. TÉCNICAS</v>
      </c>
      <c r="Y2833" s="23" t="s">
        <v>880</v>
      </c>
      <c r="Z2833" s="23" t="s">
        <v>1327</v>
      </c>
      <c r="AA2833" s="22">
        <v>13</v>
      </c>
      <c r="AB2833" s="20" t="s">
        <v>244</v>
      </c>
      <c r="AC2833" s="20" t="s">
        <v>36</v>
      </c>
      <c r="AD2833" s="4" t="str">
        <f>"Pitanguá"</f>
        <v>Pitanguá</v>
      </c>
      <c r="AE2833" s="14" t="str">
        <f>"Matemática"</f>
        <v>Matemática</v>
      </c>
      <c r="AF2833" s="14"/>
    </row>
    <row r="2834" spans="1:32" ht="28.8" x14ac:dyDescent="0.3">
      <c r="A2834" s="23" t="s">
        <v>5836</v>
      </c>
      <c r="B2834" s="20" t="s">
        <v>16</v>
      </c>
      <c r="C2834" s="20" t="s">
        <v>89</v>
      </c>
      <c r="D2834" s="20" t="s">
        <v>1229</v>
      </c>
      <c r="E2834" s="22">
        <v>261</v>
      </c>
      <c r="F2834" s="22">
        <v>3</v>
      </c>
      <c r="G2834" s="22">
        <v>10</v>
      </c>
      <c r="H2834" s="22"/>
      <c r="I2834" s="23" t="s">
        <v>90</v>
      </c>
      <c r="J2834" s="23"/>
      <c r="K2834" s="22"/>
      <c r="L2834" s="22"/>
      <c r="M2834" s="23"/>
      <c r="N2834" s="23"/>
      <c r="O2834" s="26" t="s">
        <v>5837</v>
      </c>
      <c r="P2834" s="26"/>
      <c r="Q2834" s="22">
        <v>153</v>
      </c>
      <c r="R2834" s="24">
        <v>45882</v>
      </c>
      <c r="S2834" s="24">
        <v>45883</v>
      </c>
      <c r="T2834" s="24"/>
      <c r="U2834" s="24"/>
      <c r="V2834" s="24">
        <v>45883</v>
      </c>
      <c r="W2834" s="22" t="s">
        <v>468</v>
      </c>
      <c r="X2834" s="4" t="str">
        <f>IF(Tabela2[[#This Row],[sigla]]="","",VLOOKUP(Tabela2[[#This Row],[sigla]],créditos_base!B:C,2,0))</f>
        <v>VER DOCUMENTO DE ILS. TÉCNICAS</v>
      </c>
      <c r="Y2834" s="23" t="s">
        <v>880</v>
      </c>
      <c r="Z2834" s="23" t="s">
        <v>1327</v>
      </c>
      <c r="AA2834" s="22">
        <v>13</v>
      </c>
      <c r="AB2834" s="20" t="s">
        <v>244</v>
      </c>
      <c r="AC2834" s="20" t="s">
        <v>36</v>
      </c>
      <c r="AD2834" s="4" t="str">
        <f>"Pitanguá"</f>
        <v>Pitanguá</v>
      </c>
      <c r="AE2834" s="14" t="str">
        <f>"Matemática"</f>
        <v>Matemática</v>
      </c>
      <c r="AF2834" s="14"/>
    </row>
    <row r="2835" spans="1:32" ht="28.8" x14ac:dyDescent="0.3">
      <c r="A2835" s="23" t="s">
        <v>5838</v>
      </c>
      <c r="B2835" s="20" t="s">
        <v>16</v>
      </c>
      <c r="C2835" s="20" t="s">
        <v>89</v>
      </c>
      <c r="D2835" s="20" t="s">
        <v>1229</v>
      </c>
      <c r="E2835" s="22">
        <v>261</v>
      </c>
      <c r="F2835" s="22">
        <v>3</v>
      </c>
      <c r="G2835" s="22">
        <v>10</v>
      </c>
      <c r="H2835" s="22"/>
      <c r="I2835" s="23" t="s">
        <v>90</v>
      </c>
      <c r="J2835" s="23"/>
      <c r="K2835" s="22"/>
      <c r="L2835" s="22"/>
      <c r="M2835" s="23"/>
      <c r="N2835" s="23"/>
      <c r="O2835" s="26" t="s">
        <v>5839</v>
      </c>
      <c r="P2835" s="26"/>
      <c r="Q2835" s="22">
        <v>153</v>
      </c>
      <c r="R2835" s="24">
        <v>45882</v>
      </c>
      <c r="S2835" s="24">
        <v>45883</v>
      </c>
      <c r="T2835" s="24"/>
      <c r="U2835" s="24"/>
      <c r="V2835" s="24">
        <v>45883</v>
      </c>
      <c r="W2835" s="22" t="s">
        <v>468</v>
      </c>
      <c r="X2835" s="4" t="str">
        <f>IF(Tabela2[[#This Row],[sigla]]="","",VLOOKUP(Tabela2[[#This Row],[sigla]],créditos_base!B:C,2,0))</f>
        <v>VER DOCUMENTO DE ILS. TÉCNICAS</v>
      </c>
      <c r="Y2835" s="23" t="s">
        <v>880</v>
      </c>
      <c r="Z2835" s="23" t="s">
        <v>1327</v>
      </c>
      <c r="AA2835" s="22">
        <v>13</v>
      </c>
      <c r="AB2835" s="20" t="s">
        <v>244</v>
      </c>
      <c r="AC2835" s="20" t="s">
        <v>36</v>
      </c>
      <c r="AD2835" s="4" t="str">
        <f>"Pitanguá"</f>
        <v>Pitanguá</v>
      </c>
      <c r="AE2835" s="14" t="str">
        <f>"Matemática"</f>
        <v>Matemática</v>
      </c>
      <c r="AF2835" s="14"/>
    </row>
    <row r="2836" spans="1:32" ht="28.8" x14ac:dyDescent="0.3">
      <c r="A2836" s="23" t="s">
        <v>5840</v>
      </c>
      <c r="B2836" s="20" t="s">
        <v>16</v>
      </c>
      <c r="C2836" s="20" t="s">
        <v>89</v>
      </c>
      <c r="D2836" s="20" t="s">
        <v>1229</v>
      </c>
      <c r="E2836" s="22">
        <v>261</v>
      </c>
      <c r="F2836" s="22">
        <v>3</v>
      </c>
      <c r="G2836" s="22">
        <v>10</v>
      </c>
      <c r="H2836" s="22"/>
      <c r="I2836" s="23" t="s">
        <v>90</v>
      </c>
      <c r="J2836" s="23"/>
      <c r="K2836" s="22"/>
      <c r="L2836" s="22"/>
      <c r="M2836" s="23"/>
      <c r="N2836" s="23"/>
      <c r="O2836" s="26" t="s">
        <v>5841</v>
      </c>
      <c r="P2836" s="26"/>
      <c r="Q2836" s="22">
        <v>153</v>
      </c>
      <c r="R2836" s="24">
        <v>45882</v>
      </c>
      <c r="S2836" s="24">
        <v>45883</v>
      </c>
      <c r="T2836" s="24"/>
      <c r="U2836" s="24"/>
      <c r="V2836" s="24">
        <v>45883</v>
      </c>
      <c r="W2836" s="22" t="s">
        <v>468</v>
      </c>
      <c r="X2836" s="4" t="str">
        <f>IF(Tabela2[[#This Row],[sigla]]="","",VLOOKUP(Tabela2[[#This Row],[sigla]],créditos_base!B:C,2,0))</f>
        <v>VER DOCUMENTO DE ILS. TÉCNICAS</v>
      </c>
      <c r="Y2836" s="23" t="s">
        <v>880</v>
      </c>
      <c r="Z2836" s="23" t="s">
        <v>1327</v>
      </c>
      <c r="AA2836" s="22">
        <v>13</v>
      </c>
      <c r="AB2836" s="20" t="s">
        <v>244</v>
      </c>
      <c r="AC2836" s="20" t="s">
        <v>36</v>
      </c>
      <c r="AD2836" s="4" t="str">
        <f>"Pitanguá"</f>
        <v>Pitanguá</v>
      </c>
      <c r="AE2836" s="14" t="str">
        <f>"Matemática"</f>
        <v>Matemática</v>
      </c>
      <c r="AF2836" s="14"/>
    </row>
    <row r="2837" spans="1:32" ht="28.8" x14ac:dyDescent="0.3">
      <c r="A2837" s="23" t="s">
        <v>5945</v>
      </c>
      <c r="B2837" s="20" t="s">
        <v>16</v>
      </c>
      <c r="C2837" s="20" t="s">
        <v>89</v>
      </c>
      <c r="D2837" s="20" t="s">
        <v>1229</v>
      </c>
      <c r="E2837" s="22">
        <v>267</v>
      </c>
      <c r="F2837" s="22">
        <v>3</v>
      </c>
      <c r="G2837" s="22"/>
      <c r="H2837" s="27" t="s">
        <v>2667</v>
      </c>
      <c r="I2837" s="23" t="s">
        <v>33</v>
      </c>
      <c r="J2837" s="23"/>
      <c r="K2837" s="22"/>
      <c r="L2837" s="22"/>
      <c r="M2837" s="23"/>
      <c r="N2837" s="23"/>
      <c r="O2837" s="26" t="s">
        <v>5946</v>
      </c>
      <c r="P2837" s="26"/>
      <c r="Q2837" s="22">
        <v>178</v>
      </c>
      <c r="R2837" s="24">
        <v>45904</v>
      </c>
      <c r="S2837" s="24">
        <v>45905</v>
      </c>
      <c r="T2837" s="24"/>
      <c r="U2837" s="24"/>
      <c r="V2837" s="24">
        <v>45905</v>
      </c>
      <c r="W2837" s="22" t="s">
        <v>468</v>
      </c>
      <c r="X2837" s="4" t="str">
        <f>IF(Tabela2[[#This Row],[sigla]]="","",VLOOKUP(Tabela2[[#This Row],[sigla]],créditos_base!B:C,2,0))</f>
        <v>VER DOCUMENTO DE ILS. TÉCNICAS</v>
      </c>
      <c r="Y2837" s="23" t="s">
        <v>188</v>
      </c>
      <c r="Z2837" s="23" t="s">
        <v>5062</v>
      </c>
      <c r="AA2837" s="22">
        <v>13</v>
      </c>
      <c r="AB2837" s="20" t="s">
        <v>2564</v>
      </c>
      <c r="AC2837" s="20" t="s">
        <v>36</v>
      </c>
      <c r="AD2837" s="4" t="str">
        <f>"Pitanguá"</f>
        <v>Pitanguá</v>
      </c>
      <c r="AE2837" s="14" t="str">
        <f>"Matemática"</f>
        <v>Matemática</v>
      </c>
      <c r="AF2837" s="14"/>
    </row>
    <row r="2838" spans="1:32" ht="72" x14ac:dyDescent="0.3">
      <c r="A2838" s="23" t="s">
        <v>5231</v>
      </c>
      <c r="B2838" s="20" t="s">
        <v>6</v>
      </c>
      <c r="C2838" s="20" t="s">
        <v>7</v>
      </c>
      <c r="D2838" s="20" t="s">
        <v>8</v>
      </c>
      <c r="E2838" s="22">
        <v>158</v>
      </c>
      <c r="F2838" s="22">
        <v>4</v>
      </c>
      <c r="G2838" s="22">
        <v>6</v>
      </c>
      <c r="H2838" s="22"/>
      <c r="I2838" s="23" t="s">
        <v>90</v>
      </c>
      <c r="J2838" s="23"/>
      <c r="K2838" s="22"/>
      <c r="L2838" s="22"/>
      <c r="M2838" s="23"/>
      <c r="N2838" s="23"/>
      <c r="O2838" s="20" t="s">
        <v>5232</v>
      </c>
      <c r="P2838" s="26"/>
      <c r="Q2838" s="22"/>
      <c r="R2838" s="24"/>
      <c r="S2838" s="24"/>
      <c r="T2838" s="24"/>
      <c r="U2838" s="24"/>
      <c r="V2838" s="24"/>
      <c r="W2838" s="22"/>
      <c r="X2838" s="4" t="str">
        <f>IF(Tabela2[[#This Row],[sigla]]="","",VLOOKUP(Tabela2[[#This Row],[sigla]],créditos_base!B:C,2,0))</f>
        <v/>
      </c>
      <c r="Y2838" s="23"/>
      <c r="Z2838" s="23" t="str">
        <f>Tabela2[[#This Row],[ilustrador]]</f>
        <v/>
      </c>
      <c r="AA2838" s="22"/>
      <c r="AB2838" s="20"/>
      <c r="AD2838" s="4" t="str">
        <f>"Pitanguá"</f>
        <v>Pitanguá</v>
      </c>
      <c r="AE2838" s="14" t="str">
        <f>"Matemática"</f>
        <v>Matemática</v>
      </c>
      <c r="AF2838" s="14"/>
    </row>
    <row r="2839" spans="1:32" ht="57.6" x14ac:dyDescent="0.3">
      <c r="A2839" s="23" t="s">
        <v>1965</v>
      </c>
      <c r="B2839" s="20" t="s">
        <v>16</v>
      </c>
      <c r="C2839" s="20" t="s">
        <v>7</v>
      </c>
      <c r="D2839" s="20" t="s">
        <v>8</v>
      </c>
      <c r="E2839" s="22">
        <v>55</v>
      </c>
      <c r="F2839" s="22">
        <v>3</v>
      </c>
      <c r="G2839" s="22">
        <v>3</v>
      </c>
      <c r="H2839" s="22"/>
      <c r="I2839" s="23" t="s">
        <v>33</v>
      </c>
      <c r="J2839" s="23"/>
      <c r="K2839" s="22"/>
      <c r="L2839" s="22"/>
      <c r="M2839" s="23"/>
      <c r="N2839" s="23"/>
      <c r="O2839" s="26" t="s">
        <v>1966</v>
      </c>
      <c r="P2839" s="26"/>
      <c r="Q2839" s="22">
        <v>24</v>
      </c>
      <c r="R2839" s="24">
        <v>45751</v>
      </c>
      <c r="S2839" s="24">
        <v>45751</v>
      </c>
      <c r="T2839" s="24"/>
      <c r="U2839" s="24"/>
      <c r="V2839" s="24">
        <v>45751</v>
      </c>
      <c r="W2839" s="22"/>
      <c r="X2839" s="4" t="str">
        <f>IF(Tabela2[[#This Row],[sigla]]="","",VLOOKUP(Tabela2[[#This Row],[sigla]],créditos_base!B:C,2,0))</f>
        <v/>
      </c>
      <c r="Y2839" s="23" t="s">
        <v>524</v>
      </c>
      <c r="Z2839" s="30" t="s">
        <v>1967</v>
      </c>
      <c r="AA2839" s="22">
        <v>14</v>
      </c>
      <c r="AB2839" s="20" t="s">
        <v>1500</v>
      </c>
      <c r="AC2839" s="20" t="s">
        <v>36</v>
      </c>
      <c r="AD2839" s="4" t="str">
        <f>"Pitanguá"</f>
        <v>Pitanguá</v>
      </c>
      <c r="AE2839" s="14" t="str">
        <f>"Matemática"</f>
        <v>Matemática</v>
      </c>
      <c r="AF2839" s="14"/>
    </row>
    <row r="2840" spans="1:32" ht="28.8" x14ac:dyDescent="0.3">
      <c r="A2840" s="23" t="s">
        <v>357</v>
      </c>
      <c r="B2840" s="20" t="s">
        <v>16</v>
      </c>
      <c r="C2840" s="20" t="s">
        <v>358</v>
      </c>
      <c r="D2840" s="20" t="s">
        <v>8</v>
      </c>
      <c r="E2840" s="22">
        <v>76</v>
      </c>
      <c r="F2840" s="22">
        <v>1</v>
      </c>
      <c r="G2840" s="22">
        <v>3</v>
      </c>
      <c r="H2840" s="22"/>
      <c r="I2840" s="23" t="s">
        <v>9</v>
      </c>
      <c r="J2840" s="23"/>
      <c r="K2840" s="22"/>
      <c r="L2840" s="22"/>
      <c r="M2840" s="23"/>
      <c r="N2840" s="23"/>
      <c r="O2840" s="26" t="s">
        <v>359</v>
      </c>
      <c r="P2840" s="26"/>
      <c r="Q2840" s="22"/>
      <c r="R2840" s="24"/>
      <c r="S2840" s="24">
        <v>45726</v>
      </c>
      <c r="T2840" s="24"/>
      <c r="U2840" s="24"/>
      <c r="V2840" s="24">
        <v>45727</v>
      </c>
      <c r="W2840" s="22" t="s">
        <v>230</v>
      </c>
      <c r="X2840" s="4" t="str">
        <f>IF(Tabela2[[#This Row],[sigla]]="","",VLOOKUP(Tabela2[[#This Row],[sigla]],créditos_base!B:C,2,0))</f>
        <v>RAFAEL L. GAION/ARQUIVO DA EDITORA</v>
      </c>
      <c r="Y2840" s="23" t="s">
        <v>13</v>
      </c>
      <c r="Z2840" s="23" t="str">
        <f>Tabela2[[#This Row],[ilustrador]]</f>
        <v>RAFAEL L. GAION/ARQUIVO DA EDITORA</v>
      </c>
      <c r="AA2840" s="22">
        <v>13</v>
      </c>
      <c r="AB2840" s="20"/>
      <c r="AC2840" s="20" t="s">
        <v>36</v>
      </c>
      <c r="AD2840" s="4" t="str">
        <f>"Pitanguá"</f>
        <v>Pitanguá</v>
      </c>
      <c r="AE2840" s="14" t="str">
        <f>"Matemática"</f>
        <v>Matemática</v>
      </c>
      <c r="AF2840" s="14"/>
    </row>
    <row r="2841" spans="1:32" ht="57.6" x14ac:dyDescent="0.3">
      <c r="A2841" s="23" t="s">
        <v>360</v>
      </c>
      <c r="B2841" s="20" t="s">
        <v>16</v>
      </c>
      <c r="C2841" s="20" t="s">
        <v>358</v>
      </c>
      <c r="D2841" s="20" t="s">
        <v>8</v>
      </c>
      <c r="E2841" s="22">
        <v>76</v>
      </c>
      <c r="F2841" s="22">
        <v>1</v>
      </c>
      <c r="G2841" s="22">
        <v>3</v>
      </c>
      <c r="H2841" s="22"/>
      <c r="I2841" s="23" t="s">
        <v>9</v>
      </c>
      <c r="J2841" s="23"/>
      <c r="K2841" s="22"/>
      <c r="L2841" s="22"/>
      <c r="M2841" s="23"/>
      <c r="N2841" s="23"/>
      <c r="O2841" s="26" t="s">
        <v>361</v>
      </c>
      <c r="P2841" s="26"/>
      <c r="Q2841" s="22"/>
      <c r="R2841" s="24"/>
      <c r="S2841" s="24">
        <v>45726</v>
      </c>
      <c r="T2841" s="24"/>
      <c r="U2841" s="24"/>
      <c r="V2841" s="24">
        <v>45727</v>
      </c>
      <c r="W2841" s="22" t="s">
        <v>230</v>
      </c>
      <c r="X2841" s="4" t="str">
        <f>IF(Tabela2[[#This Row],[sigla]]="","",VLOOKUP(Tabela2[[#This Row],[sigla]],créditos_base!B:C,2,0))</f>
        <v>RAFAEL L. GAION/ARQUIVO DA EDITORA</v>
      </c>
      <c r="Y2841" s="23" t="s">
        <v>13</v>
      </c>
      <c r="Z2841" s="23" t="str">
        <f>Tabela2[[#This Row],[ilustrador]]</f>
        <v>RAFAEL L. GAION/ARQUIVO DA EDITORA</v>
      </c>
      <c r="AA2841" s="22">
        <v>13</v>
      </c>
      <c r="AB2841" s="20"/>
      <c r="AC2841" s="20" t="s">
        <v>36</v>
      </c>
      <c r="AD2841" s="4" t="str">
        <f>"Pitanguá"</f>
        <v>Pitanguá</v>
      </c>
      <c r="AE2841" s="14" t="str">
        <f>"Matemática"</f>
        <v>Matemática</v>
      </c>
      <c r="AF2841" s="14"/>
    </row>
    <row r="2842" spans="1:32" ht="43.2" x14ac:dyDescent="0.3">
      <c r="A2842" s="23" t="s">
        <v>362</v>
      </c>
      <c r="B2842" s="20" t="s">
        <v>16</v>
      </c>
      <c r="C2842" s="20" t="s">
        <v>358</v>
      </c>
      <c r="D2842" s="20" t="s">
        <v>8</v>
      </c>
      <c r="E2842" s="22">
        <v>76</v>
      </c>
      <c r="F2842" s="22">
        <v>1</v>
      </c>
      <c r="G2842" s="22">
        <v>3</v>
      </c>
      <c r="H2842" s="22"/>
      <c r="I2842" s="23" t="s">
        <v>9</v>
      </c>
      <c r="J2842" s="23"/>
      <c r="K2842" s="22"/>
      <c r="L2842" s="22"/>
      <c r="M2842" s="23"/>
      <c r="N2842" s="23"/>
      <c r="O2842" s="26" t="s">
        <v>363</v>
      </c>
      <c r="P2842" s="26"/>
      <c r="Q2842" s="22"/>
      <c r="R2842" s="24"/>
      <c r="S2842" s="24">
        <v>45726</v>
      </c>
      <c r="T2842" s="24"/>
      <c r="U2842" s="24"/>
      <c r="V2842" s="24">
        <v>45727</v>
      </c>
      <c r="W2842" s="22" t="s">
        <v>230</v>
      </c>
      <c r="X2842" s="4" t="str">
        <f>IF(Tabela2[[#This Row],[sigla]]="","",VLOOKUP(Tabela2[[#This Row],[sigla]],créditos_base!B:C,2,0))</f>
        <v>RAFAEL L. GAION/ARQUIVO DA EDITORA</v>
      </c>
      <c r="Y2842" s="23" t="s">
        <v>13</v>
      </c>
      <c r="Z2842" s="23" t="str">
        <f>Tabela2[[#This Row],[ilustrador]]</f>
        <v>RAFAEL L. GAION/ARQUIVO DA EDITORA</v>
      </c>
      <c r="AA2842" s="22">
        <v>13</v>
      </c>
      <c r="AB2842" s="20"/>
      <c r="AC2842" s="20" t="s">
        <v>36</v>
      </c>
      <c r="AD2842" s="4" t="str">
        <f>"Pitanguá"</f>
        <v>Pitanguá</v>
      </c>
      <c r="AE2842" s="14" t="str">
        <f>"Matemática"</f>
        <v>Matemática</v>
      </c>
      <c r="AF2842" s="14"/>
    </row>
    <row r="2843" spans="1:32" ht="43.2" x14ac:dyDescent="0.3">
      <c r="A2843" s="23" t="s">
        <v>4017</v>
      </c>
      <c r="B2843" s="20" t="s">
        <v>16</v>
      </c>
      <c r="C2843" s="20" t="s">
        <v>7</v>
      </c>
      <c r="D2843" s="20" t="s">
        <v>8</v>
      </c>
      <c r="E2843" s="22">
        <v>117</v>
      </c>
      <c r="F2843" s="22">
        <v>5</v>
      </c>
      <c r="G2843" s="22">
        <v>4</v>
      </c>
      <c r="H2843" s="22"/>
      <c r="I2843" s="23" t="s">
        <v>9</v>
      </c>
      <c r="J2843" s="23"/>
      <c r="K2843" s="22"/>
      <c r="L2843" s="22"/>
      <c r="M2843" s="23"/>
      <c r="N2843" s="23"/>
      <c r="O2843" s="26" t="s">
        <v>4018</v>
      </c>
      <c r="P2843" s="26"/>
      <c r="Q2843" s="22"/>
      <c r="R2843" s="24"/>
      <c r="S2843" s="24"/>
      <c r="T2843" s="24"/>
      <c r="U2843" s="24"/>
      <c r="V2843" s="24"/>
      <c r="W2843" s="22" t="s">
        <v>356</v>
      </c>
      <c r="X2843" s="4" t="str">
        <f>IF(Tabela2[[#This Row],[sigla]]="","",VLOOKUP(Tabela2[[#This Row],[sigla]],créditos_base!B:C,2,0))</f>
        <v>CAMILA CARMONA/ARQUIVO DA EDITORA</v>
      </c>
      <c r="Y2843" s="23"/>
      <c r="Z2843" s="30" t="s">
        <v>4019</v>
      </c>
      <c r="AA2843" s="22"/>
      <c r="AB2843" s="20"/>
      <c r="AD2843" s="4" t="str">
        <f>"Pitanguá"</f>
        <v>Pitanguá</v>
      </c>
      <c r="AE2843" s="14" t="str">
        <f>"Matemática"</f>
        <v>Matemática</v>
      </c>
      <c r="AF2843" s="14"/>
    </row>
    <row r="2844" spans="1:32" ht="43.2" x14ac:dyDescent="0.3">
      <c r="A2844" s="23" t="s">
        <v>2199</v>
      </c>
      <c r="B2844" s="20" t="s">
        <v>16</v>
      </c>
      <c r="C2844" s="20" t="s">
        <v>89</v>
      </c>
      <c r="D2844" s="20" t="s">
        <v>8</v>
      </c>
      <c r="E2844" s="22">
        <v>131</v>
      </c>
      <c r="F2844" s="22">
        <v>1</v>
      </c>
      <c r="G2844" s="22">
        <v>5</v>
      </c>
      <c r="H2844" s="22"/>
      <c r="I2844" s="23" t="s">
        <v>90</v>
      </c>
      <c r="J2844" s="23"/>
      <c r="K2844" s="22"/>
      <c r="L2844" s="22"/>
      <c r="M2844" s="23"/>
      <c r="N2844" s="23"/>
      <c r="O2844" s="26" t="s">
        <v>2200</v>
      </c>
      <c r="P2844" s="26" t="s">
        <v>2201</v>
      </c>
      <c r="Q2844" s="22">
        <v>43</v>
      </c>
      <c r="R2844" s="24">
        <v>45785</v>
      </c>
      <c r="S2844" s="24">
        <v>45785</v>
      </c>
      <c r="T2844" s="24"/>
      <c r="U2844" s="24"/>
      <c r="V2844" s="24">
        <v>45785</v>
      </c>
      <c r="W2844" s="22" t="s">
        <v>1217</v>
      </c>
      <c r="X2844" s="4" t="str">
        <f>IF(Tabela2[[#This Row],[sigla]]="","",VLOOKUP(Tabela2[[#This Row],[sigla]],créditos_base!B:C,2,0))</f>
        <v>KEITHY MOSTACHI/ARQUIVO DA EDITORA</v>
      </c>
      <c r="Y2844" s="23"/>
      <c r="Z2844" s="23" t="str">
        <f>Tabela2[[#This Row],[ilustrador]]</f>
        <v>KEITHY MOSTACHI/ARQUIVO DA EDITORA</v>
      </c>
      <c r="AA2844" s="22">
        <v>8</v>
      </c>
      <c r="AB2844" s="20" t="s">
        <v>747</v>
      </c>
      <c r="AC2844" s="20" t="s">
        <v>36</v>
      </c>
      <c r="AD2844" s="4" t="str">
        <f>"Pitanguá"</f>
        <v>Pitanguá</v>
      </c>
      <c r="AE2844" s="14" t="str">
        <f>"Matemática"</f>
        <v>Matemática</v>
      </c>
      <c r="AF2844" s="14"/>
    </row>
    <row r="2845" spans="1:32" ht="43.2" x14ac:dyDescent="0.3">
      <c r="A2845" s="23" t="s">
        <v>2202</v>
      </c>
      <c r="B2845" s="20" t="s">
        <v>16</v>
      </c>
      <c r="C2845" s="20" t="s">
        <v>89</v>
      </c>
      <c r="D2845" s="20" t="s">
        <v>8</v>
      </c>
      <c r="E2845" s="22">
        <v>131</v>
      </c>
      <c r="F2845" s="22">
        <v>1</v>
      </c>
      <c r="G2845" s="22">
        <v>5</v>
      </c>
      <c r="H2845" s="22"/>
      <c r="I2845" s="23" t="s">
        <v>90</v>
      </c>
      <c r="J2845" s="23"/>
      <c r="K2845" s="22"/>
      <c r="L2845" s="22"/>
      <c r="M2845" s="23"/>
      <c r="N2845" s="23"/>
      <c r="O2845" s="26" t="s">
        <v>2203</v>
      </c>
      <c r="P2845" s="26" t="s">
        <v>2204</v>
      </c>
      <c r="Q2845" s="22">
        <v>43</v>
      </c>
      <c r="R2845" s="24">
        <v>45785</v>
      </c>
      <c r="S2845" s="24">
        <v>45785</v>
      </c>
      <c r="T2845" s="24"/>
      <c r="U2845" s="24"/>
      <c r="V2845" s="24">
        <v>45785</v>
      </c>
      <c r="W2845" s="22" t="s">
        <v>1217</v>
      </c>
      <c r="X2845" s="4" t="str">
        <f>IF(Tabela2[[#This Row],[sigla]]="","",VLOOKUP(Tabela2[[#This Row],[sigla]],créditos_base!B:C,2,0))</f>
        <v>KEITHY MOSTACHI/ARQUIVO DA EDITORA</v>
      </c>
      <c r="Y2845" s="23" t="s">
        <v>243</v>
      </c>
      <c r="Z2845" s="23" t="str">
        <f>Tabela2[[#This Row],[ilustrador]]</f>
        <v>KEITHY MOSTACHI/ARQUIVO DA EDITORA</v>
      </c>
      <c r="AA2845" s="22">
        <v>8</v>
      </c>
      <c r="AB2845" s="20" t="s">
        <v>747</v>
      </c>
      <c r="AC2845" s="20" t="s">
        <v>36</v>
      </c>
      <c r="AD2845" s="4" t="str">
        <f>"Pitanguá"</f>
        <v>Pitanguá</v>
      </c>
      <c r="AE2845" s="14" t="str">
        <f>"Matemática"</f>
        <v>Matemática</v>
      </c>
      <c r="AF2845" s="14"/>
    </row>
    <row r="2846" spans="1:32" ht="43.2" x14ac:dyDescent="0.3">
      <c r="A2846" s="23" t="s">
        <v>2205</v>
      </c>
      <c r="B2846" s="20" t="s">
        <v>16</v>
      </c>
      <c r="C2846" s="20" t="s">
        <v>89</v>
      </c>
      <c r="D2846" s="20" t="s">
        <v>8</v>
      </c>
      <c r="E2846" s="22">
        <v>131</v>
      </c>
      <c r="F2846" s="22">
        <v>1</v>
      </c>
      <c r="G2846" s="22">
        <v>5</v>
      </c>
      <c r="H2846" s="22"/>
      <c r="I2846" s="23" t="s">
        <v>90</v>
      </c>
      <c r="J2846" s="23"/>
      <c r="K2846" s="22"/>
      <c r="L2846" s="22"/>
      <c r="M2846" s="23"/>
      <c r="N2846" s="23"/>
      <c r="O2846" s="26" t="s">
        <v>2206</v>
      </c>
      <c r="P2846" s="26" t="s">
        <v>2207</v>
      </c>
      <c r="Q2846" s="22">
        <v>43</v>
      </c>
      <c r="R2846" s="24">
        <v>45785</v>
      </c>
      <c r="S2846" s="24">
        <v>45785</v>
      </c>
      <c r="T2846" s="24"/>
      <c r="U2846" s="24"/>
      <c r="V2846" s="24">
        <v>45785</v>
      </c>
      <c r="W2846" s="22" t="s">
        <v>1217</v>
      </c>
      <c r="X2846" s="4" t="str">
        <f>IF(Tabela2[[#This Row],[sigla]]="","",VLOOKUP(Tabela2[[#This Row],[sigla]],créditos_base!B:C,2,0))</f>
        <v>KEITHY MOSTACHI/ARQUIVO DA EDITORA</v>
      </c>
      <c r="Y2846" s="23" t="s">
        <v>243</v>
      </c>
      <c r="Z2846" s="23" t="str">
        <f>Tabela2[[#This Row],[ilustrador]]</f>
        <v>KEITHY MOSTACHI/ARQUIVO DA EDITORA</v>
      </c>
      <c r="AA2846" s="22">
        <v>8</v>
      </c>
      <c r="AB2846" s="20" t="s">
        <v>747</v>
      </c>
      <c r="AC2846" s="20" t="s">
        <v>36</v>
      </c>
      <c r="AD2846" s="4" t="str">
        <f>"Pitanguá"</f>
        <v>Pitanguá</v>
      </c>
      <c r="AE2846" s="14" t="str">
        <f>"Matemática"</f>
        <v>Matemática</v>
      </c>
      <c r="AF2846" s="14"/>
    </row>
    <row r="2847" spans="1:32" ht="43.2" x14ac:dyDescent="0.3">
      <c r="A2847" s="23" t="s">
        <v>2208</v>
      </c>
      <c r="B2847" s="20" t="s">
        <v>16</v>
      </c>
      <c r="C2847" s="20" t="s">
        <v>89</v>
      </c>
      <c r="D2847" s="20" t="s">
        <v>8</v>
      </c>
      <c r="E2847" s="22">
        <v>131</v>
      </c>
      <c r="F2847" s="22">
        <v>1</v>
      </c>
      <c r="G2847" s="22">
        <v>5</v>
      </c>
      <c r="H2847" s="22"/>
      <c r="I2847" s="23" t="s">
        <v>90</v>
      </c>
      <c r="J2847" s="23"/>
      <c r="K2847" s="22"/>
      <c r="L2847" s="22"/>
      <c r="M2847" s="23"/>
      <c r="N2847" s="23"/>
      <c r="O2847" s="26" t="s">
        <v>2209</v>
      </c>
      <c r="P2847" s="26" t="s">
        <v>2210</v>
      </c>
      <c r="Q2847" s="22">
        <v>43</v>
      </c>
      <c r="R2847" s="24">
        <v>45785</v>
      </c>
      <c r="S2847" s="24">
        <v>45785</v>
      </c>
      <c r="T2847" s="24"/>
      <c r="U2847" s="24"/>
      <c r="V2847" s="24">
        <v>45785</v>
      </c>
      <c r="W2847" s="22" t="s">
        <v>1217</v>
      </c>
      <c r="X2847" s="4" t="str">
        <f>IF(Tabela2[[#This Row],[sigla]]="","",VLOOKUP(Tabela2[[#This Row],[sigla]],créditos_base!B:C,2,0))</f>
        <v>KEITHY MOSTACHI/ARQUIVO DA EDITORA</v>
      </c>
      <c r="Y2847" s="23" t="s">
        <v>243</v>
      </c>
      <c r="Z2847" s="23" t="str">
        <f>Tabela2[[#This Row],[ilustrador]]</f>
        <v>KEITHY MOSTACHI/ARQUIVO DA EDITORA</v>
      </c>
      <c r="AA2847" s="22">
        <v>8</v>
      </c>
      <c r="AB2847" s="20" t="s">
        <v>747</v>
      </c>
      <c r="AC2847" s="20" t="s">
        <v>36</v>
      </c>
      <c r="AD2847" s="4" t="str">
        <f>"Pitanguá"</f>
        <v>Pitanguá</v>
      </c>
      <c r="AE2847" s="14" t="str">
        <f>"Matemática"</f>
        <v>Matemática</v>
      </c>
      <c r="AF2847" s="14"/>
    </row>
    <row r="2848" spans="1:32" ht="28.8" x14ac:dyDescent="0.3">
      <c r="A2848" s="23" t="s">
        <v>2211</v>
      </c>
      <c r="B2848" s="20" t="s">
        <v>16</v>
      </c>
      <c r="C2848" s="20" t="s">
        <v>89</v>
      </c>
      <c r="D2848" s="20" t="s">
        <v>8</v>
      </c>
      <c r="E2848" s="22">
        <v>131</v>
      </c>
      <c r="F2848" s="22">
        <v>1</v>
      </c>
      <c r="G2848" s="22">
        <v>5</v>
      </c>
      <c r="H2848" s="22"/>
      <c r="I2848" s="23" t="s">
        <v>90</v>
      </c>
      <c r="J2848" s="23"/>
      <c r="K2848" s="22"/>
      <c r="L2848" s="22"/>
      <c r="M2848" s="23"/>
      <c r="N2848" s="23"/>
      <c r="O2848" s="26" t="s">
        <v>2212</v>
      </c>
      <c r="P2848" s="26" t="s">
        <v>2213</v>
      </c>
      <c r="Q2848" s="22">
        <v>43</v>
      </c>
      <c r="R2848" s="24">
        <v>45785</v>
      </c>
      <c r="S2848" s="24">
        <v>45785</v>
      </c>
      <c r="T2848" s="24"/>
      <c r="U2848" s="24"/>
      <c r="V2848" s="24">
        <v>45785</v>
      </c>
      <c r="W2848" s="22" t="s">
        <v>1217</v>
      </c>
      <c r="X2848" s="4" t="str">
        <f>IF(Tabela2[[#This Row],[sigla]]="","",VLOOKUP(Tabela2[[#This Row],[sigla]],créditos_base!B:C,2,0))</f>
        <v>KEITHY MOSTACHI/ARQUIVO DA EDITORA</v>
      </c>
      <c r="Y2848" s="23" t="s">
        <v>243</v>
      </c>
      <c r="Z2848" s="23" t="str">
        <f>Tabela2[[#This Row],[ilustrador]]</f>
        <v>KEITHY MOSTACHI/ARQUIVO DA EDITORA</v>
      </c>
      <c r="AA2848" s="22">
        <v>8</v>
      </c>
      <c r="AB2848" s="20" t="s">
        <v>747</v>
      </c>
      <c r="AC2848" s="20" t="s">
        <v>36</v>
      </c>
      <c r="AD2848" s="4" t="str">
        <f>"Pitanguá"</f>
        <v>Pitanguá</v>
      </c>
      <c r="AE2848" s="14" t="str">
        <f>"Matemática"</f>
        <v>Matemática</v>
      </c>
      <c r="AF2848" s="14"/>
    </row>
    <row r="2849" spans="1:32" ht="86.4" x14ac:dyDescent="0.3">
      <c r="A2849" s="23" t="s">
        <v>5686</v>
      </c>
      <c r="B2849" s="20" t="s">
        <v>16</v>
      </c>
      <c r="C2849" s="20" t="s">
        <v>358</v>
      </c>
      <c r="D2849" s="20" t="s">
        <v>8</v>
      </c>
      <c r="E2849" s="22">
        <v>157</v>
      </c>
      <c r="F2849" s="22">
        <v>5</v>
      </c>
      <c r="G2849" s="22">
        <v>6</v>
      </c>
      <c r="H2849" s="22"/>
      <c r="I2849" s="23" t="s">
        <v>33</v>
      </c>
      <c r="J2849" s="23"/>
      <c r="K2849" s="22"/>
      <c r="L2849" s="22"/>
      <c r="M2849" s="23"/>
      <c r="N2849" s="23"/>
      <c r="O2849" s="26" t="s">
        <v>5687</v>
      </c>
      <c r="P2849" s="26"/>
      <c r="Q2849" s="22">
        <v>139</v>
      </c>
      <c r="R2849" s="24">
        <v>45868</v>
      </c>
      <c r="S2849" s="24">
        <v>45868</v>
      </c>
      <c r="T2849" s="24"/>
      <c r="U2849" s="24"/>
      <c r="V2849" s="24">
        <v>45874</v>
      </c>
      <c r="W2849" s="22" t="s">
        <v>3582</v>
      </c>
      <c r="X2849" s="4" t="str">
        <f>IF(Tabela2[[#This Row],[sigla]]="","",VLOOKUP(Tabela2[[#This Row],[sigla]],créditos_base!B:C,2,0))</f>
        <v>CÁTIA GERMANI/ARQUIVO DA EDITORA</v>
      </c>
      <c r="Y2849" s="23" t="s">
        <v>188</v>
      </c>
      <c r="Z2849" s="30" t="s">
        <v>5688</v>
      </c>
      <c r="AA2849" s="22">
        <v>13</v>
      </c>
      <c r="AB2849" s="20" t="s">
        <v>153</v>
      </c>
      <c r="AC2849" s="20" t="s">
        <v>36</v>
      </c>
      <c r="AD2849" s="4" t="str">
        <f>"Pitanguá"</f>
        <v>Pitanguá</v>
      </c>
      <c r="AE2849" s="14" t="str">
        <f>"Matemática"</f>
        <v>Matemática</v>
      </c>
      <c r="AF2849" s="14"/>
    </row>
    <row r="2850" spans="1:32" ht="28.8" x14ac:dyDescent="0.3">
      <c r="A2850" s="23" t="s">
        <v>2342</v>
      </c>
      <c r="B2850" s="20" t="s">
        <v>16</v>
      </c>
      <c r="C2850" s="20" t="s">
        <v>358</v>
      </c>
      <c r="D2850" s="20" t="s">
        <v>8</v>
      </c>
      <c r="E2850" s="22">
        <v>139</v>
      </c>
      <c r="F2850" s="22">
        <v>3</v>
      </c>
      <c r="G2850" s="22">
        <v>7</v>
      </c>
      <c r="H2850" s="22"/>
      <c r="I2850" s="23" t="s">
        <v>9</v>
      </c>
      <c r="J2850" s="23"/>
      <c r="K2850" s="22"/>
      <c r="L2850" s="22"/>
      <c r="M2850" s="23"/>
      <c r="N2850" s="23"/>
      <c r="O2850" s="26" t="s">
        <v>2343</v>
      </c>
      <c r="P2850" s="26"/>
      <c r="Q2850" s="22"/>
      <c r="R2850" s="24"/>
      <c r="S2850" s="24"/>
      <c r="T2850" s="24"/>
      <c r="U2850" s="24"/>
      <c r="V2850" s="24"/>
      <c r="W2850" s="22" t="s">
        <v>356</v>
      </c>
      <c r="X2850" s="4" t="str">
        <f>IF(Tabela2[[#This Row],[sigla]]="","",VLOOKUP(Tabela2[[#This Row],[sigla]],créditos_base!B:C,2,0))</f>
        <v>CAMILA CARMONA/ARQUIVO DA EDITORA</v>
      </c>
      <c r="Y2850" s="23"/>
      <c r="Z2850" s="23" t="str">
        <f>Tabela2[[#This Row],[ilustrador]]</f>
        <v>CAMILA CARMONA/ARQUIVO DA EDITORA</v>
      </c>
      <c r="AA2850" s="22"/>
      <c r="AB2850" s="20"/>
      <c r="AD2850" s="4" t="str">
        <f>"Pitanguá"</f>
        <v>Pitanguá</v>
      </c>
      <c r="AE2850" s="14" t="str">
        <f>"Matemática"</f>
        <v>Matemática</v>
      </c>
      <c r="AF2850" s="14"/>
    </row>
    <row r="2851" spans="1:32" ht="43.2" x14ac:dyDescent="0.3">
      <c r="A2851" s="23" t="s">
        <v>4975</v>
      </c>
      <c r="B2851" s="20" t="s">
        <v>16</v>
      </c>
      <c r="C2851" s="20" t="s">
        <v>358</v>
      </c>
      <c r="D2851" s="20" t="s">
        <v>8</v>
      </c>
      <c r="E2851" s="22">
        <v>184</v>
      </c>
      <c r="F2851" s="22">
        <v>3</v>
      </c>
      <c r="G2851" s="22">
        <v>7</v>
      </c>
      <c r="H2851" s="22"/>
      <c r="I2851" s="23" t="s">
        <v>33</v>
      </c>
      <c r="J2851" s="23"/>
      <c r="K2851" s="22"/>
      <c r="L2851" s="22"/>
      <c r="M2851" s="23"/>
      <c r="N2851" s="23"/>
      <c r="O2851" s="26" t="s">
        <v>4976</v>
      </c>
      <c r="P2851" s="26"/>
      <c r="Q2851" s="22">
        <v>90</v>
      </c>
      <c r="R2851" s="24">
        <v>45839</v>
      </c>
      <c r="S2851" s="24">
        <v>45840</v>
      </c>
      <c r="T2851" s="24"/>
      <c r="U2851" s="24"/>
      <c r="V2851" s="24">
        <v>45840</v>
      </c>
      <c r="W2851" s="22"/>
      <c r="X2851" s="4" t="str">
        <f>IF(Tabela2[[#This Row],[sigla]]="","",VLOOKUP(Tabela2[[#This Row],[sigla]],créditos_base!B:C,2,0))</f>
        <v/>
      </c>
      <c r="Y2851" s="23" t="s">
        <v>433</v>
      </c>
      <c r="Z2851" s="14" t="s">
        <v>4977</v>
      </c>
      <c r="AA2851" s="22">
        <v>14</v>
      </c>
      <c r="AB2851" s="20" t="s">
        <v>4978</v>
      </c>
      <c r="AC2851" s="20" t="s">
        <v>36</v>
      </c>
      <c r="AD2851" s="4" t="str">
        <f>"Pitanguá"</f>
        <v>Pitanguá</v>
      </c>
      <c r="AE2851" s="14" t="str">
        <f>"Matemática"</f>
        <v>Matemática</v>
      </c>
      <c r="AF2851" s="14"/>
    </row>
    <row r="2852" spans="1:32" ht="28.8" x14ac:dyDescent="0.3">
      <c r="A2852" s="23" t="s">
        <v>5869</v>
      </c>
      <c r="B2852" s="20" t="s">
        <v>16</v>
      </c>
      <c r="C2852" s="20" t="s">
        <v>358</v>
      </c>
      <c r="D2852" s="20" t="s">
        <v>8</v>
      </c>
      <c r="E2852" s="22">
        <v>160</v>
      </c>
      <c r="F2852" s="22">
        <v>4</v>
      </c>
      <c r="G2852" s="22">
        <v>8</v>
      </c>
      <c r="H2852" s="22"/>
      <c r="I2852" s="23" t="s">
        <v>9</v>
      </c>
      <c r="J2852" s="23"/>
      <c r="K2852" s="22"/>
      <c r="L2852" s="22"/>
      <c r="M2852" s="23"/>
      <c r="N2852" s="23"/>
      <c r="O2852" s="26" t="s">
        <v>5870</v>
      </c>
      <c r="P2852" s="26"/>
      <c r="Q2852" s="22"/>
      <c r="R2852" s="24"/>
      <c r="S2852" s="24"/>
      <c r="T2852" s="24"/>
      <c r="U2852" s="24"/>
      <c r="V2852" s="24"/>
      <c r="W2852" s="22" t="s">
        <v>3582</v>
      </c>
      <c r="X2852" s="4" t="str">
        <f>IF(Tabela2[[#This Row],[sigla]]="","",VLOOKUP(Tabela2[[#This Row],[sigla]],créditos_base!B:C,2,0))</f>
        <v>CÁTIA GERMANI/ARQUIVO DA EDITORA</v>
      </c>
      <c r="Y2852" s="23"/>
      <c r="Z2852" s="23" t="s">
        <v>5871</v>
      </c>
      <c r="AA2852" s="22"/>
      <c r="AB2852" s="20"/>
      <c r="AD2852" s="4" t="str">
        <f>"Pitanguá"</f>
        <v>Pitanguá</v>
      </c>
      <c r="AE2852" s="14" t="str">
        <f>"Matemática"</f>
        <v>Matemática</v>
      </c>
      <c r="AF2852" s="14"/>
    </row>
    <row r="2853" spans="1:32" ht="28.8" x14ac:dyDescent="0.3">
      <c r="A2853" s="23" t="s">
        <v>631</v>
      </c>
      <c r="B2853" s="20" t="s">
        <v>6</v>
      </c>
      <c r="C2853" s="20" t="s">
        <v>358</v>
      </c>
      <c r="D2853" s="20" t="s">
        <v>8</v>
      </c>
      <c r="E2853" s="22">
        <v>175</v>
      </c>
      <c r="F2853" s="22">
        <v>1</v>
      </c>
      <c r="G2853" s="22">
        <v>9</v>
      </c>
      <c r="H2853" s="22"/>
      <c r="I2853" s="23" t="s">
        <v>33</v>
      </c>
      <c r="J2853" s="23"/>
      <c r="K2853" s="22"/>
      <c r="L2853" s="22"/>
      <c r="M2853" s="23"/>
      <c r="N2853" s="23"/>
      <c r="O2853" s="26" t="s">
        <v>632</v>
      </c>
      <c r="P2853" s="26"/>
      <c r="Q2853" s="22"/>
      <c r="R2853" s="24"/>
      <c r="S2853" s="24"/>
      <c r="T2853" s="24"/>
      <c r="U2853" s="24"/>
      <c r="V2853" s="24"/>
      <c r="W2853" s="22"/>
      <c r="X2853" s="4" t="str">
        <f>IF(Tabela2[[#This Row],[sigla]]="","",VLOOKUP(Tabela2[[#This Row],[sigla]],créditos_base!B:C,2,0))</f>
        <v/>
      </c>
      <c r="Y2853" s="23"/>
      <c r="Z2853" s="23" t="str">
        <f>Tabela2[[#This Row],[ilustrador]]</f>
        <v/>
      </c>
      <c r="AA2853" s="22"/>
      <c r="AB2853" s="20"/>
      <c r="AD2853" s="4" t="str">
        <f>"Pitanguá"</f>
        <v>Pitanguá</v>
      </c>
      <c r="AE2853" s="14" t="str">
        <f>"Matemática"</f>
        <v>Matemática</v>
      </c>
      <c r="AF2853" s="14"/>
    </row>
    <row r="2854" spans="1:32" ht="43.2" x14ac:dyDescent="0.3">
      <c r="A2854" s="23" t="s">
        <v>2430</v>
      </c>
      <c r="B2854" s="20" t="s">
        <v>6</v>
      </c>
      <c r="C2854" s="20" t="s">
        <v>7</v>
      </c>
      <c r="D2854" s="20" t="s">
        <v>8</v>
      </c>
      <c r="E2854" s="22">
        <v>211</v>
      </c>
      <c r="F2854" s="22">
        <v>1</v>
      </c>
      <c r="G2854" s="22">
        <v>9</v>
      </c>
      <c r="H2854" s="22"/>
      <c r="I2854" s="23" t="s">
        <v>90</v>
      </c>
      <c r="J2854" s="23"/>
      <c r="K2854" s="22"/>
      <c r="L2854" s="22"/>
      <c r="M2854" s="23"/>
      <c r="N2854" s="23"/>
      <c r="O2854" s="26" t="s">
        <v>2431</v>
      </c>
      <c r="P2854" s="26"/>
      <c r="Q2854" s="22">
        <v>33</v>
      </c>
      <c r="R2854" s="24">
        <v>45730</v>
      </c>
      <c r="S2854" s="24"/>
      <c r="T2854" s="24"/>
      <c r="U2854" s="24"/>
      <c r="V2854" s="24"/>
      <c r="W2854" s="22"/>
      <c r="X2854" s="4" t="str">
        <f>IF(Tabela2[[#This Row],[sigla]]="","",VLOOKUP(Tabela2[[#This Row],[sigla]],créditos_base!B:C,2,0))</f>
        <v/>
      </c>
      <c r="Y2854" s="23"/>
      <c r="Z2854" s="23" t="str">
        <f>Tabela2[[#This Row],[ilustrador]]</f>
        <v/>
      </c>
      <c r="AA2854" s="22"/>
      <c r="AB2854" s="20"/>
      <c r="AD2854" s="4" t="str">
        <f>"Pitanguá"</f>
        <v>Pitanguá</v>
      </c>
      <c r="AE2854" s="14" t="str">
        <f>"Matemática"</f>
        <v>Matemática</v>
      </c>
      <c r="AF2854" s="14"/>
    </row>
    <row r="2855" spans="1:32" ht="28.8" x14ac:dyDescent="0.3">
      <c r="A2855" s="23" t="s">
        <v>5620</v>
      </c>
      <c r="B2855" s="20" t="s">
        <v>16</v>
      </c>
      <c r="C2855" s="20" t="s">
        <v>89</v>
      </c>
      <c r="D2855" s="20" t="s">
        <v>8</v>
      </c>
      <c r="E2855" s="22">
        <v>269</v>
      </c>
      <c r="F2855" s="22">
        <v>3</v>
      </c>
      <c r="G2855" s="27" t="s">
        <v>5042</v>
      </c>
      <c r="H2855" s="22"/>
      <c r="I2855" s="23" t="s">
        <v>33</v>
      </c>
      <c r="J2855" s="23"/>
      <c r="K2855" s="22"/>
      <c r="L2855" s="22"/>
      <c r="M2855" s="23"/>
      <c r="N2855" s="23"/>
      <c r="O2855" s="26" t="s">
        <v>5048</v>
      </c>
      <c r="P2855" s="26"/>
      <c r="Q2855" s="22"/>
      <c r="R2855" s="24"/>
      <c r="S2855" s="24">
        <v>45897</v>
      </c>
      <c r="T2855" s="24"/>
      <c r="U2855" s="24"/>
      <c r="V2855" s="24">
        <v>45897</v>
      </c>
      <c r="W2855" s="22" t="s">
        <v>940</v>
      </c>
      <c r="X2855" s="4" t="str">
        <f>IF(Tabela2[[#This Row],[sigla]]="","",VLOOKUP(Tabela2[[#This Row],[sigla]],créditos_base!B:C,2,0))</f>
        <v>RONALDO LUCENA/ARQUIVO DA EDITORA</v>
      </c>
      <c r="Y2855" s="23" t="s">
        <v>243</v>
      </c>
      <c r="Z2855" s="23" t="str">
        <f>Tabela2[[#This Row],[ilustrador]]</f>
        <v>RONALDO LUCENA/ARQUIVO DA EDITORA</v>
      </c>
      <c r="AA2855" s="22">
        <v>13</v>
      </c>
      <c r="AB2855" s="20" t="s">
        <v>1429</v>
      </c>
      <c r="AC2855" s="20" t="s">
        <v>36</v>
      </c>
      <c r="AD2855" s="4" t="str">
        <f>"Pitanguá"</f>
        <v>Pitanguá</v>
      </c>
      <c r="AE2855" s="14" t="str">
        <f>"Matemática"</f>
        <v>Matemática</v>
      </c>
      <c r="AF2855" s="14"/>
    </row>
    <row r="2856" spans="1:32" ht="28.8" x14ac:dyDescent="0.3">
      <c r="A2856" s="23" t="s">
        <v>570</v>
      </c>
      <c r="B2856" s="20" t="s">
        <v>16</v>
      </c>
      <c r="C2856" s="20" t="s">
        <v>89</v>
      </c>
      <c r="D2856" s="20" t="s">
        <v>8</v>
      </c>
      <c r="E2856" s="22">
        <v>93</v>
      </c>
      <c r="F2856" s="22">
        <v>1</v>
      </c>
      <c r="G2856" s="22">
        <v>8</v>
      </c>
      <c r="H2856" s="22"/>
      <c r="I2856" s="23" t="s">
        <v>9</v>
      </c>
      <c r="J2856" s="23"/>
      <c r="K2856" s="22"/>
      <c r="L2856" s="22"/>
      <c r="M2856" s="23"/>
      <c r="N2856" s="23"/>
      <c r="O2856" s="26" t="s">
        <v>571</v>
      </c>
      <c r="P2856" s="26"/>
      <c r="Q2856" s="22"/>
      <c r="R2856" s="24"/>
      <c r="S2856" s="24"/>
      <c r="T2856" s="24"/>
      <c r="U2856" s="24"/>
      <c r="V2856" s="24"/>
      <c r="W2856" s="22" t="s">
        <v>160</v>
      </c>
      <c r="X2856" s="4" t="str">
        <f>IF(Tabela2[[#This Row],[sigla]]="","",VLOOKUP(Tabela2[[#This Row],[sigla]],créditos_base!B:C,2,0))</f>
        <v>SERGIO LIMA/ARQUIVO DA EDITORA</v>
      </c>
      <c r="Y2856" s="23"/>
      <c r="Z2856" s="23" t="str">
        <f>Tabela2[[#This Row],[ilustrador]]</f>
        <v>SERGIO LIMA/ARQUIVO DA EDITORA</v>
      </c>
      <c r="AA2856" s="22"/>
      <c r="AB2856" s="20"/>
      <c r="AD2856" s="4" t="str">
        <f>"Pitanguá"</f>
        <v>Pitanguá</v>
      </c>
      <c r="AE2856" s="14" t="str">
        <f>"Matemática"</f>
        <v>Matemática</v>
      </c>
      <c r="AF2856" s="14"/>
    </row>
    <row r="2857" spans="1:32" ht="28.8" x14ac:dyDescent="0.3">
      <c r="A2857" s="23" t="s">
        <v>5432</v>
      </c>
      <c r="B2857" s="20" t="s">
        <v>16</v>
      </c>
      <c r="C2857" s="20" t="s">
        <v>1055</v>
      </c>
      <c r="D2857" s="20" t="s">
        <v>8</v>
      </c>
      <c r="E2857" s="22">
        <v>32</v>
      </c>
      <c r="F2857" s="22">
        <v>5</v>
      </c>
      <c r="G2857" s="22">
        <v>1</v>
      </c>
      <c r="H2857" s="22"/>
      <c r="I2857" s="23" t="s">
        <v>33</v>
      </c>
      <c r="J2857" s="23"/>
      <c r="K2857" s="22"/>
      <c r="L2857" s="22"/>
      <c r="M2857" s="23"/>
      <c r="N2857" s="23"/>
      <c r="O2857" s="26" t="s">
        <v>5433</v>
      </c>
      <c r="P2857" s="26"/>
      <c r="Q2857" s="22">
        <v>126</v>
      </c>
      <c r="R2857" s="24">
        <v>45863</v>
      </c>
      <c r="S2857" s="24">
        <v>45867</v>
      </c>
      <c r="T2857" s="24"/>
      <c r="U2857" s="24"/>
      <c r="V2857" s="24">
        <v>45869</v>
      </c>
      <c r="W2857" s="22" t="s">
        <v>1217</v>
      </c>
      <c r="X2857" s="4" t="str">
        <f>IF(Tabela2[[#This Row],[sigla]]="","",VLOOKUP(Tabela2[[#This Row],[sigla]],créditos_base!B:C,2,0))</f>
        <v>KEITHY MOSTACHI/ARQUIVO DA EDITORA</v>
      </c>
      <c r="Y2857" s="23" t="s">
        <v>243</v>
      </c>
      <c r="Z2857" s="23" t="str">
        <f>Tabela2[[#This Row],[ilustrador]]</f>
        <v>KEITHY MOSTACHI/ARQUIVO DA EDITORA</v>
      </c>
      <c r="AA2857" s="22">
        <v>13</v>
      </c>
      <c r="AB2857" s="20" t="s">
        <v>5400</v>
      </c>
      <c r="AC2857" s="20" t="s">
        <v>36</v>
      </c>
      <c r="AD2857" s="4" t="str">
        <f>"Pitanguá"</f>
        <v>Pitanguá</v>
      </c>
      <c r="AE2857" s="14" t="str">
        <f>"Matemática"</f>
        <v>Matemática</v>
      </c>
      <c r="AF2857" s="14"/>
    </row>
    <row r="2858" spans="1:32" ht="28.8" x14ac:dyDescent="0.3">
      <c r="A2858" s="23" t="s">
        <v>3260</v>
      </c>
      <c r="B2858" s="20" t="s">
        <v>6</v>
      </c>
      <c r="C2858" s="20" t="s">
        <v>1055</v>
      </c>
      <c r="D2858" s="20" t="s">
        <v>8</v>
      </c>
      <c r="E2858" s="22">
        <v>149</v>
      </c>
      <c r="F2858" s="22">
        <v>4</v>
      </c>
      <c r="G2858" s="22">
        <v>6</v>
      </c>
      <c r="H2858" s="22"/>
      <c r="I2858" s="23" t="s">
        <v>33</v>
      </c>
      <c r="J2858" s="23"/>
      <c r="K2858" s="22"/>
      <c r="L2858" s="22"/>
      <c r="M2858" s="23"/>
      <c r="N2858" s="23"/>
      <c r="O2858" s="26" t="s">
        <v>3261</v>
      </c>
      <c r="P2858" s="26" t="s">
        <v>3262</v>
      </c>
      <c r="Q2858" s="22">
        <v>46</v>
      </c>
      <c r="R2858" s="24">
        <v>45796</v>
      </c>
      <c r="S2858" s="24">
        <v>45797</v>
      </c>
      <c r="T2858" s="24"/>
      <c r="U2858" s="24"/>
      <c r="V2858" s="24">
        <v>45797</v>
      </c>
      <c r="W2858" s="22" t="s">
        <v>3263</v>
      </c>
      <c r="X2858" s="4" t="str">
        <f>IF(Tabela2[[#This Row],[sigla]]="","",VLOOKUP(Tabela2[[#This Row],[sigla]],créditos_base!B:C,2,0))</f>
        <v>PAULA RADI/ARQUIVO DA EDITORA</v>
      </c>
      <c r="Y2858" s="23" t="s">
        <v>188</v>
      </c>
      <c r="Z2858" s="23" t="str">
        <f>Tabela2[[#This Row],[ilustrador]]</f>
        <v>PAULA RADI/ARQUIVO DA EDITORA</v>
      </c>
      <c r="AA2858" s="22">
        <v>14</v>
      </c>
      <c r="AB2858" s="20" t="s">
        <v>153</v>
      </c>
      <c r="AC2858" s="20" t="s">
        <v>36</v>
      </c>
      <c r="AD2858" s="4" t="str">
        <f>"Pitanguá"</f>
        <v>Pitanguá</v>
      </c>
      <c r="AE2858" s="14" t="str">
        <f>"Matemática"</f>
        <v>Matemática</v>
      </c>
      <c r="AF2858" s="14"/>
    </row>
    <row r="2859" spans="1:32" ht="57.6" x14ac:dyDescent="0.3">
      <c r="A2859" s="23" t="s">
        <v>5225</v>
      </c>
      <c r="B2859" s="20" t="s">
        <v>16</v>
      </c>
      <c r="C2859" s="20" t="s">
        <v>1055</v>
      </c>
      <c r="D2859" s="20" t="s">
        <v>8</v>
      </c>
      <c r="E2859" s="22">
        <v>167</v>
      </c>
      <c r="F2859" s="22">
        <v>4</v>
      </c>
      <c r="G2859" s="22">
        <v>6</v>
      </c>
      <c r="H2859" s="22"/>
      <c r="I2859" s="23" t="s">
        <v>33</v>
      </c>
      <c r="J2859" s="23"/>
      <c r="K2859" s="22"/>
      <c r="L2859" s="22"/>
      <c r="M2859" s="23"/>
      <c r="N2859" s="23"/>
      <c r="O2859" s="26" t="s">
        <v>5226</v>
      </c>
      <c r="P2859" s="26"/>
      <c r="Q2859" s="22">
        <v>108</v>
      </c>
      <c r="R2859" s="24">
        <v>45852</v>
      </c>
      <c r="S2859" s="24">
        <v>45854</v>
      </c>
      <c r="T2859" s="24"/>
      <c r="U2859" s="24"/>
      <c r="V2859" s="24">
        <v>45854</v>
      </c>
      <c r="W2859" s="22" t="s">
        <v>3263</v>
      </c>
      <c r="X2859" s="4" t="str">
        <f>IF(Tabela2[[#This Row],[sigla]]="","",VLOOKUP(Tabela2[[#This Row],[sigla]],créditos_base!B:C,2,0))</f>
        <v>PAULA RADI/ARQUIVO DA EDITORA</v>
      </c>
      <c r="Y2859" s="23" t="s">
        <v>152</v>
      </c>
      <c r="Z2859" s="23" t="str">
        <f>Tabela2[[#This Row],[ilustrador]]</f>
        <v>PAULA RADI/ARQUIVO DA EDITORA</v>
      </c>
      <c r="AA2859" s="22">
        <v>13</v>
      </c>
      <c r="AB2859" s="20" t="s">
        <v>244</v>
      </c>
      <c r="AC2859" s="20" t="s">
        <v>36</v>
      </c>
      <c r="AD2859" s="4" t="str">
        <f>"Pitanguá"</f>
        <v>Pitanguá</v>
      </c>
      <c r="AE2859" s="14" t="str">
        <f>"Matemática"</f>
        <v>Matemática</v>
      </c>
      <c r="AF2859" s="14"/>
    </row>
    <row r="2860" spans="1:32" ht="57.6" x14ac:dyDescent="0.3">
      <c r="A2860" s="23" t="s">
        <v>5693</v>
      </c>
      <c r="B2860" s="20" t="s">
        <v>16</v>
      </c>
      <c r="C2860" s="20" t="s">
        <v>1055</v>
      </c>
      <c r="D2860" s="20" t="s">
        <v>8</v>
      </c>
      <c r="E2860" s="22">
        <v>187</v>
      </c>
      <c r="F2860" s="22">
        <v>5</v>
      </c>
      <c r="G2860" s="22">
        <v>6</v>
      </c>
      <c r="H2860" s="22"/>
      <c r="I2860" s="23" t="s">
        <v>33</v>
      </c>
      <c r="J2860" s="23"/>
      <c r="K2860" s="22"/>
      <c r="L2860" s="22"/>
      <c r="M2860" s="23"/>
      <c r="N2860" s="23"/>
      <c r="O2860" s="26" t="s">
        <v>5694</v>
      </c>
      <c r="P2860" s="26"/>
      <c r="Q2860" s="22">
        <v>139</v>
      </c>
      <c r="R2860" s="24">
        <v>45868</v>
      </c>
      <c r="S2860" s="24">
        <v>45868</v>
      </c>
      <c r="T2860" s="24"/>
      <c r="U2860" s="24"/>
      <c r="V2860" s="24">
        <v>45874</v>
      </c>
      <c r="W2860" s="22" t="s">
        <v>169</v>
      </c>
      <c r="X2860" s="4" t="str">
        <f>IF(Tabela2[[#This Row],[sigla]]="","",VLOOKUP(Tabela2[[#This Row],[sigla]],créditos_base!B:C,2,0))</f>
        <v>RENAN FONSECA/ARQUIVO DA EDITORA</v>
      </c>
      <c r="Y2860" s="23" t="s">
        <v>188</v>
      </c>
      <c r="Z2860" s="23" t="str">
        <f>Tabela2[[#This Row],[ilustrador]]</f>
        <v>RENAN FONSECA/ARQUIVO DA EDITORA</v>
      </c>
      <c r="AA2860" s="22">
        <v>13</v>
      </c>
      <c r="AB2860" s="20" t="s">
        <v>153</v>
      </c>
      <c r="AC2860" s="20" t="s">
        <v>36</v>
      </c>
      <c r="AD2860" s="4" t="str">
        <f>"Pitanguá"</f>
        <v>Pitanguá</v>
      </c>
      <c r="AE2860" s="14" t="str">
        <f>"Matemática"</f>
        <v>Matemática</v>
      </c>
      <c r="AF2860" s="14"/>
    </row>
    <row r="2861" spans="1:32" ht="43.2" x14ac:dyDescent="0.3">
      <c r="A2861" s="23" t="s">
        <v>4224</v>
      </c>
      <c r="B2861" s="20" t="s">
        <v>135</v>
      </c>
      <c r="C2861" s="20" t="s">
        <v>1055</v>
      </c>
      <c r="D2861" s="20" t="s">
        <v>8</v>
      </c>
      <c r="E2861" s="22">
        <v>216</v>
      </c>
      <c r="F2861" s="22">
        <v>5</v>
      </c>
      <c r="G2861" s="22">
        <v>7</v>
      </c>
      <c r="H2861" s="22"/>
      <c r="I2861" s="23" t="s">
        <v>33</v>
      </c>
      <c r="J2861" s="23"/>
      <c r="K2861" s="22"/>
      <c r="L2861" s="22"/>
      <c r="M2861" s="23"/>
      <c r="N2861" s="23"/>
      <c r="O2861" s="26" t="s">
        <v>4225</v>
      </c>
      <c r="P2861" s="26"/>
      <c r="Q2861" s="22">
        <v>60</v>
      </c>
      <c r="R2861" s="24">
        <v>45807</v>
      </c>
      <c r="S2861" s="24">
        <v>45811</v>
      </c>
      <c r="T2861" s="24"/>
      <c r="U2861" s="24"/>
      <c r="V2861" s="24">
        <v>45811</v>
      </c>
      <c r="W2861" s="22" t="s">
        <v>1217</v>
      </c>
      <c r="X2861" s="4" t="str">
        <f>IF(Tabela2[[#This Row],[sigla]]="","",VLOOKUP(Tabela2[[#This Row],[sigla]],créditos_base!B:C,2,0))</f>
        <v>KEITHY MOSTACHI/ARQUIVO DA EDITORA</v>
      </c>
      <c r="Y2861" s="23" t="s">
        <v>1503</v>
      </c>
      <c r="Z2861" s="23" t="str">
        <f>Tabela2[[#This Row],[ilustrador]]</f>
        <v>KEITHY MOSTACHI/ARQUIVO DA EDITORA</v>
      </c>
      <c r="AA2861" s="22"/>
      <c r="AB2861" s="20" t="s">
        <v>41</v>
      </c>
      <c r="AC2861" s="20" t="s">
        <v>36</v>
      </c>
      <c r="AD2861" s="4" t="str">
        <f>"Pitanguá"</f>
        <v>Pitanguá</v>
      </c>
      <c r="AE2861" s="14" t="str">
        <f>"Matemática"</f>
        <v>Matemática</v>
      </c>
      <c r="AF2861" s="14"/>
    </row>
    <row r="2862" spans="1:32" ht="43.2" x14ac:dyDescent="0.3">
      <c r="A2862" s="23" t="s">
        <v>4312</v>
      </c>
      <c r="B2862" s="20" t="s">
        <v>6</v>
      </c>
      <c r="C2862" s="20" t="s">
        <v>1055</v>
      </c>
      <c r="D2862" s="20" t="s">
        <v>8</v>
      </c>
      <c r="E2862" s="22">
        <v>237</v>
      </c>
      <c r="F2862" s="22">
        <v>5</v>
      </c>
      <c r="G2862" s="22">
        <v>7</v>
      </c>
      <c r="H2862" s="22"/>
      <c r="I2862" s="23" t="s">
        <v>33</v>
      </c>
      <c r="J2862" s="23"/>
      <c r="K2862" s="22"/>
      <c r="L2862" s="22"/>
      <c r="M2862" s="23"/>
      <c r="N2862" s="23"/>
      <c r="O2862" s="26" t="s">
        <v>4313</v>
      </c>
      <c r="P2862" s="26"/>
      <c r="Q2862" s="22">
        <v>60</v>
      </c>
      <c r="R2862" s="24">
        <v>45807</v>
      </c>
      <c r="S2862" s="24">
        <v>45811</v>
      </c>
      <c r="T2862" s="24"/>
      <c r="U2862" s="24"/>
      <c r="V2862" s="24">
        <v>45811</v>
      </c>
      <c r="W2862" s="22" t="s">
        <v>4030</v>
      </c>
      <c r="X2862" s="4" t="str">
        <f>IF(Tabela2[[#This Row],[sigla]]="","",VLOOKUP(Tabela2[[#This Row],[sigla]],créditos_base!B:C,2,0))</f>
        <v>GUSTAVO CONTI/ARQUIVO DA EDITORA</v>
      </c>
      <c r="Y2862" s="23" t="s">
        <v>1503</v>
      </c>
      <c r="Z2862" s="23" t="str">
        <f>Tabela2[[#This Row],[ilustrador]]</f>
        <v>GUSTAVO CONTI/ARQUIVO DA EDITORA</v>
      </c>
      <c r="AA2862" s="22"/>
      <c r="AB2862" s="20" t="s">
        <v>41</v>
      </c>
      <c r="AC2862" s="20" t="s">
        <v>36</v>
      </c>
      <c r="AD2862" s="4" t="str">
        <f>"Pitanguá"</f>
        <v>Pitanguá</v>
      </c>
      <c r="AE2862" s="14" t="str">
        <f>"Matemática"</f>
        <v>Matemática</v>
      </c>
      <c r="AF2862" s="14"/>
    </row>
    <row r="2863" spans="1:32" ht="43.2" x14ac:dyDescent="0.3">
      <c r="A2863" s="23" t="s">
        <v>4613</v>
      </c>
      <c r="B2863" s="20" t="s">
        <v>16</v>
      </c>
      <c r="C2863" s="20" t="s">
        <v>1055</v>
      </c>
      <c r="D2863" s="20" t="s">
        <v>8</v>
      </c>
      <c r="E2863" s="22">
        <v>189</v>
      </c>
      <c r="F2863" s="22">
        <v>5</v>
      </c>
      <c r="G2863" s="22">
        <v>8</v>
      </c>
      <c r="H2863" s="22"/>
      <c r="I2863" s="23" t="s">
        <v>33</v>
      </c>
      <c r="J2863" s="23"/>
      <c r="K2863" s="22"/>
      <c r="L2863" s="22"/>
      <c r="M2863" s="23"/>
      <c r="N2863" s="23"/>
      <c r="O2863" s="26" t="s">
        <v>4614</v>
      </c>
      <c r="P2863" s="26"/>
      <c r="Q2863" s="22">
        <v>141</v>
      </c>
      <c r="R2863" s="24">
        <v>45869</v>
      </c>
      <c r="S2863" s="24">
        <v>45875</v>
      </c>
      <c r="T2863" s="24"/>
      <c r="U2863" s="24"/>
      <c r="V2863" s="24">
        <v>45875</v>
      </c>
      <c r="W2863" s="22" t="s">
        <v>1217</v>
      </c>
      <c r="X2863" s="4" t="str">
        <f>IF(Tabela2[[#This Row],[sigla]]="","",VLOOKUP(Tabela2[[#This Row],[sigla]],créditos_base!B:C,2,0))</f>
        <v>KEITHY MOSTACHI/ARQUIVO DA EDITORA</v>
      </c>
      <c r="Y2863" s="23" t="s">
        <v>188</v>
      </c>
      <c r="Z2863" s="23" t="str">
        <f>Tabela2[[#This Row],[ilustrador]]</f>
        <v>KEITHY MOSTACHI/ARQUIVO DA EDITORA</v>
      </c>
      <c r="AA2863" s="22">
        <v>13</v>
      </c>
      <c r="AB2863" s="20" t="s">
        <v>153</v>
      </c>
      <c r="AC2863" s="20" t="s">
        <v>36</v>
      </c>
      <c r="AD2863" s="4" t="str">
        <f>"Pitanguá"</f>
        <v>Pitanguá</v>
      </c>
      <c r="AE2863" s="14" t="str">
        <f>"Matemática"</f>
        <v>Matemática</v>
      </c>
      <c r="AF2863" s="14"/>
    </row>
    <row r="2864" spans="1:32" x14ac:dyDescent="0.3">
      <c r="A2864" s="23" t="s">
        <v>1054</v>
      </c>
      <c r="B2864" s="20" t="s">
        <v>6</v>
      </c>
      <c r="C2864" s="20" t="s">
        <v>1055</v>
      </c>
      <c r="D2864" s="20" t="s">
        <v>8</v>
      </c>
      <c r="E2864" s="22"/>
      <c r="F2864" s="22">
        <v>4</v>
      </c>
      <c r="G2864" s="22">
        <v>4</v>
      </c>
      <c r="H2864" s="22"/>
      <c r="I2864" s="23" t="s">
        <v>90</v>
      </c>
      <c r="J2864" s="23"/>
      <c r="K2864" s="22"/>
      <c r="L2864" s="22"/>
      <c r="M2864" s="23"/>
      <c r="N2864" s="23"/>
      <c r="O2864" s="26" t="s">
        <v>1056</v>
      </c>
      <c r="P2864" s="26" t="s">
        <v>1057</v>
      </c>
      <c r="Q2864" s="22">
        <v>10</v>
      </c>
      <c r="R2864" s="24">
        <v>45733</v>
      </c>
      <c r="S2864" s="24">
        <v>45733</v>
      </c>
      <c r="T2864" s="24"/>
      <c r="U2864" s="24"/>
      <c r="V2864" s="24">
        <v>45736</v>
      </c>
      <c r="W2864" s="22" t="s">
        <v>92</v>
      </c>
      <c r="X2864" s="4" t="str">
        <f>IF(Tabela2[[#This Row],[sigla]]="","",VLOOKUP(Tabela2[[#This Row],[sigla]],créditos_base!B:C,2,0))</f>
        <v>BRUNA CAMPOS/ARQUIVO DA EDITORA</v>
      </c>
      <c r="Y2864" s="23"/>
      <c r="Z2864" s="23" t="str">
        <f>Tabela2[[#This Row],[ilustrador]]</f>
        <v>BRUNA CAMPOS/ARQUIVO DA EDITORA</v>
      </c>
      <c r="AA2864" s="22">
        <v>9</v>
      </c>
      <c r="AB2864" s="20"/>
      <c r="AC2864" s="20" t="s">
        <v>36</v>
      </c>
      <c r="AD2864" s="4" t="str">
        <f>"Pitanguá"</f>
        <v>Pitanguá</v>
      </c>
      <c r="AE2864" s="14" t="str">
        <f>"Matemática"</f>
        <v>Matemática</v>
      </c>
      <c r="AF2864" s="14"/>
    </row>
  </sheetData>
  <sheetProtection formatCells="0" formatColumns="0" formatRows="0" sort="0" autoFilter="0" pivotTables="0"/>
  <dataValidations count="1">
    <dataValidation allowBlank="1" showErrorMessage="1" sqref="B1:D1" xr:uid="{173B984F-20CF-4D77-AA24-9A2740D5AAA3}"/>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2">
        <x14:dataValidation type="list" allowBlank="1" showInputMessage="1" showErrorMessage="1" xr:uid="{06BC7D6A-D6EB-41B5-B621-DE4A72652772}">
          <x14:formula1>
            <xm:f>créditos_base!$C$3:$C$116</xm:f>
          </x14:formula1>
          <xm:sqref>Y2865:Y1048576</xm:sqref>
        </x14:dataValidation>
        <x14:dataValidation type="list" allowBlank="1" showInputMessage="1" showErrorMessage="1" xr:uid="{5705C48B-E793-4249-A1A5-E9D0055F43D8}">
          <x14:formula1>
            <xm:f>créditos_base!$B$3:$B$116</xm:f>
          </x14:formula1>
          <xm:sqref>W2865:W1048576</xm:sqref>
        </x14:dataValidation>
        <x14:dataValidation type="list" allowBlank="1" showInputMessage="1" showErrorMessage="1" xr:uid="{1E0E5C3B-B338-4A82-ABB7-55FA01F1FD25}">
          <x14:formula1>
            <xm:f>metadados!$C$1:$C$8</xm:f>
          </x14:formula1>
          <xm:sqref>D365:D428 D430:D1619 D1621:D2430 D2432:D2472 D2:D363 D2474:D1048576</xm:sqref>
        </x14:dataValidation>
        <x14:dataValidation type="list" allowBlank="1" showInputMessage="1" showErrorMessage="1" xr:uid="{C70449A7-09E1-454B-83EB-81DB8E145BED}">
          <x14:formula1>
            <xm:f>metadados!$D$1:$D$7</xm:f>
          </x14:formula1>
          <xm:sqref>F365:F427 F429:F1619 F1621:F2282 L365:L2282 L2:L363 F2:F363 F2305:F1048576 L2305:L1048576</xm:sqref>
        </x14:dataValidation>
        <x14:dataValidation type="list" allowBlank="1" showInputMessage="1" showErrorMessage="1" xr:uid="{832AC6A1-37A3-4247-8D3B-0B1514A698E5}">
          <x14:formula1>
            <xm:f>metadados!$E$1:$E$3</xm:f>
          </x14:formula1>
          <xm:sqref>I365:I427 N1367 I429:I1366 I1368:I2283 I2:I363 I2305:I1048576</xm:sqref>
        </x14:dataValidation>
        <x14:dataValidation type="list" allowBlank="1" showInputMessage="1" showErrorMessage="1" xr:uid="{ABD634A1-19D3-465A-AE87-A59444E4CB70}">
          <x14:formula1>
            <xm:f>metadados!$F$1:$F$13</xm:f>
          </x14:formula1>
          <xm:sqref>N365:N2282 N2:N363 N2305:N1048576</xm:sqref>
        </x14:dataValidation>
        <x14:dataValidation type="list" allowBlank="1" showErrorMessage="1" xr:uid="{8C59E314-3DFF-498C-8F2E-89E73DBE2751}">
          <x14:formula1>
            <xm:f>metadados!$A$1:$A$10</xm:f>
          </x14:formula1>
          <xm:sqref>B365:B427 B429:B431 B433:B547 B1621:B2485 B549:B840 B1031:B1619 B842:B1029 B2:B363 B2487:B1048576</xm:sqref>
        </x14:dataValidation>
        <x14:dataValidation type="list" allowBlank="1" showInputMessage="1" showErrorMessage="1" xr:uid="{C969C20B-651A-4D17-86CC-88E223060629}">
          <x14:formula1>
            <xm:f>metadados!$B$1:$B$7</xm:f>
          </x14:formula1>
          <xm:sqref>C365:C427 C429:C1619 C2:C363 C1621:C1048576</xm:sqref>
        </x14:dataValidation>
        <x14:dataValidation type="list" allowBlank="1" showInputMessage="1" showErrorMessage="1" xr:uid="{63D457FF-ABBD-4775-BA2B-3C00B0777437}">
          <x14:formula1>
            <xm:f>créditos_base!$A$3:$A$335</xm:f>
          </x14:formula1>
          <xm:sqref>Y1267:Y1563 Y1565:Y2864 Y2:Y1265</xm:sqref>
        </x14:dataValidation>
        <x14:dataValidation type="list" allowBlank="1" showInputMessage="1" showErrorMessage="1" xr:uid="{5264CC2C-D7B0-4D04-9119-DD120943230D}">
          <x14:formula1>
            <xm:f>créditos_base!$B$3:$B$335</xm:f>
          </x14:formula1>
          <xm:sqref>W2305:W2864 W2:W2282</xm:sqref>
        </x14:dataValidation>
        <x14:dataValidation type="list" allowBlank="1" showInputMessage="1" showErrorMessage="1" xr:uid="{B4ADD33D-8B17-41A6-94BC-BC2885E9FB91}">
          <x14:formula1>
            <xm:f>metadados!$G$1:$G$14</xm:f>
          </x14:formula1>
          <xm:sqref>AA2:AA1048576</xm:sqref>
        </x14:dataValidation>
        <x14:dataValidation type="list" allowBlank="1" showInputMessage="1" showErrorMessage="1" xr:uid="{61E550D5-36D2-44FC-A08D-4E51EFE8F470}">
          <x14:formula1>
            <xm:f>metadados!$H$1:$H$5</xm:f>
          </x14:formula1>
          <xm:sqref>AC2:AC1048576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4"/>
  <sheetViews>
    <sheetView topLeftCell="A112" workbookViewId="0">
      <selection activeCell="C134" sqref="C134"/>
    </sheetView>
  </sheetViews>
  <sheetFormatPr defaultRowHeight="14.4" x14ac:dyDescent="0.3"/>
  <cols>
    <col min="1" max="1" width="61" bestFit="1" customWidth="1"/>
    <col min="2" max="2" width="11.6640625" bestFit="1" customWidth="1"/>
    <col min="3" max="3" width="77.33203125" customWidth="1"/>
  </cols>
  <sheetData>
    <row r="1" spans="1:3" ht="50.25" customHeight="1" x14ac:dyDescent="0.4">
      <c r="A1" s="47" t="s">
        <v>5997</v>
      </c>
      <c r="B1" s="48"/>
      <c r="C1" s="48"/>
    </row>
    <row r="2" spans="1:3" x14ac:dyDescent="0.3">
      <c r="A2" t="s">
        <v>5998</v>
      </c>
      <c r="B2" t="s">
        <v>5999</v>
      </c>
      <c r="C2" t="s">
        <v>6000</v>
      </c>
    </row>
    <row r="3" spans="1:3" x14ac:dyDescent="0.3">
      <c r="A3" t="s">
        <v>5998</v>
      </c>
      <c r="B3" t="s">
        <v>5999</v>
      </c>
      <c r="C3" t="s">
        <v>6000</v>
      </c>
    </row>
    <row r="4" spans="1:3" x14ac:dyDescent="0.3">
      <c r="A4" t="s">
        <v>6001</v>
      </c>
      <c r="B4" t="s">
        <v>1300</v>
      </c>
      <c r="C4" t="s">
        <v>6002</v>
      </c>
    </row>
    <row r="5" spans="1:3" x14ac:dyDescent="0.3">
      <c r="A5" t="s">
        <v>6003</v>
      </c>
      <c r="B5" t="s">
        <v>468</v>
      </c>
      <c r="C5" t="s">
        <v>6004</v>
      </c>
    </row>
    <row r="6" spans="1:3" ht="28.8" x14ac:dyDescent="0.3">
      <c r="A6" t="s">
        <v>6005</v>
      </c>
      <c r="B6" t="s">
        <v>6006</v>
      </c>
      <c r="C6" s="12" t="s">
        <v>6007</v>
      </c>
    </row>
    <row r="7" spans="1:3" x14ac:dyDescent="0.3">
      <c r="A7" t="s">
        <v>6008</v>
      </c>
      <c r="B7" t="s">
        <v>6009</v>
      </c>
      <c r="C7" t="s">
        <v>6010</v>
      </c>
    </row>
    <row r="8" spans="1:3" x14ac:dyDescent="0.3">
      <c r="A8" t="s">
        <v>6011</v>
      </c>
      <c r="B8" t="s">
        <v>5235</v>
      </c>
      <c r="C8" t="s">
        <v>6010</v>
      </c>
    </row>
    <row r="9" spans="1:3" x14ac:dyDescent="0.3">
      <c r="A9" t="s">
        <v>6012</v>
      </c>
      <c r="B9" t="s">
        <v>6013</v>
      </c>
      <c r="C9" t="s">
        <v>6010</v>
      </c>
    </row>
    <row r="10" spans="1:3" x14ac:dyDescent="0.3">
      <c r="A10" t="s">
        <v>6014</v>
      </c>
      <c r="B10" t="s">
        <v>6015</v>
      </c>
      <c r="C10" t="s">
        <v>6002</v>
      </c>
    </row>
    <row r="11" spans="1:3" x14ac:dyDescent="0.3">
      <c r="A11" t="s">
        <v>243</v>
      </c>
      <c r="B11" t="s">
        <v>6016</v>
      </c>
      <c r="C11" t="s">
        <v>2058</v>
      </c>
    </row>
    <row r="12" spans="1:3" x14ac:dyDescent="0.3">
      <c r="A12" t="s">
        <v>6017</v>
      </c>
      <c r="B12" t="s">
        <v>6018</v>
      </c>
      <c r="C12" s="7" t="s">
        <v>6019</v>
      </c>
    </row>
    <row r="13" spans="1:3" x14ac:dyDescent="0.3">
      <c r="A13" t="s">
        <v>6020</v>
      </c>
      <c r="B13" t="s">
        <v>6021</v>
      </c>
      <c r="C13" s="7" t="s">
        <v>6022</v>
      </c>
    </row>
    <row r="14" spans="1:3" x14ac:dyDescent="0.3">
      <c r="A14" t="s">
        <v>6023</v>
      </c>
      <c r="B14" t="s">
        <v>6024</v>
      </c>
      <c r="C14" s="7" t="s">
        <v>6025</v>
      </c>
    </row>
    <row r="15" spans="1:3" x14ac:dyDescent="0.3">
      <c r="A15" t="s">
        <v>6026</v>
      </c>
      <c r="B15" t="s">
        <v>6027</v>
      </c>
      <c r="C15" s="7" t="s">
        <v>6028</v>
      </c>
    </row>
    <row r="16" spans="1:3" x14ac:dyDescent="0.3">
      <c r="A16" t="s">
        <v>6029</v>
      </c>
      <c r="B16" t="s">
        <v>6030</v>
      </c>
      <c r="C16" s="7" t="s">
        <v>6031</v>
      </c>
    </row>
    <row r="17" spans="1:3" x14ac:dyDescent="0.3">
      <c r="A17" t="s">
        <v>6032</v>
      </c>
      <c r="B17" t="s">
        <v>6033</v>
      </c>
      <c r="C17" s="7" t="s">
        <v>6034</v>
      </c>
    </row>
    <row r="18" spans="1:3" x14ac:dyDescent="0.3">
      <c r="A18" t="s">
        <v>6035</v>
      </c>
      <c r="B18" t="s">
        <v>6036</v>
      </c>
      <c r="C18" s="7" t="s">
        <v>6037</v>
      </c>
    </row>
    <row r="19" spans="1:3" x14ac:dyDescent="0.3">
      <c r="A19" t="s">
        <v>6038</v>
      </c>
      <c r="B19" t="s">
        <v>6039</v>
      </c>
      <c r="C19" s="7" t="s">
        <v>6040</v>
      </c>
    </row>
    <row r="20" spans="1:3" x14ac:dyDescent="0.3">
      <c r="A20" t="s">
        <v>6041</v>
      </c>
      <c r="B20" t="s">
        <v>6042</v>
      </c>
      <c r="C20" s="7" t="s">
        <v>6043</v>
      </c>
    </row>
    <row r="21" spans="1:3" x14ac:dyDescent="0.3">
      <c r="A21" t="s">
        <v>6044</v>
      </c>
      <c r="B21" t="s">
        <v>6045</v>
      </c>
      <c r="C21" s="7" t="s">
        <v>6046</v>
      </c>
    </row>
    <row r="22" spans="1:3" x14ac:dyDescent="0.3">
      <c r="A22" t="s">
        <v>6047</v>
      </c>
      <c r="B22" t="s">
        <v>6048</v>
      </c>
      <c r="C22" s="7" t="s">
        <v>6049</v>
      </c>
    </row>
    <row r="23" spans="1:3" x14ac:dyDescent="0.3">
      <c r="A23" t="s">
        <v>6050</v>
      </c>
      <c r="B23" t="s">
        <v>6051</v>
      </c>
      <c r="C23" s="7" t="s">
        <v>6052</v>
      </c>
    </row>
    <row r="24" spans="1:3" x14ac:dyDescent="0.3">
      <c r="A24" t="s">
        <v>6053</v>
      </c>
      <c r="B24" t="s">
        <v>6054</v>
      </c>
      <c r="C24" s="7" t="s">
        <v>6055</v>
      </c>
    </row>
    <row r="25" spans="1:3" x14ac:dyDescent="0.3">
      <c r="A25" t="s">
        <v>6056</v>
      </c>
      <c r="B25" t="s">
        <v>1135</v>
      </c>
      <c r="C25" s="7" t="s">
        <v>6057</v>
      </c>
    </row>
    <row r="26" spans="1:3" x14ac:dyDescent="0.3">
      <c r="A26" t="s">
        <v>6058</v>
      </c>
      <c r="B26" t="s">
        <v>6059</v>
      </c>
      <c r="C26" s="7" t="s">
        <v>6060</v>
      </c>
    </row>
    <row r="27" spans="1:3" x14ac:dyDescent="0.3">
      <c r="A27" t="s">
        <v>6061</v>
      </c>
      <c r="B27" t="s">
        <v>6062</v>
      </c>
      <c r="C27" s="7" t="s">
        <v>6063</v>
      </c>
    </row>
    <row r="28" spans="1:3" x14ac:dyDescent="0.3">
      <c r="A28" t="s">
        <v>6064</v>
      </c>
      <c r="B28" t="s">
        <v>6065</v>
      </c>
      <c r="C28" s="7" t="s">
        <v>6066</v>
      </c>
    </row>
    <row r="29" spans="1:3" x14ac:dyDescent="0.3">
      <c r="A29" t="s">
        <v>6067</v>
      </c>
      <c r="B29" t="s">
        <v>3189</v>
      </c>
      <c r="C29" s="7" t="s">
        <v>6068</v>
      </c>
    </row>
    <row r="30" spans="1:3" x14ac:dyDescent="0.3">
      <c r="A30" t="s">
        <v>6069</v>
      </c>
      <c r="B30" t="s">
        <v>6070</v>
      </c>
      <c r="C30" s="7" t="s">
        <v>6071</v>
      </c>
    </row>
    <row r="31" spans="1:3" x14ac:dyDescent="0.3">
      <c r="A31" t="s">
        <v>6072</v>
      </c>
      <c r="B31" t="s">
        <v>6073</v>
      </c>
      <c r="C31" s="7" t="s">
        <v>6074</v>
      </c>
    </row>
    <row r="32" spans="1:3" x14ac:dyDescent="0.3">
      <c r="A32" t="s">
        <v>6075</v>
      </c>
      <c r="B32" t="s">
        <v>6076</v>
      </c>
      <c r="C32" s="7" t="s">
        <v>6077</v>
      </c>
    </row>
    <row r="33" spans="1:3" x14ac:dyDescent="0.3">
      <c r="A33" t="s">
        <v>6078</v>
      </c>
      <c r="B33" t="s">
        <v>6079</v>
      </c>
      <c r="C33" s="7" t="s">
        <v>6080</v>
      </c>
    </row>
    <row r="34" spans="1:3" x14ac:dyDescent="0.3">
      <c r="A34" t="s">
        <v>6081</v>
      </c>
      <c r="B34" t="s">
        <v>6082</v>
      </c>
      <c r="C34" s="7" t="s">
        <v>6083</v>
      </c>
    </row>
    <row r="35" spans="1:3" x14ac:dyDescent="0.3">
      <c r="A35" t="s">
        <v>6084</v>
      </c>
      <c r="B35" t="s">
        <v>2482</v>
      </c>
      <c r="C35" s="7" t="s">
        <v>6085</v>
      </c>
    </row>
    <row r="36" spans="1:3" x14ac:dyDescent="0.3">
      <c r="A36" t="s">
        <v>6086</v>
      </c>
      <c r="B36" t="s">
        <v>6087</v>
      </c>
      <c r="C36" s="7" t="s">
        <v>6088</v>
      </c>
    </row>
    <row r="37" spans="1:3" x14ac:dyDescent="0.3">
      <c r="A37" t="s">
        <v>6089</v>
      </c>
      <c r="B37" t="s">
        <v>6090</v>
      </c>
      <c r="C37" s="7" t="s">
        <v>6091</v>
      </c>
    </row>
    <row r="38" spans="1:3" x14ac:dyDescent="0.3">
      <c r="A38" t="s">
        <v>6092</v>
      </c>
      <c r="B38" t="s">
        <v>6093</v>
      </c>
      <c r="C38" s="7" t="s">
        <v>6094</v>
      </c>
    </row>
    <row r="39" spans="1:3" x14ac:dyDescent="0.3">
      <c r="A39" t="s">
        <v>6095</v>
      </c>
      <c r="B39" t="s">
        <v>425</v>
      </c>
      <c r="C39" s="7" t="s">
        <v>469</v>
      </c>
    </row>
    <row r="40" spans="1:3" x14ac:dyDescent="0.3">
      <c r="A40" t="s">
        <v>6096</v>
      </c>
      <c r="B40" t="s">
        <v>6097</v>
      </c>
      <c r="C40" s="7" t="s">
        <v>6098</v>
      </c>
    </row>
    <row r="41" spans="1:3" x14ac:dyDescent="0.3">
      <c r="A41" t="s">
        <v>6099</v>
      </c>
      <c r="B41" t="s">
        <v>6100</v>
      </c>
      <c r="C41" s="7" t="s">
        <v>6101</v>
      </c>
    </row>
    <row r="42" spans="1:3" x14ac:dyDescent="0.3">
      <c r="A42" t="s">
        <v>6102</v>
      </c>
      <c r="B42" t="s">
        <v>6103</v>
      </c>
      <c r="C42" s="7" t="s">
        <v>6104</v>
      </c>
    </row>
    <row r="43" spans="1:3" x14ac:dyDescent="0.3">
      <c r="A43" t="s">
        <v>6105</v>
      </c>
      <c r="B43" t="s">
        <v>6106</v>
      </c>
      <c r="C43" s="7" t="s">
        <v>6107</v>
      </c>
    </row>
    <row r="44" spans="1:3" x14ac:dyDescent="0.3">
      <c r="A44" t="s">
        <v>6108</v>
      </c>
      <c r="B44" t="s">
        <v>6109</v>
      </c>
      <c r="C44" s="7" t="s">
        <v>6110</v>
      </c>
    </row>
    <row r="45" spans="1:3" x14ac:dyDescent="0.3">
      <c r="A45" t="s">
        <v>6111</v>
      </c>
      <c r="B45" t="s">
        <v>6112</v>
      </c>
      <c r="C45" s="7" t="s">
        <v>6113</v>
      </c>
    </row>
    <row r="46" spans="1:3" x14ac:dyDescent="0.3">
      <c r="A46" t="s">
        <v>6114</v>
      </c>
      <c r="B46" t="s">
        <v>6115</v>
      </c>
      <c r="C46" s="7" t="s">
        <v>6116</v>
      </c>
    </row>
    <row r="47" spans="1:3" x14ac:dyDescent="0.3">
      <c r="A47" t="s">
        <v>13</v>
      </c>
      <c r="B47" t="s">
        <v>92</v>
      </c>
      <c r="C47" s="7" t="s">
        <v>6117</v>
      </c>
    </row>
    <row r="48" spans="1:3" x14ac:dyDescent="0.3">
      <c r="A48" t="s">
        <v>6118</v>
      </c>
      <c r="B48" t="s">
        <v>6119</v>
      </c>
      <c r="C48" s="7" t="s">
        <v>6120</v>
      </c>
    </row>
    <row r="49" spans="1:3" x14ac:dyDescent="0.3">
      <c r="A49" t="s">
        <v>6121</v>
      </c>
      <c r="B49" t="s">
        <v>6122</v>
      </c>
      <c r="C49" s="7" t="s">
        <v>6123</v>
      </c>
    </row>
    <row r="50" spans="1:3" x14ac:dyDescent="0.3">
      <c r="A50" t="s">
        <v>6124</v>
      </c>
      <c r="B50" t="s">
        <v>6125</v>
      </c>
      <c r="C50" s="7" t="s">
        <v>6126</v>
      </c>
    </row>
    <row r="51" spans="1:3" x14ac:dyDescent="0.3">
      <c r="A51" t="s">
        <v>6127</v>
      </c>
      <c r="B51" t="s">
        <v>6128</v>
      </c>
      <c r="C51" s="7" t="s">
        <v>6129</v>
      </c>
    </row>
    <row r="52" spans="1:3" x14ac:dyDescent="0.3">
      <c r="A52" t="s">
        <v>6130</v>
      </c>
      <c r="B52" t="s">
        <v>6131</v>
      </c>
      <c r="C52" s="7" t="s">
        <v>6132</v>
      </c>
    </row>
    <row r="53" spans="1:3" x14ac:dyDescent="0.3">
      <c r="A53" t="s">
        <v>6133</v>
      </c>
      <c r="B53" t="s">
        <v>6134</v>
      </c>
      <c r="C53" s="7" t="s">
        <v>6135</v>
      </c>
    </row>
    <row r="54" spans="1:3" x14ac:dyDescent="0.3">
      <c r="A54" t="s">
        <v>6136</v>
      </c>
      <c r="B54" t="s">
        <v>6137</v>
      </c>
      <c r="C54" s="8"/>
    </row>
    <row r="55" spans="1:3" x14ac:dyDescent="0.3">
      <c r="A55" t="s">
        <v>6138</v>
      </c>
      <c r="B55" t="s">
        <v>1721</v>
      </c>
      <c r="C55" s="7" t="s">
        <v>6139</v>
      </c>
    </row>
    <row r="56" spans="1:3" x14ac:dyDescent="0.3">
      <c r="A56" t="s">
        <v>6140</v>
      </c>
      <c r="B56" t="s">
        <v>6141</v>
      </c>
      <c r="C56" s="7"/>
    </row>
    <row r="57" spans="1:3" x14ac:dyDescent="0.3">
      <c r="A57" t="s">
        <v>6142</v>
      </c>
      <c r="B57" t="s">
        <v>356</v>
      </c>
      <c r="C57" s="7" t="s">
        <v>482</v>
      </c>
    </row>
    <row r="58" spans="1:3" x14ac:dyDescent="0.3">
      <c r="A58" t="s">
        <v>6143</v>
      </c>
      <c r="B58" t="s">
        <v>6144</v>
      </c>
      <c r="C58" s="7" t="s">
        <v>6145</v>
      </c>
    </row>
    <row r="59" spans="1:3" x14ac:dyDescent="0.3">
      <c r="A59" t="s">
        <v>6146</v>
      </c>
      <c r="B59" t="s">
        <v>5817</v>
      </c>
      <c r="C59" s="7" t="s">
        <v>6147</v>
      </c>
    </row>
    <row r="60" spans="1:3" x14ac:dyDescent="0.3">
      <c r="A60" t="s">
        <v>6148</v>
      </c>
      <c r="B60" t="s">
        <v>6149</v>
      </c>
      <c r="C60" s="7" t="s">
        <v>6150</v>
      </c>
    </row>
    <row r="61" spans="1:3" x14ac:dyDescent="0.3">
      <c r="A61" t="s">
        <v>6151</v>
      </c>
      <c r="B61" t="s">
        <v>257</v>
      </c>
      <c r="C61" s="7" t="s">
        <v>6152</v>
      </c>
    </row>
    <row r="62" spans="1:3" x14ac:dyDescent="0.3">
      <c r="A62" t="s">
        <v>6153</v>
      </c>
      <c r="B62" t="s">
        <v>6154</v>
      </c>
      <c r="C62" s="7" t="s">
        <v>6155</v>
      </c>
    </row>
    <row r="63" spans="1:3" x14ac:dyDescent="0.3">
      <c r="A63" t="s">
        <v>6156</v>
      </c>
      <c r="B63" t="s">
        <v>6157</v>
      </c>
      <c r="C63" s="7" t="s">
        <v>6158</v>
      </c>
    </row>
    <row r="64" spans="1:3" x14ac:dyDescent="0.3">
      <c r="A64" t="s">
        <v>6159</v>
      </c>
      <c r="B64" t="s">
        <v>6160</v>
      </c>
      <c r="C64" s="7" t="s">
        <v>6161</v>
      </c>
    </row>
    <row r="65" spans="1:3" x14ac:dyDescent="0.3">
      <c r="A65" t="s">
        <v>6162</v>
      </c>
      <c r="B65" t="s">
        <v>6163</v>
      </c>
      <c r="C65" s="7" t="s">
        <v>6164</v>
      </c>
    </row>
    <row r="66" spans="1:3" x14ac:dyDescent="0.3">
      <c r="A66" t="s">
        <v>6165</v>
      </c>
      <c r="B66" t="s">
        <v>6166</v>
      </c>
      <c r="C66" s="7" t="s">
        <v>6104</v>
      </c>
    </row>
    <row r="67" spans="1:3" x14ac:dyDescent="0.3">
      <c r="A67" t="s">
        <v>6167</v>
      </c>
      <c r="B67" t="s">
        <v>6168</v>
      </c>
      <c r="C67" s="7" t="s">
        <v>6169</v>
      </c>
    </row>
    <row r="68" spans="1:3" x14ac:dyDescent="0.3">
      <c r="A68" t="s">
        <v>6170</v>
      </c>
      <c r="B68" t="s">
        <v>6171</v>
      </c>
      <c r="C68" s="7" t="s">
        <v>6172</v>
      </c>
    </row>
    <row r="69" spans="1:3" x14ac:dyDescent="0.3">
      <c r="A69" t="s">
        <v>6173</v>
      </c>
      <c r="B69" t="s">
        <v>3582</v>
      </c>
      <c r="C69" s="7" t="s">
        <v>2967</v>
      </c>
    </row>
    <row r="70" spans="1:3" x14ac:dyDescent="0.3">
      <c r="A70" t="s">
        <v>6174</v>
      </c>
      <c r="B70" t="s">
        <v>1785</v>
      </c>
      <c r="C70" s="7" t="s">
        <v>6175</v>
      </c>
    </row>
    <row r="71" spans="1:3" x14ac:dyDescent="0.3">
      <c r="A71" t="s">
        <v>6176</v>
      </c>
      <c r="B71" t="s">
        <v>6177</v>
      </c>
      <c r="C71" s="7" t="s">
        <v>6178</v>
      </c>
    </row>
    <row r="72" spans="1:3" x14ac:dyDescent="0.3">
      <c r="A72" t="s">
        <v>6179</v>
      </c>
      <c r="B72" t="s">
        <v>6180</v>
      </c>
      <c r="C72" s="7" t="s">
        <v>6104</v>
      </c>
    </row>
    <row r="73" spans="1:3" x14ac:dyDescent="0.3">
      <c r="A73" t="s">
        <v>6181</v>
      </c>
      <c r="B73" t="s">
        <v>87</v>
      </c>
      <c r="C73" s="7" t="s">
        <v>6182</v>
      </c>
    </row>
    <row r="74" spans="1:3" x14ac:dyDescent="0.3">
      <c r="A74" t="s">
        <v>6183</v>
      </c>
      <c r="B74" t="s">
        <v>6184</v>
      </c>
      <c r="C74" s="7" t="s">
        <v>6185</v>
      </c>
    </row>
    <row r="75" spans="1:3" x14ac:dyDescent="0.3">
      <c r="A75" t="s">
        <v>6186</v>
      </c>
      <c r="B75" t="s">
        <v>6187</v>
      </c>
      <c r="C75" s="7" t="s">
        <v>6188</v>
      </c>
    </row>
    <row r="76" spans="1:3" x14ac:dyDescent="0.3">
      <c r="A76" t="s">
        <v>6189</v>
      </c>
      <c r="B76" t="s">
        <v>460</v>
      </c>
      <c r="C76" s="7" t="s">
        <v>6190</v>
      </c>
    </row>
    <row r="77" spans="1:3" x14ac:dyDescent="0.3">
      <c r="A77" s="38" t="s">
        <v>6191</v>
      </c>
      <c r="B77" s="39" t="s">
        <v>6192</v>
      </c>
      <c r="C77" s="39" t="s">
        <v>6104</v>
      </c>
    </row>
    <row r="78" spans="1:3" x14ac:dyDescent="0.3">
      <c r="A78" t="s">
        <v>6193</v>
      </c>
      <c r="B78" t="s">
        <v>6194</v>
      </c>
      <c r="C78" s="7" t="s">
        <v>6104</v>
      </c>
    </row>
    <row r="79" spans="1:3" x14ac:dyDescent="0.3">
      <c r="A79" t="s">
        <v>6195</v>
      </c>
      <c r="B79" t="s">
        <v>6196</v>
      </c>
      <c r="C79" s="7" t="s">
        <v>6197</v>
      </c>
    </row>
    <row r="80" spans="1:3" x14ac:dyDescent="0.3">
      <c r="A80" t="s">
        <v>6198</v>
      </c>
      <c r="B80" t="s">
        <v>332</v>
      </c>
      <c r="C80" s="7" t="s">
        <v>686</v>
      </c>
    </row>
    <row r="81" spans="1:3" x14ac:dyDescent="0.3">
      <c r="A81" t="s">
        <v>6199</v>
      </c>
      <c r="B81" t="s">
        <v>6200</v>
      </c>
      <c r="C81" s="7" t="s">
        <v>6201</v>
      </c>
    </row>
    <row r="82" spans="1:3" x14ac:dyDescent="0.3">
      <c r="A82" t="s">
        <v>6202</v>
      </c>
      <c r="B82" t="s">
        <v>6203</v>
      </c>
      <c r="C82" s="7" t="s">
        <v>6204</v>
      </c>
    </row>
    <row r="83" spans="1:3" x14ac:dyDescent="0.3">
      <c r="A83" t="s">
        <v>6205</v>
      </c>
      <c r="B83" t="s">
        <v>6206</v>
      </c>
      <c r="C83" s="7" t="s">
        <v>6207</v>
      </c>
    </row>
    <row r="84" spans="1:3" x14ac:dyDescent="0.3">
      <c r="A84" t="s">
        <v>6208</v>
      </c>
      <c r="B84" t="s">
        <v>6209</v>
      </c>
      <c r="C84" s="7" t="s">
        <v>6210</v>
      </c>
    </row>
    <row r="85" spans="1:3" x14ac:dyDescent="0.3">
      <c r="A85" t="s">
        <v>6211</v>
      </c>
      <c r="B85" t="s">
        <v>6212</v>
      </c>
      <c r="C85" s="44" t="s">
        <v>6213</v>
      </c>
    </row>
    <row r="86" spans="1:3" x14ac:dyDescent="0.3">
      <c r="A86" t="s">
        <v>6214</v>
      </c>
      <c r="B86" t="s">
        <v>6215</v>
      </c>
      <c r="C86" s="7" t="s">
        <v>6216</v>
      </c>
    </row>
    <row r="87" spans="1:3" x14ac:dyDescent="0.3">
      <c r="A87" t="s">
        <v>6217</v>
      </c>
      <c r="B87" t="s">
        <v>6218</v>
      </c>
      <c r="C87" s="7" t="s">
        <v>6219</v>
      </c>
    </row>
    <row r="88" spans="1:3" x14ac:dyDescent="0.3">
      <c r="A88" t="s">
        <v>6220</v>
      </c>
      <c r="B88" t="s">
        <v>6221</v>
      </c>
      <c r="C88" s="7" t="s">
        <v>6222</v>
      </c>
    </row>
    <row r="89" spans="1:3" x14ac:dyDescent="0.3">
      <c r="A89" t="s">
        <v>6223</v>
      </c>
      <c r="B89" t="s">
        <v>6224</v>
      </c>
      <c r="C89" s="7" t="s">
        <v>6225</v>
      </c>
    </row>
    <row r="90" spans="1:3" x14ac:dyDescent="0.3">
      <c r="A90" t="s">
        <v>6226</v>
      </c>
      <c r="B90" t="s">
        <v>6227</v>
      </c>
      <c r="C90" s="7" t="s">
        <v>6228</v>
      </c>
    </row>
    <row r="91" spans="1:3" x14ac:dyDescent="0.3">
      <c r="A91" t="s">
        <v>6229</v>
      </c>
      <c r="B91" t="s">
        <v>6230</v>
      </c>
      <c r="C91" s="7" t="s">
        <v>6231</v>
      </c>
    </row>
    <row r="92" spans="1:3" x14ac:dyDescent="0.3">
      <c r="A92" t="s">
        <v>6232</v>
      </c>
      <c r="B92" t="s">
        <v>6233</v>
      </c>
      <c r="C92" s="7" t="s">
        <v>6234</v>
      </c>
    </row>
    <row r="93" spans="1:3" x14ac:dyDescent="0.3">
      <c r="A93" t="s">
        <v>6235</v>
      </c>
      <c r="B93" t="s">
        <v>6236</v>
      </c>
      <c r="C93" s="7" t="s">
        <v>6237</v>
      </c>
    </row>
    <row r="94" spans="1:3" x14ac:dyDescent="0.3">
      <c r="A94" t="s">
        <v>6238</v>
      </c>
      <c r="B94" t="s">
        <v>6239</v>
      </c>
      <c r="C94" s="7" t="s">
        <v>6240</v>
      </c>
    </row>
    <row r="95" spans="1:3" x14ac:dyDescent="0.3">
      <c r="A95" t="s">
        <v>6241</v>
      </c>
      <c r="B95" t="s">
        <v>2910</v>
      </c>
      <c r="C95" s="7" t="s">
        <v>6242</v>
      </c>
    </row>
    <row r="96" spans="1:3" x14ac:dyDescent="0.3">
      <c r="A96" t="s">
        <v>6243</v>
      </c>
      <c r="B96" t="s">
        <v>6244</v>
      </c>
      <c r="C96" s="7" t="s">
        <v>6245</v>
      </c>
    </row>
    <row r="97" spans="1:3" x14ac:dyDescent="0.3">
      <c r="A97" t="s">
        <v>6246</v>
      </c>
      <c r="B97" t="s">
        <v>6247</v>
      </c>
      <c r="C97" s="7" t="s">
        <v>6248</v>
      </c>
    </row>
    <row r="98" spans="1:3" x14ac:dyDescent="0.3">
      <c r="A98" t="s">
        <v>6249</v>
      </c>
      <c r="B98" t="s">
        <v>6250</v>
      </c>
      <c r="C98" s="7" t="s">
        <v>6251</v>
      </c>
    </row>
    <row r="99" spans="1:3" x14ac:dyDescent="0.3">
      <c r="A99" t="s">
        <v>6252</v>
      </c>
      <c r="B99" t="s">
        <v>6253</v>
      </c>
      <c r="C99" s="7" t="s">
        <v>6254</v>
      </c>
    </row>
    <row r="100" spans="1:3" x14ac:dyDescent="0.3">
      <c r="A100" t="s">
        <v>6255</v>
      </c>
      <c r="B100" t="s">
        <v>6256</v>
      </c>
      <c r="C100" s="7" t="s">
        <v>6257</v>
      </c>
    </row>
    <row r="101" spans="1:3" x14ac:dyDescent="0.3">
      <c r="A101" t="s">
        <v>6258</v>
      </c>
      <c r="B101" t="s">
        <v>6259</v>
      </c>
      <c r="C101" s="7" t="s">
        <v>6260</v>
      </c>
    </row>
    <row r="102" spans="1:3" x14ac:dyDescent="0.3">
      <c r="A102" t="s">
        <v>6261</v>
      </c>
      <c r="B102" t="s">
        <v>6262</v>
      </c>
      <c r="C102" s="7" t="s">
        <v>6263</v>
      </c>
    </row>
    <row r="103" spans="1:3" x14ac:dyDescent="0.3">
      <c r="A103" t="s">
        <v>6264</v>
      </c>
      <c r="B103" t="s">
        <v>6265</v>
      </c>
      <c r="C103" s="7" t="s">
        <v>6266</v>
      </c>
    </row>
    <row r="104" spans="1:3" x14ac:dyDescent="0.3">
      <c r="A104" t="s">
        <v>6267</v>
      </c>
      <c r="B104" t="s">
        <v>376</v>
      </c>
      <c r="C104" s="7" t="s">
        <v>6268</v>
      </c>
    </row>
    <row r="105" spans="1:3" x14ac:dyDescent="0.3">
      <c r="A105" t="s">
        <v>2713</v>
      </c>
      <c r="B105" t="s">
        <v>6269</v>
      </c>
      <c r="C105" s="7" t="s">
        <v>6270</v>
      </c>
    </row>
    <row r="106" spans="1:3" x14ac:dyDescent="0.3">
      <c r="A106" t="s">
        <v>6271</v>
      </c>
      <c r="B106" t="s">
        <v>6272</v>
      </c>
      <c r="C106" s="7" t="s">
        <v>6273</v>
      </c>
    </row>
    <row r="107" spans="1:3" x14ac:dyDescent="0.3">
      <c r="A107" t="s">
        <v>6274</v>
      </c>
      <c r="B107" t="s">
        <v>6275</v>
      </c>
      <c r="C107" s="7" t="s">
        <v>6276</v>
      </c>
    </row>
    <row r="108" spans="1:3" x14ac:dyDescent="0.3">
      <c r="A108" t="s">
        <v>6277</v>
      </c>
      <c r="B108" t="s">
        <v>6278</v>
      </c>
      <c r="C108" s="7" t="s">
        <v>6279</v>
      </c>
    </row>
    <row r="109" spans="1:3" x14ac:dyDescent="0.3">
      <c r="A109" t="s">
        <v>6280</v>
      </c>
      <c r="B109" t="s">
        <v>6281</v>
      </c>
      <c r="C109" s="7" t="s">
        <v>6104</v>
      </c>
    </row>
    <row r="110" spans="1:3" x14ac:dyDescent="0.3">
      <c r="A110" t="s">
        <v>6282</v>
      </c>
      <c r="B110" t="s">
        <v>6283</v>
      </c>
      <c r="C110" s="7" t="s">
        <v>6104</v>
      </c>
    </row>
    <row r="111" spans="1:3" x14ac:dyDescent="0.3">
      <c r="A111" t="s">
        <v>6284</v>
      </c>
      <c r="B111" t="s">
        <v>6285</v>
      </c>
      <c r="C111" s="7" t="s">
        <v>6286</v>
      </c>
    </row>
    <row r="112" spans="1:3" x14ac:dyDescent="0.3">
      <c r="A112" t="s">
        <v>6287</v>
      </c>
      <c r="B112" t="s">
        <v>6288</v>
      </c>
      <c r="C112" s="7" t="s">
        <v>6289</v>
      </c>
    </row>
    <row r="113" spans="1:3" x14ac:dyDescent="0.3">
      <c r="A113" t="s">
        <v>6290</v>
      </c>
      <c r="B113" t="s">
        <v>6291</v>
      </c>
      <c r="C113" s="7" t="s">
        <v>6292</v>
      </c>
    </row>
    <row r="114" spans="1:3" x14ac:dyDescent="0.3">
      <c r="A114" t="s">
        <v>6293</v>
      </c>
      <c r="B114" t="s">
        <v>223</v>
      </c>
      <c r="C114" s="7" t="s">
        <v>6294</v>
      </c>
    </row>
    <row r="115" spans="1:3" x14ac:dyDescent="0.3">
      <c r="A115" t="s">
        <v>6295</v>
      </c>
      <c r="B115" t="s">
        <v>6296</v>
      </c>
      <c r="C115" s="7" t="s">
        <v>6104</v>
      </c>
    </row>
    <row r="116" spans="1:3" x14ac:dyDescent="0.3">
      <c r="A116" t="s">
        <v>6297</v>
      </c>
      <c r="B116" t="s">
        <v>6298</v>
      </c>
      <c r="C116" s="7" t="s">
        <v>6104</v>
      </c>
    </row>
    <row r="117" spans="1:3" x14ac:dyDescent="0.3">
      <c r="A117" t="s">
        <v>6299</v>
      </c>
      <c r="B117" t="s">
        <v>6300</v>
      </c>
      <c r="C117" s="7" t="s">
        <v>6301</v>
      </c>
    </row>
    <row r="118" spans="1:3" x14ac:dyDescent="0.3">
      <c r="A118" t="s">
        <v>6302</v>
      </c>
      <c r="B118" t="s">
        <v>6303</v>
      </c>
      <c r="C118" s="7" t="s">
        <v>6104</v>
      </c>
    </row>
    <row r="119" spans="1:3" x14ac:dyDescent="0.3">
      <c r="A119" t="s">
        <v>6304</v>
      </c>
      <c r="B119" t="s">
        <v>6305</v>
      </c>
      <c r="C119" s="7" t="s">
        <v>6306</v>
      </c>
    </row>
    <row r="120" spans="1:3" x14ac:dyDescent="0.3">
      <c r="A120" t="s">
        <v>6307</v>
      </c>
      <c r="B120" t="s">
        <v>6308</v>
      </c>
      <c r="C120" s="7" t="s">
        <v>6309</v>
      </c>
    </row>
    <row r="121" spans="1:3" x14ac:dyDescent="0.3">
      <c r="A121" t="s">
        <v>6310</v>
      </c>
      <c r="B121" t="s">
        <v>6311</v>
      </c>
      <c r="C121" s="7" t="s">
        <v>6312</v>
      </c>
    </row>
    <row r="122" spans="1:3" x14ac:dyDescent="0.3">
      <c r="A122" t="s">
        <v>6313</v>
      </c>
      <c r="B122" t="s">
        <v>6314</v>
      </c>
      <c r="C122" s="7" t="s">
        <v>6315</v>
      </c>
    </row>
    <row r="123" spans="1:3" x14ac:dyDescent="0.3">
      <c r="A123" t="s">
        <v>738</v>
      </c>
      <c r="B123" t="s">
        <v>752</v>
      </c>
      <c r="C123" s="7" t="s">
        <v>6316</v>
      </c>
    </row>
    <row r="124" spans="1:3" x14ac:dyDescent="0.3">
      <c r="A124" t="s">
        <v>6317</v>
      </c>
      <c r="B124" t="s">
        <v>6318</v>
      </c>
      <c r="C124" s="7" t="s">
        <v>6319</v>
      </c>
    </row>
    <row r="125" spans="1:3" x14ac:dyDescent="0.3">
      <c r="A125" t="s">
        <v>6320</v>
      </c>
      <c r="B125" t="s">
        <v>6321</v>
      </c>
      <c r="C125" s="7" t="s">
        <v>6322</v>
      </c>
    </row>
    <row r="126" spans="1:3" x14ac:dyDescent="0.3">
      <c r="A126" t="s">
        <v>6323</v>
      </c>
      <c r="B126" t="s">
        <v>6324</v>
      </c>
      <c r="C126" s="7" t="s">
        <v>6325</v>
      </c>
    </row>
    <row r="127" spans="1:3" x14ac:dyDescent="0.3">
      <c r="A127" t="s">
        <v>6326</v>
      </c>
      <c r="B127" t="s">
        <v>6327</v>
      </c>
      <c r="C127" s="7" t="s">
        <v>6328</v>
      </c>
    </row>
    <row r="128" spans="1:3" x14ac:dyDescent="0.3">
      <c r="A128" t="s">
        <v>6329</v>
      </c>
      <c r="B128" t="s">
        <v>6330</v>
      </c>
      <c r="C128" s="7" t="s">
        <v>6331</v>
      </c>
    </row>
    <row r="129" spans="1:3" x14ac:dyDescent="0.3">
      <c r="A129" t="s">
        <v>6332</v>
      </c>
      <c r="B129" t="s">
        <v>6333</v>
      </c>
      <c r="C129" s="7" t="s">
        <v>6334</v>
      </c>
    </row>
    <row r="130" spans="1:3" x14ac:dyDescent="0.3">
      <c r="A130" t="s">
        <v>6335</v>
      </c>
      <c r="B130" t="s">
        <v>6336</v>
      </c>
      <c r="C130" s="7" t="s">
        <v>6337</v>
      </c>
    </row>
    <row r="131" spans="1:3" x14ac:dyDescent="0.3">
      <c r="A131" t="s">
        <v>6338</v>
      </c>
      <c r="B131" t="s">
        <v>6339</v>
      </c>
      <c r="C131" s="7" t="s">
        <v>6340</v>
      </c>
    </row>
    <row r="132" spans="1:3" x14ac:dyDescent="0.3">
      <c r="A132" t="s">
        <v>6341</v>
      </c>
      <c r="B132" t="s">
        <v>6342</v>
      </c>
      <c r="C132" s="7" t="s">
        <v>6343</v>
      </c>
    </row>
    <row r="133" spans="1:3" x14ac:dyDescent="0.3">
      <c r="A133" t="s">
        <v>6344</v>
      </c>
      <c r="B133" t="s">
        <v>6345</v>
      </c>
      <c r="C133" s="7" t="s">
        <v>6346</v>
      </c>
    </row>
    <row r="134" spans="1:3" x14ac:dyDescent="0.3">
      <c r="A134" t="s">
        <v>696</v>
      </c>
      <c r="B134" t="s">
        <v>5942</v>
      </c>
      <c r="C134" s="7" t="s">
        <v>5993</v>
      </c>
    </row>
    <row r="135" spans="1:3" x14ac:dyDescent="0.3">
      <c r="A135" t="s">
        <v>6347</v>
      </c>
      <c r="B135" t="s">
        <v>6348</v>
      </c>
      <c r="C135" s="7" t="s">
        <v>6349</v>
      </c>
    </row>
    <row r="136" spans="1:3" x14ac:dyDescent="0.3">
      <c r="A136" t="s">
        <v>6350</v>
      </c>
      <c r="B136" t="s">
        <v>6351</v>
      </c>
      <c r="C136" s="7" t="s">
        <v>6352</v>
      </c>
    </row>
    <row r="137" spans="1:3" x14ac:dyDescent="0.3">
      <c r="A137" t="s">
        <v>6353</v>
      </c>
      <c r="B137" t="s">
        <v>6354</v>
      </c>
      <c r="C137" s="7" t="s">
        <v>6355</v>
      </c>
    </row>
    <row r="138" spans="1:3" x14ac:dyDescent="0.3">
      <c r="A138" t="s">
        <v>6356</v>
      </c>
      <c r="B138" t="s">
        <v>6357</v>
      </c>
      <c r="C138" s="7" t="s">
        <v>6358</v>
      </c>
    </row>
    <row r="139" spans="1:3" x14ac:dyDescent="0.3">
      <c r="A139" t="s">
        <v>6359</v>
      </c>
      <c r="B139" t="s">
        <v>6360</v>
      </c>
      <c r="C139" s="7" t="s">
        <v>6104</v>
      </c>
    </row>
    <row r="140" spans="1:3" x14ac:dyDescent="0.3">
      <c r="A140" t="s">
        <v>6361</v>
      </c>
      <c r="B140" t="s">
        <v>6362</v>
      </c>
      <c r="C140" s="7" t="s">
        <v>6104</v>
      </c>
    </row>
    <row r="141" spans="1:3" x14ac:dyDescent="0.3">
      <c r="A141" t="s">
        <v>6363</v>
      </c>
      <c r="B141" t="s">
        <v>6364</v>
      </c>
      <c r="C141" s="7" t="s">
        <v>6365</v>
      </c>
    </row>
    <row r="142" spans="1:3" x14ac:dyDescent="0.3">
      <c r="A142" t="s">
        <v>6366</v>
      </c>
      <c r="B142" t="s">
        <v>546</v>
      </c>
      <c r="C142" s="7" t="s">
        <v>6367</v>
      </c>
    </row>
    <row r="143" spans="1:3" x14ac:dyDescent="0.3">
      <c r="A143" t="s">
        <v>6368</v>
      </c>
      <c r="B143" t="s">
        <v>6369</v>
      </c>
      <c r="C143" s="7" t="s">
        <v>6370</v>
      </c>
    </row>
    <row r="144" spans="1:3" x14ac:dyDescent="0.3">
      <c r="A144" t="s">
        <v>6371</v>
      </c>
      <c r="B144" t="s">
        <v>6372</v>
      </c>
      <c r="C144" s="7" t="s">
        <v>6373</v>
      </c>
    </row>
    <row r="145" spans="1:3" x14ac:dyDescent="0.3">
      <c r="A145" t="s">
        <v>6374</v>
      </c>
      <c r="B145" t="s">
        <v>4030</v>
      </c>
      <c r="C145" s="7" t="s">
        <v>6375</v>
      </c>
    </row>
    <row r="146" spans="1:3" x14ac:dyDescent="0.3">
      <c r="A146" t="s">
        <v>6376</v>
      </c>
      <c r="B146" t="s">
        <v>6377</v>
      </c>
      <c r="C146" s="7" t="s">
        <v>6378</v>
      </c>
    </row>
    <row r="147" spans="1:3" x14ac:dyDescent="0.3">
      <c r="A147" t="s">
        <v>6379</v>
      </c>
      <c r="B147" t="s">
        <v>6380</v>
      </c>
      <c r="C147" s="7" t="s">
        <v>6381</v>
      </c>
    </row>
    <row r="148" spans="1:3" x14ac:dyDescent="0.3">
      <c r="A148" t="s">
        <v>4893</v>
      </c>
      <c r="B148" t="s">
        <v>6382</v>
      </c>
      <c r="C148" s="7" t="s">
        <v>831</v>
      </c>
    </row>
    <row r="149" spans="1:3" x14ac:dyDescent="0.3">
      <c r="A149" t="s">
        <v>6383</v>
      </c>
      <c r="B149" t="s">
        <v>6384</v>
      </c>
      <c r="C149" s="7" t="s">
        <v>6385</v>
      </c>
    </row>
    <row r="150" spans="1:3" x14ac:dyDescent="0.3">
      <c r="A150" t="s">
        <v>6386</v>
      </c>
      <c r="B150" t="s">
        <v>6387</v>
      </c>
      <c r="C150" s="7" t="s">
        <v>6388</v>
      </c>
    </row>
    <row r="151" spans="1:3" x14ac:dyDescent="0.3">
      <c r="A151" t="s">
        <v>6389</v>
      </c>
      <c r="B151" t="s">
        <v>6390</v>
      </c>
      <c r="C151" s="7" t="s">
        <v>6391</v>
      </c>
    </row>
    <row r="152" spans="1:3" x14ac:dyDescent="0.3">
      <c r="A152" t="s">
        <v>6392</v>
      </c>
      <c r="B152" t="s">
        <v>6393</v>
      </c>
      <c r="C152" s="7" t="s">
        <v>6394</v>
      </c>
    </row>
    <row r="153" spans="1:3" x14ac:dyDescent="0.3">
      <c r="A153" t="s">
        <v>6395</v>
      </c>
      <c r="B153" t="s">
        <v>6396</v>
      </c>
      <c r="C153" s="7" t="s">
        <v>6397</v>
      </c>
    </row>
    <row r="154" spans="1:3" x14ac:dyDescent="0.3">
      <c r="A154" t="s">
        <v>6398</v>
      </c>
      <c r="B154" t="s">
        <v>2221</v>
      </c>
      <c r="C154" s="7" t="s">
        <v>6399</v>
      </c>
    </row>
    <row r="155" spans="1:3" x14ac:dyDescent="0.3">
      <c r="A155" t="s">
        <v>6400</v>
      </c>
      <c r="B155" t="s">
        <v>6401</v>
      </c>
      <c r="C155" s="7" t="s">
        <v>6104</v>
      </c>
    </row>
    <row r="156" spans="1:3" x14ac:dyDescent="0.3">
      <c r="A156" t="s">
        <v>6402</v>
      </c>
      <c r="B156" t="s">
        <v>6403</v>
      </c>
      <c r="C156" s="7" t="s">
        <v>6404</v>
      </c>
    </row>
    <row r="157" spans="1:3" x14ac:dyDescent="0.3">
      <c r="A157" t="s">
        <v>6405</v>
      </c>
      <c r="B157" t="s">
        <v>6406</v>
      </c>
      <c r="C157" s="7" t="s">
        <v>6407</v>
      </c>
    </row>
    <row r="158" spans="1:3" x14ac:dyDescent="0.3">
      <c r="A158" t="s">
        <v>880</v>
      </c>
      <c r="B158" t="s">
        <v>2675</v>
      </c>
      <c r="C158" s="7" t="s">
        <v>5062</v>
      </c>
    </row>
    <row r="159" spans="1:3" x14ac:dyDescent="0.3">
      <c r="A159" t="s">
        <v>6408</v>
      </c>
      <c r="B159" t="s">
        <v>6409</v>
      </c>
      <c r="C159" s="7" t="s">
        <v>6104</v>
      </c>
    </row>
    <row r="160" spans="1:3" x14ac:dyDescent="0.3">
      <c r="A160" t="s">
        <v>6410</v>
      </c>
      <c r="B160" t="s">
        <v>6411</v>
      </c>
      <c r="C160" s="7" t="s">
        <v>6412</v>
      </c>
    </row>
    <row r="161" spans="1:3" x14ac:dyDescent="0.3">
      <c r="A161" t="s">
        <v>6413</v>
      </c>
      <c r="B161" t="s">
        <v>6414</v>
      </c>
      <c r="C161" s="7" t="s">
        <v>6415</v>
      </c>
    </row>
    <row r="162" spans="1:3" x14ac:dyDescent="0.3">
      <c r="A162" t="s">
        <v>6416</v>
      </c>
      <c r="B162" t="s">
        <v>6417</v>
      </c>
      <c r="C162" s="7" t="s">
        <v>6418</v>
      </c>
    </row>
    <row r="163" spans="1:3" x14ac:dyDescent="0.3">
      <c r="A163" t="s">
        <v>6419</v>
      </c>
      <c r="B163" t="s">
        <v>6420</v>
      </c>
      <c r="C163" s="7" t="s">
        <v>6421</v>
      </c>
    </row>
    <row r="164" spans="1:3" x14ac:dyDescent="0.3">
      <c r="A164" t="s">
        <v>6422</v>
      </c>
      <c r="B164" t="s">
        <v>6423</v>
      </c>
      <c r="C164" s="7" t="s">
        <v>6424</v>
      </c>
    </row>
    <row r="165" spans="1:3" x14ac:dyDescent="0.3">
      <c r="A165" t="s">
        <v>6425</v>
      </c>
      <c r="B165" t="s">
        <v>6426</v>
      </c>
      <c r="C165" s="7" t="s">
        <v>6427</v>
      </c>
    </row>
    <row r="166" spans="1:3" x14ac:dyDescent="0.3">
      <c r="A166" t="s">
        <v>6428</v>
      </c>
      <c r="B166" t="s">
        <v>6429</v>
      </c>
      <c r="C166" s="7" t="s">
        <v>6430</v>
      </c>
    </row>
    <row r="167" spans="1:3" x14ac:dyDescent="0.3">
      <c r="A167" t="s">
        <v>6431</v>
      </c>
      <c r="B167" t="s">
        <v>6432</v>
      </c>
      <c r="C167" s="7" t="s">
        <v>6433</v>
      </c>
    </row>
    <row r="168" spans="1:3" x14ac:dyDescent="0.3">
      <c r="A168" t="s">
        <v>6434</v>
      </c>
      <c r="B168" t="s">
        <v>6435</v>
      </c>
      <c r="C168" s="7" t="s">
        <v>6436</v>
      </c>
    </row>
    <row r="169" spans="1:3" x14ac:dyDescent="0.3">
      <c r="A169" t="s">
        <v>6437</v>
      </c>
      <c r="B169" t="s">
        <v>133</v>
      </c>
      <c r="C169" s="7" t="s">
        <v>6438</v>
      </c>
    </row>
    <row r="170" spans="1:3" x14ac:dyDescent="0.3">
      <c r="A170" t="s">
        <v>6439</v>
      </c>
      <c r="B170" t="s">
        <v>6440</v>
      </c>
      <c r="C170" s="7" t="s">
        <v>6441</v>
      </c>
    </row>
    <row r="171" spans="1:3" x14ac:dyDescent="0.3">
      <c r="A171" t="s">
        <v>6442</v>
      </c>
      <c r="B171" t="s">
        <v>6443</v>
      </c>
      <c r="C171" s="7" t="s">
        <v>6444</v>
      </c>
    </row>
    <row r="172" spans="1:3" x14ac:dyDescent="0.3">
      <c r="A172" t="s">
        <v>6445</v>
      </c>
      <c r="B172" t="s">
        <v>6446</v>
      </c>
      <c r="C172" s="7" t="s">
        <v>6447</v>
      </c>
    </row>
    <row r="173" spans="1:3" x14ac:dyDescent="0.3">
      <c r="A173" t="s">
        <v>6448</v>
      </c>
      <c r="B173" t="s">
        <v>6449</v>
      </c>
      <c r="C173" s="7" t="s">
        <v>6450</v>
      </c>
    </row>
    <row r="174" spans="1:3" x14ac:dyDescent="0.3">
      <c r="A174" t="s">
        <v>6451</v>
      </c>
      <c r="B174" t="s">
        <v>6452</v>
      </c>
      <c r="C174" s="7" t="s">
        <v>6453</v>
      </c>
    </row>
    <row r="175" spans="1:3" x14ac:dyDescent="0.3">
      <c r="A175" t="s">
        <v>6454</v>
      </c>
      <c r="B175" t="s">
        <v>6455</v>
      </c>
      <c r="C175" s="7" t="s">
        <v>6456</v>
      </c>
    </row>
    <row r="176" spans="1:3" x14ac:dyDescent="0.3">
      <c r="A176" t="s">
        <v>6457</v>
      </c>
      <c r="B176" t="s">
        <v>6458</v>
      </c>
      <c r="C176" s="7" t="s">
        <v>6459</v>
      </c>
    </row>
    <row r="177" spans="1:3" x14ac:dyDescent="0.3">
      <c r="A177" t="s">
        <v>6460</v>
      </c>
      <c r="B177" t="s">
        <v>12</v>
      </c>
      <c r="C177" s="7" t="s">
        <v>6461</v>
      </c>
    </row>
    <row r="178" spans="1:3" x14ac:dyDescent="0.3">
      <c r="A178" t="s">
        <v>6462</v>
      </c>
      <c r="B178" t="s">
        <v>6463</v>
      </c>
      <c r="C178" s="7" t="s">
        <v>6464</v>
      </c>
    </row>
    <row r="179" spans="1:3" x14ac:dyDescent="0.3">
      <c r="A179" t="s">
        <v>6465</v>
      </c>
      <c r="B179" t="s">
        <v>6466</v>
      </c>
      <c r="C179" s="7" t="s">
        <v>6104</v>
      </c>
    </row>
    <row r="180" spans="1:3" x14ac:dyDescent="0.3">
      <c r="A180" t="s">
        <v>6467</v>
      </c>
      <c r="B180" t="s">
        <v>6468</v>
      </c>
      <c r="C180" s="7" t="s">
        <v>6469</v>
      </c>
    </row>
    <row r="181" spans="1:3" x14ac:dyDescent="0.3">
      <c r="A181" t="s">
        <v>6470</v>
      </c>
      <c r="B181" t="s">
        <v>759</v>
      </c>
      <c r="C181" s="7" t="s">
        <v>6471</v>
      </c>
    </row>
    <row r="182" spans="1:3" x14ac:dyDescent="0.3">
      <c r="A182" t="s">
        <v>6472</v>
      </c>
      <c r="B182" t="s">
        <v>6473</v>
      </c>
      <c r="C182" s="7" t="s">
        <v>6474</v>
      </c>
    </row>
    <row r="183" spans="1:3" x14ac:dyDescent="0.3">
      <c r="A183" t="s">
        <v>6475</v>
      </c>
      <c r="B183" t="s">
        <v>6476</v>
      </c>
      <c r="C183" s="7" t="s">
        <v>6477</v>
      </c>
    </row>
    <row r="184" spans="1:3" x14ac:dyDescent="0.3">
      <c r="A184" t="s">
        <v>6478</v>
      </c>
      <c r="B184" t="s">
        <v>6479</v>
      </c>
      <c r="C184" s="7" t="s">
        <v>6480</v>
      </c>
    </row>
    <row r="185" spans="1:3" x14ac:dyDescent="0.3">
      <c r="A185" t="s">
        <v>6481</v>
      </c>
      <c r="B185" t="s">
        <v>6482</v>
      </c>
      <c r="C185" s="7" t="s">
        <v>6483</v>
      </c>
    </row>
    <row r="186" spans="1:3" x14ac:dyDescent="0.3">
      <c r="A186" t="s">
        <v>6484</v>
      </c>
      <c r="B186" t="s">
        <v>6485</v>
      </c>
      <c r="C186" s="7" t="s">
        <v>6486</v>
      </c>
    </row>
    <row r="187" spans="1:3" x14ac:dyDescent="0.3">
      <c r="A187" t="s">
        <v>6487</v>
      </c>
      <c r="B187" t="s">
        <v>6488</v>
      </c>
      <c r="C187" s="7" t="s">
        <v>6104</v>
      </c>
    </row>
    <row r="188" spans="1:3" x14ac:dyDescent="0.3">
      <c r="A188" t="s">
        <v>6489</v>
      </c>
      <c r="B188" t="s">
        <v>6490</v>
      </c>
      <c r="C188" s="7" t="s">
        <v>6491</v>
      </c>
    </row>
    <row r="189" spans="1:3" x14ac:dyDescent="0.3">
      <c r="A189" t="s">
        <v>152</v>
      </c>
      <c r="B189" t="s">
        <v>1217</v>
      </c>
      <c r="C189" s="7" t="s">
        <v>5236</v>
      </c>
    </row>
    <row r="190" spans="1:3" x14ac:dyDescent="0.3">
      <c r="A190" t="s">
        <v>6492</v>
      </c>
      <c r="B190" t="s">
        <v>6493</v>
      </c>
      <c r="C190" s="7" t="s">
        <v>6494</v>
      </c>
    </row>
    <row r="191" spans="1:3" x14ac:dyDescent="0.3">
      <c r="A191" t="s">
        <v>6495</v>
      </c>
      <c r="B191" t="s">
        <v>6496</v>
      </c>
      <c r="C191" s="7" t="s">
        <v>6497</v>
      </c>
    </row>
    <row r="192" spans="1:3" x14ac:dyDescent="0.3">
      <c r="A192" t="s">
        <v>6498</v>
      </c>
      <c r="B192" t="s">
        <v>6499</v>
      </c>
      <c r="C192" s="7" t="s">
        <v>6500</v>
      </c>
    </row>
    <row r="193" spans="1:3" x14ac:dyDescent="0.3">
      <c r="A193" t="s">
        <v>6501</v>
      </c>
      <c r="B193" t="s">
        <v>6502</v>
      </c>
      <c r="C193" s="7" t="s">
        <v>6503</v>
      </c>
    </row>
    <row r="194" spans="1:3" x14ac:dyDescent="0.3">
      <c r="A194" t="s">
        <v>6504</v>
      </c>
      <c r="B194" t="s">
        <v>6505</v>
      </c>
      <c r="C194" s="7" t="s">
        <v>6506</v>
      </c>
    </row>
    <row r="195" spans="1:3" x14ac:dyDescent="0.3">
      <c r="A195" t="s">
        <v>6507</v>
      </c>
      <c r="B195" t="s">
        <v>6508</v>
      </c>
      <c r="C195" s="7" t="s">
        <v>6509</v>
      </c>
    </row>
    <row r="196" spans="1:3" x14ac:dyDescent="0.3">
      <c r="A196" t="s">
        <v>6510</v>
      </c>
      <c r="B196" t="s">
        <v>6511</v>
      </c>
      <c r="C196" s="7" t="s">
        <v>6512</v>
      </c>
    </row>
    <row r="197" spans="1:3" x14ac:dyDescent="0.3">
      <c r="A197" t="s">
        <v>6513</v>
      </c>
      <c r="B197" t="s">
        <v>6514</v>
      </c>
      <c r="C197" s="7" t="s">
        <v>6515</v>
      </c>
    </row>
    <row r="198" spans="1:3" x14ac:dyDescent="0.3">
      <c r="A198" t="s">
        <v>6516</v>
      </c>
      <c r="B198" t="s">
        <v>6517</v>
      </c>
      <c r="C198" s="7" t="s">
        <v>6518</v>
      </c>
    </row>
    <row r="199" spans="1:3" x14ac:dyDescent="0.3">
      <c r="A199" t="s">
        <v>6519</v>
      </c>
      <c r="B199" t="s">
        <v>6520</v>
      </c>
      <c r="C199" s="7" t="s">
        <v>6521</v>
      </c>
    </row>
    <row r="200" spans="1:3" x14ac:dyDescent="0.3">
      <c r="A200" t="s">
        <v>6522</v>
      </c>
      <c r="B200" t="s">
        <v>6523</v>
      </c>
      <c r="C200" s="7" t="s">
        <v>6524</v>
      </c>
    </row>
    <row r="201" spans="1:3" x14ac:dyDescent="0.3">
      <c r="A201" t="s">
        <v>6525</v>
      </c>
      <c r="B201" t="s">
        <v>2906</v>
      </c>
      <c r="C201" s="7" t="s">
        <v>6526</v>
      </c>
    </row>
    <row r="202" spans="1:3" x14ac:dyDescent="0.3">
      <c r="A202" t="s">
        <v>6527</v>
      </c>
      <c r="B202" t="s">
        <v>3382</v>
      </c>
      <c r="C202" s="7" t="s">
        <v>3226</v>
      </c>
    </row>
    <row r="203" spans="1:3" x14ac:dyDescent="0.3">
      <c r="A203" t="s">
        <v>6528</v>
      </c>
      <c r="B203" t="s">
        <v>6529</v>
      </c>
      <c r="C203" s="7" t="s">
        <v>6530</v>
      </c>
    </row>
    <row r="204" spans="1:3" x14ac:dyDescent="0.3">
      <c r="A204" t="s">
        <v>6531</v>
      </c>
      <c r="B204" t="s">
        <v>6532</v>
      </c>
      <c r="C204" s="7" t="s">
        <v>6533</v>
      </c>
    </row>
    <row r="205" spans="1:3" x14ac:dyDescent="0.3">
      <c r="A205" t="s">
        <v>6534</v>
      </c>
      <c r="B205" t="s">
        <v>6535</v>
      </c>
      <c r="C205" s="7" t="s">
        <v>6536</v>
      </c>
    </row>
    <row r="206" spans="1:3" x14ac:dyDescent="0.3">
      <c r="A206" t="s">
        <v>6537</v>
      </c>
      <c r="B206" t="s">
        <v>6538</v>
      </c>
      <c r="C206" s="7" t="s">
        <v>6104</v>
      </c>
    </row>
    <row r="207" spans="1:3" x14ac:dyDescent="0.3">
      <c r="A207" t="s">
        <v>6539</v>
      </c>
      <c r="B207" t="s">
        <v>6540</v>
      </c>
      <c r="C207" s="7" t="s">
        <v>6541</v>
      </c>
    </row>
    <row r="208" spans="1:3" x14ac:dyDescent="0.3">
      <c r="A208" t="s">
        <v>6542</v>
      </c>
      <c r="B208" t="s">
        <v>6543</v>
      </c>
      <c r="C208" s="7" t="s">
        <v>6544</v>
      </c>
    </row>
    <row r="209" spans="1:3" x14ac:dyDescent="0.3">
      <c r="A209" t="s">
        <v>6545</v>
      </c>
      <c r="B209" t="s">
        <v>6546</v>
      </c>
      <c r="C209" s="7" t="s">
        <v>6547</v>
      </c>
    </row>
    <row r="210" spans="1:3" x14ac:dyDescent="0.3">
      <c r="A210" t="s">
        <v>6548</v>
      </c>
      <c r="B210" t="s">
        <v>6549</v>
      </c>
      <c r="C210" s="7" t="s">
        <v>6550</v>
      </c>
    </row>
    <row r="211" spans="1:3" x14ac:dyDescent="0.3">
      <c r="A211" t="s">
        <v>6551</v>
      </c>
      <c r="B211" t="s">
        <v>6552</v>
      </c>
      <c r="C211" s="7" t="s">
        <v>6553</v>
      </c>
    </row>
    <row r="212" spans="1:3" x14ac:dyDescent="0.3">
      <c r="A212" t="s">
        <v>6554</v>
      </c>
      <c r="B212" t="s">
        <v>6555</v>
      </c>
      <c r="C212" s="7" t="s">
        <v>6556</v>
      </c>
    </row>
    <row r="213" spans="1:3" x14ac:dyDescent="0.3">
      <c r="A213" t="s">
        <v>6557</v>
      </c>
      <c r="B213" t="s">
        <v>6558</v>
      </c>
      <c r="C213" s="7" t="s">
        <v>6559</v>
      </c>
    </row>
    <row r="214" spans="1:3" x14ac:dyDescent="0.3">
      <c r="A214" t="s">
        <v>6560</v>
      </c>
      <c r="B214" t="s">
        <v>6561</v>
      </c>
      <c r="C214" s="7" t="s">
        <v>6562</v>
      </c>
    </row>
    <row r="215" spans="1:3" x14ac:dyDescent="0.3">
      <c r="A215" t="s">
        <v>6563</v>
      </c>
      <c r="B215" t="s">
        <v>6564</v>
      </c>
      <c r="C215" s="7" t="s">
        <v>6565</v>
      </c>
    </row>
    <row r="216" spans="1:3" x14ac:dyDescent="0.3">
      <c r="A216" t="s">
        <v>6566</v>
      </c>
      <c r="B216" t="s">
        <v>6567</v>
      </c>
      <c r="C216" s="7" t="s">
        <v>6568</v>
      </c>
    </row>
    <row r="217" spans="1:3" x14ac:dyDescent="0.3">
      <c r="A217" t="s">
        <v>6569</v>
      </c>
      <c r="B217" t="s">
        <v>6570</v>
      </c>
      <c r="C217" s="7" t="s">
        <v>6571</v>
      </c>
    </row>
    <row r="218" spans="1:3" x14ac:dyDescent="0.3">
      <c r="A218" t="s">
        <v>6572</v>
      </c>
      <c r="B218" t="s">
        <v>6573</v>
      </c>
      <c r="C218" s="7" t="s">
        <v>6574</v>
      </c>
    </row>
    <row r="219" spans="1:3" x14ac:dyDescent="0.3">
      <c r="A219" t="s">
        <v>6575</v>
      </c>
      <c r="B219" t="s">
        <v>6576</v>
      </c>
      <c r="C219" s="7" t="s">
        <v>6577</v>
      </c>
    </row>
    <row r="220" spans="1:3" x14ac:dyDescent="0.3">
      <c r="A220" t="s">
        <v>6578</v>
      </c>
      <c r="B220" t="s">
        <v>806</v>
      </c>
      <c r="C220" s="7" t="s">
        <v>6579</v>
      </c>
    </row>
    <row r="221" spans="1:3" x14ac:dyDescent="0.3">
      <c r="A221" t="s">
        <v>6580</v>
      </c>
      <c r="B221" t="s">
        <v>6581</v>
      </c>
      <c r="C221" s="7" t="s">
        <v>6582</v>
      </c>
    </row>
    <row r="222" spans="1:3" x14ac:dyDescent="0.3">
      <c r="A222" t="s">
        <v>6583</v>
      </c>
      <c r="B222" t="s">
        <v>6584</v>
      </c>
      <c r="C222" s="7" t="s">
        <v>6585</v>
      </c>
    </row>
    <row r="223" spans="1:3" x14ac:dyDescent="0.3">
      <c r="A223" t="s">
        <v>6586</v>
      </c>
      <c r="B223" t="s">
        <v>6587</v>
      </c>
      <c r="C223" s="7" t="s">
        <v>6588</v>
      </c>
    </row>
    <row r="224" spans="1:3" x14ac:dyDescent="0.3">
      <c r="A224" t="s">
        <v>6589</v>
      </c>
      <c r="B224" t="s">
        <v>6590</v>
      </c>
      <c r="C224" s="7" t="s">
        <v>6591</v>
      </c>
    </row>
    <row r="225" spans="1:3" x14ac:dyDescent="0.3">
      <c r="A225" t="s">
        <v>6592</v>
      </c>
      <c r="B225" t="s">
        <v>6593</v>
      </c>
      <c r="C225" s="7" t="s">
        <v>6594</v>
      </c>
    </row>
    <row r="226" spans="1:3" x14ac:dyDescent="0.3">
      <c r="A226" t="s">
        <v>6595</v>
      </c>
      <c r="B226" t="s">
        <v>6596</v>
      </c>
      <c r="C226" s="7" t="s">
        <v>6597</v>
      </c>
    </row>
    <row r="227" spans="1:3" x14ac:dyDescent="0.3">
      <c r="A227" t="s">
        <v>6598</v>
      </c>
      <c r="B227" t="s">
        <v>6599</v>
      </c>
      <c r="C227" s="7" t="s">
        <v>6600</v>
      </c>
    </row>
    <row r="228" spans="1:3" x14ac:dyDescent="0.3">
      <c r="A228" t="s">
        <v>6601</v>
      </c>
      <c r="B228" t="s">
        <v>6602</v>
      </c>
      <c r="C228" s="7" t="s">
        <v>6603</v>
      </c>
    </row>
    <row r="229" spans="1:3" x14ac:dyDescent="0.3">
      <c r="A229" t="s">
        <v>433</v>
      </c>
      <c r="B229" t="s">
        <v>5046</v>
      </c>
      <c r="C229" s="7" t="s">
        <v>6604</v>
      </c>
    </row>
    <row r="230" spans="1:3" x14ac:dyDescent="0.3">
      <c r="A230" t="s">
        <v>6605</v>
      </c>
      <c r="B230" t="s">
        <v>6606</v>
      </c>
      <c r="C230" s="7" t="s">
        <v>6607</v>
      </c>
    </row>
    <row r="231" spans="1:3" x14ac:dyDescent="0.3">
      <c r="A231" t="s">
        <v>6608</v>
      </c>
      <c r="B231" t="s">
        <v>6609</v>
      </c>
      <c r="C231" s="7" t="s">
        <v>6610</v>
      </c>
    </row>
    <row r="232" spans="1:3" x14ac:dyDescent="0.3">
      <c r="A232" t="s">
        <v>6611</v>
      </c>
      <c r="B232" t="s">
        <v>6612</v>
      </c>
      <c r="C232" s="7" t="s">
        <v>6613</v>
      </c>
    </row>
    <row r="233" spans="1:3" x14ac:dyDescent="0.3">
      <c r="A233" t="s">
        <v>6614</v>
      </c>
      <c r="B233" t="s">
        <v>6615</v>
      </c>
      <c r="C233" s="7" t="s">
        <v>6616</v>
      </c>
    </row>
    <row r="234" spans="1:3" x14ac:dyDescent="0.3">
      <c r="A234" t="s">
        <v>6617</v>
      </c>
      <c r="B234" t="s">
        <v>6618</v>
      </c>
      <c r="C234" s="7" t="s">
        <v>6619</v>
      </c>
    </row>
    <row r="235" spans="1:3" x14ac:dyDescent="0.3">
      <c r="A235" t="s">
        <v>6620</v>
      </c>
      <c r="B235" t="s">
        <v>6609</v>
      </c>
      <c r="C235" s="7" t="s">
        <v>6621</v>
      </c>
    </row>
    <row r="236" spans="1:3" x14ac:dyDescent="0.3">
      <c r="A236" t="s">
        <v>6622</v>
      </c>
      <c r="B236" t="s">
        <v>6623</v>
      </c>
      <c r="C236" s="7" t="s">
        <v>6624</v>
      </c>
    </row>
    <row r="237" spans="1:3" x14ac:dyDescent="0.3">
      <c r="A237" t="s">
        <v>6625</v>
      </c>
      <c r="B237" t="s">
        <v>6626</v>
      </c>
      <c r="C237" s="40" t="s">
        <v>6627</v>
      </c>
    </row>
    <row r="238" spans="1:3" x14ac:dyDescent="0.3">
      <c r="A238" t="s">
        <v>6628</v>
      </c>
      <c r="B238" t="s">
        <v>6629</v>
      </c>
      <c r="C238" s="7" t="s">
        <v>6630</v>
      </c>
    </row>
    <row r="239" spans="1:3" x14ac:dyDescent="0.3">
      <c r="A239" t="s">
        <v>6631</v>
      </c>
      <c r="B239" t="s">
        <v>6632</v>
      </c>
      <c r="C239" s="7" t="s">
        <v>6633</v>
      </c>
    </row>
    <row r="240" spans="1:3" x14ac:dyDescent="0.3">
      <c r="A240" t="s">
        <v>6634</v>
      </c>
      <c r="B240" t="s">
        <v>6635</v>
      </c>
      <c r="C240" s="7" t="s">
        <v>6636</v>
      </c>
    </row>
    <row r="241" spans="1:3" x14ac:dyDescent="0.3">
      <c r="A241" t="s">
        <v>6637</v>
      </c>
      <c r="B241" t="s">
        <v>1212</v>
      </c>
      <c r="C241" s="7" t="s">
        <v>6294</v>
      </c>
    </row>
    <row r="242" spans="1:3" x14ac:dyDescent="0.3">
      <c r="A242" t="s">
        <v>6638</v>
      </c>
      <c r="B242" t="s">
        <v>5711</v>
      </c>
      <c r="C242" s="7" t="s">
        <v>6639</v>
      </c>
    </row>
    <row r="243" spans="1:3" x14ac:dyDescent="0.3">
      <c r="A243" t="s">
        <v>6640</v>
      </c>
      <c r="B243" t="s">
        <v>6641</v>
      </c>
      <c r="C243" s="7" t="s">
        <v>6642</v>
      </c>
    </row>
    <row r="244" spans="1:3" x14ac:dyDescent="0.3">
      <c r="A244" t="s">
        <v>6643</v>
      </c>
      <c r="B244" t="s">
        <v>6644</v>
      </c>
      <c r="C244" s="7" t="s">
        <v>6645</v>
      </c>
    </row>
    <row r="245" spans="1:3" x14ac:dyDescent="0.3">
      <c r="A245" t="s">
        <v>2951</v>
      </c>
      <c r="B245" t="s">
        <v>5145</v>
      </c>
      <c r="C245" s="7" t="s">
        <v>6646</v>
      </c>
    </row>
    <row r="246" spans="1:3" x14ac:dyDescent="0.3">
      <c r="A246" t="s">
        <v>6647</v>
      </c>
      <c r="B246" t="s">
        <v>6648</v>
      </c>
      <c r="C246" s="7" t="s">
        <v>6649</v>
      </c>
    </row>
    <row r="247" spans="1:3" x14ac:dyDescent="0.3">
      <c r="A247" t="s">
        <v>6650</v>
      </c>
      <c r="B247" t="s">
        <v>6651</v>
      </c>
      <c r="C247" s="7" t="s">
        <v>6652</v>
      </c>
    </row>
    <row r="248" spans="1:3" x14ac:dyDescent="0.3">
      <c r="A248" t="s">
        <v>6653</v>
      </c>
      <c r="B248" t="s">
        <v>6654</v>
      </c>
      <c r="C248" s="7" t="s">
        <v>6655</v>
      </c>
    </row>
    <row r="249" spans="1:3" x14ac:dyDescent="0.3">
      <c r="A249" t="s">
        <v>6656</v>
      </c>
      <c r="B249" t="s">
        <v>6657</v>
      </c>
      <c r="C249" s="7" t="s">
        <v>6658</v>
      </c>
    </row>
    <row r="250" spans="1:3" x14ac:dyDescent="0.3">
      <c r="A250" t="s">
        <v>6659</v>
      </c>
      <c r="B250" t="s">
        <v>6660</v>
      </c>
      <c r="C250" s="7" t="s">
        <v>6661</v>
      </c>
    </row>
    <row r="251" spans="1:3" x14ac:dyDescent="0.3">
      <c r="A251" t="s">
        <v>6662</v>
      </c>
      <c r="B251" t="s">
        <v>6663</v>
      </c>
      <c r="C251" s="7" t="s">
        <v>6664</v>
      </c>
    </row>
    <row r="252" spans="1:3" x14ac:dyDescent="0.3">
      <c r="A252" t="s">
        <v>6665</v>
      </c>
      <c r="B252" t="s">
        <v>6666</v>
      </c>
      <c r="C252" s="7" t="s">
        <v>6667</v>
      </c>
    </row>
    <row r="253" spans="1:3" x14ac:dyDescent="0.3">
      <c r="A253" t="s">
        <v>6668</v>
      </c>
      <c r="B253" t="s">
        <v>6669</v>
      </c>
      <c r="C253" s="7" t="s">
        <v>6670</v>
      </c>
    </row>
    <row r="254" spans="1:3" x14ac:dyDescent="0.3">
      <c r="A254" t="s">
        <v>6671</v>
      </c>
      <c r="B254" t="s">
        <v>3263</v>
      </c>
      <c r="C254" s="7" t="s">
        <v>6672</v>
      </c>
    </row>
    <row r="255" spans="1:3" x14ac:dyDescent="0.3">
      <c r="A255" t="s">
        <v>6673</v>
      </c>
      <c r="B255" t="s">
        <v>6674</v>
      </c>
      <c r="C255" s="7" t="s">
        <v>6675</v>
      </c>
    </row>
    <row r="256" spans="1:3" x14ac:dyDescent="0.3">
      <c r="A256" t="s">
        <v>6676</v>
      </c>
      <c r="B256" t="s">
        <v>6677</v>
      </c>
      <c r="C256" s="7" t="s">
        <v>6678</v>
      </c>
    </row>
    <row r="257" spans="1:3" x14ac:dyDescent="0.3">
      <c r="A257" t="s">
        <v>6679</v>
      </c>
      <c r="B257" t="s">
        <v>6680</v>
      </c>
      <c r="C257" s="7" t="s">
        <v>6681</v>
      </c>
    </row>
    <row r="258" spans="1:3" x14ac:dyDescent="0.3">
      <c r="A258" t="s">
        <v>6682</v>
      </c>
      <c r="B258" t="s">
        <v>6683</v>
      </c>
      <c r="C258" s="7" t="s">
        <v>6684</v>
      </c>
    </row>
    <row r="259" spans="1:3" x14ac:dyDescent="0.3">
      <c r="A259" t="s">
        <v>6685</v>
      </c>
      <c r="B259" t="s">
        <v>6686</v>
      </c>
      <c r="C259" s="7" t="s">
        <v>6687</v>
      </c>
    </row>
    <row r="260" spans="1:3" x14ac:dyDescent="0.3">
      <c r="A260" t="s">
        <v>6688</v>
      </c>
      <c r="B260" t="s">
        <v>6689</v>
      </c>
      <c r="C260" s="7" t="s">
        <v>6690</v>
      </c>
    </row>
    <row r="261" spans="1:3" x14ac:dyDescent="0.3">
      <c r="A261" t="s">
        <v>6691</v>
      </c>
      <c r="B261" t="s">
        <v>6692</v>
      </c>
      <c r="C261" s="7" t="s">
        <v>6693</v>
      </c>
    </row>
    <row r="262" spans="1:3" x14ac:dyDescent="0.3">
      <c r="A262" t="s">
        <v>6694</v>
      </c>
      <c r="B262" t="s">
        <v>272</v>
      </c>
      <c r="C262" s="7" t="s">
        <v>1405</v>
      </c>
    </row>
    <row r="263" spans="1:3" x14ac:dyDescent="0.3">
      <c r="A263" t="s">
        <v>6695</v>
      </c>
      <c r="B263" t="s">
        <v>6696</v>
      </c>
      <c r="C263" s="7" t="s">
        <v>6697</v>
      </c>
    </row>
    <row r="264" spans="1:3" x14ac:dyDescent="0.3">
      <c r="A264" t="s">
        <v>6698</v>
      </c>
      <c r="B264" t="s">
        <v>6699</v>
      </c>
      <c r="C264" s="7" t="s">
        <v>6700</v>
      </c>
    </row>
    <row r="265" spans="1:3" x14ac:dyDescent="0.3">
      <c r="A265" t="s">
        <v>6701</v>
      </c>
      <c r="B265" t="s">
        <v>327</v>
      </c>
      <c r="C265" s="7" t="s">
        <v>6702</v>
      </c>
    </row>
    <row r="266" spans="1:3" x14ac:dyDescent="0.3">
      <c r="A266" t="s">
        <v>6703</v>
      </c>
      <c r="B266" t="s">
        <v>230</v>
      </c>
      <c r="C266" s="7" t="s">
        <v>6704</v>
      </c>
    </row>
    <row r="267" spans="1:3" x14ac:dyDescent="0.3">
      <c r="A267" t="s">
        <v>6705</v>
      </c>
      <c r="B267" t="s">
        <v>6706</v>
      </c>
      <c r="C267" s="7" t="s">
        <v>6707</v>
      </c>
    </row>
    <row r="268" spans="1:3" x14ac:dyDescent="0.3">
      <c r="A268" t="s">
        <v>6708</v>
      </c>
      <c r="B268" t="s">
        <v>72</v>
      </c>
      <c r="C268" s="7" t="s">
        <v>831</v>
      </c>
    </row>
    <row r="269" spans="1:3" x14ac:dyDescent="0.3">
      <c r="A269" t="s">
        <v>6709</v>
      </c>
      <c r="B269" t="s">
        <v>6710</v>
      </c>
      <c r="C269" s="7" t="s">
        <v>6711</v>
      </c>
    </row>
    <row r="270" spans="1:3" x14ac:dyDescent="0.3">
      <c r="A270" t="s">
        <v>6712</v>
      </c>
      <c r="B270" t="s">
        <v>6713</v>
      </c>
      <c r="C270" s="7" t="s">
        <v>6714</v>
      </c>
    </row>
    <row r="271" spans="1:3" x14ac:dyDescent="0.3">
      <c r="A271" t="s">
        <v>524</v>
      </c>
      <c r="B271" t="s">
        <v>763</v>
      </c>
      <c r="C271" s="7" t="s">
        <v>1075</v>
      </c>
    </row>
    <row r="272" spans="1:3" x14ac:dyDescent="0.3">
      <c r="A272" t="s">
        <v>6715</v>
      </c>
      <c r="B272" t="s">
        <v>6716</v>
      </c>
      <c r="C272" s="7" t="s">
        <v>6717</v>
      </c>
    </row>
    <row r="273" spans="1:3" x14ac:dyDescent="0.3">
      <c r="A273" t="s">
        <v>6718</v>
      </c>
      <c r="B273" t="s">
        <v>6719</v>
      </c>
      <c r="C273" s="7" t="s">
        <v>6720</v>
      </c>
    </row>
    <row r="274" spans="1:3" x14ac:dyDescent="0.3">
      <c r="A274" t="s">
        <v>6721</v>
      </c>
      <c r="B274" t="s">
        <v>6722</v>
      </c>
      <c r="C274" s="7" t="s">
        <v>6723</v>
      </c>
    </row>
    <row r="275" spans="1:3" x14ac:dyDescent="0.3">
      <c r="A275" t="s">
        <v>6724</v>
      </c>
      <c r="B275" t="s">
        <v>6725</v>
      </c>
      <c r="C275" s="7" t="s">
        <v>6726</v>
      </c>
    </row>
    <row r="276" spans="1:3" x14ac:dyDescent="0.3">
      <c r="A276" t="s">
        <v>6727</v>
      </c>
      <c r="B276" t="s">
        <v>6728</v>
      </c>
      <c r="C276" s="7" t="s">
        <v>6729</v>
      </c>
    </row>
    <row r="277" spans="1:3" x14ac:dyDescent="0.3">
      <c r="A277" t="s">
        <v>1503</v>
      </c>
      <c r="B277" t="s">
        <v>4461</v>
      </c>
      <c r="C277" s="7" t="s">
        <v>6730</v>
      </c>
    </row>
    <row r="278" spans="1:3" x14ac:dyDescent="0.3">
      <c r="A278" t="s">
        <v>6731</v>
      </c>
      <c r="B278" t="s">
        <v>6732</v>
      </c>
      <c r="C278" s="7" t="s">
        <v>6399</v>
      </c>
    </row>
    <row r="279" spans="1:3" x14ac:dyDescent="0.3">
      <c r="A279" t="s">
        <v>6733</v>
      </c>
      <c r="B279" t="s">
        <v>169</v>
      </c>
      <c r="C279" s="7" t="s">
        <v>6734</v>
      </c>
    </row>
    <row r="280" spans="1:3" x14ac:dyDescent="0.3">
      <c r="A280" t="s">
        <v>6735</v>
      </c>
      <c r="B280" t="s">
        <v>6736</v>
      </c>
      <c r="C280" s="7" t="s">
        <v>6737</v>
      </c>
    </row>
    <row r="281" spans="1:3" x14ac:dyDescent="0.3">
      <c r="A281" t="s">
        <v>6738</v>
      </c>
      <c r="B281" t="s">
        <v>6739</v>
      </c>
      <c r="C281" s="7" t="s">
        <v>6740</v>
      </c>
    </row>
    <row r="282" spans="1:3" x14ac:dyDescent="0.3">
      <c r="A282" t="s">
        <v>6741</v>
      </c>
      <c r="B282" t="s">
        <v>6742</v>
      </c>
      <c r="C282" s="7" t="s">
        <v>6743</v>
      </c>
    </row>
    <row r="283" spans="1:3" x14ac:dyDescent="0.3">
      <c r="A283" t="s">
        <v>6744</v>
      </c>
      <c r="B283" t="s">
        <v>6745</v>
      </c>
      <c r="C283" s="7" t="s">
        <v>6746</v>
      </c>
    </row>
    <row r="284" spans="1:3" x14ac:dyDescent="0.3">
      <c r="A284" t="s">
        <v>6747</v>
      </c>
      <c r="B284" t="s">
        <v>6748</v>
      </c>
      <c r="C284" s="7" t="s">
        <v>6749</v>
      </c>
    </row>
    <row r="285" spans="1:3" x14ac:dyDescent="0.3">
      <c r="A285" t="s">
        <v>6750</v>
      </c>
      <c r="B285" t="s">
        <v>6751</v>
      </c>
      <c r="C285" s="7" t="s">
        <v>6752</v>
      </c>
    </row>
    <row r="286" spans="1:3" x14ac:dyDescent="0.3">
      <c r="A286" t="s">
        <v>6753</v>
      </c>
      <c r="B286" t="s">
        <v>6754</v>
      </c>
      <c r="C286" s="7" t="s">
        <v>6755</v>
      </c>
    </row>
    <row r="287" spans="1:3" x14ac:dyDescent="0.3">
      <c r="A287" t="s">
        <v>6756</v>
      </c>
      <c r="B287" t="s">
        <v>6757</v>
      </c>
      <c r="C287" s="7" t="s">
        <v>6758</v>
      </c>
    </row>
    <row r="288" spans="1:3" x14ac:dyDescent="0.3">
      <c r="A288" t="s">
        <v>6759</v>
      </c>
      <c r="B288" t="s">
        <v>6760</v>
      </c>
      <c r="C288" s="7" t="s">
        <v>6761</v>
      </c>
    </row>
    <row r="289" spans="1:3" x14ac:dyDescent="0.3">
      <c r="A289" t="s">
        <v>6762</v>
      </c>
      <c r="B289" t="s">
        <v>6763</v>
      </c>
      <c r="C289" s="7" t="s">
        <v>6764</v>
      </c>
    </row>
    <row r="290" spans="1:3" x14ac:dyDescent="0.3">
      <c r="A290" t="s">
        <v>6765</v>
      </c>
      <c r="B290" t="s">
        <v>151</v>
      </c>
      <c r="C290" s="7" t="s">
        <v>1327</v>
      </c>
    </row>
    <row r="291" spans="1:3" x14ac:dyDescent="0.3">
      <c r="A291" t="s">
        <v>6766</v>
      </c>
      <c r="B291" t="s">
        <v>6767</v>
      </c>
      <c r="C291" s="7" t="s">
        <v>6768</v>
      </c>
    </row>
    <row r="292" spans="1:3" x14ac:dyDescent="0.3">
      <c r="A292" t="s">
        <v>6769</v>
      </c>
      <c r="B292" t="s">
        <v>940</v>
      </c>
      <c r="C292" s="7" t="s">
        <v>1668</v>
      </c>
    </row>
    <row r="293" spans="1:3" x14ac:dyDescent="0.3">
      <c r="A293" t="s">
        <v>6770</v>
      </c>
      <c r="B293" t="s">
        <v>6771</v>
      </c>
      <c r="C293" s="7" t="s">
        <v>6772</v>
      </c>
    </row>
    <row r="294" spans="1:3" x14ac:dyDescent="0.3">
      <c r="A294" t="s">
        <v>6773</v>
      </c>
      <c r="B294" t="s">
        <v>6774</v>
      </c>
      <c r="C294" s="7" t="s">
        <v>6775</v>
      </c>
    </row>
    <row r="295" spans="1:3" x14ac:dyDescent="0.3">
      <c r="A295" t="s">
        <v>6776</v>
      </c>
      <c r="B295" t="s">
        <v>5744</v>
      </c>
      <c r="C295" s="7" t="s">
        <v>6777</v>
      </c>
    </row>
    <row r="296" spans="1:3" x14ac:dyDescent="0.3">
      <c r="A296" t="s">
        <v>6778</v>
      </c>
      <c r="B296" t="s">
        <v>6779</v>
      </c>
      <c r="C296" s="7" t="s">
        <v>6780</v>
      </c>
    </row>
    <row r="297" spans="1:3" x14ac:dyDescent="0.3">
      <c r="A297" t="s">
        <v>6781</v>
      </c>
      <c r="B297" t="s">
        <v>6782</v>
      </c>
      <c r="C297" s="7" t="s">
        <v>6783</v>
      </c>
    </row>
    <row r="298" spans="1:3" x14ac:dyDescent="0.3">
      <c r="A298" t="s">
        <v>6784</v>
      </c>
      <c r="B298" t="s">
        <v>6785</v>
      </c>
      <c r="C298" s="7" t="s">
        <v>6786</v>
      </c>
    </row>
    <row r="299" spans="1:3" x14ac:dyDescent="0.3">
      <c r="A299" t="s">
        <v>6787</v>
      </c>
      <c r="B299" t="s">
        <v>160</v>
      </c>
      <c r="C299" s="7" t="s">
        <v>689</v>
      </c>
    </row>
    <row r="300" spans="1:3" x14ac:dyDescent="0.3">
      <c r="A300" t="s">
        <v>6788</v>
      </c>
      <c r="B300" t="s">
        <v>6789</v>
      </c>
      <c r="C300" s="7" t="s">
        <v>6790</v>
      </c>
    </row>
    <row r="301" spans="1:3" x14ac:dyDescent="0.3">
      <c r="A301" t="s">
        <v>6791</v>
      </c>
      <c r="B301" t="s">
        <v>31</v>
      </c>
      <c r="C301" s="7" t="s">
        <v>6792</v>
      </c>
    </row>
    <row r="302" spans="1:3" x14ac:dyDescent="0.3">
      <c r="A302" t="s">
        <v>6793</v>
      </c>
      <c r="B302" t="s">
        <v>6794</v>
      </c>
      <c r="C302" s="7" t="s">
        <v>6795</v>
      </c>
    </row>
    <row r="303" spans="1:3" x14ac:dyDescent="0.3">
      <c r="A303" t="s">
        <v>6796</v>
      </c>
      <c r="B303" t="s">
        <v>20</v>
      </c>
      <c r="C303" s="7" t="s">
        <v>6797</v>
      </c>
    </row>
    <row r="304" spans="1:3" x14ac:dyDescent="0.3">
      <c r="A304" t="s">
        <v>6798</v>
      </c>
      <c r="B304" t="s">
        <v>6799</v>
      </c>
      <c r="C304" s="7" t="s">
        <v>6800</v>
      </c>
    </row>
    <row r="305" spans="1:3" x14ac:dyDescent="0.3">
      <c r="A305" t="s">
        <v>6801</v>
      </c>
      <c r="B305" t="s">
        <v>6802</v>
      </c>
      <c r="C305" s="7" t="s">
        <v>6803</v>
      </c>
    </row>
    <row r="306" spans="1:3" x14ac:dyDescent="0.3">
      <c r="A306" t="s">
        <v>6804</v>
      </c>
      <c r="B306" t="s">
        <v>6805</v>
      </c>
      <c r="C306" s="7" t="s">
        <v>6806</v>
      </c>
    </row>
    <row r="307" spans="1:3" x14ac:dyDescent="0.3">
      <c r="A307" t="s">
        <v>6807</v>
      </c>
      <c r="B307" t="s">
        <v>6808</v>
      </c>
      <c r="C307" s="7" t="s">
        <v>6809</v>
      </c>
    </row>
    <row r="308" spans="1:3" x14ac:dyDescent="0.3">
      <c r="A308" t="s">
        <v>6810</v>
      </c>
      <c r="B308" t="s">
        <v>6811</v>
      </c>
      <c r="C308" s="7" t="s">
        <v>6812</v>
      </c>
    </row>
    <row r="309" spans="1:3" x14ac:dyDescent="0.3">
      <c r="A309" t="s">
        <v>6813</v>
      </c>
      <c r="B309" t="s">
        <v>6814</v>
      </c>
      <c r="C309" s="7" t="s">
        <v>6815</v>
      </c>
    </row>
    <row r="310" spans="1:3" x14ac:dyDescent="0.3">
      <c r="A310" t="s">
        <v>6816</v>
      </c>
      <c r="B310" t="s">
        <v>6817</v>
      </c>
      <c r="C310" s="7" t="s">
        <v>6818</v>
      </c>
    </row>
    <row r="311" spans="1:3" x14ac:dyDescent="0.3">
      <c r="A311" t="s">
        <v>6819</v>
      </c>
      <c r="B311" t="s">
        <v>6820</v>
      </c>
      <c r="C311" s="7" t="s">
        <v>6821</v>
      </c>
    </row>
    <row r="312" spans="1:3" x14ac:dyDescent="0.3">
      <c r="A312" t="s">
        <v>6822</v>
      </c>
      <c r="B312" t="s">
        <v>6823</v>
      </c>
      <c r="C312" s="7" t="s">
        <v>6824</v>
      </c>
    </row>
    <row r="313" spans="1:3" x14ac:dyDescent="0.3">
      <c r="A313" t="s">
        <v>1139</v>
      </c>
      <c r="B313" t="s">
        <v>428</v>
      </c>
      <c r="C313" s="7" t="s">
        <v>661</v>
      </c>
    </row>
    <row r="314" spans="1:3" x14ac:dyDescent="0.3">
      <c r="A314" t="s">
        <v>6825</v>
      </c>
      <c r="B314" t="s">
        <v>6826</v>
      </c>
      <c r="C314" s="7" t="s">
        <v>6827</v>
      </c>
    </row>
    <row r="315" spans="1:3" x14ac:dyDescent="0.3">
      <c r="A315" t="s">
        <v>6828</v>
      </c>
      <c r="B315" t="s">
        <v>6829</v>
      </c>
      <c r="C315" s="7" t="s">
        <v>6830</v>
      </c>
    </row>
    <row r="316" spans="1:3" x14ac:dyDescent="0.3">
      <c r="A316" t="s">
        <v>813</v>
      </c>
      <c r="B316" t="s">
        <v>6831</v>
      </c>
      <c r="C316" s="7" t="s">
        <v>6832</v>
      </c>
    </row>
    <row r="317" spans="1:3" x14ac:dyDescent="0.3">
      <c r="A317" t="s">
        <v>6833</v>
      </c>
      <c r="B317" t="s">
        <v>6834</v>
      </c>
      <c r="C317" s="7" t="s">
        <v>6835</v>
      </c>
    </row>
    <row r="318" spans="1:3" x14ac:dyDescent="0.3">
      <c r="A318" t="s">
        <v>6836</v>
      </c>
      <c r="B318" t="s">
        <v>6837</v>
      </c>
      <c r="C318" s="7" t="s">
        <v>6838</v>
      </c>
    </row>
    <row r="319" spans="1:3" x14ac:dyDescent="0.3">
      <c r="A319" t="s">
        <v>6839</v>
      </c>
      <c r="B319" t="s">
        <v>6840</v>
      </c>
      <c r="C319" s="7" t="s">
        <v>6841</v>
      </c>
    </row>
    <row r="320" spans="1:3" x14ac:dyDescent="0.3">
      <c r="A320" t="s">
        <v>6842</v>
      </c>
      <c r="B320" t="s">
        <v>6843</v>
      </c>
      <c r="C320" s="7" t="s">
        <v>6844</v>
      </c>
    </row>
    <row r="321" spans="1:3" x14ac:dyDescent="0.3">
      <c r="A321" t="s">
        <v>6845</v>
      </c>
      <c r="B321" t="s">
        <v>6846</v>
      </c>
      <c r="C321" s="7" t="s">
        <v>6847</v>
      </c>
    </row>
    <row r="322" spans="1:3" x14ac:dyDescent="0.3">
      <c r="A322" t="s">
        <v>6848</v>
      </c>
      <c r="B322" t="s">
        <v>6849</v>
      </c>
      <c r="C322" s="7" t="s">
        <v>6850</v>
      </c>
    </row>
    <row r="323" spans="1:3" x14ac:dyDescent="0.3">
      <c r="A323" t="s">
        <v>6851</v>
      </c>
      <c r="B323" t="s">
        <v>6852</v>
      </c>
      <c r="C323" s="7" t="s">
        <v>6853</v>
      </c>
    </row>
    <row r="324" spans="1:3" x14ac:dyDescent="0.3">
      <c r="A324" t="s">
        <v>6854</v>
      </c>
      <c r="B324" t="s">
        <v>6855</v>
      </c>
      <c r="C324" s="7" t="s">
        <v>6594</v>
      </c>
    </row>
    <row r="325" spans="1:3" x14ac:dyDescent="0.3">
      <c r="A325" t="s">
        <v>6856</v>
      </c>
      <c r="B325" t="s">
        <v>6857</v>
      </c>
      <c r="C325" s="7" t="s">
        <v>6858</v>
      </c>
    </row>
    <row r="326" spans="1:3" x14ac:dyDescent="0.3">
      <c r="A326" t="s">
        <v>6859</v>
      </c>
      <c r="B326" t="s">
        <v>6860</v>
      </c>
      <c r="C326" s="7" t="s">
        <v>6861</v>
      </c>
    </row>
    <row r="327" spans="1:3" x14ac:dyDescent="0.3">
      <c r="A327" t="s">
        <v>6862</v>
      </c>
      <c r="B327" t="s">
        <v>5666</v>
      </c>
      <c r="C327" s="7" t="s">
        <v>6863</v>
      </c>
    </row>
    <row r="328" spans="1:3" x14ac:dyDescent="0.3">
      <c r="A328" t="s">
        <v>188</v>
      </c>
      <c r="B328" t="s">
        <v>999</v>
      </c>
      <c r="C328" s="7" t="s">
        <v>2691</v>
      </c>
    </row>
    <row r="329" spans="1:3" x14ac:dyDescent="0.3">
      <c r="A329" t="s">
        <v>6864</v>
      </c>
      <c r="B329" t="s">
        <v>6865</v>
      </c>
      <c r="C329" s="7" t="s">
        <v>6866</v>
      </c>
    </row>
    <row r="330" spans="1:3" x14ac:dyDescent="0.3">
      <c r="A330" t="s">
        <v>6867</v>
      </c>
      <c r="B330" t="s">
        <v>6868</v>
      </c>
      <c r="C330" s="7" t="s">
        <v>6869</v>
      </c>
    </row>
    <row r="331" spans="1:3" x14ac:dyDescent="0.3">
      <c r="A331" t="s">
        <v>6870</v>
      </c>
      <c r="B331" t="s">
        <v>6871</v>
      </c>
      <c r="C331" s="7" t="s">
        <v>6872</v>
      </c>
    </row>
    <row r="332" spans="1:3" x14ac:dyDescent="0.3">
      <c r="A332" t="s">
        <v>6873</v>
      </c>
      <c r="B332" t="s">
        <v>6874</v>
      </c>
      <c r="C332" s="7" t="s">
        <v>6875</v>
      </c>
    </row>
    <row r="333" spans="1:3" x14ac:dyDescent="0.3">
      <c r="A333" t="s">
        <v>6876</v>
      </c>
      <c r="B333" t="s">
        <v>6877</v>
      </c>
      <c r="C333" s="7" t="s">
        <v>6878</v>
      </c>
    </row>
    <row r="334" spans="1:3" x14ac:dyDescent="0.3">
      <c r="A334" t="s">
        <v>6879</v>
      </c>
      <c r="B334" t="s">
        <v>4778</v>
      </c>
      <c r="C334" s="7" t="s">
        <v>6880</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4"/>
  <sheetViews>
    <sheetView workbookViewId="0">
      <selection activeCell="B10" sqref="B10"/>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6881</v>
      </c>
      <c r="B1" s="1" t="s">
        <v>7</v>
      </c>
      <c r="C1" s="2" t="s">
        <v>6882</v>
      </c>
      <c r="D1" s="3">
        <v>1</v>
      </c>
      <c r="E1" s="4" t="s">
        <v>33</v>
      </c>
      <c r="F1" s="5" t="s">
        <v>6883</v>
      </c>
      <c r="G1" s="4">
        <v>1</v>
      </c>
      <c r="H1" s="4" t="s">
        <v>14</v>
      </c>
    </row>
    <row r="2" spans="1:8" x14ac:dyDescent="0.3">
      <c r="A2" s="2" t="s">
        <v>6884</v>
      </c>
      <c r="B2" s="1" t="s">
        <v>89</v>
      </c>
      <c r="C2" s="2" t="s">
        <v>6885</v>
      </c>
      <c r="D2" s="3">
        <v>2</v>
      </c>
      <c r="E2" s="4" t="s">
        <v>90</v>
      </c>
      <c r="F2" s="5" t="s">
        <v>6886</v>
      </c>
      <c r="G2" s="4">
        <v>2</v>
      </c>
      <c r="H2" s="4" t="s">
        <v>36</v>
      </c>
    </row>
    <row r="3" spans="1:8" x14ac:dyDescent="0.3">
      <c r="A3" s="2" t="s">
        <v>1137</v>
      </c>
      <c r="B3" s="2" t="s">
        <v>358</v>
      </c>
      <c r="C3" s="2" t="s">
        <v>6887</v>
      </c>
      <c r="D3" s="3">
        <v>3</v>
      </c>
      <c r="E3" s="4" t="s">
        <v>9</v>
      </c>
      <c r="F3" s="5" t="s">
        <v>6888</v>
      </c>
      <c r="G3" s="4">
        <v>3</v>
      </c>
      <c r="H3" s="4" t="s">
        <v>6889</v>
      </c>
    </row>
    <row r="4" spans="1:8" x14ac:dyDescent="0.3">
      <c r="A4" s="2" t="s">
        <v>6890</v>
      </c>
      <c r="B4" s="2" t="s">
        <v>1055</v>
      </c>
      <c r="C4" s="2" t="s">
        <v>6891</v>
      </c>
      <c r="D4" s="3">
        <v>4</v>
      </c>
      <c r="E4" s="4"/>
      <c r="F4" s="5" t="s">
        <v>6892</v>
      </c>
      <c r="G4" s="4">
        <v>4</v>
      </c>
      <c r="H4" s="4" t="s">
        <v>310</v>
      </c>
    </row>
    <row r="5" spans="1:8" x14ac:dyDescent="0.3">
      <c r="A5" s="2" t="s">
        <v>522</v>
      </c>
      <c r="B5" s="2" t="s">
        <v>540</v>
      </c>
      <c r="C5" s="2" t="s">
        <v>8</v>
      </c>
      <c r="D5" s="3">
        <v>5</v>
      </c>
      <c r="E5" s="4"/>
      <c r="F5" s="5" t="s">
        <v>6893</v>
      </c>
      <c r="G5" s="4">
        <v>5</v>
      </c>
      <c r="H5" s="4" t="s">
        <v>4852</v>
      </c>
    </row>
    <row r="6" spans="1:8" x14ac:dyDescent="0.3">
      <c r="A6" s="2" t="s">
        <v>2687</v>
      </c>
      <c r="B6" s="1" t="s">
        <v>6894</v>
      </c>
      <c r="C6" s="2" t="s">
        <v>6895</v>
      </c>
      <c r="D6" s="3">
        <v>6</v>
      </c>
      <c r="E6" s="4"/>
      <c r="F6" s="5" t="s">
        <v>6896</v>
      </c>
      <c r="G6" s="4">
        <v>6</v>
      </c>
      <c r="H6" s="4"/>
    </row>
    <row r="7" spans="1:8" x14ac:dyDescent="0.3">
      <c r="A7" s="2" t="s">
        <v>6897</v>
      </c>
      <c r="B7" s="1" t="s">
        <v>6898</v>
      </c>
      <c r="C7" s="2" t="s">
        <v>5923</v>
      </c>
      <c r="D7" s="6" t="s">
        <v>6899</v>
      </c>
      <c r="E7" s="4"/>
      <c r="F7" s="5" t="s">
        <v>6900</v>
      </c>
      <c r="G7" s="4">
        <v>7</v>
      </c>
      <c r="H7" s="4"/>
    </row>
    <row r="8" spans="1:8" x14ac:dyDescent="0.3">
      <c r="A8" s="2" t="s">
        <v>135</v>
      </c>
      <c r="B8" s="1"/>
      <c r="C8" s="2" t="s">
        <v>1229</v>
      </c>
      <c r="D8" s="4"/>
      <c r="E8" s="4"/>
      <c r="F8" s="5" t="s">
        <v>6901</v>
      </c>
      <c r="G8" s="4">
        <v>8</v>
      </c>
      <c r="H8" s="4"/>
    </row>
    <row r="9" spans="1:8" x14ac:dyDescent="0.3">
      <c r="A9" s="2" t="s">
        <v>16</v>
      </c>
      <c r="C9" s="2"/>
      <c r="D9" s="4"/>
      <c r="E9" s="4"/>
      <c r="F9" s="5" t="s">
        <v>6902</v>
      </c>
      <c r="G9" s="4">
        <v>9</v>
      </c>
      <c r="H9" s="4"/>
    </row>
    <row r="10" spans="1:8" x14ac:dyDescent="0.3">
      <c r="A10" s="2" t="s">
        <v>6</v>
      </c>
      <c r="C10" s="2"/>
      <c r="D10" s="4"/>
      <c r="E10" s="4"/>
      <c r="F10" s="5" t="s">
        <v>6903</v>
      </c>
      <c r="G10" s="4">
        <v>10</v>
      </c>
      <c r="H10" s="4"/>
    </row>
    <row r="11" spans="1:8" x14ac:dyDescent="0.3">
      <c r="A11" s="2"/>
      <c r="B11" s="4"/>
      <c r="C11" s="4"/>
      <c r="D11" s="4"/>
      <c r="E11" s="4"/>
      <c r="F11" s="5" t="s">
        <v>6904</v>
      </c>
      <c r="G11" s="4">
        <v>11</v>
      </c>
      <c r="H11" s="4"/>
    </row>
    <row r="12" spans="1:8" x14ac:dyDescent="0.3">
      <c r="A12" s="2"/>
      <c r="B12" s="4"/>
      <c r="C12" s="4"/>
      <c r="D12" s="4"/>
      <c r="E12" s="4"/>
      <c r="F12" s="5" t="s">
        <v>6905</v>
      </c>
      <c r="G12" s="4">
        <v>12</v>
      </c>
      <c r="H12" s="4"/>
    </row>
    <row r="13" spans="1:8" x14ac:dyDescent="0.3">
      <c r="A13" s="4"/>
      <c r="B13" s="4"/>
      <c r="C13" s="4"/>
      <c r="D13" s="4"/>
      <c r="E13" s="4"/>
      <c r="F13" s="5" t="s">
        <v>6906</v>
      </c>
      <c r="G13" s="4">
        <v>13</v>
      </c>
      <c r="H13" s="4"/>
    </row>
    <row r="14" spans="1:8" x14ac:dyDescent="0.3">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5a27415-2a14-4757-8bb8-5765f45029e7" xsi:nil="true"/>
    <lcf76f155ced4ddcb4097134ff3c332f xmlns="4898c11a-2dff-4f3b-be30-bf5e6f7537e0">
      <Terms xmlns="http://schemas.microsoft.com/office/infopath/2007/PartnerControls"/>
    </lcf76f155ced4ddcb4097134ff3c332f>
    <Atribu_x00ed_do_x00e0_ xmlns="4898c11a-2dff-4f3b-be30-bf5e6f7537e0">
      <UserInfo>
        <DisplayName/>
        <AccountId xsi:nil="true"/>
        <AccountType/>
      </UserInfo>
    </Atribu_x00ed_do_x00e0_>
    <status xmlns="4898c11a-2dff-4f3b-be30-bf5e6f7537e0" xsi:nil="true"/>
    <Observa_x00e7__x00e3_o xmlns="4898c11a-2dff-4f3b-be30-bf5e6f7537e0" xsi:nil="true"/>
  </documentManagement>
</p:properties>
</file>

<file path=customXml/itemProps1.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2.xml><?xml version="1.0" encoding="utf-8"?>
<ds:datastoreItem xmlns:ds="http://schemas.openxmlformats.org/officeDocument/2006/customXml" ds:itemID="{8872A48B-F716-4D94-9299-3BA1F55E9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c11a-2dff-4f3b-be30-bf5e6f7537e0"/>
    <ds:schemaRef ds:uri="c5a27415-2a14-4757-8bb8-5765f4502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5A8A88-114F-4414-B78B-59A1E08F48D9}">
  <ds:schemaRef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c5a27415-2a14-4757-8bb8-5765f45029e7"/>
    <ds:schemaRef ds:uri="http://purl.org/dc/terms/"/>
    <ds:schemaRef ds:uri="http://purl.org/dc/elements/1.1/"/>
    <ds:schemaRef ds:uri="4898c11a-2dff-4f3b-be30-bf5e6f7537e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Gráficos</vt:lpstr>
      </vt:variant>
      <vt:variant>
        <vt:i4>1</vt:i4>
      </vt:variant>
    </vt:vector>
  </HeadingPairs>
  <TitlesOfParts>
    <vt:vector size="4" baseType="lpstr">
      <vt:lpstr>ilustração</vt:lpstr>
      <vt:lpstr>créditos_base</vt:lpstr>
      <vt:lpstr>metadados</vt:lpstr>
      <vt:lpstr>Gráfico1</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2025-11-14T20:39:11Z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