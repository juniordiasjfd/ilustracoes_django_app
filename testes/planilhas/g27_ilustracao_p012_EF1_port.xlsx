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ensinolivre.sharepoint.com/sites/G27_E002_EF1/Documentos Compartilhados/G27_E002_EF1/zCONTROLES/ilustracao/"/>
    </mc:Choice>
  </mc:AlternateContent>
  <xr:revisionPtr revIDLastSave="7375" documentId="13_ncr:1_{F5BEBFF4-67FB-4610-B962-5BC15AA72626}" xr6:coauthVersionLast="47" xr6:coauthVersionMax="47" xr10:uidLastSave="{26D0A943-00CE-413F-A5B6-3646E8984886}"/>
  <bookViews>
    <workbookView minimized="1" xWindow="10395" yWindow="1230" windowWidth="8385" windowHeight="11175" tabRatio="211" firstSheet="1" activeTab="1" xr2:uid="{6B0CC131-DCB1-4859-96F0-F61121EDAE88}"/>
  </bookViews>
  <sheets>
    <sheet name="metadados" sheetId="2" r:id="rId1"/>
    <sheet name="ilustração" sheetId="1" r:id="rId2"/>
    <sheet name="créditos_bas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1" l="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Y2" i="1"/>
  <c r="AA2" i="1" s="1"/>
  <c r="Y3" i="1"/>
  <c r="AA3" i="1" s="1"/>
  <c r="Y4" i="1"/>
  <c r="AA4" i="1" s="1"/>
  <c r="Y5" i="1"/>
  <c r="AA5" i="1" s="1"/>
  <c r="Y6" i="1"/>
  <c r="AA6" i="1" s="1"/>
  <c r="Y7" i="1"/>
  <c r="AA7" i="1" s="1"/>
  <c r="Y8" i="1"/>
  <c r="AA8" i="1" s="1"/>
  <c r="Y9" i="1"/>
  <c r="AA9" i="1" s="1"/>
  <c r="Y10" i="1"/>
  <c r="AA10" i="1" s="1"/>
  <c r="Y11" i="1"/>
  <c r="AA11" i="1" s="1"/>
  <c r="Y12" i="1"/>
  <c r="AA12" i="1" s="1"/>
  <c r="Y13" i="1"/>
  <c r="AA13" i="1" s="1"/>
  <c r="Y14" i="1"/>
  <c r="AA14" i="1" s="1"/>
  <c r="Y15" i="1"/>
  <c r="AA15" i="1" s="1"/>
  <c r="Y16" i="1"/>
  <c r="AA16" i="1" s="1"/>
  <c r="Y17" i="1"/>
  <c r="AA17" i="1" s="1"/>
  <c r="Y18" i="1"/>
  <c r="AA18" i="1" s="1"/>
  <c r="Y19" i="1"/>
  <c r="AA19" i="1" s="1"/>
  <c r="Y20" i="1"/>
  <c r="AA20" i="1" s="1"/>
  <c r="Y21" i="1"/>
  <c r="AA21" i="1" s="1"/>
  <c r="Y22" i="1"/>
  <c r="AA22" i="1" s="1"/>
  <c r="Y23" i="1"/>
  <c r="AA23" i="1" s="1"/>
  <c r="Y24" i="1"/>
  <c r="AA24" i="1" s="1"/>
  <c r="Y25" i="1"/>
  <c r="AA25" i="1" s="1"/>
  <c r="Y26" i="1"/>
  <c r="AA26" i="1" s="1"/>
  <c r="Y27" i="1"/>
  <c r="AA27" i="1" s="1"/>
  <c r="Y28" i="1"/>
  <c r="AA28" i="1" s="1"/>
  <c r="Y29" i="1"/>
  <c r="AA29" i="1" s="1"/>
  <c r="Y30" i="1"/>
  <c r="AA30" i="1" s="1"/>
  <c r="Y31" i="1"/>
  <c r="AA31" i="1" s="1"/>
  <c r="Y32" i="1"/>
  <c r="AA32" i="1" s="1"/>
  <c r="Y33" i="1"/>
  <c r="AA33" i="1" s="1"/>
  <c r="Y34" i="1"/>
  <c r="AA34" i="1" s="1"/>
  <c r="Y35" i="1"/>
  <c r="AA35" i="1" s="1"/>
  <c r="Y36" i="1"/>
  <c r="AA36" i="1" s="1"/>
  <c r="Y37" i="1"/>
  <c r="AA37" i="1" s="1"/>
  <c r="Y38" i="1"/>
  <c r="AA38" i="1" s="1"/>
  <c r="Y39" i="1"/>
  <c r="AA39" i="1" s="1"/>
  <c r="Y40" i="1"/>
  <c r="AA40" i="1" s="1"/>
  <c r="Y41" i="1"/>
  <c r="AA41" i="1" s="1"/>
  <c r="Y42" i="1"/>
  <c r="AA42" i="1" s="1"/>
  <c r="Y43" i="1"/>
  <c r="AA43" i="1" s="1"/>
  <c r="Y44" i="1"/>
  <c r="AA44" i="1" s="1"/>
  <c r="Y45" i="1"/>
  <c r="AA45" i="1" s="1"/>
  <c r="Y46" i="1"/>
  <c r="AA46" i="1" s="1"/>
  <c r="Y47" i="1"/>
  <c r="AA47" i="1" s="1"/>
  <c r="Y48" i="1"/>
  <c r="AA48" i="1" s="1"/>
  <c r="Y49" i="1"/>
  <c r="AA49" i="1" s="1"/>
  <c r="Y50" i="1"/>
  <c r="AA50" i="1" s="1"/>
  <c r="Y51" i="1"/>
  <c r="AA51" i="1" s="1"/>
  <c r="Y52" i="1"/>
  <c r="AA52" i="1" s="1"/>
  <c r="Y53" i="1"/>
  <c r="AA53" i="1" s="1"/>
  <c r="Y54" i="1"/>
  <c r="AA54" i="1" s="1"/>
  <c r="Y55" i="1"/>
  <c r="AA55" i="1" s="1"/>
  <c r="Y56" i="1"/>
  <c r="AA56" i="1" s="1"/>
  <c r="Y57" i="1"/>
  <c r="AA57" i="1" s="1"/>
  <c r="Y58" i="1"/>
  <c r="AA58" i="1" s="1"/>
  <c r="Y59" i="1"/>
  <c r="AA59" i="1" s="1"/>
  <c r="Y60" i="1"/>
  <c r="AA60" i="1" s="1"/>
  <c r="Y61" i="1"/>
  <c r="AA61" i="1" s="1"/>
  <c r="Y62" i="1"/>
  <c r="AA62" i="1" s="1"/>
  <c r="Y63" i="1"/>
  <c r="AA63" i="1" s="1"/>
  <c r="Y64" i="1"/>
  <c r="AA64" i="1" s="1"/>
  <c r="Y65" i="1"/>
  <c r="AA65" i="1" s="1"/>
  <c r="Y66" i="1"/>
  <c r="AA66" i="1" s="1"/>
  <c r="Y67" i="1"/>
  <c r="AA67" i="1" s="1"/>
  <c r="Y68" i="1"/>
  <c r="AA68" i="1" s="1"/>
  <c r="Y69" i="1"/>
  <c r="AA69" i="1" s="1"/>
  <c r="Y70" i="1"/>
  <c r="AA70" i="1" s="1"/>
  <c r="Y71" i="1"/>
  <c r="AA71" i="1" s="1"/>
  <c r="Y72" i="1"/>
  <c r="AA72" i="1" s="1"/>
  <c r="Y73" i="1"/>
  <c r="AA73" i="1" s="1"/>
  <c r="Y74" i="1"/>
  <c r="AA74" i="1" s="1"/>
  <c r="Y75" i="1"/>
  <c r="AA75" i="1" s="1"/>
  <c r="Y76" i="1"/>
  <c r="AA76" i="1" s="1"/>
  <c r="Y77" i="1"/>
  <c r="AA77" i="1" s="1"/>
  <c r="Y78" i="1"/>
  <c r="AA78" i="1" s="1"/>
  <c r="Y79" i="1"/>
  <c r="AA79" i="1" s="1"/>
  <c r="Y80" i="1"/>
  <c r="AA80" i="1" s="1"/>
  <c r="Y81" i="1"/>
  <c r="AA81" i="1" s="1"/>
  <c r="Y82" i="1"/>
  <c r="AA82" i="1" s="1"/>
  <c r="Y83" i="1"/>
  <c r="AA83" i="1" s="1"/>
  <c r="Y84" i="1"/>
  <c r="AA84" i="1" s="1"/>
  <c r="Y85" i="1"/>
  <c r="AA85" i="1" s="1"/>
  <c r="Y86" i="1"/>
  <c r="AA86" i="1" s="1"/>
  <c r="Y87" i="1"/>
  <c r="AA87" i="1" s="1"/>
  <c r="Y88" i="1"/>
  <c r="AA88" i="1" s="1"/>
  <c r="Y89" i="1"/>
  <c r="AA89" i="1" s="1"/>
  <c r="Y90" i="1"/>
  <c r="AA90" i="1" s="1"/>
  <c r="Y91" i="1"/>
  <c r="AA91" i="1" s="1"/>
  <c r="Y92" i="1"/>
  <c r="AA92" i="1" s="1"/>
  <c r="Y93" i="1"/>
  <c r="AA93" i="1" s="1"/>
  <c r="Y94" i="1"/>
  <c r="AA94" i="1" s="1"/>
  <c r="Y95" i="1"/>
  <c r="AA95" i="1" s="1"/>
  <c r="Y96" i="1"/>
  <c r="AA96" i="1" s="1"/>
  <c r="Y97" i="1"/>
  <c r="AA97" i="1" s="1"/>
  <c r="Y98" i="1"/>
  <c r="AA98" i="1" s="1"/>
  <c r="Y99" i="1"/>
  <c r="AA99" i="1" s="1"/>
  <c r="Y100" i="1"/>
  <c r="AA100" i="1" s="1"/>
  <c r="Y101" i="1"/>
  <c r="AA101" i="1" s="1"/>
  <c r="Y102" i="1"/>
  <c r="AA102" i="1" s="1"/>
  <c r="Y103" i="1"/>
  <c r="AA103" i="1" s="1"/>
  <c r="Y104" i="1"/>
  <c r="AA104" i="1" s="1"/>
  <c r="Y105" i="1"/>
  <c r="AA105" i="1" s="1"/>
  <c r="Y106" i="1"/>
  <c r="AA106" i="1" s="1"/>
  <c r="Y107" i="1"/>
  <c r="AA107" i="1" s="1"/>
  <c r="Y108" i="1"/>
  <c r="AA108" i="1" s="1"/>
  <c r="Y109" i="1"/>
  <c r="AA109" i="1" s="1"/>
  <c r="Y110" i="1"/>
  <c r="AA110" i="1" s="1"/>
  <c r="Y111" i="1"/>
  <c r="AA111" i="1" s="1"/>
  <c r="Y112" i="1"/>
  <c r="AA112" i="1" s="1"/>
  <c r="Y113" i="1"/>
  <c r="AA113" i="1" s="1"/>
  <c r="Y114" i="1"/>
  <c r="AA114" i="1" s="1"/>
  <c r="Y115" i="1"/>
  <c r="AA115" i="1" s="1"/>
  <c r="Y116" i="1"/>
  <c r="AA116" i="1" s="1"/>
  <c r="Y117" i="1"/>
  <c r="AA117" i="1" s="1"/>
  <c r="Y118" i="1"/>
  <c r="AA118" i="1" s="1"/>
  <c r="Y119" i="1"/>
  <c r="AA119" i="1" s="1"/>
  <c r="Y120" i="1"/>
  <c r="AA120" i="1" s="1"/>
  <c r="Y121" i="1"/>
  <c r="AA121" i="1" s="1"/>
  <c r="Y122" i="1"/>
  <c r="AA122" i="1" s="1"/>
  <c r="Y123" i="1"/>
  <c r="AA123" i="1" s="1"/>
  <c r="Y124" i="1"/>
  <c r="AA124" i="1" s="1"/>
  <c r="Y125" i="1"/>
  <c r="AA125" i="1" s="1"/>
  <c r="Y126" i="1"/>
  <c r="AA126" i="1" s="1"/>
  <c r="Y127" i="1"/>
  <c r="AA127" i="1" s="1"/>
  <c r="Y128" i="1"/>
  <c r="AA128" i="1" s="1"/>
  <c r="Y129" i="1"/>
  <c r="AA129" i="1" s="1"/>
  <c r="Y130" i="1"/>
  <c r="AA130" i="1" s="1"/>
  <c r="Y131" i="1"/>
  <c r="AA131" i="1" s="1"/>
  <c r="Y132" i="1"/>
  <c r="AA132" i="1" s="1"/>
  <c r="Y133" i="1"/>
  <c r="AA133" i="1" s="1"/>
  <c r="Y134" i="1"/>
  <c r="AA134" i="1" s="1"/>
  <c r="Y135" i="1"/>
  <c r="AA135" i="1" s="1"/>
  <c r="Y136" i="1"/>
  <c r="AA136" i="1" s="1"/>
  <c r="Y137" i="1"/>
  <c r="AA137" i="1" s="1"/>
  <c r="Y138" i="1"/>
  <c r="AA138" i="1" s="1"/>
  <c r="Y139" i="1"/>
  <c r="AA139" i="1" s="1"/>
  <c r="Y140" i="1"/>
  <c r="AA140" i="1" s="1"/>
  <c r="Y141" i="1"/>
  <c r="AA141" i="1" s="1"/>
  <c r="Y142" i="1"/>
  <c r="AA142" i="1" s="1"/>
  <c r="Y143" i="1"/>
  <c r="AA143" i="1" s="1"/>
  <c r="Y144" i="1"/>
  <c r="AA144" i="1" s="1"/>
  <c r="Y145" i="1"/>
  <c r="AA145" i="1" s="1"/>
  <c r="Y146" i="1"/>
  <c r="AA146" i="1" s="1"/>
  <c r="Y147" i="1"/>
  <c r="AA147" i="1" s="1"/>
  <c r="Y148" i="1"/>
  <c r="AA148" i="1" s="1"/>
  <c r="Y149" i="1"/>
  <c r="AA149" i="1" s="1"/>
  <c r="Y150" i="1"/>
  <c r="AA150" i="1" s="1"/>
  <c r="Y151" i="1"/>
  <c r="AA151" i="1" s="1"/>
  <c r="Y152" i="1"/>
  <c r="AA152" i="1" s="1"/>
  <c r="Y153" i="1"/>
  <c r="AA153" i="1" s="1"/>
  <c r="Y154" i="1"/>
  <c r="AA154" i="1" s="1"/>
  <c r="Y155" i="1"/>
  <c r="AA155" i="1" s="1"/>
  <c r="Y156" i="1"/>
  <c r="AA156" i="1" s="1"/>
  <c r="Y157" i="1"/>
  <c r="AA157" i="1" s="1"/>
  <c r="Y158" i="1"/>
  <c r="AA158" i="1" s="1"/>
  <c r="Y159" i="1"/>
  <c r="AA159" i="1" s="1"/>
  <c r="Y160" i="1"/>
  <c r="AA160" i="1" s="1"/>
  <c r="Y161" i="1"/>
  <c r="AA161" i="1" s="1"/>
  <c r="Y162" i="1"/>
  <c r="AA162" i="1" s="1"/>
  <c r="Y163" i="1"/>
  <c r="AA163" i="1" s="1"/>
  <c r="Y164" i="1"/>
  <c r="AA164" i="1" s="1"/>
  <c r="Y165" i="1"/>
  <c r="AA165" i="1" s="1"/>
  <c r="Y166" i="1"/>
  <c r="AA166" i="1" s="1"/>
  <c r="Y167" i="1"/>
  <c r="AA167" i="1" s="1"/>
  <c r="Y168" i="1"/>
  <c r="AA168" i="1" s="1"/>
  <c r="Y169" i="1"/>
  <c r="AA169" i="1" s="1"/>
  <c r="Y170" i="1"/>
  <c r="AA170" i="1" s="1"/>
  <c r="Y171" i="1"/>
  <c r="AA171" i="1" s="1"/>
  <c r="Y172" i="1"/>
  <c r="AA172" i="1" s="1"/>
  <c r="Y173" i="1"/>
  <c r="AA173" i="1" s="1"/>
  <c r="Y174" i="1"/>
  <c r="AA174" i="1" s="1"/>
  <c r="Y175" i="1"/>
  <c r="AA175" i="1" s="1"/>
  <c r="Y176" i="1"/>
  <c r="AA176" i="1" s="1"/>
  <c r="Y177" i="1"/>
  <c r="AA177" i="1" s="1"/>
  <c r="Y178" i="1"/>
  <c r="AA178" i="1" s="1"/>
  <c r="Y179" i="1"/>
  <c r="AA179" i="1" s="1"/>
  <c r="Y180" i="1"/>
  <c r="AA180" i="1" s="1"/>
  <c r="Y181" i="1"/>
  <c r="AA181" i="1" s="1"/>
  <c r="Y182" i="1"/>
  <c r="AA182" i="1" s="1"/>
  <c r="Y183" i="1"/>
  <c r="AA183" i="1" s="1"/>
  <c r="Y184" i="1"/>
  <c r="AA184" i="1" s="1"/>
  <c r="Y185" i="1"/>
  <c r="AA185" i="1" s="1"/>
  <c r="Y186" i="1"/>
  <c r="AA186" i="1" s="1"/>
  <c r="Y187" i="1"/>
  <c r="AA187" i="1" s="1"/>
  <c r="Y188" i="1"/>
  <c r="AA188" i="1" s="1"/>
  <c r="Y189" i="1"/>
  <c r="AA189" i="1" s="1"/>
  <c r="Y190" i="1"/>
  <c r="AA190" i="1" s="1"/>
  <c r="Y191" i="1"/>
  <c r="AA191" i="1" s="1"/>
  <c r="Y192" i="1"/>
  <c r="AA192" i="1" s="1"/>
  <c r="Y193" i="1"/>
  <c r="AA193" i="1" s="1"/>
  <c r="Y194" i="1"/>
  <c r="AA194" i="1" s="1"/>
  <c r="Y195" i="1"/>
  <c r="AA195" i="1" s="1"/>
  <c r="Y196" i="1"/>
  <c r="AA196" i="1" s="1"/>
  <c r="Y197" i="1"/>
  <c r="AA197" i="1" s="1"/>
  <c r="Y198" i="1"/>
  <c r="AA198" i="1" s="1"/>
  <c r="Y199" i="1"/>
  <c r="AA199" i="1" s="1"/>
  <c r="Y200" i="1"/>
  <c r="AA200" i="1" s="1"/>
  <c r="Y201" i="1"/>
  <c r="AA201" i="1" s="1"/>
  <c r="Y202" i="1"/>
  <c r="AA202" i="1" s="1"/>
  <c r="Y203" i="1"/>
  <c r="Y204" i="1"/>
  <c r="AA204" i="1" s="1"/>
  <c r="Y205" i="1"/>
  <c r="AA205" i="1" s="1"/>
  <c r="Y206" i="1"/>
  <c r="AA206" i="1" s="1"/>
  <c r="Y207" i="1"/>
  <c r="AA207" i="1" s="1"/>
  <c r="Y208" i="1"/>
  <c r="AA208" i="1" s="1"/>
  <c r="Y209" i="1"/>
  <c r="AA209" i="1" s="1"/>
  <c r="Y210" i="1"/>
  <c r="AA210" i="1" s="1"/>
  <c r="Y211" i="1"/>
  <c r="AA211" i="1" s="1"/>
  <c r="Y212" i="1"/>
  <c r="AA212" i="1" s="1"/>
  <c r="Y213" i="1"/>
  <c r="AA213" i="1" s="1"/>
  <c r="Y214" i="1"/>
  <c r="AA214" i="1" s="1"/>
  <c r="Y215" i="1"/>
  <c r="AA215" i="1" s="1"/>
  <c r="Y216" i="1"/>
  <c r="AA216" i="1" s="1"/>
  <c r="Y217" i="1"/>
  <c r="AA217" i="1" s="1"/>
  <c r="Y218" i="1"/>
  <c r="AA218" i="1" s="1"/>
  <c r="Y219" i="1"/>
  <c r="AA219" i="1" s="1"/>
  <c r="Y220" i="1"/>
  <c r="AA220" i="1" s="1"/>
  <c r="Y221" i="1"/>
  <c r="AA221" i="1" s="1"/>
  <c r="Y222" i="1"/>
  <c r="AA222" i="1" s="1"/>
  <c r="Y223" i="1"/>
  <c r="AA223" i="1" s="1"/>
  <c r="Y224" i="1"/>
  <c r="AA224" i="1" s="1"/>
  <c r="Y225" i="1"/>
  <c r="AA225" i="1" s="1"/>
  <c r="Y226" i="1"/>
  <c r="AA226" i="1" s="1"/>
  <c r="Y227" i="1"/>
  <c r="AA227" i="1" s="1"/>
  <c r="Y228" i="1"/>
  <c r="AA228" i="1" s="1"/>
  <c r="Y229" i="1"/>
  <c r="AA229" i="1" s="1"/>
  <c r="Y230" i="1"/>
  <c r="AA230" i="1" s="1"/>
  <c r="Y231" i="1"/>
  <c r="AA231" i="1" s="1"/>
  <c r="Y232" i="1"/>
  <c r="AA232" i="1" s="1"/>
  <c r="Y233" i="1"/>
  <c r="AA233" i="1" s="1"/>
  <c r="Y234" i="1"/>
  <c r="AA234" i="1" s="1"/>
  <c r="Y235" i="1"/>
  <c r="AA235" i="1" s="1"/>
  <c r="Y236" i="1"/>
  <c r="AA236" i="1" s="1"/>
  <c r="Y237" i="1"/>
  <c r="AA237" i="1" s="1"/>
  <c r="Y238" i="1"/>
  <c r="AA238" i="1" s="1"/>
  <c r="Y239" i="1"/>
  <c r="AA239" i="1" s="1"/>
  <c r="Y240" i="1"/>
  <c r="AA240" i="1" s="1"/>
  <c r="Y241" i="1"/>
  <c r="AA241" i="1" s="1"/>
  <c r="Y242" i="1"/>
  <c r="AA242" i="1" s="1"/>
  <c r="Y243" i="1"/>
  <c r="AA243" i="1" s="1"/>
  <c r="Y244" i="1"/>
  <c r="AA244" i="1" s="1"/>
  <c r="Y245" i="1"/>
  <c r="AA245" i="1" s="1"/>
  <c r="Y246" i="1"/>
  <c r="AA246" i="1" s="1"/>
  <c r="Y247" i="1"/>
  <c r="AA247" i="1" s="1"/>
  <c r="Y248" i="1"/>
  <c r="AA248" i="1" s="1"/>
  <c r="Y249" i="1"/>
  <c r="AA249" i="1" s="1"/>
  <c r="Y250" i="1"/>
  <c r="AA250" i="1" s="1"/>
  <c r="Y251" i="1"/>
  <c r="AA251" i="1" s="1"/>
  <c r="Y252" i="1"/>
  <c r="AA252" i="1" s="1"/>
  <c r="Y253" i="1"/>
  <c r="AA253" i="1" s="1"/>
  <c r="Y254" i="1"/>
  <c r="AA254" i="1" s="1"/>
  <c r="Y255" i="1"/>
  <c r="AA255" i="1" s="1"/>
  <c r="Y256" i="1"/>
  <c r="AA256" i="1" s="1"/>
  <c r="Y257" i="1"/>
  <c r="AA257" i="1" s="1"/>
  <c r="Y258" i="1"/>
  <c r="AA258" i="1" s="1"/>
  <c r="Y259" i="1"/>
  <c r="AA259" i="1" s="1"/>
  <c r="Y260" i="1"/>
  <c r="AA260" i="1" s="1"/>
  <c r="Y261" i="1"/>
  <c r="AA261" i="1" s="1"/>
  <c r="Y262" i="1"/>
  <c r="AA262" i="1" s="1"/>
  <c r="Y263" i="1"/>
  <c r="AA263" i="1" s="1"/>
  <c r="Y264" i="1"/>
  <c r="AA264" i="1" s="1"/>
  <c r="Y265" i="1"/>
  <c r="AA265" i="1" s="1"/>
  <c r="Y266" i="1"/>
  <c r="AA266" i="1" s="1"/>
  <c r="Y267" i="1"/>
  <c r="AA267" i="1" s="1"/>
  <c r="Y268" i="1"/>
  <c r="AA268" i="1" s="1"/>
  <c r="Y269" i="1"/>
  <c r="AA269" i="1" s="1"/>
  <c r="Y270" i="1"/>
  <c r="AA270" i="1" s="1"/>
  <c r="Y271" i="1"/>
  <c r="AA271" i="1" s="1"/>
  <c r="Y272" i="1"/>
  <c r="AA272" i="1" s="1"/>
  <c r="Y273" i="1"/>
  <c r="AA273" i="1" s="1"/>
  <c r="Y274" i="1"/>
  <c r="AA274" i="1" s="1"/>
  <c r="Y275" i="1"/>
  <c r="AA275" i="1" s="1"/>
  <c r="Y276" i="1"/>
  <c r="AA276" i="1" s="1"/>
  <c r="Y277" i="1"/>
  <c r="AA277" i="1" s="1"/>
  <c r="Y278" i="1"/>
  <c r="AA278" i="1" s="1"/>
  <c r="Y279" i="1"/>
  <c r="AA279" i="1" s="1"/>
  <c r="Y280" i="1"/>
  <c r="AA280" i="1" s="1"/>
  <c r="Y281" i="1"/>
  <c r="AA281" i="1" s="1"/>
  <c r="Y282" i="1"/>
  <c r="AA282" i="1" s="1"/>
  <c r="Y283" i="1"/>
  <c r="AA283" i="1" s="1"/>
  <c r="Y284" i="1"/>
  <c r="AA284" i="1" s="1"/>
  <c r="Y285" i="1"/>
  <c r="AA285" i="1" s="1"/>
  <c r="Y286" i="1"/>
  <c r="AA286" i="1" s="1"/>
  <c r="Y287" i="1"/>
  <c r="AA287" i="1" s="1"/>
  <c r="Y288" i="1"/>
  <c r="AA288" i="1" s="1"/>
  <c r="Y289" i="1"/>
  <c r="AA289" i="1" s="1"/>
  <c r="Y290" i="1"/>
  <c r="AA290" i="1" s="1"/>
  <c r="Y291" i="1"/>
  <c r="AA291" i="1" s="1"/>
  <c r="Y292" i="1"/>
  <c r="AA292" i="1" s="1"/>
  <c r="Y293" i="1"/>
  <c r="AA293" i="1" s="1"/>
  <c r="Y294" i="1"/>
  <c r="AA294" i="1" s="1"/>
  <c r="Y295" i="1"/>
  <c r="AA295" i="1" s="1"/>
  <c r="Y296" i="1"/>
  <c r="AA296" i="1" s="1"/>
  <c r="Y297" i="1"/>
  <c r="AA297" i="1" s="1"/>
  <c r="Y298" i="1"/>
  <c r="AA298" i="1" s="1"/>
  <c r="Y299" i="1"/>
  <c r="AA299" i="1" s="1"/>
  <c r="Y300" i="1"/>
  <c r="AA300" i="1" s="1"/>
  <c r="Y301" i="1"/>
  <c r="AA301" i="1" s="1"/>
  <c r="Y302" i="1"/>
  <c r="AA302" i="1" s="1"/>
  <c r="Y303" i="1"/>
  <c r="AA303" i="1" s="1"/>
  <c r="Y304" i="1"/>
  <c r="AA304" i="1" s="1"/>
  <c r="Y305" i="1"/>
  <c r="AA305" i="1" s="1"/>
  <c r="Y306" i="1"/>
  <c r="AA306" i="1" s="1"/>
  <c r="Y307" i="1"/>
  <c r="AA307" i="1" s="1"/>
  <c r="Y308" i="1"/>
  <c r="AA308" i="1" s="1"/>
  <c r="Y309" i="1"/>
  <c r="AA309" i="1" s="1"/>
  <c r="Y310" i="1"/>
  <c r="AA310" i="1" s="1"/>
  <c r="Y311" i="1"/>
  <c r="AA311" i="1" s="1"/>
  <c r="Y312" i="1"/>
  <c r="AA312" i="1" s="1"/>
  <c r="Y313" i="1"/>
  <c r="AA313" i="1" s="1"/>
  <c r="Y314" i="1"/>
  <c r="AA314" i="1" s="1"/>
  <c r="Y315" i="1"/>
  <c r="AA315" i="1" s="1"/>
  <c r="Y316" i="1"/>
  <c r="AA316" i="1" s="1"/>
  <c r="Y317" i="1"/>
  <c r="AA317" i="1" s="1"/>
  <c r="Y318" i="1"/>
  <c r="AA318" i="1" s="1"/>
  <c r="Y319" i="1"/>
  <c r="AA319" i="1" s="1"/>
  <c r="Y320" i="1"/>
  <c r="AA320" i="1" s="1"/>
  <c r="Y321" i="1"/>
  <c r="AA321" i="1" s="1"/>
  <c r="Y322" i="1"/>
  <c r="AA322" i="1" s="1"/>
  <c r="Y323" i="1"/>
  <c r="AA323" i="1" s="1"/>
  <c r="Y324" i="1"/>
  <c r="AA324" i="1" s="1"/>
  <c r="Y325" i="1"/>
  <c r="AA325" i="1" s="1"/>
  <c r="Y326" i="1"/>
  <c r="AA326" i="1" s="1"/>
  <c r="Y327" i="1"/>
  <c r="AA327" i="1" s="1"/>
  <c r="Y328" i="1"/>
  <c r="AA328" i="1" s="1"/>
  <c r="Y329" i="1"/>
  <c r="AA329" i="1" s="1"/>
  <c r="Y330" i="1"/>
  <c r="AA330" i="1" s="1"/>
  <c r="Y331" i="1"/>
  <c r="AA331" i="1" s="1"/>
  <c r="Y332" i="1"/>
  <c r="AA332" i="1" s="1"/>
  <c r="Y333" i="1"/>
  <c r="AA333" i="1" s="1"/>
  <c r="Y334" i="1"/>
  <c r="AA334" i="1" s="1"/>
  <c r="Y335" i="1"/>
  <c r="AA335" i="1" s="1"/>
  <c r="Y336" i="1"/>
  <c r="AA336" i="1" s="1"/>
  <c r="Y337" i="1"/>
  <c r="AA337" i="1" s="1"/>
  <c r="Y338" i="1"/>
  <c r="AA338" i="1" s="1"/>
  <c r="Y339" i="1"/>
  <c r="Y340" i="1"/>
  <c r="AA340" i="1" s="1"/>
  <c r="Y341" i="1"/>
  <c r="AA341" i="1" s="1"/>
  <c r="Y342" i="1"/>
  <c r="AA342" i="1" s="1"/>
  <c r="Y343" i="1"/>
  <c r="AA343" i="1" s="1"/>
  <c r="Y344" i="1"/>
  <c r="AA344" i="1" s="1"/>
  <c r="Y345" i="1"/>
  <c r="AA345" i="1" s="1"/>
  <c r="Y346" i="1"/>
  <c r="AA346" i="1" s="1"/>
  <c r="Y347" i="1"/>
  <c r="AA347" i="1" s="1"/>
  <c r="Y348" i="1"/>
  <c r="AA348" i="1" s="1"/>
  <c r="Y349" i="1"/>
  <c r="AA349" i="1" s="1"/>
  <c r="Y350" i="1"/>
  <c r="AA350" i="1" s="1"/>
  <c r="Y351" i="1"/>
  <c r="AA351" i="1" s="1"/>
  <c r="Y352" i="1"/>
  <c r="AA352" i="1" s="1"/>
  <c r="Y353" i="1"/>
  <c r="AA353" i="1" s="1"/>
  <c r="Y354" i="1"/>
  <c r="AA354" i="1" s="1"/>
  <c r="Y355" i="1"/>
  <c r="AA355" i="1" s="1"/>
  <c r="Y356" i="1"/>
  <c r="AA356" i="1" s="1"/>
  <c r="Y357" i="1"/>
  <c r="AA357" i="1" s="1"/>
  <c r="Y358" i="1"/>
  <c r="AA358" i="1" s="1"/>
  <c r="Y359" i="1"/>
  <c r="AA359" i="1" s="1"/>
  <c r="Y360" i="1"/>
  <c r="AA360" i="1" s="1"/>
  <c r="Y361" i="1"/>
  <c r="AA361" i="1" s="1"/>
  <c r="Y362" i="1"/>
  <c r="AA362" i="1" s="1"/>
  <c r="Y363" i="1"/>
  <c r="AA363" i="1" s="1"/>
  <c r="Y364" i="1"/>
  <c r="AA364" i="1" s="1"/>
  <c r="Y365" i="1"/>
  <c r="AA365" i="1" s="1"/>
  <c r="Y366" i="1"/>
  <c r="AA366" i="1" s="1"/>
  <c r="Y367" i="1"/>
  <c r="AA367" i="1" s="1"/>
  <c r="Y368" i="1"/>
  <c r="AA368" i="1" s="1"/>
  <c r="Y369" i="1"/>
  <c r="AA369" i="1" s="1"/>
  <c r="Y370" i="1"/>
  <c r="AA370" i="1" s="1"/>
  <c r="Y371" i="1"/>
  <c r="AA371" i="1" s="1"/>
  <c r="Y372" i="1"/>
  <c r="AA372" i="1" s="1"/>
  <c r="Y373" i="1"/>
  <c r="AA373" i="1" s="1"/>
  <c r="Y374" i="1"/>
  <c r="AA374" i="1" s="1"/>
  <c r="Y375" i="1"/>
  <c r="AA375" i="1" s="1"/>
  <c r="Y376" i="1"/>
  <c r="AA376" i="1" s="1"/>
  <c r="Y377" i="1"/>
  <c r="AA377" i="1" s="1"/>
  <c r="Y378" i="1"/>
  <c r="AA378" i="1" s="1"/>
  <c r="Y379" i="1"/>
  <c r="AA379" i="1" s="1"/>
  <c r="Y380" i="1"/>
  <c r="AA380" i="1" s="1"/>
  <c r="Y381" i="1"/>
  <c r="AA381" i="1" s="1"/>
  <c r="Y382" i="1"/>
  <c r="AA382" i="1" s="1"/>
  <c r="Y383" i="1"/>
  <c r="Y384" i="1"/>
  <c r="AA384" i="1" s="1"/>
  <c r="Y385" i="1"/>
  <c r="AA385" i="1" s="1"/>
  <c r="Y386" i="1"/>
  <c r="AA386" i="1" s="1"/>
  <c r="Y387" i="1"/>
  <c r="AA387" i="1" s="1"/>
  <c r="Y388" i="1"/>
  <c r="AA388" i="1" s="1"/>
  <c r="Y389" i="1"/>
  <c r="AA389" i="1" s="1"/>
  <c r="Y390" i="1"/>
  <c r="AA390" i="1" s="1"/>
  <c r="Y391" i="1"/>
  <c r="AA391" i="1" s="1"/>
  <c r="Y392" i="1"/>
  <c r="AA392" i="1" s="1"/>
  <c r="Y393" i="1"/>
  <c r="AA393" i="1" s="1"/>
  <c r="Y394" i="1"/>
  <c r="AA394" i="1" s="1"/>
  <c r="Y395" i="1"/>
  <c r="AA395" i="1" s="1"/>
  <c r="Y396" i="1"/>
  <c r="AA396" i="1" s="1"/>
  <c r="Y397" i="1"/>
  <c r="AA397" i="1" s="1"/>
  <c r="Y398" i="1"/>
  <c r="AA398" i="1" s="1"/>
  <c r="Y399" i="1"/>
  <c r="AA399" i="1" s="1"/>
  <c r="Y400" i="1"/>
  <c r="AA400" i="1" s="1"/>
  <c r="Y401" i="1"/>
  <c r="AA401" i="1" s="1"/>
  <c r="Y402" i="1"/>
  <c r="AA402" i="1" s="1"/>
  <c r="Y403" i="1"/>
  <c r="AA403" i="1" s="1"/>
  <c r="Y404" i="1"/>
  <c r="AA404" i="1" s="1"/>
  <c r="Y405" i="1"/>
  <c r="AA405" i="1" s="1"/>
  <c r="Y406" i="1"/>
  <c r="AA406" i="1" s="1"/>
  <c r="Y407" i="1"/>
  <c r="AA407" i="1" s="1"/>
  <c r="Y408" i="1"/>
  <c r="AA408" i="1" s="1"/>
  <c r="Y409" i="1"/>
  <c r="AA409" i="1" s="1"/>
  <c r="Y410" i="1"/>
  <c r="AA410" i="1" s="1"/>
  <c r="Y411" i="1"/>
  <c r="AA411" i="1" s="1"/>
  <c r="Y412" i="1"/>
  <c r="AA412" i="1" s="1"/>
  <c r="Y413" i="1"/>
  <c r="AA413" i="1" s="1"/>
  <c r="Y414" i="1"/>
  <c r="AA414" i="1" s="1"/>
  <c r="Y415" i="1"/>
  <c r="AA415" i="1" s="1"/>
  <c r="Y416" i="1"/>
  <c r="AA416" i="1" s="1"/>
  <c r="Y417" i="1"/>
  <c r="AA417" i="1" s="1"/>
  <c r="Y418" i="1"/>
  <c r="AA418" i="1" s="1"/>
  <c r="Y419" i="1"/>
  <c r="AA419" i="1" s="1"/>
  <c r="Y420" i="1"/>
  <c r="AA420" i="1" s="1"/>
  <c r="Y421" i="1"/>
  <c r="AA421" i="1" s="1"/>
  <c r="Y422" i="1"/>
  <c r="AA422" i="1" s="1"/>
  <c r="Y423" i="1"/>
  <c r="AA423" i="1" s="1"/>
  <c r="Y424" i="1"/>
  <c r="AA424" i="1" s="1"/>
  <c r="Y425" i="1"/>
  <c r="AA425" i="1" s="1"/>
  <c r="Y426" i="1"/>
  <c r="AA426" i="1" s="1"/>
  <c r="Y427" i="1"/>
  <c r="AA427" i="1" s="1"/>
  <c r="Y428" i="1"/>
  <c r="AA428" i="1" s="1"/>
  <c r="Y429" i="1"/>
  <c r="AA429" i="1" s="1"/>
  <c r="Y430" i="1"/>
  <c r="AA430" i="1" s="1"/>
  <c r="Y431" i="1"/>
  <c r="AA431" i="1" s="1"/>
  <c r="Y432" i="1"/>
  <c r="AA432" i="1" s="1"/>
  <c r="Y433" i="1"/>
  <c r="AA433" i="1" s="1"/>
  <c r="Y434" i="1"/>
  <c r="AA434" i="1" s="1"/>
  <c r="Y435" i="1"/>
  <c r="AA435" i="1" s="1"/>
  <c r="Y436" i="1"/>
  <c r="AA436" i="1" s="1"/>
  <c r="Y437" i="1"/>
  <c r="AA437" i="1" s="1"/>
  <c r="Y438" i="1"/>
  <c r="AA438" i="1" s="1"/>
  <c r="Y439" i="1"/>
  <c r="AA439" i="1" s="1"/>
  <c r="Y440" i="1"/>
  <c r="AA440" i="1" s="1"/>
  <c r="Y441" i="1"/>
  <c r="AA441" i="1" s="1"/>
  <c r="Y442" i="1"/>
  <c r="AA442" i="1" s="1"/>
  <c r="Y443" i="1"/>
  <c r="AA443" i="1" s="1"/>
  <c r="Y444" i="1"/>
  <c r="AA444" i="1" s="1"/>
  <c r="Y445" i="1"/>
  <c r="AA445" i="1" s="1"/>
  <c r="Y446" i="1"/>
  <c r="AA446" i="1" s="1"/>
  <c r="Y447" i="1"/>
  <c r="AA447" i="1" s="1"/>
  <c r="Y448" i="1"/>
  <c r="AA448" i="1" s="1"/>
  <c r="Y449" i="1"/>
  <c r="AA449" i="1" s="1"/>
  <c r="Y450" i="1"/>
  <c r="AA450" i="1" s="1"/>
  <c r="Y451" i="1"/>
  <c r="AA451" i="1" s="1"/>
  <c r="Y452" i="1"/>
  <c r="AA452" i="1" s="1"/>
  <c r="Y453" i="1"/>
  <c r="AA453" i="1" s="1"/>
  <c r="Y454" i="1"/>
  <c r="AA454" i="1" s="1"/>
  <c r="Y455" i="1"/>
  <c r="AA455" i="1" s="1"/>
  <c r="Y456" i="1"/>
  <c r="AA456" i="1" s="1"/>
  <c r="Y457" i="1"/>
  <c r="AA457" i="1" s="1"/>
  <c r="Y458" i="1"/>
  <c r="AA458" i="1" s="1"/>
  <c r="Y459" i="1"/>
  <c r="AA459" i="1" s="1"/>
  <c r="Y460" i="1"/>
  <c r="AA460" i="1" s="1"/>
  <c r="Y461" i="1"/>
  <c r="AA461" i="1" s="1"/>
  <c r="Y462" i="1"/>
  <c r="AA462" i="1" s="1"/>
  <c r="Y463" i="1"/>
  <c r="AA463" i="1" s="1"/>
  <c r="Y464" i="1"/>
  <c r="AA464" i="1" s="1"/>
  <c r="Y465" i="1"/>
  <c r="AA465" i="1" s="1"/>
  <c r="Y466" i="1"/>
  <c r="AA466" i="1" s="1"/>
  <c r="Y467" i="1"/>
  <c r="AA467" i="1" s="1"/>
  <c r="Y468" i="1"/>
  <c r="AA468" i="1" s="1"/>
  <c r="Y469" i="1"/>
  <c r="AA469" i="1" s="1"/>
  <c r="Y470" i="1"/>
  <c r="AA470" i="1" s="1"/>
  <c r="Y471" i="1"/>
  <c r="AA471" i="1" s="1"/>
  <c r="Y472" i="1"/>
  <c r="AA472" i="1" s="1"/>
  <c r="Y473" i="1"/>
  <c r="AA473" i="1" s="1"/>
  <c r="Y474" i="1"/>
  <c r="AA474" i="1" s="1"/>
  <c r="Y475" i="1"/>
  <c r="AA475" i="1" s="1"/>
  <c r="Y476" i="1"/>
  <c r="AA476" i="1" s="1"/>
  <c r="Y477" i="1"/>
  <c r="AA477" i="1" s="1"/>
  <c r="Y478" i="1"/>
  <c r="AA478" i="1" s="1"/>
  <c r="Y479" i="1"/>
  <c r="AA479" i="1" s="1"/>
  <c r="Y480" i="1"/>
  <c r="AA480" i="1" s="1"/>
  <c r="Y481" i="1"/>
  <c r="AA481" i="1" s="1"/>
  <c r="Y482" i="1"/>
  <c r="AA482" i="1" s="1"/>
  <c r="Y483" i="1"/>
  <c r="AA483" i="1" s="1"/>
  <c r="Y484" i="1"/>
  <c r="AA484" i="1" s="1"/>
  <c r="Y485" i="1"/>
  <c r="AA485" i="1" s="1"/>
  <c r="Y486" i="1"/>
  <c r="AA486" i="1" s="1"/>
  <c r="Y487" i="1"/>
  <c r="AA487" i="1" s="1"/>
  <c r="Y488" i="1"/>
  <c r="AA488" i="1" s="1"/>
  <c r="Y489" i="1"/>
  <c r="AA489" i="1" s="1"/>
  <c r="Y490" i="1"/>
  <c r="AA490" i="1" s="1"/>
  <c r="Y491" i="1"/>
  <c r="AA491" i="1" s="1"/>
  <c r="Y492" i="1"/>
  <c r="AA492" i="1" s="1"/>
  <c r="Y493" i="1"/>
  <c r="AA493" i="1" s="1"/>
  <c r="Y494" i="1"/>
  <c r="AA494" i="1" s="1"/>
  <c r="Y495" i="1"/>
  <c r="AA495" i="1" s="1"/>
  <c r="Y496" i="1"/>
  <c r="AA496" i="1" s="1"/>
  <c r="Y497" i="1"/>
  <c r="AA497" i="1" s="1"/>
  <c r="Y498" i="1"/>
  <c r="AA498" i="1" s="1"/>
  <c r="Y499" i="1"/>
  <c r="AA499" i="1" s="1"/>
  <c r="Y500" i="1"/>
  <c r="AA50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3D0CC899-D669-4233-8DBC-73F5177E8AFF}">
      <text>
        <r>
          <rPr>
            <sz val="9"/>
            <color indexed="81"/>
            <rFont val="Segoe UI"/>
            <family val="2"/>
          </rPr>
          <t xml:space="preserve">Sequência numérica acompanhada do código que identifica a obra.
</t>
        </r>
      </text>
    </comment>
    <comment ref="B1" authorId="0" shapeId="0" xr:uid="{B6335FCB-8332-4C3F-8526-73CA4B27A1C1}">
      <text>
        <r>
          <rPr>
            <sz val="9"/>
            <color indexed="81"/>
            <rFont val="Segoe UI"/>
            <family val="2"/>
          </rPr>
          <t>Selecione na lista suspensa em cada célula o status da ilustração.</t>
        </r>
      </text>
    </comment>
    <comment ref="C1" authorId="0" shapeId="0" xr:uid="{FAD14918-A50B-4457-82F3-CB9459ECF06F}">
      <text>
        <r>
          <rPr>
            <sz val="9"/>
            <color indexed="81"/>
            <rFont val="Segoe UI"/>
            <family val="2"/>
          </rPr>
          <t xml:space="preserve">Selecione na lista suspensa, a categoria da ilustração.
</t>
        </r>
      </text>
    </comment>
    <comment ref="D1" authorId="0" shapeId="0" xr:uid="{BA521218-ED46-4B88-88BC-4DAE435C6EEF}">
      <text>
        <r>
          <rPr>
            <sz val="9"/>
            <color indexed="81"/>
            <rFont val="Segoe UI"/>
            <family val="2"/>
          </rPr>
          <t xml:space="preserve">Selecione na lista suspensa em que parte do livro se encontra a imagem.
</t>
        </r>
      </text>
    </comment>
    <comment ref="E1" authorId="0" shapeId="0" xr:uid="{C3A8D5CC-14E2-4242-832A-55EE9A62D513}">
      <text>
        <r>
          <rPr>
            <sz val="9"/>
            <color indexed="81"/>
            <rFont val="Segoe UI"/>
            <family val="2"/>
          </rPr>
          <t>Preencher estes campos com números 
de páginas.</t>
        </r>
      </text>
    </comment>
    <comment ref="F1" authorId="0" shapeId="0" xr:uid="{77322721-7593-42F0-A138-176211D22CCC}">
      <text>
        <r>
          <rPr>
            <sz val="9"/>
            <color indexed="81"/>
            <rFont val="Segoe UI"/>
            <family val="2"/>
          </rPr>
          <t>Prencher com o número do volume da obra.</t>
        </r>
      </text>
    </comment>
    <comment ref="G1" authorId="0" shapeId="0" xr:uid="{C9C571BF-9693-4193-B70D-A743F5A0A3BC}">
      <text>
        <r>
          <rPr>
            <sz val="9"/>
            <color indexed="81"/>
            <rFont val="Segoe UI"/>
            <family val="2"/>
          </rPr>
          <t>Preencher este campo com o número do capítulo ou nome da seção.</t>
        </r>
      </text>
    </comment>
    <comment ref="H1" authorId="0" shapeId="0" xr:uid="{2AD45050-60B0-4A0D-998B-D528686848F8}">
      <text>
        <r>
          <rPr>
            <sz val="9"/>
            <color indexed="81"/>
            <rFont val="Segoe UI"/>
            <family val="2"/>
          </rPr>
          <t xml:space="preserve">Preencher estes campos com números do capítulos ou os nomes padronizados das seções.
</t>
        </r>
      </text>
    </comment>
    <comment ref="I1" authorId="0" shapeId="0" xr:uid="{E5C58997-9047-40FB-9E41-6042EA80051C}">
      <text>
        <r>
          <rPr>
            <sz val="9"/>
            <color indexed="81"/>
            <rFont val="Segoe UI"/>
            <family val="2"/>
          </rPr>
          <t>Selecione na lista suspensa em cada célula o tipo da ilustração.</t>
        </r>
      </text>
    </comment>
    <comment ref="J1" authorId="0" shapeId="0" xr:uid="{65B19E86-3441-46E9-8ED5-04BD67048482}">
      <text>
        <r>
          <rPr>
            <sz val="9"/>
            <color indexed="81"/>
            <rFont val="Segoe UI"/>
            <family val="2"/>
          </rPr>
          <t xml:space="preserve">Se o tipo de imagem escolhida for RESGATE ou AJUSTE, coloque aqui o nome da obra de origem.
</t>
        </r>
      </text>
    </comment>
    <comment ref="K1" authorId="0" shapeId="0" xr:uid="{C4B31C13-AB94-4B46-8D4F-2C22A8C152F3}">
      <text>
        <r>
          <rPr>
            <sz val="9"/>
            <color indexed="81"/>
            <rFont val="Segoe UI"/>
            <family val="2"/>
          </rPr>
          <t xml:space="preserve">Se o tipo de imagem escolhida for RESGATE ou AJUSTE, coloque aqui apenas o número da página da obra de origem.
</t>
        </r>
      </text>
    </comment>
    <comment ref="L1" authorId="0" shapeId="0" xr:uid="{13F95DE5-820E-4AFB-B19B-F67435299211}">
      <text>
        <r>
          <rPr>
            <sz val="9"/>
            <color indexed="81"/>
            <rFont val="Segoe UI"/>
            <family val="2"/>
          </rPr>
          <t>Se o tipo de imagem escolhida for RESGATE ou AJUSTE, coloque aqui apenas o número do volume da obra de origem.</t>
        </r>
      </text>
    </comment>
    <comment ref="M1" authorId="0" shapeId="0" xr:uid="{222EBAFF-E995-4F89-8D0C-64B3297D567A}">
      <text>
        <r>
          <rPr>
            <sz val="9"/>
            <color indexed="81"/>
            <rFont val="Segoe UI"/>
            <family val="2"/>
          </rPr>
          <t xml:space="preserve">
Se o tipo de imagem escolhida for RESGATE ou AJUSTE, coloque aqui apenas o número do volume da obra de origem.</t>
        </r>
      </text>
    </comment>
    <comment ref="N1" authorId="0" shapeId="0" xr:uid="{8CDAFBE6-4A6B-427F-AB80-AEC501642817}">
      <text>
        <r>
          <rPr>
            <sz val="9"/>
            <color indexed="81"/>
            <rFont val="Segoe UI"/>
            <family val="2"/>
          </rPr>
          <t>Qual editora possui o direito de uso da ilustração.</t>
        </r>
      </text>
    </comment>
    <comment ref="O1" authorId="0" shapeId="0" xr:uid="{17E5CCB4-FC1A-4EBA-8DA2-17775F93A903}">
      <text>
        <r>
          <rPr>
            <sz val="9"/>
            <color indexed="81"/>
            <rFont val="Segoe UI"/>
            <family val="2"/>
          </rPr>
          <t xml:space="preserve">Descrição da imagem detalhada de acordo com a edição.
</t>
        </r>
      </text>
    </comment>
    <comment ref="Q1" authorId="0" shapeId="0" xr:uid="{E94920A2-613D-4D8E-845D-9EA24DC69025}">
      <text>
        <r>
          <rPr>
            <sz val="9"/>
            <color indexed="81"/>
            <rFont val="Segoe UI"/>
            <family val="2"/>
          </rPr>
          <t>Anotações gerais/adicionais da equipe/núcleo sobre a produção da imagem.</t>
        </r>
      </text>
    </comment>
    <comment ref="R1" authorId="0" shapeId="0" xr:uid="{6989CC06-6230-488E-AF1D-D020B76B671B}">
      <text>
        <r>
          <rPr>
            <sz val="9"/>
            <color indexed="81"/>
            <rFont val="Segoe UI"/>
            <family val="2"/>
          </rPr>
          <t xml:space="preserve">Número do lote de acordo com a data de liberação para arte.
</t>
        </r>
      </text>
    </comment>
    <comment ref="S1" authorId="0" shapeId="0" xr:uid="{3C8056B6-6D56-4ABC-8D5E-133F73C05996}">
      <text>
        <r>
          <rPr>
            <sz val="9"/>
            <color indexed="81"/>
            <rFont val="Segoe UI"/>
            <family val="2"/>
          </rPr>
          <t xml:space="preserve">Data que o lote foi liberado para edição de arte.
</t>
        </r>
      </text>
    </comment>
    <comment ref="T1" authorId="0" shapeId="0" xr:uid="{3C167E04-A371-47C4-8717-D873AD4E9FC7}">
      <text>
        <r>
          <rPr>
            <sz val="9"/>
            <color indexed="81"/>
            <rFont val="Segoe UI"/>
            <family val="2"/>
          </rPr>
          <t>Data de envio da edição de arte para o ilustrador.</t>
        </r>
      </text>
    </comment>
    <comment ref="U1" authorId="0" shapeId="0" xr:uid="{69C14C76-27F2-41AF-852D-CB92E57EA4BB}">
      <text>
        <r>
          <rPr>
            <sz val="9"/>
            <color indexed="81"/>
            <rFont val="Segoe UI"/>
            <family val="2"/>
          </rPr>
          <t xml:space="preserve">Data de recebimento 
do rafe do ilustrador.
</t>
        </r>
      </text>
    </comment>
    <comment ref="V1" authorId="0" shapeId="0" xr:uid="{04B50519-2510-4909-864C-EB1E440194CF}">
      <text>
        <r>
          <rPr>
            <sz val="9"/>
            <color indexed="81"/>
            <rFont val="Segoe UI"/>
            <family val="2"/>
          </rPr>
          <t xml:space="preserve">Data de envio para finalizar a ilustração.
</t>
        </r>
      </text>
    </comment>
    <comment ref="W1" authorId="0" shapeId="0" xr:uid="{CEA43B39-7373-4A67-A7FA-E74EABB032A8}">
      <text>
        <r>
          <rPr>
            <sz val="9"/>
            <color indexed="81"/>
            <rFont val="Segoe UI"/>
            <family val="2"/>
          </rPr>
          <t>Data de retorno da ilustração finalizada pelo ilustrador.</t>
        </r>
      </text>
    </comment>
    <comment ref="X1" authorId="0" shapeId="0" xr:uid="{8894FE2D-830E-400E-8328-8CAE80D2CA61}">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Y1" authorId="0" shapeId="0" xr:uid="{DCD8860F-16F3-4D41-BA80-F679A5727127}">
      <text>
        <r>
          <rPr>
            <sz val="9"/>
            <color indexed="81"/>
            <rFont val="Segoe UI"/>
            <family val="2"/>
          </rPr>
          <t>Nome do ilustrador que produziu ou produzirá a ilustração ou o nome do criador da ilustração do padrão.
Coluna bloqueada para edição manual.</t>
        </r>
      </text>
    </comment>
    <comment ref="Z1" authorId="0" shapeId="0" xr:uid="{58AED824-409A-41E8-BF67-1959D1B97CC0}">
      <text>
        <r>
          <rPr>
            <sz val="9"/>
            <color indexed="81"/>
            <rFont val="Segoe UI"/>
            <family val="2"/>
          </rPr>
          <t>Nome de quem ajustou ou coloriu a ilustração.</t>
        </r>
      </text>
    </comment>
    <comment ref="AA1" authorId="0" shapeId="0" xr:uid="{6ECC2883-E2DB-4A0F-A8E0-5F9C7F3E9932}">
      <text>
        <r>
          <rPr>
            <sz val="9"/>
            <color indexed="81"/>
            <rFont val="Segoe UI"/>
            <family val="2"/>
          </rPr>
          <t>O crédito deve ser de quem criou a ilustração e produziu-a pela primeira vez. Em casos de mais de um ilustrador, separar por /. Ex: Sergio Lima/Rogério Casagrande</t>
        </r>
      </text>
    </comment>
    <comment ref="AB1" authorId="0" shapeId="0" xr:uid="{A75A1E6C-CE82-4039-B5E4-8415AFD6F938}">
      <text>
        <r>
          <rPr>
            <sz val="9"/>
            <color indexed="81"/>
            <rFont val="Segoe UI"/>
            <family val="2"/>
          </rPr>
          <t xml:space="preserve">Selecione na lista suspensa em cada célula a classificação da ilustração.
</t>
        </r>
      </text>
    </comment>
    <comment ref="AC1" authorId="0" shapeId="0" xr:uid="{B96AFB6E-62C6-4112-AC4A-77C048F5CEC2}">
      <text>
        <r>
          <rPr>
            <sz val="9"/>
            <color indexed="81"/>
            <rFont val="Segoe UI"/>
            <family val="2"/>
          </rPr>
          <t>Anotações gerais/adicionais do designer sobre a produção da imagem.</t>
        </r>
      </text>
    </comment>
    <comment ref="AD1" authorId="0" shapeId="0" xr:uid="{71499792-448C-4233-8683-C2F2FA803FED}">
      <text>
        <r>
          <rPr>
            <sz val="9"/>
            <color indexed="81"/>
            <rFont val="Segoe UI"/>
            <family val="2"/>
          </rPr>
          <t>Anotações para fechamento dos pagamentos mensais das ilustrações.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tc={B40F170E-C81C-4641-A112-44BA3A31C72E}</author>
  </authors>
  <commentList>
    <comment ref="B5" authorId="0" shapeId="0" xr:uid="{B40F170E-C81C-4641-A112-44BA3A31C72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Sempre confirmar no inicio do projeto esses créditos em verde com a Iconografia.
</t>
      </text>
    </comment>
  </commentList>
</comments>
</file>

<file path=xl/sharedStrings.xml><?xml version="1.0" encoding="utf-8"?>
<sst xmlns="http://schemas.openxmlformats.org/spreadsheetml/2006/main" count="4463" uniqueCount="1953">
  <si>
    <t>PRÉ-EDIÇÃO</t>
  </si>
  <si>
    <t>ILUSTRAÇÃO</t>
  </si>
  <si>
    <t>CAPA</t>
  </si>
  <si>
    <t>AJUSTE</t>
  </si>
  <si>
    <t>SCRIBA</t>
  </si>
  <si>
    <t>PREVISAO</t>
  </si>
  <si>
    <t>EDICAO_EQUIPE</t>
  </si>
  <si>
    <t>IL TEC ARTE</t>
  </si>
  <si>
    <t>APRESENT.</t>
  </si>
  <si>
    <t>NOVA</t>
  </si>
  <si>
    <t>FTD</t>
  </si>
  <si>
    <t>FINALIZADO</t>
  </si>
  <si>
    <t>EDICAO_ARTE</t>
  </si>
  <si>
    <t>IL + FOTO</t>
  </si>
  <si>
    <t>SUMÁRIO</t>
  </si>
  <si>
    <t>RESGATE</t>
  </si>
  <si>
    <t>MDN</t>
  </si>
  <si>
    <t>FINALIZADO RAFE</t>
  </si>
  <si>
    <t>ILUSTRANDO</t>
  </si>
  <si>
    <t>MAPA</t>
  </si>
  <si>
    <t>ABERTURA</t>
  </si>
  <si>
    <t>SABER</t>
  </si>
  <si>
    <t>PAGO</t>
  </si>
  <si>
    <t>AVALIANDO</t>
  </si>
  <si>
    <t>GRÁFICO</t>
  </si>
  <si>
    <t>MIOLO</t>
  </si>
  <si>
    <t>SM</t>
  </si>
  <si>
    <t>PAGO RAFE</t>
  </si>
  <si>
    <t>AJUSTANDO</t>
  </si>
  <si>
    <t>LINHA TEMPO</t>
  </si>
  <si>
    <t>PAG.ESPECIAL</t>
  </si>
  <si>
    <t>SCP</t>
  </si>
  <si>
    <t>FINALIZANDO</t>
  </si>
  <si>
    <t>INFOGRÁFICO</t>
  </si>
  <si>
    <t>MP-G</t>
  </si>
  <si>
    <t>ÚNICO</t>
  </si>
  <si>
    <t>ABR</t>
  </si>
  <si>
    <t>PRONTA</t>
  </si>
  <si>
    <t>MP-E</t>
  </si>
  <si>
    <t>BASE</t>
  </si>
  <si>
    <t>APLICADA</t>
  </si>
  <si>
    <t>IBEP</t>
  </si>
  <si>
    <t>EXCLUIDA</t>
  </si>
  <si>
    <t>LEYA</t>
  </si>
  <si>
    <t>SARAIVA</t>
  </si>
  <si>
    <t>SANTILLANA</t>
  </si>
  <si>
    <t>QUINTETO</t>
  </si>
  <si>
    <t>RETRANCA</t>
  </si>
  <si>
    <t>STATUS</t>
  </si>
  <si>
    <t>CATEGORIA</t>
  </si>
  <si>
    <t>LOCALIZAÇÃO</t>
  </si>
  <si>
    <t>PÁGINA</t>
  </si>
  <si>
    <t>VOLUME</t>
  </si>
  <si>
    <t>UNIDADE</t>
  </si>
  <si>
    <t>CAPÍTULO 
 ou
 SEÇÃO</t>
  </si>
  <si>
    <t>TIPO</t>
  </si>
  <si>
    <t>NOME DA OBRA
 PARA RESGATE</t>
  </si>
  <si>
    <t>PÁGINA PARA RESGATE</t>
  </si>
  <si>
    <t>VOLUME PARA RESGATE</t>
  </si>
  <si>
    <t>VERSÃO PARA RESGATE</t>
  </si>
  <si>
    <t>PROPRIEDADE</t>
  </si>
  <si>
    <t>DESCRIÇÃO DA IMAGEM</t>
  </si>
  <si>
    <t>ILUSTRADOR RESGATE</t>
  </si>
  <si>
    <t>OBSERVAÇÃO DO EDITORIAL/NÚCLEO</t>
  </si>
  <si>
    <t>LOTE</t>
  </si>
  <si>
    <t xml:space="preserve">DATA DE LIBERAÇÃO DO LOTE PARA ARTE </t>
  </si>
  <si>
    <t>DATA DE ENVIO 
DO PEDIDO</t>
  </si>
  <si>
    <t>DATA DO RECEBIMENTO 
DO RAFE</t>
  </si>
  <si>
    <t>DATA DE RETORNO DO RAFE PARA ILUSTRADOR</t>
  </si>
  <si>
    <t>DATA DE RECEBIMENTO
 DA FINALIZADA</t>
  </si>
  <si>
    <t>SIGLA</t>
  </si>
  <si>
    <t>ILUSTRADOR CRIAÇÃO</t>
  </si>
  <si>
    <t>ILUSTRADOR AJUSTES</t>
  </si>
  <si>
    <t>CRÉDITOS  (A e B)</t>
  </si>
  <si>
    <t>CLASSIFICAÇÃO</t>
  </si>
  <si>
    <t>OBSERVAÇÃO DA ARTE</t>
  </si>
  <si>
    <t>OBSERVAÇÃO DE PAGAMENTO</t>
  </si>
  <si>
    <t>PROJETO</t>
  </si>
  <si>
    <t>i0102_4p012p_g27_e002</t>
  </si>
  <si>
    <t xml:space="preserve">Ilustrar uma aldeia indígena e um ratinho à procura de um pajé.
Passar essa ilu para o Gustavo Ramos ou Fabio Eugenio
</t>
  </si>
  <si>
    <t>fe</t>
  </si>
  <si>
    <t>R: 07/05 ; R2: 14/05 ; F: 22/05</t>
  </si>
  <si>
    <t>i0103_4p012p_g27_e002</t>
  </si>
  <si>
    <t xml:space="preserve">Ilustrar um pajé forte, poderoso, transformando o ratinho em sapo ou em gavião. Esse pajé não deve portar nenhum instrumento ou acessório do tipo cachimbo, cigarro, faca etc.
Passar essa ilu para o Gustavo Ramos ou Fabio Eugenio
</t>
  </si>
  <si>
    <t>i0104_4p012p_g27_e002</t>
  </si>
  <si>
    <t xml:space="preserve">Ilustrar o ratinho fugindo para a cidade.
Passar essa ilu para o Gustavo Ramos ou Fabio Eugenio
</t>
  </si>
  <si>
    <t>i0105_4p012p_g27_e002</t>
  </si>
  <si>
    <t xml:space="preserve">ilustrar o pajé conversando com alguns guerreiros.
Passar essa ilu para o Gustavo Ramos ou Fabio Eugenio
</t>
  </si>
  <si>
    <t>i0109_4p012p_g27_e002</t>
  </si>
  <si>
    <t xml:space="preserve">Recorte da ilustração do texto: ratinho.
Passar essa ilu para o Gustavo Ramos ou Fabio Eugenio
</t>
  </si>
  <si>
    <t>Bruna Campos</t>
  </si>
  <si>
    <t>Recorte</t>
  </si>
  <si>
    <t>i0110_4p012p_g27_e002</t>
  </si>
  <si>
    <t xml:space="preserve">Recorte da ilustração do texto: Pajé.
Passar essa ilu para o Gustavo Ramos ou Fabio Eugenio
</t>
  </si>
  <si>
    <t>i0112_4p012p_g27_e002</t>
  </si>
  <si>
    <t xml:space="preserve">Ilustrar um grupo de 4 alunos de 9 anos reunidos em sala de aula se preparando para uma apresentação oral (uniformizados). Eles podem estar com semblante feliz e com papéis nas mãos. Variar os tipos físicos: crianças gordinhas, negras, ruivas, com aparelho nos dentes, aparelho auditivo, vitiligo etc.
Passar essa ilu para o Gustavo Ramos, Veridiana Camelo ou Fabio Eugenio
</t>
  </si>
  <si>
    <t>R: 29/04 ; F: 05/05</t>
  </si>
  <si>
    <t>i0114_4p012p_g27_e002</t>
  </si>
  <si>
    <t xml:space="preserve">Ilustrar alguns elementos que remetam ao teatro (máscaras, cortinas, canhão de luz, vestido, aplausos etc.) </t>
  </si>
  <si>
    <t>vo</t>
  </si>
  <si>
    <t>R: 28/04 ; F: 30/04</t>
  </si>
  <si>
    <t>i0302_4p012p_g27_e002</t>
  </si>
  <si>
    <t>Ilustração abstrata para o poema “Pássaro livre”, com cores e traços que traduzam liberdade (movimento, vento etc.).</t>
  </si>
  <si>
    <t>bz</t>
  </si>
  <si>
    <t>R: 21/05. F: 29/05</t>
  </si>
  <si>
    <t>i0303_4p012p_g27_e002</t>
  </si>
  <si>
    <t>Ilustração para o poema “Os poemas” com cores e traços que traduzam movimento, pode haver algumas letras como se estivessem voando, em movimento, tentando se organizar em linhas.</t>
  </si>
  <si>
    <t>i0304_4p012p_g27_e002</t>
  </si>
  <si>
    <t>Recorte: Detalhe da il.(i0303) para o poema “Os poemas” para acompanhar o trecho.</t>
  </si>
  <si>
    <t>i0305_4p012p_g27_e002</t>
  </si>
  <si>
    <t>Recorte: Detalhe da il.(i0302) para o poema “Pássaro livre” para acompanhar o trecho.</t>
  </si>
  <si>
    <t>i0306_4p012p_g27_e002</t>
  </si>
  <si>
    <t>Recorte: Detalhe da il. (i0302) para o poema “Pássaro livre” para acompanhar o trecho.</t>
  </si>
  <si>
    <t>i0307_4p012p_g27_e002</t>
  </si>
  <si>
    <t>Recorte: Detalhe da il. (i0303) para o poema “Os poemas” para acompanhar o trecho.</t>
  </si>
  <si>
    <t xml:space="preserve">Ilustração excluída </t>
  </si>
  <si>
    <t>Excluída por falta de espaço.</t>
  </si>
  <si>
    <t>i0308_4p012p_g27_e002</t>
  </si>
  <si>
    <t>Ilustração para o poema 1, “Compro um barco cheio de vento”, que remeta a um ambiente marítimo, pode haver uma espécie de embarcação de vento e nuvens.</t>
  </si>
  <si>
    <t>dw</t>
  </si>
  <si>
    <t>R: 16/05  F: 20/05</t>
  </si>
  <si>
    <t>i0309_4p012p_g27_e002</t>
  </si>
  <si>
    <t>Ilustração abstrata para o poema 2, Meditação transcendental, que remeta a algo mais onírico, com cores e formas suaves, espirais e onduladas.</t>
  </si>
  <si>
    <t>R: 16/05. Pagar apenas os 30% do Rafe. 
Poderá (ou não) ser finalizada, 
aguardando autorização do texto.</t>
  </si>
  <si>
    <t>i0310_4p012p_g27_e002</t>
  </si>
  <si>
    <t>Ilustrar um moinho de vento ou uma parte de um moinho de vento na lateral do texto.</t>
  </si>
  <si>
    <t>i0311_4p012p_g27_e002</t>
  </si>
  <si>
    <t>Ilustrar uma gota de água.</t>
  </si>
  <si>
    <t>Excluída.</t>
  </si>
  <si>
    <t>i0312_4p012p_g27_e002</t>
  </si>
  <si>
    <t>Ilustrar um passarinho falando ao telefone. Na cena pode ter outros elementos, como os galhos de uma árvore em que ele está. Ele pode estar observando alguma cena na floresta. A ideia é representar um passarinho fofoqueiro.</t>
  </si>
  <si>
    <t>R2: 20/05  F: 23/05</t>
  </si>
  <si>
    <t>i0318_4p012p_g27_e002</t>
  </si>
  <si>
    <t>Ilustrar um córrego no momento em que está escurecendo (com algumas estrelas refletindo nele).</t>
  </si>
  <si>
    <t xml:space="preserve">i0304_1p012p_g27_e002 </t>
  </si>
  <si>
    <t xml:space="preserve">Ilustrar algumas crianças sentadas em roda e outras duas em pé de mãos dadas dando a impressão de estarem andando em fila. Ilustrar com traço mais artístico e convidativo às crianças. 
De preferência, enviar para algum dos seguintes ilustradores: Fabio Eugenio, Ezequiel, Daniel Wu, Veridiana e Fernanda Monteiro. </t>
  </si>
  <si>
    <t>R: 26/05  F: 05/06</t>
  </si>
  <si>
    <t xml:space="preserve">i0305_1p012p_g27_e002 </t>
  </si>
  <si>
    <t xml:space="preserve">Ilustrar um tatu com elementos de festa, como chapéu de aniversário, fitinhas. Usar traço mais artístico. 
De preferência, enviar para algum dos seguintes ilustradores: Fabio Eugenio, Ezequiel, Daniel Wu, Veridiana e Fernanda Monteiro. </t>
  </si>
  <si>
    <t>i0306_1p012p_g27_e002</t>
  </si>
  <si>
    <t xml:space="preserve">Compor um convite com alguns detalhes, como ramos em volta, na moldura. Esse convite deve estar parcialmente em cima de um envelope aberto, conforme apresentado na imagem, com texto em CA. Manter os elementos dispostos de acordo com o original: o texto blocado à esquerda e a assinatura deslocada à direita. Ilustrar também elementos que ajudem os estudantes nas perguntas do Antes de Ler: algo que remeta à festa de aniversário, como chapéu de festa, língua de sogra, enfeites coloridos, uma caixinha lembrando um presente embrulhado. Deixar somente o convite, sem personagem. De preferência, enviar para algum dos seguintes ilustradores: Fabio Eugenio, Ezequiel, Daniel Wu, Veridiana e Fernanda Monteiro. </t>
  </si>
  <si>
    <t>ez</t>
  </si>
  <si>
    <t>R: 26/05  F: 30/05</t>
  </si>
  <si>
    <t xml:space="preserve">i0307_1p012p_g27_e002 </t>
  </si>
  <si>
    <t xml:space="preserve">A ilustração do texto principal pode invadir o rodapé desta página.Ilustração de alguns envelopes de convite de festa de aniversário infantil, de cores diversas, com enfeites diferentes em cada um (como laços, adesivos, balões de festa etc.) sobre uma mesa ou escrivaninha. A ilustração pode ficar centralizada logo após a atividade 2. De preferência, enviar para algum dos seguintes ilustradores: Fabio Eugenio, Ezequiel, Daniel Wu, Veridiana e Fernanda Monteiro. </t>
  </si>
  <si>
    <t xml:space="preserve">i0308_1p012p_g27_e002 </t>
  </si>
  <si>
    <t xml:space="preserve">Aplicar recorte do convite (i0306 + t0023) com as seguintes informações, apenas a parte do texto: </t>
  </si>
  <si>
    <t xml:space="preserve">i0309_1p012p_g27_e002 </t>
  </si>
  <si>
    <t xml:space="preserve">Arte: aplicar tratamento para retomadas de texto citado.recorte do convite com as seguintes informações (apenas a parte desse texto): </t>
  </si>
  <si>
    <t xml:space="preserve">i0310_1p012p_g27_e002 </t>
  </si>
  <si>
    <t xml:space="preserve">Compor ilustração para encerrar a página. Pode ser um convite também de aniversário ou elementos referentes a um aniversário. Deve estar associada ao gênero convite. De preferência, enviar para algum dos seguintes ilustradores: Fabio Eugenio, Ezequiel, Daniel Wu, Veridiana e Fernanda Monteiro. </t>
  </si>
  <si>
    <t xml:space="preserve">i0313_1p012p_g27_e002 </t>
  </si>
  <si>
    <t xml:space="preserve">Arte, compor ilustração de uma letra T com uma roupa social, como um terno e gravata. De preferência, enviar para algum dos seguintes ilustradores: Fabio Eugenio, Ezequiel, Daniel Wu, Veridiana e Fernanda Monteiro. </t>
  </si>
  <si>
    <t xml:space="preserve">i0311_1p012p_g27_e002 </t>
  </si>
  <si>
    <t xml:space="preserve">Ilustrar algumas letras (vogais e consoantes) coloridas de diversos tamanhos e formatos invadindo o rodapé da página anterior. De preferência, enviar para algum dos seguintes ilustradores: Fabio Eugenio, Ezequiel, Daniel Wu, Veridiana e Fernanda Monteiro. </t>
  </si>
  <si>
    <t xml:space="preserve">i0312_1p012p_g27_e002 </t>
  </si>
  <si>
    <t xml:space="preserve">Ilustrar envelope aberto com uma folha escrita, como se fosse um rascunho de um convite, e um lápis ao lado, representando um convite sendo elaborado. Pode ter escrito maior, e legível, a palavra “Convite” escrita à mão no início. De preferência, enviar para algum dos seguintes ilustradores: Fabio Eugenio, Ezequiel, Daniel Wu, Veridiana e Fernanda Monteiro. </t>
  </si>
  <si>
    <t xml:space="preserve">i0314_1p012p_g27_e002 </t>
  </si>
  <si>
    <t>Ilustração com traço mais artístico, que sugira a ação de pular corda, mas não seja puramente referencial. A ilustração não deve entregar de bandeja a situação, mas deve ajudar os estudantes a inferirem, antes de ler, que o texto a ser explorado é uma parlenda de pular corda. De preferência, enviar para algum dos seguintes ilustradores: Fabio Eugenio, Ezequiel, Daniel Wu, Veridiana e Fernanda Monteiro.</t>
  </si>
  <si>
    <t>gr</t>
  </si>
  <si>
    <t>R: 29/05  F: 09/06</t>
  </si>
  <si>
    <t xml:space="preserve">i0315_1p012p_g27_e002 </t>
  </si>
  <si>
    <t xml:space="preserve">Ilustrar uma galinha olhando intrigada para um ovo ou algo semelhante. De preferência, enviar para algum dos seguintes ilustradores: Fabio Eugenio, Ezequiel, Daniel Wu, Veridiana e Fernanda Monteiro. </t>
  </si>
  <si>
    <t>fm</t>
  </si>
  <si>
    <t>R: 02/06  F: 09/06</t>
  </si>
  <si>
    <t xml:space="preserve">i0316_1p012p_g27_e002 </t>
  </si>
  <si>
    <t xml:space="preserve">Ilustrar uma rua larga (na parte perto) e longa (indo estreitando e sumindo no horizonte). De preferência, enviar para algum dos seguintes ilustradores: Fabio Eugenio, Ezequiel, Daniel Wu, Veridiana e Fernanda Monteiro. </t>
  </si>
  <si>
    <t xml:space="preserve">i0317_1p012p_g27_e002 </t>
  </si>
  <si>
    <t>Ilustrar um calendário de parede. De preferência, enviar para algum dos seguintes ilustradores: Fabio Eugenio, Ezequiel, Daniel Wu, Veridiana e Fernanda Monteiro.</t>
  </si>
  <si>
    <t>i0509_4p012p_g27_e002</t>
  </si>
  <si>
    <t>Fazer ilustração poética com uma borboleta amarela. Se couber na ilustração, inserir um flamboyant sem folhas. Poderia ser em estilo aquarela ou algo do tipo.
Mandar, de preferência, para algum dos ilustradores a seguir: Gustavo Ramos, Veridiana Camelo e Fabio Eugenio.
Ref de borboletas amarelas</t>
  </si>
  <si>
    <t>R: 03/06  F: 13/06</t>
  </si>
  <si>
    <t>i0510_4p012p_g27_e002</t>
  </si>
  <si>
    <t>Ilustrar um envelope de carta aberto com uma carta dentro dele, as letras podem ser garatujas, como risquinhos imitando letras cursivas. A escrita não precisa ser com texto especifico e legível. O envelope também deixar em branco.</t>
  </si>
  <si>
    <t>i0517_4p012p_g27_e002</t>
  </si>
  <si>
    <t>Ilustrar um Papai Noel, clássico, com um saco de presentes nas costas, feliz. Imitar um desenho feito por uma criança para dar a entender que foi a criança da carta que desenhou.
Mandar, de preferência, para algum dos ilustradores a seguir: Gustavo Ramos, Veridiana Camelo e Fabio Eugenio.</t>
  </si>
  <si>
    <t>i0519_4p012p_g27_e002</t>
  </si>
  <si>
    <t>Ilustrar um homem negro, sentado à mesa de um restaurante olhando o cardápio.
Mandar, de preferência, para algum dos ilustradores a seguir: Gustavo Ramos, Veridiana Camelo e Fabio Eugenio.</t>
  </si>
  <si>
    <t>i0520_4p012p_g27_e002</t>
  </si>
  <si>
    <t>Ilustrar um envelope com uma carta, dando a ideia de que o envelope acabou de ser aberto e a carta está na frente dele.
Mandar, de preferência, para algum dos ilustradores a seguir: Gustavo Ramos, Veridiana Camelo e Fabio Eugenio.</t>
  </si>
  <si>
    <t>R: 03/06  F: 13/06
Excluída pela equipe, porém, 
precisa pagar pois foi pra finalização.</t>
  </si>
  <si>
    <t>i0522_4p012p_g27_e002</t>
  </si>
  <si>
    <t>Ilustração de um envelope de carta esboçado (rabiscos) com dados do destinatário. Ao fundo pode haver um papel também com esboço da carta escrita à mão.</t>
  </si>
  <si>
    <t>i0101_3p012p_g27_e002</t>
  </si>
  <si>
    <t xml:space="preserve">Ilustrar uma princesa e um príncipe, ela negra e ele pardo, no fundo de um poço com cara de assustados.
De preferência, mandar para um dos ilustradores a seguir: Gustavo Ramos, Veridiana Camelo e Fabio Eugenio.
</t>
  </si>
  <si>
    <t>R: 19/06  F:26/06</t>
  </si>
  <si>
    <t>i0102_3p012p_g27_e002</t>
  </si>
  <si>
    <t xml:space="preserve">Ilustrar os mesmos príncipe e princesa agora com duas crianças (sendo filhas do casal, então devem ser negras ou pardas) em um avião com cara de felizes.
De preferência, mandar para um dos ilustradores a seguir: Gustavo Ramos, Veridiana Camelo e Fabio Eugenio.
</t>
  </si>
  <si>
    <t>i0103_3p012p_g27_e002</t>
  </si>
  <si>
    <t xml:space="preserve">Ilustrar a princesa e o príncipe novamente no fundo do mesmo poço, mas agora além de assustados estão com frio, tremendo.
De preferência, mandar para um dos ilustradores a seguir: Gustavo Ramos, Veridiana Camelo e Fabio Eugenio.
</t>
  </si>
  <si>
    <t>i0104_3p012p_g27_e002</t>
  </si>
  <si>
    <t xml:space="preserve">Ilustrar príncipe, princesa e as mesmas crianças agora em uma praia, felizes e se divertindo.
De preferência, mandar para um dos ilustradores a seguir: Gustavo Ramos, Veridiana Camelo e Fabio Eugenio.
</t>
  </si>
  <si>
    <t>i0105_3p012p_g27_e002</t>
  </si>
  <si>
    <t>Inserir em papeleta do projeto e ilustrar na parte de cima elementos do céu diurno e noturno, com sol, nuvens, lua e estrelas.</t>
  </si>
  <si>
    <t>lz</t>
  </si>
  <si>
    <t>R: 18/06  F:25/06</t>
  </si>
  <si>
    <t>i0106_3p012p_g27_e002</t>
  </si>
  <si>
    <t>Inserir em papeleta do projeto e ilustrar nas laterais um sol e algumas nuvens.</t>
  </si>
  <si>
    <t>i0501_3p012p_g27_e002</t>
  </si>
  <si>
    <t xml:space="preserve">Ilustrar um fantasma representando Pluft, o fantasminha, atrás (e não na frente) de uma poltrona com sua mãe, outra fantasma, sentada fazendo tricô distraidamente 1108-POR-V3-U3-LA-I007
De preferência, mandar para um dos ilustradores a seguir: Gustavo Ramos, Veridiana Camelo e Fabio Eugenio.
</t>
  </si>
  <si>
    <t>ni</t>
  </si>
  <si>
    <t>R: 13/08  F: 16/08</t>
  </si>
  <si>
    <t>i0502_3p012p_g27_e002</t>
  </si>
  <si>
    <t xml:space="preserve">Ilustrar Pluft com uma boneca de pano nas mãos. A boneca deve ser parda, ter cabelos castanhos escuros e um vestido verde 
De preferência, mandar para um dos ilustradores a seguir: Gustavo Ramos, Veridiana Camelo e Fabio Eugenio.
</t>
  </si>
  <si>
    <t>i0503_3p012p_g27_e002</t>
  </si>
  <si>
    <t xml:space="preserve">Ilustrar Pluft com um carrinho de brinquedo vermelho nas mãos 
De preferência, mandar para um dos ilustradores a seguir: Gustavo Ramos, Veridiana Camelo e Fabio Eugenio.
</t>
  </si>
  <si>
    <t>i0504_3p012p_g27_e002</t>
  </si>
  <si>
    <t xml:space="preserve">Ilustrar Pluft com uma bola colorida nas mãos 
De preferência, mandar para um dos ilustradores a seguir: Gustavo Ramos, Veridiana Camelo e Fabio Eugenio.
</t>
  </si>
  <si>
    <t>i0505_3p012p_g27_e002</t>
  </si>
  <si>
    <t xml:space="preserve">Ilustrar Pluft com um patinho de borracha (amarelo) nas mãos 
De preferência, mandar para um dos ilustradores a seguir: Gustavo Ramos, Veridiana Camelo e Fabio Eugenio.
Ver referência (o controle de videogame deve ser trocado por um patinho de brinquedo)
</t>
  </si>
  <si>
    <t>i0506_3p012p_g27_e002</t>
  </si>
  <si>
    <t xml:space="preserve">Ilustrar o Pluft se assustando com um homem asiático de óculos. 
De preferência, mandar para um dos ilustradores a seguir: Gustavo Ramos, Veridiana Camelo e Fabio Eugenio.
Ver referência (mas pode usar o Pluft mesmo, e não um fantasma diferente)
</t>
  </si>
  <si>
    <t>i0507_3p012p_g27_e002</t>
  </si>
  <si>
    <t xml:space="preserve">Ilustrar o mesmo homem asiático de óculos se assustando com o Pluft (o Pluft não deve estar tentando assustar o homem, apenas estar parado). 
De preferência, mandar para um dos ilustradores a seguir: Gustavo Ramos, Veridiana Camelo e Fabio Eugenio.
Ver referência (mas pode usar o Pluft mesmo, e não um fantasma diferente)
</t>
  </si>
  <si>
    <t>i0101_1p012p_g27_e002</t>
  </si>
  <si>
    <t>Vamos iniciar</t>
  </si>
  <si>
    <t>Ilustrar uma garotinha de 6 anos, negra, feliz, deitada no chão observando um calendário. Ref:</t>
  </si>
  <si>
    <t>Excluída por falta de espaço na página</t>
  </si>
  <si>
    <t>i0102_1p012p_g27_e002</t>
  </si>
  <si>
    <t>Ilustrar, perto da atividade 3 menino de 6 anos, oriental, em cadeira de rodas, brincando de empinar pipa. (montar layout pra ver se cabe)</t>
  </si>
  <si>
    <t>cf</t>
  </si>
  <si>
    <t>R: 10/06  F: 20/06</t>
  </si>
  <si>
    <t>i0104_1p012p_g27_e002</t>
  </si>
  <si>
    <t xml:space="preserve">Ilustrar cantiga, fazendo referência a bambu e a brincadeira de roda. Ilustração com traço mais artístico para acompanhar o texto da brincadeira. Sugestão: 4 crianças, dois meninos e duas meninas, brincando de roda (variar tipos físicos e etnias. Pelo menos 1 negra retinta e outra negra ou parda; fazer uma mais magrinha e uma bem gordinha). Elas podem estar de pé, de mãos dadas, como se estivessem girando. Em meio à natureza e um bambuzal fazendo parte do cenário. Inserir um adulto por perto. Pode ser uma mulher morena.
Preferencialmente passar para: Fabio Eugenio, Ezequiel, Daniel Wu, Veridiana e Fernanda Monteiro
</t>
  </si>
  <si>
    <t>R: 20/06  F: 30/06</t>
  </si>
  <si>
    <t>i0105_1p012p_g27_e002</t>
  </si>
  <si>
    <t xml:space="preserve">Ilustrar um menino negro, de cabelos crespos, de óculos, com expressão de dúvida. Em torno dele pode haver alguns pontos de interrogação de diversas cores e diversos tamanhos. </t>
  </si>
  <si>
    <t>i0106_1p012p_g27_e002</t>
  </si>
  <si>
    <t xml:space="preserve">Ilustrar um jardim com diversas plantas e flores, sugerindo um jardim encantado. A ideia é que a ilustração seja bem poética. Se fosse em estilo aquarela ou que lembre aquarela seria ótimo. Entre elas, uma folha de jasmim se destaca, “brilha”, como se guardasse algo especial. Pode haver pequenos detalhes sutis, como traços que lembram letras... A intenção é deixar o mais arejado possível.
Referência de jasmim:
</t>
  </si>
  <si>
    <t>rv</t>
  </si>
  <si>
    <t>R: 10/06  F: 13/06</t>
  </si>
  <si>
    <t>i0107_1p012p_g27_e002</t>
  </si>
  <si>
    <t>Continuação da il do texto principal (jardim de flores), fechando a página, no rodapé.</t>
  </si>
  <si>
    <t>i0111_1p012p_g27_e002</t>
  </si>
  <si>
    <t>Ilustrar em PB uma folha de jasmim. Dentro da folha, deve haver caixa de texto, sem fio, para o estudante escrever. A caixa de escrita deve ter um bom tamanho, o maior possível neste espaço.</t>
  </si>
  <si>
    <t>i0115_1p012p_g27_e002</t>
  </si>
  <si>
    <t>RECORTE da ilustração do texto principal (i0106): parte em que aparece o jasmim.</t>
  </si>
  <si>
    <t>i0116_1p012p_g27_e002</t>
  </si>
  <si>
    <t>Ilustração calhau para fechar a página. Podem ser folhas de jasmim, com sílabas que formem palavras presentes na quadrinha. Devem aparecer ao menos as sílabas: “JAS”, “MIM” e “JAR”, “DIM” (em maiúscula). Mesma linguagem da il do texto principal. Além das folhas com as sílabas dentro pode haver outras flores na il.</t>
  </si>
  <si>
    <t>i0117_1p012p_g27_e002</t>
  </si>
  <si>
    <t xml:space="preserve">Ilustração de duas folhas de jasmim em fio preto, com os nomes JARBAS e MARTA em CXA em cada folha. </t>
  </si>
  <si>
    <t>i0118_1p012p_g27_e002</t>
  </si>
  <si>
    <t>Recorte da il principal (i0106) ao lado do diagrama: algumas flores</t>
  </si>
  <si>
    <t>i0128_1p012p_g27_e002</t>
  </si>
  <si>
    <t>Ilustração em fio preto de um tatu.</t>
  </si>
  <si>
    <t>rm</t>
  </si>
  <si>
    <t>F: 11/06</t>
  </si>
  <si>
    <t>i0129_1p012p_g27_e002</t>
  </si>
  <si>
    <t>Ilustração em fio preto de um macaco.</t>
  </si>
  <si>
    <t>i0130_1p012p_g27_e002</t>
  </si>
  <si>
    <t>Ilustração de rede (de dormir).</t>
  </si>
  <si>
    <t>i0131_1p012p_g27_e002</t>
  </si>
  <si>
    <t>Ilustração de nabo.</t>
  </si>
  <si>
    <t>i0132_1p012p_g27_e002</t>
  </si>
  <si>
    <t>Ilustração de tatu.</t>
  </si>
  <si>
    <t xml:space="preserve">i0136_1p012p_g27_e002 </t>
  </si>
  <si>
    <t>Ilustrar uma mesa com diversos crachás de mesa com os seguintes nomes: BIANCA, AURORA, JÚLIO e PAULO. Referência:</t>
  </si>
  <si>
    <t xml:space="preserve">i0137_1p012p_g27_e002 </t>
  </si>
  <si>
    <t xml:space="preserve">Ilustração na lateral do poema: podem ser alguns elementos citados no poema: um jacaré e um crocodilo se olhando; e/ou um idoso segurando um bebê no colo (ambos pardos ou negros). Preferencialmente passar para: Fabio Eugenio, Ezequiel, Daniel Wu, Veridiana e Fernanda Monteiro.
Ref de jacaré contornado em verde e crocodilo contornado em vermelho. Crocodilo vai ter o focinho em formato afinado, os dentes mais discretos e na cor mais esverdeada. Jacaré vai ter o focinho mais em formato em U, dentes evidentes e a cor mais para preto e cinzento. </t>
  </si>
  <si>
    <t>novo código i0163_1p012p_g27_e002  (liberada como Lote 17)</t>
  </si>
  <si>
    <t>R: 20/06  CANCELADA APÓS O RAFÉ. 
Favor efetuar o pagamento dos 30% do rafe.</t>
  </si>
  <si>
    <t>i0138_1p012p_g27_e002</t>
  </si>
  <si>
    <t>Ilustrar um menino de 6 anos branco, de cabelo castanho e uma perna amputada, com prótese, e uma menina de 6 anos, oriental, mais gordinha, ambos de uniforme escolar, na sala de aula, em pé, declamando um poema. Eles podem estar segurando um papel cada um e estarem com expressões faciais bem expressivas, como se estivessem declamando. Deixar espaço para entrar os balões de fala .</t>
  </si>
  <si>
    <t>R: 12/06  F: 20/06</t>
  </si>
  <si>
    <t>i0139_1p012p_g27_e002</t>
  </si>
  <si>
    <t xml:space="preserve">Ilustrar texto de modo criativo, tentando deixar a dupla de páginas mais leve e atraente. Poderia ser crianças brincando de fazer bolinhas de sabão (que podem aparecer na lateral do texto) e dentro delas algumas letras. O importante é não poluir a página nem atrapalhar a leitura do texto. A ilustração deve dar uma aliviada na “massa de texto”. Variar etnia das crianças, se forem duas: um menino e uma menina de 6 anos, ele negro retinto, ela morena com cordão de doenças invisíveis (girassol). Pode ficar uma criança em cada página.
Preferencialmente passar para: Fabio Eugenio, Ezequiel, Daniel Wu, Veridiana e Fernanda Monteiro
</t>
  </si>
  <si>
    <t>i0140_1p012p_g27_e002</t>
  </si>
  <si>
    <t>Ilustrar texto de modo criativo, tentando deixar a dupla de páginas mais leve e atraente. Poderia ser crianças brincando de fazer bolhinhas de sabão (que podem aparecer na lateral do texto) e dentro delas algumas letras. O importante é não poluir a página nem atrapalhar a leitura do texto. A ilustração deve dar uma aliviada na “massa de texto”. Variar etnia das crianças, se forem duas: um menino e uma menina de 6 anos, ele negro retinto, ela morena com cordão de doenças invisíveis (girassol). Pode ficar uma criança em cada página. Preferencialmente passar para: Fabio Eugenio, Ezequiel, Daniel Wu, Veridiana e Fernanda Monteiro</t>
  </si>
  <si>
    <t>i0141_1p012p_g27_e002</t>
  </si>
  <si>
    <t>Ilustrar no rodapé as mesmas bolhas de sabão do texto principal, mas agora formando alguns dos nomes do texto, por exemplo:
ALICE, DAVI, JOCA, NINA</t>
  </si>
  <si>
    <t>i0142_1p012p_g27_e002</t>
  </si>
  <si>
    <t>Aplicar detalhes de ilustração de texto principal na lateral do texto. Podem ser só as bolhas de sabão.</t>
  </si>
  <si>
    <t>i0143_1p012p_g27_e002</t>
  </si>
  <si>
    <t>i0144_1p012p_g27_e002</t>
  </si>
  <si>
    <t>Il de bolha com a letra Z dentro</t>
  </si>
  <si>
    <t>i0152_1p012p_g27_e002</t>
  </si>
  <si>
    <t>Ilustração de uma criança preenchendo uma ficha de avaliação como esta do livro. A il pode pegar a criança meio de costas, mostrando ela e o livro. Ela deve ter 6 anos, estar uniformizada na carteira na sala de aula. Pode ser um menino pardo, de cabelos cacheados.</t>
  </si>
  <si>
    <t>i0157_1p012p_g27_e002</t>
  </si>
  <si>
    <t xml:space="preserve">Ilustrar cartela de bingo de nomes. Ver ideia abaixo, mas compor de modo mais divertido e não deixar similar à quadro/tabela usando fundo cor e contornos. </t>
  </si>
  <si>
    <t>i1101_3p012p_g27_e002</t>
  </si>
  <si>
    <t xml:space="preserve">Il de crianças sentadas no quintal de uma casa perto de um gatinho. Uma criança, ao meio, deve ser um menino negro com um caderno nas mãos dando a impressão de que está declamando poemas (escritos nesse caderno) para os amigos ouvirem. As outras crianças podem ser um menino loiro em cadeira de rodas e uma menina asiática. Eles podem estar de uniforme.
De preferência, mandar para um dos ilustradores a seguir: Gustavo Ramos, Veridiana Camelo e Fabio Eugenio.
</t>
  </si>
  <si>
    <t>dn</t>
  </si>
  <si>
    <t>R: 15/07  F: 17/07</t>
  </si>
  <si>
    <t>i1103_3p012p_g27_e002</t>
  </si>
  <si>
    <t>Ilustrar em estilo xilogravura elemento que remetam ao cordel e a Região Nordeste, por exemplo, folhetos de cordel pendurados e cactos.</t>
  </si>
  <si>
    <t>i1104_3p012p_g27_e002</t>
  </si>
  <si>
    <t>Ilustrar em estilo xilogravura elemento que remetam ao cordel e a Região Nordeste, por exemplo, folhetos de cordel pendurados e em uma banca de cordel.</t>
  </si>
  <si>
    <t>i1105_3p012p_g27_e002</t>
  </si>
  <si>
    <t>Ilustrar em estilo xilogravura elemento que remetam ao cordel e a Região Nordeste, por exemplo, cactos e dois repentistas com violas e chapéu típico do cangaço.</t>
  </si>
  <si>
    <t>i1302_3p012p_g27_e002</t>
  </si>
  <si>
    <t>Fazer a ilustração, ao redor do texto, de alguns elementos citados no texto, como: jabuti, siri, arara, caju, tucano, maracujá, abacaxi, tamanduá-bandeira. Deixar os animais e frutas com as cores mais próximas da realidade.</t>
  </si>
  <si>
    <t>R:19/06 F:25/06</t>
  </si>
  <si>
    <t>i1325_4p012p_g27_e002</t>
  </si>
  <si>
    <t>Ilustração de uma chama de fogo simbólica que remeta ao mito de Prometeu. A chama deve parecer viva e intensa, com um brilho dourado. Ir só até o Rafe</t>
  </si>
  <si>
    <t>R: 12/06. F: 23/06.</t>
  </si>
  <si>
    <t>i1326_4p012p_g27_e002</t>
  </si>
  <si>
    <t>Ilustrar uma chama estilizada, vibrante em tons de laranja e dourado, no centro da imagem, com traços espiralados como se estivesse sendo libertada. Ao redor, correntes ou grades abstratas rompidas, sugerindo a libertação do fogo e o desafio de Prometeu. Ir só até o Rafe.</t>
  </si>
  <si>
    <t>i1308_4p012p_g27_e002</t>
  </si>
  <si>
    <t>Ilustração de Prometeu: um personagem mitológico, de corpo robusto, cabelos um pouco longos, vestido com roupas típicas gregas da antiguidade, com um dos braços levantados segurando uma chama de fogo. Ir só até o Rafe</t>
  </si>
  <si>
    <t>i1310_4p012p_g27_e002</t>
  </si>
  <si>
    <t xml:space="preserve">Ilustrar uma garotinha de 9 anos, parda, de cabelos pretos encaracolados pendurados (obedecendo a gravidade), engatinhando no teto, imitando uma lagartixa. Deve aparecer o lustre. </t>
  </si>
  <si>
    <t>R: 11/06  F: 23/06</t>
  </si>
  <si>
    <t>i1328_4p012p_g27_e002</t>
  </si>
  <si>
    <t>Ilustrar duas lagartixas na parede de uma casa. Uma delas deve estar sem a cauda.</t>
  </si>
  <si>
    <t>i1329_4p012p_g27_e002</t>
  </si>
  <si>
    <t>Recorte da Ilustração  i1328, da lagartixa sem o rabo.</t>
  </si>
  <si>
    <t>i1330_4p012p_g27_e002</t>
  </si>
  <si>
    <t>Reaplicar a ilustração i1328 das lagartixas na parede.</t>
  </si>
  <si>
    <t>Tatiane Galheiro</t>
  </si>
  <si>
    <t>Recorte da i1328</t>
  </si>
  <si>
    <t xml:space="preserve">i0704_4p012p_g27_e002 </t>
  </si>
  <si>
    <t xml:space="preserve">Ilustrar tabuleiro de jogo usando como referência o tabuleiro reproduzido a seguir. Este jogo terá somente 22 casas. O percurso mostrará um adulto jovem pedalando sua bicicleta (usando capacete, é claro) para ir de casa para o trabalho, que é numa cafeteria. O cenário é de uma cidade com prédios comerciais, residências e lojas pelo caminho. A maioria das casas estará vazia; as casas que terão texto são as seguintes: 3 POSTO DE COMBUSTÍVEL. CALIBRE OS PNEUS. FIQUE 2 RODADAS SEM JOGAR. 6 ESQUECEU DE CALIBRAR UM PNEU. VOLTE 2 CASAS. 8 COMEÇOU A CHOVER. AVANCE 3 CASAS. 10. FAIXA DE PEDESTRES. AGUARDE. FIQUE 2 RODADAS SEM JOGAR. 14 CICLOVIA INTERDITADA POR ACIDENTE. FIQUE 1 RODADA SEM JOGAR. 17 VAI SE ATRASAR? AVANCE 3 CASAS. 21 PNEU FUROU. VOLTE 3 CASAS E CONSERTE O PNEU NA BICICLETARIA. 
INSTRUÇÕES COMPLEMENTARES 
CASA 1 Antes dela inserir a palavra INÍCIO e posicionar esta casa do jogo ao lado da residência térrea onde mora o ciclista. 
CASA 17 Posicionar esta casa do jogo ao lado de uma bicicletaria. 
CASA 22 Após ela, inserir a palavra CHEGADA e posicionar esta casa do jogo ao lado da cafeteria onde o ciclista trabalha. 
Ref: </t>
  </si>
  <si>
    <t>cq</t>
  </si>
  <si>
    <t>R: 18/06  F: 25/06</t>
  </si>
  <si>
    <t xml:space="preserve">i0710_4p012p_g27_e002 </t>
  </si>
  <si>
    <t xml:space="preserve">Il de boleto de cobrança. Ver a referência e fazer estas alterações no boleto: 1) Na 2ª linha: PAGÁVEL EM QUALQUER BANCO ATÉ O VENCIMENTO; 04/06/2027. 2) na 3ª linha: BENEFICIÁRIO (no alto da linha, acima de Visconde de Sabugosa). 3) Na 4ª linha: 20/05/2027 (2 vezes) 4) Na última linha: PAGADOR (acima de Anastácia Lobato). 5) Inserir código de barras ao final. 
Ref: </t>
  </si>
  <si>
    <t>F: 16/06</t>
  </si>
  <si>
    <t>i0711_4p012p_g27_e002</t>
  </si>
  <si>
    <t>Il de conta de água. Ref. em Portais, vol. 4 pág. 145. 
Fazer as seguintes alterações na fatura: 1) Mudar VENCIMENTO para 15/06/2027. 2) Mudar EMISSÃO para 01/06/2027. 3) Mudar LEITURA ATUAL para 06/05/2027. 4) Mudar LEITURA ANTERIOR para 06/05/2027. 5) Mudar LEITURA ANTERIOR para 06/04/2027. 6) HISTÓRICO DE VOLUME: NOV/2026; DEZ/2026; JAN/2027; FEV/2027; MAR/2027; ABR/2027.</t>
  </si>
  <si>
    <t xml:space="preserve">i0715_4p012p_g27_e002 </t>
  </si>
  <si>
    <t xml:space="preserve">Imagem de uma folha de sulfite com a fatura da pág. 137 ao centro. No topo deve estar escrito em letras cursivas: Tutorial para leitura de fatura. 
Reaplicar a “i0711” em fundo de folha de sulfite. Ref: </t>
  </si>
  <si>
    <t xml:space="preserve">i0716_4p012p_g27_e002 </t>
  </si>
  <si>
    <t xml:space="preserve">Zoom da parte de cima da fatura da pág. 137 (i0711) com cotas escritas à mão: Nome do pagador; Quando foi feita a leitura e Quanto foi consumido. Ref: </t>
  </si>
  <si>
    <t>i0324_4p012p_g27_e002</t>
  </si>
  <si>
    <t>Ilustração de brinquedos aleatórios e soltinhos no espaço: urso de pelúcia, bola, boneca, mola-mania, corda de pular, peças de dominó, peças de quebra-cabeças, bicicleta etc.</t>
  </si>
  <si>
    <t>i0913_4p012p_g27_e002</t>
  </si>
  <si>
    <t>Il com um quadro com vários avisos e notícias nele</t>
  </si>
  <si>
    <t>R: 13/06  F: 20/06</t>
  </si>
  <si>
    <t>i0904_4p012p_g27_e002</t>
  </si>
  <si>
    <t xml:space="preserve">Infográfico sobre o ciclo de vida das tartarugas 
ARTE: Na terceira imagem das tartarugas (fase 3), em que é representado a reprodução, reilustrar uma ao lado/perto da outra, e não em cima. Indicar número nos textos referentes à cada fase. Incluir um texto referente à fase 5 (filhote indo da terra para o mar) e deixar mais juntas as imagens 6 e 7 (filhotes nadando e adulto nadando), para representarem a fase 6 (desenvolvimento). 
Texto:
1. Área de alimentação costeira. Indivíduos jovens e adultos.
2. Adultos voltam para a área de desova.
3. Atingem a fase reprodutiva entre 20 e 30 anos 
4. Praia de desova. Cada fêmea realiza de 3 a 7 posturas com intervalo de 14 a 17 dias.
5. Filhotes recém-nascidos vão em direção ao mar aberto.
6. Fase de desenvolvimento. Migração em mar aberto.
</t>
  </si>
  <si>
    <t>i0505_1p012p_g27_e002</t>
  </si>
  <si>
    <t>Il de três crianças (6 anos, uniformizadas, variar etnias e tipos físicos: uma bem gordinha e outra mais magrinha; uma menina negra de cabelo afro solto, um menino asiático e uma menina sem um dos braços) passando por cima de um tapete vermelho, animadas pela brincadeira.</t>
  </si>
  <si>
    <t>R: 20/06  F: 25/06</t>
  </si>
  <si>
    <t>i0506_1p012p_g27_e002</t>
  </si>
  <si>
    <t xml:space="preserve">Ilustrar adivinha: um morro e o mar e uma estrada discreta do morro até o mar. Cuidar para a imagem não dar a respostas, mas ajudar, sendo uma pista. </t>
  </si>
  <si>
    <t xml:space="preserve">i0508_1p012p_g27_e002 </t>
  </si>
  <si>
    <t>Ilustração de adulto (homem negro) segurando nas mãos de duas crianças (uma negra e uma parda, menino e menina, uma mais gordinha e uma mais magrinha) atravessando a faixa de pedestres (ao lado das últimas atividades da página). (Montar layout pra ver se cabe)</t>
  </si>
  <si>
    <t>Excluída. Não coube no layout da página</t>
  </si>
  <si>
    <t xml:space="preserve">i0525_1p012p_g27_e002 </t>
  </si>
  <si>
    <t>Fechar página com ilustração calhau que tenha a ver com o texto de leitura. Sugestão: uma faixa de pedestres e algumas placas de trânsito. Montar layout para verificar se cabe a il.</t>
  </si>
  <si>
    <t xml:space="preserve">i0529_1p012p_g27_e002 </t>
  </si>
  <si>
    <t xml:space="preserve">il de 3 estudantes de 6 anos (todos uniformizados: um menino negro, uma menina branca de cabelos castanhos com prótese em uma das pernas e uma menina parda de óculos) observando um cartaz afixado na parede da classe, com o título: REGRAS E COMBINADOS PARA UMA BOA CONVIVÊNCIA NA CLASSE. E os itens já exemplificados numerados em uma lista: 1. ESPERAR A VEZ PARA FALAR; 2. SER GENTIL; 3. ESCUTAR O COLEGA COM ATENÇÃO. </t>
  </si>
  <si>
    <t xml:space="preserve">i0534_1p012p_g27_e002 </t>
  </si>
  <si>
    <t xml:space="preserve">Ilustrar 4 crianças de 6 anos uniformizadas (variar etnias: uma menina negra, um menino negro, uma menina ruiva e um menino asiático; fazer pelo menos uma delas mais gorda e outra mais magra para haver variação de corpos). 3 delas devem estar com um dos pés erguidos e a outra deve estar segurando um papel (sendo o mestre que manda). </t>
  </si>
  <si>
    <t>i0703_1p012p_g27_e002</t>
  </si>
  <si>
    <t xml:space="preserve">il com 5 crianças dançando na classe e fazendo gestos que imitam profissões (sugestões: dirigir, cozinhar ou alguma outra ação que fique mais explícita). Elas devem estar uniformizadas e ter 6 anos: 2 negros (um menino e uma menina), 1 asiático, 1 loiro, um branco de cabelo escuro. Uma das crianças pode estar usando um aparelho auditivo (branco de cabelo escuro) e uma pode estar em uma cadeira de rodas (loira).
Passar para um ilustrador que tenha o traço mais artístico. Preferencialmente Fabio Eugenio, Ezequiel, Daniel Wu, Veridiana, Fernanda Monteiro, Clarissa França.
</t>
  </si>
  <si>
    <t>R: 24/06  F: 26/06</t>
  </si>
  <si>
    <t>i0704_1p012p_g27_e002</t>
  </si>
  <si>
    <t>Ilustração ao lado do texto: um homem branco, de cabelo preto (não fazer o estereótipo de português, com boina e bigode) pintando uma porta. A porta pode ter detalhes e estar pintada de forma bem colorida. Ao lado dele deve haver uma ou mais latas de tinta.</t>
  </si>
  <si>
    <t>i0705_1p012p_g27_e002</t>
  </si>
  <si>
    <t>ilustrar personagem negra (mulher de 20 anos) com itens que remetam à profissão de pilota</t>
  </si>
  <si>
    <t>R: 27/06  F: 07/07</t>
  </si>
  <si>
    <t>i0706_1p012p_g27_e002</t>
  </si>
  <si>
    <t>ilustrar a mesma personagem negra (mulher de 20 anos) com itens que remetam à profissão de ginasta</t>
  </si>
  <si>
    <t>i0707_1p012p_g27_e002</t>
  </si>
  <si>
    <t xml:space="preserve">ilustrar a mesma personagem negra (mulher de 20 anos) com itens que remetam à profissão de medicina </t>
  </si>
  <si>
    <t>i0718_1p012p_g27_e002</t>
  </si>
  <si>
    <t>ponto de interrogação</t>
  </si>
  <si>
    <t>i0719_1p012p_g27_e002</t>
  </si>
  <si>
    <t>ponto final</t>
  </si>
  <si>
    <t>i0720_1p012p_g27_e002</t>
  </si>
  <si>
    <t>ponto de exclamação</t>
  </si>
  <si>
    <t>i0724_1p012p_g27_e002</t>
  </si>
  <si>
    <t>ilustrar ao lado do poema alguns elementos relacionados às seguintes profissões: jardineiro (flores, regador, pá de jardinagem); poeta (papéis e caneta); pintor (pincéis e aquarela); cantor (microfone).</t>
  </si>
  <si>
    <t>i0709_1p012p_g27_e002</t>
  </si>
  <si>
    <t>FALSO ESPELHO: Ilustrar página com elementos que façam alusão às profissões: bióloga e aviadora (avião, óculos de aviador, microscópio, tubo de ensaio, becker etc.).</t>
  </si>
  <si>
    <t>i0711_1p012p_g27_e002</t>
  </si>
  <si>
    <t>Ilustração de estudante negro, 6 anos, como entrevistador, segurando uma prancheta, olhando interessado para uma pessoa mais velha, em um ambiente de casa.</t>
  </si>
  <si>
    <t>i0716_1p012p_g27_e002</t>
  </si>
  <si>
    <t>inserir il de vários elementos como violão, rolo de pintura, livro, colher, seringa sapatinho de bailarina etc.</t>
  </si>
  <si>
    <t>i1117_4p012p_g27_e002</t>
  </si>
  <si>
    <t>Ilustrar uma caixa colorida de dentro da qual devem estar saindo confetes e serpentinas. Ref:</t>
  </si>
  <si>
    <t>th</t>
  </si>
  <si>
    <t>R: 02/06  F: 04/07</t>
  </si>
  <si>
    <t>i1118_4p012p_g27_e002</t>
  </si>
  <si>
    <t>Ilustrar busto de um menino negro, de cerca de 9 anos, em um ambiente escolar, declamando um poema. Inserir um aparelho auditivo no menino.</t>
  </si>
  <si>
    <t>i1119_4p012p_g27_e002</t>
  </si>
  <si>
    <t>Ilustração que remeta a uma análise de texto, como uma lupa sobre uma página escrita. Ref:</t>
  </si>
  <si>
    <t>i1107_4p012p_g27_e002</t>
  </si>
  <si>
    <t xml:space="preserve">Fazer ilustração de uma casa sustentável baseada na referência abaixo. 
as cotas serão colocadas na diag
</t>
  </si>
  <si>
    <t>i0163_1p012p_g27_e002</t>
  </si>
  <si>
    <t>duas crianças (um menino e uma menina - um negro e um branco) com máscaras de jacaré/crocodilo, como se estivessem brincando</t>
  </si>
  <si>
    <t>R: 26/06 F: 30/06</t>
  </si>
  <si>
    <t>i1506_4p012p_g27_e002</t>
  </si>
  <si>
    <t>Ilustrar um menino negro e uma menina loira de óculos de grau, de cerca de 9 anos, fazendo uma “observação científica”. A menina deve estar à direita, segurando um lápis, representada 3 vezes indicando em cada representação uma distância. O menino à esquerda agachado, com uma régua, medindo a distância/posição do lápis que ela segura.</t>
  </si>
  <si>
    <t>R: 02/07  F: 04/07</t>
  </si>
  <si>
    <t>i1516_4p012p_g27_e002</t>
  </si>
  <si>
    <t xml:space="preserve">Ilustrar Alice conversando com Humpty Dumpty (personagem em forma de ovo). Cuidado para não representar a personagem muito “estereótipo Disney”.
Se possível, fazer tipo aquarela, mais poética, para representar fantasia, contos maravilhosos
</t>
  </si>
  <si>
    <t>i1135_1p012p_g27_e002</t>
  </si>
  <si>
    <t xml:space="preserve">Ilustrar uma área externa da escola com crianças sentadas em roda (uniformizadas, 6 anos). Deve haver pelo menos 3 crianças sentadas e uma em pé, do lado de fora da roda. 
Na primeira cena, a criança em pé (menina negra, cabelo afro solto) está com a mão em cima da cabeça de uma menina asiática mais gordinha. Balão de fala com a sílaba BO (na menina negra). A cena pode ser um “recorte” da roda com foco nesses dois personagens. Deve parecer que há mais crianças na roda, mas poderia ter um efeito de fade out.
</t>
  </si>
  <si>
    <t>rk</t>
  </si>
  <si>
    <t>R: 04/07  F: 08/07</t>
  </si>
  <si>
    <t>i1136_1p012p_g27_e002</t>
  </si>
  <si>
    <t>Na segunda cena, a criança em pé (menina negra, cabelo afro solto) está com a mão em cima da cabeça de um menino branco, de cabelos pretos e algum tipo de deficiência (pode ter prótese no braço, por exemplo). Balão de fala com a sílaba LA. A cena pode ser um “recorte” da roda com foco nesses dois personagens. Deve parecer que há mais crianças na roda, mas poderia ter um efeito de fade out.</t>
  </si>
  <si>
    <t>i1108_1p012p_g27_e002</t>
  </si>
  <si>
    <t>il de pião girando, evidenciando bem o movimento, com traços artísticos. Se possível, em aquarela</t>
  </si>
  <si>
    <t>i1110_1p012p_g27_e002</t>
  </si>
  <si>
    <t>Ilustração de brinquedos (perna de pau e peteca) decorados com padrões gráficos (traços, losangos e formas geométricas) inspirados em pinturas corporais e arte tradicional dos povos Xavante e Kamaiurá.</t>
  </si>
  <si>
    <t>R: 08/07  F: 18/07</t>
  </si>
  <si>
    <t>i1115_1p012p_g27_e002</t>
  </si>
  <si>
    <t>Il em fio preto de bilboquê</t>
  </si>
  <si>
    <t>i1116_1p012p_g27_e002</t>
  </si>
  <si>
    <t>Il em fio preto de peteca</t>
  </si>
  <si>
    <t>i1117_1p012p_g27_e002</t>
  </si>
  <si>
    <t>Il em fio preto de bola</t>
  </si>
  <si>
    <t>i1123_1p012p_g27_e002</t>
  </si>
  <si>
    <t>Ilustrar brincadeira de amarelinha: uma criança (menino negro) pulando entre quadrados numerados no chão, com um pé só ou os dois pés, conforme o movimento da amarelinha. Dar destaque ao desenho do chão com os números da amarelinha para evidenciar a sequência da brincadeira</t>
  </si>
  <si>
    <t>jl</t>
  </si>
  <si>
    <t>R: 03/07  F: 25/07</t>
  </si>
  <si>
    <t>i1137_1p012p_g27_e002</t>
  </si>
  <si>
    <t>Ilustrar brincadeira com bolinhas de gude: crianças brincando com bolinhas pequenas, focando nas mãos que seguram e arremessam as bolinhas. Mostrar as bolinhas no chão e as crianças agachadas, mirando a jogada. Duas meninas: uma loira e uma parda. se não couber, focar nas bolinhas e nas mãos, sem aparecer as crianças inteiras.</t>
  </si>
  <si>
    <t>i1138_1p012p_g27_e002</t>
  </si>
  <si>
    <t>Ilustrar brincadeira cama de gato: evidenciar as mãos entrelaçadas com o barbante formando o desenho típico da brincadeira. Mostrar o barbante em várias voltas e os dedos movimentando o fio, para que a ação fique clara. Mãos negras.</t>
  </si>
  <si>
    <t>i1124_1p012p_g27_e002</t>
  </si>
  <si>
    <t xml:space="preserve">Compor ilustração de três tipos de diagrama diferentes, conforme referência a seguir, mas uma delas com setas em vez dos traços. Todos devem seguir com o mesmo texto: a palavra BOLE-BOLE no centro e as outras em volta (jogo das pedrinhas, jogo dos saquinhos, cinco-marias, xibiu e capitão). As imagens precisam estar bem nítidas para servirem como referência para os estudantes reproduzirem os próprios digramas depois </t>
  </si>
  <si>
    <t>i1129_1p012p_g27_e002</t>
  </si>
  <si>
    <t>compor diagrama com bom espaço para registro, com um espaço em destaque no centro e mais 4 espaços ligados ao centro por setas</t>
  </si>
  <si>
    <t>i1134_1p012p_g27_e002</t>
  </si>
  <si>
    <t xml:space="preserve">il de crianças brincando de peteca e outras em roda de corre-cotia. Todas devem ter 6 anos. Variar tipos físicos e etnias (negros, brancos, asiáticos, pardos, mais gordinhos, mais magrinhos e com pequenos diferenças de altura). Inserir uma menina de hijab e pelo menos uma criança deficiente. </t>
  </si>
  <si>
    <t>i1541_1p012p_g27_e002</t>
  </si>
  <si>
    <t>Ilustrar 5 crianças entre 6 e 7 anos de uniforme (variar etnias e tipos físicos e incluir uma criança em cadeira de rodas: 2 negras, 1 asiática, 1 branca e 1 parda; fazer umas mais gordinhas e umas mais magrinhas) sentadas em roda em uma sala de aula. A criança em cadeira de rodas deve estar com um chapéu e fazendo gestos com cara de empolgação (contando a história). Quanto ao restante das crianças, umas devem parecer concentradas, outras admiradas e outras espantadas. A professora (mulher negra) deve estar ao lado da roda de crianças.</t>
  </si>
  <si>
    <t>R: 09/07  F: 21/07</t>
  </si>
  <si>
    <t>i1503_1p012p_g27_e002</t>
  </si>
  <si>
    <t>Ilustração de bicho papão “amigável” em cima de um telhado</t>
  </si>
  <si>
    <t>R: 09/07  
Excluída. Rafe já estava pronto, precisamos pagar o rafe.</t>
  </si>
  <si>
    <t>i1504_1p012p_g27_e002</t>
  </si>
  <si>
    <t>il de personagens do folclore, lobisomem, curupira e a cuca. Não ilustrar nada que possa ser problemático, como cachimbo, lança e outros. Fazer o cabelo do curupira longo e as garras da cuca com aparência de ser cortante</t>
  </si>
  <si>
    <t>Vamos tentar resgatar outra il.</t>
  </si>
  <si>
    <t>i1505_1p012p_g27_e002</t>
  </si>
  <si>
    <t>il de curupira com cabelo comprido</t>
  </si>
  <si>
    <t>Excluída, virou uma F.</t>
  </si>
  <si>
    <t>i1506_1p012p_g27_e002</t>
  </si>
  <si>
    <t>il da cuca com garras com aparência de cortante</t>
  </si>
  <si>
    <t>i1507_1p012p_g27_e002</t>
  </si>
  <si>
    <t>Ilustrar monstro que tenha características assustadoras, mas ao mesmo tempo amigáveis, como nos personagens do filme Monstros S.A. (mas não fazer iguais os personagens do filme). É importante que ele reúna as características a seguir: malvado, cabeludo, risonho, cruel, gigante, sorridente, imenso, peludo (considerando que algumas podem soar contraditórias, como cruel e sorridente). Ele pode, por exemplo, ter um olhar malvado com sobrancelhas franzidas, mas ao mesmo tempo uma boca risonha, cheia de dentes afiados). Ref (na 1ª imagem, sem as crianças, só o monstro):</t>
  </si>
  <si>
    <t>i1508_1p012p_g27_e002</t>
  </si>
  <si>
    <t>Ilustrar alguns elementos da história: dentadura, telefone, batom, corujas</t>
  </si>
  <si>
    <t>Excluída, virou uma FM.</t>
  </si>
  <si>
    <t>i1509_1p012p_g27_e002</t>
  </si>
  <si>
    <t xml:space="preserve">Ilustrar rodapé de página com o cenário onde o personagem vive: fundo do rio São Francisco, numa caverna subaquática (inserir elementos como peixes, outros animais e plantas aquáticas). Pode aparecer apenas uma parte do personagem saindo da caverna, por exemplo os cabelos bem pretos e compridos para dar pistas sobre ele, mas sem mostrar descaradamente. Se houver espaço, a ilustração pode ser um falso espelho, continuar no rodapé da próxima página. 
Refs de uma entrada de caverna no rio são Francisco (shutter 674876092, https://pt.wikiloc.com/trilhas-trekking/cavernas-do-peruacu-arco-do-andre-92210842/photo-60260595)
</t>
  </si>
  <si>
    <t>i1510_1p012p_g27_e002</t>
  </si>
  <si>
    <t>Ilustrar rodapé desta página (e da seguinte se couber, mas fazer adequado ao digital como falso espelho): um grande livro aberto. Saindo dele (essa saída do livro deve ser estilo gênio da lâmpada) alguns monstros diferentes (uns 3 se ficar apenas nesta página ou uns 5 se invadir a próxima). Devem ser monstros “inéditos”.</t>
  </si>
  <si>
    <t>i1542_1p012p_g27_e002</t>
  </si>
  <si>
    <t>Arte: desenvolver carômetro com 26 caras de personagens fictícias (todas devem ser diferentes) para os estudantes nomearem. Ao lado de cada cara vai ter um pedaço de pauta caligráfica para estudante escrever contendo a letra inicial de A a Z (a diag que vai colocar a pauta). Ver referência a seguir, mas completar a página de A a Z. Organizar por linha e não por coluna. A linguagem dessas caretas podem fazer com base nos emojis da obra. Evitar caras com aspecto negativo como bravo, nojo e tal para não gerar constrangimento.</t>
  </si>
  <si>
    <t>sl</t>
  </si>
  <si>
    <t>Nicolas Furtado</t>
  </si>
  <si>
    <t>ajuste emojis padrão</t>
  </si>
  <si>
    <t>i1537_1p012p_g27_e002</t>
  </si>
  <si>
    <t>Ilustração de diferentes criaturas apontando para o caminho, como fada, ogro, monstro, bruxa, lobo. No fim desse caminho há um castelo assombrado, com elementos assustadores, mas que seja lúdico. Ver referência das personagens. Agora o espaço para essa seção será só uma página sem os quadros</t>
  </si>
  <si>
    <t>i1303_1p012p_g27_e002</t>
  </si>
  <si>
    <t>ilustrar um professor (homem, 50 anos, negro, de óculos) com um grupo de três crianças uniformizadas, 6 anos, que estão em volta dele na sala de aula. Há um balão de fala em que o professor diz “SIM, NÃO, SIM!” Em um dos estudantes há um balão de pensamento com os opostos (NÃO, SIM, NÃO!). A criança com o balão de pensamento deve ser uma menina com traços indígenas. As outras duas crianças podem ser uma menina parda na cadeira de rodas e um menino ruivo com sardinhas.</t>
  </si>
  <si>
    <t>gt</t>
  </si>
  <si>
    <t>R: 11/07  F: 18/07</t>
  </si>
  <si>
    <t>i1304_1p012p_g27_e002</t>
  </si>
  <si>
    <t>Ilustração de dupla de crianças praticando a brincadeira, um deles com um balão de fala: “GRANDE, NÃO, PEQUENO!” e outro com balão de fala, respondendo: “PEQUENO, SIM, GRANDE!”. Podem ser as mesmas crianças da il anterior: a menina na cadeira de rodas e o menino ruivo. Uniformizadas, 6 anos, na sala de aula.</t>
  </si>
  <si>
    <t>i1305_1p012p_g27_e002</t>
  </si>
  <si>
    <t xml:space="preserve">Ilustração de uma cena dividida ao meio com o mesmo objeto, um livro, mostrando dois aspectos: o primeiro com foco na capa, colorida, bonita, visualmente chamativa. A capa deve parecer nova, bem cuidada, com “ar” de encantamento. Na segunda parte da cena, o livro está aberto, mas as páginas estão mofadas, rasgadas, sujas, como se o conteúdo estivesse estragado. A ideia é ilustrar a ideia do ditado, de que as aparências enganam.
De preferência, mandar para um dos ilustradores a seguir: Fabio Eugenio, Ezequiel, Daniel Wu, Veridiana e Fernanda Monteiro.
</t>
  </si>
  <si>
    <t>R: 11/07  
Excluída, pagar apenas o rafe que já foi recebido.</t>
  </si>
  <si>
    <t>i1306_1p012p_g27_e002</t>
  </si>
  <si>
    <t>ilustrar uma nuvem cinzenta de onde cai a chuva ao longo da página. No final da página deve haver poeira/terra como se estivesse sendo molhada pela chuva. A ilu deve ocupar a lateral da página.</t>
  </si>
  <si>
    <t>Ilustra excluída por falta de espaço na página</t>
  </si>
  <si>
    <t>i1307_1p012p_g27_e002</t>
  </si>
  <si>
    <t>il de duas crianças de 6 anos com capa de chuva na chuva (um menino e uma menina; um deve ser pardo e o outro negro). Fazer com traço mais artístico que o da versão anterior e em DUAS CENAS: as mesmas crianças na garoa e no temporal. Mostrar o contraste, bem exagerado mesmo, em tom de humor.
De preferência, mandar para um dos ilustradores a seguir: Fabio Eugenio, Ezequiel, Daniel Wu, Veridiana e Fernanda Monteiro.</t>
  </si>
  <si>
    <t>R: 16/07  F: 21/07</t>
  </si>
  <si>
    <t>i1309_1p012p_g27_e002</t>
  </si>
  <si>
    <t>Ao longo da página, de modo a deixar a dupla arejada e servir de inspiração para a atividade, ilustrar elementos com características opostas, de preferência objetos para não reforçar estereótipos e com traços leves e artísticos. Exemplos: copo cheio/copo vazio, vela acesa/vela apagada, cadeira nova/cadeira velha, caixa aberta/caixa fechada, sorvete derretido/sorvete congelado, guarda-chuva aberto/fechado). As ilustrações podem ocupar as laterais das duas páginas. Ao longo da página, de modo a deixar a dupla arejada e servir de inspiração para a atividade, ilustrar elementos com características opostas, de preferência objetos para não reforçar estereótipos e com traços leves e artísticos. Exemplos: copo cheio/copo vazio, vela acesa/vela apagada, cadeira nova/cadeira velha, caixa aberta/caixa fechada, sorvete derretido/sorvete congelado, guarda-chuva aberto/fechado). As ilustrações podem ocupar as laterais das duas páginas.</t>
  </si>
  <si>
    <t>i1310_1p012p_g27_e002</t>
  </si>
  <si>
    <t xml:space="preserve">ilustração bem artística do poema e um pouco mais abstrata, com o uso de cores, talvez aquarela para dar o tom lúdico e de encantamento. Pode haver uma varinha de condão e “brilhos” na página. A ilustração deve dar a ideia de transformação de coisas “ruins” em “boas”, por exemplo, um monstrinho vira um bichinho fofo, como um coelho; uma tempestade vira uma nuvem com um sol (e o sol pode estar falando BOM DIA); duas máscaras de teatro – uma triste e uma feliz.
Passar para o Fábio Eugênio ou outro ilustrador que tenha uma linguagem mais poética, conforme combinado com a Tati.
</t>
  </si>
  <si>
    <t>R: 14/07  F: 23/07</t>
  </si>
  <si>
    <t>i1311_1p012p_g27_e002</t>
  </si>
  <si>
    <t>ilustrar, ao lado das alternativas acima, uma lua com estrelas ao redor e algumas notas musicais, de modo integrado. Mesma linguagem da ilustração do texto principal.</t>
  </si>
  <si>
    <t>i1312_1p012p_g27_e002</t>
  </si>
  <si>
    <t>recorte da i1310_1p012p_g27_e002: duas máscaras de teatro – uma triste e uma feliz</t>
  </si>
  <si>
    <t>i1313_1p012p_g27_e002</t>
  </si>
  <si>
    <t>ilulstrar uma cartola e algumas varinhas de condão ao lado de itens acima. Usar recurso para representar a magia acontecendo, como estrelas de tamanhos diversos saindo da ponta das varinhas.</t>
  </si>
  <si>
    <t>i1314_1p012p_g27_e002</t>
  </si>
  <si>
    <t xml:space="preserve">ilustrar dois barquinhos de papel flutuando em uma poça d’água. Um deles tem uma bandeirinha escrito “SIM” e o outro uma bandeirinha escrito “NÃO”. A água embaixo está levemente ondulada e espelhando e misturando os reflexos dos dois barquinhos. Fazer a il bem poética.
Se possível, montar layout da página, encaixando o boxe autor na lateral do texro, se necessário, para ver o espaço da ilustração. Ir até o rafe por enquanto.
</t>
  </si>
  <si>
    <t>i1318_1p012p_g27_e002</t>
  </si>
  <si>
    <t>Ilustração artística de imagens de fada, caldeirão, vassoura, coroa, livro, chapéu e varinha mágica, com elementos que indiquem magia, como brilhos, estrelas.</t>
  </si>
  <si>
    <t>i0903_1p012p_g27_e002</t>
  </si>
  <si>
    <t>Ilustrar brincadeira de batata-quente acontecendo no ambiente de sala de aula. Devem aparecer na cena 5 crianças de 6 anos, uniformizadas, brincando na classe. Variar tipos físicos e etnias (deve haver pelo menos 2 negros, uma criança com cordão de deficiências ocultas – girassol – e uma mais gordinha). A batata-quente é um estojo escolar de tecido ou pelúcia, bola de meia ou de papel (atenção: o objeto não pode ser pontiagudo ou algo que possa machucar as crianças). O professor ao centro da roda pode ter traços negros ou indígenas.</t>
  </si>
  <si>
    <t>F: 24/07</t>
  </si>
  <si>
    <t>i0904_1p012p_g27_e002</t>
  </si>
  <si>
    <t>Ilustração para acompanhar o texto do baú: menina branca, cabelos castanhos, cadeirante brincando a parlenda de escolher (apontando para uma parte do grupo de crianças que participa da brincadeira. Pode aparecer apenas detalhe de ilustração, e não o todo. Deve aparecer a menina que está escolhendo e umas duas outras crianças (um menino asiático e uma menina negra), mas dando a entender que há mais na cena.</t>
  </si>
  <si>
    <t>Excluída. Pagar apenas os 30% do rafe.</t>
  </si>
  <si>
    <t>i0909_1p012p_g27_e002</t>
  </si>
  <si>
    <t>Ils ao lado/em volta do texto para a cantiga. Deve conter os seguintes elementos e na ordem: senhora em um tear; mosca; aranha; rato; gato; cachorro; pedaço de madeira; fogo; água; boi. Fazer tear sem agulhas ou objetos pontiagudos. Ver ref:</t>
  </si>
  <si>
    <t>i0919_1p012p_g27_e002</t>
  </si>
  <si>
    <t>il de alguns brinquedos. Eles podem “estar saindo” de uma caixa mágica, como um baú e se espalhando pela página. Sugestões: bola, ioiô, pião, avião de papel, avião de papel, sapato de lata, peteca, barquinho de papel, bexiga, catavento, pipa etc.</t>
  </si>
  <si>
    <t>i0103_5p012p_g27_e002</t>
  </si>
  <si>
    <t>Ilustrar ao fundo, contornando o texto O segredo da ilha.</t>
  </si>
  <si>
    <t>zk</t>
  </si>
  <si>
    <t>R: 18/07  F: 22/07</t>
  </si>
  <si>
    <t>i0104_5p012p_g27_e002</t>
  </si>
  <si>
    <t>Ilustrar um navio tipo brigue no mar. Diagramar com efeito fade na parte de cima e lateral da imagem. Ele deve ter uma bandeira preta no topo</t>
  </si>
  <si>
    <t>i0123_5p012p_g27_e002</t>
  </si>
  <si>
    <t>Recorte da ilustração i0104_5p012p_g27_e002</t>
  </si>
  <si>
    <t>i0105_5p012p_g27_e002</t>
  </si>
  <si>
    <t>Ilustrar uma ilha deserta (ou parte dela) com jeitão de ilha tropical: matas exuberantes, montanhas, rios caudalosos</t>
  </si>
  <si>
    <t>i0107_5p012p_g27_e002</t>
  </si>
  <si>
    <t>Ilustrar um mapa de trajeto de navio no mar, saindo de uma ponta de uma ilha e chegando em outro lugar dela, margeando-a</t>
  </si>
  <si>
    <t>i0115_5p012p_g27_e002</t>
  </si>
  <si>
    <t xml:space="preserve">Ilustrar um ogro (homem grande, verde, com aparência simpática). </t>
  </si>
  <si>
    <t>ly</t>
  </si>
  <si>
    <t>i0116_5p012p_g27_e002</t>
  </si>
  <si>
    <t>Ilustração de um pé de feijão da história João e o pé de feijão. Deve dar para perceber sua proporção (gigante em relação à casa). O pé de feijão sai da casa</t>
  </si>
  <si>
    <t>i0117_5p012p_g27_e002</t>
  </si>
  <si>
    <t>Ilustração de ninho com ovos de ouro. Os ovos devem aparentar estar reluzindo</t>
  </si>
  <si>
    <t>i0118_5p012p_g27_e002</t>
  </si>
  <si>
    <t>Ilustrar um menino e um homem, ambos de cabelos crespos, vestidos com camiseta branca, calça jeans e óculos de grau, dando a entender que são a mesma pessoa em diferentes fases da vida, sentados conversando.</t>
  </si>
  <si>
    <t>i0120_5p012p_g27_e002</t>
  </si>
  <si>
    <t xml:space="preserve">Ilustrar uma parte lateral de um palco de teatro, com as cortinas abertas e um pé de feijão mágico (da história João e o pé de feijão) na lateral. </t>
  </si>
  <si>
    <t>i0102_2p012p_g27_e002</t>
  </si>
  <si>
    <t>ilustrar duas crianças (um menino negro e uma menina asiática de 7 anos), formando/escrevendo a letra A com diversos materiais. Eles podem estar sentados no chão e ter duas letras A (cursiva maiúscula e minúscula) escritas em um papel, como se fosse com giz ou tinta; uma letra A (bastão) formada com lápis de cor ao lado deles, uma letra a (bastão) como se tivesse sido feita de massinha. Podem ter outras formações da letra, com outros objetos.</t>
  </si>
  <si>
    <t>R: 25/07  F: 29/07</t>
  </si>
  <si>
    <t>i0103_2p012p_g27_e002</t>
  </si>
  <si>
    <t xml:space="preserve">Ilustrar uma criança (uma menina negra, de 7 anos), em uma praia, com um adulto ao lado (pode ser uma avó, mulher negra, de cabelos brancos, 60/70 anos). Elas podem ver vistas de costas, olhando para o mar. Ao lado delas (ou próximo) deve ter a letra A (bastão) escrita na areia, com uma onda pegando metade da letra, como se estivesse apagando. </t>
  </si>
  <si>
    <t>ILustra excluída por falta de espaço na página</t>
  </si>
  <si>
    <t>i0104_2p012p_g27_e002</t>
  </si>
  <si>
    <t>Ilustração de um gato correndo atrás de um rato segurando uma placa de proibido rato</t>
  </si>
  <si>
    <t>R: 21/07  F: 28/07</t>
  </si>
  <si>
    <t>i0105_2p012p_g27_e002</t>
  </si>
  <si>
    <t>Ilustração de elefante vestido de mágico e um gato e um rato (os mesmos da ilu anterior) assistindo a apresentação do elefante, com as letras F e G e R e G ao lado.</t>
  </si>
  <si>
    <t>i0106_2p012p_g27_e002</t>
  </si>
  <si>
    <t>Ilustração no rodapé da página de rato (o mesmo da il do texto principal) e a letra G, que deve ter traços felinos.</t>
  </si>
  <si>
    <t>i0114_2p012p_g27_e002</t>
  </si>
  <si>
    <t xml:space="preserve">Ilustração, ao lado do poema, de menino negro, 7 anos, com balão de pensamentos com várias letras R e G, um gato e um rato. </t>
  </si>
  <si>
    <t>R:18/07 F:25/07</t>
  </si>
  <si>
    <t>i0113_2p012p_g27_e002</t>
  </si>
  <si>
    <t>Ilustração como um falso espelho: 4 crianças brincando com letras do alfabeto (2 meninos, 2 meninas de 7 anos. 1 menino branco em cadeira de rodas, um menino pardo gordinho, uma menina asiática gordinha e uma menina negra, de cabelo black power). Podem ficar 2 crianças nesta página e 2 na outra.</t>
  </si>
  <si>
    <t xml:space="preserve">Vai ser uma foto </t>
  </si>
  <si>
    <t>Excluída, vai virar uma F.</t>
  </si>
  <si>
    <t>i0115_2p012p_g27_e002</t>
  </si>
  <si>
    <t>25/26</t>
  </si>
  <si>
    <t xml:space="preserve">Ilustração em “falso espelho”: aqui deve aparecer uma menina parda, cabelos cacheados, 7 anos, lendo. Ela pode estar deitada de bruços no chão. Do livro podem sair palavras e luzes, de forma meio mágica. Na outra página, podem aparecer outros livros “no chão” e a continuação das palavras e luzes. </t>
  </si>
  <si>
    <t>i0144_2p012p_g27_e002</t>
  </si>
  <si>
    <t>Recorte da il i0115_2p012p_g27_e002, focando no livro</t>
  </si>
  <si>
    <t>i0116_2p012p_g27_e002</t>
  </si>
  <si>
    <t>ilustrar ao lado do item A o busto de um menino branco, 7 anos, de cabelo castanho e cordão de deficiências ocultas – girassol. (montar layout pra ver se cabe)</t>
  </si>
  <si>
    <t>i0130_2p012p_g27_e002</t>
  </si>
  <si>
    <t>ilustrar ao lado do item B o busto de uma menina parda, 7 anos, de cabelo preto e óculos de grau. (montar layout pra ver se cabe)</t>
  </si>
  <si>
    <t>i0117_2p012p_g27_e002</t>
  </si>
  <si>
    <t xml:space="preserve">Ilustração de busto de menina ruiva de óculos, olhos azuis, 7 anos, de trancinhas. </t>
  </si>
  <si>
    <t>R: 17/07  F: 25/07</t>
  </si>
  <si>
    <t>i0118_2p012p_g27_e002</t>
  </si>
  <si>
    <t>Ilustração de busto de menina com traços indianos, 7 anos</t>
  </si>
  <si>
    <t>i0119_2p012p_g27_e002</t>
  </si>
  <si>
    <t>Ilustração de busto de menino negro, 7 anos, cabelo black power</t>
  </si>
  <si>
    <t>i0120_2p012p_g27_e002</t>
  </si>
  <si>
    <t xml:space="preserve">Ilustração de busto de menino asiático com aparelho auditivo. </t>
  </si>
  <si>
    <t>i0121_2p012p_g27_e002</t>
  </si>
  <si>
    <t>ilustrar o busto de uma menina asiática, 7 anos, sorridente, “banguelinha"</t>
  </si>
  <si>
    <t>i0122_2p012p_g27_e002</t>
  </si>
  <si>
    <t>ilustrar uma janela</t>
  </si>
  <si>
    <t>i0123_2p012p_g27_e002</t>
  </si>
  <si>
    <t>ilustrar uma menina loira, 7 anos, com um uniforme dando a impressão de que está em uma carteira escrevendo em um caderno</t>
  </si>
  <si>
    <t>i0124_2p012p_g27_e002</t>
  </si>
  <si>
    <t>Ilustrar quadrinha de modo que haja um jogo de imagens entre livro e tesouro (um livro saindo de um baú de tesouros ou um livro dourado, reluzente, do qual saem brilhos, numa atmosfera mágica)</t>
  </si>
  <si>
    <t>i0146_2p012p_g27_e002</t>
  </si>
  <si>
    <t xml:space="preserve">Ilustrar ao lado do poema papéis (podem parecer post-its coloridos) com as seguintes palavras em letra bastão (cxAA), como se fossem escritos por uma criança: ORDEP ALIEL EGROJ 
ANA
</t>
  </si>
  <si>
    <t>Vai ser uma foto</t>
  </si>
  <si>
    <t>i0125_2p012p_g27_e002</t>
  </si>
  <si>
    <t xml:space="preserve">Ilustração de sala de aula com painel de nomes que apresentem: nomes, retratos e brincadeiras com nomes. Pode explorar, por exemplo: BEATRIZ (a imagem de uma menina negra, com figurino de personagem ficcional, por exemplo, roupa de época ou uma coroa) e a legenda: DENTRO DE BEATRIZ TEM O QUE EU QUERO SER: ATRIZ.  DANILO (a imagem de um menino oriental, com todos os itens da vestimenta em azul) e a legenda: DENTRO DO MEU NOME TEM A MINHA COR PREFERIDA: ANIL. OTTO (menino ruivo) e a legenda: MEU NOME DE LÁ PARA CÁ É IGUAL, É SÓ OLHAR: OTTO. </t>
  </si>
  <si>
    <t>i0147_2p012p_g27_e002</t>
  </si>
  <si>
    <t>ilustrar ao lado do texto uma “abelha-mestra” e várias abelhinhas em volta. Pode ser uma ilustração mais lúdica.</t>
  </si>
  <si>
    <t>R:18/07 F:23/07</t>
  </si>
  <si>
    <t>i0148_2p012p_g27_e002</t>
  </si>
  <si>
    <t>ilustrar ao lado do texto uma menina branca, de cabelo castanho, segurando uma bola</t>
  </si>
  <si>
    <t>i0149_2p012p_g27_e002</t>
  </si>
  <si>
    <t>ilustrar ao lado do texto uma cobra (ou se couber uma cobra subindo no pé de limão)</t>
  </si>
  <si>
    <t>i0150_2p012p_g27_e002</t>
  </si>
  <si>
    <t>ilustrar ao lado do texto um dedo equilibrando um dado.</t>
  </si>
  <si>
    <t>i0126_2p012p_g27_e002</t>
  </si>
  <si>
    <t xml:space="preserve">Ilustração de menina, 7 anos, sem um dos braços, branca, loira (à esquerda) e menino pardo, gordinho (à direita) conversando. </t>
  </si>
  <si>
    <t>i0151_2p012p_g27_e002</t>
  </si>
  <si>
    <t xml:space="preserve">Inserir 4 carinhas em fio preto para o aluno pintar representando cada legenda: ALEGRE TRISTE NERVOSO CALMO
</t>
  </si>
  <si>
    <t>zz</t>
  </si>
  <si>
    <t>Keithy Mostachi</t>
  </si>
  <si>
    <t>SERGIO LIMA/ARQUIVO DA EDITORA</t>
  </si>
  <si>
    <t>PADRÃO</t>
  </si>
  <si>
    <t>i0145_2p012p_g27_e002</t>
  </si>
  <si>
    <t>21/22</t>
  </si>
  <si>
    <t>ilustrar varinha mágica</t>
  </si>
  <si>
    <t>i0311_5p012p_g27_e002</t>
  </si>
  <si>
    <t xml:space="preserve">ilustrar ao lado do poema um menino negro, 10 anos, de óculos. Atrás dele pode haver o globo terrestre e alguns elementos citados no texto: torre Eiffel, algum objeto que remeta a capitão (como cap e um avião), algum objeto que remeta a arquiteto (como rolos de papel), bandeiras do Japão, Alemanha e França. Fazer mais poética do que a referência a seguir. </t>
  </si>
  <si>
    <t>R: 22/07  F: 29/07</t>
  </si>
  <si>
    <t>i0314_5p012p_g27_e002</t>
  </si>
  <si>
    <t xml:space="preserve">Il de janela com girassóis na frente em uma parede amarelo-clara. Dando a impressão de que o dia está ensolarado e o sol batendo nas plantas. </t>
  </si>
  <si>
    <t>i0324_5p012p_g27_e002</t>
  </si>
  <si>
    <t>Ilustrar um varal de poemas. O primeiro papel pode ter o título “Varal de poemas”. Pode ser num ambiente que remeta à sala de aula ou outro ambiente escolar.</t>
  </si>
  <si>
    <t>Excluída</t>
  </si>
  <si>
    <t>i0308_5p012p_g27_e002</t>
  </si>
  <si>
    <t xml:space="preserve">Ilustrar uma criança de uns 10 anos (pode ser um menino ou uma menina ruivo(a) com sardinhas. 
Deve haver um balão de pensamento com a imagem de uma pulga, uma abelha, uma meia. A criança deve estar com cara pensativa, pois a poesia “coça e chateia”
</t>
  </si>
  <si>
    <t>i0310_5p012p_g27_e002</t>
  </si>
  <si>
    <t xml:space="preserve">Ilustrar ao lado do poema um cata-vento colorido dando a impressão de que está girando, como o vento soprando forte em um dia de sol, com árvore, nuvens, pássaro, borboleta. deve aparecer parte de uma parede de uma casa. Fazer a il mais poética que a referência </t>
  </si>
  <si>
    <t>i0322_5p012p_g27_e002</t>
  </si>
  <si>
    <t xml:space="preserve">Ilustração mais abstrata e bem poética. Pode aparecer um “caminho” e um passarinho voando. </t>
  </si>
  <si>
    <t>i0323_5p012p_g27_e002</t>
  </si>
  <si>
    <t>Ilustrar duas pessoas cantando: um homem mais obeso e tocando violão e uma mulher com sanfona e chapéu caipira. Variar etnias – um branco e um pardo ou negro.</t>
  </si>
  <si>
    <t>i0309_5p012p_g27_e002</t>
  </si>
  <si>
    <t xml:space="preserve">Il de notas musicais em uma pauta, de forma que pareça uma imagem mais fluida. </t>
  </si>
  <si>
    <t>i0518_5p012p_g27_e002</t>
  </si>
  <si>
    <t>Ilustrar um macaco carregando uma cadeira de madeira passando perto de uma banca de frutas e/ou legumes na feira. A il deve ter um tom de humor.</t>
  </si>
  <si>
    <t>R: 23/07  F: 25/07</t>
  </si>
  <si>
    <t>i0519_5p012p_g27_e002</t>
  </si>
  <si>
    <t xml:space="preserve">Il de ninho com 7 filhotes de mafagafos (bichinhos, monstrinhos que não se pareçam com nenhum animal que já existe) juntinhos, como se estivessem se aquecendo, mas dando pra ver que são 7.  A il deve ter um tom de humor </t>
  </si>
  <si>
    <t>i0520_5p012p_g27_e002</t>
  </si>
  <si>
    <t>Ilustrar 3 crianças de cerca de 10 anos, uniformizadas, gargalhando porque estão declamando trava-línguas. Eles podem estar no ambiente de sala de aula. Variar etnias e tipos físicos: menino asiático com perna mecânica, menina parda com cordão de deficiências ocultas (girassol), menino negro mais gordinho. Se o espaço ficar pequeno, focar só no busto dos três e trocar a perna mecânica por implante coclear.</t>
  </si>
  <si>
    <t>i0526_5p012p_g27_e002</t>
  </si>
  <si>
    <t>Ilustrar um aluno de cerca de 10 anos, negro, falando empolgado para a turma organizada em roda. Como o espaço é pequeno, o foco da ilu pode ser o garoto e as demais crianças podem aparecer apenas como silhuetas.</t>
  </si>
  <si>
    <t>virou fm0528_5p012p_g27_e002</t>
  </si>
  <si>
    <t>i6101_1p012p_g27_e002</t>
  </si>
  <si>
    <t>ilustração da capa</t>
  </si>
  <si>
    <t>go</t>
  </si>
  <si>
    <t>F:8/8</t>
  </si>
  <si>
    <t>i0303_2p012p_g27_e002</t>
  </si>
  <si>
    <t>Ilustrar cesto de frutas que tenha, entre outras frutas, o caju e a jaca (mais realista, que dê para reconhecer as frutas)</t>
  </si>
  <si>
    <t>R: 31/07  F: 07/08</t>
  </si>
  <si>
    <t>i0307_2p012p_g27_e002</t>
  </si>
  <si>
    <t xml:space="preserve">Ilustrar cesta de palha em fio preto, ampla em largura, para estudantes desenharem as frutas dentro dela. </t>
  </si>
  <si>
    <t>i0316_2p012p_g27_e002</t>
  </si>
  <si>
    <t>Ilustração de: PANELA</t>
  </si>
  <si>
    <t>i0317_2p012p_g27_e002</t>
  </si>
  <si>
    <t>Ilustração de: JANELA</t>
  </si>
  <si>
    <t>i0318_2p012p_g27_e002</t>
  </si>
  <si>
    <t>Ilustração de: PIRATA</t>
  </si>
  <si>
    <t>i0319_2p012p_g27_e002</t>
  </si>
  <si>
    <t>Ilustração de: PILOTA</t>
  </si>
  <si>
    <t>i0320_2p012p_g27_e002</t>
  </si>
  <si>
    <t>Ilustração de: TOMADA</t>
  </si>
  <si>
    <t>i0321_2p012p_g27_e002</t>
  </si>
  <si>
    <t>Ilustração em falso espelho: nesta página deve aparecer apenas parte do cenário do piquenique.
Ilustração em falso espelho:  crianças, com diversidade racial e de corpos (7 anos, 2 meninos e 2 meninas, um menino com traços indígenas, um menino branco mais gordinho; uma menina negra mais magrinha e uma menina parda em cadeira de rodas), em um piquenique ao ar livre, com toalha no gramado, cesta e itens saudáveis. Deve haver um adulto na cena (professora de uns 50 anos, parda)</t>
  </si>
  <si>
    <t>i0337_2p012p_g27_e002</t>
  </si>
  <si>
    <t>Ilustração, ao lado do texto, de duas crianças, um menino negro e uma menina branca de cabelo escuro, 7 anos, em um piquenique, uma sentada fazendo uma refeição e a outra em pé. Uma delas deve ter uma prótese na perna. Inserir um adulto na ilu – pode ser um homem negro.</t>
  </si>
  <si>
    <t>i0338_2p012p_g27_e002</t>
  </si>
  <si>
    <t xml:space="preserve">Ilustração de um processo de escrita colaborativa. 4 estudantes (2 meninos, 2 meninas, 7 anos, uniformizados, variar etnias e tipos físicos, pelo menos 2 devem ser negros. Um deve usar colar de deficiências ocultas). Um estudante está escrevendo em uma folha, outros estão em volta prestando atenção e ditando, um está dobrando o envelope, outro finalizando a ilustração. Eles estão na classe. </t>
  </si>
  <si>
    <t>i0343_2p012p_g27_e002</t>
  </si>
  <si>
    <t>Ilustrar elementos que remetam a um piquenique (cesta, toalha), soltos pela página e alguns alimentos saudáveis, como frutas (banana, melancia, uva, maçã etc.). fazer uma ilustração mais “solta”, não precisa ser uma cena para não ficar repetitivo com o que já apareceu na unidade.</t>
  </si>
  <si>
    <t>i1139_1p012p_g27_e002</t>
  </si>
  <si>
    <t>jx</t>
  </si>
  <si>
    <t>F: 30/07</t>
  </si>
  <si>
    <t>i1140_1p012p_g27_e002</t>
  </si>
  <si>
    <t>i1141_1p012p_g27_e002</t>
  </si>
  <si>
    <t>i0706_5p012p_g27_e002</t>
  </si>
  <si>
    <t xml:space="preserve">Il da fachada de uma farmácia. A cena deve parecer de uma época mais antiga. Na fachada deve estar escrito PHARMACIA. </t>
  </si>
  <si>
    <t>oy</t>
  </si>
  <si>
    <t>R: 31/07  F: 04/08</t>
  </si>
  <si>
    <t>i0708_5p012p_g27_e002</t>
  </si>
  <si>
    <t xml:space="preserve">Il de um homem branco comendo jabuticabas em um pomar. </t>
  </si>
  <si>
    <t>i0721_5p012p_g27_e002</t>
  </si>
  <si>
    <t>Ilustrar uma ratoeira gigante em cima da linha de um trem.</t>
  </si>
  <si>
    <t>i0709_5p012p_g27_e002</t>
  </si>
  <si>
    <t>Il de uma galinha e uma lebre perto de uma lagoa, onde há um sapo dentro dela</t>
  </si>
  <si>
    <t>i0722_5p012p_g27_e002</t>
  </si>
  <si>
    <t>recorte da il i0709: focar mais nos 3 animais se couber</t>
  </si>
  <si>
    <t>i0710_5p012p_g27_e002</t>
  </si>
  <si>
    <t>Il de um cesto de piquenique com uma toalha xadrez por cima cobrindo, dando a impressão de que ele está cheio de alimentos.</t>
  </si>
  <si>
    <t>virou shutter</t>
  </si>
  <si>
    <t>Excluir, vai virar uma F.</t>
  </si>
  <si>
    <t>i0713_5p012p_g27_e002</t>
  </si>
  <si>
    <t xml:space="preserve">Ilustrar ciclo do papel. Ilustrador: Em A, ilustrar árvores sendo derrubadas e ao lado delas as toras de madeira cortadas; em B, ilustrar toras de madeira entrando em uma fábrica e saindo de lá sob a forma de grandes bobinas de papel em branco; em C, ilustrar essas grandes bobinas entrando em uma máquina impressora e na outra ponta saindo um monte de gibis impressos; em D, ilustrar uma criança negra lendo um dos gibis mostrados no item C; em E, ilustrar um cesto de lixo no qual está escrito papel e a criança negra jogando lá o gibi que estava lendo no item D; em F, mostrar um cestão de lixo comum atravessado por um X bem grande; em G, ilustrar um centro de reciclagem no qual estão entrando os gibis impressos e saindo grandes bobinas de papel branco. SETAS: fazer setas de A para B, de B para C, de C para D, de D para E, de E para G, de G para C. </t>
  </si>
  <si>
    <t>i1113_5p012p_g27_e002</t>
  </si>
  <si>
    <t>Il de menino vendo VLOG no computador com um adulto sentado ao lado da criança, com expressão de interesse pelo que o filho está vendo. Trocar por uma criança indígena, asiática ou negra e fazer o adulto da mesma etnia.</t>
  </si>
  <si>
    <t>R: 01/08  F: 06/08</t>
  </si>
  <si>
    <t>i1123_5p012p_g27_e002</t>
  </si>
  <si>
    <t>Ilustrar o texto. Todos os personagens são brancos. Fazer o professor Lindenbrock meio com jeitão de cientista maluco. O sobrinho Axel é um adolescente com jeito de nerd. Pode ser o segundo parágrafo: os dois decifrando uma mensagem cifrada em caracteres rúnicos em um papel que estava dentro do livro antigo.</t>
  </si>
  <si>
    <t>i1119_5p012p_g27_e002</t>
  </si>
  <si>
    <t>Ilustrar uma turma de estudantes de cerca de 10 anos, com um professor, todos em círculo, como se estivessem em um debate. Um dos alunos pode estar em uma cadeira de rodas e uma aluna estar usando hijab. Variar os tipos físicos e etnias.</t>
  </si>
  <si>
    <t>i1121_5p012p_g27_e002</t>
  </si>
  <si>
    <t>Ilustrar o texto. Os personagens são brancos. O menino tem cerca de 10 anos, de calça azul e camisa branca; a mãe é relativamente jovem e deve estar com cara de durona. Os dois devem estar conversando.</t>
  </si>
  <si>
    <t>i1124_5p012p_g27_e002</t>
  </si>
  <si>
    <t>Ilustrar uma placa de proibição com uma imagem de um celular e de bloqueio/proibido em cima, logo abaixo do símbolo, a frase: ATENÇÃOPROIBIDO USO DE CELULAR NA ESCOLA. LEI 15.100/2025.</t>
  </si>
  <si>
    <t>i1327_5p012p_g27_e002</t>
  </si>
  <si>
    <t>resgatar a antiga i0506_1p012p_g27_e002</t>
  </si>
  <si>
    <t>i0509_2p012p_g27_e002</t>
  </si>
  <si>
    <t xml:space="preserve">Ilustração de mão e bolhas de sabão ao lado das palavras </t>
  </si>
  <si>
    <t>Excluir, vai virar F.</t>
  </si>
  <si>
    <t>i0526_2p012p_g27_e002</t>
  </si>
  <si>
    <t xml:space="preserve">Ilustração de um mural com cartazes de campanha de saúde. Podem aparecer 2 cartazes: em um escrito BEBA ÁGUA! e a ilustração de um copo de água e no outro escrito PRATIQUE ATIVIDADES FÍSICAS e a ilustração de uma bola e uma bicicleta. </t>
  </si>
  <si>
    <t>im</t>
  </si>
  <si>
    <t>R: 06/08  F: 11/08</t>
  </si>
  <si>
    <t>i0527_2p012p_g27_e002</t>
  </si>
  <si>
    <t>Ilustrar um cabide em fio preto para o estudante pintar</t>
  </si>
  <si>
    <t>F: 07/08</t>
  </si>
  <si>
    <t>i0528_2p012p_g27_e002</t>
  </si>
  <si>
    <t>Ilustrar um sapato social masculino em fio preto para o estudante pintar</t>
  </si>
  <si>
    <t>i0529_2p012p_g27_e002</t>
  </si>
  <si>
    <t>Ilustrar um tatu em fio preto para o estudante pintar</t>
  </si>
  <si>
    <t>i0530_2p012p_g27_e002</t>
  </si>
  <si>
    <t>Ilustrar uma cadeira de madeira em fio preto para o estudante pintar</t>
  </si>
  <si>
    <t>i0531_2p012p_g27_e002</t>
  </si>
  <si>
    <t>Ilustrar um dado em fio preto para o estudante pintar</t>
  </si>
  <si>
    <t>i0532_2p012p_g27_e002</t>
  </si>
  <si>
    <t>Ilustrar uma motocicleta em fio preto para o estudante pintar</t>
  </si>
  <si>
    <t>i0533_2p012p_g27_e002</t>
  </si>
  <si>
    <t>ilustrar ao lado da quadrinha uma criança e um adulto brincando na beira de um rio. Eles podem aparecer de costas ou só a silhueta, como se estivessem agachados.</t>
  </si>
  <si>
    <t>i0534_2p012p_g27_e002</t>
  </si>
  <si>
    <t>Ilustrar um menino asiático de 7 anos escovando os dentes e uma menina de 7 anos negra passando fio dental (pode ser só o busto)</t>
  </si>
  <si>
    <t>i0535_2p012p_g27_e002</t>
  </si>
  <si>
    <t xml:space="preserve">ilustrar duas crianças encenando a tirinha no cenário de sala de aula: um menino negro de 7 anos no lugar do Armandinho (segurando um jornal) e uma menina branca, de cabelo castanho, de 7 anos (em cadeira de rodas) no lugar da mãe. 
Balão de fala da menina:
ESCOVOU OS DENTES, FILHO?
balão de fala do menino:
SIM, MÃE... FAZ TEMPO!
</t>
  </si>
  <si>
    <t>i0540_2p012p_g27_e002</t>
  </si>
  <si>
    <t xml:space="preserve">ilustrar um menino com traços indígenas, 7 anos, com uniforme, sentado em uma carteira na sala de aula. Sobre a mesa dele deve haver cartas com garatujas. Ele deve estar segurando 3 cartas com uma mão: com a palavra LUA, escrita em letra bastão, de imprensa minúscula e em cursiva minúscula. E deve estar com a outra mão erguida, como quem chama o professor. Ao lado dele pode haver uma menina loira, com implante coclear, sentada na própria carteira, com as cartas na mesa com garatujas, como quem está procurando as cartas certas. </t>
  </si>
  <si>
    <t>i0906_5p012p_g27_e002</t>
  </si>
  <si>
    <t xml:space="preserve">Inserir uma ilustração de jornal com uma notícia da escola.
A página deve ter o título “Notícias da escola”; deve apresentar uma imagem de uma escola e garatujas (texto ilegível), simulando uma notícia; pode ter um infográfico também.
</t>
  </si>
  <si>
    <t>R: 11/08  F: 13/08</t>
  </si>
  <si>
    <t>i0907_5p012p_g27_e002</t>
  </si>
  <si>
    <t>Il de mulher jovem com celular na mão e fones de ouvido vendo um podcast. Ajustar ilustração; deixar a mulher que apresenta o podcast com cabelo com penteado afro. A apresentadora deve ter um balão de fala com a seguinte fala: “Até mais, pessoal! Espero que tenham gostado do conteúdo que preparei para hoje!”. Ref:</t>
  </si>
  <si>
    <t>i0912_5p012p_g27_e002</t>
  </si>
  <si>
    <t>Il de professora e estudantes, estes de cerca de 10 anos, sentados em roda em sala de aula. Um desses alunos deve parecer estar falando com o resto da sala e os outros prestando atenção. Variar os tipos físicos. Ref: PortV5_extra008_FINAL</t>
  </si>
  <si>
    <t>i1530_5p012p_g27_e002</t>
  </si>
  <si>
    <t>Ilustração de confetes e serpentinas em torno do texto. Se possível, outros elementos do carnaval, como máscara, pandeiro, cavaquinho etc.</t>
  </si>
  <si>
    <t>ca</t>
  </si>
  <si>
    <t>R:08/08 F:12/08</t>
  </si>
  <si>
    <t>i1537_5p012p_g27_e002</t>
  </si>
  <si>
    <t>Reaplicar aqui confetes e serpentinas da ilustração do texto principal (i1530).</t>
  </si>
  <si>
    <t>i1538_5p012p_g27_e002</t>
  </si>
  <si>
    <t>Reaplicar aqui confetes e serpentinas da ilustração do texto principal – ou outros elementos (i1530).</t>
  </si>
  <si>
    <t>i1511_5p012p_g27_e002</t>
  </si>
  <si>
    <t>Ilustrar um mapa mental. Colocar o título ao centro, em destaque, colorido, e os subtítulos dentro de retângulos, com flechas puxando para as respectivas informações, que podem estar em círculos. Os termos destacados tb podem aparecer coloridos ou com algum destaque criativo.</t>
  </si>
  <si>
    <t>i1510_5p012p_g27_e002</t>
  </si>
  <si>
    <t xml:space="preserve">Il de 2 crianças de cerca de 10 anos apresentando um mapa mental. Elas devem estar uniformizadas. Um menino negro de óculos e uma menina branca, de cabelo castanho, com cordão de deficiências ocultas. Variar altura e peso das crianças. </t>
  </si>
  <si>
    <t>g1532_5p012p_g27_e002</t>
  </si>
  <si>
    <t>Ilustrar um gráfico de 2 setas a partir do infográfico: (https://infoamazonia.org/2021/11/05/cop26-quase-500-milhoes-arvores-derrubadas-amazonia-2021/). Na seta vertical, o número 1059, na seta horizontal a palavra minutos, dando a entender que, a cada 1 minuto, 1059 árvores foram derrubadas.</t>
  </si>
  <si>
    <t>F:11/08</t>
  </si>
  <si>
    <t>g1534_5p012p_g27_e002</t>
  </si>
  <si>
    <t>Ilustrar gráfico Recordes de cheia do Rio Acre, em Rio Branco (AC</t>
  </si>
  <si>
    <t>i1535_5p012p_g27_e002</t>
  </si>
  <si>
    <t>Ilustração que remeta a chuva (pelo espaço reduzido pode ser uma janela de onde se vê a chuva lá fora).</t>
  </si>
  <si>
    <t>fg</t>
  </si>
  <si>
    <t>ARTE</t>
  </si>
  <si>
    <t>i1520_5p012p_g27_e002</t>
  </si>
  <si>
    <t>Il de 4 crianças de cerca de 10 anos, uniformizados, em volta de uma carteira de escola lendo e fazendo trabalho juntos (elaborando um cartaz). As crianças devem ser: um menino branco em cadeira de rodas; uma menina negra (de cabelos soltos), uma menina com traços asiáticos e um menino pardo ou indígena.</t>
  </si>
  <si>
    <t>i1521_5p012p_g27_e002</t>
  </si>
  <si>
    <t xml:space="preserve">Retratar as mesmas crianças da il anterior apresentando um cartaz com gráficos. Eles devem estar à frente da sala de aula falando para os colegas (que não precisam aparecer). A il pode ser um “recorte” e aparecer apenas 2 integrantes do grupo, mas dando a entender que os outros dois estão juntos tb (se forem aparecer só 2 crianças, devem ser o menino branco em cadeira de rodas e a menina negra (de cabelos soltos). </t>
  </si>
  <si>
    <t>i0129_3p012p_g27_e002</t>
  </si>
  <si>
    <t>Il de envelope com frente e verso 108-POR-V3-U1-LA-I011-A</t>
  </si>
  <si>
    <t>i0108_3p012p_g27_e002</t>
  </si>
  <si>
    <t>Il de um homem com aparência latina escrevendo uma carta. Ele pode aparecer de costas.</t>
  </si>
  <si>
    <t>R: 12/08  F: 14/08</t>
  </si>
  <si>
    <t>i0309_3p012p_g27_e002</t>
  </si>
  <si>
    <t>Il. de jacaré tomando sol perto de um rio. Ref (não precisa ser exatamente assim):</t>
  </si>
  <si>
    <t>excluir, virou foto.</t>
  </si>
  <si>
    <t>i0322_3p012p_g27_e002</t>
  </si>
  <si>
    <t>Ilustrar uma página de caderno, no topo da página “Título da notícia” em letra cursiva, e pelo menos duas ou três perguntas em destaque: O quê? Quem? Quando? Onde? Como? Por quê?. Uma abaixo da outra com rabiscos (garatujas) simulando a escrita.</t>
  </si>
  <si>
    <t>i0323_3p012p_g27_e002</t>
  </si>
  <si>
    <t>Ilustração de um menino de uns 8 anos de cabelo cacheado. Ele deve estar de chapéu e alguns cachos caem do chapéu discretamente. Se aparecer um cenário, deve estar sol. Ref:</t>
  </si>
  <si>
    <t>R:11/08 F:13/08</t>
  </si>
  <si>
    <t>i0117_3p012p_g27_e002</t>
  </si>
  <si>
    <t xml:space="preserve">Ilustrar uma mão negra escrevendo uma carta. O texto não precisa ser legível, podem ser garatujas. </t>
  </si>
  <si>
    <t>i0118_3p012p_g27_e002</t>
  </si>
  <si>
    <t xml:space="preserve">Ilustrar uma criança de 8 anos,
negra retinta, escrevendo numa folha de papel como se estivesse “revisando” a carta que escreveu. Pode aparecer um envelope ao lado. Ela deve estar na carteira da sala de aula, uniformizada.
</t>
  </si>
  <si>
    <t>i0119_3p012p_g27_e002</t>
  </si>
  <si>
    <t xml:space="preserve">Il uma menina embaixo de uma mesa com uma toalha comprida, escondendo parcialmente a menina  </t>
  </si>
  <si>
    <t>R: 13/08  F: 15/08</t>
  </si>
  <si>
    <t>i0120_3p012p_g27_e002</t>
  </si>
  <si>
    <t xml:space="preserve">Il de menina embaixo das cobertas na cama, dando pra ver apenas a parte da cabeça que os olhos aparecem e as mãos segurando as cobertas. 
</t>
  </si>
  <si>
    <t>i0121_3p012p_g27_e002</t>
  </si>
  <si>
    <t xml:space="preserve">Il de menina em cima da árvore com frutas 
</t>
  </si>
  <si>
    <t>i0122_3p012p_g27_e002</t>
  </si>
  <si>
    <t xml:space="preserve">Il de um sofá com o pezinho de alguém aparecendo atrás, como se estivesse se escondendo, mas ainda aparecendo uma pequena parte, os pés </t>
  </si>
  <si>
    <t>i0123_3p012p_g27_e002</t>
  </si>
  <si>
    <t xml:space="preserve">Il de uma armário com uma das portas parcialmente aberta com os dedos das mãos da criança que está se escondendo dentro dele aparecendo, como se estivesse espiando pra fora
</t>
  </si>
  <si>
    <t>i0124_3p012p_g27_e002</t>
  </si>
  <si>
    <t xml:space="preserve">Il de menina atrás de uma roseira. Ela deve estar agachada e parcialmente escondida, aparecendo apenas metade dela </t>
  </si>
  <si>
    <t>i1138_2p012p_g27_e002</t>
  </si>
  <si>
    <t xml:space="preserve">Compor peças de quebra-cabeça em duas colunas, para estudante ligar partes de ditados populares. Atenção para haver várias possibilidades de encaixe nas peças da direita, para não deixar óbvias as respostas. </t>
  </si>
  <si>
    <t>i1139_2p012p_g27_e002</t>
  </si>
  <si>
    <t>Il de menina negra, 7 anos, deitada em gramado olhando pro céu e vendo nuvens em formato de letras: CH, LH, NH. Ref:</t>
  </si>
  <si>
    <t>R: 07/08  F: 11/08</t>
  </si>
  <si>
    <t>i1131_2p012p_g27_e002</t>
  </si>
  <si>
    <t>ilustrar crianças fazendo um jornal falado da turma: em sala de aula, deve haver 2 crianças de 7 anos (um menino com colar de deficiências ocultas asiático e uma menina negra de cabelo black power) sentados em carteiras como se fossem âncoras de um jornal. Eles podem estar sentados na mesa do professor. Um menino branco com perna mecânica deve estar segurando um celular e gravando o áudio dos dois colegas. Deve haver uma professora parda ao lado da criança que está gravando. Ref (a criança com o celular deve estar gravando áudio e não vídeo):</t>
  </si>
  <si>
    <t>i0125_3p012p_g27_e002</t>
  </si>
  <si>
    <t>Ilustrar um ambiente que remeta aos contos de fadas. Pode ser uma floresta ou uma planície bem verde com um arco-íris e algumas borboletas coloridas passeando por algumas flores. Dar ideia de encantamento.</t>
  </si>
  <si>
    <t>i0126_3p012p_g27_e002</t>
  </si>
  <si>
    <t xml:space="preserve">ilustração de um livro escrito na capa “Meu diário”. Deve dar para ver que se trata de um livro, aparecendo parte da lombada ou algo assim. </t>
  </si>
  <si>
    <t>i0528_3p012p_g27_e002</t>
  </si>
  <si>
    <t>Il de fantasma e homem (os mesmos das ilustras: i0506 e i0507) se assustando um com o outro. Ref:</t>
  </si>
  <si>
    <t>i0513_3p012p_g27_e002</t>
  </si>
  <si>
    <t>Ilustrar a capa de um livro com o título no topo: “Contos de suspense”. Na parte inferior da capa: “Turma do 3º ano”. Tudo em letras manuscritas.</t>
  </si>
  <si>
    <t>dz</t>
  </si>
  <si>
    <t>R: 13/08  F: 18/08</t>
  </si>
  <si>
    <t>i0512_3p012p_g27_e002</t>
  </si>
  <si>
    <t>Ilustrar um mapa conceitual onde "Sinais de pontuação" seja o tópico principal. Dele, saem cinco ramificações, uma para cada sinal de pontuação: "Dois-pontos", "Travessão", "Ponto-final", " Ponto de interrogação" e " Ponto de exclamação". De cada um desses sinais, sai o espaço para o estudante preencher ou a frase dada. Algo como a imagem abaixo, mas com os marcadores nos sinais.</t>
  </si>
  <si>
    <t>i0530_3p012p_g27_e002</t>
  </si>
  <si>
    <t>Ilustrar, ao final do texto, no mesmo cenário da ilustração anterior (i0511), o muro, só a sombra (silhueta) de uma pessoa (homem/garoto) meio caída, meio encostada no muro, mais ao longe, e, em primeiro plano, um gato cinza correndo pela calçada.</t>
  </si>
  <si>
    <t>R: 13/08  PAGAR OS 30% DO RAFE.
Foi excluída por conta de autorização</t>
  </si>
  <si>
    <t>i0511_3p012p_g27_e002</t>
  </si>
  <si>
    <t>Ilustrar, na lateral do texto, um cenário noturno, um pedaço de um muro e atrás dele, por cima, folhagens que parecem se mexer</t>
  </si>
  <si>
    <t>i0908_2p012p_g27_e002</t>
  </si>
  <si>
    <t>ilustrar ao lado do texto os seguintes instrumentos numerados de 1 a 3 nessa ordem: piano, flauta e tambor. Eles podem estar na vertical</t>
  </si>
  <si>
    <t>Excluir: vai virar F.</t>
  </si>
  <si>
    <t>i0910_2p012p_g27_e002</t>
  </si>
  <si>
    <t xml:space="preserve">ao lado do quadro, ilustrar uma menina asiática em cadeira de rodas (uniformizada, 7 anos), como se estivesse analisando o quadro. </t>
  </si>
  <si>
    <t>i0912_2p012p_g27_e002</t>
  </si>
  <si>
    <t xml:space="preserve">Ilustrar ao lado do texto: uma parte de uma cozinha em que apareça uma batedeira, um liquidificador, uma panela com pipoca. Deve haver uma janela nessa cozinha de onde dá para ver a parte de fora: céu de fim de tarde com garoa com pinguinhos. </t>
  </si>
  <si>
    <t>i0913_2p012p_g27_e002</t>
  </si>
  <si>
    <t xml:space="preserve">Ilustrar ao lado do texto: um cenário de praia com tempestade e muito vento, raio, relâmpago, trovão e ondas quebrando contra um rochedo. </t>
  </si>
  <si>
    <t>i0923_2p012p_g27_e002</t>
  </si>
  <si>
    <t>Ilustração de menino branco, cabelos castanhos, fazendo malabarismo com caquis (pode aparecer só o busto)</t>
  </si>
  <si>
    <t>i0933_2p012p_g27_e002</t>
  </si>
  <si>
    <t xml:space="preserve">ilustrar como se fosse um cantinho da leitura e vários livros. Duas crianças: um menino pardo com cordão de deficiências ocultas e uma menina loira de óculos, 7 anos, uniformizados, estão nesse local. Ele escreve algo no caderno e ela lê um dos livros. </t>
  </si>
  <si>
    <t>i0939_3p012p_g27_e002</t>
  </si>
  <si>
    <t xml:space="preserve">ilustrar uma linha de Classificação dos grupos de alimentos baseada nesta imagem, que está na p. 10 do link a seguir.
https://desiderata.org.br/wordpress/wp-content/uploads/2024/08/Guia-Cantinas_Desiderata_web.pdf
1º: espigas de milho com a indicação “milho” em cima e ALIMENTOS IN NATURA” embaixo; 2º: um saco de milho com a indicação “milho para pipoca” em cima e ALIMENTOS MINIMAMENTE PROCESSADOS embaixo; 3º: uma lata de milho aberta com a indicação “milho enlatado” e ALIMENTOS PROCESSADOS embaixo; 4º: um pacote de salgadinho de milho com a indicação “salgadinho de milho” e ALIMENTOS ULTRAPROCESSADOS embaixo. Referência:
</t>
  </si>
  <si>
    <t>R:12/08 F:14/08</t>
  </si>
  <si>
    <t>i0940_3p012p_g27_e002</t>
  </si>
  <si>
    <t>Ilustrar os ingredientes da salada: beterraba, cenoura, abobrinha e cebola, sobre uma mesa com alguns utensílios de cozinha: uma xícara, 1 colher e uma vasilha pequena redonda.</t>
  </si>
  <si>
    <t>i0942_3p012p_g27_e002</t>
  </si>
  <si>
    <t>Ilustrar algumas PANC: peixinho-da-horta; serralha; dente-de-leão; begônia com os respectivos nomes ao lado de cada planta. Ref:</t>
  </si>
  <si>
    <t>i0921_3p012p_g27_e002</t>
  </si>
  <si>
    <t>Il de jogo da velha 1108-POR-V3-U5-LA-I006</t>
  </si>
  <si>
    <t>pn</t>
  </si>
  <si>
    <t>Arte</t>
  </si>
  <si>
    <t>i0936_3p012p_g27_e002</t>
  </si>
  <si>
    <t>Il de 4 crianças de cerca de 8 anos, jogando de trilha. Variar os tipos físicos: 1 menina negra retinta, 1 menina branca de óculos, 1 menino asiático e 1 menino pardo com cordão de deficiências ocultas. Elas podem estar de uniforme em um ambiente escolar. Ref:</t>
  </si>
  <si>
    <t>i0756_3p012p_g27_e002</t>
  </si>
  <si>
    <t xml:space="preserve">Ilustrar esquema com etapas seguindo estas indicações:
Indicar os números das etapas ao lado esquerdo de cada quadro (fora dele), e os ícones do lado direito do quadro, também fora dele. Cada etapa deve ter um quadro com fundo de cor diferente. Entre a etapa anterior e a próxima deve haver setas indicando o caminho (próximo passo). Na parte “TESTAR A HIPÓTESE”, haverá duas setas. Indicar o ícone de negação (vermelho) ao lado do quadro “HIPÓTESE REJEITADA” e o ícone de check (verde) ao lado do quadro “HIPÓTESE ACEITA”. À direita do último quadro (REGISTRAR E PUBLICAR) deve haver um ícone de um livro e/ou globo, representando o conhecimento compartilhado
Ver referência:
</t>
  </si>
  <si>
    <t>R: 12/08 F:15/08</t>
  </si>
  <si>
    <t>i0753_3p012p_g27_e002</t>
  </si>
  <si>
    <t>Ilustrar alguns objetos relacionados ao campo científico para ficarem na lateral do texto de forma aleatória (telescópio, tubos de ensaio com líquido azul/vermelho, foguete, íons etc</t>
  </si>
  <si>
    <t>i0740_3p012p_g27_e002</t>
  </si>
  <si>
    <t>Il de pai e filha negros olhando as estrelas. A menina deve estar com uma prancheta e caneta nas mãos como se estivesse fazendo uma observação para anotar. Ref:</t>
  </si>
  <si>
    <t>i1344_2p012p_g27_e002</t>
  </si>
  <si>
    <t>Il em fio preto para o estudante pintar de um foguete</t>
  </si>
  <si>
    <t>i1345_2p012p_g27_e002</t>
  </si>
  <si>
    <t>Il em fio preto para o estudante pintar de uma geladeira</t>
  </si>
  <si>
    <t>i1346_2p012p_g27_e002</t>
  </si>
  <si>
    <t>vetor de uma girafa</t>
  </si>
  <si>
    <t>i1347_2p012p_g27_e002</t>
  </si>
  <si>
    <t>vetor de uma guitarra</t>
  </si>
  <si>
    <t>i1308_2p012p_g27_e002</t>
  </si>
  <si>
    <t>Il de mural de animais que vivem na Amazônia, cf referência, mas citando nome completo do lobo (lobo-guará).</t>
  </si>
  <si>
    <t>R: 08/08  F: 12/08</t>
  </si>
  <si>
    <t>i1337_2p012p_g27_e002</t>
  </si>
  <si>
    <t>Il em estilo xilogravura de alguns animais. Precisa aparece uma onça-pintada e uma minhoca. Além delas, podem aparecer outros animais, como pássaros, peixes etc</t>
  </si>
  <si>
    <t>i1341_2p012p_g27_e002</t>
  </si>
  <si>
    <t>Ilustrar ao lado da lista alguns dos animais que aparecem nela</t>
  </si>
  <si>
    <t>i0708_2p012p_g27_e002</t>
  </si>
  <si>
    <t xml:space="preserve">Ilustrar uma menina negra, de uniforme, 7 anos, cabelo solto, na sala de aula, dizendo a seguinte frase: 
Estava tão frio que Mariana tomou só um _________________ e correu para se enrolar no cobertor!
Diante da menina, crianças, de costas para o leitor (podem ser só silhuetas), algumas com mãos levantadas, esperando a vez de falar. Alguma criança com balão de fala: 
Banho de gato!
</t>
  </si>
  <si>
    <t>R: 09/08  F: 12/08</t>
  </si>
  <si>
    <t>i0710_2p012p_g27_e002</t>
  </si>
  <si>
    <t xml:space="preserve">compor ilustração ao lado do item: um menino negro de 8 anos passando tinta na mão. </t>
  </si>
  <si>
    <t>i0746_2p012p_g27_e002</t>
  </si>
  <si>
    <t>ilustração de paca (se encontrar vetor na shutter, pode trocar)</t>
  </si>
  <si>
    <t>i0747_2p012p_g27_e002</t>
  </si>
  <si>
    <t xml:space="preserve">Ilustrar uma menina branca, de cabelos castanhos, 7 anos, uniformizada, em uma cadeira de rodas na sala de aula. Ela deve estar fazendo uma mímica de “lavar os cabelos”, esfregando os cabelos com as mãos. Deve aparecer a silhueta de outras crianças com a mão erguida. O professor, um homem pardo, de jaleco, deve estar ao lado dela. </t>
  </si>
  <si>
    <t>i1108_3p012p_g27_e002</t>
  </si>
  <si>
    <t>Recorte da ilustração do texto (i1105).</t>
  </si>
  <si>
    <t>RECORTE</t>
  </si>
  <si>
    <t>i1109_3p012p_g27_e002</t>
  </si>
  <si>
    <t>Recorte da ilustração do texto (i1104).</t>
  </si>
  <si>
    <t>i1112_3p012p_g27_e002</t>
  </si>
  <si>
    <t>Recorte da ilustração do texto (i1103).</t>
  </si>
  <si>
    <t>i1113_3p012p_g27_e002</t>
  </si>
  <si>
    <t>Recorte da ilustração do texto (i1105)</t>
  </si>
  <si>
    <t>i1114_3p012p_g27_e002</t>
  </si>
  <si>
    <t>i1119_3p012p_g27_e002</t>
  </si>
  <si>
    <t xml:space="preserve">Recorte da il de crianças conversando – só o menino negro com o gato (i1101). </t>
  </si>
  <si>
    <t>i1120_3p012p_g27_e002</t>
  </si>
  <si>
    <t xml:space="preserve">Ilustrar uma criança e um idoso conversando. O idoso deve aparentar uns 65 anos, não deve apresentar o estereótipo de “velho fraco”, deve ser branco e ter cabelo branco/grisalho, ele deve estar sorridente, mostrando todos os dentes. Ele pode esta segurando um livro.
A criança deve ser uma menina parda, baixinha e gordinha e usar óculos de grau. </t>
  </si>
  <si>
    <t>i1121_3p012p_g27_e002</t>
  </si>
  <si>
    <t>ilustrar 4 crianças de 7 a 10 anos (2 meninos e 2 meninas) brincando num quintal de uma casa, correndo. Variar altura das crianças e fazer umas mais magrinhas e umas mais gordinhas. Uma delas não deve ter um dos braços. Deve haver pelo menos 2 negros</t>
  </si>
  <si>
    <t>i1122_3p012p_g27_e002</t>
  </si>
  <si>
    <t xml:space="preserve">Il de menino pardo, de óculos de grau, deitado no chão escrevendo em uma folha e balão de pensamento vazio. </t>
  </si>
  <si>
    <t>i1123_3p012p_g27_e002</t>
  </si>
  <si>
    <t>Ilustrar a capa de um livro. No topo deve estar escrito: “Livro de poemas”. Embaixo: “3º ano”.</t>
  </si>
  <si>
    <t>i1308_3p012p_g27_e002</t>
  </si>
  <si>
    <t>il de saco com pipoca, tamanduá e piranha.</t>
  </si>
  <si>
    <t>i1313_3p012p_g27_e002</t>
  </si>
  <si>
    <t>Ilustrar um tronco de árvore em que deve estar escrito “Tronco Tupi”. Desse tronco devem sair 10 galhos, cada um com um nome de uma língua: Tupi-guarani; Arikém; Aweti; Juruna; Mawé; Mondé; Puroborá; Munduruku; Ramarama; Tupari.</t>
  </si>
  <si>
    <t>i1314_3p012p_g27_e002</t>
  </si>
  <si>
    <t>Ilustrar uma menina negra retinta de 8 anos (cabelo solto) consultando um livro e fazendo anotações em um caderno</t>
  </si>
  <si>
    <t>i0753_2p012p_g27_e002</t>
  </si>
  <si>
    <t>Ilustrar um mural em uma sala de aula com desenhos que mostrem práticas de higiene ou com conteúdo que não dê para identificar (estilo garatujas). Olhando os desenhos, alguns alunos de 7 anos e o professor, que deve ser um homem ruivo com jaleco (variar etnias e tipos físicos dos alunos, um dos alunos deve estar em cadeira de rodas, deve haver pelo menos um negro e um com cordão de deficiências ocultas). Todos uniformizados</t>
  </si>
  <si>
    <t>R: 12/08  F:14/08</t>
  </si>
  <si>
    <t>i1536_2p012p_g27_e002</t>
  </si>
  <si>
    <t>Ilustrar texto: uma menina (negra, mais ou menos 7 anos) e uma avó negra (ela deve ter cabelos brancos, mas alguns escuros também) embaixo de uma árvore de Ficus insipida (iroco – ver ref na ilu). A menina deve estar mexendo nos cabelos da avó (a avó pode estar deitada no colo da menina. Refs:</t>
  </si>
  <si>
    <t>R: 13/08  F: 25/08</t>
  </si>
  <si>
    <t>i1537_2p012p_g27_e002</t>
  </si>
  <si>
    <t xml:space="preserve">Il da mesma personagem do texto principal (criança) com cara de curiosa, pensativa </t>
  </si>
  <si>
    <t>i1504_2p012p_g27_e002</t>
  </si>
  <si>
    <t>Il de menina, 7 anos, parda, escrevendo em caderno em uma mesinha e imaginando ela em um jardim de uma casa brincando com os animais (gato e cachorro). Ref:</t>
  </si>
  <si>
    <t>i1529_2p012p_g27_e002</t>
  </si>
  <si>
    <t xml:space="preserve">Ilustrar livremente na página elementos antigos, como: dinossauro, telefone antigo, máquina de escrever, vitrola, castiçal antigo, TV de tubo, relógio de bolso etc. </t>
  </si>
  <si>
    <t>i1510_2p012p_g27_e002</t>
  </si>
  <si>
    <t>Il de um porta-retrato antigo de parede com foto de uma casa ref:</t>
  </si>
  <si>
    <t xml:space="preserve">i0318_1p012p_g27_e002 </t>
  </si>
  <si>
    <t>Ilustrar algumas das comidas citadas para que sejam diagramadas ao redor da lista: quindim, uvas, quibe, rocambole, nozes e pamonha.</t>
  </si>
  <si>
    <t xml:space="preserve">i0323_1p012p_g27_e002 </t>
  </si>
  <si>
    <t>Ilustrar algumas letras aleatórias em tamanhos e cores variados. Para fechar a página. Código antigo i0607ls_2bap_g23_ftd_ly</t>
  </si>
  <si>
    <t xml:space="preserve">ls </t>
  </si>
  <si>
    <t>Resgate com ajuste</t>
  </si>
  <si>
    <t>i0326_4p012p_g27_e002</t>
  </si>
  <si>
    <t>il técnica bandeira do Japão.</t>
  </si>
  <si>
    <t>yp</t>
  </si>
  <si>
    <t>JAPÃO/ARQUIVO DA EDITORA</t>
  </si>
  <si>
    <t>Padrão</t>
  </si>
  <si>
    <t>i0124 _5p012p_g27_e002</t>
  </si>
  <si>
    <t xml:space="preserve">Ilustrar uma vaquinha magra.
Passar ilustração para LISLLEY GOMES FEIGE. Deve ter a mesma linguagem das ils (i0116) e (i0117)
</t>
  </si>
  <si>
    <t>R: 19/08  F: 21/08</t>
  </si>
  <si>
    <t>i6102_1p012p_g27_e002</t>
  </si>
  <si>
    <t>MC</t>
  </si>
  <si>
    <t>Ilustrar material recortável para a montagem de um crachá de mesa. Seguir exatamente a referência (com as letras)</t>
  </si>
  <si>
    <t>gx</t>
  </si>
  <si>
    <t>arte</t>
  </si>
  <si>
    <t>i6103_1p012p_g27_e002</t>
  </si>
  <si>
    <t>Ilustrar alfabeto (letras em caixa alta, formato bastão)</t>
  </si>
  <si>
    <t>Excluir, será feito na diag.</t>
  </si>
  <si>
    <t>i6104_1p012p_g27_e002</t>
  </si>
  <si>
    <t>i6105_1p012p_g27_e002</t>
  </si>
  <si>
    <t>Ilustrar envelope</t>
  </si>
  <si>
    <t>Pode ser feito na diag. com projeto gráfico</t>
  </si>
  <si>
    <t>i6106_1p012p_g27_e002</t>
  </si>
  <si>
    <t>Compor um jogo de trilha, de modo que cada casa corresponda a uma letra do alfabeto. A primeira casa (antes do A) deverá ser maior e estar escrito INÍCIO, com outra cor, e o final (depois do Z), CHEGADA. A ideia é que seja leve, divertida e convidativa. Entre as casas T e U, inserir uma casa “PERCA SUA VEZ.” e outra entre L e M “AVANCE DUAS CASAS.”. Se não couber essa escrita na casa, pode ser em um balão puxado pela casa.</t>
  </si>
  <si>
    <t>i6107_1p012p_g27_e002</t>
  </si>
  <si>
    <t>Compor cartas retangulares com números de 1 a 9 na frente e o nome do jogo (TRILHA DO ALFABETO) no verso. Deixar cartas divertidas para o jogo, com números maiores, cores e outros efeitos visuais</t>
  </si>
  <si>
    <t>i6108_1p012p_g27_e002</t>
  </si>
  <si>
    <t xml:space="preserve">Compor 4 fichas redondas coloridas, uma de cada cor (vermelho, verde, azul, amarelo), de tamanho um pouco menor que as casas da trilha da página 78.
Ref: mas trocar a última de vermelho para amarelo
</t>
  </si>
  <si>
    <t>i6109_1p012p_g27_e002</t>
  </si>
  <si>
    <t>Ilustrar cartas conforme referência, mas contemplar melhor a diversidade de etnias</t>
  </si>
  <si>
    <t>R: 21/08  F: 23/08</t>
  </si>
  <si>
    <t>i6110_1p012p_g27_e002</t>
  </si>
  <si>
    <t>Ilustrar cada criatura, de modo que sejam facilmente identificáveis (figuras vão compor cartão individual da criatura): bruxa, fada, ogro, gigante, saci, lobo, cf referência, mas fada pode ser negra ou parda. As imagens devem ser exatamente do tamanho de cada quadrinho do quadro de palavras para o estudante encaixar</t>
  </si>
  <si>
    <t>if1146_1p012p_g27_e002</t>
  </si>
  <si>
    <t xml:space="preserve">Vetor de crianças brincando de bole-bole
Opções:
Shutter_1818902339
(inserir 4 pedrinhas no chão no lugar dos planetas e 1 na mão da professora; excluir o fundo)
Shutter_2376032029
(inserir 5 pedrinhas no chão)
</t>
  </si>
  <si>
    <t>FG</t>
  </si>
  <si>
    <t xml:space="preserve">i1575_1p012p_g27_e002 </t>
  </si>
  <si>
    <t>Ilustrar Curupira conforme descrição da ficha: CRIATURA MASCULINA MEIO HUMANOIDE, MEIO ANIMAL; TAMANHO DE UM MENINO, TEM O CORPO MUITO PELUDO, ATARRACADO E MUITO, MUITO FORTE. TEM CABELOS VERMELHOS COR DE FOGO, DENTES VERDES PONTIAGUDOS E OS PÉS COM OS DEDOS VOLTADOS PARA TRÁS, OU SEJA, COM O CALCANHAR PARA A FRENTE. Ele deve estar no meio de uma floresta</t>
  </si>
  <si>
    <t>R: 20/08  F: 22/08</t>
  </si>
  <si>
    <t>i1577_1p012p_g27_e002</t>
  </si>
  <si>
    <t xml:space="preserve">Produzir imagem com 4 caminhos: 
No 1º deve haver: todas as letras do alfabeto, de A a Z, em letra bastão cxAA
No 2º deve haver: todas as letras do alfabeto, de A a Z, em letra cursiva cxAA 
No 3º deve haver: todas as letras do alfabeto, de A a Z, em letra cursiva cxb
No 4º deve haver: todas as letras do alfabeto, de A a Z, em letra de imprensa cxb
No início, de onde saem todos os caminhos, deve haver um monstrinho simpático. No final dos demais caminhos deve haver as seguintes imagens: uma bola, um morango, um outro monstrinho e uma casa.
A primeira imagem é como devem ser os caminhos com as letras (eles não devem se cruzar). 
</t>
  </si>
  <si>
    <t>i1520_3p012p_g27_e002</t>
  </si>
  <si>
    <t xml:space="preserve">Ilustrar uma cena com uma menina e sua mãe, ambas com roupas de festa junina, chegando em casa, com a seguinte fala: 
Este ano nossa festa junina foi mais animada! 
O irmão dela, com o pé quebrado, apontando para o pé, deve responder: 
Ah, eu queria ter ido, mas dessa vez não deu.
Todos devem ser asiáticos.
</t>
  </si>
  <si>
    <t>R: 22/08  F: 26/08</t>
  </si>
  <si>
    <t>i1522_3p012p_g27_e002</t>
  </si>
  <si>
    <t>Ilustrar 3 crianças de 8 anos (1 menina branca sem um braço, 1 menino negro e 1 menina indígena) com um adulto em um ambiente de festa popular – pode parecer uma festa junina, com bandeirinhas ao fundo</t>
  </si>
  <si>
    <t>i1523_3p012p_g27_e002</t>
  </si>
  <si>
    <t xml:space="preserve">Ilustrar um anúncio de festa. 
Esboços de pratos e copos.
Texto: 1ª Festa do Norte
Local: Praça Central de Manaus.
Data: 20/12/2027.
Horário: das 15h às 21h
Pratos deliciosos, música ao vivo, danças e muito mais!
Uma festa para todas as idades.
Ref (sem as bebidas que parecem alcóolicas e mais colorido):
</t>
  </si>
  <si>
    <t>i0724_4p012p_g27_e002</t>
  </si>
  <si>
    <t>Ilustrar os materiais listados no texto: cartolina, tesoura de pontas arredondadas, plástico filme, rolo de papel higiênico (só a parte interna, de papelão), elástico de borracha, fita adesiva e lanterna. Ao lado dos materiais deve haver o número correspondente ao nome dele. Ilustrar o menino projetando imagem na parede com a lanterna. Trocar a estrela por coração. ref: Ilustrar o passo 1 conforme referência (coração em vez de estrela). Ilustrar o passo 2 conforme referência (coração em vez de estrela). Ilustrar o passo 3 conforme referência (coração em vez de estrela). Ilustrar o passo 4 conforme referência (coração em vez de estrela).</t>
  </si>
  <si>
    <t>i0730_4p012p_g27_e002</t>
  </si>
  <si>
    <t>Inserir recorte da ilustração (i0724a): com a parte da imagem do coração projetada na parede.</t>
  </si>
  <si>
    <t>i0125_5p012p_g27_e002</t>
  </si>
  <si>
    <t>Reaplicar a il (i0116) na lateral do texto.</t>
  </si>
  <si>
    <t>Recorte de uma nova (Arte)</t>
  </si>
  <si>
    <t>i0126_5p012p_g27_e002</t>
  </si>
  <si>
    <t>Reaplicar a il i0117</t>
  </si>
  <si>
    <t>i0329_5p012p_g27_e002</t>
  </si>
  <si>
    <t xml:space="preserve">Recorte da ilustração (i0311), planeta Terra.
</t>
  </si>
  <si>
    <t xml:space="preserve">Rafaela Panissa </t>
  </si>
  <si>
    <t>Resgate ajuste</t>
  </si>
  <si>
    <t>i0330_5p012p_g27_e002</t>
  </si>
  <si>
    <t>Recorte da ilustração (i0311), deve aparecer apenas o menino</t>
  </si>
  <si>
    <t>g1525_4p012p_g27_e002</t>
  </si>
  <si>
    <t xml:space="preserve">Reilustrar gráfico com as estátuas mais altas do mundo.
A altura de cada estátua deve ficar na coluna vertical, em metros.
 Usar como fonte de pesquisa: https://www.cnstatue.com/pt/what-is-the-biggest-statue-in-the-world.html.
</t>
  </si>
  <si>
    <t>i6101_2p012p_g27_e002</t>
  </si>
  <si>
    <t>Marcador de páginas com alfabeto</t>
  </si>
  <si>
    <t>R: 01/09  F: 04/09</t>
  </si>
  <si>
    <t>i6102_2p012p_g27_e002</t>
  </si>
  <si>
    <t xml:space="preserve">Fazer cartas com imagens e palavras. Passar para Isabella Medeiros. Ela tem relação com a i0540_2p012p_g27_e002 (da U3 – miolo)
</t>
  </si>
  <si>
    <t>i0347_2p012p_g27_e002</t>
  </si>
  <si>
    <t>Icone de check em cor resposta, feito pelo projeto grafico</t>
  </si>
  <si>
    <t>PROJ GRAFICO</t>
  </si>
  <si>
    <t>i0348_2p012p_g27_e002</t>
  </si>
  <si>
    <t>Icone de check, feito pelo projeto grafico</t>
  </si>
  <si>
    <t>i6205_1p011p_g27_e002</t>
  </si>
  <si>
    <t>ilustração de diferentes disposições das carteiras em sala de aula - projeto gráfico</t>
  </si>
  <si>
    <t>iv</t>
  </si>
  <si>
    <t>i0919_5p012p_g27_e002</t>
  </si>
  <si>
    <t xml:space="preserve">Elaborar dois mapas conceituais com as seguintes informações:
Jornal A
Manchetes: exageradas, apelativas, em letras enormes 
Temas e conteúdos: crimes, tragédias, fofocas, escândalos 
Linguagem: simples, subjetiva, descuidada, com apelos emocionais
Imagens: fotografias impactantes (acidentes, violência) 
Informação: superficial, descomprometida 
Objetivo: chocar, impactar, atrair a atenção rapidamente
Referência (não precisa ser exatamente assim, pode haver adequações):
</t>
  </si>
  <si>
    <t>i0736_5p012p_g27_e002</t>
  </si>
  <si>
    <t xml:space="preserve">Elaborar dois mapas conceituais com as seguintes informações:
Jornal B
Manchetes: informativas, objetivas e moderadas 
Temas e conteúdos: política, economia, ciência, cultura, atualidades 
Linguagem: formal, objetiva e técnica quando necessário
Imagens: ilustrativas e explicativas 
Informação: análises detalhadas, checagem em várias fontes 
Objetivo: informar com qualidade e credibilidade
Referência: seguir a mesma lógica do mapa anterior
</t>
  </si>
  <si>
    <t>i1545_5p012p_g27_e002</t>
  </si>
  <si>
    <t xml:space="preserve">Ilustrar um infográfico com 3 informações: na 1ª o máximo de árvores possível, com a informação “1 400 000 por dia”; na 2ª um pouco menos de árvores, com a informação “1 024 por minuto”; na 3ª ainda menos árvores, com a informação “17 por segundo”. O título dele pode ser: “Média de árvores derrubadas em 2022”. Obs.: usar espaço fino, e não ponto, na separação de milhar/milhão dos números.
Ref:
</t>
  </si>
  <si>
    <t>R: 12/09  F: 15/09</t>
  </si>
  <si>
    <t>i0535_3p012p_g27_e002</t>
  </si>
  <si>
    <t xml:space="preserve">Ilustrar um banheiro: na parte do boxe do chuveiro, deve haver uma janela toda arranhada. Na cena deve aparecer o chuveiro ligado e a janela. </t>
  </si>
  <si>
    <t>R: 11/09  F: 15/09</t>
  </si>
  <si>
    <t>i0536_3p012p_g27_e002</t>
  </si>
  <si>
    <t>Ilustrar 4 crianças em volta de uma fogueira (ela pode ser pequena, como da imagem de referência): uma menina asiática de 8 anos, um menino negro retinto de 8 anos, uma menina branca, com cordão de deficiências ocultas de 8 anos, um menino pardo de 8 anos. Junto com eles, uma mulher de uns 30/40 anos também asiática. O menino negro deve estar segurando um graveto/palito com marshmellow. Deve parecer que eles estão acampando: ao fundo, natureza e barracas. Eles devem estar a uma distância segura da fogueira. Ref (a referência está com uma criança a menos):</t>
  </si>
  <si>
    <t>i1525_3p012p_g27_e002</t>
  </si>
  <si>
    <t>Coletivamente</t>
  </si>
  <si>
    <t>Ilustrar crianças de cerca de 8 anos, de variados tipos físicos e etnias, uniformizadas, montando um painel escolar em sala de aula com cartazes sobre povos caiçaras e ribeirinhos. Eles podem estar colando os cartazes no painel. Os cartazes podem conter esboços de imagens com legendas.</t>
  </si>
  <si>
    <t>R: 12/09  F: 16/09</t>
  </si>
  <si>
    <t>i6203_1p012p_g27_e002</t>
  </si>
  <si>
    <t>Ilustração de mão segurando lápis (pegada tripoide denâmica)</t>
  </si>
  <si>
    <t>ti</t>
  </si>
  <si>
    <t>i1128_3p012p_g27_e002</t>
  </si>
  <si>
    <t>compor ilustração para essa estrofe do poema, como das páginas anteriores.</t>
  </si>
  <si>
    <t>i1129_3p012p_g27_e002</t>
  </si>
  <si>
    <t>inserir ilustração para o texto, na mesma linguagem da página seguinte (i1101). Pode ser a continuação da grama e outro animalzinho, por exemplo</t>
  </si>
  <si>
    <t xml:space="preserve">i1130_3p012p_g27_e002
</t>
  </si>
  <si>
    <t>ilustrar uma bolsa amarela</t>
  </si>
  <si>
    <t>i1131_3p012p_g27_e002</t>
  </si>
  <si>
    <t>recorte da ilu do texto (i1101). pode ser o menino lendo o poema</t>
  </si>
  <si>
    <t>Felipe Grigoli</t>
  </si>
  <si>
    <t>Resgate Ajuste (Arte)</t>
  </si>
  <si>
    <t>i1132_3p012p_g27_e002</t>
  </si>
  <si>
    <t>recorte da ilu do texto (i1101). pode ser o gato</t>
  </si>
  <si>
    <t>i1133_3p012p_g27_e002</t>
  </si>
  <si>
    <t>recorte da ilu do texto (i1101). pode ser a criança de cadeira de rodas</t>
  </si>
  <si>
    <t>i1335_3p012p_g27_e002</t>
  </si>
  <si>
    <t xml:space="preserve">inserir imagens de frutas (maracujá, caju) ou árvores (peroba, ipê) </t>
  </si>
  <si>
    <t>i1134_3p012p_g27_e002</t>
  </si>
  <si>
    <t>Continuação da il i1101_3p012p_g27_e002</t>
  </si>
  <si>
    <t>i0547_2p012p_g27_e002</t>
  </si>
  <si>
    <t xml:space="preserve">Inserir calendário do projeto com os meses de MARÇO e ABRIL (e o título CALENDÁRIO 2027)
O nome dos feriados deve aparecer em cxAA
</t>
  </si>
  <si>
    <t>CARLOS BORIN/ARQUIVO DA EDITORA</t>
  </si>
  <si>
    <t xml:space="preserve">i0537_3p012p_g27_e002 </t>
  </si>
  <si>
    <t>Recorte do fantasma da ilu i0501</t>
  </si>
  <si>
    <t>Gabriella Imai</t>
  </si>
  <si>
    <t xml:space="preserve">CRÉDITOS GERAIS DA FTD PARA REFERÊNCIA  - EF1
 </t>
  </si>
  <si>
    <t>Nome do ilustrador</t>
  </si>
  <si>
    <t>Sigla Arte</t>
  </si>
  <si>
    <t>Crédito</t>
  </si>
  <si>
    <t>Acervo da editora</t>
  </si>
  <si>
    <t>xx</t>
  </si>
  <si>
    <t>ARQUIVO DA EDITORA</t>
  </si>
  <si>
    <t>Sigla ZZ (ver documento de ils. técnicas)</t>
  </si>
  <si>
    <t>VER DOCUMENTO DE ILS. TÉCNICAS</t>
  </si>
  <si>
    <t>ILUSTRAÇOES DE PROVAS OFICIAIS (somente se não houver crédito)</t>
  </si>
  <si>
    <t>yv</t>
  </si>
  <si>
    <t xml:space="preserve">NOME DO VESTIBULAR/DATA
</t>
  </si>
  <si>
    <t>ILUSTRAÇÕES DE PLACAS DE TRÂNSITO</t>
  </si>
  <si>
    <t>yy</t>
  </si>
  <si>
    <t>DENATRAN/ARQUIVO DA EDITORA</t>
  </si>
  <si>
    <t>ILUSTRAÇÕES DE BANDEIRAS DE PAÍS</t>
  </si>
  <si>
    <t xml:space="preserve">NOME DO PAÍS/ARQUIVO DA EDITORA
</t>
  </si>
  <si>
    <t>ILUSTRAÇÕES DE BANDEIRAS DE ESTADO</t>
  </si>
  <si>
    <t>ye</t>
  </si>
  <si>
    <t xml:space="preserve">NOME DO ESTADO/ARQUIVO DA EDITORA
</t>
  </si>
  <si>
    <t>ILUSTRAÇÕES GERADAS POR PROGRAMAS C/ IA</t>
  </si>
  <si>
    <t>ia</t>
  </si>
  <si>
    <t>a</t>
  </si>
  <si>
    <t>3 Pixel Studio</t>
  </si>
  <si>
    <t>px</t>
  </si>
  <si>
    <t>ROBSON OLIVIERI/ARQUIVO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</si>
  <si>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</si>
  <si>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</si>
  <si>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</si>
  <si>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</si>
  <si>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</si>
  <si>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</si>
  <si>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</si>
  <si>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</si>
  <si>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</si>
  <si>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</si>
  <si>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</si>
  <si>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</si>
  <si>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</si>
  <si>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</si>
  <si>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</si>
  <si>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</si>
  <si>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</si>
  <si>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</si>
  <si>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</si>
  <si>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</si>
  <si>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</si>
  <si>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</si>
  <si>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</si>
  <si>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</si>
  <si>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</si>
  <si>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</si>
  <si>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</si>
  <si>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</si>
  <si>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</si>
  <si>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</si>
  <si>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</si>
  <si>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</si>
  <si>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</si>
  <si>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</si>
  <si>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</si>
  <si>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</si>
  <si>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</si>
  <si>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</si>
  <si>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</si>
  <si>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</si>
  <si>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</si>
  <si>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</si>
  <si>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</si>
  <si>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</si>
  <si>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</si>
  <si>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</si>
  <si>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</si>
  <si>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</si>
  <si>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</si>
  <si>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</si>
  <si>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</si>
  <si>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</si>
  <si>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</si>
  <si>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</si>
  <si>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</si>
  <si>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</si>
  <si>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</si>
  <si>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</si>
  <si>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</si>
  <si>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</si>
  <si>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</si>
  <si>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</si>
  <si>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</si>
  <si>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</si>
  <si>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</si>
  <si>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</si>
  <si>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</si>
  <si>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</si>
  <si>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</si>
  <si>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</si>
  <si>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</si>
  <si>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</si>
  <si>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</si>
  <si>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</si>
  <si>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</si>
  <si>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</si>
  <si>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</si>
  <si>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</si>
  <si>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</si>
  <si>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</si>
  <si>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</si>
  <si>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</si>
  <si>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</si>
  <si>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</si>
  <si>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</si>
  <si>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</si>
  <si>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</si>
  <si>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</si>
  <si>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</si>
  <si>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</si>
  <si>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</si>
  <si>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</si>
  <si>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</si>
  <si>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</si>
  <si>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</si>
  <si>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</si>
  <si>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</si>
  <si>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</si>
  <si>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</si>
  <si>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</si>
  <si>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</si>
  <si>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bp</t>
  </si>
  <si>
    <t>BRUNA CAMPOS/ARQUIVO DA EDITORA</t>
  </si>
  <si>
    <t>Brunna Mancuso</t>
  </si>
  <si>
    <t>bs</t>
  </si>
  <si>
    <t>BRUNNA MANCUSO/ARQUIVO DA EDITORA</t>
  </si>
  <si>
    <t>Bruna Menezes</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</si>
  <si>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</si>
  <si>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</si>
  <si>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</si>
  <si>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</si>
  <si>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</si>
  <si>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</si>
  <si>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</si>
  <si>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</si>
  <si>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</si>
  <si>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</si>
  <si>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</si>
  <si>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</si>
  <si>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</si>
  <si>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</si>
  <si>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</si>
  <si>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</si>
  <si>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ct</t>
  </si>
  <si>
    <t>CAIO TANAKA/ARQUIVO DA EDITORA</t>
  </si>
  <si>
    <t>Cajila Barbosa</t>
  </si>
  <si>
    <t>kj</t>
  </si>
  <si>
    <t>CAJILA BARBOSA/ARQUIVO DA EDITORA</t>
  </si>
  <si>
    <t>Camila Ferreira Carmona</t>
  </si>
  <si>
    <t>CAMILA CARMONA/ARQUIVO DA EDITORA</t>
  </si>
  <si>
    <t>Carlitos Pinheiro</t>
  </si>
  <si>
    <t>CARLITOS PINHEIRO/ARQUIVO DA EDITORA</t>
  </si>
  <si>
    <t>Carlos Alberto Borin Junior</t>
  </si>
  <si>
    <t>cj</t>
  </si>
  <si>
    <t>Carlos Eduardo Nascimento</t>
  </si>
  <si>
    <t>cn</t>
  </si>
  <si>
    <t>CARLOS EDUARDO NASCIMENTO/ARQUIVO DA EDITORA</t>
  </si>
  <si>
    <t>Carmen Ferreira Martinez</t>
  </si>
  <si>
    <t>cc</t>
  </si>
  <si>
    <t>CARMEN MARTINEZ/ARQUIVO DA EDITORA</t>
  </si>
  <si>
    <t>Carol Rempto</t>
  </si>
  <si>
    <t>cw</t>
  </si>
  <si>
    <t>CAROL REMPTO/ARQUIVO DA EDITORA</t>
  </si>
  <si>
    <t>Carol Sartori</t>
  </si>
  <si>
    <t>cx</t>
  </si>
  <si>
    <t>CAROL SARTORI/ARQUIVO DA EDITORA</t>
  </si>
  <si>
    <t>Carolina Coroa</t>
  </si>
  <si>
    <t>kk</t>
  </si>
  <si>
    <t>CAROLINA COROA/ARQUIVO DA EDITORA</t>
  </si>
  <si>
    <t>Caroline Antunes e Silva</t>
  </si>
  <si>
    <t>cd</t>
  </si>
  <si>
    <t>CAROLINE ANTUNES E SILVA/ARQUIVO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</si>
  <si>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</si>
  <si>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</si>
  <si>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</si>
  <si>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</si>
  <si>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</si>
  <si>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</si>
  <si>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</si>
  <si>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</si>
  <si>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</si>
  <si>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</si>
  <si>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</si>
  <si>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</si>
  <si>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</si>
  <si>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</si>
  <si>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</si>
  <si>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</si>
  <si>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</si>
  <si>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</si>
  <si>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</si>
  <si>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</si>
  <si>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</si>
  <si>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</si>
  <si>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</si>
  <si>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</si>
  <si>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</si>
  <si>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Clarrisa Cabral de Lemos</t>
  </si>
  <si>
    <t>cv</t>
  </si>
  <si>
    <t>CLARISSA CABRAL/ARQUIVO DA EDITORA</t>
  </si>
  <si>
    <t>Clarissa França</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</si>
  <si>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</si>
  <si>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</si>
  <si>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</si>
  <si>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</si>
  <si>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</si>
  <si>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</si>
  <si>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</si>
  <si>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</si>
  <si>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</si>
  <si>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</si>
  <si>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</si>
  <si>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</si>
  <si>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</si>
  <si>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</si>
  <si>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</si>
  <si>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</si>
  <si>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</si>
  <si>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</si>
  <si>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</si>
  <si>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</si>
  <si>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</si>
  <si>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</si>
  <si>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</si>
  <si>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</si>
  <si>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</si>
  <si>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</si>
  <si>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</si>
  <si>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DANIEL WU/ARQUIVO DA EDITORA</t>
  </si>
  <si>
    <t>Daniel Zeppo</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</si>
  <si>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</si>
  <si>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</si>
  <si>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</si>
  <si>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</si>
  <si>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</si>
  <si>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</si>
  <si>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</si>
  <si>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</si>
  <si>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</si>
  <si>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</si>
  <si>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</si>
  <si>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</si>
  <si>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</si>
  <si>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</si>
  <si>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</si>
  <si>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</si>
  <si>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</si>
  <si>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</si>
  <si>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</si>
  <si>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</si>
  <si>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</si>
  <si>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</si>
  <si>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</si>
  <si>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</si>
  <si>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</si>
  <si>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</si>
  <si>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</si>
  <si>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</si>
  <si>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</si>
  <si>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</si>
  <si>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</si>
  <si>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</si>
  <si>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</si>
  <si>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</si>
  <si>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</si>
  <si>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GUILHERME RODRIGUES/ARQUIVO DA EDITORA</t>
  </si>
  <si>
    <t>Eber Evangelista</t>
  </si>
  <si>
    <t>ee</t>
  </si>
  <si>
    <t>EBER EVANGELISTA/ARQUIVO DA EDITORA</t>
  </si>
  <si>
    <t>Edde Wagner Aguiar</t>
  </si>
  <si>
    <t>ew</t>
  </si>
  <si>
    <t>EDDE AGUIAR/ARQUIVO DA EDITORA</t>
  </si>
  <si>
    <t>Edson Bellusci Cavalcante</t>
  </si>
  <si>
    <t>ed</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</si>
  <si>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</si>
  <si>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</si>
  <si>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</si>
  <si>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</si>
  <si>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</si>
  <si>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</si>
  <si>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</si>
  <si>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</si>
  <si>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</si>
  <si>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</si>
  <si>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</si>
  <si>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</si>
  <si>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</si>
  <si>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</si>
  <si>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</si>
  <si>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</si>
  <si>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</si>
  <si>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</si>
  <si>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</si>
  <si>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</si>
  <si>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</si>
  <si>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</si>
  <si>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</si>
  <si>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</si>
  <si>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</si>
  <si>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</si>
  <si>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</si>
  <si>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</si>
  <si>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</si>
  <si>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</si>
  <si>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</si>
  <si>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</si>
  <si>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</si>
  <si>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</si>
  <si>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</si>
  <si>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</si>
  <si>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</si>
  <si>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</si>
  <si>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</si>
  <si>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mk</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</si>
  <si>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</si>
  <si>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</si>
  <si>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</si>
  <si>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</si>
  <si>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</si>
  <si>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</si>
  <si>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</si>
  <si>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</si>
  <si>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</si>
  <si>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</si>
  <si>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</si>
  <si>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EZEQUIEL SILVA/ARQUIVO DA EDITORA</t>
  </si>
  <si>
    <t>Ewerton Xavier</t>
  </si>
  <si>
    <t>ex</t>
  </si>
  <si>
    <t>EWERTON XAVIER/ARQUIVO DA EDITORA</t>
  </si>
  <si>
    <t>Fabio Eugenio</t>
  </si>
  <si>
    <t>FABIO EUGENIO/ARQUIVO DA EDITORA</t>
  </si>
  <si>
    <t>Fabíola Petri</t>
  </si>
  <si>
    <t>fp</t>
  </si>
  <si>
    <t>FABÍOLA PETRI/ARQUIVO DA EDITORA</t>
  </si>
  <si>
    <t>FELIPE GRIGOLI/ARQUIVO DA EDITORA</t>
  </si>
  <si>
    <t>Fernanda Monteiro</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</si>
  <si>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</si>
  <si>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</si>
  <si>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</si>
  <si>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</si>
  <si>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</si>
  <si>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</si>
  <si>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</si>
  <si>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</si>
  <si>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</si>
  <si>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</si>
  <si>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</si>
  <si>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</si>
  <si>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</si>
  <si>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</si>
  <si>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</si>
  <si>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</si>
  <si>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</si>
  <si>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</si>
  <si>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</si>
  <si>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</si>
  <si>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</si>
  <si>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</si>
  <si>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</si>
  <si>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</si>
  <si>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</si>
  <si>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</si>
  <si>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GABRIELA TOZATI/ARQUIVO DA EDITORA</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</si>
  <si>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</si>
  <si>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</si>
  <si>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</si>
  <si>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</si>
  <si>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</si>
  <si>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</si>
  <si>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</si>
  <si>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</si>
  <si>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</si>
  <si>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</si>
  <si>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</si>
  <si>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</si>
  <si>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</si>
  <si>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</si>
  <si>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</si>
  <si>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</si>
  <si>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</si>
  <si>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</si>
  <si>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</si>
  <si>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</si>
  <si>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</si>
  <si>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</si>
  <si>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</si>
  <si>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</si>
  <si>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</si>
  <si>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</si>
  <si>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</si>
  <si>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</si>
  <si>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</si>
  <si>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Almeida</t>
  </si>
  <si>
    <t>gd</t>
  </si>
  <si>
    <t>GUSTAVO ALMEIDA/ARQUIVO DA EDITORA</t>
  </si>
  <si>
    <t>Gustavo Conti</t>
  </si>
  <si>
    <t>gu</t>
  </si>
  <si>
    <t>GUSTAVO CONTI/ARQUIVO DA EDITORA</t>
  </si>
  <si>
    <t>Gustavo Pedrosa</t>
  </si>
  <si>
    <t>gp</t>
  </si>
  <si>
    <t>GUSTAVO PEDROSA/ARQUIVO DA EDITORA</t>
  </si>
  <si>
    <t>Gustavo Ramos</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</si>
  <si>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</si>
  <si>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</si>
  <si>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</si>
  <si>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</si>
  <si>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</si>
  <si>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</si>
  <si>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</si>
  <si>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</si>
  <si>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</si>
  <si>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</si>
  <si>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</si>
  <si>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</si>
  <si>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</si>
  <si>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</si>
  <si>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ha</t>
  </si>
  <si>
    <t>HUGO ARAÚJO/ARQUIVO DA EDITORA</t>
  </si>
  <si>
    <t>Iberá Júnior</t>
  </si>
  <si>
    <t>ij</t>
  </si>
  <si>
    <t>IBERÁ JÚNIOR/ARQUIVO DA EDITORA</t>
  </si>
  <si>
    <t xml:space="preserve">Ideário Lab </t>
  </si>
  <si>
    <t>id</t>
  </si>
  <si>
    <t>REINALDO ROSA/ARQUIVO DA EDITORA</t>
  </si>
  <si>
    <t>Ilustra Cartoon</t>
  </si>
  <si>
    <t>ic</t>
  </si>
  <si>
    <t>Imaginario Studio - Fabio Eiji</t>
  </si>
  <si>
    <t>ig</t>
  </si>
  <si>
    <t>FABIO EIJI SIRASUMA/ARQUIVO DA EDITORA</t>
  </si>
  <si>
    <t>Ingrid Skare</t>
  </si>
  <si>
    <t>ik</t>
  </si>
  <si>
    <t>INGRID SKARE/ARQUIVO DA EDITORA</t>
  </si>
  <si>
    <t>Ingridhi Borges</t>
  </si>
  <si>
    <t>ib</t>
  </si>
  <si>
    <t>INGRIDHI BORGES/ARQUIVO DA EDITORA</t>
  </si>
  <si>
    <t>Inkdrop Estudio</t>
  </si>
  <si>
    <t>ie</t>
  </si>
  <si>
    <t>Irena Freitas</t>
  </si>
  <si>
    <t>if</t>
  </si>
  <si>
    <t>IRENA FREITAS/ARQUIVO DA EDITORA</t>
  </si>
  <si>
    <t>Isabela Santos Ferreira do Vale</t>
  </si>
  <si>
    <t>ss</t>
  </si>
  <si>
    <t>ISABELA SANTOS/ARQUIVO DA EDITORA</t>
  </si>
  <si>
    <t>Isabella Medeiros</t>
  </si>
  <si>
    <t>ISABELLA MEDEIROS/ARQUIVO DA EDITORA</t>
  </si>
  <si>
    <t>Isadora Zeferino</t>
  </si>
  <si>
    <t>is</t>
  </si>
  <si>
    <t>ISADORA ZEFERINO/ARQUIVO DA EDITORA</t>
  </si>
  <si>
    <t>Ísis Duarte</t>
  </si>
  <si>
    <t>iu</t>
  </si>
  <si>
    <t>ÍSIS DUARTE/ARQUIVO DA EDITORA</t>
  </si>
  <si>
    <t>Ivy Nunes</t>
  </si>
  <si>
    <t>IVY NUNES/ARQUIVO DA EDITORA</t>
  </si>
  <si>
    <t>Izaac Brito</t>
  </si>
  <si>
    <t>zb</t>
  </si>
  <si>
    <t>IZAAC BRITO/ARQUIVO DA EDITORA</t>
  </si>
  <si>
    <t>Jacqueline Amadio</t>
  </si>
  <si>
    <t>jc</t>
  </si>
  <si>
    <t>JACQUELINE AMADIO/ARQUIVO DA EDITORA</t>
  </si>
  <si>
    <t>Jacqueline Lima</t>
  </si>
  <si>
    <t>JACQUELINE LIMA/ARQUIVO DA EDITORA</t>
  </si>
  <si>
    <t>Janaina de Oliveira Castro</t>
  </si>
  <si>
    <t>ja</t>
  </si>
  <si>
    <t>JANAINA OLIVEIRA/ARQUIVO DA EDITORA</t>
  </si>
  <si>
    <t>Jessica Machado</t>
  </si>
  <si>
    <t>jg</t>
  </si>
  <si>
    <t>JESSICA MACHADO/ARQUIVO DA EDITORA</t>
  </si>
  <si>
    <t>Jéssica Sinnema</t>
  </si>
  <si>
    <t>jt</t>
  </si>
  <si>
    <t>JÉSSICA SINNEMA/ARQUIVO DA EDITORA</t>
  </si>
  <si>
    <t>Jéssyca Gomes</t>
  </si>
  <si>
    <t>je</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</si>
  <si>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</si>
  <si>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</si>
  <si>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</si>
  <si>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</si>
  <si>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</si>
  <si>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</si>
  <si>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</si>
  <si>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</si>
  <si>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</si>
  <si>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</si>
  <si>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</si>
  <si>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</si>
  <si>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</si>
  <si>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</si>
  <si>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</si>
  <si>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</si>
  <si>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</si>
  <si>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</si>
  <si>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</si>
  <si>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</si>
  <si>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</si>
  <si>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</si>
  <si>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jm</t>
  </si>
  <si>
    <t>JULIA MELLO/ARQUIVO DA EDITORA</t>
  </si>
  <si>
    <t>Julia Ponnick</t>
  </si>
  <si>
    <t>jn</t>
  </si>
  <si>
    <t>JULIA PONNICK/ARQUIVO DA EDITORA</t>
  </si>
  <si>
    <t>Juliana Dacosta</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</si>
  <si>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</si>
  <si>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</si>
  <si>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</si>
  <si>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</si>
  <si>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</si>
  <si>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</si>
  <si>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</si>
  <si>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</si>
  <si>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</si>
  <si>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</si>
  <si>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</si>
  <si>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</si>
  <si>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</si>
  <si>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</si>
  <si>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</si>
  <si>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</si>
  <si>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kf</t>
  </si>
  <si>
    <t>KATHARINE FROTA/ARQUIVO DA EDITORA</t>
  </si>
  <si>
    <t>km</t>
  </si>
  <si>
    <t>KEITHY MOSTACHI/ARQUIVO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</si>
  <si>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</si>
  <si>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</si>
  <si>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</si>
  <si>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</si>
  <si>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</si>
  <si>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</si>
  <si>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</si>
  <si>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</si>
  <si>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</si>
  <si>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</si>
  <si>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</si>
  <si>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</si>
  <si>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</si>
  <si>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kb</t>
  </si>
  <si>
    <t>KLEBER MAURÍCIO COELHO/ARQUIVO DA EDITORA</t>
  </si>
  <si>
    <t>Laís Bicudo</t>
  </si>
  <si>
    <t>lc</t>
  </si>
  <si>
    <t>LAÍS BICUDO/ARQUIVO DA EDITORA</t>
  </si>
  <si>
    <t xml:space="preserve">Laís Garbelini </t>
  </si>
  <si>
    <t>lg</t>
  </si>
  <si>
    <t>LAÍS GARBELINI/ARQUIVO DA EDITORA</t>
  </si>
  <si>
    <t>Leandro Júnior Pimenta</t>
  </si>
  <si>
    <t>lt</t>
  </si>
  <si>
    <t>LEANDRO PIMENTA/ARQUIVO DA EDITORA</t>
  </si>
  <si>
    <t>Leandro Lassmar</t>
  </si>
  <si>
    <t>LEANDRO LASSMAR/ARQUIVO DA EDITORA</t>
  </si>
  <si>
    <t>Leo Gibran</t>
  </si>
  <si>
    <t>le</t>
  </si>
  <si>
    <t>LEO GIBRAN/ARQUIVO DA EDITORA</t>
  </si>
  <si>
    <t>Leo Natsume</t>
  </si>
  <si>
    <t>ln</t>
  </si>
  <si>
    <t>LEO NATSUME/ARQUIVO DA EDITORA</t>
  </si>
  <si>
    <t>Leonardo de Moura Amaral - GIZ DE CERA</t>
  </si>
  <si>
    <t>la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</si>
  <si>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</si>
  <si>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</si>
  <si>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</si>
  <si>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</si>
  <si>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</si>
  <si>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</si>
  <si>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</si>
  <si>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</si>
  <si>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</si>
  <si>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</si>
  <si>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</si>
  <si>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LISLLEY GOMES FEIGE/ARQUIVO DA EDITORA</t>
  </si>
  <si>
    <t>Loquaz Design</t>
  </si>
  <si>
    <t>lq</t>
  </si>
  <si>
    <t>Lucas Kenzo Hamazaki</t>
  </si>
  <si>
    <t>kz</t>
  </si>
  <si>
    <t>KENZO HAMAZAKI/ARQUIVO DA EDITORA</t>
  </si>
  <si>
    <t>Lucas Palma</t>
  </si>
  <si>
    <t>lp</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</si>
  <si>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</si>
  <si>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</si>
  <si>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</si>
  <si>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</si>
  <si>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</si>
  <si>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</si>
  <si>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</si>
  <si>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</si>
  <si>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</si>
  <si>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</si>
  <si>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</si>
  <si>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</si>
  <si>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</si>
  <si>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</si>
  <si>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</si>
  <si>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</si>
  <si>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</si>
  <si>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</si>
  <si>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</si>
  <si>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</si>
  <si>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</si>
  <si>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</si>
  <si>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</si>
  <si>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</si>
  <si>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</si>
  <si>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</si>
  <si>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</si>
  <si>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</si>
  <si>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</si>
  <si>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</si>
  <si>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</si>
  <si>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</si>
  <si>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</si>
  <si>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</si>
  <si>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</si>
  <si>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</si>
  <si>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</si>
  <si>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</si>
  <si>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</si>
  <si>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</si>
  <si>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</si>
  <si>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</si>
  <si>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</si>
  <si>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</si>
  <si>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</si>
  <si>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</si>
  <si>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</si>
  <si>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</si>
  <si>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</si>
  <si>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</si>
  <si>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</si>
  <si>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</si>
  <si>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Goldschmidt</t>
  </si>
  <si>
    <t>MARILIA GOLDSCHMIDT/ARQUIVO DA EDITORA</t>
  </si>
  <si>
    <t>Marilia Pirilo</t>
  </si>
  <si>
    <t>mp</t>
  </si>
  <si>
    <t>MARILIA PIRILO/ARQUIVO DA EDITORA</t>
  </si>
  <si>
    <t>Mario Henrique Boaventura Nakano</t>
  </si>
  <si>
    <t>mh</t>
  </si>
  <si>
    <t>MARIO HENRIQUE/ARQUIVO DA EDITORA</t>
  </si>
  <si>
    <t>Marlowa</t>
  </si>
  <si>
    <t>mw</t>
  </si>
  <si>
    <t>MARLOWA/ARQUIVO DA EDITORA</t>
  </si>
  <si>
    <t>Maryane Vioto Silva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</si>
  <si>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</si>
  <si>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</si>
  <si>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</si>
  <si>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</si>
  <si>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</si>
  <si>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</si>
  <si>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</si>
  <si>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</si>
  <si>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</si>
  <si>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</si>
  <si>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</si>
  <si>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</si>
  <si>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</si>
  <si>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</si>
  <si>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</si>
  <si>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</si>
  <si>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</si>
  <si>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</si>
  <si>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</si>
  <si>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</si>
  <si>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</si>
  <si>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</si>
  <si>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</si>
  <si>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</si>
  <si>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</si>
  <si>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</si>
  <si>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</si>
  <si>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</si>
  <si>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</si>
  <si>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</si>
  <si>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</si>
  <si>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</si>
  <si>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</si>
  <si>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Bilmaia </t>
  </si>
  <si>
    <t>nb</t>
  </si>
  <si>
    <t>Nathalia Ichioka</t>
  </si>
  <si>
    <t>NATHALIA ICHIOKA/ARQUIVO DA EDITORA</t>
  </si>
  <si>
    <t xml:space="preserve">Nelson Akira Ishikawa </t>
  </si>
  <si>
    <t>ne</t>
  </si>
  <si>
    <t>NELSON ISHIKAWA/ARQUIVO DA EDITORA</t>
  </si>
  <si>
    <t>Nelson Cosentino</t>
  </si>
  <si>
    <t>nc</t>
  </si>
  <si>
    <t>NELSON COSENTINO/ARQUIVO DA EDITORA</t>
  </si>
  <si>
    <t>nf</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</si>
  <si>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</si>
  <si>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</si>
  <si>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</si>
  <si>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</si>
  <si>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</si>
  <si>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</si>
  <si>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</si>
  <si>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</si>
  <si>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</si>
  <si>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</si>
  <si>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</si>
  <si>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</si>
  <si>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</si>
  <si>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</si>
  <si>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</si>
  <si>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</si>
  <si>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</si>
  <si>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</si>
  <si>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</si>
  <si>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</si>
  <si>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</si>
  <si>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</si>
  <si>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</si>
  <si>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</si>
  <si>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</si>
  <si>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</si>
  <si>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</si>
  <si>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</si>
  <si>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</si>
  <si>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</si>
  <si>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</si>
  <si>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</si>
  <si>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</si>
  <si>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</si>
  <si>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</si>
  <si>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</si>
  <si>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</si>
  <si>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</si>
  <si>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</si>
  <si>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</si>
  <si>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</si>
  <si>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</si>
  <si>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</si>
  <si>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</si>
  <si>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</si>
  <si>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t>
  </si>
  <si>
    <t>Quanta Studio (até 2013)</t>
  </si>
  <si>
    <t>qt</t>
  </si>
  <si>
    <t>QUANTA STUDIO (ATÉ 2013)</t>
  </si>
  <si>
    <t>Rafael da Silva (ARTE)</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</si>
  <si>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</si>
  <si>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</si>
  <si>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</si>
  <si>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</si>
  <si>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</si>
  <si>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</si>
  <si>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</si>
  <si>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</si>
  <si>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</si>
  <si>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</si>
  <si>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</si>
  <si>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</si>
  <si>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</si>
  <si>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</si>
  <si>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</si>
  <si>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RAFAEL LUZIO/ARQUIVO DA EDITORA</t>
  </si>
  <si>
    <t>Rafael Martins - Somma</t>
  </si>
  <si>
    <t>Rafaela Harger</t>
  </si>
  <si>
    <t xml:space="preserve">rx </t>
  </si>
  <si>
    <t>RAFAELA HARGER/ARQUIVO DA EDITORA</t>
  </si>
  <si>
    <t>Rafaela Hidalgo Pereira</t>
  </si>
  <si>
    <t>rp</t>
  </si>
  <si>
    <t>RAFAELA H. PEREIRA/ARQUIVO DA EDITORA</t>
  </si>
  <si>
    <t>RAFAELA PANISSA/ARQUIVO DA EDITORA</t>
  </si>
  <si>
    <t>Raíssa Bulhões</t>
  </si>
  <si>
    <t>rs</t>
  </si>
  <si>
    <t>RAÍSSA BULHÕES/ARQUIVO DA EDITORA</t>
  </si>
  <si>
    <t>Raitan Ohi</t>
  </si>
  <si>
    <t>rt</t>
  </si>
  <si>
    <t>RAITAN OHI/ARQUIVO DA EDITORA</t>
  </si>
  <si>
    <t>Raquel Silva</t>
  </si>
  <si>
    <t>rq</t>
  </si>
  <si>
    <t>RAQUEL SILVA/ARQUIVO DA EDITORA</t>
  </si>
  <si>
    <t>Raul Aguiar</t>
  </si>
  <si>
    <t>ra</t>
  </si>
  <si>
    <t>RAUL AGUIAR/ARQUIVO DA EDITORA</t>
  </si>
  <si>
    <t>Rayanne Cardoso</t>
  </si>
  <si>
    <t>ay</t>
  </si>
  <si>
    <t>RAYANNE CARDOSO/ARQUIVO DA EDITORA</t>
  </si>
  <si>
    <t>Rebecca Baniski</t>
  </si>
  <si>
    <t>bk</t>
  </si>
  <si>
    <t>REBECCA BANISKI/ARQUIVO DA EDITORA</t>
  </si>
  <si>
    <t>Reinaldo Rosa - Ideario Lab</t>
  </si>
  <si>
    <t>il</t>
  </si>
  <si>
    <t>Renan de Oliveira Fonseca</t>
  </si>
  <si>
    <t>re</t>
  </si>
  <si>
    <t>RENAN FONSECA/ARQUIVO DA EDITORA</t>
  </si>
  <si>
    <t>Renan Nuche</t>
  </si>
  <si>
    <t>rz</t>
  </si>
  <si>
    <t>RENAN NUCHE/ARQUIVO DA EDITORA</t>
  </si>
  <si>
    <t>Renato Rodrigues</t>
  </si>
  <si>
    <t>xr</t>
  </si>
  <si>
    <t>RENATO RODRIGUES/ARQUIVO DA EDITORA</t>
  </si>
  <si>
    <t>Ricardo Gualberto</t>
  </si>
  <si>
    <t>ua</t>
  </si>
  <si>
    <t>RICARDO GUALBERTO/ARQUIVO DA EDITORA</t>
  </si>
  <si>
    <t>Rivaldo Ferreira Barboza Filho</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</si>
  <si>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</si>
  <si>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</si>
  <si>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</si>
  <si>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</si>
  <si>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</si>
  <si>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</si>
  <si>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</si>
  <si>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</si>
  <si>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</si>
  <si>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</si>
  <si>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</si>
  <si>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</si>
  <si>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</si>
  <si>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</si>
  <si>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RODRIGO CORDEIRO/ARQUIVO DA EDITORA</t>
  </si>
  <si>
    <t>Rodrigo Gafa</t>
  </si>
  <si>
    <t>ro</t>
  </si>
  <si>
    <t>RODRIGO GAFA/ARQUIVO DA EDITORA</t>
  </si>
  <si>
    <t>Roger Cartoon</t>
  </si>
  <si>
    <t>rg</t>
  </si>
  <si>
    <t>ROGER CARTOON/ARQUIVO DA EDITORA</t>
  </si>
  <si>
    <t>Rogério Casagrande</t>
  </si>
  <si>
    <t>rr</t>
  </si>
  <si>
    <t>ROGÉRIO CASAGRANDE/ARQUIVO DA EDITORA</t>
  </si>
  <si>
    <t>Rogério Coelho</t>
  </si>
  <si>
    <t>rc</t>
  </si>
  <si>
    <t>ROGÉRIO COELHO/ARQUIVO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</si>
  <si>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</si>
  <si>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</si>
  <si>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</si>
  <si>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</si>
  <si>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</si>
  <si>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</si>
  <si>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</si>
  <si>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</si>
  <si>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</si>
  <si>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</si>
  <si>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</si>
  <si>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</si>
  <si>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</si>
  <si>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</si>
  <si>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</si>
  <si>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</si>
  <si>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</si>
  <si>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</si>
  <si>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</si>
  <si>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</si>
  <si>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</si>
  <si>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Lima</t>
  </si>
  <si>
    <t>Sidney Siqueira Meireles</t>
  </si>
  <si>
    <t>sd</t>
  </si>
  <si>
    <t>SIDNEY SIQUEIRA MEIRELES/ARQUIVO DA EDITORA</t>
  </si>
  <si>
    <t>Silvia Otofuji</t>
  </si>
  <si>
    <t>so</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</si>
  <si>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</si>
  <si>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</si>
  <si>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</si>
  <si>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</si>
  <si>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</si>
  <si>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</si>
  <si>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</si>
  <si>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</si>
  <si>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</si>
  <si>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</si>
  <si>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</si>
  <si>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</si>
  <si>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</si>
  <si>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</si>
  <si>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</si>
  <si>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</si>
  <si>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</si>
  <si>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</si>
  <si>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</si>
  <si>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</si>
  <si>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</si>
  <si>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</si>
  <si>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</si>
  <si>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</si>
  <si>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</si>
  <si>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</si>
  <si>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</si>
  <si>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</si>
  <si>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</si>
  <si>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</si>
  <si>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</si>
  <si>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</si>
  <si>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</si>
  <si>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</si>
  <si>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</si>
  <si>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</si>
  <si>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</si>
  <si>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</si>
  <si>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</si>
  <si>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</si>
  <si>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</si>
  <si>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</si>
  <si>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</si>
  <si>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TATIANE GALHEIRO/ARQUIVO DA EDITORA</t>
  </si>
  <si>
    <t>Thais Castro</t>
  </si>
  <si>
    <t>tc</t>
  </si>
  <si>
    <t>THAIS CASTRO/ARQUIVO DA EDITORA</t>
  </si>
  <si>
    <t>Thamires Paredes - Universo Paralelo</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</si>
  <si>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</si>
  <si>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</si>
  <si>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</si>
  <si>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</si>
  <si>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</si>
  <si>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</si>
  <si>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</si>
  <si>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</si>
  <si>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</si>
  <si>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</si>
  <si>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</si>
  <si>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</si>
  <si>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</si>
  <si>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</si>
  <si>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</si>
  <si>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</si>
  <si>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</si>
  <si>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</si>
  <si>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</si>
  <si>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VERIDIANA PEGORARO CAMELO/ARQUIVO DA EDITORA</t>
  </si>
  <si>
    <t xml:space="preserve">Veridiana Scarpelli - IMAGERIA ESTUDIO </t>
  </si>
  <si>
    <t>vs</t>
  </si>
  <si>
    <t>VIRIDIANA SCARPELLI/ARQUIVO DA EDITORA</t>
  </si>
  <si>
    <t>Victor Ferreira Lemos</t>
  </si>
  <si>
    <t>vf</t>
  </si>
  <si>
    <t>VICTOR LEMOS/ARQUIVO DA EDITORA</t>
  </si>
  <si>
    <t>Vinícius Costa</t>
  </si>
  <si>
    <t>vc</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</si>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</sst>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9"/>
      <color indexed="81"/>
      <name val="Segoe UI"/>
      <family val="2"/>
    </font>
    <font>
      <b/>
      <sz val="9"/>
      <color indexed="81"/>
      <name val="Segoe UI"/>
      <family val="2"/>
    </font>
    <font>
      <sz val="10"/>
      <color theme="1"/>
      <name val="Arial"/>
      <family val="2"/>
    </font>
    <font>
      <b/>
      <sz val="11"/>
      <color theme="0"/>
      <name val="Arial Narrow"/>
      <family val="2"/>
    </font>
    <font>
      <b/>
      <sz val="16"/>
      <color theme="0"/>
      <name val="Aptos Narrow"/>
      <family val="2"/>
    </font>
    <font>
      <sz val="11"/>
      <name val="Arial Narrow"/>
      <family val="2"/>
    </font>
    <font>
      <sz val="11"/>
      <name val="Arial Narrow"/>
    </font>
    <font>
      <sz val="11"/>
      <color rgb="FF242424"/>
      <name val="Aptos Narrow"/>
      <charset val="1"/>
    </font>
    <font>
      <sz val="11"/>
      <color rgb="FF000000"/>
      <name val="Aptos Narrow"/>
    </font>
    <font>
      <b/>
      <sz val="11"/>
      <color theme="0"/>
      <name val="Aptos Narrow"/>
      <family val="2"/>
      <scheme val="minor"/>
    </font>
  </fonts>
  <fills count="11">
    <fill>
      <patternFill patternType="none"/>
    </fill>
    <fill>
      <patternFill patternType="gray125"/>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theme="4"/>
        <bgColor theme="9"/>
      </patternFill>
    </fill>
    <fill>
      <patternFill patternType="solid">
        <fgColor rgb="FF00B050"/>
        <bgColor indexed="64"/>
      </patternFill>
    </fill>
    <fill>
      <patternFill patternType="solid">
        <fgColor rgb="FFCC9900"/>
        <bgColor indexed="64"/>
      </patternFill>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theme="9"/>
      </right>
      <top style="thin">
        <color theme="9"/>
      </top>
      <bottom/>
      <diagonal/>
    </border>
  </borders>
  <cellStyleXfs count="1">
    <xf numFmtId="0" fontId="0" fillId="0" borderId="0"/>
  </cellStyleXfs>
  <cellXfs count="45">
    <xf numFmtId="0" fontId="0" fillId="0" borderId="0" xfId="0"/>
    <xf numFmtId="0" fontId="3" fillId="2" borderId="0" xfId="0" applyFont="1" applyFill="1" applyAlignment="1">
      <alignment vertical="center"/>
    </xf>
    <xf numFmtId="0" fontId="3" fillId="2"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3" fillId="3" borderId="0" xfId="0" applyFont="1" applyFill="1" applyAlignment="1">
      <alignment vertical="center"/>
    </xf>
    <xf numFmtId="0" fontId="3" fillId="2" borderId="0" xfId="0" applyFont="1" applyFill="1" applyAlignment="1">
      <alignment horizontal="center" vertical="center" wrapText="1"/>
    </xf>
    <xf numFmtId="0" fontId="0" fillId="0" borderId="0" xfId="0" applyProtection="1">
      <protection locked="0"/>
    </xf>
    <xf numFmtId="0" fontId="3" fillId="0" borderId="5" xfId="0" applyFont="1" applyBorder="1" applyAlignment="1" applyProtection="1">
      <alignment horizontal="left" vertical="center"/>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0" fontId="0" fillId="0" borderId="0" xfId="0" applyAlignment="1">
      <alignment horizontal="left"/>
    </xf>
    <xf numFmtId="0" fontId="4" fillId="5" borderId="6" xfId="0" applyFont="1" applyFill="1" applyBorder="1"/>
    <xf numFmtId="0" fontId="4" fillId="5" borderId="7" xfId="0" applyFont="1" applyFill="1" applyBorder="1"/>
    <xf numFmtId="0" fontId="4" fillId="5" borderId="8" xfId="0" applyFont="1" applyFill="1" applyBorder="1"/>
    <xf numFmtId="0" fontId="6" fillId="4" borderId="5" xfId="0" applyFont="1" applyFill="1" applyBorder="1" applyAlignment="1">
      <alignment horizontal="left"/>
    </xf>
    <xf numFmtId="0" fontId="6" fillId="4" borderId="5" xfId="0" applyFont="1" applyFill="1" applyBorder="1" applyAlignment="1">
      <alignment horizontal="center" vertical="center"/>
    </xf>
    <xf numFmtId="0" fontId="6" fillId="4" borderId="5" xfId="0" applyFont="1" applyFill="1" applyBorder="1" applyAlignment="1">
      <alignment horizontal="left" vertical="center" wrapText="1"/>
    </xf>
    <xf numFmtId="0" fontId="6" fillId="4" borderId="5" xfId="0" applyFont="1" applyFill="1" applyBorder="1" applyAlignment="1">
      <alignment horizontal="left" vertical="center"/>
    </xf>
    <xf numFmtId="0" fontId="6" fillId="4" borderId="5" xfId="0" applyFont="1" applyFill="1" applyBorder="1" applyAlignment="1">
      <alignment horizontal="left" wrapText="1"/>
    </xf>
    <xf numFmtId="0" fontId="6" fillId="4" borderId="5" xfId="0" applyFont="1" applyFill="1" applyBorder="1"/>
    <xf numFmtId="0" fontId="6" fillId="4" borderId="9" xfId="0" applyFont="1" applyFill="1" applyBorder="1" applyAlignment="1">
      <alignment horizontal="left"/>
    </xf>
    <xf numFmtId="0" fontId="6" fillId="4" borderId="9" xfId="0" applyFont="1" applyFill="1" applyBorder="1" applyAlignment="1">
      <alignment horizontal="center" vertical="center"/>
    </xf>
    <xf numFmtId="0" fontId="6" fillId="4" borderId="9" xfId="0" applyFont="1" applyFill="1" applyBorder="1" applyAlignment="1">
      <alignment horizontal="left" vertical="center"/>
    </xf>
    <xf numFmtId="0" fontId="7" fillId="4" borderId="5" xfId="0" applyFont="1" applyFill="1" applyBorder="1" applyAlignment="1">
      <alignment horizontal="left"/>
    </xf>
    <xf numFmtId="0" fontId="8" fillId="0" borderId="0" xfId="0" applyFont="1"/>
    <xf numFmtId="0" fontId="9" fillId="0" borderId="10" xfId="0" applyFont="1" applyBorder="1" applyAlignment="1">
      <alignment vertical="center"/>
    </xf>
    <xf numFmtId="0" fontId="0" fillId="0" borderId="0" xfId="0" applyAlignment="1">
      <alignment wrapText="1"/>
    </xf>
    <xf numFmtId="14" fontId="0" fillId="0" borderId="0" xfId="0" applyNumberFormat="1" applyAlignment="1">
      <alignment horizontal="center" vertical="center"/>
    </xf>
    <xf numFmtId="0" fontId="0" fillId="0" borderId="0" xfId="0" applyAlignment="1" applyProtection="1">
      <alignment horizontal="left" vertical="top" wrapText="1"/>
      <protection locked="0"/>
    </xf>
    <xf numFmtId="14" fontId="10" fillId="7" borderId="2" xfId="0" applyNumberFormat="1" applyFont="1" applyFill="1" applyBorder="1" applyAlignment="1">
      <alignment horizontal="center" vertical="center" wrapText="1"/>
    </xf>
    <xf numFmtId="0" fontId="10" fillId="8" borderId="3" xfId="0" applyFont="1" applyFill="1" applyBorder="1" applyAlignment="1">
      <alignment horizontal="center" vertical="center" wrapText="1"/>
    </xf>
    <xf numFmtId="0" fontId="10" fillId="9" borderId="2" xfId="0" applyFont="1" applyFill="1" applyBorder="1" applyAlignment="1" applyProtection="1">
      <alignment horizontal="center" vertical="center" wrapText="1"/>
      <protection locked="0"/>
    </xf>
    <xf numFmtId="0" fontId="10" fillId="9" borderId="4" xfId="0" applyFont="1" applyFill="1" applyBorder="1" applyAlignment="1">
      <alignment horizontal="center" vertical="center" wrapText="1"/>
    </xf>
    <xf numFmtId="14" fontId="10" fillId="7" borderId="3" xfId="0" applyNumberFormat="1"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10" fillId="10" borderId="2" xfId="0" applyFont="1" applyFill="1" applyBorder="1" applyAlignment="1">
      <alignment horizontal="center" vertical="center"/>
    </xf>
    <xf numFmtId="14" fontId="10" fillId="10" borderId="2" xfId="0" applyNumberFormat="1" applyFont="1" applyFill="1" applyBorder="1" applyAlignment="1">
      <alignment horizontal="center" vertical="center" wrapText="1"/>
    </xf>
    <xf numFmtId="0" fontId="0" fillId="0" borderId="0" xfId="0" applyAlignment="1" applyProtection="1">
      <alignment vertical="center" wrapText="1"/>
      <protection locked="0"/>
    </xf>
    <xf numFmtId="0" fontId="5" fillId="6" borderId="0" xfId="0" applyFont="1" applyFill="1" applyAlignment="1">
      <alignment horizontal="center" wrapText="1"/>
    </xf>
  </cellXfs>
  <cellStyles count="1">
    <cellStyle name="Normal" xfId="0" builtinId="0"/>
  </cellStyles>
  <dxfs count="40">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Narrow"/>
        <family val="2"/>
        <scheme val="none"/>
      </font>
      <fill>
        <patternFill patternType="solid">
          <fgColor theme="9"/>
          <bgColor theme="4"/>
        </patternFill>
      </fill>
      <border diagonalUp="0" diagonalDown="0" outline="0">
        <left style="thin">
          <color indexed="64"/>
        </left>
        <right style="thin">
          <color indexed="64"/>
        </right>
        <top/>
        <bottom/>
      </border>
    </dxf>
    <dxf>
      <numFmt numFmtId="0" formatCode="General"/>
      <alignment horizontal="general" vertical="center" textRotation="0" wrapText="0" indent="0" justifyLastLine="0" shrinkToFit="0" readingOrder="0"/>
      <protection locked="1" hidden="0"/>
    </dxf>
    <dxf>
      <alignment horizontal="left" vertical="center" textRotation="0" wrapText="0" indent="0" justifyLastLine="0" shrinkToFit="0" readingOrder="0"/>
      <protection locked="0" hidden="0"/>
    </dxf>
    <dxf>
      <alignment horizontal="left"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numFmt numFmtId="0" formatCode="General"/>
      <alignment horizontal="general" vertical="center" textRotation="0" wrapText="0" indent="0" justifyLastLine="0" shrinkToFit="0" readingOrder="0"/>
      <protection locked="0" hidden="0"/>
    </dxf>
    <dxf>
      <alignment horizontal="general" vertical="center" textRotation="0" wrapText="0" indent="0" justifyLastLine="0" shrinkToFit="0" readingOrder="0"/>
      <protection locked="0" hidden="0"/>
    </dxf>
    <dxf>
      <numFmt numFmtId="0" formatCode="General"/>
      <alignment horizontal="general" vertical="center" textRotation="0" wrapText="0" indent="0" justifyLastLine="0" shrinkToFit="0" readingOrder="0"/>
      <protection locked="1" hidden="0"/>
    </dxf>
    <dxf>
      <alignment horizontal="center" vertical="center" textRotation="0" wrapText="0" indent="0" justifyLastLine="0" shrinkToFit="0" readingOrder="0"/>
      <protection locked="0" hidden="0"/>
    </dxf>
    <dxf>
      <numFmt numFmtId="19" formatCode="dd/mm/yyyy"/>
      <alignment horizontal="center" vertical="center" textRotation="0" wrapText="0" indent="0" justifyLastLine="0" shrinkToFit="0" readingOrder="0"/>
      <protection locked="0" hidden="0"/>
    </dxf>
    <dxf>
      <numFmt numFmtId="19" formatCode="dd/mm/yyyy"/>
      <alignment horizontal="center" vertical="center" textRotation="0" wrapText="0" indent="0" justifyLastLine="0" shrinkToFit="0" readingOrder="0"/>
      <protection locked="0" hidden="0"/>
    </dxf>
    <dxf>
      <numFmt numFmtId="19" formatCode="dd/mm/yyyy"/>
      <alignment horizontal="center" vertical="center" textRotation="0" wrapText="0" indent="0" justifyLastLine="0" shrinkToFit="0" readingOrder="0"/>
      <protection locked="0" hidden="0"/>
    </dxf>
    <dxf>
      <numFmt numFmtId="19" formatCode="dd/mm/yyyy"/>
      <alignment horizontal="center" vertical="center" textRotation="0" wrapText="0" indent="0" justifyLastLine="0" shrinkToFit="0" readingOrder="0"/>
      <protection locked="0" hidden="0"/>
    </dxf>
    <dxf>
      <numFmt numFmtId="19" formatCode="dd/mm/yyyy"/>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left" vertical="center" textRotation="0" wrapText="0" indent="0" justifyLastLine="0" shrinkToFit="0" readingOrder="0"/>
      <protection locked="0" hidden="0"/>
    </dxf>
    <dxf>
      <alignment horizontal="left" vertical="center" textRotation="0" wrapText="0" indent="0" justifyLastLine="0" shrinkToFit="0" readingOrder="0"/>
      <protection locked="0" hidden="0"/>
    </dxf>
    <dxf>
      <alignment horizontal="left" vertical="top" textRotation="0" wrapText="1" indent="0" justifyLastLine="0" shrinkToFit="0" readingOrder="0"/>
      <protection locked="0" hidden="0"/>
    </dxf>
    <dxf>
      <alignment horizontal="general" vertical="center" textRotation="0" wrapText="0" indent="0" justifyLastLine="0" shrinkToFit="0" readingOrder="0"/>
      <protection locked="0" hidden="0"/>
    </dxf>
    <dxf>
      <alignment horizontal="general"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general" vertical="center" textRotation="0" wrapText="0" indent="0" justifyLastLine="0" shrinkToFit="0" readingOrder="0"/>
      <protection locked="0" hidden="0"/>
    </dxf>
    <dxf>
      <alignment horizontal="general"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left" vertical="center" textRotation="0" wrapText="0" indent="0" justifyLastLine="0" shrinkToFit="0" readingOrder="0"/>
      <protection locked="0" hidden="0"/>
    </dxf>
    <dxf>
      <alignment horizontal="left" vertical="center" textRotation="0" wrapText="0" indent="0" justifyLastLine="0" shrinkToFit="0" readingOrder="0"/>
      <protection locked="0" hidden="0"/>
    </dxf>
    <dxf>
      <alignment horizontal="left" vertical="center" textRotation="0" wrapText="0" indent="0" justifyLastLine="0" shrinkToFit="0" readingOrder="0"/>
      <protection locked="0" hidden="0"/>
    </dxf>
    <dxf>
      <alignment vertical="center" textRotation="0" wrapText="0" indent="0" justifyLastLine="0" shrinkToFit="0" readingOrder="0"/>
      <protection locked="0" hidden="0"/>
    </dxf>
    <dxf>
      <alignment vertical="center" textRotation="0" wrapText="0" indent="0" justifyLastLine="0" shrinkToFit="0" readingOrder="0"/>
      <protection locked="0" hidden="0"/>
    </dxf>
    <dxf>
      <font>
        <strike val="0"/>
        <outline val="0"/>
        <shadow val="0"/>
        <u val="none"/>
        <vertAlign val="baseline"/>
        <sz val="11"/>
        <color auto="1"/>
        <name val="Aptos Narrow"/>
        <family val="2"/>
        <scheme val="minor"/>
      </font>
      <fill>
        <patternFill>
          <fgColor indexed="64"/>
          <bgColor theme="3" tint="0.499984740745262"/>
        </patternFill>
      </fill>
      <alignment horizontal="center" vertical="center" textRotation="0" wrapText="1" indent="0" justifyLastLine="0" shrinkToFit="0" readingOrder="0"/>
    </dxf>
  </dxfs>
  <tableStyles count="0" defaultTableStyle="TableStyleMedium2" defaultPivotStyle="PivotStyleLight16"/>
  <colors>
    <mruColors>
      <color rgb="FFCCCC00"/>
      <color rgb="FFCC9900"/>
      <color rgb="FF8D8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203200</xdr:colOff>
      <xdr:row>222</xdr:row>
      <xdr:rowOff>0</xdr:rowOff>
    </xdr:from>
    <xdr:ext cx="45719" cy="101600"/>
    <xdr:sp macro="" textlink="">
      <xdr:nvSpPr>
        <xdr:cNvPr id="2" name="CaixaDeTexto 1">
          <a:extLst>
            <a:ext uri="{FF2B5EF4-FFF2-40B4-BE49-F238E27FC236}">
              <a16:creationId xmlns:a16="http://schemas.microsoft.com/office/drawing/2014/main" id="{AB2150AF-6FA4-42CC-A227-E894AF472CFC}"/>
            </a:ext>
          </a:extLst>
        </xdr:cNvPr>
        <xdr:cNvSpPr txBox="1"/>
      </xdr:nvSpPr>
      <xdr:spPr>
        <a:xfrm flipH="1">
          <a:off x="203200" y="44405550"/>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3" name="CaixaDeTexto 2">
          <a:extLst>
            <a:ext uri="{FF2B5EF4-FFF2-40B4-BE49-F238E27FC236}">
              <a16:creationId xmlns:a16="http://schemas.microsoft.com/office/drawing/2014/main" id="{68C4195F-5DE8-4CE8-9744-ED10E9B3E8A1}"/>
            </a:ext>
            <a:ext uri="{147F2762-F138-4A5C-976F-8EAC2B608ADB}">
              <a16:predDERef xmlns:a16="http://schemas.microsoft.com/office/drawing/2014/main" pred="{AB2150AF-6FA4-42CC-A227-E894AF472CFC}"/>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4" name="CaixaDeTexto 3">
          <a:extLst>
            <a:ext uri="{FF2B5EF4-FFF2-40B4-BE49-F238E27FC236}">
              <a16:creationId xmlns:a16="http://schemas.microsoft.com/office/drawing/2014/main" id="{8ED89186-3563-4A4E-BC17-CEA493DFD1E3}"/>
            </a:ext>
            <a:ext uri="{147F2762-F138-4A5C-976F-8EAC2B608ADB}">
              <a16:predDERef xmlns:a16="http://schemas.microsoft.com/office/drawing/2014/main" pred="{68C4195F-5DE8-4CE8-9744-ED10E9B3E8A1}"/>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5" name="CaixaDeTexto 4">
          <a:extLst>
            <a:ext uri="{FF2B5EF4-FFF2-40B4-BE49-F238E27FC236}">
              <a16:creationId xmlns:a16="http://schemas.microsoft.com/office/drawing/2014/main" id="{AFC8B38C-B9BD-4186-8123-07F165EB15A6}"/>
            </a:ext>
            <a:ext uri="{147F2762-F138-4A5C-976F-8EAC2B608ADB}">
              <a16:predDERef xmlns:a16="http://schemas.microsoft.com/office/drawing/2014/main" pred="{8ED89186-3563-4A4E-BC17-CEA493DFD1E3}"/>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6" name="CaixaDeTexto 5">
          <a:extLst>
            <a:ext uri="{FF2B5EF4-FFF2-40B4-BE49-F238E27FC236}">
              <a16:creationId xmlns:a16="http://schemas.microsoft.com/office/drawing/2014/main" id="{7883E7C6-A3AE-4C49-9775-BDD3839970FE}"/>
            </a:ext>
            <a:ext uri="{147F2762-F138-4A5C-976F-8EAC2B608ADB}">
              <a16:predDERef xmlns:a16="http://schemas.microsoft.com/office/drawing/2014/main" pred="{AFC8B38C-B9BD-4186-8123-07F165EB15A6}"/>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223</xdr:row>
      <xdr:rowOff>0</xdr:rowOff>
    </xdr:from>
    <xdr:ext cx="45719" cy="101600"/>
    <xdr:sp macro="" textlink="">
      <xdr:nvSpPr>
        <xdr:cNvPr id="7" name="CaixaDeTexto 6">
          <a:extLst>
            <a:ext uri="{FF2B5EF4-FFF2-40B4-BE49-F238E27FC236}">
              <a16:creationId xmlns:a16="http://schemas.microsoft.com/office/drawing/2014/main" id="{9704E0CB-4ECC-48BA-BE55-5D36C70DBC15}"/>
            </a:ext>
          </a:extLst>
        </xdr:cNvPr>
        <xdr:cNvSpPr txBox="1"/>
      </xdr:nvSpPr>
      <xdr:spPr>
        <a:xfrm flipH="1">
          <a:off x="203200" y="475773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224</xdr:row>
      <xdr:rowOff>0</xdr:rowOff>
    </xdr:from>
    <xdr:ext cx="45719" cy="101600"/>
    <xdr:sp macro="" textlink="">
      <xdr:nvSpPr>
        <xdr:cNvPr id="8" name="CaixaDeTexto 7">
          <a:extLst>
            <a:ext uri="{FF2B5EF4-FFF2-40B4-BE49-F238E27FC236}">
              <a16:creationId xmlns:a16="http://schemas.microsoft.com/office/drawing/2014/main" id="{C0973997-C376-4EB7-B480-1E9DD72EABE2}"/>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224</xdr:row>
      <xdr:rowOff>0</xdr:rowOff>
    </xdr:from>
    <xdr:ext cx="45719" cy="101600"/>
    <xdr:sp macro="" textlink="">
      <xdr:nvSpPr>
        <xdr:cNvPr id="9" name="CaixaDeTexto 8">
          <a:extLst>
            <a:ext uri="{FF2B5EF4-FFF2-40B4-BE49-F238E27FC236}">
              <a16:creationId xmlns:a16="http://schemas.microsoft.com/office/drawing/2014/main" id="{A57D5EA3-E83B-45BA-8733-52250D64E129}"/>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10" name="CaixaDeTexto 9">
          <a:extLst>
            <a:ext uri="{FF2B5EF4-FFF2-40B4-BE49-F238E27FC236}">
              <a16:creationId xmlns:a16="http://schemas.microsoft.com/office/drawing/2014/main" id="{65C97D97-9B05-446C-9170-4CF0959A15BB}"/>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11" name="CaixaDeTexto 10">
          <a:extLst>
            <a:ext uri="{FF2B5EF4-FFF2-40B4-BE49-F238E27FC236}">
              <a16:creationId xmlns:a16="http://schemas.microsoft.com/office/drawing/2014/main" id="{976FA627-BD97-4040-B005-135A8DFD5052}"/>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2" name="CaixaDeTexto 11">
          <a:extLst>
            <a:ext uri="{FF2B5EF4-FFF2-40B4-BE49-F238E27FC236}">
              <a16:creationId xmlns:a16="http://schemas.microsoft.com/office/drawing/2014/main" id="{456AF8E5-7EA7-43D0-8302-EBBE6F3EBDDC}"/>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3" name="CaixaDeTexto 12">
          <a:extLst>
            <a:ext uri="{FF2B5EF4-FFF2-40B4-BE49-F238E27FC236}">
              <a16:creationId xmlns:a16="http://schemas.microsoft.com/office/drawing/2014/main" id="{5B546767-3E96-401B-B6DF-46B1E0058229}"/>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4" name="CaixaDeTexto 13">
          <a:extLst>
            <a:ext uri="{FF2B5EF4-FFF2-40B4-BE49-F238E27FC236}">
              <a16:creationId xmlns:a16="http://schemas.microsoft.com/office/drawing/2014/main" id="{65434AD6-EFE8-43E3-BC39-FC9DC4B3EDE1}"/>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5" name="CaixaDeTexto 14">
          <a:extLst>
            <a:ext uri="{FF2B5EF4-FFF2-40B4-BE49-F238E27FC236}">
              <a16:creationId xmlns:a16="http://schemas.microsoft.com/office/drawing/2014/main" id="{49430F08-1208-4061-97A4-FB514EED5C7B}"/>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6" name="CaixaDeTexto 15">
          <a:extLst>
            <a:ext uri="{FF2B5EF4-FFF2-40B4-BE49-F238E27FC236}">
              <a16:creationId xmlns:a16="http://schemas.microsoft.com/office/drawing/2014/main" id="{83EE122B-196C-4C11-B078-48CBA441F1C0}"/>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7" name="CaixaDeTexto 16">
          <a:extLst>
            <a:ext uri="{FF2B5EF4-FFF2-40B4-BE49-F238E27FC236}">
              <a16:creationId xmlns:a16="http://schemas.microsoft.com/office/drawing/2014/main" id="{106CF8DB-4688-4A1D-B4E4-0AA92798B447}"/>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8" name="CaixaDeTexto 17">
          <a:extLst>
            <a:ext uri="{FF2B5EF4-FFF2-40B4-BE49-F238E27FC236}">
              <a16:creationId xmlns:a16="http://schemas.microsoft.com/office/drawing/2014/main" id="{070C5E41-7F7B-49D1-97AE-D6F5DB59367C}"/>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9" name="CaixaDeTexto 18">
          <a:extLst>
            <a:ext uri="{FF2B5EF4-FFF2-40B4-BE49-F238E27FC236}">
              <a16:creationId xmlns:a16="http://schemas.microsoft.com/office/drawing/2014/main" id="{D22A1AC6-4043-4E77-AB4D-8D5254F7C56E}"/>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F418A598-7162-43B8-A219-F93317F4C2A7}">
    <nsvFilter filterId="{26F14978-443C-43BF-BBAB-3AC6D5A7AEE7}" ref="A1:AE500" tableId="2"/>
  </namedSheetView>
  <namedSheetView name="Exibição 2" id="{D30DB0B4-1CAC-4346-B574-638A006245BB}">
    <nsvFilter filterId="{26F14978-443C-43BF-BBAB-3AC6D5A7AEE7}" ref="A1:AE500" tableId="2"/>
  </namedSheetView>
</namedSheetViews>
</file>

<file path=xl/persons/person.xml><?xml version="1.0" encoding="utf-8"?>
<personList xmlns="http://schemas.microsoft.com/office/spreadsheetml/2018/threadedcomments" xmlns:x="http://schemas.openxmlformats.org/spreadsheetml/2006/main">
  <person displayName="Lucia Moniz das Neves" id="{95DCFAD4-C509-4C74-A2E0-3800DE24F017}" userId="S::lucia.neves@scriba.com.br::a9d26947-3c27-4f77-a88c-9e71eb2137c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E500" totalsRowShown="0" headerRowDxfId="39" dataDxfId="38">
  <autoFilter ref="A1:AE500" xr:uid="{26F14978-443C-43BF-BBAB-3AC6D5A7AEE7}"/>
  <tableColumns count="31">
    <tableColumn id="1" xr3:uid="{47B2C718-3485-46B9-AADB-7CD6614C956B}" name="RETRANCA" dataDxfId="37"/>
    <tableColumn id="2" xr3:uid="{6F20D1A7-51B1-4A53-83CF-50614FC1E87E}" name="STATUS" dataDxfId="36"/>
    <tableColumn id="3" xr3:uid="{E8572E99-0AB2-49AE-9897-F535E78DC59B}" name="CATEGORIA" dataDxfId="35"/>
    <tableColumn id="4" xr3:uid="{3BAA2E23-8D96-41DB-870E-717EF9F01497}" name="LOCALIZAÇÃO" dataDxfId="34"/>
    <tableColumn id="5" xr3:uid="{1B97AF7C-996A-498F-8E4F-F5114662DCAE}" name="PÁGINA" dataDxfId="33"/>
    <tableColumn id="6" xr3:uid="{701EC8BF-5D46-4F01-9E72-37F5C84C6204}" name="VOLUME" dataDxfId="32"/>
    <tableColumn id="7" xr3:uid="{42115F63-2A60-4768-BBD4-D907E57CB424}" name="UNIDADE" dataDxfId="31"/>
    <tableColumn id="8" xr3:uid="{8E407FD3-50F6-4CC1-A2B4-EDA18ADCE3EB}" name="CAPÍTULO _x000a_ ou_x000a_ SEÇÃO" dataDxfId="30"/>
    <tableColumn id="9" xr3:uid="{F6258D69-7676-4635-B739-B385D000AE2F}" name="TIPO" dataDxfId="29"/>
    <tableColumn id="10" xr3:uid="{4DD8887C-979F-4883-A85F-C815DE05EFC4}" name="NOME DA OBRA_x000a_ PARA RESGATE" dataDxfId="28"/>
    <tableColumn id="11" xr3:uid="{6AE351D3-5B1B-4747-80E2-2C6E7096156C}" name="PÁGINA PARA RESGATE" dataDxfId="27"/>
    <tableColumn id="12" xr3:uid="{952EC93C-92B5-4133-9AEA-04AF281045BE}" name="VOLUME PARA RESGATE" dataDxfId="26"/>
    <tableColumn id="13" xr3:uid="{57087D3E-8F9F-4743-8F04-3C6E29F5FEF7}" name="VERSÃO PARA RESGATE" dataDxfId="25"/>
    <tableColumn id="14" xr3:uid="{C9E5A9B8-DDE9-4844-B5BF-DF220C1DD168}" name="PROPRIEDADE" dataDxfId="24"/>
    <tableColumn id="15" xr3:uid="{562820C1-46A0-42B2-950F-AED0FB5E62E7}" name="DESCRIÇÃO DA IMAGEM" dataDxfId="23"/>
    <tableColumn id="16" xr3:uid="{C1FEADE5-978E-42A0-A72B-4B75CDF0847D}" name="ILUSTRADOR RESGATE" dataDxfId="22"/>
    <tableColumn id="17" xr3:uid="{9EC1C14E-FE8F-416B-8F0B-F1829EFD032D}" name="OBSERVAÇÃO DO EDITORIAL/NÚCLEO" dataDxfId="21"/>
    <tableColumn id="18" xr3:uid="{1445C9B1-3AFA-4B92-985F-63C0113E7064}" name="LOTE" dataDxfId="20"/>
    <tableColumn id="19" xr3:uid="{DC238784-0E4D-4DC4-B1E6-1E19ACD2AA8D}" name="DATA DE LIBERAÇÃO DO LOTE PARA ARTE " dataDxfId="19"/>
    <tableColumn id="20" xr3:uid="{0C20AC60-0820-4D59-B1C1-6D84A4B9FA66}" name="DATA DE ENVIO _x000a_DO PEDIDO" dataDxfId="18"/>
    <tableColumn id="21" xr3:uid="{DDDDF8E2-4440-46FA-8A2E-11BFA188E1C2}" name="DATA DO RECEBIMENTO _x000a_DO RAFE" dataDxfId="17"/>
    <tableColumn id="22" xr3:uid="{FE78F000-3E98-407F-A684-34560ED2CEE0}" name="DATA DE RETORNO DO RAFE PARA ILUSTRADOR" dataDxfId="16"/>
    <tableColumn id="23" xr3:uid="{2847C90F-EB07-4DB4-B575-0FC03C222849}" name="DATA DE RECEBIMENTO_x000a_ DA FINALIZADA" dataDxfId="15"/>
    <tableColumn id="24" xr3:uid="{14797CE0-E66E-45A5-8181-5A2482F775E9}" name="SIGLA" dataDxfId="14"/>
    <tableColumn id="25" xr3:uid="{A1C665BD-8ED6-4CD6-88D0-C67BAF49562F}" name="ILUSTRADOR CRIAÇÃO" dataDxfId="13">
      <calculatedColumnFormula>IF(Tabela2[[#This Row],[SIGLA]]="","",VLOOKUP(Tabela2[[#This Row],[SIGLA]],Tabela1[[#All],[Sigla Arte]:[Crédito]],2,0))</calculatedColumnFormula>
    </tableColumn>
    <tableColumn id="26" xr3:uid="{12E00CAD-6FD2-4BBD-B590-5DBCF5457DD0}" name="ILUSTRADOR AJUSTES" dataDxfId="12"/>
    <tableColumn id="27" xr3:uid="{DB4DAD23-FDE3-4C38-AFEF-6E9484181939}" name="CRÉDITOS  (A e B)" dataDxfId="11">
      <calculatedColumnFormula>Tabela2[[#This Row],[ILUSTRADOR CRIAÇÃO]]</calculatedColumnFormula>
    </tableColumn>
    <tableColumn id="28" xr3:uid="{A2773F6F-7648-4C4E-A050-6FF08F4C6FD3}" name="CLASSIFICAÇÃO" dataDxfId="10"/>
    <tableColumn id="29" xr3:uid="{5A4B66D0-8557-4F1B-921F-35C87DD256F5}" name="OBSERVAÇÃO DA ARTE" dataDxfId="9"/>
    <tableColumn id="30" xr3:uid="{EB5C8D02-71DF-417B-98C8-2041FFF8D781}" name="OBSERVAÇÃO DE PAGAMENTO" dataDxfId="8"/>
    <tableColumn id="31" xr3:uid="{81BC28F8-346B-49BF-9B96-5CACD15820DD}" name="PROJETO" dataDxfId="7">
      <calculatedColumnFormula>"EF1 E002 Port"</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5DC8D3-3D1A-47A5-9C8C-9231BECBFB45}" name="Tabela1" displayName="Tabela1" ref="A2:C338" totalsRowShown="0" headerRowDxfId="6" headerRowBorderDxfId="5" tableBorderDxfId="4" totalsRowBorderDxfId="3">
  <autoFilter ref="A2:C338" xr:uid="{3F5DC8D3-3D1A-47A5-9C8C-9231BECBFB45}"/>
  <tableColumns count="3">
    <tableColumn id="1" xr3:uid="{BCD249A3-772B-4EA0-8C5C-F8052799968A}" name="Nome do ilustrador" dataDxfId="2"/>
    <tableColumn id="2" xr3:uid="{07C28082-EBBB-481D-AA23-DDDED310AA23}" name="Sigla Arte" dataDxfId="1"/>
    <tableColumn id="3" xr3:uid="{C9A3F8B5-DB3B-4359-A7DE-2D1CE4B26184}" name="Crédito"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3-04T13:14:27.82" personId="{95DCFAD4-C509-4C74-A2E0-3800DE24F017}" id="{B40F170E-C81C-4641-A112-44BA3A31C72E}">
    <text xml:space="preserve">Sempre confirmar no inicio do projeto esses créditos em verde com a Iconografia.
</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6"/>
  <sheetViews>
    <sheetView workbookViewId="0">
      <selection activeCell="G17" sqref="G17"/>
    </sheetView>
  </sheetViews>
  <sheetFormatPr defaultRowHeight="15" x14ac:dyDescent="0.25"/>
  <cols>
    <col min="1" max="1" width="21.140625" customWidth="1"/>
    <col min="2" max="2" width="18.7109375" customWidth="1"/>
    <col min="3" max="3" width="20.85546875" customWidth="1"/>
    <col min="4" max="4" width="6.7109375" bestFit="1" customWidth="1"/>
    <col min="5" max="5" width="8.5703125" bestFit="1" customWidth="1"/>
    <col min="6" max="6" width="16.42578125" customWidth="1"/>
    <col min="7" max="7" width="3" bestFit="1" customWidth="1"/>
    <col min="8" max="8" width="16.28515625" bestFit="1" customWidth="1"/>
  </cols>
  <sheetData>
    <row r="1" spans="1:8" x14ac:dyDescent="0.25">
      <c r="A1" t="s">
        <v>0</v>
      </c>
      <c r="B1" s="1" t="s">
        <v>1</v>
      </c>
      <c r="C1" s="2" t="s">
        <v>2</v>
      </c>
      <c r="D1" s="3">
        <v>1</v>
      </c>
      <c r="E1" s="4" t="s">
        <v>3</v>
      </c>
      <c r="F1" s="5" t="s">
        <v>4</v>
      </c>
      <c r="G1" s="4">
        <v>1</v>
      </c>
      <c r="H1" s="4" t="s">
        <v>5</v>
      </c>
    </row>
    <row r="2" spans="1:8" x14ac:dyDescent="0.25">
      <c r="A2" s="2" t="s">
        <v>6</v>
      </c>
      <c r="B2" s="1" t="s">
        <v>7</v>
      </c>
      <c r="C2" s="2" t="s">
        <v>8</v>
      </c>
      <c r="D2" s="3">
        <v>2</v>
      </c>
      <c r="E2" s="4" t="s">
        <v>9</v>
      </c>
      <c r="F2" s="5" t="s">
        <v>10</v>
      </c>
      <c r="G2" s="4">
        <v>2</v>
      </c>
      <c r="H2" s="4" t="s">
        <v>11</v>
      </c>
    </row>
    <row r="3" spans="1:8" x14ac:dyDescent="0.25">
      <c r="A3" s="2" t="s">
        <v>12</v>
      </c>
      <c r="B3" s="2" t="s">
        <v>13</v>
      </c>
      <c r="C3" s="2" t="s">
        <v>14</v>
      </c>
      <c r="D3" s="3">
        <v>3</v>
      </c>
      <c r="E3" s="4" t="s">
        <v>15</v>
      </c>
      <c r="F3" s="5" t="s">
        <v>16</v>
      </c>
      <c r="G3" s="4">
        <v>3</v>
      </c>
      <c r="H3" s="4" t="s">
        <v>17</v>
      </c>
    </row>
    <row r="4" spans="1:8" x14ac:dyDescent="0.25">
      <c r="A4" s="2" t="s">
        <v>18</v>
      </c>
      <c r="B4" s="2" t="s">
        <v>19</v>
      </c>
      <c r="C4" s="2" t="s">
        <v>20</v>
      </c>
      <c r="D4" s="3">
        <v>4</v>
      </c>
      <c r="E4" s="4"/>
      <c r="F4" s="5" t="s">
        <v>21</v>
      </c>
      <c r="G4" s="4">
        <v>4</v>
      </c>
      <c r="H4" s="4" t="s">
        <v>22</v>
      </c>
    </row>
    <row r="5" spans="1:8" x14ac:dyDescent="0.25">
      <c r="A5" s="2" t="s">
        <v>23</v>
      </c>
      <c r="B5" s="2" t="s">
        <v>24</v>
      </c>
      <c r="C5" s="2" t="s">
        <v>25</v>
      </c>
      <c r="D5" s="3">
        <v>5</v>
      </c>
      <c r="E5" s="4"/>
      <c r="F5" s="5" t="s">
        <v>26</v>
      </c>
      <c r="G5" s="4">
        <v>5</v>
      </c>
      <c r="H5" s="4" t="s">
        <v>27</v>
      </c>
    </row>
    <row r="6" spans="1:8" x14ac:dyDescent="0.25">
      <c r="A6" s="2" t="s">
        <v>28</v>
      </c>
      <c r="B6" s="1" t="s">
        <v>29</v>
      </c>
      <c r="C6" s="2" t="s">
        <v>30</v>
      </c>
      <c r="D6" s="3">
        <v>6</v>
      </c>
      <c r="E6" s="4"/>
      <c r="F6" s="5" t="s">
        <v>31</v>
      </c>
      <c r="G6" s="4">
        <v>6</v>
      </c>
      <c r="H6" s="4"/>
    </row>
    <row r="7" spans="1:8" x14ac:dyDescent="0.25">
      <c r="A7" s="2" t="s">
        <v>32</v>
      </c>
      <c r="B7" s="1" t="s">
        <v>33</v>
      </c>
      <c r="C7" s="2" t="s">
        <v>34</v>
      </c>
      <c r="D7" s="6" t="s">
        <v>35</v>
      </c>
      <c r="E7" s="4"/>
      <c r="F7" s="5" t="s">
        <v>36</v>
      </c>
      <c r="G7" s="4">
        <v>7</v>
      </c>
      <c r="H7" s="4"/>
    </row>
    <row r="8" spans="1:8" x14ac:dyDescent="0.25">
      <c r="A8" s="2" t="s">
        <v>37</v>
      </c>
      <c r="B8" s="1"/>
      <c r="C8" s="2" t="s">
        <v>38</v>
      </c>
      <c r="D8" s="4"/>
      <c r="E8" s="4"/>
      <c r="F8" s="5" t="s">
        <v>39</v>
      </c>
      <c r="G8" s="4">
        <v>8</v>
      </c>
      <c r="H8" s="4"/>
    </row>
    <row r="9" spans="1:8" x14ac:dyDescent="0.25">
      <c r="A9" s="2" t="s">
        <v>40</v>
      </c>
      <c r="C9" s="2"/>
      <c r="D9" s="4"/>
      <c r="E9" s="4"/>
      <c r="F9" s="5" t="s">
        <v>41</v>
      </c>
      <c r="G9" s="4">
        <v>9</v>
      </c>
      <c r="H9" s="4"/>
    </row>
    <row r="10" spans="1:8" x14ac:dyDescent="0.25">
      <c r="A10" s="2" t="s">
        <v>42</v>
      </c>
      <c r="C10" s="2"/>
      <c r="D10" s="4"/>
      <c r="E10" s="4"/>
      <c r="F10" s="5" t="s">
        <v>43</v>
      </c>
      <c r="G10" s="4">
        <v>10</v>
      </c>
      <c r="H10" s="4"/>
    </row>
    <row r="11" spans="1:8" x14ac:dyDescent="0.25">
      <c r="A11" s="2"/>
      <c r="B11" s="4"/>
      <c r="C11" s="4"/>
      <c r="D11" s="4"/>
      <c r="E11" s="4"/>
      <c r="F11" s="5" t="s">
        <v>44</v>
      </c>
      <c r="G11" s="4">
        <v>11</v>
      </c>
      <c r="H11" s="4"/>
    </row>
    <row r="12" spans="1:8" x14ac:dyDescent="0.25">
      <c r="A12" s="2"/>
      <c r="B12" s="4"/>
      <c r="C12" s="4"/>
      <c r="D12" s="4"/>
      <c r="E12" s="4"/>
      <c r="F12" s="5" t="s">
        <v>45</v>
      </c>
      <c r="G12" s="4">
        <v>12</v>
      </c>
      <c r="H12" s="4"/>
    </row>
    <row r="13" spans="1:8" x14ac:dyDescent="0.25">
      <c r="A13" s="4"/>
      <c r="B13" s="4"/>
      <c r="C13" s="4"/>
      <c r="D13" s="4"/>
      <c r="E13" s="4"/>
      <c r="F13" s="5" t="s">
        <v>46</v>
      </c>
      <c r="G13" s="4">
        <v>13</v>
      </c>
      <c r="H13" s="4"/>
    </row>
    <row r="14" spans="1:8" x14ac:dyDescent="0.25">
      <c r="A14" s="4"/>
      <c r="B14" s="4"/>
      <c r="C14" s="4"/>
      <c r="D14" s="4"/>
      <c r="E14" s="4"/>
      <c r="F14" s="4"/>
      <c r="G14" s="4">
        <v>14</v>
      </c>
      <c r="H14" s="4"/>
    </row>
    <row r="15" spans="1:8" x14ac:dyDescent="0.25">
      <c r="G15" s="4">
        <v>30</v>
      </c>
    </row>
    <row r="16" spans="1:8" x14ac:dyDescent="0.25">
      <c r="G16" s="4">
        <v>31</v>
      </c>
    </row>
  </sheetData>
  <sheetProtection sheet="1" objects="1" scenarios="1"/>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E500"/>
  <sheetViews>
    <sheetView tabSelected="1" workbookViewId="0">
      <pane xSplit="2" ySplit="1" topLeftCell="Y363" activePane="bottomRight" state="frozen"/>
      <selection pane="topRight" activeCell="C1" sqref="C1"/>
      <selection pane="bottomLeft" activeCell="A2" sqref="A2"/>
      <selection pane="bottomRight" activeCell="AD364" sqref="AD364"/>
    </sheetView>
  </sheetViews>
  <sheetFormatPr defaultRowHeight="15" x14ac:dyDescent="0.25"/>
  <cols>
    <col min="1" max="1" width="26.28515625" style="4" customWidth="1"/>
    <col min="2" max="2" width="15" style="10" bestFit="1" customWidth="1"/>
    <col min="3" max="3" width="16.140625" style="10" bestFit="1" customWidth="1"/>
    <col min="4" max="4" width="15.28515625" style="10" customWidth="1"/>
    <col min="5" max="5" width="12.42578125" style="3" bestFit="1" customWidth="1"/>
    <col min="6" max="6" width="10.5703125" style="3" customWidth="1"/>
    <col min="7" max="7" width="11.140625" style="3" customWidth="1"/>
    <col min="8" max="8" width="13.5703125" style="3" customWidth="1"/>
    <col min="9" max="9" width="9.7109375" style="4" bestFit="1" customWidth="1"/>
    <col min="10" max="10" width="21.28515625" style="4" customWidth="1"/>
    <col min="11" max="11" width="12.85546875" style="3" customWidth="1"/>
    <col min="12" max="12" width="14" style="3" customWidth="1"/>
    <col min="13" max="13" width="15.28515625" style="4" customWidth="1"/>
    <col min="14" max="14" width="9.140625" style="4" customWidth="1"/>
    <col min="15" max="15" width="60.28515625" style="10" customWidth="1"/>
    <col min="16" max="16" width="23.5703125" style="10" bestFit="1" customWidth="1"/>
    <col min="17" max="17" width="27.85546875" style="10" customWidth="1"/>
    <col min="18" max="18" width="20.5703125" style="3" customWidth="1"/>
    <col min="19" max="23" width="18.7109375" style="31" customWidth="1"/>
    <col min="24" max="24" width="11" style="3" customWidth="1"/>
    <col min="25" max="25" width="53.5703125" style="4" bestFit="1" customWidth="1"/>
    <col min="26" max="26" width="24.7109375" style="4" customWidth="1"/>
    <col min="27" max="27" width="63.7109375" style="4" customWidth="1"/>
    <col min="28" max="28" width="19.5703125" style="3" customWidth="1"/>
    <col min="29" max="29" width="35.5703125" style="10" customWidth="1"/>
    <col min="30" max="30" width="19.42578125" style="9" customWidth="1"/>
    <col min="31" max="31" width="13.7109375" style="4" bestFit="1" customWidth="1"/>
  </cols>
  <sheetData>
    <row r="1" spans="1:31" s="30" customFormat="1" ht="66" customHeight="1" x14ac:dyDescent="0.25">
      <c r="A1" s="39" t="s">
        <v>47</v>
      </c>
      <c r="B1" s="40" t="s">
        <v>48</v>
      </c>
      <c r="C1" s="40" t="s">
        <v>49</v>
      </c>
      <c r="D1" s="40" t="s">
        <v>50</v>
      </c>
      <c r="E1" s="40" t="s">
        <v>51</v>
      </c>
      <c r="F1" s="40" t="s">
        <v>52</v>
      </c>
      <c r="G1" s="40" t="s">
        <v>53</v>
      </c>
      <c r="H1" s="40" t="s">
        <v>54</v>
      </c>
      <c r="I1" s="40" t="s">
        <v>55</v>
      </c>
      <c r="J1" s="40" t="s">
        <v>56</v>
      </c>
      <c r="K1" s="40" t="s">
        <v>57</v>
      </c>
      <c r="L1" s="40" t="s">
        <v>58</v>
      </c>
      <c r="M1" s="40" t="s">
        <v>59</v>
      </c>
      <c r="N1" s="40" t="s">
        <v>60</v>
      </c>
      <c r="O1" s="40" t="s">
        <v>61</v>
      </c>
      <c r="P1" s="41" t="s">
        <v>62</v>
      </c>
      <c r="Q1" s="40" t="s">
        <v>63</v>
      </c>
      <c r="R1" s="40" t="s">
        <v>64</v>
      </c>
      <c r="S1" s="42" t="s">
        <v>65</v>
      </c>
      <c r="T1" s="33" t="s">
        <v>66</v>
      </c>
      <c r="U1" s="33" t="s">
        <v>67</v>
      </c>
      <c r="V1" s="33" t="s">
        <v>68</v>
      </c>
      <c r="W1" s="37" t="s">
        <v>69</v>
      </c>
      <c r="X1" s="38" t="s">
        <v>70</v>
      </c>
      <c r="Y1" s="34" t="s">
        <v>71</v>
      </c>
      <c r="Z1" s="38" t="s">
        <v>72</v>
      </c>
      <c r="AA1" s="34" t="s">
        <v>73</v>
      </c>
      <c r="AB1" s="38" t="s">
        <v>74</v>
      </c>
      <c r="AC1" s="38" t="s">
        <v>75</v>
      </c>
      <c r="AD1" s="35" t="s">
        <v>76</v>
      </c>
      <c r="AE1" s="36" t="s">
        <v>77</v>
      </c>
    </row>
    <row r="2" spans="1:31" s="7" customFormat="1" ht="45" x14ac:dyDescent="0.25">
      <c r="A2" s="12" t="s">
        <v>78</v>
      </c>
      <c r="B2" s="9" t="s">
        <v>40</v>
      </c>
      <c r="C2" s="9" t="s">
        <v>1</v>
      </c>
      <c r="D2" s="9" t="s">
        <v>25</v>
      </c>
      <c r="E2" s="11">
        <v>12</v>
      </c>
      <c r="F2" s="11">
        <v>4</v>
      </c>
      <c r="G2" s="11">
        <v>1</v>
      </c>
      <c r="H2" s="11"/>
      <c r="I2" s="12" t="s">
        <v>9</v>
      </c>
      <c r="J2" s="12"/>
      <c r="K2" s="11"/>
      <c r="L2" s="11"/>
      <c r="M2" s="12"/>
      <c r="N2" s="12"/>
      <c r="O2" s="32" t="s">
        <v>79</v>
      </c>
      <c r="P2" s="9"/>
      <c r="Q2" s="9"/>
      <c r="R2" s="11">
        <v>1</v>
      </c>
      <c r="S2" s="13">
        <v>45766</v>
      </c>
      <c r="T2" s="13">
        <v>45775</v>
      </c>
      <c r="U2" s="13">
        <v>45777</v>
      </c>
      <c r="V2" s="13">
        <v>45790</v>
      </c>
      <c r="W2" s="13">
        <v>45798</v>
      </c>
      <c r="X2" s="11" t="s">
        <v>80</v>
      </c>
      <c r="Y2" s="4" t="str">
        <f>IF(Tabela2[[#This Row],[SIGLA]]="","",VLOOKUP(Tabela2[[#This Row],[SIGLA]],Tabela1[[#All],[Sigla Arte]:[Crédito]],2,0))</f>
        <v>FABIO EUGENIO/ARQUIVO DA EDITORA</v>
      </c>
      <c r="Z2" s="12"/>
      <c r="AA2" s="12" t="str">
        <f>Tabela2[[#This Row],[ILUSTRADOR CRIAÇÃO]]</f>
        <v>FABIO EUGENIO/ARQUIVO DA EDITORA</v>
      </c>
      <c r="AB2" s="11">
        <v>5</v>
      </c>
      <c r="AC2" s="9" t="s">
        <v>81</v>
      </c>
      <c r="AD2" s="9" t="s">
        <v>22</v>
      </c>
      <c r="AE2" s="4" t="str">
        <f t="shared" ref="AE2:AE65" si="0">"EF1 E002 Port"</f>
        <v>EF1 E002 Port</v>
      </c>
    </row>
    <row r="3" spans="1:31" s="7" customFormat="1" ht="75" x14ac:dyDescent="0.25">
      <c r="A3" s="12" t="s">
        <v>82</v>
      </c>
      <c r="B3" s="9" t="s">
        <v>40</v>
      </c>
      <c r="C3" s="9" t="s">
        <v>1</v>
      </c>
      <c r="D3" s="9" t="s">
        <v>25</v>
      </c>
      <c r="E3" s="11">
        <v>13</v>
      </c>
      <c r="F3" s="11">
        <v>4</v>
      </c>
      <c r="G3" s="11">
        <v>1</v>
      </c>
      <c r="H3" s="11"/>
      <c r="I3" s="12" t="s">
        <v>9</v>
      </c>
      <c r="J3" s="12"/>
      <c r="K3" s="11"/>
      <c r="L3" s="11"/>
      <c r="M3" s="12"/>
      <c r="N3" s="12"/>
      <c r="O3" s="32" t="s">
        <v>83</v>
      </c>
      <c r="P3" s="9"/>
      <c r="Q3" s="9"/>
      <c r="R3" s="11">
        <v>1</v>
      </c>
      <c r="S3" s="13">
        <v>45766</v>
      </c>
      <c r="T3" s="13">
        <v>45775</v>
      </c>
      <c r="U3" s="13">
        <v>45777</v>
      </c>
      <c r="V3" s="13">
        <v>45790</v>
      </c>
      <c r="W3" s="13">
        <v>45798</v>
      </c>
      <c r="X3" s="11" t="s">
        <v>80</v>
      </c>
      <c r="Y3" s="4" t="str">
        <f>IF(Tabela2[[#This Row],[SIGLA]]="","",VLOOKUP(Tabela2[[#This Row],[SIGLA]],Tabela1[[#All],[Sigla Arte]:[Crédito]],2,0))</f>
        <v>FABIO EUGENIO/ARQUIVO DA EDITORA</v>
      </c>
      <c r="Z3" s="12"/>
      <c r="AA3" s="12" t="str">
        <f>Tabela2[[#This Row],[ILUSTRADOR CRIAÇÃO]]</f>
        <v>FABIO EUGENIO/ARQUIVO DA EDITORA</v>
      </c>
      <c r="AB3" s="11">
        <v>5</v>
      </c>
      <c r="AC3" s="9" t="s">
        <v>81</v>
      </c>
      <c r="AD3" s="9" t="s">
        <v>22</v>
      </c>
      <c r="AE3" s="4" t="str">
        <f t="shared" si="0"/>
        <v>EF1 E002 Port</v>
      </c>
    </row>
    <row r="4" spans="1:31" s="7" customFormat="1" ht="45" x14ac:dyDescent="0.25">
      <c r="A4" s="12" t="s">
        <v>84</v>
      </c>
      <c r="B4" s="9" t="s">
        <v>40</v>
      </c>
      <c r="C4" s="9" t="s">
        <v>1</v>
      </c>
      <c r="D4" s="9" t="s">
        <v>25</v>
      </c>
      <c r="E4" s="11">
        <v>14</v>
      </c>
      <c r="F4" s="11">
        <v>4</v>
      </c>
      <c r="G4" s="11">
        <v>1</v>
      </c>
      <c r="H4" s="11"/>
      <c r="I4" s="12" t="s">
        <v>9</v>
      </c>
      <c r="J4" s="12"/>
      <c r="K4" s="11"/>
      <c r="L4" s="11"/>
      <c r="M4" s="12"/>
      <c r="N4" s="12"/>
      <c r="O4" s="32" t="s">
        <v>85</v>
      </c>
      <c r="P4" s="9"/>
      <c r="Q4" s="9"/>
      <c r="R4" s="11">
        <v>1</v>
      </c>
      <c r="S4" s="13">
        <v>45766</v>
      </c>
      <c r="T4" s="13">
        <v>45775</v>
      </c>
      <c r="U4" s="13">
        <v>45777</v>
      </c>
      <c r="V4" s="13">
        <v>45790</v>
      </c>
      <c r="W4" s="13">
        <v>45798</v>
      </c>
      <c r="X4" s="11" t="s">
        <v>80</v>
      </c>
      <c r="Y4" s="4" t="str">
        <f>IF(Tabela2[[#This Row],[SIGLA]]="","",VLOOKUP(Tabela2[[#This Row],[SIGLA]],Tabela1[[#All],[Sigla Arte]:[Crédito]],2,0))</f>
        <v>FABIO EUGENIO/ARQUIVO DA EDITORA</v>
      </c>
      <c r="Z4" s="12"/>
      <c r="AA4" s="12" t="str">
        <f>Tabela2[[#This Row],[ILUSTRADOR CRIAÇÃO]]</f>
        <v>FABIO EUGENIO/ARQUIVO DA EDITORA</v>
      </c>
      <c r="AB4" s="11">
        <v>5</v>
      </c>
      <c r="AC4" s="9" t="s">
        <v>81</v>
      </c>
      <c r="AD4" s="9" t="s">
        <v>22</v>
      </c>
      <c r="AE4" s="4" t="str">
        <f t="shared" si="0"/>
        <v>EF1 E002 Port</v>
      </c>
    </row>
    <row r="5" spans="1:31" s="7" customFormat="1" ht="45" x14ac:dyDescent="0.25">
      <c r="A5" s="12" t="s">
        <v>86</v>
      </c>
      <c r="B5" s="9" t="s">
        <v>40</v>
      </c>
      <c r="C5" s="9" t="s">
        <v>1</v>
      </c>
      <c r="D5" s="9" t="s">
        <v>25</v>
      </c>
      <c r="E5" s="11">
        <v>16</v>
      </c>
      <c r="F5" s="11">
        <v>4</v>
      </c>
      <c r="G5" s="11">
        <v>1</v>
      </c>
      <c r="H5" s="11"/>
      <c r="I5" s="12" t="s">
        <v>9</v>
      </c>
      <c r="J5" s="12"/>
      <c r="K5" s="11"/>
      <c r="L5" s="11"/>
      <c r="M5" s="12"/>
      <c r="N5" s="12"/>
      <c r="O5" s="32" t="s">
        <v>87</v>
      </c>
      <c r="P5" s="9"/>
      <c r="Q5" s="9"/>
      <c r="R5" s="11">
        <v>1</v>
      </c>
      <c r="S5" s="13">
        <v>45766</v>
      </c>
      <c r="T5" s="13">
        <v>45775</v>
      </c>
      <c r="U5" s="13">
        <v>45777</v>
      </c>
      <c r="V5" s="13">
        <v>45790</v>
      </c>
      <c r="W5" s="13">
        <v>45798</v>
      </c>
      <c r="X5" s="11" t="s">
        <v>80</v>
      </c>
      <c r="Y5" s="4" t="str">
        <f>IF(Tabela2[[#This Row],[SIGLA]]="","",VLOOKUP(Tabela2[[#This Row],[SIGLA]],Tabela1[[#All],[Sigla Arte]:[Crédito]],2,0))</f>
        <v>FABIO EUGENIO/ARQUIVO DA EDITORA</v>
      </c>
      <c r="Z5" s="12"/>
      <c r="AA5" s="12" t="str">
        <f>Tabela2[[#This Row],[ILUSTRADOR CRIAÇÃO]]</f>
        <v>FABIO EUGENIO/ARQUIVO DA EDITORA</v>
      </c>
      <c r="AB5" s="11">
        <v>4</v>
      </c>
      <c r="AC5" s="9" t="s">
        <v>81</v>
      </c>
      <c r="AD5" s="9" t="s">
        <v>22</v>
      </c>
      <c r="AE5" s="4" t="str">
        <f t="shared" si="0"/>
        <v>EF1 E002 Port</v>
      </c>
    </row>
    <row r="6" spans="1:31" s="7" customFormat="1" ht="45" x14ac:dyDescent="0.25">
      <c r="A6" s="12" t="s">
        <v>88</v>
      </c>
      <c r="B6" s="9" t="s">
        <v>40</v>
      </c>
      <c r="C6" s="9" t="s">
        <v>1</v>
      </c>
      <c r="D6" s="9" t="s">
        <v>25</v>
      </c>
      <c r="E6" s="11">
        <v>17</v>
      </c>
      <c r="F6" s="11">
        <v>4</v>
      </c>
      <c r="G6" s="11">
        <v>1</v>
      </c>
      <c r="H6" s="11"/>
      <c r="I6" s="12" t="s">
        <v>9</v>
      </c>
      <c r="J6" s="12"/>
      <c r="K6" s="11"/>
      <c r="L6" s="11"/>
      <c r="M6" s="12"/>
      <c r="N6" s="12"/>
      <c r="O6" s="32" t="s">
        <v>89</v>
      </c>
      <c r="P6" s="9"/>
      <c r="Q6" s="9"/>
      <c r="R6" s="11">
        <v>1</v>
      </c>
      <c r="S6" s="13">
        <v>45766</v>
      </c>
      <c r="T6" s="13">
        <v>45766</v>
      </c>
      <c r="U6" s="13"/>
      <c r="V6" s="13"/>
      <c r="W6" s="13">
        <v>45799</v>
      </c>
      <c r="X6" s="11" t="s">
        <v>80</v>
      </c>
      <c r="Y6" s="4" t="str">
        <f>IF(Tabela2[[#This Row],[SIGLA]]="","",VLOOKUP(Tabela2[[#This Row],[SIGLA]],Tabela1[[#All],[Sigla Arte]:[Crédito]],2,0))</f>
        <v>FABIO EUGENIO/ARQUIVO DA EDITORA</v>
      </c>
      <c r="Z6" s="12" t="s">
        <v>90</v>
      </c>
      <c r="AA6" s="12" t="str">
        <f>Tabela2[[#This Row],[ILUSTRADOR CRIAÇÃO]]</f>
        <v>FABIO EUGENIO/ARQUIVO DA EDITORA</v>
      </c>
      <c r="AB6" s="11">
        <v>14</v>
      </c>
      <c r="AC6" s="9" t="s">
        <v>91</v>
      </c>
      <c r="AD6" s="9" t="s">
        <v>11</v>
      </c>
      <c r="AE6" s="4" t="str">
        <f t="shared" si="0"/>
        <v>EF1 E002 Port</v>
      </c>
    </row>
    <row r="7" spans="1:31" s="7" customFormat="1" ht="45" x14ac:dyDescent="0.25">
      <c r="A7" s="8" t="s">
        <v>92</v>
      </c>
      <c r="B7" s="9" t="s">
        <v>40</v>
      </c>
      <c r="C7" s="9" t="s">
        <v>1</v>
      </c>
      <c r="D7" s="9" t="s">
        <v>25</v>
      </c>
      <c r="E7" s="11">
        <v>18</v>
      </c>
      <c r="F7" s="11">
        <v>4</v>
      </c>
      <c r="G7" s="11">
        <v>1</v>
      </c>
      <c r="H7" s="11"/>
      <c r="I7" s="12" t="s">
        <v>9</v>
      </c>
      <c r="J7" s="12"/>
      <c r="K7" s="11"/>
      <c r="L7" s="11"/>
      <c r="M7" s="12"/>
      <c r="N7" s="12"/>
      <c r="O7" s="32" t="s">
        <v>93</v>
      </c>
      <c r="P7" s="9"/>
      <c r="Q7" s="9"/>
      <c r="R7" s="11">
        <v>1</v>
      </c>
      <c r="S7" s="13">
        <v>45766</v>
      </c>
      <c r="T7" s="13">
        <v>45766</v>
      </c>
      <c r="U7" s="13"/>
      <c r="V7" s="13"/>
      <c r="W7" s="13">
        <v>45799</v>
      </c>
      <c r="X7" s="11" t="s">
        <v>80</v>
      </c>
      <c r="Y7" s="4" t="str">
        <f>IF(Tabela2[[#This Row],[SIGLA]]="","",VLOOKUP(Tabela2[[#This Row],[SIGLA]],Tabela1[[#All],[Sigla Arte]:[Crédito]],2,0))</f>
        <v>FABIO EUGENIO/ARQUIVO DA EDITORA</v>
      </c>
      <c r="Z7" s="12" t="s">
        <v>90</v>
      </c>
      <c r="AA7" s="12" t="str">
        <f>Tabela2[[#This Row],[ILUSTRADOR CRIAÇÃO]]</f>
        <v>FABIO EUGENIO/ARQUIVO DA EDITORA</v>
      </c>
      <c r="AB7" s="11">
        <v>14</v>
      </c>
      <c r="AC7" s="9" t="s">
        <v>91</v>
      </c>
      <c r="AD7" s="9" t="s">
        <v>11</v>
      </c>
      <c r="AE7" s="4" t="str">
        <f t="shared" si="0"/>
        <v>EF1 E002 Port</v>
      </c>
    </row>
    <row r="8" spans="1:31" s="7" customFormat="1" ht="120" x14ac:dyDescent="0.25">
      <c r="A8" s="12" t="s">
        <v>94</v>
      </c>
      <c r="B8" s="9" t="s">
        <v>40</v>
      </c>
      <c r="C8" s="9" t="s">
        <v>1</v>
      </c>
      <c r="D8" s="9" t="s">
        <v>25</v>
      </c>
      <c r="E8" s="11">
        <v>27</v>
      </c>
      <c r="F8" s="11">
        <v>4</v>
      </c>
      <c r="G8" s="11">
        <v>1</v>
      </c>
      <c r="H8" s="11"/>
      <c r="I8" s="12" t="s">
        <v>9</v>
      </c>
      <c r="J8" s="12"/>
      <c r="K8" s="11"/>
      <c r="L8" s="11"/>
      <c r="M8" s="12"/>
      <c r="N8" s="12"/>
      <c r="O8" s="32" t="s">
        <v>95</v>
      </c>
      <c r="P8" s="9"/>
      <c r="Q8" s="9"/>
      <c r="R8" s="11">
        <v>1</v>
      </c>
      <c r="S8" s="13">
        <v>45766</v>
      </c>
      <c r="T8" s="13">
        <v>45771</v>
      </c>
      <c r="U8" s="13">
        <v>45775</v>
      </c>
      <c r="V8" s="13">
        <v>45779</v>
      </c>
      <c r="W8" s="13">
        <v>45782</v>
      </c>
      <c r="X8" s="11" t="s">
        <v>80</v>
      </c>
      <c r="Y8" s="4" t="str">
        <f>IF(Tabela2[[#This Row],[SIGLA]]="","",VLOOKUP(Tabela2[[#This Row],[SIGLA]],Tabela1[[#All],[Sigla Arte]:[Crédito]],2,0))</f>
        <v>FABIO EUGENIO/ARQUIVO DA EDITORA</v>
      </c>
      <c r="Z8" s="12"/>
      <c r="AA8" s="12" t="str">
        <f>Tabela2[[#This Row],[ILUSTRADOR CRIAÇÃO]]</f>
        <v>FABIO EUGENIO/ARQUIVO DA EDITORA</v>
      </c>
      <c r="AB8" s="11">
        <v>3</v>
      </c>
      <c r="AC8" s="9" t="s">
        <v>96</v>
      </c>
      <c r="AD8" s="9" t="s">
        <v>22</v>
      </c>
      <c r="AE8" s="4" t="str">
        <f t="shared" si="0"/>
        <v>EF1 E002 Port</v>
      </c>
    </row>
    <row r="9" spans="1:31" s="7" customFormat="1" ht="30" x14ac:dyDescent="0.25">
      <c r="A9" s="12" t="s">
        <v>97</v>
      </c>
      <c r="B9" s="9" t="s">
        <v>40</v>
      </c>
      <c r="C9" s="9" t="s">
        <v>1</v>
      </c>
      <c r="D9" s="9" t="s">
        <v>25</v>
      </c>
      <c r="E9" s="11">
        <v>41</v>
      </c>
      <c r="F9" s="11">
        <v>4</v>
      </c>
      <c r="G9" s="11">
        <v>1</v>
      </c>
      <c r="H9" s="11"/>
      <c r="I9" s="12" t="s">
        <v>9</v>
      </c>
      <c r="J9" s="12"/>
      <c r="K9" s="11"/>
      <c r="L9" s="11"/>
      <c r="M9" s="12"/>
      <c r="N9" s="12"/>
      <c r="O9" s="32" t="s">
        <v>98</v>
      </c>
      <c r="P9" s="9"/>
      <c r="Q9" s="9"/>
      <c r="R9" s="11">
        <v>1</v>
      </c>
      <c r="S9" s="13">
        <v>45766</v>
      </c>
      <c r="T9" s="13">
        <v>45771</v>
      </c>
      <c r="U9" s="13">
        <v>45775</v>
      </c>
      <c r="V9" s="13">
        <v>45775</v>
      </c>
      <c r="W9" s="13">
        <v>45777</v>
      </c>
      <c r="X9" s="11" t="s">
        <v>99</v>
      </c>
      <c r="Y9" s="4" t="str">
        <f>IF(Tabela2[[#This Row],[SIGLA]]="","",VLOOKUP(Tabela2[[#This Row],[SIGLA]],Tabela1[[#All],[Sigla Arte]:[Crédito]],2,0))</f>
        <v>VERIDIANA PEGORARO CAMELO/ARQUIVO DA EDITORA</v>
      </c>
      <c r="Z9" s="12"/>
      <c r="AA9" s="12" t="str">
        <f>Tabela2[[#This Row],[ILUSTRADOR CRIAÇÃO]]</f>
        <v>VERIDIANA PEGORARO CAMELO/ARQUIVO DA EDITORA</v>
      </c>
      <c r="AB9" s="11">
        <v>7</v>
      </c>
      <c r="AC9" s="9" t="s">
        <v>100</v>
      </c>
      <c r="AD9" s="9" t="s">
        <v>22</v>
      </c>
      <c r="AE9" s="4" t="str">
        <f t="shared" si="0"/>
        <v>EF1 E002 Port</v>
      </c>
    </row>
    <row r="10" spans="1:31" s="7" customFormat="1" ht="30" x14ac:dyDescent="0.25">
      <c r="A10" s="12" t="s">
        <v>101</v>
      </c>
      <c r="B10" s="9" t="s">
        <v>40</v>
      </c>
      <c r="C10" s="9" t="s">
        <v>1</v>
      </c>
      <c r="D10" s="9" t="s">
        <v>25</v>
      </c>
      <c r="E10" s="11">
        <v>46</v>
      </c>
      <c r="F10" s="11">
        <v>4</v>
      </c>
      <c r="G10" s="11">
        <v>2</v>
      </c>
      <c r="H10" s="11"/>
      <c r="I10" s="12" t="s">
        <v>9</v>
      </c>
      <c r="J10" s="12"/>
      <c r="K10" s="11"/>
      <c r="L10" s="11"/>
      <c r="M10" s="12"/>
      <c r="N10" s="12"/>
      <c r="O10" s="32" t="s">
        <v>102</v>
      </c>
      <c r="P10" s="9"/>
      <c r="Q10" s="9"/>
      <c r="R10" s="11">
        <v>2</v>
      </c>
      <c r="S10" s="13">
        <v>45789</v>
      </c>
      <c r="T10" s="13">
        <v>45790</v>
      </c>
      <c r="U10" s="13">
        <v>45798</v>
      </c>
      <c r="V10" s="13">
        <v>45804</v>
      </c>
      <c r="W10" s="13">
        <v>45806</v>
      </c>
      <c r="X10" s="11" t="s">
        <v>103</v>
      </c>
      <c r="Y10" s="4" t="str">
        <f>IF(Tabela2[[#This Row],[SIGLA]]="","",VLOOKUP(Tabela2[[#This Row],[SIGLA]],Tabela1[[#All],[Sigla Arte]:[Crédito]],2,0))</f>
        <v>BRUNA MENEZES/ARQUIVO DA EDITORA</v>
      </c>
      <c r="Z10" s="12"/>
      <c r="AA10" s="12" t="str">
        <f>Tabela2[[#This Row],[ILUSTRADOR CRIAÇÃO]]</f>
        <v>BRUNA MENEZES/ARQUIVO DA EDITORA</v>
      </c>
      <c r="AB10" s="11">
        <v>6</v>
      </c>
      <c r="AC10" s="9" t="s">
        <v>104</v>
      </c>
      <c r="AD10" s="9" t="s">
        <v>22</v>
      </c>
      <c r="AE10" s="4" t="str">
        <f t="shared" si="0"/>
        <v>EF1 E002 Port</v>
      </c>
    </row>
    <row r="11" spans="1:31" s="7" customFormat="1" ht="60" x14ac:dyDescent="0.25">
      <c r="A11" s="12" t="s">
        <v>105</v>
      </c>
      <c r="B11" s="9" t="s">
        <v>40</v>
      </c>
      <c r="C11" s="9" t="s">
        <v>1</v>
      </c>
      <c r="D11" s="9" t="s">
        <v>25</v>
      </c>
      <c r="E11" s="11">
        <v>47</v>
      </c>
      <c r="F11" s="11">
        <v>4</v>
      </c>
      <c r="G11" s="11">
        <v>2</v>
      </c>
      <c r="H11" s="11"/>
      <c r="I11" s="12" t="s">
        <v>9</v>
      </c>
      <c r="J11" s="12"/>
      <c r="K11" s="11"/>
      <c r="L11" s="11"/>
      <c r="M11" s="12"/>
      <c r="N11" s="12"/>
      <c r="O11" s="32" t="s">
        <v>106</v>
      </c>
      <c r="P11" s="9"/>
      <c r="Q11" s="9"/>
      <c r="R11" s="11">
        <v>2</v>
      </c>
      <c r="S11" s="13">
        <v>45789</v>
      </c>
      <c r="T11" s="13">
        <v>45790</v>
      </c>
      <c r="U11" s="13">
        <v>45798</v>
      </c>
      <c r="V11" s="13">
        <v>45804</v>
      </c>
      <c r="W11" s="13">
        <v>45806</v>
      </c>
      <c r="X11" s="11" t="s">
        <v>103</v>
      </c>
      <c r="Y11" s="4" t="str">
        <f>IF(Tabela2[[#This Row],[SIGLA]]="","",VLOOKUP(Tabela2[[#This Row],[SIGLA]],Tabela1[[#All],[Sigla Arte]:[Crédito]],2,0))</f>
        <v>BRUNA MENEZES/ARQUIVO DA EDITORA</v>
      </c>
      <c r="Z11" s="12"/>
      <c r="AA11" s="12" t="str">
        <f>Tabela2[[#This Row],[ILUSTRADOR CRIAÇÃO]]</f>
        <v>BRUNA MENEZES/ARQUIVO DA EDITORA</v>
      </c>
      <c r="AB11" s="11">
        <v>6</v>
      </c>
      <c r="AC11" s="9" t="s">
        <v>104</v>
      </c>
      <c r="AD11" s="9" t="s">
        <v>22</v>
      </c>
      <c r="AE11" s="4" t="str">
        <f t="shared" si="0"/>
        <v>EF1 E002 Port</v>
      </c>
    </row>
    <row r="12" spans="1:31" s="7" customFormat="1" ht="30" x14ac:dyDescent="0.25">
      <c r="A12" s="12" t="s">
        <v>107</v>
      </c>
      <c r="B12" s="9" t="s">
        <v>40</v>
      </c>
      <c r="C12" s="9" t="s">
        <v>1</v>
      </c>
      <c r="D12" s="9" t="s">
        <v>25</v>
      </c>
      <c r="E12" s="11">
        <v>48</v>
      </c>
      <c r="F12" s="11">
        <v>4</v>
      </c>
      <c r="G12" s="11">
        <v>2</v>
      </c>
      <c r="H12" s="11"/>
      <c r="I12" s="12" t="s">
        <v>9</v>
      </c>
      <c r="J12" s="12"/>
      <c r="K12" s="11"/>
      <c r="L12" s="11"/>
      <c r="M12" s="12"/>
      <c r="N12" s="12"/>
      <c r="O12" s="32" t="s">
        <v>108</v>
      </c>
      <c r="P12" s="9"/>
      <c r="Q12" s="9"/>
      <c r="R12" s="11">
        <v>2</v>
      </c>
      <c r="S12" s="13">
        <v>45789</v>
      </c>
      <c r="T12" s="13">
        <v>45790</v>
      </c>
      <c r="U12" s="13">
        <v>45798</v>
      </c>
      <c r="V12" s="13">
        <v>45804</v>
      </c>
      <c r="W12" s="13">
        <v>45806</v>
      </c>
      <c r="X12" s="11" t="s">
        <v>103</v>
      </c>
      <c r="Y12" s="4" t="str">
        <f>IF(Tabela2[[#This Row],[SIGLA]]="","",VLOOKUP(Tabela2[[#This Row],[SIGLA]],Tabela1[[#All],[Sigla Arte]:[Crédito]],2,0))</f>
        <v>BRUNA MENEZES/ARQUIVO DA EDITORA</v>
      </c>
      <c r="Z12" s="12"/>
      <c r="AA12" s="12" t="str">
        <f>Tabela2[[#This Row],[ILUSTRADOR CRIAÇÃO]]</f>
        <v>BRUNA MENEZES/ARQUIVO DA EDITORA</v>
      </c>
      <c r="AB12" s="11">
        <v>13</v>
      </c>
      <c r="AC12" s="9" t="s">
        <v>104</v>
      </c>
      <c r="AD12" s="9" t="s">
        <v>22</v>
      </c>
      <c r="AE12" s="4" t="str">
        <f t="shared" si="0"/>
        <v>EF1 E002 Port</v>
      </c>
    </row>
    <row r="13" spans="1:31" s="7" customFormat="1" ht="30" x14ac:dyDescent="0.25">
      <c r="A13" s="12" t="s">
        <v>109</v>
      </c>
      <c r="B13" s="9" t="s">
        <v>40</v>
      </c>
      <c r="C13" s="9" t="s">
        <v>1</v>
      </c>
      <c r="D13" s="9" t="s">
        <v>25</v>
      </c>
      <c r="E13" s="11">
        <v>49</v>
      </c>
      <c r="F13" s="11">
        <v>4</v>
      </c>
      <c r="G13" s="11">
        <v>2</v>
      </c>
      <c r="H13" s="11"/>
      <c r="I13" s="12" t="s">
        <v>9</v>
      </c>
      <c r="J13" s="12"/>
      <c r="K13" s="11"/>
      <c r="L13" s="11"/>
      <c r="M13" s="12"/>
      <c r="N13" s="12"/>
      <c r="O13" s="32" t="s">
        <v>110</v>
      </c>
      <c r="P13" s="9"/>
      <c r="Q13" s="9"/>
      <c r="R13" s="11">
        <v>2</v>
      </c>
      <c r="S13" s="13">
        <v>45789</v>
      </c>
      <c r="T13" s="13">
        <v>45790</v>
      </c>
      <c r="U13" s="13">
        <v>45798</v>
      </c>
      <c r="V13" s="13">
        <v>45804</v>
      </c>
      <c r="W13" s="13">
        <v>45806</v>
      </c>
      <c r="X13" s="11" t="s">
        <v>103</v>
      </c>
      <c r="Y13" s="4" t="str">
        <f>IF(Tabela2[[#This Row],[SIGLA]]="","",VLOOKUP(Tabela2[[#This Row],[SIGLA]],Tabela1[[#All],[Sigla Arte]:[Crédito]],2,0))</f>
        <v>BRUNA MENEZES/ARQUIVO DA EDITORA</v>
      </c>
      <c r="Z13" s="12"/>
      <c r="AA13" s="12" t="str">
        <f>Tabela2[[#This Row],[ILUSTRADOR CRIAÇÃO]]</f>
        <v>BRUNA MENEZES/ARQUIVO DA EDITORA</v>
      </c>
      <c r="AB13" s="11">
        <v>13</v>
      </c>
      <c r="AC13" s="9" t="s">
        <v>104</v>
      </c>
      <c r="AD13" s="9" t="s">
        <v>22</v>
      </c>
      <c r="AE13" s="4" t="str">
        <f t="shared" si="0"/>
        <v>EF1 E002 Port</v>
      </c>
    </row>
    <row r="14" spans="1:31" s="7" customFormat="1" ht="30" x14ac:dyDescent="0.25">
      <c r="A14" s="12" t="s">
        <v>111</v>
      </c>
      <c r="B14" s="9" t="s">
        <v>40</v>
      </c>
      <c r="C14" s="9" t="s">
        <v>1</v>
      </c>
      <c r="D14" s="9" t="s">
        <v>25</v>
      </c>
      <c r="E14" s="11">
        <v>50</v>
      </c>
      <c r="F14" s="11">
        <v>4</v>
      </c>
      <c r="G14" s="11">
        <v>2</v>
      </c>
      <c r="H14" s="11"/>
      <c r="I14" s="12" t="s">
        <v>9</v>
      </c>
      <c r="J14" s="12"/>
      <c r="K14" s="11"/>
      <c r="L14" s="11"/>
      <c r="M14" s="12"/>
      <c r="N14" s="12"/>
      <c r="O14" s="32" t="s">
        <v>112</v>
      </c>
      <c r="P14" s="9"/>
      <c r="Q14" s="9"/>
      <c r="R14" s="11">
        <v>2</v>
      </c>
      <c r="S14" s="13">
        <v>45789</v>
      </c>
      <c r="T14" s="13">
        <v>45790</v>
      </c>
      <c r="U14" s="13">
        <v>45798</v>
      </c>
      <c r="V14" s="13">
        <v>45804</v>
      </c>
      <c r="W14" s="13">
        <v>45806</v>
      </c>
      <c r="X14" s="11" t="s">
        <v>103</v>
      </c>
      <c r="Y14" s="4" t="str">
        <f>IF(Tabela2[[#This Row],[SIGLA]]="","",VLOOKUP(Tabela2[[#This Row],[SIGLA]],Tabela1[[#All],[Sigla Arte]:[Crédito]],2,0))</f>
        <v>BRUNA MENEZES/ARQUIVO DA EDITORA</v>
      </c>
      <c r="Z14" s="12"/>
      <c r="AA14" s="12" t="str">
        <f>Tabela2[[#This Row],[ILUSTRADOR CRIAÇÃO]]</f>
        <v>BRUNA MENEZES/ARQUIVO DA EDITORA</v>
      </c>
      <c r="AB14" s="11">
        <v>13</v>
      </c>
      <c r="AC14" s="9" t="s">
        <v>104</v>
      </c>
      <c r="AD14" s="9" t="s">
        <v>22</v>
      </c>
      <c r="AE14" s="4" t="str">
        <f t="shared" si="0"/>
        <v>EF1 E002 Port</v>
      </c>
    </row>
    <row r="15" spans="1:31" s="7" customFormat="1" ht="30" x14ac:dyDescent="0.25">
      <c r="A15" s="12" t="s">
        <v>113</v>
      </c>
      <c r="B15" s="9" t="s">
        <v>42</v>
      </c>
      <c r="C15" s="9" t="s">
        <v>1</v>
      </c>
      <c r="D15" s="9" t="s">
        <v>25</v>
      </c>
      <c r="E15" s="11">
        <v>55</v>
      </c>
      <c r="F15" s="11">
        <v>4</v>
      </c>
      <c r="G15" s="11">
        <v>2</v>
      </c>
      <c r="H15" s="11"/>
      <c r="I15" s="12" t="s">
        <v>9</v>
      </c>
      <c r="J15" s="12"/>
      <c r="K15" s="11"/>
      <c r="L15" s="11"/>
      <c r="M15" s="12"/>
      <c r="N15" s="12"/>
      <c r="O15" s="32" t="s">
        <v>114</v>
      </c>
      <c r="P15" s="9"/>
      <c r="Q15" s="9" t="s">
        <v>115</v>
      </c>
      <c r="R15" s="11">
        <v>2</v>
      </c>
      <c r="S15" s="13">
        <v>45789</v>
      </c>
      <c r="T15" s="13"/>
      <c r="U15" s="13"/>
      <c r="V15" s="13"/>
      <c r="W15" s="13"/>
      <c r="X15" s="11"/>
      <c r="Y15" s="4" t="str">
        <f>IF(Tabela2[[#This Row],[SIGLA]]="","",VLOOKUP(Tabela2[[#This Row],[SIGLA]],Tabela1[[#All],[Sigla Arte]:[Crédito]],2,0))</f>
        <v/>
      </c>
      <c r="Z15" s="12"/>
      <c r="AA15" s="12" t="str">
        <f>Tabela2[[#This Row],[ILUSTRADOR CRIAÇÃO]]</f>
        <v/>
      </c>
      <c r="AB15" s="11"/>
      <c r="AC15" s="9" t="s">
        <v>116</v>
      </c>
      <c r="AD15" s="9"/>
      <c r="AE15" s="4" t="str">
        <f t="shared" si="0"/>
        <v>EF1 E002 Port</v>
      </c>
    </row>
    <row r="16" spans="1:31" s="7" customFormat="1" ht="45" x14ac:dyDescent="0.25">
      <c r="A16" s="12" t="s">
        <v>117</v>
      </c>
      <c r="B16" s="9" t="s">
        <v>40</v>
      </c>
      <c r="C16" s="9" t="s">
        <v>1</v>
      </c>
      <c r="D16" s="9" t="s">
        <v>25</v>
      </c>
      <c r="E16" s="11">
        <v>51</v>
      </c>
      <c r="F16" s="11">
        <v>4</v>
      </c>
      <c r="G16" s="11">
        <v>2</v>
      </c>
      <c r="H16" s="11"/>
      <c r="I16" s="12" t="s">
        <v>9</v>
      </c>
      <c r="J16" s="12"/>
      <c r="K16" s="11"/>
      <c r="L16" s="11"/>
      <c r="M16" s="12"/>
      <c r="N16" s="12"/>
      <c r="O16" s="32" t="s">
        <v>118</v>
      </c>
      <c r="P16" s="9"/>
      <c r="Q16" s="9"/>
      <c r="R16" s="11">
        <v>2</v>
      </c>
      <c r="S16" s="13">
        <v>45789</v>
      </c>
      <c r="T16" s="13">
        <v>45790</v>
      </c>
      <c r="U16" s="13">
        <v>45793</v>
      </c>
      <c r="V16" s="13">
        <v>45796</v>
      </c>
      <c r="W16" s="13">
        <v>45798</v>
      </c>
      <c r="X16" s="11" t="s">
        <v>119</v>
      </c>
      <c r="Y16" s="4" t="str">
        <f>IF(Tabela2[[#This Row],[SIGLA]]="","",VLOOKUP(Tabela2[[#This Row],[SIGLA]],Tabela1[[#All],[Sigla Arte]:[Crédito]],2,0))</f>
        <v>DANIEL WU/ARQUIVO DA EDITORA</v>
      </c>
      <c r="Z16" s="12"/>
      <c r="AA16" s="12" t="str">
        <f>Tabela2[[#This Row],[ILUSTRADOR CRIAÇÃO]]</f>
        <v>DANIEL WU/ARQUIVO DA EDITORA</v>
      </c>
      <c r="AB16" s="11">
        <v>5</v>
      </c>
      <c r="AC16" s="9" t="s">
        <v>120</v>
      </c>
      <c r="AD16" s="9" t="s">
        <v>22</v>
      </c>
      <c r="AE16" s="4" t="str">
        <f t="shared" si="0"/>
        <v>EF1 E002 Port</v>
      </c>
    </row>
    <row r="17" spans="1:31" s="7" customFormat="1" ht="45" x14ac:dyDescent="0.25">
      <c r="A17" s="12" t="s">
        <v>121</v>
      </c>
      <c r="B17" s="9" t="s">
        <v>42</v>
      </c>
      <c r="C17" s="9" t="s">
        <v>1</v>
      </c>
      <c r="D17" s="9" t="s">
        <v>25</v>
      </c>
      <c r="E17" s="11">
        <v>56</v>
      </c>
      <c r="F17" s="11">
        <v>4</v>
      </c>
      <c r="G17" s="11">
        <v>2</v>
      </c>
      <c r="H17" s="11"/>
      <c r="I17" s="12" t="s">
        <v>9</v>
      </c>
      <c r="J17" s="12"/>
      <c r="K17" s="11"/>
      <c r="L17" s="11"/>
      <c r="M17" s="12"/>
      <c r="N17" s="12"/>
      <c r="O17" s="32" t="s">
        <v>122</v>
      </c>
      <c r="P17" s="9"/>
      <c r="Q17" s="9"/>
      <c r="R17" s="11">
        <v>2</v>
      </c>
      <c r="S17" s="13">
        <v>45789</v>
      </c>
      <c r="T17" s="13">
        <v>45790</v>
      </c>
      <c r="U17" s="13">
        <v>45793</v>
      </c>
      <c r="V17" s="13"/>
      <c r="W17" s="13"/>
      <c r="X17" s="11" t="s">
        <v>119</v>
      </c>
      <c r="Y17" s="4" t="str">
        <f>IF(Tabela2[[#This Row],[SIGLA]]="","",VLOOKUP(Tabela2[[#This Row],[SIGLA]],Tabela1[[#All],[Sigla Arte]:[Crédito]],2,0))</f>
        <v>DANIEL WU/ARQUIVO DA EDITORA</v>
      </c>
      <c r="Z17" s="12"/>
      <c r="AA17" s="12" t="str">
        <f>Tabela2[[#This Row],[ILUSTRADOR CRIAÇÃO]]</f>
        <v>DANIEL WU/ARQUIVO DA EDITORA</v>
      </c>
      <c r="AB17" s="11">
        <v>6</v>
      </c>
      <c r="AC17" s="9" t="s">
        <v>123</v>
      </c>
      <c r="AD17" s="9" t="s">
        <v>27</v>
      </c>
      <c r="AE17" s="4" t="str">
        <f t="shared" si="0"/>
        <v>EF1 E002 Port</v>
      </c>
    </row>
    <row r="18" spans="1:31" s="7" customFormat="1" ht="30" x14ac:dyDescent="0.25">
      <c r="A18" s="12" t="s">
        <v>124</v>
      </c>
      <c r="B18" s="9" t="s">
        <v>42</v>
      </c>
      <c r="C18" s="9" t="s">
        <v>1</v>
      </c>
      <c r="D18" s="9" t="s">
        <v>25</v>
      </c>
      <c r="E18" s="11">
        <v>58</v>
      </c>
      <c r="F18" s="11">
        <v>4</v>
      </c>
      <c r="G18" s="11">
        <v>2</v>
      </c>
      <c r="H18" s="11"/>
      <c r="I18" s="12" t="s">
        <v>9</v>
      </c>
      <c r="J18" s="12"/>
      <c r="K18" s="11"/>
      <c r="L18" s="11"/>
      <c r="M18" s="12"/>
      <c r="N18" s="12"/>
      <c r="O18" s="32" t="s">
        <v>125</v>
      </c>
      <c r="P18" s="9"/>
      <c r="Q18" s="9"/>
      <c r="R18" s="11">
        <v>2</v>
      </c>
      <c r="S18" s="13">
        <v>45789</v>
      </c>
      <c r="T18" s="13">
        <v>45790</v>
      </c>
      <c r="U18" s="13">
        <v>45793</v>
      </c>
      <c r="V18" s="13">
        <v>45796</v>
      </c>
      <c r="W18" s="13">
        <v>45798</v>
      </c>
      <c r="X18" s="11" t="s">
        <v>119</v>
      </c>
      <c r="Y18" s="4" t="str">
        <f>IF(Tabela2[[#This Row],[SIGLA]]="","",VLOOKUP(Tabela2[[#This Row],[SIGLA]],Tabela1[[#All],[Sigla Arte]:[Crédito]],2,0))</f>
        <v>DANIEL WU/ARQUIVO DA EDITORA</v>
      </c>
      <c r="Z18" s="12"/>
      <c r="AA18" s="12" t="str">
        <f>Tabela2[[#This Row],[ILUSTRADOR CRIAÇÃO]]</f>
        <v>DANIEL WU/ARQUIVO DA EDITORA</v>
      </c>
      <c r="AB18" s="11">
        <v>7</v>
      </c>
      <c r="AC18" s="9" t="s">
        <v>120</v>
      </c>
      <c r="AD18" s="9" t="s">
        <v>22</v>
      </c>
      <c r="AE18" s="4" t="str">
        <f t="shared" si="0"/>
        <v>EF1 E002 Port</v>
      </c>
    </row>
    <row r="19" spans="1:31" s="7" customFormat="1" x14ac:dyDescent="0.25">
      <c r="A19" s="12" t="s">
        <v>126</v>
      </c>
      <c r="B19" s="9" t="s">
        <v>42</v>
      </c>
      <c r="C19" s="9" t="s">
        <v>1</v>
      </c>
      <c r="D19" s="9" t="s">
        <v>25</v>
      </c>
      <c r="E19" s="11">
        <v>60</v>
      </c>
      <c r="F19" s="11">
        <v>4</v>
      </c>
      <c r="G19" s="11">
        <v>2</v>
      </c>
      <c r="H19" s="11"/>
      <c r="I19" s="12" t="s">
        <v>9</v>
      </c>
      <c r="J19" s="12"/>
      <c r="K19" s="11"/>
      <c r="L19" s="11"/>
      <c r="M19" s="12"/>
      <c r="N19" s="12"/>
      <c r="O19" s="32" t="s">
        <v>127</v>
      </c>
      <c r="P19" s="9"/>
      <c r="Q19" s="9"/>
      <c r="R19" s="11">
        <v>2</v>
      </c>
      <c r="S19" s="13">
        <v>45789</v>
      </c>
      <c r="T19" s="13"/>
      <c r="U19" s="13"/>
      <c r="V19" s="13"/>
      <c r="W19" s="13"/>
      <c r="X19" s="11"/>
      <c r="Y19" s="4" t="str">
        <f>IF(Tabela2[[#This Row],[SIGLA]]="","",VLOOKUP(Tabela2[[#This Row],[SIGLA]],Tabela1[[#All],[Sigla Arte]:[Crédito]],2,0))</f>
        <v/>
      </c>
      <c r="Z19" s="12"/>
      <c r="AA19" s="12" t="str">
        <f>Tabela2[[#This Row],[ILUSTRADOR CRIAÇÃO]]</f>
        <v/>
      </c>
      <c r="AB19" s="11"/>
      <c r="AC19" s="9" t="s">
        <v>128</v>
      </c>
      <c r="AD19" s="9"/>
      <c r="AE19" s="4" t="str">
        <f t="shared" si="0"/>
        <v>EF1 E002 Port</v>
      </c>
    </row>
    <row r="20" spans="1:31" s="7" customFormat="1" ht="60" x14ac:dyDescent="0.25">
      <c r="A20" s="12" t="s">
        <v>129</v>
      </c>
      <c r="B20" s="9" t="s">
        <v>40</v>
      </c>
      <c r="C20" s="9" t="s">
        <v>1</v>
      </c>
      <c r="D20" s="9" t="s">
        <v>25</v>
      </c>
      <c r="E20" s="11">
        <v>56</v>
      </c>
      <c r="F20" s="11">
        <v>4</v>
      </c>
      <c r="G20" s="11">
        <v>2</v>
      </c>
      <c r="H20" s="11"/>
      <c r="I20" s="12" t="s">
        <v>9</v>
      </c>
      <c r="J20" s="12"/>
      <c r="K20" s="11"/>
      <c r="L20" s="11"/>
      <c r="M20" s="12"/>
      <c r="N20" s="12"/>
      <c r="O20" s="32" t="s">
        <v>130</v>
      </c>
      <c r="P20" s="9"/>
      <c r="Q20" s="9"/>
      <c r="R20" s="11">
        <v>2</v>
      </c>
      <c r="S20" s="13">
        <v>45789</v>
      </c>
      <c r="T20" s="13">
        <v>45790</v>
      </c>
      <c r="U20" s="13">
        <v>45793</v>
      </c>
      <c r="V20" s="13">
        <v>45796</v>
      </c>
      <c r="W20" s="13">
        <v>45800</v>
      </c>
      <c r="X20" s="11" t="s">
        <v>119</v>
      </c>
      <c r="Y20" s="4" t="str">
        <f>IF(Tabela2[[#This Row],[SIGLA]]="","",VLOOKUP(Tabela2[[#This Row],[SIGLA]],Tabela1[[#All],[Sigla Arte]:[Crédito]],2,0))</f>
        <v>DANIEL WU/ARQUIVO DA EDITORA</v>
      </c>
      <c r="Z20" s="12"/>
      <c r="AA20" s="12" t="str">
        <f>Tabela2[[#This Row],[ILUSTRADOR CRIAÇÃO]]</f>
        <v>DANIEL WU/ARQUIVO DA EDITORA</v>
      </c>
      <c r="AB20" s="11">
        <v>4</v>
      </c>
      <c r="AC20" s="9" t="s">
        <v>131</v>
      </c>
      <c r="AD20" s="9" t="s">
        <v>22</v>
      </c>
      <c r="AE20" s="4" t="str">
        <f t="shared" si="0"/>
        <v>EF1 E002 Port</v>
      </c>
    </row>
    <row r="21" spans="1:31" s="7" customFormat="1" ht="30" x14ac:dyDescent="0.25">
      <c r="A21" s="12" t="s">
        <v>132</v>
      </c>
      <c r="B21" s="9" t="s">
        <v>40</v>
      </c>
      <c r="C21" s="9" t="s">
        <v>1</v>
      </c>
      <c r="D21" s="9" t="s">
        <v>25</v>
      </c>
      <c r="E21" s="11">
        <v>68</v>
      </c>
      <c r="F21" s="11">
        <v>4</v>
      </c>
      <c r="G21" s="11">
        <v>2</v>
      </c>
      <c r="H21" s="11"/>
      <c r="I21" s="12" t="s">
        <v>9</v>
      </c>
      <c r="J21" s="12"/>
      <c r="K21" s="11"/>
      <c r="L21" s="11"/>
      <c r="M21" s="12"/>
      <c r="N21" s="12"/>
      <c r="O21" s="32" t="s">
        <v>133</v>
      </c>
      <c r="P21" s="9"/>
      <c r="Q21" s="9"/>
      <c r="R21" s="11">
        <v>2</v>
      </c>
      <c r="S21" s="13">
        <v>45789</v>
      </c>
      <c r="T21" s="13">
        <v>45790</v>
      </c>
      <c r="U21" s="13">
        <v>45793</v>
      </c>
      <c r="V21" s="13">
        <v>45796</v>
      </c>
      <c r="W21" s="13">
        <v>45798</v>
      </c>
      <c r="X21" s="11" t="s">
        <v>119</v>
      </c>
      <c r="Y21" s="4" t="str">
        <f>IF(Tabela2[[#This Row],[SIGLA]]="","",VLOOKUP(Tabela2[[#This Row],[SIGLA]],Tabela1[[#All],[Sigla Arte]:[Crédito]],2,0))</f>
        <v>DANIEL WU/ARQUIVO DA EDITORA</v>
      </c>
      <c r="Z21" s="12"/>
      <c r="AA21" s="12" t="str">
        <f>Tabela2[[#This Row],[ILUSTRADOR CRIAÇÃO]]</f>
        <v>DANIEL WU/ARQUIVO DA EDITORA</v>
      </c>
      <c r="AB21" s="11">
        <v>5</v>
      </c>
      <c r="AC21" s="9" t="s">
        <v>120</v>
      </c>
      <c r="AD21" s="9" t="s">
        <v>22</v>
      </c>
      <c r="AE21" s="4" t="str">
        <f t="shared" si="0"/>
        <v>EF1 E002 Port</v>
      </c>
    </row>
    <row r="22" spans="1:31" s="7" customFormat="1" ht="90" x14ac:dyDescent="0.25">
      <c r="A22" s="12" t="s">
        <v>134</v>
      </c>
      <c r="B22" s="9" t="s">
        <v>40</v>
      </c>
      <c r="C22" s="9" t="s">
        <v>1</v>
      </c>
      <c r="D22" s="9" t="s">
        <v>25</v>
      </c>
      <c r="E22" s="11">
        <v>48</v>
      </c>
      <c r="F22" s="11">
        <v>1</v>
      </c>
      <c r="G22" s="11">
        <v>2</v>
      </c>
      <c r="H22" s="11"/>
      <c r="I22" s="12" t="s">
        <v>9</v>
      </c>
      <c r="J22" s="12"/>
      <c r="K22" s="11"/>
      <c r="L22" s="11"/>
      <c r="M22" s="12"/>
      <c r="N22" s="12"/>
      <c r="O22" s="32" t="s">
        <v>135</v>
      </c>
      <c r="P22" s="9"/>
      <c r="Q22" s="9"/>
      <c r="R22" s="11">
        <v>3</v>
      </c>
      <c r="S22" s="13">
        <v>45797</v>
      </c>
      <c r="T22" s="13">
        <v>45799</v>
      </c>
      <c r="U22" s="13">
        <v>45803</v>
      </c>
      <c r="V22" s="13">
        <v>45806</v>
      </c>
      <c r="W22" s="13">
        <v>45813</v>
      </c>
      <c r="X22" s="11" t="s">
        <v>99</v>
      </c>
      <c r="Y22" s="4" t="str">
        <f>IF(Tabela2[[#This Row],[SIGLA]]="","",VLOOKUP(Tabela2[[#This Row],[SIGLA]],Tabela1[[#All],[Sigla Arte]:[Crédito]],2,0))</f>
        <v>VERIDIANA PEGORARO CAMELO/ARQUIVO DA EDITORA</v>
      </c>
      <c r="Z22" s="12"/>
      <c r="AA22" s="12" t="str">
        <f>Tabela2[[#This Row],[ILUSTRADOR CRIAÇÃO]]</f>
        <v>VERIDIANA PEGORARO CAMELO/ARQUIVO DA EDITORA</v>
      </c>
      <c r="AB22" s="11">
        <v>4</v>
      </c>
      <c r="AC22" s="9" t="s">
        <v>136</v>
      </c>
      <c r="AD22" s="9" t="s">
        <v>22</v>
      </c>
      <c r="AE22" s="4" t="str">
        <f t="shared" si="0"/>
        <v>EF1 E002 Port</v>
      </c>
    </row>
    <row r="23" spans="1:31" s="7" customFormat="1" ht="75" x14ac:dyDescent="0.25">
      <c r="A23" s="12" t="s">
        <v>137</v>
      </c>
      <c r="B23" s="9" t="s">
        <v>42</v>
      </c>
      <c r="C23" s="9" t="s">
        <v>1</v>
      </c>
      <c r="D23" s="9" t="s">
        <v>25</v>
      </c>
      <c r="E23" s="11">
        <v>51</v>
      </c>
      <c r="F23" s="11">
        <v>1</v>
      </c>
      <c r="G23" s="11">
        <v>2</v>
      </c>
      <c r="H23" s="11"/>
      <c r="I23" s="12" t="s">
        <v>9</v>
      </c>
      <c r="J23" s="12"/>
      <c r="K23" s="11"/>
      <c r="L23" s="11"/>
      <c r="M23" s="12"/>
      <c r="N23" s="12"/>
      <c r="O23" s="32" t="s">
        <v>138</v>
      </c>
      <c r="P23" s="9"/>
      <c r="Q23" s="9"/>
      <c r="R23" s="11">
        <v>3</v>
      </c>
      <c r="S23" s="13">
        <v>45797</v>
      </c>
      <c r="T23" s="13">
        <v>45799</v>
      </c>
      <c r="U23" s="13">
        <v>45803</v>
      </c>
      <c r="V23" s="13">
        <v>45806</v>
      </c>
      <c r="W23" s="13">
        <v>45813</v>
      </c>
      <c r="X23" s="11" t="s">
        <v>99</v>
      </c>
      <c r="Y23" s="4" t="str">
        <f>IF(Tabela2[[#This Row],[SIGLA]]="","",VLOOKUP(Tabela2[[#This Row],[SIGLA]],Tabela1[[#All],[Sigla Arte]:[Crédito]],2,0))</f>
        <v>VERIDIANA PEGORARO CAMELO/ARQUIVO DA EDITORA</v>
      </c>
      <c r="Z23" s="12"/>
      <c r="AA23" s="12" t="str">
        <f>Tabela2[[#This Row],[ILUSTRADOR CRIAÇÃO]]</f>
        <v>VERIDIANA PEGORARO CAMELO/ARQUIVO DA EDITORA</v>
      </c>
      <c r="AB23" s="11">
        <v>7</v>
      </c>
      <c r="AC23" s="9" t="s">
        <v>136</v>
      </c>
      <c r="AD23" s="9" t="s">
        <v>22</v>
      </c>
      <c r="AE23" s="4" t="str">
        <f t="shared" si="0"/>
        <v>EF1 E002 Port</v>
      </c>
    </row>
    <row r="24" spans="1:31" s="7" customFormat="1" ht="180" x14ac:dyDescent="0.25">
      <c r="A24" s="12" t="s">
        <v>139</v>
      </c>
      <c r="B24" s="9" t="s">
        <v>28</v>
      </c>
      <c r="C24" s="9" t="s">
        <v>1</v>
      </c>
      <c r="D24" s="9" t="s">
        <v>25</v>
      </c>
      <c r="E24" s="11">
        <v>50</v>
      </c>
      <c r="F24" s="11">
        <v>1</v>
      </c>
      <c r="G24" s="11">
        <v>2</v>
      </c>
      <c r="H24" s="11"/>
      <c r="I24" s="12" t="s">
        <v>9</v>
      </c>
      <c r="J24" s="12"/>
      <c r="K24" s="11"/>
      <c r="L24" s="11"/>
      <c r="M24" s="12"/>
      <c r="N24" s="12"/>
      <c r="O24" s="32" t="s">
        <v>140</v>
      </c>
      <c r="P24" s="9"/>
      <c r="Q24" s="9"/>
      <c r="R24" s="11">
        <v>3</v>
      </c>
      <c r="S24" s="13">
        <v>45797</v>
      </c>
      <c r="T24" s="13">
        <v>45799</v>
      </c>
      <c r="U24" s="13">
        <v>45805</v>
      </c>
      <c r="V24" s="13">
        <v>45806</v>
      </c>
      <c r="W24" s="13">
        <v>45812</v>
      </c>
      <c r="X24" s="11" t="s">
        <v>141</v>
      </c>
      <c r="Y24" s="4" t="str">
        <f>IF(Tabela2[[#This Row],[SIGLA]]="","",VLOOKUP(Tabela2[[#This Row],[SIGLA]],Tabela1[[#All],[Sigla Arte]:[Crédito]],2,0))</f>
        <v>EZEQUIEL SILVA/ARQUIVO DA EDITORA</v>
      </c>
      <c r="Z24" s="12"/>
      <c r="AA24" s="12" t="str">
        <f>Tabela2[[#This Row],[ILUSTRADOR CRIAÇÃO]]</f>
        <v>EZEQUIEL SILVA/ARQUIVO DA EDITORA</v>
      </c>
      <c r="AB24" s="11">
        <v>6</v>
      </c>
      <c r="AC24" s="9" t="s">
        <v>142</v>
      </c>
      <c r="AD24" s="9" t="s">
        <v>22</v>
      </c>
      <c r="AE24" s="4" t="str">
        <f t="shared" si="0"/>
        <v>EF1 E002 Port</v>
      </c>
    </row>
    <row r="25" spans="1:31" s="7" customFormat="1" ht="120" x14ac:dyDescent="0.25">
      <c r="A25" s="12" t="s">
        <v>143</v>
      </c>
      <c r="B25" s="9" t="s">
        <v>40</v>
      </c>
      <c r="C25" s="9" t="s">
        <v>1</v>
      </c>
      <c r="D25" s="9" t="s">
        <v>25</v>
      </c>
      <c r="E25" s="11">
        <v>51</v>
      </c>
      <c r="F25" s="11">
        <v>1</v>
      </c>
      <c r="G25" s="11">
        <v>2</v>
      </c>
      <c r="H25" s="11"/>
      <c r="I25" s="12" t="s">
        <v>9</v>
      </c>
      <c r="J25" s="12"/>
      <c r="K25" s="11"/>
      <c r="L25" s="11"/>
      <c r="M25" s="12"/>
      <c r="N25" s="12"/>
      <c r="O25" s="32" t="s">
        <v>144</v>
      </c>
      <c r="P25" s="9"/>
      <c r="Q25" s="9"/>
      <c r="R25" s="11">
        <v>3</v>
      </c>
      <c r="S25" s="13">
        <v>45797</v>
      </c>
      <c r="T25" s="13">
        <v>45799</v>
      </c>
      <c r="U25" s="13">
        <v>45805</v>
      </c>
      <c r="V25" s="13">
        <v>45806</v>
      </c>
      <c r="W25" s="13">
        <v>45812</v>
      </c>
      <c r="X25" s="11" t="s">
        <v>141</v>
      </c>
      <c r="Y25" s="4" t="str">
        <f>IF(Tabela2[[#This Row],[SIGLA]]="","",VLOOKUP(Tabela2[[#This Row],[SIGLA]],Tabela1[[#All],[Sigla Arte]:[Crédito]],2,0))</f>
        <v>EZEQUIEL SILVA/ARQUIVO DA EDITORA</v>
      </c>
      <c r="Z25" s="12"/>
      <c r="AA25" s="12" t="str">
        <f>Tabela2[[#This Row],[ILUSTRADOR CRIAÇÃO]]</f>
        <v>EZEQUIEL SILVA/ARQUIVO DA EDITORA</v>
      </c>
      <c r="AB25" s="11">
        <v>6</v>
      </c>
      <c r="AC25" s="9" t="s">
        <v>142</v>
      </c>
      <c r="AD25" s="9" t="s">
        <v>22</v>
      </c>
      <c r="AE25" s="4" t="str">
        <f t="shared" si="0"/>
        <v>EF1 E002 Port</v>
      </c>
    </row>
    <row r="26" spans="1:31" s="7" customFormat="1" ht="30" x14ac:dyDescent="0.25">
      <c r="A26" s="12" t="s">
        <v>145</v>
      </c>
      <c r="B26" s="9" t="s">
        <v>28</v>
      </c>
      <c r="C26" s="9" t="s">
        <v>1</v>
      </c>
      <c r="D26" s="9" t="s">
        <v>25</v>
      </c>
      <c r="E26" s="11">
        <v>52</v>
      </c>
      <c r="F26" s="11">
        <v>1</v>
      </c>
      <c r="G26" s="11">
        <v>2</v>
      </c>
      <c r="H26" s="11"/>
      <c r="I26" s="12" t="s">
        <v>9</v>
      </c>
      <c r="J26" s="12"/>
      <c r="K26" s="11"/>
      <c r="L26" s="11"/>
      <c r="M26" s="12"/>
      <c r="N26" s="12"/>
      <c r="O26" s="32" t="s">
        <v>146</v>
      </c>
      <c r="P26" s="9"/>
      <c r="Q26" s="9"/>
      <c r="R26" s="11">
        <v>3</v>
      </c>
      <c r="S26" s="13">
        <v>45797</v>
      </c>
      <c r="T26" s="13">
        <v>45799</v>
      </c>
      <c r="U26" s="13">
        <v>45805</v>
      </c>
      <c r="V26" s="13">
        <v>45806</v>
      </c>
      <c r="W26" s="13">
        <v>45839</v>
      </c>
      <c r="X26" s="11" t="s">
        <v>141</v>
      </c>
      <c r="Y26" s="4" t="str">
        <f>IF(Tabela2[[#This Row],[SIGLA]]="","",VLOOKUP(Tabela2[[#This Row],[SIGLA]],Tabela1[[#All],[Sigla Arte]:[Crédito]],2,0))</f>
        <v>EZEQUIEL SILVA/ARQUIVO DA EDITORA</v>
      </c>
      <c r="Z26" s="12"/>
      <c r="AA26" s="12" t="str">
        <f>Tabela2[[#This Row],[ILUSTRADOR CRIAÇÃO]]</f>
        <v>EZEQUIEL SILVA/ARQUIVO DA EDITORA</v>
      </c>
      <c r="AB26" s="11">
        <v>13</v>
      </c>
      <c r="AC26" s="9" t="s">
        <v>142</v>
      </c>
      <c r="AD26" s="9" t="s">
        <v>22</v>
      </c>
      <c r="AE26" s="4" t="str">
        <f t="shared" si="0"/>
        <v>EF1 E002 Port</v>
      </c>
    </row>
    <row r="27" spans="1:31" s="7" customFormat="1" ht="45" x14ac:dyDescent="0.25">
      <c r="A27" s="12" t="s">
        <v>147</v>
      </c>
      <c r="B27" s="9" t="s">
        <v>40</v>
      </c>
      <c r="C27" s="9" t="s">
        <v>1</v>
      </c>
      <c r="D27" s="9" t="s">
        <v>25</v>
      </c>
      <c r="E27" s="11">
        <v>52</v>
      </c>
      <c r="F27" s="11">
        <v>1</v>
      </c>
      <c r="G27" s="11">
        <v>2</v>
      </c>
      <c r="H27" s="11"/>
      <c r="I27" s="12" t="s">
        <v>9</v>
      </c>
      <c r="J27" s="12"/>
      <c r="K27" s="11"/>
      <c r="L27" s="11"/>
      <c r="M27" s="12"/>
      <c r="N27" s="12"/>
      <c r="O27" s="32" t="s">
        <v>148</v>
      </c>
      <c r="P27" s="9"/>
      <c r="Q27" s="9"/>
      <c r="R27" s="11">
        <v>3</v>
      </c>
      <c r="S27" s="13">
        <v>45797</v>
      </c>
      <c r="T27" s="13">
        <v>45799</v>
      </c>
      <c r="U27" s="13">
        <v>45805</v>
      </c>
      <c r="V27" s="13">
        <v>45806</v>
      </c>
      <c r="W27" s="13">
        <v>45839</v>
      </c>
      <c r="X27" s="11" t="s">
        <v>141</v>
      </c>
      <c r="Y27" s="4" t="str">
        <f>IF(Tabela2[[#This Row],[SIGLA]]="","",VLOOKUP(Tabela2[[#This Row],[SIGLA]],Tabela1[[#All],[Sigla Arte]:[Crédito]],2,0))</f>
        <v>EZEQUIEL SILVA/ARQUIVO DA EDITORA</v>
      </c>
      <c r="Z27" s="12"/>
      <c r="AA27" s="12" t="str">
        <f>Tabela2[[#This Row],[ILUSTRADOR CRIAÇÃO]]</f>
        <v>EZEQUIEL SILVA/ARQUIVO DA EDITORA</v>
      </c>
      <c r="AB27" s="11">
        <v>13</v>
      </c>
      <c r="AC27" s="9" t="s">
        <v>142</v>
      </c>
      <c r="AD27" s="9" t="s">
        <v>22</v>
      </c>
      <c r="AE27" s="4" t="str">
        <f t="shared" si="0"/>
        <v>EF1 E002 Port</v>
      </c>
    </row>
    <row r="28" spans="1:31" s="7" customFormat="1" ht="75" x14ac:dyDescent="0.25">
      <c r="A28" s="12" t="s">
        <v>149</v>
      </c>
      <c r="B28" s="9" t="s">
        <v>40</v>
      </c>
      <c r="C28" s="9" t="s">
        <v>1</v>
      </c>
      <c r="D28" s="9" t="s">
        <v>25</v>
      </c>
      <c r="E28" s="11">
        <v>53</v>
      </c>
      <c r="F28" s="11">
        <v>1</v>
      </c>
      <c r="G28" s="11">
        <v>2</v>
      </c>
      <c r="H28" s="11"/>
      <c r="I28" s="12" t="s">
        <v>9</v>
      </c>
      <c r="J28" s="12"/>
      <c r="K28" s="11"/>
      <c r="L28" s="11"/>
      <c r="M28" s="12"/>
      <c r="N28" s="12"/>
      <c r="O28" s="32" t="s">
        <v>150</v>
      </c>
      <c r="P28" s="9"/>
      <c r="Q28" s="9"/>
      <c r="R28" s="11">
        <v>3</v>
      </c>
      <c r="S28" s="13">
        <v>45797</v>
      </c>
      <c r="T28" s="13">
        <v>45799</v>
      </c>
      <c r="U28" s="13">
        <v>45805</v>
      </c>
      <c r="V28" s="13">
        <v>45806</v>
      </c>
      <c r="W28" s="13">
        <v>45812</v>
      </c>
      <c r="X28" s="11" t="s">
        <v>141</v>
      </c>
      <c r="Y28" s="4" t="str">
        <f>IF(Tabela2[[#This Row],[SIGLA]]="","",VLOOKUP(Tabela2[[#This Row],[SIGLA]],Tabela1[[#All],[Sigla Arte]:[Crédito]],2,0))</f>
        <v>EZEQUIEL SILVA/ARQUIVO DA EDITORA</v>
      </c>
      <c r="Z28" s="12"/>
      <c r="AA28" s="12" t="str">
        <f>Tabela2[[#This Row],[ILUSTRADOR CRIAÇÃO]]</f>
        <v>EZEQUIEL SILVA/ARQUIVO DA EDITORA</v>
      </c>
      <c r="AB28" s="11">
        <v>7</v>
      </c>
      <c r="AC28" s="9" t="s">
        <v>142</v>
      </c>
      <c r="AD28" s="9" t="s">
        <v>22</v>
      </c>
      <c r="AE28" s="4" t="str">
        <f t="shared" si="0"/>
        <v>EF1 E002 Port</v>
      </c>
    </row>
    <row r="29" spans="1:31" s="7" customFormat="1" ht="60" x14ac:dyDescent="0.25">
      <c r="A29" s="12" t="s">
        <v>151</v>
      </c>
      <c r="B29" s="9" t="s">
        <v>40</v>
      </c>
      <c r="C29" s="9" t="s">
        <v>1</v>
      </c>
      <c r="D29" s="9" t="s">
        <v>25</v>
      </c>
      <c r="E29" s="11">
        <v>52</v>
      </c>
      <c r="F29" s="11">
        <v>1</v>
      </c>
      <c r="G29" s="11">
        <v>2</v>
      </c>
      <c r="H29" s="11"/>
      <c r="I29" s="12" t="s">
        <v>9</v>
      </c>
      <c r="J29" s="12"/>
      <c r="K29" s="11"/>
      <c r="L29" s="11"/>
      <c r="M29" s="12"/>
      <c r="N29" s="12"/>
      <c r="O29" s="32" t="s">
        <v>152</v>
      </c>
      <c r="P29" s="9"/>
      <c r="Q29" s="9"/>
      <c r="R29" s="11">
        <v>3</v>
      </c>
      <c r="S29" s="13">
        <v>45797</v>
      </c>
      <c r="T29" s="13">
        <v>45799</v>
      </c>
      <c r="U29" s="13">
        <v>45805</v>
      </c>
      <c r="V29" s="13">
        <v>45806</v>
      </c>
      <c r="W29" s="13">
        <v>45812</v>
      </c>
      <c r="X29" s="11" t="s">
        <v>141</v>
      </c>
      <c r="Y29" s="4" t="str">
        <f>IF(Tabela2[[#This Row],[SIGLA]]="","",VLOOKUP(Tabela2[[#This Row],[SIGLA]],Tabela1[[#All],[Sigla Arte]:[Crédito]],2,0))</f>
        <v>EZEQUIEL SILVA/ARQUIVO DA EDITORA</v>
      </c>
      <c r="Z29" s="12"/>
      <c r="AA29" s="12" t="str">
        <f>Tabela2[[#This Row],[ILUSTRADOR CRIAÇÃO]]</f>
        <v>EZEQUIEL SILVA/ARQUIVO DA EDITORA</v>
      </c>
      <c r="AB29" s="11">
        <v>7</v>
      </c>
      <c r="AC29" s="9" t="s">
        <v>142</v>
      </c>
      <c r="AD29" s="9" t="s">
        <v>22</v>
      </c>
      <c r="AE29" s="4" t="str">
        <f t="shared" si="0"/>
        <v>EF1 E002 Port</v>
      </c>
    </row>
    <row r="30" spans="1:31" s="7" customFormat="1" ht="75" x14ac:dyDescent="0.25">
      <c r="A30" s="12" t="s">
        <v>153</v>
      </c>
      <c r="B30" s="9" t="s">
        <v>40</v>
      </c>
      <c r="C30" s="9" t="s">
        <v>1</v>
      </c>
      <c r="D30" s="9" t="s">
        <v>25</v>
      </c>
      <c r="E30" s="11">
        <v>59</v>
      </c>
      <c r="F30" s="11">
        <v>1</v>
      </c>
      <c r="G30" s="11">
        <v>2</v>
      </c>
      <c r="H30" s="11"/>
      <c r="I30" s="12" t="s">
        <v>9</v>
      </c>
      <c r="J30" s="12"/>
      <c r="K30" s="11"/>
      <c r="L30" s="11"/>
      <c r="M30" s="12"/>
      <c r="N30" s="12"/>
      <c r="O30" s="32" t="s">
        <v>154</v>
      </c>
      <c r="P30" s="9"/>
      <c r="Q30" s="9"/>
      <c r="R30" s="11">
        <v>3</v>
      </c>
      <c r="S30" s="13">
        <v>45797</v>
      </c>
      <c r="T30" s="13">
        <v>45799</v>
      </c>
      <c r="U30" s="13">
        <v>45805</v>
      </c>
      <c r="V30" s="13">
        <v>45806</v>
      </c>
      <c r="W30" s="13">
        <v>45819</v>
      </c>
      <c r="X30" s="11" t="s">
        <v>141</v>
      </c>
      <c r="Y30" s="4" t="str">
        <f>IF(Tabela2[[#This Row],[SIGLA]]="","",VLOOKUP(Tabela2[[#This Row],[SIGLA]],Tabela1[[#All],[Sigla Arte]:[Crédito]],2,0))</f>
        <v>EZEQUIEL SILVA/ARQUIVO DA EDITORA</v>
      </c>
      <c r="Z30" s="12"/>
      <c r="AA30" s="12" t="str">
        <f>Tabela2[[#This Row],[ILUSTRADOR CRIAÇÃO]]</f>
        <v>EZEQUIEL SILVA/ARQUIVO DA EDITORA</v>
      </c>
      <c r="AB30" s="11">
        <v>6</v>
      </c>
      <c r="AC30" s="9" t="s">
        <v>142</v>
      </c>
      <c r="AD30" s="9" t="s">
        <v>22</v>
      </c>
      <c r="AE30" s="4" t="str">
        <f t="shared" si="0"/>
        <v>EF1 E002 Port</v>
      </c>
    </row>
    <row r="31" spans="1:31" s="7" customFormat="1" ht="90" x14ac:dyDescent="0.25">
      <c r="A31" s="12" t="s">
        <v>155</v>
      </c>
      <c r="B31" s="9" t="s">
        <v>40</v>
      </c>
      <c r="C31" s="9" t="s">
        <v>1</v>
      </c>
      <c r="D31" s="9" t="s">
        <v>25</v>
      </c>
      <c r="E31" s="11">
        <v>60</v>
      </c>
      <c r="F31" s="11">
        <v>1</v>
      </c>
      <c r="G31" s="11">
        <v>2</v>
      </c>
      <c r="H31" s="11"/>
      <c r="I31" s="12" t="s">
        <v>9</v>
      </c>
      <c r="J31" s="12"/>
      <c r="K31" s="11"/>
      <c r="L31" s="11"/>
      <c r="M31" s="12"/>
      <c r="N31" s="12"/>
      <c r="O31" s="32" t="s">
        <v>156</v>
      </c>
      <c r="P31" s="9"/>
      <c r="Q31" s="9"/>
      <c r="R31" s="11">
        <v>3</v>
      </c>
      <c r="S31" s="13">
        <v>45797</v>
      </c>
      <c r="T31" s="13">
        <v>45799</v>
      </c>
      <c r="U31" s="13">
        <v>45805</v>
      </c>
      <c r="V31" s="13">
        <v>45806</v>
      </c>
      <c r="W31" s="13">
        <v>45819</v>
      </c>
      <c r="X31" s="11" t="s">
        <v>141</v>
      </c>
      <c r="Y31" s="4" t="str">
        <f>IF(Tabela2[[#This Row],[SIGLA]]="","",VLOOKUP(Tabela2[[#This Row],[SIGLA]],Tabela1[[#All],[Sigla Arte]:[Crédito]],2,0))</f>
        <v>EZEQUIEL SILVA/ARQUIVO DA EDITORA</v>
      </c>
      <c r="Z31" s="12"/>
      <c r="AA31" s="12" t="str">
        <f>Tabela2[[#This Row],[ILUSTRADOR CRIAÇÃO]]</f>
        <v>EZEQUIEL SILVA/ARQUIVO DA EDITORA</v>
      </c>
      <c r="AB31" s="11">
        <v>7</v>
      </c>
      <c r="AC31" s="9" t="s">
        <v>142</v>
      </c>
      <c r="AD31" s="9" t="s">
        <v>22</v>
      </c>
      <c r="AE31" s="4" t="str">
        <f t="shared" si="0"/>
        <v>EF1 E002 Port</v>
      </c>
    </row>
    <row r="32" spans="1:31" s="7" customFormat="1" ht="105" x14ac:dyDescent="0.25">
      <c r="A32" s="12" t="s">
        <v>157</v>
      </c>
      <c r="B32" s="9" t="s">
        <v>40</v>
      </c>
      <c r="C32" s="9" t="s">
        <v>1</v>
      </c>
      <c r="D32" s="9" t="s">
        <v>25</v>
      </c>
      <c r="E32" s="11">
        <v>62</v>
      </c>
      <c r="F32" s="11">
        <v>1</v>
      </c>
      <c r="G32" s="11">
        <v>2</v>
      </c>
      <c r="H32" s="11"/>
      <c r="I32" s="12" t="s">
        <v>9</v>
      </c>
      <c r="J32" s="12"/>
      <c r="K32" s="11"/>
      <c r="L32" s="11"/>
      <c r="M32" s="12"/>
      <c r="N32" s="12"/>
      <c r="O32" s="32" t="s">
        <v>158</v>
      </c>
      <c r="P32" s="9"/>
      <c r="Q32" s="9"/>
      <c r="R32" s="11">
        <v>3</v>
      </c>
      <c r="S32" s="13">
        <v>45797</v>
      </c>
      <c r="T32" s="13">
        <v>45804</v>
      </c>
      <c r="U32" s="13">
        <v>45806</v>
      </c>
      <c r="V32" s="13">
        <v>45814</v>
      </c>
      <c r="W32" s="13">
        <v>45818</v>
      </c>
      <c r="X32" s="11" t="s">
        <v>159</v>
      </c>
      <c r="Y32" s="4" t="str">
        <f>IF(Tabela2[[#This Row],[SIGLA]]="","",VLOOKUP(Tabela2[[#This Row],[SIGLA]],Tabela1[[#All],[Sigla Arte]:[Crédito]],2,0))</f>
        <v>GUSTAVO RAMOS/ARQUIVO DA EDITORA</v>
      </c>
      <c r="Z32" s="12"/>
      <c r="AA32" s="12" t="str">
        <f>Tabela2[[#This Row],[ILUSTRADOR CRIAÇÃO]]</f>
        <v>GUSTAVO RAMOS/ARQUIVO DA EDITORA</v>
      </c>
      <c r="AB32" s="11">
        <v>5</v>
      </c>
      <c r="AC32" s="9" t="s">
        <v>160</v>
      </c>
      <c r="AD32" s="9" t="s">
        <v>22</v>
      </c>
      <c r="AE32" s="4" t="str">
        <f t="shared" si="0"/>
        <v>EF1 E002 Port</v>
      </c>
    </row>
    <row r="33" spans="1:31" s="7" customFormat="1" ht="60" x14ac:dyDescent="0.25">
      <c r="A33" s="12" t="s">
        <v>161</v>
      </c>
      <c r="B33" s="9" t="s">
        <v>40</v>
      </c>
      <c r="C33" s="9" t="s">
        <v>1</v>
      </c>
      <c r="D33" s="9" t="s">
        <v>25</v>
      </c>
      <c r="E33" s="11">
        <v>66</v>
      </c>
      <c r="F33" s="11">
        <v>1</v>
      </c>
      <c r="G33" s="11">
        <v>2</v>
      </c>
      <c r="H33" s="11"/>
      <c r="I33" s="12" t="s">
        <v>9</v>
      </c>
      <c r="J33" s="12"/>
      <c r="K33" s="11"/>
      <c r="L33" s="11"/>
      <c r="M33" s="12"/>
      <c r="N33" s="12"/>
      <c r="O33" s="32" t="s">
        <v>162</v>
      </c>
      <c r="P33" s="9"/>
      <c r="Q33" s="9"/>
      <c r="R33" s="11">
        <v>3</v>
      </c>
      <c r="S33" s="13">
        <v>45797</v>
      </c>
      <c r="T33" s="13">
        <v>45799</v>
      </c>
      <c r="U33" s="13">
        <v>45810</v>
      </c>
      <c r="V33" s="13">
        <v>45814</v>
      </c>
      <c r="W33" s="13">
        <v>45818</v>
      </c>
      <c r="X33" s="11" t="s">
        <v>163</v>
      </c>
      <c r="Y33" s="4" t="str">
        <f>IF(Tabela2[[#This Row],[SIGLA]]="","",VLOOKUP(Tabela2[[#This Row],[SIGLA]],Tabela1[[#All],[Sigla Arte]:[Crédito]],2,0))</f>
        <v>FERNANDA MONTEIRO/ARQUIVO DA EDITORA</v>
      </c>
      <c r="Z33" s="12"/>
      <c r="AA33" s="12" t="str">
        <f>Tabela2[[#This Row],[ILUSTRADOR CRIAÇÃO]]</f>
        <v>FERNANDA MONTEIRO/ARQUIVO DA EDITORA</v>
      </c>
      <c r="AB33" s="11">
        <v>7</v>
      </c>
      <c r="AC33" s="9" t="s">
        <v>164</v>
      </c>
      <c r="AD33" s="9" t="s">
        <v>22</v>
      </c>
      <c r="AE33" s="4" t="str">
        <f t="shared" si="0"/>
        <v>EF1 E002 Port</v>
      </c>
    </row>
    <row r="34" spans="1:31" s="7" customFormat="1" ht="60" x14ac:dyDescent="0.25">
      <c r="A34" s="12" t="s">
        <v>165</v>
      </c>
      <c r="B34" s="9" t="s">
        <v>40</v>
      </c>
      <c r="C34" s="9" t="s">
        <v>1</v>
      </c>
      <c r="D34" s="9" t="s">
        <v>25</v>
      </c>
      <c r="E34" s="11">
        <v>66</v>
      </c>
      <c r="F34" s="11">
        <v>1</v>
      </c>
      <c r="G34" s="11">
        <v>2</v>
      </c>
      <c r="H34" s="11"/>
      <c r="I34" s="12" t="s">
        <v>9</v>
      </c>
      <c r="J34" s="12"/>
      <c r="K34" s="11"/>
      <c r="L34" s="11"/>
      <c r="M34" s="12"/>
      <c r="N34" s="12"/>
      <c r="O34" s="32" t="s">
        <v>166</v>
      </c>
      <c r="P34" s="9"/>
      <c r="Q34" s="9"/>
      <c r="R34" s="11">
        <v>3</v>
      </c>
      <c r="S34" s="13">
        <v>45797</v>
      </c>
      <c r="T34" s="13">
        <v>45799</v>
      </c>
      <c r="U34" s="13">
        <v>45810</v>
      </c>
      <c r="V34" s="13">
        <v>45814</v>
      </c>
      <c r="W34" s="13">
        <v>45818</v>
      </c>
      <c r="X34" s="11" t="s">
        <v>163</v>
      </c>
      <c r="Y34" s="4" t="str">
        <f>IF(Tabela2[[#This Row],[SIGLA]]="","",VLOOKUP(Tabela2[[#This Row],[SIGLA]],Tabela1[[#All],[Sigla Arte]:[Crédito]],2,0))</f>
        <v>FERNANDA MONTEIRO/ARQUIVO DA EDITORA</v>
      </c>
      <c r="Z34" s="12"/>
      <c r="AA34" s="12" t="str">
        <f>Tabela2[[#This Row],[ILUSTRADOR CRIAÇÃO]]</f>
        <v>FERNANDA MONTEIRO/ARQUIVO DA EDITORA</v>
      </c>
      <c r="AB34" s="11">
        <v>7</v>
      </c>
      <c r="AC34" s="9" t="s">
        <v>164</v>
      </c>
      <c r="AD34" s="9" t="s">
        <v>22</v>
      </c>
      <c r="AE34" s="4" t="str">
        <f t="shared" si="0"/>
        <v>EF1 E002 Port</v>
      </c>
    </row>
    <row r="35" spans="1:31" s="7" customFormat="1" ht="45" x14ac:dyDescent="0.25">
      <c r="A35" s="12" t="s">
        <v>167</v>
      </c>
      <c r="B35" s="9" t="s">
        <v>40</v>
      </c>
      <c r="C35" s="9" t="s">
        <v>1</v>
      </c>
      <c r="D35" s="9" t="s">
        <v>25</v>
      </c>
      <c r="E35" s="11">
        <v>66</v>
      </c>
      <c r="F35" s="11">
        <v>1</v>
      </c>
      <c r="G35" s="11">
        <v>2</v>
      </c>
      <c r="H35" s="11"/>
      <c r="I35" s="12" t="s">
        <v>9</v>
      </c>
      <c r="J35" s="12"/>
      <c r="K35" s="11"/>
      <c r="L35" s="11"/>
      <c r="M35" s="12"/>
      <c r="N35" s="12"/>
      <c r="O35" s="32" t="s">
        <v>168</v>
      </c>
      <c r="P35" s="9"/>
      <c r="Q35" s="9"/>
      <c r="R35" s="11">
        <v>3</v>
      </c>
      <c r="S35" s="13">
        <v>45797</v>
      </c>
      <c r="T35" s="13">
        <v>45799</v>
      </c>
      <c r="U35" s="13">
        <v>45810</v>
      </c>
      <c r="V35" s="13">
        <v>45814</v>
      </c>
      <c r="W35" s="13">
        <v>45818</v>
      </c>
      <c r="X35" s="11" t="s">
        <v>163</v>
      </c>
      <c r="Y35" s="4" t="str">
        <f>IF(Tabela2[[#This Row],[SIGLA]]="","",VLOOKUP(Tabela2[[#This Row],[SIGLA]],Tabela1[[#All],[Sigla Arte]:[Crédito]],2,0))</f>
        <v>FERNANDA MONTEIRO/ARQUIVO DA EDITORA</v>
      </c>
      <c r="Z35" s="12"/>
      <c r="AA35" s="12" t="str">
        <f>Tabela2[[#This Row],[ILUSTRADOR CRIAÇÃO]]</f>
        <v>FERNANDA MONTEIRO/ARQUIVO DA EDITORA</v>
      </c>
      <c r="AB35" s="11">
        <v>8</v>
      </c>
      <c r="AC35" s="9" t="s">
        <v>164</v>
      </c>
      <c r="AD35" s="9" t="s">
        <v>22</v>
      </c>
      <c r="AE35" s="4" t="str">
        <f t="shared" si="0"/>
        <v>EF1 E002 Port</v>
      </c>
    </row>
    <row r="36" spans="1:31" s="7" customFormat="1" ht="90" x14ac:dyDescent="0.25">
      <c r="A36" s="12" t="s">
        <v>169</v>
      </c>
      <c r="B36" s="9" t="s">
        <v>40</v>
      </c>
      <c r="C36" s="9" t="s">
        <v>1</v>
      </c>
      <c r="D36" s="9" t="s">
        <v>25</v>
      </c>
      <c r="E36" s="11">
        <v>91</v>
      </c>
      <c r="F36" s="11">
        <v>4</v>
      </c>
      <c r="G36" s="11">
        <v>3</v>
      </c>
      <c r="H36" s="11"/>
      <c r="I36" s="12" t="s">
        <v>9</v>
      </c>
      <c r="J36" s="12"/>
      <c r="K36" s="11"/>
      <c r="L36" s="11"/>
      <c r="M36" s="12"/>
      <c r="N36" s="12"/>
      <c r="O36" s="32" t="s">
        <v>170</v>
      </c>
      <c r="P36" s="9"/>
      <c r="Q36" s="9"/>
      <c r="R36" s="11">
        <v>4</v>
      </c>
      <c r="S36" s="13">
        <v>45805</v>
      </c>
      <c r="T36" s="13">
        <v>45807</v>
      </c>
      <c r="U36" s="13">
        <v>45811</v>
      </c>
      <c r="V36" s="13">
        <v>45814</v>
      </c>
      <c r="W36" s="13">
        <v>45820</v>
      </c>
      <c r="X36" s="11" t="s">
        <v>80</v>
      </c>
      <c r="Y36" s="4" t="str">
        <f>IF(Tabela2[[#This Row],[SIGLA]]="","",VLOOKUP(Tabela2[[#This Row],[SIGLA]],Tabela1[[#All],[Sigla Arte]:[Crédito]],2,0))</f>
        <v>FABIO EUGENIO/ARQUIVO DA EDITORA</v>
      </c>
      <c r="Z36" s="12"/>
      <c r="AA36" s="12" t="str">
        <f>Tabela2[[#This Row],[ILUSTRADOR CRIAÇÃO]]</f>
        <v>FABIO EUGENIO/ARQUIVO DA EDITORA</v>
      </c>
      <c r="AB36" s="11">
        <v>6</v>
      </c>
      <c r="AC36" s="9" t="s">
        <v>171</v>
      </c>
      <c r="AD36" s="9" t="s">
        <v>22</v>
      </c>
      <c r="AE36" s="4" t="str">
        <f t="shared" si="0"/>
        <v>EF1 E002 Port</v>
      </c>
    </row>
    <row r="37" spans="1:31" s="7" customFormat="1" ht="60" x14ac:dyDescent="0.25">
      <c r="A37" s="12" t="s">
        <v>172</v>
      </c>
      <c r="B37" s="9" t="s">
        <v>40</v>
      </c>
      <c r="C37" s="9" t="s">
        <v>1</v>
      </c>
      <c r="D37" s="9" t="s">
        <v>25</v>
      </c>
      <c r="E37" s="11">
        <v>93</v>
      </c>
      <c r="F37" s="11">
        <v>4</v>
      </c>
      <c r="G37" s="11">
        <v>3</v>
      </c>
      <c r="H37" s="11"/>
      <c r="I37" s="12" t="s">
        <v>9</v>
      </c>
      <c r="J37" s="12"/>
      <c r="K37" s="11"/>
      <c r="L37" s="11"/>
      <c r="M37" s="12"/>
      <c r="N37" s="12"/>
      <c r="O37" s="32" t="s">
        <v>173</v>
      </c>
      <c r="P37" s="9"/>
      <c r="Q37" s="9"/>
      <c r="R37" s="11">
        <v>4</v>
      </c>
      <c r="S37" s="13">
        <v>45805</v>
      </c>
      <c r="T37" s="13">
        <v>45807</v>
      </c>
      <c r="U37" s="13">
        <v>45811</v>
      </c>
      <c r="V37" s="13">
        <v>45814</v>
      </c>
      <c r="W37" s="13">
        <v>45820</v>
      </c>
      <c r="X37" s="11" t="s">
        <v>80</v>
      </c>
      <c r="Y37" s="4" t="str">
        <f>IF(Tabela2[[#This Row],[SIGLA]]="","",VLOOKUP(Tabela2[[#This Row],[SIGLA]],Tabela1[[#All],[Sigla Arte]:[Crédito]],2,0))</f>
        <v>FABIO EUGENIO/ARQUIVO DA EDITORA</v>
      </c>
      <c r="Z37" s="12"/>
      <c r="AA37" s="12" t="str">
        <f>Tabela2[[#This Row],[ILUSTRADOR CRIAÇÃO]]</f>
        <v>FABIO EUGENIO/ARQUIVO DA EDITORA</v>
      </c>
      <c r="AB37" s="11">
        <v>8</v>
      </c>
      <c r="AC37" s="9" t="s">
        <v>171</v>
      </c>
      <c r="AD37" s="9" t="s">
        <v>22</v>
      </c>
      <c r="AE37" s="4" t="str">
        <f t="shared" si="0"/>
        <v>EF1 E002 Port</v>
      </c>
    </row>
    <row r="38" spans="1:31" s="7" customFormat="1" ht="75" x14ac:dyDescent="0.25">
      <c r="A38" s="12" t="s">
        <v>174</v>
      </c>
      <c r="B38" s="9" t="s">
        <v>40</v>
      </c>
      <c r="C38" s="9" t="s">
        <v>1</v>
      </c>
      <c r="D38" s="9" t="s">
        <v>25</v>
      </c>
      <c r="E38" s="11">
        <v>100</v>
      </c>
      <c r="F38" s="11">
        <v>4</v>
      </c>
      <c r="G38" s="11">
        <v>3</v>
      </c>
      <c r="H38" s="11"/>
      <c r="I38" s="12" t="s">
        <v>9</v>
      </c>
      <c r="J38" s="12"/>
      <c r="K38" s="11"/>
      <c r="L38" s="11"/>
      <c r="M38" s="12"/>
      <c r="N38" s="12"/>
      <c r="O38" s="32" t="s">
        <v>175</v>
      </c>
      <c r="P38" s="9"/>
      <c r="Q38" s="9"/>
      <c r="R38" s="11">
        <v>4</v>
      </c>
      <c r="S38" s="13">
        <v>45805</v>
      </c>
      <c r="T38" s="13">
        <v>45807</v>
      </c>
      <c r="U38" s="13">
        <v>45811</v>
      </c>
      <c r="V38" s="13">
        <v>45814</v>
      </c>
      <c r="W38" s="13">
        <v>45820</v>
      </c>
      <c r="X38" s="11" t="s">
        <v>80</v>
      </c>
      <c r="Y38" s="4" t="str">
        <f>IF(Tabela2[[#This Row],[SIGLA]]="","",VLOOKUP(Tabela2[[#This Row],[SIGLA]],Tabela1[[#All],[Sigla Arte]:[Crédito]],2,0))</f>
        <v>FABIO EUGENIO/ARQUIVO DA EDITORA</v>
      </c>
      <c r="Z38" s="12"/>
      <c r="AA38" s="12" t="str">
        <f>Tabela2[[#This Row],[ILUSTRADOR CRIAÇÃO]]</f>
        <v>FABIO EUGENIO/ARQUIVO DA EDITORA</v>
      </c>
      <c r="AB38" s="11">
        <v>6</v>
      </c>
      <c r="AC38" s="9" t="s">
        <v>171</v>
      </c>
      <c r="AD38" s="9" t="s">
        <v>22</v>
      </c>
      <c r="AE38" s="4" t="str">
        <f t="shared" si="0"/>
        <v>EF1 E002 Port</v>
      </c>
    </row>
    <row r="39" spans="1:31" s="7" customFormat="1" ht="60" x14ac:dyDescent="0.25">
      <c r="A39" s="12" t="s">
        <v>176</v>
      </c>
      <c r="B39" s="9" t="s">
        <v>40</v>
      </c>
      <c r="C39" s="9" t="s">
        <v>1</v>
      </c>
      <c r="D39" s="9" t="s">
        <v>25</v>
      </c>
      <c r="E39" s="11">
        <v>106</v>
      </c>
      <c r="F39" s="11">
        <v>4</v>
      </c>
      <c r="G39" s="11">
        <v>3</v>
      </c>
      <c r="H39" s="11"/>
      <c r="I39" s="12" t="s">
        <v>9</v>
      </c>
      <c r="J39" s="12"/>
      <c r="K39" s="11"/>
      <c r="L39" s="11"/>
      <c r="M39" s="12"/>
      <c r="N39" s="12"/>
      <c r="O39" s="32" t="s">
        <v>177</v>
      </c>
      <c r="P39" s="9"/>
      <c r="Q39" s="9"/>
      <c r="R39" s="11">
        <v>4</v>
      </c>
      <c r="S39" s="13">
        <v>45805</v>
      </c>
      <c r="T39" s="13">
        <v>45807</v>
      </c>
      <c r="U39" s="13">
        <v>45811</v>
      </c>
      <c r="V39" s="13">
        <v>45814</v>
      </c>
      <c r="W39" s="13">
        <v>45820</v>
      </c>
      <c r="X39" s="11" t="s">
        <v>80</v>
      </c>
      <c r="Y39" s="4" t="str">
        <f>IF(Tabela2[[#This Row],[SIGLA]]="","",VLOOKUP(Tabela2[[#This Row],[SIGLA]],Tabela1[[#All],[Sigla Arte]:[Crédito]],2,0))</f>
        <v>FABIO EUGENIO/ARQUIVO DA EDITORA</v>
      </c>
      <c r="Z39" s="12"/>
      <c r="AA39" s="12" t="str">
        <f>Tabela2[[#This Row],[ILUSTRADOR CRIAÇÃO]]</f>
        <v>FABIO EUGENIO/ARQUIVO DA EDITORA</v>
      </c>
      <c r="AB39" s="11">
        <v>5</v>
      </c>
      <c r="AC39" s="9" t="s">
        <v>171</v>
      </c>
      <c r="AD39" s="9" t="s">
        <v>22</v>
      </c>
      <c r="AE39" s="4" t="str">
        <f t="shared" si="0"/>
        <v>EF1 E002 Port</v>
      </c>
    </row>
    <row r="40" spans="1:31" s="7" customFormat="1" ht="60" x14ac:dyDescent="0.25">
      <c r="A40" s="12" t="s">
        <v>178</v>
      </c>
      <c r="B40" s="9" t="s">
        <v>42</v>
      </c>
      <c r="C40" s="9" t="s">
        <v>1</v>
      </c>
      <c r="D40" s="9" t="s">
        <v>25</v>
      </c>
      <c r="E40" s="11">
        <v>112</v>
      </c>
      <c r="F40" s="11">
        <v>4</v>
      </c>
      <c r="G40" s="11">
        <v>3</v>
      </c>
      <c r="H40" s="11"/>
      <c r="I40" s="12" t="s">
        <v>9</v>
      </c>
      <c r="J40" s="12"/>
      <c r="K40" s="11"/>
      <c r="L40" s="11"/>
      <c r="M40" s="12"/>
      <c r="N40" s="12"/>
      <c r="O40" s="32" t="s">
        <v>179</v>
      </c>
      <c r="P40" s="9"/>
      <c r="Q40" s="9"/>
      <c r="R40" s="11">
        <v>4</v>
      </c>
      <c r="S40" s="13">
        <v>45805</v>
      </c>
      <c r="T40" s="13">
        <v>45807</v>
      </c>
      <c r="U40" s="13">
        <v>45811</v>
      </c>
      <c r="V40" s="13">
        <v>45814</v>
      </c>
      <c r="W40" s="13">
        <v>45820</v>
      </c>
      <c r="X40" s="11" t="s">
        <v>80</v>
      </c>
      <c r="Y40" s="4" t="str">
        <f>IF(Tabela2[[#This Row],[SIGLA]]="","",VLOOKUP(Tabela2[[#This Row],[SIGLA]],Tabela1[[#All],[Sigla Arte]:[Crédito]],2,0))</f>
        <v>FABIO EUGENIO/ARQUIVO DA EDITORA</v>
      </c>
      <c r="Z40" s="12"/>
      <c r="AA40" s="12" t="str">
        <f>Tabela2[[#This Row],[ILUSTRADOR CRIAÇÃO]]</f>
        <v>FABIO EUGENIO/ARQUIVO DA EDITORA</v>
      </c>
      <c r="AB40" s="11">
        <v>8</v>
      </c>
      <c r="AC40" s="9" t="s">
        <v>180</v>
      </c>
      <c r="AD40" s="9" t="s">
        <v>22</v>
      </c>
      <c r="AE40" s="4" t="str">
        <f t="shared" si="0"/>
        <v>EF1 E002 Port</v>
      </c>
    </row>
    <row r="41" spans="1:31" s="7" customFormat="1" ht="45" x14ac:dyDescent="0.25">
      <c r="A41" s="12" t="s">
        <v>181</v>
      </c>
      <c r="B41" s="9" t="s">
        <v>40</v>
      </c>
      <c r="C41" s="9" t="s">
        <v>1</v>
      </c>
      <c r="D41" s="9" t="s">
        <v>25</v>
      </c>
      <c r="E41" s="11">
        <v>110</v>
      </c>
      <c r="F41" s="11">
        <v>4</v>
      </c>
      <c r="G41" s="11">
        <v>3</v>
      </c>
      <c r="H41" s="11"/>
      <c r="I41" s="12" t="s">
        <v>9</v>
      </c>
      <c r="J41" s="12"/>
      <c r="K41" s="11"/>
      <c r="L41" s="11"/>
      <c r="M41" s="12"/>
      <c r="N41" s="12"/>
      <c r="O41" s="32" t="s">
        <v>182</v>
      </c>
      <c r="P41" s="9"/>
      <c r="Q41" s="9"/>
      <c r="R41" s="11">
        <v>4</v>
      </c>
      <c r="S41" s="13">
        <v>45805</v>
      </c>
      <c r="T41" s="13">
        <v>45807</v>
      </c>
      <c r="U41" s="13">
        <v>45811</v>
      </c>
      <c r="V41" s="13">
        <v>45814</v>
      </c>
      <c r="W41" s="13">
        <v>45820</v>
      </c>
      <c r="X41" s="11" t="s">
        <v>80</v>
      </c>
      <c r="Y41" s="4" t="str">
        <f>IF(Tabela2[[#This Row],[SIGLA]]="","",VLOOKUP(Tabela2[[#This Row],[SIGLA]],Tabela1[[#All],[Sigla Arte]:[Crédito]],2,0))</f>
        <v>FABIO EUGENIO/ARQUIVO DA EDITORA</v>
      </c>
      <c r="Z41" s="12"/>
      <c r="AA41" s="12" t="str">
        <f>Tabela2[[#This Row],[ILUSTRADOR CRIAÇÃO]]</f>
        <v>FABIO EUGENIO/ARQUIVO DA EDITORA</v>
      </c>
      <c r="AB41" s="11">
        <v>8</v>
      </c>
      <c r="AC41" s="9" t="s">
        <v>171</v>
      </c>
      <c r="AD41" s="9" t="s">
        <v>22</v>
      </c>
      <c r="AE41" s="4" t="str">
        <f t="shared" si="0"/>
        <v>EF1 E002 Port</v>
      </c>
    </row>
    <row r="42" spans="1:31" s="7" customFormat="1" ht="75" x14ac:dyDescent="0.25">
      <c r="A42" s="12" t="s">
        <v>183</v>
      </c>
      <c r="B42" s="9" t="s">
        <v>40</v>
      </c>
      <c r="C42" s="9" t="s">
        <v>1</v>
      </c>
      <c r="D42" s="9" t="s">
        <v>25</v>
      </c>
      <c r="E42" s="11">
        <v>13</v>
      </c>
      <c r="F42" s="11">
        <v>3</v>
      </c>
      <c r="G42" s="11">
        <v>1</v>
      </c>
      <c r="H42" s="11"/>
      <c r="I42" s="12" t="s">
        <v>9</v>
      </c>
      <c r="J42" s="12"/>
      <c r="K42" s="11"/>
      <c r="L42" s="11"/>
      <c r="M42" s="12"/>
      <c r="N42" s="12"/>
      <c r="O42" s="32" t="s">
        <v>184</v>
      </c>
      <c r="P42" s="9"/>
      <c r="Q42" s="9"/>
      <c r="R42" s="11">
        <v>5</v>
      </c>
      <c r="S42" s="13">
        <v>45811</v>
      </c>
      <c r="T42" s="13">
        <v>45824</v>
      </c>
      <c r="U42" s="13">
        <v>45827</v>
      </c>
      <c r="V42" s="13">
        <v>45831</v>
      </c>
      <c r="W42" s="13">
        <v>45835</v>
      </c>
      <c r="X42" s="11" t="s">
        <v>99</v>
      </c>
      <c r="Y42" s="4" t="str">
        <f>IF(Tabela2[[#This Row],[SIGLA]]="","",VLOOKUP(Tabela2[[#This Row],[SIGLA]],Tabela1[[#All],[Sigla Arte]:[Crédito]],2,0))</f>
        <v>VERIDIANA PEGORARO CAMELO/ARQUIVO DA EDITORA</v>
      </c>
      <c r="Z42" s="12"/>
      <c r="AA42" s="12" t="str">
        <f>Tabela2[[#This Row],[ILUSTRADOR CRIAÇÃO]]</f>
        <v>VERIDIANA PEGORARO CAMELO/ARQUIVO DA EDITORA</v>
      </c>
      <c r="AB42" s="11">
        <v>5</v>
      </c>
      <c r="AC42" s="9" t="s">
        <v>185</v>
      </c>
      <c r="AD42" s="9" t="s">
        <v>22</v>
      </c>
      <c r="AE42" s="4" t="str">
        <f t="shared" si="0"/>
        <v>EF1 E002 Port</v>
      </c>
    </row>
    <row r="43" spans="1:31" s="7" customFormat="1" ht="90" x14ac:dyDescent="0.25">
      <c r="A43" s="12" t="s">
        <v>186</v>
      </c>
      <c r="B43" s="9" t="s">
        <v>40</v>
      </c>
      <c r="C43" s="9" t="s">
        <v>1</v>
      </c>
      <c r="D43" s="9" t="s">
        <v>25</v>
      </c>
      <c r="E43" s="11">
        <v>14</v>
      </c>
      <c r="F43" s="11">
        <v>3</v>
      </c>
      <c r="G43" s="11">
        <v>1</v>
      </c>
      <c r="H43" s="11"/>
      <c r="I43" s="12" t="s">
        <v>9</v>
      </c>
      <c r="J43" s="12"/>
      <c r="K43" s="11"/>
      <c r="L43" s="11"/>
      <c r="M43" s="12"/>
      <c r="N43" s="12"/>
      <c r="O43" s="32" t="s">
        <v>187</v>
      </c>
      <c r="P43" s="9"/>
      <c r="Q43" s="9"/>
      <c r="R43" s="11">
        <v>5</v>
      </c>
      <c r="S43" s="13">
        <v>45811</v>
      </c>
      <c r="T43" s="13">
        <v>45824</v>
      </c>
      <c r="U43" s="13">
        <v>45827</v>
      </c>
      <c r="V43" s="13">
        <v>45831</v>
      </c>
      <c r="W43" s="13">
        <v>45835</v>
      </c>
      <c r="X43" s="11" t="s">
        <v>99</v>
      </c>
      <c r="Y43" s="4" t="str">
        <f>IF(Tabela2[[#This Row],[SIGLA]]="","",VLOOKUP(Tabela2[[#This Row],[SIGLA]],Tabela1[[#All],[Sigla Arte]:[Crédito]],2,0))</f>
        <v>VERIDIANA PEGORARO CAMELO/ARQUIVO DA EDITORA</v>
      </c>
      <c r="Z43" s="12"/>
      <c r="AA43" s="12" t="str">
        <f>Tabela2[[#This Row],[ILUSTRADOR CRIAÇÃO]]</f>
        <v>VERIDIANA PEGORARO CAMELO/ARQUIVO DA EDITORA</v>
      </c>
      <c r="AB43" s="11">
        <v>5</v>
      </c>
      <c r="AC43" s="9" t="s">
        <v>185</v>
      </c>
      <c r="AD43" s="9" t="s">
        <v>22</v>
      </c>
      <c r="AE43" s="4" t="str">
        <f t="shared" si="0"/>
        <v>EF1 E002 Port</v>
      </c>
    </row>
    <row r="44" spans="1:31" s="7" customFormat="1" ht="75" x14ac:dyDescent="0.25">
      <c r="A44" s="12" t="s">
        <v>188</v>
      </c>
      <c r="B44" s="9" t="s">
        <v>40</v>
      </c>
      <c r="C44" s="9" t="s">
        <v>1</v>
      </c>
      <c r="D44" s="9" t="s">
        <v>25</v>
      </c>
      <c r="E44" s="11">
        <v>18</v>
      </c>
      <c r="F44" s="11">
        <v>3</v>
      </c>
      <c r="G44" s="11">
        <v>1</v>
      </c>
      <c r="H44" s="11"/>
      <c r="I44" s="12" t="s">
        <v>9</v>
      </c>
      <c r="J44" s="12"/>
      <c r="K44" s="11"/>
      <c r="L44" s="11"/>
      <c r="M44" s="12"/>
      <c r="N44" s="12"/>
      <c r="O44" s="32" t="s">
        <v>189</v>
      </c>
      <c r="P44" s="9"/>
      <c r="Q44" s="9"/>
      <c r="R44" s="11">
        <v>5</v>
      </c>
      <c r="S44" s="13">
        <v>45811</v>
      </c>
      <c r="T44" s="13">
        <v>45824</v>
      </c>
      <c r="U44" s="13">
        <v>45827</v>
      </c>
      <c r="V44" s="13">
        <v>45831</v>
      </c>
      <c r="W44" s="13">
        <v>45835</v>
      </c>
      <c r="X44" s="11" t="s">
        <v>99</v>
      </c>
      <c r="Y44" s="4" t="str">
        <f>IF(Tabela2[[#This Row],[SIGLA]]="","",VLOOKUP(Tabela2[[#This Row],[SIGLA]],Tabela1[[#All],[Sigla Arte]:[Crédito]],2,0))</f>
        <v>VERIDIANA PEGORARO CAMELO/ARQUIVO DA EDITORA</v>
      </c>
      <c r="Z44" s="12"/>
      <c r="AA44" s="12" t="str">
        <f>Tabela2[[#This Row],[ILUSTRADOR CRIAÇÃO]]</f>
        <v>VERIDIANA PEGORARO CAMELO/ARQUIVO DA EDITORA</v>
      </c>
      <c r="AB44" s="11">
        <v>5</v>
      </c>
      <c r="AC44" s="9" t="s">
        <v>185</v>
      </c>
      <c r="AD44" s="9" t="s">
        <v>22</v>
      </c>
      <c r="AE44" s="4" t="str">
        <f t="shared" si="0"/>
        <v>EF1 E002 Port</v>
      </c>
    </row>
    <row r="45" spans="1:31" s="7" customFormat="1" ht="75" x14ac:dyDescent="0.25">
      <c r="A45" s="12" t="s">
        <v>190</v>
      </c>
      <c r="B45" s="9" t="s">
        <v>42</v>
      </c>
      <c r="C45" s="9" t="s">
        <v>1</v>
      </c>
      <c r="D45" s="9" t="s">
        <v>25</v>
      </c>
      <c r="E45" s="11">
        <v>19</v>
      </c>
      <c r="F45" s="11">
        <v>3</v>
      </c>
      <c r="G45" s="11">
        <v>1</v>
      </c>
      <c r="H45" s="11"/>
      <c r="I45" s="12" t="s">
        <v>9</v>
      </c>
      <c r="J45" s="12"/>
      <c r="K45" s="11"/>
      <c r="L45" s="11"/>
      <c r="M45" s="12"/>
      <c r="N45" s="12"/>
      <c r="O45" s="32" t="s">
        <v>191</v>
      </c>
      <c r="P45" s="9"/>
      <c r="Q45" s="9"/>
      <c r="R45" s="11">
        <v>5</v>
      </c>
      <c r="S45" s="13">
        <v>45811</v>
      </c>
      <c r="T45" s="13">
        <v>45824</v>
      </c>
      <c r="U45" s="13">
        <v>45827</v>
      </c>
      <c r="V45" s="13">
        <v>45831</v>
      </c>
      <c r="W45" s="13">
        <v>45835</v>
      </c>
      <c r="X45" s="11" t="s">
        <v>99</v>
      </c>
      <c r="Y45" s="4" t="str">
        <f>IF(Tabela2[[#This Row],[SIGLA]]="","",VLOOKUP(Tabela2[[#This Row],[SIGLA]],Tabela1[[#All],[Sigla Arte]:[Crédito]],2,0))</f>
        <v>VERIDIANA PEGORARO CAMELO/ARQUIVO DA EDITORA</v>
      </c>
      <c r="Z45" s="12"/>
      <c r="AA45" s="12" t="str">
        <f>Tabela2[[#This Row],[ILUSTRADOR CRIAÇÃO]]</f>
        <v>VERIDIANA PEGORARO CAMELO/ARQUIVO DA EDITORA</v>
      </c>
      <c r="AB45" s="11">
        <v>4</v>
      </c>
      <c r="AC45" s="9" t="s">
        <v>185</v>
      </c>
      <c r="AD45" s="9" t="s">
        <v>22</v>
      </c>
      <c r="AE45" s="4" t="str">
        <f t="shared" si="0"/>
        <v>EF1 E002 Port</v>
      </c>
    </row>
    <row r="46" spans="1:31" s="7" customFormat="1" ht="45" x14ac:dyDescent="0.25">
      <c r="A46" s="12" t="s">
        <v>192</v>
      </c>
      <c r="B46" s="9" t="s">
        <v>40</v>
      </c>
      <c r="C46" s="9" t="s">
        <v>1</v>
      </c>
      <c r="D46" s="9" t="s">
        <v>25</v>
      </c>
      <c r="E46" s="11">
        <v>30</v>
      </c>
      <c r="F46" s="11">
        <v>3</v>
      </c>
      <c r="G46" s="11">
        <v>1</v>
      </c>
      <c r="H46" s="11"/>
      <c r="I46" s="12" t="s">
        <v>3</v>
      </c>
      <c r="J46" s="12"/>
      <c r="K46" s="11"/>
      <c r="L46" s="11"/>
      <c r="M46" s="12"/>
      <c r="N46" s="12"/>
      <c r="O46" s="32" t="s">
        <v>193</v>
      </c>
      <c r="P46" s="9"/>
      <c r="Q46" s="9"/>
      <c r="R46" s="11">
        <v>5</v>
      </c>
      <c r="S46" s="13">
        <v>45811</v>
      </c>
      <c r="T46" s="13">
        <v>45825</v>
      </c>
      <c r="U46" s="13">
        <v>45825</v>
      </c>
      <c r="V46" s="13">
        <v>45831</v>
      </c>
      <c r="W46" s="13">
        <v>45833</v>
      </c>
      <c r="X46" s="11" t="s">
        <v>194</v>
      </c>
      <c r="Y46" s="4" t="str">
        <f>IF(Tabela2[[#This Row],[SIGLA]]="","",VLOOKUP(Tabela2[[#This Row],[SIGLA]],Tabela1[[#All],[Sigla Arte]:[Crédito]],2,0))</f>
        <v>RAFAEL LUZIO/ARQUIVO DA EDITORA</v>
      </c>
      <c r="Z46" s="12"/>
      <c r="AA46" s="12" t="str">
        <f>Tabela2[[#This Row],[ILUSTRADOR CRIAÇÃO]]</f>
        <v>RAFAEL LUZIO/ARQUIVO DA EDITORA</v>
      </c>
      <c r="AB46" s="11">
        <v>7</v>
      </c>
      <c r="AC46" s="9" t="s">
        <v>195</v>
      </c>
      <c r="AD46" s="9" t="s">
        <v>22</v>
      </c>
      <c r="AE46" s="4" t="str">
        <f t="shared" si="0"/>
        <v>EF1 E002 Port</v>
      </c>
    </row>
    <row r="47" spans="1:31" s="7" customFormat="1" ht="30" x14ac:dyDescent="0.25">
      <c r="A47" s="12" t="s">
        <v>196</v>
      </c>
      <c r="B47" s="9" t="s">
        <v>40</v>
      </c>
      <c r="C47" s="9" t="s">
        <v>1</v>
      </c>
      <c r="D47" s="9" t="s">
        <v>25</v>
      </c>
      <c r="E47" s="11">
        <v>31</v>
      </c>
      <c r="F47" s="11">
        <v>3</v>
      </c>
      <c r="G47" s="11">
        <v>1</v>
      </c>
      <c r="H47" s="11"/>
      <c r="I47" s="12" t="s">
        <v>3</v>
      </c>
      <c r="J47" s="12"/>
      <c r="K47" s="11"/>
      <c r="L47" s="11"/>
      <c r="M47" s="12"/>
      <c r="N47" s="12"/>
      <c r="O47" s="32" t="s">
        <v>197</v>
      </c>
      <c r="P47" s="9"/>
      <c r="Q47" s="9"/>
      <c r="R47" s="11">
        <v>5</v>
      </c>
      <c r="S47" s="13">
        <v>45811</v>
      </c>
      <c r="T47" s="13">
        <v>45825</v>
      </c>
      <c r="U47" s="13">
        <v>45825</v>
      </c>
      <c r="V47" s="13">
        <v>45831</v>
      </c>
      <c r="W47" s="13">
        <v>45833</v>
      </c>
      <c r="X47" s="11" t="s">
        <v>194</v>
      </c>
      <c r="Y47" s="4" t="str">
        <f>IF(Tabela2[[#This Row],[SIGLA]]="","",VLOOKUP(Tabela2[[#This Row],[SIGLA]],Tabela1[[#All],[Sigla Arte]:[Crédito]],2,0))</f>
        <v>RAFAEL LUZIO/ARQUIVO DA EDITORA</v>
      </c>
      <c r="Z47" s="12"/>
      <c r="AA47" s="12" t="str">
        <f>Tabela2[[#This Row],[ILUSTRADOR CRIAÇÃO]]</f>
        <v>RAFAEL LUZIO/ARQUIVO DA EDITORA</v>
      </c>
      <c r="AB47" s="11">
        <v>8</v>
      </c>
      <c r="AC47" s="9" t="s">
        <v>195</v>
      </c>
      <c r="AD47" s="9" t="s">
        <v>22</v>
      </c>
      <c r="AE47" s="4" t="str">
        <f t="shared" si="0"/>
        <v>EF1 E002 Port</v>
      </c>
    </row>
    <row r="48" spans="1:31" s="7" customFormat="1" ht="90" x14ac:dyDescent="0.25">
      <c r="A48" s="12" t="s">
        <v>198</v>
      </c>
      <c r="B48" s="9" t="s">
        <v>40</v>
      </c>
      <c r="C48" s="9" t="s">
        <v>1</v>
      </c>
      <c r="D48" s="9" t="s">
        <v>25</v>
      </c>
      <c r="E48" s="11">
        <v>95</v>
      </c>
      <c r="F48" s="11">
        <v>3</v>
      </c>
      <c r="G48" s="11">
        <v>3</v>
      </c>
      <c r="H48" s="11"/>
      <c r="I48" s="12"/>
      <c r="J48" s="12"/>
      <c r="K48" s="11"/>
      <c r="L48" s="11"/>
      <c r="M48" s="12"/>
      <c r="N48" s="12"/>
      <c r="O48" s="32" t="s">
        <v>199</v>
      </c>
      <c r="P48" s="9"/>
      <c r="Q48" s="9"/>
      <c r="R48" s="11">
        <v>45</v>
      </c>
      <c r="S48" s="13">
        <v>45876</v>
      </c>
      <c r="T48" s="13">
        <v>45877</v>
      </c>
      <c r="U48" s="13">
        <v>45882</v>
      </c>
      <c r="V48" s="13">
        <v>45883</v>
      </c>
      <c r="W48" s="13">
        <v>45885</v>
      </c>
      <c r="X48" s="11" t="s">
        <v>200</v>
      </c>
      <c r="Y48" s="4" t="str">
        <f>IF(Tabela2[[#This Row],[SIGLA]]="","",VLOOKUP(Tabela2[[#This Row],[SIGLA]],Tabela1[[#All],[Sigla Arte]:[Crédito]],2,0))</f>
        <v>NATHALIA ICHIOKA/ARQUIVO DA EDITORA</v>
      </c>
      <c r="Z48" s="12"/>
      <c r="AA48" s="12" t="str">
        <f>Tabela2[[#This Row],[ILUSTRADOR CRIAÇÃO]]</f>
        <v>NATHALIA ICHIOKA/ARQUIVO DA EDITORA</v>
      </c>
      <c r="AB48" s="11">
        <v>5</v>
      </c>
      <c r="AC48" s="9" t="s">
        <v>201</v>
      </c>
      <c r="AD48" s="9" t="s">
        <v>22</v>
      </c>
      <c r="AE48" s="4" t="str">
        <f t="shared" si="0"/>
        <v>EF1 E002 Port</v>
      </c>
    </row>
    <row r="49" spans="1:31" s="7" customFormat="1" ht="75" x14ac:dyDescent="0.25">
      <c r="A49" s="12" t="s">
        <v>202</v>
      </c>
      <c r="B49" s="9" t="s">
        <v>40</v>
      </c>
      <c r="C49" s="9" t="s">
        <v>1</v>
      </c>
      <c r="D49" s="9" t="s">
        <v>25</v>
      </c>
      <c r="E49" s="11">
        <v>96</v>
      </c>
      <c r="F49" s="11">
        <v>3</v>
      </c>
      <c r="G49" s="11">
        <v>3</v>
      </c>
      <c r="H49" s="11"/>
      <c r="I49" s="12"/>
      <c r="J49" s="12"/>
      <c r="K49" s="11"/>
      <c r="L49" s="11"/>
      <c r="M49" s="12"/>
      <c r="N49" s="12"/>
      <c r="O49" s="32" t="s">
        <v>203</v>
      </c>
      <c r="P49" s="9"/>
      <c r="Q49" s="9"/>
      <c r="R49" s="11">
        <v>45</v>
      </c>
      <c r="S49" s="13">
        <v>45876</v>
      </c>
      <c r="T49" s="13">
        <v>45877</v>
      </c>
      <c r="U49" s="13">
        <v>45882</v>
      </c>
      <c r="V49" s="13">
        <v>45883</v>
      </c>
      <c r="W49" s="13">
        <v>45885</v>
      </c>
      <c r="X49" s="11" t="s">
        <v>200</v>
      </c>
      <c r="Y49" s="4" t="str">
        <f>IF(Tabela2[[#This Row],[SIGLA]]="","",VLOOKUP(Tabela2[[#This Row],[SIGLA]],Tabela1[[#All],[Sigla Arte]:[Crédito]],2,0))</f>
        <v>NATHALIA ICHIOKA/ARQUIVO DA EDITORA</v>
      </c>
      <c r="Z49" s="12"/>
      <c r="AA49" s="12" t="str">
        <f>Tabela2[[#This Row],[ILUSTRADOR CRIAÇÃO]]</f>
        <v>NATHALIA ICHIOKA/ARQUIVO DA EDITORA</v>
      </c>
      <c r="AB49" s="11">
        <v>6</v>
      </c>
      <c r="AC49" s="9" t="s">
        <v>201</v>
      </c>
      <c r="AD49" s="9" t="s">
        <v>22</v>
      </c>
      <c r="AE49" s="4" t="str">
        <f t="shared" si="0"/>
        <v>EF1 E002 Port</v>
      </c>
    </row>
    <row r="50" spans="1:31" s="7" customFormat="1" ht="60" x14ac:dyDescent="0.25">
      <c r="A50" s="12" t="s">
        <v>204</v>
      </c>
      <c r="B50" s="9" t="s">
        <v>40</v>
      </c>
      <c r="C50" s="9" t="s">
        <v>1</v>
      </c>
      <c r="D50" s="9" t="s">
        <v>25</v>
      </c>
      <c r="E50" s="11">
        <v>96</v>
      </c>
      <c r="F50" s="11">
        <v>3</v>
      </c>
      <c r="G50" s="11">
        <v>3</v>
      </c>
      <c r="H50" s="11"/>
      <c r="I50" s="12"/>
      <c r="J50" s="12"/>
      <c r="K50" s="11"/>
      <c r="L50" s="11"/>
      <c r="M50" s="12"/>
      <c r="N50" s="12"/>
      <c r="O50" s="32" t="s">
        <v>205</v>
      </c>
      <c r="P50" s="9"/>
      <c r="Q50" s="9"/>
      <c r="R50" s="11">
        <v>45</v>
      </c>
      <c r="S50" s="13">
        <v>45876</v>
      </c>
      <c r="T50" s="13">
        <v>45877</v>
      </c>
      <c r="U50" s="13">
        <v>45882</v>
      </c>
      <c r="V50" s="13">
        <v>45883</v>
      </c>
      <c r="W50" s="13">
        <v>45885</v>
      </c>
      <c r="X50" s="11" t="s">
        <v>200</v>
      </c>
      <c r="Y50" s="4" t="str">
        <f>IF(Tabela2[[#This Row],[SIGLA]]="","",VLOOKUP(Tabela2[[#This Row],[SIGLA]],Tabela1[[#All],[Sigla Arte]:[Crédito]],2,0))</f>
        <v>NATHALIA ICHIOKA/ARQUIVO DA EDITORA</v>
      </c>
      <c r="Z50" s="12"/>
      <c r="AA50" s="12" t="str">
        <f>Tabela2[[#This Row],[ILUSTRADOR CRIAÇÃO]]</f>
        <v>NATHALIA ICHIOKA/ARQUIVO DA EDITORA</v>
      </c>
      <c r="AB50" s="11">
        <v>8</v>
      </c>
      <c r="AC50" s="9" t="s">
        <v>201</v>
      </c>
      <c r="AD50" s="9" t="s">
        <v>22</v>
      </c>
      <c r="AE50" s="4" t="str">
        <f t="shared" si="0"/>
        <v>EF1 E002 Port</v>
      </c>
    </row>
    <row r="51" spans="1:31" s="7" customFormat="1" ht="60" x14ac:dyDescent="0.25">
      <c r="A51" s="12" t="s">
        <v>206</v>
      </c>
      <c r="B51" s="9" t="s">
        <v>40</v>
      </c>
      <c r="C51" s="9" t="s">
        <v>1</v>
      </c>
      <c r="D51" s="9" t="s">
        <v>25</v>
      </c>
      <c r="E51" s="11">
        <v>96</v>
      </c>
      <c r="F51" s="11">
        <v>3</v>
      </c>
      <c r="G51" s="11">
        <v>3</v>
      </c>
      <c r="H51" s="11"/>
      <c r="I51" s="12"/>
      <c r="J51" s="12"/>
      <c r="K51" s="11"/>
      <c r="L51" s="11"/>
      <c r="M51" s="12"/>
      <c r="N51" s="12"/>
      <c r="O51" s="32" t="s">
        <v>207</v>
      </c>
      <c r="P51" s="9"/>
      <c r="Q51" s="9"/>
      <c r="R51" s="11">
        <v>45</v>
      </c>
      <c r="S51" s="13">
        <v>45876</v>
      </c>
      <c r="T51" s="13">
        <v>45877</v>
      </c>
      <c r="U51" s="13">
        <v>45882</v>
      </c>
      <c r="V51" s="13">
        <v>45883</v>
      </c>
      <c r="W51" s="13">
        <v>45885</v>
      </c>
      <c r="X51" s="11" t="s">
        <v>200</v>
      </c>
      <c r="Y51" s="4" t="str">
        <f>IF(Tabela2[[#This Row],[SIGLA]]="","",VLOOKUP(Tabela2[[#This Row],[SIGLA]],Tabela1[[#All],[Sigla Arte]:[Crédito]],2,0))</f>
        <v>NATHALIA ICHIOKA/ARQUIVO DA EDITORA</v>
      </c>
      <c r="Z51" s="12"/>
      <c r="AA51" s="12" t="str">
        <f>Tabela2[[#This Row],[ILUSTRADOR CRIAÇÃO]]</f>
        <v>NATHALIA ICHIOKA/ARQUIVO DA EDITORA</v>
      </c>
      <c r="AB51" s="11">
        <v>8</v>
      </c>
      <c r="AC51" s="9" t="s">
        <v>201</v>
      </c>
      <c r="AD51" s="9" t="s">
        <v>22</v>
      </c>
      <c r="AE51" s="4" t="str">
        <f t="shared" si="0"/>
        <v>EF1 E002 Port</v>
      </c>
    </row>
    <row r="52" spans="1:31" s="7" customFormat="1" ht="90" x14ac:dyDescent="0.25">
      <c r="A52" s="12" t="s">
        <v>208</v>
      </c>
      <c r="B52" s="9" t="s">
        <v>40</v>
      </c>
      <c r="C52" s="9" t="s">
        <v>1</v>
      </c>
      <c r="D52" s="9" t="s">
        <v>25</v>
      </c>
      <c r="E52" s="11">
        <v>96</v>
      </c>
      <c r="F52" s="11">
        <v>3</v>
      </c>
      <c r="G52" s="11">
        <v>3</v>
      </c>
      <c r="H52" s="11"/>
      <c r="I52" s="12"/>
      <c r="J52" s="12"/>
      <c r="K52" s="11"/>
      <c r="L52" s="11"/>
      <c r="M52" s="12"/>
      <c r="N52" s="12"/>
      <c r="O52" s="32" t="s">
        <v>209</v>
      </c>
      <c r="P52" s="9"/>
      <c r="Q52" s="9"/>
      <c r="R52" s="11">
        <v>45</v>
      </c>
      <c r="S52" s="13">
        <v>45876</v>
      </c>
      <c r="T52" s="13">
        <v>45877</v>
      </c>
      <c r="U52" s="13">
        <v>45882</v>
      </c>
      <c r="V52" s="13">
        <v>45883</v>
      </c>
      <c r="W52" s="13">
        <v>45885</v>
      </c>
      <c r="X52" s="11" t="s">
        <v>200</v>
      </c>
      <c r="Y52" s="4" t="str">
        <f>IF(Tabela2[[#This Row],[SIGLA]]="","",VLOOKUP(Tabela2[[#This Row],[SIGLA]],Tabela1[[#All],[Sigla Arte]:[Crédito]],2,0))</f>
        <v>NATHALIA ICHIOKA/ARQUIVO DA EDITORA</v>
      </c>
      <c r="Z52" s="12"/>
      <c r="AA52" s="12" t="str">
        <f>Tabela2[[#This Row],[ILUSTRADOR CRIAÇÃO]]</f>
        <v>NATHALIA ICHIOKA/ARQUIVO DA EDITORA</v>
      </c>
      <c r="AB52" s="11">
        <v>8</v>
      </c>
      <c r="AC52" s="9" t="s">
        <v>201</v>
      </c>
      <c r="AD52" s="9" t="s">
        <v>22</v>
      </c>
      <c r="AE52" s="4" t="str">
        <f t="shared" si="0"/>
        <v>EF1 E002 Port</v>
      </c>
    </row>
    <row r="53" spans="1:31" s="7" customFormat="1" ht="90" x14ac:dyDescent="0.25">
      <c r="A53" s="12" t="s">
        <v>210</v>
      </c>
      <c r="B53" s="9" t="s">
        <v>40</v>
      </c>
      <c r="C53" s="9" t="s">
        <v>1</v>
      </c>
      <c r="D53" s="9" t="s">
        <v>25</v>
      </c>
      <c r="E53" s="11">
        <v>97</v>
      </c>
      <c r="F53" s="11">
        <v>3</v>
      </c>
      <c r="G53" s="11">
        <v>3</v>
      </c>
      <c r="H53" s="11"/>
      <c r="I53" s="12"/>
      <c r="J53" s="12"/>
      <c r="K53" s="11"/>
      <c r="L53" s="11"/>
      <c r="M53" s="12"/>
      <c r="N53" s="12"/>
      <c r="O53" s="32" t="s">
        <v>211</v>
      </c>
      <c r="P53" s="9"/>
      <c r="Q53" s="9"/>
      <c r="R53" s="11">
        <v>45</v>
      </c>
      <c r="S53" s="13">
        <v>45876</v>
      </c>
      <c r="T53" s="13">
        <v>45877</v>
      </c>
      <c r="U53" s="13">
        <v>45882</v>
      </c>
      <c r="V53" s="13">
        <v>45883</v>
      </c>
      <c r="W53" s="13">
        <v>45885</v>
      </c>
      <c r="X53" s="11" t="s">
        <v>200</v>
      </c>
      <c r="Y53" s="4" t="str">
        <f>IF(Tabela2[[#This Row],[SIGLA]]="","",VLOOKUP(Tabela2[[#This Row],[SIGLA]],Tabela1[[#All],[Sigla Arte]:[Crédito]],2,0))</f>
        <v>NATHALIA ICHIOKA/ARQUIVO DA EDITORA</v>
      </c>
      <c r="Z53" s="12"/>
      <c r="AA53" s="12" t="str">
        <f>Tabela2[[#This Row],[ILUSTRADOR CRIAÇÃO]]</f>
        <v>NATHALIA ICHIOKA/ARQUIVO DA EDITORA</v>
      </c>
      <c r="AB53" s="11">
        <v>5</v>
      </c>
      <c r="AC53" s="9" t="s">
        <v>201</v>
      </c>
      <c r="AD53" s="9" t="s">
        <v>22</v>
      </c>
      <c r="AE53" s="4" t="str">
        <f t="shared" si="0"/>
        <v>EF1 E002 Port</v>
      </c>
    </row>
    <row r="54" spans="1:31" s="7" customFormat="1" ht="120" x14ac:dyDescent="0.25">
      <c r="A54" s="12" t="s">
        <v>212</v>
      </c>
      <c r="B54" s="9" t="s">
        <v>40</v>
      </c>
      <c r="C54" s="9" t="s">
        <v>1</v>
      </c>
      <c r="D54" s="9" t="s">
        <v>25</v>
      </c>
      <c r="E54" s="11">
        <v>97</v>
      </c>
      <c r="F54" s="11">
        <v>3</v>
      </c>
      <c r="G54" s="11">
        <v>3</v>
      </c>
      <c r="H54" s="11"/>
      <c r="I54" s="12"/>
      <c r="J54" s="12"/>
      <c r="K54" s="11"/>
      <c r="L54" s="11"/>
      <c r="M54" s="12"/>
      <c r="N54" s="12"/>
      <c r="O54" s="32" t="s">
        <v>213</v>
      </c>
      <c r="P54" s="9"/>
      <c r="Q54" s="9"/>
      <c r="R54" s="11">
        <v>45</v>
      </c>
      <c r="S54" s="13">
        <v>45876</v>
      </c>
      <c r="T54" s="13">
        <v>45877</v>
      </c>
      <c r="U54" s="13">
        <v>45882</v>
      </c>
      <c r="V54" s="13">
        <v>45883</v>
      </c>
      <c r="W54" s="13">
        <v>45885</v>
      </c>
      <c r="X54" s="11" t="s">
        <v>200</v>
      </c>
      <c r="Y54" s="4" t="str">
        <f>IF(Tabela2[[#This Row],[SIGLA]]="","",VLOOKUP(Tabela2[[#This Row],[SIGLA]],Tabela1[[#All],[Sigla Arte]:[Crédito]],2,0))</f>
        <v>NATHALIA ICHIOKA/ARQUIVO DA EDITORA</v>
      </c>
      <c r="Z54" s="12"/>
      <c r="AA54" s="12" t="str">
        <f>Tabela2[[#This Row],[ILUSTRADOR CRIAÇÃO]]</f>
        <v>NATHALIA ICHIOKA/ARQUIVO DA EDITORA</v>
      </c>
      <c r="AB54" s="11">
        <v>5</v>
      </c>
      <c r="AC54" s="9" t="s">
        <v>201</v>
      </c>
      <c r="AD54" s="9" t="s">
        <v>22</v>
      </c>
      <c r="AE54" s="4" t="str">
        <f t="shared" si="0"/>
        <v>EF1 E002 Port</v>
      </c>
    </row>
    <row r="55" spans="1:31" s="7" customFormat="1" ht="30" x14ac:dyDescent="0.25">
      <c r="A55" s="12" t="s">
        <v>214</v>
      </c>
      <c r="B55" s="9" t="s">
        <v>42</v>
      </c>
      <c r="C55" s="9" t="s">
        <v>1</v>
      </c>
      <c r="D55" s="9" t="s">
        <v>25</v>
      </c>
      <c r="E55" s="11">
        <v>12</v>
      </c>
      <c r="F55" s="11">
        <v>1</v>
      </c>
      <c r="G55" s="11">
        <v>1</v>
      </c>
      <c r="H55" s="11" t="s">
        <v>215</v>
      </c>
      <c r="I55" s="12" t="s">
        <v>9</v>
      </c>
      <c r="J55" s="12"/>
      <c r="K55" s="11"/>
      <c r="L55" s="11"/>
      <c r="M55" s="12"/>
      <c r="N55" s="12"/>
      <c r="O55" s="32" t="s">
        <v>216</v>
      </c>
      <c r="P55" s="9"/>
      <c r="Q55" s="9" t="s">
        <v>217</v>
      </c>
      <c r="R55" s="11">
        <v>6</v>
      </c>
      <c r="S55" s="13">
        <v>45812</v>
      </c>
      <c r="T55" s="13"/>
      <c r="U55" s="13"/>
      <c r="V55" s="13"/>
      <c r="W55" s="13"/>
      <c r="X55" s="11"/>
      <c r="Y55" s="4" t="str">
        <f>IF(Tabela2[[#This Row],[SIGLA]]="","",VLOOKUP(Tabela2[[#This Row],[SIGLA]],Tabela1[[#All],[Sigla Arte]:[Crédito]],2,0))</f>
        <v/>
      </c>
      <c r="Z55" s="12"/>
      <c r="AA55" s="12" t="str">
        <f>Tabela2[[#This Row],[ILUSTRADOR CRIAÇÃO]]</f>
        <v/>
      </c>
      <c r="AB55" s="11"/>
      <c r="AC55" s="9" t="s">
        <v>128</v>
      </c>
      <c r="AD55" s="9"/>
      <c r="AE55" s="4" t="str">
        <f t="shared" si="0"/>
        <v>EF1 E002 Port</v>
      </c>
    </row>
    <row r="56" spans="1:31" s="7" customFormat="1" ht="45" x14ac:dyDescent="0.25">
      <c r="A56" s="12" t="s">
        <v>218</v>
      </c>
      <c r="B56" s="9" t="s">
        <v>40</v>
      </c>
      <c r="C56" s="9" t="s">
        <v>1</v>
      </c>
      <c r="D56" s="9" t="s">
        <v>25</v>
      </c>
      <c r="E56" s="11">
        <v>12</v>
      </c>
      <c r="F56" s="11">
        <v>1</v>
      </c>
      <c r="G56" s="11">
        <v>1</v>
      </c>
      <c r="H56" s="11" t="s">
        <v>215</v>
      </c>
      <c r="I56" s="12" t="s">
        <v>9</v>
      </c>
      <c r="J56" s="12"/>
      <c r="K56" s="11"/>
      <c r="L56" s="11"/>
      <c r="M56" s="12"/>
      <c r="N56" s="12"/>
      <c r="O56" s="32" t="s">
        <v>219</v>
      </c>
      <c r="P56" s="9"/>
      <c r="Q56" s="9"/>
      <c r="R56" s="11">
        <v>6</v>
      </c>
      <c r="S56" s="13">
        <v>45812</v>
      </c>
      <c r="T56" s="13">
        <v>45814</v>
      </c>
      <c r="U56" s="13">
        <v>45817</v>
      </c>
      <c r="V56" s="13">
        <v>45820</v>
      </c>
      <c r="W56" s="13">
        <v>45828</v>
      </c>
      <c r="X56" s="11" t="s">
        <v>220</v>
      </c>
      <c r="Y56" s="4" t="str">
        <f>IF(Tabela2[[#This Row],[SIGLA]]="","",VLOOKUP(Tabela2[[#This Row],[SIGLA]],Tabela1[[#All],[Sigla Arte]:[Crédito]],2,0))</f>
        <v>CLARISSA FRANÇA/ARQUIVO DA EDITORA</v>
      </c>
      <c r="Z56" s="12"/>
      <c r="AA56" s="12" t="str">
        <f>Tabela2[[#This Row],[ILUSTRADOR CRIAÇÃO]]</f>
        <v>CLARISSA FRANÇA/ARQUIVO DA EDITORA</v>
      </c>
      <c r="AB56" s="11">
        <v>6</v>
      </c>
      <c r="AC56" s="9" t="s">
        <v>221</v>
      </c>
      <c r="AD56" s="9" t="s">
        <v>22</v>
      </c>
      <c r="AE56" s="4" t="str">
        <f t="shared" si="0"/>
        <v>EF1 E002 Port</v>
      </c>
    </row>
    <row r="57" spans="1:31" s="7" customFormat="1" ht="180" x14ac:dyDescent="0.25">
      <c r="A57" s="12" t="s">
        <v>222</v>
      </c>
      <c r="B57" s="9" t="s">
        <v>40</v>
      </c>
      <c r="C57" s="9" t="s">
        <v>1</v>
      </c>
      <c r="D57" s="9" t="s">
        <v>25</v>
      </c>
      <c r="E57" s="11">
        <v>16</v>
      </c>
      <c r="F57" s="11">
        <v>1</v>
      </c>
      <c r="G57" s="11">
        <v>1</v>
      </c>
      <c r="H57" s="11" t="s">
        <v>215</v>
      </c>
      <c r="I57" s="12" t="s">
        <v>9</v>
      </c>
      <c r="J57" s="12"/>
      <c r="K57" s="11"/>
      <c r="L57" s="11"/>
      <c r="M57" s="12"/>
      <c r="N57" s="12"/>
      <c r="O57" s="32" t="s">
        <v>223</v>
      </c>
      <c r="P57" s="9"/>
      <c r="Q57" s="9"/>
      <c r="R57" s="11">
        <v>6</v>
      </c>
      <c r="S57" s="13">
        <v>45812</v>
      </c>
      <c r="T57" s="13">
        <v>45814</v>
      </c>
      <c r="U57" s="13">
        <v>45828</v>
      </c>
      <c r="V57" s="13">
        <v>45831</v>
      </c>
      <c r="W57" s="13">
        <v>45838</v>
      </c>
      <c r="X57" s="11" t="s">
        <v>119</v>
      </c>
      <c r="Y57" s="4" t="str">
        <f>IF(Tabela2[[#This Row],[SIGLA]]="","",VLOOKUP(Tabela2[[#This Row],[SIGLA]],Tabela1[[#All],[Sigla Arte]:[Crédito]],2,0))</f>
        <v>DANIEL WU/ARQUIVO DA EDITORA</v>
      </c>
      <c r="Z57" s="12"/>
      <c r="AA57" s="12" t="str">
        <f>Tabela2[[#This Row],[ILUSTRADOR CRIAÇÃO]]</f>
        <v>DANIEL WU/ARQUIVO DA EDITORA</v>
      </c>
      <c r="AB57" s="11">
        <v>3</v>
      </c>
      <c r="AC57" s="9" t="s">
        <v>224</v>
      </c>
      <c r="AD57" s="9" t="s">
        <v>22</v>
      </c>
      <c r="AE57" s="4" t="str">
        <f t="shared" si="0"/>
        <v>EF1 E002 Port</v>
      </c>
    </row>
    <row r="58" spans="1:31" s="7" customFormat="1" ht="45" x14ac:dyDescent="0.25">
      <c r="A58" s="12" t="s">
        <v>225</v>
      </c>
      <c r="B58" s="9" t="s">
        <v>42</v>
      </c>
      <c r="C58" s="9" t="s">
        <v>1</v>
      </c>
      <c r="D58" s="9" t="s">
        <v>25</v>
      </c>
      <c r="E58" s="11">
        <v>17</v>
      </c>
      <c r="F58" s="11">
        <v>1</v>
      </c>
      <c r="G58" s="11">
        <v>1</v>
      </c>
      <c r="H58" s="11"/>
      <c r="I58" s="12" t="s">
        <v>9</v>
      </c>
      <c r="J58" s="12"/>
      <c r="K58" s="11"/>
      <c r="L58" s="11"/>
      <c r="M58" s="12"/>
      <c r="N58" s="12"/>
      <c r="O58" s="32" t="s">
        <v>226</v>
      </c>
      <c r="P58" s="9"/>
      <c r="Q58" s="9"/>
      <c r="R58" s="11">
        <v>6</v>
      </c>
      <c r="S58" s="13">
        <v>45812</v>
      </c>
      <c r="T58" s="13">
        <v>45814</v>
      </c>
      <c r="U58" s="13">
        <v>45828</v>
      </c>
      <c r="V58" s="13">
        <v>45831</v>
      </c>
      <c r="W58" s="13">
        <v>45838</v>
      </c>
      <c r="X58" s="11" t="s">
        <v>119</v>
      </c>
      <c r="Y58" s="4" t="str">
        <f>IF(Tabela2[[#This Row],[SIGLA]]="","",VLOOKUP(Tabela2[[#This Row],[SIGLA]],Tabela1[[#All],[Sigla Arte]:[Crédito]],2,0))</f>
        <v>DANIEL WU/ARQUIVO DA EDITORA</v>
      </c>
      <c r="Z58" s="12"/>
      <c r="AA58" s="12" t="str">
        <f>Tabela2[[#This Row],[ILUSTRADOR CRIAÇÃO]]</f>
        <v>DANIEL WU/ARQUIVO DA EDITORA</v>
      </c>
      <c r="AB58" s="11">
        <v>6</v>
      </c>
      <c r="AC58" s="9" t="s">
        <v>224</v>
      </c>
      <c r="AD58" s="9" t="s">
        <v>22</v>
      </c>
      <c r="AE58" s="4" t="str">
        <f t="shared" si="0"/>
        <v>EF1 E002 Port</v>
      </c>
    </row>
    <row r="59" spans="1:31" s="7" customFormat="1" ht="135" x14ac:dyDescent="0.25">
      <c r="A59" s="12" t="s">
        <v>227</v>
      </c>
      <c r="B59" s="9" t="s">
        <v>40</v>
      </c>
      <c r="C59" s="9" t="s">
        <v>1</v>
      </c>
      <c r="D59" s="9" t="s">
        <v>25</v>
      </c>
      <c r="E59" s="11">
        <v>17</v>
      </c>
      <c r="F59" s="11">
        <v>1</v>
      </c>
      <c r="G59" s="11">
        <v>1</v>
      </c>
      <c r="H59" s="11"/>
      <c r="I59" s="12" t="s">
        <v>9</v>
      </c>
      <c r="J59" s="12"/>
      <c r="K59" s="11"/>
      <c r="L59" s="11"/>
      <c r="M59" s="12"/>
      <c r="N59" s="12"/>
      <c r="O59" s="32" t="s">
        <v>228</v>
      </c>
      <c r="P59" s="9"/>
      <c r="Q59" s="9"/>
      <c r="R59" s="11">
        <v>6</v>
      </c>
      <c r="S59" s="13">
        <v>45812</v>
      </c>
      <c r="T59" s="13">
        <v>45814</v>
      </c>
      <c r="U59" s="13">
        <v>45818</v>
      </c>
      <c r="V59" s="13">
        <v>45820</v>
      </c>
      <c r="W59" s="13">
        <v>45824</v>
      </c>
      <c r="X59" s="11" t="s">
        <v>229</v>
      </c>
      <c r="Y59" s="4" t="str">
        <f>IF(Tabela2[[#This Row],[SIGLA]]="","",VLOOKUP(Tabela2[[#This Row],[SIGLA]],Tabela1[[#All],[Sigla Arte]:[Crédito]],2,0))</f>
        <v>RIVALDO BARBOZA/ARQUIVO DA EDITORA</v>
      </c>
      <c r="Z59" s="12"/>
      <c r="AA59" s="12" t="str">
        <f>Tabela2[[#This Row],[ILUSTRADOR CRIAÇÃO]]</f>
        <v>RIVALDO BARBOZA/ARQUIVO DA EDITORA</v>
      </c>
      <c r="AB59" s="11">
        <v>5</v>
      </c>
      <c r="AC59" s="9" t="s">
        <v>230</v>
      </c>
      <c r="AD59" s="9" t="s">
        <v>22</v>
      </c>
      <c r="AE59" s="4" t="str">
        <f t="shared" si="0"/>
        <v>EF1 E002 Port</v>
      </c>
    </row>
    <row r="60" spans="1:31" s="7" customFormat="1" ht="30" x14ac:dyDescent="0.25">
      <c r="A60" s="12" t="s">
        <v>231</v>
      </c>
      <c r="B60" s="9" t="s">
        <v>40</v>
      </c>
      <c r="C60" s="9" t="s">
        <v>1</v>
      </c>
      <c r="D60" s="9" t="s">
        <v>25</v>
      </c>
      <c r="E60" s="11">
        <v>19</v>
      </c>
      <c r="F60" s="11">
        <v>1</v>
      </c>
      <c r="G60" s="11">
        <v>1</v>
      </c>
      <c r="H60" s="11"/>
      <c r="I60" s="12" t="s">
        <v>9</v>
      </c>
      <c r="J60" s="12"/>
      <c r="K60" s="11"/>
      <c r="L60" s="11"/>
      <c r="M60" s="12"/>
      <c r="N60" s="12"/>
      <c r="O60" s="32" t="s">
        <v>232</v>
      </c>
      <c r="P60" s="9"/>
      <c r="Q60" s="9"/>
      <c r="R60" s="11">
        <v>6</v>
      </c>
      <c r="S60" s="13">
        <v>45812</v>
      </c>
      <c r="T60" s="13">
        <v>45814</v>
      </c>
      <c r="U60" s="13">
        <v>45818</v>
      </c>
      <c r="V60" s="13">
        <v>45820</v>
      </c>
      <c r="W60" s="13">
        <v>45824</v>
      </c>
      <c r="X60" s="11" t="s">
        <v>229</v>
      </c>
      <c r="Y60" s="4" t="str">
        <f>IF(Tabela2[[#This Row],[SIGLA]]="","",VLOOKUP(Tabela2[[#This Row],[SIGLA]],Tabela1[[#All],[Sigla Arte]:[Crédito]],2,0))</f>
        <v>RIVALDO BARBOZA/ARQUIVO DA EDITORA</v>
      </c>
      <c r="Z60" s="12"/>
      <c r="AA60" s="12" t="str">
        <f>Tabela2[[#This Row],[ILUSTRADOR CRIAÇÃO]]</f>
        <v>RIVALDO BARBOZA/ARQUIVO DA EDITORA</v>
      </c>
      <c r="AB60" s="11">
        <v>6</v>
      </c>
      <c r="AC60" s="9" t="s">
        <v>230</v>
      </c>
      <c r="AD60" s="9" t="s">
        <v>22</v>
      </c>
      <c r="AE60" s="4" t="str">
        <f t="shared" si="0"/>
        <v>EF1 E002 Port</v>
      </c>
    </row>
    <row r="61" spans="1:31" s="7" customFormat="1" ht="45" x14ac:dyDescent="0.25">
      <c r="A61" s="12" t="s">
        <v>233</v>
      </c>
      <c r="B61" s="9" t="s">
        <v>40</v>
      </c>
      <c r="C61" s="9" t="s">
        <v>1</v>
      </c>
      <c r="D61" s="9" t="s">
        <v>25</v>
      </c>
      <c r="E61" s="11">
        <v>20</v>
      </c>
      <c r="F61" s="11">
        <v>1</v>
      </c>
      <c r="G61" s="11">
        <v>1</v>
      </c>
      <c r="H61" s="11"/>
      <c r="I61" s="12" t="s">
        <v>9</v>
      </c>
      <c r="J61" s="12"/>
      <c r="K61" s="11"/>
      <c r="L61" s="11"/>
      <c r="M61" s="12"/>
      <c r="N61" s="12"/>
      <c r="O61" s="32" t="s">
        <v>234</v>
      </c>
      <c r="P61" s="9"/>
      <c r="Q61" s="9"/>
      <c r="R61" s="11">
        <v>6</v>
      </c>
      <c r="S61" s="13">
        <v>45812</v>
      </c>
      <c r="T61" s="13">
        <v>45814</v>
      </c>
      <c r="U61" s="13">
        <v>45818</v>
      </c>
      <c r="V61" s="13">
        <v>45820</v>
      </c>
      <c r="W61" s="13">
        <v>45824</v>
      </c>
      <c r="X61" s="11" t="s">
        <v>229</v>
      </c>
      <c r="Y61" s="4" t="str">
        <f>IF(Tabela2[[#This Row],[SIGLA]]="","",VLOOKUP(Tabela2[[#This Row],[SIGLA]],Tabela1[[#All],[Sigla Arte]:[Crédito]],2,0))</f>
        <v>RIVALDO BARBOZA/ARQUIVO DA EDITORA</v>
      </c>
      <c r="Z61" s="12"/>
      <c r="AA61" s="12" t="str">
        <f>Tabela2[[#This Row],[ILUSTRADOR CRIAÇÃO]]</f>
        <v>RIVALDO BARBOZA/ARQUIVO DA EDITORA</v>
      </c>
      <c r="AB61" s="11">
        <v>8</v>
      </c>
      <c r="AC61" s="9" t="s">
        <v>230</v>
      </c>
      <c r="AD61" s="9" t="s">
        <v>22</v>
      </c>
      <c r="AE61" s="4" t="str">
        <f t="shared" si="0"/>
        <v>EF1 E002 Port</v>
      </c>
    </row>
    <row r="62" spans="1:31" s="7" customFormat="1" ht="30" x14ac:dyDescent="0.25">
      <c r="A62" s="12" t="s">
        <v>235</v>
      </c>
      <c r="B62" s="9" t="s">
        <v>40</v>
      </c>
      <c r="C62" s="9" t="s">
        <v>1</v>
      </c>
      <c r="D62" s="9" t="s">
        <v>25</v>
      </c>
      <c r="E62" s="11">
        <v>22</v>
      </c>
      <c r="F62" s="11">
        <v>1</v>
      </c>
      <c r="G62" s="11">
        <v>1</v>
      </c>
      <c r="H62" s="11"/>
      <c r="I62" s="12" t="s">
        <v>9</v>
      </c>
      <c r="J62" s="12"/>
      <c r="K62" s="11"/>
      <c r="L62" s="11"/>
      <c r="M62" s="12"/>
      <c r="N62" s="12"/>
      <c r="O62" s="32" t="s">
        <v>236</v>
      </c>
      <c r="P62" s="9"/>
      <c r="Q62" s="9"/>
      <c r="R62" s="11">
        <v>6</v>
      </c>
      <c r="S62" s="13">
        <v>45812</v>
      </c>
      <c r="T62" s="13">
        <v>45814</v>
      </c>
      <c r="U62" s="13">
        <v>45818</v>
      </c>
      <c r="V62" s="13">
        <v>45820</v>
      </c>
      <c r="W62" s="13">
        <v>45824</v>
      </c>
      <c r="X62" s="11" t="s">
        <v>229</v>
      </c>
      <c r="Y62" s="4" t="str">
        <f>IF(Tabela2[[#This Row],[SIGLA]]="","",VLOOKUP(Tabela2[[#This Row],[SIGLA]],Tabela1[[#All],[Sigla Arte]:[Crédito]],2,0))</f>
        <v>RIVALDO BARBOZA/ARQUIVO DA EDITORA</v>
      </c>
      <c r="Z62" s="12"/>
      <c r="AA62" s="12" t="str">
        <f>Tabela2[[#This Row],[ILUSTRADOR CRIAÇÃO]]</f>
        <v>RIVALDO BARBOZA/ARQUIVO DA EDITORA</v>
      </c>
      <c r="AB62" s="11">
        <v>13</v>
      </c>
      <c r="AC62" s="9" t="s">
        <v>230</v>
      </c>
      <c r="AD62" s="9" t="s">
        <v>22</v>
      </c>
      <c r="AE62" s="4" t="str">
        <f t="shared" si="0"/>
        <v>EF1 E002 Port</v>
      </c>
    </row>
    <row r="63" spans="1:31" s="7" customFormat="1" ht="90" x14ac:dyDescent="0.25">
      <c r="A63" s="12" t="s">
        <v>237</v>
      </c>
      <c r="B63" s="9" t="s">
        <v>40</v>
      </c>
      <c r="C63" s="9" t="s">
        <v>1</v>
      </c>
      <c r="D63" s="9" t="s">
        <v>25</v>
      </c>
      <c r="E63" s="11">
        <v>22</v>
      </c>
      <c r="F63" s="11">
        <v>1</v>
      </c>
      <c r="G63" s="11">
        <v>1</v>
      </c>
      <c r="H63" s="11"/>
      <c r="I63" s="12" t="s">
        <v>9</v>
      </c>
      <c r="J63" s="12"/>
      <c r="K63" s="11"/>
      <c r="L63" s="11"/>
      <c r="M63" s="12"/>
      <c r="N63" s="12"/>
      <c r="O63" s="32" t="s">
        <v>238</v>
      </c>
      <c r="P63" s="9"/>
      <c r="Q63" s="9"/>
      <c r="R63" s="11">
        <v>6</v>
      </c>
      <c r="S63" s="13">
        <v>45812</v>
      </c>
      <c r="T63" s="13">
        <v>45814</v>
      </c>
      <c r="U63" s="13">
        <v>45818</v>
      </c>
      <c r="V63" s="13">
        <v>45820</v>
      </c>
      <c r="W63" s="13">
        <v>45824</v>
      </c>
      <c r="X63" s="11" t="s">
        <v>229</v>
      </c>
      <c r="Y63" s="4" t="str">
        <f>IF(Tabela2[[#This Row],[SIGLA]]="","",VLOOKUP(Tabela2[[#This Row],[SIGLA]],Tabela1[[#All],[Sigla Arte]:[Crédito]],2,0))</f>
        <v>RIVALDO BARBOZA/ARQUIVO DA EDITORA</v>
      </c>
      <c r="Z63" s="12"/>
      <c r="AA63" s="12" t="str">
        <f>Tabela2[[#This Row],[ILUSTRADOR CRIAÇÃO]]</f>
        <v>RIVALDO BARBOZA/ARQUIVO DA EDITORA</v>
      </c>
      <c r="AB63" s="11">
        <v>6</v>
      </c>
      <c r="AC63" s="9" t="s">
        <v>230</v>
      </c>
      <c r="AD63" s="9" t="s">
        <v>22</v>
      </c>
      <c r="AE63" s="4" t="str">
        <f t="shared" si="0"/>
        <v>EF1 E002 Port</v>
      </c>
    </row>
    <row r="64" spans="1:31" s="7" customFormat="1" ht="30" x14ac:dyDescent="0.25">
      <c r="A64" s="12" t="s">
        <v>239</v>
      </c>
      <c r="B64" s="9" t="s">
        <v>40</v>
      </c>
      <c r="C64" s="9" t="s">
        <v>1</v>
      </c>
      <c r="D64" s="9" t="s">
        <v>25</v>
      </c>
      <c r="E64" s="11">
        <v>22</v>
      </c>
      <c r="F64" s="11">
        <v>1</v>
      </c>
      <c r="G64" s="11">
        <v>1</v>
      </c>
      <c r="H64" s="11"/>
      <c r="I64" s="12" t="s">
        <v>9</v>
      </c>
      <c r="J64" s="12"/>
      <c r="K64" s="11"/>
      <c r="L64" s="11"/>
      <c r="M64" s="12"/>
      <c r="N64" s="12"/>
      <c r="O64" s="32" t="s">
        <v>240</v>
      </c>
      <c r="P64" s="9"/>
      <c r="Q64" s="9"/>
      <c r="R64" s="11">
        <v>6</v>
      </c>
      <c r="S64" s="13">
        <v>45812</v>
      </c>
      <c r="T64" s="13">
        <v>45814</v>
      </c>
      <c r="U64" s="13">
        <v>45818</v>
      </c>
      <c r="V64" s="13">
        <v>45820</v>
      </c>
      <c r="W64" s="13">
        <v>45824</v>
      </c>
      <c r="X64" s="11" t="s">
        <v>229</v>
      </c>
      <c r="Y64" s="4" t="str">
        <f>IF(Tabela2[[#This Row],[SIGLA]]="","",VLOOKUP(Tabela2[[#This Row],[SIGLA]],Tabela1[[#All],[Sigla Arte]:[Crédito]],2,0))</f>
        <v>RIVALDO BARBOZA/ARQUIVO DA EDITORA</v>
      </c>
      <c r="Z64" s="12"/>
      <c r="AA64" s="12" t="str">
        <f>Tabela2[[#This Row],[ILUSTRADOR CRIAÇÃO]]</f>
        <v>RIVALDO BARBOZA/ARQUIVO DA EDITORA</v>
      </c>
      <c r="AB64" s="11">
        <v>8</v>
      </c>
      <c r="AC64" s="9" t="s">
        <v>230</v>
      </c>
      <c r="AD64" s="9" t="s">
        <v>22</v>
      </c>
      <c r="AE64" s="4" t="str">
        <f t="shared" si="0"/>
        <v>EF1 E002 Port</v>
      </c>
    </row>
    <row r="65" spans="1:31" s="7" customFormat="1" ht="30" x14ac:dyDescent="0.25">
      <c r="A65" s="12" t="s">
        <v>241</v>
      </c>
      <c r="B65" s="9" t="s">
        <v>40</v>
      </c>
      <c r="C65" s="9" t="s">
        <v>1</v>
      </c>
      <c r="D65" s="9" t="s">
        <v>25</v>
      </c>
      <c r="E65" s="11">
        <v>23</v>
      </c>
      <c r="F65" s="11">
        <v>1</v>
      </c>
      <c r="G65" s="11">
        <v>1</v>
      </c>
      <c r="H65" s="11"/>
      <c r="I65" s="12" t="s">
        <v>9</v>
      </c>
      <c r="J65" s="12"/>
      <c r="K65" s="11"/>
      <c r="L65" s="11"/>
      <c r="M65" s="12"/>
      <c r="N65" s="12"/>
      <c r="O65" s="32" t="s">
        <v>242</v>
      </c>
      <c r="P65" s="9"/>
      <c r="Q65" s="9"/>
      <c r="R65" s="11">
        <v>6</v>
      </c>
      <c r="S65" s="13">
        <v>45812</v>
      </c>
      <c r="T65" s="13">
        <v>45814</v>
      </c>
      <c r="U65" s="13">
        <v>45818</v>
      </c>
      <c r="V65" s="13">
        <v>45820</v>
      </c>
      <c r="W65" s="13">
        <v>45824</v>
      </c>
      <c r="X65" s="11" t="s">
        <v>229</v>
      </c>
      <c r="Y65" s="4" t="str">
        <f>IF(Tabela2[[#This Row],[SIGLA]]="","",VLOOKUP(Tabela2[[#This Row],[SIGLA]],Tabela1[[#All],[Sigla Arte]:[Crédito]],2,0))</f>
        <v>RIVALDO BARBOZA/ARQUIVO DA EDITORA</v>
      </c>
      <c r="Z65" s="12"/>
      <c r="AA65" s="12" t="str">
        <f>Tabela2[[#This Row],[ILUSTRADOR CRIAÇÃO]]</f>
        <v>RIVALDO BARBOZA/ARQUIVO DA EDITORA</v>
      </c>
      <c r="AB65" s="11">
        <v>13</v>
      </c>
      <c r="AC65" s="9" t="s">
        <v>230</v>
      </c>
      <c r="AD65" s="9" t="s">
        <v>22</v>
      </c>
      <c r="AE65" s="4" t="str">
        <f t="shared" si="0"/>
        <v>EF1 E002 Port</v>
      </c>
    </row>
    <row r="66" spans="1:31" s="7" customFormat="1" x14ac:dyDescent="0.25">
      <c r="A66" s="12" t="s">
        <v>243</v>
      </c>
      <c r="B66" s="9" t="s">
        <v>40</v>
      </c>
      <c r="C66" s="9" t="s">
        <v>1</v>
      </c>
      <c r="D66" s="9" t="s">
        <v>25</v>
      </c>
      <c r="E66" s="11">
        <v>23</v>
      </c>
      <c r="F66" s="11">
        <v>1</v>
      </c>
      <c r="G66" s="11">
        <v>1</v>
      </c>
      <c r="H66" s="11"/>
      <c r="I66" s="12" t="s">
        <v>9</v>
      </c>
      <c r="J66" s="12"/>
      <c r="K66" s="11"/>
      <c r="L66" s="11"/>
      <c r="M66" s="12"/>
      <c r="N66" s="12"/>
      <c r="O66" s="32" t="s">
        <v>244</v>
      </c>
      <c r="P66" s="9"/>
      <c r="Q66" s="9"/>
      <c r="R66" s="11">
        <v>6</v>
      </c>
      <c r="S66" s="13">
        <v>45812</v>
      </c>
      <c r="T66" s="13">
        <v>45814</v>
      </c>
      <c r="U66" s="13"/>
      <c r="V66" s="13"/>
      <c r="W66" s="13">
        <v>45819</v>
      </c>
      <c r="X66" s="11" t="s">
        <v>245</v>
      </c>
      <c r="Y66" s="4" t="str">
        <f>IF(Tabela2[[#This Row],[SIGLA]]="","",VLOOKUP(Tabela2[[#This Row],[SIGLA]],Tabela1[[#All],[Sigla Arte]:[Crédito]],2,0))</f>
        <v>HELOÍSA PINTARELLI/ARQUIVO DA EDITORA</v>
      </c>
      <c r="Z66" s="12"/>
      <c r="AA66" s="12" t="str">
        <f>Tabela2[[#This Row],[ILUSTRADOR CRIAÇÃO]]</f>
        <v>HELOÍSA PINTARELLI/ARQUIVO DA EDITORA</v>
      </c>
      <c r="AB66" s="11">
        <v>8</v>
      </c>
      <c r="AC66" s="9" t="s">
        <v>246</v>
      </c>
      <c r="AD66" s="9" t="s">
        <v>22</v>
      </c>
      <c r="AE66" s="4" t="str">
        <f t="shared" ref="AE66:AE129" si="1">"EF1 E002 Port"</f>
        <v>EF1 E002 Port</v>
      </c>
    </row>
    <row r="67" spans="1:31" s="7" customFormat="1" x14ac:dyDescent="0.25">
      <c r="A67" s="12" t="s">
        <v>247</v>
      </c>
      <c r="B67" s="9" t="s">
        <v>40</v>
      </c>
      <c r="C67" s="9" t="s">
        <v>1</v>
      </c>
      <c r="D67" s="9" t="s">
        <v>25</v>
      </c>
      <c r="E67" s="11">
        <v>24</v>
      </c>
      <c r="F67" s="11">
        <v>1</v>
      </c>
      <c r="G67" s="11">
        <v>1</v>
      </c>
      <c r="H67" s="11"/>
      <c r="I67" s="12" t="s">
        <v>9</v>
      </c>
      <c r="J67" s="12"/>
      <c r="K67" s="11"/>
      <c r="L67" s="11"/>
      <c r="M67" s="12"/>
      <c r="N67" s="12"/>
      <c r="O67" s="32" t="s">
        <v>248</v>
      </c>
      <c r="P67" s="9"/>
      <c r="Q67" s="9"/>
      <c r="R67" s="11">
        <v>6</v>
      </c>
      <c r="S67" s="13">
        <v>45812</v>
      </c>
      <c r="T67" s="13">
        <v>45814</v>
      </c>
      <c r="U67" s="13"/>
      <c r="V67" s="13"/>
      <c r="W67" s="13">
        <v>45819</v>
      </c>
      <c r="X67" s="11" t="s">
        <v>245</v>
      </c>
      <c r="Y67" s="4" t="str">
        <f>IF(Tabela2[[#This Row],[SIGLA]]="","",VLOOKUP(Tabela2[[#This Row],[SIGLA]],Tabela1[[#All],[Sigla Arte]:[Crédito]],2,0))</f>
        <v>HELOÍSA PINTARELLI/ARQUIVO DA EDITORA</v>
      </c>
      <c r="Z67" s="12"/>
      <c r="AA67" s="12" t="str">
        <f>Tabela2[[#This Row],[ILUSTRADOR CRIAÇÃO]]</f>
        <v>HELOÍSA PINTARELLI/ARQUIVO DA EDITORA</v>
      </c>
      <c r="AB67" s="11">
        <v>8</v>
      </c>
      <c r="AC67" s="9" t="s">
        <v>246</v>
      </c>
      <c r="AD67" s="9" t="s">
        <v>22</v>
      </c>
      <c r="AE67" s="4" t="str">
        <f t="shared" si="1"/>
        <v>EF1 E002 Port</v>
      </c>
    </row>
    <row r="68" spans="1:31" s="7" customFormat="1" x14ac:dyDescent="0.25">
      <c r="A68" s="12" t="s">
        <v>249</v>
      </c>
      <c r="B68" s="9" t="s">
        <v>40</v>
      </c>
      <c r="C68" s="9" t="s">
        <v>1</v>
      </c>
      <c r="D68" s="9" t="s">
        <v>25</v>
      </c>
      <c r="E68" s="11">
        <v>24</v>
      </c>
      <c r="F68" s="11">
        <v>1</v>
      </c>
      <c r="G68" s="11">
        <v>1</v>
      </c>
      <c r="H68" s="11"/>
      <c r="I68" s="12" t="s">
        <v>9</v>
      </c>
      <c r="J68" s="12"/>
      <c r="K68" s="11"/>
      <c r="L68" s="11"/>
      <c r="M68" s="12"/>
      <c r="N68" s="12"/>
      <c r="O68" s="32" t="s">
        <v>250</v>
      </c>
      <c r="P68" s="9"/>
      <c r="Q68" s="9"/>
      <c r="R68" s="11">
        <v>6</v>
      </c>
      <c r="S68" s="13">
        <v>45812</v>
      </c>
      <c r="T68" s="13">
        <v>45814</v>
      </c>
      <c r="U68" s="13"/>
      <c r="V68" s="13"/>
      <c r="W68" s="13">
        <v>45819</v>
      </c>
      <c r="X68" s="11" t="s">
        <v>245</v>
      </c>
      <c r="Y68" s="4" t="str">
        <f>IF(Tabela2[[#This Row],[SIGLA]]="","",VLOOKUP(Tabela2[[#This Row],[SIGLA]],Tabela1[[#All],[Sigla Arte]:[Crédito]],2,0))</f>
        <v>HELOÍSA PINTARELLI/ARQUIVO DA EDITORA</v>
      </c>
      <c r="Z68" s="12"/>
      <c r="AA68" s="12" t="str">
        <f>Tabela2[[#This Row],[ILUSTRADOR CRIAÇÃO]]</f>
        <v>HELOÍSA PINTARELLI/ARQUIVO DA EDITORA</v>
      </c>
      <c r="AB68" s="11">
        <v>8</v>
      </c>
      <c r="AC68" s="9" t="s">
        <v>246</v>
      </c>
      <c r="AD68" s="9" t="s">
        <v>22</v>
      </c>
      <c r="AE68" s="4" t="str">
        <f t="shared" si="1"/>
        <v>EF1 E002 Port</v>
      </c>
    </row>
    <row r="69" spans="1:31" s="7" customFormat="1" x14ac:dyDescent="0.25">
      <c r="A69" s="12" t="s">
        <v>251</v>
      </c>
      <c r="B69" s="9" t="s">
        <v>40</v>
      </c>
      <c r="C69" s="9" t="s">
        <v>1</v>
      </c>
      <c r="D69" s="9" t="s">
        <v>25</v>
      </c>
      <c r="E69" s="11">
        <v>24</v>
      </c>
      <c r="F69" s="11">
        <v>1</v>
      </c>
      <c r="G69" s="11">
        <v>1</v>
      </c>
      <c r="H69" s="11"/>
      <c r="I69" s="12" t="s">
        <v>9</v>
      </c>
      <c r="J69" s="12"/>
      <c r="K69" s="11"/>
      <c r="L69" s="11"/>
      <c r="M69" s="12"/>
      <c r="N69" s="12"/>
      <c r="O69" s="32" t="s">
        <v>252</v>
      </c>
      <c r="P69" s="9"/>
      <c r="Q69" s="9"/>
      <c r="R69" s="11">
        <v>6</v>
      </c>
      <c r="S69" s="13">
        <v>45812</v>
      </c>
      <c r="T69" s="13">
        <v>45814</v>
      </c>
      <c r="U69" s="13"/>
      <c r="V69" s="13"/>
      <c r="W69" s="13">
        <v>45819</v>
      </c>
      <c r="X69" s="11" t="s">
        <v>245</v>
      </c>
      <c r="Y69" s="4" t="str">
        <f>IF(Tabela2[[#This Row],[SIGLA]]="","",VLOOKUP(Tabela2[[#This Row],[SIGLA]],Tabela1[[#All],[Sigla Arte]:[Crédito]],2,0))</f>
        <v>HELOÍSA PINTARELLI/ARQUIVO DA EDITORA</v>
      </c>
      <c r="Z69" s="12"/>
      <c r="AA69" s="12" t="str">
        <f>Tabela2[[#This Row],[ILUSTRADOR CRIAÇÃO]]</f>
        <v>HELOÍSA PINTARELLI/ARQUIVO DA EDITORA</v>
      </c>
      <c r="AB69" s="11">
        <v>8</v>
      </c>
      <c r="AC69" s="9" t="s">
        <v>246</v>
      </c>
      <c r="AD69" s="9" t="s">
        <v>22</v>
      </c>
      <c r="AE69" s="4" t="str">
        <f t="shared" si="1"/>
        <v>EF1 E002 Port</v>
      </c>
    </row>
    <row r="70" spans="1:31" s="7" customFormat="1" x14ac:dyDescent="0.25">
      <c r="A70" s="12" t="s">
        <v>253</v>
      </c>
      <c r="B70" s="9" t="s">
        <v>40</v>
      </c>
      <c r="C70" s="9" t="s">
        <v>1</v>
      </c>
      <c r="D70" s="9" t="s">
        <v>25</v>
      </c>
      <c r="E70" s="11">
        <v>24</v>
      </c>
      <c r="F70" s="11">
        <v>1</v>
      </c>
      <c r="G70" s="11">
        <v>1</v>
      </c>
      <c r="H70" s="11"/>
      <c r="I70" s="12" t="s">
        <v>9</v>
      </c>
      <c r="J70" s="12"/>
      <c r="K70" s="11"/>
      <c r="L70" s="11"/>
      <c r="M70" s="12"/>
      <c r="N70" s="12"/>
      <c r="O70" s="32" t="s">
        <v>254</v>
      </c>
      <c r="P70" s="9"/>
      <c r="Q70" s="9"/>
      <c r="R70" s="11">
        <v>6</v>
      </c>
      <c r="S70" s="13">
        <v>45812</v>
      </c>
      <c r="T70" s="13">
        <v>45814</v>
      </c>
      <c r="U70" s="13"/>
      <c r="V70" s="13"/>
      <c r="W70" s="13">
        <v>45819</v>
      </c>
      <c r="X70" s="11" t="s">
        <v>245</v>
      </c>
      <c r="Y70" s="4" t="str">
        <f>IF(Tabela2[[#This Row],[SIGLA]]="","",VLOOKUP(Tabela2[[#This Row],[SIGLA]],Tabela1[[#All],[Sigla Arte]:[Crédito]],2,0))</f>
        <v>HELOÍSA PINTARELLI/ARQUIVO DA EDITORA</v>
      </c>
      <c r="Z70" s="12"/>
      <c r="AA70" s="12" t="str">
        <f>Tabela2[[#This Row],[ILUSTRADOR CRIAÇÃO]]</f>
        <v>HELOÍSA PINTARELLI/ARQUIVO DA EDITORA</v>
      </c>
      <c r="AB70" s="11">
        <v>7</v>
      </c>
      <c r="AC70" s="9" t="s">
        <v>246</v>
      </c>
      <c r="AD70" s="9" t="s">
        <v>22</v>
      </c>
      <c r="AE70" s="4" t="str">
        <f t="shared" si="1"/>
        <v>EF1 E002 Port</v>
      </c>
    </row>
    <row r="71" spans="1:31" s="7" customFormat="1" ht="30" x14ac:dyDescent="0.25">
      <c r="A71" s="12" t="s">
        <v>255</v>
      </c>
      <c r="B71" s="9" t="s">
        <v>40</v>
      </c>
      <c r="C71" s="9" t="s">
        <v>1</v>
      </c>
      <c r="D71" s="9" t="s">
        <v>25</v>
      </c>
      <c r="E71" s="11">
        <v>26</v>
      </c>
      <c r="F71" s="11">
        <v>1</v>
      </c>
      <c r="G71" s="11">
        <v>1</v>
      </c>
      <c r="H71" s="11"/>
      <c r="I71" s="12" t="s">
        <v>9</v>
      </c>
      <c r="J71" s="12"/>
      <c r="K71" s="11"/>
      <c r="L71" s="11"/>
      <c r="M71" s="12"/>
      <c r="N71" s="12"/>
      <c r="O71" s="32" t="s">
        <v>256</v>
      </c>
      <c r="P71" s="9"/>
      <c r="Q71" s="9"/>
      <c r="R71" s="11">
        <v>6</v>
      </c>
      <c r="S71" s="13">
        <v>45812</v>
      </c>
      <c r="T71" s="13">
        <v>45814</v>
      </c>
      <c r="U71" s="13">
        <v>45828</v>
      </c>
      <c r="V71" s="13">
        <v>45831</v>
      </c>
      <c r="W71" s="13">
        <v>45838</v>
      </c>
      <c r="X71" s="11" t="s">
        <v>119</v>
      </c>
      <c r="Y71" s="4" t="str">
        <f>IF(Tabela2[[#This Row],[SIGLA]]="","",VLOOKUP(Tabela2[[#This Row],[SIGLA]],Tabela1[[#All],[Sigla Arte]:[Crédito]],2,0))</f>
        <v>DANIEL WU/ARQUIVO DA EDITORA</v>
      </c>
      <c r="Z71" s="12"/>
      <c r="AA71" s="12" t="str">
        <f>Tabela2[[#This Row],[ILUSTRADOR CRIAÇÃO]]</f>
        <v>DANIEL WU/ARQUIVO DA EDITORA</v>
      </c>
      <c r="AB71" s="11">
        <v>7</v>
      </c>
      <c r="AC71" s="9" t="s">
        <v>224</v>
      </c>
      <c r="AD71" s="9" t="s">
        <v>22</v>
      </c>
      <c r="AE71" s="4" t="str">
        <f t="shared" si="1"/>
        <v>EF1 E002 Port</v>
      </c>
    </row>
    <row r="72" spans="1:31" s="7" customFormat="1" ht="150" x14ac:dyDescent="0.25">
      <c r="A72" s="12" t="s">
        <v>257</v>
      </c>
      <c r="B72" s="9" t="s">
        <v>42</v>
      </c>
      <c r="C72" s="9" t="s">
        <v>1</v>
      </c>
      <c r="D72" s="9" t="s">
        <v>25</v>
      </c>
      <c r="E72" s="11">
        <v>26</v>
      </c>
      <c r="F72" s="11">
        <v>1</v>
      </c>
      <c r="G72" s="11">
        <v>1</v>
      </c>
      <c r="H72" s="11"/>
      <c r="I72" s="12" t="s">
        <v>9</v>
      </c>
      <c r="J72" s="12"/>
      <c r="K72" s="11"/>
      <c r="L72" s="11"/>
      <c r="M72" s="12"/>
      <c r="N72" s="12"/>
      <c r="O72" s="32" t="s">
        <v>258</v>
      </c>
      <c r="P72" s="9"/>
      <c r="Q72" s="9" t="s">
        <v>259</v>
      </c>
      <c r="R72" s="11">
        <v>6</v>
      </c>
      <c r="S72" s="13">
        <v>45812</v>
      </c>
      <c r="T72" s="13">
        <v>45814</v>
      </c>
      <c r="U72" s="13">
        <v>45828</v>
      </c>
      <c r="V72" s="13"/>
      <c r="W72" s="13"/>
      <c r="X72" s="11" t="s">
        <v>119</v>
      </c>
      <c r="Y72" s="4" t="str">
        <f>IF(Tabela2[[#This Row],[SIGLA]]="","",VLOOKUP(Tabela2[[#This Row],[SIGLA]],Tabela1[[#All],[Sigla Arte]:[Crédito]],2,0))</f>
        <v>DANIEL WU/ARQUIVO DA EDITORA</v>
      </c>
      <c r="Z72" s="12"/>
      <c r="AA72" s="12" t="str">
        <f>Tabela2[[#This Row],[ILUSTRADOR CRIAÇÃO]]</f>
        <v>DANIEL WU/ARQUIVO DA EDITORA</v>
      </c>
      <c r="AB72" s="11">
        <v>6</v>
      </c>
      <c r="AC72" s="9" t="s">
        <v>260</v>
      </c>
      <c r="AD72" s="9" t="s">
        <v>27</v>
      </c>
      <c r="AE72" s="4" t="str">
        <f t="shared" si="1"/>
        <v>EF1 E002 Port</v>
      </c>
    </row>
    <row r="73" spans="1:31" s="7" customFormat="1" ht="105" x14ac:dyDescent="0.25">
      <c r="A73" s="12" t="s">
        <v>261</v>
      </c>
      <c r="B73" s="9" t="s">
        <v>40</v>
      </c>
      <c r="C73" s="9" t="s">
        <v>1</v>
      </c>
      <c r="D73" s="9" t="s">
        <v>25</v>
      </c>
      <c r="E73" s="11">
        <v>29</v>
      </c>
      <c r="F73" s="11">
        <v>1</v>
      </c>
      <c r="G73" s="11">
        <v>1</v>
      </c>
      <c r="H73" s="11"/>
      <c r="I73" s="12" t="s">
        <v>9</v>
      </c>
      <c r="J73" s="12"/>
      <c r="K73" s="11"/>
      <c r="L73" s="11"/>
      <c r="M73" s="12"/>
      <c r="N73" s="12"/>
      <c r="O73" s="32" t="s">
        <v>262</v>
      </c>
      <c r="P73" s="9"/>
      <c r="Q73" s="9"/>
      <c r="R73" s="11">
        <v>6</v>
      </c>
      <c r="S73" s="13">
        <v>45812</v>
      </c>
      <c r="T73" s="13">
        <v>45814</v>
      </c>
      <c r="U73" s="13">
        <v>45820</v>
      </c>
      <c r="V73" s="13">
        <v>45825</v>
      </c>
      <c r="W73" s="13">
        <v>45828</v>
      </c>
      <c r="X73" s="11" t="s">
        <v>99</v>
      </c>
      <c r="Y73" s="4" t="str">
        <f>IF(Tabela2[[#This Row],[SIGLA]]="","",VLOOKUP(Tabela2[[#This Row],[SIGLA]],Tabela1[[#All],[Sigla Arte]:[Crédito]],2,0))</f>
        <v>VERIDIANA PEGORARO CAMELO/ARQUIVO DA EDITORA</v>
      </c>
      <c r="Z73" s="12"/>
      <c r="AA73" s="12" t="str">
        <f>Tabela2[[#This Row],[ILUSTRADOR CRIAÇÃO]]</f>
        <v>VERIDIANA PEGORARO CAMELO/ARQUIVO DA EDITORA</v>
      </c>
      <c r="AB73" s="11">
        <v>5</v>
      </c>
      <c r="AC73" s="9" t="s">
        <v>263</v>
      </c>
      <c r="AD73" s="9" t="s">
        <v>22</v>
      </c>
      <c r="AE73" s="4" t="str">
        <f t="shared" si="1"/>
        <v>EF1 E002 Port</v>
      </c>
    </row>
    <row r="74" spans="1:31" s="7" customFormat="1" ht="180" x14ac:dyDescent="0.25">
      <c r="A74" s="12" t="s">
        <v>264</v>
      </c>
      <c r="B74" s="9" t="s">
        <v>40</v>
      </c>
      <c r="C74" s="9" t="s">
        <v>1</v>
      </c>
      <c r="D74" s="9" t="s">
        <v>25</v>
      </c>
      <c r="E74" s="11">
        <v>30</v>
      </c>
      <c r="F74" s="11">
        <v>1</v>
      </c>
      <c r="G74" s="11">
        <v>1</v>
      </c>
      <c r="H74" s="11"/>
      <c r="I74" s="12" t="s">
        <v>9</v>
      </c>
      <c r="J74" s="12"/>
      <c r="K74" s="11"/>
      <c r="L74" s="11"/>
      <c r="M74" s="12"/>
      <c r="N74" s="12"/>
      <c r="O74" s="32" t="s">
        <v>265</v>
      </c>
      <c r="P74" s="9"/>
      <c r="Q74" s="9"/>
      <c r="R74" s="11">
        <v>6</v>
      </c>
      <c r="S74" s="13">
        <v>45812</v>
      </c>
      <c r="T74" s="13">
        <v>45814</v>
      </c>
      <c r="U74" s="13">
        <v>45817</v>
      </c>
      <c r="V74" s="13">
        <v>45820</v>
      </c>
      <c r="W74" s="13">
        <v>45828</v>
      </c>
      <c r="X74" s="11" t="s">
        <v>220</v>
      </c>
      <c r="Y74" s="4" t="str">
        <f>IF(Tabela2[[#This Row],[SIGLA]]="","",VLOOKUP(Tabela2[[#This Row],[SIGLA]],Tabela1[[#All],[Sigla Arte]:[Crédito]],2,0))</f>
        <v>CLARISSA FRANÇA/ARQUIVO DA EDITORA</v>
      </c>
      <c r="Z74" s="12"/>
      <c r="AA74" s="12" t="str">
        <f>Tabela2[[#This Row],[ILUSTRADOR CRIAÇÃO]]</f>
        <v>CLARISSA FRANÇA/ARQUIVO DA EDITORA</v>
      </c>
      <c r="AB74" s="11">
        <v>6</v>
      </c>
      <c r="AC74" s="9" t="s">
        <v>221</v>
      </c>
      <c r="AD74" s="9" t="s">
        <v>22</v>
      </c>
      <c r="AE74" s="4" t="str">
        <f t="shared" si="1"/>
        <v>EF1 E002 Port</v>
      </c>
    </row>
    <row r="75" spans="1:31" s="7" customFormat="1" ht="165" x14ac:dyDescent="0.25">
      <c r="A75" s="12" t="s">
        <v>266</v>
      </c>
      <c r="B75" s="9" t="s">
        <v>40</v>
      </c>
      <c r="C75" s="9" t="s">
        <v>1</v>
      </c>
      <c r="D75" s="9" t="s">
        <v>25</v>
      </c>
      <c r="E75" s="11">
        <v>31</v>
      </c>
      <c r="F75" s="11">
        <v>1</v>
      </c>
      <c r="G75" s="11">
        <v>1</v>
      </c>
      <c r="H75" s="11"/>
      <c r="I75" s="12" t="s">
        <v>9</v>
      </c>
      <c r="J75" s="12"/>
      <c r="K75" s="11"/>
      <c r="L75" s="11"/>
      <c r="M75" s="12"/>
      <c r="N75" s="12"/>
      <c r="O75" s="32" t="s">
        <v>267</v>
      </c>
      <c r="P75" s="9"/>
      <c r="Q75" s="9"/>
      <c r="R75" s="11">
        <v>6</v>
      </c>
      <c r="S75" s="13">
        <v>45812</v>
      </c>
      <c r="T75" s="13">
        <v>45814</v>
      </c>
      <c r="U75" s="13">
        <v>45817</v>
      </c>
      <c r="V75" s="13">
        <v>45820</v>
      </c>
      <c r="W75" s="13">
        <v>45828</v>
      </c>
      <c r="X75" s="11" t="s">
        <v>220</v>
      </c>
      <c r="Y75" s="4" t="str">
        <f>IF(Tabela2[[#This Row],[SIGLA]]="","",VLOOKUP(Tabela2[[#This Row],[SIGLA]],Tabela1[[#All],[Sigla Arte]:[Crédito]],2,0))</f>
        <v>CLARISSA FRANÇA/ARQUIVO DA EDITORA</v>
      </c>
      <c r="Z75" s="12"/>
      <c r="AA75" s="12" t="str">
        <f>Tabela2[[#This Row],[ILUSTRADOR CRIAÇÃO]]</f>
        <v>CLARISSA FRANÇA/ARQUIVO DA EDITORA</v>
      </c>
      <c r="AB75" s="11">
        <v>5</v>
      </c>
      <c r="AC75" s="9" t="s">
        <v>221</v>
      </c>
      <c r="AD75" s="9" t="s">
        <v>22</v>
      </c>
      <c r="AE75" s="4" t="str">
        <f t="shared" si="1"/>
        <v>EF1 E002 Port</v>
      </c>
    </row>
    <row r="76" spans="1:31" s="7" customFormat="1" ht="60" x14ac:dyDescent="0.25">
      <c r="A76" s="12" t="s">
        <v>268</v>
      </c>
      <c r="B76" s="9" t="s">
        <v>40</v>
      </c>
      <c r="C76" s="9" t="s">
        <v>1</v>
      </c>
      <c r="D76" s="9" t="s">
        <v>25</v>
      </c>
      <c r="E76" s="11">
        <v>33</v>
      </c>
      <c r="F76" s="11">
        <v>1</v>
      </c>
      <c r="G76" s="11">
        <v>1</v>
      </c>
      <c r="H76" s="11"/>
      <c r="I76" s="12" t="s">
        <v>9</v>
      </c>
      <c r="J76" s="12"/>
      <c r="K76" s="11"/>
      <c r="L76" s="11"/>
      <c r="M76" s="12"/>
      <c r="N76" s="12"/>
      <c r="O76" s="32" t="s">
        <v>269</v>
      </c>
      <c r="P76" s="9"/>
      <c r="Q76" s="9"/>
      <c r="R76" s="11">
        <v>6</v>
      </c>
      <c r="S76" s="13">
        <v>45812</v>
      </c>
      <c r="T76" s="13">
        <v>45814</v>
      </c>
      <c r="U76" s="13">
        <v>45817</v>
      </c>
      <c r="V76" s="13">
        <v>45820</v>
      </c>
      <c r="W76" s="13">
        <v>45828</v>
      </c>
      <c r="X76" s="11" t="s">
        <v>220</v>
      </c>
      <c r="Y76" s="4" t="str">
        <f>IF(Tabela2[[#This Row],[SIGLA]]="","",VLOOKUP(Tabela2[[#This Row],[SIGLA]],Tabela1[[#All],[Sigla Arte]:[Crédito]],2,0))</f>
        <v>CLARISSA FRANÇA/ARQUIVO DA EDITORA</v>
      </c>
      <c r="Z76" s="12"/>
      <c r="AA76" s="12" t="str">
        <f>Tabela2[[#This Row],[ILUSTRADOR CRIAÇÃO]]</f>
        <v>CLARISSA FRANÇA/ARQUIVO DA EDITORA</v>
      </c>
      <c r="AB76" s="11">
        <v>6</v>
      </c>
      <c r="AC76" s="9" t="s">
        <v>221</v>
      </c>
      <c r="AD76" s="9" t="s">
        <v>22</v>
      </c>
      <c r="AE76" s="4" t="str">
        <f t="shared" si="1"/>
        <v>EF1 E002 Port</v>
      </c>
    </row>
    <row r="77" spans="1:31" s="7" customFormat="1" ht="30" x14ac:dyDescent="0.25">
      <c r="A77" s="12" t="s">
        <v>270</v>
      </c>
      <c r="B77" s="9" t="s">
        <v>40</v>
      </c>
      <c r="C77" s="9" t="s">
        <v>1</v>
      </c>
      <c r="D77" s="9" t="s">
        <v>25</v>
      </c>
      <c r="E77" s="11">
        <v>34</v>
      </c>
      <c r="F77" s="11">
        <v>1</v>
      </c>
      <c r="G77" s="11">
        <v>1</v>
      </c>
      <c r="H77" s="11"/>
      <c r="I77" s="12" t="s">
        <v>9</v>
      </c>
      <c r="J77" s="12"/>
      <c r="K77" s="11"/>
      <c r="L77" s="11"/>
      <c r="M77" s="12"/>
      <c r="N77" s="12"/>
      <c r="O77" s="32" t="s">
        <v>271</v>
      </c>
      <c r="P77" s="9"/>
      <c r="Q77" s="9"/>
      <c r="R77" s="11">
        <v>6</v>
      </c>
      <c r="S77" s="13">
        <v>45812</v>
      </c>
      <c r="T77" s="13">
        <v>45814</v>
      </c>
      <c r="U77" s="13">
        <v>45817</v>
      </c>
      <c r="V77" s="13">
        <v>45820</v>
      </c>
      <c r="W77" s="13">
        <v>45828</v>
      </c>
      <c r="X77" s="11" t="s">
        <v>220</v>
      </c>
      <c r="Y77" s="4" t="str">
        <f>IF(Tabela2[[#This Row],[SIGLA]]="","",VLOOKUP(Tabela2[[#This Row],[SIGLA]],Tabela1[[#All],[Sigla Arte]:[Crédito]],2,0))</f>
        <v>CLARISSA FRANÇA/ARQUIVO DA EDITORA</v>
      </c>
      <c r="Z77" s="12"/>
      <c r="AA77" s="12" t="str">
        <f>Tabela2[[#This Row],[ILUSTRADOR CRIAÇÃO]]</f>
        <v>CLARISSA FRANÇA/ARQUIVO DA EDITORA</v>
      </c>
      <c r="AB77" s="11">
        <v>13</v>
      </c>
      <c r="AC77" s="9" t="s">
        <v>221</v>
      </c>
      <c r="AD77" s="9" t="s">
        <v>22</v>
      </c>
      <c r="AE77" s="4" t="str">
        <f t="shared" si="1"/>
        <v>EF1 E002 Port</v>
      </c>
    </row>
    <row r="78" spans="1:31" s="7" customFormat="1" ht="30" x14ac:dyDescent="0.25">
      <c r="A78" s="12" t="s">
        <v>272</v>
      </c>
      <c r="B78" s="9" t="s">
        <v>40</v>
      </c>
      <c r="C78" s="9" t="s">
        <v>1</v>
      </c>
      <c r="D78" s="9" t="s">
        <v>25</v>
      </c>
      <c r="E78" s="11">
        <v>34</v>
      </c>
      <c r="F78" s="11">
        <v>1</v>
      </c>
      <c r="G78" s="11">
        <v>1</v>
      </c>
      <c r="H78" s="11"/>
      <c r="I78" s="12" t="s">
        <v>9</v>
      </c>
      <c r="J78" s="12"/>
      <c r="K78" s="11"/>
      <c r="L78" s="11"/>
      <c r="M78" s="12"/>
      <c r="N78" s="12"/>
      <c r="O78" s="32" t="s">
        <v>271</v>
      </c>
      <c r="P78" s="9"/>
      <c r="Q78" s="9"/>
      <c r="R78" s="11">
        <v>6</v>
      </c>
      <c r="S78" s="13">
        <v>45812</v>
      </c>
      <c r="T78" s="13">
        <v>45814</v>
      </c>
      <c r="U78" s="13">
        <v>45817</v>
      </c>
      <c r="V78" s="13">
        <v>45820</v>
      </c>
      <c r="W78" s="13">
        <v>45828</v>
      </c>
      <c r="X78" s="11" t="s">
        <v>220</v>
      </c>
      <c r="Y78" s="4" t="str">
        <f>IF(Tabela2[[#This Row],[SIGLA]]="","",VLOOKUP(Tabela2[[#This Row],[SIGLA]],Tabela1[[#All],[Sigla Arte]:[Crédito]],2,0))</f>
        <v>CLARISSA FRANÇA/ARQUIVO DA EDITORA</v>
      </c>
      <c r="Z78" s="12"/>
      <c r="AA78" s="12" t="str">
        <f>Tabela2[[#This Row],[ILUSTRADOR CRIAÇÃO]]</f>
        <v>CLARISSA FRANÇA/ARQUIVO DA EDITORA</v>
      </c>
      <c r="AB78" s="11">
        <v>13</v>
      </c>
      <c r="AC78" s="9" t="s">
        <v>221</v>
      </c>
      <c r="AD78" s="9" t="s">
        <v>22</v>
      </c>
      <c r="AE78" s="4" t="str">
        <f t="shared" si="1"/>
        <v>EF1 E002 Port</v>
      </c>
    </row>
    <row r="79" spans="1:31" s="7" customFormat="1" x14ac:dyDescent="0.25">
      <c r="A79" s="12" t="s">
        <v>273</v>
      </c>
      <c r="B79" s="9" t="s">
        <v>40</v>
      </c>
      <c r="C79" s="9" t="s">
        <v>1</v>
      </c>
      <c r="D79" s="9" t="s">
        <v>25</v>
      </c>
      <c r="E79" s="11">
        <v>34</v>
      </c>
      <c r="F79" s="11">
        <v>1</v>
      </c>
      <c r="G79" s="11">
        <v>1</v>
      </c>
      <c r="H79" s="11"/>
      <c r="I79" s="12" t="s">
        <v>9</v>
      </c>
      <c r="J79" s="12"/>
      <c r="K79" s="11"/>
      <c r="L79" s="11"/>
      <c r="M79" s="12"/>
      <c r="N79" s="12"/>
      <c r="O79" s="32" t="s">
        <v>274</v>
      </c>
      <c r="P79" s="9"/>
      <c r="Q79" s="9"/>
      <c r="R79" s="11">
        <v>6</v>
      </c>
      <c r="S79" s="13">
        <v>45812</v>
      </c>
      <c r="T79" s="13">
        <v>45814</v>
      </c>
      <c r="U79" s="13">
        <v>45817</v>
      </c>
      <c r="V79" s="13">
        <v>45820</v>
      </c>
      <c r="W79" s="13">
        <v>45828</v>
      </c>
      <c r="X79" s="11" t="s">
        <v>220</v>
      </c>
      <c r="Y79" s="4" t="str">
        <f>IF(Tabela2[[#This Row],[SIGLA]]="","",VLOOKUP(Tabela2[[#This Row],[SIGLA]],Tabela1[[#All],[Sigla Arte]:[Crédito]],2,0))</f>
        <v>CLARISSA FRANÇA/ARQUIVO DA EDITORA</v>
      </c>
      <c r="Z79" s="12"/>
      <c r="AA79" s="12" t="str">
        <f>Tabela2[[#This Row],[ILUSTRADOR CRIAÇÃO]]</f>
        <v>CLARISSA FRANÇA/ARQUIVO DA EDITORA</v>
      </c>
      <c r="AB79" s="11">
        <v>8</v>
      </c>
      <c r="AC79" s="9" t="s">
        <v>221</v>
      </c>
      <c r="AD79" s="9" t="s">
        <v>22</v>
      </c>
      <c r="AE79" s="4" t="str">
        <f t="shared" si="1"/>
        <v>EF1 E002 Port</v>
      </c>
    </row>
    <row r="80" spans="1:31" s="7" customFormat="1" ht="75" x14ac:dyDescent="0.25">
      <c r="A80" s="12" t="s">
        <v>275</v>
      </c>
      <c r="B80" s="9" t="s">
        <v>40</v>
      </c>
      <c r="C80" s="9" t="s">
        <v>1</v>
      </c>
      <c r="D80" s="9" t="s">
        <v>25</v>
      </c>
      <c r="E80" s="11">
        <v>34</v>
      </c>
      <c r="F80" s="11">
        <v>1</v>
      </c>
      <c r="G80" s="11">
        <v>1</v>
      </c>
      <c r="H80" s="11"/>
      <c r="I80" s="12" t="s">
        <v>9</v>
      </c>
      <c r="J80" s="12"/>
      <c r="K80" s="11"/>
      <c r="L80" s="11"/>
      <c r="M80" s="12"/>
      <c r="N80" s="12"/>
      <c r="O80" s="32" t="s">
        <v>276</v>
      </c>
      <c r="P80" s="9"/>
      <c r="Q80" s="9"/>
      <c r="R80" s="11">
        <v>6</v>
      </c>
      <c r="S80" s="13">
        <v>45812</v>
      </c>
      <c r="T80" s="13">
        <v>45814</v>
      </c>
      <c r="U80" s="13">
        <v>45820</v>
      </c>
      <c r="V80" s="13">
        <v>45825</v>
      </c>
      <c r="W80" s="13">
        <v>45828</v>
      </c>
      <c r="X80" s="11" t="s">
        <v>99</v>
      </c>
      <c r="Y80" s="4" t="str">
        <f>IF(Tabela2[[#This Row],[SIGLA]]="","",VLOOKUP(Tabela2[[#This Row],[SIGLA]],Tabela1[[#All],[Sigla Arte]:[Crédito]],2,0))</f>
        <v>VERIDIANA PEGORARO CAMELO/ARQUIVO DA EDITORA</v>
      </c>
      <c r="Z80" s="12"/>
      <c r="AA80" s="12" t="str">
        <f>Tabela2[[#This Row],[ILUSTRADOR CRIAÇÃO]]</f>
        <v>VERIDIANA PEGORARO CAMELO/ARQUIVO DA EDITORA</v>
      </c>
      <c r="AB80" s="11">
        <v>5</v>
      </c>
      <c r="AC80" s="9" t="s">
        <v>263</v>
      </c>
      <c r="AD80" s="9" t="s">
        <v>22</v>
      </c>
      <c r="AE80" s="4" t="str">
        <f t="shared" si="1"/>
        <v>EF1 E002 Port</v>
      </c>
    </row>
    <row r="81" spans="1:31" s="7" customFormat="1" ht="45" x14ac:dyDescent="0.25">
      <c r="A81" s="12" t="s">
        <v>277</v>
      </c>
      <c r="B81" s="9" t="s">
        <v>37</v>
      </c>
      <c r="C81" s="9" t="s">
        <v>1</v>
      </c>
      <c r="D81" s="9" t="s">
        <v>25</v>
      </c>
      <c r="E81" s="11">
        <v>34</v>
      </c>
      <c r="F81" s="11">
        <v>1</v>
      </c>
      <c r="G81" s="11">
        <v>1</v>
      </c>
      <c r="H81" s="11"/>
      <c r="I81" s="12" t="s">
        <v>9</v>
      </c>
      <c r="J81" s="12"/>
      <c r="K81" s="11"/>
      <c r="L81" s="11"/>
      <c r="M81" s="12"/>
      <c r="N81" s="12"/>
      <c r="O81" s="32" t="s">
        <v>278</v>
      </c>
      <c r="P81" s="9"/>
      <c r="Q81" s="9"/>
      <c r="R81" s="11">
        <v>6</v>
      </c>
      <c r="S81" s="13">
        <v>45812</v>
      </c>
      <c r="T81" s="13">
        <v>45814</v>
      </c>
      <c r="U81" s="13"/>
      <c r="V81" s="13"/>
      <c r="W81" s="13">
        <v>45819</v>
      </c>
      <c r="X81" s="11" t="s">
        <v>245</v>
      </c>
      <c r="Y81" s="4" t="str">
        <f>IF(Tabela2[[#This Row],[SIGLA]]="","",VLOOKUP(Tabela2[[#This Row],[SIGLA]],Tabela1[[#All],[Sigla Arte]:[Crédito]],2,0))</f>
        <v>HELOÍSA PINTARELLI/ARQUIVO DA EDITORA</v>
      </c>
      <c r="Z81" s="12"/>
      <c r="AA81" s="12" t="str">
        <f>Tabela2[[#This Row],[ILUSTRADOR CRIAÇÃO]]</f>
        <v>HELOÍSA PINTARELLI/ARQUIVO DA EDITORA</v>
      </c>
      <c r="AB81" s="11">
        <v>7</v>
      </c>
      <c r="AC81" s="9" t="s">
        <v>246</v>
      </c>
      <c r="AD81" s="9" t="s">
        <v>22</v>
      </c>
      <c r="AE81" s="4" t="str">
        <f t="shared" si="1"/>
        <v>EF1 E002 Port</v>
      </c>
    </row>
    <row r="82" spans="1:31" s="7" customFormat="1" ht="150" x14ac:dyDescent="0.25">
      <c r="A82" s="12" t="s">
        <v>279</v>
      </c>
      <c r="B82" s="9" t="s">
        <v>40</v>
      </c>
      <c r="C82" s="9" t="s">
        <v>1</v>
      </c>
      <c r="D82" s="9" t="s">
        <v>25</v>
      </c>
      <c r="E82" s="11">
        <v>203</v>
      </c>
      <c r="F82" s="11">
        <v>3</v>
      </c>
      <c r="G82" s="11">
        <v>6</v>
      </c>
      <c r="H82" s="11"/>
      <c r="I82" s="12" t="s">
        <v>9</v>
      </c>
      <c r="J82" s="12"/>
      <c r="K82" s="11"/>
      <c r="L82" s="11"/>
      <c r="M82" s="12"/>
      <c r="N82" s="12"/>
      <c r="O82" s="32" t="s">
        <v>280</v>
      </c>
      <c r="P82" s="9"/>
      <c r="Q82" s="9"/>
      <c r="R82" s="11">
        <v>8</v>
      </c>
      <c r="S82" s="13">
        <v>45812</v>
      </c>
      <c r="T82" s="13">
        <v>45847</v>
      </c>
      <c r="U82" s="13">
        <v>45853</v>
      </c>
      <c r="V82" s="13">
        <v>45854</v>
      </c>
      <c r="W82" s="13">
        <v>45856</v>
      </c>
      <c r="X82" s="11" t="s">
        <v>281</v>
      </c>
      <c r="Y82" s="4" t="str">
        <f>IF(Tabela2[[#This Row],[SIGLA]]="","",VLOOKUP(Tabela2[[#This Row],[SIGLA]],Tabela1[[#All],[Sigla Arte]:[Crédito]],2,0))</f>
        <v>GUILHERME RODRIGUES/ARQUIVO DA EDITORA</v>
      </c>
      <c r="Z82" s="12"/>
      <c r="AA82" s="12" t="str">
        <f>Tabela2[[#This Row],[ILUSTRADOR CRIAÇÃO]]</f>
        <v>GUILHERME RODRIGUES/ARQUIVO DA EDITORA</v>
      </c>
      <c r="AB82" s="11">
        <v>4</v>
      </c>
      <c r="AC82" s="9" t="s">
        <v>282</v>
      </c>
      <c r="AD82" s="9" t="s">
        <v>22</v>
      </c>
      <c r="AE82" s="4" t="str">
        <f t="shared" si="1"/>
        <v>EF1 E002 Port</v>
      </c>
    </row>
    <row r="83" spans="1:31" s="7" customFormat="1" ht="45" x14ac:dyDescent="0.25">
      <c r="A83" s="12" t="s">
        <v>283</v>
      </c>
      <c r="B83" s="9" t="s">
        <v>40</v>
      </c>
      <c r="C83" s="9" t="s">
        <v>1</v>
      </c>
      <c r="D83" s="9" t="s">
        <v>25</v>
      </c>
      <c r="E83" s="11">
        <v>188</v>
      </c>
      <c r="F83" s="11">
        <v>3</v>
      </c>
      <c r="G83" s="11">
        <v>6</v>
      </c>
      <c r="H83" s="11"/>
      <c r="I83" s="12" t="s">
        <v>9</v>
      </c>
      <c r="J83" s="12"/>
      <c r="K83" s="11"/>
      <c r="L83" s="11"/>
      <c r="M83" s="12"/>
      <c r="N83" s="12"/>
      <c r="O83" s="32" t="s">
        <v>284</v>
      </c>
      <c r="P83" s="9"/>
      <c r="Q83" s="9"/>
      <c r="R83" s="11">
        <v>8</v>
      </c>
      <c r="S83" s="13">
        <v>45812</v>
      </c>
      <c r="T83" s="13">
        <v>45847</v>
      </c>
      <c r="U83" s="13">
        <v>45853</v>
      </c>
      <c r="V83" s="13">
        <v>45854</v>
      </c>
      <c r="W83" s="13">
        <v>45856</v>
      </c>
      <c r="X83" s="11" t="s">
        <v>281</v>
      </c>
      <c r="Y83" s="4" t="str">
        <f>IF(Tabela2[[#This Row],[SIGLA]]="","",VLOOKUP(Tabela2[[#This Row],[SIGLA]],Tabela1[[#All],[Sigla Arte]:[Crédito]],2,0))</f>
        <v>GUILHERME RODRIGUES/ARQUIVO DA EDITORA</v>
      </c>
      <c r="Z83" s="12"/>
      <c r="AA83" s="12" t="str">
        <f>Tabela2[[#This Row],[ILUSTRADOR CRIAÇÃO]]</f>
        <v>GUILHERME RODRIGUES/ARQUIVO DA EDITORA</v>
      </c>
      <c r="AB83" s="11">
        <v>5</v>
      </c>
      <c r="AC83" s="9" t="s">
        <v>282</v>
      </c>
      <c r="AD83" s="9" t="s">
        <v>22</v>
      </c>
      <c r="AE83" s="4" t="str">
        <f t="shared" si="1"/>
        <v>EF1 E002 Port</v>
      </c>
    </row>
    <row r="84" spans="1:31" s="7" customFormat="1" ht="45" x14ac:dyDescent="0.25">
      <c r="A84" s="12" t="s">
        <v>285</v>
      </c>
      <c r="B84" s="9" t="s">
        <v>40</v>
      </c>
      <c r="C84" s="9" t="s">
        <v>1</v>
      </c>
      <c r="D84" s="9" t="s">
        <v>25</v>
      </c>
      <c r="E84" s="11">
        <v>189</v>
      </c>
      <c r="F84" s="11">
        <v>3</v>
      </c>
      <c r="G84" s="11">
        <v>6</v>
      </c>
      <c r="H84" s="11"/>
      <c r="I84" s="12" t="s">
        <v>9</v>
      </c>
      <c r="J84" s="12"/>
      <c r="K84" s="11"/>
      <c r="L84" s="11"/>
      <c r="M84" s="12"/>
      <c r="N84" s="12"/>
      <c r="O84" s="32" t="s">
        <v>286</v>
      </c>
      <c r="P84" s="9"/>
      <c r="Q84" s="9"/>
      <c r="R84" s="11">
        <v>8</v>
      </c>
      <c r="S84" s="13">
        <v>45812</v>
      </c>
      <c r="T84" s="13">
        <v>45847</v>
      </c>
      <c r="U84" s="13">
        <v>45853</v>
      </c>
      <c r="V84" s="13">
        <v>45854</v>
      </c>
      <c r="W84" s="13">
        <v>45856</v>
      </c>
      <c r="X84" s="11" t="s">
        <v>281</v>
      </c>
      <c r="Y84" s="4" t="str">
        <f>IF(Tabela2[[#This Row],[SIGLA]]="","",VLOOKUP(Tabela2[[#This Row],[SIGLA]],Tabela1[[#All],[Sigla Arte]:[Crédito]],2,0))</f>
        <v>GUILHERME RODRIGUES/ARQUIVO DA EDITORA</v>
      </c>
      <c r="Z84" s="12"/>
      <c r="AA84" s="12" t="str">
        <f>Tabela2[[#This Row],[ILUSTRADOR CRIAÇÃO]]</f>
        <v>GUILHERME RODRIGUES/ARQUIVO DA EDITORA</v>
      </c>
      <c r="AB84" s="11">
        <v>5</v>
      </c>
      <c r="AC84" s="9" t="s">
        <v>282</v>
      </c>
      <c r="AD84" s="9" t="s">
        <v>22</v>
      </c>
      <c r="AE84" s="4" t="str">
        <f t="shared" si="1"/>
        <v>EF1 E002 Port</v>
      </c>
    </row>
    <row r="85" spans="1:31" s="7" customFormat="1" ht="45" x14ac:dyDescent="0.25">
      <c r="A85" s="12" t="s">
        <v>287</v>
      </c>
      <c r="B85" s="9" t="s">
        <v>40</v>
      </c>
      <c r="C85" s="9" t="s">
        <v>1</v>
      </c>
      <c r="D85" s="9" t="s">
        <v>25</v>
      </c>
      <c r="E85" s="11">
        <v>190</v>
      </c>
      <c r="F85" s="11">
        <v>3</v>
      </c>
      <c r="G85" s="11">
        <v>6</v>
      </c>
      <c r="H85" s="11"/>
      <c r="I85" s="12" t="s">
        <v>9</v>
      </c>
      <c r="J85" s="12"/>
      <c r="K85" s="11"/>
      <c r="L85" s="11"/>
      <c r="M85" s="12"/>
      <c r="N85" s="12"/>
      <c r="O85" s="32" t="s">
        <v>288</v>
      </c>
      <c r="P85" s="9"/>
      <c r="Q85" s="9"/>
      <c r="R85" s="11">
        <v>8</v>
      </c>
      <c r="S85" s="13">
        <v>45812</v>
      </c>
      <c r="T85" s="13">
        <v>45847</v>
      </c>
      <c r="U85" s="13">
        <v>45853</v>
      </c>
      <c r="V85" s="13">
        <v>45854</v>
      </c>
      <c r="W85" s="13">
        <v>45856</v>
      </c>
      <c r="X85" s="11" t="s">
        <v>281</v>
      </c>
      <c r="Y85" s="4" t="str">
        <f>IF(Tabela2[[#This Row],[SIGLA]]="","",VLOOKUP(Tabela2[[#This Row],[SIGLA]],Tabela1[[#All],[Sigla Arte]:[Crédito]],2,0))</f>
        <v>GUILHERME RODRIGUES/ARQUIVO DA EDITORA</v>
      </c>
      <c r="Z85" s="12"/>
      <c r="AA85" s="12" t="str">
        <f>Tabela2[[#This Row],[ILUSTRADOR CRIAÇÃO]]</f>
        <v>GUILHERME RODRIGUES/ARQUIVO DA EDITORA</v>
      </c>
      <c r="AB85" s="11">
        <v>5</v>
      </c>
      <c r="AC85" s="9" t="s">
        <v>282</v>
      </c>
      <c r="AD85" s="9" t="s">
        <v>22</v>
      </c>
      <c r="AE85" s="4" t="str">
        <f t="shared" si="1"/>
        <v>EF1 E002 Port</v>
      </c>
    </row>
    <row r="86" spans="1:31" s="7" customFormat="1" ht="60" x14ac:dyDescent="0.25">
      <c r="A86" s="12" t="s">
        <v>289</v>
      </c>
      <c r="B86" s="9" t="s">
        <v>42</v>
      </c>
      <c r="C86" s="9" t="s">
        <v>1</v>
      </c>
      <c r="D86" s="9" t="s">
        <v>25</v>
      </c>
      <c r="E86" s="11">
        <v>222</v>
      </c>
      <c r="F86" s="11">
        <v>3</v>
      </c>
      <c r="G86" s="11">
        <v>7</v>
      </c>
      <c r="H86" s="11"/>
      <c r="I86" s="12" t="s">
        <v>9</v>
      </c>
      <c r="J86" s="12"/>
      <c r="K86" s="11"/>
      <c r="L86" s="11"/>
      <c r="M86" s="12"/>
      <c r="N86" s="12"/>
      <c r="O86" s="32" t="s">
        <v>290</v>
      </c>
      <c r="P86" s="9"/>
      <c r="Q86" s="9"/>
      <c r="R86" s="11">
        <v>9</v>
      </c>
      <c r="S86" s="13">
        <v>45812</v>
      </c>
      <c r="T86" s="13">
        <v>45820</v>
      </c>
      <c r="U86" s="13">
        <v>45826</v>
      </c>
      <c r="V86" s="13">
        <v>45831</v>
      </c>
      <c r="W86" s="13">
        <v>45832</v>
      </c>
      <c r="X86" s="11" t="s">
        <v>163</v>
      </c>
      <c r="Y86" s="4" t="str">
        <f>IF(Tabela2[[#This Row],[SIGLA]]="","",VLOOKUP(Tabela2[[#This Row],[SIGLA]],Tabela1[[#All],[Sigla Arte]:[Crédito]],2,0))</f>
        <v>FERNANDA MONTEIRO/ARQUIVO DA EDITORA</v>
      </c>
      <c r="Z86" s="12"/>
      <c r="AA86" s="12" t="str">
        <f>Tabela2[[#This Row],[ILUSTRADOR CRIAÇÃO]]</f>
        <v>FERNANDA MONTEIRO/ARQUIVO DA EDITORA</v>
      </c>
      <c r="AB86" s="11">
        <v>5</v>
      </c>
      <c r="AC86" s="9" t="s">
        <v>291</v>
      </c>
      <c r="AD86" s="9" t="s">
        <v>22</v>
      </c>
      <c r="AE86" s="4" t="str">
        <f t="shared" si="1"/>
        <v>EF1 E002 Port</v>
      </c>
    </row>
    <row r="87" spans="1:31" s="7" customFormat="1" ht="45" x14ac:dyDescent="0.25">
      <c r="A87" s="12" t="s">
        <v>292</v>
      </c>
      <c r="B87" s="9" t="s">
        <v>40</v>
      </c>
      <c r="C87" s="9" t="s">
        <v>1</v>
      </c>
      <c r="D87" s="9" t="s">
        <v>25</v>
      </c>
      <c r="E87" s="11">
        <v>232</v>
      </c>
      <c r="F87" s="11">
        <v>4</v>
      </c>
      <c r="G87" s="11">
        <v>7</v>
      </c>
      <c r="H87" s="11"/>
      <c r="I87" s="12" t="s">
        <v>9</v>
      </c>
      <c r="J87" s="12"/>
      <c r="K87" s="11"/>
      <c r="L87" s="11"/>
      <c r="M87" s="12"/>
      <c r="N87" s="12"/>
      <c r="O87" s="32" t="s">
        <v>293</v>
      </c>
      <c r="P87" s="9"/>
      <c r="Q87" s="9"/>
      <c r="R87" s="11">
        <v>10</v>
      </c>
      <c r="S87" s="13">
        <v>45814</v>
      </c>
      <c r="T87" s="13">
        <v>45817</v>
      </c>
      <c r="U87" s="13">
        <v>45824</v>
      </c>
      <c r="V87" s="13">
        <v>45826</v>
      </c>
      <c r="W87" s="13">
        <v>45833</v>
      </c>
      <c r="X87" s="11" t="s">
        <v>159</v>
      </c>
      <c r="Y87" s="4" t="str">
        <f>IF(Tabela2[[#This Row],[SIGLA]]="","",VLOOKUP(Tabela2[[#This Row],[SIGLA]],Tabela1[[#All],[Sigla Arte]:[Crédito]],2,0))</f>
        <v>GUSTAVO RAMOS/ARQUIVO DA EDITORA</v>
      </c>
      <c r="Z87" s="12"/>
      <c r="AA87" s="12" t="str">
        <f>Tabela2[[#This Row],[ILUSTRADOR CRIAÇÃO]]</f>
        <v>GUSTAVO RAMOS/ARQUIVO DA EDITORA</v>
      </c>
      <c r="AB87" s="11">
        <v>8</v>
      </c>
      <c r="AC87" s="9" t="s">
        <v>294</v>
      </c>
      <c r="AD87" s="9" t="s">
        <v>22</v>
      </c>
      <c r="AE87" s="4" t="str">
        <f t="shared" si="1"/>
        <v>EF1 E002 Port</v>
      </c>
    </row>
    <row r="88" spans="1:31" s="7" customFormat="1" ht="75" x14ac:dyDescent="0.25">
      <c r="A88" s="12" t="s">
        <v>295</v>
      </c>
      <c r="B88" s="9" t="s">
        <v>40</v>
      </c>
      <c r="C88" s="9" t="s">
        <v>1</v>
      </c>
      <c r="D88" s="9" t="s">
        <v>25</v>
      </c>
      <c r="E88" s="11">
        <v>233</v>
      </c>
      <c r="F88" s="11">
        <v>4</v>
      </c>
      <c r="G88" s="11">
        <v>7</v>
      </c>
      <c r="H88" s="11"/>
      <c r="I88" s="12" t="s">
        <v>9</v>
      </c>
      <c r="J88" s="12"/>
      <c r="K88" s="11"/>
      <c r="L88" s="11"/>
      <c r="M88" s="12"/>
      <c r="N88" s="12"/>
      <c r="O88" s="32" t="s">
        <v>296</v>
      </c>
      <c r="P88" s="9"/>
      <c r="Q88" s="9"/>
      <c r="R88" s="11">
        <v>10</v>
      </c>
      <c r="S88" s="13">
        <v>45814</v>
      </c>
      <c r="T88" s="13">
        <v>45817</v>
      </c>
      <c r="U88" s="13">
        <v>45824</v>
      </c>
      <c r="V88" s="13">
        <v>45826</v>
      </c>
      <c r="W88" s="13">
        <v>45833</v>
      </c>
      <c r="X88" s="11" t="s">
        <v>159</v>
      </c>
      <c r="Y88" s="4" t="str">
        <f>IF(Tabela2[[#This Row],[SIGLA]]="","",VLOOKUP(Tabela2[[#This Row],[SIGLA]],Tabela1[[#All],[Sigla Arte]:[Crédito]],2,0))</f>
        <v>GUSTAVO RAMOS/ARQUIVO DA EDITORA</v>
      </c>
      <c r="Z88" s="12"/>
      <c r="AA88" s="12" t="str">
        <f>Tabela2[[#This Row],[ILUSTRADOR CRIAÇÃO]]</f>
        <v>GUSTAVO RAMOS/ARQUIVO DA EDITORA</v>
      </c>
      <c r="AB88" s="11">
        <v>6</v>
      </c>
      <c r="AC88" s="9" t="s">
        <v>294</v>
      </c>
      <c r="AD88" s="9" t="s">
        <v>22</v>
      </c>
      <c r="AE88" s="4" t="str">
        <f t="shared" si="1"/>
        <v>EF1 E002 Port</v>
      </c>
    </row>
    <row r="89" spans="1:31" s="7" customFormat="1" ht="60" x14ac:dyDescent="0.25">
      <c r="A89" s="12" t="s">
        <v>297</v>
      </c>
      <c r="B89" s="9" t="s">
        <v>40</v>
      </c>
      <c r="C89" s="9" t="s">
        <v>1</v>
      </c>
      <c r="D89" s="9" t="s">
        <v>25</v>
      </c>
      <c r="E89" s="11">
        <v>242</v>
      </c>
      <c r="F89" s="11">
        <v>4</v>
      </c>
      <c r="G89" s="11">
        <v>7</v>
      </c>
      <c r="H89" s="11"/>
      <c r="I89" s="12" t="s">
        <v>9</v>
      </c>
      <c r="J89" s="12"/>
      <c r="K89" s="11"/>
      <c r="L89" s="11"/>
      <c r="M89" s="12"/>
      <c r="N89" s="12"/>
      <c r="O89" s="32" t="s">
        <v>298</v>
      </c>
      <c r="P89" s="9"/>
      <c r="Q89" s="9"/>
      <c r="R89" s="11">
        <v>10</v>
      </c>
      <c r="S89" s="13">
        <v>45814</v>
      </c>
      <c r="T89" s="13">
        <v>45817</v>
      </c>
      <c r="U89" s="13">
        <v>45824</v>
      </c>
      <c r="V89" s="13">
        <v>45826</v>
      </c>
      <c r="W89" s="13">
        <v>45833</v>
      </c>
      <c r="X89" s="11" t="s">
        <v>159</v>
      </c>
      <c r="Y89" s="4" t="str">
        <f>IF(Tabela2[[#This Row],[SIGLA]]="","",VLOOKUP(Tabela2[[#This Row],[SIGLA]],Tabela1[[#All],[Sigla Arte]:[Crédito]],2,0))</f>
        <v>GUSTAVO RAMOS/ARQUIVO DA EDITORA</v>
      </c>
      <c r="Z89" s="12"/>
      <c r="AA89" s="12" t="str">
        <f>Tabela2[[#This Row],[ILUSTRADOR CRIAÇÃO]]</f>
        <v>GUSTAVO RAMOS/ARQUIVO DA EDITORA</v>
      </c>
      <c r="AB89" s="11">
        <v>6</v>
      </c>
      <c r="AC89" s="9" t="s">
        <v>294</v>
      </c>
      <c r="AD89" s="9" t="s">
        <v>22</v>
      </c>
      <c r="AE89" s="4" t="str">
        <f t="shared" si="1"/>
        <v>EF1 E002 Port</v>
      </c>
    </row>
    <row r="90" spans="1:31" s="7" customFormat="1" ht="60" x14ac:dyDescent="0.25">
      <c r="A90" s="12" t="s">
        <v>299</v>
      </c>
      <c r="B90" s="9" t="s">
        <v>40</v>
      </c>
      <c r="C90" s="9" t="s">
        <v>1</v>
      </c>
      <c r="D90" s="9" t="s">
        <v>25</v>
      </c>
      <c r="E90" s="11">
        <v>248</v>
      </c>
      <c r="F90" s="11">
        <v>4</v>
      </c>
      <c r="G90" s="11">
        <v>7</v>
      </c>
      <c r="H90" s="11"/>
      <c r="I90" s="12" t="s">
        <v>9</v>
      </c>
      <c r="J90" s="12"/>
      <c r="K90" s="11"/>
      <c r="L90" s="11"/>
      <c r="M90" s="12"/>
      <c r="N90" s="12"/>
      <c r="O90" s="32" t="s">
        <v>300</v>
      </c>
      <c r="P90" s="9"/>
      <c r="Q90" s="9"/>
      <c r="R90" s="11">
        <v>10</v>
      </c>
      <c r="S90" s="13">
        <v>45814</v>
      </c>
      <c r="T90" s="13">
        <v>45817</v>
      </c>
      <c r="U90" s="13">
        <v>45819</v>
      </c>
      <c r="V90" s="13">
        <v>45826</v>
      </c>
      <c r="W90" s="13">
        <v>45831</v>
      </c>
      <c r="X90" s="11" t="s">
        <v>103</v>
      </c>
      <c r="Y90" s="4" t="str">
        <f>IF(Tabela2[[#This Row],[SIGLA]]="","",VLOOKUP(Tabela2[[#This Row],[SIGLA]],Tabela1[[#All],[Sigla Arte]:[Crédito]],2,0))</f>
        <v>BRUNA MENEZES/ARQUIVO DA EDITORA</v>
      </c>
      <c r="Z90" s="12"/>
      <c r="AA90" s="12" t="str">
        <f>Tabela2[[#This Row],[ILUSTRADOR CRIAÇÃO]]</f>
        <v>BRUNA MENEZES/ARQUIVO DA EDITORA</v>
      </c>
      <c r="AB90" s="11">
        <v>5</v>
      </c>
      <c r="AC90" s="9" t="s">
        <v>301</v>
      </c>
      <c r="AD90" s="9" t="s">
        <v>22</v>
      </c>
      <c r="AE90" s="4" t="str">
        <f t="shared" si="1"/>
        <v>EF1 E002 Port</v>
      </c>
    </row>
    <row r="91" spans="1:31" s="7" customFormat="1" ht="30" x14ac:dyDescent="0.25">
      <c r="A91" s="12" t="s">
        <v>302</v>
      </c>
      <c r="B91" s="9" t="s">
        <v>40</v>
      </c>
      <c r="C91" s="9" t="s">
        <v>1</v>
      </c>
      <c r="D91" s="9" t="s">
        <v>25</v>
      </c>
      <c r="E91" s="11">
        <v>248</v>
      </c>
      <c r="F91" s="11">
        <v>4</v>
      </c>
      <c r="G91" s="11">
        <v>7</v>
      </c>
      <c r="H91" s="11"/>
      <c r="I91" s="12" t="s">
        <v>9</v>
      </c>
      <c r="J91" s="12"/>
      <c r="K91" s="11"/>
      <c r="L91" s="11"/>
      <c r="M91" s="12"/>
      <c r="N91" s="12"/>
      <c r="O91" s="32" t="s">
        <v>303</v>
      </c>
      <c r="P91" s="9"/>
      <c r="Q91" s="9"/>
      <c r="R91" s="11">
        <v>10</v>
      </c>
      <c r="S91" s="13">
        <v>45814</v>
      </c>
      <c r="T91" s="13">
        <v>45817</v>
      </c>
      <c r="U91" s="13">
        <v>45819</v>
      </c>
      <c r="V91" s="13">
        <v>45826</v>
      </c>
      <c r="W91" s="13">
        <v>45831</v>
      </c>
      <c r="X91" s="11" t="s">
        <v>103</v>
      </c>
      <c r="Y91" s="4" t="str">
        <f>IF(Tabela2[[#This Row],[SIGLA]]="","",VLOOKUP(Tabela2[[#This Row],[SIGLA]],Tabela1[[#All],[Sigla Arte]:[Crédito]],2,0))</f>
        <v>BRUNA MENEZES/ARQUIVO DA EDITORA</v>
      </c>
      <c r="Z91" s="12"/>
      <c r="AA91" s="12" t="str">
        <f>Tabela2[[#This Row],[ILUSTRADOR CRIAÇÃO]]</f>
        <v>BRUNA MENEZES/ARQUIVO DA EDITORA</v>
      </c>
      <c r="AB91" s="11">
        <v>6</v>
      </c>
      <c r="AC91" s="9" t="s">
        <v>301</v>
      </c>
      <c r="AD91" s="9" t="s">
        <v>22</v>
      </c>
      <c r="AE91" s="4" t="str">
        <f t="shared" si="1"/>
        <v>EF1 E002 Port</v>
      </c>
    </row>
    <row r="92" spans="1:31" s="7" customFormat="1" x14ac:dyDescent="0.25">
      <c r="A92" s="12" t="s">
        <v>304</v>
      </c>
      <c r="B92" s="9" t="s">
        <v>40</v>
      </c>
      <c r="C92" s="9" t="s">
        <v>1</v>
      </c>
      <c r="D92" s="9" t="s">
        <v>25</v>
      </c>
      <c r="E92" s="11">
        <v>252</v>
      </c>
      <c r="F92" s="11">
        <v>4</v>
      </c>
      <c r="G92" s="11">
        <v>7</v>
      </c>
      <c r="H92" s="11"/>
      <c r="I92" s="12" t="s">
        <v>9</v>
      </c>
      <c r="J92" s="12"/>
      <c r="K92" s="11"/>
      <c r="L92" s="11"/>
      <c r="M92" s="12"/>
      <c r="N92" s="12"/>
      <c r="O92" s="32" t="s">
        <v>305</v>
      </c>
      <c r="P92" s="9"/>
      <c r="Q92" s="9"/>
      <c r="R92" s="11">
        <v>10</v>
      </c>
      <c r="S92" s="13">
        <v>45814</v>
      </c>
      <c r="T92" s="13">
        <v>45817</v>
      </c>
      <c r="U92" s="13">
        <v>45819</v>
      </c>
      <c r="V92" s="13">
        <v>45826</v>
      </c>
      <c r="W92" s="13">
        <v>45831</v>
      </c>
      <c r="X92" s="11" t="s">
        <v>103</v>
      </c>
      <c r="Y92" s="4" t="str">
        <f>IF(Tabela2[[#This Row],[SIGLA]]="","",VLOOKUP(Tabela2[[#This Row],[SIGLA]],Tabela1[[#All],[Sigla Arte]:[Crédito]],2,0))</f>
        <v>BRUNA MENEZES/ARQUIVO DA EDITORA</v>
      </c>
      <c r="Z92" s="12"/>
      <c r="AA92" s="12" t="str">
        <f>Tabela2[[#This Row],[ILUSTRADOR CRIAÇÃO]]</f>
        <v>BRUNA MENEZES/ARQUIVO DA EDITORA</v>
      </c>
      <c r="AB92" s="11">
        <v>13</v>
      </c>
      <c r="AC92" s="9" t="s">
        <v>301</v>
      </c>
      <c r="AD92" s="9" t="s">
        <v>22</v>
      </c>
      <c r="AE92" s="4" t="str">
        <f t="shared" si="1"/>
        <v>EF1 E002 Port</v>
      </c>
    </row>
    <row r="93" spans="1:31" s="7" customFormat="1" x14ac:dyDescent="0.25">
      <c r="A93" s="12" t="s">
        <v>306</v>
      </c>
      <c r="B93" s="9" t="s">
        <v>40</v>
      </c>
      <c r="C93" s="9" t="s">
        <v>1</v>
      </c>
      <c r="D93" s="9" t="s">
        <v>25</v>
      </c>
      <c r="E93" s="11">
        <v>255</v>
      </c>
      <c r="F93" s="11">
        <v>4</v>
      </c>
      <c r="G93" s="11">
        <v>7</v>
      </c>
      <c r="H93" s="11"/>
      <c r="I93" s="12" t="s">
        <v>9</v>
      </c>
      <c r="J93" s="12"/>
      <c r="K93" s="11"/>
      <c r="L93" s="11"/>
      <c r="M93" s="12"/>
      <c r="N93" s="12"/>
      <c r="O93" s="32" t="s">
        <v>307</v>
      </c>
      <c r="P93" s="9"/>
      <c r="Q93" s="9"/>
      <c r="R93" s="11">
        <v>10</v>
      </c>
      <c r="S93" s="13">
        <v>45814</v>
      </c>
      <c r="T93" s="13">
        <v>45814</v>
      </c>
      <c r="U93" s="13"/>
      <c r="V93" s="13"/>
      <c r="W93" s="13">
        <v>45832</v>
      </c>
      <c r="X93" s="11" t="s">
        <v>103</v>
      </c>
      <c r="Y93" s="4" t="str">
        <f>IF(Tabela2[[#This Row],[SIGLA]]="","",VLOOKUP(Tabela2[[#This Row],[SIGLA]],Tabela1[[#All],[Sigla Arte]:[Crédito]],2,0))</f>
        <v>BRUNA MENEZES/ARQUIVO DA EDITORA</v>
      </c>
      <c r="Z93" s="12" t="s">
        <v>308</v>
      </c>
      <c r="AA93" s="12" t="str">
        <f>Tabela2[[#This Row],[ILUSTRADOR CRIAÇÃO]]</f>
        <v>BRUNA MENEZES/ARQUIVO DA EDITORA</v>
      </c>
      <c r="AB93" s="11">
        <v>14</v>
      </c>
      <c r="AC93" s="9" t="s">
        <v>309</v>
      </c>
      <c r="AD93" s="9" t="s">
        <v>11</v>
      </c>
      <c r="AE93" s="4" t="str">
        <f t="shared" si="1"/>
        <v>EF1 E002 Port</v>
      </c>
    </row>
    <row r="94" spans="1:31" s="7" customFormat="1" ht="330" x14ac:dyDescent="0.25">
      <c r="A94" s="12" t="s">
        <v>310</v>
      </c>
      <c r="B94" s="9" t="s">
        <v>40</v>
      </c>
      <c r="C94" s="9" t="s">
        <v>1</v>
      </c>
      <c r="D94" s="9" t="s">
        <v>25</v>
      </c>
      <c r="E94" s="11">
        <v>121</v>
      </c>
      <c r="F94" s="11">
        <v>4</v>
      </c>
      <c r="G94" s="11">
        <v>4</v>
      </c>
      <c r="H94" s="11"/>
      <c r="I94" s="12" t="s">
        <v>9</v>
      </c>
      <c r="J94" s="12"/>
      <c r="K94" s="11"/>
      <c r="L94" s="11"/>
      <c r="M94" s="12"/>
      <c r="N94" s="12"/>
      <c r="O94" s="32" t="s">
        <v>311</v>
      </c>
      <c r="P94" s="9"/>
      <c r="Q94" s="9"/>
      <c r="R94" s="11">
        <v>11</v>
      </c>
      <c r="S94" s="13">
        <v>45816</v>
      </c>
      <c r="T94" s="13">
        <v>45819</v>
      </c>
      <c r="U94" s="13">
        <v>45826</v>
      </c>
      <c r="V94" s="13">
        <v>45831</v>
      </c>
      <c r="W94" s="13">
        <v>45833</v>
      </c>
      <c r="X94" s="11" t="s">
        <v>312</v>
      </c>
      <c r="Y94" s="4" t="str">
        <f>IF(Tabela2[[#This Row],[SIGLA]]="","",VLOOKUP(Tabela2[[#This Row],[SIGLA]],Tabela1[[#All],[Sigla Arte]:[Crédito]],2,0))</f>
        <v>CARLITOS PINHEIRO/ARQUIVO DA EDITORA</v>
      </c>
      <c r="Z94" s="12"/>
      <c r="AA94" s="12" t="str">
        <f>Tabela2[[#This Row],[ILUSTRADOR CRIAÇÃO]]</f>
        <v>CARLITOS PINHEIRO/ARQUIVO DA EDITORA</v>
      </c>
      <c r="AB94" s="11">
        <v>3</v>
      </c>
      <c r="AC94" s="9" t="s">
        <v>313</v>
      </c>
      <c r="AD94" s="9" t="s">
        <v>22</v>
      </c>
      <c r="AE94" s="4" t="str">
        <f t="shared" si="1"/>
        <v>EF1 E002 Port</v>
      </c>
    </row>
    <row r="95" spans="1:31" s="7" customFormat="1" ht="105" x14ac:dyDescent="0.25">
      <c r="A95" s="12" t="s">
        <v>314</v>
      </c>
      <c r="B95" s="9" t="s">
        <v>40</v>
      </c>
      <c r="C95" s="9" t="s">
        <v>1</v>
      </c>
      <c r="D95" s="9" t="s">
        <v>25</v>
      </c>
      <c r="E95" s="11">
        <v>129</v>
      </c>
      <c r="F95" s="11">
        <v>4</v>
      </c>
      <c r="G95" s="11">
        <v>4</v>
      </c>
      <c r="H95" s="11"/>
      <c r="I95" s="12" t="s">
        <v>9</v>
      </c>
      <c r="J95" s="12"/>
      <c r="K95" s="11"/>
      <c r="L95" s="11"/>
      <c r="M95" s="12"/>
      <c r="N95" s="12"/>
      <c r="O95" s="32" t="s">
        <v>315</v>
      </c>
      <c r="P95" s="9"/>
      <c r="Q95" s="9"/>
      <c r="R95" s="11">
        <v>11</v>
      </c>
      <c r="S95" s="13">
        <v>45816</v>
      </c>
      <c r="T95" s="13">
        <v>45819</v>
      </c>
      <c r="U95" s="13"/>
      <c r="V95" s="13"/>
      <c r="W95" s="13">
        <v>45820</v>
      </c>
      <c r="X95" s="11" t="s">
        <v>245</v>
      </c>
      <c r="Y95" s="4" t="str">
        <f>IF(Tabela2[[#This Row],[SIGLA]]="","",VLOOKUP(Tabela2[[#This Row],[SIGLA]],Tabela1[[#All],[Sigla Arte]:[Crédito]],2,0))</f>
        <v>HELOÍSA PINTARELLI/ARQUIVO DA EDITORA</v>
      </c>
      <c r="Z95" s="12"/>
      <c r="AA95" s="12" t="str">
        <f>Tabela2[[#This Row],[ILUSTRADOR CRIAÇÃO]]</f>
        <v>HELOÍSA PINTARELLI/ARQUIVO DA EDITORA</v>
      </c>
      <c r="AB95" s="11">
        <v>8</v>
      </c>
      <c r="AC95" s="9" t="s">
        <v>316</v>
      </c>
      <c r="AD95" s="9" t="s">
        <v>22</v>
      </c>
      <c r="AE95" s="4" t="str">
        <f t="shared" si="1"/>
        <v>EF1 E002 Port</v>
      </c>
    </row>
    <row r="96" spans="1:31" s="7" customFormat="1" ht="105" x14ac:dyDescent="0.25">
      <c r="A96" s="12" t="s">
        <v>317</v>
      </c>
      <c r="B96" s="9" t="s">
        <v>40</v>
      </c>
      <c r="C96" s="9" t="s">
        <v>1</v>
      </c>
      <c r="D96" s="9" t="s">
        <v>25</v>
      </c>
      <c r="E96" s="11">
        <v>131</v>
      </c>
      <c r="F96" s="11">
        <v>4</v>
      </c>
      <c r="G96" s="11">
        <v>4</v>
      </c>
      <c r="H96" s="11"/>
      <c r="I96" s="12" t="s">
        <v>9</v>
      </c>
      <c r="J96" s="12"/>
      <c r="K96" s="11"/>
      <c r="L96" s="11"/>
      <c r="M96" s="12"/>
      <c r="N96" s="12"/>
      <c r="O96" s="32" t="s">
        <v>318</v>
      </c>
      <c r="P96" s="9"/>
      <c r="Q96" s="9"/>
      <c r="R96" s="11">
        <v>11</v>
      </c>
      <c r="S96" s="13">
        <v>45816</v>
      </c>
      <c r="T96" s="13">
        <v>45819</v>
      </c>
      <c r="U96" s="13"/>
      <c r="V96" s="13"/>
      <c r="W96" s="13">
        <v>45820</v>
      </c>
      <c r="X96" s="11" t="s">
        <v>245</v>
      </c>
      <c r="Y96" s="4" t="str">
        <f>IF(Tabela2[[#This Row],[SIGLA]]="","",VLOOKUP(Tabela2[[#This Row],[SIGLA]],Tabela1[[#All],[Sigla Arte]:[Crédito]],2,0))</f>
        <v>HELOÍSA PINTARELLI/ARQUIVO DA EDITORA</v>
      </c>
      <c r="Z96" s="12"/>
      <c r="AA96" s="12" t="str">
        <f>Tabela2[[#This Row],[ILUSTRADOR CRIAÇÃO]]</f>
        <v>HELOÍSA PINTARELLI/ARQUIVO DA EDITORA</v>
      </c>
      <c r="AB96" s="11">
        <v>8</v>
      </c>
      <c r="AC96" s="9" t="s">
        <v>316</v>
      </c>
      <c r="AD96" s="9" t="s">
        <v>22</v>
      </c>
      <c r="AE96" s="4" t="str">
        <f t="shared" si="1"/>
        <v>EF1 E002 Port</v>
      </c>
    </row>
    <row r="97" spans="1:31" s="7" customFormat="1" ht="60" x14ac:dyDescent="0.25">
      <c r="A97" s="12" t="s">
        <v>319</v>
      </c>
      <c r="B97" s="9" t="s">
        <v>40</v>
      </c>
      <c r="C97" s="9" t="s">
        <v>1</v>
      </c>
      <c r="D97" s="9" t="s">
        <v>25</v>
      </c>
      <c r="E97" s="11">
        <v>143</v>
      </c>
      <c r="F97" s="11">
        <v>4</v>
      </c>
      <c r="G97" s="11">
        <v>4</v>
      </c>
      <c r="H97" s="11"/>
      <c r="I97" s="12" t="s">
        <v>9</v>
      </c>
      <c r="J97" s="12"/>
      <c r="K97" s="11"/>
      <c r="L97" s="11"/>
      <c r="M97" s="12"/>
      <c r="N97" s="12"/>
      <c r="O97" s="32" t="s">
        <v>320</v>
      </c>
      <c r="P97" s="9"/>
      <c r="Q97" s="9"/>
      <c r="R97" s="11">
        <v>11</v>
      </c>
      <c r="S97" s="13">
        <v>45816</v>
      </c>
      <c r="T97" s="13">
        <v>45819</v>
      </c>
      <c r="U97" s="13"/>
      <c r="V97" s="13"/>
      <c r="W97" s="13">
        <v>45820</v>
      </c>
      <c r="X97" s="11" t="s">
        <v>245</v>
      </c>
      <c r="Y97" s="4" t="str">
        <f>IF(Tabela2[[#This Row],[SIGLA]]="","",VLOOKUP(Tabela2[[#This Row],[SIGLA]],Tabela1[[#All],[Sigla Arte]:[Crédito]],2,0))</f>
        <v>HELOÍSA PINTARELLI/ARQUIVO DA EDITORA</v>
      </c>
      <c r="Z97" s="12"/>
      <c r="AA97" s="12" t="str">
        <f>Tabela2[[#This Row],[ILUSTRADOR CRIAÇÃO]]</f>
        <v>HELOÍSA PINTARELLI/ARQUIVO DA EDITORA</v>
      </c>
      <c r="AB97" s="11">
        <v>8</v>
      </c>
      <c r="AC97" s="9" t="s">
        <v>316</v>
      </c>
      <c r="AD97" s="9" t="s">
        <v>22</v>
      </c>
      <c r="AE97" s="4" t="str">
        <f t="shared" si="1"/>
        <v>EF1 E002 Port</v>
      </c>
    </row>
    <row r="98" spans="1:31" s="7" customFormat="1" ht="45" x14ac:dyDescent="0.25">
      <c r="A98" s="12" t="s">
        <v>321</v>
      </c>
      <c r="B98" s="9" t="s">
        <v>40</v>
      </c>
      <c r="C98" s="9" t="s">
        <v>1</v>
      </c>
      <c r="D98" s="9" t="s">
        <v>25</v>
      </c>
      <c r="E98" s="11">
        <v>144</v>
      </c>
      <c r="F98" s="11">
        <v>4</v>
      </c>
      <c r="G98" s="11">
        <v>4</v>
      </c>
      <c r="H98" s="11"/>
      <c r="I98" s="12" t="s">
        <v>9</v>
      </c>
      <c r="J98" s="12"/>
      <c r="K98" s="11"/>
      <c r="L98" s="11"/>
      <c r="M98" s="12"/>
      <c r="N98" s="12"/>
      <c r="O98" s="32" t="s">
        <v>322</v>
      </c>
      <c r="P98" s="9"/>
      <c r="Q98" s="9"/>
      <c r="R98" s="11">
        <v>11</v>
      </c>
      <c r="S98" s="13">
        <v>45816</v>
      </c>
      <c r="T98" s="13">
        <v>45819</v>
      </c>
      <c r="U98" s="13"/>
      <c r="V98" s="13"/>
      <c r="W98" s="13">
        <v>45820</v>
      </c>
      <c r="X98" s="11" t="s">
        <v>245</v>
      </c>
      <c r="Y98" s="4" t="str">
        <f>IF(Tabela2[[#This Row],[SIGLA]]="","",VLOOKUP(Tabela2[[#This Row],[SIGLA]],Tabela1[[#All],[Sigla Arte]:[Crédito]],2,0))</f>
        <v>HELOÍSA PINTARELLI/ARQUIVO DA EDITORA</v>
      </c>
      <c r="Z98" s="12"/>
      <c r="AA98" s="12" t="str">
        <f>Tabela2[[#This Row],[ILUSTRADOR CRIAÇÃO]]</f>
        <v>HELOÍSA PINTARELLI/ARQUIVO DA EDITORA</v>
      </c>
      <c r="AB98" s="11">
        <v>13</v>
      </c>
      <c r="AC98" s="9" t="s">
        <v>316</v>
      </c>
      <c r="AD98" s="9" t="s">
        <v>22</v>
      </c>
      <c r="AE98" s="4" t="str">
        <f t="shared" si="1"/>
        <v>EF1 E002 Port</v>
      </c>
    </row>
    <row r="99" spans="1:31" s="7" customFormat="1" ht="45" x14ac:dyDescent="0.25">
      <c r="A99" s="12" t="s">
        <v>323</v>
      </c>
      <c r="B99" s="9" t="s">
        <v>40</v>
      </c>
      <c r="C99" s="9" t="s">
        <v>1</v>
      </c>
      <c r="D99" s="9" t="s">
        <v>25</v>
      </c>
      <c r="E99" s="11">
        <v>51</v>
      </c>
      <c r="F99" s="11">
        <v>4</v>
      </c>
      <c r="G99" s="11">
        <v>2</v>
      </c>
      <c r="H99" s="11"/>
      <c r="I99" s="12" t="s">
        <v>9</v>
      </c>
      <c r="J99" s="12"/>
      <c r="K99" s="11"/>
      <c r="L99" s="11"/>
      <c r="M99" s="12"/>
      <c r="N99" s="12"/>
      <c r="O99" s="32" t="s">
        <v>324</v>
      </c>
      <c r="P99" s="9"/>
      <c r="Q99" s="9"/>
      <c r="R99" s="11">
        <v>12</v>
      </c>
      <c r="S99" s="13">
        <v>45817</v>
      </c>
      <c r="T99" s="13">
        <v>45817</v>
      </c>
      <c r="U99" s="13">
        <v>45828</v>
      </c>
      <c r="V99" s="13">
        <v>45831</v>
      </c>
      <c r="W99" s="13">
        <v>45838</v>
      </c>
      <c r="X99" s="11" t="s">
        <v>119</v>
      </c>
      <c r="Y99" s="4" t="str">
        <f>IF(Tabela2[[#This Row],[SIGLA]]="","",VLOOKUP(Tabela2[[#This Row],[SIGLA]],Tabela1[[#All],[Sigla Arte]:[Crédito]],2,0))</f>
        <v>DANIEL WU/ARQUIVO DA EDITORA</v>
      </c>
      <c r="Z99" s="12"/>
      <c r="AA99" s="12" t="str">
        <f>Tabela2[[#This Row],[ILUSTRADOR CRIAÇÃO]]</f>
        <v>DANIEL WU/ARQUIVO DA EDITORA</v>
      </c>
      <c r="AB99" s="11">
        <v>5</v>
      </c>
      <c r="AC99" s="9" t="s">
        <v>224</v>
      </c>
      <c r="AD99" s="9" t="s">
        <v>22</v>
      </c>
      <c r="AE99" s="4" t="str">
        <f t="shared" si="1"/>
        <v>EF1 E002 Port</v>
      </c>
    </row>
    <row r="100" spans="1:31" s="7" customFormat="1" x14ac:dyDescent="0.25">
      <c r="A100" s="12" t="s">
        <v>325</v>
      </c>
      <c r="B100" s="9" t="s">
        <v>40</v>
      </c>
      <c r="C100" s="9" t="s">
        <v>1</v>
      </c>
      <c r="D100" s="9" t="s">
        <v>25</v>
      </c>
      <c r="E100" s="11">
        <v>163</v>
      </c>
      <c r="F100" s="11">
        <v>4</v>
      </c>
      <c r="G100" s="11">
        <v>5</v>
      </c>
      <c r="H100" s="11"/>
      <c r="I100" s="12" t="s">
        <v>9</v>
      </c>
      <c r="J100" s="12"/>
      <c r="K100" s="11"/>
      <c r="L100" s="11"/>
      <c r="M100" s="12"/>
      <c r="N100" s="12"/>
      <c r="O100" s="32" t="s">
        <v>326</v>
      </c>
      <c r="P100" s="9"/>
      <c r="Q100" s="9"/>
      <c r="R100" s="11">
        <v>13</v>
      </c>
      <c r="S100" s="13"/>
      <c r="T100" s="13">
        <v>45819</v>
      </c>
      <c r="U100" s="13">
        <v>45821</v>
      </c>
      <c r="V100" s="13">
        <v>45825</v>
      </c>
      <c r="W100" s="13">
        <v>45828</v>
      </c>
      <c r="X100" s="11" t="s">
        <v>194</v>
      </c>
      <c r="Y100" s="4" t="str">
        <f>IF(Tabela2[[#This Row],[SIGLA]]="","",VLOOKUP(Tabela2[[#This Row],[SIGLA]],Tabela1[[#All],[Sigla Arte]:[Crédito]],2,0))</f>
        <v>RAFAEL LUZIO/ARQUIVO DA EDITORA</v>
      </c>
      <c r="Z100" s="12"/>
      <c r="AA100" s="12" t="str">
        <f>Tabela2[[#This Row],[ILUSTRADOR CRIAÇÃO]]</f>
        <v>RAFAEL LUZIO/ARQUIVO DA EDITORA</v>
      </c>
      <c r="AB100" s="11">
        <v>7</v>
      </c>
      <c r="AC100" s="9" t="s">
        <v>327</v>
      </c>
      <c r="AD100" s="9" t="s">
        <v>22</v>
      </c>
      <c r="AE100" s="4" t="str">
        <f t="shared" si="1"/>
        <v>EF1 E002 Port</v>
      </c>
    </row>
    <row r="101" spans="1:31" s="7" customFormat="1" ht="255" x14ac:dyDescent="0.25">
      <c r="A101" s="12" t="s">
        <v>328</v>
      </c>
      <c r="B101" s="9" t="s">
        <v>40</v>
      </c>
      <c r="C101" s="9" t="s">
        <v>33</v>
      </c>
      <c r="D101" s="9" t="s">
        <v>25</v>
      </c>
      <c r="E101" s="11">
        <v>167</v>
      </c>
      <c r="F101" s="11">
        <v>4</v>
      </c>
      <c r="G101" s="11">
        <v>5</v>
      </c>
      <c r="H101" s="11"/>
      <c r="I101" s="12" t="s">
        <v>9</v>
      </c>
      <c r="J101" s="12"/>
      <c r="K101" s="11"/>
      <c r="L101" s="11"/>
      <c r="M101" s="12"/>
      <c r="N101" s="12"/>
      <c r="O101" s="32" t="s">
        <v>329</v>
      </c>
      <c r="P101" s="9"/>
      <c r="Q101" s="9"/>
      <c r="R101" s="11">
        <v>13</v>
      </c>
      <c r="S101" s="13"/>
      <c r="T101" s="13">
        <v>45819</v>
      </c>
      <c r="U101" s="13">
        <v>45821</v>
      </c>
      <c r="V101" s="13">
        <v>45825</v>
      </c>
      <c r="W101" s="13">
        <v>45828</v>
      </c>
      <c r="X101" s="11" t="s">
        <v>194</v>
      </c>
      <c r="Y101" s="4" t="str">
        <f>IF(Tabela2[[#This Row],[SIGLA]]="","",VLOOKUP(Tabela2[[#This Row],[SIGLA]],Tabela1[[#All],[Sigla Arte]:[Crédito]],2,0))</f>
        <v>RAFAEL LUZIO/ARQUIVO DA EDITORA</v>
      </c>
      <c r="Z101" s="12"/>
      <c r="AA101" s="12" t="str">
        <f>Tabela2[[#This Row],[ILUSTRADOR CRIAÇÃO]]</f>
        <v>RAFAEL LUZIO/ARQUIVO DA EDITORA</v>
      </c>
      <c r="AB101" s="11">
        <v>5</v>
      </c>
      <c r="AC101" s="9" t="s">
        <v>327</v>
      </c>
      <c r="AD101" s="9" t="s">
        <v>22</v>
      </c>
      <c r="AE101" s="4" t="str">
        <f t="shared" si="1"/>
        <v>EF1 E002 Port</v>
      </c>
    </row>
    <row r="102" spans="1:31" s="7" customFormat="1" ht="75" x14ac:dyDescent="0.25">
      <c r="A102" s="12" t="s">
        <v>330</v>
      </c>
      <c r="B102" s="9" t="s">
        <v>40</v>
      </c>
      <c r="C102" s="9" t="s">
        <v>1</v>
      </c>
      <c r="D102" s="9" t="s">
        <v>25</v>
      </c>
      <c r="E102" s="11">
        <v>80</v>
      </c>
      <c r="F102" s="11">
        <v>1</v>
      </c>
      <c r="G102" s="11">
        <v>3</v>
      </c>
      <c r="H102" s="11"/>
      <c r="I102" s="12" t="s">
        <v>9</v>
      </c>
      <c r="J102" s="12"/>
      <c r="K102" s="11"/>
      <c r="L102" s="11"/>
      <c r="M102" s="12"/>
      <c r="N102" s="12"/>
      <c r="O102" s="32" t="s">
        <v>331</v>
      </c>
      <c r="P102" s="9"/>
      <c r="Q102" s="9"/>
      <c r="R102" s="11">
        <v>14</v>
      </c>
      <c r="S102" s="13">
        <v>45824</v>
      </c>
      <c r="T102" s="13">
        <v>45825</v>
      </c>
      <c r="U102" s="13">
        <v>45828</v>
      </c>
      <c r="V102" s="13">
        <v>45831</v>
      </c>
      <c r="W102" s="13">
        <v>45835</v>
      </c>
      <c r="X102" s="11" t="s">
        <v>141</v>
      </c>
      <c r="Y102" s="4" t="str">
        <f>IF(Tabela2[[#This Row],[SIGLA]]="","",VLOOKUP(Tabela2[[#This Row],[SIGLA]],Tabela1[[#All],[Sigla Arte]:[Crédito]],2,0))</f>
        <v>EZEQUIEL SILVA/ARQUIVO DA EDITORA</v>
      </c>
      <c r="Z102" s="12"/>
      <c r="AA102" s="12" t="str">
        <f>Tabela2[[#This Row],[ILUSTRADOR CRIAÇÃO]]</f>
        <v>EZEQUIEL SILVA/ARQUIVO DA EDITORA</v>
      </c>
      <c r="AB102" s="11">
        <v>5</v>
      </c>
      <c r="AC102" s="9" t="s">
        <v>332</v>
      </c>
      <c r="AD102" s="9" t="s">
        <v>22</v>
      </c>
      <c r="AE102" s="4" t="str">
        <f t="shared" si="1"/>
        <v>EF1 E002 Port</v>
      </c>
    </row>
    <row r="103" spans="1:31" s="7" customFormat="1" ht="45" x14ac:dyDescent="0.25">
      <c r="A103" s="12" t="s">
        <v>333</v>
      </c>
      <c r="B103" s="9" t="s">
        <v>42</v>
      </c>
      <c r="C103" s="9" t="s">
        <v>1</v>
      </c>
      <c r="D103" s="9" t="s">
        <v>25</v>
      </c>
      <c r="E103" s="11">
        <v>83</v>
      </c>
      <c r="F103" s="11">
        <v>1</v>
      </c>
      <c r="G103" s="11">
        <v>3</v>
      </c>
      <c r="H103" s="11"/>
      <c r="I103" s="12" t="s">
        <v>9</v>
      </c>
      <c r="J103" s="12"/>
      <c r="K103" s="11"/>
      <c r="L103" s="11"/>
      <c r="M103" s="12"/>
      <c r="N103" s="12"/>
      <c r="O103" s="32" t="s">
        <v>334</v>
      </c>
      <c r="P103" s="9"/>
      <c r="Q103" s="9"/>
      <c r="R103" s="11">
        <v>14</v>
      </c>
      <c r="S103" s="13">
        <v>45824</v>
      </c>
      <c r="T103" s="13">
        <v>45825</v>
      </c>
      <c r="U103" s="13">
        <v>45828</v>
      </c>
      <c r="V103" s="13">
        <v>45831</v>
      </c>
      <c r="W103" s="13">
        <v>45835</v>
      </c>
      <c r="X103" s="11" t="s">
        <v>141</v>
      </c>
      <c r="Y103" s="4" t="str">
        <f>IF(Tabela2[[#This Row],[SIGLA]]="","",VLOOKUP(Tabela2[[#This Row],[SIGLA]],Tabela1[[#All],[Sigla Arte]:[Crédito]],2,0))</f>
        <v>EZEQUIEL SILVA/ARQUIVO DA EDITORA</v>
      </c>
      <c r="Z103" s="12"/>
      <c r="AA103" s="12" t="str">
        <f>Tabela2[[#This Row],[ILUSTRADOR CRIAÇÃO]]</f>
        <v>EZEQUIEL SILVA/ARQUIVO DA EDITORA</v>
      </c>
      <c r="AB103" s="11">
        <v>6</v>
      </c>
      <c r="AC103" s="9" t="s">
        <v>332</v>
      </c>
      <c r="AD103" s="9" t="s">
        <v>22</v>
      </c>
      <c r="AE103" s="4" t="str">
        <f t="shared" si="1"/>
        <v>EF1 E002 Port</v>
      </c>
    </row>
    <row r="104" spans="1:31" s="7" customFormat="1" ht="75" x14ac:dyDescent="0.25">
      <c r="A104" s="12" t="s">
        <v>335</v>
      </c>
      <c r="B104" s="9" t="s">
        <v>42</v>
      </c>
      <c r="C104" s="9" t="s">
        <v>1</v>
      </c>
      <c r="D104" s="9" t="s">
        <v>25</v>
      </c>
      <c r="E104" s="11">
        <v>87</v>
      </c>
      <c r="F104" s="11">
        <v>1</v>
      </c>
      <c r="G104" s="11">
        <v>3</v>
      </c>
      <c r="H104" s="11"/>
      <c r="I104" s="12" t="s">
        <v>9</v>
      </c>
      <c r="J104" s="12"/>
      <c r="K104" s="11"/>
      <c r="L104" s="11"/>
      <c r="M104" s="12"/>
      <c r="N104" s="12"/>
      <c r="O104" s="32" t="s">
        <v>336</v>
      </c>
      <c r="P104" s="9"/>
      <c r="Q104" s="9" t="s">
        <v>337</v>
      </c>
      <c r="R104" s="11">
        <v>14</v>
      </c>
      <c r="S104" s="13">
        <v>45824</v>
      </c>
      <c r="T104" s="13"/>
      <c r="U104" s="13"/>
      <c r="V104" s="13"/>
      <c r="W104" s="13"/>
      <c r="X104" s="11"/>
      <c r="Y104" s="4" t="str">
        <f>IF(Tabela2[[#This Row],[SIGLA]]="","",VLOOKUP(Tabela2[[#This Row],[SIGLA]],Tabela1[[#All],[Sigla Arte]:[Crédito]],2,0))</f>
        <v/>
      </c>
      <c r="Z104" s="12"/>
      <c r="AA104" s="12" t="str">
        <f>Tabela2[[#This Row],[ILUSTRADOR CRIAÇÃO]]</f>
        <v/>
      </c>
      <c r="AB104" s="11"/>
      <c r="AC104" s="9"/>
      <c r="AD104" s="9"/>
      <c r="AE104" s="4" t="str">
        <f t="shared" si="1"/>
        <v>EF1 E002 Port</v>
      </c>
    </row>
    <row r="105" spans="1:31" s="7" customFormat="1" ht="45" x14ac:dyDescent="0.25">
      <c r="A105" s="12" t="s">
        <v>338</v>
      </c>
      <c r="B105" s="9" t="s">
        <v>42</v>
      </c>
      <c r="C105" s="9" t="s">
        <v>1</v>
      </c>
      <c r="D105" s="9" t="s">
        <v>25</v>
      </c>
      <c r="E105" s="11">
        <v>94</v>
      </c>
      <c r="F105" s="11">
        <v>1</v>
      </c>
      <c r="G105" s="11">
        <v>3</v>
      </c>
      <c r="H105" s="11"/>
      <c r="I105" s="12" t="s">
        <v>9</v>
      </c>
      <c r="J105" s="12"/>
      <c r="K105" s="11"/>
      <c r="L105" s="11"/>
      <c r="M105" s="12"/>
      <c r="N105" s="12"/>
      <c r="O105" s="32" t="s">
        <v>339</v>
      </c>
      <c r="P105" s="9"/>
      <c r="Q105" s="9" t="s">
        <v>337</v>
      </c>
      <c r="R105" s="11">
        <v>14</v>
      </c>
      <c r="S105" s="13">
        <v>45824</v>
      </c>
      <c r="T105" s="13"/>
      <c r="U105" s="13"/>
      <c r="V105" s="13"/>
      <c r="W105" s="13"/>
      <c r="X105" s="11"/>
      <c r="Y105" s="4" t="str">
        <f>IF(Tabela2[[#This Row],[SIGLA]]="","",VLOOKUP(Tabela2[[#This Row],[SIGLA]],Tabela1[[#All],[Sigla Arte]:[Crédito]],2,0))</f>
        <v/>
      </c>
      <c r="Z105" s="12"/>
      <c r="AA105" s="12" t="str">
        <f>Tabela2[[#This Row],[ILUSTRADOR CRIAÇÃO]]</f>
        <v/>
      </c>
      <c r="AB105" s="11"/>
      <c r="AC105" s="9"/>
      <c r="AD105" s="9"/>
      <c r="AE105" s="4" t="str">
        <f t="shared" si="1"/>
        <v>EF1 E002 Port</v>
      </c>
    </row>
    <row r="106" spans="1:31" s="7" customFormat="1" ht="125.25" customHeight="1" x14ac:dyDescent="0.25">
      <c r="A106" s="12" t="s">
        <v>340</v>
      </c>
      <c r="B106" s="9" t="s">
        <v>40</v>
      </c>
      <c r="C106" s="9" t="s">
        <v>1</v>
      </c>
      <c r="D106" s="9" t="s">
        <v>25</v>
      </c>
      <c r="E106" s="11">
        <v>97</v>
      </c>
      <c r="F106" s="11">
        <v>1</v>
      </c>
      <c r="G106" s="11">
        <v>3</v>
      </c>
      <c r="H106" s="11"/>
      <c r="I106" s="12" t="s">
        <v>9</v>
      </c>
      <c r="J106" s="12"/>
      <c r="K106" s="11"/>
      <c r="L106" s="11"/>
      <c r="M106" s="12"/>
      <c r="N106" s="12"/>
      <c r="O106" s="32" t="s">
        <v>341</v>
      </c>
      <c r="P106" s="9"/>
      <c r="Q106" s="9"/>
      <c r="R106" s="11">
        <v>14</v>
      </c>
      <c r="S106" s="13">
        <v>45824</v>
      </c>
      <c r="T106" s="13">
        <v>45825</v>
      </c>
      <c r="U106" s="13">
        <v>45828</v>
      </c>
      <c r="V106" s="13">
        <v>45831</v>
      </c>
      <c r="W106" s="13">
        <v>45835</v>
      </c>
      <c r="X106" s="11" t="s">
        <v>141</v>
      </c>
      <c r="Y106" s="4" t="str">
        <f>IF(Tabela2[[#This Row],[SIGLA]]="","",VLOOKUP(Tabela2[[#This Row],[SIGLA]],Tabela1[[#All],[Sigla Arte]:[Crédito]],2,0))</f>
        <v>EZEQUIEL SILVA/ARQUIVO DA EDITORA</v>
      </c>
      <c r="Z106" s="12"/>
      <c r="AA106" s="12" t="str">
        <f>Tabela2[[#This Row],[ILUSTRADOR CRIAÇÃO]]</f>
        <v>EZEQUIEL SILVA/ARQUIVO DA EDITORA</v>
      </c>
      <c r="AB106" s="11">
        <v>5</v>
      </c>
      <c r="AC106" s="9" t="s">
        <v>332</v>
      </c>
      <c r="AD106" s="9" t="s">
        <v>22</v>
      </c>
      <c r="AE106" s="4" t="str">
        <f t="shared" si="1"/>
        <v>EF1 E002 Port</v>
      </c>
    </row>
    <row r="107" spans="1:31" s="7" customFormat="1" ht="90" x14ac:dyDescent="0.25">
      <c r="A107" s="12" t="s">
        <v>342</v>
      </c>
      <c r="B107" s="9" t="s">
        <v>40</v>
      </c>
      <c r="C107" s="9" t="s">
        <v>1</v>
      </c>
      <c r="D107" s="9" t="s">
        <v>25</v>
      </c>
      <c r="E107" s="11">
        <v>104</v>
      </c>
      <c r="F107" s="11">
        <v>1</v>
      </c>
      <c r="G107" s="11">
        <v>3</v>
      </c>
      <c r="H107" s="11"/>
      <c r="I107" s="12" t="s">
        <v>9</v>
      </c>
      <c r="J107" s="12"/>
      <c r="K107" s="11"/>
      <c r="L107" s="11"/>
      <c r="M107" s="12"/>
      <c r="N107" s="12"/>
      <c r="O107" s="32" t="s">
        <v>343</v>
      </c>
      <c r="P107" s="9"/>
      <c r="Q107" s="9"/>
      <c r="R107" s="11">
        <v>14</v>
      </c>
      <c r="S107" s="13">
        <v>45824</v>
      </c>
      <c r="T107" s="13">
        <v>45825</v>
      </c>
      <c r="U107" s="13">
        <v>45828</v>
      </c>
      <c r="V107" s="13">
        <v>45831</v>
      </c>
      <c r="W107" s="13">
        <v>45835</v>
      </c>
      <c r="X107" s="11" t="s">
        <v>141</v>
      </c>
      <c r="Y107" s="4" t="str">
        <f>IF(Tabela2[[#This Row],[SIGLA]]="","",VLOOKUP(Tabela2[[#This Row],[SIGLA]],Tabela1[[#All],[Sigla Arte]:[Crédito]],2,0))</f>
        <v>EZEQUIEL SILVA/ARQUIVO DA EDITORA</v>
      </c>
      <c r="Z107" s="12"/>
      <c r="AA107" s="12" t="str">
        <f>Tabela2[[#This Row],[ILUSTRADOR CRIAÇÃO]]</f>
        <v>EZEQUIEL SILVA/ARQUIVO DA EDITORA</v>
      </c>
      <c r="AB107" s="11">
        <v>4</v>
      </c>
      <c r="AC107" s="9" t="s">
        <v>332</v>
      </c>
      <c r="AD107" s="9" t="s">
        <v>22</v>
      </c>
      <c r="AE107" s="4" t="str">
        <f t="shared" si="1"/>
        <v>EF1 E002 Port</v>
      </c>
    </row>
    <row r="108" spans="1:31" s="7" customFormat="1" ht="165" x14ac:dyDescent="0.25">
      <c r="A108" s="12" t="s">
        <v>344</v>
      </c>
      <c r="B108" s="9" t="s">
        <v>40</v>
      </c>
      <c r="C108" s="9" t="s">
        <v>1</v>
      </c>
      <c r="D108" s="9" t="s">
        <v>25</v>
      </c>
      <c r="E108" s="11">
        <v>110</v>
      </c>
      <c r="F108" s="11">
        <v>1</v>
      </c>
      <c r="G108" s="11">
        <v>4</v>
      </c>
      <c r="H108" s="11"/>
      <c r="I108" s="12" t="s">
        <v>9</v>
      </c>
      <c r="J108" s="12"/>
      <c r="K108" s="11"/>
      <c r="L108" s="11"/>
      <c r="M108" s="12"/>
      <c r="N108" s="12"/>
      <c r="O108" s="32" t="s">
        <v>345</v>
      </c>
      <c r="P108" s="9"/>
      <c r="Q108" s="9"/>
      <c r="R108" s="11">
        <v>15</v>
      </c>
      <c r="S108" s="13">
        <v>45826</v>
      </c>
      <c r="T108" s="13">
        <v>45828</v>
      </c>
      <c r="U108" s="13">
        <v>45832</v>
      </c>
      <c r="V108" s="13">
        <v>45832</v>
      </c>
      <c r="W108" s="13">
        <v>45834</v>
      </c>
      <c r="X108" s="11" t="s">
        <v>80</v>
      </c>
      <c r="Y108" s="4" t="str">
        <f>IF(Tabela2[[#This Row],[SIGLA]]="","",VLOOKUP(Tabela2[[#This Row],[SIGLA]],Tabela1[[#All],[Sigla Arte]:[Crédito]],2,0))</f>
        <v>FABIO EUGENIO/ARQUIVO DA EDITORA</v>
      </c>
      <c r="Z108" s="12"/>
      <c r="AA108" s="12" t="str">
        <f>Tabela2[[#This Row],[ILUSTRADOR CRIAÇÃO]]</f>
        <v>FABIO EUGENIO/ARQUIVO DA EDITORA</v>
      </c>
      <c r="AB108" s="11">
        <v>4</v>
      </c>
      <c r="AC108" s="9" t="s">
        <v>346</v>
      </c>
      <c r="AD108" s="9" t="s">
        <v>22</v>
      </c>
      <c r="AE108" s="4" t="str">
        <f t="shared" si="1"/>
        <v>EF1 E002 Port</v>
      </c>
    </row>
    <row r="109" spans="1:31" s="7" customFormat="1" ht="75" x14ac:dyDescent="0.25">
      <c r="A109" s="12" t="s">
        <v>347</v>
      </c>
      <c r="B109" s="9" t="s">
        <v>42</v>
      </c>
      <c r="C109" s="9" t="s">
        <v>1</v>
      </c>
      <c r="D109" s="9" t="s">
        <v>25</v>
      </c>
      <c r="E109" s="11">
        <v>111</v>
      </c>
      <c r="F109" s="11">
        <v>1</v>
      </c>
      <c r="G109" s="11">
        <v>4</v>
      </c>
      <c r="H109" s="11"/>
      <c r="I109" s="12" t="s">
        <v>9</v>
      </c>
      <c r="J109" s="12"/>
      <c r="K109" s="11"/>
      <c r="L109" s="11"/>
      <c r="M109" s="12"/>
      <c r="N109" s="12"/>
      <c r="O109" s="32" t="s">
        <v>348</v>
      </c>
      <c r="P109" s="9"/>
      <c r="Q109" s="9"/>
      <c r="R109" s="11">
        <v>15</v>
      </c>
      <c r="S109" s="13">
        <v>45826</v>
      </c>
      <c r="T109" s="13">
        <v>45828</v>
      </c>
      <c r="U109" s="13">
        <v>45832</v>
      </c>
      <c r="V109" s="13">
        <v>45832</v>
      </c>
      <c r="W109" s="13">
        <v>45834</v>
      </c>
      <c r="X109" s="11" t="s">
        <v>80</v>
      </c>
      <c r="Y109" s="4" t="str">
        <f>IF(Tabela2[[#This Row],[SIGLA]]="","",VLOOKUP(Tabela2[[#This Row],[SIGLA]],Tabela1[[#All],[Sigla Arte]:[Crédito]],2,0))</f>
        <v>FABIO EUGENIO/ARQUIVO DA EDITORA</v>
      </c>
      <c r="Z109" s="12"/>
      <c r="AA109" s="12" t="str">
        <f>Tabela2[[#This Row],[ILUSTRADOR CRIAÇÃO]]</f>
        <v>FABIO EUGENIO/ARQUIVO DA EDITORA</v>
      </c>
      <c r="AB109" s="11">
        <v>6</v>
      </c>
      <c r="AC109" s="9" t="s">
        <v>346</v>
      </c>
      <c r="AD109" s="9" t="s">
        <v>22</v>
      </c>
      <c r="AE109" s="4" t="str">
        <f t="shared" si="1"/>
        <v>EF1 E002 Port</v>
      </c>
    </row>
    <row r="110" spans="1:31" s="7" customFormat="1" ht="30" x14ac:dyDescent="0.25">
      <c r="A110" s="12" t="s">
        <v>349</v>
      </c>
      <c r="B110" s="9" t="s">
        <v>40</v>
      </c>
      <c r="C110" s="9" t="s">
        <v>1</v>
      </c>
      <c r="D110" s="9" t="s">
        <v>25</v>
      </c>
      <c r="E110" s="11">
        <v>114</v>
      </c>
      <c r="F110" s="11">
        <v>1</v>
      </c>
      <c r="G110" s="11">
        <v>4</v>
      </c>
      <c r="H110" s="11"/>
      <c r="I110" s="12" t="s">
        <v>9</v>
      </c>
      <c r="J110" s="12"/>
      <c r="K110" s="11"/>
      <c r="L110" s="11"/>
      <c r="M110" s="12"/>
      <c r="N110" s="12"/>
      <c r="O110" s="32" t="s">
        <v>350</v>
      </c>
      <c r="P110" s="9"/>
      <c r="Q110" s="9"/>
      <c r="R110" s="11">
        <v>15</v>
      </c>
      <c r="S110" s="13">
        <v>45826</v>
      </c>
      <c r="T110" s="13">
        <v>45828</v>
      </c>
      <c r="U110" s="13">
        <v>45838</v>
      </c>
      <c r="V110" s="13">
        <v>45841</v>
      </c>
      <c r="W110" s="13">
        <v>45845</v>
      </c>
      <c r="X110" s="11" t="s">
        <v>163</v>
      </c>
      <c r="Y110" s="4" t="str">
        <f>IF(Tabela2[[#This Row],[SIGLA]]="","",VLOOKUP(Tabela2[[#This Row],[SIGLA]],Tabela1[[#All],[Sigla Arte]:[Crédito]],2,0))</f>
        <v>FERNANDA MONTEIRO/ARQUIVO DA EDITORA</v>
      </c>
      <c r="Z110" s="12"/>
      <c r="AA110" s="12" t="str">
        <f>Tabela2[[#This Row],[ILUSTRADOR CRIAÇÃO]]</f>
        <v>FERNANDA MONTEIRO/ARQUIVO DA EDITORA</v>
      </c>
      <c r="AB110" s="11">
        <v>7</v>
      </c>
      <c r="AC110" s="9" t="s">
        <v>351</v>
      </c>
      <c r="AD110" s="9" t="s">
        <v>22</v>
      </c>
      <c r="AE110" s="4" t="str">
        <f t="shared" si="1"/>
        <v>EF1 E002 Port</v>
      </c>
    </row>
    <row r="111" spans="1:31" s="7" customFormat="1" ht="30" x14ac:dyDescent="0.25">
      <c r="A111" s="12" t="s">
        <v>352</v>
      </c>
      <c r="B111" s="9" t="s">
        <v>40</v>
      </c>
      <c r="C111" s="9" t="s">
        <v>1</v>
      </c>
      <c r="D111" s="9" t="s">
        <v>25</v>
      </c>
      <c r="E111" s="11">
        <v>114</v>
      </c>
      <c r="F111" s="11">
        <v>1</v>
      </c>
      <c r="G111" s="11">
        <v>4</v>
      </c>
      <c r="H111" s="11"/>
      <c r="I111" s="12" t="s">
        <v>9</v>
      </c>
      <c r="J111" s="12"/>
      <c r="K111" s="11"/>
      <c r="L111" s="11"/>
      <c r="M111" s="12"/>
      <c r="N111" s="12"/>
      <c r="O111" s="32" t="s">
        <v>353</v>
      </c>
      <c r="P111" s="9"/>
      <c r="Q111" s="9"/>
      <c r="R111" s="11">
        <v>15</v>
      </c>
      <c r="S111" s="13">
        <v>45826</v>
      </c>
      <c r="T111" s="13">
        <v>45828</v>
      </c>
      <c r="U111" s="13">
        <v>45838</v>
      </c>
      <c r="V111" s="13">
        <v>45841</v>
      </c>
      <c r="W111" s="13">
        <v>45845</v>
      </c>
      <c r="X111" s="11" t="s">
        <v>163</v>
      </c>
      <c r="Y111" s="4" t="str">
        <f>IF(Tabela2[[#This Row],[SIGLA]]="","",VLOOKUP(Tabela2[[#This Row],[SIGLA]],Tabela1[[#All],[Sigla Arte]:[Crédito]],2,0))</f>
        <v>FERNANDA MONTEIRO/ARQUIVO DA EDITORA</v>
      </c>
      <c r="Z111" s="12"/>
      <c r="AA111" s="12" t="str">
        <f>Tabela2[[#This Row],[ILUSTRADOR CRIAÇÃO]]</f>
        <v>FERNANDA MONTEIRO/ARQUIVO DA EDITORA</v>
      </c>
      <c r="AB111" s="11">
        <v>7</v>
      </c>
      <c r="AC111" s="9" t="s">
        <v>351</v>
      </c>
      <c r="AD111" s="9" t="s">
        <v>22</v>
      </c>
      <c r="AE111" s="4" t="str">
        <f t="shared" si="1"/>
        <v>EF1 E002 Port</v>
      </c>
    </row>
    <row r="112" spans="1:31" s="7" customFormat="1" ht="30" x14ac:dyDescent="0.25">
      <c r="A112" s="12" t="s">
        <v>354</v>
      </c>
      <c r="B112" s="9" t="s">
        <v>40</v>
      </c>
      <c r="C112" s="9" t="s">
        <v>1</v>
      </c>
      <c r="D112" s="9" t="s">
        <v>25</v>
      </c>
      <c r="E112" s="11">
        <v>114</v>
      </c>
      <c r="F112" s="11">
        <v>1</v>
      </c>
      <c r="G112" s="11">
        <v>4</v>
      </c>
      <c r="H112" s="11"/>
      <c r="I112" s="12" t="s">
        <v>9</v>
      </c>
      <c r="J112" s="12"/>
      <c r="K112" s="11"/>
      <c r="L112" s="11"/>
      <c r="M112" s="12"/>
      <c r="N112" s="12"/>
      <c r="O112" s="32" t="s">
        <v>355</v>
      </c>
      <c r="P112" s="9"/>
      <c r="Q112" s="9"/>
      <c r="R112" s="11">
        <v>15</v>
      </c>
      <c r="S112" s="13">
        <v>45826</v>
      </c>
      <c r="T112" s="13">
        <v>45828</v>
      </c>
      <c r="U112" s="13">
        <v>45838</v>
      </c>
      <c r="V112" s="13">
        <v>45841</v>
      </c>
      <c r="W112" s="13">
        <v>45845</v>
      </c>
      <c r="X112" s="11" t="s">
        <v>163</v>
      </c>
      <c r="Y112" s="4" t="str">
        <f>IF(Tabela2[[#This Row],[SIGLA]]="","",VLOOKUP(Tabela2[[#This Row],[SIGLA]],Tabela1[[#All],[Sigla Arte]:[Crédito]],2,0))</f>
        <v>FERNANDA MONTEIRO/ARQUIVO DA EDITORA</v>
      </c>
      <c r="Z112" s="12"/>
      <c r="AA112" s="12" t="str">
        <f>Tabela2[[#This Row],[ILUSTRADOR CRIAÇÃO]]</f>
        <v>FERNANDA MONTEIRO/ARQUIVO DA EDITORA</v>
      </c>
      <c r="AB112" s="11">
        <v>7</v>
      </c>
      <c r="AC112" s="9" t="s">
        <v>351</v>
      </c>
      <c r="AD112" s="9" t="s">
        <v>22</v>
      </c>
      <c r="AE112" s="4" t="str">
        <f t="shared" si="1"/>
        <v>EF1 E002 Port</v>
      </c>
    </row>
    <row r="113" spans="1:31" s="7" customFormat="1" x14ac:dyDescent="0.25">
      <c r="A113" s="12" t="s">
        <v>356</v>
      </c>
      <c r="B113" s="9" t="s">
        <v>40</v>
      </c>
      <c r="C113" s="9" t="s">
        <v>1</v>
      </c>
      <c r="D113" s="9" t="s">
        <v>25</v>
      </c>
      <c r="E113" s="11">
        <v>117</v>
      </c>
      <c r="F113" s="11">
        <v>1</v>
      </c>
      <c r="G113" s="11">
        <v>4</v>
      </c>
      <c r="H113" s="11"/>
      <c r="I113" s="12" t="s">
        <v>9</v>
      </c>
      <c r="J113" s="12"/>
      <c r="K113" s="11"/>
      <c r="L113" s="11"/>
      <c r="M113" s="12"/>
      <c r="N113" s="12"/>
      <c r="O113" s="32" t="s">
        <v>357</v>
      </c>
      <c r="P113" s="9"/>
      <c r="Q113" s="9"/>
      <c r="R113" s="11">
        <v>15</v>
      </c>
      <c r="S113" s="13">
        <v>45826</v>
      </c>
      <c r="T113" s="13">
        <v>45828</v>
      </c>
      <c r="U113" s="13">
        <v>45838</v>
      </c>
      <c r="V113" s="13">
        <v>45841</v>
      </c>
      <c r="W113" s="13">
        <v>45845</v>
      </c>
      <c r="X113" s="11" t="s">
        <v>163</v>
      </c>
      <c r="Y113" s="4" t="str">
        <f>IF(Tabela2[[#This Row],[SIGLA]]="","",VLOOKUP(Tabela2[[#This Row],[SIGLA]],Tabela1[[#All],[Sigla Arte]:[Crédito]],2,0))</f>
        <v>FERNANDA MONTEIRO/ARQUIVO DA EDITORA</v>
      </c>
      <c r="Z113" s="12"/>
      <c r="AA113" s="12" t="str">
        <f>Tabela2[[#This Row],[ILUSTRADOR CRIAÇÃO]]</f>
        <v>FERNANDA MONTEIRO/ARQUIVO DA EDITORA</v>
      </c>
      <c r="AB113" s="11">
        <v>8</v>
      </c>
      <c r="AC113" s="9" t="s">
        <v>351</v>
      </c>
      <c r="AD113" s="9" t="s">
        <v>22</v>
      </c>
      <c r="AE113" s="4" t="str">
        <f t="shared" si="1"/>
        <v>EF1 E002 Port</v>
      </c>
    </row>
    <row r="114" spans="1:31" s="7" customFormat="1" x14ac:dyDescent="0.25">
      <c r="A114" s="12" t="s">
        <v>358</v>
      </c>
      <c r="B114" s="9" t="s">
        <v>40</v>
      </c>
      <c r="C114" s="9" t="s">
        <v>1</v>
      </c>
      <c r="D114" s="9" t="s">
        <v>25</v>
      </c>
      <c r="E114" s="11">
        <v>117</v>
      </c>
      <c r="F114" s="11">
        <v>1</v>
      </c>
      <c r="G114" s="11">
        <v>4</v>
      </c>
      <c r="H114" s="11"/>
      <c r="I114" s="12" t="s">
        <v>9</v>
      </c>
      <c r="J114" s="12"/>
      <c r="K114" s="11"/>
      <c r="L114" s="11"/>
      <c r="M114" s="12"/>
      <c r="N114" s="12"/>
      <c r="O114" s="32" t="s">
        <v>359</v>
      </c>
      <c r="P114" s="9"/>
      <c r="Q114" s="9"/>
      <c r="R114" s="11">
        <v>15</v>
      </c>
      <c r="S114" s="13">
        <v>45826</v>
      </c>
      <c r="T114" s="13">
        <v>45828</v>
      </c>
      <c r="U114" s="13">
        <v>45838</v>
      </c>
      <c r="V114" s="13">
        <v>45841</v>
      </c>
      <c r="W114" s="13">
        <v>45845</v>
      </c>
      <c r="X114" s="11" t="s">
        <v>163</v>
      </c>
      <c r="Y114" s="4" t="str">
        <f>IF(Tabela2[[#This Row],[SIGLA]]="","",VLOOKUP(Tabela2[[#This Row],[SIGLA]],Tabela1[[#All],[Sigla Arte]:[Crédito]],2,0))</f>
        <v>FERNANDA MONTEIRO/ARQUIVO DA EDITORA</v>
      </c>
      <c r="Z114" s="12"/>
      <c r="AA114" s="12" t="str">
        <f>Tabela2[[#This Row],[ILUSTRADOR CRIAÇÃO]]</f>
        <v>FERNANDA MONTEIRO/ARQUIVO DA EDITORA</v>
      </c>
      <c r="AB114" s="11">
        <v>8</v>
      </c>
      <c r="AC114" s="9" t="s">
        <v>351</v>
      </c>
      <c r="AD114" s="9" t="s">
        <v>22</v>
      </c>
      <c r="AE114" s="4" t="str">
        <f t="shared" si="1"/>
        <v>EF1 E002 Port</v>
      </c>
    </row>
    <row r="115" spans="1:31" s="7" customFormat="1" x14ac:dyDescent="0.25">
      <c r="A115" s="12" t="s">
        <v>360</v>
      </c>
      <c r="B115" s="9" t="s">
        <v>40</v>
      </c>
      <c r="C115" s="9" t="s">
        <v>1</v>
      </c>
      <c r="D115" s="9" t="s">
        <v>25</v>
      </c>
      <c r="E115" s="11">
        <v>117</v>
      </c>
      <c r="F115" s="11">
        <v>1</v>
      </c>
      <c r="G115" s="11">
        <v>4</v>
      </c>
      <c r="H115" s="11"/>
      <c r="I115" s="12" t="s">
        <v>9</v>
      </c>
      <c r="J115" s="12"/>
      <c r="K115" s="11"/>
      <c r="L115" s="11"/>
      <c r="M115" s="12"/>
      <c r="N115" s="12"/>
      <c r="O115" s="32" t="s">
        <v>361</v>
      </c>
      <c r="P115" s="9"/>
      <c r="Q115" s="9"/>
      <c r="R115" s="11">
        <v>15</v>
      </c>
      <c r="S115" s="13">
        <v>45826</v>
      </c>
      <c r="T115" s="13">
        <v>45828</v>
      </c>
      <c r="U115" s="13">
        <v>45838</v>
      </c>
      <c r="V115" s="13">
        <v>45841</v>
      </c>
      <c r="W115" s="13">
        <v>45845</v>
      </c>
      <c r="X115" s="11" t="s">
        <v>163</v>
      </c>
      <c r="Y115" s="4" t="str">
        <f>IF(Tabela2[[#This Row],[SIGLA]]="","",VLOOKUP(Tabela2[[#This Row],[SIGLA]],Tabela1[[#All],[Sigla Arte]:[Crédito]],2,0))</f>
        <v>FERNANDA MONTEIRO/ARQUIVO DA EDITORA</v>
      </c>
      <c r="Z115" s="12"/>
      <c r="AA115" s="12" t="str">
        <f>Tabela2[[#This Row],[ILUSTRADOR CRIAÇÃO]]</f>
        <v>FERNANDA MONTEIRO/ARQUIVO DA EDITORA</v>
      </c>
      <c r="AB115" s="11">
        <v>8</v>
      </c>
      <c r="AC115" s="9" t="s">
        <v>351</v>
      </c>
      <c r="AD115" s="9" t="s">
        <v>22</v>
      </c>
      <c r="AE115" s="4" t="str">
        <f t="shared" si="1"/>
        <v>EF1 E002 Port</v>
      </c>
    </row>
    <row r="116" spans="1:31" s="7" customFormat="1" ht="60" x14ac:dyDescent="0.25">
      <c r="A116" s="12" t="s">
        <v>362</v>
      </c>
      <c r="B116" s="9" t="s">
        <v>40</v>
      </c>
      <c r="C116" s="9" t="s">
        <v>1</v>
      </c>
      <c r="D116" s="9" t="s">
        <v>25</v>
      </c>
      <c r="E116" s="11">
        <v>118</v>
      </c>
      <c r="F116" s="11">
        <v>1</v>
      </c>
      <c r="G116" s="11">
        <v>4</v>
      </c>
      <c r="H116" s="11"/>
      <c r="I116" s="12" t="s">
        <v>9</v>
      </c>
      <c r="J116" s="12"/>
      <c r="K116" s="11"/>
      <c r="L116" s="11"/>
      <c r="M116" s="12"/>
      <c r="N116" s="12"/>
      <c r="O116" s="32" t="s">
        <v>363</v>
      </c>
      <c r="P116" s="9"/>
      <c r="Q116" s="9"/>
      <c r="R116" s="11">
        <v>15</v>
      </c>
      <c r="S116" s="13">
        <v>45826</v>
      </c>
      <c r="T116" s="13">
        <v>45828</v>
      </c>
      <c r="U116" s="13">
        <v>45838</v>
      </c>
      <c r="V116" s="13">
        <v>45841</v>
      </c>
      <c r="W116" s="13">
        <v>45845</v>
      </c>
      <c r="X116" s="11" t="s">
        <v>163</v>
      </c>
      <c r="Y116" s="4" t="str">
        <f>IF(Tabela2[[#This Row],[SIGLA]]="","",VLOOKUP(Tabela2[[#This Row],[SIGLA]],Tabela1[[#All],[Sigla Arte]:[Crédito]],2,0))</f>
        <v>FERNANDA MONTEIRO/ARQUIVO DA EDITORA</v>
      </c>
      <c r="Z116" s="12"/>
      <c r="AA116" s="12" t="str">
        <f>Tabela2[[#This Row],[ILUSTRADOR CRIAÇÃO]]</f>
        <v>FERNANDA MONTEIRO/ARQUIVO DA EDITORA</v>
      </c>
      <c r="AB116" s="11">
        <v>6</v>
      </c>
      <c r="AC116" s="9" t="s">
        <v>351</v>
      </c>
      <c r="AD116" s="9" t="s">
        <v>22</v>
      </c>
      <c r="AE116" s="4" t="str">
        <f t="shared" si="1"/>
        <v>EF1 E002 Port</v>
      </c>
    </row>
    <row r="117" spans="1:31" s="7" customFormat="1" ht="45" x14ac:dyDescent="0.25">
      <c r="A117" s="12" t="s">
        <v>364</v>
      </c>
      <c r="B117" s="9" t="s">
        <v>40</v>
      </c>
      <c r="C117" s="9" t="s">
        <v>1</v>
      </c>
      <c r="D117" s="9" t="s">
        <v>25</v>
      </c>
      <c r="E117" s="11">
        <v>122</v>
      </c>
      <c r="F117" s="11">
        <v>1</v>
      </c>
      <c r="G117" s="11">
        <v>4</v>
      </c>
      <c r="H117" s="11"/>
      <c r="I117" s="12" t="s">
        <v>9</v>
      </c>
      <c r="J117" s="12"/>
      <c r="K117" s="11"/>
      <c r="L117" s="11"/>
      <c r="M117" s="12"/>
      <c r="N117" s="12"/>
      <c r="O117" s="32" t="s">
        <v>365</v>
      </c>
      <c r="P117" s="9"/>
      <c r="Q117" s="9"/>
      <c r="R117" s="11">
        <v>15</v>
      </c>
      <c r="S117" s="13">
        <v>45826</v>
      </c>
      <c r="T117" s="13">
        <v>45828</v>
      </c>
      <c r="U117" s="13">
        <v>45832</v>
      </c>
      <c r="V117" s="13">
        <v>45832</v>
      </c>
      <c r="W117" s="13">
        <v>45834</v>
      </c>
      <c r="X117" s="11" t="s">
        <v>80</v>
      </c>
      <c r="Y117" s="4" t="str">
        <f>IF(Tabela2[[#This Row],[SIGLA]]="","",VLOOKUP(Tabela2[[#This Row],[SIGLA]],Tabela1[[#All],[Sigla Arte]:[Crédito]],2,0))</f>
        <v>FABIO EUGENIO/ARQUIVO DA EDITORA</v>
      </c>
      <c r="Z117" s="12"/>
      <c r="AA117" s="12" t="str">
        <f>Tabela2[[#This Row],[ILUSTRADOR CRIAÇÃO]]</f>
        <v>FABIO EUGENIO/ARQUIVO DA EDITORA</v>
      </c>
      <c r="AB117" s="11">
        <v>4</v>
      </c>
      <c r="AC117" s="9" t="s">
        <v>346</v>
      </c>
      <c r="AD117" s="9" t="s">
        <v>22</v>
      </c>
      <c r="AE117" s="4" t="str">
        <f t="shared" si="1"/>
        <v>EF1 E002 Port</v>
      </c>
    </row>
    <row r="118" spans="1:31" s="7" customFormat="1" ht="45" x14ac:dyDescent="0.25">
      <c r="A118" s="12" t="s">
        <v>366</v>
      </c>
      <c r="B118" s="9" t="s">
        <v>40</v>
      </c>
      <c r="C118" s="9" t="s">
        <v>1</v>
      </c>
      <c r="D118" s="9" t="s">
        <v>25</v>
      </c>
      <c r="E118" s="11">
        <v>128</v>
      </c>
      <c r="F118" s="11">
        <v>1</v>
      </c>
      <c r="G118" s="11">
        <v>4</v>
      </c>
      <c r="H118" s="11"/>
      <c r="I118" s="12" t="s">
        <v>9</v>
      </c>
      <c r="J118" s="12"/>
      <c r="K118" s="11"/>
      <c r="L118" s="11"/>
      <c r="M118" s="12"/>
      <c r="N118" s="12"/>
      <c r="O118" s="32" t="s">
        <v>367</v>
      </c>
      <c r="P118" s="9"/>
      <c r="Q118" s="9"/>
      <c r="R118" s="11">
        <v>15</v>
      </c>
      <c r="S118" s="13">
        <v>45826</v>
      </c>
      <c r="T118" s="13">
        <v>45828</v>
      </c>
      <c r="U118" s="13">
        <v>45832</v>
      </c>
      <c r="V118" s="13">
        <v>45832</v>
      </c>
      <c r="W118" s="13">
        <v>45834</v>
      </c>
      <c r="X118" s="11" t="s">
        <v>80</v>
      </c>
      <c r="Y118" s="4" t="str">
        <f>IF(Tabela2[[#This Row],[SIGLA]]="","",VLOOKUP(Tabela2[[#This Row],[SIGLA]],Tabela1[[#All],[Sigla Arte]:[Crédito]],2,0))</f>
        <v>FABIO EUGENIO/ARQUIVO DA EDITORA</v>
      </c>
      <c r="Z118" s="12"/>
      <c r="AA118" s="12" t="str">
        <f>Tabela2[[#This Row],[ILUSTRADOR CRIAÇÃO]]</f>
        <v>FABIO EUGENIO/ARQUIVO DA EDITORA</v>
      </c>
      <c r="AB118" s="11">
        <v>5</v>
      </c>
      <c r="AC118" s="9" t="s">
        <v>346</v>
      </c>
      <c r="AD118" s="9" t="s">
        <v>22</v>
      </c>
      <c r="AE118" s="4" t="str">
        <f t="shared" si="1"/>
        <v>EF1 E002 Port</v>
      </c>
    </row>
    <row r="119" spans="1:31" s="7" customFormat="1" ht="30" x14ac:dyDescent="0.25">
      <c r="A119" s="12" t="s">
        <v>368</v>
      </c>
      <c r="B119" s="9" t="s">
        <v>40</v>
      </c>
      <c r="C119" s="9" t="s">
        <v>1</v>
      </c>
      <c r="D119" s="9" t="s">
        <v>25</v>
      </c>
      <c r="E119" s="11">
        <v>138</v>
      </c>
      <c r="F119" s="11">
        <v>1</v>
      </c>
      <c r="G119" s="11">
        <v>4</v>
      </c>
      <c r="H119" s="11"/>
      <c r="I119" s="12" t="s">
        <v>9</v>
      </c>
      <c r="J119" s="12"/>
      <c r="K119" s="11"/>
      <c r="L119" s="11"/>
      <c r="M119" s="12"/>
      <c r="N119" s="12"/>
      <c r="O119" s="32" t="s">
        <v>369</v>
      </c>
      <c r="P119" s="9"/>
      <c r="Q119" s="9"/>
      <c r="R119" s="11">
        <v>15</v>
      </c>
      <c r="S119" s="13">
        <v>45826</v>
      </c>
      <c r="T119" s="13">
        <v>45828</v>
      </c>
      <c r="U119" s="13">
        <v>45838</v>
      </c>
      <c r="V119" s="13">
        <v>45841</v>
      </c>
      <c r="W119" s="13">
        <v>45845</v>
      </c>
      <c r="X119" s="11" t="s">
        <v>163</v>
      </c>
      <c r="Y119" s="4" t="str">
        <f>IF(Tabela2[[#This Row],[SIGLA]]="","",VLOOKUP(Tabela2[[#This Row],[SIGLA]],Tabela1[[#All],[Sigla Arte]:[Crédito]],2,0))</f>
        <v>FERNANDA MONTEIRO/ARQUIVO DA EDITORA</v>
      </c>
      <c r="Z119" s="12"/>
      <c r="AA119" s="12" t="str">
        <f>Tabela2[[#This Row],[ILUSTRADOR CRIAÇÃO]]</f>
        <v>FERNANDA MONTEIRO/ARQUIVO DA EDITORA</v>
      </c>
      <c r="AB119" s="11">
        <v>6</v>
      </c>
      <c r="AC119" s="9" t="s">
        <v>351</v>
      </c>
      <c r="AD119" s="9" t="s">
        <v>22</v>
      </c>
      <c r="AE119" s="4" t="str">
        <f t="shared" si="1"/>
        <v>EF1 E002 Port</v>
      </c>
    </row>
    <row r="120" spans="1:31" s="7" customFormat="1" ht="42" customHeight="1" x14ac:dyDescent="0.25">
      <c r="A120" s="12" t="s">
        <v>370</v>
      </c>
      <c r="B120" s="9" t="s">
        <v>40</v>
      </c>
      <c r="C120" s="9" t="s">
        <v>1</v>
      </c>
      <c r="D120" s="9" t="s">
        <v>25</v>
      </c>
      <c r="E120" s="11">
        <v>213</v>
      </c>
      <c r="F120" s="11">
        <v>4</v>
      </c>
      <c r="G120" s="11">
        <v>6</v>
      </c>
      <c r="H120" s="11"/>
      <c r="I120" s="12" t="s">
        <v>9</v>
      </c>
      <c r="J120" s="12"/>
      <c r="K120" s="11"/>
      <c r="L120" s="11"/>
      <c r="M120" s="12"/>
      <c r="N120" s="12"/>
      <c r="O120" s="32" t="s">
        <v>371</v>
      </c>
      <c r="P120" s="9"/>
      <c r="Q120" s="9"/>
      <c r="R120" s="11">
        <v>16</v>
      </c>
      <c r="S120" s="13">
        <v>45828</v>
      </c>
      <c r="T120" s="13">
        <v>45835</v>
      </c>
      <c r="U120" s="13">
        <v>45841</v>
      </c>
      <c r="V120" s="13">
        <v>45841</v>
      </c>
      <c r="W120" s="13">
        <v>45842</v>
      </c>
      <c r="X120" s="11" t="s">
        <v>372</v>
      </c>
      <c r="Y120" s="4" t="str">
        <f>IF(Tabela2[[#This Row],[SIGLA]]="","",VLOOKUP(Tabela2[[#This Row],[SIGLA]],Tabela1[[#All],[Sigla Arte]:[Crédito]],2,0))</f>
        <v>THAMIRES PAREDES/ARQUIVO DA EDITORA</v>
      </c>
      <c r="Z120" s="12"/>
      <c r="AA120" s="12" t="str">
        <f>Tabela2[[#This Row],[ILUSTRADOR CRIAÇÃO]]</f>
        <v>THAMIRES PAREDES/ARQUIVO DA EDITORA</v>
      </c>
      <c r="AB120" s="11">
        <v>6</v>
      </c>
      <c r="AC120" s="9" t="s">
        <v>373</v>
      </c>
      <c r="AD120" s="9" t="s">
        <v>22</v>
      </c>
      <c r="AE120" s="4" t="str">
        <f t="shared" si="1"/>
        <v>EF1 E002 Port</v>
      </c>
    </row>
    <row r="121" spans="1:31" s="7" customFormat="1" ht="45" x14ac:dyDescent="0.25">
      <c r="A121" s="12" t="s">
        <v>374</v>
      </c>
      <c r="B121" s="9" t="s">
        <v>42</v>
      </c>
      <c r="C121" s="9" t="s">
        <v>1</v>
      </c>
      <c r="D121" s="9" t="s">
        <v>25</v>
      </c>
      <c r="E121" s="11"/>
      <c r="F121" s="11">
        <v>4</v>
      </c>
      <c r="G121" s="11">
        <v>6</v>
      </c>
      <c r="H121" s="11"/>
      <c r="I121" s="12" t="s">
        <v>9</v>
      </c>
      <c r="J121" s="12"/>
      <c r="K121" s="11"/>
      <c r="L121" s="11"/>
      <c r="M121" s="12"/>
      <c r="N121" s="12"/>
      <c r="O121" s="32" t="s">
        <v>375</v>
      </c>
      <c r="P121" s="9"/>
      <c r="Q121" s="9" t="s">
        <v>217</v>
      </c>
      <c r="R121" s="11">
        <v>16</v>
      </c>
      <c r="S121" s="13">
        <v>45828</v>
      </c>
      <c r="T121" s="13"/>
      <c r="U121" s="13"/>
      <c r="V121" s="13"/>
      <c r="W121" s="13"/>
      <c r="X121" s="11" t="s">
        <v>372</v>
      </c>
      <c r="Y121" s="4" t="str">
        <f>IF(Tabela2[[#This Row],[SIGLA]]="","",VLOOKUP(Tabela2[[#This Row],[SIGLA]],Tabela1[[#All],[Sigla Arte]:[Crédito]],2,0))</f>
        <v>THAMIRES PAREDES/ARQUIVO DA EDITORA</v>
      </c>
      <c r="Z121" s="12"/>
      <c r="AA121" s="12" t="str">
        <f>Tabela2[[#This Row],[ILUSTRADOR CRIAÇÃO]]</f>
        <v>THAMIRES PAREDES/ARQUIVO DA EDITORA</v>
      </c>
      <c r="AB121" s="11">
        <v>7</v>
      </c>
      <c r="AC121" s="9" t="s">
        <v>373</v>
      </c>
      <c r="AD121" s="9"/>
      <c r="AE121" s="4" t="str">
        <f t="shared" si="1"/>
        <v>EF1 E002 Port</v>
      </c>
    </row>
    <row r="122" spans="1:31" s="7" customFormat="1" ht="38.25" customHeight="1" x14ac:dyDescent="0.25">
      <c r="A122" s="12" t="s">
        <v>376</v>
      </c>
      <c r="B122" s="9" t="s">
        <v>40</v>
      </c>
      <c r="C122" s="9" t="s">
        <v>1</v>
      </c>
      <c r="D122" s="9" t="s">
        <v>25</v>
      </c>
      <c r="E122" s="11">
        <v>215</v>
      </c>
      <c r="F122" s="11">
        <v>4</v>
      </c>
      <c r="G122" s="11">
        <v>6</v>
      </c>
      <c r="H122" s="11"/>
      <c r="I122" s="12" t="s">
        <v>9</v>
      </c>
      <c r="J122" s="12"/>
      <c r="K122" s="11"/>
      <c r="L122" s="11"/>
      <c r="M122" s="12"/>
      <c r="N122" s="12"/>
      <c r="O122" s="32" t="s">
        <v>377</v>
      </c>
      <c r="P122" s="9"/>
      <c r="Q122" s="9"/>
      <c r="R122" s="11">
        <v>16</v>
      </c>
      <c r="S122" s="13">
        <v>45828</v>
      </c>
      <c r="T122" s="13">
        <v>45835</v>
      </c>
      <c r="U122" s="13">
        <v>45841</v>
      </c>
      <c r="V122" s="13">
        <v>45841</v>
      </c>
      <c r="W122" s="13">
        <v>45842</v>
      </c>
      <c r="X122" s="11" t="s">
        <v>372</v>
      </c>
      <c r="Y122" s="4" t="str">
        <f>IF(Tabela2[[#This Row],[SIGLA]]="","",VLOOKUP(Tabela2[[#This Row],[SIGLA]],Tabela1[[#All],[Sigla Arte]:[Crédito]],2,0))</f>
        <v>THAMIRES PAREDES/ARQUIVO DA EDITORA</v>
      </c>
      <c r="Z122" s="12"/>
      <c r="AA122" s="12" t="str">
        <f>Tabela2[[#This Row],[ILUSTRADOR CRIAÇÃO]]</f>
        <v>THAMIRES PAREDES/ARQUIVO DA EDITORA</v>
      </c>
      <c r="AB122" s="11">
        <v>7</v>
      </c>
      <c r="AC122" s="9" t="s">
        <v>373</v>
      </c>
      <c r="AD122" s="9" t="s">
        <v>22</v>
      </c>
      <c r="AE122" s="4" t="str">
        <f t="shared" si="1"/>
        <v>EF1 E002 Port</v>
      </c>
    </row>
    <row r="123" spans="1:31" s="7" customFormat="1" ht="54" customHeight="1" x14ac:dyDescent="0.25">
      <c r="A123" s="12" t="s">
        <v>378</v>
      </c>
      <c r="B123" s="9" t="s">
        <v>40</v>
      </c>
      <c r="C123" s="9" t="s">
        <v>1</v>
      </c>
      <c r="D123" s="9" t="s">
        <v>25</v>
      </c>
      <c r="E123" s="11">
        <v>220</v>
      </c>
      <c r="F123" s="11">
        <v>4</v>
      </c>
      <c r="G123" s="11">
        <v>6</v>
      </c>
      <c r="H123" s="11"/>
      <c r="I123" s="12" t="s">
        <v>9</v>
      </c>
      <c r="J123" s="12"/>
      <c r="K123" s="11"/>
      <c r="L123" s="11"/>
      <c r="M123" s="12"/>
      <c r="N123" s="12"/>
      <c r="O123" s="32" t="s">
        <v>379</v>
      </c>
      <c r="P123" s="9"/>
      <c r="Q123" s="9"/>
      <c r="R123" s="11">
        <v>16</v>
      </c>
      <c r="S123" s="13">
        <v>45828</v>
      </c>
      <c r="T123" s="13">
        <v>45835</v>
      </c>
      <c r="U123" s="13">
        <v>45841</v>
      </c>
      <c r="V123" s="13">
        <v>45841</v>
      </c>
      <c r="W123" s="13">
        <v>45842</v>
      </c>
      <c r="X123" s="11" t="s">
        <v>372</v>
      </c>
      <c r="Y123" s="4" t="str">
        <f>IF(Tabela2[[#This Row],[SIGLA]]="","",VLOOKUP(Tabela2[[#This Row],[SIGLA]],Tabela1[[#All],[Sigla Arte]:[Crédito]],2,0))</f>
        <v>THAMIRES PAREDES/ARQUIVO DA EDITORA</v>
      </c>
      <c r="Z123" s="12"/>
      <c r="AA123" s="12" t="str">
        <f>Tabela2[[#This Row],[ILUSTRADOR CRIAÇÃO]]</f>
        <v>THAMIRES PAREDES/ARQUIVO DA EDITORA</v>
      </c>
      <c r="AB123" s="11">
        <v>7</v>
      </c>
      <c r="AC123" s="9" t="s">
        <v>373</v>
      </c>
      <c r="AD123" s="9" t="s">
        <v>22</v>
      </c>
      <c r="AE123" s="4" t="str">
        <f t="shared" si="1"/>
        <v>EF1 E002 Port</v>
      </c>
    </row>
    <row r="124" spans="1:31" s="7" customFormat="1" ht="45" x14ac:dyDescent="0.25">
      <c r="A124" s="12" t="s">
        <v>380</v>
      </c>
      <c r="B124" s="9" t="s">
        <v>40</v>
      </c>
      <c r="C124" s="9" t="s">
        <v>1</v>
      </c>
      <c r="D124" s="9" t="s">
        <v>25</v>
      </c>
      <c r="E124" s="11"/>
      <c r="F124" s="11">
        <v>1</v>
      </c>
      <c r="G124" s="11">
        <v>1</v>
      </c>
      <c r="H124" s="11"/>
      <c r="I124" s="12" t="s">
        <v>9</v>
      </c>
      <c r="J124" s="12"/>
      <c r="K124" s="11"/>
      <c r="L124" s="11"/>
      <c r="M124" s="12"/>
      <c r="N124" s="12"/>
      <c r="O124" s="32" t="s">
        <v>381</v>
      </c>
      <c r="P124" s="9"/>
      <c r="Q124" s="9"/>
      <c r="R124" s="11">
        <v>17</v>
      </c>
      <c r="S124" s="13">
        <v>45831</v>
      </c>
      <c r="T124" s="13">
        <v>45831</v>
      </c>
      <c r="U124" s="13">
        <v>45834</v>
      </c>
      <c r="V124" s="13">
        <v>45835</v>
      </c>
      <c r="W124" s="13">
        <v>45838</v>
      </c>
      <c r="X124" s="11" t="s">
        <v>119</v>
      </c>
      <c r="Y124" s="4" t="str">
        <f>IF(Tabela2[[#This Row],[SIGLA]]="","",VLOOKUP(Tabela2[[#This Row],[SIGLA]],Tabela1[[#All],[Sigla Arte]:[Crédito]],2,0))</f>
        <v>DANIEL WU/ARQUIVO DA EDITORA</v>
      </c>
      <c r="Z124" s="12"/>
      <c r="AA124" s="12" t="str">
        <f>Tabela2[[#This Row],[ILUSTRADOR CRIAÇÃO]]</f>
        <v>DANIEL WU/ARQUIVO DA EDITORA</v>
      </c>
      <c r="AB124" s="11">
        <v>5</v>
      </c>
      <c r="AC124" s="9" t="s">
        <v>382</v>
      </c>
      <c r="AD124" s="9" t="s">
        <v>22</v>
      </c>
      <c r="AE124" s="4" t="str">
        <f t="shared" si="1"/>
        <v>EF1 E002 Port</v>
      </c>
    </row>
    <row r="125" spans="1:31" s="7" customFormat="1" ht="90" x14ac:dyDescent="0.25">
      <c r="A125" s="12" t="s">
        <v>383</v>
      </c>
      <c r="B125" s="9" t="s">
        <v>40</v>
      </c>
      <c r="C125" s="9" t="s">
        <v>1</v>
      </c>
      <c r="D125" s="9" t="s">
        <v>25</v>
      </c>
      <c r="E125" s="11">
        <v>272</v>
      </c>
      <c r="F125" s="11">
        <v>4</v>
      </c>
      <c r="G125" s="11">
        <v>8</v>
      </c>
      <c r="H125" s="11"/>
      <c r="I125" s="12" t="s">
        <v>9</v>
      </c>
      <c r="J125" s="12"/>
      <c r="K125" s="11"/>
      <c r="L125" s="11"/>
      <c r="M125" s="12"/>
      <c r="N125" s="12"/>
      <c r="O125" s="32" t="s">
        <v>384</v>
      </c>
      <c r="P125" s="9"/>
      <c r="Q125" s="9"/>
      <c r="R125" s="11">
        <v>18</v>
      </c>
      <c r="S125" s="13">
        <v>45834</v>
      </c>
      <c r="T125" s="13">
        <v>45838</v>
      </c>
      <c r="U125" s="13">
        <v>45840</v>
      </c>
      <c r="V125" s="13">
        <v>45841</v>
      </c>
      <c r="W125" s="13">
        <v>45845</v>
      </c>
      <c r="X125" s="11" t="s">
        <v>141</v>
      </c>
      <c r="Y125" s="4" t="str">
        <f>IF(Tabela2[[#This Row],[SIGLA]]="","",VLOOKUP(Tabela2[[#This Row],[SIGLA]],Tabela1[[#All],[Sigla Arte]:[Crédito]],2,0))</f>
        <v>EZEQUIEL SILVA/ARQUIVO DA EDITORA</v>
      </c>
      <c r="Z125" s="12"/>
      <c r="AA125" s="12" t="str">
        <f>Tabela2[[#This Row],[ILUSTRADOR CRIAÇÃO]]</f>
        <v>EZEQUIEL SILVA/ARQUIVO DA EDITORA</v>
      </c>
      <c r="AB125" s="11">
        <v>5</v>
      </c>
      <c r="AC125" s="9" t="s">
        <v>385</v>
      </c>
      <c r="AD125" s="9" t="s">
        <v>22</v>
      </c>
      <c r="AE125" s="4" t="str">
        <f t="shared" si="1"/>
        <v>EF1 E002 Port</v>
      </c>
    </row>
    <row r="126" spans="1:31" s="7" customFormat="1" ht="90" x14ac:dyDescent="0.25">
      <c r="A126" s="12" t="s">
        <v>386</v>
      </c>
      <c r="B126" s="9" t="s">
        <v>40</v>
      </c>
      <c r="C126" s="9" t="s">
        <v>1</v>
      </c>
      <c r="D126" s="9" t="s">
        <v>25</v>
      </c>
      <c r="E126" s="11">
        <v>280</v>
      </c>
      <c r="F126" s="11">
        <v>4</v>
      </c>
      <c r="G126" s="11">
        <v>8</v>
      </c>
      <c r="H126" s="11"/>
      <c r="I126" s="12" t="s">
        <v>9</v>
      </c>
      <c r="J126" s="12"/>
      <c r="K126" s="11"/>
      <c r="L126" s="11"/>
      <c r="M126" s="12"/>
      <c r="N126" s="12"/>
      <c r="O126" s="32" t="s">
        <v>387</v>
      </c>
      <c r="P126" s="9"/>
      <c r="Q126" s="9"/>
      <c r="R126" s="11">
        <v>18</v>
      </c>
      <c r="S126" s="13">
        <v>45834</v>
      </c>
      <c r="T126" s="13">
        <v>45838</v>
      </c>
      <c r="U126" s="13">
        <v>45840</v>
      </c>
      <c r="V126" s="13">
        <v>45841</v>
      </c>
      <c r="W126" s="13">
        <v>45845</v>
      </c>
      <c r="X126" s="11" t="s">
        <v>141</v>
      </c>
      <c r="Y126" s="4" t="str">
        <f>IF(Tabela2[[#This Row],[SIGLA]]="","",VLOOKUP(Tabela2[[#This Row],[SIGLA]],Tabela1[[#All],[Sigla Arte]:[Crédito]],2,0))</f>
        <v>EZEQUIEL SILVA/ARQUIVO DA EDITORA</v>
      </c>
      <c r="Z126" s="12"/>
      <c r="AA126" s="12" t="str">
        <f>Tabela2[[#This Row],[ILUSTRADOR CRIAÇÃO]]</f>
        <v>EZEQUIEL SILVA/ARQUIVO DA EDITORA</v>
      </c>
      <c r="AB126" s="11">
        <v>5</v>
      </c>
      <c r="AC126" s="9" t="s">
        <v>385</v>
      </c>
      <c r="AD126" s="9" t="s">
        <v>22</v>
      </c>
      <c r="AE126" s="4" t="str">
        <f t="shared" si="1"/>
        <v>EF1 E002 Port</v>
      </c>
    </row>
    <row r="127" spans="1:31" s="7" customFormat="1" ht="278.25" customHeight="1" x14ac:dyDescent="0.25">
      <c r="A127" s="12" t="s">
        <v>388</v>
      </c>
      <c r="B127" s="9" t="s">
        <v>40</v>
      </c>
      <c r="C127" s="9" t="s">
        <v>1</v>
      </c>
      <c r="D127" s="9" t="s">
        <v>25</v>
      </c>
      <c r="E127" s="11">
        <v>175</v>
      </c>
      <c r="F127" s="11">
        <v>1</v>
      </c>
      <c r="G127" s="11">
        <v>6</v>
      </c>
      <c r="H127" s="11"/>
      <c r="I127" s="12" t="s">
        <v>9</v>
      </c>
      <c r="J127" s="12"/>
      <c r="K127" s="11"/>
      <c r="L127" s="11"/>
      <c r="M127" s="12"/>
      <c r="N127" s="12"/>
      <c r="O127" s="32" t="s">
        <v>389</v>
      </c>
      <c r="P127" s="9"/>
      <c r="Q127" s="9"/>
      <c r="R127" s="11">
        <v>19</v>
      </c>
      <c r="S127" s="13">
        <v>45838</v>
      </c>
      <c r="T127" s="13">
        <v>45839</v>
      </c>
      <c r="U127" s="13">
        <v>45845</v>
      </c>
      <c r="V127" s="13">
        <v>45845</v>
      </c>
      <c r="W127" s="13">
        <v>45849</v>
      </c>
      <c r="X127" s="11" t="s">
        <v>390</v>
      </c>
      <c r="Y127" s="4" t="str">
        <f>IF(Tabela2[[#This Row],[SIGLA]]="","",VLOOKUP(Tabela2[[#This Row],[SIGLA]],Tabela1[[#All],[Sigla Arte]:[Crédito]],2,0))</f>
        <v>RODRIGO CORDEIRO/ARQUIVO DA EDITORA</v>
      </c>
      <c r="Z127" s="12"/>
      <c r="AA127" s="12" t="str">
        <f>Tabela2[[#This Row],[ILUSTRADOR CRIAÇÃO]]</f>
        <v>RODRIGO CORDEIRO/ARQUIVO DA EDITORA</v>
      </c>
      <c r="AB127" s="11">
        <v>4</v>
      </c>
      <c r="AC127" s="9" t="s">
        <v>391</v>
      </c>
      <c r="AD127" s="9" t="s">
        <v>22</v>
      </c>
      <c r="AE127" s="4" t="str">
        <f t="shared" si="1"/>
        <v>EF1 E002 Port</v>
      </c>
    </row>
    <row r="128" spans="1:31" s="7" customFormat="1" ht="105" x14ac:dyDescent="0.25">
      <c r="A128" s="12" t="s">
        <v>392</v>
      </c>
      <c r="B128" s="9" t="s">
        <v>40</v>
      </c>
      <c r="C128" s="9" t="s">
        <v>1</v>
      </c>
      <c r="D128" s="9" t="s">
        <v>25</v>
      </c>
      <c r="E128" s="11">
        <v>175</v>
      </c>
      <c r="F128" s="11">
        <v>1</v>
      </c>
      <c r="G128" s="11">
        <v>6</v>
      </c>
      <c r="H128" s="11"/>
      <c r="I128" s="12" t="s">
        <v>9</v>
      </c>
      <c r="J128" s="12"/>
      <c r="K128" s="11"/>
      <c r="L128" s="11"/>
      <c r="M128" s="12"/>
      <c r="N128" s="12"/>
      <c r="O128" s="32" t="s">
        <v>393</v>
      </c>
      <c r="P128" s="9"/>
      <c r="Q128" s="9"/>
      <c r="R128" s="11">
        <v>19</v>
      </c>
      <c r="S128" s="13">
        <v>45838</v>
      </c>
      <c r="T128" s="13">
        <v>45839</v>
      </c>
      <c r="U128" s="13">
        <v>45845</v>
      </c>
      <c r="V128" s="13">
        <v>45845</v>
      </c>
      <c r="W128" s="13">
        <v>45849</v>
      </c>
      <c r="X128" s="11" t="s">
        <v>390</v>
      </c>
      <c r="Y128" s="4" t="str">
        <f>IF(Tabela2[[#This Row],[SIGLA]]="","",VLOOKUP(Tabela2[[#This Row],[SIGLA]],Tabela1[[#All],[Sigla Arte]:[Crédito]],2,0))</f>
        <v>RODRIGO CORDEIRO/ARQUIVO DA EDITORA</v>
      </c>
      <c r="Z128" s="12"/>
      <c r="AA128" s="12" t="str">
        <f>Tabela2[[#This Row],[ILUSTRADOR CRIAÇÃO]]</f>
        <v>RODRIGO CORDEIRO/ARQUIVO DA EDITORA</v>
      </c>
      <c r="AB128" s="11">
        <v>5</v>
      </c>
      <c r="AC128" s="9" t="s">
        <v>391</v>
      </c>
      <c r="AD128" s="9" t="s">
        <v>22</v>
      </c>
      <c r="AE128" s="4" t="str">
        <f t="shared" si="1"/>
        <v>EF1 E002 Port</v>
      </c>
    </row>
    <row r="129" spans="1:31" s="7" customFormat="1" ht="30" x14ac:dyDescent="0.25">
      <c r="A129" s="12" t="s">
        <v>394</v>
      </c>
      <c r="B129" s="9" t="s">
        <v>42</v>
      </c>
      <c r="C129" s="9" t="s">
        <v>1</v>
      </c>
      <c r="D129" s="9" t="s">
        <v>25</v>
      </c>
      <c r="E129" s="11">
        <v>175</v>
      </c>
      <c r="F129" s="11">
        <v>1</v>
      </c>
      <c r="G129" s="11">
        <v>6</v>
      </c>
      <c r="H129" s="11"/>
      <c r="I129" s="12" t="s">
        <v>9</v>
      </c>
      <c r="J129" s="12"/>
      <c r="K129" s="11"/>
      <c r="L129" s="11"/>
      <c r="M129" s="12"/>
      <c r="N129" s="12"/>
      <c r="O129" s="32" t="s">
        <v>395</v>
      </c>
      <c r="P129" s="9"/>
      <c r="Q129" s="9"/>
      <c r="R129" s="11">
        <v>19</v>
      </c>
      <c r="S129" s="13">
        <v>45838</v>
      </c>
      <c r="T129" s="13">
        <v>45839</v>
      </c>
      <c r="U129" s="13">
        <v>45845</v>
      </c>
      <c r="V129" s="13">
        <v>45845</v>
      </c>
      <c r="W129" s="13">
        <v>45849</v>
      </c>
      <c r="X129" s="11" t="s">
        <v>390</v>
      </c>
      <c r="Y129" s="4" t="str">
        <f>IF(Tabela2[[#This Row],[SIGLA]]="","",VLOOKUP(Tabela2[[#This Row],[SIGLA]],Tabela1[[#All],[Sigla Arte]:[Crédito]],2,0))</f>
        <v>RODRIGO CORDEIRO/ARQUIVO DA EDITORA</v>
      </c>
      <c r="Z129" s="12"/>
      <c r="AA129" s="12" t="str">
        <f>Tabela2[[#This Row],[ILUSTRADOR CRIAÇÃO]]</f>
        <v>RODRIGO CORDEIRO/ARQUIVO DA EDITORA</v>
      </c>
      <c r="AB129" s="11">
        <v>7</v>
      </c>
      <c r="AC129" s="9" t="s">
        <v>391</v>
      </c>
      <c r="AD129" s="9" t="s">
        <v>22</v>
      </c>
      <c r="AE129" s="4" t="str">
        <f t="shared" si="1"/>
        <v>EF1 E002 Port</v>
      </c>
    </row>
    <row r="130" spans="1:31" s="7" customFormat="1" ht="60" x14ac:dyDescent="0.25">
      <c r="A130" s="12" t="s">
        <v>396</v>
      </c>
      <c r="B130" s="9" t="s">
        <v>40</v>
      </c>
      <c r="C130" s="9" t="s">
        <v>1</v>
      </c>
      <c r="D130" s="9" t="s">
        <v>25</v>
      </c>
      <c r="E130" s="11">
        <v>176</v>
      </c>
      <c r="F130" s="11">
        <v>1</v>
      </c>
      <c r="G130" s="11">
        <v>6</v>
      </c>
      <c r="H130" s="11"/>
      <c r="I130" s="12" t="s">
        <v>9</v>
      </c>
      <c r="J130" s="12"/>
      <c r="K130" s="11"/>
      <c r="L130" s="11"/>
      <c r="M130" s="12"/>
      <c r="N130" s="12"/>
      <c r="O130" s="32" t="s">
        <v>397</v>
      </c>
      <c r="P130" s="9"/>
      <c r="Q130" s="9"/>
      <c r="R130" s="11">
        <v>19</v>
      </c>
      <c r="S130" s="13">
        <v>45838</v>
      </c>
      <c r="T130" s="13">
        <v>45842</v>
      </c>
      <c r="U130" s="13">
        <v>45849</v>
      </c>
      <c r="V130" s="13">
        <v>45854</v>
      </c>
      <c r="W130" s="13">
        <v>45859</v>
      </c>
      <c r="X130" s="11" t="s">
        <v>372</v>
      </c>
      <c r="Y130" s="4" t="str">
        <f>IF(Tabela2[[#This Row],[SIGLA]]="","",VLOOKUP(Tabela2[[#This Row],[SIGLA]],Tabela1[[#All],[Sigla Arte]:[Crédito]],2,0))</f>
        <v>THAMIRES PAREDES/ARQUIVO DA EDITORA</v>
      </c>
      <c r="Z130" s="12"/>
      <c r="AA130" s="12" t="str">
        <f>Tabela2[[#This Row],[ILUSTRADOR CRIAÇÃO]]</f>
        <v>THAMIRES PAREDES/ARQUIVO DA EDITORA</v>
      </c>
      <c r="AB130" s="11">
        <v>6</v>
      </c>
      <c r="AC130" s="9" t="s">
        <v>398</v>
      </c>
      <c r="AD130" s="9" t="s">
        <v>22</v>
      </c>
      <c r="AE130" s="4" t="str">
        <f t="shared" ref="AE130:AE193" si="2">"EF1 E002 Port"</f>
        <v>EF1 E002 Port</v>
      </c>
    </row>
    <row r="131" spans="1:31" s="7" customFormat="1" x14ac:dyDescent="0.25">
      <c r="A131" s="12" t="s">
        <v>399</v>
      </c>
      <c r="B131" s="9" t="s">
        <v>40</v>
      </c>
      <c r="C131" s="9" t="s">
        <v>1</v>
      </c>
      <c r="D131" s="9" t="s">
        <v>25</v>
      </c>
      <c r="E131" s="11">
        <v>178</v>
      </c>
      <c r="F131" s="11">
        <v>1</v>
      </c>
      <c r="G131" s="11">
        <v>6</v>
      </c>
      <c r="H131" s="11"/>
      <c r="I131" s="12" t="s">
        <v>9</v>
      </c>
      <c r="J131" s="12"/>
      <c r="K131" s="11"/>
      <c r="L131" s="11"/>
      <c r="M131" s="12"/>
      <c r="N131" s="12"/>
      <c r="O131" s="32" t="s">
        <v>400</v>
      </c>
      <c r="P131" s="9"/>
      <c r="Q131" s="9"/>
      <c r="R131" s="11">
        <v>19</v>
      </c>
      <c r="S131" s="13">
        <v>45838</v>
      </c>
      <c r="T131" s="13">
        <v>45842</v>
      </c>
      <c r="U131" s="13">
        <v>45849</v>
      </c>
      <c r="V131" s="13">
        <v>45854</v>
      </c>
      <c r="W131" s="13">
        <v>45859</v>
      </c>
      <c r="X131" s="11" t="s">
        <v>372</v>
      </c>
      <c r="Y131" s="4" t="str">
        <f>IF(Tabela2[[#This Row],[SIGLA]]="","",VLOOKUP(Tabela2[[#This Row],[SIGLA]],Tabela1[[#All],[Sigla Arte]:[Crédito]],2,0))</f>
        <v>THAMIRES PAREDES/ARQUIVO DA EDITORA</v>
      </c>
      <c r="Z131" s="12"/>
      <c r="AA131" s="12" t="str">
        <f>Tabela2[[#This Row],[ILUSTRADOR CRIAÇÃO]]</f>
        <v>THAMIRES PAREDES/ARQUIVO DA EDITORA</v>
      </c>
      <c r="AB131" s="11">
        <v>8</v>
      </c>
      <c r="AC131" s="9" t="s">
        <v>398</v>
      </c>
      <c r="AD131" s="9" t="s">
        <v>22</v>
      </c>
      <c r="AE131" s="4" t="str">
        <f t="shared" si="2"/>
        <v>EF1 E002 Port</v>
      </c>
    </row>
    <row r="132" spans="1:31" s="7" customFormat="1" x14ac:dyDescent="0.25">
      <c r="A132" s="12" t="s">
        <v>401</v>
      </c>
      <c r="B132" s="9" t="s">
        <v>40</v>
      </c>
      <c r="C132" s="9" t="s">
        <v>1</v>
      </c>
      <c r="D132" s="9" t="s">
        <v>25</v>
      </c>
      <c r="E132" s="11">
        <v>178</v>
      </c>
      <c r="F132" s="11">
        <v>1</v>
      </c>
      <c r="G132" s="11">
        <v>6</v>
      </c>
      <c r="H132" s="11"/>
      <c r="I132" s="12" t="s">
        <v>9</v>
      </c>
      <c r="J132" s="12"/>
      <c r="K132" s="11"/>
      <c r="L132" s="11"/>
      <c r="M132" s="12"/>
      <c r="N132" s="12"/>
      <c r="O132" s="32" t="s">
        <v>402</v>
      </c>
      <c r="P132" s="9"/>
      <c r="Q132" s="9"/>
      <c r="R132" s="11">
        <v>19</v>
      </c>
      <c r="S132" s="13">
        <v>45838</v>
      </c>
      <c r="T132" s="13">
        <v>45842</v>
      </c>
      <c r="U132" s="13">
        <v>45849</v>
      </c>
      <c r="V132" s="13">
        <v>45854</v>
      </c>
      <c r="W132" s="13">
        <v>45859</v>
      </c>
      <c r="X132" s="11" t="s">
        <v>372</v>
      </c>
      <c r="Y132" s="4" t="str">
        <f>IF(Tabela2[[#This Row],[SIGLA]]="","",VLOOKUP(Tabela2[[#This Row],[SIGLA]],Tabela1[[#All],[Sigla Arte]:[Crédito]],2,0))</f>
        <v>THAMIRES PAREDES/ARQUIVO DA EDITORA</v>
      </c>
      <c r="Z132" s="12"/>
      <c r="AA132" s="12" t="str">
        <f>Tabela2[[#This Row],[ILUSTRADOR CRIAÇÃO]]</f>
        <v>THAMIRES PAREDES/ARQUIVO DA EDITORA</v>
      </c>
      <c r="AB132" s="11">
        <v>8</v>
      </c>
      <c r="AC132" s="9" t="s">
        <v>398</v>
      </c>
      <c r="AD132" s="9" t="s">
        <v>22</v>
      </c>
      <c r="AE132" s="4" t="str">
        <f t="shared" si="2"/>
        <v>EF1 E002 Port</v>
      </c>
    </row>
    <row r="133" spans="1:31" s="7" customFormat="1" x14ac:dyDescent="0.25">
      <c r="A133" s="12" t="s">
        <v>403</v>
      </c>
      <c r="B133" s="9" t="s">
        <v>40</v>
      </c>
      <c r="C133" s="9" t="s">
        <v>1</v>
      </c>
      <c r="D133" s="9" t="s">
        <v>25</v>
      </c>
      <c r="E133" s="11">
        <v>178</v>
      </c>
      <c r="F133" s="11">
        <v>1</v>
      </c>
      <c r="G133" s="11">
        <v>6</v>
      </c>
      <c r="H133" s="11"/>
      <c r="I133" s="12" t="s">
        <v>9</v>
      </c>
      <c r="J133" s="12"/>
      <c r="K133" s="11"/>
      <c r="L133" s="11"/>
      <c r="M133" s="12"/>
      <c r="N133" s="12"/>
      <c r="O133" s="32" t="s">
        <v>404</v>
      </c>
      <c r="P133" s="9"/>
      <c r="Q133" s="9"/>
      <c r="R133" s="11">
        <v>19</v>
      </c>
      <c r="S133" s="13">
        <v>45838</v>
      </c>
      <c r="T133" s="13">
        <v>45842</v>
      </c>
      <c r="U133" s="13">
        <v>45849</v>
      </c>
      <c r="V133" s="13">
        <v>45854</v>
      </c>
      <c r="W133" s="13">
        <v>45859</v>
      </c>
      <c r="X133" s="11" t="s">
        <v>372</v>
      </c>
      <c r="Y133" s="4" t="str">
        <f>IF(Tabela2[[#This Row],[SIGLA]]="","",VLOOKUP(Tabela2[[#This Row],[SIGLA]],Tabela1[[#All],[Sigla Arte]:[Crédito]],2,0))</f>
        <v>THAMIRES PAREDES/ARQUIVO DA EDITORA</v>
      </c>
      <c r="Z133" s="12"/>
      <c r="AA133" s="12" t="str">
        <f>Tabela2[[#This Row],[ILUSTRADOR CRIAÇÃO]]</f>
        <v>THAMIRES PAREDES/ARQUIVO DA EDITORA</v>
      </c>
      <c r="AB133" s="11">
        <v>8</v>
      </c>
      <c r="AC133" s="9" t="s">
        <v>398</v>
      </c>
      <c r="AD133" s="9" t="s">
        <v>22</v>
      </c>
      <c r="AE133" s="4" t="str">
        <f t="shared" si="2"/>
        <v>EF1 E002 Port</v>
      </c>
    </row>
    <row r="134" spans="1:31" s="7" customFormat="1" ht="75" x14ac:dyDescent="0.25">
      <c r="A134" s="12" t="s">
        <v>405</v>
      </c>
      <c r="B134" s="9" t="s">
        <v>42</v>
      </c>
      <c r="C134" s="9" t="s">
        <v>1</v>
      </c>
      <c r="D134" s="9" t="s">
        <v>25</v>
      </c>
      <c r="E134" s="11">
        <v>181</v>
      </c>
      <c r="F134" s="11">
        <v>1</v>
      </c>
      <c r="G134" s="11">
        <v>6</v>
      </c>
      <c r="H134" s="11"/>
      <c r="I134" s="12" t="s">
        <v>9</v>
      </c>
      <c r="J134" s="12"/>
      <c r="K134" s="11"/>
      <c r="L134" s="11"/>
      <c r="M134" s="12"/>
      <c r="N134" s="12"/>
      <c r="O134" s="32" t="s">
        <v>406</v>
      </c>
      <c r="P134" s="9"/>
      <c r="Q134" s="9"/>
      <c r="R134" s="11">
        <v>19</v>
      </c>
      <c r="S134" s="13">
        <v>45838</v>
      </c>
      <c r="T134" s="13">
        <v>45839</v>
      </c>
      <c r="U134" s="13">
        <v>45840</v>
      </c>
      <c r="V134" s="13">
        <v>45841</v>
      </c>
      <c r="W134" s="13">
        <v>45863</v>
      </c>
      <c r="X134" s="11" t="s">
        <v>407</v>
      </c>
      <c r="Y134" s="4" t="str">
        <f>IF(Tabela2[[#This Row],[SIGLA]]="","",VLOOKUP(Tabela2[[#This Row],[SIGLA]],Tabela1[[#All],[Sigla Arte]:[Crédito]],2,0))</f>
        <v>JACQUELINE LIMA/ARQUIVO DA EDITORA</v>
      </c>
      <c r="Z134" s="12"/>
      <c r="AA134" s="12" t="str">
        <f>Tabela2[[#This Row],[ILUSTRADOR CRIAÇÃO]]</f>
        <v>JACQUELINE LIMA/ARQUIVO DA EDITORA</v>
      </c>
      <c r="AB134" s="11">
        <v>6</v>
      </c>
      <c r="AC134" s="9" t="s">
        <v>408</v>
      </c>
      <c r="AD134" s="9" t="s">
        <v>22</v>
      </c>
      <c r="AE134" s="4" t="str">
        <f t="shared" si="2"/>
        <v>EF1 E002 Port</v>
      </c>
    </row>
    <row r="135" spans="1:31" s="7" customFormat="1" ht="90" x14ac:dyDescent="0.25">
      <c r="A135" s="12" t="s">
        <v>409</v>
      </c>
      <c r="B135" s="9" t="s">
        <v>42</v>
      </c>
      <c r="C135" s="9" t="s">
        <v>1</v>
      </c>
      <c r="D135" s="9" t="s">
        <v>25</v>
      </c>
      <c r="E135" s="11">
        <v>181</v>
      </c>
      <c r="F135" s="11">
        <v>1</v>
      </c>
      <c r="G135" s="11">
        <v>6</v>
      </c>
      <c r="H135" s="11"/>
      <c r="I135" s="12" t="s">
        <v>9</v>
      </c>
      <c r="J135" s="12"/>
      <c r="K135" s="11"/>
      <c r="L135" s="11"/>
      <c r="M135" s="12"/>
      <c r="N135" s="12"/>
      <c r="O135" s="32" t="s">
        <v>410</v>
      </c>
      <c r="P135" s="9"/>
      <c r="Q135" s="9"/>
      <c r="R135" s="11">
        <v>19</v>
      </c>
      <c r="S135" s="13">
        <v>45838</v>
      </c>
      <c r="T135" s="13">
        <v>45839</v>
      </c>
      <c r="U135" s="13">
        <v>45840</v>
      </c>
      <c r="V135" s="13">
        <v>45841</v>
      </c>
      <c r="W135" s="13">
        <v>45863</v>
      </c>
      <c r="X135" s="11" t="s">
        <v>407</v>
      </c>
      <c r="Y135" s="4" t="str">
        <f>IF(Tabela2[[#This Row],[SIGLA]]="","",VLOOKUP(Tabela2[[#This Row],[SIGLA]],Tabela1[[#All],[Sigla Arte]:[Crédito]],2,0))</f>
        <v>JACQUELINE LIMA/ARQUIVO DA EDITORA</v>
      </c>
      <c r="Z135" s="12"/>
      <c r="AA135" s="12" t="str">
        <f>Tabela2[[#This Row],[ILUSTRADOR CRIAÇÃO]]</f>
        <v>JACQUELINE LIMA/ARQUIVO DA EDITORA</v>
      </c>
      <c r="AB135" s="11">
        <v>5</v>
      </c>
      <c r="AC135" s="9" t="s">
        <v>408</v>
      </c>
      <c r="AD135" s="9" t="s">
        <v>22</v>
      </c>
      <c r="AE135" s="4" t="str">
        <f t="shared" si="2"/>
        <v>EF1 E002 Port</v>
      </c>
    </row>
    <row r="136" spans="1:31" s="7" customFormat="1" ht="60" x14ac:dyDescent="0.25">
      <c r="A136" s="12" t="s">
        <v>411</v>
      </c>
      <c r="B136" s="9" t="s">
        <v>42</v>
      </c>
      <c r="C136" s="9" t="s">
        <v>1</v>
      </c>
      <c r="D136" s="9" t="s">
        <v>25</v>
      </c>
      <c r="E136" s="11">
        <v>181</v>
      </c>
      <c r="F136" s="11">
        <v>1</v>
      </c>
      <c r="G136" s="11">
        <v>6</v>
      </c>
      <c r="H136" s="11"/>
      <c r="I136" s="12" t="s">
        <v>9</v>
      </c>
      <c r="J136" s="12"/>
      <c r="K136" s="11"/>
      <c r="L136" s="11"/>
      <c r="M136" s="12"/>
      <c r="N136" s="12"/>
      <c r="O136" s="32" t="s">
        <v>412</v>
      </c>
      <c r="P136" s="9"/>
      <c r="Q136" s="9"/>
      <c r="R136" s="11">
        <v>19</v>
      </c>
      <c r="S136" s="13">
        <v>45838</v>
      </c>
      <c r="T136" s="13">
        <v>45839</v>
      </c>
      <c r="U136" s="13">
        <v>45840</v>
      </c>
      <c r="V136" s="13">
        <v>45841</v>
      </c>
      <c r="W136" s="13">
        <v>45863</v>
      </c>
      <c r="X136" s="11" t="s">
        <v>407</v>
      </c>
      <c r="Y136" s="4" t="str">
        <f>IF(Tabela2[[#This Row],[SIGLA]]="","",VLOOKUP(Tabela2[[#This Row],[SIGLA]],Tabela1[[#All],[Sigla Arte]:[Crédito]],2,0))</f>
        <v>JACQUELINE LIMA/ARQUIVO DA EDITORA</v>
      </c>
      <c r="Z136" s="12"/>
      <c r="AA136" s="12" t="str">
        <f>Tabela2[[#This Row],[ILUSTRADOR CRIAÇÃO]]</f>
        <v>JACQUELINE LIMA/ARQUIVO DA EDITORA</v>
      </c>
      <c r="AB136" s="11">
        <v>5</v>
      </c>
      <c r="AC136" s="9" t="s">
        <v>408</v>
      </c>
      <c r="AD136" s="9" t="s">
        <v>22</v>
      </c>
      <c r="AE136" s="4" t="str">
        <f t="shared" si="2"/>
        <v>EF1 E002 Port</v>
      </c>
    </row>
    <row r="137" spans="1:31" s="7" customFormat="1" ht="105" x14ac:dyDescent="0.25">
      <c r="A137" s="12" t="s">
        <v>413</v>
      </c>
      <c r="B137" s="9" t="s">
        <v>28</v>
      </c>
      <c r="C137" s="9" t="s">
        <v>1</v>
      </c>
      <c r="D137" s="9" t="s">
        <v>25</v>
      </c>
      <c r="E137" s="11">
        <v>189</v>
      </c>
      <c r="F137" s="11">
        <v>1</v>
      </c>
      <c r="G137" s="11">
        <v>6</v>
      </c>
      <c r="H137" s="11"/>
      <c r="I137" s="12" t="s">
        <v>9</v>
      </c>
      <c r="J137" s="12"/>
      <c r="K137" s="11"/>
      <c r="L137" s="11"/>
      <c r="M137" s="12"/>
      <c r="N137" s="12"/>
      <c r="O137" s="32" t="s">
        <v>414</v>
      </c>
      <c r="P137" s="9"/>
      <c r="Q137" s="9"/>
      <c r="R137" s="11">
        <v>19</v>
      </c>
      <c r="S137" s="13">
        <v>45838</v>
      </c>
      <c r="T137" s="13">
        <v>45842</v>
      </c>
      <c r="U137" s="13">
        <v>45849</v>
      </c>
      <c r="V137" s="13">
        <v>45854</v>
      </c>
      <c r="W137" s="13">
        <v>45859</v>
      </c>
      <c r="X137" s="11" t="s">
        <v>372</v>
      </c>
      <c r="Y137" s="4" t="str">
        <f>IF(Tabela2[[#This Row],[SIGLA]]="","",VLOOKUP(Tabela2[[#This Row],[SIGLA]],Tabela1[[#All],[Sigla Arte]:[Crédito]],2,0))</f>
        <v>THAMIRES PAREDES/ARQUIVO DA EDITORA</v>
      </c>
      <c r="Z137" s="12"/>
      <c r="AA137" s="12" t="str">
        <f>Tabela2[[#This Row],[ILUSTRADOR CRIAÇÃO]]</f>
        <v>THAMIRES PAREDES/ARQUIVO DA EDITORA</v>
      </c>
      <c r="AB137" s="11">
        <v>6</v>
      </c>
      <c r="AC137" s="9" t="s">
        <v>398</v>
      </c>
      <c r="AD137" s="9" t="s">
        <v>22</v>
      </c>
      <c r="AE137" s="4" t="str">
        <f t="shared" si="2"/>
        <v>EF1 E002 Port</v>
      </c>
    </row>
    <row r="138" spans="1:31" s="7" customFormat="1" ht="45" x14ac:dyDescent="0.25">
      <c r="A138" s="12" t="s">
        <v>415</v>
      </c>
      <c r="B138" s="9" t="s">
        <v>40</v>
      </c>
      <c r="C138" s="9" t="s">
        <v>1</v>
      </c>
      <c r="D138" s="9" t="s">
        <v>25</v>
      </c>
      <c r="E138" s="11">
        <v>195</v>
      </c>
      <c r="F138" s="11">
        <v>1</v>
      </c>
      <c r="G138" s="11">
        <v>6</v>
      </c>
      <c r="H138" s="11"/>
      <c r="I138" s="12" t="s">
        <v>9</v>
      </c>
      <c r="J138" s="12"/>
      <c r="K138" s="11"/>
      <c r="L138" s="11"/>
      <c r="M138" s="12"/>
      <c r="N138" s="12"/>
      <c r="O138" s="32" t="s">
        <v>416</v>
      </c>
      <c r="P138" s="9"/>
      <c r="Q138" s="9"/>
      <c r="R138" s="11">
        <v>19</v>
      </c>
      <c r="S138" s="13">
        <v>45838</v>
      </c>
      <c r="T138" s="13">
        <v>45842</v>
      </c>
      <c r="U138" s="13">
        <v>45849</v>
      </c>
      <c r="V138" s="13">
        <v>45854</v>
      </c>
      <c r="W138" s="13">
        <v>45859</v>
      </c>
      <c r="X138" s="11" t="s">
        <v>372</v>
      </c>
      <c r="Y138" s="4" t="str">
        <f>IF(Tabela2[[#This Row],[SIGLA]]="","",VLOOKUP(Tabela2[[#This Row],[SIGLA]],Tabela1[[#All],[Sigla Arte]:[Crédito]],2,0))</f>
        <v>THAMIRES PAREDES/ARQUIVO DA EDITORA</v>
      </c>
      <c r="Z138" s="12"/>
      <c r="AA138" s="12" t="str">
        <f>Tabela2[[#This Row],[ILUSTRADOR CRIAÇÃO]]</f>
        <v>THAMIRES PAREDES/ARQUIVO DA EDITORA</v>
      </c>
      <c r="AB138" s="11">
        <v>8</v>
      </c>
      <c r="AC138" s="9" t="s">
        <v>398</v>
      </c>
      <c r="AD138" s="9" t="s">
        <v>22</v>
      </c>
      <c r="AE138" s="4" t="str">
        <f t="shared" si="2"/>
        <v>EF1 E002 Port</v>
      </c>
    </row>
    <row r="139" spans="1:31" s="7" customFormat="1" ht="75" x14ac:dyDescent="0.25">
      <c r="A139" s="12" t="s">
        <v>417</v>
      </c>
      <c r="B139" s="9" t="s">
        <v>40</v>
      </c>
      <c r="C139" s="9" t="s">
        <v>1</v>
      </c>
      <c r="D139" s="9" t="s">
        <v>25</v>
      </c>
      <c r="E139" s="11">
        <v>202</v>
      </c>
      <c r="F139" s="11">
        <v>1</v>
      </c>
      <c r="G139" s="11">
        <v>6</v>
      </c>
      <c r="H139" s="11"/>
      <c r="I139" s="12" t="s">
        <v>9</v>
      </c>
      <c r="J139" s="12"/>
      <c r="K139" s="11"/>
      <c r="L139" s="11"/>
      <c r="M139" s="12"/>
      <c r="N139" s="12"/>
      <c r="O139" s="32" t="s">
        <v>418</v>
      </c>
      <c r="P139" s="9"/>
      <c r="Q139" s="9"/>
      <c r="R139" s="11">
        <v>19</v>
      </c>
      <c r="S139" s="13">
        <v>45838</v>
      </c>
      <c r="T139" s="13">
        <v>45839</v>
      </c>
      <c r="U139" s="13">
        <v>45845</v>
      </c>
      <c r="V139" s="13">
        <v>45845</v>
      </c>
      <c r="W139" s="13">
        <v>45849</v>
      </c>
      <c r="X139" s="11" t="s">
        <v>390</v>
      </c>
      <c r="Y139" s="4" t="str">
        <f>IF(Tabela2[[#This Row],[SIGLA]]="","",VLOOKUP(Tabela2[[#This Row],[SIGLA]],Tabela1[[#All],[Sigla Arte]:[Crédito]],2,0))</f>
        <v>RODRIGO CORDEIRO/ARQUIVO DA EDITORA</v>
      </c>
      <c r="Z139" s="12"/>
      <c r="AA139" s="12" t="str">
        <f>Tabela2[[#This Row],[ILUSTRADOR CRIAÇÃO]]</f>
        <v>RODRIGO CORDEIRO/ARQUIVO DA EDITORA</v>
      </c>
      <c r="AB139" s="11">
        <v>4</v>
      </c>
      <c r="AC139" s="9" t="s">
        <v>391</v>
      </c>
      <c r="AD139" s="9" t="s">
        <v>22</v>
      </c>
      <c r="AE139" s="4" t="str">
        <f t="shared" si="2"/>
        <v>EF1 E002 Port</v>
      </c>
    </row>
    <row r="140" spans="1:31" s="7" customFormat="1" ht="150" x14ac:dyDescent="0.25">
      <c r="A140" s="12" t="s">
        <v>419</v>
      </c>
      <c r="B140" s="9" t="s">
        <v>37</v>
      </c>
      <c r="C140" s="9" t="s">
        <v>1</v>
      </c>
      <c r="D140" s="9" t="s">
        <v>25</v>
      </c>
      <c r="E140" s="11">
        <v>236</v>
      </c>
      <c r="F140" s="11">
        <v>1</v>
      </c>
      <c r="G140" s="11">
        <v>8</v>
      </c>
      <c r="H140" s="11"/>
      <c r="I140" s="12" t="s">
        <v>9</v>
      </c>
      <c r="J140" s="12"/>
      <c r="K140" s="11"/>
      <c r="L140" s="11"/>
      <c r="M140" s="12"/>
      <c r="N140" s="12"/>
      <c r="O140" s="32" t="s">
        <v>420</v>
      </c>
      <c r="P140" s="9"/>
      <c r="Q140" s="9"/>
      <c r="R140" s="11">
        <v>20</v>
      </c>
      <c r="S140" s="13">
        <v>45841</v>
      </c>
      <c r="T140" s="13">
        <v>45842</v>
      </c>
      <c r="U140" s="13">
        <v>45852</v>
      </c>
      <c r="V140" s="13">
        <v>45854</v>
      </c>
      <c r="W140" s="13">
        <v>45859</v>
      </c>
      <c r="X140" s="11" t="s">
        <v>141</v>
      </c>
      <c r="Y140" s="4" t="str">
        <f>IF(Tabela2[[#This Row],[SIGLA]]="","",VLOOKUP(Tabela2[[#This Row],[SIGLA]],Tabela1[[#All],[Sigla Arte]:[Crédito]],2,0))</f>
        <v>EZEQUIEL SILVA/ARQUIVO DA EDITORA</v>
      </c>
      <c r="Z140" s="12"/>
      <c r="AA140" s="12" t="str">
        <f>Tabela2[[#This Row],[ILUSTRADOR CRIAÇÃO]]</f>
        <v>EZEQUIEL SILVA/ARQUIVO DA EDITORA</v>
      </c>
      <c r="AB140" s="11">
        <v>4</v>
      </c>
      <c r="AC140" s="9" t="s">
        <v>421</v>
      </c>
      <c r="AD140" s="9" t="s">
        <v>22</v>
      </c>
      <c r="AE140" s="4" t="str">
        <f t="shared" si="2"/>
        <v>EF1 E002 Port</v>
      </c>
    </row>
    <row r="141" spans="1:31" s="7" customFormat="1" x14ac:dyDescent="0.25">
      <c r="A141" s="12" t="s">
        <v>422</v>
      </c>
      <c r="B141" s="9" t="s">
        <v>42</v>
      </c>
      <c r="C141" s="9" t="s">
        <v>1</v>
      </c>
      <c r="D141" s="9" t="s">
        <v>25</v>
      </c>
      <c r="E141" s="11">
        <v>235</v>
      </c>
      <c r="F141" s="11">
        <v>1</v>
      </c>
      <c r="G141" s="11">
        <v>8</v>
      </c>
      <c r="H141" s="11"/>
      <c r="I141" s="12" t="s">
        <v>9</v>
      </c>
      <c r="J141" s="12"/>
      <c r="K141" s="11"/>
      <c r="L141" s="11"/>
      <c r="M141" s="12"/>
      <c r="N141" s="12"/>
      <c r="O141" s="32" t="s">
        <v>423</v>
      </c>
      <c r="P141" s="9"/>
      <c r="Q141" s="9"/>
      <c r="R141" s="11">
        <v>20</v>
      </c>
      <c r="S141" s="13">
        <v>45841</v>
      </c>
      <c r="T141" s="13">
        <v>45842</v>
      </c>
      <c r="U141" s="13">
        <v>45852</v>
      </c>
      <c r="V141" s="13"/>
      <c r="W141" s="13"/>
      <c r="X141" s="11" t="s">
        <v>141</v>
      </c>
      <c r="Y141" s="4" t="str">
        <f>IF(Tabela2[[#This Row],[SIGLA]]="","",VLOOKUP(Tabela2[[#This Row],[SIGLA]],Tabela1[[#All],[Sigla Arte]:[Crédito]],2,0))</f>
        <v>EZEQUIEL SILVA/ARQUIVO DA EDITORA</v>
      </c>
      <c r="Z141" s="12"/>
      <c r="AA141" s="12" t="str">
        <f>Tabela2[[#This Row],[ILUSTRADOR CRIAÇÃO]]</f>
        <v>EZEQUIEL SILVA/ARQUIVO DA EDITORA</v>
      </c>
      <c r="AB141" s="11">
        <v>6</v>
      </c>
      <c r="AC141" s="9" t="s">
        <v>424</v>
      </c>
      <c r="AD141" s="9" t="s">
        <v>27</v>
      </c>
      <c r="AE141" s="4" t="str">
        <f t="shared" si="2"/>
        <v>EF1 E002 Port</v>
      </c>
    </row>
    <row r="142" spans="1:31" s="7" customFormat="1" ht="60" x14ac:dyDescent="0.25">
      <c r="A142" s="12" t="s">
        <v>425</v>
      </c>
      <c r="B142" s="9" t="s">
        <v>42</v>
      </c>
      <c r="C142" s="9" t="s">
        <v>1</v>
      </c>
      <c r="D142" s="9" t="s">
        <v>25</v>
      </c>
      <c r="E142" s="11">
        <v>239</v>
      </c>
      <c r="F142" s="11">
        <v>1</v>
      </c>
      <c r="G142" s="11">
        <v>8</v>
      </c>
      <c r="H142" s="11"/>
      <c r="I142" s="12" t="s">
        <v>9</v>
      </c>
      <c r="J142" s="12"/>
      <c r="K142" s="11"/>
      <c r="L142" s="11"/>
      <c r="M142" s="12"/>
      <c r="N142" s="12"/>
      <c r="O142" s="32" t="s">
        <v>426</v>
      </c>
      <c r="P142" s="9"/>
      <c r="Q142" s="9"/>
      <c r="R142" s="11">
        <v>20</v>
      </c>
      <c r="S142" s="13">
        <v>45841</v>
      </c>
      <c r="T142" s="13"/>
      <c r="U142" s="13"/>
      <c r="V142" s="13"/>
      <c r="W142" s="13"/>
      <c r="X142" s="11"/>
      <c r="Y142" s="4" t="str">
        <f>IF(Tabela2[[#This Row],[SIGLA]]="","",VLOOKUP(Tabela2[[#This Row],[SIGLA]],Tabela1[[#All],[Sigla Arte]:[Crédito]],2,0))</f>
        <v/>
      </c>
      <c r="Z142" s="12"/>
      <c r="AA142" s="12" t="str">
        <f>Tabela2[[#This Row],[ILUSTRADOR CRIAÇÃO]]</f>
        <v/>
      </c>
      <c r="AB142" s="11"/>
      <c r="AC142" s="9" t="s">
        <v>427</v>
      </c>
      <c r="AD142" s="9"/>
      <c r="AE142" s="4" t="str">
        <f t="shared" si="2"/>
        <v>EF1 E002 Port</v>
      </c>
    </row>
    <row r="143" spans="1:31" s="7" customFormat="1" x14ac:dyDescent="0.25">
      <c r="A143" s="12" t="s">
        <v>428</v>
      </c>
      <c r="B143" s="9" t="s">
        <v>42</v>
      </c>
      <c r="C143" s="9" t="s">
        <v>1</v>
      </c>
      <c r="D143" s="9" t="s">
        <v>25</v>
      </c>
      <c r="E143" s="11">
        <v>240</v>
      </c>
      <c r="F143" s="11">
        <v>1</v>
      </c>
      <c r="G143" s="11">
        <v>8</v>
      </c>
      <c r="H143" s="11"/>
      <c r="I143" s="12" t="s">
        <v>9</v>
      </c>
      <c r="J143" s="12"/>
      <c r="K143" s="11"/>
      <c r="L143" s="11"/>
      <c r="M143" s="12"/>
      <c r="N143" s="12"/>
      <c r="O143" s="32" t="s">
        <v>429</v>
      </c>
      <c r="P143" s="9"/>
      <c r="Q143" s="9"/>
      <c r="R143" s="11">
        <v>20</v>
      </c>
      <c r="S143" s="13">
        <v>45841</v>
      </c>
      <c r="T143" s="13"/>
      <c r="U143" s="13"/>
      <c r="V143" s="13"/>
      <c r="W143" s="13"/>
      <c r="X143" s="11"/>
      <c r="Y143" s="4" t="str">
        <f>IF(Tabela2[[#This Row],[SIGLA]]="","",VLOOKUP(Tabela2[[#This Row],[SIGLA]],Tabela1[[#All],[Sigla Arte]:[Crédito]],2,0))</f>
        <v/>
      </c>
      <c r="Z143" s="12"/>
      <c r="AA143" s="12" t="str">
        <f>Tabela2[[#This Row],[ILUSTRADOR CRIAÇÃO]]</f>
        <v/>
      </c>
      <c r="AB143" s="11"/>
      <c r="AC143" s="9" t="s">
        <v>430</v>
      </c>
      <c r="AD143" s="9"/>
      <c r="AE143" s="4" t="str">
        <f t="shared" si="2"/>
        <v>EF1 E002 Port</v>
      </c>
    </row>
    <row r="144" spans="1:31" s="7" customFormat="1" x14ac:dyDescent="0.25">
      <c r="A144" s="12" t="s">
        <v>431</v>
      </c>
      <c r="B144" s="9" t="s">
        <v>42</v>
      </c>
      <c r="C144" s="9" t="s">
        <v>1</v>
      </c>
      <c r="D144" s="9" t="s">
        <v>25</v>
      </c>
      <c r="E144" s="11">
        <v>240</v>
      </c>
      <c r="F144" s="11">
        <v>1</v>
      </c>
      <c r="G144" s="11">
        <v>8</v>
      </c>
      <c r="H144" s="11"/>
      <c r="I144" s="12" t="s">
        <v>9</v>
      </c>
      <c r="J144" s="12"/>
      <c r="K144" s="11"/>
      <c r="L144" s="11"/>
      <c r="M144" s="12"/>
      <c r="N144" s="12"/>
      <c r="O144" s="32" t="s">
        <v>432</v>
      </c>
      <c r="P144" s="9"/>
      <c r="Q144" s="9"/>
      <c r="R144" s="11">
        <v>20</v>
      </c>
      <c r="S144" s="13">
        <v>45841</v>
      </c>
      <c r="T144" s="13"/>
      <c r="U144" s="13"/>
      <c r="V144" s="13"/>
      <c r="W144" s="13"/>
      <c r="X144" s="11"/>
      <c r="Y144" s="4" t="str">
        <f>IF(Tabela2[[#This Row],[SIGLA]]="","",VLOOKUP(Tabela2[[#This Row],[SIGLA]],Tabela1[[#All],[Sigla Arte]:[Crédito]],2,0))</f>
        <v/>
      </c>
      <c r="Z144" s="12"/>
      <c r="AA144" s="12" t="str">
        <f>Tabela2[[#This Row],[ILUSTRADOR CRIAÇÃO]]</f>
        <v/>
      </c>
      <c r="AB144" s="11"/>
      <c r="AC144" s="9" t="s">
        <v>430</v>
      </c>
      <c r="AD144" s="9"/>
      <c r="AE144" s="4" t="str">
        <f t="shared" si="2"/>
        <v>EF1 E002 Port</v>
      </c>
    </row>
    <row r="145" spans="1:31" s="7" customFormat="1" ht="150" x14ac:dyDescent="0.25">
      <c r="A145" s="12" t="s">
        <v>433</v>
      </c>
      <c r="B145" s="9" t="s">
        <v>42</v>
      </c>
      <c r="C145" s="9" t="s">
        <v>1</v>
      </c>
      <c r="D145" s="9" t="s">
        <v>25</v>
      </c>
      <c r="E145" s="11">
        <v>240</v>
      </c>
      <c r="F145" s="11">
        <v>1</v>
      </c>
      <c r="G145" s="11">
        <v>8</v>
      </c>
      <c r="H145" s="11"/>
      <c r="I145" s="12" t="s">
        <v>9</v>
      </c>
      <c r="J145" s="12"/>
      <c r="K145" s="11"/>
      <c r="L145" s="11"/>
      <c r="M145" s="12"/>
      <c r="N145" s="12"/>
      <c r="O145" s="32" t="s">
        <v>434</v>
      </c>
      <c r="P145" s="9"/>
      <c r="Q145" s="9"/>
      <c r="R145" s="11">
        <v>20</v>
      </c>
      <c r="S145" s="13">
        <v>45841</v>
      </c>
      <c r="T145" s="13"/>
      <c r="U145" s="13"/>
      <c r="V145" s="13"/>
      <c r="W145" s="13"/>
      <c r="X145" s="11"/>
      <c r="Y145" s="4" t="str">
        <f>IF(Tabela2[[#This Row],[SIGLA]]="","",VLOOKUP(Tabela2[[#This Row],[SIGLA]],Tabela1[[#All],[Sigla Arte]:[Crédito]],2,0))</f>
        <v/>
      </c>
      <c r="Z145" s="12"/>
      <c r="AA145" s="12" t="str">
        <f>Tabela2[[#This Row],[ILUSTRADOR CRIAÇÃO]]</f>
        <v/>
      </c>
      <c r="AB145" s="11"/>
      <c r="AC145" s="9" t="s">
        <v>430</v>
      </c>
      <c r="AD145" s="9"/>
      <c r="AE145" s="4" t="str">
        <f t="shared" si="2"/>
        <v>EF1 E002 Port</v>
      </c>
    </row>
    <row r="146" spans="1:31" s="7" customFormat="1" ht="30" x14ac:dyDescent="0.25">
      <c r="A146" s="12" t="s">
        <v>435</v>
      </c>
      <c r="B146" s="9" t="s">
        <v>42</v>
      </c>
      <c r="C146" s="9" t="s">
        <v>1</v>
      </c>
      <c r="D146" s="9" t="s">
        <v>25</v>
      </c>
      <c r="E146" s="11">
        <v>240</v>
      </c>
      <c r="F146" s="11">
        <v>1</v>
      </c>
      <c r="G146" s="11">
        <v>8</v>
      </c>
      <c r="H146" s="11"/>
      <c r="I146" s="12" t="s">
        <v>9</v>
      </c>
      <c r="J146" s="12"/>
      <c r="K146" s="11"/>
      <c r="L146" s="11"/>
      <c r="M146" s="12"/>
      <c r="N146" s="12"/>
      <c r="O146" s="32" t="s">
        <v>436</v>
      </c>
      <c r="P146" s="9"/>
      <c r="Q146" s="9"/>
      <c r="R146" s="11">
        <v>20</v>
      </c>
      <c r="S146" s="13">
        <v>45841</v>
      </c>
      <c r="T146" s="13"/>
      <c r="U146" s="13"/>
      <c r="V146" s="13"/>
      <c r="W146" s="13"/>
      <c r="X146" s="11"/>
      <c r="Y146" s="4" t="str">
        <f>IF(Tabela2[[#This Row],[SIGLA]]="","",VLOOKUP(Tabela2[[#This Row],[SIGLA]],Tabela1[[#All],[Sigla Arte]:[Crédito]],2,0))</f>
        <v/>
      </c>
      <c r="Z146" s="12"/>
      <c r="AA146" s="12" t="str">
        <f>Tabela2[[#This Row],[ILUSTRADOR CRIAÇÃO]]</f>
        <v/>
      </c>
      <c r="AB146" s="11"/>
      <c r="AC146" s="9" t="s">
        <v>437</v>
      </c>
      <c r="AD146" s="9"/>
      <c r="AE146" s="4" t="str">
        <f t="shared" si="2"/>
        <v>EF1 E002 Port</v>
      </c>
    </row>
    <row r="147" spans="1:31" s="7" customFormat="1" ht="180" x14ac:dyDescent="0.25">
      <c r="A147" s="12" t="s">
        <v>438</v>
      </c>
      <c r="B147" s="9" t="s">
        <v>42</v>
      </c>
      <c r="C147" s="9" t="s">
        <v>1</v>
      </c>
      <c r="D147" s="9" t="s">
        <v>25</v>
      </c>
      <c r="E147" s="11">
        <v>245</v>
      </c>
      <c r="F147" s="11">
        <v>1</v>
      </c>
      <c r="G147" s="11">
        <v>8</v>
      </c>
      <c r="H147" s="11"/>
      <c r="I147" s="12" t="s">
        <v>9</v>
      </c>
      <c r="J147" s="12"/>
      <c r="K147" s="11"/>
      <c r="L147" s="11"/>
      <c r="M147" s="12"/>
      <c r="N147" s="12"/>
      <c r="O147" s="32" t="s">
        <v>439</v>
      </c>
      <c r="P147" s="9"/>
      <c r="Q147" s="9"/>
      <c r="R147" s="11">
        <v>20</v>
      </c>
      <c r="S147" s="13">
        <v>45841</v>
      </c>
      <c r="T147" s="13"/>
      <c r="U147" s="13"/>
      <c r="V147" s="13"/>
      <c r="W147" s="13"/>
      <c r="X147" s="11"/>
      <c r="Y147" s="4" t="str">
        <f>IF(Tabela2[[#This Row],[SIGLA]]="","",VLOOKUP(Tabela2[[#This Row],[SIGLA]],Tabela1[[#All],[Sigla Arte]:[Crédito]],2,0))</f>
        <v/>
      </c>
      <c r="Z147" s="12"/>
      <c r="AA147" s="12" t="str">
        <f>Tabela2[[#This Row],[ILUSTRADOR CRIAÇÃO]]</f>
        <v/>
      </c>
      <c r="AB147" s="11"/>
      <c r="AC147" s="9" t="s">
        <v>128</v>
      </c>
      <c r="AD147" s="9"/>
      <c r="AE147" s="4" t="str">
        <f t="shared" si="2"/>
        <v>EF1 E002 Port</v>
      </c>
    </row>
    <row r="148" spans="1:31" s="7" customFormat="1" ht="90" x14ac:dyDescent="0.25">
      <c r="A148" s="12" t="s">
        <v>440</v>
      </c>
      <c r="B148" s="9" t="s">
        <v>42</v>
      </c>
      <c r="C148" s="9" t="s">
        <v>1</v>
      </c>
      <c r="D148" s="9" t="s">
        <v>25</v>
      </c>
      <c r="E148" s="11">
        <v>254</v>
      </c>
      <c r="F148" s="11">
        <v>1</v>
      </c>
      <c r="G148" s="11">
        <v>8</v>
      </c>
      <c r="H148" s="11"/>
      <c r="I148" s="12" t="s">
        <v>9</v>
      </c>
      <c r="J148" s="12"/>
      <c r="K148" s="11"/>
      <c r="L148" s="11"/>
      <c r="M148" s="12"/>
      <c r="N148" s="12"/>
      <c r="O148" s="32" t="s">
        <v>441</v>
      </c>
      <c r="P148" s="9"/>
      <c r="Q148" s="9"/>
      <c r="R148" s="11">
        <v>20</v>
      </c>
      <c r="S148" s="13">
        <v>45841</v>
      </c>
      <c r="T148" s="13"/>
      <c r="U148" s="13"/>
      <c r="V148" s="13"/>
      <c r="W148" s="13"/>
      <c r="X148" s="11"/>
      <c r="Y148" s="4" t="str">
        <f>IF(Tabela2[[#This Row],[SIGLA]]="","",VLOOKUP(Tabela2[[#This Row],[SIGLA]],Tabela1[[#All],[Sigla Arte]:[Crédito]],2,0))</f>
        <v/>
      </c>
      <c r="Z148" s="12"/>
      <c r="AA148" s="12" t="str">
        <f>Tabela2[[#This Row],[ILUSTRADOR CRIAÇÃO]]</f>
        <v/>
      </c>
      <c r="AB148" s="11"/>
      <c r="AC148" s="9" t="s">
        <v>437</v>
      </c>
      <c r="AD148" s="9"/>
      <c r="AE148" s="4" t="str">
        <f t="shared" si="2"/>
        <v>EF1 E002 Port</v>
      </c>
    </row>
    <row r="149" spans="1:31" s="7" customFormat="1" ht="135" x14ac:dyDescent="0.25">
      <c r="A149" s="12" t="s">
        <v>442</v>
      </c>
      <c r="B149" s="9" t="s">
        <v>37</v>
      </c>
      <c r="C149" s="9" t="s">
        <v>1</v>
      </c>
      <c r="D149" s="9" t="s">
        <v>25</v>
      </c>
      <c r="E149" s="11">
        <v>262</v>
      </c>
      <c r="F149" s="11">
        <v>1</v>
      </c>
      <c r="G149" s="11">
        <v>8</v>
      </c>
      <c r="H149" s="11"/>
      <c r="I149" s="12" t="s">
        <v>9</v>
      </c>
      <c r="J149" s="12"/>
      <c r="K149" s="11"/>
      <c r="L149" s="11"/>
      <c r="M149" s="12"/>
      <c r="N149" s="12"/>
      <c r="O149" s="32" t="s">
        <v>443</v>
      </c>
      <c r="P149" s="9"/>
      <c r="Q149" s="9"/>
      <c r="R149" s="11">
        <v>20</v>
      </c>
      <c r="S149" s="13">
        <v>45841</v>
      </c>
      <c r="T149" s="13">
        <v>45845</v>
      </c>
      <c r="U149" s="13"/>
      <c r="V149" s="13"/>
      <c r="W149" s="13">
        <v>45845</v>
      </c>
      <c r="X149" s="11" t="s">
        <v>444</v>
      </c>
      <c r="Y149" s="4" t="str">
        <f>IF(Tabela2[[#This Row],[SIGLA]]="","",VLOOKUP(Tabela2[[#This Row],[SIGLA]],Tabela1[[#All],[Sigla Arte]:[Crédito]],2,0))</f>
        <v>SERGIO LIMA/ARQUIVO DA EDITORA</v>
      </c>
      <c r="Z149" s="12" t="s">
        <v>445</v>
      </c>
      <c r="AA149" s="12" t="str">
        <f>Tabela2[[#This Row],[ILUSTRADOR CRIAÇÃO]]</f>
        <v>SERGIO LIMA/ARQUIVO DA EDITORA</v>
      </c>
      <c r="AB149" s="11">
        <v>14</v>
      </c>
      <c r="AC149" s="9" t="s">
        <v>446</v>
      </c>
      <c r="AD149" s="9" t="s">
        <v>11</v>
      </c>
      <c r="AE149" s="4" t="str">
        <f t="shared" si="2"/>
        <v>EF1 E002 Port</v>
      </c>
    </row>
    <row r="150" spans="1:31" s="7" customFormat="1" ht="75" x14ac:dyDescent="0.25">
      <c r="A150" s="12" t="s">
        <v>447</v>
      </c>
      <c r="B150" s="9" t="s">
        <v>37</v>
      </c>
      <c r="C150" s="9" t="s">
        <v>1</v>
      </c>
      <c r="D150" s="9" t="s">
        <v>25</v>
      </c>
      <c r="E150" s="11">
        <v>264</v>
      </c>
      <c r="F150" s="11">
        <v>1</v>
      </c>
      <c r="G150" s="11">
        <v>8</v>
      </c>
      <c r="H150" s="11"/>
      <c r="I150" s="12" t="s">
        <v>9</v>
      </c>
      <c r="J150" s="12"/>
      <c r="K150" s="11"/>
      <c r="L150" s="11"/>
      <c r="M150" s="12"/>
      <c r="N150" s="12"/>
      <c r="O150" s="32" t="s">
        <v>448</v>
      </c>
      <c r="P150" s="9"/>
      <c r="Q150" s="9"/>
      <c r="R150" s="11">
        <v>20</v>
      </c>
      <c r="S150" s="13">
        <v>45841</v>
      </c>
      <c r="T150" s="13">
        <v>45842</v>
      </c>
      <c r="U150" s="13">
        <v>45852</v>
      </c>
      <c r="V150" s="13">
        <v>45854</v>
      </c>
      <c r="W150" s="13">
        <v>45859</v>
      </c>
      <c r="X150" s="11" t="s">
        <v>141</v>
      </c>
      <c r="Y150" s="4" t="str">
        <f>IF(Tabela2[[#This Row],[SIGLA]]="","",VLOOKUP(Tabela2[[#This Row],[SIGLA]],Tabela1[[#All],[Sigla Arte]:[Crédito]],2,0))</f>
        <v>EZEQUIEL SILVA/ARQUIVO DA EDITORA</v>
      </c>
      <c r="Z150" s="12"/>
      <c r="AA150" s="12" t="str">
        <f>Tabela2[[#This Row],[ILUSTRADOR CRIAÇÃO]]</f>
        <v>EZEQUIEL SILVA/ARQUIVO DA EDITORA</v>
      </c>
      <c r="AB150" s="11">
        <v>3</v>
      </c>
      <c r="AC150" s="9" t="s">
        <v>421</v>
      </c>
      <c r="AD150" s="9" t="s">
        <v>22</v>
      </c>
      <c r="AE150" s="4" t="str">
        <f t="shared" si="2"/>
        <v>EF1 E002 Port</v>
      </c>
    </row>
    <row r="151" spans="1:31" s="7" customFormat="1" ht="135" x14ac:dyDescent="0.25">
      <c r="A151" s="12" t="s">
        <v>449</v>
      </c>
      <c r="B151" s="9" t="s">
        <v>40</v>
      </c>
      <c r="C151" s="9" t="s">
        <v>1</v>
      </c>
      <c r="D151" s="9" t="s">
        <v>25</v>
      </c>
      <c r="E151" s="11">
        <v>208</v>
      </c>
      <c r="F151" s="11">
        <v>1</v>
      </c>
      <c r="G151" s="11">
        <v>7</v>
      </c>
      <c r="H151" s="11"/>
      <c r="I151" s="12" t="s">
        <v>9</v>
      </c>
      <c r="J151" s="12"/>
      <c r="K151" s="11"/>
      <c r="L151" s="11"/>
      <c r="M151" s="12"/>
      <c r="N151" s="12"/>
      <c r="O151" s="32" t="s">
        <v>450</v>
      </c>
      <c r="P151" s="9"/>
      <c r="Q151" s="9"/>
      <c r="R151" s="11">
        <v>21</v>
      </c>
      <c r="S151" s="13">
        <v>45842</v>
      </c>
      <c r="T151" s="13">
        <v>45846</v>
      </c>
      <c r="U151" s="13">
        <v>45850</v>
      </c>
      <c r="V151" s="13">
        <v>45854</v>
      </c>
      <c r="W151" s="13">
        <v>45856</v>
      </c>
      <c r="X151" s="11" t="s">
        <v>451</v>
      </c>
      <c r="Y151" s="4" t="str">
        <f>IF(Tabela2[[#This Row],[SIGLA]]="","",VLOOKUP(Tabela2[[#This Row],[SIGLA]],Tabela1[[#All],[Sigla Arte]:[Crédito]],2,0))</f>
        <v>GABRIELA TOZATI/ARQUIVO DA EDITORA</v>
      </c>
      <c r="Z151" s="12"/>
      <c r="AA151" s="12" t="str">
        <f>Tabela2[[#This Row],[ILUSTRADOR CRIAÇÃO]]</f>
        <v>GABRIELA TOZATI/ARQUIVO DA EDITORA</v>
      </c>
      <c r="AB151" s="11">
        <v>4</v>
      </c>
      <c r="AC151" s="9" t="s">
        <v>452</v>
      </c>
      <c r="AD151" s="9" t="s">
        <v>22</v>
      </c>
      <c r="AE151" s="4" t="str">
        <f t="shared" si="2"/>
        <v>EF1 E002 Port</v>
      </c>
    </row>
    <row r="152" spans="1:31" s="7" customFormat="1" ht="90" x14ac:dyDescent="0.25">
      <c r="A152" s="12" t="s">
        <v>453</v>
      </c>
      <c r="B152" s="9" t="s">
        <v>40</v>
      </c>
      <c r="C152" s="9" t="s">
        <v>1</v>
      </c>
      <c r="D152" s="9" t="s">
        <v>25</v>
      </c>
      <c r="E152" s="11">
        <v>209</v>
      </c>
      <c r="F152" s="11">
        <v>1</v>
      </c>
      <c r="G152" s="11">
        <v>7</v>
      </c>
      <c r="H152" s="11"/>
      <c r="I152" s="12" t="s">
        <v>9</v>
      </c>
      <c r="J152" s="12"/>
      <c r="K152" s="11"/>
      <c r="L152" s="11"/>
      <c r="M152" s="12"/>
      <c r="N152" s="12"/>
      <c r="O152" s="32" t="s">
        <v>454</v>
      </c>
      <c r="P152" s="9"/>
      <c r="Q152" s="9"/>
      <c r="R152" s="11">
        <v>21</v>
      </c>
      <c r="S152" s="13">
        <v>45842</v>
      </c>
      <c r="T152" s="13">
        <v>45846</v>
      </c>
      <c r="U152" s="13">
        <v>45850</v>
      </c>
      <c r="V152" s="13">
        <v>45854</v>
      </c>
      <c r="W152" s="13">
        <v>45856</v>
      </c>
      <c r="X152" s="11" t="s">
        <v>451</v>
      </c>
      <c r="Y152" s="4" t="str">
        <f>IF(Tabela2[[#This Row],[SIGLA]]="","",VLOOKUP(Tabela2[[#This Row],[SIGLA]],Tabela1[[#All],[Sigla Arte]:[Crédito]],2,0))</f>
        <v>GABRIELA TOZATI/ARQUIVO DA EDITORA</v>
      </c>
      <c r="Z152" s="12"/>
      <c r="AA152" s="12" t="str">
        <f>Tabela2[[#This Row],[ILUSTRADOR CRIAÇÃO]]</f>
        <v>GABRIELA TOZATI/ARQUIVO DA EDITORA</v>
      </c>
      <c r="AB152" s="11">
        <v>5</v>
      </c>
      <c r="AC152" s="9" t="s">
        <v>452</v>
      </c>
      <c r="AD152" s="9" t="s">
        <v>22</v>
      </c>
      <c r="AE152" s="4" t="str">
        <f t="shared" si="2"/>
        <v>EF1 E002 Port</v>
      </c>
    </row>
    <row r="153" spans="1:31" s="7" customFormat="1" ht="165" x14ac:dyDescent="0.25">
      <c r="A153" s="12" t="s">
        <v>455</v>
      </c>
      <c r="B153" s="9" t="s">
        <v>42</v>
      </c>
      <c r="C153" s="9" t="s">
        <v>1</v>
      </c>
      <c r="D153" s="9" t="s">
        <v>25</v>
      </c>
      <c r="E153" s="11">
        <v>207</v>
      </c>
      <c r="F153" s="11">
        <v>1</v>
      </c>
      <c r="G153" s="11">
        <v>7</v>
      </c>
      <c r="H153" s="11"/>
      <c r="I153" s="12" t="s">
        <v>9</v>
      </c>
      <c r="J153" s="12"/>
      <c r="K153" s="11"/>
      <c r="L153" s="11"/>
      <c r="M153" s="12"/>
      <c r="N153" s="12"/>
      <c r="O153" s="32" t="s">
        <v>456</v>
      </c>
      <c r="P153" s="9"/>
      <c r="Q153" s="9"/>
      <c r="R153" s="11">
        <v>21</v>
      </c>
      <c r="S153" s="13">
        <v>45842</v>
      </c>
      <c r="T153" s="13">
        <v>45846</v>
      </c>
      <c r="U153" s="13">
        <v>45850</v>
      </c>
      <c r="V153" s="13"/>
      <c r="W153" s="13"/>
      <c r="X153" s="11" t="s">
        <v>451</v>
      </c>
      <c r="Y153" s="4" t="str">
        <f>IF(Tabela2[[#This Row],[SIGLA]]="","",VLOOKUP(Tabela2[[#This Row],[SIGLA]],Tabela1[[#All],[Sigla Arte]:[Crédito]],2,0))</f>
        <v>GABRIELA TOZATI/ARQUIVO DA EDITORA</v>
      </c>
      <c r="Z153" s="12"/>
      <c r="AA153" s="12" t="str">
        <f>Tabela2[[#This Row],[ILUSTRADOR CRIAÇÃO]]</f>
        <v>GABRIELA TOZATI/ARQUIVO DA EDITORA</v>
      </c>
      <c r="AB153" s="11">
        <v>6</v>
      </c>
      <c r="AC153" s="9" t="s">
        <v>457</v>
      </c>
      <c r="AD153" s="9" t="s">
        <v>27</v>
      </c>
      <c r="AE153" s="4" t="str">
        <f t="shared" si="2"/>
        <v>EF1 E002 Port</v>
      </c>
    </row>
    <row r="154" spans="1:31" s="7" customFormat="1" ht="60" x14ac:dyDescent="0.25">
      <c r="A154" s="12" t="s">
        <v>458</v>
      </c>
      <c r="B154" s="9" t="s">
        <v>42</v>
      </c>
      <c r="C154" s="9" t="s">
        <v>1</v>
      </c>
      <c r="D154" s="9" t="s">
        <v>25</v>
      </c>
      <c r="E154" s="11">
        <v>210</v>
      </c>
      <c r="F154" s="11">
        <v>1</v>
      </c>
      <c r="G154" s="11">
        <v>7</v>
      </c>
      <c r="H154" s="11"/>
      <c r="I154" s="12" t="s">
        <v>9</v>
      </c>
      <c r="J154" s="12"/>
      <c r="K154" s="11"/>
      <c r="L154" s="11"/>
      <c r="M154" s="12"/>
      <c r="N154" s="12"/>
      <c r="O154" s="32" t="s">
        <v>459</v>
      </c>
      <c r="P154" s="9"/>
      <c r="Q154" s="9" t="s">
        <v>460</v>
      </c>
      <c r="R154" s="11">
        <v>21</v>
      </c>
      <c r="S154" s="13">
        <v>45842</v>
      </c>
      <c r="T154" s="13"/>
      <c r="U154" s="13"/>
      <c r="V154" s="13"/>
      <c r="W154" s="13"/>
      <c r="X154" s="11"/>
      <c r="Y154" s="4" t="str">
        <f>IF(Tabela2[[#This Row],[SIGLA]]="","",VLOOKUP(Tabela2[[#This Row],[SIGLA]],Tabela1[[#All],[Sigla Arte]:[Crédito]],2,0))</f>
        <v/>
      </c>
      <c r="Z154" s="12"/>
      <c r="AA154" s="12" t="str">
        <f>Tabela2[[#This Row],[ILUSTRADOR CRIAÇÃO]]</f>
        <v/>
      </c>
      <c r="AB154" s="11"/>
      <c r="AC154" s="9" t="s">
        <v>128</v>
      </c>
      <c r="AD154" s="9"/>
      <c r="AE154" s="4" t="str">
        <f t="shared" si="2"/>
        <v>EF1 E002 Port</v>
      </c>
    </row>
    <row r="155" spans="1:31" s="7" customFormat="1" ht="105" x14ac:dyDescent="0.25">
      <c r="A155" s="12" t="s">
        <v>461</v>
      </c>
      <c r="B155" s="9" t="s">
        <v>40</v>
      </c>
      <c r="C155" s="9" t="s">
        <v>1</v>
      </c>
      <c r="D155" s="9" t="s">
        <v>25</v>
      </c>
      <c r="E155" s="11">
        <v>213</v>
      </c>
      <c r="F155" s="11">
        <v>1</v>
      </c>
      <c r="G155" s="11">
        <v>7</v>
      </c>
      <c r="H155" s="11"/>
      <c r="I155" s="12" t="s">
        <v>9</v>
      </c>
      <c r="J155" s="12"/>
      <c r="K155" s="11"/>
      <c r="L155" s="11"/>
      <c r="M155" s="12"/>
      <c r="N155" s="12"/>
      <c r="O155" s="32" t="s">
        <v>462</v>
      </c>
      <c r="P155" s="9"/>
      <c r="Q155" s="9"/>
      <c r="R155" s="11">
        <v>21</v>
      </c>
      <c r="S155" s="13">
        <v>45842</v>
      </c>
      <c r="T155" s="13">
        <v>45846</v>
      </c>
      <c r="U155" s="13">
        <v>45855</v>
      </c>
      <c r="V155" s="13">
        <v>45856</v>
      </c>
      <c r="W155" s="13">
        <v>45859</v>
      </c>
      <c r="X155" s="11" t="s">
        <v>163</v>
      </c>
      <c r="Y155" s="4" t="str">
        <f>IF(Tabela2[[#This Row],[SIGLA]]="","",VLOOKUP(Tabela2[[#This Row],[SIGLA]],Tabela1[[#All],[Sigla Arte]:[Crédito]],2,0))</f>
        <v>FERNANDA MONTEIRO/ARQUIVO DA EDITORA</v>
      </c>
      <c r="Z155" s="12"/>
      <c r="AA155" s="12" t="str">
        <f>Tabela2[[#This Row],[ILUSTRADOR CRIAÇÃO]]</f>
        <v>FERNANDA MONTEIRO/ARQUIVO DA EDITORA</v>
      </c>
      <c r="AB155" s="11">
        <v>4</v>
      </c>
      <c r="AC155" s="9" t="s">
        <v>463</v>
      </c>
      <c r="AD155" s="9" t="s">
        <v>22</v>
      </c>
      <c r="AE155" s="4" t="str">
        <f t="shared" si="2"/>
        <v>EF1 E002 Port</v>
      </c>
    </row>
    <row r="156" spans="1:31" s="7" customFormat="1" ht="257.25" customHeight="1" x14ac:dyDescent="0.25">
      <c r="A156" s="12" t="s">
        <v>464</v>
      </c>
      <c r="B156" s="9" t="s">
        <v>40</v>
      </c>
      <c r="C156" s="9" t="s">
        <v>1</v>
      </c>
      <c r="D156" s="9" t="s">
        <v>25</v>
      </c>
      <c r="E156" s="11">
        <v>216</v>
      </c>
      <c r="F156" s="11">
        <v>1</v>
      </c>
      <c r="G156" s="11">
        <v>7</v>
      </c>
      <c r="H156" s="11"/>
      <c r="I156" s="12" t="s">
        <v>9</v>
      </c>
      <c r="J156" s="12"/>
      <c r="K156" s="11"/>
      <c r="L156" s="11"/>
      <c r="M156" s="12"/>
      <c r="N156" s="12"/>
      <c r="O156" s="32" t="s">
        <v>465</v>
      </c>
      <c r="P156" s="9"/>
      <c r="Q156" s="9"/>
      <c r="R156" s="11">
        <v>21</v>
      </c>
      <c r="S156" s="13">
        <v>45842</v>
      </c>
      <c r="T156" s="13">
        <v>45846</v>
      </c>
      <c r="U156" s="13">
        <v>45855</v>
      </c>
      <c r="V156" s="13">
        <v>45856</v>
      </c>
      <c r="W156" s="13">
        <v>45859</v>
      </c>
      <c r="X156" s="11" t="s">
        <v>163</v>
      </c>
      <c r="Y156" s="4" t="str">
        <f>IF(Tabela2[[#This Row],[SIGLA]]="","",VLOOKUP(Tabela2[[#This Row],[SIGLA]],Tabela1[[#All],[Sigla Arte]:[Crédito]],2,0))</f>
        <v>FERNANDA MONTEIRO/ARQUIVO DA EDITORA</v>
      </c>
      <c r="Z156" s="12"/>
      <c r="AA156" s="12" t="str">
        <f>Tabela2[[#This Row],[ILUSTRADOR CRIAÇÃO]]</f>
        <v>FERNANDA MONTEIRO/ARQUIVO DA EDITORA</v>
      </c>
      <c r="AB156" s="11">
        <v>6</v>
      </c>
      <c r="AC156" s="9" t="s">
        <v>463</v>
      </c>
      <c r="AD156" s="9" t="s">
        <v>22</v>
      </c>
      <c r="AE156" s="4" t="str">
        <f t="shared" si="2"/>
        <v>EF1 E002 Port</v>
      </c>
    </row>
    <row r="157" spans="1:31" s="7" customFormat="1" ht="165" x14ac:dyDescent="0.25">
      <c r="A157" s="12" t="s">
        <v>466</v>
      </c>
      <c r="B157" s="9" t="s">
        <v>40</v>
      </c>
      <c r="C157" s="9" t="s">
        <v>1</v>
      </c>
      <c r="D157" s="9" t="s">
        <v>25</v>
      </c>
      <c r="E157" s="11">
        <v>218</v>
      </c>
      <c r="F157" s="11">
        <v>1</v>
      </c>
      <c r="G157" s="11">
        <v>7</v>
      </c>
      <c r="H157" s="11"/>
      <c r="I157" s="12" t="s">
        <v>9</v>
      </c>
      <c r="J157" s="12"/>
      <c r="K157" s="11"/>
      <c r="L157" s="11"/>
      <c r="M157" s="12"/>
      <c r="N157" s="12"/>
      <c r="O157" s="32" t="s">
        <v>467</v>
      </c>
      <c r="P157" s="9"/>
      <c r="Q157" s="9"/>
      <c r="R157" s="11">
        <v>21</v>
      </c>
      <c r="S157" s="13">
        <v>45842</v>
      </c>
      <c r="T157" s="13">
        <v>45846</v>
      </c>
      <c r="U157" s="13">
        <v>45852</v>
      </c>
      <c r="V157" s="13">
        <v>45854</v>
      </c>
      <c r="W157" s="13">
        <v>45859</v>
      </c>
      <c r="X157" s="11" t="s">
        <v>80</v>
      </c>
      <c r="Y157" s="4" t="str">
        <f>IF(Tabela2[[#This Row],[SIGLA]]="","",VLOOKUP(Tabela2[[#This Row],[SIGLA]],Tabela1[[#All],[Sigla Arte]:[Crédito]],2,0))</f>
        <v>FABIO EUGENIO/ARQUIVO DA EDITORA</v>
      </c>
      <c r="Z157" s="12"/>
      <c r="AA157" s="12" t="str">
        <f>Tabela2[[#This Row],[ILUSTRADOR CRIAÇÃO]]</f>
        <v>FABIO EUGENIO/ARQUIVO DA EDITORA</v>
      </c>
      <c r="AB157" s="11">
        <v>3</v>
      </c>
      <c r="AC157" s="9" t="s">
        <v>468</v>
      </c>
      <c r="AD157" s="9" t="s">
        <v>22</v>
      </c>
      <c r="AE157" s="4" t="str">
        <f t="shared" si="2"/>
        <v>EF1 E002 Port</v>
      </c>
    </row>
    <row r="158" spans="1:31" s="7" customFormat="1" ht="45" x14ac:dyDescent="0.25">
      <c r="A158" s="12" t="s">
        <v>469</v>
      </c>
      <c r="B158" s="9" t="s">
        <v>40</v>
      </c>
      <c r="C158" s="9" t="s">
        <v>1</v>
      </c>
      <c r="D158" s="9" t="s">
        <v>25</v>
      </c>
      <c r="E158" s="11">
        <v>220</v>
      </c>
      <c r="F158" s="11">
        <v>1</v>
      </c>
      <c r="G158" s="11">
        <v>7</v>
      </c>
      <c r="H158" s="11"/>
      <c r="I158" s="12" t="s">
        <v>9</v>
      </c>
      <c r="J158" s="12"/>
      <c r="K158" s="11"/>
      <c r="L158" s="11"/>
      <c r="M158" s="12"/>
      <c r="N158" s="12"/>
      <c r="O158" s="32" t="s">
        <v>470</v>
      </c>
      <c r="P158" s="9"/>
      <c r="Q158" s="9"/>
      <c r="R158" s="11">
        <v>21</v>
      </c>
      <c r="S158" s="13">
        <v>45842</v>
      </c>
      <c r="T158" s="13">
        <v>45846</v>
      </c>
      <c r="U158" s="13">
        <v>45852</v>
      </c>
      <c r="V158" s="13">
        <v>45854</v>
      </c>
      <c r="W158" s="13">
        <v>45859</v>
      </c>
      <c r="X158" s="11" t="s">
        <v>80</v>
      </c>
      <c r="Y158" s="4" t="str">
        <f>IF(Tabela2[[#This Row],[SIGLA]]="","",VLOOKUP(Tabela2[[#This Row],[SIGLA]],Tabela1[[#All],[Sigla Arte]:[Crédito]],2,0))</f>
        <v>FABIO EUGENIO/ARQUIVO DA EDITORA</v>
      </c>
      <c r="Z158" s="12"/>
      <c r="AA158" s="12" t="str">
        <f>Tabela2[[#This Row],[ILUSTRADOR CRIAÇÃO]]</f>
        <v>FABIO EUGENIO/ARQUIVO DA EDITORA</v>
      </c>
      <c r="AB158" s="11">
        <v>6</v>
      </c>
      <c r="AC158" s="9" t="s">
        <v>468</v>
      </c>
      <c r="AD158" s="9" t="s">
        <v>22</v>
      </c>
      <c r="AE158" s="4" t="str">
        <f t="shared" si="2"/>
        <v>EF1 E002 Port</v>
      </c>
    </row>
    <row r="159" spans="1:31" s="7" customFormat="1" ht="38.25" customHeight="1" x14ac:dyDescent="0.25">
      <c r="A159" s="12" t="s">
        <v>471</v>
      </c>
      <c r="B159" s="9" t="s">
        <v>40</v>
      </c>
      <c r="C159" s="9" t="s">
        <v>1</v>
      </c>
      <c r="D159" s="9" t="s">
        <v>25</v>
      </c>
      <c r="E159" s="11">
        <v>222</v>
      </c>
      <c r="F159" s="11">
        <v>1</v>
      </c>
      <c r="G159" s="11">
        <v>7</v>
      </c>
      <c r="H159" s="11"/>
      <c r="I159" s="12" t="s">
        <v>9</v>
      </c>
      <c r="J159" s="12"/>
      <c r="K159" s="11"/>
      <c r="L159" s="11"/>
      <c r="M159" s="12"/>
      <c r="N159" s="12"/>
      <c r="O159" s="32" t="s">
        <v>472</v>
      </c>
      <c r="P159" s="9"/>
      <c r="Q159" s="9"/>
      <c r="R159" s="11">
        <v>21</v>
      </c>
      <c r="S159" s="13">
        <v>45842</v>
      </c>
      <c r="T159" s="13">
        <v>45846</v>
      </c>
      <c r="U159" s="13">
        <v>45852</v>
      </c>
      <c r="V159" s="13">
        <v>45854</v>
      </c>
      <c r="W159" s="13">
        <v>45859</v>
      </c>
      <c r="X159" s="11" t="s">
        <v>80</v>
      </c>
      <c r="Y159" s="4" t="str">
        <f>IF(Tabela2[[#This Row],[SIGLA]]="","",VLOOKUP(Tabela2[[#This Row],[SIGLA]],Tabela1[[#All],[Sigla Arte]:[Crédito]],2,0))</f>
        <v>FABIO EUGENIO/ARQUIVO DA EDITORA</v>
      </c>
      <c r="Z159" s="12"/>
      <c r="AA159" s="12" t="str">
        <f>Tabela2[[#This Row],[ILUSTRADOR CRIAÇÃO]]</f>
        <v>FABIO EUGENIO/ARQUIVO DA EDITORA</v>
      </c>
      <c r="AB159" s="11">
        <v>13</v>
      </c>
      <c r="AC159" s="9" t="s">
        <v>468</v>
      </c>
      <c r="AD159" s="9" t="s">
        <v>22</v>
      </c>
      <c r="AE159" s="4" t="str">
        <f t="shared" si="2"/>
        <v>EF1 E002 Port</v>
      </c>
    </row>
    <row r="160" spans="1:31" s="7" customFormat="1" ht="60" x14ac:dyDescent="0.25">
      <c r="A160" s="12" t="s">
        <v>473</v>
      </c>
      <c r="B160" s="9" t="s">
        <v>40</v>
      </c>
      <c r="C160" s="9" t="s">
        <v>1</v>
      </c>
      <c r="D160" s="9" t="s">
        <v>25</v>
      </c>
      <c r="E160" s="11">
        <v>222</v>
      </c>
      <c r="F160" s="11">
        <v>1</v>
      </c>
      <c r="G160" s="11">
        <v>7</v>
      </c>
      <c r="H160" s="11"/>
      <c r="I160" s="12" t="s">
        <v>9</v>
      </c>
      <c r="J160" s="12"/>
      <c r="K160" s="11"/>
      <c r="L160" s="11"/>
      <c r="M160" s="12"/>
      <c r="N160" s="12"/>
      <c r="O160" s="32" t="s">
        <v>474</v>
      </c>
      <c r="P160" s="9"/>
      <c r="Q160" s="9"/>
      <c r="R160" s="11">
        <v>21</v>
      </c>
      <c r="S160" s="13">
        <v>45842</v>
      </c>
      <c r="T160" s="13">
        <v>45846</v>
      </c>
      <c r="U160" s="13">
        <v>45852</v>
      </c>
      <c r="V160" s="13">
        <v>45854</v>
      </c>
      <c r="W160" s="13">
        <v>45859</v>
      </c>
      <c r="X160" s="11" t="s">
        <v>80</v>
      </c>
      <c r="Y160" s="4" t="str">
        <f>IF(Tabela2[[#This Row],[SIGLA]]="","",VLOOKUP(Tabela2[[#This Row],[SIGLA]],Tabela1[[#All],[Sigla Arte]:[Crédito]],2,0))</f>
        <v>FABIO EUGENIO/ARQUIVO DA EDITORA</v>
      </c>
      <c r="Z160" s="12"/>
      <c r="AA160" s="12" t="str">
        <f>Tabela2[[#This Row],[ILUSTRADOR CRIAÇÃO]]</f>
        <v>FABIO EUGENIO/ARQUIVO DA EDITORA</v>
      </c>
      <c r="AB160" s="11">
        <v>6</v>
      </c>
      <c r="AC160" s="9" t="s">
        <v>468</v>
      </c>
      <c r="AD160" s="9" t="s">
        <v>22</v>
      </c>
      <c r="AE160" s="4" t="str">
        <f t="shared" si="2"/>
        <v>EF1 E002 Port</v>
      </c>
    </row>
    <row r="161" spans="1:31" s="7" customFormat="1" ht="135" x14ac:dyDescent="0.25">
      <c r="A161" s="12" t="s">
        <v>475</v>
      </c>
      <c r="B161" s="9" t="s">
        <v>40</v>
      </c>
      <c r="C161" s="9" t="s">
        <v>1</v>
      </c>
      <c r="D161" s="9" t="s">
        <v>25</v>
      </c>
      <c r="E161" s="11">
        <v>226</v>
      </c>
      <c r="F161" s="11">
        <v>1</v>
      </c>
      <c r="G161" s="11">
        <v>7</v>
      </c>
      <c r="H161" s="11"/>
      <c r="I161" s="12" t="s">
        <v>9</v>
      </c>
      <c r="J161" s="12"/>
      <c r="K161" s="11"/>
      <c r="L161" s="11"/>
      <c r="M161" s="12"/>
      <c r="N161" s="12"/>
      <c r="O161" s="32" t="s">
        <v>476</v>
      </c>
      <c r="P161" s="9"/>
      <c r="Q161" s="9"/>
      <c r="R161" s="11">
        <v>21</v>
      </c>
      <c r="S161" s="13">
        <v>45842</v>
      </c>
      <c r="T161" s="13">
        <v>45846</v>
      </c>
      <c r="U161" s="13">
        <v>45852</v>
      </c>
      <c r="V161" s="13">
        <v>45854</v>
      </c>
      <c r="W161" s="13">
        <v>45859</v>
      </c>
      <c r="X161" s="11" t="s">
        <v>80</v>
      </c>
      <c r="Y161" s="4" t="str">
        <f>IF(Tabela2[[#This Row],[SIGLA]]="","",VLOOKUP(Tabela2[[#This Row],[SIGLA]],Tabela1[[#All],[Sigla Arte]:[Crédito]],2,0))</f>
        <v>FABIO EUGENIO/ARQUIVO DA EDITORA</v>
      </c>
      <c r="Z161" s="12"/>
      <c r="AA161" s="12" t="str">
        <f>Tabela2[[#This Row],[ILUSTRADOR CRIAÇÃO]]</f>
        <v>FABIO EUGENIO/ARQUIVO DA EDITORA</v>
      </c>
      <c r="AB161" s="11">
        <v>6</v>
      </c>
      <c r="AC161" s="9" t="s">
        <v>468</v>
      </c>
      <c r="AD161" s="9" t="s">
        <v>22</v>
      </c>
      <c r="AE161" s="4" t="str">
        <f t="shared" si="2"/>
        <v>EF1 E002 Port</v>
      </c>
    </row>
    <row r="162" spans="1:31" s="7" customFormat="1" ht="45" x14ac:dyDescent="0.25">
      <c r="A162" s="12" t="s">
        <v>477</v>
      </c>
      <c r="B162" s="9" t="s">
        <v>40</v>
      </c>
      <c r="C162" s="9" t="s">
        <v>1</v>
      </c>
      <c r="D162" s="9" t="s">
        <v>25</v>
      </c>
      <c r="E162" s="11">
        <v>232</v>
      </c>
      <c r="F162" s="11">
        <v>1</v>
      </c>
      <c r="G162" s="11">
        <v>7</v>
      </c>
      <c r="H162" s="11"/>
      <c r="I162" s="12" t="s">
        <v>9</v>
      </c>
      <c r="J162" s="12"/>
      <c r="K162" s="11"/>
      <c r="L162" s="11"/>
      <c r="M162" s="12"/>
      <c r="N162" s="12"/>
      <c r="O162" s="32" t="s">
        <v>478</v>
      </c>
      <c r="P162" s="9"/>
      <c r="Q162" s="9"/>
      <c r="R162" s="11">
        <v>21</v>
      </c>
      <c r="S162" s="13">
        <v>45842</v>
      </c>
      <c r="T162" s="13">
        <v>45846</v>
      </c>
      <c r="U162" s="13">
        <v>45852</v>
      </c>
      <c r="V162" s="13">
        <v>45854</v>
      </c>
      <c r="W162" s="13">
        <v>45859</v>
      </c>
      <c r="X162" s="11" t="s">
        <v>80</v>
      </c>
      <c r="Y162" s="4" t="str">
        <f>IF(Tabela2[[#This Row],[SIGLA]]="","",VLOOKUP(Tabela2[[#This Row],[SIGLA]],Tabela1[[#All],[Sigla Arte]:[Crédito]],2,0))</f>
        <v>FABIO EUGENIO/ARQUIVO DA EDITORA</v>
      </c>
      <c r="Z162" s="12"/>
      <c r="AA162" s="12" t="str">
        <f>Tabela2[[#This Row],[ILUSTRADOR CRIAÇÃO]]</f>
        <v>FABIO EUGENIO/ARQUIVO DA EDITORA</v>
      </c>
      <c r="AB162" s="11">
        <v>5</v>
      </c>
      <c r="AC162" s="9" t="s">
        <v>468</v>
      </c>
      <c r="AD162" s="9" t="s">
        <v>22</v>
      </c>
      <c r="AE162" s="4" t="str">
        <f t="shared" si="2"/>
        <v>EF1 E002 Port</v>
      </c>
    </row>
    <row r="163" spans="1:31" s="7" customFormat="1" ht="135" x14ac:dyDescent="0.25">
      <c r="A163" s="12" t="s">
        <v>479</v>
      </c>
      <c r="B163" s="9" t="s">
        <v>40</v>
      </c>
      <c r="C163" s="9" t="s">
        <v>1</v>
      </c>
      <c r="D163" s="9" t="s">
        <v>25</v>
      </c>
      <c r="E163" s="11">
        <v>143</v>
      </c>
      <c r="F163" s="11">
        <v>1</v>
      </c>
      <c r="G163" s="11">
        <v>5</v>
      </c>
      <c r="H163" s="11"/>
      <c r="I163" s="12" t="s">
        <v>9</v>
      </c>
      <c r="J163" s="12"/>
      <c r="K163" s="11"/>
      <c r="L163" s="11"/>
      <c r="M163" s="12"/>
      <c r="N163" s="12"/>
      <c r="O163" s="32" t="s">
        <v>480</v>
      </c>
      <c r="P163" s="9"/>
      <c r="Q163" s="9"/>
      <c r="R163" s="11">
        <v>22</v>
      </c>
      <c r="S163" s="13">
        <v>45845</v>
      </c>
      <c r="T163" s="13">
        <v>45845</v>
      </c>
      <c r="U163" s="13">
        <v>45856</v>
      </c>
      <c r="V163" s="13">
        <v>45859</v>
      </c>
      <c r="W163" s="13">
        <v>45862</v>
      </c>
      <c r="X163" s="11" t="s">
        <v>141</v>
      </c>
      <c r="Y163" s="4" t="str">
        <f>IF(Tabela2[[#This Row],[SIGLA]]="","",VLOOKUP(Tabela2[[#This Row],[SIGLA]],Tabela1[[#All],[Sigla Arte]:[Crédito]],2,0))</f>
        <v>EZEQUIEL SILVA/ARQUIVO DA EDITORA</v>
      </c>
      <c r="Z163" s="12"/>
      <c r="AA163" s="12" t="str">
        <f>Tabela2[[#This Row],[ILUSTRADOR CRIAÇÃO]]</f>
        <v>EZEQUIEL SILVA/ARQUIVO DA EDITORA</v>
      </c>
      <c r="AB163" s="11">
        <v>4</v>
      </c>
      <c r="AC163" s="9" t="s">
        <v>481</v>
      </c>
      <c r="AD163" s="9" t="s">
        <v>22</v>
      </c>
      <c r="AE163" s="4" t="str">
        <f t="shared" si="2"/>
        <v>EF1 E002 Port</v>
      </c>
    </row>
    <row r="164" spans="1:31" s="7" customFormat="1" ht="105" x14ac:dyDescent="0.25">
      <c r="A164" s="12" t="s">
        <v>482</v>
      </c>
      <c r="B164" s="9" t="s">
        <v>42</v>
      </c>
      <c r="C164" s="9" t="s">
        <v>1</v>
      </c>
      <c r="D164" s="9" t="s">
        <v>25</v>
      </c>
      <c r="E164" s="11">
        <v>143</v>
      </c>
      <c r="F164" s="11">
        <v>1</v>
      </c>
      <c r="G164" s="11">
        <v>5</v>
      </c>
      <c r="H164" s="11"/>
      <c r="I164" s="12" t="s">
        <v>9</v>
      </c>
      <c r="J164" s="12"/>
      <c r="K164" s="11"/>
      <c r="L164" s="11"/>
      <c r="M164" s="12"/>
      <c r="N164" s="12"/>
      <c r="O164" s="32" t="s">
        <v>483</v>
      </c>
      <c r="P164" s="9"/>
      <c r="Q164" s="9"/>
      <c r="R164" s="11">
        <v>22</v>
      </c>
      <c r="S164" s="13">
        <v>45845</v>
      </c>
      <c r="T164" s="13">
        <v>45845</v>
      </c>
      <c r="U164" s="13">
        <v>45856</v>
      </c>
      <c r="V164" s="13"/>
      <c r="W164" s="13"/>
      <c r="X164" s="11" t="s">
        <v>141</v>
      </c>
      <c r="Y164" s="4" t="str">
        <f>IF(Tabela2[[#This Row],[SIGLA]]="","",VLOOKUP(Tabela2[[#This Row],[SIGLA]],Tabela1[[#All],[Sigla Arte]:[Crédito]],2,0))</f>
        <v>EZEQUIEL SILVA/ARQUIVO DA EDITORA</v>
      </c>
      <c r="Z164" s="12"/>
      <c r="AA164" s="12" t="str">
        <f>Tabela2[[#This Row],[ILUSTRADOR CRIAÇÃO]]</f>
        <v>EZEQUIEL SILVA/ARQUIVO DA EDITORA</v>
      </c>
      <c r="AB164" s="11">
        <v>5</v>
      </c>
      <c r="AC164" s="9" t="s">
        <v>484</v>
      </c>
      <c r="AD164" s="9" t="s">
        <v>27</v>
      </c>
      <c r="AE164" s="4" t="str">
        <f t="shared" si="2"/>
        <v>EF1 E002 Port</v>
      </c>
    </row>
    <row r="165" spans="1:31" s="7" customFormat="1" ht="37.5" customHeight="1" x14ac:dyDescent="0.25">
      <c r="A165" s="12" t="s">
        <v>485</v>
      </c>
      <c r="B165" s="9" t="s">
        <v>40</v>
      </c>
      <c r="C165" s="9" t="s">
        <v>1</v>
      </c>
      <c r="D165" s="9" t="s">
        <v>25</v>
      </c>
      <c r="E165" s="11">
        <v>156</v>
      </c>
      <c r="F165" s="11">
        <v>1</v>
      </c>
      <c r="G165" s="11">
        <v>5</v>
      </c>
      <c r="H165" s="11"/>
      <c r="I165" s="12" t="s">
        <v>9</v>
      </c>
      <c r="J165" s="12"/>
      <c r="K165" s="11"/>
      <c r="L165" s="11"/>
      <c r="M165" s="12"/>
      <c r="N165" s="12"/>
      <c r="O165" s="32" t="s">
        <v>486</v>
      </c>
      <c r="P165" s="9"/>
      <c r="Q165" s="9"/>
      <c r="R165" s="11">
        <v>22</v>
      </c>
      <c r="S165" s="13">
        <v>45845</v>
      </c>
      <c r="T165" s="13">
        <v>45845</v>
      </c>
      <c r="U165" s="13">
        <v>45856</v>
      </c>
      <c r="V165" s="13">
        <v>45859</v>
      </c>
      <c r="W165" s="13">
        <v>45862</v>
      </c>
      <c r="X165" s="11" t="s">
        <v>141</v>
      </c>
      <c r="Y165" s="4" t="str">
        <f>IF(Tabela2[[#This Row],[SIGLA]]="","",VLOOKUP(Tabela2[[#This Row],[SIGLA]],Tabela1[[#All],[Sigla Arte]:[Crédito]],2,0))</f>
        <v>EZEQUIEL SILVA/ARQUIVO DA EDITORA</v>
      </c>
      <c r="Z165" s="12"/>
      <c r="AA165" s="12" t="str">
        <f>Tabela2[[#This Row],[ILUSTRADOR CRIAÇÃO]]</f>
        <v>EZEQUIEL SILVA/ARQUIVO DA EDITORA</v>
      </c>
      <c r="AB165" s="11">
        <v>4</v>
      </c>
      <c r="AC165" s="9" t="s">
        <v>481</v>
      </c>
      <c r="AD165" s="9" t="s">
        <v>22</v>
      </c>
      <c r="AE165" s="4" t="str">
        <f t="shared" si="2"/>
        <v>EF1 E002 Port</v>
      </c>
    </row>
    <row r="166" spans="1:31" s="7" customFormat="1" ht="32.25" customHeight="1" x14ac:dyDescent="0.25">
      <c r="A166" s="12" t="s">
        <v>487</v>
      </c>
      <c r="B166" s="9" t="s">
        <v>40</v>
      </c>
      <c r="C166" s="9" t="s">
        <v>1</v>
      </c>
      <c r="D166" s="9" t="s">
        <v>25</v>
      </c>
      <c r="E166" s="11">
        <v>170</v>
      </c>
      <c r="F166" s="11">
        <v>1</v>
      </c>
      <c r="G166" s="11">
        <v>5</v>
      </c>
      <c r="H166" s="11"/>
      <c r="I166" s="12" t="s">
        <v>9</v>
      </c>
      <c r="J166" s="12"/>
      <c r="K166" s="11"/>
      <c r="L166" s="11"/>
      <c r="M166" s="12"/>
      <c r="N166" s="12"/>
      <c r="O166" s="32" t="s">
        <v>488</v>
      </c>
      <c r="P166" s="9"/>
      <c r="Q166" s="9"/>
      <c r="R166" s="11">
        <v>22</v>
      </c>
      <c r="S166" s="13">
        <v>45845</v>
      </c>
      <c r="T166" s="13">
        <v>45845</v>
      </c>
      <c r="U166" s="13">
        <v>45856</v>
      </c>
      <c r="V166" s="13">
        <v>45859</v>
      </c>
      <c r="W166" s="13">
        <v>45862</v>
      </c>
      <c r="X166" s="11" t="s">
        <v>141</v>
      </c>
      <c r="Y166" s="4" t="str">
        <f>IF(Tabela2[[#This Row],[SIGLA]]="","",VLOOKUP(Tabela2[[#This Row],[SIGLA]],Tabela1[[#All],[Sigla Arte]:[Crédito]],2,0))</f>
        <v>EZEQUIEL SILVA/ARQUIVO DA EDITORA</v>
      </c>
      <c r="Z166" s="12"/>
      <c r="AA166" s="12" t="str">
        <f>Tabela2[[#This Row],[ILUSTRADOR CRIAÇÃO]]</f>
        <v>EZEQUIEL SILVA/ARQUIVO DA EDITORA</v>
      </c>
      <c r="AB166" s="11">
        <v>6</v>
      </c>
      <c r="AC166" s="9" t="s">
        <v>481</v>
      </c>
      <c r="AD166" s="9" t="s">
        <v>22</v>
      </c>
      <c r="AE166" s="4" t="str">
        <f t="shared" si="2"/>
        <v>EF1 E002 Port</v>
      </c>
    </row>
    <row r="167" spans="1:31" s="7" customFormat="1" x14ac:dyDescent="0.25">
      <c r="A167" s="12" t="s">
        <v>489</v>
      </c>
      <c r="B167" s="9" t="s">
        <v>37</v>
      </c>
      <c r="C167" s="9" t="s">
        <v>1</v>
      </c>
      <c r="D167" s="9" t="s">
        <v>25</v>
      </c>
      <c r="E167" s="11">
        <v>13</v>
      </c>
      <c r="F167" s="11">
        <v>5</v>
      </c>
      <c r="G167" s="11">
        <v>1</v>
      </c>
      <c r="H167" s="11"/>
      <c r="I167" s="12" t="s">
        <v>9</v>
      </c>
      <c r="J167" s="12"/>
      <c r="K167" s="11"/>
      <c r="L167" s="11"/>
      <c r="M167" s="12"/>
      <c r="N167" s="12"/>
      <c r="O167" s="32" t="s">
        <v>490</v>
      </c>
      <c r="P167" s="9"/>
      <c r="Q167" s="9"/>
      <c r="R167" s="11">
        <v>23</v>
      </c>
      <c r="S167" s="13">
        <v>45846</v>
      </c>
      <c r="T167" s="13">
        <v>45848</v>
      </c>
      <c r="U167" s="13">
        <v>45856</v>
      </c>
      <c r="V167" s="13">
        <v>45856</v>
      </c>
      <c r="W167" s="13">
        <v>45860</v>
      </c>
      <c r="X167" s="11" t="s">
        <v>491</v>
      </c>
      <c r="Y167" s="4" t="str">
        <f>IF(Tabela2[[#This Row],[SIGLA]]="","",VLOOKUP(Tabela2[[#This Row],[SIGLA]],Tabela1[[#All],[Sigla Arte]:[Crédito]],2,0))</f>
        <v>ANA KOZUKI/ARQUIVO DA EDITORA</v>
      </c>
      <c r="Z167" s="12"/>
      <c r="AA167" s="12" t="str">
        <f>Tabela2[[#This Row],[ILUSTRADOR CRIAÇÃO]]</f>
        <v>ANA KOZUKI/ARQUIVO DA EDITORA</v>
      </c>
      <c r="AB167" s="11">
        <v>6</v>
      </c>
      <c r="AC167" s="9" t="s">
        <v>492</v>
      </c>
      <c r="AD167" s="9" t="s">
        <v>22</v>
      </c>
      <c r="AE167" s="4" t="str">
        <f t="shared" si="2"/>
        <v>EF1 E002 Port</v>
      </c>
    </row>
    <row r="168" spans="1:31" s="7" customFormat="1" ht="45" x14ac:dyDescent="0.25">
      <c r="A168" s="12" t="s">
        <v>493</v>
      </c>
      <c r="B168" s="9" t="s">
        <v>37</v>
      </c>
      <c r="C168" s="9" t="s">
        <v>1</v>
      </c>
      <c r="D168" s="9" t="s">
        <v>25</v>
      </c>
      <c r="E168" s="11">
        <v>14</v>
      </c>
      <c r="F168" s="11">
        <v>5</v>
      </c>
      <c r="G168" s="11">
        <v>1</v>
      </c>
      <c r="H168" s="11"/>
      <c r="I168" s="12" t="s">
        <v>9</v>
      </c>
      <c r="J168" s="12"/>
      <c r="K168" s="11"/>
      <c r="L168" s="11"/>
      <c r="M168" s="12"/>
      <c r="N168" s="12"/>
      <c r="O168" s="32" t="s">
        <v>494</v>
      </c>
      <c r="P168" s="9"/>
      <c r="Q168" s="9"/>
      <c r="R168" s="11">
        <v>23</v>
      </c>
      <c r="S168" s="13">
        <v>45846</v>
      </c>
      <c r="T168" s="13">
        <v>45848</v>
      </c>
      <c r="U168" s="13">
        <v>45856</v>
      </c>
      <c r="V168" s="13">
        <v>45856</v>
      </c>
      <c r="W168" s="13">
        <v>45860</v>
      </c>
      <c r="X168" s="11" t="s">
        <v>491</v>
      </c>
      <c r="Y168" s="4" t="str">
        <f>IF(Tabela2[[#This Row],[SIGLA]]="","",VLOOKUP(Tabela2[[#This Row],[SIGLA]],Tabela1[[#All],[Sigla Arte]:[Crédito]],2,0))</f>
        <v>ANA KOZUKI/ARQUIVO DA EDITORA</v>
      </c>
      <c r="Z168" s="12"/>
      <c r="AA168" s="12" t="str">
        <f>Tabela2[[#This Row],[ILUSTRADOR CRIAÇÃO]]</f>
        <v>ANA KOZUKI/ARQUIVO DA EDITORA</v>
      </c>
      <c r="AB168" s="11">
        <v>5</v>
      </c>
      <c r="AC168" s="9" t="s">
        <v>492</v>
      </c>
      <c r="AD168" s="9" t="s">
        <v>22</v>
      </c>
      <c r="AE168" s="4" t="str">
        <f t="shared" si="2"/>
        <v>EF1 E002 Port</v>
      </c>
    </row>
    <row r="169" spans="1:31" s="7" customFormat="1" x14ac:dyDescent="0.25">
      <c r="A169" s="12" t="s">
        <v>495</v>
      </c>
      <c r="B169" s="9" t="s">
        <v>40</v>
      </c>
      <c r="C169" s="9" t="s">
        <v>1</v>
      </c>
      <c r="D169" s="9" t="s">
        <v>25</v>
      </c>
      <c r="E169" s="11">
        <v>17</v>
      </c>
      <c r="F169" s="11">
        <v>5</v>
      </c>
      <c r="G169" s="11">
        <v>1</v>
      </c>
      <c r="H169" s="11"/>
      <c r="I169" s="12" t="s">
        <v>9</v>
      </c>
      <c r="J169" s="12"/>
      <c r="K169" s="11"/>
      <c r="L169" s="11"/>
      <c r="M169" s="12"/>
      <c r="N169" s="12"/>
      <c r="O169" s="32" t="s">
        <v>496</v>
      </c>
      <c r="P169" s="9"/>
      <c r="Q169" s="9"/>
      <c r="R169" s="11">
        <v>23</v>
      </c>
      <c r="S169" s="13">
        <v>45846</v>
      </c>
      <c r="T169" s="13">
        <v>45848</v>
      </c>
      <c r="U169" s="13">
        <v>45856</v>
      </c>
      <c r="V169" s="13">
        <v>45856</v>
      </c>
      <c r="W169" s="13">
        <v>45860</v>
      </c>
      <c r="X169" s="11" t="s">
        <v>491</v>
      </c>
      <c r="Y169" s="4" t="str">
        <f>IF(Tabela2[[#This Row],[SIGLA]]="","",VLOOKUP(Tabela2[[#This Row],[SIGLA]],Tabela1[[#All],[Sigla Arte]:[Crédito]],2,0))</f>
        <v>ANA KOZUKI/ARQUIVO DA EDITORA</v>
      </c>
      <c r="Z169" s="12"/>
      <c r="AA169" s="12" t="str">
        <f>Tabela2[[#This Row],[ILUSTRADOR CRIAÇÃO]]</f>
        <v>ANA KOZUKI/ARQUIVO DA EDITORA</v>
      </c>
      <c r="AB169" s="11">
        <v>13</v>
      </c>
      <c r="AC169" s="9" t="s">
        <v>492</v>
      </c>
      <c r="AD169" s="9" t="s">
        <v>22</v>
      </c>
      <c r="AE169" s="4" t="str">
        <f t="shared" si="2"/>
        <v>EF1 E002 Port</v>
      </c>
    </row>
    <row r="170" spans="1:31" s="7" customFormat="1" ht="30" x14ac:dyDescent="0.25">
      <c r="A170" s="12" t="s">
        <v>497</v>
      </c>
      <c r="B170" s="9" t="s">
        <v>37</v>
      </c>
      <c r="C170" s="9" t="s">
        <v>1</v>
      </c>
      <c r="D170" s="9" t="s">
        <v>25</v>
      </c>
      <c r="E170" s="11">
        <v>20</v>
      </c>
      <c r="F170" s="11">
        <v>5</v>
      </c>
      <c r="G170" s="11">
        <v>1</v>
      </c>
      <c r="H170" s="11"/>
      <c r="I170" s="12" t="s">
        <v>9</v>
      </c>
      <c r="J170" s="12"/>
      <c r="K170" s="11"/>
      <c r="L170" s="11"/>
      <c r="M170" s="12"/>
      <c r="N170" s="12"/>
      <c r="O170" s="32" t="s">
        <v>498</v>
      </c>
      <c r="P170" s="9"/>
      <c r="Q170" s="9"/>
      <c r="R170" s="11">
        <v>23</v>
      </c>
      <c r="S170" s="13">
        <v>45846</v>
      </c>
      <c r="T170" s="13">
        <v>45848</v>
      </c>
      <c r="U170" s="13">
        <v>45856</v>
      </c>
      <c r="V170" s="13">
        <v>45856</v>
      </c>
      <c r="W170" s="13">
        <v>45860</v>
      </c>
      <c r="X170" s="11" t="s">
        <v>491</v>
      </c>
      <c r="Y170" s="4" t="str">
        <f>IF(Tabela2[[#This Row],[SIGLA]]="","",VLOOKUP(Tabela2[[#This Row],[SIGLA]],Tabela1[[#All],[Sigla Arte]:[Crédito]],2,0))</f>
        <v>ANA KOZUKI/ARQUIVO DA EDITORA</v>
      </c>
      <c r="Z170" s="12"/>
      <c r="AA170" s="12" t="str">
        <f>Tabela2[[#This Row],[ILUSTRADOR CRIAÇÃO]]</f>
        <v>ANA KOZUKI/ARQUIVO DA EDITORA</v>
      </c>
      <c r="AB170" s="11">
        <v>5</v>
      </c>
      <c r="AC170" s="9" t="s">
        <v>492</v>
      </c>
      <c r="AD170" s="9" t="s">
        <v>22</v>
      </c>
      <c r="AE170" s="4" t="str">
        <f t="shared" si="2"/>
        <v>EF1 E002 Port</v>
      </c>
    </row>
    <row r="171" spans="1:31" s="7" customFormat="1" ht="30" x14ac:dyDescent="0.25">
      <c r="A171" s="12" t="s">
        <v>499</v>
      </c>
      <c r="B171" s="9" t="s">
        <v>37</v>
      </c>
      <c r="C171" s="9" t="s">
        <v>1</v>
      </c>
      <c r="D171" s="9" t="s">
        <v>25</v>
      </c>
      <c r="E171" s="11">
        <v>19</v>
      </c>
      <c r="F171" s="11">
        <v>5</v>
      </c>
      <c r="G171" s="11">
        <v>1</v>
      </c>
      <c r="H171" s="11"/>
      <c r="I171" s="12" t="s">
        <v>9</v>
      </c>
      <c r="J171" s="12"/>
      <c r="K171" s="11"/>
      <c r="L171" s="11"/>
      <c r="M171" s="12"/>
      <c r="N171" s="12"/>
      <c r="O171" s="32" t="s">
        <v>500</v>
      </c>
      <c r="P171" s="9"/>
      <c r="Q171" s="9"/>
      <c r="R171" s="11">
        <v>23</v>
      </c>
      <c r="S171" s="13">
        <v>45846</v>
      </c>
      <c r="T171" s="13">
        <v>45848</v>
      </c>
      <c r="U171" s="13">
        <v>45856</v>
      </c>
      <c r="V171" s="13">
        <v>45856</v>
      </c>
      <c r="W171" s="13">
        <v>45860</v>
      </c>
      <c r="X171" s="11" t="s">
        <v>491</v>
      </c>
      <c r="Y171" s="4" t="str">
        <f>IF(Tabela2[[#This Row],[SIGLA]]="","",VLOOKUP(Tabela2[[#This Row],[SIGLA]],Tabela1[[#All],[Sigla Arte]:[Crédito]],2,0))</f>
        <v>ANA KOZUKI/ARQUIVO DA EDITORA</v>
      </c>
      <c r="Z171" s="12"/>
      <c r="AA171" s="12" t="str">
        <f>Tabela2[[#This Row],[ILUSTRADOR CRIAÇÃO]]</f>
        <v>ANA KOZUKI/ARQUIVO DA EDITORA</v>
      </c>
      <c r="AB171" s="11">
        <v>5</v>
      </c>
      <c r="AC171" s="9" t="s">
        <v>492</v>
      </c>
      <c r="AD171" s="9" t="s">
        <v>22</v>
      </c>
      <c r="AE171" s="4" t="str">
        <f t="shared" si="2"/>
        <v>EF1 E002 Port</v>
      </c>
    </row>
    <row r="172" spans="1:31" s="7" customFormat="1" ht="33.75" customHeight="1" x14ac:dyDescent="0.25">
      <c r="A172" s="12" t="s">
        <v>501</v>
      </c>
      <c r="B172" s="9" t="s">
        <v>40</v>
      </c>
      <c r="C172" s="9" t="s">
        <v>1</v>
      </c>
      <c r="D172" s="9" t="s">
        <v>25</v>
      </c>
      <c r="E172" s="11">
        <v>33</v>
      </c>
      <c r="F172" s="11">
        <v>5</v>
      </c>
      <c r="G172" s="11">
        <v>1</v>
      </c>
      <c r="H172" s="11"/>
      <c r="I172" s="12" t="s">
        <v>9</v>
      </c>
      <c r="J172" s="12"/>
      <c r="K172" s="11"/>
      <c r="L172" s="11"/>
      <c r="M172" s="12"/>
      <c r="N172" s="12"/>
      <c r="O172" s="32" t="s">
        <v>502</v>
      </c>
      <c r="P172" s="9"/>
      <c r="Q172" s="9"/>
      <c r="R172" s="11">
        <v>23</v>
      </c>
      <c r="S172" s="13">
        <v>45846</v>
      </c>
      <c r="T172" s="13">
        <v>45852</v>
      </c>
      <c r="U172" s="13">
        <v>45853</v>
      </c>
      <c r="V172" s="13">
        <v>45855</v>
      </c>
      <c r="W172" s="13">
        <v>45861</v>
      </c>
      <c r="X172" s="11" t="s">
        <v>503</v>
      </c>
      <c r="Y172" s="4" t="str">
        <f>IF(Tabela2[[#This Row],[SIGLA]]="","",VLOOKUP(Tabela2[[#This Row],[SIGLA]],Tabela1[[#All],[Sigla Arte]:[Crédito]],2,0))</f>
        <v>LISLLEY GOMES FEIGE/ARQUIVO DA EDITORA</v>
      </c>
      <c r="Z172" s="12"/>
      <c r="AA172" s="12" t="str">
        <f>Tabela2[[#This Row],[ILUSTRADOR CRIAÇÃO]]</f>
        <v>LISLLEY GOMES FEIGE/ARQUIVO DA EDITORA</v>
      </c>
      <c r="AB172" s="11">
        <v>6</v>
      </c>
      <c r="AC172" s="9" t="s">
        <v>463</v>
      </c>
      <c r="AD172" s="9" t="s">
        <v>22</v>
      </c>
      <c r="AE172" s="4" t="str">
        <f t="shared" si="2"/>
        <v>EF1 E002 Port</v>
      </c>
    </row>
    <row r="173" spans="1:31" s="7" customFormat="1" ht="45" x14ac:dyDescent="0.25">
      <c r="A173" s="12" t="s">
        <v>504</v>
      </c>
      <c r="B173" s="9" t="s">
        <v>40</v>
      </c>
      <c r="C173" s="9" t="s">
        <v>1</v>
      </c>
      <c r="D173" s="9" t="s">
        <v>25</v>
      </c>
      <c r="E173" s="11">
        <v>35</v>
      </c>
      <c r="F173" s="11">
        <v>5</v>
      </c>
      <c r="G173" s="11">
        <v>1</v>
      </c>
      <c r="H173" s="11"/>
      <c r="I173" s="12" t="s">
        <v>9</v>
      </c>
      <c r="J173" s="12"/>
      <c r="K173" s="11"/>
      <c r="L173" s="11"/>
      <c r="M173" s="12"/>
      <c r="N173" s="12"/>
      <c r="O173" s="32" t="s">
        <v>505</v>
      </c>
      <c r="P173" s="9"/>
      <c r="Q173" s="9"/>
      <c r="R173" s="11">
        <v>23</v>
      </c>
      <c r="S173" s="13">
        <v>45846</v>
      </c>
      <c r="T173" s="13">
        <v>45852</v>
      </c>
      <c r="U173" s="13">
        <v>45853</v>
      </c>
      <c r="V173" s="13">
        <v>45855</v>
      </c>
      <c r="W173" s="13">
        <v>45861</v>
      </c>
      <c r="X173" s="11" t="s">
        <v>503</v>
      </c>
      <c r="Y173" s="4" t="str">
        <f>IF(Tabela2[[#This Row],[SIGLA]]="","",VLOOKUP(Tabela2[[#This Row],[SIGLA]],Tabela1[[#All],[Sigla Arte]:[Crédito]],2,0))</f>
        <v>LISLLEY GOMES FEIGE/ARQUIVO DA EDITORA</v>
      </c>
      <c r="Z173" s="12"/>
      <c r="AA173" s="12" t="str">
        <f>Tabela2[[#This Row],[ILUSTRADOR CRIAÇÃO]]</f>
        <v>LISLLEY GOMES FEIGE/ARQUIVO DA EDITORA</v>
      </c>
      <c r="AB173" s="11">
        <v>6</v>
      </c>
      <c r="AC173" s="9" t="s">
        <v>463</v>
      </c>
      <c r="AD173" s="9" t="s">
        <v>22</v>
      </c>
      <c r="AE173" s="4" t="str">
        <f t="shared" si="2"/>
        <v>EF1 E002 Port</v>
      </c>
    </row>
    <row r="174" spans="1:31" s="7" customFormat="1" ht="30" x14ac:dyDescent="0.25">
      <c r="A174" s="12" t="s">
        <v>506</v>
      </c>
      <c r="B174" s="9" t="s">
        <v>40</v>
      </c>
      <c r="C174" s="9" t="s">
        <v>1</v>
      </c>
      <c r="D174" s="9" t="s">
        <v>25</v>
      </c>
      <c r="E174" s="11">
        <v>36</v>
      </c>
      <c r="F174" s="11">
        <v>5</v>
      </c>
      <c r="G174" s="11">
        <v>1</v>
      </c>
      <c r="H174" s="11"/>
      <c r="I174" s="12" t="s">
        <v>9</v>
      </c>
      <c r="J174" s="12"/>
      <c r="K174" s="11"/>
      <c r="L174" s="11"/>
      <c r="M174" s="12"/>
      <c r="N174" s="12"/>
      <c r="O174" s="32" t="s">
        <v>507</v>
      </c>
      <c r="P174" s="9"/>
      <c r="Q174" s="9"/>
      <c r="R174" s="11">
        <v>23</v>
      </c>
      <c r="S174" s="13">
        <v>45846</v>
      </c>
      <c r="T174" s="13">
        <v>45852</v>
      </c>
      <c r="U174" s="13">
        <v>45853</v>
      </c>
      <c r="V174" s="13">
        <v>45855</v>
      </c>
      <c r="W174" s="13">
        <v>45861</v>
      </c>
      <c r="X174" s="11" t="s">
        <v>503</v>
      </c>
      <c r="Y174" s="4" t="str">
        <f>IF(Tabela2[[#This Row],[SIGLA]]="","",VLOOKUP(Tabela2[[#This Row],[SIGLA]],Tabela1[[#All],[Sigla Arte]:[Crédito]],2,0))</f>
        <v>LISLLEY GOMES FEIGE/ARQUIVO DA EDITORA</v>
      </c>
      <c r="Z174" s="12"/>
      <c r="AA174" s="12" t="str">
        <f>Tabela2[[#This Row],[ILUSTRADOR CRIAÇÃO]]</f>
        <v>LISLLEY GOMES FEIGE/ARQUIVO DA EDITORA</v>
      </c>
      <c r="AB174" s="11">
        <v>7</v>
      </c>
      <c r="AC174" s="9" t="s">
        <v>463</v>
      </c>
      <c r="AD174" s="9" t="s">
        <v>22</v>
      </c>
      <c r="AE174" s="4" t="str">
        <f t="shared" si="2"/>
        <v>EF1 E002 Port</v>
      </c>
    </row>
    <row r="175" spans="1:31" s="7" customFormat="1" ht="60" x14ac:dyDescent="0.25">
      <c r="A175" s="12" t="s">
        <v>508</v>
      </c>
      <c r="B175" s="9" t="s">
        <v>40</v>
      </c>
      <c r="C175" s="9" t="s">
        <v>1</v>
      </c>
      <c r="D175" s="9" t="s">
        <v>25</v>
      </c>
      <c r="E175" s="11">
        <v>40</v>
      </c>
      <c r="F175" s="11">
        <v>5</v>
      </c>
      <c r="G175" s="11">
        <v>1</v>
      </c>
      <c r="H175" s="11"/>
      <c r="I175" s="12" t="s">
        <v>9</v>
      </c>
      <c r="J175" s="12"/>
      <c r="K175" s="11"/>
      <c r="L175" s="11"/>
      <c r="M175" s="12"/>
      <c r="N175" s="12"/>
      <c r="O175" s="32" t="s">
        <v>509</v>
      </c>
      <c r="P175" s="9"/>
      <c r="Q175" s="9"/>
      <c r="R175" s="11">
        <v>23</v>
      </c>
      <c r="S175" s="13">
        <v>45846</v>
      </c>
      <c r="T175" s="13">
        <v>45852</v>
      </c>
      <c r="U175" s="13">
        <v>45853</v>
      </c>
      <c r="V175" s="13">
        <v>45855</v>
      </c>
      <c r="W175" s="13">
        <v>45861</v>
      </c>
      <c r="X175" s="11" t="s">
        <v>503</v>
      </c>
      <c r="Y175" s="4" t="str">
        <f>IF(Tabela2[[#This Row],[SIGLA]]="","",VLOOKUP(Tabela2[[#This Row],[SIGLA]],Tabela1[[#All],[Sigla Arte]:[Crédito]],2,0))</f>
        <v>LISLLEY GOMES FEIGE/ARQUIVO DA EDITORA</v>
      </c>
      <c r="Z175" s="12"/>
      <c r="AA175" s="12" t="str">
        <f>Tabela2[[#This Row],[ILUSTRADOR CRIAÇÃO]]</f>
        <v>LISLLEY GOMES FEIGE/ARQUIVO DA EDITORA</v>
      </c>
      <c r="AB175" s="11">
        <v>5</v>
      </c>
      <c r="AC175" s="9" t="s">
        <v>463</v>
      </c>
      <c r="AD175" s="9" t="s">
        <v>22</v>
      </c>
      <c r="AE175" s="4" t="str">
        <f t="shared" si="2"/>
        <v>EF1 E002 Port</v>
      </c>
    </row>
    <row r="176" spans="1:31" s="7" customFormat="1" ht="45" x14ac:dyDescent="0.25">
      <c r="A176" s="12" t="s">
        <v>510</v>
      </c>
      <c r="B176" s="9" t="s">
        <v>40</v>
      </c>
      <c r="C176" s="9" t="s">
        <v>1</v>
      </c>
      <c r="D176" s="9" t="s">
        <v>25</v>
      </c>
      <c r="E176" s="11">
        <v>47</v>
      </c>
      <c r="F176" s="11">
        <v>5</v>
      </c>
      <c r="G176" s="11">
        <v>1</v>
      </c>
      <c r="H176" s="11"/>
      <c r="I176" s="12" t="s">
        <v>9</v>
      </c>
      <c r="J176" s="12"/>
      <c r="K176" s="11"/>
      <c r="L176" s="11"/>
      <c r="M176" s="12"/>
      <c r="N176" s="12"/>
      <c r="O176" s="32" t="s">
        <v>511</v>
      </c>
      <c r="P176" s="9"/>
      <c r="Q176" s="9"/>
      <c r="R176" s="11">
        <v>23</v>
      </c>
      <c r="S176" s="13">
        <v>45846</v>
      </c>
      <c r="T176" s="13">
        <v>45852</v>
      </c>
      <c r="U176" s="13">
        <v>45853</v>
      </c>
      <c r="V176" s="13">
        <v>45855</v>
      </c>
      <c r="W176" s="13">
        <v>45861</v>
      </c>
      <c r="X176" s="11" t="s">
        <v>503</v>
      </c>
      <c r="Y176" s="4" t="str">
        <f>IF(Tabela2[[#This Row],[SIGLA]]="","",VLOOKUP(Tabela2[[#This Row],[SIGLA]],Tabela1[[#All],[Sigla Arte]:[Crédito]],2,0))</f>
        <v>LISLLEY GOMES FEIGE/ARQUIVO DA EDITORA</v>
      </c>
      <c r="Z176" s="12"/>
      <c r="AA176" s="12" t="str">
        <f>Tabela2[[#This Row],[ILUSTRADOR CRIAÇÃO]]</f>
        <v>LISLLEY GOMES FEIGE/ARQUIVO DA EDITORA</v>
      </c>
      <c r="AB176" s="11">
        <v>6</v>
      </c>
      <c r="AC176" s="9" t="s">
        <v>463</v>
      </c>
      <c r="AD176" s="9" t="s">
        <v>22</v>
      </c>
      <c r="AE176" s="4" t="str">
        <f t="shared" si="2"/>
        <v>EF1 E002 Port</v>
      </c>
    </row>
    <row r="177" spans="1:31" s="7" customFormat="1" ht="120" x14ac:dyDescent="0.25">
      <c r="A177" s="12" t="s">
        <v>512</v>
      </c>
      <c r="B177" s="9" t="s">
        <v>40</v>
      </c>
      <c r="C177" s="9" t="s">
        <v>1</v>
      </c>
      <c r="D177" s="9" t="s">
        <v>25</v>
      </c>
      <c r="E177" s="11">
        <v>14</v>
      </c>
      <c r="F177" s="11">
        <v>2</v>
      </c>
      <c r="G177" s="11">
        <v>1</v>
      </c>
      <c r="H177" s="11"/>
      <c r="I177" s="12" t="s">
        <v>9</v>
      </c>
      <c r="J177" s="12"/>
      <c r="K177" s="11"/>
      <c r="L177" s="11"/>
      <c r="M177" s="12"/>
      <c r="N177" s="12"/>
      <c r="O177" s="32" t="s">
        <v>513</v>
      </c>
      <c r="P177" s="9"/>
      <c r="Q177" s="9"/>
      <c r="R177" s="11">
        <v>24</v>
      </c>
      <c r="S177" s="13">
        <v>45850</v>
      </c>
      <c r="T177" s="13">
        <v>45853</v>
      </c>
      <c r="U177" s="13">
        <v>45863</v>
      </c>
      <c r="V177" s="13">
        <v>45863</v>
      </c>
      <c r="W177" s="13">
        <v>45868</v>
      </c>
      <c r="X177" s="11" t="s">
        <v>281</v>
      </c>
      <c r="Y177" s="4" t="str">
        <f>IF(Tabela2[[#This Row],[SIGLA]]="","",VLOOKUP(Tabela2[[#This Row],[SIGLA]],Tabela1[[#All],[Sigla Arte]:[Crédito]],2,0))</f>
        <v>GUILHERME RODRIGUES/ARQUIVO DA EDITORA</v>
      </c>
      <c r="Z177" s="12"/>
      <c r="AA177" s="12" t="str">
        <f>Tabela2[[#This Row],[ILUSTRADOR CRIAÇÃO]]</f>
        <v>GUILHERME RODRIGUES/ARQUIVO DA EDITORA</v>
      </c>
      <c r="AB177" s="11">
        <v>5</v>
      </c>
      <c r="AC177" s="9" t="s">
        <v>514</v>
      </c>
      <c r="AD177" s="9" t="s">
        <v>22</v>
      </c>
      <c r="AE177" s="4" t="str">
        <f t="shared" si="2"/>
        <v>EF1 E002 Port</v>
      </c>
    </row>
    <row r="178" spans="1:31" s="7" customFormat="1" ht="104.25" customHeight="1" x14ac:dyDescent="0.25">
      <c r="A178" s="12" t="s">
        <v>515</v>
      </c>
      <c r="B178" s="9" t="s">
        <v>42</v>
      </c>
      <c r="C178" s="9" t="s">
        <v>1</v>
      </c>
      <c r="D178" s="9" t="s">
        <v>25</v>
      </c>
      <c r="E178" s="11">
        <v>17</v>
      </c>
      <c r="F178" s="11">
        <v>2</v>
      </c>
      <c r="G178" s="11">
        <v>1</v>
      </c>
      <c r="H178" s="11"/>
      <c r="I178" s="12" t="s">
        <v>9</v>
      </c>
      <c r="J178" s="12"/>
      <c r="K178" s="11"/>
      <c r="L178" s="11"/>
      <c r="M178" s="12"/>
      <c r="N178" s="12"/>
      <c r="O178" s="32" t="s">
        <v>516</v>
      </c>
      <c r="P178" s="9"/>
      <c r="Q178" s="9" t="s">
        <v>517</v>
      </c>
      <c r="R178" s="11">
        <v>24</v>
      </c>
      <c r="S178" s="13">
        <v>45850</v>
      </c>
      <c r="T178" s="13"/>
      <c r="U178" s="13"/>
      <c r="V178" s="13"/>
      <c r="W178" s="13"/>
      <c r="X178" s="11"/>
      <c r="Y178" s="4" t="str">
        <f>IF(Tabela2[[#This Row],[SIGLA]]="","",VLOOKUP(Tabela2[[#This Row],[SIGLA]],Tabela1[[#All],[Sigla Arte]:[Crédito]],2,0))</f>
        <v/>
      </c>
      <c r="Z178" s="12"/>
      <c r="AA178" s="12" t="str">
        <f>Tabela2[[#This Row],[ILUSTRADOR CRIAÇÃO]]</f>
        <v/>
      </c>
      <c r="AB178" s="11"/>
      <c r="AC178" s="9" t="s">
        <v>128</v>
      </c>
      <c r="AD178" s="9"/>
      <c r="AE178" s="4" t="str">
        <f t="shared" si="2"/>
        <v>EF1 E002 Port</v>
      </c>
    </row>
    <row r="179" spans="1:31" s="7" customFormat="1" ht="42.75" customHeight="1" x14ac:dyDescent="0.25">
      <c r="A179" s="12" t="s">
        <v>518</v>
      </c>
      <c r="B179" s="9" t="s">
        <v>40</v>
      </c>
      <c r="C179" s="9" t="s">
        <v>1</v>
      </c>
      <c r="D179" s="9" t="s">
        <v>25</v>
      </c>
      <c r="E179" s="11">
        <v>16</v>
      </c>
      <c r="F179" s="11">
        <v>2</v>
      </c>
      <c r="G179" s="11">
        <v>1</v>
      </c>
      <c r="H179" s="11"/>
      <c r="I179" s="12" t="s">
        <v>9</v>
      </c>
      <c r="J179" s="12"/>
      <c r="K179" s="11"/>
      <c r="L179" s="11"/>
      <c r="M179" s="12"/>
      <c r="N179" s="12"/>
      <c r="O179" s="32" t="s">
        <v>519</v>
      </c>
      <c r="P179" s="9"/>
      <c r="Q179" s="9"/>
      <c r="R179" s="11">
        <v>24</v>
      </c>
      <c r="S179" s="13">
        <v>45850</v>
      </c>
      <c r="T179" s="13">
        <v>45853</v>
      </c>
      <c r="U179" s="13">
        <v>45859</v>
      </c>
      <c r="V179" s="13">
        <v>45860</v>
      </c>
      <c r="W179" s="13">
        <v>45866</v>
      </c>
      <c r="X179" s="11" t="s">
        <v>99</v>
      </c>
      <c r="Y179" s="4" t="str">
        <f>IF(Tabela2[[#This Row],[SIGLA]]="","",VLOOKUP(Tabela2[[#This Row],[SIGLA]],Tabela1[[#All],[Sigla Arte]:[Crédito]],2,0))</f>
        <v>VERIDIANA PEGORARO CAMELO/ARQUIVO DA EDITORA</v>
      </c>
      <c r="Z179" s="12"/>
      <c r="AA179" s="12" t="str">
        <f>Tabela2[[#This Row],[ILUSTRADOR CRIAÇÃO]]</f>
        <v>VERIDIANA PEGORARO CAMELO/ARQUIVO DA EDITORA</v>
      </c>
      <c r="AB179" s="11">
        <v>6</v>
      </c>
      <c r="AC179" s="9" t="s">
        <v>520</v>
      </c>
      <c r="AD179" s="9" t="s">
        <v>22</v>
      </c>
      <c r="AE179" s="4" t="str">
        <f t="shared" si="2"/>
        <v>EF1 E002 Port</v>
      </c>
    </row>
    <row r="180" spans="1:31" s="7" customFormat="1" ht="59.25" customHeight="1" x14ac:dyDescent="0.25">
      <c r="A180" s="12" t="s">
        <v>521</v>
      </c>
      <c r="B180" s="9" t="s">
        <v>40</v>
      </c>
      <c r="C180" s="9" t="s">
        <v>1</v>
      </c>
      <c r="D180" s="9" t="s">
        <v>25</v>
      </c>
      <c r="E180" s="11">
        <v>17</v>
      </c>
      <c r="F180" s="11">
        <v>2</v>
      </c>
      <c r="G180" s="11">
        <v>1</v>
      </c>
      <c r="H180" s="11"/>
      <c r="I180" s="12" t="s">
        <v>9</v>
      </c>
      <c r="J180" s="12"/>
      <c r="K180" s="11"/>
      <c r="L180" s="11"/>
      <c r="M180" s="12"/>
      <c r="N180" s="12"/>
      <c r="O180" s="32" t="s">
        <v>522</v>
      </c>
      <c r="P180" s="9"/>
      <c r="Q180" s="9"/>
      <c r="R180" s="11">
        <v>24</v>
      </c>
      <c r="S180" s="13">
        <v>45850</v>
      </c>
      <c r="T180" s="13">
        <v>45853</v>
      </c>
      <c r="U180" s="13">
        <v>45859</v>
      </c>
      <c r="V180" s="13">
        <v>45860</v>
      </c>
      <c r="W180" s="13">
        <v>45866</v>
      </c>
      <c r="X180" s="11" t="s">
        <v>99</v>
      </c>
      <c r="Y180" s="4" t="str">
        <f>IF(Tabela2[[#This Row],[SIGLA]]="","",VLOOKUP(Tabela2[[#This Row],[SIGLA]],Tabela1[[#All],[Sigla Arte]:[Crédito]],2,0))</f>
        <v>VERIDIANA PEGORARO CAMELO/ARQUIVO DA EDITORA</v>
      </c>
      <c r="Z180" s="12"/>
      <c r="AA180" s="12" t="str">
        <f>Tabela2[[#This Row],[ILUSTRADOR CRIAÇÃO]]</f>
        <v>VERIDIANA PEGORARO CAMELO/ARQUIVO DA EDITORA</v>
      </c>
      <c r="AB180" s="11">
        <v>5</v>
      </c>
      <c r="AC180" s="9" t="s">
        <v>520</v>
      </c>
      <c r="AD180" s="9" t="s">
        <v>22</v>
      </c>
      <c r="AE180" s="4" t="str">
        <f t="shared" si="2"/>
        <v>EF1 E002 Port</v>
      </c>
    </row>
    <row r="181" spans="1:31" s="7" customFormat="1" ht="30" x14ac:dyDescent="0.25">
      <c r="A181" s="12" t="s">
        <v>523</v>
      </c>
      <c r="B181" s="9" t="s">
        <v>40</v>
      </c>
      <c r="C181" s="9" t="s">
        <v>1</v>
      </c>
      <c r="D181" s="9" t="s">
        <v>25</v>
      </c>
      <c r="E181" s="11">
        <v>18</v>
      </c>
      <c r="F181" s="11">
        <v>2</v>
      </c>
      <c r="G181" s="11">
        <v>1</v>
      </c>
      <c r="H181" s="11"/>
      <c r="I181" s="12" t="s">
        <v>9</v>
      </c>
      <c r="J181" s="12"/>
      <c r="K181" s="11"/>
      <c r="L181" s="11"/>
      <c r="M181" s="12"/>
      <c r="N181" s="12"/>
      <c r="O181" s="32" t="s">
        <v>524</v>
      </c>
      <c r="P181" s="9"/>
      <c r="Q181" s="9"/>
      <c r="R181" s="11">
        <v>24</v>
      </c>
      <c r="S181" s="13">
        <v>45850</v>
      </c>
      <c r="T181" s="13">
        <v>45853</v>
      </c>
      <c r="U181" s="13">
        <v>45859</v>
      </c>
      <c r="V181" s="13">
        <v>45860</v>
      </c>
      <c r="W181" s="13">
        <v>45866</v>
      </c>
      <c r="X181" s="11" t="s">
        <v>99</v>
      </c>
      <c r="Y181" s="4" t="str">
        <f>IF(Tabela2[[#This Row],[SIGLA]]="","",VLOOKUP(Tabela2[[#This Row],[SIGLA]],Tabela1[[#All],[Sigla Arte]:[Crédito]],2,0))</f>
        <v>VERIDIANA PEGORARO CAMELO/ARQUIVO DA EDITORA</v>
      </c>
      <c r="Z181" s="12"/>
      <c r="AA181" s="12" t="str">
        <f>Tabela2[[#This Row],[ILUSTRADOR CRIAÇÃO]]</f>
        <v>VERIDIANA PEGORARO CAMELO/ARQUIVO DA EDITORA</v>
      </c>
      <c r="AB181" s="11">
        <v>6</v>
      </c>
      <c r="AC181" s="9" t="s">
        <v>520</v>
      </c>
      <c r="AD181" s="9" t="s">
        <v>22</v>
      </c>
      <c r="AE181" s="4" t="str">
        <f t="shared" si="2"/>
        <v>EF1 E002 Port</v>
      </c>
    </row>
    <row r="182" spans="1:31" s="7" customFormat="1" ht="57" customHeight="1" x14ac:dyDescent="0.25">
      <c r="A182" s="12" t="s">
        <v>525</v>
      </c>
      <c r="B182" s="9" t="s">
        <v>40</v>
      </c>
      <c r="C182" s="9" t="s">
        <v>1</v>
      </c>
      <c r="D182" s="9" t="s">
        <v>25</v>
      </c>
      <c r="E182" s="11">
        <v>20</v>
      </c>
      <c r="F182" s="11">
        <v>2</v>
      </c>
      <c r="G182" s="11">
        <v>1</v>
      </c>
      <c r="H182" s="11"/>
      <c r="I182" s="12" t="s">
        <v>9</v>
      </c>
      <c r="J182" s="12"/>
      <c r="K182" s="11"/>
      <c r="L182" s="11"/>
      <c r="M182" s="12"/>
      <c r="N182" s="12"/>
      <c r="O182" s="32" t="s">
        <v>526</v>
      </c>
      <c r="P182" s="9"/>
      <c r="Q182" s="9"/>
      <c r="R182" s="11">
        <v>24</v>
      </c>
      <c r="S182" s="13">
        <v>45850</v>
      </c>
      <c r="T182" s="13">
        <v>45852</v>
      </c>
      <c r="U182" s="13">
        <v>45856</v>
      </c>
      <c r="V182" s="13">
        <v>45859</v>
      </c>
      <c r="W182" s="13">
        <v>45862</v>
      </c>
      <c r="X182" s="11" t="s">
        <v>163</v>
      </c>
      <c r="Y182" s="4" t="str">
        <f>IF(Tabela2[[#This Row],[SIGLA]]="","",VLOOKUP(Tabela2[[#This Row],[SIGLA]],Tabela1[[#All],[Sigla Arte]:[Crédito]],2,0))</f>
        <v>FERNANDA MONTEIRO/ARQUIVO DA EDITORA</v>
      </c>
      <c r="Z182" s="12"/>
      <c r="AA182" s="12" t="str">
        <f>Tabela2[[#This Row],[ILUSTRADOR CRIAÇÃO]]</f>
        <v>FERNANDA MONTEIRO/ARQUIVO DA EDITORA</v>
      </c>
      <c r="AB182" s="11">
        <v>7</v>
      </c>
      <c r="AC182" s="9" t="s">
        <v>527</v>
      </c>
      <c r="AD182" s="9" t="s">
        <v>22</v>
      </c>
      <c r="AE182" s="4" t="str">
        <f t="shared" si="2"/>
        <v>EF1 E002 Port</v>
      </c>
    </row>
    <row r="183" spans="1:31" s="7" customFormat="1" ht="92.25" customHeight="1" x14ac:dyDescent="0.25">
      <c r="A183" s="12" t="s">
        <v>528</v>
      </c>
      <c r="B183" s="9" t="s">
        <v>42</v>
      </c>
      <c r="C183" s="9" t="s">
        <v>1</v>
      </c>
      <c r="D183" s="9" t="s">
        <v>25</v>
      </c>
      <c r="E183" s="11">
        <v>26</v>
      </c>
      <c r="F183" s="11">
        <v>2</v>
      </c>
      <c r="G183" s="11">
        <v>1</v>
      </c>
      <c r="H183" s="11"/>
      <c r="I183" s="12" t="s">
        <v>9</v>
      </c>
      <c r="J183" s="12"/>
      <c r="K183" s="11"/>
      <c r="L183" s="11"/>
      <c r="M183" s="12"/>
      <c r="N183" s="12"/>
      <c r="O183" s="32" t="s">
        <v>529</v>
      </c>
      <c r="P183" s="9"/>
      <c r="Q183" s="9" t="s">
        <v>530</v>
      </c>
      <c r="R183" s="11">
        <v>24</v>
      </c>
      <c r="S183" s="13">
        <v>45850</v>
      </c>
      <c r="T183" s="13"/>
      <c r="U183" s="13"/>
      <c r="V183" s="13"/>
      <c r="W183" s="13"/>
      <c r="X183" s="11"/>
      <c r="Y183" s="4" t="str">
        <f>IF(Tabela2[[#This Row],[SIGLA]]="","",VLOOKUP(Tabela2[[#This Row],[SIGLA]],Tabela1[[#All],[Sigla Arte]:[Crédito]],2,0))</f>
        <v/>
      </c>
      <c r="Z183" s="12"/>
      <c r="AA183" s="12" t="str">
        <f>Tabela2[[#This Row],[ILUSTRADOR CRIAÇÃO]]</f>
        <v/>
      </c>
      <c r="AB183" s="11"/>
      <c r="AC183" s="9" t="s">
        <v>531</v>
      </c>
      <c r="AD183" s="9"/>
      <c r="AE183" s="4" t="str">
        <f t="shared" si="2"/>
        <v>EF1 E002 Port</v>
      </c>
    </row>
    <row r="184" spans="1:31" s="7" customFormat="1" ht="84.75" customHeight="1" x14ac:dyDescent="0.25">
      <c r="A184" s="12" t="s">
        <v>532</v>
      </c>
      <c r="B184" s="9" t="s">
        <v>37</v>
      </c>
      <c r="C184" s="9" t="s">
        <v>1</v>
      </c>
      <c r="D184" s="9" t="s">
        <v>25</v>
      </c>
      <c r="E184" s="11" t="s">
        <v>533</v>
      </c>
      <c r="F184" s="11">
        <v>2</v>
      </c>
      <c r="G184" s="11">
        <v>1</v>
      </c>
      <c r="H184" s="11"/>
      <c r="I184" s="12" t="s">
        <v>9</v>
      </c>
      <c r="J184" s="12"/>
      <c r="K184" s="11"/>
      <c r="L184" s="11"/>
      <c r="M184" s="12"/>
      <c r="N184" s="12"/>
      <c r="O184" s="32" t="s">
        <v>534</v>
      </c>
      <c r="P184" s="9"/>
      <c r="Q184" s="9"/>
      <c r="R184" s="11">
        <v>24</v>
      </c>
      <c r="S184" s="13">
        <v>45850</v>
      </c>
      <c r="T184" s="13">
        <v>45853</v>
      </c>
      <c r="U184" s="13">
        <v>45863</v>
      </c>
      <c r="V184" s="13">
        <v>45863</v>
      </c>
      <c r="W184" s="13">
        <v>45868</v>
      </c>
      <c r="X184" s="11" t="s">
        <v>281</v>
      </c>
      <c r="Y184" s="4" t="str">
        <f>IF(Tabela2[[#This Row],[SIGLA]]="","",VLOOKUP(Tabela2[[#This Row],[SIGLA]],Tabela1[[#All],[Sigla Arte]:[Crédito]],2,0))</f>
        <v>GUILHERME RODRIGUES/ARQUIVO DA EDITORA</v>
      </c>
      <c r="Z184" s="12"/>
      <c r="AA184" s="12" t="str">
        <f>Tabela2[[#This Row],[ILUSTRADOR CRIAÇÃO]]</f>
        <v>GUILHERME RODRIGUES/ARQUIVO DA EDITORA</v>
      </c>
      <c r="AB184" s="11">
        <v>6</v>
      </c>
      <c r="AC184" s="9" t="s">
        <v>514</v>
      </c>
      <c r="AD184" s="9" t="s">
        <v>22</v>
      </c>
      <c r="AE184" s="4" t="str">
        <f t="shared" si="2"/>
        <v>EF1 E002 Port</v>
      </c>
    </row>
    <row r="185" spans="1:31" s="7" customFormat="1" x14ac:dyDescent="0.25">
      <c r="A185" s="12" t="s">
        <v>535</v>
      </c>
      <c r="B185" s="9" t="s">
        <v>40</v>
      </c>
      <c r="C185" s="9" t="s">
        <v>1</v>
      </c>
      <c r="D185" s="9" t="s">
        <v>25</v>
      </c>
      <c r="E185" s="11">
        <v>27</v>
      </c>
      <c r="F185" s="11">
        <v>2</v>
      </c>
      <c r="G185" s="11">
        <v>1</v>
      </c>
      <c r="H185" s="11"/>
      <c r="I185" s="12" t="s">
        <v>9</v>
      </c>
      <c r="J185" s="12"/>
      <c r="K185" s="11"/>
      <c r="L185" s="11"/>
      <c r="M185" s="12"/>
      <c r="N185" s="12"/>
      <c r="O185" s="32" t="s">
        <v>536</v>
      </c>
      <c r="P185" s="9"/>
      <c r="Q185" s="9"/>
      <c r="R185" s="11">
        <v>24</v>
      </c>
      <c r="S185" s="13">
        <v>45850</v>
      </c>
      <c r="T185" s="13">
        <v>45853</v>
      </c>
      <c r="U185" s="13">
        <v>45863</v>
      </c>
      <c r="V185" s="13">
        <v>45863</v>
      </c>
      <c r="W185" s="13">
        <v>45868</v>
      </c>
      <c r="X185" s="11" t="s">
        <v>281</v>
      </c>
      <c r="Y185" s="4" t="str">
        <f>IF(Tabela2[[#This Row],[SIGLA]]="","",VLOOKUP(Tabela2[[#This Row],[SIGLA]],Tabela1[[#All],[Sigla Arte]:[Crédito]],2,0))</f>
        <v>GUILHERME RODRIGUES/ARQUIVO DA EDITORA</v>
      </c>
      <c r="Z185" s="12"/>
      <c r="AA185" s="12" t="str">
        <f>Tabela2[[#This Row],[ILUSTRADOR CRIAÇÃO]]</f>
        <v>GUILHERME RODRIGUES/ARQUIVO DA EDITORA</v>
      </c>
      <c r="AB185" s="11">
        <v>8</v>
      </c>
      <c r="AC185" s="9" t="s">
        <v>514</v>
      </c>
      <c r="AD185" s="9" t="s">
        <v>22</v>
      </c>
      <c r="AE185" s="4" t="str">
        <f t="shared" si="2"/>
        <v>EF1 E002 Port</v>
      </c>
    </row>
    <row r="186" spans="1:31" s="7" customFormat="1" ht="45" x14ac:dyDescent="0.25">
      <c r="A186" s="12" t="s">
        <v>537</v>
      </c>
      <c r="B186" s="9" t="s">
        <v>42</v>
      </c>
      <c r="C186" s="9" t="s">
        <v>1</v>
      </c>
      <c r="D186" s="9" t="s">
        <v>25</v>
      </c>
      <c r="E186" s="11">
        <v>32</v>
      </c>
      <c r="F186" s="11">
        <v>2</v>
      </c>
      <c r="G186" s="11">
        <v>1</v>
      </c>
      <c r="H186" s="11"/>
      <c r="I186" s="12" t="s">
        <v>9</v>
      </c>
      <c r="J186" s="12"/>
      <c r="K186" s="11"/>
      <c r="L186" s="11"/>
      <c r="M186" s="12"/>
      <c r="N186" s="12"/>
      <c r="O186" s="32" t="s">
        <v>538</v>
      </c>
      <c r="P186" s="9"/>
      <c r="Q186" s="9" t="s">
        <v>517</v>
      </c>
      <c r="R186" s="11">
        <v>24</v>
      </c>
      <c r="S186" s="13">
        <v>45850</v>
      </c>
      <c r="T186" s="13"/>
      <c r="U186" s="13"/>
      <c r="V186" s="13"/>
      <c r="W186" s="13"/>
      <c r="X186" s="11"/>
      <c r="Y186" s="4" t="str">
        <f>IF(Tabela2[[#This Row],[SIGLA]]="","",VLOOKUP(Tabela2[[#This Row],[SIGLA]],Tabela1[[#All],[Sigla Arte]:[Crédito]],2,0))</f>
        <v/>
      </c>
      <c r="Z186" s="12"/>
      <c r="AA186" s="12" t="str">
        <f>Tabela2[[#This Row],[ILUSTRADOR CRIAÇÃO]]</f>
        <v/>
      </c>
      <c r="AB186" s="11"/>
      <c r="AC186" s="9" t="s">
        <v>128</v>
      </c>
      <c r="AD186" s="9"/>
      <c r="AE186" s="4" t="str">
        <f t="shared" si="2"/>
        <v>EF1 E002 Port</v>
      </c>
    </row>
    <row r="187" spans="1:31" s="7" customFormat="1" ht="30" x14ac:dyDescent="0.25">
      <c r="A187" s="12" t="s">
        <v>539</v>
      </c>
      <c r="B187" s="9" t="s">
        <v>42</v>
      </c>
      <c r="C187" s="9" t="s">
        <v>1</v>
      </c>
      <c r="D187" s="9" t="s">
        <v>25</v>
      </c>
      <c r="E187" s="11">
        <v>32</v>
      </c>
      <c r="F187" s="11">
        <v>2</v>
      </c>
      <c r="G187" s="11">
        <v>1</v>
      </c>
      <c r="H187" s="11"/>
      <c r="I187" s="12" t="s">
        <v>9</v>
      </c>
      <c r="J187" s="12"/>
      <c r="K187" s="11"/>
      <c r="L187" s="11"/>
      <c r="M187" s="12"/>
      <c r="N187" s="12"/>
      <c r="O187" s="32" t="s">
        <v>540</v>
      </c>
      <c r="P187" s="9"/>
      <c r="Q187" s="9" t="s">
        <v>517</v>
      </c>
      <c r="R187" s="11">
        <v>24</v>
      </c>
      <c r="S187" s="13">
        <v>45850</v>
      </c>
      <c r="T187" s="13"/>
      <c r="U187" s="13"/>
      <c r="V187" s="13"/>
      <c r="W187" s="13"/>
      <c r="X187" s="11"/>
      <c r="Y187" s="4" t="str">
        <f>IF(Tabela2[[#This Row],[SIGLA]]="","",VLOOKUP(Tabela2[[#This Row],[SIGLA]],Tabela1[[#All],[Sigla Arte]:[Crédito]],2,0))</f>
        <v/>
      </c>
      <c r="Z187" s="12"/>
      <c r="AA187" s="12" t="str">
        <f>Tabela2[[#This Row],[ILUSTRADOR CRIAÇÃO]]</f>
        <v/>
      </c>
      <c r="AB187" s="11"/>
      <c r="AC187" s="9" t="s">
        <v>128</v>
      </c>
      <c r="AD187" s="9"/>
      <c r="AE187" s="4" t="str">
        <f t="shared" si="2"/>
        <v>EF1 E002 Port</v>
      </c>
    </row>
    <row r="188" spans="1:31" s="7" customFormat="1" ht="30" x14ac:dyDescent="0.25">
      <c r="A188" s="12" t="s">
        <v>541</v>
      </c>
      <c r="B188" s="9" t="s">
        <v>40</v>
      </c>
      <c r="C188" s="9" t="s">
        <v>1</v>
      </c>
      <c r="D188" s="9" t="s">
        <v>25</v>
      </c>
      <c r="E188" s="11">
        <v>30</v>
      </c>
      <c r="F188" s="11">
        <v>2</v>
      </c>
      <c r="G188" s="11">
        <v>1</v>
      </c>
      <c r="H188" s="11"/>
      <c r="I188" s="12" t="s">
        <v>9</v>
      </c>
      <c r="J188" s="12"/>
      <c r="K188" s="11"/>
      <c r="L188" s="11"/>
      <c r="M188" s="12"/>
      <c r="N188" s="12"/>
      <c r="O188" s="32" t="s">
        <v>542</v>
      </c>
      <c r="P188" s="9"/>
      <c r="Q188" s="9"/>
      <c r="R188" s="11">
        <v>24</v>
      </c>
      <c r="S188" s="13">
        <v>45850</v>
      </c>
      <c r="T188" s="13">
        <v>45852</v>
      </c>
      <c r="U188" s="13">
        <v>45855</v>
      </c>
      <c r="V188" s="13">
        <v>45856</v>
      </c>
      <c r="W188" s="13">
        <v>45862</v>
      </c>
      <c r="X188" s="11" t="s">
        <v>163</v>
      </c>
      <c r="Y188" s="4" t="str">
        <f>IF(Tabela2[[#This Row],[SIGLA]]="","",VLOOKUP(Tabela2[[#This Row],[SIGLA]],Tabela1[[#All],[Sigla Arte]:[Crédito]],2,0))</f>
        <v>FERNANDA MONTEIRO/ARQUIVO DA EDITORA</v>
      </c>
      <c r="Z188" s="12"/>
      <c r="AA188" s="12" t="str">
        <f>Tabela2[[#This Row],[ILUSTRADOR CRIAÇÃO]]</f>
        <v>FERNANDA MONTEIRO/ARQUIVO DA EDITORA</v>
      </c>
      <c r="AB188" s="11">
        <v>7</v>
      </c>
      <c r="AC188" s="9" t="s">
        <v>543</v>
      </c>
      <c r="AD188" s="9" t="s">
        <v>22</v>
      </c>
      <c r="AE188" s="4" t="str">
        <f t="shared" si="2"/>
        <v>EF1 E002 Port</v>
      </c>
    </row>
    <row r="189" spans="1:31" s="7" customFormat="1" x14ac:dyDescent="0.25">
      <c r="A189" s="12" t="s">
        <v>544</v>
      </c>
      <c r="B189" s="9" t="s">
        <v>40</v>
      </c>
      <c r="C189" s="9" t="s">
        <v>1</v>
      </c>
      <c r="D189" s="9" t="s">
        <v>25</v>
      </c>
      <c r="E189" s="11">
        <v>30</v>
      </c>
      <c r="F189" s="11">
        <v>2</v>
      </c>
      <c r="G189" s="11">
        <v>1</v>
      </c>
      <c r="H189" s="11"/>
      <c r="I189" s="12" t="s">
        <v>9</v>
      </c>
      <c r="J189" s="12"/>
      <c r="K189" s="11"/>
      <c r="L189" s="11"/>
      <c r="M189" s="12"/>
      <c r="N189" s="12"/>
      <c r="O189" s="32" t="s">
        <v>545</v>
      </c>
      <c r="P189" s="9"/>
      <c r="Q189" s="9"/>
      <c r="R189" s="11">
        <v>24</v>
      </c>
      <c r="S189" s="13">
        <v>45850</v>
      </c>
      <c r="T189" s="13">
        <v>45852</v>
      </c>
      <c r="U189" s="13">
        <v>45855</v>
      </c>
      <c r="V189" s="13">
        <v>45856</v>
      </c>
      <c r="W189" s="13">
        <v>45862</v>
      </c>
      <c r="X189" s="11" t="s">
        <v>163</v>
      </c>
      <c r="Y189" s="4" t="str">
        <f>IF(Tabela2[[#This Row],[SIGLA]]="","",VLOOKUP(Tabela2[[#This Row],[SIGLA]],Tabela1[[#All],[Sigla Arte]:[Crédito]],2,0))</f>
        <v>FERNANDA MONTEIRO/ARQUIVO DA EDITORA</v>
      </c>
      <c r="Z189" s="12"/>
      <c r="AA189" s="12" t="str">
        <f>Tabela2[[#This Row],[ILUSTRADOR CRIAÇÃO]]</f>
        <v>FERNANDA MONTEIRO/ARQUIVO DA EDITORA</v>
      </c>
      <c r="AB189" s="11">
        <v>7</v>
      </c>
      <c r="AC189" s="9" t="s">
        <v>543</v>
      </c>
      <c r="AD189" s="9" t="s">
        <v>22</v>
      </c>
      <c r="AE189" s="4" t="str">
        <f t="shared" si="2"/>
        <v>EF1 E002 Port</v>
      </c>
    </row>
    <row r="190" spans="1:31" s="7" customFormat="1" x14ac:dyDescent="0.25">
      <c r="A190" s="12" t="s">
        <v>546</v>
      </c>
      <c r="B190" s="9" t="s">
        <v>40</v>
      </c>
      <c r="C190" s="9" t="s">
        <v>1</v>
      </c>
      <c r="D190" s="9" t="s">
        <v>25</v>
      </c>
      <c r="E190" s="11">
        <v>30</v>
      </c>
      <c r="F190" s="11">
        <v>2</v>
      </c>
      <c r="G190" s="11">
        <v>1</v>
      </c>
      <c r="H190" s="11"/>
      <c r="I190" s="12" t="s">
        <v>9</v>
      </c>
      <c r="J190" s="12"/>
      <c r="K190" s="11"/>
      <c r="L190" s="11"/>
      <c r="M190" s="12"/>
      <c r="N190" s="12"/>
      <c r="O190" s="32" t="s">
        <v>547</v>
      </c>
      <c r="P190" s="9"/>
      <c r="Q190" s="9"/>
      <c r="R190" s="11">
        <v>24</v>
      </c>
      <c r="S190" s="13">
        <v>45850</v>
      </c>
      <c r="T190" s="13">
        <v>45852</v>
      </c>
      <c r="U190" s="13">
        <v>45855</v>
      </c>
      <c r="V190" s="13">
        <v>45856</v>
      </c>
      <c r="W190" s="13">
        <v>45862</v>
      </c>
      <c r="X190" s="11" t="s">
        <v>163</v>
      </c>
      <c r="Y190" s="4" t="str">
        <f>IF(Tabela2[[#This Row],[SIGLA]]="","",VLOOKUP(Tabela2[[#This Row],[SIGLA]],Tabela1[[#All],[Sigla Arte]:[Crédito]],2,0))</f>
        <v>FERNANDA MONTEIRO/ARQUIVO DA EDITORA</v>
      </c>
      <c r="Z190" s="12"/>
      <c r="AA190" s="12" t="str">
        <f>Tabela2[[#This Row],[ILUSTRADOR CRIAÇÃO]]</f>
        <v>FERNANDA MONTEIRO/ARQUIVO DA EDITORA</v>
      </c>
      <c r="AB190" s="11">
        <v>7</v>
      </c>
      <c r="AC190" s="9" t="s">
        <v>543</v>
      </c>
      <c r="AD190" s="9" t="s">
        <v>22</v>
      </c>
      <c r="AE190" s="4" t="str">
        <f t="shared" si="2"/>
        <v>EF1 E002 Port</v>
      </c>
    </row>
    <row r="191" spans="1:31" s="7" customFormat="1" x14ac:dyDescent="0.25">
      <c r="A191" s="12" t="s">
        <v>548</v>
      </c>
      <c r="B191" s="9" t="s">
        <v>40</v>
      </c>
      <c r="C191" s="9" t="s">
        <v>1</v>
      </c>
      <c r="D191" s="9" t="s">
        <v>25</v>
      </c>
      <c r="E191" s="11">
        <v>30</v>
      </c>
      <c r="F191" s="11">
        <v>2</v>
      </c>
      <c r="G191" s="11">
        <v>1</v>
      </c>
      <c r="H191" s="11"/>
      <c r="I191" s="12" t="s">
        <v>9</v>
      </c>
      <c r="J191" s="12"/>
      <c r="K191" s="11"/>
      <c r="L191" s="11"/>
      <c r="M191" s="12"/>
      <c r="N191" s="12"/>
      <c r="O191" s="32" t="s">
        <v>549</v>
      </c>
      <c r="P191" s="9"/>
      <c r="Q191" s="9"/>
      <c r="R191" s="11">
        <v>24</v>
      </c>
      <c r="S191" s="13">
        <v>45850</v>
      </c>
      <c r="T191" s="13">
        <v>45852</v>
      </c>
      <c r="U191" s="13">
        <v>45855</v>
      </c>
      <c r="V191" s="13">
        <v>45856</v>
      </c>
      <c r="W191" s="13">
        <v>45862</v>
      </c>
      <c r="X191" s="11" t="s">
        <v>163</v>
      </c>
      <c r="Y191" s="4" t="str">
        <f>IF(Tabela2[[#This Row],[SIGLA]]="","",VLOOKUP(Tabela2[[#This Row],[SIGLA]],Tabela1[[#All],[Sigla Arte]:[Crédito]],2,0))</f>
        <v>FERNANDA MONTEIRO/ARQUIVO DA EDITORA</v>
      </c>
      <c r="Z191" s="12"/>
      <c r="AA191" s="12" t="str">
        <f>Tabela2[[#This Row],[ILUSTRADOR CRIAÇÃO]]</f>
        <v>FERNANDA MONTEIRO/ARQUIVO DA EDITORA</v>
      </c>
      <c r="AB191" s="11">
        <v>7</v>
      </c>
      <c r="AC191" s="9" t="s">
        <v>543</v>
      </c>
      <c r="AD191" s="9" t="s">
        <v>22</v>
      </c>
      <c r="AE191" s="4" t="str">
        <f t="shared" si="2"/>
        <v>EF1 E002 Port</v>
      </c>
    </row>
    <row r="192" spans="1:31" s="7" customFormat="1" ht="30" x14ac:dyDescent="0.25">
      <c r="A192" s="12" t="s">
        <v>550</v>
      </c>
      <c r="B192" s="9" t="s">
        <v>40</v>
      </c>
      <c r="C192" s="9" t="s">
        <v>1</v>
      </c>
      <c r="D192" s="9" t="s">
        <v>25</v>
      </c>
      <c r="E192" s="11">
        <v>31</v>
      </c>
      <c r="F192" s="11">
        <v>2</v>
      </c>
      <c r="G192" s="11">
        <v>1</v>
      </c>
      <c r="H192" s="11"/>
      <c r="I192" s="12" t="s">
        <v>9</v>
      </c>
      <c r="J192" s="12"/>
      <c r="K192" s="11"/>
      <c r="L192" s="11"/>
      <c r="M192" s="12"/>
      <c r="N192" s="12"/>
      <c r="O192" s="32" t="s">
        <v>551</v>
      </c>
      <c r="P192" s="9"/>
      <c r="Q192" s="9"/>
      <c r="R192" s="11">
        <v>24</v>
      </c>
      <c r="S192" s="13">
        <v>45850</v>
      </c>
      <c r="T192" s="13">
        <v>45852</v>
      </c>
      <c r="U192" s="13">
        <v>45855</v>
      </c>
      <c r="V192" s="13">
        <v>45856</v>
      </c>
      <c r="W192" s="13">
        <v>45862</v>
      </c>
      <c r="X192" s="11" t="s">
        <v>163</v>
      </c>
      <c r="Y192" s="4" t="str">
        <f>IF(Tabela2[[#This Row],[SIGLA]]="","",VLOOKUP(Tabela2[[#This Row],[SIGLA]],Tabela1[[#All],[Sigla Arte]:[Crédito]],2,0))</f>
        <v>FERNANDA MONTEIRO/ARQUIVO DA EDITORA</v>
      </c>
      <c r="Z192" s="12"/>
      <c r="AA192" s="12" t="str">
        <f>Tabela2[[#This Row],[ILUSTRADOR CRIAÇÃO]]</f>
        <v>FERNANDA MONTEIRO/ARQUIVO DA EDITORA</v>
      </c>
      <c r="AB192" s="11">
        <v>7</v>
      </c>
      <c r="AC192" s="9" t="s">
        <v>543</v>
      </c>
      <c r="AD192" s="9" t="s">
        <v>22</v>
      </c>
      <c r="AE192" s="4" t="str">
        <f t="shared" si="2"/>
        <v>EF1 E002 Port</v>
      </c>
    </row>
    <row r="193" spans="1:31" s="7" customFormat="1" x14ac:dyDescent="0.25">
      <c r="A193" s="12" t="s">
        <v>552</v>
      </c>
      <c r="B193" s="9" t="s">
        <v>40</v>
      </c>
      <c r="C193" s="9" t="s">
        <v>1</v>
      </c>
      <c r="D193" s="9" t="s">
        <v>25</v>
      </c>
      <c r="E193" s="11">
        <v>31</v>
      </c>
      <c r="F193" s="11">
        <v>2</v>
      </c>
      <c r="G193" s="11">
        <v>1</v>
      </c>
      <c r="H193" s="11"/>
      <c r="I193" s="12" t="s">
        <v>9</v>
      </c>
      <c r="J193" s="12"/>
      <c r="K193" s="11"/>
      <c r="L193" s="11"/>
      <c r="M193" s="12"/>
      <c r="N193" s="12"/>
      <c r="O193" s="32" t="s">
        <v>553</v>
      </c>
      <c r="P193" s="9"/>
      <c r="Q193" s="9"/>
      <c r="R193" s="11">
        <v>24</v>
      </c>
      <c r="S193" s="13">
        <v>45850</v>
      </c>
      <c r="T193" s="13">
        <v>45852</v>
      </c>
      <c r="U193" s="13">
        <v>45855</v>
      </c>
      <c r="V193" s="13">
        <v>45856</v>
      </c>
      <c r="W193" s="13">
        <v>45862</v>
      </c>
      <c r="X193" s="11" t="s">
        <v>163</v>
      </c>
      <c r="Y193" s="4" t="str">
        <f>IF(Tabela2[[#This Row],[SIGLA]]="","",VLOOKUP(Tabela2[[#This Row],[SIGLA]],Tabela1[[#All],[Sigla Arte]:[Crédito]],2,0))</f>
        <v>FERNANDA MONTEIRO/ARQUIVO DA EDITORA</v>
      </c>
      <c r="Z193" s="12"/>
      <c r="AA193" s="12" t="str">
        <f>Tabela2[[#This Row],[ILUSTRADOR CRIAÇÃO]]</f>
        <v>FERNANDA MONTEIRO/ARQUIVO DA EDITORA</v>
      </c>
      <c r="AB193" s="11">
        <v>7</v>
      </c>
      <c r="AC193" s="9" t="s">
        <v>543</v>
      </c>
      <c r="AD193" s="9" t="s">
        <v>22</v>
      </c>
      <c r="AE193" s="4" t="str">
        <f t="shared" si="2"/>
        <v>EF1 E002 Port</v>
      </c>
    </row>
    <row r="194" spans="1:31" s="7" customFormat="1" ht="45" x14ac:dyDescent="0.25">
      <c r="A194" s="12" t="s">
        <v>554</v>
      </c>
      <c r="B194" s="9" t="s">
        <v>40</v>
      </c>
      <c r="C194" s="9" t="s">
        <v>1</v>
      </c>
      <c r="D194" s="9" t="s">
        <v>25</v>
      </c>
      <c r="E194" s="11">
        <v>31</v>
      </c>
      <c r="F194" s="11">
        <v>2</v>
      </c>
      <c r="G194" s="11">
        <v>1</v>
      </c>
      <c r="H194" s="11"/>
      <c r="I194" s="12" t="s">
        <v>9</v>
      </c>
      <c r="J194" s="12"/>
      <c r="K194" s="11"/>
      <c r="L194" s="11"/>
      <c r="M194" s="12"/>
      <c r="N194" s="12"/>
      <c r="O194" s="32" t="s">
        <v>555</v>
      </c>
      <c r="P194" s="9"/>
      <c r="Q194" s="9"/>
      <c r="R194" s="11">
        <v>24</v>
      </c>
      <c r="S194" s="13">
        <v>45850</v>
      </c>
      <c r="T194" s="13">
        <v>45852</v>
      </c>
      <c r="U194" s="13">
        <v>45855</v>
      </c>
      <c r="V194" s="13">
        <v>45856</v>
      </c>
      <c r="W194" s="13">
        <v>45862</v>
      </c>
      <c r="X194" s="11" t="s">
        <v>163</v>
      </c>
      <c r="Y194" s="4" t="str">
        <f>IF(Tabela2[[#This Row],[SIGLA]]="","",VLOOKUP(Tabela2[[#This Row],[SIGLA]],Tabela1[[#All],[Sigla Arte]:[Crédito]],2,0))</f>
        <v>FERNANDA MONTEIRO/ARQUIVO DA EDITORA</v>
      </c>
      <c r="Z194" s="12"/>
      <c r="AA194" s="12" t="str">
        <f>Tabela2[[#This Row],[ILUSTRADOR CRIAÇÃO]]</f>
        <v>FERNANDA MONTEIRO/ARQUIVO DA EDITORA</v>
      </c>
      <c r="AB194" s="11">
        <v>7</v>
      </c>
      <c r="AC194" s="9" t="s">
        <v>543</v>
      </c>
      <c r="AD194" s="9" t="s">
        <v>22</v>
      </c>
      <c r="AE194" s="4" t="str">
        <f t="shared" ref="AE194:AE257" si="3">"EF1 E002 Port"</f>
        <v>EF1 E002 Port</v>
      </c>
    </row>
    <row r="195" spans="1:31" s="7" customFormat="1" ht="60" x14ac:dyDescent="0.25">
      <c r="A195" s="12" t="s">
        <v>556</v>
      </c>
      <c r="B195" s="9" t="s">
        <v>40</v>
      </c>
      <c r="C195" s="9" t="s">
        <v>1</v>
      </c>
      <c r="D195" s="9" t="s">
        <v>25</v>
      </c>
      <c r="E195" s="11">
        <v>33</v>
      </c>
      <c r="F195" s="11">
        <v>2</v>
      </c>
      <c r="G195" s="11">
        <v>1</v>
      </c>
      <c r="H195" s="11"/>
      <c r="I195" s="12" t="s">
        <v>9</v>
      </c>
      <c r="J195" s="12"/>
      <c r="K195" s="11"/>
      <c r="L195" s="11"/>
      <c r="M195" s="12"/>
      <c r="N195" s="12"/>
      <c r="O195" s="32" t="s">
        <v>557</v>
      </c>
      <c r="P195" s="9"/>
      <c r="Q195" s="9"/>
      <c r="R195" s="11">
        <v>24</v>
      </c>
      <c r="S195" s="13">
        <v>45850</v>
      </c>
      <c r="T195" s="13">
        <v>45853</v>
      </c>
      <c r="U195" s="13">
        <v>45863</v>
      </c>
      <c r="V195" s="13">
        <v>45863</v>
      </c>
      <c r="W195" s="13">
        <v>45868</v>
      </c>
      <c r="X195" s="11" t="s">
        <v>281</v>
      </c>
      <c r="Y195" s="4" t="str">
        <f>IF(Tabela2[[#This Row],[SIGLA]]="","",VLOOKUP(Tabela2[[#This Row],[SIGLA]],Tabela1[[#All],[Sigla Arte]:[Crédito]],2,0))</f>
        <v>GUILHERME RODRIGUES/ARQUIVO DA EDITORA</v>
      </c>
      <c r="Z195" s="12"/>
      <c r="AA195" s="12" t="str">
        <f>Tabela2[[#This Row],[ILUSTRADOR CRIAÇÃO]]</f>
        <v>GUILHERME RODRIGUES/ARQUIVO DA EDITORA</v>
      </c>
      <c r="AB195" s="11">
        <v>7</v>
      </c>
      <c r="AC195" s="9" t="s">
        <v>514</v>
      </c>
      <c r="AD195" s="9" t="s">
        <v>22</v>
      </c>
      <c r="AE195" s="4" t="str">
        <f t="shared" si="3"/>
        <v>EF1 E002 Port</v>
      </c>
    </row>
    <row r="196" spans="1:31" s="7" customFormat="1" ht="75" x14ac:dyDescent="0.25">
      <c r="A196" s="12" t="s">
        <v>558</v>
      </c>
      <c r="B196" s="9" t="s">
        <v>42</v>
      </c>
      <c r="C196" s="9" t="s">
        <v>1</v>
      </c>
      <c r="D196" s="9" t="s">
        <v>25</v>
      </c>
      <c r="E196" s="11">
        <v>38</v>
      </c>
      <c r="F196" s="11">
        <v>2</v>
      </c>
      <c r="G196" s="11">
        <v>1</v>
      </c>
      <c r="H196" s="11"/>
      <c r="I196" s="12" t="s">
        <v>9</v>
      </c>
      <c r="J196" s="12"/>
      <c r="K196" s="11"/>
      <c r="L196" s="11"/>
      <c r="M196" s="12"/>
      <c r="N196" s="12"/>
      <c r="O196" s="32" t="s">
        <v>559</v>
      </c>
      <c r="P196" s="9"/>
      <c r="Q196" s="9" t="s">
        <v>560</v>
      </c>
      <c r="R196" s="11">
        <v>24</v>
      </c>
      <c r="S196" s="13">
        <v>45850</v>
      </c>
      <c r="T196" s="13"/>
      <c r="U196" s="13"/>
      <c r="V196" s="13"/>
      <c r="W196" s="13"/>
      <c r="X196" s="11"/>
      <c r="Y196" s="4" t="str">
        <f>IF(Tabela2[[#This Row],[SIGLA]]="","",VLOOKUP(Tabela2[[#This Row],[SIGLA]],Tabela1[[#All],[Sigla Arte]:[Crédito]],2,0))</f>
        <v/>
      </c>
      <c r="Z196" s="12"/>
      <c r="AA196" s="12" t="str">
        <f>Tabela2[[#This Row],[ILUSTRADOR CRIAÇÃO]]</f>
        <v/>
      </c>
      <c r="AB196" s="11"/>
      <c r="AC196" s="9" t="s">
        <v>531</v>
      </c>
      <c r="AD196" s="9"/>
      <c r="AE196" s="4" t="str">
        <f t="shared" si="3"/>
        <v>EF1 E002 Port</v>
      </c>
    </row>
    <row r="197" spans="1:31" s="7" customFormat="1" ht="153.75" customHeight="1" x14ac:dyDescent="0.25">
      <c r="A197" s="12" t="s">
        <v>561</v>
      </c>
      <c r="B197" s="9" t="s">
        <v>42</v>
      </c>
      <c r="C197" s="9" t="s">
        <v>1</v>
      </c>
      <c r="D197" s="9" t="s">
        <v>25</v>
      </c>
      <c r="E197" s="11">
        <v>41</v>
      </c>
      <c r="F197" s="11">
        <v>2</v>
      </c>
      <c r="G197" s="11">
        <v>1</v>
      </c>
      <c r="H197" s="11"/>
      <c r="I197" s="12" t="s">
        <v>9</v>
      </c>
      <c r="J197" s="12"/>
      <c r="K197" s="11"/>
      <c r="L197" s="11"/>
      <c r="M197" s="12"/>
      <c r="N197" s="12"/>
      <c r="O197" s="32" t="s">
        <v>562</v>
      </c>
      <c r="P197" s="9"/>
      <c r="Q197" s="9"/>
      <c r="R197" s="11">
        <v>24</v>
      </c>
      <c r="S197" s="13">
        <v>45850</v>
      </c>
      <c r="T197" s="13">
        <v>45853</v>
      </c>
      <c r="U197" s="13">
        <v>45863</v>
      </c>
      <c r="V197" s="13">
        <v>45863</v>
      </c>
      <c r="W197" s="13">
        <v>45868</v>
      </c>
      <c r="X197" s="11" t="s">
        <v>281</v>
      </c>
      <c r="Y197" s="4" t="str">
        <f>IF(Tabela2[[#This Row],[SIGLA]]="","",VLOOKUP(Tabela2[[#This Row],[SIGLA]],Tabela1[[#All],[Sigla Arte]:[Crédito]],2,0))</f>
        <v>GUILHERME RODRIGUES/ARQUIVO DA EDITORA</v>
      </c>
      <c r="Z197" s="12"/>
      <c r="AA197" s="12" t="str">
        <f>Tabela2[[#This Row],[ILUSTRADOR CRIAÇÃO]]</f>
        <v>GUILHERME RODRIGUES/ARQUIVO DA EDITORA</v>
      </c>
      <c r="AB197" s="11">
        <v>5</v>
      </c>
      <c r="AC197" s="9" t="s">
        <v>514</v>
      </c>
      <c r="AD197" s="9" t="s">
        <v>22</v>
      </c>
      <c r="AE197" s="4" t="str">
        <f t="shared" si="3"/>
        <v>EF1 E002 Port</v>
      </c>
    </row>
    <row r="198" spans="1:31" s="7" customFormat="1" ht="30" x14ac:dyDescent="0.25">
      <c r="A198" s="12" t="s">
        <v>563</v>
      </c>
      <c r="B198" s="9" t="s">
        <v>40</v>
      </c>
      <c r="C198" s="9" t="s">
        <v>1</v>
      </c>
      <c r="D198" s="9" t="s">
        <v>25</v>
      </c>
      <c r="E198" s="11">
        <v>38</v>
      </c>
      <c r="F198" s="11">
        <v>2</v>
      </c>
      <c r="G198" s="11">
        <v>1</v>
      </c>
      <c r="H198" s="11"/>
      <c r="I198" s="12" t="s">
        <v>9</v>
      </c>
      <c r="J198" s="12"/>
      <c r="K198" s="11"/>
      <c r="L198" s="11"/>
      <c r="M198" s="12"/>
      <c r="N198" s="12"/>
      <c r="O198" s="32" t="s">
        <v>564</v>
      </c>
      <c r="P198" s="9"/>
      <c r="Q198" s="9"/>
      <c r="R198" s="11">
        <v>24</v>
      </c>
      <c r="S198" s="13">
        <v>45850</v>
      </c>
      <c r="T198" s="13">
        <v>45852</v>
      </c>
      <c r="U198" s="13">
        <v>45856</v>
      </c>
      <c r="V198" s="13">
        <v>45859</v>
      </c>
      <c r="W198" s="13">
        <v>45861</v>
      </c>
      <c r="X198" s="11" t="s">
        <v>491</v>
      </c>
      <c r="Y198" s="4" t="str">
        <f>IF(Tabela2[[#This Row],[SIGLA]]="","",VLOOKUP(Tabela2[[#This Row],[SIGLA]],Tabela1[[#All],[Sigla Arte]:[Crédito]],2,0))</f>
        <v>ANA KOZUKI/ARQUIVO DA EDITORA</v>
      </c>
      <c r="Z198" s="12"/>
      <c r="AA198" s="12" t="str">
        <f>Tabela2[[#This Row],[ILUSTRADOR CRIAÇÃO]]</f>
        <v>ANA KOZUKI/ARQUIVO DA EDITORA</v>
      </c>
      <c r="AB198" s="11">
        <v>7</v>
      </c>
      <c r="AC198" s="9" t="s">
        <v>565</v>
      </c>
      <c r="AD198" s="9" t="s">
        <v>22</v>
      </c>
      <c r="AE198" s="4" t="str">
        <f t="shared" si="3"/>
        <v>EF1 E002 Port</v>
      </c>
    </row>
    <row r="199" spans="1:31" s="7" customFormat="1" ht="30" x14ac:dyDescent="0.25">
      <c r="A199" s="12" t="s">
        <v>566</v>
      </c>
      <c r="B199" s="9" t="s">
        <v>40</v>
      </c>
      <c r="C199" s="9" t="s">
        <v>1</v>
      </c>
      <c r="D199" s="9" t="s">
        <v>25</v>
      </c>
      <c r="E199" s="11">
        <v>39</v>
      </c>
      <c r="F199" s="11">
        <v>2</v>
      </c>
      <c r="G199" s="11">
        <v>1</v>
      </c>
      <c r="H199" s="11"/>
      <c r="I199" s="12" t="s">
        <v>9</v>
      </c>
      <c r="J199" s="12"/>
      <c r="K199" s="11"/>
      <c r="L199" s="11"/>
      <c r="M199" s="12"/>
      <c r="N199" s="12"/>
      <c r="O199" s="32" t="s">
        <v>567</v>
      </c>
      <c r="P199" s="9"/>
      <c r="Q199" s="9"/>
      <c r="R199" s="11">
        <v>24</v>
      </c>
      <c r="S199" s="13">
        <v>45850</v>
      </c>
      <c r="T199" s="13">
        <v>45852</v>
      </c>
      <c r="U199" s="13">
        <v>45856</v>
      </c>
      <c r="V199" s="13">
        <v>45859</v>
      </c>
      <c r="W199" s="13">
        <v>45861</v>
      </c>
      <c r="X199" s="11" t="s">
        <v>491</v>
      </c>
      <c r="Y199" s="4" t="str">
        <f>IF(Tabela2[[#This Row],[SIGLA]]="","",VLOOKUP(Tabela2[[#This Row],[SIGLA]],Tabela1[[#All],[Sigla Arte]:[Crédito]],2,0))</f>
        <v>ANA KOZUKI/ARQUIVO DA EDITORA</v>
      </c>
      <c r="Z199" s="12"/>
      <c r="AA199" s="12" t="str">
        <f>Tabela2[[#This Row],[ILUSTRADOR CRIAÇÃO]]</f>
        <v>ANA KOZUKI/ARQUIVO DA EDITORA</v>
      </c>
      <c r="AB199" s="11">
        <v>6</v>
      </c>
      <c r="AC199" s="9" t="s">
        <v>565</v>
      </c>
      <c r="AD199" s="9" t="s">
        <v>22</v>
      </c>
      <c r="AE199" s="4" t="str">
        <f t="shared" si="3"/>
        <v>EF1 E002 Port</v>
      </c>
    </row>
    <row r="200" spans="1:31" s="7" customFormat="1" ht="30" x14ac:dyDescent="0.25">
      <c r="A200" s="12" t="s">
        <v>568</v>
      </c>
      <c r="B200" s="9" t="s">
        <v>40</v>
      </c>
      <c r="C200" s="9" t="s">
        <v>1</v>
      </c>
      <c r="D200" s="9" t="s">
        <v>25</v>
      </c>
      <c r="E200" s="11">
        <v>40</v>
      </c>
      <c r="F200" s="11">
        <v>2</v>
      </c>
      <c r="G200" s="11">
        <v>1</v>
      </c>
      <c r="H200" s="11"/>
      <c r="I200" s="12" t="s">
        <v>9</v>
      </c>
      <c r="J200" s="12"/>
      <c r="K200" s="11"/>
      <c r="L200" s="11"/>
      <c r="M200" s="12"/>
      <c r="N200" s="12"/>
      <c r="O200" s="32" t="s">
        <v>569</v>
      </c>
      <c r="P200" s="9"/>
      <c r="Q200" s="9"/>
      <c r="R200" s="11">
        <v>24</v>
      </c>
      <c r="S200" s="13">
        <v>45850</v>
      </c>
      <c r="T200" s="13">
        <v>45852</v>
      </c>
      <c r="U200" s="13">
        <v>45856</v>
      </c>
      <c r="V200" s="13">
        <v>45859</v>
      </c>
      <c r="W200" s="13">
        <v>45861</v>
      </c>
      <c r="X200" s="11" t="s">
        <v>491</v>
      </c>
      <c r="Y200" s="4" t="str">
        <f>IF(Tabela2[[#This Row],[SIGLA]]="","",VLOOKUP(Tabela2[[#This Row],[SIGLA]],Tabela1[[#All],[Sigla Arte]:[Crédito]],2,0))</f>
        <v>ANA KOZUKI/ARQUIVO DA EDITORA</v>
      </c>
      <c r="Z200" s="12"/>
      <c r="AA200" s="12" t="str">
        <f>Tabela2[[#This Row],[ILUSTRADOR CRIAÇÃO]]</f>
        <v>ANA KOZUKI/ARQUIVO DA EDITORA</v>
      </c>
      <c r="AB200" s="11">
        <v>7</v>
      </c>
      <c r="AC200" s="9" t="s">
        <v>565</v>
      </c>
      <c r="AD200" s="9" t="s">
        <v>22</v>
      </c>
      <c r="AE200" s="4" t="str">
        <f t="shared" si="3"/>
        <v>EF1 E002 Port</v>
      </c>
    </row>
    <row r="201" spans="1:31" s="7" customFormat="1" x14ac:dyDescent="0.25">
      <c r="A201" s="12" t="s">
        <v>570</v>
      </c>
      <c r="B201" s="9" t="s">
        <v>40</v>
      </c>
      <c r="C201" s="9" t="s">
        <v>1</v>
      </c>
      <c r="D201" s="9" t="s">
        <v>25</v>
      </c>
      <c r="E201" s="11">
        <v>41</v>
      </c>
      <c r="F201" s="11">
        <v>2</v>
      </c>
      <c r="G201" s="11">
        <v>1</v>
      </c>
      <c r="H201" s="11"/>
      <c r="I201" s="12" t="s">
        <v>9</v>
      </c>
      <c r="J201" s="12"/>
      <c r="K201" s="11"/>
      <c r="L201" s="11"/>
      <c r="M201" s="12"/>
      <c r="N201" s="12"/>
      <c r="O201" s="32" t="s">
        <v>571</v>
      </c>
      <c r="P201" s="9"/>
      <c r="Q201" s="9"/>
      <c r="R201" s="11">
        <v>24</v>
      </c>
      <c r="S201" s="13">
        <v>45850</v>
      </c>
      <c r="T201" s="13">
        <v>45852</v>
      </c>
      <c r="U201" s="13">
        <v>45856</v>
      </c>
      <c r="V201" s="13">
        <v>45859</v>
      </c>
      <c r="W201" s="13">
        <v>45861</v>
      </c>
      <c r="X201" s="11" t="s">
        <v>491</v>
      </c>
      <c r="Y201" s="4" t="str">
        <f>IF(Tabela2[[#This Row],[SIGLA]]="","",VLOOKUP(Tabela2[[#This Row],[SIGLA]],Tabela1[[#All],[Sigla Arte]:[Crédito]],2,0))</f>
        <v>ANA KOZUKI/ARQUIVO DA EDITORA</v>
      </c>
      <c r="Z201" s="12"/>
      <c r="AA201" s="12" t="str">
        <f>Tabela2[[#This Row],[ILUSTRADOR CRIAÇÃO]]</f>
        <v>ANA KOZUKI/ARQUIVO DA EDITORA</v>
      </c>
      <c r="AB201" s="11">
        <v>7</v>
      </c>
      <c r="AC201" s="9" t="s">
        <v>565</v>
      </c>
      <c r="AD201" s="9" t="s">
        <v>22</v>
      </c>
      <c r="AE201" s="4" t="str">
        <f t="shared" si="3"/>
        <v>EF1 E002 Port</v>
      </c>
    </row>
    <row r="202" spans="1:31" s="7" customFormat="1" ht="30" x14ac:dyDescent="0.25">
      <c r="A202" s="12" t="s">
        <v>572</v>
      </c>
      <c r="B202" s="9" t="s">
        <v>42</v>
      </c>
      <c r="C202" s="9" t="s">
        <v>1</v>
      </c>
      <c r="D202" s="9" t="s">
        <v>25</v>
      </c>
      <c r="E202" s="11">
        <v>48</v>
      </c>
      <c r="F202" s="11">
        <v>2</v>
      </c>
      <c r="G202" s="11">
        <v>1</v>
      </c>
      <c r="H202" s="11"/>
      <c r="I202" s="12" t="s">
        <v>9</v>
      </c>
      <c r="J202" s="12"/>
      <c r="K202" s="11"/>
      <c r="L202" s="11"/>
      <c r="M202" s="12"/>
      <c r="N202" s="12"/>
      <c r="O202" s="32" t="s">
        <v>573</v>
      </c>
      <c r="P202" s="9"/>
      <c r="Q202" s="9"/>
      <c r="R202" s="11">
        <v>24</v>
      </c>
      <c r="S202" s="13">
        <v>45850</v>
      </c>
      <c r="T202" s="13"/>
      <c r="U202" s="13"/>
      <c r="V202" s="13"/>
      <c r="W202" s="13"/>
      <c r="X202" s="11"/>
      <c r="Y202" s="4" t="str">
        <f>IF(Tabela2[[#This Row],[SIGLA]]="","",VLOOKUP(Tabela2[[#This Row],[SIGLA]],Tabela1[[#All],[Sigla Arte]:[Crédito]],2,0))</f>
        <v/>
      </c>
      <c r="Z202" s="12"/>
      <c r="AA202" s="12" t="str">
        <f>Tabela2[[#This Row],[ILUSTRADOR CRIAÇÃO]]</f>
        <v/>
      </c>
      <c r="AB202" s="11"/>
      <c r="AC202" s="9" t="s">
        <v>128</v>
      </c>
      <c r="AD202" s="9"/>
      <c r="AE202" s="4" t="str">
        <f t="shared" si="3"/>
        <v>EF1 E002 Port</v>
      </c>
    </row>
    <row r="203" spans="1:31" s="7" customFormat="1" ht="45" x14ac:dyDescent="0.25">
      <c r="A203" s="12" t="s">
        <v>574</v>
      </c>
      <c r="B203" s="9" t="s">
        <v>40</v>
      </c>
      <c r="C203" s="9" t="s">
        <v>1</v>
      </c>
      <c r="D203" s="9" t="s">
        <v>25</v>
      </c>
      <c r="E203" s="11">
        <v>45</v>
      </c>
      <c r="F203" s="11">
        <v>2</v>
      </c>
      <c r="G203" s="11">
        <v>1</v>
      </c>
      <c r="H203" s="11"/>
      <c r="I203" s="12" t="s">
        <v>9</v>
      </c>
      <c r="J203" s="12"/>
      <c r="K203" s="11"/>
      <c r="L203" s="11"/>
      <c r="M203" s="12"/>
      <c r="N203" s="12"/>
      <c r="O203" s="32" t="s">
        <v>575</v>
      </c>
      <c r="P203" s="9"/>
      <c r="Q203" s="9"/>
      <c r="R203" s="11">
        <v>24</v>
      </c>
      <c r="S203" s="13">
        <v>45850</v>
      </c>
      <c r="T203" s="13">
        <v>45852</v>
      </c>
      <c r="U203" s="13"/>
      <c r="V203" s="13"/>
      <c r="W203" s="13">
        <v>45852</v>
      </c>
      <c r="X203" s="11" t="s">
        <v>576</v>
      </c>
      <c r="Y203" s="4" t="str">
        <f>IF(Tabela2[[#This Row],[SIGLA]]="","",VLOOKUP(Tabela2[[#This Row],[SIGLA]],Tabela1[[#All],[Sigla Arte]:[Crédito]],2,0))</f>
        <v>VER DOCUMENTO DE ILS. TÉCNICAS</v>
      </c>
      <c r="Z203" s="12" t="s">
        <v>577</v>
      </c>
      <c r="AA203" s="12" t="s">
        <v>578</v>
      </c>
      <c r="AB203" s="11">
        <v>13</v>
      </c>
      <c r="AC203" s="9" t="s">
        <v>579</v>
      </c>
      <c r="AD203" s="9" t="s">
        <v>11</v>
      </c>
      <c r="AE203" s="4" t="str">
        <f t="shared" si="3"/>
        <v>EF1 E002 Port</v>
      </c>
    </row>
    <row r="204" spans="1:31" s="7" customFormat="1" x14ac:dyDescent="0.25">
      <c r="A204" s="12" t="s">
        <v>580</v>
      </c>
      <c r="B204" s="9" t="s">
        <v>40</v>
      </c>
      <c r="C204" s="9" t="s">
        <v>1</v>
      </c>
      <c r="D204" s="9" t="s">
        <v>25</v>
      </c>
      <c r="E204" s="11" t="s">
        <v>581</v>
      </c>
      <c r="F204" s="11">
        <v>2</v>
      </c>
      <c r="G204" s="11">
        <v>1</v>
      </c>
      <c r="H204" s="11"/>
      <c r="I204" s="12" t="s">
        <v>9</v>
      </c>
      <c r="J204" s="12"/>
      <c r="K204" s="11"/>
      <c r="L204" s="11"/>
      <c r="M204" s="12"/>
      <c r="N204" s="12"/>
      <c r="O204" s="32" t="s">
        <v>582</v>
      </c>
      <c r="P204" s="9"/>
      <c r="Q204" s="9"/>
      <c r="R204" s="11">
        <v>24</v>
      </c>
      <c r="S204" s="13">
        <v>45850</v>
      </c>
      <c r="T204" s="13">
        <v>45852</v>
      </c>
      <c r="U204" s="13">
        <v>45855</v>
      </c>
      <c r="V204" s="13">
        <v>45856</v>
      </c>
      <c r="W204" s="13">
        <v>45862</v>
      </c>
      <c r="X204" s="11" t="s">
        <v>163</v>
      </c>
      <c r="Y204" s="4" t="str">
        <f>IF(Tabela2[[#This Row],[SIGLA]]="","",VLOOKUP(Tabela2[[#This Row],[SIGLA]],Tabela1[[#All],[Sigla Arte]:[Crédito]],2,0))</f>
        <v>FERNANDA MONTEIRO/ARQUIVO DA EDITORA</v>
      </c>
      <c r="Z204" s="12"/>
      <c r="AA204" s="12" t="str">
        <f>Tabela2[[#This Row],[ILUSTRADOR CRIAÇÃO]]</f>
        <v>FERNANDA MONTEIRO/ARQUIVO DA EDITORA</v>
      </c>
      <c r="AB204" s="11">
        <v>8</v>
      </c>
      <c r="AC204" s="9" t="s">
        <v>543</v>
      </c>
      <c r="AD204" s="9" t="s">
        <v>22</v>
      </c>
      <c r="AE204" s="4" t="str">
        <f t="shared" si="3"/>
        <v>EF1 E002 Port</v>
      </c>
    </row>
    <row r="205" spans="1:31" s="7" customFormat="1" ht="90" x14ac:dyDescent="0.25">
      <c r="A205" s="12" t="s">
        <v>583</v>
      </c>
      <c r="B205" s="9" t="s">
        <v>37</v>
      </c>
      <c r="C205" s="9" t="s">
        <v>1</v>
      </c>
      <c r="D205" s="9" t="s">
        <v>25</v>
      </c>
      <c r="E205" s="11">
        <v>52</v>
      </c>
      <c r="F205" s="11">
        <v>5</v>
      </c>
      <c r="G205" s="11">
        <v>2</v>
      </c>
      <c r="H205" s="11"/>
      <c r="I205" s="12" t="s">
        <v>9</v>
      </c>
      <c r="J205" s="12"/>
      <c r="K205" s="11"/>
      <c r="L205" s="11"/>
      <c r="M205" s="12"/>
      <c r="N205" s="12"/>
      <c r="O205" s="32" t="s">
        <v>584</v>
      </c>
      <c r="P205" s="9"/>
      <c r="Q205" s="9"/>
      <c r="R205" s="11">
        <v>25</v>
      </c>
      <c r="S205" s="13">
        <v>45853</v>
      </c>
      <c r="T205" s="13">
        <v>45855</v>
      </c>
      <c r="U205" s="13">
        <v>45862</v>
      </c>
      <c r="V205" s="13">
        <v>45863</v>
      </c>
      <c r="W205" s="13">
        <v>45868</v>
      </c>
      <c r="X205" s="11" t="s">
        <v>159</v>
      </c>
      <c r="Y205" s="4" t="str">
        <f>IF(Tabela2[[#This Row],[SIGLA]]="","",VLOOKUP(Tabela2[[#This Row],[SIGLA]],Tabela1[[#All],[Sigla Arte]:[Crédito]],2,0))</f>
        <v>GUSTAVO RAMOS/ARQUIVO DA EDITORA</v>
      </c>
      <c r="Z205" s="12"/>
      <c r="AA205" s="12" t="str">
        <f>Tabela2[[#This Row],[ILUSTRADOR CRIAÇÃO]]</f>
        <v>GUSTAVO RAMOS/ARQUIVO DA EDITORA</v>
      </c>
      <c r="AB205" s="11">
        <v>5</v>
      </c>
      <c r="AC205" s="9" t="s">
        <v>585</v>
      </c>
      <c r="AD205" s="9" t="s">
        <v>22</v>
      </c>
      <c r="AE205" s="4" t="str">
        <f t="shared" si="3"/>
        <v>EF1 E002 Port</v>
      </c>
    </row>
    <row r="206" spans="1:31" s="7" customFormat="1" ht="39.75" customHeight="1" x14ac:dyDescent="0.25">
      <c r="A206" s="12" t="s">
        <v>586</v>
      </c>
      <c r="B206" s="9" t="s">
        <v>37</v>
      </c>
      <c r="C206" s="9" t="s">
        <v>1</v>
      </c>
      <c r="D206" s="9" t="s">
        <v>25</v>
      </c>
      <c r="E206" s="11">
        <v>59</v>
      </c>
      <c r="F206" s="11">
        <v>5</v>
      </c>
      <c r="G206" s="11">
        <v>2</v>
      </c>
      <c r="H206" s="11"/>
      <c r="I206" s="12" t="s">
        <v>9</v>
      </c>
      <c r="J206" s="12"/>
      <c r="K206" s="11"/>
      <c r="L206" s="11"/>
      <c r="M206" s="12"/>
      <c r="N206" s="12"/>
      <c r="O206" s="32" t="s">
        <v>587</v>
      </c>
      <c r="P206" s="9"/>
      <c r="Q206" s="9"/>
      <c r="R206" s="11">
        <v>25</v>
      </c>
      <c r="S206" s="13">
        <v>45853</v>
      </c>
      <c r="T206" s="13">
        <v>45855</v>
      </c>
      <c r="U206" s="13">
        <v>45862</v>
      </c>
      <c r="V206" s="13">
        <v>45863</v>
      </c>
      <c r="W206" s="13">
        <v>45868</v>
      </c>
      <c r="X206" s="11" t="s">
        <v>159</v>
      </c>
      <c r="Y206" s="4" t="str">
        <f>IF(Tabela2[[#This Row],[SIGLA]]="","",VLOOKUP(Tabela2[[#This Row],[SIGLA]],Tabela1[[#All],[Sigla Arte]:[Crédito]],2,0))</f>
        <v>GUSTAVO RAMOS/ARQUIVO DA EDITORA</v>
      </c>
      <c r="Z206" s="12"/>
      <c r="AA206" s="12" t="str">
        <f>Tabela2[[#This Row],[ILUSTRADOR CRIAÇÃO]]</f>
        <v>GUSTAVO RAMOS/ARQUIVO DA EDITORA</v>
      </c>
      <c r="AB206" s="11">
        <v>6</v>
      </c>
      <c r="AC206" s="9" t="s">
        <v>585</v>
      </c>
      <c r="AD206" s="9" t="s">
        <v>22</v>
      </c>
      <c r="AE206" s="4" t="str">
        <f t="shared" si="3"/>
        <v>EF1 E002 Port</v>
      </c>
    </row>
    <row r="207" spans="1:31" s="7" customFormat="1" ht="45" customHeight="1" x14ac:dyDescent="0.25">
      <c r="A207" s="12" t="s">
        <v>588</v>
      </c>
      <c r="B207" s="9" t="s">
        <v>42</v>
      </c>
      <c r="C207" s="9" t="s">
        <v>1</v>
      </c>
      <c r="D207" s="9" t="s">
        <v>25</v>
      </c>
      <c r="E207" s="11">
        <v>65</v>
      </c>
      <c r="F207" s="11">
        <v>5</v>
      </c>
      <c r="G207" s="11">
        <v>2</v>
      </c>
      <c r="H207" s="11"/>
      <c r="I207" s="12" t="s">
        <v>9</v>
      </c>
      <c r="J207" s="12"/>
      <c r="K207" s="11"/>
      <c r="L207" s="11"/>
      <c r="M207" s="12"/>
      <c r="N207" s="12"/>
      <c r="O207" s="32" t="s">
        <v>589</v>
      </c>
      <c r="P207" s="9"/>
      <c r="Q207" s="9"/>
      <c r="R207" s="11">
        <v>25</v>
      </c>
      <c r="S207" s="13"/>
      <c r="T207" s="13"/>
      <c r="U207" s="13"/>
      <c r="V207" s="13"/>
      <c r="W207" s="13"/>
      <c r="X207" s="11"/>
      <c r="Y207" s="4" t="str">
        <f>IF(Tabela2[[#This Row],[SIGLA]]="","",VLOOKUP(Tabela2[[#This Row],[SIGLA]],Tabela1[[#All],[Sigla Arte]:[Crédito]],2,0))</f>
        <v/>
      </c>
      <c r="Z207" s="12"/>
      <c r="AA207" s="12" t="str">
        <f>Tabela2[[#This Row],[ILUSTRADOR CRIAÇÃO]]</f>
        <v/>
      </c>
      <c r="AB207" s="11"/>
      <c r="AC207" s="9" t="s">
        <v>590</v>
      </c>
      <c r="AD207" s="9"/>
      <c r="AE207" s="4" t="str">
        <f t="shared" si="3"/>
        <v>EF1 E002 Port</v>
      </c>
    </row>
    <row r="208" spans="1:31" s="7" customFormat="1" ht="36" customHeight="1" x14ac:dyDescent="0.25">
      <c r="A208" s="12" t="s">
        <v>591</v>
      </c>
      <c r="B208" s="9" t="s">
        <v>42</v>
      </c>
      <c r="C208" s="9" t="s">
        <v>1</v>
      </c>
      <c r="D208" s="9" t="s">
        <v>25</v>
      </c>
      <c r="E208" s="11">
        <v>65</v>
      </c>
      <c r="F208" s="11">
        <v>5</v>
      </c>
      <c r="G208" s="11">
        <v>2</v>
      </c>
      <c r="H208" s="11"/>
      <c r="I208" s="12" t="s">
        <v>9</v>
      </c>
      <c r="J208" s="12"/>
      <c r="K208" s="11"/>
      <c r="L208" s="11"/>
      <c r="M208" s="12"/>
      <c r="N208" s="12"/>
      <c r="O208" s="32" t="s">
        <v>592</v>
      </c>
      <c r="P208" s="9"/>
      <c r="Q208" s="9"/>
      <c r="R208" s="11">
        <v>25</v>
      </c>
      <c r="S208" s="13">
        <v>45853</v>
      </c>
      <c r="T208" s="13">
        <v>45855</v>
      </c>
      <c r="U208" s="13">
        <v>45862</v>
      </c>
      <c r="V208" s="13">
        <v>45863</v>
      </c>
      <c r="W208" s="13">
        <v>45868</v>
      </c>
      <c r="X208" s="11" t="s">
        <v>159</v>
      </c>
      <c r="Y208" s="4" t="str">
        <f>IF(Tabela2[[#This Row],[SIGLA]]="","",VLOOKUP(Tabela2[[#This Row],[SIGLA]],Tabela1[[#All],[Sigla Arte]:[Crédito]],2,0))</f>
        <v>GUSTAVO RAMOS/ARQUIVO DA EDITORA</v>
      </c>
      <c r="Z208" s="12"/>
      <c r="AA208" s="12" t="str">
        <f>Tabela2[[#This Row],[ILUSTRADOR CRIAÇÃO]]</f>
        <v>GUSTAVO RAMOS/ARQUIVO DA EDITORA</v>
      </c>
      <c r="AB208" s="11">
        <v>5</v>
      </c>
      <c r="AC208" s="9" t="s">
        <v>585</v>
      </c>
      <c r="AD208" s="9" t="s">
        <v>22</v>
      </c>
      <c r="AE208" s="4" t="str">
        <f t="shared" si="3"/>
        <v>EF1 E002 Port</v>
      </c>
    </row>
    <row r="209" spans="1:31" s="7" customFormat="1" ht="35.25" customHeight="1" x14ac:dyDescent="0.25">
      <c r="A209" s="12" t="s">
        <v>593</v>
      </c>
      <c r="B209" s="9" t="s">
        <v>37</v>
      </c>
      <c r="C209" s="9" t="s">
        <v>1</v>
      </c>
      <c r="D209" s="9" t="s">
        <v>25</v>
      </c>
      <c r="E209" s="11">
        <v>65</v>
      </c>
      <c r="F209" s="11">
        <v>5</v>
      </c>
      <c r="G209" s="11">
        <v>2</v>
      </c>
      <c r="H209" s="11"/>
      <c r="I209" s="12" t="s">
        <v>9</v>
      </c>
      <c r="J209" s="12"/>
      <c r="K209" s="11"/>
      <c r="L209" s="11"/>
      <c r="M209" s="12"/>
      <c r="N209" s="12"/>
      <c r="O209" s="32" t="s">
        <v>594</v>
      </c>
      <c r="P209" s="9"/>
      <c r="Q209" s="9"/>
      <c r="R209" s="11">
        <v>25</v>
      </c>
      <c r="S209" s="13">
        <v>45853</v>
      </c>
      <c r="T209" s="13">
        <v>45855</v>
      </c>
      <c r="U209" s="13">
        <v>45862</v>
      </c>
      <c r="V209" s="13">
        <v>45863</v>
      </c>
      <c r="W209" s="13">
        <v>45868</v>
      </c>
      <c r="X209" s="11" t="s">
        <v>159</v>
      </c>
      <c r="Y209" s="4" t="str">
        <f>IF(Tabela2[[#This Row],[SIGLA]]="","",VLOOKUP(Tabela2[[#This Row],[SIGLA]],Tabela1[[#All],[Sigla Arte]:[Crédito]],2,0))</f>
        <v>GUSTAVO RAMOS/ARQUIVO DA EDITORA</v>
      </c>
      <c r="Z209" s="12"/>
      <c r="AA209" s="12" t="str">
        <f>Tabela2[[#This Row],[ILUSTRADOR CRIAÇÃO]]</f>
        <v>GUSTAVO RAMOS/ARQUIVO DA EDITORA</v>
      </c>
      <c r="AB209" s="11">
        <v>5</v>
      </c>
      <c r="AC209" s="9" t="s">
        <v>585</v>
      </c>
      <c r="AD209" s="9" t="s">
        <v>22</v>
      </c>
      <c r="AE209" s="4" t="str">
        <f t="shared" si="3"/>
        <v>EF1 E002 Port</v>
      </c>
    </row>
    <row r="210" spans="1:31" s="7" customFormat="1" ht="43.5" customHeight="1" x14ac:dyDescent="0.25">
      <c r="A210" s="12" t="s">
        <v>595</v>
      </c>
      <c r="B210" s="9" t="s">
        <v>23</v>
      </c>
      <c r="C210" s="9" t="s">
        <v>1</v>
      </c>
      <c r="D210" s="9" t="s">
        <v>25</v>
      </c>
      <c r="E210" s="11">
        <v>69</v>
      </c>
      <c r="F210" s="11">
        <v>5</v>
      </c>
      <c r="G210" s="11">
        <v>2</v>
      </c>
      <c r="H210" s="11"/>
      <c r="I210" s="12" t="s">
        <v>9</v>
      </c>
      <c r="J210" s="12"/>
      <c r="K210" s="11"/>
      <c r="L210" s="11"/>
      <c r="M210" s="12"/>
      <c r="N210" s="12"/>
      <c r="O210" s="32" t="s">
        <v>596</v>
      </c>
      <c r="P210" s="9"/>
      <c r="Q210" s="9"/>
      <c r="R210" s="11">
        <v>25</v>
      </c>
      <c r="S210" s="13">
        <v>45853</v>
      </c>
      <c r="T210" s="13">
        <v>45855</v>
      </c>
      <c r="U210" s="13">
        <v>45862</v>
      </c>
      <c r="V210" s="13">
        <v>45863</v>
      </c>
      <c r="W210" s="13">
        <v>45868</v>
      </c>
      <c r="X210" s="11" t="s">
        <v>159</v>
      </c>
      <c r="Y210" s="4" t="str">
        <f>IF(Tabela2[[#This Row],[SIGLA]]="","",VLOOKUP(Tabela2[[#This Row],[SIGLA]],Tabela1[[#All],[Sigla Arte]:[Crédito]],2,0))</f>
        <v>GUSTAVO RAMOS/ARQUIVO DA EDITORA</v>
      </c>
      <c r="Z210" s="12"/>
      <c r="AA210" s="12" t="str">
        <f>Tabela2[[#This Row],[ILUSTRADOR CRIAÇÃO]]</f>
        <v>GUSTAVO RAMOS/ARQUIVO DA EDITORA</v>
      </c>
      <c r="AB210" s="11">
        <v>6</v>
      </c>
      <c r="AC210" s="9" t="s">
        <v>585</v>
      </c>
      <c r="AD210" s="9" t="s">
        <v>22</v>
      </c>
      <c r="AE210" s="4" t="str">
        <f t="shared" si="3"/>
        <v>EF1 E002 Port</v>
      </c>
    </row>
    <row r="211" spans="1:31" s="7" customFormat="1" ht="48" customHeight="1" x14ac:dyDescent="0.25">
      <c r="A211" s="12" t="s">
        <v>597</v>
      </c>
      <c r="B211" s="9" t="s">
        <v>23</v>
      </c>
      <c r="C211" s="9" t="s">
        <v>1</v>
      </c>
      <c r="D211" s="9" t="s">
        <v>25</v>
      </c>
      <c r="E211" s="11">
        <v>71</v>
      </c>
      <c r="F211" s="11">
        <v>5</v>
      </c>
      <c r="G211" s="11">
        <v>2</v>
      </c>
      <c r="H211" s="11"/>
      <c r="I211" s="12" t="s">
        <v>9</v>
      </c>
      <c r="J211" s="12"/>
      <c r="K211" s="11"/>
      <c r="L211" s="11"/>
      <c r="M211" s="12"/>
      <c r="N211" s="12"/>
      <c r="O211" s="32" t="s">
        <v>598</v>
      </c>
      <c r="P211" s="9"/>
      <c r="Q211" s="9"/>
      <c r="R211" s="11">
        <v>25</v>
      </c>
      <c r="S211" s="13">
        <v>45853</v>
      </c>
      <c r="T211" s="13">
        <v>45855</v>
      </c>
      <c r="U211" s="13">
        <v>45862</v>
      </c>
      <c r="V211" s="13">
        <v>45863</v>
      </c>
      <c r="W211" s="13">
        <v>45868</v>
      </c>
      <c r="X211" s="11" t="s">
        <v>159</v>
      </c>
      <c r="Y211" s="4" t="str">
        <f>IF(Tabela2[[#This Row],[SIGLA]]="","",VLOOKUP(Tabela2[[#This Row],[SIGLA]],Tabela1[[#All],[Sigla Arte]:[Crédito]],2,0))</f>
        <v>GUSTAVO RAMOS/ARQUIVO DA EDITORA</v>
      </c>
      <c r="Z211" s="12"/>
      <c r="AA211" s="12" t="str">
        <f>Tabela2[[#This Row],[ILUSTRADOR CRIAÇÃO]]</f>
        <v>GUSTAVO RAMOS/ARQUIVO DA EDITORA</v>
      </c>
      <c r="AB211" s="11">
        <v>5</v>
      </c>
      <c r="AC211" s="9" t="s">
        <v>585</v>
      </c>
      <c r="AD211" s="9" t="s">
        <v>22</v>
      </c>
      <c r="AE211" s="4" t="str">
        <f t="shared" si="3"/>
        <v>EF1 E002 Port</v>
      </c>
    </row>
    <row r="212" spans="1:31" s="7" customFormat="1" ht="37.5" customHeight="1" x14ac:dyDescent="0.25">
      <c r="A212" s="12" t="s">
        <v>599</v>
      </c>
      <c r="B212" s="9" t="s">
        <v>42</v>
      </c>
      <c r="C212" s="9" t="s">
        <v>1</v>
      </c>
      <c r="D212" s="9" t="s">
        <v>25</v>
      </c>
      <c r="E212" s="11">
        <v>74</v>
      </c>
      <c r="F212" s="11">
        <v>5</v>
      </c>
      <c r="G212" s="11">
        <v>2</v>
      </c>
      <c r="H212" s="11"/>
      <c r="I212" s="12" t="s">
        <v>9</v>
      </c>
      <c r="J212" s="12"/>
      <c r="K212" s="11"/>
      <c r="L212" s="11"/>
      <c r="M212" s="12"/>
      <c r="N212" s="12"/>
      <c r="O212" s="32" t="s">
        <v>600</v>
      </c>
      <c r="P212" s="9"/>
      <c r="Q212" s="9"/>
      <c r="R212" s="11">
        <v>26</v>
      </c>
      <c r="S212" s="13">
        <v>45854</v>
      </c>
      <c r="T212" s="13"/>
      <c r="U212" s="13"/>
      <c r="V212" s="13"/>
      <c r="W212" s="13"/>
      <c r="X212" s="11"/>
      <c r="Y212" s="4" t="str">
        <f>IF(Tabela2[[#This Row],[SIGLA]]="","",VLOOKUP(Tabela2[[#This Row],[SIGLA]],Tabela1[[#All],[Sigla Arte]:[Crédito]],2,0))</f>
        <v/>
      </c>
      <c r="Z212" s="12"/>
      <c r="AA212" s="12" t="str">
        <f>Tabela2[[#This Row],[ILUSTRADOR CRIAÇÃO]]</f>
        <v/>
      </c>
      <c r="AB212" s="11"/>
      <c r="AC212" s="9"/>
      <c r="AD212" s="9"/>
      <c r="AE212" s="4" t="str">
        <f t="shared" si="3"/>
        <v>EF1 E002 Port</v>
      </c>
    </row>
    <row r="213" spans="1:31" s="7" customFormat="1" ht="45" x14ac:dyDescent="0.25">
      <c r="A213" s="12" t="s">
        <v>601</v>
      </c>
      <c r="B213" s="9" t="s">
        <v>40</v>
      </c>
      <c r="C213" s="9" t="s">
        <v>1</v>
      </c>
      <c r="D213" s="9" t="s">
        <v>25</v>
      </c>
      <c r="E213" s="11">
        <v>92</v>
      </c>
      <c r="F213" s="11">
        <v>5</v>
      </c>
      <c r="G213" s="11">
        <v>3</v>
      </c>
      <c r="H213" s="11"/>
      <c r="I213" s="12" t="s">
        <v>9</v>
      </c>
      <c r="J213" s="12"/>
      <c r="K213" s="11"/>
      <c r="L213" s="11"/>
      <c r="M213" s="12"/>
      <c r="N213" s="12"/>
      <c r="O213" s="32" t="s">
        <v>602</v>
      </c>
      <c r="P213" s="9"/>
      <c r="Q213" s="9"/>
      <c r="R213" s="11">
        <v>26</v>
      </c>
      <c r="S213" s="13">
        <v>45854</v>
      </c>
      <c r="T213" s="13">
        <v>45859</v>
      </c>
      <c r="U213" s="13">
        <v>45860</v>
      </c>
      <c r="V213" s="13">
        <v>45861</v>
      </c>
      <c r="W213" s="13">
        <v>45862</v>
      </c>
      <c r="X213" s="11" t="s">
        <v>200</v>
      </c>
      <c r="Y213" s="4" t="str">
        <f>IF(Tabela2[[#This Row],[SIGLA]]="","",VLOOKUP(Tabela2[[#This Row],[SIGLA]],Tabela1[[#All],[Sigla Arte]:[Crédito]],2,0))</f>
        <v>NATHALIA ICHIOKA/ARQUIVO DA EDITORA</v>
      </c>
      <c r="Z213" s="12"/>
      <c r="AA213" s="12" t="str">
        <f>Tabela2[[#This Row],[ILUSTRADOR CRIAÇÃO]]</f>
        <v>NATHALIA ICHIOKA/ARQUIVO DA EDITORA</v>
      </c>
      <c r="AB213" s="11">
        <v>5</v>
      </c>
      <c r="AC213" s="9" t="s">
        <v>603</v>
      </c>
      <c r="AD213" s="9" t="s">
        <v>22</v>
      </c>
      <c r="AE213" s="4" t="str">
        <f t="shared" si="3"/>
        <v>EF1 E002 Port</v>
      </c>
    </row>
    <row r="214" spans="1:31" s="7" customFormat="1" ht="60" x14ac:dyDescent="0.25">
      <c r="A214" s="12" t="s">
        <v>604</v>
      </c>
      <c r="B214" s="9" t="s">
        <v>40</v>
      </c>
      <c r="C214" s="9" t="s">
        <v>1</v>
      </c>
      <c r="D214" s="9" t="s">
        <v>25</v>
      </c>
      <c r="E214" s="11">
        <v>92</v>
      </c>
      <c r="F214" s="11">
        <v>5</v>
      </c>
      <c r="G214" s="11">
        <v>3</v>
      </c>
      <c r="H214" s="11"/>
      <c r="I214" s="12" t="s">
        <v>9</v>
      </c>
      <c r="J214" s="12"/>
      <c r="K214" s="11"/>
      <c r="L214" s="11"/>
      <c r="M214" s="12"/>
      <c r="N214" s="12"/>
      <c r="O214" s="32" t="s">
        <v>605</v>
      </c>
      <c r="P214" s="9"/>
      <c r="Q214" s="9"/>
      <c r="R214" s="11">
        <v>26</v>
      </c>
      <c r="S214" s="13">
        <v>45854</v>
      </c>
      <c r="T214" s="13">
        <v>45859</v>
      </c>
      <c r="U214" s="13">
        <v>45860</v>
      </c>
      <c r="V214" s="13">
        <v>45861</v>
      </c>
      <c r="W214" s="13">
        <v>45862</v>
      </c>
      <c r="X214" s="11" t="s">
        <v>200</v>
      </c>
      <c r="Y214" s="4" t="str">
        <f>IF(Tabela2[[#This Row],[SIGLA]]="","",VLOOKUP(Tabela2[[#This Row],[SIGLA]],Tabela1[[#All],[Sigla Arte]:[Crédito]],2,0))</f>
        <v>NATHALIA ICHIOKA/ARQUIVO DA EDITORA</v>
      </c>
      <c r="Z214" s="12"/>
      <c r="AA214" s="12" t="str">
        <f>Tabela2[[#This Row],[ILUSTRADOR CRIAÇÃO]]</f>
        <v>NATHALIA ICHIOKA/ARQUIVO DA EDITORA</v>
      </c>
      <c r="AB214" s="11">
        <v>5</v>
      </c>
      <c r="AC214" s="9" t="s">
        <v>603</v>
      </c>
      <c r="AD214" s="9" t="s">
        <v>22</v>
      </c>
      <c r="AE214" s="4" t="str">
        <f t="shared" si="3"/>
        <v>EF1 E002 Port</v>
      </c>
    </row>
    <row r="215" spans="1:31" s="7" customFormat="1" ht="105" x14ac:dyDescent="0.25">
      <c r="A215" s="12" t="s">
        <v>606</v>
      </c>
      <c r="B215" s="9" t="s">
        <v>40</v>
      </c>
      <c r="C215" s="9" t="s">
        <v>1</v>
      </c>
      <c r="D215" s="9" t="s">
        <v>25</v>
      </c>
      <c r="E215" s="11">
        <v>93</v>
      </c>
      <c r="F215" s="11">
        <v>5</v>
      </c>
      <c r="G215" s="11">
        <v>3</v>
      </c>
      <c r="H215" s="11"/>
      <c r="I215" s="12" t="s">
        <v>9</v>
      </c>
      <c r="J215" s="12"/>
      <c r="K215" s="11"/>
      <c r="L215" s="11"/>
      <c r="M215" s="12"/>
      <c r="N215" s="12"/>
      <c r="O215" s="32" t="s">
        <v>607</v>
      </c>
      <c r="P215" s="9"/>
      <c r="Q215" s="9"/>
      <c r="R215" s="11">
        <v>26</v>
      </c>
      <c r="S215" s="13">
        <v>45854</v>
      </c>
      <c r="T215" s="13">
        <v>45859</v>
      </c>
      <c r="U215" s="13">
        <v>45860</v>
      </c>
      <c r="V215" s="13">
        <v>45861</v>
      </c>
      <c r="W215" s="13">
        <v>45862</v>
      </c>
      <c r="X215" s="11" t="s">
        <v>200</v>
      </c>
      <c r="Y215" s="4" t="str">
        <f>IF(Tabela2[[#This Row],[SIGLA]]="","",VLOOKUP(Tabela2[[#This Row],[SIGLA]],Tabela1[[#All],[Sigla Arte]:[Crédito]],2,0))</f>
        <v>NATHALIA ICHIOKA/ARQUIVO DA EDITORA</v>
      </c>
      <c r="Z215" s="12"/>
      <c r="AA215" s="12" t="str">
        <f>Tabela2[[#This Row],[ILUSTRADOR CRIAÇÃO]]</f>
        <v>NATHALIA ICHIOKA/ARQUIVO DA EDITORA</v>
      </c>
      <c r="AB215" s="11">
        <v>5</v>
      </c>
      <c r="AC215" s="9" t="s">
        <v>603</v>
      </c>
      <c r="AD215" s="9" t="s">
        <v>22</v>
      </c>
      <c r="AE215" s="4" t="str">
        <f t="shared" si="3"/>
        <v>EF1 E002 Port</v>
      </c>
    </row>
    <row r="216" spans="1:31" s="7" customFormat="1" ht="60" x14ac:dyDescent="0.25">
      <c r="A216" s="12" t="s">
        <v>608</v>
      </c>
      <c r="B216" s="9" t="s">
        <v>42</v>
      </c>
      <c r="C216" s="9" t="s">
        <v>1</v>
      </c>
      <c r="D216" s="9" t="s">
        <v>25</v>
      </c>
      <c r="E216" s="11">
        <v>116</v>
      </c>
      <c r="F216" s="11">
        <v>5</v>
      </c>
      <c r="G216" s="11">
        <v>3</v>
      </c>
      <c r="H216" s="11"/>
      <c r="I216" s="12" t="s">
        <v>9</v>
      </c>
      <c r="J216" s="12"/>
      <c r="K216" s="11"/>
      <c r="L216" s="11"/>
      <c r="M216" s="12"/>
      <c r="N216" s="12"/>
      <c r="O216" s="32" t="s">
        <v>609</v>
      </c>
      <c r="P216" s="9"/>
      <c r="Q216" s="9" t="s">
        <v>610</v>
      </c>
      <c r="R216" s="11">
        <v>26</v>
      </c>
      <c r="S216" s="13">
        <v>45854</v>
      </c>
      <c r="T216" s="13"/>
      <c r="U216" s="13"/>
      <c r="V216" s="13"/>
      <c r="W216" s="13"/>
      <c r="X216" s="11"/>
      <c r="Y216" s="4" t="str">
        <f>IF(Tabela2[[#This Row],[SIGLA]]="","",VLOOKUP(Tabela2[[#This Row],[SIGLA]],Tabela1[[#All],[Sigla Arte]:[Crédito]],2,0))</f>
        <v/>
      </c>
      <c r="Z216" s="12"/>
      <c r="AA216" s="12" t="str">
        <f>Tabela2[[#This Row],[ILUSTRADOR CRIAÇÃO]]</f>
        <v/>
      </c>
      <c r="AB216" s="11"/>
      <c r="AC216" s="9"/>
      <c r="AD216" s="9"/>
      <c r="AE216" s="4" t="str">
        <f t="shared" si="3"/>
        <v>EF1 E002 Port</v>
      </c>
    </row>
    <row r="217" spans="1:31" s="7" customFormat="1" x14ac:dyDescent="0.25">
      <c r="A217" s="12" t="s">
        <v>611</v>
      </c>
      <c r="B217" s="9" t="s">
        <v>12</v>
      </c>
      <c r="C217" s="9" t="s">
        <v>1</v>
      </c>
      <c r="D217" s="9" t="s">
        <v>2</v>
      </c>
      <c r="E217" s="11">
        <v>1</v>
      </c>
      <c r="F217" s="11">
        <v>1</v>
      </c>
      <c r="G217" s="11">
        <v>1</v>
      </c>
      <c r="H217" s="11"/>
      <c r="I217" s="12" t="s">
        <v>9</v>
      </c>
      <c r="J217" s="12"/>
      <c r="K217" s="11"/>
      <c r="L217" s="11"/>
      <c r="M217" s="12"/>
      <c r="N217" s="12"/>
      <c r="O217" s="32" t="s">
        <v>612</v>
      </c>
      <c r="P217" s="9"/>
      <c r="Q217" s="9"/>
      <c r="R217" s="11"/>
      <c r="S217" s="13"/>
      <c r="T217" s="13">
        <v>45854</v>
      </c>
      <c r="U217" s="13">
        <v>45856</v>
      </c>
      <c r="V217" s="13">
        <v>45870</v>
      </c>
      <c r="W217" s="13">
        <v>45877</v>
      </c>
      <c r="X217" s="11" t="s">
        <v>613</v>
      </c>
      <c r="Y217" s="4" t="str">
        <f>IF(Tabela2[[#This Row],[SIGLA]]="","",VLOOKUP(Tabela2[[#This Row],[SIGLA]],Tabela1[[#All],[Sigla Arte]:[Crédito]],2,0))</f>
        <v>MARILIA GOLDSCHMIDT/ARQUIVO DA EDITORA</v>
      </c>
      <c r="Z217" s="12"/>
      <c r="AA217" s="12" t="str">
        <f>Tabela2[[#This Row],[ILUSTRADOR CRIAÇÃO]]</f>
        <v>MARILIA GOLDSCHMIDT/ARQUIVO DA EDITORA</v>
      </c>
      <c r="AB217" s="11">
        <v>30</v>
      </c>
      <c r="AC217" s="9" t="s">
        <v>614</v>
      </c>
      <c r="AD217" s="9" t="s">
        <v>22</v>
      </c>
      <c r="AE217" s="4" t="str">
        <f t="shared" si="3"/>
        <v>EF1 E002 Port</v>
      </c>
    </row>
    <row r="218" spans="1:31" s="7" customFormat="1" ht="30" x14ac:dyDescent="0.25">
      <c r="A218" s="12" t="s">
        <v>615</v>
      </c>
      <c r="B218" s="9" t="s">
        <v>40</v>
      </c>
      <c r="C218" s="9" t="s">
        <v>1</v>
      </c>
      <c r="D218" s="9" t="s">
        <v>25</v>
      </c>
      <c r="E218" s="11">
        <v>48</v>
      </c>
      <c r="F218" s="11">
        <v>2</v>
      </c>
      <c r="G218" s="11">
        <v>2</v>
      </c>
      <c r="H218" s="11"/>
      <c r="I218" s="12" t="s">
        <v>9</v>
      </c>
      <c r="J218" s="12"/>
      <c r="K218" s="11"/>
      <c r="L218" s="11"/>
      <c r="M218" s="12"/>
      <c r="N218" s="12"/>
      <c r="O218" s="32" t="s">
        <v>616</v>
      </c>
      <c r="P218" s="9"/>
      <c r="Q218" s="9"/>
      <c r="R218" s="11">
        <v>27</v>
      </c>
      <c r="S218" s="13">
        <v>45858</v>
      </c>
      <c r="T218" s="13">
        <v>45861</v>
      </c>
      <c r="U218" s="13">
        <v>45869</v>
      </c>
      <c r="V218" s="13">
        <v>45871</v>
      </c>
      <c r="W218" s="13">
        <v>45877</v>
      </c>
      <c r="X218" s="11" t="s">
        <v>103</v>
      </c>
      <c r="Y218" s="4" t="str">
        <f>IF(Tabela2[[#This Row],[SIGLA]]="","",VLOOKUP(Tabela2[[#This Row],[SIGLA]],Tabela1[[#All],[Sigla Arte]:[Crédito]],2,0))</f>
        <v>BRUNA MENEZES/ARQUIVO DA EDITORA</v>
      </c>
      <c r="Z218" s="12"/>
      <c r="AA218" s="12" t="str">
        <f>Tabela2[[#This Row],[ILUSTRADOR CRIAÇÃO]]</f>
        <v>BRUNA MENEZES/ARQUIVO DA EDITORA</v>
      </c>
      <c r="AB218" s="11">
        <v>7</v>
      </c>
      <c r="AC218" s="9" t="s">
        <v>617</v>
      </c>
      <c r="AD218" s="9" t="s">
        <v>22</v>
      </c>
      <c r="AE218" s="4" t="str">
        <f t="shared" si="3"/>
        <v>EF1 E002 Port</v>
      </c>
    </row>
    <row r="219" spans="1:31" s="7" customFormat="1" ht="30" x14ac:dyDescent="0.25">
      <c r="A219" s="12" t="s">
        <v>618</v>
      </c>
      <c r="B219" s="9" t="s">
        <v>42</v>
      </c>
      <c r="C219" s="9" t="s">
        <v>1</v>
      </c>
      <c r="D219" s="9" t="s">
        <v>25</v>
      </c>
      <c r="E219" s="11">
        <v>59</v>
      </c>
      <c r="F219" s="11">
        <v>2</v>
      </c>
      <c r="G219" s="11">
        <v>2</v>
      </c>
      <c r="H219" s="11"/>
      <c r="I219" s="12" t="s">
        <v>9</v>
      </c>
      <c r="J219" s="12"/>
      <c r="K219" s="11"/>
      <c r="L219" s="11"/>
      <c r="M219" s="12"/>
      <c r="N219" s="12"/>
      <c r="O219" s="32" t="s">
        <v>619</v>
      </c>
      <c r="P219" s="9"/>
      <c r="Q219" s="9"/>
      <c r="R219" s="11">
        <v>27</v>
      </c>
      <c r="S219" s="13">
        <v>45858</v>
      </c>
      <c r="T219" s="13">
        <v>45861</v>
      </c>
      <c r="U219" s="13">
        <v>45869</v>
      </c>
      <c r="V219" s="13">
        <v>45871</v>
      </c>
      <c r="W219" s="13">
        <v>45877</v>
      </c>
      <c r="X219" s="11" t="s">
        <v>103</v>
      </c>
      <c r="Y219" s="4" t="str">
        <f>IF(Tabela2[[#This Row],[SIGLA]]="","",VLOOKUP(Tabela2[[#This Row],[SIGLA]],Tabela1[[#All],[Sigla Arte]:[Crédito]],2,0))</f>
        <v>BRUNA MENEZES/ARQUIVO DA EDITORA</v>
      </c>
      <c r="Z219" s="12"/>
      <c r="AA219" s="12" t="str">
        <f>Tabela2[[#This Row],[ILUSTRADOR CRIAÇÃO]]</f>
        <v>BRUNA MENEZES/ARQUIVO DA EDITORA</v>
      </c>
      <c r="AB219" s="11">
        <v>8</v>
      </c>
      <c r="AC219" s="9" t="s">
        <v>617</v>
      </c>
      <c r="AD219" s="9" t="s">
        <v>22</v>
      </c>
      <c r="AE219" s="4" t="str">
        <f t="shared" si="3"/>
        <v>EF1 E002 Port</v>
      </c>
    </row>
    <row r="220" spans="1:31" s="7" customFormat="1" x14ac:dyDescent="0.25">
      <c r="A220" s="12" t="s">
        <v>620</v>
      </c>
      <c r="B220" s="9" t="s">
        <v>40</v>
      </c>
      <c r="C220" s="9" t="s">
        <v>1</v>
      </c>
      <c r="D220" s="9" t="s">
        <v>25</v>
      </c>
      <c r="E220" s="11">
        <v>56</v>
      </c>
      <c r="F220" s="11">
        <v>2</v>
      </c>
      <c r="G220" s="11">
        <v>2</v>
      </c>
      <c r="H220" s="11"/>
      <c r="I220" s="12" t="s">
        <v>9</v>
      </c>
      <c r="J220" s="12"/>
      <c r="K220" s="11"/>
      <c r="L220" s="11"/>
      <c r="M220" s="12"/>
      <c r="N220" s="12"/>
      <c r="O220" s="32" t="s">
        <v>621</v>
      </c>
      <c r="P220" s="9"/>
      <c r="Q220" s="9"/>
      <c r="R220" s="11">
        <v>27</v>
      </c>
      <c r="S220" s="13">
        <v>45858</v>
      </c>
      <c r="T220" s="13">
        <v>45861</v>
      </c>
      <c r="U220" s="13">
        <v>45869</v>
      </c>
      <c r="V220" s="13">
        <v>45871</v>
      </c>
      <c r="W220" s="13">
        <v>45877</v>
      </c>
      <c r="X220" s="11" t="s">
        <v>103</v>
      </c>
      <c r="Y220" s="4" t="str">
        <f>IF(Tabela2[[#This Row],[SIGLA]]="","",VLOOKUP(Tabela2[[#This Row],[SIGLA]],Tabela1[[#All],[Sigla Arte]:[Crédito]],2,0))</f>
        <v>BRUNA MENEZES/ARQUIVO DA EDITORA</v>
      </c>
      <c r="Z220" s="12"/>
      <c r="AA220" s="12" t="str">
        <f>Tabela2[[#This Row],[ILUSTRADOR CRIAÇÃO]]</f>
        <v>BRUNA MENEZES/ARQUIVO DA EDITORA</v>
      </c>
      <c r="AB220" s="11">
        <v>8</v>
      </c>
      <c r="AC220" s="9" t="s">
        <v>617</v>
      </c>
      <c r="AD220" s="9" t="s">
        <v>22</v>
      </c>
      <c r="AE220" s="4" t="str">
        <f t="shared" si="3"/>
        <v>EF1 E002 Port</v>
      </c>
    </row>
    <row r="221" spans="1:31" s="7" customFormat="1" x14ac:dyDescent="0.25">
      <c r="A221" s="12" t="s">
        <v>622</v>
      </c>
      <c r="B221" s="9" t="s">
        <v>40</v>
      </c>
      <c r="C221" s="9" t="s">
        <v>1</v>
      </c>
      <c r="D221" s="9" t="s">
        <v>25</v>
      </c>
      <c r="E221" s="11">
        <v>56</v>
      </c>
      <c r="F221" s="11">
        <v>2</v>
      </c>
      <c r="G221" s="11">
        <v>2</v>
      </c>
      <c r="H221" s="11"/>
      <c r="I221" s="12" t="s">
        <v>9</v>
      </c>
      <c r="J221" s="12"/>
      <c r="K221" s="11"/>
      <c r="L221" s="11"/>
      <c r="M221" s="12"/>
      <c r="N221" s="12"/>
      <c r="O221" s="32" t="s">
        <v>623</v>
      </c>
      <c r="P221" s="9"/>
      <c r="Q221" s="9"/>
      <c r="R221" s="11">
        <v>27</v>
      </c>
      <c r="S221" s="13">
        <v>45858</v>
      </c>
      <c r="T221" s="13">
        <v>45861</v>
      </c>
      <c r="U221" s="13">
        <v>45869</v>
      </c>
      <c r="V221" s="13">
        <v>45871</v>
      </c>
      <c r="W221" s="13">
        <v>45877</v>
      </c>
      <c r="X221" s="11" t="s">
        <v>103</v>
      </c>
      <c r="Y221" s="4" t="str">
        <f>IF(Tabela2[[#This Row],[SIGLA]]="","",VLOOKUP(Tabela2[[#This Row],[SIGLA]],Tabela1[[#All],[Sigla Arte]:[Crédito]],2,0))</f>
        <v>BRUNA MENEZES/ARQUIVO DA EDITORA</v>
      </c>
      <c r="Z221" s="12"/>
      <c r="AA221" s="12" t="str">
        <f>Tabela2[[#This Row],[ILUSTRADOR CRIAÇÃO]]</f>
        <v>BRUNA MENEZES/ARQUIVO DA EDITORA</v>
      </c>
      <c r="AB221" s="11">
        <v>8</v>
      </c>
      <c r="AC221" s="9" t="s">
        <v>617</v>
      </c>
      <c r="AD221" s="9" t="s">
        <v>22</v>
      </c>
      <c r="AE221" s="4" t="str">
        <f t="shared" si="3"/>
        <v>EF1 E002 Port</v>
      </c>
    </row>
    <row r="222" spans="1:31" s="7" customFormat="1" x14ac:dyDescent="0.25">
      <c r="A222" s="12" t="s">
        <v>624</v>
      </c>
      <c r="B222" s="9" t="s">
        <v>40</v>
      </c>
      <c r="C222" s="9" t="s">
        <v>1</v>
      </c>
      <c r="D222" s="9" t="s">
        <v>25</v>
      </c>
      <c r="E222" s="11">
        <v>56</v>
      </c>
      <c r="F222" s="11">
        <v>2</v>
      </c>
      <c r="G222" s="11">
        <v>2</v>
      </c>
      <c r="H222" s="11"/>
      <c r="I222" s="12" t="s">
        <v>9</v>
      </c>
      <c r="J222" s="12"/>
      <c r="K222" s="11"/>
      <c r="L222" s="11"/>
      <c r="M222" s="12"/>
      <c r="N222" s="12"/>
      <c r="O222" s="32" t="s">
        <v>625</v>
      </c>
      <c r="P222" s="9"/>
      <c r="Q222" s="9"/>
      <c r="R222" s="11">
        <v>27</v>
      </c>
      <c r="S222" s="13">
        <v>45858</v>
      </c>
      <c r="T222" s="13">
        <v>45861</v>
      </c>
      <c r="U222" s="13">
        <v>45869</v>
      </c>
      <c r="V222" s="13">
        <v>45871</v>
      </c>
      <c r="W222" s="13">
        <v>45877</v>
      </c>
      <c r="X222" s="11" t="s">
        <v>103</v>
      </c>
      <c r="Y222" s="4" t="str">
        <f>IF(Tabela2[[#This Row],[SIGLA]]="","",VLOOKUP(Tabela2[[#This Row],[SIGLA]],Tabela1[[#All],[Sigla Arte]:[Crédito]],2,0))</f>
        <v>BRUNA MENEZES/ARQUIVO DA EDITORA</v>
      </c>
      <c r="Z222" s="12"/>
      <c r="AA222" s="12" t="str">
        <f>Tabela2[[#This Row],[ILUSTRADOR CRIAÇÃO]]</f>
        <v>BRUNA MENEZES/ARQUIVO DA EDITORA</v>
      </c>
      <c r="AB222" s="11">
        <v>7</v>
      </c>
      <c r="AC222" s="9" t="s">
        <v>617</v>
      </c>
      <c r="AD222" s="9" t="s">
        <v>22</v>
      </c>
      <c r="AE222" s="4" t="str">
        <f t="shared" si="3"/>
        <v>EF1 E002 Port</v>
      </c>
    </row>
    <row r="223" spans="1:31" s="7" customFormat="1" x14ac:dyDescent="0.25">
      <c r="A223" s="12" t="s">
        <v>626</v>
      </c>
      <c r="B223" s="9" t="s">
        <v>40</v>
      </c>
      <c r="C223" s="9" t="s">
        <v>1</v>
      </c>
      <c r="D223" s="9" t="s">
        <v>25</v>
      </c>
      <c r="E223" s="11">
        <v>56</v>
      </c>
      <c r="F223" s="11">
        <v>2</v>
      </c>
      <c r="G223" s="11">
        <v>2</v>
      </c>
      <c r="H223" s="11"/>
      <c r="I223" s="12" t="s">
        <v>9</v>
      </c>
      <c r="J223" s="12"/>
      <c r="K223" s="11"/>
      <c r="L223" s="11"/>
      <c r="M223" s="12"/>
      <c r="N223" s="12"/>
      <c r="O223" s="32" t="s">
        <v>627</v>
      </c>
      <c r="P223" s="9"/>
      <c r="Q223" s="9"/>
      <c r="R223" s="11">
        <v>27</v>
      </c>
      <c r="S223" s="13">
        <v>45858</v>
      </c>
      <c r="T223" s="13">
        <v>45861</v>
      </c>
      <c r="U223" s="13">
        <v>45869</v>
      </c>
      <c r="V223" s="13">
        <v>45871</v>
      </c>
      <c r="W223" s="13">
        <v>45877</v>
      </c>
      <c r="X223" s="11" t="s">
        <v>103</v>
      </c>
      <c r="Y223" s="4" t="str">
        <f>IF(Tabela2[[#This Row],[SIGLA]]="","",VLOOKUP(Tabela2[[#This Row],[SIGLA]],Tabela1[[#All],[Sigla Arte]:[Crédito]],2,0))</f>
        <v>BRUNA MENEZES/ARQUIVO DA EDITORA</v>
      </c>
      <c r="Z223" s="12"/>
      <c r="AA223" s="12" t="str">
        <f>Tabela2[[#This Row],[ILUSTRADOR CRIAÇÃO]]</f>
        <v>BRUNA MENEZES/ARQUIVO DA EDITORA</v>
      </c>
      <c r="AB223" s="11">
        <v>7</v>
      </c>
      <c r="AC223" s="9" t="s">
        <v>617</v>
      </c>
      <c r="AD223" s="9" t="s">
        <v>22</v>
      </c>
      <c r="AE223" s="4" t="str">
        <f t="shared" si="3"/>
        <v>EF1 E002 Port</v>
      </c>
    </row>
    <row r="224" spans="1:31" s="7" customFormat="1" x14ac:dyDescent="0.25">
      <c r="A224" s="12" t="s">
        <v>628</v>
      </c>
      <c r="B224" s="9" t="s">
        <v>40</v>
      </c>
      <c r="C224" s="9" t="s">
        <v>1</v>
      </c>
      <c r="D224" s="9" t="s">
        <v>25</v>
      </c>
      <c r="E224" s="11">
        <v>56</v>
      </c>
      <c r="F224" s="11">
        <v>2</v>
      </c>
      <c r="G224" s="11">
        <v>2</v>
      </c>
      <c r="H224" s="11"/>
      <c r="I224" s="12" t="s">
        <v>9</v>
      </c>
      <c r="J224" s="12"/>
      <c r="K224" s="11"/>
      <c r="L224" s="11"/>
      <c r="M224" s="12"/>
      <c r="N224" s="12"/>
      <c r="O224" s="32" t="s">
        <v>629</v>
      </c>
      <c r="P224" s="9"/>
      <c r="Q224" s="9"/>
      <c r="R224" s="11">
        <v>27</v>
      </c>
      <c r="S224" s="13">
        <v>45858</v>
      </c>
      <c r="T224" s="13">
        <v>45861</v>
      </c>
      <c r="U224" s="13">
        <v>45869</v>
      </c>
      <c r="V224" s="13">
        <v>45871</v>
      </c>
      <c r="W224" s="13">
        <v>45877</v>
      </c>
      <c r="X224" s="11" t="s">
        <v>103</v>
      </c>
      <c r="Y224" s="4" t="str">
        <f>IF(Tabela2[[#This Row],[SIGLA]]="","",VLOOKUP(Tabela2[[#This Row],[SIGLA]],Tabela1[[#All],[Sigla Arte]:[Crédito]],2,0))</f>
        <v>BRUNA MENEZES/ARQUIVO DA EDITORA</v>
      </c>
      <c r="Z224" s="12"/>
      <c r="AA224" s="12" t="str">
        <f>Tabela2[[#This Row],[ILUSTRADOR CRIAÇÃO]]</f>
        <v>BRUNA MENEZES/ARQUIVO DA EDITORA</v>
      </c>
      <c r="AB224" s="11">
        <v>8</v>
      </c>
      <c r="AC224" s="9" t="s">
        <v>617</v>
      </c>
      <c r="AD224" s="9" t="s">
        <v>22</v>
      </c>
      <c r="AE224" s="4" t="str">
        <f t="shared" si="3"/>
        <v>EF1 E002 Port</v>
      </c>
    </row>
    <row r="225" spans="1:31" s="7" customFormat="1" ht="135" x14ac:dyDescent="0.25">
      <c r="A225" s="12" t="s">
        <v>630</v>
      </c>
      <c r="B225" s="9" t="s">
        <v>40</v>
      </c>
      <c r="C225" s="9" t="s">
        <v>1</v>
      </c>
      <c r="D225" s="9" t="s">
        <v>25</v>
      </c>
      <c r="E225" s="11">
        <v>69</v>
      </c>
      <c r="F225" s="11">
        <v>2</v>
      </c>
      <c r="G225" s="11">
        <v>2</v>
      </c>
      <c r="H225" s="11"/>
      <c r="I225" s="12" t="s">
        <v>9</v>
      </c>
      <c r="J225" s="12"/>
      <c r="K225" s="11"/>
      <c r="L225" s="11"/>
      <c r="M225" s="12"/>
      <c r="N225" s="12"/>
      <c r="O225" s="32" t="s">
        <v>631</v>
      </c>
      <c r="P225" s="9"/>
      <c r="Q225" s="9"/>
      <c r="R225" s="11">
        <v>27</v>
      </c>
      <c r="S225" s="13">
        <v>45858</v>
      </c>
      <c r="T225" s="13">
        <v>45861</v>
      </c>
      <c r="U225" s="13">
        <v>45869</v>
      </c>
      <c r="V225" s="13">
        <v>45871</v>
      </c>
      <c r="W225" s="13">
        <v>45877</v>
      </c>
      <c r="X225" s="11" t="s">
        <v>103</v>
      </c>
      <c r="Y225" s="4" t="str">
        <f>IF(Tabela2[[#This Row],[SIGLA]]="","",VLOOKUP(Tabela2[[#This Row],[SIGLA]],Tabela1[[#All],[Sigla Arte]:[Crédito]],2,0))</f>
        <v>BRUNA MENEZES/ARQUIVO DA EDITORA</v>
      </c>
      <c r="Z225" s="12"/>
      <c r="AA225" s="12" t="str">
        <f>Tabela2[[#This Row],[ILUSTRADOR CRIAÇÃO]]</f>
        <v>BRUNA MENEZES/ARQUIVO DA EDITORA</v>
      </c>
      <c r="AB225" s="11">
        <v>4</v>
      </c>
      <c r="AC225" s="9" t="s">
        <v>617</v>
      </c>
      <c r="AD225" s="9" t="s">
        <v>22</v>
      </c>
      <c r="AE225" s="4" t="str">
        <f t="shared" si="3"/>
        <v>EF1 E002 Port</v>
      </c>
    </row>
    <row r="226" spans="1:31" s="7" customFormat="1" ht="75" x14ac:dyDescent="0.25">
      <c r="A226" s="12" t="s">
        <v>632</v>
      </c>
      <c r="B226" s="9" t="s">
        <v>40</v>
      </c>
      <c r="C226" s="9" t="s">
        <v>1</v>
      </c>
      <c r="D226" s="9" t="s">
        <v>25</v>
      </c>
      <c r="E226" s="11">
        <v>68</v>
      </c>
      <c r="F226" s="11">
        <v>2</v>
      </c>
      <c r="G226" s="11">
        <v>2</v>
      </c>
      <c r="H226" s="11"/>
      <c r="I226" s="12" t="s">
        <v>9</v>
      </c>
      <c r="J226" s="12"/>
      <c r="K226" s="11"/>
      <c r="L226" s="11"/>
      <c r="M226" s="12"/>
      <c r="N226" s="12"/>
      <c r="O226" s="32" t="s">
        <v>633</v>
      </c>
      <c r="P226" s="9"/>
      <c r="Q226" s="9"/>
      <c r="R226" s="11">
        <v>27</v>
      </c>
      <c r="S226" s="13">
        <v>45858</v>
      </c>
      <c r="T226" s="13">
        <v>45861</v>
      </c>
      <c r="U226" s="13">
        <v>45869</v>
      </c>
      <c r="V226" s="13">
        <v>45871</v>
      </c>
      <c r="W226" s="13">
        <v>45877</v>
      </c>
      <c r="X226" s="11" t="s">
        <v>103</v>
      </c>
      <c r="Y226" s="4" t="str">
        <f>IF(Tabela2[[#This Row],[SIGLA]]="","",VLOOKUP(Tabela2[[#This Row],[SIGLA]],Tabela1[[#All],[Sigla Arte]:[Crédito]],2,0))</f>
        <v>BRUNA MENEZES/ARQUIVO DA EDITORA</v>
      </c>
      <c r="Z226" s="12"/>
      <c r="AA226" s="12" t="str">
        <f>Tabela2[[#This Row],[ILUSTRADOR CRIAÇÃO]]</f>
        <v>BRUNA MENEZES/ARQUIVO DA EDITORA</v>
      </c>
      <c r="AB226" s="11">
        <v>4</v>
      </c>
      <c r="AC226" s="9" t="s">
        <v>617</v>
      </c>
      <c r="AD226" s="9" t="s">
        <v>22</v>
      </c>
      <c r="AE226" s="4" t="str">
        <f t="shared" si="3"/>
        <v>EF1 E002 Port</v>
      </c>
    </row>
    <row r="227" spans="1:31" s="7" customFormat="1" ht="105" x14ac:dyDescent="0.25">
      <c r="A227" s="12" t="s">
        <v>634</v>
      </c>
      <c r="B227" s="9" t="s">
        <v>42</v>
      </c>
      <c r="C227" s="9" t="s">
        <v>1</v>
      </c>
      <c r="D227" s="9" t="s">
        <v>25</v>
      </c>
      <c r="E227" s="11">
        <v>77</v>
      </c>
      <c r="F227" s="11">
        <v>2</v>
      </c>
      <c r="G227" s="11">
        <v>2</v>
      </c>
      <c r="H227" s="11"/>
      <c r="I227" s="12" t="s">
        <v>9</v>
      </c>
      <c r="J227" s="12"/>
      <c r="K227" s="11"/>
      <c r="L227" s="11"/>
      <c r="M227" s="12"/>
      <c r="N227" s="12"/>
      <c r="O227" s="32" t="s">
        <v>635</v>
      </c>
      <c r="P227" s="9"/>
      <c r="Q227" s="9"/>
      <c r="R227" s="11">
        <v>27</v>
      </c>
      <c r="S227" s="13">
        <v>45858</v>
      </c>
      <c r="T227" s="13"/>
      <c r="U227" s="13"/>
      <c r="V227" s="13"/>
      <c r="W227" s="13"/>
      <c r="X227" s="11"/>
      <c r="Y227" s="4" t="str">
        <f>IF(Tabela2[[#This Row],[SIGLA]]="","",VLOOKUP(Tabela2[[#This Row],[SIGLA]],Tabela1[[#All],[Sigla Arte]:[Crédito]],2,0))</f>
        <v/>
      </c>
      <c r="Z227" s="12"/>
      <c r="AA227" s="12" t="str">
        <f>Tabela2[[#This Row],[ILUSTRADOR CRIAÇÃO]]</f>
        <v/>
      </c>
      <c r="AB227" s="11"/>
      <c r="AC227" s="9"/>
      <c r="AD227" s="9"/>
      <c r="AE227" s="4" t="str">
        <f t="shared" si="3"/>
        <v>EF1 E002 Port</v>
      </c>
    </row>
    <row r="228" spans="1:31" s="7" customFormat="1" ht="75" x14ac:dyDescent="0.25">
      <c r="A228" s="12" t="s">
        <v>636</v>
      </c>
      <c r="B228" s="9" t="s">
        <v>42</v>
      </c>
      <c r="C228" s="9" t="s">
        <v>1</v>
      </c>
      <c r="D228" s="9" t="s">
        <v>25</v>
      </c>
      <c r="E228" s="11">
        <v>84</v>
      </c>
      <c r="F228" s="11">
        <v>2</v>
      </c>
      <c r="G228" s="11">
        <v>2</v>
      </c>
      <c r="H228" s="11"/>
      <c r="I228" s="12" t="s">
        <v>9</v>
      </c>
      <c r="J228" s="12"/>
      <c r="K228" s="11"/>
      <c r="L228" s="11"/>
      <c r="M228" s="12"/>
      <c r="N228" s="12"/>
      <c r="O228" s="32" t="s">
        <v>637</v>
      </c>
      <c r="P228" s="9"/>
      <c r="Q228" s="9"/>
      <c r="R228" s="11">
        <v>27</v>
      </c>
      <c r="S228" s="13">
        <v>45858</v>
      </c>
      <c r="T228" s="13"/>
      <c r="U228" s="13"/>
      <c r="V228" s="13"/>
      <c r="W228" s="13"/>
      <c r="X228" s="11"/>
      <c r="Y228" s="4" t="str">
        <f>IF(Tabela2[[#This Row],[SIGLA]]="","",VLOOKUP(Tabela2[[#This Row],[SIGLA]],Tabela1[[#All],[Sigla Arte]:[Crédito]],2,0))</f>
        <v/>
      </c>
      <c r="Z228" s="12"/>
      <c r="AA228" s="12" t="str">
        <f>Tabela2[[#This Row],[ILUSTRADOR CRIAÇÃO]]</f>
        <v/>
      </c>
      <c r="AB228" s="11"/>
      <c r="AC228" s="9"/>
      <c r="AD228" s="9"/>
      <c r="AE228" s="4" t="str">
        <f t="shared" si="3"/>
        <v>EF1 E002 Port</v>
      </c>
    </row>
    <row r="229" spans="1:31" s="7" customFormat="1" ht="75" x14ac:dyDescent="0.25">
      <c r="A229" s="12" t="s">
        <v>638</v>
      </c>
      <c r="B229" s="9" t="s">
        <v>40</v>
      </c>
      <c r="C229" s="9" t="s">
        <v>1</v>
      </c>
      <c r="D229" s="9" t="s">
        <v>25</v>
      </c>
      <c r="E229" s="11">
        <v>181</v>
      </c>
      <c r="F229" s="11">
        <v>1</v>
      </c>
      <c r="G229" s="11">
        <v>6</v>
      </c>
      <c r="H229" s="11"/>
      <c r="I229" s="12" t="s">
        <v>9</v>
      </c>
      <c r="J229" s="12"/>
      <c r="K229" s="11"/>
      <c r="L229" s="11"/>
      <c r="M229" s="12"/>
      <c r="N229" s="12"/>
      <c r="O229" s="32" t="s">
        <v>406</v>
      </c>
      <c r="P229" s="9"/>
      <c r="Q229" s="9"/>
      <c r="R229" s="11">
        <v>28</v>
      </c>
      <c r="S229" s="13">
        <v>45862</v>
      </c>
      <c r="T229" s="13">
        <v>45862</v>
      </c>
      <c r="U229" s="13"/>
      <c r="V229" s="13"/>
      <c r="W229" s="13">
        <v>45866</v>
      </c>
      <c r="X229" s="11" t="s">
        <v>639</v>
      </c>
      <c r="Y229" s="4" t="str">
        <f>IF(Tabela2[[#This Row],[SIGLA]]="","",VLOOKUP(Tabela2[[#This Row],[SIGLA]],Tabela1[[#All],[Sigla Arte]:[Crédito]],2,0))</f>
        <v>JULIANA DACOSTA/ARQUIVO DA EDITORA</v>
      </c>
      <c r="Z229" s="12"/>
      <c r="AA229" s="12" t="str">
        <f>Tabela2[[#This Row],[ILUSTRADOR CRIAÇÃO]]</f>
        <v>JULIANA DACOSTA/ARQUIVO DA EDITORA</v>
      </c>
      <c r="AB229" s="11">
        <v>6</v>
      </c>
      <c r="AC229" s="9" t="s">
        <v>640</v>
      </c>
      <c r="AD229" s="9" t="s">
        <v>22</v>
      </c>
      <c r="AE229" s="4" t="str">
        <f t="shared" si="3"/>
        <v>EF1 E002 Port</v>
      </c>
    </row>
    <row r="230" spans="1:31" s="7" customFormat="1" ht="90" x14ac:dyDescent="0.25">
      <c r="A230" s="12" t="s">
        <v>641</v>
      </c>
      <c r="B230" s="9" t="s">
        <v>40</v>
      </c>
      <c r="C230" s="9" t="s">
        <v>1</v>
      </c>
      <c r="D230" s="9" t="s">
        <v>25</v>
      </c>
      <c r="E230" s="11">
        <v>181</v>
      </c>
      <c r="F230" s="11">
        <v>1</v>
      </c>
      <c r="G230" s="11">
        <v>6</v>
      </c>
      <c r="H230" s="11"/>
      <c r="I230" s="12" t="s">
        <v>9</v>
      </c>
      <c r="J230" s="12"/>
      <c r="K230" s="11"/>
      <c r="L230" s="11"/>
      <c r="M230" s="12"/>
      <c r="N230" s="12"/>
      <c r="O230" s="32" t="s">
        <v>410</v>
      </c>
      <c r="P230" s="9"/>
      <c r="Q230" s="9"/>
      <c r="R230" s="11">
        <v>28</v>
      </c>
      <c r="S230" s="13">
        <v>45862</v>
      </c>
      <c r="T230" s="13">
        <v>45862</v>
      </c>
      <c r="U230" s="13"/>
      <c r="V230" s="13"/>
      <c r="W230" s="13">
        <v>45866</v>
      </c>
      <c r="X230" s="11" t="s">
        <v>639</v>
      </c>
      <c r="Y230" s="4" t="str">
        <f>IF(Tabela2[[#This Row],[SIGLA]]="","",VLOOKUP(Tabela2[[#This Row],[SIGLA]],Tabela1[[#All],[Sigla Arte]:[Crédito]],2,0))</f>
        <v>JULIANA DACOSTA/ARQUIVO DA EDITORA</v>
      </c>
      <c r="Z230" s="12"/>
      <c r="AA230" s="12" t="str">
        <f>Tabela2[[#This Row],[ILUSTRADOR CRIAÇÃO]]</f>
        <v>JULIANA DACOSTA/ARQUIVO DA EDITORA</v>
      </c>
      <c r="AB230" s="11">
        <v>5</v>
      </c>
      <c r="AC230" s="9" t="s">
        <v>640</v>
      </c>
      <c r="AD230" s="9" t="s">
        <v>22</v>
      </c>
      <c r="AE230" s="4" t="str">
        <f t="shared" si="3"/>
        <v>EF1 E002 Port</v>
      </c>
    </row>
    <row r="231" spans="1:31" s="7" customFormat="1" ht="60" x14ac:dyDescent="0.25">
      <c r="A231" s="12" t="s">
        <v>642</v>
      </c>
      <c r="B231" s="9" t="s">
        <v>40</v>
      </c>
      <c r="C231" s="9" t="s">
        <v>1</v>
      </c>
      <c r="D231" s="9" t="s">
        <v>25</v>
      </c>
      <c r="E231" s="11">
        <v>181</v>
      </c>
      <c r="F231" s="11">
        <v>1</v>
      </c>
      <c r="G231" s="11">
        <v>6</v>
      </c>
      <c r="H231" s="11"/>
      <c r="I231" s="12" t="s">
        <v>9</v>
      </c>
      <c r="J231" s="12"/>
      <c r="K231" s="11"/>
      <c r="L231" s="11"/>
      <c r="M231" s="12"/>
      <c r="N231" s="12"/>
      <c r="O231" s="32" t="s">
        <v>412</v>
      </c>
      <c r="P231" s="9"/>
      <c r="Q231" s="9"/>
      <c r="R231" s="11">
        <v>28</v>
      </c>
      <c r="S231" s="13">
        <v>45862</v>
      </c>
      <c r="T231" s="13">
        <v>45862</v>
      </c>
      <c r="U231" s="13"/>
      <c r="V231" s="13"/>
      <c r="W231" s="13">
        <v>45866</v>
      </c>
      <c r="X231" s="11" t="s">
        <v>639</v>
      </c>
      <c r="Y231" s="4" t="str">
        <f>IF(Tabela2[[#This Row],[SIGLA]]="","",VLOOKUP(Tabela2[[#This Row],[SIGLA]],Tabela1[[#All],[Sigla Arte]:[Crédito]],2,0))</f>
        <v>JULIANA DACOSTA/ARQUIVO DA EDITORA</v>
      </c>
      <c r="Z231" s="12"/>
      <c r="AA231" s="12" t="str">
        <f>Tabela2[[#This Row],[ILUSTRADOR CRIAÇÃO]]</f>
        <v>JULIANA DACOSTA/ARQUIVO DA EDITORA</v>
      </c>
      <c r="AB231" s="11">
        <v>5</v>
      </c>
      <c r="AC231" s="9" t="s">
        <v>640</v>
      </c>
      <c r="AD231" s="9" t="s">
        <v>22</v>
      </c>
      <c r="AE231" s="4" t="str">
        <f t="shared" si="3"/>
        <v>EF1 E002 Port</v>
      </c>
    </row>
    <row r="232" spans="1:31" s="7" customFormat="1" ht="30" x14ac:dyDescent="0.25">
      <c r="A232" s="12" t="s">
        <v>643</v>
      </c>
      <c r="B232" s="9" t="s">
        <v>40</v>
      </c>
      <c r="C232" s="9" t="s">
        <v>1</v>
      </c>
      <c r="D232" s="9" t="s">
        <v>25</v>
      </c>
      <c r="E232" s="11">
        <v>118</v>
      </c>
      <c r="F232" s="11">
        <v>5</v>
      </c>
      <c r="G232" s="11">
        <v>4</v>
      </c>
      <c r="H232" s="11"/>
      <c r="I232" s="12" t="s">
        <v>9</v>
      </c>
      <c r="J232" s="12"/>
      <c r="K232" s="11"/>
      <c r="L232" s="11"/>
      <c r="M232" s="12"/>
      <c r="N232" s="12"/>
      <c r="O232" s="32" t="s">
        <v>644</v>
      </c>
      <c r="P232" s="9"/>
      <c r="Q232" s="9"/>
      <c r="R232" s="11">
        <v>29</v>
      </c>
      <c r="S232" s="13">
        <v>45865</v>
      </c>
      <c r="T232" s="13">
        <v>45867</v>
      </c>
      <c r="U232" s="13">
        <v>45869</v>
      </c>
      <c r="V232" s="13">
        <v>45871</v>
      </c>
      <c r="W232" s="13">
        <v>45874</v>
      </c>
      <c r="X232" s="11" t="s">
        <v>645</v>
      </c>
      <c r="Y232" s="4" t="str">
        <f>IF(Tabela2[[#This Row],[SIGLA]]="","",VLOOKUP(Tabela2[[#This Row],[SIGLA]],Tabela1[[#All],[Sigla Arte]:[Crédito]],2,0))</f>
        <v>GABRIELA MELLO/MILENA GODOY/ARQUIVO DA EDITORA</v>
      </c>
      <c r="Z232" s="12"/>
      <c r="AA232" s="12" t="str">
        <f>Tabela2[[#This Row],[ILUSTRADOR CRIAÇÃO]]</f>
        <v>GABRIELA MELLO/MILENA GODOY/ARQUIVO DA EDITORA</v>
      </c>
      <c r="AB232" s="11">
        <v>5</v>
      </c>
      <c r="AC232" s="9" t="s">
        <v>646</v>
      </c>
      <c r="AD232" s="9" t="s">
        <v>22</v>
      </c>
      <c r="AE232" s="4" t="str">
        <f t="shared" si="3"/>
        <v>EF1 E002 Port</v>
      </c>
    </row>
    <row r="233" spans="1:31" s="7" customFormat="1" x14ac:dyDescent="0.25">
      <c r="A233" s="12" t="s">
        <v>647</v>
      </c>
      <c r="B233" s="9" t="s">
        <v>40</v>
      </c>
      <c r="C233" s="9" t="s">
        <v>1</v>
      </c>
      <c r="D233" s="9" t="s">
        <v>25</v>
      </c>
      <c r="E233" s="11">
        <v>119</v>
      </c>
      <c r="F233" s="11">
        <v>5</v>
      </c>
      <c r="G233" s="11">
        <v>4</v>
      </c>
      <c r="H233" s="11"/>
      <c r="I233" s="12" t="s">
        <v>9</v>
      </c>
      <c r="J233" s="12"/>
      <c r="K233" s="11"/>
      <c r="L233" s="11"/>
      <c r="M233" s="12"/>
      <c r="N233" s="12"/>
      <c r="O233" s="32" t="s">
        <v>648</v>
      </c>
      <c r="P233" s="9"/>
      <c r="Q233" s="9"/>
      <c r="R233" s="11">
        <v>29</v>
      </c>
      <c r="S233" s="13">
        <v>45865</v>
      </c>
      <c r="T233" s="13">
        <v>45867</v>
      </c>
      <c r="U233" s="13">
        <v>45869</v>
      </c>
      <c r="V233" s="13">
        <v>45871</v>
      </c>
      <c r="W233" s="13">
        <v>45874</v>
      </c>
      <c r="X233" s="11" t="s">
        <v>645</v>
      </c>
      <c r="Y233" s="4" t="str">
        <f>IF(Tabela2[[#This Row],[SIGLA]]="","",VLOOKUP(Tabela2[[#This Row],[SIGLA]],Tabela1[[#All],[Sigla Arte]:[Crédito]],2,0))</f>
        <v>GABRIELA MELLO/MILENA GODOY/ARQUIVO DA EDITORA</v>
      </c>
      <c r="Z233" s="12"/>
      <c r="AA233" s="12" t="str">
        <f>Tabela2[[#This Row],[ILUSTRADOR CRIAÇÃO]]</f>
        <v>GABRIELA MELLO/MILENA GODOY/ARQUIVO DA EDITORA</v>
      </c>
      <c r="AB233" s="11">
        <v>5</v>
      </c>
      <c r="AC233" s="9" t="s">
        <v>646</v>
      </c>
      <c r="AD233" s="9" t="s">
        <v>22</v>
      </c>
      <c r="AE233" s="4" t="str">
        <f t="shared" si="3"/>
        <v>EF1 E002 Port</v>
      </c>
    </row>
    <row r="234" spans="1:31" s="7" customFormat="1" x14ac:dyDescent="0.25">
      <c r="A234" s="12" t="s">
        <v>649</v>
      </c>
      <c r="B234" s="9" t="s">
        <v>40</v>
      </c>
      <c r="C234" s="9" t="s">
        <v>1</v>
      </c>
      <c r="D234" s="9" t="s">
        <v>25</v>
      </c>
      <c r="E234" s="11">
        <v>119</v>
      </c>
      <c r="F234" s="11">
        <v>5</v>
      </c>
      <c r="G234" s="11">
        <v>4</v>
      </c>
      <c r="H234" s="11"/>
      <c r="I234" s="12" t="s">
        <v>9</v>
      </c>
      <c r="J234" s="12"/>
      <c r="K234" s="11"/>
      <c r="L234" s="11"/>
      <c r="M234" s="12"/>
      <c r="N234" s="12"/>
      <c r="O234" s="32" t="s">
        <v>650</v>
      </c>
      <c r="P234" s="9"/>
      <c r="Q234" s="9"/>
      <c r="R234" s="11">
        <v>29</v>
      </c>
      <c r="S234" s="13">
        <v>45865</v>
      </c>
      <c r="T234" s="13">
        <v>45867</v>
      </c>
      <c r="U234" s="13">
        <v>45869</v>
      </c>
      <c r="V234" s="13">
        <v>45871</v>
      </c>
      <c r="W234" s="13">
        <v>45874</v>
      </c>
      <c r="X234" s="11" t="s">
        <v>645</v>
      </c>
      <c r="Y234" s="4" t="str">
        <f>IF(Tabela2[[#This Row],[SIGLA]]="","",VLOOKUP(Tabela2[[#This Row],[SIGLA]],Tabela1[[#All],[Sigla Arte]:[Crédito]],2,0))</f>
        <v>GABRIELA MELLO/MILENA GODOY/ARQUIVO DA EDITORA</v>
      </c>
      <c r="Z234" s="12"/>
      <c r="AA234" s="12" t="str">
        <f>Tabela2[[#This Row],[ILUSTRADOR CRIAÇÃO]]</f>
        <v>GABRIELA MELLO/MILENA GODOY/ARQUIVO DA EDITORA</v>
      </c>
      <c r="AB234" s="11">
        <v>6</v>
      </c>
      <c r="AC234" s="9" t="s">
        <v>646</v>
      </c>
      <c r="AD234" s="9" t="s">
        <v>22</v>
      </c>
      <c r="AE234" s="4" t="str">
        <f t="shared" si="3"/>
        <v>EF1 E002 Port</v>
      </c>
    </row>
    <row r="235" spans="1:31" s="7" customFormat="1" ht="30" x14ac:dyDescent="0.25">
      <c r="A235" s="12" t="s">
        <v>651</v>
      </c>
      <c r="B235" s="9" t="s">
        <v>40</v>
      </c>
      <c r="C235" s="9" t="s">
        <v>1</v>
      </c>
      <c r="D235" s="9" t="s">
        <v>25</v>
      </c>
      <c r="E235" s="11">
        <v>123</v>
      </c>
      <c r="F235" s="11">
        <v>5</v>
      </c>
      <c r="G235" s="11">
        <v>4</v>
      </c>
      <c r="H235" s="11"/>
      <c r="I235" s="12" t="s">
        <v>9</v>
      </c>
      <c r="J235" s="12"/>
      <c r="K235" s="11"/>
      <c r="L235" s="11"/>
      <c r="M235" s="12"/>
      <c r="N235" s="12"/>
      <c r="O235" s="32" t="s">
        <v>652</v>
      </c>
      <c r="P235" s="9"/>
      <c r="Q235" s="9"/>
      <c r="R235" s="11">
        <v>29</v>
      </c>
      <c r="S235" s="13">
        <v>45865</v>
      </c>
      <c r="T235" s="13">
        <v>45867</v>
      </c>
      <c r="U235" s="13">
        <v>45869</v>
      </c>
      <c r="V235" s="13">
        <v>45871</v>
      </c>
      <c r="W235" s="13">
        <v>45874</v>
      </c>
      <c r="X235" s="11" t="s">
        <v>645</v>
      </c>
      <c r="Y235" s="4" t="str">
        <f>IF(Tabela2[[#This Row],[SIGLA]]="","",VLOOKUP(Tabela2[[#This Row],[SIGLA]],Tabela1[[#All],[Sigla Arte]:[Crédito]],2,0))</f>
        <v>GABRIELA MELLO/MILENA GODOY/ARQUIVO DA EDITORA</v>
      </c>
      <c r="Z235" s="12"/>
      <c r="AA235" s="12" t="str">
        <f>Tabela2[[#This Row],[ILUSTRADOR CRIAÇÃO]]</f>
        <v>GABRIELA MELLO/MILENA GODOY/ARQUIVO DA EDITORA</v>
      </c>
      <c r="AB235" s="11">
        <v>5</v>
      </c>
      <c r="AC235" s="9" t="s">
        <v>646</v>
      </c>
      <c r="AD235" s="9" t="s">
        <v>22</v>
      </c>
      <c r="AE235" s="4" t="str">
        <f t="shared" si="3"/>
        <v>EF1 E002 Port</v>
      </c>
    </row>
    <row r="236" spans="1:31" s="7" customFormat="1" x14ac:dyDescent="0.25">
      <c r="A236" s="12" t="s">
        <v>653</v>
      </c>
      <c r="B236" s="9" t="s">
        <v>40</v>
      </c>
      <c r="C236" s="9" t="s">
        <v>1</v>
      </c>
      <c r="D236" s="9" t="s">
        <v>25</v>
      </c>
      <c r="E236" s="11">
        <v>125</v>
      </c>
      <c r="F236" s="11">
        <v>5</v>
      </c>
      <c r="G236" s="11">
        <v>4</v>
      </c>
      <c r="H236" s="11"/>
      <c r="I236" s="12" t="s">
        <v>9</v>
      </c>
      <c r="J236" s="12"/>
      <c r="K236" s="11"/>
      <c r="L236" s="11"/>
      <c r="M236" s="12"/>
      <c r="N236" s="12"/>
      <c r="O236" s="32" t="s">
        <v>654</v>
      </c>
      <c r="P236" s="9"/>
      <c r="Q236" s="9"/>
      <c r="R236" s="11">
        <v>29</v>
      </c>
      <c r="S236" s="13">
        <v>45865</v>
      </c>
      <c r="T236" s="13">
        <v>45867</v>
      </c>
      <c r="U236" s="13">
        <v>45869</v>
      </c>
      <c r="V236" s="13">
        <v>45871</v>
      </c>
      <c r="W236" s="13">
        <v>45874</v>
      </c>
      <c r="X236" s="11" t="s">
        <v>645</v>
      </c>
      <c r="Y236" s="4" t="str">
        <f>IF(Tabela2[[#This Row],[SIGLA]]="","",VLOOKUP(Tabela2[[#This Row],[SIGLA]],Tabela1[[#All],[Sigla Arte]:[Crédito]],2,0))</f>
        <v>GABRIELA MELLO/MILENA GODOY/ARQUIVO DA EDITORA</v>
      </c>
      <c r="Z236" s="12"/>
      <c r="AA236" s="12" t="str">
        <f>Tabela2[[#This Row],[ILUSTRADOR CRIAÇÃO]]</f>
        <v>GABRIELA MELLO/MILENA GODOY/ARQUIVO DA EDITORA</v>
      </c>
      <c r="AB236" s="11">
        <v>13</v>
      </c>
      <c r="AC236" s="9" t="s">
        <v>646</v>
      </c>
      <c r="AD236" s="9" t="s">
        <v>22</v>
      </c>
      <c r="AE236" s="4" t="str">
        <f t="shared" si="3"/>
        <v>EF1 E002 Port</v>
      </c>
    </row>
    <row r="237" spans="1:31" s="7" customFormat="1" ht="30" x14ac:dyDescent="0.25">
      <c r="A237" s="12" t="s">
        <v>655</v>
      </c>
      <c r="B237" s="9" t="s">
        <v>42</v>
      </c>
      <c r="C237" s="9" t="s">
        <v>1</v>
      </c>
      <c r="D237" s="9" t="s">
        <v>25</v>
      </c>
      <c r="E237" s="11">
        <v>127</v>
      </c>
      <c r="F237" s="11">
        <v>5</v>
      </c>
      <c r="G237" s="11">
        <v>4</v>
      </c>
      <c r="H237" s="11"/>
      <c r="I237" s="12" t="s">
        <v>9</v>
      </c>
      <c r="J237" s="12"/>
      <c r="K237" s="11"/>
      <c r="L237" s="11"/>
      <c r="M237" s="12"/>
      <c r="N237" s="12"/>
      <c r="O237" s="32" t="s">
        <v>656</v>
      </c>
      <c r="P237" s="9"/>
      <c r="Q237" s="9" t="s">
        <v>657</v>
      </c>
      <c r="R237" s="11">
        <v>29</v>
      </c>
      <c r="S237" s="13">
        <v>45865</v>
      </c>
      <c r="T237" s="13"/>
      <c r="U237" s="13"/>
      <c r="V237" s="13"/>
      <c r="W237" s="13"/>
      <c r="X237" s="11"/>
      <c r="Y237" s="4" t="str">
        <f>IF(Tabela2[[#This Row],[SIGLA]]="","",VLOOKUP(Tabela2[[#This Row],[SIGLA]],Tabela1[[#All],[Sigla Arte]:[Crédito]],2,0))</f>
        <v/>
      </c>
      <c r="Z237" s="12"/>
      <c r="AA237" s="12" t="str">
        <f>Tabela2[[#This Row],[ILUSTRADOR CRIAÇÃO]]</f>
        <v/>
      </c>
      <c r="AB237" s="11"/>
      <c r="AC237" s="9" t="s">
        <v>658</v>
      </c>
      <c r="AD237" s="9"/>
      <c r="AE237" s="4" t="str">
        <f t="shared" si="3"/>
        <v>EF1 E002 Port</v>
      </c>
    </row>
    <row r="238" spans="1:31" s="7" customFormat="1" ht="210" x14ac:dyDescent="0.25">
      <c r="A238" s="12" t="s">
        <v>659</v>
      </c>
      <c r="B238" s="9" t="s">
        <v>40</v>
      </c>
      <c r="C238" s="9" t="s">
        <v>1</v>
      </c>
      <c r="D238" s="9" t="s">
        <v>25</v>
      </c>
      <c r="E238" s="11">
        <v>138</v>
      </c>
      <c r="F238" s="11">
        <v>5</v>
      </c>
      <c r="G238" s="11">
        <v>4</v>
      </c>
      <c r="H238" s="11"/>
      <c r="I238" s="12" t="s">
        <v>9</v>
      </c>
      <c r="J238" s="12"/>
      <c r="K238" s="11"/>
      <c r="L238" s="11"/>
      <c r="M238" s="12"/>
      <c r="N238" s="12"/>
      <c r="O238" s="32" t="s">
        <v>660</v>
      </c>
      <c r="P238" s="9"/>
      <c r="Q238" s="9"/>
      <c r="R238" s="11">
        <v>29</v>
      </c>
      <c r="S238" s="13">
        <v>45865</v>
      </c>
      <c r="T238" s="13">
        <v>45867</v>
      </c>
      <c r="U238" s="13">
        <v>45869</v>
      </c>
      <c r="V238" s="13">
        <v>45871</v>
      </c>
      <c r="W238" s="13">
        <v>45874</v>
      </c>
      <c r="X238" s="11" t="s">
        <v>645</v>
      </c>
      <c r="Y238" s="4" t="str">
        <f>IF(Tabela2[[#This Row],[SIGLA]]="","",VLOOKUP(Tabela2[[#This Row],[SIGLA]],Tabela1[[#All],[Sigla Arte]:[Crédito]],2,0))</f>
        <v>GABRIELA MELLO/MILENA GODOY/ARQUIVO DA EDITORA</v>
      </c>
      <c r="Z238" s="12"/>
      <c r="AA238" s="12" t="str">
        <f>Tabela2[[#This Row],[ILUSTRADOR CRIAÇÃO]]</f>
        <v>GABRIELA MELLO/MILENA GODOY/ARQUIVO DA EDITORA</v>
      </c>
      <c r="AB238" s="11">
        <v>4</v>
      </c>
      <c r="AC238" s="9" t="s">
        <v>646</v>
      </c>
      <c r="AD238" s="9" t="s">
        <v>22</v>
      </c>
      <c r="AE238" s="4" t="str">
        <f t="shared" si="3"/>
        <v>EF1 E002 Port</v>
      </c>
    </row>
    <row r="239" spans="1:31" s="7" customFormat="1" ht="60" x14ac:dyDescent="0.25">
      <c r="A239" s="12" t="s">
        <v>661</v>
      </c>
      <c r="B239" s="9" t="s">
        <v>40</v>
      </c>
      <c r="C239" s="9" t="s">
        <v>1</v>
      </c>
      <c r="D239" s="9" t="s">
        <v>25</v>
      </c>
      <c r="E239" s="11">
        <v>192</v>
      </c>
      <c r="F239" s="11">
        <v>5</v>
      </c>
      <c r="G239" s="11">
        <v>6</v>
      </c>
      <c r="H239" s="11"/>
      <c r="I239" s="12" t="s">
        <v>9</v>
      </c>
      <c r="J239" s="12"/>
      <c r="K239" s="11"/>
      <c r="L239" s="11"/>
      <c r="M239" s="12"/>
      <c r="N239" s="12"/>
      <c r="O239" s="32" t="s">
        <v>662</v>
      </c>
      <c r="P239" s="9"/>
      <c r="Q239" s="9"/>
      <c r="R239" s="11">
        <v>30</v>
      </c>
      <c r="S239" s="13">
        <v>45866</v>
      </c>
      <c r="T239" s="13">
        <v>45868</v>
      </c>
      <c r="U239" s="13">
        <v>45870</v>
      </c>
      <c r="V239" s="13">
        <v>45871</v>
      </c>
      <c r="W239" s="13">
        <v>45877</v>
      </c>
      <c r="X239" s="11" t="s">
        <v>503</v>
      </c>
      <c r="Y239" s="4" t="str">
        <f>IF(Tabela2[[#This Row],[SIGLA]]="","",VLOOKUP(Tabela2[[#This Row],[SIGLA]],Tabela1[[#All],[Sigla Arte]:[Crédito]],2,0))</f>
        <v>LISLLEY GOMES FEIGE/ARQUIVO DA EDITORA</v>
      </c>
      <c r="Z239" s="12"/>
      <c r="AA239" s="12" t="str">
        <f>Tabela2[[#This Row],[ILUSTRADOR CRIAÇÃO]]</f>
        <v>LISLLEY GOMES FEIGE/ARQUIVO DA EDITORA</v>
      </c>
      <c r="AB239" s="11">
        <v>5</v>
      </c>
      <c r="AC239" s="9" t="s">
        <v>663</v>
      </c>
      <c r="AD239" s="9" t="s">
        <v>22</v>
      </c>
      <c r="AE239" s="4" t="str">
        <f t="shared" si="3"/>
        <v>EF1 E002 Port</v>
      </c>
    </row>
    <row r="240" spans="1:31" s="7" customFormat="1" ht="90" x14ac:dyDescent="0.25">
      <c r="A240" s="12" t="s">
        <v>664</v>
      </c>
      <c r="B240" s="9" t="s">
        <v>40</v>
      </c>
      <c r="C240" s="9" t="s">
        <v>1</v>
      </c>
      <c r="D240" s="9" t="s">
        <v>25</v>
      </c>
      <c r="E240" s="11">
        <v>193</v>
      </c>
      <c r="F240" s="11">
        <v>5</v>
      </c>
      <c r="G240" s="11">
        <v>6</v>
      </c>
      <c r="H240" s="11"/>
      <c r="I240" s="12" t="s">
        <v>9</v>
      </c>
      <c r="J240" s="12"/>
      <c r="K240" s="11"/>
      <c r="L240" s="11"/>
      <c r="M240" s="12"/>
      <c r="N240" s="12"/>
      <c r="O240" s="32" t="s">
        <v>665</v>
      </c>
      <c r="P240" s="9"/>
      <c r="Q240" s="9"/>
      <c r="R240" s="11">
        <v>30</v>
      </c>
      <c r="S240" s="13">
        <v>45866</v>
      </c>
      <c r="T240" s="13">
        <v>45868</v>
      </c>
      <c r="U240" s="13">
        <v>45870</v>
      </c>
      <c r="V240" s="13">
        <v>45871</v>
      </c>
      <c r="W240" s="13">
        <v>45877</v>
      </c>
      <c r="X240" s="11" t="s">
        <v>503</v>
      </c>
      <c r="Y240" s="4" t="str">
        <f>IF(Tabela2[[#This Row],[SIGLA]]="","",VLOOKUP(Tabela2[[#This Row],[SIGLA]],Tabela1[[#All],[Sigla Arte]:[Crédito]],2,0))</f>
        <v>LISLLEY GOMES FEIGE/ARQUIVO DA EDITORA</v>
      </c>
      <c r="Z240" s="12"/>
      <c r="AA240" s="12" t="str">
        <f>Tabela2[[#This Row],[ILUSTRADOR CRIAÇÃO]]</f>
        <v>LISLLEY GOMES FEIGE/ARQUIVO DA EDITORA</v>
      </c>
      <c r="AB240" s="11">
        <v>5</v>
      </c>
      <c r="AC240" s="9" t="s">
        <v>663</v>
      </c>
      <c r="AD240" s="9" t="s">
        <v>22</v>
      </c>
      <c r="AE240" s="4" t="str">
        <f t="shared" si="3"/>
        <v>EF1 E002 Port</v>
      </c>
    </row>
    <row r="241" spans="1:31" s="7" customFormat="1" ht="60" x14ac:dyDescent="0.25">
      <c r="A241" s="12" t="s">
        <v>666</v>
      </c>
      <c r="B241" s="9" t="s">
        <v>42</v>
      </c>
      <c r="C241" s="9" t="s">
        <v>1</v>
      </c>
      <c r="D241" s="9" t="s">
        <v>25</v>
      </c>
      <c r="E241" s="11">
        <v>202</v>
      </c>
      <c r="F241" s="11">
        <v>5</v>
      </c>
      <c r="G241" s="11">
        <v>6</v>
      </c>
      <c r="H241" s="11"/>
      <c r="I241" s="12" t="s">
        <v>9</v>
      </c>
      <c r="J241" s="12"/>
      <c r="K241" s="11"/>
      <c r="L241" s="11"/>
      <c r="M241" s="12"/>
      <c r="N241" s="12"/>
      <c r="O241" s="32" t="s">
        <v>667</v>
      </c>
      <c r="P241" s="9"/>
      <c r="Q241" s="9"/>
      <c r="R241" s="11">
        <v>30</v>
      </c>
      <c r="S241" s="13">
        <v>45866</v>
      </c>
      <c r="T241" s="13"/>
      <c r="U241" s="13"/>
      <c r="V241" s="13"/>
      <c r="W241" s="13"/>
      <c r="X241" s="11"/>
      <c r="Y241" s="4" t="str">
        <f>IF(Tabela2[[#This Row],[SIGLA]]="","",VLOOKUP(Tabela2[[#This Row],[SIGLA]],Tabela1[[#All],[Sigla Arte]:[Crédito]],2,0))</f>
        <v/>
      </c>
      <c r="Z241" s="12"/>
      <c r="AA241" s="12" t="str">
        <f>Tabela2[[#This Row],[ILUSTRADOR CRIAÇÃO]]</f>
        <v/>
      </c>
      <c r="AB241" s="11"/>
      <c r="AC241" s="9" t="s">
        <v>658</v>
      </c>
      <c r="AD241" s="9"/>
      <c r="AE241" s="4" t="str">
        <f t="shared" si="3"/>
        <v>EF1 E002 Port</v>
      </c>
    </row>
    <row r="242" spans="1:31" s="7" customFormat="1" ht="60" x14ac:dyDescent="0.25">
      <c r="A242" s="12" t="s">
        <v>668</v>
      </c>
      <c r="B242" s="9" t="s">
        <v>40</v>
      </c>
      <c r="C242" s="9" t="s">
        <v>1</v>
      </c>
      <c r="D242" s="9" t="s">
        <v>25</v>
      </c>
      <c r="E242" s="11">
        <v>201</v>
      </c>
      <c r="F242" s="11">
        <v>5</v>
      </c>
      <c r="G242" s="11">
        <v>6</v>
      </c>
      <c r="H242" s="11"/>
      <c r="I242" s="12" t="s">
        <v>9</v>
      </c>
      <c r="J242" s="12"/>
      <c r="K242" s="11"/>
      <c r="L242" s="11"/>
      <c r="M242" s="12"/>
      <c r="N242" s="12"/>
      <c r="O242" s="32" t="s">
        <v>669</v>
      </c>
      <c r="P242" s="9"/>
      <c r="Q242" s="9"/>
      <c r="R242" s="11">
        <v>30</v>
      </c>
      <c r="S242" s="13">
        <v>45866</v>
      </c>
      <c r="T242" s="13">
        <v>45868</v>
      </c>
      <c r="U242" s="13">
        <v>45870</v>
      </c>
      <c r="V242" s="13">
        <v>45873</v>
      </c>
      <c r="W242" s="13">
        <v>45877</v>
      </c>
      <c r="X242" s="11" t="s">
        <v>503</v>
      </c>
      <c r="Y242" s="4" t="str">
        <f>IF(Tabela2[[#This Row],[SIGLA]]="","",VLOOKUP(Tabela2[[#This Row],[SIGLA]],Tabela1[[#All],[Sigla Arte]:[Crédito]],2,0))</f>
        <v>LISLLEY GOMES FEIGE/ARQUIVO DA EDITORA</v>
      </c>
      <c r="Z242" s="12"/>
      <c r="AA242" s="12" t="str">
        <f>Tabela2[[#This Row],[ILUSTRADOR CRIAÇÃO]]</f>
        <v>LISLLEY GOMES FEIGE/ARQUIVO DA EDITORA</v>
      </c>
      <c r="AB242" s="11">
        <v>5</v>
      </c>
      <c r="AC242" s="9" t="s">
        <v>663</v>
      </c>
      <c r="AD242" s="9" t="s">
        <v>22</v>
      </c>
      <c r="AE242" s="4" t="str">
        <f t="shared" si="3"/>
        <v>EF1 E002 Port</v>
      </c>
    </row>
    <row r="243" spans="1:31" s="7" customFormat="1" ht="45" x14ac:dyDescent="0.25">
      <c r="A243" s="12" t="s">
        <v>670</v>
      </c>
      <c r="B243" s="9" t="s">
        <v>40</v>
      </c>
      <c r="C243" s="9" t="s">
        <v>1</v>
      </c>
      <c r="D243" s="9" t="s">
        <v>25</v>
      </c>
      <c r="E243" s="11">
        <v>203</v>
      </c>
      <c r="F243" s="11">
        <v>5</v>
      </c>
      <c r="G243" s="11">
        <v>6</v>
      </c>
      <c r="H243" s="11"/>
      <c r="I243" s="12" t="s">
        <v>9</v>
      </c>
      <c r="J243" s="12"/>
      <c r="K243" s="11"/>
      <c r="L243" s="11"/>
      <c r="M243" s="12"/>
      <c r="N243" s="12"/>
      <c r="O243" s="32" t="s">
        <v>671</v>
      </c>
      <c r="P243" s="9"/>
      <c r="Q243" s="9"/>
      <c r="R243" s="11">
        <v>30</v>
      </c>
      <c r="S243" s="13">
        <v>45866</v>
      </c>
      <c r="T243" s="13">
        <v>45868</v>
      </c>
      <c r="U243" s="13">
        <v>45870</v>
      </c>
      <c r="V243" s="13">
        <v>45873</v>
      </c>
      <c r="W243" s="13">
        <v>45877</v>
      </c>
      <c r="X243" s="11" t="s">
        <v>503</v>
      </c>
      <c r="Y243" s="4" t="str">
        <f>IF(Tabela2[[#This Row],[SIGLA]]="","",VLOOKUP(Tabela2[[#This Row],[SIGLA]],Tabela1[[#All],[Sigla Arte]:[Crédito]],2,0))</f>
        <v>LISLLEY GOMES FEIGE/ARQUIVO DA EDITORA</v>
      </c>
      <c r="Z243" s="12"/>
      <c r="AA243" s="12" t="str">
        <f>Tabela2[[#This Row],[ILUSTRADOR CRIAÇÃO]]</f>
        <v>LISLLEY GOMES FEIGE/ARQUIVO DA EDITORA</v>
      </c>
      <c r="AB243" s="11">
        <v>7</v>
      </c>
      <c r="AC243" s="9" t="s">
        <v>663</v>
      </c>
      <c r="AD243" s="9" t="s">
        <v>22</v>
      </c>
      <c r="AE243" s="4" t="str">
        <f t="shared" si="3"/>
        <v>EF1 E002 Port</v>
      </c>
    </row>
    <row r="244" spans="1:31" s="7" customFormat="1" x14ac:dyDescent="0.25">
      <c r="A244" s="12" t="s">
        <v>672</v>
      </c>
      <c r="B244" s="9" t="s">
        <v>37</v>
      </c>
      <c r="C244" s="9" t="s">
        <v>1</v>
      </c>
      <c r="D244" s="9" t="s">
        <v>25</v>
      </c>
      <c r="E244" s="11">
        <v>250</v>
      </c>
      <c r="F244" s="11">
        <v>5</v>
      </c>
      <c r="G244" s="11">
        <v>7</v>
      </c>
      <c r="H244" s="11"/>
      <c r="I244" s="12" t="s">
        <v>15</v>
      </c>
      <c r="J244" s="12"/>
      <c r="K244" s="11"/>
      <c r="L244" s="11"/>
      <c r="M244" s="12"/>
      <c r="N244" s="12"/>
      <c r="O244" s="32" t="s">
        <v>673</v>
      </c>
      <c r="P244" s="9"/>
      <c r="Q244" s="9"/>
      <c r="R244" s="11"/>
      <c r="S244" s="13"/>
      <c r="T244" s="13"/>
      <c r="U244" s="13"/>
      <c r="V244" s="13"/>
      <c r="W244" s="13"/>
      <c r="X244" s="11"/>
      <c r="Y244" s="4" t="str">
        <f>IF(Tabela2[[#This Row],[SIGLA]]="","",VLOOKUP(Tabela2[[#This Row],[SIGLA]],Tabela1[[#All],[Sigla Arte]:[Crédito]],2,0))</f>
        <v/>
      </c>
      <c r="Z244" s="12"/>
      <c r="AA244" s="12" t="str">
        <f>Tabela2[[#This Row],[ILUSTRADOR CRIAÇÃO]]</f>
        <v/>
      </c>
      <c r="AB244" s="11"/>
      <c r="AC244" s="9"/>
      <c r="AD244" s="9"/>
      <c r="AE244" s="4" t="str">
        <f t="shared" si="3"/>
        <v>EF1 E002 Port</v>
      </c>
    </row>
    <row r="245" spans="1:31" s="7" customFormat="1" x14ac:dyDescent="0.25">
      <c r="A245" s="12" t="s">
        <v>674</v>
      </c>
      <c r="B245" s="9" t="s">
        <v>42</v>
      </c>
      <c r="C245" s="9" t="s">
        <v>1</v>
      </c>
      <c r="D245" s="9" t="s">
        <v>25</v>
      </c>
      <c r="E245" s="11">
        <v>97</v>
      </c>
      <c r="F245" s="11">
        <v>2</v>
      </c>
      <c r="G245" s="11">
        <v>3</v>
      </c>
      <c r="H245" s="11"/>
      <c r="I245" s="12" t="s">
        <v>9</v>
      </c>
      <c r="J245" s="12"/>
      <c r="K245" s="11"/>
      <c r="L245" s="11"/>
      <c r="M245" s="12"/>
      <c r="N245" s="12"/>
      <c r="O245" s="32" t="s">
        <v>675</v>
      </c>
      <c r="P245" s="9"/>
      <c r="Q245" s="9"/>
      <c r="R245" s="11">
        <v>31</v>
      </c>
      <c r="S245" s="13">
        <v>45872</v>
      </c>
      <c r="T245" s="13"/>
      <c r="U245" s="13"/>
      <c r="V245" s="13"/>
      <c r="W245" s="13"/>
      <c r="X245" s="11"/>
      <c r="Y245" s="4" t="str">
        <f>IF(Tabela2[[#This Row],[SIGLA]]="","",VLOOKUP(Tabela2[[#This Row],[SIGLA]],Tabela1[[#All],[Sigla Arte]:[Crédito]],2,0))</f>
        <v/>
      </c>
      <c r="Z245" s="12"/>
      <c r="AA245" s="12" t="str">
        <f>Tabela2[[#This Row],[ILUSTRADOR CRIAÇÃO]]</f>
        <v/>
      </c>
      <c r="AB245" s="11"/>
      <c r="AC245" s="9" t="s">
        <v>676</v>
      </c>
      <c r="AD245" s="9"/>
      <c r="AE245" s="4" t="str">
        <f t="shared" si="3"/>
        <v>EF1 E002 Port</v>
      </c>
    </row>
    <row r="246" spans="1:31" s="7" customFormat="1" ht="60" x14ac:dyDescent="0.25">
      <c r="A246" s="12" t="s">
        <v>677</v>
      </c>
      <c r="B246" s="9" t="s">
        <v>40</v>
      </c>
      <c r="C246" s="9" t="s">
        <v>1</v>
      </c>
      <c r="D246" s="9" t="s">
        <v>25</v>
      </c>
      <c r="E246" s="11">
        <v>101</v>
      </c>
      <c r="F246" s="11">
        <v>2</v>
      </c>
      <c r="G246" s="11">
        <v>3</v>
      </c>
      <c r="H246" s="11"/>
      <c r="I246" s="12" t="s">
        <v>9</v>
      </c>
      <c r="J246" s="12"/>
      <c r="K246" s="11"/>
      <c r="L246" s="11"/>
      <c r="M246" s="12"/>
      <c r="N246" s="12"/>
      <c r="O246" s="32" t="s">
        <v>678</v>
      </c>
      <c r="P246" s="9"/>
      <c r="Q246" s="9"/>
      <c r="R246" s="11">
        <v>31</v>
      </c>
      <c r="S246" s="13">
        <v>45872</v>
      </c>
      <c r="T246" s="13">
        <v>45874</v>
      </c>
      <c r="U246" s="13">
        <v>45876</v>
      </c>
      <c r="V246" s="13">
        <v>45877</v>
      </c>
      <c r="W246" s="13">
        <v>45881</v>
      </c>
      <c r="X246" s="11" t="s">
        <v>679</v>
      </c>
      <c r="Y246" s="4" t="str">
        <f>IF(Tabela2[[#This Row],[SIGLA]]="","",VLOOKUP(Tabela2[[#This Row],[SIGLA]],Tabela1[[#All],[Sigla Arte]:[Crédito]],2,0))</f>
        <v>ISABELLA MEDEIROS/ARQUIVO DA EDITORA</v>
      </c>
      <c r="Z246" s="12"/>
      <c r="AA246" s="12" t="str">
        <f>Tabela2[[#This Row],[ILUSTRADOR CRIAÇÃO]]</f>
        <v>ISABELLA MEDEIROS/ARQUIVO DA EDITORA</v>
      </c>
      <c r="AB246" s="11">
        <v>6</v>
      </c>
      <c r="AC246" s="9" t="s">
        <v>680</v>
      </c>
      <c r="AD246" s="9" t="s">
        <v>22</v>
      </c>
      <c r="AE246" s="4" t="str">
        <f t="shared" si="3"/>
        <v>EF1 E002 Port</v>
      </c>
    </row>
    <row r="247" spans="1:31" s="7" customFormat="1" x14ac:dyDescent="0.25">
      <c r="A247" s="12" t="s">
        <v>681</v>
      </c>
      <c r="B247" s="9" t="s">
        <v>40</v>
      </c>
      <c r="C247" s="9" t="s">
        <v>1</v>
      </c>
      <c r="D247" s="9" t="s">
        <v>25</v>
      </c>
      <c r="E247" s="11">
        <v>111</v>
      </c>
      <c r="F247" s="11">
        <v>2</v>
      </c>
      <c r="G247" s="11">
        <v>3</v>
      </c>
      <c r="H247" s="11"/>
      <c r="I247" s="12" t="s">
        <v>9</v>
      </c>
      <c r="J247" s="12"/>
      <c r="K247" s="11"/>
      <c r="L247" s="11"/>
      <c r="M247" s="12"/>
      <c r="N247" s="12"/>
      <c r="O247" s="32" t="s">
        <v>682</v>
      </c>
      <c r="P247" s="9"/>
      <c r="Q247" s="9"/>
      <c r="R247" s="11">
        <v>31</v>
      </c>
      <c r="S247" s="13">
        <v>45872</v>
      </c>
      <c r="T247" s="13">
        <v>45874</v>
      </c>
      <c r="U247" s="13"/>
      <c r="V247" s="13"/>
      <c r="W247" s="13">
        <v>45877</v>
      </c>
      <c r="X247" s="11" t="s">
        <v>245</v>
      </c>
      <c r="Y247" s="4" t="str">
        <f>IF(Tabela2[[#This Row],[SIGLA]]="","",VLOOKUP(Tabela2[[#This Row],[SIGLA]],Tabela1[[#All],[Sigla Arte]:[Crédito]],2,0))</f>
        <v>HELOÍSA PINTARELLI/ARQUIVO DA EDITORA</v>
      </c>
      <c r="Z247" s="12"/>
      <c r="AA247" s="12" t="str">
        <f>Tabela2[[#This Row],[ILUSTRADOR CRIAÇÃO]]</f>
        <v>HELOÍSA PINTARELLI/ARQUIVO DA EDITORA</v>
      </c>
      <c r="AB247" s="11">
        <v>8</v>
      </c>
      <c r="AC247" s="9" t="s">
        <v>683</v>
      </c>
      <c r="AD247" s="9" t="s">
        <v>22</v>
      </c>
      <c r="AE247" s="4" t="str">
        <f t="shared" si="3"/>
        <v>EF1 E002 Port</v>
      </c>
    </row>
    <row r="248" spans="1:31" s="7" customFormat="1" ht="30" x14ac:dyDescent="0.25">
      <c r="A248" s="12" t="s">
        <v>684</v>
      </c>
      <c r="B248" s="9" t="s">
        <v>40</v>
      </c>
      <c r="C248" s="9" t="s">
        <v>1</v>
      </c>
      <c r="D248" s="9" t="s">
        <v>25</v>
      </c>
      <c r="E248" s="11">
        <v>111</v>
      </c>
      <c r="F248" s="11">
        <v>2</v>
      </c>
      <c r="G248" s="11">
        <v>3</v>
      </c>
      <c r="H248" s="11"/>
      <c r="I248" s="12" t="s">
        <v>9</v>
      </c>
      <c r="J248" s="12"/>
      <c r="K248" s="11"/>
      <c r="L248" s="11"/>
      <c r="M248" s="12"/>
      <c r="N248" s="12"/>
      <c r="O248" s="32" t="s">
        <v>685</v>
      </c>
      <c r="P248" s="9"/>
      <c r="Q248" s="9"/>
      <c r="R248" s="11">
        <v>31</v>
      </c>
      <c r="S248" s="13">
        <v>45872</v>
      </c>
      <c r="T248" s="13">
        <v>45874</v>
      </c>
      <c r="U248" s="13"/>
      <c r="V248" s="13"/>
      <c r="W248" s="13">
        <v>45877</v>
      </c>
      <c r="X248" s="11" t="s">
        <v>245</v>
      </c>
      <c r="Y248" s="4" t="str">
        <f>IF(Tabela2[[#This Row],[SIGLA]]="","",VLOOKUP(Tabela2[[#This Row],[SIGLA]],Tabela1[[#All],[Sigla Arte]:[Crédito]],2,0))</f>
        <v>HELOÍSA PINTARELLI/ARQUIVO DA EDITORA</v>
      </c>
      <c r="Z248" s="12"/>
      <c r="AA248" s="12" t="str">
        <f>Tabela2[[#This Row],[ILUSTRADOR CRIAÇÃO]]</f>
        <v>HELOÍSA PINTARELLI/ARQUIVO DA EDITORA</v>
      </c>
      <c r="AB248" s="11">
        <v>8</v>
      </c>
      <c r="AC248" s="9" t="s">
        <v>683</v>
      </c>
      <c r="AD248" s="9" t="s">
        <v>22</v>
      </c>
      <c r="AE248" s="4" t="str">
        <f t="shared" si="3"/>
        <v>EF1 E002 Port</v>
      </c>
    </row>
    <row r="249" spans="1:31" s="7" customFormat="1" x14ac:dyDescent="0.25">
      <c r="A249" s="12" t="s">
        <v>686</v>
      </c>
      <c r="B249" s="9" t="s">
        <v>40</v>
      </c>
      <c r="C249" s="9" t="s">
        <v>1</v>
      </c>
      <c r="D249" s="9" t="s">
        <v>25</v>
      </c>
      <c r="E249" s="11">
        <v>111</v>
      </c>
      <c r="F249" s="11">
        <v>2</v>
      </c>
      <c r="G249" s="11">
        <v>3</v>
      </c>
      <c r="H249" s="11"/>
      <c r="I249" s="12" t="s">
        <v>9</v>
      </c>
      <c r="J249" s="12"/>
      <c r="K249" s="11"/>
      <c r="L249" s="11"/>
      <c r="M249" s="12"/>
      <c r="N249" s="12"/>
      <c r="O249" s="32" t="s">
        <v>687</v>
      </c>
      <c r="P249" s="9"/>
      <c r="Q249" s="9"/>
      <c r="R249" s="11">
        <v>31</v>
      </c>
      <c r="S249" s="13">
        <v>45872</v>
      </c>
      <c r="T249" s="13">
        <v>45874</v>
      </c>
      <c r="U249" s="13"/>
      <c r="V249" s="13"/>
      <c r="W249" s="13">
        <v>45877</v>
      </c>
      <c r="X249" s="11" t="s">
        <v>245</v>
      </c>
      <c r="Y249" s="4" t="str">
        <f>IF(Tabela2[[#This Row],[SIGLA]]="","",VLOOKUP(Tabela2[[#This Row],[SIGLA]],Tabela1[[#All],[Sigla Arte]:[Crédito]],2,0))</f>
        <v>HELOÍSA PINTARELLI/ARQUIVO DA EDITORA</v>
      </c>
      <c r="Z249" s="12"/>
      <c r="AA249" s="12" t="str">
        <f>Tabela2[[#This Row],[ILUSTRADOR CRIAÇÃO]]</f>
        <v>HELOÍSA PINTARELLI/ARQUIVO DA EDITORA</v>
      </c>
      <c r="AB249" s="11">
        <v>7</v>
      </c>
      <c r="AC249" s="9" t="s">
        <v>683</v>
      </c>
      <c r="AD249" s="9" t="s">
        <v>22</v>
      </c>
      <c r="AE249" s="4" t="str">
        <f t="shared" si="3"/>
        <v>EF1 E002 Port</v>
      </c>
    </row>
    <row r="250" spans="1:31" s="7" customFormat="1" ht="30" x14ac:dyDescent="0.25">
      <c r="A250" s="12" t="s">
        <v>688</v>
      </c>
      <c r="B250" s="9" t="s">
        <v>40</v>
      </c>
      <c r="C250" s="9" t="s">
        <v>1</v>
      </c>
      <c r="D250" s="9" t="s">
        <v>25</v>
      </c>
      <c r="E250" s="11">
        <v>111</v>
      </c>
      <c r="F250" s="11">
        <v>2</v>
      </c>
      <c r="G250" s="11">
        <v>3</v>
      </c>
      <c r="H250" s="11"/>
      <c r="I250" s="12" t="s">
        <v>9</v>
      </c>
      <c r="J250" s="12"/>
      <c r="K250" s="11"/>
      <c r="L250" s="11"/>
      <c r="M250" s="12"/>
      <c r="N250" s="12"/>
      <c r="O250" s="32" t="s">
        <v>689</v>
      </c>
      <c r="P250" s="9"/>
      <c r="Q250" s="9"/>
      <c r="R250" s="11">
        <v>31</v>
      </c>
      <c r="S250" s="13">
        <v>45872</v>
      </c>
      <c r="T250" s="13">
        <v>45874</v>
      </c>
      <c r="U250" s="13"/>
      <c r="V250" s="13"/>
      <c r="W250" s="13">
        <v>45877</v>
      </c>
      <c r="X250" s="11" t="s">
        <v>245</v>
      </c>
      <c r="Y250" s="4" t="str">
        <f>IF(Tabela2[[#This Row],[SIGLA]]="","",VLOOKUP(Tabela2[[#This Row],[SIGLA]],Tabela1[[#All],[Sigla Arte]:[Crédito]],2,0))</f>
        <v>HELOÍSA PINTARELLI/ARQUIVO DA EDITORA</v>
      </c>
      <c r="Z250" s="12"/>
      <c r="AA250" s="12" t="str">
        <f>Tabela2[[#This Row],[ILUSTRADOR CRIAÇÃO]]</f>
        <v>HELOÍSA PINTARELLI/ARQUIVO DA EDITORA</v>
      </c>
      <c r="AB250" s="11">
        <v>8</v>
      </c>
      <c r="AC250" s="9" t="s">
        <v>683</v>
      </c>
      <c r="AD250" s="9" t="s">
        <v>22</v>
      </c>
      <c r="AE250" s="4" t="str">
        <f t="shared" si="3"/>
        <v>EF1 E002 Port</v>
      </c>
    </row>
    <row r="251" spans="1:31" s="7" customFormat="1" x14ac:dyDescent="0.25">
      <c r="A251" s="12" t="s">
        <v>690</v>
      </c>
      <c r="B251" s="9" t="s">
        <v>40</v>
      </c>
      <c r="C251" s="9" t="s">
        <v>1</v>
      </c>
      <c r="D251" s="9" t="s">
        <v>25</v>
      </c>
      <c r="E251" s="11">
        <v>111</v>
      </c>
      <c r="F251" s="11">
        <v>2</v>
      </c>
      <c r="G251" s="11">
        <v>3</v>
      </c>
      <c r="H251" s="11"/>
      <c r="I251" s="12" t="s">
        <v>9</v>
      </c>
      <c r="J251" s="12"/>
      <c r="K251" s="11"/>
      <c r="L251" s="11"/>
      <c r="M251" s="12"/>
      <c r="N251" s="12"/>
      <c r="O251" s="32" t="s">
        <v>691</v>
      </c>
      <c r="P251" s="9"/>
      <c r="Q251" s="9"/>
      <c r="R251" s="11">
        <v>31</v>
      </c>
      <c r="S251" s="13">
        <v>45872</v>
      </c>
      <c r="T251" s="13">
        <v>45874</v>
      </c>
      <c r="U251" s="13"/>
      <c r="V251" s="13"/>
      <c r="W251" s="13">
        <v>45877</v>
      </c>
      <c r="X251" s="11" t="s">
        <v>245</v>
      </c>
      <c r="Y251" s="4" t="str">
        <f>IF(Tabela2[[#This Row],[SIGLA]]="","",VLOOKUP(Tabela2[[#This Row],[SIGLA]],Tabela1[[#All],[Sigla Arte]:[Crédito]],2,0))</f>
        <v>HELOÍSA PINTARELLI/ARQUIVO DA EDITORA</v>
      </c>
      <c r="Z251" s="12"/>
      <c r="AA251" s="12" t="str">
        <f>Tabela2[[#This Row],[ILUSTRADOR CRIAÇÃO]]</f>
        <v>HELOÍSA PINTARELLI/ARQUIVO DA EDITORA</v>
      </c>
      <c r="AB251" s="11">
        <v>8</v>
      </c>
      <c r="AC251" s="9" t="s">
        <v>683</v>
      </c>
      <c r="AD251" s="9" t="s">
        <v>22</v>
      </c>
      <c r="AE251" s="4" t="str">
        <f t="shared" si="3"/>
        <v>EF1 E002 Port</v>
      </c>
    </row>
    <row r="252" spans="1:31" s="7" customFormat="1" x14ac:dyDescent="0.25">
      <c r="A252" s="12" t="s">
        <v>692</v>
      </c>
      <c r="B252" s="9" t="s">
        <v>40</v>
      </c>
      <c r="C252" s="9" t="s">
        <v>1</v>
      </c>
      <c r="D252" s="9" t="s">
        <v>25</v>
      </c>
      <c r="E252" s="11">
        <v>111</v>
      </c>
      <c r="F252" s="11">
        <v>2</v>
      </c>
      <c r="G252" s="11">
        <v>3</v>
      </c>
      <c r="H252" s="11"/>
      <c r="I252" s="12" t="s">
        <v>9</v>
      </c>
      <c r="J252" s="12"/>
      <c r="K252" s="11"/>
      <c r="L252" s="11"/>
      <c r="M252" s="12"/>
      <c r="N252" s="12"/>
      <c r="O252" s="32" t="s">
        <v>693</v>
      </c>
      <c r="P252" s="9"/>
      <c r="Q252" s="9"/>
      <c r="R252" s="11">
        <v>31</v>
      </c>
      <c r="S252" s="13">
        <v>45872</v>
      </c>
      <c r="T252" s="13">
        <v>45874</v>
      </c>
      <c r="U252" s="13"/>
      <c r="V252" s="13"/>
      <c r="W252" s="13">
        <v>45877</v>
      </c>
      <c r="X252" s="11" t="s">
        <v>245</v>
      </c>
      <c r="Y252" s="4" t="str">
        <f>IF(Tabela2[[#This Row],[SIGLA]]="","",VLOOKUP(Tabela2[[#This Row],[SIGLA]],Tabela1[[#All],[Sigla Arte]:[Crédito]],2,0))</f>
        <v>HELOÍSA PINTARELLI/ARQUIVO DA EDITORA</v>
      </c>
      <c r="Z252" s="12"/>
      <c r="AA252" s="12" t="str">
        <f>Tabela2[[#This Row],[ILUSTRADOR CRIAÇÃO]]</f>
        <v>HELOÍSA PINTARELLI/ARQUIVO DA EDITORA</v>
      </c>
      <c r="AB252" s="11">
        <v>7</v>
      </c>
      <c r="AC252" s="9" t="s">
        <v>683</v>
      </c>
      <c r="AD252" s="9" t="s">
        <v>22</v>
      </c>
      <c r="AE252" s="4" t="str">
        <f t="shared" si="3"/>
        <v>EF1 E002 Port</v>
      </c>
    </row>
    <row r="253" spans="1:31" s="7" customFormat="1" ht="45" x14ac:dyDescent="0.25">
      <c r="A253" s="12" t="s">
        <v>694</v>
      </c>
      <c r="B253" s="9" t="s">
        <v>40</v>
      </c>
      <c r="C253" s="9" t="s">
        <v>1</v>
      </c>
      <c r="D253" s="9" t="s">
        <v>25</v>
      </c>
      <c r="E253" s="11">
        <v>112</v>
      </c>
      <c r="F253" s="11">
        <v>2</v>
      </c>
      <c r="G253" s="11">
        <v>3</v>
      </c>
      <c r="H253" s="11"/>
      <c r="I253" s="12" t="s">
        <v>9</v>
      </c>
      <c r="J253" s="12"/>
      <c r="K253" s="11"/>
      <c r="L253" s="11"/>
      <c r="M253" s="12"/>
      <c r="N253" s="12"/>
      <c r="O253" s="32" t="s">
        <v>695</v>
      </c>
      <c r="P253" s="9"/>
      <c r="Q253" s="9"/>
      <c r="R253" s="11">
        <v>31</v>
      </c>
      <c r="S253" s="13">
        <v>45872</v>
      </c>
      <c r="T253" s="13">
        <v>45874</v>
      </c>
      <c r="U253" s="13">
        <v>45876</v>
      </c>
      <c r="V253" s="13">
        <v>45877</v>
      </c>
      <c r="W253" s="13">
        <v>45881</v>
      </c>
      <c r="X253" s="11" t="s">
        <v>679</v>
      </c>
      <c r="Y253" s="4" t="str">
        <f>IF(Tabela2[[#This Row],[SIGLA]]="","",VLOOKUP(Tabela2[[#This Row],[SIGLA]],Tabela1[[#All],[Sigla Arte]:[Crédito]],2,0))</f>
        <v>ISABELLA MEDEIROS/ARQUIVO DA EDITORA</v>
      </c>
      <c r="Z253" s="12"/>
      <c r="AA253" s="12" t="str">
        <f>Tabela2[[#This Row],[ILUSTRADOR CRIAÇÃO]]</f>
        <v>ISABELLA MEDEIROS/ARQUIVO DA EDITORA</v>
      </c>
      <c r="AB253" s="11">
        <v>5</v>
      </c>
      <c r="AC253" s="9" t="s">
        <v>680</v>
      </c>
      <c r="AD253" s="9" t="s">
        <v>22</v>
      </c>
      <c r="AE253" s="4" t="str">
        <f t="shared" si="3"/>
        <v>EF1 E002 Port</v>
      </c>
    </row>
    <row r="254" spans="1:31" s="7" customFormat="1" ht="45" x14ac:dyDescent="0.25">
      <c r="A254" s="12" t="s">
        <v>696</v>
      </c>
      <c r="B254" s="9" t="s">
        <v>42</v>
      </c>
      <c r="C254" s="9" t="s">
        <v>1</v>
      </c>
      <c r="D254" s="9" t="s">
        <v>25</v>
      </c>
      <c r="E254" s="11">
        <v>115</v>
      </c>
      <c r="F254" s="11">
        <v>2</v>
      </c>
      <c r="G254" s="11">
        <v>3</v>
      </c>
      <c r="H254" s="11"/>
      <c r="I254" s="12" t="s">
        <v>9</v>
      </c>
      <c r="J254" s="12"/>
      <c r="K254" s="11"/>
      <c r="L254" s="11"/>
      <c r="M254" s="12"/>
      <c r="N254" s="12"/>
      <c r="O254" s="32" t="s">
        <v>697</v>
      </c>
      <c r="P254" s="9"/>
      <c r="Q254" s="9"/>
      <c r="R254" s="11">
        <v>31</v>
      </c>
      <c r="S254" s="13">
        <v>45872</v>
      </c>
      <c r="T254" s="13"/>
      <c r="U254" s="13"/>
      <c r="V254" s="13"/>
      <c r="W254" s="13"/>
      <c r="X254" s="11"/>
      <c r="Y254" s="4" t="str">
        <f>IF(Tabela2[[#This Row],[SIGLA]]="","",VLOOKUP(Tabela2[[#This Row],[SIGLA]],Tabela1[[#All],[Sigla Arte]:[Crédito]],2,0))</f>
        <v/>
      </c>
      <c r="Z254" s="12"/>
      <c r="AA254" s="12" t="str">
        <f>Tabela2[[#This Row],[ILUSTRADOR CRIAÇÃO]]</f>
        <v/>
      </c>
      <c r="AB254" s="11"/>
      <c r="AC254" s="9" t="s">
        <v>676</v>
      </c>
      <c r="AD254" s="9"/>
      <c r="AE254" s="4" t="str">
        <f t="shared" si="3"/>
        <v>EF1 E002 Port</v>
      </c>
    </row>
    <row r="255" spans="1:31" s="7" customFormat="1" ht="135" x14ac:dyDescent="0.25">
      <c r="A255" s="12" t="s">
        <v>698</v>
      </c>
      <c r="B255" s="9" t="s">
        <v>40</v>
      </c>
      <c r="C255" s="9" t="s">
        <v>1</v>
      </c>
      <c r="D255" s="9" t="s">
        <v>25</v>
      </c>
      <c r="E255" s="11">
        <v>117</v>
      </c>
      <c r="F255" s="11">
        <v>2</v>
      </c>
      <c r="G255" s="11">
        <v>3</v>
      </c>
      <c r="H255" s="11"/>
      <c r="I255" s="12" t="s">
        <v>9</v>
      </c>
      <c r="J255" s="12"/>
      <c r="K255" s="11"/>
      <c r="L255" s="11"/>
      <c r="M255" s="12"/>
      <c r="N255" s="12"/>
      <c r="O255" s="32" t="s">
        <v>699</v>
      </c>
      <c r="P255" s="9"/>
      <c r="Q255" s="9"/>
      <c r="R255" s="11">
        <v>31</v>
      </c>
      <c r="S255" s="13">
        <v>45872</v>
      </c>
      <c r="T255" s="13">
        <v>45874</v>
      </c>
      <c r="U255" s="13">
        <v>45876</v>
      </c>
      <c r="V255" s="13">
        <v>45877</v>
      </c>
      <c r="W255" s="13">
        <v>45881</v>
      </c>
      <c r="X255" s="11" t="s">
        <v>679</v>
      </c>
      <c r="Y255" s="4" t="str">
        <f>IF(Tabela2[[#This Row],[SIGLA]]="","",VLOOKUP(Tabela2[[#This Row],[SIGLA]],Tabela1[[#All],[Sigla Arte]:[Crédito]],2,0))</f>
        <v>ISABELLA MEDEIROS/ARQUIVO DA EDITORA</v>
      </c>
      <c r="Z255" s="12"/>
      <c r="AA255" s="12" t="str">
        <f>Tabela2[[#This Row],[ILUSTRADOR CRIAÇÃO]]</f>
        <v>ISABELLA MEDEIROS/ARQUIVO DA EDITORA</v>
      </c>
      <c r="AB255" s="11">
        <v>5</v>
      </c>
      <c r="AC255" s="9" t="s">
        <v>680</v>
      </c>
      <c r="AD255" s="9" t="s">
        <v>22</v>
      </c>
      <c r="AE255" s="4" t="str">
        <f t="shared" si="3"/>
        <v>EF1 E002 Port</v>
      </c>
    </row>
    <row r="256" spans="1:31" s="7" customFormat="1" ht="135" x14ac:dyDescent="0.25">
      <c r="A256" s="12" t="s">
        <v>700</v>
      </c>
      <c r="B256" s="9" t="s">
        <v>40</v>
      </c>
      <c r="C256" s="9" t="s">
        <v>1</v>
      </c>
      <c r="D256" s="9" t="s">
        <v>25</v>
      </c>
      <c r="E256" s="11">
        <v>124</v>
      </c>
      <c r="F256" s="11">
        <v>2</v>
      </c>
      <c r="G256" s="11">
        <v>3</v>
      </c>
      <c r="H256" s="11"/>
      <c r="I256" s="12" t="s">
        <v>9</v>
      </c>
      <c r="J256" s="12"/>
      <c r="K256" s="11"/>
      <c r="L256" s="11"/>
      <c r="M256" s="12"/>
      <c r="N256" s="12"/>
      <c r="O256" s="32" t="s">
        <v>701</v>
      </c>
      <c r="P256" s="9"/>
      <c r="Q256" s="9"/>
      <c r="R256" s="11">
        <v>31</v>
      </c>
      <c r="S256" s="13">
        <v>45872</v>
      </c>
      <c r="T256" s="13">
        <v>45874</v>
      </c>
      <c r="U256" s="13">
        <v>45876</v>
      </c>
      <c r="V256" s="13">
        <v>45877</v>
      </c>
      <c r="W256" s="13">
        <v>45881</v>
      </c>
      <c r="X256" s="11" t="s">
        <v>679</v>
      </c>
      <c r="Y256" s="4" t="str">
        <f>IF(Tabela2[[#This Row],[SIGLA]]="","",VLOOKUP(Tabela2[[#This Row],[SIGLA]],Tabela1[[#All],[Sigla Arte]:[Crédito]],2,0))</f>
        <v>ISABELLA MEDEIROS/ARQUIVO DA EDITORA</v>
      </c>
      <c r="Z256" s="12"/>
      <c r="AA256" s="12" t="str">
        <f>Tabela2[[#This Row],[ILUSTRADOR CRIAÇÃO]]</f>
        <v>ISABELLA MEDEIROS/ARQUIVO DA EDITORA</v>
      </c>
      <c r="AB256" s="11">
        <v>5</v>
      </c>
      <c r="AC256" s="9" t="s">
        <v>680</v>
      </c>
      <c r="AD256" s="9" t="s">
        <v>22</v>
      </c>
      <c r="AE256" s="4" t="str">
        <f t="shared" si="3"/>
        <v>EF1 E002 Port</v>
      </c>
    </row>
    <row r="257" spans="1:31" s="7" customFormat="1" ht="75" x14ac:dyDescent="0.25">
      <c r="A257" s="12" t="s">
        <v>702</v>
      </c>
      <c r="B257" s="9" t="s">
        <v>40</v>
      </c>
      <c r="C257" s="9" t="s">
        <v>1</v>
      </c>
      <c r="D257" s="9" t="s">
        <v>25</v>
      </c>
      <c r="E257" s="11">
        <v>168</v>
      </c>
      <c r="F257" s="11">
        <v>5</v>
      </c>
      <c r="G257" s="11">
        <v>5</v>
      </c>
      <c r="H257" s="11"/>
      <c r="I257" s="12" t="s">
        <v>9</v>
      </c>
      <c r="J257" s="12"/>
      <c r="K257" s="11"/>
      <c r="L257" s="11"/>
      <c r="M257" s="12"/>
      <c r="N257" s="12"/>
      <c r="O257" s="32" t="s">
        <v>703</v>
      </c>
      <c r="P257" s="9"/>
      <c r="Q257" s="9"/>
      <c r="R257" s="11">
        <v>32</v>
      </c>
      <c r="S257" s="13">
        <v>45873</v>
      </c>
      <c r="T257" s="13">
        <v>45875</v>
      </c>
      <c r="U257" s="13">
        <v>45881</v>
      </c>
      <c r="V257" s="13">
        <v>45882</v>
      </c>
      <c r="W257" s="13">
        <v>45883</v>
      </c>
      <c r="X257" s="11" t="s">
        <v>194</v>
      </c>
      <c r="Y257" s="4" t="str">
        <f>IF(Tabela2[[#This Row],[SIGLA]]="","",VLOOKUP(Tabela2[[#This Row],[SIGLA]],Tabela1[[#All],[Sigla Arte]:[Crédito]],2,0))</f>
        <v>RAFAEL LUZIO/ARQUIVO DA EDITORA</v>
      </c>
      <c r="Z257" s="12"/>
      <c r="AA257" s="12" t="str">
        <f>Tabela2[[#This Row],[ILUSTRADOR CRIAÇÃO]]</f>
        <v>RAFAEL LUZIO/ARQUIVO DA EDITORA</v>
      </c>
      <c r="AB257" s="11">
        <v>6</v>
      </c>
      <c r="AC257" s="9" t="s">
        <v>704</v>
      </c>
      <c r="AD257" s="9" t="s">
        <v>22</v>
      </c>
      <c r="AE257" s="4" t="str">
        <f t="shared" si="3"/>
        <v>EF1 E002 Port</v>
      </c>
    </row>
    <row r="258" spans="1:31" s="7" customFormat="1" ht="75" x14ac:dyDescent="0.25">
      <c r="A258" s="12" t="s">
        <v>705</v>
      </c>
      <c r="B258" s="9" t="s">
        <v>40</v>
      </c>
      <c r="C258" s="9" t="s">
        <v>1</v>
      </c>
      <c r="D258" s="9" t="s">
        <v>25</v>
      </c>
      <c r="E258" s="11">
        <v>169</v>
      </c>
      <c r="F258" s="11">
        <v>5</v>
      </c>
      <c r="G258" s="11">
        <v>5</v>
      </c>
      <c r="H258" s="11"/>
      <c r="I258" s="12" t="s">
        <v>9</v>
      </c>
      <c r="J258" s="12"/>
      <c r="K258" s="11"/>
      <c r="L258" s="11"/>
      <c r="M258" s="12"/>
      <c r="N258" s="12"/>
      <c r="O258" s="32" t="s">
        <v>706</v>
      </c>
      <c r="P258" s="9"/>
      <c r="Q258" s="9"/>
      <c r="R258" s="11">
        <v>32</v>
      </c>
      <c r="S258" s="13">
        <v>45873</v>
      </c>
      <c r="T258" s="13">
        <v>45875</v>
      </c>
      <c r="U258" s="13">
        <v>45881</v>
      </c>
      <c r="V258" s="13">
        <v>45882</v>
      </c>
      <c r="W258" s="13">
        <v>45883</v>
      </c>
      <c r="X258" s="11" t="s">
        <v>194</v>
      </c>
      <c r="Y258" s="4" t="str">
        <f>IF(Tabela2[[#This Row],[SIGLA]]="","",VLOOKUP(Tabela2[[#This Row],[SIGLA]],Tabela1[[#All],[Sigla Arte]:[Crédito]],2,0))</f>
        <v>RAFAEL LUZIO/ARQUIVO DA EDITORA</v>
      </c>
      <c r="Z258" s="12"/>
      <c r="AA258" s="12" t="str">
        <f>Tabela2[[#This Row],[ILUSTRADOR CRIAÇÃO]]</f>
        <v>RAFAEL LUZIO/ARQUIVO DA EDITORA</v>
      </c>
      <c r="AB258" s="11">
        <v>5</v>
      </c>
      <c r="AC258" s="9" t="s">
        <v>704</v>
      </c>
      <c r="AD258" s="9" t="s">
        <v>22</v>
      </c>
      <c r="AE258" s="4" t="str">
        <f t="shared" ref="AE258:AE321" si="4">"EF1 E002 Port"</f>
        <v>EF1 E002 Port</v>
      </c>
    </row>
    <row r="259" spans="1:31" s="7" customFormat="1" ht="60" x14ac:dyDescent="0.25">
      <c r="A259" s="12" t="s">
        <v>707</v>
      </c>
      <c r="B259" s="9" t="s">
        <v>42</v>
      </c>
      <c r="C259" s="9" t="s">
        <v>1</v>
      </c>
      <c r="D259" s="9" t="s">
        <v>25</v>
      </c>
      <c r="E259" s="11">
        <v>188</v>
      </c>
      <c r="F259" s="11">
        <v>5</v>
      </c>
      <c r="G259" s="11">
        <v>5</v>
      </c>
      <c r="H259" s="11"/>
      <c r="I259" s="12" t="s">
        <v>9</v>
      </c>
      <c r="J259" s="12"/>
      <c r="K259" s="11"/>
      <c r="L259" s="11"/>
      <c r="M259" s="12"/>
      <c r="N259" s="12"/>
      <c r="O259" s="32" t="s">
        <v>708</v>
      </c>
      <c r="P259" s="9"/>
      <c r="Q259" s="9"/>
      <c r="R259" s="11">
        <v>32</v>
      </c>
      <c r="S259" s="13">
        <v>45873</v>
      </c>
      <c r="T259" s="13"/>
      <c r="U259" s="13"/>
      <c r="V259" s="13"/>
      <c r="W259" s="13"/>
      <c r="X259" s="11"/>
      <c r="Y259" s="4" t="str">
        <f>IF(Tabela2[[#This Row],[SIGLA]]="","",VLOOKUP(Tabela2[[#This Row],[SIGLA]],Tabela1[[#All],[Sigla Arte]:[Crédito]],2,0))</f>
        <v/>
      </c>
      <c r="Z259" s="12"/>
      <c r="AA259" s="12" t="str">
        <f>Tabela2[[#This Row],[ILUSTRADOR CRIAÇÃO]]</f>
        <v/>
      </c>
      <c r="AB259" s="11"/>
      <c r="AC259" s="9" t="s">
        <v>658</v>
      </c>
      <c r="AD259" s="9"/>
      <c r="AE259" s="4" t="str">
        <f t="shared" si="4"/>
        <v>EF1 E002 Port</v>
      </c>
    </row>
    <row r="260" spans="1:31" s="7" customFormat="1" ht="45" x14ac:dyDescent="0.25">
      <c r="A260" s="12" t="s">
        <v>709</v>
      </c>
      <c r="B260" s="9" t="s">
        <v>40</v>
      </c>
      <c r="C260" s="9" t="s">
        <v>1</v>
      </c>
      <c r="D260" s="9" t="s">
        <v>25</v>
      </c>
      <c r="E260" s="11">
        <v>257</v>
      </c>
      <c r="F260" s="11">
        <v>5</v>
      </c>
      <c r="G260" s="11">
        <v>8</v>
      </c>
      <c r="H260" s="11"/>
      <c r="I260" s="12" t="s">
        <v>9</v>
      </c>
      <c r="J260" s="12"/>
      <c r="K260" s="11"/>
      <c r="L260" s="11"/>
      <c r="M260" s="12"/>
      <c r="N260" s="12"/>
      <c r="O260" s="32" t="s">
        <v>710</v>
      </c>
      <c r="P260" s="9"/>
      <c r="Q260" s="9"/>
      <c r="R260" s="11">
        <v>33</v>
      </c>
      <c r="S260" s="13">
        <v>45873</v>
      </c>
      <c r="T260" s="13">
        <v>45875</v>
      </c>
      <c r="U260" s="13">
        <v>45877</v>
      </c>
      <c r="V260" s="13">
        <v>45880</v>
      </c>
      <c r="W260" s="13">
        <v>45881</v>
      </c>
      <c r="X260" s="11" t="s">
        <v>711</v>
      </c>
      <c r="Y260" s="4" t="str">
        <f>IF(Tabela2[[#This Row],[SIGLA]]="","",VLOOKUP(Tabela2[[#This Row],[SIGLA]],Tabela1[[#All],[Sigla Arte]:[Crédito]],2,0))</f>
        <v>CAMILA CARMONA/ARQUIVO DA EDITORA</v>
      </c>
      <c r="Z260" s="12"/>
      <c r="AA260" s="12" t="str">
        <f>Tabela2[[#This Row],[ILUSTRADOR CRIAÇÃO]]</f>
        <v>CAMILA CARMONA/ARQUIVO DA EDITORA</v>
      </c>
      <c r="AB260" s="11">
        <v>13</v>
      </c>
      <c r="AC260" s="9" t="s">
        <v>712</v>
      </c>
      <c r="AD260" s="9" t="s">
        <v>22</v>
      </c>
      <c r="AE260" s="4" t="str">
        <f t="shared" si="4"/>
        <v>EF1 E002 Port</v>
      </c>
    </row>
    <row r="261" spans="1:31" s="7" customFormat="1" ht="30" x14ac:dyDescent="0.25">
      <c r="A261" s="12" t="s">
        <v>713</v>
      </c>
      <c r="B261" s="9" t="s">
        <v>40</v>
      </c>
      <c r="C261" s="9" t="s">
        <v>1</v>
      </c>
      <c r="D261" s="9" t="s">
        <v>25</v>
      </c>
      <c r="E261" s="11">
        <v>261</v>
      </c>
      <c r="F261" s="11">
        <v>5</v>
      </c>
      <c r="G261" s="11">
        <v>8</v>
      </c>
      <c r="H261" s="11"/>
      <c r="I261" s="12" t="s">
        <v>9</v>
      </c>
      <c r="J261" s="12"/>
      <c r="K261" s="11"/>
      <c r="L261" s="11"/>
      <c r="M261" s="12"/>
      <c r="N261" s="12"/>
      <c r="O261" s="32" t="s">
        <v>714</v>
      </c>
      <c r="P261" s="9"/>
      <c r="Q261" s="9"/>
      <c r="R261" s="11">
        <v>33</v>
      </c>
      <c r="S261" s="13">
        <v>45873</v>
      </c>
      <c r="T261" s="13">
        <v>45875</v>
      </c>
      <c r="U261" s="13">
        <v>45877</v>
      </c>
      <c r="V261" s="13">
        <v>45880</v>
      </c>
      <c r="W261" s="13">
        <v>45881</v>
      </c>
      <c r="X261" s="11" t="s">
        <v>711</v>
      </c>
      <c r="Y261" s="4" t="str">
        <f>IF(Tabela2[[#This Row],[SIGLA]]="","",VLOOKUP(Tabela2[[#This Row],[SIGLA]],Tabela1[[#All],[Sigla Arte]:[Crédito]],2,0))</f>
        <v>CAMILA CARMONA/ARQUIVO DA EDITORA</v>
      </c>
      <c r="Z261" s="12"/>
      <c r="AA261" s="12" t="str">
        <f>Tabela2[[#This Row],[ILUSTRADOR CRIAÇÃO]]</f>
        <v>CAMILA CARMONA/ARQUIVO DA EDITORA</v>
      </c>
      <c r="AB261" s="11">
        <v>13</v>
      </c>
      <c r="AC261" s="9" t="s">
        <v>712</v>
      </c>
      <c r="AD261" s="9" t="s">
        <v>22</v>
      </c>
      <c r="AE261" s="4" t="str">
        <f t="shared" si="4"/>
        <v>EF1 E002 Port</v>
      </c>
    </row>
    <row r="262" spans="1:31" s="7" customFormat="1" ht="30" x14ac:dyDescent="0.25">
      <c r="A262" s="12" t="s">
        <v>715</v>
      </c>
      <c r="B262" s="9" t="s">
        <v>40</v>
      </c>
      <c r="C262" s="9" t="s">
        <v>1</v>
      </c>
      <c r="D262" s="9" t="s">
        <v>25</v>
      </c>
      <c r="E262" s="11">
        <v>261</v>
      </c>
      <c r="F262" s="11">
        <v>5</v>
      </c>
      <c r="G262" s="11">
        <v>8</v>
      </c>
      <c r="H262" s="11"/>
      <c r="I262" s="12" t="s">
        <v>9</v>
      </c>
      <c r="J262" s="12"/>
      <c r="K262" s="11"/>
      <c r="L262" s="11"/>
      <c r="M262" s="12"/>
      <c r="N262" s="12"/>
      <c r="O262" s="32" t="s">
        <v>716</v>
      </c>
      <c r="P262" s="9"/>
      <c r="Q262" s="9"/>
      <c r="R262" s="11">
        <v>33</v>
      </c>
      <c r="S262" s="13">
        <v>45873</v>
      </c>
      <c r="T262" s="13">
        <v>45875</v>
      </c>
      <c r="U262" s="13">
        <v>45877</v>
      </c>
      <c r="V262" s="13">
        <v>45880</v>
      </c>
      <c r="W262" s="13">
        <v>45881</v>
      </c>
      <c r="X262" s="11" t="s">
        <v>711</v>
      </c>
      <c r="Y262" s="4" t="str">
        <f>IF(Tabela2[[#This Row],[SIGLA]]="","",VLOOKUP(Tabela2[[#This Row],[SIGLA]],Tabela1[[#All],[Sigla Arte]:[Crédito]],2,0))</f>
        <v>CAMILA CARMONA/ARQUIVO DA EDITORA</v>
      </c>
      <c r="Z262" s="12"/>
      <c r="AA262" s="12" t="str">
        <f>Tabela2[[#This Row],[ILUSTRADOR CRIAÇÃO]]</f>
        <v>CAMILA CARMONA/ARQUIVO DA EDITORA</v>
      </c>
      <c r="AB262" s="11">
        <v>6</v>
      </c>
      <c r="AC262" s="9" t="s">
        <v>712</v>
      </c>
      <c r="AD262" s="9" t="s">
        <v>22</v>
      </c>
      <c r="AE262" s="4" t="str">
        <f t="shared" si="4"/>
        <v>EF1 E002 Port</v>
      </c>
    </row>
    <row r="263" spans="1:31" s="7" customFormat="1" ht="75" x14ac:dyDescent="0.25">
      <c r="A263" s="12" t="s">
        <v>717</v>
      </c>
      <c r="B263" s="9" t="s">
        <v>37</v>
      </c>
      <c r="C263" s="9" t="s">
        <v>1</v>
      </c>
      <c r="D263" s="9" t="s">
        <v>25</v>
      </c>
      <c r="E263" s="11">
        <v>266</v>
      </c>
      <c r="F263" s="11">
        <v>5</v>
      </c>
      <c r="G263" s="11">
        <v>8</v>
      </c>
      <c r="H263" s="11"/>
      <c r="I263" s="12" t="s">
        <v>9</v>
      </c>
      <c r="J263" s="12"/>
      <c r="K263" s="11"/>
      <c r="L263" s="11"/>
      <c r="M263" s="12"/>
      <c r="N263" s="12"/>
      <c r="O263" s="32" t="s">
        <v>718</v>
      </c>
      <c r="P263" s="9"/>
      <c r="Q263" s="9"/>
      <c r="R263" s="11">
        <v>33</v>
      </c>
      <c r="S263" s="13">
        <v>45873</v>
      </c>
      <c r="T263" s="13">
        <v>45875</v>
      </c>
      <c r="U263" s="13"/>
      <c r="V263" s="13"/>
      <c r="W263" s="13">
        <v>45877</v>
      </c>
      <c r="X263" s="11" t="s">
        <v>711</v>
      </c>
      <c r="Y263" s="4" t="str">
        <f>IF(Tabela2[[#This Row],[SIGLA]]="","",VLOOKUP(Tabela2[[#This Row],[SIGLA]],Tabela1[[#All],[Sigla Arte]:[Crédito]],2,0))</f>
        <v>CAMILA CARMONA/ARQUIVO DA EDITORA</v>
      </c>
      <c r="Z263" s="12"/>
      <c r="AA263" s="12" t="str">
        <f>Tabela2[[#This Row],[ILUSTRADOR CRIAÇÃO]]</f>
        <v>CAMILA CARMONA/ARQUIVO DA EDITORA</v>
      </c>
      <c r="AB263" s="11">
        <v>6</v>
      </c>
      <c r="AC263" s="9" t="s">
        <v>712</v>
      </c>
      <c r="AD263" s="9" t="s">
        <v>22</v>
      </c>
      <c r="AE263" s="4" t="str">
        <f t="shared" si="4"/>
        <v>EF1 E002 Port</v>
      </c>
    </row>
    <row r="264" spans="1:31" s="7" customFormat="1" ht="60" x14ac:dyDescent="0.25">
      <c r="A264" s="12" t="s">
        <v>719</v>
      </c>
      <c r="B264" s="9" t="s">
        <v>40</v>
      </c>
      <c r="C264" s="9" t="s">
        <v>1</v>
      </c>
      <c r="D264" s="9" t="s">
        <v>25</v>
      </c>
      <c r="E264" s="11">
        <v>267</v>
      </c>
      <c r="F264" s="11">
        <v>5</v>
      </c>
      <c r="G264" s="11">
        <v>8</v>
      </c>
      <c r="H264" s="11"/>
      <c r="I264" s="12" t="s">
        <v>9</v>
      </c>
      <c r="J264" s="12"/>
      <c r="K264" s="11"/>
      <c r="L264" s="11"/>
      <c r="M264" s="12"/>
      <c r="N264" s="12"/>
      <c r="O264" s="32" t="s">
        <v>720</v>
      </c>
      <c r="P264" s="9"/>
      <c r="Q264" s="9"/>
      <c r="R264" s="11">
        <v>33</v>
      </c>
      <c r="S264" s="13">
        <v>45873</v>
      </c>
      <c r="T264" s="13">
        <v>45875</v>
      </c>
      <c r="U264" s="13">
        <v>45877</v>
      </c>
      <c r="V264" s="13">
        <v>45878</v>
      </c>
      <c r="W264" s="13">
        <v>45882</v>
      </c>
      <c r="X264" s="11" t="s">
        <v>645</v>
      </c>
      <c r="Y264" s="4" t="str">
        <f>IF(Tabela2[[#This Row],[SIGLA]]="","",VLOOKUP(Tabela2[[#This Row],[SIGLA]],Tabela1[[#All],[Sigla Arte]:[Crédito]],2,0))</f>
        <v>GABRIELA MELLO/MILENA GODOY/ARQUIVO DA EDITORA</v>
      </c>
      <c r="Z264" s="12"/>
      <c r="AA264" s="12" t="str">
        <f>Tabela2[[#This Row],[ILUSTRADOR CRIAÇÃO]]</f>
        <v>GABRIELA MELLO/MILENA GODOY/ARQUIVO DA EDITORA</v>
      </c>
      <c r="AB264" s="11">
        <v>5</v>
      </c>
      <c r="AC264" s="9" t="s">
        <v>712</v>
      </c>
      <c r="AD264" s="9" t="s">
        <v>22</v>
      </c>
      <c r="AE264" s="4" t="str">
        <f t="shared" si="4"/>
        <v>EF1 E002 Port</v>
      </c>
    </row>
    <row r="265" spans="1:31" s="7" customFormat="1" ht="75" x14ac:dyDescent="0.25">
      <c r="A265" s="12" t="s">
        <v>721</v>
      </c>
      <c r="B265" s="9" t="s">
        <v>40</v>
      </c>
      <c r="C265" s="9" t="s">
        <v>24</v>
      </c>
      <c r="D265" s="9" t="s">
        <v>25</v>
      </c>
      <c r="E265" s="11">
        <v>268</v>
      </c>
      <c r="F265" s="11">
        <v>5</v>
      </c>
      <c r="G265" s="11">
        <v>8</v>
      </c>
      <c r="H265" s="11"/>
      <c r="I265" s="12" t="s">
        <v>9</v>
      </c>
      <c r="J265" s="12"/>
      <c r="K265" s="11"/>
      <c r="L265" s="11"/>
      <c r="M265" s="12"/>
      <c r="N265" s="12"/>
      <c r="O265" s="32" t="s">
        <v>722</v>
      </c>
      <c r="P265" s="9"/>
      <c r="Q265" s="9"/>
      <c r="R265" s="11">
        <v>33</v>
      </c>
      <c r="S265" s="13">
        <v>45873</v>
      </c>
      <c r="T265" s="13">
        <v>45875</v>
      </c>
      <c r="U265" s="13"/>
      <c r="V265" s="13"/>
      <c r="W265" s="13">
        <v>45876</v>
      </c>
      <c r="X265" s="11" t="s">
        <v>444</v>
      </c>
      <c r="Y265" s="4" t="str">
        <f>IF(Tabela2[[#This Row],[SIGLA]]="","",VLOOKUP(Tabela2[[#This Row],[SIGLA]],Tabela1[[#All],[Sigla Arte]:[Crédito]],2,0))</f>
        <v>SERGIO LIMA/ARQUIVO DA EDITORA</v>
      </c>
      <c r="Z265" s="12"/>
      <c r="AA265" s="12" t="str">
        <f>Tabela2[[#This Row],[ILUSTRADOR CRIAÇÃO]]</f>
        <v>SERGIO LIMA/ARQUIVO DA EDITORA</v>
      </c>
      <c r="AB265" s="11">
        <v>11</v>
      </c>
      <c r="AC265" s="9" t="s">
        <v>723</v>
      </c>
      <c r="AD265" s="9" t="s">
        <v>22</v>
      </c>
      <c r="AE265" s="4" t="str">
        <f t="shared" si="4"/>
        <v>EF1 E002 Port</v>
      </c>
    </row>
    <row r="266" spans="1:31" s="7" customFormat="1" x14ac:dyDescent="0.25">
      <c r="A266" s="12" t="s">
        <v>724</v>
      </c>
      <c r="B266" s="9" t="s">
        <v>40</v>
      </c>
      <c r="C266" s="9" t="s">
        <v>24</v>
      </c>
      <c r="D266" s="9" t="s">
        <v>25</v>
      </c>
      <c r="E266" s="11">
        <v>270</v>
      </c>
      <c r="F266" s="11">
        <v>5</v>
      </c>
      <c r="G266" s="11">
        <v>8</v>
      </c>
      <c r="H266" s="11"/>
      <c r="I266" s="12" t="s">
        <v>9</v>
      </c>
      <c r="J266" s="12"/>
      <c r="K266" s="11"/>
      <c r="L266" s="11"/>
      <c r="M266" s="12"/>
      <c r="N266" s="12"/>
      <c r="O266" s="32" t="s">
        <v>725</v>
      </c>
      <c r="P266" s="9"/>
      <c r="Q266" s="9"/>
      <c r="R266" s="11">
        <v>33</v>
      </c>
      <c r="S266" s="13">
        <v>45873</v>
      </c>
      <c r="T266" s="13">
        <v>45875</v>
      </c>
      <c r="U266" s="13"/>
      <c r="V266" s="13"/>
      <c r="W266" s="13">
        <v>45876</v>
      </c>
      <c r="X266" s="11" t="s">
        <v>444</v>
      </c>
      <c r="Y266" s="4" t="str">
        <f>IF(Tabela2[[#This Row],[SIGLA]]="","",VLOOKUP(Tabela2[[#This Row],[SIGLA]],Tabela1[[#All],[Sigla Arte]:[Crédito]],2,0))</f>
        <v>SERGIO LIMA/ARQUIVO DA EDITORA</v>
      </c>
      <c r="Z266" s="12"/>
      <c r="AA266" s="12" t="str">
        <f>Tabela2[[#This Row],[ILUSTRADOR CRIAÇÃO]]</f>
        <v>SERGIO LIMA/ARQUIVO DA EDITORA</v>
      </c>
      <c r="AB266" s="11">
        <v>11</v>
      </c>
      <c r="AC266" s="9" t="s">
        <v>723</v>
      </c>
      <c r="AD266" s="9" t="s">
        <v>22</v>
      </c>
      <c r="AE266" s="4" t="str">
        <f t="shared" si="4"/>
        <v>EF1 E002 Port</v>
      </c>
    </row>
    <row r="267" spans="1:31" s="7" customFormat="1" ht="30" x14ac:dyDescent="0.25">
      <c r="A267" s="12" t="s">
        <v>726</v>
      </c>
      <c r="B267" s="9" t="s">
        <v>40</v>
      </c>
      <c r="C267" s="9" t="s">
        <v>1</v>
      </c>
      <c r="D267" s="9" t="s">
        <v>25</v>
      </c>
      <c r="E267" s="11">
        <v>275</v>
      </c>
      <c r="F267" s="11">
        <v>5</v>
      </c>
      <c r="G267" s="11">
        <v>8</v>
      </c>
      <c r="H267" s="11"/>
      <c r="I267" s="12" t="s">
        <v>9</v>
      </c>
      <c r="J267" s="12"/>
      <c r="K267" s="11"/>
      <c r="L267" s="11"/>
      <c r="M267" s="12"/>
      <c r="N267" s="12"/>
      <c r="O267" s="32" t="s">
        <v>727</v>
      </c>
      <c r="P267" s="9"/>
      <c r="Q267" s="9"/>
      <c r="R267" s="11">
        <v>33</v>
      </c>
      <c r="S267" s="13">
        <v>45873</v>
      </c>
      <c r="T267" s="13">
        <v>45887</v>
      </c>
      <c r="U267" s="13"/>
      <c r="V267" s="13"/>
      <c r="W267" s="13">
        <v>45887</v>
      </c>
      <c r="X267" s="11" t="s">
        <v>728</v>
      </c>
      <c r="Y267" s="4" t="str">
        <f>IF(Tabela2[[#This Row],[SIGLA]]="","",VLOOKUP(Tabela2[[#This Row],[SIGLA]],Tabela1[[#All],[Sigla Arte]:[Crédito]],2,0))</f>
        <v>FELIPE GRIGOLI/ARQUIVO DA EDITORA</v>
      </c>
      <c r="Z267" s="12"/>
      <c r="AA267" s="12" t="str">
        <f>Tabela2[[#This Row],[ILUSTRADOR CRIAÇÃO]]</f>
        <v>FELIPE GRIGOLI/ARQUIVO DA EDITORA</v>
      </c>
      <c r="AB267" s="11">
        <v>5</v>
      </c>
      <c r="AC267" s="9" t="s">
        <v>729</v>
      </c>
      <c r="AD267" s="9" t="s">
        <v>11</v>
      </c>
      <c r="AE267" s="4" t="str">
        <f t="shared" si="4"/>
        <v>EF1 E002 Port</v>
      </c>
    </row>
    <row r="268" spans="1:31" s="7" customFormat="1" ht="90" x14ac:dyDescent="0.25">
      <c r="A268" s="12" t="s">
        <v>730</v>
      </c>
      <c r="B268" s="9" t="s">
        <v>40</v>
      </c>
      <c r="C268" s="9" t="s">
        <v>1</v>
      </c>
      <c r="D268" s="9" t="s">
        <v>25</v>
      </c>
      <c r="E268" s="11">
        <v>283</v>
      </c>
      <c r="F268" s="11">
        <v>5</v>
      </c>
      <c r="G268" s="11">
        <v>8</v>
      </c>
      <c r="H268" s="11"/>
      <c r="I268" s="12" t="s">
        <v>9</v>
      </c>
      <c r="J268" s="12"/>
      <c r="K268" s="11"/>
      <c r="L268" s="11"/>
      <c r="M268" s="12"/>
      <c r="N268" s="12"/>
      <c r="O268" s="32" t="s">
        <v>731</v>
      </c>
      <c r="P268" s="9"/>
      <c r="Q268" s="9"/>
      <c r="R268" s="11">
        <v>33</v>
      </c>
      <c r="S268" s="13">
        <v>45873</v>
      </c>
      <c r="T268" s="13">
        <v>45875</v>
      </c>
      <c r="U268" s="13">
        <v>45877</v>
      </c>
      <c r="V268" s="13">
        <v>45878</v>
      </c>
      <c r="W268" s="13">
        <v>45882</v>
      </c>
      <c r="X268" s="11" t="s">
        <v>645</v>
      </c>
      <c r="Y268" s="4" t="str">
        <f>IF(Tabela2[[#This Row],[SIGLA]]="","",VLOOKUP(Tabela2[[#This Row],[SIGLA]],Tabela1[[#All],[Sigla Arte]:[Crédito]],2,0))</f>
        <v>GABRIELA MELLO/MILENA GODOY/ARQUIVO DA EDITORA</v>
      </c>
      <c r="Z268" s="12"/>
      <c r="AA268" s="12" t="str">
        <f>Tabela2[[#This Row],[ILUSTRADOR CRIAÇÃO]]</f>
        <v>GABRIELA MELLO/MILENA GODOY/ARQUIVO DA EDITORA</v>
      </c>
      <c r="AB268" s="11">
        <v>4</v>
      </c>
      <c r="AC268" s="9" t="s">
        <v>712</v>
      </c>
      <c r="AD268" s="9" t="s">
        <v>22</v>
      </c>
      <c r="AE268" s="4" t="str">
        <f t="shared" si="4"/>
        <v>EF1 E002 Port</v>
      </c>
    </row>
    <row r="269" spans="1:31" s="7" customFormat="1" ht="105" x14ac:dyDescent="0.25">
      <c r="A269" s="12" t="s">
        <v>732</v>
      </c>
      <c r="B269" s="9" t="s">
        <v>40</v>
      </c>
      <c r="C269" s="9" t="s">
        <v>1</v>
      </c>
      <c r="D269" s="9" t="s">
        <v>25</v>
      </c>
      <c r="E269" s="11">
        <v>284</v>
      </c>
      <c r="F269" s="11">
        <v>5</v>
      </c>
      <c r="G269" s="11">
        <v>8</v>
      </c>
      <c r="H269" s="11"/>
      <c r="I269" s="12" t="s">
        <v>9</v>
      </c>
      <c r="J269" s="12"/>
      <c r="K269" s="11"/>
      <c r="L269" s="11"/>
      <c r="M269" s="12"/>
      <c r="N269" s="12"/>
      <c r="O269" s="32" t="s">
        <v>733</v>
      </c>
      <c r="P269" s="9"/>
      <c r="Q269" s="9"/>
      <c r="R269" s="11">
        <v>33</v>
      </c>
      <c r="S269" s="13">
        <v>45873</v>
      </c>
      <c r="T269" s="13">
        <v>45875</v>
      </c>
      <c r="U269" s="13">
        <v>45877</v>
      </c>
      <c r="V269" s="13">
        <v>45878</v>
      </c>
      <c r="W269" s="13">
        <v>45882</v>
      </c>
      <c r="X269" s="11" t="s">
        <v>645</v>
      </c>
      <c r="Y269" s="4" t="str">
        <f>IF(Tabela2[[#This Row],[SIGLA]]="","",VLOOKUP(Tabela2[[#This Row],[SIGLA]],Tabela1[[#All],[Sigla Arte]:[Crédito]],2,0))</f>
        <v>GABRIELA MELLO/MILENA GODOY/ARQUIVO DA EDITORA</v>
      </c>
      <c r="Z269" s="12"/>
      <c r="AA269" s="12" t="str">
        <f>Tabela2[[#This Row],[ILUSTRADOR CRIAÇÃO]]</f>
        <v>GABRIELA MELLO/MILENA GODOY/ARQUIVO DA EDITORA</v>
      </c>
      <c r="AB269" s="11">
        <v>5</v>
      </c>
      <c r="AC269" s="9" t="s">
        <v>712</v>
      </c>
      <c r="AD269" s="9" t="s">
        <v>22</v>
      </c>
      <c r="AE269" s="4" t="str">
        <f t="shared" si="4"/>
        <v>EF1 E002 Port</v>
      </c>
    </row>
    <row r="270" spans="1:31" s="7" customFormat="1" x14ac:dyDescent="0.25">
      <c r="A270" s="12" t="s">
        <v>734</v>
      </c>
      <c r="B270" s="9" t="s">
        <v>42</v>
      </c>
      <c r="C270" s="9" t="s">
        <v>1</v>
      </c>
      <c r="D270" s="9" t="s">
        <v>25</v>
      </c>
      <c r="E270" s="11">
        <v>15</v>
      </c>
      <c r="F270" s="11">
        <v>3</v>
      </c>
      <c r="G270" s="11">
        <v>1</v>
      </c>
      <c r="H270" s="11"/>
      <c r="I270" s="12" t="s">
        <v>9</v>
      </c>
      <c r="J270" s="12"/>
      <c r="K270" s="11"/>
      <c r="L270" s="11"/>
      <c r="M270" s="12"/>
      <c r="N270" s="12"/>
      <c r="O270" s="32" t="s">
        <v>735</v>
      </c>
      <c r="P270" s="9"/>
      <c r="Q270" s="9"/>
      <c r="R270" s="11">
        <v>36</v>
      </c>
      <c r="S270" s="13">
        <v>45874</v>
      </c>
      <c r="T270" s="13"/>
      <c r="U270" s="13"/>
      <c r="V270" s="13"/>
      <c r="W270" s="13"/>
      <c r="X270" s="11"/>
      <c r="Y270" s="4" t="str">
        <f>IF(Tabela2[[#This Row],[SIGLA]]="","",VLOOKUP(Tabela2[[#This Row],[SIGLA]],Tabela1[[#All],[Sigla Arte]:[Crédito]],2,0))</f>
        <v/>
      </c>
      <c r="Z270" s="12"/>
      <c r="AA270" s="12" t="str">
        <f>Tabela2[[#This Row],[ILUSTRADOR CRIAÇÃO]]</f>
        <v/>
      </c>
      <c r="AB270" s="11"/>
      <c r="AC270" s="9" t="s">
        <v>676</v>
      </c>
      <c r="AD270" s="9"/>
      <c r="AE270" s="4" t="str">
        <f t="shared" si="4"/>
        <v>EF1 E002 Port</v>
      </c>
    </row>
    <row r="271" spans="1:31" s="7" customFormat="1" ht="30" x14ac:dyDescent="0.25">
      <c r="A271" s="12" t="s">
        <v>736</v>
      </c>
      <c r="B271" s="9" t="s">
        <v>40</v>
      </c>
      <c r="C271" s="9" t="s">
        <v>1</v>
      </c>
      <c r="D271" s="9" t="s">
        <v>25</v>
      </c>
      <c r="E271" s="11">
        <v>23</v>
      </c>
      <c r="F271" s="11">
        <v>3</v>
      </c>
      <c r="G271" s="11">
        <v>1</v>
      </c>
      <c r="H271" s="11"/>
      <c r="I271" s="12" t="s">
        <v>9</v>
      </c>
      <c r="J271" s="12"/>
      <c r="K271" s="11"/>
      <c r="L271" s="11"/>
      <c r="M271" s="12"/>
      <c r="N271" s="12"/>
      <c r="O271" s="32" t="s">
        <v>737</v>
      </c>
      <c r="P271" s="9"/>
      <c r="Q271" s="9"/>
      <c r="R271" s="11">
        <v>36</v>
      </c>
      <c r="S271" s="13">
        <v>45874</v>
      </c>
      <c r="T271" s="13">
        <v>45876</v>
      </c>
      <c r="U271" s="13">
        <v>45881</v>
      </c>
      <c r="V271" s="13">
        <v>45882</v>
      </c>
      <c r="W271" s="13">
        <v>45883</v>
      </c>
      <c r="X271" s="11" t="s">
        <v>229</v>
      </c>
      <c r="Y271" s="4" t="str">
        <f>IF(Tabela2[[#This Row],[SIGLA]]="","",VLOOKUP(Tabela2[[#This Row],[SIGLA]],Tabela1[[#All],[Sigla Arte]:[Crédito]],2,0))</f>
        <v>RIVALDO BARBOZA/ARQUIVO DA EDITORA</v>
      </c>
      <c r="Z271" s="12"/>
      <c r="AA271" s="12" t="str">
        <f>Tabela2[[#This Row],[ILUSTRADOR CRIAÇÃO]]</f>
        <v>RIVALDO BARBOZA/ARQUIVO DA EDITORA</v>
      </c>
      <c r="AB271" s="11">
        <v>5</v>
      </c>
      <c r="AC271" s="9" t="s">
        <v>738</v>
      </c>
      <c r="AD271" s="9" t="s">
        <v>22</v>
      </c>
      <c r="AE271" s="4" t="str">
        <f t="shared" si="4"/>
        <v>EF1 E002 Port</v>
      </c>
    </row>
    <row r="272" spans="1:31" s="7" customFormat="1" ht="30" x14ac:dyDescent="0.25">
      <c r="A272" s="12" t="s">
        <v>739</v>
      </c>
      <c r="B272" s="9" t="s">
        <v>42</v>
      </c>
      <c r="C272" s="9" t="s">
        <v>1</v>
      </c>
      <c r="D272" s="9" t="s">
        <v>25</v>
      </c>
      <c r="E272" s="11">
        <v>51</v>
      </c>
      <c r="F272" s="11">
        <v>3</v>
      </c>
      <c r="G272" s="11">
        <v>2</v>
      </c>
      <c r="H272" s="11"/>
      <c r="I272" s="12" t="s">
        <v>9</v>
      </c>
      <c r="J272" s="12"/>
      <c r="K272" s="11"/>
      <c r="L272" s="11"/>
      <c r="M272" s="12"/>
      <c r="N272" s="12"/>
      <c r="O272" s="32" t="s">
        <v>740</v>
      </c>
      <c r="P272" s="9"/>
      <c r="Q272" s="9"/>
      <c r="R272" s="11">
        <v>34</v>
      </c>
      <c r="S272" s="13">
        <v>45874</v>
      </c>
      <c r="T272" s="13"/>
      <c r="U272" s="13"/>
      <c r="V272" s="13"/>
      <c r="W272" s="13"/>
      <c r="X272" s="11"/>
      <c r="Y272" s="4" t="str">
        <f>IF(Tabela2[[#This Row],[SIGLA]]="","",VLOOKUP(Tabela2[[#This Row],[SIGLA]],Tabela1[[#All],[Sigla Arte]:[Crédito]],2,0))</f>
        <v/>
      </c>
      <c r="Z272" s="12"/>
      <c r="AA272" s="12" t="str">
        <f>Tabela2[[#This Row],[ILUSTRADOR CRIAÇÃO]]</f>
        <v/>
      </c>
      <c r="AB272" s="11"/>
      <c r="AC272" s="9" t="s">
        <v>741</v>
      </c>
      <c r="AD272" s="9"/>
      <c r="AE272" s="4" t="str">
        <f t="shared" si="4"/>
        <v>EF1 E002 Port</v>
      </c>
    </row>
    <row r="273" spans="1:31" s="7" customFormat="1" ht="75" x14ac:dyDescent="0.25">
      <c r="A273" s="12" t="s">
        <v>742</v>
      </c>
      <c r="B273" s="9" t="s">
        <v>40</v>
      </c>
      <c r="C273" s="9" t="s">
        <v>1</v>
      </c>
      <c r="D273" s="9" t="s">
        <v>25</v>
      </c>
      <c r="E273" s="11">
        <v>61</v>
      </c>
      <c r="F273" s="11">
        <v>3</v>
      </c>
      <c r="G273" s="11">
        <v>2</v>
      </c>
      <c r="H273" s="11"/>
      <c r="I273" s="12" t="s">
        <v>9</v>
      </c>
      <c r="J273" s="12"/>
      <c r="K273" s="11"/>
      <c r="L273" s="11"/>
      <c r="M273" s="12"/>
      <c r="N273" s="12"/>
      <c r="O273" s="32" t="s">
        <v>743</v>
      </c>
      <c r="P273" s="9"/>
      <c r="Q273" s="9"/>
      <c r="R273" s="11">
        <v>34</v>
      </c>
      <c r="S273" s="13">
        <v>45874</v>
      </c>
      <c r="T273" s="13">
        <v>45876</v>
      </c>
      <c r="U273" s="13"/>
      <c r="V273" s="13"/>
      <c r="W273" s="13">
        <v>45876</v>
      </c>
      <c r="X273" s="11" t="s">
        <v>728</v>
      </c>
      <c r="Y273" s="4" t="str">
        <f>IF(Tabela2[[#This Row],[SIGLA]]="","",VLOOKUP(Tabela2[[#This Row],[SIGLA]],Tabela1[[#All],[Sigla Arte]:[Crédito]],2,0))</f>
        <v>FELIPE GRIGOLI/ARQUIVO DA EDITORA</v>
      </c>
      <c r="Z273" s="12"/>
      <c r="AA273" s="12" t="str">
        <f>Tabela2[[#This Row],[ILUSTRADOR CRIAÇÃO]]</f>
        <v>FELIPE GRIGOLI/ARQUIVO DA EDITORA</v>
      </c>
      <c r="AB273" s="11">
        <v>5</v>
      </c>
      <c r="AC273" s="9" t="s">
        <v>729</v>
      </c>
      <c r="AD273" s="9" t="s">
        <v>11</v>
      </c>
      <c r="AE273" s="4" t="str">
        <f t="shared" si="4"/>
        <v>EF1 E002 Port</v>
      </c>
    </row>
    <row r="274" spans="1:31" s="7" customFormat="1" ht="45" x14ac:dyDescent="0.25">
      <c r="A274" s="12" t="s">
        <v>744</v>
      </c>
      <c r="B274" s="9" t="s">
        <v>40</v>
      </c>
      <c r="C274" s="9" t="s">
        <v>1</v>
      </c>
      <c r="D274" s="9" t="s">
        <v>25</v>
      </c>
      <c r="E274" s="11">
        <v>67</v>
      </c>
      <c r="F274" s="11">
        <v>3</v>
      </c>
      <c r="G274" s="11">
        <v>2</v>
      </c>
      <c r="H274" s="11"/>
      <c r="I274" s="12" t="s">
        <v>9</v>
      </c>
      <c r="J274" s="12"/>
      <c r="K274" s="11"/>
      <c r="L274" s="11"/>
      <c r="M274" s="12"/>
      <c r="N274" s="12"/>
      <c r="O274" s="32" t="s">
        <v>745</v>
      </c>
      <c r="P274" s="9"/>
      <c r="Q274" s="9"/>
      <c r="R274" s="11">
        <v>34</v>
      </c>
      <c r="S274" s="13">
        <v>45874</v>
      </c>
      <c r="T274" s="13">
        <v>45876</v>
      </c>
      <c r="U274" s="13">
        <v>45881</v>
      </c>
      <c r="V274" s="13">
        <v>45882</v>
      </c>
      <c r="W274" s="13">
        <v>45888</v>
      </c>
      <c r="X274" s="11" t="s">
        <v>390</v>
      </c>
      <c r="Y274" s="4" t="str">
        <f>IF(Tabela2[[#This Row],[SIGLA]]="","",VLOOKUP(Tabela2[[#This Row],[SIGLA]],Tabela1[[#All],[Sigla Arte]:[Crédito]],2,0))</f>
        <v>RODRIGO CORDEIRO/ARQUIVO DA EDITORA</v>
      </c>
      <c r="Z274" s="12"/>
      <c r="AA274" s="12" t="str">
        <f>Tabela2[[#This Row],[ILUSTRADOR CRIAÇÃO]]</f>
        <v>RODRIGO CORDEIRO/ARQUIVO DA EDITORA</v>
      </c>
      <c r="AB274" s="11">
        <v>5</v>
      </c>
      <c r="AC274" s="9" t="s">
        <v>746</v>
      </c>
      <c r="AD274" s="9" t="s">
        <v>22</v>
      </c>
      <c r="AE274" s="4" t="str">
        <f t="shared" si="4"/>
        <v>EF1 E002 Port</v>
      </c>
    </row>
    <row r="275" spans="1:31" s="7" customFormat="1" ht="30" x14ac:dyDescent="0.25">
      <c r="A275" s="12" t="s">
        <v>747</v>
      </c>
      <c r="B275" s="9" t="s">
        <v>23</v>
      </c>
      <c r="C275" s="9" t="s">
        <v>1</v>
      </c>
      <c r="D275" s="9" t="s">
        <v>25</v>
      </c>
      <c r="E275" s="11">
        <v>26</v>
      </c>
      <c r="F275" s="11">
        <v>3</v>
      </c>
      <c r="G275" s="11">
        <v>1</v>
      </c>
      <c r="H275" s="11"/>
      <c r="I275" s="12" t="s">
        <v>9</v>
      </c>
      <c r="J275" s="12"/>
      <c r="K275" s="11"/>
      <c r="L275" s="11"/>
      <c r="M275" s="12"/>
      <c r="N275" s="12"/>
      <c r="O275" s="32" t="s">
        <v>748</v>
      </c>
      <c r="P275" s="9"/>
      <c r="Q275" s="9"/>
      <c r="R275" s="11">
        <v>36</v>
      </c>
      <c r="S275" s="13">
        <v>45874</v>
      </c>
      <c r="T275" s="13">
        <v>45876</v>
      </c>
      <c r="U275" s="13">
        <v>45881</v>
      </c>
      <c r="V275" s="13">
        <v>45882</v>
      </c>
      <c r="W275" s="13">
        <v>45883</v>
      </c>
      <c r="X275" s="11" t="s">
        <v>229</v>
      </c>
      <c r="Y275" s="4" t="str">
        <f>IF(Tabela2[[#This Row],[SIGLA]]="","",VLOOKUP(Tabela2[[#This Row],[SIGLA]],Tabela1[[#All],[Sigla Arte]:[Crédito]],2,0))</f>
        <v>RIVALDO BARBOZA/ARQUIVO DA EDITORA</v>
      </c>
      <c r="Z275" s="12"/>
      <c r="AA275" s="12" t="str">
        <f>Tabela2[[#This Row],[ILUSTRADOR CRIAÇÃO]]</f>
        <v>RIVALDO BARBOZA/ARQUIVO DA EDITORA</v>
      </c>
      <c r="AB275" s="11">
        <v>6</v>
      </c>
      <c r="AC275" s="9" t="s">
        <v>738</v>
      </c>
      <c r="AD275" s="9" t="s">
        <v>22</v>
      </c>
      <c r="AE275" s="4" t="str">
        <f t="shared" si="4"/>
        <v>EF1 E002 Port</v>
      </c>
    </row>
    <row r="276" spans="1:31" s="7" customFormat="1" ht="75" x14ac:dyDescent="0.25">
      <c r="A276" s="12" t="s">
        <v>749</v>
      </c>
      <c r="B276" s="9" t="s">
        <v>23</v>
      </c>
      <c r="C276" s="9" t="s">
        <v>1</v>
      </c>
      <c r="D276" s="9" t="s">
        <v>25</v>
      </c>
      <c r="E276" s="11">
        <v>29</v>
      </c>
      <c r="F276" s="11">
        <v>3</v>
      </c>
      <c r="G276" s="11">
        <v>1</v>
      </c>
      <c r="H276" s="11"/>
      <c r="I276" s="12" t="s">
        <v>9</v>
      </c>
      <c r="J276" s="12"/>
      <c r="K276" s="11"/>
      <c r="L276" s="11"/>
      <c r="M276" s="12"/>
      <c r="N276" s="12"/>
      <c r="O276" s="32" t="s">
        <v>750</v>
      </c>
      <c r="P276" s="9"/>
      <c r="Q276" s="9"/>
      <c r="R276" s="11">
        <v>36</v>
      </c>
      <c r="S276" s="13">
        <v>45874</v>
      </c>
      <c r="T276" s="13">
        <v>45876</v>
      </c>
      <c r="U276" s="13">
        <v>45881</v>
      </c>
      <c r="V276" s="13">
        <v>45882</v>
      </c>
      <c r="W276" s="13">
        <v>45883</v>
      </c>
      <c r="X276" s="11" t="s">
        <v>229</v>
      </c>
      <c r="Y276" s="4" t="str">
        <f>IF(Tabela2[[#This Row],[SIGLA]]="","",VLOOKUP(Tabela2[[#This Row],[SIGLA]],Tabela1[[#All],[Sigla Arte]:[Crédito]],2,0))</f>
        <v>RIVALDO BARBOZA/ARQUIVO DA EDITORA</v>
      </c>
      <c r="Z276" s="12"/>
      <c r="AA276" s="12" t="str">
        <f>Tabela2[[#This Row],[ILUSTRADOR CRIAÇÃO]]</f>
        <v>RIVALDO BARBOZA/ARQUIVO DA EDITORA</v>
      </c>
      <c r="AB276" s="11">
        <v>5</v>
      </c>
      <c r="AC276" s="9" t="s">
        <v>738</v>
      </c>
      <c r="AD276" s="9" t="s">
        <v>22</v>
      </c>
      <c r="AE276" s="4" t="str">
        <f t="shared" si="4"/>
        <v>EF1 E002 Port</v>
      </c>
    </row>
    <row r="277" spans="1:31" s="7" customFormat="1" ht="30" x14ac:dyDescent="0.25">
      <c r="A277" s="12" t="s">
        <v>751</v>
      </c>
      <c r="B277" s="9" t="s">
        <v>40</v>
      </c>
      <c r="C277" s="9" t="s">
        <v>1</v>
      </c>
      <c r="D277" s="9" t="s">
        <v>25</v>
      </c>
      <c r="E277" s="11">
        <v>33</v>
      </c>
      <c r="F277" s="11">
        <v>3</v>
      </c>
      <c r="G277" s="11">
        <v>1</v>
      </c>
      <c r="H277" s="11"/>
      <c r="I277" s="12" t="s">
        <v>9</v>
      </c>
      <c r="J277" s="12"/>
      <c r="K277" s="11"/>
      <c r="L277" s="11"/>
      <c r="M277" s="12"/>
      <c r="N277" s="12"/>
      <c r="O277" s="32" t="s">
        <v>752</v>
      </c>
      <c r="P277" s="9"/>
      <c r="Q277" s="9"/>
      <c r="R277" s="11">
        <v>36</v>
      </c>
      <c r="S277" s="13">
        <v>45874</v>
      </c>
      <c r="T277" s="13">
        <v>45876</v>
      </c>
      <c r="U277" s="13">
        <v>45882</v>
      </c>
      <c r="V277" s="13">
        <v>45883</v>
      </c>
      <c r="W277" s="13">
        <v>45887</v>
      </c>
      <c r="X277" s="11" t="s">
        <v>229</v>
      </c>
      <c r="Y277" s="4" t="str">
        <f>IF(Tabela2[[#This Row],[SIGLA]]="","",VLOOKUP(Tabela2[[#This Row],[SIGLA]],Tabela1[[#All],[Sigla Arte]:[Crédito]],2,0))</f>
        <v>RIVALDO BARBOZA/ARQUIVO DA EDITORA</v>
      </c>
      <c r="Z277" s="12"/>
      <c r="AA277" s="12" t="str">
        <f>Tabela2[[#This Row],[ILUSTRADOR CRIAÇÃO]]</f>
        <v>RIVALDO BARBOZA/ARQUIVO DA EDITORA</v>
      </c>
      <c r="AB277" s="11">
        <v>6</v>
      </c>
      <c r="AC277" s="9" t="s">
        <v>753</v>
      </c>
      <c r="AD277" s="9" t="s">
        <v>22</v>
      </c>
      <c r="AE277" s="4" t="str">
        <f t="shared" si="4"/>
        <v>EF1 E002 Port</v>
      </c>
    </row>
    <row r="278" spans="1:31" s="7" customFormat="1" ht="60" x14ac:dyDescent="0.25">
      <c r="A278" s="12" t="s">
        <v>754</v>
      </c>
      <c r="B278" s="9" t="s">
        <v>40</v>
      </c>
      <c r="C278" s="9" t="s">
        <v>1</v>
      </c>
      <c r="D278" s="9" t="s">
        <v>25</v>
      </c>
      <c r="E278" s="11">
        <v>33</v>
      </c>
      <c r="F278" s="11">
        <v>3</v>
      </c>
      <c r="G278" s="11">
        <v>1</v>
      </c>
      <c r="H278" s="11"/>
      <c r="I278" s="12" t="s">
        <v>9</v>
      </c>
      <c r="J278" s="12"/>
      <c r="K278" s="11"/>
      <c r="L278" s="11"/>
      <c r="M278" s="12"/>
      <c r="N278" s="12"/>
      <c r="O278" s="32" t="s">
        <v>755</v>
      </c>
      <c r="P278" s="9"/>
      <c r="Q278" s="9"/>
      <c r="R278" s="11">
        <v>36</v>
      </c>
      <c r="S278" s="13">
        <v>45874</v>
      </c>
      <c r="T278" s="13">
        <v>45876</v>
      </c>
      <c r="U278" s="13">
        <v>45882</v>
      </c>
      <c r="V278" s="13">
        <v>45883</v>
      </c>
      <c r="W278" s="13">
        <v>45887</v>
      </c>
      <c r="X278" s="11" t="s">
        <v>229</v>
      </c>
      <c r="Y278" s="4" t="str">
        <f>IF(Tabela2[[#This Row],[SIGLA]]="","",VLOOKUP(Tabela2[[#This Row],[SIGLA]],Tabela1[[#All],[Sigla Arte]:[Crédito]],2,0))</f>
        <v>RIVALDO BARBOZA/ARQUIVO DA EDITORA</v>
      </c>
      <c r="Z278" s="12"/>
      <c r="AA278" s="12" t="str">
        <f>Tabela2[[#This Row],[ILUSTRADOR CRIAÇÃO]]</f>
        <v>RIVALDO BARBOZA/ARQUIVO DA EDITORA</v>
      </c>
      <c r="AB278" s="11">
        <v>6</v>
      </c>
      <c r="AC278" s="9" t="s">
        <v>753</v>
      </c>
      <c r="AD278" s="9" t="s">
        <v>22</v>
      </c>
      <c r="AE278" s="4" t="str">
        <f t="shared" si="4"/>
        <v>EF1 E002 Port</v>
      </c>
    </row>
    <row r="279" spans="1:31" s="7" customFormat="1" ht="45" x14ac:dyDescent="0.25">
      <c r="A279" s="12" t="s">
        <v>756</v>
      </c>
      <c r="B279" s="9" t="s">
        <v>40</v>
      </c>
      <c r="C279" s="9" t="s">
        <v>1</v>
      </c>
      <c r="D279" s="9" t="s">
        <v>25</v>
      </c>
      <c r="E279" s="11">
        <v>33</v>
      </c>
      <c r="F279" s="11">
        <v>3</v>
      </c>
      <c r="G279" s="11">
        <v>1</v>
      </c>
      <c r="H279" s="11"/>
      <c r="I279" s="12" t="s">
        <v>9</v>
      </c>
      <c r="J279" s="12"/>
      <c r="K279" s="11"/>
      <c r="L279" s="11"/>
      <c r="M279" s="12"/>
      <c r="N279" s="12"/>
      <c r="O279" s="32" t="s">
        <v>757</v>
      </c>
      <c r="P279" s="9"/>
      <c r="Q279" s="9"/>
      <c r="R279" s="11">
        <v>36</v>
      </c>
      <c r="S279" s="13">
        <v>45874</v>
      </c>
      <c r="T279" s="13">
        <v>45876</v>
      </c>
      <c r="U279" s="13">
        <v>45882</v>
      </c>
      <c r="V279" s="13">
        <v>45883</v>
      </c>
      <c r="W279" s="13">
        <v>45887</v>
      </c>
      <c r="X279" s="11" t="s">
        <v>229</v>
      </c>
      <c r="Y279" s="4" t="str">
        <f>IF(Tabela2[[#This Row],[SIGLA]]="","",VLOOKUP(Tabela2[[#This Row],[SIGLA]],Tabela1[[#All],[Sigla Arte]:[Crédito]],2,0))</f>
        <v>RIVALDO BARBOZA/ARQUIVO DA EDITORA</v>
      </c>
      <c r="Z279" s="12"/>
      <c r="AA279" s="12" t="str">
        <f>Tabela2[[#This Row],[ILUSTRADOR CRIAÇÃO]]</f>
        <v>RIVALDO BARBOZA/ARQUIVO DA EDITORA</v>
      </c>
      <c r="AB279" s="11">
        <v>6</v>
      </c>
      <c r="AC279" s="9" t="s">
        <v>753</v>
      </c>
      <c r="AD279" s="9" t="s">
        <v>22</v>
      </c>
      <c r="AE279" s="4" t="str">
        <f t="shared" si="4"/>
        <v>EF1 E002 Port</v>
      </c>
    </row>
    <row r="280" spans="1:31" s="7" customFormat="1" ht="45" x14ac:dyDescent="0.25">
      <c r="A280" s="12" t="s">
        <v>758</v>
      </c>
      <c r="B280" s="9" t="s">
        <v>40</v>
      </c>
      <c r="C280" s="9" t="s">
        <v>1</v>
      </c>
      <c r="D280" s="9" t="s">
        <v>25</v>
      </c>
      <c r="E280" s="11">
        <v>33</v>
      </c>
      <c r="F280" s="11">
        <v>3</v>
      </c>
      <c r="G280" s="11">
        <v>1</v>
      </c>
      <c r="H280" s="11"/>
      <c r="I280" s="12" t="s">
        <v>9</v>
      </c>
      <c r="J280" s="12"/>
      <c r="K280" s="11"/>
      <c r="L280" s="11"/>
      <c r="M280" s="12"/>
      <c r="N280" s="12"/>
      <c r="O280" s="32" t="s">
        <v>759</v>
      </c>
      <c r="P280" s="9"/>
      <c r="Q280" s="9"/>
      <c r="R280" s="11">
        <v>36</v>
      </c>
      <c r="S280" s="13">
        <v>45874</v>
      </c>
      <c r="T280" s="13">
        <v>45876</v>
      </c>
      <c r="U280" s="13">
        <v>45882</v>
      </c>
      <c r="V280" s="13">
        <v>45883</v>
      </c>
      <c r="W280" s="13">
        <v>45887</v>
      </c>
      <c r="X280" s="11" t="s">
        <v>229</v>
      </c>
      <c r="Y280" s="4" t="str">
        <f>IF(Tabela2[[#This Row],[SIGLA]]="","",VLOOKUP(Tabela2[[#This Row],[SIGLA]],Tabela1[[#All],[Sigla Arte]:[Crédito]],2,0))</f>
        <v>RIVALDO BARBOZA/ARQUIVO DA EDITORA</v>
      </c>
      <c r="Z280" s="12"/>
      <c r="AA280" s="12" t="str">
        <f>Tabela2[[#This Row],[ILUSTRADOR CRIAÇÃO]]</f>
        <v>RIVALDO BARBOZA/ARQUIVO DA EDITORA</v>
      </c>
      <c r="AB280" s="11">
        <v>7</v>
      </c>
      <c r="AC280" s="9" t="s">
        <v>753</v>
      </c>
      <c r="AD280" s="9" t="s">
        <v>22</v>
      </c>
      <c r="AE280" s="4" t="str">
        <f t="shared" si="4"/>
        <v>EF1 E002 Port</v>
      </c>
    </row>
    <row r="281" spans="1:31" s="7" customFormat="1" ht="75" x14ac:dyDescent="0.25">
      <c r="A281" s="12" t="s">
        <v>760</v>
      </c>
      <c r="B281" s="9" t="s">
        <v>40</v>
      </c>
      <c r="C281" s="9" t="s">
        <v>1</v>
      </c>
      <c r="D281" s="9" t="s">
        <v>25</v>
      </c>
      <c r="E281" s="11">
        <v>33</v>
      </c>
      <c r="F281" s="11">
        <v>3</v>
      </c>
      <c r="G281" s="11">
        <v>1</v>
      </c>
      <c r="H281" s="11"/>
      <c r="I281" s="12" t="s">
        <v>9</v>
      </c>
      <c r="J281" s="12"/>
      <c r="K281" s="11"/>
      <c r="L281" s="11"/>
      <c r="M281" s="12"/>
      <c r="N281" s="12"/>
      <c r="O281" s="32" t="s">
        <v>761</v>
      </c>
      <c r="P281" s="9"/>
      <c r="Q281" s="9"/>
      <c r="R281" s="11">
        <v>36</v>
      </c>
      <c r="S281" s="13">
        <v>45874</v>
      </c>
      <c r="T281" s="13">
        <v>45876</v>
      </c>
      <c r="U281" s="13">
        <v>45882</v>
      </c>
      <c r="V281" s="13">
        <v>45883</v>
      </c>
      <c r="W281" s="13">
        <v>45887</v>
      </c>
      <c r="X281" s="11" t="s">
        <v>229</v>
      </c>
      <c r="Y281" s="4" t="str">
        <f>IF(Tabela2[[#This Row],[SIGLA]]="","",VLOOKUP(Tabela2[[#This Row],[SIGLA]],Tabela1[[#All],[Sigla Arte]:[Crédito]],2,0))</f>
        <v>RIVALDO BARBOZA/ARQUIVO DA EDITORA</v>
      </c>
      <c r="Z281" s="12"/>
      <c r="AA281" s="12" t="str">
        <f>Tabela2[[#This Row],[ILUSTRADOR CRIAÇÃO]]</f>
        <v>RIVALDO BARBOZA/ARQUIVO DA EDITORA</v>
      </c>
      <c r="AB281" s="11">
        <v>7</v>
      </c>
      <c r="AC281" s="9" t="s">
        <v>753</v>
      </c>
      <c r="AD281" s="9" t="s">
        <v>22</v>
      </c>
      <c r="AE281" s="4" t="str">
        <f t="shared" si="4"/>
        <v>EF1 E002 Port</v>
      </c>
    </row>
    <row r="282" spans="1:31" s="7" customFormat="1" ht="30" x14ac:dyDescent="0.25">
      <c r="A282" s="12" t="s">
        <v>762</v>
      </c>
      <c r="B282" s="9" t="s">
        <v>40</v>
      </c>
      <c r="C282" s="9" t="s">
        <v>1</v>
      </c>
      <c r="D282" s="9" t="s">
        <v>25</v>
      </c>
      <c r="E282" s="11">
        <v>33</v>
      </c>
      <c r="F282" s="11">
        <v>3</v>
      </c>
      <c r="G282" s="11">
        <v>1</v>
      </c>
      <c r="H282" s="11"/>
      <c r="I282" s="12" t="s">
        <v>9</v>
      </c>
      <c r="J282" s="12"/>
      <c r="K282" s="11"/>
      <c r="L282" s="11"/>
      <c r="M282" s="12"/>
      <c r="N282" s="12"/>
      <c r="O282" s="32" t="s">
        <v>763</v>
      </c>
      <c r="P282" s="9"/>
      <c r="Q282" s="9"/>
      <c r="R282" s="11">
        <v>36</v>
      </c>
      <c r="S282" s="13">
        <v>45874</v>
      </c>
      <c r="T282" s="13">
        <v>45876</v>
      </c>
      <c r="U282" s="13">
        <v>45882</v>
      </c>
      <c r="V282" s="13">
        <v>45883</v>
      </c>
      <c r="W282" s="13">
        <v>45887</v>
      </c>
      <c r="X282" s="11" t="s">
        <v>229</v>
      </c>
      <c r="Y282" s="4" t="str">
        <f>IF(Tabela2[[#This Row],[SIGLA]]="","",VLOOKUP(Tabela2[[#This Row],[SIGLA]],Tabela1[[#All],[Sigla Arte]:[Crédito]],2,0))</f>
        <v>RIVALDO BARBOZA/ARQUIVO DA EDITORA</v>
      </c>
      <c r="Z282" s="12"/>
      <c r="AA282" s="12" t="str">
        <f>Tabela2[[#This Row],[ILUSTRADOR CRIAÇÃO]]</f>
        <v>RIVALDO BARBOZA/ARQUIVO DA EDITORA</v>
      </c>
      <c r="AB282" s="11">
        <v>6</v>
      </c>
      <c r="AC282" s="9" t="s">
        <v>753</v>
      </c>
      <c r="AD282" s="9" t="s">
        <v>22</v>
      </c>
      <c r="AE282" s="4" t="str">
        <f t="shared" si="4"/>
        <v>EF1 E002 Port</v>
      </c>
    </row>
    <row r="283" spans="1:31" s="7" customFormat="1" ht="60" x14ac:dyDescent="0.25">
      <c r="A283" s="12" t="s">
        <v>764</v>
      </c>
      <c r="B283" s="9" t="s">
        <v>40</v>
      </c>
      <c r="C283" s="9" t="s">
        <v>1</v>
      </c>
      <c r="D283" s="9" t="s">
        <v>25</v>
      </c>
      <c r="E283" s="11">
        <v>196</v>
      </c>
      <c r="F283" s="11">
        <v>2</v>
      </c>
      <c r="G283" s="11">
        <v>6</v>
      </c>
      <c r="H283" s="11"/>
      <c r="I283" s="12" t="s">
        <v>9</v>
      </c>
      <c r="J283" s="12"/>
      <c r="K283" s="11"/>
      <c r="L283" s="11"/>
      <c r="M283" s="12"/>
      <c r="N283" s="12"/>
      <c r="O283" s="32" t="s">
        <v>765</v>
      </c>
      <c r="P283" s="9"/>
      <c r="Q283" s="9"/>
      <c r="R283" s="11">
        <v>35</v>
      </c>
      <c r="S283" s="13"/>
      <c r="T283" s="13">
        <v>45876</v>
      </c>
      <c r="U283" s="13"/>
      <c r="V283" s="13"/>
      <c r="W283" s="13">
        <v>45876</v>
      </c>
      <c r="X283" s="11" t="s">
        <v>728</v>
      </c>
      <c r="Y283" s="4" t="str">
        <f>IF(Tabela2[[#This Row],[SIGLA]]="","",VLOOKUP(Tabela2[[#This Row],[SIGLA]],Tabela1[[#All],[Sigla Arte]:[Crédito]],2,0))</f>
        <v>FELIPE GRIGOLI/ARQUIVO DA EDITORA</v>
      </c>
      <c r="Z283" s="12"/>
      <c r="AA283" s="12" t="str">
        <f>Tabela2[[#This Row],[ILUSTRADOR CRIAÇÃO]]</f>
        <v>FELIPE GRIGOLI/ARQUIVO DA EDITORA</v>
      </c>
      <c r="AB283" s="11">
        <v>5</v>
      </c>
      <c r="AC283" s="9" t="s">
        <v>729</v>
      </c>
      <c r="AD283" s="9" t="s">
        <v>11</v>
      </c>
      <c r="AE283" s="4" t="str">
        <f t="shared" si="4"/>
        <v>EF1 E002 Port</v>
      </c>
    </row>
    <row r="284" spans="1:31" s="7" customFormat="1" ht="30" x14ac:dyDescent="0.25">
      <c r="A284" s="12" t="s">
        <v>766</v>
      </c>
      <c r="B284" s="9" t="s">
        <v>40</v>
      </c>
      <c r="C284" s="9" t="s">
        <v>1</v>
      </c>
      <c r="D284" s="9" t="s">
        <v>25</v>
      </c>
      <c r="E284" s="11">
        <v>211</v>
      </c>
      <c r="F284" s="11">
        <v>2</v>
      </c>
      <c r="G284" s="11">
        <v>6</v>
      </c>
      <c r="H284" s="11"/>
      <c r="I284" s="12" t="s">
        <v>9</v>
      </c>
      <c r="J284" s="12"/>
      <c r="K284" s="11"/>
      <c r="L284" s="11"/>
      <c r="M284" s="12"/>
      <c r="N284" s="12"/>
      <c r="O284" s="32" t="s">
        <v>767</v>
      </c>
      <c r="P284" s="9"/>
      <c r="Q284" s="9"/>
      <c r="R284" s="11">
        <v>35</v>
      </c>
      <c r="S284" s="13"/>
      <c r="T284" s="13">
        <v>45874</v>
      </c>
      <c r="U284" s="13">
        <v>45877</v>
      </c>
      <c r="V284" s="13">
        <v>45877</v>
      </c>
      <c r="W284" s="13">
        <v>45880</v>
      </c>
      <c r="X284" s="11" t="s">
        <v>141</v>
      </c>
      <c r="Y284" s="4" t="str">
        <f>IF(Tabela2[[#This Row],[SIGLA]]="","",VLOOKUP(Tabela2[[#This Row],[SIGLA]],Tabela1[[#All],[Sigla Arte]:[Crédito]],2,0))</f>
        <v>EZEQUIEL SILVA/ARQUIVO DA EDITORA</v>
      </c>
      <c r="Z284" s="12"/>
      <c r="AA284" s="12" t="str">
        <f>Tabela2[[#This Row],[ILUSTRADOR CRIAÇÃO]]</f>
        <v>EZEQUIEL SILVA/ARQUIVO DA EDITORA</v>
      </c>
      <c r="AB284" s="11">
        <v>5</v>
      </c>
      <c r="AC284" s="9" t="s">
        <v>768</v>
      </c>
      <c r="AD284" s="9" t="s">
        <v>22</v>
      </c>
      <c r="AE284" s="4" t="str">
        <f t="shared" si="4"/>
        <v>EF1 E002 Port</v>
      </c>
    </row>
    <row r="285" spans="1:31" s="7" customFormat="1" ht="135" x14ac:dyDescent="0.25">
      <c r="A285" s="12" t="s">
        <v>769</v>
      </c>
      <c r="B285" s="9" t="s">
        <v>40</v>
      </c>
      <c r="C285" s="9" t="s">
        <v>1</v>
      </c>
      <c r="D285" s="9" t="s">
        <v>25</v>
      </c>
      <c r="E285" s="11">
        <v>215</v>
      </c>
      <c r="F285" s="11">
        <v>2</v>
      </c>
      <c r="G285" s="11">
        <v>6</v>
      </c>
      <c r="H285" s="11"/>
      <c r="I285" s="12" t="s">
        <v>9</v>
      </c>
      <c r="J285" s="12"/>
      <c r="K285" s="11"/>
      <c r="L285" s="11"/>
      <c r="M285" s="12"/>
      <c r="N285" s="12"/>
      <c r="O285" s="32" t="s">
        <v>770</v>
      </c>
      <c r="P285" s="9"/>
      <c r="Q285" s="9"/>
      <c r="R285" s="11">
        <v>35</v>
      </c>
      <c r="S285" s="13"/>
      <c r="T285" s="13">
        <v>45874</v>
      </c>
      <c r="U285" s="13">
        <v>45877</v>
      </c>
      <c r="V285" s="13">
        <v>45877</v>
      </c>
      <c r="W285" s="13">
        <v>45880</v>
      </c>
      <c r="X285" s="11" t="s">
        <v>141</v>
      </c>
      <c r="Y285" s="4" t="str">
        <f>IF(Tabela2[[#This Row],[SIGLA]]="","",VLOOKUP(Tabela2[[#This Row],[SIGLA]],Tabela1[[#All],[Sigla Arte]:[Crédito]],2,0))</f>
        <v>EZEQUIEL SILVA/ARQUIVO DA EDITORA</v>
      </c>
      <c r="Z285" s="12"/>
      <c r="AA285" s="12" t="str">
        <f>Tabela2[[#This Row],[ILUSTRADOR CRIAÇÃO]]</f>
        <v>EZEQUIEL SILVA/ARQUIVO DA EDITORA</v>
      </c>
      <c r="AB285" s="11">
        <v>4</v>
      </c>
      <c r="AC285" s="9" t="s">
        <v>768</v>
      </c>
      <c r="AD285" s="9" t="s">
        <v>22</v>
      </c>
      <c r="AE285" s="4" t="str">
        <f t="shared" si="4"/>
        <v>EF1 E002 Port</v>
      </c>
    </row>
    <row r="286" spans="1:31" s="7" customFormat="1" ht="60" x14ac:dyDescent="0.25">
      <c r="A286" s="12" t="s">
        <v>771</v>
      </c>
      <c r="B286" s="9" t="s">
        <v>40</v>
      </c>
      <c r="C286" s="9" t="s">
        <v>1</v>
      </c>
      <c r="D286" s="9" t="s">
        <v>25</v>
      </c>
      <c r="E286" s="11">
        <v>36</v>
      </c>
      <c r="F286" s="11">
        <v>3</v>
      </c>
      <c r="G286" s="11">
        <v>1</v>
      </c>
      <c r="H286" s="11"/>
      <c r="I286" s="12" t="s">
        <v>9</v>
      </c>
      <c r="J286" s="12"/>
      <c r="K286" s="11"/>
      <c r="L286" s="11"/>
      <c r="M286" s="12"/>
      <c r="N286" s="12"/>
      <c r="O286" s="32" t="s">
        <v>772</v>
      </c>
      <c r="P286" s="9"/>
      <c r="Q286" s="9"/>
      <c r="R286" s="11">
        <v>36</v>
      </c>
      <c r="S286" s="13">
        <v>45874</v>
      </c>
      <c r="T286" s="13">
        <v>45876</v>
      </c>
      <c r="U286" s="13">
        <v>45882</v>
      </c>
      <c r="V286" s="13">
        <v>45883</v>
      </c>
      <c r="W286" s="13">
        <v>45887</v>
      </c>
      <c r="X286" s="11" t="s">
        <v>229</v>
      </c>
      <c r="Y286" s="4" t="str">
        <f>IF(Tabela2[[#This Row],[SIGLA]]="","",VLOOKUP(Tabela2[[#This Row],[SIGLA]],Tabela1[[#All],[Sigla Arte]:[Crédito]],2,0))</f>
        <v>RIVALDO BARBOZA/ARQUIVO DA EDITORA</v>
      </c>
      <c r="Z286" s="12"/>
      <c r="AA286" s="12" t="str">
        <f>Tabela2[[#This Row],[ILUSTRADOR CRIAÇÃO]]</f>
        <v>RIVALDO BARBOZA/ARQUIVO DA EDITORA</v>
      </c>
      <c r="AB286" s="11">
        <v>6</v>
      </c>
      <c r="AC286" s="9" t="s">
        <v>753</v>
      </c>
      <c r="AD286" s="9" t="s">
        <v>22</v>
      </c>
      <c r="AE286" s="4" t="str">
        <f t="shared" si="4"/>
        <v>EF1 E002 Port</v>
      </c>
    </row>
    <row r="287" spans="1:31" s="7" customFormat="1" ht="45" x14ac:dyDescent="0.25">
      <c r="A287" s="12" t="s">
        <v>773</v>
      </c>
      <c r="B287" s="9" t="s">
        <v>42</v>
      </c>
      <c r="C287" s="9" t="s">
        <v>1</v>
      </c>
      <c r="D287" s="9" t="s">
        <v>25</v>
      </c>
      <c r="E287" s="11">
        <v>41</v>
      </c>
      <c r="F287" s="11">
        <v>3</v>
      </c>
      <c r="G287" s="11">
        <v>1</v>
      </c>
      <c r="H287" s="11"/>
      <c r="I287" s="12" t="s">
        <v>9</v>
      </c>
      <c r="J287" s="12"/>
      <c r="K287" s="11"/>
      <c r="L287" s="11"/>
      <c r="M287" s="12"/>
      <c r="N287" s="12"/>
      <c r="O287" s="32" t="s">
        <v>774</v>
      </c>
      <c r="P287" s="9"/>
      <c r="Q287" s="9"/>
      <c r="R287" s="11">
        <v>36</v>
      </c>
      <c r="S287" s="13">
        <v>45874</v>
      </c>
      <c r="T287" s="13"/>
      <c r="U287" s="13"/>
      <c r="V287" s="13"/>
      <c r="W287" s="13"/>
      <c r="X287" s="11"/>
      <c r="Y287" s="4" t="str">
        <f>IF(Tabela2[[#This Row],[SIGLA]]="","",VLOOKUP(Tabela2[[#This Row],[SIGLA]],Tabela1[[#All],[Sigla Arte]:[Crédito]],2,0))</f>
        <v/>
      </c>
      <c r="Z287" s="12"/>
      <c r="AA287" s="12" t="str">
        <f>Tabela2[[#This Row],[ILUSTRADOR CRIAÇÃO]]</f>
        <v/>
      </c>
      <c r="AB287" s="11"/>
      <c r="AC287" s="9" t="s">
        <v>676</v>
      </c>
      <c r="AD287" s="9"/>
      <c r="AE287" s="4" t="str">
        <f t="shared" si="4"/>
        <v>EF1 E002 Port</v>
      </c>
    </row>
    <row r="288" spans="1:31" s="7" customFormat="1" ht="30" x14ac:dyDescent="0.25">
      <c r="A288" s="12" t="s">
        <v>775</v>
      </c>
      <c r="B288" s="9" t="s">
        <v>40</v>
      </c>
      <c r="C288" s="9" t="s">
        <v>1</v>
      </c>
      <c r="D288" s="9" t="s">
        <v>25</v>
      </c>
      <c r="E288" s="11">
        <v>113</v>
      </c>
      <c r="F288" s="11">
        <v>3</v>
      </c>
      <c r="G288" s="11">
        <v>3</v>
      </c>
      <c r="H288" s="11"/>
      <c r="I288" s="12" t="s">
        <v>9</v>
      </c>
      <c r="J288" s="12"/>
      <c r="K288" s="11"/>
      <c r="L288" s="11"/>
      <c r="M288" s="12"/>
      <c r="N288" s="12"/>
      <c r="O288" s="32" t="s">
        <v>776</v>
      </c>
      <c r="P288" s="9"/>
      <c r="Q288" s="9"/>
      <c r="R288" s="11">
        <v>37</v>
      </c>
      <c r="S288" s="13">
        <v>45874</v>
      </c>
      <c r="T288" s="13">
        <v>45877</v>
      </c>
      <c r="U288" s="13">
        <v>45882</v>
      </c>
      <c r="V288" s="13">
        <v>45883</v>
      </c>
      <c r="W288" s="13">
        <v>45885</v>
      </c>
      <c r="X288" s="11" t="s">
        <v>200</v>
      </c>
      <c r="Y288" s="4" t="str">
        <f>IF(Tabela2[[#This Row],[SIGLA]]="","",VLOOKUP(Tabela2[[#This Row],[SIGLA]],Tabela1[[#All],[Sigla Arte]:[Crédito]],2,0))</f>
        <v>NATHALIA ICHIOKA/ARQUIVO DA EDITORA</v>
      </c>
      <c r="Z288" s="12"/>
      <c r="AA288" s="12" t="str">
        <f>Tabela2[[#This Row],[ILUSTRADOR CRIAÇÃO]]</f>
        <v>NATHALIA ICHIOKA/ARQUIVO DA EDITORA</v>
      </c>
      <c r="AB288" s="11">
        <v>5</v>
      </c>
      <c r="AC288" s="9" t="s">
        <v>201</v>
      </c>
      <c r="AD288" s="9" t="s">
        <v>22</v>
      </c>
      <c r="AE288" s="4" t="str">
        <f t="shared" si="4"/>
        <v>EF1 E002 Port</v>
      </c>
    </row>
    <row r="289" spans="1:31" s="7" customFormat="1" ht="45" x14ac:dyDescent="0.25">
      <c r="A289" s="12" t="s">
        <v>777</v>
      </c>
      <c r="B289" s="9" t="s">
        <v>40</v>
      </c>
      <c r="C289" s="9" t="s">
        <v>1</v>
      </c>
      <c r="D289" s="9" t="s">
        <v>25</v>
      </c>
      <c r="E289" s="11">
        <v>93</v>
      </c>
      <c r="F289" s="11">
        <v>3</v>
      </c>
      <c r="G289" s="11">
        <v>3</v>
      </c>
      <c r="H289" s="11"/>
      <c r="I289" s="12" t="s">
        <v>9</v>
      </c>
      <c r="J289" s="12"/>
      <c r="K289" s="11"/>
      <c r="L289" s="11"/>
      <c r="M289" s="12"/>
      <c r="N289" s="12"/>
      <c r="O289" s="32" t="s">
        <v>778</v>
      </c>
      <c r="P289" s="9"/>
      <c r="Q289" s="9"/>
      <c r="R289" s="11">
        <v>37</v>
      </c>
      <c r="S289" s="13">
        <v>45874</v>
      </c>
      <c r="T289" s="13">
        <v>45876</v>
      </c>
      <c r="U289" s="13">
        <v>45882</v>
      </c>
      <c r="V289" s="13">
        <v>45884</v>
      </c>
      <c r="W289" s="13">
        <v>45888</v>
      </c>
      <c r="X289" s="11" t="s">
        <v>779</v>
      </c>
      <c r="Y289" s="4" t="str">
        <f>IF(Tabela2[[#This Row],[SIGLA]]="","",VLOOKUP(Tabela2[[#This Row],[SIGLA]],Tabela1[[#All],[Sigla Arte]:[Crédito]],2,0))</f>
        <v>DANIEL GUSTAVO SILVA GONÇALVES/ARQUIVO DA EDITORA</v>
      </c>
      <c r="Z289" s="12"/>
      <c r="AA289" s="12" t="str">
        <f>Tabela2[[#This Row],[ILUSTRADOR CRIAÇÃO]]</f>
        <v>DANIEL GUSTAVO SILVA GONÇALVES/ARQUIVO DA EDITORA</v>
      </c>
      <c r="AB289" s="11">
        <v>7</v>
      </c>
      <c r="AC289" s="9" t="s">
        <v>780</v>
      </c>
      <c r="AD289" s="9" t="s">
        <v>22</v>
      </c>
      <c r="AE289" s="4" t="str">
        <f t="shared" si="4"/>
        <v>EF1 E002 Port</v>
      </c>
    </row>
    <row r="290" spans="1:31" s="7" customFormat="1" ht="105" x14ac:dyDescent="0.25">
      <c r="A290" s="12" t="s">
        <v>781</v>
      </c>
      <c r="B290" s="9" t="s">
        <v>40</v>
      </c>
      <c r="C290" s="9" t="s">
        <v>1</v>
      </c>
      <c r="D290" s="9" t="s">
        <v>25</v>
      </c>
      <c r="E290" s="11">
        <v>90</v>
      </c>
      <c r="F290" s="11">
        <v>3</v>
      </c>
      <c r="G290" s="11">
        <v>3</v>
      </c>
      <c r="H290" s="11"/>
      <c r="I290" s="12" t="s">
        <v>9</v>
      </c>
      <c r="J290" s="12"/>
      <c r="K290" s="11"/>
      <c r="L290" s="11"/>
      <c r="M290" s="12"/>
      <c r="N290" s="12"/>
      <c r="O290" s="32" t="s">
        <v>782</v>
      </c>
      <c r="P290" s="9"/>
      <c r="Q290" s="9"/>
      <c r="R290" s="11">
        <v>37</v>
      </c>
      <c r="S290" s="13">
        <v>45874</v>
      </c>
      <c r="T290" s="13">
        <v>45877</v>
      </c>
      <c r="U290" s="13"/>
      <c r="V290" s="13"/>
      <c r="W290" s="13">
        <v>45877</v>
      </c>
      <c r="X290" s="11" t="s">
        <v>728</v>
      </c>
      <c r="Y290" s="4" t="str">
        <f>IF(Tabela2[[#This Row],[SIGLA]]="","",VLOOKUP(Tabela2[[#This Row],[SIGLA]],Tabela1[[#All],[Sigla Arte]:[Crédito]],2,0))</f>
        <v>FELIPE GRIGOLI/ARQUIVO DA EDITORA</v>
      </c>
      <c r="Z290" s="12"/>
      <c r="AA290" s="12" t="str">
        <f>Tabela2[[#This Row],[ILUSTRADOR CRIAÇÃO]]</f>
        <v>FELIPE GRIGOLI/ARQUIVO DA EDITORA</v>
      </c>
      <c r="AB290" s="11">
        <v>5</v>
      </c>
      <c r="AC290" s="9" t="s">
        <v>729</v>
      </c>
      <c r="AD290" s="9" t="s">
        <v>11</v>
      </c>
      <c r="AE290" s="4" t="str">
        <f t="shared" si="4"/>
        <v>EF1 E002 Port</v>
      </c>
    </row>
    <row r="291" spans="1:31" s="7" customFormat="1" ht="75" x14ac:dyDescent="0.25">
      <c r="A291" s="12" t="s">
        <v>783</v>
      </c>
      <c r="B291" s="9" t="s">
        <v>42</v>
      </c>
      <c r="C291" s="9" t="s">
        <v>1</v>
      </c>
      <c r="D291" s="9" t="s">
        <v>25</v>
      </c>
      <c r="E291" s="11">
        <v>83</v>
      </c>
      <c r="F291" s="11">
        <v>3</v>
      </c>
      <c r="G291" s="11">
        <v>3</v>
      </c>
      <c r="H291" s="11"/>
      <c r="I291" s="12" t="s">
        <v>9</v>
      </c>
      <c r="J291" s="12"/>
      <c r="K291" s="11"/>
      <c r="L291" s="11"/>
      <c r="M291" s="12"/>
      <c r="N291" s="12"/>
      <c r="O291" s="32" t="s">
        <v>784</v>
      </c>
      <c r="P291" s="9"/>
      <c r="Q291" s="9"/>
      <c r="R291" s="11">
        <v>37</v>
      </c>
      <c r="S291" s="13">
        <v>45874</v>
      </c>
      <c r="T291" s="13">
        <v>45876</v>
      </c>
      <c r="U291" s="13">
        <v>45882</v>
      </c>
      <c r="V291" s="13"/>
      <c r="W291" s="13"/>
      <c r="X291" s="11" t="s">
        <v>779</v>
      </c>
      <c r="Y291" s="4" t="str">
        <f>IF(Tabela2[[#This Row],[SIGLA]]="","",VLOOKUP(Tabela2[[#This Row],[SIGLA]],Tabela1[[#All],[Sigla Arte]:[Crédito]],2,0))</f>
        <v>DANIEL GUSTAVO SILVA GONÇALVES/ARQUIVO DA EDITORA</v>
      </c>
      <c r="Z291" s="12"/>
      <c r="AA291" s="12" t="str">
        <f>Tabela2[[#This Row],[ILUSTRADOR CRIAÇÃO]]</f>
        <v>DANIEL GUSTAVO SILVA GONÇALVES/ARQUIVO DA EDITORA</v>
      </c>
      <c r="AB291" s="11">
        <v>5</v>
      </c>
      <c r="AC291" s="9" t="s">
        <v>785</v>
      </c>
      <c r="AD291" s="9" t="s">
        <v>27</v>
      </c>
      <c r="AE291" s="4" t="str">
        <f t="shared" si="4"/>
        <v>EF1 E002 Port</v>
      </c>
    </row>
    <row r="292" spans="1:31" s="7" customFormat="1" ht="30" x14ac:dyDescent="0.25">
      <c r="A292" s="12" t="s">
        <v>786</v>
      </c>
      <c r="B292" s="9" t="s">
        <v>42</v>
      </c>
      <c r="C292" s="9" t="s">
        <v>1</v>
      </c>
      <c r="D292" s="9" t="s">
        <v>25</v>
      </c>
      <c r="E292" s="11">
        <v>82</v>
      </c>
      <c r="F292" s="11">
        <v>3</v>
      </c>
      <c r="G292" s="11">
        <v>3</v>
      </c>
      <c r="H292" s="11"/>
      <c r="I292" s="12" t="s">
        <v>9</v>
      </c>
      <c r="J292" s="12"/>
      <c r="K292" s="11"/>
      <c r="L292" s="11"/>
      <c r="M292" s="12"/>
      <c r="N292" s="12"/>
      <c r="O292" s="32" t="s">
        <v>787</v>
      </c>
      <c r="P292" s="9"/>
      <c r="Q292" s="9"/>
      <c r="R292" s="11">
        <v>37</v>
      </c>
      <c r="S292" s="13">
        <v>45874</v>
      </c>
      <c r="T292" s="13">
        <v>45876</v>
      </c>
      <c r="U292" s="13">
        <v>45882</v>
      </c>
      <c r="V292" s="13"/>
      <c r="W292" s="13"/>
      <c r="X292" s="11" t="s">
        <v>779</v>
      </c>
      <c r="Y292" s="4" t="str">
        <f>IF(Tabela2[[#This Row],[SIGLA]]="","",VLOOKUP(Tabela2[[#This Row],[SIGLA]],Tabela1[[#All],[Sigla Arte]:[Crédito]],2,0))</f>
        <v>DANIEL GUSTAVO SILVA GONÇALVES/ARQUIVO DA EDITORA</v>
      </c>
      <c r="Z292" s="12"/>
      <c r="AA292" s="12" t="str">
        <f>Tabela2[[#This Row],[ILUSTRADOR CRIAÇÃO]]</f>
        <v>DANIEL GUSTAVO SILVA GONÇALVES/ARQUIVO DA EDITORA</v>
      </c>
      <c r="AB292" s="11">
        <v>5</v>
      </c>
      <c r="AC292" s="9" t="s">
        <v>785</v>
      </c>
      <c r="AD292" s="9" t="s">
        <v>27</v>
      </c>
      <c r="AE292" s="4" t="str">
        <f t="shared" si="4"/>
        <v>EF1 E002 Port</v>
      </c>
    </row>
    <row r="293" spans="1:31" s="7" customFormat="1" ht="45" x14ac:dyDescent="0.25">
      <c r="A293" s="12" t="s">
        <v>788</v>
      </c>
      <c r="B293" s="9" t="s">
        <v>42</v>
      </c>
      <c r="C293" s="9" t="s">
        <v>1</v>
      </c>
      <c r="D293" s="9" t="s">
        <v>25</v>
      </c>
      <c r="E293" s="11">
        <v>162</v>
      </c>
      <c r="F293" s="11">
        <v>2</v>
      </c>
      <c r="G293" s="11">
        <v>5</v>
      </c>
      <c r="H293" s="11"/>
      <c r="I293" s="12" t="s">
        <v>9</v>
      </c>
      <c r="J293" s="12"/>
      <c r="K293" s="11"/>
      <c r="L293" s="11"/>
      <c r="M293" s="12"/>
      <c r="N293" s="12"/>
      <c r="O293" s="32" t="s">
        <v>789</v>
      </c>
      <c r="P293" s="9"/>
      <c r="Q293" s="9"/>
      <c r="R293" s="11">
        <v>38</v>
      </c>
      <c r="S293" s="13">
        <v>45874</v>
      </c>
      <c r="T293" s="13"/>
      <c r="U293" s="13"/>
      <c r="V293" s="13"/>
      <c r="W293" s="13"/>
      <c r="X293" s="11"/>
      <c r="Y293" s="4" t="str">
        <f>IF(Tabela2[[#This Row],[SIGLA]]="","",VLOOKUP(Tabela2[[#This Row],[SIGLA]],Tabela1[[#All],[Sigla Arte]:[Crédito]],2,0))</f>
        <v/>
      </c>
      <c r="Z293" s="12"/>
      <c r="AA293" s="12" t="str">
        <f>Tabela2[[#This Row],[ILUSTRADOR CRIAÇÃO]]</f>
        <v/>
      </c>
      <c r="AB293" s="11"/>
      <c r="AC293" s="9" t="s">
        <v>790</v>
      </c>
      <c r="AD293" s="9"/>
      <c r="AE293" s="4" t="str">
        <f t="shared" si="4"/>
        <v>EF1 E002 Port</v>
      </c>
    </row>
    <row r="294" spans="1:31" s="7" customFormat="1" ht="45" x14ac:dyDescent="0.25">
      <c r="A294" s="12" t="s">
        <v>791</v>
      </c>
      <c r="B294" s="9" t="s">
        <v>42</v>
      </c>
      <c r="C294" s="9" t="s">
        <v>1</v>
      </c>
      <c r="D294" s="9" t="s">
        <v>25</v>
      </c>
      <c r="E294" s="11">
        <v>169</v>
      </c>
      <c r="F294" s="11">
        <v>2</v>
      </c>
      <c r="G294" s="11">
        <v>5</v>
      </c>
      <c r="H294" s="11"/>
      <c r="I294" s="12" t="s">
        <v>9</v>
      </c>
      <c r="J294" s="12"/>
      <c r="K294" s="11"/>
      <c r="L294" s="11"/>
      <c r="M294" s="12"/>
      <c r="N294" s="12"/>
      <c r="O294" s="32" t="s">
        <v>792</v>
      </c>
      <c r="P294" s="9"/>
      <c r="Q294" s="9"/>
      <c r="R294" s="11">
        <v>38</v>
      </c>
      <c r="S294" s="13">
        <v>45874</v>
      </c>
      <c r="T294" s="13"/>
      <c r="U294" s="13"/>
      <c r="V294" s="13"/>
      <c r="W294" s="13"/>
      <c r="X294" s="11"/>
      <c r="Y294" s="4" t="str">
        <f>IF(Tabela2[[#This Row],[SIGLA]]="","",VLOOKUP(Tabela2[[#This Row],[SIGLA]],Tabela1[[#All],[Sigla Arte]:[Crédito]],2,0))</f>
        <v/>
      </c>
      <c r="Z294" s="12"/>
      <c r="AA294" s="12" t="str">
        <f>Tabela2[[#This Row],[ILUSTRADOR CRIAÇÃO]]</f>
        <v/>
      </c>
      <c r="AB294" s="11"/>
      <c r="AC294" s="9" t="s">
        <v>790</v>
      </c>
      <c r="AD294" s="9"/>
      <c r="AE294" s="4" t="str">
        <f t="shared" si="4"/>
        <v>EF1 E002 Port</v>
      </c>
    </row>
    <row r="295" spans="1:31" s="7" customFormat="1" ht="75" x14ac:dyDescent="0.25">
      <c r="A295" s="12" t="s">
        <v>793</v>
      </c>
      <c r="B295" s="9" t="s">
        <v>40</v>
      </c>
      <c r="C295" s="9" t="s">
        <v>1</v>
      </c>
      <c r="D295" s="9" t="s">
        <v>25</v>
      </c>
      <c r="E295" s="11">
        <v>170</v>
      </c>
      <c r="F295" s="11">
        <v>2</v>
      </c>
      <c r="G295" s="11">
        <v>5</v>
      </c>
      <c r="H295" s="11"/>
      <c r="I295" s="12" t="s">
        <v>9</v>
      </c>
      <c r="J295" s="12"/>
      <c r="K295" s="11"/>
      <c r="L295" s="11"/>
      <c r="M295" s="12"/>
      <c r="N295" s="12"/>
      <c r="O295" s="32" t="s">
        <v>794</v>
      </c>
      <c r="P295" s="9"/>
      <c r="Q295" s="9"/>
      <c r="R295" s="11">
        <v>38</v>
      </c>
      <c r="S295" s="13">
        <v>45874</v>
      </c>
      <c r="T295" s="13">
        <v>45875</v>
      </c>
      <c r="U295" s="13">
        <v>45880</v>
      </c>
      <c r="V295" s="13">
        <v>45881</v>
      </c>
      <c r="W295" s="13">
        <v>45882</v>
      </c>
      <c r="X295" s="11" t="s">
        <v>281</v>
      </c>
      <c r="Y295" s="4" t="str">
        <f>IF(Tabela2[[#This Row],[SIGLA]]="","",VLOOKUP(Tabela2[[#This Row],[SIGLA]],Tabela1[[#All],[Sigla Arte]:[Crédito]],2,0))</f>
        <v>GUILHERME RODRIGUES/ARQUIVO DA EDITORA</v>
      </c>
      <c r="Z295" s="12"/>
      <c r="AA295" s="12" t="str">
        <f>Tabela2[[#This Row],[ILUSTRADOR CRIAÇÃO]]</f>
        <v>GUILHERME RODRIGUES/ARQUIVO DA EDITORA</v>
      </c>
      <c r="AB295" s="11">
        <v>5</v>
      </c>
      <c r="AC295" s="9" t="s">
        <v>704</v>
      </c>
      <c r="AD295" s="9" t="s">
        <v>22</v>
      </c>
      <c r="AE295" s="4" t="str">
        <f t="shared" si="4"/>
        <v>EF1 E002 Port</v>
      </c>
    </row>
    <row r="296" spans="1:31" s="7" customFormat="1" ht="45" x14ac:dyDescent="0.25">
      <c r="A296" s="12" t="s">
        <v>795</v>
      </c>
      <c r="B296" s="9" t="s">
        <v>40</v>
      </c>
      <c r="C296" s="9" t="s">
        <v>1</v>
      </c>
      <c r="D296" s="9" t="s">
        <v>25</v>
      </c>
      <c r="E296" s="11">
        <v>171</v>
      </c>
      <c r="F296" s="11">
        <v>2</v>
      </c>
      <c r="G296" s="11">
        <v>5</v>
      </c>
      <c r="H296" s="11"/>
      <c r="I296" s="12" t="s">
        <v>9</v>
      </c>
      <c r="J296" s="12"/>
      <c r="K296" s="11"/>
      <c r="L296" s="11"/>
      <c r="M296" s="12"/>
      <c r="N296" s="12"/>
      <c r="O296" s="32" t="s">
        <v>796</v>
      </c>
      <c r="P296" s="9"/>
      <c r="Q296" s="9"/>
      <c r="R296" s="11">
        <v>38</v>
      </c>
      <c r="S296" s="13">
        <v>45874</v>
      </c>
      <c r="T296" s="13">
        <v>45875</v>
      </c>
      <c r="U296" s="13">
        <v>45880</v>
      </c>
      <c r="V296" s="13">
        <v>45881</v>
      </c>
      <c r="W296" s="13">
        <v>45882</v>
      </c>
      <c r="X296" s="11" t="s">
        <v>281</v>
      </c>
      <c r="Y296" s="4" t="str">
        <f>IF(Tabela2[[#This Row],[SIGLA]]="","",VLOOKUP(Tabela2[[#This Row],[SIGLA]],Tabela1[[#All],[Sigla Arte]:[Crédito]],2,0))</f>
        <v>GUILHERME RODRIGUES/ARQUIVO DA EDITORA</v>
      </c>
      <c r="Z296" s="12"/>
      <c r="AA296" s="12" t="str">
        <f>Tabela2[[#This Row],[ILUSTRADOR CRIAÇÃO]]</f>
        <v>GUILHERME RODRIGUES/ARQUIVO DA EDITORA</v>
      </c>
      <c r="AB296" s="11">
        <v>5</v>
      </c>
      <c r="AC296" s="9" t="s">
        <v>704</v>
      </c>
      <c r="AD296" s="9" t="s">
        <v>22</v>
      </c>
      <c r="AE296" s="4" t="str">
        <f t="shared" si="4"/>
        <v>EF1 E002 Port</v>
      </c>
    </row>
    <row r="297" spans="1:31" s="7" customFormat="1" ht="30" x14ac:dyDescent="0.25">
      <c r="A297" s="12" t="s">
        <v>797</v>
      </c>
      <c r="B297" s="9" t="s">
        <v>42</v>
      </c>
      <c r="C297" s="9" t="s">
        <v>1</v>
      </c>
      <c r="D297" s="9" t="s">
        <v>25</v>
      </c>
      <c r="E297" s="11">
        <v>180</v>
      </c>
      <c r="F297" s="11">
        <v>2</v>
      </c>
      <c r="G297" s="11">
        <v>5</v>
      </c>
      <c r="H297" s="11"/>
      <c r="I297" s="12" t="s">
        <v>9</v>
      </c>
      <c r="J297" s="12"/>
      <c r="K297" s="11"/>
      <c r="L297" s="11"/>
      <c r="M297" s="12"/>
      <c r="N297" s="12"/>
      <c r="O297" s="32" t="s">
        <v>798</v>
      </c>
      <c r="P297" s="9"/>
      <c r="Q297" s="9"/>
      <c r="R297" s="11">
        <v>38</v>
      </c>
      <c r="S297" s="13">
        <v>45874</v>
      </c>
      <c r="T297" s="13"/>
      <c r="U297" s="13"/>
      <c r="V297" s="13"/>
      <c r="W297" s="13"/>
      <c r="X297" s="11"/>
      <c r="Y297" s="4" t="str">
        <f>IF(Tabela2[[#This Row],[SIGLA]]="","",VLOOKUP(Tabela2[[#This Row],[SIGLA]],Tabela1[[#All],[Sigla Arte]:[Crédito]],2,0))</f>
        <v/>
      </c>
      <c r="Z297" s="12"/>
      <c r="AA297" s="12" t="str">
        <f>Tabela2[[#This Row],[ILUSTRADOR CRIAÇÃO]]</f>
        <v/>
      </c>
      <c r="AB297" s="11"/>
      <c r="AC297" s="9" t="s">
        <v>790</v>
      </c>
      <c r="AD297" s="9"/>
      <c r="AE297" s="4" t="str">
        <f t="shared" si="4"/>
        <v>EF1 E002 Port</v>
      </c>
    </row>
    <row r="298" spans="1:31" s="7" customFormat="1" ht="75" x14ac:dyDescent="0.25">
      <c r="A298" s="12" t="s">
        <v>799</v>
      </c>
      <c r="B298" s="9" t="s">
        <v>42</v>
      </c>
      <c r="C298" s="9" t="s">
        <v>1</v>
      </c>
      <c r="D298" s="9" t="s">
        <v>25</v>
      </c>
      <c r="E298" s="11">
        <v>190</v>
      </c>
      <c r="F298" s="11">
        <v>2</v>
      </c>
      <c r="G298" s="11">
        <v>5</v>
      </c>
      <c r="H298" s="11"/>
      <c r="I298" s="12" t="s">
        <v>9</v>
      </c>
      <c r="J298" s="12"/>
      <c r="K298" s="11"/>
      <c r="L298" s="11"/>
      <c r="M298" s="12"/>
      <c r="N298" s="12"/>
      <c r="O298" s="32" t="s">
        <v>800</v>
      </c>
      <c r="P298" s="9"/>
      <c r="Q298" s="9"/>
      <c r="R298" s="11">
        <v>38</v>
      </c>
      <c r="S298" s="13">
        <v>45874</v>
      </c>
      <c r="T298" s="13"/>
      <c r="U298" s="13"/>
      <c r="V298" s="13"/>
      <c r="W298" s="13"/>
      <c r="X298" s="11"/>
      <c r="Y298" s="4" t="str">
        <f>IF(Tabela2[[#This Row],[SIGLA]]="","",VLOOKUP(Tabela2[[#This Row],[SIGLA]],Tabela1[[#All],[Sigla Arte]:[Crédito]],2,0))</f>
        <v/>
      </c>
      <c r="Z298" s="12"/>
      <c r="AA298" s="12" t="str">
        <f>Tabela2[[#This Row],[ILUSTRADOR CRIAÇÃO]]</f>
        <v/>
      </c>
      <c r="AB298" s="11"/>
      <c r="AC298" s="9" t="s">
        <v>790</v>
      </c>
      <c r="AD298" s="9"/>
      <c r="AE298" s="4" t="str">
        <f t="shared" si="4"/>
        <v>EF1 E002 Port</v>
      </c>
    </row>
    <row r="299" spans="1:31" s="7" customFormat="1" ht="195" x14ac:dyDescent="0.25">
      <c r="A299" s="12" t="s">
        <v>801</v>
      </c>
      <c r="B299" s="9" t="s">
        <v>37</v>
      </c>
      <c r="C299" s="9" t="s">
        <v>1</v>
      </c>
      <c r="D299" s="9" t="s">
        <v>25</v>
      </c>
      <c r="E299" s="11">
        <v>160</v>
      </c>
      <c r="F299" s="11">
        <v>3</v>
      </c>
      <c r="G299" s="11">
        <v>5</v>
      </c>
      <c r="H299" s="11"/>
      <c r="I299" s="12" t="s">
        <v>9</v>
      </c>
      <c r="J299" s="12"/>
      <c r="K299" s="11"/>
      <c r="L299" s="11"/>
      <c r="M299" s="12"/>
      <c r="N299" s="12"/>
      <c r="O299" s="32" t="s">
        <v>802</v>
      </c>
      <c r="P299" s="9"/>
      <c r="Q299" s="9"/>
      <c r="R299" s="11">
        <v>39</v>
      </c>
      <c r="S299" s="13">
        <v>45875</v>
      </c>
      <c r="T299" s="13">
        <v>45877</v>
      </c>
      <c r="U299" s="13">
        <v>45882</v>
      </c>
      <c r="V299" s="13">
        <v>45883</v>
      </c>
      <c r="W299" s="13">
        <v>45884</v>
      </c>
      <c r="X299" s="11" t="s">
        <v>639</v>
      </c>
      <c r="Y299" s="4" t="str">
        <f>IF(Tabela2[[#This Row],[SIGLA]]="","",VLOOKUP(Tabela2[[#This Row],[SIGLA]],Tabela1[[#All],[Sigla Arte]:[Crédito]],2,0))</f>
        <v>JULIANA DACOSTA/ARQUIVO DA EDITORA</v>
      </c>
      <c r="Z299" s="12"/>
      <c r="AA299" s="12" t="str">
        <f>Tabela2[[#This Row],[ILUSTRADOR CRIAÇÃO]]</f>
        <v>JULIANA DACOSTA/ARQUIVO DA EDITORA</v>
      </c>
      <c r="AB299" s="11">
        <v>6</v>
      </c>
      <c r="AC299" s="9" t="s">
        <v>803</v>
      </c>
      <c r="AD299" s="9" t="s">
        <v>22</v>
      </c>
      <c r="AE299" s="4" t="str">
        <f t="shared" si="4"/>
        <v>EF1 E002 Port</v>
      </c>
    </row>
    <row r="300" spans="1:31" s="7" customFormat="1" ht="45" x14ac:dyDescent="0.25">
      <c r="A300" s="12" t="s">
        <v>804</v>
      </c>
      <c r="B300" s="9" t="s">
        <v>42</v>
      </c>
      <c r="C300" s="9" t="s">
        <v>1</v>
      </c>
      <c r="D300" s="9" t="s">
        <v>25</v>
      </c>
      <c r="E300" s="11">
        <v>161</v>
      </c>
      <c r="F300" s="11">
        <v>3</v>
      </c>
      <c r="G300" s="11">
        <v>5</v>
      </c>
      <c r="H300" s="11"/>
      <c r="I300" s="12" t="s">
        <v>9</v>
      </c>
      <c r="J300" s="12"/>
      <c r="K300" s="11"/>
      <c r="L300" s="11"/>
      <c r="M300" s="12"/>
      <c r="N300" s="12"/>
      <c r="O300" s="32" t="s">
        <v>805</v>
      </c>
      <c r="P300" s="9"/>
      <c r="Q300" s="9"/>
      <c r="R300" s="11">
        <v>39</v>
      </c>
      <c r="S300" s="13">
        <v>45875</v>
      </c>
      <c r="T300" s="13">
        <v>45877</v>
      </c>
      <c r="U300" s="13">
        <v>45882</v>
      </c>
      <c r="V300" s="13">
        <v>45883</v>
      </c>
      <c r="W300" s="13">
        <v>45884</v>
      </c>
      <c r="X300" s="11" t="s">
        <v>639</v>
      </c>
      <c r="Y300" s="4" t="str">
        <f>IF(Tabela2[[#This Row],[SIGLA]]="","",VLOOKUP(Tabela2[[#This Row],[SIGLA]],Tabela1[[#All],[Sigla Arte]:[Crédito]],2,0))</f>
        <v>JULIANA DACOSTA/ARQUIVO DA EDITORA</v>
      </c>
      <c r="Z300" s="12"/>
      <c r="AA300" s="12" t="str">
        <f>Tabela2[[#This Row],[ILUSTRADOR CRIAÇÃO]]</f>
        <v>JULIANA DACOSTA/ARQUIVO DA EDITORA</v>
      </c>
      <c r="AB300" s="11">
        <v>7</v>
      </c>
      <c r="AC300" s="9" t="s">
        <v>803</v>
      </c>
      <c r="AD300" s="9" t="s">
        <v>22</v>
      </c>
      <c r="AE300" s="4" t="str">
        <f t="shared" si="4"/>
        <v>EF1 E002 Port</v>
      </c>
    </row>
    <row r="301" spans="1:31" s="7" customFormat="1" ht="45" x14ac:dyDescent="0.25">
      <c r="A301" s="12" t="s">
        <v>806</v>
      </c>
      <c r="B301" s="9" t="s">
        <v>28</v>
      </c>
      <c r="C301" s="9" t="s">
        <v>1</v>
      </c>
      <c r="D301" s="9" t="s">
        <v>25</v>
      </c>
      <c r="E301" s="11">
        <v>165</v>
      </c>
      <c r="F301" s="11">
        <v>3</v>
      </c>
      <c r="G301" s="11">
        <v>5</v>
      </c>
      <c r="H301" s="11"/>
      <c r="I301" s="12" t="s">
        <v>9</v>
      </c>
      <c r="J301" s="12"/>
      <c r="K301" s="11"/>
      <c r="L301" s="11"/>
      <c r="M301" s="12"/>
      <c r="N301" s="12"/>
      <c r="O301" s="32" t="s">
        <v>807</v>
      </c>
      <c r="P301" s="9"/>
      <c r="Q301" s="9"/>
      <c r="R301" s="11">
        <v>39</v>
      </c>
      <c r="S301" s="13">
        <v>45875</v>
      </c>
      <c r="T301" s="13">
        <v>45877</v>
      </c>
      <c r="U301" s="13">
        <v>45882</v>
      </c>
      <c r="V301" s="13">
        <v>45883</v>
      </c>
      <c r="W301" s="13">
        <v>45884</v>
      </c>
      <c r="X301" s="11" t="s">
        <v>639</v>
      </c>
      <c r="Y301" s="4" t="str">
        <f>IF(Tabela2[[#This Row],[SIGLA]]="","",VLOOKUP(Tabela2[[#This Row],[SIGLA]],Tabela1[[#All],[Sigla Arte]:[Crédito]],2,0))</f>
        <v>JULIANA DACOSTA/ARQUIVO DA EDITORA</v>
      </c>
      <c r="Z301" s="12"/>
      <c r="AA301" s="12" t="str">
        <f>Tabela2[[#This Row],[ILUSTRADOR CRIAÇÃO]]</f>
        <v>JULIANA DACOSTA/ARQUIVO DA EDITORA</v>
      </c>
      <c r="AB301" s="11">
        <v>7</v>
      </c>
      <c r="AC301" s="9" t="s">
        <v>803</v>
      </c>
      <c r="AD301" s="9" t="s">
        <v>22</v>
      </c>
      <c r="AE301" s="4" t="str">
        <f t="shared" si="4"/>
        <v>EF1 E002 Port</v>
      </c>
    </row>
    <row r="302" spans="1:31" s="7" customFormat="1" x14ac:dyDescent="0.25">
      <c r="A302" s="12" t="s">
        <v>808</v>
      </c>
      <c r="B302" s="9" t="s">
        <v>40</v>
      </c>
      <c r="C302" s="9" t="s">
        <v>1</v>
      </c>
      <c r="D302" s="9" t="s">
        <v>25</v>
      </c>
      <c r="E302" s="11">
        <v>169</v>
      </c>
      <c r="F302" s="11">
        <v>3</v>
      </c>
      <c r="G302" s="11">
        <v>5</v>
      </c>
      <c r="H302" s="11"/>
      <c r="I302" s="12" t="s">
        <v>9</v>
      </c>
      <c r="J302" s="12"/>
      <c r="K302" s="11"/>
      <c r="L302" s="11"/>
      <c r="M302" s="12"/>
      <c r="N302" s="12"/>
      <c r="O302" s="32" t="s">
        <v>809</v>
      </c>
      <c r="P302" s="9"/>
      <c r="Q302" s="9"/>
      <c r="R302" s="11">
        <v>39</v>
      </c>
      <c r="S302" s="13">
        <v>45875</v>
      </c>
      <c r="T302" s="13">
        <v>45877</v>
      </c>
      <c r="U302" s="13"/>
      <c r="V302" s="13"/>
      <c r="W302" s="13">
        <v>45877</v>
      </c>
      <c r="X302" s="11" t="s">
        <v>810</v>
      </c>
      <c r="Y302" s="4" t="str">
        <f>IF(Tabela2[[#This Row],[SIGLA]]="","",VLOOKUP(Tabela2[[#This Row],[SIGLA]],Tabela1[[#All],[Sigla Arte]:[Crédito]],2,0))</f>
        <v>RAFAELA PANISSA/ARQUIVO DA EDITORA</v>
      </c>
      <c r="Z302" s="12"/>
      <c r="AA302" s="12" t="str">
        <f>Tabela2[[#This Row],[ILUSTRADOR CRIAÇÃO]]</f>
        <v>RAFAELA PANISSA/ARQUIVO DA EDITORA</v>
      </c>
      <c r="AB302" s="11">
        <v>8</v>
      </c>
      <c r="AC302" s="9" t="s">
        <v>811</v>
      </c>
      <c r="AD302" s="9" t="s">
        <v>11</v>
      </c>
      <c r="AE302" s="4" t="str">
        <f t="shared" si="4"/>
        <v>EF1 E002 Port</v>
      </c>
    </row>
    <row r="303" spans="1:31" s="7" customFormat="1" ht="75" x14ac:dyDescent="0.25">
      <c r="A303" s="12" t="s">
        <v>812</v>
      </c>
      <c r="B303" s="9" t="s">
        <v>40</v>
      </c>
      <c r="C303" s="9" t="s">
        <v>1</v>
      </c>
      <c r="D303" s="9" t="s">
        <v>25</v>
      </c>
      <c r="E303" s="11">
        <v>181</v>
      </c>
      <c r="F303" s="11">
        <v>3</v>
      </c>
      <c r="G303" s="11">
        <v>5</v>
      </c>
      <c r="H303" s="11"/>
      <c r="I303" s="12" t="s">
        <v>9</v>
      </c>
      <c r="J303" s="12"/>
      <c r="K303" s="11"/>
      <c r="L303" s="11"/>
      <c r="M303" s="12"/>
      <c r="N303" s="12"/>
      <c r="O303" s="32" t="s">
        <v>813</v>
      </c>
      <c r="P303" s="9"/>
      <c r="Q303" s="9"/>
      <c r="R303" s="11">
        <v>39</v>
      </c>
      <c r="S303" s="13">
        <v>45875</v>
      </c>
      <c r="T303" s="13">
        <v>45877</v>
      </c>
      <c r="U303" s="13">
        <v>45882</v>
      </c>
      <c r="V303" s="13">
        <v>45883</v>
      </c>
      <c r="W303" s="13">
        <v>45884</v>
      </c>
      <c r="X303" s="11" t="s">
        <v>639</v>
      </c>
      <c r="Y303" s="4" t="str">
        <f>IF(Tabela2[[#This Row],[SIGLA]]="","",VLOOKUP(Tabela2[[#This Row],[SIGLA]],Tabela1[[#All],[Sigla Arte]:[Crédito]],2,0))</f>
        <v>JULIANA DACOSTA/ARQUIVO DA EDITORA</v>
      </c>
      <c r="Z303" s="12"/>
      <c r="AA303" s="12" t="str">
        <f>Tabela2[[#This Row],[ILUSTRADOR CRIAÇÃO]]</f>
        <v>JULIANA DACOSTA/ARQUIVO DA EDITORA</v>
      </c>
      <c r="AB303" s="11">
        <v>4</v>
      </c>
      <c r="AC303" s="9" t="s">
        <v>803</v>
      </c>
      <c r="AD303" s="9" t="s">
        <v>22</v>
      </c>
      <c r="AE303" s="4" t="str">
        <f t="shared" si="4"/>
        <v>EF1 E002 Port</v>
      </c>
    </row>
    <row r="304" spans="1:31" s="7" customFormat="1" ht="195" x14ac:dyDescent="0.25">
      <c r="A304" s="12" t="s">
        <v>814</v>
      </c>
      <c r="B304" s="9" t="s">
        <v>40</v>
      </c>
      <c r="C304" s="9" t="s">
        <v>1</v>
      </c>
      <c r="D304" s="9" t="s">
        <v>25</v>
      </c>
      <c r="E304" s="11">
        <v>129</v>
      </c>
      <c r="F304" s="11">
        <v>3</v>
      </c>
      <c r="G304" s="11">
        <v>4</v>
      </c>
      <c r="H304" s="11"/>
      <c r="I304" s="12" t="s">
        <v>9</v>
      </c>
      <c r="J304" s="12"/>
      <c r="K304" s="11"/>
      <c r="L304" s="11"/>
      <c r="M304" s="12"/>
      <c r="N304" s="12"/>
      <c r="O304" s="32" t="s">
        <v>815</v>
      </c>
      <c r="P304" s="9"/>
      <c r="Q304" s="9"/>
      <c r="R304" s="11">
        <v>40</v>
      </c>
      <c r="S304" s="13">
        <v>45875</v>
      </c>
      <c r="T304" s="13">
        <v>45877</v>
      </c>
      <c r="U304" s="13">
        <v>45881</v>
      </c>
      <c r="V304" s="13">
        <v>45883</v>
      </c>
      <c r="W304" s="13">
        <v>45884</v>
      </c>
      <c r="X304" s="11" t="s">
        <v>194</v>
      </c>
      <c r="Y304" s="4" t="str">
        <f>IF(Tabela2[[#This Row],[SIGLA]]="","",VLOOKUP(Tabela2[[#This Row],[SIGLA]],Tabela1[[#All],[Sigla Arte]:[Crédito]],2,0))</f>
        <v>RAFAEL LUZIO/ARQUIVO DA EDITORA</v>
      </c>
      <c r="Z304" s="12"/>
      <c r="AA304" s="12" t="str">
        <f>Tabela2[[#This Row],[ILUSTRADOR CRIAÇÃO]]</f>
        <v>RAFAEL LUZIO/ARQUIVO DA EDITORA</v>
      </c>
      <c r="AB304" s="11">
        <v>6</v>
      </c>
      <c r="AC304" s="9" t="s">
        <v>816</v>
      </c>
      <c r="AD304" s="9" t="s">
        <v>22</v>
      </c>
      <c r="AE304" s="4" t="str">
        <f t="shared" si="4"/>
        <v>EF1 E002 Port</v>
      </c>
    </row>
    <row r="305" spans="1:31" s="7" customFormat="1" ht="45" x14ac:dyDescent="0.25">
      <c r="A305" s="12" t="s">
        <v>817</v>
      </c>
      <c r="B305" s="9" t="s">
        <v>40</v>
      </c>
      <c r="C305" s="9" t="s">
        <v>1</v>
      </c>
      <c r="D305" s="9" t="s">
        <v>25</v>
      </c>
      <c r="E305" s="11">
        <v>145</v>
      </c>
      <c r="F305" s="11">
        <v>3</v>
      </c>
      <c r="G305" s="11">
        <v>4</v>
      </c>
      <c r="H305" s="11"/>
      <c r="I305" s="12" t="s">
        <v>9</v>
      </c>
      <c r="J305" s="12"/>
      <c r="K305" s="11"/>
      <c r="L305" s="11"/>
      <c r="M305" s="12"/>
      <c r="N305" s="12"/>
      <c r="O305" s="32" t="s">
        <v>818</v>
      </c>
      <c r="P305" s="9"/>
      <c r="Q305" s="9"/>
      <c r="R305" s="11">
        <v>40</v>
      </c>
      <c r="S305" s="13">
        <v>45875</v>
      </c>
      <c r="T305" s="13">
        <v>45877</v>
      </c>
      <c r="U305" s="13">
        <v>45881</v>
      </c>
      <c r="V305" s="13">
        <v>45883</v>
      </c>
      <c r="W305" s="13">
        <v>45884</v>
      </c>
      <c r="X305" s="11" t="s">
        <v>194</v>
      </c>
      <c r="Y305" s="4" t="str">
        <f>IF(Tabela2[[#This Row],[SIGLA]]="","",VLOOKUP(Tabela2[[#This Row],[SIGLA]],Tabela1[[#All],[Sigla Arte]:[Crédito]],2,0))</f>
        <v>RAFAEL LUZIO/ARQUIVO DA EDITORA</v>
      </c>
      <c r="Z305" s="12"/>
      <c r="AA305" s="12" t="str">
        <f>Tabela2[[#This Row],[ILUSTRADOR CRIAÇÃO]]</f>
        <v>RAFAEL LUZIO/ARQUIVO DA EDITORA</v>
      </c>
      <c r="AB305" s="11">
        <v>6</v>
      </c>
      <c r="AC305" s="9" t="s">
        <v>816</v>
      </c>
      <c r="AD305" s="9" t="s">
        <v>22</v>
      </c>
      <c r="AE305" s="4" t="str">
        <f t="shared" si="4"/>
        <v>EF1 E002 Port</v>
      </c>
    </row>
    <row r="306" spans="1:31" s="7" customFormat="1" ht="45" x14ac:dyDescent="0.25">
      <c r="A306" s="12" t="s">
        <v>819</v>
      </c>
      <c r="B306" s="9" t="s">
        <v>40</v>
      </c>
      <c r="C306" s="9" t="s">
        <v>1</v>
      </c>
      <c r="D306" s="9" t="s">
        <v>25</v>
      </c>
      <c r="E306" s="11">
        <v>147</v>
      </c>
      <c r="F306" s="11">
        <v>3</v>
      </c>
      <c r="G306" s="11">
        <v>4</v>
      </c>
      <c r="H306" s="11"/>
      <c r="I306" s="12" t="s">
        <v>9</v>
      </c>
      <c r="J306" s="12"/>
      <c r="K306" s="11"/>
      <c r="L306" s="11"/>
      <c r="M306" s="12"/>
      <c r="N306" s="12"/>
      <c r="O306" s="32" t="s">
        <v>820</v>
      </c>
      <c r="P306" s="9"/>
      <c r="Q306" s="9"/>
      <c r="R306" s="11">
        <v>40</v>
      </c>
      <c r="S306" s="13">
        <v>45875</v>
      </c>
      <c r="T306" s="13">
        <v>45877</v>
      </c>
      <c r="U306" s="13">
        <v>45881</v>
      </c>
      <c r="V306" s="13">
        <v>45883</v>
      </c>
      <c r="W306" s="13">
        <v>45884</v>
      </c>
      <c r="X306" s="11" t="s">
        <v>194</v>
      </c>
      <c r="Y306" s="4" t="str">
        <f>IF(Tabela2[[#This Row],[SIGLA]]="","",VLOOKUP(Tabela2[[#This Row],[SIGLA]],Tabela1[[#All],[Sigla Arte]:[Crédito]],2,0))</f>
        <v>RAFAEL LUZIO/ARQUIVO DA EDITORA</v>
      </c>
      <c r="Z306" s="12"/>
      <c r="AA306" s="12" t="str">
        <f>Tabela2[[#This Row],[ILUSTRADOR CRIAÇÃO]]</f>
        <v>RAFAEL LUZIO/ARQUIVO DA EDITORA</v>
      </c>
      <c r="AB306" s="11">
        <v>6</v>
      </c>
      <c r="AC306" s="9" t="s">
        <v>816</v>
      </c>
      <c r="AD306" s="9" t="s">
        <v>22</v>
      </c>
      <c r="AE306" s="4" t="str">
        <f t="shared" si="4"/>
        <v>EF1 E002 Port</v>
      </c>
    </row>
    <row r="307" spans="1:31" s="7" customFormat="1" x14ac:dyDescent="0.25">
      <c r="A307" s="12" t="s">
        <v>821</v>
      </c>
      <c r="B307" s="9" t="s">
        <v>42</v>
      </c>
      <c r="C307" s="9" t="s">
        <v>1</v>
      </c>
      <c r="D307" s="9" t="s">
        <v>25</v>
      </c>
      <c r="E307" s="11">
        <v>233</v>
      </c>
      <c r="F307" s="11">
        <v>2</v>
      </c>
      <c r="G307" s="11">
        <v>7</v>
      </c>
      <c r="H307" s="11"/>
      <c r="I307" s="12" t="s">
        <v>9</v>
      </c>
      <c r="J307" s="12"/>
      <c r="K307" s="11"/>
      <c r="L307" s="11"/>
      <c r="M307" s="12"/>
      <c r="N307" s="12"/>
      <c r="O307" s="32" t="s">
        <v>822</v>
      </c>
      <c r="P307" s="9"/>
      <c r="Q307" s="9"/>
      <c r="R307" s="11">
        <v>41</v>
      </c>
      <c r="S307" s="13">
        <v>45875</v>
      </c>
      <c r="T307" s="13"/>
      <c r="U307" s="13"/>
      <c r="V307" s="13"/>
      <c r="W307" s="13"/>
      <c r="X307" s="11"/>
      <c r="Y307" s="4" t="str">
        <f>IF(Tabela2[[#This Row],[SIGLA]]="","",VLOOKUP(Tabela2[[#This Row],[SIGLA]],Tabela1[[#All],[Sigla Arte]:[Crédito]],2,0))</f>
        <v/>
      </c>
      <c r="Z307" s="12"/>
      <c r="AA307" s="12" t="str">
        <f>Tabela2[[#This Row],[ILUSTRADOR CRIAÇÃO]]</f>
        <v/>
      </c>
      <c r="AB307" s="11"/>
      <c r="AC307" s="9" t="s">
        <v>658</v>
      </c>
      <c r="AD307" s="9"/>
      <c r="AE307" s="4" t="str">
        <f t="shared" si="4"/>
        <v>EF1 E002 Port</v>
      </c>
    </row>
    <row r="308" spans="1:31" s="7" customFormat="1" x14ac:dyDescent="0.25">
      <c r="A308" s="12" t="s">
        <v>823</v>
      </c>
      <c r="B308" s="9" t="s">
        <v>42</v>
      </c>
      <c r="C308" s="9" t="s">
        <v>1</v>
      </c>
      <c r="D308" s="9" t="s">
        <v>25</v>
      </c>
      <c r="E308" s="11"/>
      <c r="F308" s="11">
        <v>2</v>
      </c>
      <c r="G308" s="11">
        <v>7</v>
      </c>
      <c r="H308" s="11"/>
      <c r="I308" s="12" t="s">
        <v>9</v>
      </c>
      <c r="J308" s="12"/>
      <c r="K308" s="11"/>
      <c r="L308" s="11"/>
      <c r="M308" s="12"/>
      <c r="N308" s="12"/>
      <c r="O308" s="32" t="s">
        <v>824</v>
      </c>
      <c r="P308" s="9"/>
      <c r="Q308" s="9"/>
      <c r="R308" s="11">
        <v>41</v>
      </c>
      <c r="S308" s="13">
        <v>45875</v>
      </c>
      <c r="T308" s="13"/>
      <c r="U308" s="13"/>
      <c r="V308" s="13"/>
      <c r="W308" s="13"/>
      <c r="X308" s="11"/>
      <c r="Y308" s="4" t="str">
        <f>IF(Tabela2[[#This Row],[SIGLA]]="","",VLOOKUP(Tabela2[[#This Row],[SIGLA]],Tabela1[[#All],[Sigla Arte]:[Crédito]],2,0))</f>
        <v/>
      </c>
      <c r="Z308" s="12"/>
      <c r="AA308" s="12" t="str">
        <f>Tabela2[[#This Row],[ILUSTRADOR CRIAÇÃO]]</f>
        <v/>
      </c>
      <c r="AB308" s="11"/>
      <c r="AC308" s="9" t="s">
        <v>658</v>
      </c>
      <c r="AD308" s="9"/>
      <c r="AE308" s="4" t="str">
        <f t="shared" si="4"/>
        <v>EF1 E002 Port</v>
      </c>
    </row>
    <row r="309" spans="1:31" s="7" customFormat="1" x14ac:dyDescent="0.25">
      <c r="A309" s="12" t="s">
        <v>825</v>
      </c>
      <c r="B309" s="9" t="s">
        <v>42</v>
      </c>
      <c r="C309" s="9" t="s">
        <v>1</v>
      </c>
      <c r="D309" s="9" t="s">
        <v>25</v>
      </c>
      <c r="E309" s="11"/>
      <c r="F309" s="11">
        <v>2</v>
      </c>
      <c r="G309" s="11">
        <v>7</v>
      </c>
      <c r="H309" s="11"/>
      <c r="I309" s="12" t="s">
        <v>9</v>
      </c>
      <c r="J309" s="12"/>
      <c r="K309" s="11"/>
      <c r="L309" s="11"/>
      <c r="M309" s="12"/>
      <c r="N309" s="12"/>
      <c r="O309" s="32" t="s">
        <v>826</v>
      </c>
      <c r="P309" s="9"/>
      <c r="Q309" s="9"/>
      <c r="R309" s="11">
        <v>41</v>
      </c>
      <c r="S309" s="13">
        <v>45875</v>
      </c>
      <c r="T309" s="13"/>
      <c r="U309" s="13"/>
      <c r="V309" s="13"/>
      <c r="W309" s="13"/>
      <c r="X309" s="11"/>
      <c r="Y309" s="4" t="str">
        <f>IF(Tabela2[[#This Row],[SIGLA]]="","",VLOOKUP(Tabela2[[#This Row],[SIGLA]],Tabela1[[#All],[Sigla Arte]:[Crédito]],2,0))</f>
        <v/>
      </c>
      <c r="Z309" s="12"/>
      <c r="AA309" s="12" t="str">
        <f>Tabela2[[#This Row],[ILUSTRADOR CRIAÇÃO]]</f>
        <v/>
      </c>
      <c r="AB309" s="11"/>
      <c r="AC309" s="9" t="s">
        <v>658</v>
      </c>
      <c r="AD309" s="9"/>
      <c r="AE309" s="4" t="str">
        <f t="shared" si="4"/>
        <v>EF1 E002 Port</v>
      </c>
    </row>
    <row r="310" spans="1:31" s="7" customFormat="1" x14ac:dyDescent="0.25">
      <c r="A310" s="12" t="s">
        <v>827</v>
      </c>
      <c r="B310" s="9" t="s">
        <v>42</v>
      </c>
      <c r="C310" s="9" t="s">
        <v>1</v>
      </c>
      <c r="D310" s="9" t="s">
        <v>25</v>
      </c>
      <c r="E310" s="11"/>
      <c r="F310" s="11">
        <v>2</v>
      </c>
      <c r="G310" s="11">
        <v>7</v>
      </c>
      <c r="H310" s="11"/>
      <c r="I310" s="12" t="s">
        <v>9</v>
      </c>
      <c r="J310" s="12"/>
      <c r="K310" s="11"/>
      <c r="L310" s="11"/>
      <c r="M310" s="12"/>
      <c r="N310" s="12"/>
      <c r="O310" s="32" t="s">
        <v>828</v>
      </c>
      <c r="P310" s="9"/>
      <c r="Q310" s="9"/>
      <c r="R310" s="11">
        <v>41</v>
      </c>
      <c r="S310" s="13">
        <v>45875</v>
      </c>
      <c r="T310" s="13"/>
      <c r="U310" s="13"/>
      <c r="V310" s="13"/>
      <c r="W310" s="13"/>
      <c r="X310" s="11"/>
      <c r="Y310" s="4" t="str">
        <f>IF(Tabela2[[#This Row],[SIGLA]]="","",VLOOKUP(Tabela2[[#This Row],[SIGLA]],Tabela1[[#All],[Sigla Arte]:[Crédito]],2,0))</f>
        <v/>
      </c>
      <c r="Z310" s="12"/>
      <c r="AA310" s="12" t="str">
        <f>Tabela2[[#This Row],[ILUSTRADOR CRIAÇÃO]]</f>
        <v/>
      </c>
      <c r="AB310" s="11"/>
      <c r="AC310" s="9" t="s">
        <v>658</v>
      </c>
      <c r="AD310" s="9"/>
      <c r="AE310" s="4" t="str">
        <f t="shared" si="4"/>
        <v>EF1 E002 Port</v>
      </c>
    </row>
    <row r="311" spans="1:31" s="7" customFormat="1" ht="30" x14ac:dyDescent="0.25">
      <c r="A311" s="12" t="s">
        <v>829</v>
      </c>
      <c r="B311" s="9" t="s">
        <v>40</v>
      </c>
      <c r="C311" s="9" t="s">
        <v>1</v>
      </c>
      <c r="D311" s="9" t="s">
        <v>25</v>
      </c>
      <c r="E311" s="11">
        <v>234</v>
      </c>
      <c r="F311" s="11">
        <v>2</v>
      </c>
      <c r="G311" s="11">
        <v>7</v>
      </c>
      <c r="H311" s="11"/>
      <c r="I311" s="12" t="s">
        <v>9</v>
      </c>
      <c r="J311" s="12"/>
      <c r="K311" s="11"/>
      <c r="L311" s="11"/>
      <c r="M311" s="12"/>
      <c r="N311" s="12"/>
      <c r="O311" s="32" t="s">
        <v>830</v>
      </c>
      <c r="P311" s="9"/>
      <c r="Q311" s="9"/>
      <c r="R311" s="11">
        <v>41</v>
      </c>
      <c r="S311" s="13">
        <v>45875</v>
      </c>
      <c r="T311" s="13">
        <v>45875</v>
      </c>
      <c r="U311" s="13">
        <v>45877</v>
      </c>
      <c r="V311" s="13">
        <v>45878</v>
      </c>
      <c r="W311" s="13">
        <v>45881</v>
      </c>
      <c r="X311" s="11" t="s">
        <v>639</v>
      </c>
      <c r="Y311" s="4" t="str">
        <f>IF(Tabela2[[#This Row],[SIGLA]]="","",VLOOKUP(Tabela2[[#This Row],[SIGLA]],Tabela1[[#All],[Sigla Arte]:[Crédito]],2,0))</f>
        <v>JULIANA DACOSTA/ARQUIVO DA EDITORA</v>
      </c>
      <c r="Z311" s="12"/>
      <c r="AA311" s="12" t="str">
        <f>Tabela2[[#This Row],[ILUSTRADOR CRIAÇÃO]]</f>
        <v>JULIANA DACOSTA/ARQUIVO DA EDITORA</v>
      </c>
      <c r="AB311" s="11">
        <v>4</v>
      </c>
      <c r="AC311" s="9" t="s">
        <v>831</v>
      </c>
      <c r="AD311" s="9" t="s">
        <v>22</v>
      </c>
      <c r="AE311" s="4" t="str">
        <f t="shared" si="4"/>
        <v>EF1 E002 Port</v>
      </c>
    </row>
    <row r="312" spans="1:31" s="7" customFormat="1" ht="45" x14ac:dyDescent="0.25">
      <c r="A312" s="12" t="s">
        <v>832</v>
      </c>
      <c r="B312" s="9" t="s">
        <v>40</v>
      </c>
      <c r="C312" s="9" t="s">
        <v>1</v>
      </c>
      <c r="D312" s="9" t="s">
        <v>25</v>
      </c>
      <c r="E312" s="11">
        <v>246</v>
      </c>
      <c r="F312" s="11">
        <v>2</v>
      </c>
      <c r="G312" s="11">
        <v>7</v>
      </c>
      <c r="H312" s="11"/>
      <c r="I312" s="12" t="s">
        <v>9</v>
      </c>
      <c r="J312" s="12"/>
      <c r="K312" s="11"/>
      <c r="L312" s="11"/>
      <c r="M312" s="12"/>
      <c r="N312" s="12"/>
      <c r="O312" s="32" t="s">
        <v>833</v>
      </c>
      <c r="P312" s="9"/>
      <c r="Q312" s="9"/>
      <c r="R312" s="11">
        <v>41</v>
      </c>
      <c r="S312" s="13">
        <v>45875</v>
      </c>
      <c r="T312" s="13">
        <v>45875</v>
      </c>
      <c r="U312" s="13">
        <v>45877</v>
      </c>
      <c r="V312" s="13">
        <v>45878</v>
      </c>
      <c r="W312" s="13">
        <v>45881</v>
      </c>
      <c r="X312" s="11" t="s">
        <v>639</v>
      </c>
      <c r="Y312" s="4" t="str">
        <f>IF(Tabela2[[#This Row],[SIGLA]]="","",VLOOKUP(Tabela2[[#This Row],[SIGLA]],Tabela1[[#All],[Sigla Arte]:[Crédito]],2,0))</f>
        <v>JULIANA DACOSTA/ARQUIVO DA EDITORA</v>
      </c>
      <c r="Z312" s="12"/>
      <c r="AA312" s="12" t="str">
        <f>Tabela2[[#This Row],[ILUSTRADOR CRIAÇÃO]]</f>
        <v>JULIANA DACOSTA/ARQUIVO DA EDITORA</v>
      </c>
      <c r="AB312" s="11">
        <v>5</v>
      </c>
      <c r="AC312" s="9" t="s">
        <v>831</v>
      </c>
      <c r="AD312" s="9" t="s">
        <v>22</v>
      </c>
      <c r="AE312" s="4" t="str">
        <f t="shared" si="4"/>
        <v>EF1 E002 Port</v>
      </c>
    </row>
    <row r="313" spans="1:31" s="7" customFormat="1" x14ac:dyDescent="0.25">
      <c r="A313" s="12" t="s">
        <v>834</v>
      </c>
      <c r="B313" s="9" t="s">
        <v>40</v>
      </c>
      <c r="C313" s="9" t="s">
        <v>1</v>
      </c>
      <c r="D313" s="9" t="s">
        <v>25</v>
      </c>
      <c r="E313" s="11">
        <v>252</v>
      </c>
      <c r="F313" s="11">
        <v>2</v>
      </c>
      <c r="G313" s="11">
        <v>7</v>
      </c>
      <c r="H313" s="11"/>
      <c r="I313" s="12" t="s">
        <v>9</v>
      </c>
      <c r="J313" s="12"/>
      <c r="K313" s="11"/>
      <c r="L313" s="11"/>
      <c r="M313" s="12"/>
      <c r="N313" s="12"/>
      <c r="O313" s="32" t="s">
        <v>835</v>
      </c>
      <c r="P313" s="9"/>
      <c r="Q313" s="9"/>
      <c r="R313" s="11">
        <v>41</v>
      </c>
      <c r="S313" s="13">
        <v>45875</v>
      </c>
      <c r="T313" s="13">
        <v>45875</v>
      </c>
      <c r="U313" s="13">
        <v>45877</v>
      </c>
      <c r="V313" s="13">
        <v>45878</v>
      </c>
      <c r="W313" s="13">
        <v>45881</v>
      </c>
      <c r="X313" s="11" t="s">
        <v>639</v>
      </c>
      <c r="Y313" s="4" t="str">
        <f>IF(Tabela2[[#This Row],[SIGLA]]="","",VLOOKUP(Tabela2[[#This Row],[SIGLA]],Tabela1[[#All],[Sigla Arte]:[Crédito]],2,0))</f>
        <v>JULIANA DACOSTA/ARQUIVO DA EDITORA</v>
      </c>
      <c r="Z313" s="12"/>
      <c r="AA313" s="12" t="str">
        <f>Tabela2[[#This Row],[ILUSTRADOR CRIAÇÃO]]</f>
        <v>JULIANA DACOSTA/ARQUIVO DA EDITORA</v>
      </c>
      <c r="AB313" s="11">
        <v>4</v>
      </c>
      <c r="AC313" s="9" t="s">
        <v>831</v>
      </c>
      <c r="AD313" s="9" t="s">
        <v>22</v>
      </c>
      <c r="AE313" s="4" t="str">
        <f t="shared" si="4"/>
        <v>EF1 E002 Port</v>
      </c>
    </row>
    <row r="314" spans="1:31" s="7" customFormat="1" ht="135" x14ac:dyDescent="0.25">
      <c r="A314" s="12" t="s">
        <v>836</v>
      </c>
      <c r="B314" s="9" t="s">
        <v>40</v>
      </c>
      <c r="C314" s="9" t="s">
        <v>1</v>
      </c>
      <c r="D314" s="9" t="s">
        <v>25</v>
      </c>
      <c r="E314" s="11">
        <v>125</v>
      </c>
      <c r="F314" s="11">
        <v>2</v>
      </c>
      <c r="G314" s="11">
        <v>4</v>
      </c>
      <c r="H314" s="11"/>
      <c r="I314" s="12" t="s">
        <v>9</v>
      </c>
      <c r="J314" s="12"/>
      <c r="K314" s="11"/>
      <c r="L314" s="11"/>
      <c r="M314" s="12"/>
      <c r="N314" s="12"/>
      <c r="O314" s="32" t="s">
        <v>837</v>
      </c>
      <c r="P314" s="9"/>
      <c r="Q314" s="9"/>
      <c r="R314" s="11">
        <v>42</v>
      </c>
      <c r="S314" s="13">
        <v>45875</v>
      </c>
      <c r="T314" s="13">
        <v>45876</v>
      </c>
      <c r="U314" s="13">
        <v>45877</v>
      </c>
      <c r="V314" s="13">
        <v>45878</v>
      </c>
      <c r="W314" s="13">
        <v>45880</v>
      </c>
      <c r="X314" s="11" t="s">
        <v>200</v>
      </c>
      <c r="Y314" s="4" t="str">
        <f>IF(Tabela2[[#This Row],[SIGLA]]="","",VLOOKUP(Tabela2[[#This Row],[SIGLA]],Tabela1[[#All],[Sigla Arte]:[Crédito]],2,0))</f>
        <v>NATHALIA ICHIOKA/ARQUIVO DA EDITORA</v>
      </c>
      <c r="Z314" s="12"/>
      <c r="AA314" s="12" t="str">
        <f>Tabela2[[#This Row],[ILUSTRADOR CRIAÇÃO]]</f>
        <v>NATHALIA ICHIOKA/ARQUIVO DA EDITORA</v>
      </c>
      <c r="AB314" s="11">
        <v>5</v>
      </c>
      <c r="AC314" s="9" t="s">
        <v>838</v>
      </c>
      <c r="AD314" s="9" t="s">
        <v>22</v>
      </c>
      <c r="AE314" s="4" t="str">
        <f t="shared" si="4"/>
        <v>EF1 E002 Port</v>
      </c>
    </row>
    <row r="315" spans="1:31" s="7" customFormat="1" ht="30" x14ac:dyDescent="0.25">
      <c r="A315" s="12" t="s">
        <v>839</v>
      </c>
      <c r="B315" s="9" t="s">
        <v>42</v>
      </c>
      <c r="C315" s="9" t="s">
        <v>1</v>
      </c>
      <c r="D315" s="9" t="s">
        <v>25</v>
      </c>
      <c r="E315" s="11">
        <v>137</v>
      </c>
      <c r="F315" s="11">
        <v>2</v>
      </c>
      <c r="G315" s="11">
        <v>4</v>
      </c>
      <c r="H315" s="11"/>
      <c r="I315" s="12" t="s">
        <v>9</v>
      </c>
      <c r="J315" s="12"/>
      <c r="K315" s="11"/>
      <c r="L315" s="11"/>
      <c r="M315" s="12"/>
      <c r="N315" s="12"/>
      <c r="O315" s="32" t="s">
        <v>840</v>
      </c>
      <c r="P315" s="9"/>
      <c r="Q315" s="9"/>
      <c r="R315" s="11">
        <v>42</v>
      </c>
      <c r="S315" s="13">
        <v>45875</v>
      </c>
      <c r="T315" s="13"/>
      <c r="U315" s="13"/>
      <c r="V315" s="13"/>
      <c r="W315" s="13"/>
      <c r="X315" s="11"/>
      <c r="Y315" s="4" t="str">
        <f>IF(Tabela2[[#This Row],[SIGLA]]="","",VLOOKUP(Tabela2[[#This Row],[SIGLA]],Tabela1[[#All],[Sigla Arte]:[Crédito]],2,0))</f>
        <v/>
      </c>
      <c r="Z315" s="12"/>
      <c r="AA315" s="12" t="str">
        <f>Tabela2[[#This Row],[ILUSTRADOR CRIAÇÃO]]</f>
        <v/>
      </c>
      <c r="AB315" s="11"/>
      <c r="AC315" s="9" t="s">
        <v>676</v>
      </c>
      <c r="AD315" s="9"/>
      <c r="AE315" s="4" t="str">
        <f t="shared" si="4"/>
        <v>EF1 E002 Port</v>
      </c>
    </row>
    <row r="316" spans="1:31" s="7" customFormat="1" x14ac:dyDescent="0.25">
      <c r="A316" s="12" t="s">
        <v>841</v>
      </c>
      <c r="B316" s="9" t="s">
        <v>42</v>
      </c>
      <c r="C316" s="9" t="s">
        <v>1</v>
      </c>
      <c r="D316" s="9" t="s">
        <v>25</v>
      </c>
      <c r="E316" s="11">
        <v>155</v>
      </c>
      <c r="F316" s="11">
        <v>2</v>
      </c>
      <c r="G316" s="11">
        <v>4</v>
      </c>
      <c r="H316" s="11"/>
      <c r="I316" s="12" t="s">
        <v>9</v>
      </c>
      <c r="J316" s="12"/>
      <c r="K316" s="11"/>
      <c r="L316" s="11"/>
      <c r="M316" s="12"/>
      <c r="N316" s="12"/>
      <c r="O316" s="32" t="s">
        <v>842</v>
      </c>
      <c r="P316" s="9"/>
      <c r="Q316" s="9"/>
      <c r="R316" s="11">
        <v>42</v>
      </c>
      <c r="S316" s="13">
        <v>45875</v>
      </c>
      <c r="T316" s="13"/>
      <c r="U316" s="13"/>
      <c r="V316" s="13"/>
      <c r="W316" s="13"/>
      <c r="X316" s="11"/>
      <c r="Y316" s="4" t="str">
        <f>IF(Tabela2[[#This Row],[SIGLA]]="","",VLOOKUP(Tabela2[[#This Row],[SIGLA]],Tabela1[[#All],[Sigla Arte]:[Crédito]],2,0))</f>
        <v/>
      </c>
      <c r="Z316" s="12"/>
      <c r="AA316" s="12" t="str">
        <f>Tabela2[[#This Row],[ILUSTRADOR CRIAÇÃO]]</f>
        <v/>
      </c>
      <c r="AB316" s="11"/>
      <c r="AC316" s="9" t="s">
        <v>676</v>
      </c>
      <c r="AD316" s="9"/>
      <c r="AE316" s="4" t="str">
        <f t="shared" si="4"/>
        <v>EF1 E002 Port</v>
      </c>
    </row>
    <row r="317" spans="1:31" s="7" customFormat="1" ht="90" x14ac:dyDescent="0.25">
      <c r="A317" s="12" t="s">
        <v>843</v>
      </c>
      <c r="B317" s="9" t="s">
        <v>40</v>
      </c>
      <c r="C317" s="9" t="s">
        <v>1</v>
      </c>
      <c r="D317" s="9" t="s">
        <v>25</v>
      </c>
      <c r="E317" s="11">
        <v>154</v>
      </c>
      <c r="F317" s="11">
        <v>2</v>
      </c>
      <c r="G317" s="11">
        <v>4</v>
      </c>
      <c r="H317" s="11"/>
      <c r="I317" s="12" t="s">
        <v>9</v>
      </c>
      <c r="J317" s="12"/>
      <c r="K317" s="11"/>
      <c r="L317" s="11"/>
      <c r="M317" s="12"/>
      <c r="N317" s="12"/>
      <c r="O317" s="32" t="s">
        <v>844</v>
      </c>
      <c r="P317" s="9"/>
      <c r="Q317" s="9"/>
      <c r="R317" s="11">
        <v>42</v>
      </c>
      <c r="S317" s="13">
        <v>45875</v>
      </c>
      <c r="T317" s="13">
        <v>45876</v>
      </c>
      <c r="U317" s="13">
        <v>45877</v>
      </c>
      <c r="V317" s="13">
        <v>45878</v>
      </c>
      <c r="W317" s="13">
        <v>45880</v>
      </c>
      <c r="X317" s="11" t="s">
        <v>200</v>
      </c>
      <c r="Y317" s="4" t="str">
        <f>IF(Tabela2[[#This Row],[SIGLA]]="","",VLOOKUP(Tabela2[[#This Row],[SIGLA]],Tabela1[[#All],[Sigla Arte]:[Crédito]],2,0))</f>
        <v>NATHALIA ICHIOKA/ARQUIVO DA EDITORA</v>
      </c>
      <c r="Z317" s="12"/>
      <c r="AA317" s="12" t="str">
        <f>Tabela2[[#This Row],[ILUSTRADOR CRIAÇÃO]]</f>
        <v>NATHALIA ICHIOKA/ARQUIVO DA EDITORA</v>
      </c>
      <c r="AB317" s="11">
        <v>5</v>
      </c>
      <c r="AC317" s="9" t="s">
        <v>838</v>
      </c>
      <c r="AD317" s="9" t="s">
        <v>22</v>
      </c>
      <c r="AE317" s="4" t="str">
        <f t="shared" si="4"/>
        <v>EF1 E002 Port</v>
      </c>
    </row>
    <row r="318" spans="1:31" s="7" customFormat="1" x14ac:dyDescent="0.25">
      <c r="A318" s="12" t="s">
        <v>845</v>
      </c>
      <c r="B318" s="9" t="s">
        <v>40</v>
      </c>
      <c r="C318" s="9" t="s">
        <v>1</v>
      </c>
      <c r="D318" s="9" t="s">
        <v>25</v>
      </c>
      <c r="E318" s="11">
        <v>192</v>
      </c>
      <c r="F318" s="11">
        <v>3</v>
      </c>
      <c r="G318" s="11">
        <v>6</v>
      </c>
      <c r="H318" s="11"/>
      <c r="I318" s="12" t="s">
        <v>9</v>
      </c>
      <c r="J318" s="12"/>
      <c r="K318" s="11"/>
      <c r="L318" s="11"/>
      <c r="M318" s="12"/>
      <c r="N318" s="12"/>
      <c r="O318" s="32" t="s">
        <v>846</v>
      </c>
      <c r="P318" s="9"/>
      <c r="Q318" s="9"/>
      <c r="R318" s="11">
        <v>43</v>
      </c>
      <c r="S318" s="13">
        <v>45875</v>
      </c>
      <c r="T318" s="13">
        <v>45880</v>
      </c>
      <c r="U318" s="13"/>
      <c r="V318" s="13"/>
      <c r="W318" s="13">
        <v>45880</v>
      </c>
      <c r="X318" s="11" t="s">
        <v>281</v>
      </c>
      <c r="Y318" s="4" t="str">
        <f>IF(Tabela2[[#This Row],[SIGLA]]="","",VLOOKUP(Tabela2[[#This Row],[SIGLA]],Tabela1[[#All],[Sigla Arte]:[Crédito]],2,0))</f>
        <v>GUILHERME RODRIGUES/ARQUIVO DA EDITORA</v>
      </c>
      <c r="Z318" s="12" t="s">
        <v>577</v>
      </c>
      <c r="AA318" s="12" t="str">
        <f>Tabela2[[#This Row],[ILUSTRADOR CRIAÇÃO]]</f>
        <v>GUILHERME RODRIGUES/ARQUIVO DA EDITORA</v>
      </c>
      <c r="AB318" s="11">
        <v>13</v>
      </c>
      <c r="AC318" s="9" t="s">
        <v>847</v>
      </c>
      <c r="AD318" s="9" t="s">
        <v>11</v>
      </c>
      <c r="AE318" s="4" t="str">
        <f t="shared" si="4"/>
        <v>EF1 E002 Port</v>
      </c>
    </row>
    <row r="319" spans="1:31" s="7" customFormat="1" x14ac:dyDescent="0.25">
      <c r="A319" s="12" t="s">
        <v>848</v>
      </c>
      <c r="B319" s="9" t="s">
        <v>40</v>
      </c>
      <c r="C319" s="9" t="s">
        <v>1</v>
      </c>
      <c r="D319" s="9" t="s">
        <v>25</v>
      </c>
      <c r="E319" s="11">
        <v>193</v>
      </c>
      <c r="F319" s="11">
        <v>3</v>
      </c>
      <c r="G319" s="11">
        <v>6</v>
      </c>
      <c r="H319" s="11"/>
      <c r="I319" s="12" t="s">
        <v>9</v>
      </c>
      <c r="J319" s="12"/>
      <c r="K319" s="11"/>
      <c r="L319" s="11"/>
      <c r="M319" s="12"/>
      <c r="N319" s="12"/>
      <c r="O319" s="32" t="s">
        <v>849</v>
      </c>
      <c r="P319" s="9"/>
      <c r="Q319" s="9"/>
      <c r="R319" s="11">
        <v>43</v>
      </c>
      <c r="S319" s="13">
        <v>45875</v>
      </c>
      <c r="T319" s="13">
        <v>45880</v>
      </c>
      <c r="U319" s="13"/>
      <c r="V319" s="13"/>
      <c r="W319" s="13">
        <v>45880</v>
      </c>
      <c r="X319" s="11" t="s">
        <v>281</v>
      </c>
      <c r="Y319" s="4" t="str">
        <f>IF(Tabela2[[#This Row],[SIGLA]]="","",VLOOKUP(Tabela2[[#This Row],[SIGLA]],Tabela1[[#All],[Sigla Arte]:[Crédito]],2,0))</f>
        <v>GUILHERME RODRIGUES/ARQUIVO DA EDITORA</v>
      </c>
      <c r="Z319" s="12" t="s">
        <v>577</v>
      </c>
      <c r="AA319" s="12" t="str">
        <f>Tabela2[[#This Row],[ILUSTRADOR CRIAÇÃO]]</f>
        <v>GUILHERME RODRIGUES/ARQUIVO DA EDITORA</v>
      </c>
      <c r="AB319" s="11">
        <v>13</v>
      </c>
      <c r="AC319" s="9" t="s">
        <v>847</v>
      </c>
      <c r="AD319" s="9" t="s">
        <v>11</v>
      </c>
      <c r="AE319" s="4" t="str">
        <f t="shared" si="4"/>
        <v>EF1 E002 Port</v>
      </c>
    </row>
    <row r="320" spans="1:31" s="7" customFormat="1" x14ac:dyDescent="0.25">
      <c r="A320" s="12" t="s">
        <v>850</v>
      </c>
      <c r="B320" s="9" t="s">
        <v>40</v>
      </c>
      <c r="C320" s="9" t="s">
        <v>1</v>
      </c>
      <c r="D320" s="9" t="s">
        <v>25</v>
      </c>
      <c r="E320" s="11">
        <v>196</v>
      </c>
      <c r="F320" s="11">
        <v>3</v>
      </c>
      <c r="G320" s="11">
        <v>6</v>
      </c>
      <c r="H320" s="11"/>
      <c r="I320" s="12" t="s">
        <v>9</v>
      </c>
      <c r="J320" s="12"/>
      <c r="K320" s="11"/>
      <c r="L320" s="11"/>
      <c r="M320" s="12"/>
      <c r="N320" s="12"/>
      <c r="O320" s="32" t="s">
        <v>851</v>
      </c>
      <c r="P320" s="9"/>
      <c r="Q320" s="9"/>
      <c r="R320" s="11">
        <v>43</v>
      </c>
      <c r="S320" s="13">
        <v>45875</v>
      </c>
      <c r="T320" s="13">
        <v>45880</v>
      </c>
      <c r="U320" s="13"/>
      <c r="V320" s="13"/>
      <c r="W320" s="13">
        <v>45880</v>
      </c>
      <c r="X320" s="11" t="s">
        <v>281</v>
      </c>
      <c r="Y320" s="4" t="str">
        <f>IF(Tabela2[[#This Row],[SIGLA]]="","",VLOOKUP(Tabela2[[#This Row],[SIGLA]],Tabela1[[#All],[Sigla Arte]:[Crédito]],2,0))</f>
        <v>GUILHERME RODRIGUES/ARQUIVO DA EDITORA</v>
      </c>
      <c r="Z320" s="12" t="s">
        <v>577</v>
      </c>
      <c r="AA320" s="12" t="str">
        <f>Tabela2[[#This Row],[ILUSTRADOR CRIAÇÃO]]</f>
        <v>GUILHERME RODRIGUES/ARQUIVO DA EDITORA</v>
      </c>
      <c r="AB320" s="11">
        <v>13</v>
      </c>
      <c r="AC320" s="9" t="s">
        <v>847</v>
      </c>
      <c r="AD320" s="9" t="s">
        <v>11</v>
      </c>
      <c r="AE320" s="4" t="str">
        <f t="shared" si="4"/>
        <v>EF1 E002 Port</v>
      </c>
    </row>
    <row r="321" spans="1:31" s="7" customFormat="1" x14ac:dyDescent="0.25">
      <c r="A321" s="12" t="s">
        <v>852</v>
      </c>
      <c r="B321" s="9" t="s">
        <v>40</v>
      </c>
      <c r="C321" s="9" t="s">
        <v>1</v>
      </c>
      <c r="D321" s="9" t="s">
        <v>25</v>
      </c>
      <c r="E321" s="11">
        <v>197</v>
      </c>
      <c r="F321" s="11">
        <v>3</v>
      </c>
      <c r="G321" s="11">
        <v>6</v>
      </c>
      <c r="H321" s="11"/>
      <c r="I321" s="12" t="s">
        <v>9</v>
      </c>
      <c r="J321" s="12"/>
      <c r="K321" s="11"/>
      <c r="L321" s="11"/>
      <c r="M321" s="12"/>
      <c r="N321" s="12"/>
      <c r="O321" s="32" t="s">
        <v>853</v>
      </c>
      <c r="P321" s="9"/>
      <c r="Q321" s="9"/>
      <c r="R321" s="11">
        <v>43</v>
      </c>
      <c r="S321" s="13">
        <v>45875</v>
      </c>
      <c r="T321" s="13">
        <v>45880</v>
      </c>
      <c r="U321" s="13"/>
      <c r="V321" s="13"/>
      <c r="W321" s="13">
        <v>45880</v>
      </c>
      <c r="X321" s="11" t="s">
        <v>281</v>
      </c>
      <c r="Y321" s="4" t="str">
        <f>IF(Tabela2[[#This Row],[SIGLA]]="","",VLOOKUP(Tabela2[[#This Row],[SIGLA]],Tabela1[[#All],[Sigla Arte]:[Crédito]],2,0))</f>
        <v>GUILHERME RODRIGUES/ARQUIVO DA EDITORA</v>
      </c>
      <c r="Z321" s="12" t="s">
        <v>577</v>
      </c>
      <c r="AA321" s="12" t="str">
        <f>Tabela2[[#This Row],[ILUSTRADOR CRIAÇÃO]]</f>
        <v>GUILHERME RODRIGUES/ARQUIVO DA EDITORA</v>
      </c>
      <c r="AB321" s="11">
        <v>13</v>
      </c>
      <c r="AC321" s="9" t="s">
        <v>847</v>
      </c>
      <c r="AD321" s="9" t="s">
        <v>11</v>
      </c>
      <c r="AE321" s="4" t="str">
        <f t="shared" si="4"/>
        <v>EF1 E002 Port</v>
      </c>
    </row>
    <row r="322" spans="1:31" s="7" customFormat="1" x14ac:dyDescent="0.25">
      <c r="A322" s="12" t="s">
        <v>854</v>
      </c>
      <c r="B322" s="9" t="s">
        <v>40</v>
      </c>
      <c r="C322" s="9" t="s">
        <v>1</v>
      </c>
      <c r="D322" s="9" t="s">
        <v>25</v>
      </c>
      <c r="E322" s="11">
        <v>197</v>
      </c>
      <c r="F322" s="11">
        <v>3</v>
      </c>
      <c r="G322" s="11">
        <v>6</v>
      </c>
      <c r="H322" s="11"/>
      <c r="I322" s="12" t="s">
        <v>9</v>
      </c>
      <c r="J322" s="12"/>
      <c r="K322" s="11"/>
      <c r="L322" s="11"/>
      <c r="M322" s="12"/>
      <c r="N322" s="12"/>
      <c r="O322" s="32" t="s">
        <v>853</v>
      </c>
      <c r="P322" s="9"/>
      <c r="Q322" s="9"/>
      <c r="R322" s="11">
        <v>43</v>
      </c>
      <c r="S322" s="13">
        <v>45875</v>
      </c>
      <c r="T322" s="13">
        <v>45880</v>
      </c>
      <c r="U322" s="13"/>
      <c r="V322" s="13"/>
      <c r="W322" s="13">
        <v>45880</v>
      </c>
      <c r="X322" s="11" t="s">
        <v>281</v>
      </c>
      <c r="Y322" s="4" t="str">
        <f>IF(Tabela2[[#This Row],[SIGLA]]="","",VLOOKUP(Tabela2[[#This Row],[SIGLA]],Tabela1[[#All],[Sigla Arte]:[Crédito]],2,0))</f>
        <v>GUILHERME RODRIGUES/ARQUIVO DA EDITORA</v>
      </c>
      <c r="Z322" s="12" t="s">
        <v>577</v>
      </c>
      <c r="AA322" s="12" t="str">
        <f>Tabela2[[#This Row],[ILUSTRADOR CRIAÇÃO]]</f>
        <v>GUILHERME RODRIGUES/ARQUIVO DA EDITORA</v>
      </c>
      <c r="AB322" s="11">
        <v>13</v>
      </c>
      <c r="AC322" s="9" t="s">
        <v>847</v>
      </c>
      <c r="AD322" s="9" t="s">
        <v>11</v>
      </c>
      <c r="AE322" s="4" t="str">
        <f t="shared" ref="AE322:AE385" si="5">"EF1 E002 Port"</f>
        <v>EF1 E002 Port</v>
      </c>
    </row>
    <row r="323" spans="1:31" s="7" customFormat="1" ht="30" x14ac:dyDescent="0.25">
      <c r="A323" s="12" t="s">
        <v>855</v>
      </c>
      <c r="B323" s="9" t="s">
        <v>40</v>
      </c>
      <c r="C323" s="9" t="s">
        <v>1</v>
      </c>
      <c r="D323" s="9" t="s">
        <v>25</v>
      </c>
      <c r="E323" s="11">
        <v>206</v>
      </c>
      <c r="F323" s="11">
        <v>3</v>
      </c>
      <c r="G323" s="11">
        <v>6</v>
      </c>
      <c r="H323" s="11"/>
      <c r="I323" s="12" t="s">
        <v>9</v>
      </c>
      <c r="J323" s="12"/>
      <c r="K323" s="11"/>
      <c r="L323" s="11"/>
      <c r="M323" s="12"/>
      <c r="N323" s="12"/>
      <c r="O323" s="32" t="s">
        <v>856</v>
      </c>
      <c r="P323" s="9"/>
      <c r="Q323" s="9"/>
      <c r="R323" s="11">
        <v>43</v>
      </c>
      <c r="S323" s="13">
        <v>45875</v>
      </c>
      <c r="T323" s="13">
        <v>45880</v>
      </c>
      <c r="U323" s="13"/>
      <c r="V323" s="13"/>
      <c r="W323" s="13">
        <v>45880</v>
      </c>
      <c r="X323" s="11" t="s">
        <v>281</v>
      </c>
      <c r="Y323" s="4" t="str">
        <f>IF(Tabela2[[#This Row],[SIGLA]]="","",VLOOKUP(Tabela2[[#This Row],[SIGLA]],Tabela1[[#All],[Sigla Arte]:[Crédito]],2,0))</f>
        <v>GUILHERME RODRIGUES/ARQUIVO DA EDITORA</v>
      </c>
      <c r="Z323" s="12" t="s">
        <v>577</v>
      </c>
      <c r="AA323" s="12" t="str">
        <f>Tabela2[[#This Row],[ILUSTRADOR CRIAÇÃO]]</f>
        <v>GUILHERME RODRIGUES/ARQUIVO DA EDITORA</v>
      </c>
      <c r="AB323" s="11">
        <v>13</v>
      </c>
      <c r="AC323" s="9" t="s">
        <v>847</v>
      </c>
      <c r="AD323" s="9" t="s">
        <v>11</v>
      </c>
      <c r="AE323" s="4" t="str">
        <f t="shared" si="5"/>
        <v>EF1 E002 Port</v>
      </c>
    </row>
    <row r="324" spans="1:31" s="7" customFormat="1" ht="105" x14ac:dyDescent="0.25">
      <c r="A324" s="12" t="s">
        <v>857</v>
      </c>
      <c r="B324" s="9" t="s">
        <v>40</v>
      </c>
      <c r="C324" s="9" t="s">
        <v>1</v>
      </c>
      <c r="D324" s="9" t="s">
        <v>25</v>
      </c>
      <c r="E324" s="11">
        <v>208</v>
      </c>
      <c r="F324" s="11">
        <v>3</v>
      </c>
      <c r="G324" s="11">
        <v>6</v>
      </c>
      <c r="H324" s="11"/>
      <c r="I324" s="12" t="s">
        <v>9</v>
      </c>
      <c r="J324" s="12"/>
      <c r="K324" s="11"/>
      <c r="L324" s="11"/>
      <c r="M324" s="12"/>
      <c r="N324" s="12"/>
      <c r="O324" s="32" t="s">
        <v>858</v>
      </c>
      <c r="P324" s="9"/>
      <c r="Q324" s="9"/>
      <c r="R324" s="11">
        <v>43</v>
      </c>
      <c r="S324" s="13">
        <v>45875</v>
      </c>
      <c r="T324" s="13">
        <v>45877</v>
      </c>
      <c r="U324" s="13">
        <v>45882</v>
      </c>
      <c r="V324" s="13">
        <v>45883</v>
      </c>
      <c r="W324" s="13">
        <v>45887</v>
      </c>
      <c r="X324" s="11" t="s">
        <v>99</v>
      </c>
      <c r="Y324" s="4" t="str">
        <f>IF(Tabela2[[#This Row],[SIGLA]]="","",VLOOKUP(Tabela2[[#This Row],[SIGLA]],Tabela1[[#All],[Sigla Arte]:[Crédito]],2,0))</f>
        <v>VERIDIANA PEGORARO CAMELO/ARQUIVO DA EDITORA</v>
      </c>
      <c r="Z324" s="12"/>
      <c r="AA324" s="12" t="str">
        <f>Tabela2[[#This Row],[ILUSTRADOR CRIAÇÃO]]</f>
        <v>VERIDIANA PEGORARO CAMELO/ARQUIVO DA EDITORA</v>
      </c>
      <c r="AB324" s="11">
        <v>5</v>
      </c>
      <c r="AC324" s="9" t="s">
        <v>780</v>
      </c>
      <c r="AD324" s="9" t="s">
        <v>22</v>
      </c>
      <c r="AE324" s="4" t="str">
        <f t="shared" si="5"/>
        <v>EF1 E002 Port</v>
      </c>
    </row>
    <row r="325" spans="1:31" s="7" customFormat="1" ht="75" x14ac:dyDescent="0.25">
      <c r="A325" s="12" t="s">
        <v>859</v>
      </c>
      <c r="B325" s="9" t="s">
        <v>40</v>
      </c>
      <c r="C325" s="9" t="s">
        <v>1</v>
      </c>
      <c r="D325" s="9" t="s">
        <v>25</v>
      </c>
      <c r="E325" s="11">
        <v>215</v>
      </c>
      <c r="F325" s="11">
        <v>3</v>
      </c>
      <c r="G325" s="11">
        <v>6</v>
      </c>
      <c r="H325" s="11"/>
      <c r="I325" s="12" t="s">
        <v>9</v>
      </c>
      <c r="J325" s="12"/>
      <c r="K325" s="11"/>
      <c r="L325" s="11"/>
      <c r="M325" s="12"/>
      <c r="N325" s="12"/>
      <c r="O325" s="32" t="s">
        <v>860</v>
      </c>
      <c r="P325" s="9"/>
      <c r="Q325" s="9"/>
      <c r="R325" s="11">
        <v>43</v>
      </c>
      <c r="S325" s="13">
        <v>45875</v>
      </c>
      <c r="T325" s="13">
        <v>45877</v>
      </c>
      <c r="U325" s="13">
        <v>45882</v>
      </c>
      <c r="V325" s="13">
        <v>45883</v>
      </c>
      <c r="W325" s="13">
        <v>45887</v>
      </c>
      <c r="X325" s="11" t="s">
        <v>99</v>
      </c>
      <c r="Y325" s="4" t="str">
        <f>IF(Tabela2[[#This Row],[SIGLA]]="","",VLOOKUP(Tabela2[[#This Row],[SIGLA]],Tabela1[[#All],[Sigla Arte]:[Crédito]],2,0))</f>
        <v>VERIDIANA PEGORARO CAMELO/ARQUIVO DA EDITORA</v>
      </c>
      <c r="Z325" s="12"/>
      <c r="AA325" s="12" t="str">
        <f>Tabela2[[#This Row],[ILUSTRADOR CRIAÇÃO]]</f>
        <v>VERIDIANA PEGORARO CAMELO/ARQUIVO DA EDITORA</v>
      </c>
      <c r="AB325" s="11">
        <v>4</v>
      </c>
      <c r="AC325" s="9" t="s">
        <v>780</v>
      </c>
      <c r="AD325" s="9" t="s">
        <v>22</v>
      </c>
      <c r="AE325" s="4" t="str">
        <f t="shared" si="5"/>
        <v>EF1 E002 Port</v>
      </c>
    </row>
    <row r="326" spans="1:31" s="7" customFormat="1" ht="30" x14ac:dyDescent="0.25">
      <c r="A326" s="12" t="s">
        <v>861</v>
      </c>
      <c r="B326" s="9" t="s">
        <v>40</v>
      </c>
      <c r="C326" s="9" t="s">
        <v>1</v>
      </c>
      <c r="D326" s="9" t="s">
        <v>25</v>
      </c>
      <c r="E326" s="11">
        <v>217</v>
      </c>
      <c r="F326" s="11">
        <v>3</v>
      </c>
      <c r="G326" s="11">
        <v>6</v>
      </c>
      <c r="H326" s="11"/>
      <c r="I326" s="12" t="s">
        <v>9</v>
      </c>
      <c r="J326" s="12"/>
      <c r="K326" s="11"/>
      <c r="L326" s="11"/>
      <c r="M326" s="12"/>
      <c r="N326" s="12"/>
      <c r="O326" s="32" t="s">
        <v>862</v>
      </c>
      <c r="P326" s="9"/>
      <c r="Q326" s="9"/>
      <c r="R326" s="11">
        <v>43</v>
      </c>
      <c r="S326" s="13">
        <v>45875</v>
      </c>
      <c r="T326" s="13">
        <v>45877</v>
      </c>
      <c r="U326" s="13">
        <v>45882</v>
      </c>
      <c r="V326" s="13">
        <v>45883</v>
      </c>
      <c r="W326" s="13">
        <v>45887</v>
      </c>
      <c r="X326" s="11" t="s">
        <v>99</v>
      </c>
      <c r="Y326" s="4" t="str">
        <f>IF(Tabela2[[#This Row],[SIGLA]]="","",VLOOKUP(Tabela2[[#This Row],[SIGLA]],Tabela1[[#All],[Sigla Arte]:[Crédito]],2,0))</f>
        <v>VERIDIANA PEGORARO CAMELO/ARQUIVO DA EDITORA</v>
      </c>
      <c r="Z326" s="12"/>
      <c r="AA326" s="12" t="str">
        <f>Tabela2[[#This Row],[ILUSTRADOR CRIAÇÃO]]</f>
        <v>VERIDIANA PEGORARO CAMELO/ARQUIVO DA EDITORA</v>
      </c>
      <c r="AB326" s="11">
        <v>6</v>
      </c>
      <c r="AC326" s="9" t="s">
        <v>780</v>
      </c>
      <c r="AD326" s="9" t="s">
        <v>22</v>
      </c>
      <c r="AE326" s="4" t="str">
        <f t="shared" si="5"/>
        <v>EF1 E002 Port</v>
      </c>
    </row>
    <row r="327" spans="1:31" s="7" customFormat="1" ht="30" x14ac:dyDescent="0.25">
      <c r="A327" s="12" t="s">
        <v>863</v>
      </c>
      <c r="B327" s="9" t="s">
        <v>40</v>
      </c>
      <c r="C327" s="9" t="s">
        <v>1</v>
      </c>
      <c r="D327" s="9" t="s">
        <v>25</v>
      </c>
      <c r="E327" s="11">
        <v>218</v>
      </c>
      <c r="F327" s="11">
        <v>3</v>
      </c>
      <c r="G327" s="11">
        <v>6</v>
      </c>
      <c r="H327" s="11"/>
      <c r="I327" s="12" t="s">
        <v>9</v>
      </c>
      <c r="J327" s="12"/>
      <c r="K327" s="11"/>
      <c r="L327" s="11"/>
      <c r="M327" s="12"/>
      <c r="N327" s="12"/>
      <c r="O327" s="32" t="s">
        <v>864</v>
      </c>
      <c r="P327" s="9"/>
      <c r="Q327" s="9"/>
      <c r="R327" s="11">
        <v>43</v>
      </c>
      <c r="S327" s="13">
        <v>45875</v>
      </c>
      <c r="T327" s="13">
        <v>45877</v>
      </c>
      <c r="U327" s="13">
        <v>45882</v>
      </c>
      <c r="V327" s="13">
        <v>45883</v>
      </c>
      <c r="W327" s="13">
        <v>45887</v>
      </c>
      <c r="X327" s="11" t="s">
        <v>99</v>
      </c>
      <c r="Y327" s="4" t="str">
        <f>IF(Tabela2[[#This Row],[SIGLA]]="","",VLOOKUP(Tabela2[[#This Row],[SIGLA]],Tabela1[[#All],[Sigla Arte]:[Crédito]],2,0))</f>
        <v>VERIDIANA PEGORARO CAMELO/ARQUIVO DA EDITORA</v>
      </c>
      <c r="Z327" s="12"/>
      <c r="AA327" s="12" t="str">
        <f>Tabela2[[#This Row],[ILUSTRADOR CRIAÇÃO]]</f>
        <v>VERIDIANA PEGORARO CAMELO/ARQUIVO DA EDITORA</v>
      </c>
      <c r="AB327" s="11">
        <v>8</v>
      </c>
      <c r="AC327" s="9" t="s">
        <v>780</v>
      </c>
      <c r="AD327" s="9" t="s">
        <v>22</v>
      </c>
      <c r="AE327" s="4" t="str">
        <f t="shared" si="5"/>
        <v>EF1 E002 Port</v>
      </c>
    </row>
    <row r="328" spans="1:31" s="7" customFormat="1" x14ac:dyDescent="0.25">
      <c r="A328" s="12" t="s">
        <v>865</v>
      </c>
      <c r="B328" s="9" t="s">
        <v>42</v>
      </c>
      <c r="C328" s="9" t="s">
        <v>1</v>
      </c>
      <c r="D328" s="9" t="s">
        <v>25</v>
      </c>
      <c r="E328" s="11">
        <v>222</v>
      </c>
      <c r="F328" s="11">
        <v>3</v>
      </c>
      <c r="G328" s="11">
        <v>7</v>
      </c>
      <c r="H328" s="11"/>
      <c r="I328" s="12" t="s">
        <v>9</v>
      </c>
      <c r="J328" s="12"/>
      <c r="K328" s="11"/>
      <c r="L328" s="11"/>
      <c r="M328" s="12"/>
      <c r="N328" s="12"/>
      <c r="O328" s="32" t="s">
        <v>866</v>
      </c>
      <c r="P328" s="9"/>
      <c r="Q328" s="9"/>
      <c r="R328" s="11">
        <v>44</v>
      </c>
      <c r="S328" s="13">
        <v>45876</v>
      </c>
      <c r="T328" s="13"/>
      <c r="U328" s="13"/>
      <c r="V328" s="13"/>
      <c r="W328" s="13"/>
      <c r="X328" s="11"/>
      <c r="Y328" s="4" t="str">
        <f>IF(Tabela2[[#This Row],[SIGLA]]="","",VLOOKUP(Tabela2[[#This Row],[SIGLA]],Tabela1[[#All],[Sigla Arte]:[Crédito]],2,0))</f>
        <v/>
      </c>
      <c r="Z328" s="12"/>
      <c r="AA328" s="12" t="str">
        <f>Tabela2[[#This Row],[ILUSTRADOR CRIAÇÃO]]</f>
        <v/>
      </c>
      <c r="AB328" s="11"/>
      <c r="AC328" s="9" t="s">
        <v>128</v>
      </c>
      <c r="AD328" s="9"/>
      <c r="AE328" s="4" t="str">
        <f t="shared" si="5"/>
        <v>EF1 E002 Port</v>
      </c>
    </row>
    <row r="329" spans="1:31" s="7" customFormat="1" ht="60" x14ac:dyDescent="0.25">
      <c r="A329" s="12" t="s">
        <v>867</v>
      </c>
      <c r="B329" s="9" t="s">
        <v>40</v>
      </c>
      <c r="C329" s="9" t="s">
        <v>1</v>
      </c>
      <c r="D329" s="9" t="s">
        <v>25</v>
      </c>
      <c r="E329" s="11">
        <v>227</v>
      </c>
      <c r="F329" s="11">
        <v>3</v>
      </c>
      <c r="G329" s="11">
        <v>7</v>
      </c>
      <c r="H329" s="11"/>
      <c r="I329" s="12" t="s">
        <v>9</v>
      </c>
      <c r="J329" s="12"/>
      <c r="K329" s="11"/>
      <c r="L329" s="11"/>
      <c r="M329" s="12"/>
      <c r="N329" s="12"/>
      <c r="O329" s="32" t="s">
        <v>868</v>
      </c>
      <c r="P329" s="9"/>
      <c r="Q329" s="9"/>
      <c r="R329" s="11">
        <v>44</v>
      </c>
      <c r="S329" s="13">
        <v>45876</v>
      </c>
      <c r="T329" s="13">
        <v>45877</v>
      </c>
      <c r="U329" s="13">
        <v>45881</v>
      </c>
      <c r="V329" s="13">
        <v>45882</v>
      </c>
      <c r="W329" s="13">
        <v>45883</v>
      </c>
      <c r="X329" s="11" t="s">
        <v>679</v>
      </c>
      <c r="Y329" s="4" t="str">
        <f>IF(Tabela2[[#This Row],[SIGLA]]="","",VLOOKUP(Tabela2[[#This Row],[SIGLA]],Tabela1[[#All],[Sigla Arte]:[Crédito]],2,0))</f>
        <v>ISABELLA MEDEIROS/ARQUIVO DA EDITORA</v>
      </c>
      <c r="Z329" s="12"/>
      <c r="AA329" s="12" t="str">
        <f>Tabela2[[#This Row],[ILUSTRADOR CRIAÇÃO]]</f>
        <v>ISABELLA MEDEIROS/ARQUIVO DA EDITORA</v>
      </c>
      <c r="AB329" s="11">
        <v>6</v>
      </c>
      <c r="AC329" s="9" t="s">
        <v>704</v>
      </c>
      <c r="AD329" s="9" t="s">
        <v>22</v>
      </c>
      <c r="AE329" s="4" t="str">
        <f t="shared" si="5"/>
        <v>EF1 E002 Port</v>
      </c>
    </row>
    <row r="330" spans="1:31" s="7" customFormat="1" ht="30" x14ac:dyDescent="0.25">
      <c r="A330" s="12" t="s">
        <v>869</v>
      </c>
      <c r="B330" s="9" t="s">
        <v>40</v>
      </c>
      <c r="C330" s="9" t="s">
        <v>1</v>
      </c>
      <c r="D330" s="9" t="s">
        <v>25</v>
      </c>
      <c r="E330" s="11">
        <v>233</v>
      </c>
      <c r="F330" s="11">
        <v>3</v>
      </c>
      <c r="G330" s="11">
        <v>7</v>
      </c>
      <c r="H330" s="11"/>
      <c r="I330" s="12" t="s">
        <v>9</v>
      </c>
      <c r="J330" s="12"/>
      <c r="K330" s="11"/>
      <c r="L330" s="11"/>
      <c r="M330" s="12"/>
      <c r="N330" s="12"/>
      <c r="O330" s="32" t="s">
        <v>870</v>
      </c>
      <c r="P330" s="9"/>
      <c r="Q330" s="9"/>
      <c r="R330" s="11">
        <v>44</v>
      </c>
      <c r="S330" s="13">
        <v>45876</v>
      </c>
      <c r="T330" s="13">
        <v>45877</v>
      </c>
      <c r="U330" s="13">
        <v>45880</v>
      </c>
      <c r="V330" s="13">
        <v>45881</v>
      </c>
      <c r="W330" s="13">
        <v>45882</v>
      </c>
      <c r="X330" s="11" t="s">
        <v>281</v>
      </c>
      <c r="Y330" s="4" t="str">
        <f>IF(Tabela2[[#This Row],[SIGLA]]="","",VLOOKUP(Tabela2[[#This Row],[SIGLA]],Tabela1[[#All],[Sigla Arte]:[Crédito]],2,0))</f>
        <v>GUILHERME RODRIGUES/ARQUIVO DA EDITORA</v>
      </c>
      <c r="Z330" s="12"/>
      <c r="AA330" s="12" t="str">
        <f>Tabela2[[#This Row],[ILUSTRADOR CRIAÇÃO]]</f>
        <v>GUILHERME RODRIGUES/ARQUIVO DA EDITORA</v>
      </c>
      <c r="AB330" s="11">
        <v>6</v>
      </c>
      <c r="AC330" s="9" t="s">
        <v>738</v>
      </c>
      <c r="AD330" s="9" t="s">
        <v>22</v>
      </c>
      <c r="AE330" s="4" t="str">
        <f t="shared" si="5"/>
        <v>EF1 E002 Port</v>
      </c>
    </row>
    <row r="331" spans="1:31" s="7" customFormat="1" ht="120" x14ac:dyDescent="0.25">
      <c r="A331" s="12" t="s">
        <v>871</v>
      </c>
      <c r="B331" s="9" t="s">
        <v>40</v>
      </c>
      <c r="C331" s="9" t="s">
        <v>1</v>
      </c>
      <c r="D331" s="9" t="s">
        <v>25</v>
      </c>
      <c r="E331" s="11">
        <v>161</v>
      </c>
      <c r="F331" s="11">
        <v>2</v>
      </c>
      <c r="G331" s="11">
        <v>4</v>
      </c>
      <c r="H331" s="11"/>
      <c r="I331" s="12" t="s">
        <v>9</v>
      </c>
      <c r="J331" s="12"/>
      <c r="K331" s="11"/>
      <c r="L331" s="11"/>
      <c r="M331" s="12"/>
      <c r="N331" s="12"/>
      <c r="O331" s="32" t="s">
        <v>872</v>
      </c>
      <c r="P331" s="9"/>
      <c r="Q331" s="9"/>
      <c r="R331" s="11">
        <v>45</v>
      </c>
      <c r="S331" s="13">
        <v>45877</v>
      </c>
      <c r="T331" s="13">
        <v>45878</v>
      </c>
      <c r="U331" s="13">
        <v>45882</v>
      </c>
      <c r="V331" s="13">
        <v>45883</v>
      </c>
      <c r="W331" s="13">
        <v>45885</v>
      </c>
      <c r="X331" s="11" t="s">
        <v>141</v>
      </c>
      <c r="Y331" s="4" t="str">
        <f>IF(Tabela2[[#This Row],[SIGLA]]="","",VLOOKUP(Tabela2[[#This Row],[SIGLA]],Tabela1[[#All],[Sigla Arte]:[Crédito]],2,0))</f>
        <v>EZEQUIEL SILVA/ARQUIVO DA EDITORA</v>
      </c>
      <c r="Z331" s="12"/>
      <c r="AA331" s="12" t="str">
        <f>Tabela2[[#This Row],[ILUSTRADOR CRIAÇÃO]]</f>
        <v>EZEQUIEL SILVA/ARQUIVO DA EDITORA</v>
      </c>
      <c r="AB331" s="11">
        <v>4</v>
      </c>
      <c r="AC331" s="9" t="s">
        <v>873</v>
      </c>
      <c r="AD331" s="9" t="s">
        <v>22</v>
      </c>
      <c r="AE331" s="4" t="str">
        <f t="shared" si="5"/>
        <v>EF1 E002 Port</v>
      </c>
    </row>
    <row r="332" spans="1:31" s="7" customFormat="1" ht="75" x14ac:dyDescent="0.25">
      <c r="A332" s="12" t="s">
        <v>874</v>
      </c>
      <c r="B332" s="9" t="s">
        <v>40</v>
      </c>
      <c r="C332" s="9" t="s">
        <v>1</v>
      </c>
      <c r="D332" s="9" t="s">
        <v>25</v>
      </c>
      <c r="E332" s="11">
        <v>256</v>
      </c>
      <c r="F332" s="11">
        <v>2</v>
      </c>
      <c r="G332" s="11">
        <v>8</v>
      </c>
      <c r="H332" s="11"/>
      <c r="I332" s="12" t="s">
        <v>9</v>
      </c>
      <c r="J332" s="12"/>
      <c r="K332" s="11"/>
      <c r="L332" s="11"/>
      <c r="M332" s="12"/>
      <c r="N332" s="12"/>
      <c r="O332" s="32" t="s">
        <v>875</v>
      </c>
      <c r="P332" s="9"/>
      <c r="Q332" s="9"/>
      <c r="R332" s="11">
        <v>46</v>
      </c>
      <c r="S332" s="13">
        <v>45880</v>
      </c>
      <c r="T332" s="13">
        <v>45880</v>
      </c>
      <c r="U332" s="13">
        <v>45883</v>
      </c>
      <c r="V332" s="13">
        <v>45890</v>
      </c>
      <c r="W332" s="13">
        <v>45894</v>
      </c>
      <c r="X332" s="11" t="s">
        <v>141</v>
      </c>
      <c r="Y332" s="4" t="str">
        <f>IF(Tabela2[[#This Row],[SIGLA]]="","",VLOOKUP(Tabela2[[#This Row],[SIGLA]],Tabela1[[#All],[Sigla Arte]:[Crédito]],2,0))</f>
        <v>EZEQUIEL SILVA/ARQUIVO DA EDITORA</v>
      </c>
      <c r="Z332" s="12"/>
      <c r="AA332" s="12" t="str">
        <f>Tabela2[[#This Row],[ILUSTRADOR CRIAÇÃO]]</f>
        <v>EZEQUIEL SILVA/ARQUIVO DA EDITORA</v>
      </c>
      <c r="AB332" s="11">
        <v>5</v>
      </c>
      <c r="AC332" s="9" t="s">
        <v>876</v>
      </c>
      <c r="AD332" s="9" t="s">
        <v>22</v>
      </c>
      <c r="AE332" s="4" t="str">
        <f t="shared" si="5"/>
        <v>EF1 E002 Port</v>
      </c>
    </row>
    <row r="333" spans="1:31" s="7" customFormat="1" ht="30" x14ac:dyDescent="0.25">
      <c r="A333" s="12" t="s">
        <v>877</v>
      </c>
      <c r="B333" s="9" t="s">
        <v>40</v>
      </c>
      <c r="C333" s="9" t="s">
        <v>1</v>
      </c>
      <c r="D333" s="9" t="s">
        <v>25</v>
      </c>
      <c r="E333" s="11">
        <v>260</v>
      </c>
      <c r="F333" s="11">
        <v>2</v>
      </c>
      <c r="G333" s="11">
        <v>8</v>
      </c>
      <c r="H333" s="11"/>
      <c r="I333" s="12" t="s">
        <v>9</v>
      </c>
      <c r="J333" s="12"/>
      <c r="K333" s="11"/>
      <c r="L333" s="11"/>
      <c r="M333" s="12"/>
      <c r="N333" s="12"/>
      <c r="O333" s="32" t="s">
        <v>878</v>
      </c>
      <c r="P333" s="9"/>
      <c r="Q333" s="9"/>
      <c r="R333" s="11">
        <v>46</v>
      </c>
      <c r="S333" s="13">
        <v>45880</v>
      </c>
      <c r="T333" s="13">
        <v>45880</v>
      </c>
      <c r="U333" s="13">
        <v>45883</v>
      </c>
      <c r="V333" s="13">
        <v>45890</v>
      </c>
      <c r="W333" s="13">
        <v>45894</v>
      </c>
      <c r="X333" s="11" t="s">
        <v>141</v>
      </c>
      <c r="Y333" s="4" t="str">
        <f>IF(Tabela2[[#This Row],[SIGLA]]="","",VLOOKUP(Tabela2[[#This Row],[SIGLA]],Tabela1[[#All],[Sigla Arte]:[Crédito]],2,0))</f>
        <v>EZEQUIEL SILVA/ARQUIVO DA EDITORA</v>
      </c>
      <c r="Z333" s="12"/>
      <c r="AA333" s="12" t="str">
        <f>Tabela2[[#This Row],[ILUSTRADOR CRIAÇÃO]]</f>
        <v>EZEQUIEL SILVA/ARQUIVO DA EDITORA</v>
      </c>
      <c r="AB333" s="11">
        <v>7</v>
      </c>
      <c r="AC333" s="9" t="s">
        <v>876</v>
      </c>
      <c r="AD333" s="9" t="s">
        <v>22</v>
      </c>
      <c r="AE333" s="4" t="str">
        <f t="shared" si="5"/>
        <v>EF1 E002 Port</v>
      </c>
    </row>
    <row r="334" spans="1:31" s="7" customFormat="1" ht="45" x14ac:dyDescent="0.25">
      <c r="A334" s="12" t="s">
        <v>879</v>
      </c>
      <c r="B334" s="9" t="s">
        <v>40</v>
      </c>
      <c r="C334" s="9" t="s">
        <v>1</v>
      </c>
      <c r="D334" s="9" t="s">
        <v>25</v>
      </c>
      <c r="E334" s="11">
        <v>264</v>
      </c>
      <c r="F334" s="11">
        <v>2</v>
      </c>
      <c r="G334" s="11">
        <v>8</v>
      </c>
      <c r="H334" s="11"/>
      <c r="I334" s="12" t="s">
        <v>9</v>
      </c>
      <c r="J334" s="12"/>
      <c r="K334" s="11"/>
      <c r="L334" s="11"/>
      <c r="M334" s="12"/>
      <c r="N334" s="12"/>
      <c r="O334" s="32" t="s">
        <v>880</v>
      </c>
      <c r="P334" s="9"/>
      <c r="Q334" s="9"/>
      <c r="R334" s="11">
        <v>46</v>
      </c>
      <c r="S334" s="13">
        <v>45880</v>
      </c>
      <c r="T334" s="13">
        <v>45880</v>
      </c>
      <c r="U334" s="13">
        <v>45882</v>
      </c>
      <c r="V334" s="13">
        <v>45882</v>
      </c>
      <c r="W334" s="13">
        <v>45884</v>
      </c>
      <c r="X334" s="11" t="s">
        <v>711</v>
      </c>
      <c r="Y334" s="4" t="str">
        <f>IF(Tabela2[[#This Row],[SIGLA]]="","",VLOOKUP(Tabela2[[#This Row],[SIGLA]],Tabela1[[#All],[Sigla Arte]:[Crédito]],2,0))</f>
        <v>CAMILA CARMONA/ARQUIVO DA EDITORA</v>
      </c>
      <c r="Z334" s="12"/>
      <c r="AA334" s="12" t="str">
        <f>Tabela2[[#This Row],[ILUSTRADOR CRIAÇÃO]]</f>
        <v>CAMILA CARMONA/ARQUIVO DA EDITORA</v>
      </c>
      <c r="AB334" s="11">
        <v>5</v>
      </c>
      <c r="AC334" s="9" t="s">
        <v>201</v>
      </c>
      <c r="AD334" s="9" t="s">
        <v>22</v>
      </c>
      <c r="AE334" s="4" t="str">
        <f t="shared" si="5"/>
        <v>EF1 E002 Port</v>
      </c>
    </row>
    <row r="335" spans="1:31" s="7" customFormat="1" ht="45" x14ac:dyDescent="0.25">
      <c r="A335" s="12" t="s">
        <v>881</v>
      </c>
      <c r="B335" s="9" t="s">
        <v>40</v>
      </c>
      <c r="C335" s="9" t="s">
        <v>1</v>
      </c>
      <c r="D335" s="9" t="s">
        <v>25</v>
      </c>
      <c r="E335" s="11">
        <v>278</v>
      </c>
      <c r="F335" s="11">
        <v>2</v>
      </c>
      <c r="G335" s="11">
        <v>8</v>
      </c>
      <c r="H335" s="11"/>
      <c r="I335" s="12" t="s">
        <v>9</v>
      </c>
      <c r="J335" s="12"/>
      <c r="K335" s="11"/>
      <c r="L335" s="11"/>
      <c r="M335" s="12"/>
      <c r="N335" s="12"/>
      <c r="O335" s="32" t="s">
        <v>882</v>
      </c>
      <c r="P335" s="9"/>
      <c r="Q335" s="9"/>
      <c r="R335" s="11">
        <v>46</v>
      </c>
      <c r="S335" s="13">
        <v>45880</v>
      </c>
      <c r="T335" s="13">
        <v>45880</v>
      </c>
      <c r="U335" s="13">
        <v>45882</v>
      </c>
      <c r="V335" s="13">
        <v>45882</v>
      </c>
      <c r="W335" s="13">
        <v>45884</v>
      </c>
      <c r="X335" s="11" t="s">
        <v>711</v>
      </c>
      <c r="Y335" s="4" t="str">
        <f>IF(Tabela2[[#This Row],[SIGLA]]="","",VLOOKUP(Tabela2[[#This Row],[SIGLA]],Tabela1[[#All],[Sigla Arte]:[Crédito]],2,0))</f>
        <v>CAMILA CARMONA/ARQUIVO DA EDITORA</v>
      </c>
      <c r="Z335" s="12"/>
      <c r="AA335" s="12" t="str">
        <f>Tabela2[[#This Row],[ILUSTRADOR CRIAÇÃO]]</f>
        <v>CAMILA CARMONA/ARQUIVO DA EDITORA</v>
      </c>
      <c r="AB335" s="11">
        <v>5</v>
      </c>
      <c r="AC335" s="9" t="s">
        <v>201</v>
      </c>
      <c r="AD335" s="9" t="s">
        <v>22</v>
      </c>
      <c r="AE335" s="4" t="str">
        <f t="shared" si="5"/>
        <v>EF1 E002 Port</v>
      </c>
    </row>
    <row r="336" spans="1:31" s="7" customFormat="1" x14ac:dyDescent="0.25">
      <c r="A336" s="12" t="s">
        <v>883</v>
      </c>
      <c r="B336" s="9" t="s">
        <v>40</v>
      </c>
      <c r="C336" s="9" t="s">
        <v>1</v>
      </c>
      <c r="D336" s="9" t="s">
        <v>25</v>
      </c>
      <c r="E336" s="11">
        <v>273</v>
      </c>
      <c r="F336" s="11">
        <v>2</v>
      </c>
      <c r="G336" s="11">
        <v>8</v>
      </c>
      <c r="H336" s="11"/>
      <c r="I336" s="12" t="s">
        <v>9</v>
      </c>
      <c r="J336" s="12"/>
      <c r="K336" s="11"/>
      <c r="L336" s="11"/>
      <c r="M336" s="12"/>
      <c r="N336" s="12"/>
      <c r="O336" s="32" t="s">
        <v>884</v>
      </c>
      <c r="P336" s="9"/>
      <c r="Q336" s="9"/>
      <c r="R336" s="11">
        <v>46</v>
      </c>
      <c r="S336" s="13">
        <v>45880</v>
      </c>
      <c r="T336" s="13">
        <v>45880</v>
      </c>
      <c r="U336" s="13">
        <v>45882</v>
      </c>
      <c r="V336" s="13">
        <v>45882</v>
      </c>
      <c r="W336" s="13">
        <v>45884</v>
      </c>
      <c r="X336" s="11" t="s">
        <v>711</v>
      </c>
      <c r="Y336" s="4" t="str">
        <f>IF(Tabela2[[#This Row],[SIGLA]]="","",VLOOKUP(Tabela2[[#This Row],[SIGLA]],Tabela1[[#All],[Sigla Arte]:[Crédito]],2,0))</f>
        <v>CAMILA CARMONA/ARQUIVO DA EDITORA</v>
      </c>
      <c r="Z336" s="12"/>
      <c r="AA336" s="12" t="str">
        <f>Tabela2[[#This Row],[ILUSTRADOR CRIAÇÃO]]</f>
        <v>CAMILA CARMONA/ARQUIVO DA EDITORA</v>
      </c>
      <c r="AB336" s="11">
        <v>7</v>
      </c>
      <c r="AC336" s="9" t="s">
        <v>201</v>
      </c>
      <c r="AD336" s="9" t="s">
        <v>22</v>
      </c>
      <c r="AE336" s="4" t="str">
        <f t="shared" si="5"/>
        <v>EF1 E002 Port</v>
      </c>
    </row>
    <row r="337" spans="1:31" s="7" customFormat="1" ht="45" x14ac:dyDescent="0.25">
      <c r="A337" s="12" t="s">
        <v>885</v>
      </c>
      <c r="B337" s="9" t="s">
        <v>42</v>
      </c>
      <c r="C337" s="9" t="s">
        <v>1</v>
      </c>
      <c r="D337" s="9" t="s">
        <v>25</v>
      </c>
      <c r="E337" s="11">
        <v>68</v>
      </c>
      <c r="F337" s="11">
        <v>1</v>
      </c>
      <c r="G337" s="11">
        <v>2</v>
      </c>
      <c r="H337" s="11"/>
      <c r="I337" s="12" t="s">
        <v>9</v>
      </c>
      <c r="J337" s="12"/>
      <c r="K337" s="11"/>
      <c r="L337" s="11"/>
      <c r="M337" s="12"/>
      <c r="N337" s="12"/>
      <c r="O337" s="32" t="s">
        <v>886</v>
      </c>
      <c r="P337" s="9"/>
      <c r="Q337" s="9"/>
      <c r="R337" s="11">
        <v>47</v>
      </c>
      <c r="S337" s="13">
        <v>45880</v>
      </c>
      <c r="T337" s="13"/>
      <c r="U337" s="13"/>
      <c r="V337" s="13"/>
      <c r="W337" s="13"/>
      <c r="X337" s="11"/>
      <c r="Y337" s="4" t="str">
        <f>IF(Tabela2[[#This Row],[SIGLA]]="","",VLOOKUP(Tabela2[[#This Row],[SIGLA]],Tabela1[[#All],[Sigla Arte]:[Crédito]],2,0))</f>
        <v/>
      </c>
      <c r="Z337" s="12"/>
      <c r="AA337" s="12" t="str">
        <f>Tabela2[[#This Row],[ILUSTRADOR CRIAÇÃO]]</f>
        <v/>
      </c>
      <c r="AB337" s="11"/>
      <c r="AC337" s="9" t="s">
        <v>658</v>
      </c>
      <c r="AD337" s="9"/>
      <c r="AE337" s="4" t="str">
        <f t="shared" si="5"/>
        <v>EF1 E002 Port</v>
      </c>
    </row>
    <row r="338" spans="1:31" s="7" customFormat="1" ht="30" x14ac:dyDescent="0.25">
      <c r="A338" s="12" t="s">
        <v>887</v>
      </c>
      <c r="B338" s="9" t="s">
        <v>42</v>
      </c>
      <c r="C338" s="9" t="s">
        <v>1</v>
      </c>
      <c r="D338" s="9" t="s">
        <v>25</v>
      </c>
      <c r="E338" s="11">
        <v>76</v>
      </c>
      <c r="F338" s="11">
        <v>1</v>
      </c>
      <c r="G338" s="11">
        <v>2</v>
      </c>
      <c r="H338" s="11"/>
      <c r="I338" s="12" t="s">
        <v>3</v>
      </c>
      <c r="J338" s="12"/>
      <c r="K338" s="11"/>
      <c r="L338" s="11"/>
      <c r="M338" s="12"/>
      <c r="N338" s="12"/>
      <c r="O338" s="32" t="s">
        <v>888</v>
      </c>
      <c r="P338" s="9"/>
      <c r="Q338" s="9"/>
      <c r="R338" s="11">
        <v>49</v>
      </c>
      <c r="S338" s="13">
        <v>45883</v>
      </c>
      <c r="T338" s="13">
        <v>45880</v>
      </c>
      <c r="U338" s="13"/>
      <c r="V338" s="13"/>
      <c r="W338" s="13">
        <v>45880</v>
      </c>
      <c r="X338" s="11" t="s">
        <v>889</v>
      </c>
      <c r="Y338" s="4" t="str">
        <f>IF(Tabela2[[#This Row],[SIGLA]]="","",VLOOKUP(Tabela2[[#This Row],[SIGLA]],Tabela1[[#All],[Sigla Arte]:[Crédito]],2,0))</f>
        <v>LEANDRO LASSMAR/ARQUIVO DA EDITORA</v>
      </c>
      <c r="Z338" s="12" t="s">
        <v>308</v>
      </c>
      <c r="AA338" s="12" t="str">
        <f>Tabela2[[#This Row],[ILUSTRADOR CRIAÇÃO]]</f>
        <v>LEANDRO LASSMAR/ARQUIVO DA EDITORA</v>
      </c>
      <c r="AB338" s="11">
        <v>13</v>
      </c>
      <c r="AC338" s="9" t="s">
        <v>890</v>
      </c>
      <c r="AD338" s="9" t="s">
        <v>11</v>
      </c>
      <c r="AE338" s="4" t="str">
        <f t="shared" si="5"/>
        <v>EF1 E002 Port</v>
      </c>
    </row>
    <row r="339" spans="1:31" s="7" customFormat="1" x14ac:dyDescent="0.25">
      <c r="A339" s="12" t="s">
        <v>891</v>
      </c>
      <c r="B339" s="9" t="s">
        <v>40</v>
      </c>
      <c r="C339" s="9" t="s">
        <v>1</v>
      </c>
      <c r="D339" s="9" t="s">
        <v>25</v>
      </c>
      <c r="E339" s="11">
        <v>61</v>
      </c>
      <c r="F339" s="11">
        <v>4</v>
      </c>
      <c r="G339" s="11">
        <v>2</v>
      </c>
      <c r="H339" s="11"/>
      <c r="I339" s="12" t="s">
        <v>9</v>
      </c>
      <c r="J339" s="12"/>
      <c r="K339" s="11"/>
      <c r="L339" s="11"/>
      <c r="M339" s="12"/>
      <c r="N339" s="12"/>
      <c r="O339" s="32" t="s">
        <v>892</v>
      </c>
      <c r="P339" s="9"/>
      <c r="Q339" s="9"/>
      <c r="R339" s="11">
        <v>48</v>
      </c>
      <c r="S339" s="13">
        <v>45881</v>
      </c>
      <c r="T339" s="13">
        <v>45881</v>
      </c>
      <c r="U339" s="13"/>
      <c r="V339" s="13"/>
      <c r="W339" s="13">
        <v>45881</v>
      </c>
      <c r="X339" s="11" t="s">
        <v>893</v>
      </c>
      <c r="Y339" s="4" t="str">
        <f>IF(Tabela2[[#This Row],[SIGLA]]="","",VLOOKUP(Tabela2[[#This Row],[SIGLA]],Tabela1[[#All],[Sigla Arte]:[Crédito]],2,0))</f>
        <v xml:space="preserve">NOME DO PAÍS/ARQUIVO DA EDITORA
</v>
      </c>
      <c r="Z339" s="12" t="s">
        <v>90</v>
      </c>
      <c r="AA339" s="12" t="s">
        <v>894</v>
      </c>
      <c r="AB339" s="11">
        <v>14</v>
      </c>
      <c r="AC339" s="9" t="s">
        <v>895</v>
      </c>
      <c r="AD339" s="9" t="s">
        <v>11</v>
      </c>
      <c r="AE339" s="4" t="str">
        <f t="shared" si="5"/>
        <v>EF1 E002 Port</v>
      </c>
    </row>
    <row r="340" spans="1:31" s="7" customFormat="1" ht="60" x14ac:dyDescent="0.25">
      <c r="A340" s="12" t="s">
        <v>896</v>
      </c>
      <c r="B340" s="9" t="s">
        <v>40</v>
      </c>
      <c r="C340" s="9" t="s">
        <v>1</v>
      </c>
      <c r="D340" s="9" t="s">
        <v>25</v>
      </c>
      <c r="E340" s="11">
        <v>28</v>
      </c>
      <c r="F340" s="11">
        <v>5</v>
      </c>
      <c r="G340" s="11">
        <v>1</v>
      </c>
      <c r="H340" s="11"/>
      <c r="I340" s="12" t="s">
        <v>9</v>
      </c>
      <c r="J340" s="12"/>
      <c r="K340" s="11"/>
      <c r="L340" s="11"/>
      <c r="M340" s="12"/>
      <c r="N340" s="12"/>
      <c r="O340" s="32" t="s">
        <v>897</v>
      </c>
      <c r="P340" s="9"/>
      <c r="Q340" s="9"/>
      <c r="R340" s="11">
        <v>50</v>
      </c>
      <c r="S340" s="13">
        <v>45883</v>
      </c>
      <c r="T340" s="13">
        <v>45887</v>
      </c>
      <c r="U340" s="13">
        <v>45889</v>
      </c>
      <c r="V340" s="13">
        <v>45890</v>
      </c>
      <c r="W340" s="13">
        <v>45894</v>
      </c>
      <c r="X340" s="11" t="s">
        <v>503</v>
      </c>
      <c r="Y340" s="4" t="str">
        <f>IF(Tabela2[[#This Row],[SIGLA]]="","",VLOOKUP(Tabela2[[#This Row],[SIGLA]],Tabela1[[#All],[Sigla Arte]:[Crédito]],2,0))</f>
        <v>LISLLEY GOMES FEIGE/ARQUIVO DA EDITORA</v>
      </c>
      <c r="Z340" s="12"/>
      <c r="AA340" s="12" t="str">
        <f>Tabela2[[#This Row],[ILUSTRADOR CRIAÇÃO]]</f>
        <v>LISLLEY GOMES FEIGE/ARQUIVO DA EDITORA</v>
      </c>
      <c r="AB340" s="11">
        <v>7</v>
      </c>
      <c r="AC340" s="9" t="s">
        <v>898</v>
      </c>
      <c r="AD340" s="9" t="s">
        <v>22</v>
      </c>
      <c r="AE340" s="4" t="str">
        <f t="shared" si="5"/>
        <v>EF1 E002 Port</v>
      </c>
    </row>
    <row r="341" spans="1:31" s="7" customFormat="1" ht="30" x14ac:dyDescent="0.25">
      <c r="A341" s="12" t="s">
        <v>899</v>
      </c>
      <c r="B341" s="9" t="s">
        <v>40</v>
      </c>
      <c r="C341" s="9" t="s">
        <v>1</v>
      </c>
      <c r="D341" s="9" t="s">
        <v>25</v>
      </c>
      <c r="E341" s="11">
        <v>269</v>
      </c>
      <c r="F341" s="11">
        <v>1</v>
      </c>
      <c r="G341" s="11"/>
      <c r="H341" s="11" t="s">
        <v>900</v>
      </c>
      <c r="I341" s="12" t="s">
        <v>9</v>
      </c>
      <c r="J341" s="12"/>
      <c r="K341" s="11"/>
      <c r="L341" s="11"/>
      <c r="M341" s="12"/>
      <c r="N341" s="12"/>
      <c r="O341" s="32" t="s">
        <v>901</v>
      </c>
      <c r="P341" s="9"/>
      <c r="Q341" s="9"/>
      <c r="R341" s="11">
        <v>51</v>
      </c>
      <c r="S341" s="13">
        <v>45885</v>
      </c>
      <c r="T341" s="13">
        <v>45887</v>
      </c>
      <c r="U341" s="13"/>
      <c r="V341" s="13"/>
      <c r="W341" s="13">
        <v>45888</v>
      </c>
      <c r="X341" s="11" t="s">
        <v>902</v>
      </c>
      <c r="Y341" s="4" t="str">
        <f>IF(Tabela2[[#This Row],[SIGLA]]="","",VLOOKUP(Tabela2[[#This Row],[SIGLA]],Tabela1[[#All],[Sigla Arte]:[Crédito]],2,0))</f>
        <v>GABRIELLA IMAI/ARQUIVO DA EDITORA</v>
      </c>
      <c r="Z341" s="12"/>
      <c r="AA341" s="12" t="str">
        <f>Tabela2[[#This Row],[ILUSTRADOR CRIAÇÃO]]</f>
        <v>GABRIELLA IMAI/ARQUIVO DA EDITORA</v>
      </c>
      <c r="AB341" s="11">
        <v>7</v>
      </c>
      <c r="AC341" s="9" t="s">
        <v>903</v>
      </c>
      <c r="AD341" s="9" t="s">
        <v>11</v>
      </c>
      <c r="AE341" s="4" t="str">
        <f t="shared" si="5"/>
        <v>EF1 E002 Port</v>
      </c>
    </row>
    <row r="342" spans="1:31" s="7" customFormat="1" x14ac:dyDescent="0.25">
      <c r="A342" s="12" t="s">
        <v>904</v>
      </c>
      <c r="B342" s="9" t="s">
        <v>42</v>
      </c>
      <c r="C342" s="9" t="s">
        <v>1</v>
      </c>
      <c r="D342" s="9" t="s">
        <v>25</v>
      </c>
      <c r="E342" s="11">
        <v>271</v>
      </c>
      <c r="F342" s="11">
        <v>1</v>
      </c>
      <c r="G342" s="11"/>
      <c r="H342" s="11" t="s">
        <v>900</v>
      </c>
      <c r="I342" s="12" t="s">
        <v>9</v>
      </c>
      <c r="J342" s="12"/>
      <c r="K342" s="11"/>
      <c r="L342" s="11"/>
      <c r="M342" s="12"/>
      <c r="N342" s="12"/>
      <c r="O342" s="32" t="s">
        <v>905</v>
      </c>
      <c r="P342" s="9"/>
      <c r="Q342" s="9"/>
      <c r="R342" s="11">
        <v>51</v>
      </c>
      <c r="S342" s="13">
        <v>45885</v>
      </c>
      <c r="T342" s="13"/>
      <c r="U342" s="13"/>
      <c r="V342" s="13"/>
      <c r="W342" s="13"/>
      <c r="X342" s="11"/>
      <c r="Y342" s="4" t="str">
        <f>IF(Tabela2[[#This Row],[SIGLA]]="","",VLOOKUP(Tabela2[[#This Row],[SIGLA]],Tabela1[[#All],[Sigla Arte]:[Crédito]],2,0))</f>
        <v/>
      </c>
      <c r="Z342" s="12"/>
      <c r="AA342" s="12" t="str">
        <f>Tabela2[[#This Row],[ILUSTRADOR CRIAÇÃO]]</f>
        <v/>
      </c>
      <c r="AB342" s="11"/>
      <c r="AC342" s="9" t="s">
        <v>906</v>
      </c>
      <c r="AD342" s="9"/>
      <c r="AE342" s="4" t="str">
        <f t="shared" si="5"/>
        <v>EF1 E002 Port</v>
      </c>
    </row>
    <row r="343" spans="1:31" s="7" customFormat="1" x14ac:dyDescent="0.25">
      <c r="A343" s="12" t="s">
        <v>907</v>
      </c>
      <c r="B343" s="9" t="s">
        <v>42</v>
      </c>
      <c r="C343" s="9" t="s">
        <v>1</v>
      </c>
      <c r="D343" s="9" t="s">
        <v>25</v>
      </c>
      <c r="E343" s="11">
        <v>273</v>
      </c>
      <c r="F343" s="11">
        <v>1</v>
      </c>
      <c r="G343" s="11"/>
      <c r="H343" s="11" t="s">
        <v>900</v>
      </c>
      <c r="I343" s="12" t="s">
        <v>9</v>
      </c>
      <c r="J343" s="12"/>
      <c r="K343" s="11"/>
      <c r="L343" s="11"/>
      <c r="M343" s="12"/>
      <c r="N343" s="12"/>
      <c r="O343" s="32" t="s">
        <v>905</v>
      </c>
      <c r="P343" s="9"/>
      <c r="Q343" s="9"/>
      <c r="R343" s="11">
        <v>51</v>
      </c>
      <c r="S343" s="13">
        <v>45885</v>
      </c>
      <c r="T343" s="13"/>
      <c r="U343" s="13"/>
      <c r="V343" s="13"/>
      <c r="W343" s="13"/>
      <c r="X343" s="11"/>
      <c r="Y343" s="4" t="str">
        <f>IF(Tabela2[[#This Row],[SIGLA]]="","",VLOOKUP(Tabela2[[#This Row],[SIGLA]],Tabela1[[#All],[Sigla Arte]:[Crédito]],2,0))</f>
        <v/>
      </c>
      <c r="Z343" s="12"/>
      <c r="AA343" s="12" t="str">
        <f>Tabela2[[#This Row],[ILUSTRADOR CRIAÇÃO]]</f>
        <v/>
      </c>
      <c r="AB343" s="11"/>
      <c r="AC343" s="9" t="s">
        <v>906</v>
      </c>
      <c r="AD343" s="9"/>
      <c r="AE343" s="4" t="str">
        <f t="shared" si="5"/>
        <v>EF1 E002 Port</v>
      </c>
    </row>
    <row r="344" spans="1:31" s="7" customFormat="1" x14ac:dyDescent="0.25">
      <c r="A344" s="12" t="s">
        <v>908</v>
      </c>
      <c r="B344" s="9" t="s">
        <v>42</v>
      </c>
      <c r="C344" s="9" t="s">
        <v>1</v>
      </c>
      <c r="D344" s="9" t="s">
        <v>25</v>
      </c>
      <c r="E344" s="11">
        <v>275</v>
      </c>
      <c r="F344" s="11">
        <v>1</v>
      </c>
      <c r="G344" s="11"/>
      <c r="H344" s="11" t="s">
        <v>900</v>
      </c>
      <c r="I344" s="12" t="s">
        <v>9</v>
      </c>
      <c r="J344" s="12"/>
      <c r="K344" s="11"/>
      <c r="L344" s="11"/>
      <c r="M344" s="12"/>
      <c r="N344" s="12"/>
      <c r="O344" s="32" t="s">
        <v>909</v>
      </c>
      <c r="P344" s="9"/>
      <c r="Q344" s="9"/>
      <c r="R344" s="11">
        <v>51</v>
      </c>
      <c r="S344" s="13">
        <v>45885</v>
      </c>
      <c r="T344" s="13"/>
      <c r="U344" s="13"/>
      <c r="V344" s="13"/>
      <c r="W344" s="13"/>
      <c r="X344" s="11"/>
      <c r="Y344" s="4" t="str">
        <f>IF(Tabela2[[#This Row],[SIGLA]]="","",VLOOKUP(Tabela2[[#This Row],[SIGLA]],Tabela1[[#All],[Sigla Arte]:[Crédito]],2,0))</f>
        <v/>
      </c>
      <c r="Z344" s="12"/>
      <c r="AA344" s="12" t="str">
        <f>Tabela2[[#This Row],[ILUSTRADOR CRIAÇÃO]]</f>
        <v/>
      </c>
      <c r="AB344" s="11"/>
      <c r="AC344" s="9" t="s">
        <v>910</v>
      </c>
      <c r="AD344" s="9"/>
      <c r="AE344" s="4" t="str">
        <f t="shared" si="5"/>
        <v>EF1 E002 Port</v>
      </c>
    </row>
    <row r="345" spans="1:31" s="7" customFormat="1" ht="105" x14ac:dyDescent="0.25">
      <c r="A345" s="12" t="s">
        <v>911</v>
      </c>
      <c r="B345" s="9" t="s">
        <v>40</v>
      </c>
      <c r="C345" s="9" t="s">
        <v>1</v>
      </c>
      <c r="D345" s="9" t="s">
        <v>25</v>
      </c>
      <c r="E345" s="11">
        <v>277</v>
      </c>
      <c r="F345" s="11">
        <v>1</v>
      </c>
      <c r="G345" s="11"/>
      <c r="H345" s="11" t="s">
        <v>900</v>
      </c>
      <c r="I345" s="12" t="s">
        <v>9</v>
      </c>
      <c r="J345" s="12"/>
      <c r="K345" s="11"/>
      <c r="L345" s="11"/>
      <c r="M345" s="12"/>
      <c r="N345" s="12"/>
      <c r="O345" s="32" t="s">
        <v>912</v>
      </c>
      <c r="P345" s="9"/>
      <c r="Q345" s="9"/>
      <c r="R345" s="11">
        <v>51</v>
      </c>
      <c r="S345" s="13">
        <v>45885</v>
      </c>
      <c r="T345" s="13">
        <v>45887</v>
      </c>
      <c r="U345" s="13"/>
      <c r="V345" s="13"/>
      <c r="W345" s="13">
        <v>45888</v>
      </c>
      <c r="X345" s="11" t="s">
        <v>902</v>
      </c>
      <c r="Y345" s="4" t="str">
        <f>IF(Tabela2[[#This Row],[SIGLA]]="","",VLOOKUP(Tabela2[[#This Row],[SIGLA]],Tabela1[[#All],[Sigla Arte]:[Crédito]],2,0))</f>
        <v>GABRIELLA IMAI/ARQUIVO DA EDITORA</v>
      </c>
      <c r="Z345" s="12"/>
      <c r="AA345" s="12" t="str">
        <f>Tabela2[[#This Row],[ILUSTRADOR CRIAÇÃO]]</f>
        <v>GABRIELLA IMAI/ARQUIVO DA EDITORA</v>
      </c>
      <c r="AB345" s="11">
        <v>6</v>
      </c>
      <c r="AC345" s="9" t="s">
        <v>903</v>
      </c>
      <c r="AD345" s="9" t="s">
        <v>11</v>
      </c>
      <c r="AE345" s="4" t="str">
        <f t="shared" si="5"/>
        <v>EF1 E002 Port</v>
      </c>
    </row>
    <row r="346" spans="1:31" s="7" customFormat="1" ht="60" x14ac:dyDescent="0.25">
      <c r="A346" s="12" t="s">
        <v>913</v>
      </c>
      <c r="B346" s="9" t="s">
        <v>40</v>
      </c>
      <c r="C346" s="9" t="s">
        <v>1</v>
      </c>
      <c r="D346" s="9" t="s">
        <v>25</v>
      </c>
      <c r="E346" s="11">
        <v>279</v>
      </c>
      <c r="F346" s="11">
        <v>1</v>
      </c>
      <c r="G346" s="11"/>
      <c r="H346" s="11" t="s">
        <v>900</v>
      </c>
      <c r="I346" s="12" t="s">
        <v>9</v>
      </c>
      <c r="J346" s="12"/>
      <c r="K346" s="11"/>
      <c r="L346" s="11"/>
      <c r="M346" s="12"/>
      <c r="N346" s="12"/>
      <c r="O346" s="32" t="s">
        <v>914</v>
      </c>
      <c r="P346" s="9"/>
      <c r="Q346" s="9"/>
      <c r="R346" s="11">
        <v>51</v>
      </c>
      <c r="S346" s="13">
        <v>45885</v>
      </c>
      <c r="T346" s="13">
        <v>45887</v>
      </c>
      <c r="U346" s="13"/>
      <c r="V346" s="13"/>
      <c r="W346" s="13">
        <v>45888</v>
      </c>
      <c r="X346" s="11" t="s">
        <v>902</v>
      </c>
      <c r="Y346" s="4" t="str">
        <f>IF(Tabela2[[#This Row],[SIGLA]]="","",VLOOKUP(Tabela2[[#This Row],[SIGLA]],Tabela1[[#All],[Sigla Arte]:[Crédito]],2,0))</f>
        <v>GABRIELLA IMAI/ARQUIVO DA EDITORA</v>
      </c>
      <c r="Z346" s="12"/>
      <c r="AA346" s="12" t="str">
        <f>Tabela2[[#This Row],[ILUSTRADOR CRIAÇÃO]]</f>
        <v>GABRIELLA IMAI/ARQUIVO DA EDITORA</v>
      </c>
      <c r="AB346" s="11">
        <v>7</v>
      </c>
      <c r="AC346" s="9" t="s">
        <v>903</v>
      </c>
      <c r="AD346" s="9" t="s">
        <v>11</v>
      </c>
      <c r="AE346" s="4" t="str">
        <f t="shared" si="5"/>
        <v>EF1 E002 Port</v>
      </c>
    </row>
    <row r="347" spans="1:31" s="7" customFormat="1" ht="75" x14ac:dyDescent="0.25">
      <c r="A347" s="12" t="s">
        <v>915</v>
      </c>
      <c r="B347" s="9" t="s">
        <v>40</v>
      </c>
      <c r="C347" s="9" t="s">
        <v>1</v>
      </c>
      <c r="D347" s="9" t="s">
        <v>25</v>
      </c>
      <c r="E347" s="11">
        <v>279</v>
      </c>
      <c r="F347" s="11">
        <v>1</v>
      </c>
      <c r="G347" s="11"/>
      <c r="H347" s="11" t="s">
        <v>900</v>
      </c>
      <c r="I347" s="12" t="s">
        <v>9</v>
      </c>
      <c r="J347" s="12"/>
      <c r="K347" s="11"/>
      <c r="L347" s="11"/>
      <c r="M347" s="12"/>
      <c r="N347" s="12"/>
      <c r="O347" s="32" t="s">
        <v>916</v>
      </c>
      <c r="P347" s="9"/>
      <c r="Q347" s="9"/>
      <c r="R347" s="11">
        <v>51</v>
      </c>
      <c r="S347" s="13">
        <v>45885</v>
      </c>
      <c r="T347" s="13">
        <v>45887</v>
      </c>
      <c r="U347" s="13"/>
      <c r="V347" s="13"/>
      <c r="W347" s="13">
        <v>45888</v>
      </c>
      <c r="X347" s="11" t="s">
        <v>902</v>
      </c>
      <c r="Y347" s="4" t="str">
        <f>IF(Tabela2[[#This Row],[SIGLA]]="","",VLOOKUP(Tabela2[[#This Row],[SIGLA]],Tabela1[[#All],[Sigla Arte]:[Crédito]],2,0))</f>
        <v>GABRIELLA IMAI/ARQUIVO DA EDITORA</v>
      </c>
      <c r="Z347" s="12"/>
      <c r="AA347" s="12" t="str">
        <f>Tabela2[[#This Row],[ILUSTRADOR CRIAÇÃO]]</f>
        <v>GABRIELLA IMAI/ARQUIVO DA EDITORA</v>
      </c>
      <c r="AB347" s="11">
        <v>8</v>
      </c>
      <c r="AC347" s="9" t="s">
        <v>903</v>
      </c>
      <c r="AD347" s="9" t="s">
        <v>11</v>
      </c>
      <c r="AE347" s="4" t="str">
        <f t="shared" si="5"/>
        <v>EF1 E002 Port</v>
      </c>
    </row>
    <row r="348" spans="1:31" s="7" customFormat="1" ht="30" x14ac:dyDescent="0.25">
      <c r="A348" s="12" t="s">
        <v>917</v>
      </c>
      <c r="B348" s="9" t="s">
        <v>40</v>
      </c>
      <c r="C348" s="9" t="s">
        <v>1</v>
      </c>
      <c r="D348" s="9" t="s">
        <v>25</v>
      </c>
      <c r="E348" s="11">
        <v>281</v>
      </c>
      <c r="F348" s="11">
        <v>1</v>
      </c>
      <c r="G348" s="11"/>
      <c r="H348" s="11" t="s">
        <v>900</v>
      </c>
      <c r="I348" s="12" t="s">
        <v>9</v>
      </c>
      <c r="J348" s="12"/>
      <c r="K348" s="11"/>
      <c r="L348" s="11"/>
      <c r="M348" s="12"/>
      <c r="N348" s="12"/>
      <c r="O348" s="32" t="s">
        <v>918</v>
      </c>
      <c r="P348" s="9"/>
      <c r="Q348" s="9"/>
      <c r="R348" s="11">
        <v>51</v>
      </c>
      <c r="S348" s="13">
        <v>45885</v>
      </c>
      <c r="T348" s="13">
        <v>45887</v>
      </c>
      <c r="U348" s="13">
        <v>45889</v>
      </c>
      <c r="V348" s="13">
        <v>45890</v>
      </c>
      <c r="W348" s="13">
        <v>45894</v>
      </c>
      <c r="X348" s="11" t="s">
        <v>163</v>
      </c>
      <c r="Y348" s="4" t="str">
        <f>IF(Tabela2[[#This Row],[SIGLA]]="","",VLOOKUP(Tabela2[[#This Row],[SIGLA]],Tabela1[[#All],[Sigla Arte]:[Crédito]],2,0))</f>
        <v>FERNANDA MONTEIRO/ARQUIVO DA EDITORA</v>
      </c>
      <c r="Z348" s="12"/>
      <c r="AA348" s="12" t="str">
        <f>Tabela2[[#This Row],[ILUSTRADOR CRIAÇÃO]]</f>
        <v>FERNANDA MONTEIRO/ARQUIVO DA EDITORA</v>
      </c>
      <c r="AB348" s="11">
        <v>2</v>
      </c>
      <c r="AC348" s="9" t="s">
        <v>919</v>
      </c>
      <c r="AD348" s="9" t="s">
        <v>22</v>
      </c>
      <c r="AE348" s="4" t="str">
        <f t="shared" si="5"/>
        <v>EF1 E002 Port</v>
      </c>
    </row>
    <row r="349" spans="1:31" s="7" customFormat="1" ht="90" x14ac:dyDescent="0.25">
      <c r="A349" s="12" t="s">
        <v>920</v>
      </c>
      <c r="B349" s="9" t="s">
        <v>40</v>
      </c>
      <c r="C349" s="9" t="s">
        <v>1</v>
      </c>
      <c r="D349" s="9" t="s">
        <v>25</v>
      </c>
      <c r="E349" s="11">
        <v>283</v>
      </c>
      <c r="F349" s="11">
        <v>1</v>
      </c>
      <c r="G349" s="11"/>
      <c r="H349" s="11" t="s">
        <v>900</v>
      </c>
      <c r="I349" s="12" t="s">
        <v>9</v>
      </c>
      <c r="J349" s="12"/>
      <c r="K349" s="11"/>
      <c r="L349" s="11"/>
      <c r="M349" s="12"/>
      <c r="N349" s="12"/>
      <c r="O349" s="32" t="s">
        <v>921</v>
      </c>
      <c r="P349" s="9"/>
      <c r="Q349" s="9"/>
      <c r="R349" s="11">
        <v>51</v>
      </c>
      <c r="S349" s="13">
        <v>45885</v>
      </c>
      <c r="T349" s="13">
        <v>45887</v>
      </c>
      <c r="U349" s="13">
        <v>45890</v>
      </c>
      <c r="V349" s="13">
        <v>45891</v>
      </c>
      <c r="W349" s="13">
        <v>45892</v>
      </c>
      <c r="X349" s="11" t="s">
        <v>639</v>
      </c>
      <c r="Y349" s="4" t="str">
        <f>IF(Tabela2[[#This Row],[SIGLA]]="","",VLOOKUP(Tabela2[[#This Row],[SIGLA]],Tabela1[[#All],[Sigla Arte]:[Crédito]],2,0))</f>
        <v>JULIANA DACOSTA/ARQUIVO DA EDITORA</v>
      </c>
      <c r="Z349" s="12"/>
      <c r="AA349" s="12" t="str">
        <f>Tabela2[[#This Row],[ILUSTRADOR CRIAÇÃO]]</f>
        <v>JULIANA DACOSTA/ARQUIVO DA EDITORA</v>
      </c>
      <c r="AB349" s="11">
        <v>3</v>
      </c>
      <c r="AC349" s="9" t="s">
        <v>919</v>
      </c>
      <c r="AD349" s="9" t="s">
        <v>22</v>
      </c>
      <c r="AE349" s="4" t="str">
        <f t="shared" si="5"/>
        <v>EF1 E002 Port</v>
      </c>
    </row>
    <row r="350" spans="1:31" s="7" customFormat="1" ht="34.5" customHeight="1" x14ac:dyDescent="0.25">
      <c r="A350" s="12" t="s">
        <v>922</v>
      </c>
      <c r="B350" s="9" t="s">
        <v>40</v>
      </c>
      <c r="C350" s="9" t="s">
        <v>1</v>
      </c>
      <c r="D350" s="9" t="s">
        <v>25</v>
      </c>
      <c r="E350" s="11">
        <v>190</v>
      </c>
      <c r="F350" s="11">
        <v>1</v>
      </c>
      <c r="G350" s="11">
        <v>6</v>
      </c>
      <c r="H350" s="11"/>
      <c r="I350" s="12" t="s">
        <v>9</v>
      </c>
      <c r="J350" s="12"/>
      <c r="K350" s="11"/>
      <c r="L350" s="11"/>
      <c r="M350" s="12"/>
      <c r="N350" s="12"/>
      <c r="O350" s="32" t="s">
        <v>923</v>
      </c>
      <c r="P350" s="9"/>
      <c r="Q350" s="9"/>
      <c r="R350" s="11">
        <v>52</v>
      </c>
      <c r="S350" s="13">
        <v>45887</v>
      </c>
      <c r="T350" s="13">
        <v>45887</v>
      </c>
      <c r="U350" s="13"/>
      <c r="V350" s="13"/>
      <c r="W350" s="13">
        <v>45887</v>
      </c>
      <c r="X350" s="11" t="s">
        <v>924</v>
      </c>
      <c r="Y350" s="4" t="str">
        <f>IF(Tabela2[[#This Row],[SIGLA]]="","",VLOOKUP(Tabela2[[#This Row],[SIGLA]],Tabela1[[#All],[Sigla Arte]:[Crédito]],2,0))</f>
        <v>FELIPE GRIGOLI/ARQUIVO DA EDITORA</v>
      </c>
      <c r="Z350" s="12"/>
      <c r="AA350" s="12" t="str">
        <f>Tabela2[[#This Row],[ILUSTRADOR CRIAÇÃO]]</f>
        <v>FELIPE GRIGOLI/ARQUIVO DA EDITORA</v>
      </c>
      <c r="AB350" s="11">
        <v>5</v>
      </c>
      <c r="AC350" s="9" t="s">
        <v>729</v>
      </c>
      <c r="AD350" s="9" t="s">
        <v>11</v>
      </c>
      <c r="AE350" s="4" t="str">
        <f t="shared" si="5"/>
        <v>EF1 E002 Port</v>
      </c>
    </row>
    <row r="351" spans="1:31" s="7" customFormat="1" ht="51.75" customHeight="1" x14ac:dyDescent="0.25">
      <c r="A351" s="12" t="s">
        <v>925</v>
      </c>
      <c r="B351" s="9" t="s">
        <v>37</v>
      </c>
      <c r="C351" s="9" t="s">
        <v>1</v>
      </c>
      <c r="D351" s="9" t="s">
        <v>25</v>
      </c>
      <c r="E351" s="11">
        <v>247</v>
      </c>
      <c r="F351" s="11">
        <v>1</v>
      </c>
      <c r="G351" s="11">
        <v>8</v>
      </c>
      <c r="H351" s="11"/>
      <c r="I351" s="12" t="s">
        <v>9</v>
      </c>
      <c r="J351" s="12"/>
      <c r="K351" s="11"/>
      <c r="L351" s="11"/>
      <c r="M351" s="12"/>
      <c r="N351" s="12"/>
      <c r="O351" s="32" t="s">
        <v>926</v>
      </c>
      <c r="P351" s="9"/>
      <c r="Q351" s="9"/>
      <c r="R351" s="11">
        <v>53</v>
      </c>
      <c r="S351" s="13">
        <v>45887</v>
      </c>
      <c r="T351" s="13">
        <v>45887</v>
      </c>
      <c r="U351" s="13">
        <v>45890</v>
      </c>
      <c r="V351" s="13">
        <v>45891</v>
      </c>
      <c r="W351" s="13">
        <v>45894</v>
      </c>
      <c r="X351" s="11" t="s">
        <v>503</v>
      </c>
      <c r="Y351" s="4" t="str">
        <f>IF(Tabela2[[#This Row],[SIGLA]]="","",VLOOKUP(Tabela2[[#This Row],[SIGLA]],Tabela1[[#All],[Sigla Arte]:[Crédito]],2,0))</f>
        <v>LISLLEY GOMES FEIGE/ARQUIVO DA EDITORA</v>
      </c>
      <c r="Z351" s="12"/>
      <c r="AA351" s="12" t="str">
        <f>Tabela2[[#This Row],[ILUSTRADOR CRIAÇÃO]]</f>
        <v>LISLLEY GOMES FEIGE/ARQUIVO DA EDITORA</v>
      </c>
      <c r="AB351" s="11">
        <v>5</v>
      </c>
      <c r="AC351" s="9" t="s">
        <v>927</v>
      </c>
      <c r="AD351" s="9" t="s">
        <v>22</v>
      </c>
      <c r="AE351" s="4" t="str">
        <f t="shared" si="5"/>
        <v>EF1 E002 Port</v>
      </c>
    </row>
    <row r="352" spans="1:31" s="7" customFormat="1" ht="79.5" customHeight="1" x14ac:dyDescent="0.25">
      <c r="A352" s="12" t="s">
        <v>928</v>
      </c>
      <c r="B352" s="9" t="s">
        <v>28</v>
      </c>
      <c r="C352" s="9" t="s">
        <v>1</v>
      </c>
      <c r="D352" s="9" t="s">
        <v>25</v>
      </c>
      <c r="E352" s="11">
        <v>259</v>
      </c>
      <c r="F352" s="11">
        <v>1</v>
      </c>
      <c r="G352" s="11">
        <v>8</v>
      </c>
      <c r="H352" s="11"/>
      <c r="I352" s="12" t="s">
        <v>9</v>
      </c>
      <c r="J352" s="12"/>
      <c r="K352" s="11"/>
      <c r="L352" s="11"/>
      <c r="M352" s="12"/>
      <c r="N352" s="12"/>
      <c r="O352" s="32" t="s">
        <v>929</v>
      </c>
      <c r="P352" s="9"/>
      <c r="Q352" s="9"/>
      <c r="R352" s="11">
        <v>53</v>
      </c>
      <c r="S352" s="13">
        <v>45887</v>
      </c>
      <c r="T352" s="13">
        <v>45887</v>
      </c>
      <c r="U352" s="13">
        <v>45890</v>
      </c>
      <c r="V352" s="13">
        <v>45891</v>
      </c>
      <c r="W352" s="13">
        <v>45894</v>
      </c>
      <c r="X352" s="11" t="s">
        <v>503</v>
      </c>
      <c r="Y352" s="4" t="str">
        <f>IF(Tabela2[[#This Row],[SIGLA]]="","",VLOOKUP(Tabela2[[#This Row],[SIGLA]],Tabela1[[#All],[Sigla Arte]:[Crédito]],2,0))</f>
        <v>LISLLEY GOMES FEIGE/ARQUIVO DA EDITORA</v>
      </c>
      <c r="Z352" s="12"/>
      <c r="AA352" s="12" t="str">
        <f>Tabela2[[#This Row],[ILUSTRADOR CRIAÇÃO]]</f>
        <v>LISLLEY GOMES FEIGE/ARQUIVO DA EDITORA</v>
      </c>
      <c r="AB352" s="11">
        <v>5</v>
      </c>
      <c r="AC352" s="9" t="s">
        <v>927</v>
      </c>
      <c r="AD352" s="9" t="s">
        <v>22</v>
      </c>
      <c r="AE352" s="4" t="str">
        <f t="shared" si="5"/>
        <v>EF1 E002 Port</v>
      </c>
    </row>
    <row r="353" spans="1:31" s="7" customFormat="1" ht="123" customHeight="1" x14ac:dyDescent="0.25">
      <c r="A353" s="12" t="s">
        <v>930</v>
      </c>
      <c r="B353" s="9" t="s">
        <v>40</v>
      </c>
      <c r="C353" s="9" t="s">
        <v>1</v>
      </c>
      <c r="D353" s="9" t="s">
        <v>25</v>
      </c>
      <c r="E353" s="11">
        <v>275</v>
      </c>
      <c r="F353" s="11">
        <v>3</v>
      </c>
      <c r="G353" s="11">
        <v>8</v>
      </c>
      <c r="H353" s="11"/>
      <c r="I353" s="12" t="s">
        <v>9</v>
      </c>
      <c r="J353" s="12"/>
      <c r="K353" s="11"/>
      <c r="L353" s="11"/>
      <c r="M353" s="12"/>
      <c r="N353" s="12"/>
      <c r="O353" s="32" t="s">
        <v>931</v>
      </c>
      <c r="P353" s="9"/>
      <c r="Q353" s="9"/>
      <c r="R353" s="11">
        <v>54</v>
      </c>
      <c r="S353" s="13">
        <v>45887</v>
      </c>
      <c r="T353" s="13">
        <v>45889</v>
      </c>
      <c r="U353" s="13">
        <v>45891</v>
      </c>
      <c r="V353" s="13">
        <v>45894</v>
      </c>
      <c r="W353" s="13">
        <v>45895</v>
      </c>
      <c r="X353" s="11" t="s">
        <v>645</v>
      </c>
      <c r="Y353" s="4" t="str">
        <f>IF(Tabela2[[#This Row],[SIGLA]]="","",VLOOKUP(Tabela2[[#This Row],[SIGLA]],Tabela1[[#All],[Sigla Arte]:[Crédito]],2,0))</f>
        <v>GABRIELA MELLO/MILENA GODOY/ARQUIVO DA EDITORA</v>
      </c>
      <c r="Z353" s="12"/>
      <c r="AA353" s="12" t="str">
        <f>Tabela2[[#This Row],[ILUSTRADOR CRIAÇÃO]]</f>
        <v>GABRIELA MELLO/MILENA GODOY/ARQUIVO DA EDITORA</v>
      </c>
      <c r="AB353" s="11">
        <v>4</v>
      </c>
      <c r="AC353" s="9" t="s">
        <v>932</v>
      </c>
      <c r="AD353" s="9" t="s">
        <v>22</v>
      </c>
      <c r="AE353" s="4" t="str">
        <f t="shared" si="5"/>
        <v>EF1 E002 Port</v>
      </c>
    </row>
    <row r="354" spans="1:31" s="7" customFormat="1" ht="60" x14ac:dyDescent="0.25">
      <c r="A354" s="12" t="s">
        <v>933</v>
      </c>
      <c r="B354" s="9" t="s">
        <v>40</v>
      </c>
      <c r="C354" s="9" t="s">
        <v>1</v>
      </c>
      <c r="D354" s="9" t="s">
        <v>25</v>
      </c>
      <c r="E354" s="11">
        <v>283</v>
      </c>
      <c r="F354" s="11">
        <v>3</v>
      </c>
      <c r="G354" s="11">
        <v>8</v>
      </c>
      <c r="H354" s="11"/>
      <c r="I354" s="12" t="s">
        <v>9</v>
      </c>
      <c r="J354" s="12"/>
      <c r="K354" s="11"/>
      <c r="L354" s="11"/>
      <c r="M354" s="12"/>
      <c r="N354" s="12"/>
      <c r="O354" s="32" t="s">
        <v>934</v>
      </c>
      <c r="P354" s="9"/>
      <c r="Q354" s="9"/>
      <c r="R354" s="11">
        <v>54</v>
      </c>
      <c r="S354" s="13">
        <v>45887</v>
      </c>
      <c r="T354" s="13">
        <v>45889</v>
      </c>
      <c r="U354" s="13">
        <v>45891</v>
      </c>
      <c r="V354" s="13">
        <v>45894</v>
      </c>
      <c r="W354" s="13">
        <v>45895</v>
      </c>
      <c r="X354" s="11" t="s">
        <v>645</v>
      </c>
      <c r="Y354" s="4" t="str">
        <f>IF(Tabela2[[#This Row],[SIGLA]]="","",VLOOKUP(Tabela2[[#This Row],[SIGLA]],Tabela1[[#All],[Sigla Arte]:[Crédito]],2,0))</f>
        <v>GABRIELA MELLO/MILENA GODOY/ARQUIVO DA EDITORA</v>
      </c>
      <c r="Z354" s="12"/>
      <c r="AA354" s="12" t="str">
        <f>Tabela2[[#This Row],[ILUSTRADOR CRIAÇÃO]]</f>
        <v>GABRIELA MELLO/MILENA GODOY/ARQUIVO DA EDITORA</v>
      </c>
      <c r="AB354" s="11">
        <v>4</v>
      </c>
      <c r="AC354" s="9" t="s">
        <v>932</v>
      </c>
      <c r="AD354" s="9" t="s">
        <v>22</v>
      </c>
      <c r="AE354" s="4" t="str">
        <f t="shared" si="5"/>
        <v>EF1 E002 Port</v>
      </c>
    </row>
    <row r="355" spans="1:31" s="7" customFormat="1" ht="150" x14ac:dyDescent="0.25">
      <c r="A355" s="12" t="s">
        <v>935</v>
      </c>
      <c r="B355" s="9" t="s">
        <v>40</v>
      </c>
      <c r="C355" s="9" t="s">
        <v>1</v>
      </c>
      <c r="D355" s="9" t="s">
        <v>25</v>
      </c>
      <c r="E355" s="11">
        <v>284</v>
      </c>
      <c r="F355" s="11">
        <v>3</v>
      </c>
      <c r="G355" s="11">
        <v>8</v>
      </c>
      <c r="H355" s="11"/>
      <c r="I355" s="12" t="s">
        <v>9</v>
      </c>
      <c r="J355" s="12"/>
      <c r="K355" s="11"/>
      <c r="L355" s="11"/>
      <c r="M355" s="12"/>
      <c r="N355" s="12"/>
      <c r="O355" s="32" t="s">
        <v>936</v>
      </c>
      <c r="P355" s="9"/>
      <c r="Q355" s="9"/>
      <c r="R355" s="11">
        <v>54</v>
      </c>
      <c r="S355" s="13">
        <v>45887</v>
      </c>
      <c r="T355" s="13">
        <v>45889</v>
      </c>
      <c r="U355" s="13">
        <v>45891</v>
      </c>
      <c r="V355" s="13">
        <v>45894</v>
      </c>
      <c r="W355" s="13">
        <v>45895</v>
      </c>
      <c r="X355" s="11" t="s">
        <v>645</v>
      </c>
      <c r="Y355" s="4" t="str">
        <f>IF(Tabela2[[#This Row],[SIGLA]]="","",VLOOKUP(Tabela2[[#This Row],[SIGLA]],Tabela1[[#All],[Sigla Arte]:[Crédito]],2,0))</f>
        <v>GABRIELA MELLO/MILENA GODOY/ARQUIVO DA EDITORA</v>
      </c>
      <c r="Z355" s="12"/>
      <c r="AA355" s="12" t="str">
        <f>Tabela2[[#This Row],[ILUSTRADOR CRIAÇÃO]]</f>
        <v>GABRIELA MELLO/MILENA GODOY/ARQUIVO DA EDITORA</v>
      </c>
      <c r="AB355" s="11">
        <v>6</v>
      </c>
      <c r="AC355" s="9" t="s">
        <v>932</v>
      </c>
      <c r="AD355" s="9" t="s">
        <v>22</v>
      </c>
      <c r="AE355" s="4" t="str">
        <f t="shared" si="5"/>
        <v>EF1 E002 Port</v>
      </c>
    </row>
    <row r="356" spans="1:31" s="7" customFormat="1" ht="165" x14ac:dyDescent="0.25">
      <c r="A356" s="12" t="s">
        <v>937</v>
      </c>
      <c r="B356" s="9" t="s">
        <v>40</v>
      </c>
      <c r="C356" s="9" t="s">
        <v>1</v>
      </c>
      <c r="D356" s="9" t="s">
        <v>25</v>
      </c>
      <c r="E356" s="11">
        <v>115</v>
      </c>
      <c r="F356" s="11">
        <v>4</v>
      </c>
      <c r="G356" s="11">
        <v>4</v>
      </c>
      <c r="H356" s="11"/>
      <c r="I356" s="12" t="s">
        <v>9</v>
      </c>
      <c r="J356" s="12"/>
      <c r="K356" s="11"/>
      <c r="L356" s="11"/>
      <c r="M356" s="12"/>
      <c r="N356" s="12"/>
      <c r="O356" s="32" t="s">
        <v>938</v>
      </c>
      <c r="P356" s="9"/>
      <c r="Q356" s="9"/>
      <c r="R356" s="11">
        <v>55</v>
      </c>
      <c r="S356" s="13">
        <v>45888</v>
      </c>
      <c r="T356" s="13">
        <v>45888</v>
      </c>
      <c r="U356" s="13">
        <v>45889</v>
      </c>
      <c r="V356" s="13">
        <v>45890</v>
      </c>
      <c r="W356" s="13">
        <v>45895</v>
      </c>
      <c r="X356" s="11" t="s">
        <v>779</v>
      </c>
      <c r="Y356" s="4" t="str">
        <f>IF(Tabela2[[#This Row],[SIGLA]]="","",VLOOKUP(Tabela2[[#This Row],[SIGLA]],Tabela1[[#All],[Sigla Arte]:[Crédito]],2,0))</f>
        <v>DANIEL GUSTAVO SILVA GONÇALVES/ARQUIVO DA EDITORA</v>
      </c>
      <c r="Z356" s="12"/>
      <c r="AA356" s="12" t="str">
        <f>Tabela2[[#This Row],[ILUSTRADOR CRIAÇÃO]]</f>
        <v>DANIEL GUSTAVO SILVA GONÇALVES/ARQUIVO DA EDITORA</v>
      </c>
      <c r="AB356" s="11">
        <v>3</v>
      </c>
      <c r="AC356" s="9" t="s">
        <v>919</v>
      </c>
      <c r="AD356" s="9" t="s">
        <v>22</v>
      </c>
      <c r="AE356" s="4" t="str">
        <f t="shared" si="5"/>
        <v>EF1 E002 Port</v>
      </c>
    </row>
    <row r="357" spans="1:31" s="7" customFormat="1" ht="30" x14ac:dyDescent="0.25">
      <c r="A357" s="12" t="s">
        <v>939</v>
      </c>
      <c r="B357" s="9" t="s">
        <v>40</v>
      </c>
      <c r="C357" s="9" t="s">
        <v>1</v>
      </c>
      <c r="D357" s="9" t="s">
        <v>25</v>
      </c>
      <c r="E357" s="11">
        <v>117</v>
      </c>
      <c r="F357" s="11">
        <v>4</v>
      </c>
      <c r="G357" s="11">
        <v>4</v>
      </c>
      <c r="H357" s="11"/>
      <c r="I357" s="12" t="s">
        <v>9</v>
      </c>
      <c r="J357" s="12"/>
      <c r="K357" s="11"/>
      <c r="L357" s="11"/>
      <c r="M357" s="12"/>
      <c r="N357" s="12"/>
      <c r="O357" s="32" t="s">
        <v>940</v>
      </c>
      <c r="P357" s="9"/>
      <c r="Q357" s="9"/>
      <c r="R357" s="11">
        <v>55</v>
      </c>
      <c r="S357" s="13">
        <v>45888</v>
      </c>
      <c r="T357" s="13">
        <v>45888</v>
      </c>
      <c r="U357" s="13">
        <v>45889</v>
      </c>
      <c r="V357" s="13">
        <v>45890</v>
      </c>
      <c r="W357" s="13">
        <v>45895</v>
      </c>
      <c r="X357" s="11" t="s">
        <v>779</v>
      </c>
      <c r="Y357" s="4" t="str">
        <f>IF(Tabela2[[#This Row],[SIGLA]]="","",VLOOKUP(Tabela2[[#This Row],[SIGLA]],Tabela1[[#All],[Sigla Arte]:[Crédito]],2,0))</f>
        <v>DANIEL GUSTAVO SILVA GONÇALVES/ARQUIVO DA EDITORA</v>
      </c>
      <c r="Z357" s="12"/>
      <c r="AA357" s="12" t="str">
        <f>Tabela2[[#This Row],[ILUSTRADOR CRIAÇÃO]]</f>
        <v>DANIEL GUSTAVO SILVA GONÇALVES/ARQUIVO DA EDITORA</v>
      </c>
      <c r="AB357" s="11">
        <v>13</v>
      </c>
      <c r="AC357" s="9" t="s">
        <v>919</v>
      </c>
      <c r="AD357" s="9" t="s">
        <v>22</v>
      </c>
      <c r="AE357" s="4" t="str">
        <f t="shared" si="5"/>
        <v>EF1 E002 Port</v>
      </c>
    </row>
    <row r="358" spans="1:31" s="7" customFormat="1" x14ac:dyDescent="0.25">
      <c r="A358" s="12" t="s">
        <v>941</v>
      </c>
      <c r="B358" s="9" t="s">
        <v>40</v>
      </c>
      <c r="C358" s="9" t="s">
        <v>1</v>
      </c>
      <c r="D358" s="9" t="s">
        <v>25</v>
      </c>
      <c r="E358" s="11">
        <v>29</v>
      </c>
      <c r="F358" s="11">
        <v>5</v>
      </c>
      <c r="G358" s="11">
        <v>1</v>
      </c>
      <c r="H358" s="11"/>
      <c r="I358" s="12" t="s">
        <v>9</v>
      </c>
      <c r="J358" s="12"/>
      <c r="K358" s="11"/>
      <c r="L358" s="11"/>
      <c r="M358" s="12"/>
      <c r="N358" s="12"/>
      <c r="O358" s="32" t="s">
        <v>942</v>
      </c>
      <c r="P358" s="9"/>
      <c r="Q358" s="9"/>
      <c r="R358" s="11">
        <v>56</v>
      </c>
      <c r="S358" s="13">
        <v>45888</v>
      </c>
      <c r="T358" s="13">
        <v>45888</v>
      </c>
      <c r="U358" s="13"/>
      <c r="V358" s="13"/>
      <c r="W358" s="13">
        <v>45890</v>
      </c>
      <c r="X358" s="11" t="s">
        <v>503</v>
      </c>
      <c r="Y358" s="4" t="str">
        <f>IF(Tabela2[[#This Row],[SIGLA]]="","",VLOOKUP(Tabela2[[#This Row],[SIGLA]],Tabela1[[#All],[Sigla Arte]:[Crédito]],2,0))</f>
        <v>LISLLEY GOMES FEIGE/ARQUIVO DA EDITORA</v>
      </c>
      <c r="Z358" s="12" t="s">
        <v>308</v>
      </c>
      <c r="AA358" s="12" t="str">
        <f>Tabela2[[#This Row],[ILUSTRADOR CRIAÇÃO]]</f>
        <v>LISLLEY GOMES FEIGE/ARQUIVO DA EDITORA</v>
      </c>
      <c r="AB358" s="11">
        <v>13</v>
      </c>
      <c r="AC358" s="9" t="s">
        <v>943</v>
      </c>
      <c r="AD358" s="9" t="s">
        <v>11</v>
      </c>
      <c r="AE358" s="4" t="str">
        <f t="shared" si="5"/>
        <v>EF1 E002 Port</v>
      </c>
    </row>
    <row r="359" spans="1:31" s="7" customFormat="1" x14ac:dyDescent="0.25">
      <c r="A359" s="12" t="s">
        <v>944</v>
      </c>
      <c r="B359" s="9" t="s">
        <v>40</v>
      </c>
      <c r="C359" s="9" t="s">
        <v>1</v>
      </c>
      <c r="D359" s="9" t="s">
        <v>25</v>
      </c>
      <c r="E359" s="11">
        <v>30</v>
      </c>
      <c r="F359" s="11">
        <v>5</v>
      </c>
      <c r="G359" s="11">
        <v>1</v>
      </c>
      <c r="H359" s="11"/>
      <c r="I359" s="12" t="s">
        <v>9</v>
      </c>
      <c r="J359" s="12"/>
      <c r="K359" s="11"/>
      <c r="L359" s="11"/>
      <c r="M359" s="12"/>
      <c r="N359" s="12"/>
      <c r="O359" s="32" t="s">
        <v>945</v>
      </c>
      <c r="P359" s="9"/>
      <c r="Q359" s="9"/>
      <c r="R359" s="11">
        <v>56</v>
      </c>
      <c r="S359" s="13">
        <v>45888</v>
      </c>
      <c r="T359" s="13">
        <v>45888</v>
      </c>
      <c r="U359" s="13"/>
      <c r="V359" s="13"/>
      <c r="W359" s="13">
        <v>45890</v>
      </c>
      <c r="X359" s="11" t="s">
        <v>503</v>
      </c>
      <c r="Y359" s="4" t="str">
        <f>IF(Tabela2[[#This Row],[SIGLA]]="","",VLOOKUP(Tabela2[[#This Row],[SIGLA]],Tabela1[[#All],[Sigla Arte]:[Crédito]],2,0))</f>
        <v>LISLLEY GOMES FEIGE/ARQUIVO DA EDITORA</v>
      </c>
      <c r="Z359" s="12" t="s">
        <v>308</v>
      </c>
      <c r="AA359" s="12" t="str">
        <f>Tabela2[[#This Row],[ILUSTRADOR CRIAÇÃO]]</f>
        <v>LISLLEY GOMES FEIGE/ARQUIVO DA EDITORA</v>
      </c>
      <c r="AB359" s="11">
        <v>13</v>
      </c>
      <c r="AC359" s="9" t="s">
        <v>943</v>
      </c>
      <c r="AD359" s="9" t="s">
        <v>11</v>
      </c>
      <c r="AE359" s="4" t="str">
        <f t="shared" si="5"/>
        <v>EF1 E002 Port</v>
      </c>
    </row>
    <row r="360" spans="1:31" s="7" customFormat="1" ht="30" x14ac:dyDescent="0.25">
      <c r="A360" s="12" t="s">
        <v>946</v>
      </c>
      <c r="B360" s="9" t="s">
        <v>37</v>
      </c>
      <c r="C360" s="9" t="s">
        <v>1</v>
      </c>
      <c r="D360" s="9" t="s">
        <v>25</v>
      </c>
      <c r="E360" s="11">
        <v>54</v>
      </c>
      <c r="F360" s="11">
        <v>5</v>
      </c>
      <c r="G360" s="11">
        <v>2</v>
      </c>
      <c r="H360" s="11"/>
      <c r="I360" s="12" t="s">
        <v>9</v>
      </c>
      <c r="J360" s="12"/>
      <c r="K360" s="11"/>
      <c r="L360" s="11"/>
      <c r="M360" s="12"/>
      <c r="N360" s="12"/>
      <c r="O360" s="32" t="s">
        <v>947</v>
      </c>
      <c r="P360" s="9"/>
      <c r="Q360" s="9"/>
      <c r="R360" s="11">
        <v>57</v>
      </c>
      <c r="S360" s="13">
        <v>45889</v>
      </c>
      <c r="T360" s="13">
        <v>45890</v>
      </c>
      <c r="U360" s="13"/>
      <c r="V360" s="13"/>
      <c r="W360" s="13">
        <v>45890</v>
      </c>
      <c r="X360" s="11" t="s">
        <v>159</v>
      </c>
      <c r="Y360" s="4" t="str">
        <f>IF(Tabela2[[#This Row],[SIGLA]]="","",VLOOKUP(Tabela2[[#This Row],[SIGLA]],Tabela1[[#All],[Sigla Arte]:[Crédito]],2,0))</f>
        <v>GUSTAVO RAMOS/ARQUIVO DA EDITORA</v>
      </c>
      <c r="Z360" s="12" t="s">
        <v>948</v>
      </c>
      <c r="AA360" s="12" t="str">
        <f>Tabela2[[#This Row],[ILUSTRADOR CRIAÇÃO]]</f>
        <v>GUSTAVO RAMOS/ARQUIVO DA EDITORA</v>
      </c>
      <c r="AB360" s="11">
        <v>13</v>
      </c>
      <c r="AC360" s="9" t="s">
        <v>949</v>
      </c>
      <c r="AD360" s="9" t="s">
        <v>11</v>
      </c>
      <c r="AE360" s="4" t="str">
        <f t="shared" si="5"/>
        <v>EF1 E002 Port</v>
      </c>
    </row>
    <row r="361" spans="1:31" s="7" customFormat="1" x14ac:dyDescent="0.25">
      <c r="A361" s="12" t="s">
        <v>950</v>
      </c>
      <c r="B361" s="9" t="s">
        <v>37</v>
      </c>
      <c r="C361" s="9" t="s">
        <v>1</v>
      </c>
      <c r="D361" s="9" t="s">
        <v>25</v>
      </c>
      <c r="E361" s="11">
        <v>57</v>
      </c>
      <c r="F361" s="11">
        <v>5</v>
      </c>
      <c r="G361" s="11">
        <v>2</v>
      </c>
      <c r="H361" s="11"/>
      <c r="I361" s="12" t="s">
        <v>9</v>
      </c>
      <c r="J361" s="12"/>
      <c r="K361" s="11"/>
      <c r="L361" s="11"/>
      <c r="M361" s="12"/>
      <c r="N361" s="12"/>
      <c r="O361" s="32" t="s">
        <v>951</v>
      </c>
      <c r="P361" s="9"/>
      <c r="Q361" s="9"/>
      <c r="R361" s="11">
        <v>57</v>
      </c>
      <c r="S361" s="13">
        <v>45889</v>
      </c>
      <c r="T361" s="13">
        <v>45890</v>
      </c>
      <c r="U361" s="13"/>
      <c r="V361" s="13"/>
      <c r="W361" s="13">
        <v>45890</v>
      </c>
      <c r="X361" s="11" t="s">
        <v>159</v>
      </c>
      <c r="Y361" s="4" t="str">
        <f>IF(Tabela2[[#This Row],[SIGLA]]="","",VLOOKUP(Tabela2[[#This Row],[SIGLA]],Tabela1[[#All],[Sigla Arte]:[Crédito]],2,0))</f>
        <v>GUSTAVO RAMOS/ARQUIVO DA EDITORA</v>
      </c>
      <c r="Z361" s="12" t="s">
        <v>948</v>
      </c>
      <c r="AA361" s="12" t="str">
        <f>Tabela2[[#This Row],[ILUSTRADOR CRIAÇÃO]]</f>
        <v>GUSTAVO RAMOS/ARQUIVO DA EDITORA</v>
      </c>
      <c r="AB361" s="11">
        <v>13</v>
      </c>
      <c r="AC361" s="9" t="s">
        <v>949</v>
      </c>
      <c r="AD361" s="9" t="s">
        <v>11</v>
      </c>
      <c r="AE361" s="4" t="str">
        <f t="shared" si="5"/>
        <v>EF1 E002 Port</v>
      </c>
    </row>
    <row r="362" spans="1:31" s="7" customFormat="1" ht="90" x14ac:dyDescent="0.25">
      <c r="A362" s="12" t="s">
        <v>952</v>
      </c>
      <c r="B362" s="9" t="s">
        <v>40</v>
      </c>
      <c r="C362" s="9" t="s">
        <v>24</v>
      </c>
      <c r="D362" s="9" t="s">
        <v>25</v>
      </c>
      <c r="E362" s="11">
        <v>270</v>
      </c>
      <c r="F362" s="11">
        <v>4</v>
      </c>
      <c r="G362" s="11">
        <v>8</v>
      </c>
      <c r="H362" s="11"/>
      <c r="I362" s="12" t="s">
        <v>9</v>
      </c>
      <c r="J362" s="12"/>
      <c r="K362" s="11"/>
      <c r="L362" s="11"/>
      <c r="M362" s="12"/>
      <c r="N362" s="12"/>
      <c r="O362" s="32" t="s">
        <v>953</v>
      </c>
      <c r="P362" s="9"/>
      <c r="Q362" s="9"/>
      <c r="R362" s="11">
        <v>58</v>
      </c>
      <c r="S362" s="13">
        <v>45891</v>
      </c>
      <c r="T362" s="13">
        <v>45891</v>
      </c>
      <c r="U362" s="13"/>
      <c r="V362" s="13"/>
      <c r="W362" s="13">
        <v>45895</v>
      </c>
      <c r="X362" s="11" t="s">
        <v>902</v>
      </c>
      <c r="Y362" s="4" t="str">
        <f>IF(Tabela2[[#This Row],[SIGLA]]="","",VLOOKUP(Tabela2[[#This Row],[SIGLA]],Tabela1[[#All],[Sigla Arte]:[Crédito]],2,0))</f>
        <v>GABRIELLA IMAI/ARQUIVO DA EDITORA</v>
      </c>
      <c r="Z362" s="12"/>
      <c r="AA362" s="12" t="str">
        <f>Tabela2[[#This Row],[ILUSTRADOR CRIAÇÃO]]</f>
        <v>GABRIELLA IMAI/ARQUIVO DA EDITORA</v>
      </c>
      <c r="AB362" s="11">
        <v>11</v>
      </c>
      <c r="AC362" s="9" t="s">
        <v>811</v>
      </c>
      <c r="AD362" s="9" t="s">
        <v>11</v>
      </c>
      <c r="AE362" s="4" t="str">
        <f t="shared" si="5"/>
        <v>EF1 E002 Port</v>
      </c>
    </row>
    <row r="363" spans="1:31" s="7" customFormat="1" x14ac:dyDescent="0.25">
      <c r="A363" s="12" t="s">
        <v>954</v>
      </c>
      <c r="B363" s="9" t="s">
        <v>37</v>
      </c>
      <c r="C363" s="9" t="s">
        <v>1</v>
      </c>
      <c r="D363" s="9" t="s">
        <v>25</v>
      </c>
      <c r="E363" s="11">
        <v>285</v>
      </c>
      <c r="F363" s="11">
        <v>2</v>
      </c>
      <c r="G363" s="11"/>
      <c r="H363" s="11" t="s">
        <v>900</v>
      </c>
      <c r="I363" s="12" t="s">
        <v>9</v>
      </c>
      <c r="J363" s="12"/>
      <c r="K363" s="11"/>
      <c r="L363" s="11"/>
      <c r="M363" s="12"/>
      <c r="N363" s="12"/>
      <c r="O363" s="32" t="s">
        <v>955</v>
      </c>
      <c r="P363" s="9"/>
      <c r="Q363" s="9"/>
      <c r="R363" s="11">
        <v>59</v>
      </c>
      <c r="S363" s="13">
        <v>45895</v>
      </c>
      <c r="T363" s="13">
        <v>45896</v>
      </c>
      <c r="U363" s="13">
        <v>45901</v>
      </c>
      <c r="V363" s="13">
        <v>45902</v>
      </c>
      <c r="W363" s="13">
        <v>45903</v>
      </c>
      <c r="X363" s="11" t="s">
        <v>679</v>
      </c>
      <c r="Y363" s="4" t="str">
        <f>IF(Tabela2[[#This Row],[SIGLA]]="","",VLOOKUP(Tabela2[[#This Row],[SIGLA]],Tabela1[[#All],[Sigla Arte]:[Crédito]],2,0))</f>
        <v>ISABELLA MEDEIROS/ARQUIVO DA EDITORA</v>
      </c>
      <c r="Z363" s="12"/>
      <c r="AA363" s="12" t="str">
        <f>Tabela2[[#This Row],[ILUSTRADOR CRIAÇÃO]]</f>
        <v>ISABELLA MEDEIROS/ARQUIVO DA EDITORA</v>
      </c>
      <c r="AB363" s="11">
        <v>7</v>
      </c>
      <c r="AC363" s="9" t="s">
        <v>956</v>
      </c>
      <c r="AD363" s="9" t="s">
        <v>22</v>
      </c>
      <c r="AE363" s="4" t="str">
        <f t="shared" si="5"/>
        <v>EF1 E002 Port</v>
      </c>
    </row>
    <row r="364" spans="1:31" s="7" customFormat="1" ht="60" x14ac:dyDescent="0.25">
      <c r="A364" s="12" t="s">
        <v>957</v>
      </c>
      <c r="B364" s="9" t="s">
        <v>37</v>
      </c>
      <c r="C364" s="9" t="s">
        <v>1</v>
      </c>
      <c r="D364" s="9" t="s">
        <v>25</v>
      </c>
      <c r="E364" s="11">
        <v>287</v>
      </c>
      <c r="F364" s="11">
        <v>2</v>
      </c>
      <c r="G364" s="11"/>
      <c r="H364" s="11" t="s">
        <v>900</v>
      </c>
      <c r="I364" s="12" t="s">
        <v>9</v>
      </c>
      <c r="J364" s="12"/>
      <c r="K364" s="11"/>
      <c r="L364" s="11"/>
      <c r="M364" s="12"/>
      <c r="N364" s="12"/>
      <c r="O364" s="32" t="s">
        <v>958</v>
      </c>
      <c r="P364" s="9"/>
      <c r="Q364" s="9"/>
      <c r="R364" s="11">
        <v>59</v>
      </c>
      <c r="S364" s="13">
        <v>45895</v>
      </c>
      <c r="T364" s="13">
        <v>45896</v>
      </c>
      <c r="U364" s="13">
        <v>45901</v>
      </c>
      <c r="V364" s="13">
        <v>45902</v>
      </c>
      <c r="W364" s="13">
        <v>45903</v>
      </c>
      <c r="X364" s="11" t="s">
        <v>679</v>
      </c>
      <c r="Y364" s="4" t="str">
        <f>IF(Tabela2[[#This Row],[SIGLA]]="","",VLOOKUP(Tabela2[[#This Row],[SIGLA]],Tabela1[[#All],[Sigla Arte]:[Crédito]],2,0))</f>
        <v>ISABELLA MEDEIROS/ARQUIVO DA EDITORA</v>
      </c>
      <c r="Z364" s="12"/>
      <c r="AA364" s="12" t="str">
        <f>Tabela2[[#This Row],[ILUSTRADOR CRIAÇÃO]]</f>
        <v>ISABELLA MEDEIROS/ARQUIVO DA EDITORA</v>
      </c>
      <c r="AB364" s="11">
        <v>5</v>
      </c>
      <c r="AC364" s="9" t="s">
        <v>956</v>
      </c>
      <c r="AD364" s="9" t="s">
        <v>22</v>
      </c>
      <c r="AE364" s="4" t="str">
        <f t="shared" si="5"/>
        <v>EF1 E002 Port</v>
      </c>
    </row>
    <row r="365" spans="1:31" s="7" customFormat="1" x14ac:dyDescent="0.25">
      <c r="A365" s="12" t="s">
        <v>959</v>
      </c>
      <c r="B365" s="9" t="s">
        <v>37</v>
      </c>
      <c r="C365" s="9" t="s">
        <v>1</v>
      </c>
      <c r="D365" s="9" t="s">
        <v>25</v>
      </c>
      <c r="E365" s="11"/>
      <c r="F365" s="11">
        <v>2</v>
      </c>
      <c r="G365" s="11">
        <v>2</v>
      </c>
      <c r="H365" s="11"/>
      <c r="I365" s="12" t="s">
        <v>9</v>
      </c>
      <c r="J365" s="12"/>
      <c r="K365" s="11"/>
      <c r="L365" s="11"/>
      <c r="M365" s="12"/>
      <c r="N365" s="12"/>
      <c r="O365" s="32" t="s">
        <v>960</v>
      </c>
      <c r="P365" s="9"/>
      <c r="Q365" s="9"/>
      <c r="R365" s="11"/>
      <c r="S365" s="13"/>
      <c r="T365" s="13"/>
      <c r="U365" s="13"/>
      <c r="V365" s="13"/>
      <c r="W365" s="13"/>
      <c r="X365" s="11"/>
      <c r="Y365" s="4" t="str">
        <f>IF(Tabela2[[#This Row],[SIGLA]]="","",VLOOKUP(Tabela2[[#This Row],[SIGLA]],Tabela1[[#All],[Sigla Arte]:[Crédito]],2,0))</f>
        <v/>
      </c>
      <c r="Z365" s="12"/>
      <c r="AA365" s="12" t="str">
        <f>Tabela2[[#This Row],[ILUSTRADOR CRIAÇÃO]]</f>
        <v/>
      </c>
      <c r="AB365" s="11"/>
      <c r="AC365" s="9" t="s">
        <v>961</v>
      </c>
      <c r="AD365" s="9"/>
      <c r="AE365" s="4" t="str">
        <f t="shared" si="5"/>
        <v>EF1 E002 Port</v>
      </c>
    </row>
    <row r="366" spans="1:31" s="7" customFormat="1" x14ac:dyDescent="0.25">
      <c r="A366" s="12" t="s">
        <v>962</v>
      </c>
      <c r="B366" s="9" t="s">
        <v>37</v>
      </c>
      <c r="C366" s="9" t="s">
        <v>1</v>
      </c>
      <c r="D366" s="9" t="s">
        <v>25</v>
      </c>
      <c r="E366" s="11"/>
      <c r="F366" s="11">
        <v>2</v>
      </c>
      <c r="G366" s="11">
        <v>2</v>
      </c>
      <c r="H366" s="11"/>
      <c r="I366" s="12" t="s">
        <v>9</v>
      </c>
      <c r="J366" s="12"/>
      <c r="K366" s="11"/>
      <c r="L366" s="11"/>
      <c r="M366" s="12"/>
      <c r="N366" s="12"/>
      <c r="O366" s="32" t="s">
        <v>963</v>
      </c>
      <c r="P366" s="9"/>
      <c r="Q366" s="9"/>
      <c r="R366" s="11"/>
      <c r="S366" s="13"/>
      <c r="T366" s="13"/>
      <c r="U366" s="13"/>
      <c r="V366" s="13"/>
      <c r="W366" s="13"/>
      <c r="X366" s="11"/>
      <c r="Y366" s="4" t="str">
        <f>IF(Tabela2[[#This Row],[SIGLA]]="","",VLOOKUP(Tabela2[[#This Row],[SIGLA]],Tabela1[[#All],[Sigla Arte]:[Crédito]],2,0))</f>
        <v/>
      </c>
      <c r="Z366" s="12"/>
      <c r="AA366" s="12" t="str">
        <f>Tabela2[[#This Row],[ILUSTRADOR CRIAÇÃO]]</f>
        <v/>
      </c>
      <c r="AB366" s="11"/>
      <c r="AC366" s="9" t="s">
        <v>961</v>
      </c>
      <c r="AD366" s="9"/>
      <c r="AE366" s="4" t="str">
        <f t="shared" si="5"/>
        <v>EF1 E002 Port</v>
      </c>
    </row>
    <row r="367" spans="1:31" s="7" customFormat="1" ht="30" x14ac:dyDescent="0.25">
      <c r="A367" s="12" t="s">
        <v>964</v>
      </c>
      <c r="B367" s="9" t="s">
        <v>12</v>
      </c>
      <c r="C367" s="9" t="s">
        <v>1</v>
      </c>
      <c r="D367" s="9" t="s">
        <v>34</v>
      </c>
      <c r="E367" s="11"/>
      <c r="F367" s="11"/>
      <c r="G367" s="11"/>
      <c r="H367" s="11"/>
      <c r="I367" s="12" t="s">
        <v>9</v>
      </c>
      <c r="J367" s="12"/>
      <c r="K367" s="11"/>
      <c r="L367" s="11"/>
      <c r="M367" s="12"/>
      <c r="N367" s="12"/>
      <c r="O367" s="32" t="s">
        <v>965</v>
      </c>
      <c r="P367" s="9"/>
      <c r="Q367" s="9"/>
      <c r="R367" s="11"/>
      <c r="S367" s="13"/>
      <c r="T367" s="13"/>
      <c r="U367" s="13"/>
      <c r="V367" s="13"/>
      <c r="W367" s="13">
        <v>45904</v>
      </c>
      <c r="X367" s="11" t="s">
        <v>966</v>
      </c>
      <c r="Y367" s="4" t="str">
        <f>IF(Tabela2[[#This Row],[SIGLA]]="","",VLOOKUP(Tabela2[[#This Row],[SIGLA]],Tabela1[[#All],[Sigla Arte]:[Crédito]],2,0))</f>
        <v>IVY NUNES/ARQUIVO DA EDITORA</v>
      </c>
      <c r="Z367" s="12"/>
      <c r="AA367" s="12" t="str">
        <f>Tabela2[[#This Row],[ILUSTRADOR CRIAÇÃO]]</f>
        <v>IVY NUNES/ARQUIVO DA EDITORA</v>
      </c>
      <c r="AB367" s="11">
        <v>4</v>
      </c>
      <c r="AC367" s="9"/>
      <c r="AD367" s="9" t="s">
        <v>11</v>
      </c>
      <c r="AE367" s="4" t="str">
        <f t="shared" si="5"/>
        <v>EF1 E002 Port</v>
      </c>
    </row>
    <row r="368" spans="1:31" s="7" customFormat="1" ht="180" x14ac:dyDescent="0.25">
      <c r="A368" s="12" t="s">
        <v>967</v>
      </c>
      <c r="B368" s="9" t="s">
        <v>42</v>
      </c>
      <c r="C368" s="9" t="s">
        <v>1</v>
      </c>
      <c r="D368" s="9" t="s">
        <v>25</v>
      </c>
      <c r="E368" s="11">
        <v>156</v>
      </c>
      <c r="F368" s="11">
        <v>5</v>
      </c>
      <c r="G368" s="11">
        <v>5</v>
      </c>
      <c r="H368" s="11"/>
      <c r="I368" s="12" t="s">
        <v>9</v>
      </c>
      <c r="J368" s="12"/>
      <c r="K368" s="11"/>
      <c r="L368" s="11"/>
      <c r="M368" s="12"/>
      <c r="N368" s="12"/>
      <c r="O368" s="32" t="s">
        <v>968</v>
      </c>
      <c r="P368" s="9"/>
      <c r="Q368" s="9"/>
      <c r="R368" s="11">
        <v>60</v>
      </c>
      <c r="S368" s="13">
        <v>45904</v>
      </c>
      <c r="T368" s="13"/>
      <c r="U368" s="13"/>
      <c r="V368" s="13"/>
      <c r="W368" s="13"/>
      <c r="X368" s="11"/>
      <c r="Y368" s="4" t="str">
        <f>IF(Tabela2[[#This Row],[SIGLA]]="","",VLOOKUP(Tabela2[[#This Row],[SIGLA]],Tabela1[[#All],[Sigla Arte]:[Crédito]],2,0))</f>
        <v/>
      </c>
      <c r="Z368" s="12"/>
      <c r="AA368" s="12" t="str">
        <f>Tabela2[[#This Row],[ILUSTRADOR CRIAÇÃO]]</f>
        <v/>
      </c>
      <c r="AB368" s="11"/>
      <c r="AC368" s="9"/>
      <c r="AD368" s="9"/>
      <c r="AE368" s="4" t="str">
        <f t="shared" si="5"/>
        <v>EF1 E002 Port</v>
      </c>
    </row>
    <row r="369" spans="1:31" s="7" customFormat="1" ht="165" x14ac:dyDescent="0.25">
      <c r="A369" s="12" t="s">
        <v>969</v>
      </c>
      <c r="B369" s="9" t="s">
        <v>42</v>
      </c>
      <c r="C369" s="9" t="s">
        <v>1</v>
      </c>
      <c r="D369" s="9" t="s">
        <v>25</v>
      </c>
      <c r="E369" s="11">
        <v>156</v>
      </c>
      <c r="F369" s="11">
        <v>5</v>
      </c>
      <c r="G369" s="11">
        <v>5</v>
      </c>
      <c r="H369" s="11"/>
      <c r="I369" s="12" t="s">
        <v>9</v>
      </c>
      <c r="J369" s="12"/>
      <c r="K369" s="11"/>
      <c r="L369" s="11"/>
      <c r="M369" s="12"/>
      <c r="N369" s="12"/>
      <c r="O369" s="32" t="s">
        <v>970</v>
      </c>
      <c r="P369" s="9"/>
      <c r="Q369" s="9"/>
      <c r="R369" s="11">
        <v>60</v>
      </c>
      <c r="S369" s="13">
        <v>4</v>
      </c>
      <c r="T369" s="13"/>
      <c r="U369" s="13"/>
      <c r="V369" s="13"/>
      <c r="W369" s="13"/>
      <c r="X369" s="11"/>
      <c r="Y369" s="4" t="str">
        <f>IF(Tabela2[[#This Row],[SIGLA]]="","",VLOOKUP(Tabela2[[#This Row],[SIGLA]],Tabela1[[#All],[Sigla Arte]:[Crédito]],2,0))</f>
        <v/>
      </c>
      <c r="Z369" s="12"/>
      <c r="AA369" s="12" t="str">
        <f>Tabela2[[#This Row],[ILUSTRADOR CRIAÇÃO]]</f>
        <v/>
      </c>
      <c r="AB369" s="11"/>
      <c r="AC369" s="9"/>
      <c r="AD369" s="9"/>
      <c r="AE369" s="4" t="str">
        <f t="shared" si="5"/>
        <v>EF1 E002 Port</v>
      </c>
    </row>
    <row r="370" spans="1:31" s="7" customFormat="1" ht="135" x14ac:dyDescent="0.25">
      <c r="A370" s="12" t="s">
        <v>971</v>
      </c>
      <c r="B370" s="9" t="s">
        <v>40</v>
      </c>
      <c r="C370" s="9" t="s">
        <v>33</v>
      </c>
      <c r="D370" s="9" t="s">
        <v>25</v>
      </c>
      <c r="E370" s="11">
        <v>268</v>
      </c>
      <c r="F370" s="11">
        <v>5</v>
      </c>
      <c r="G370" s="11">
        <v>8</v>
      </c>
      <c r="H370" s="11"/>
      <c r="I370" s="12" t="s">
        <v>9</v>
      </c>
      <c r="J370" s="12"/>
      <c r="K370" s="11"/>
      <c r="L370" s="11"/>
      <c r="M370" s="12"/>
      <c r="N370" s="12"/>
      <c r="O370" s="32" t="s">
        <v>972</v>
      </c>
      <c r="P370" s="9"/>
      <c r="Q370" s="9"/>
      <c r="R370" s="11">
        <v>61</v>
      </c>
      <c r="S370" s="13">
        <v>45905</v>
      </c>
      <c r="T370" s="13">
        <v>45909</v>
      </c>
      <c r="U370" s="13">
        <v>45912</v>
      </c>
      <c r="V370" s="13">
        <v>45912</v>
      </c>
      <c r="W370" s="13">
        <v>45916</v>
      </c>
      <c r="X370" s="11" t="s">
        <v>80</v>
      </c>
      <c r="Y370" s="4" t="str">
        <f>IF(Tabela2[[#This Row],[SIGLA]]="","",VLOOKUP(Tabela2[[#This Row],[SIGLA]],Tabela1[[#All],[Sigla Arte]:[Crédito]],2,0))</f>
        <v>FABIO EUGENIO/ARQUIVO DA EDITORA</v>
      </c>
      <c r="Z370" s="12"/>
      <c r="AA370" s="12" t="str">
        <f>Tabela2[[#This Row],[ILUSTRADOR CRIAÇÃO]]</f>
        <v>FABIO EUGENIO/ARQUIVO DA EDITORA</v>
      </c>
      <c r="AB370" s="11">
        <v>5</v>
      </c>
      <c r="AC370" s="9" t="s">
        <v>973</v>
      </c>
      <c r="AD370" s="9" t="s">
        <v>22</v>
      </c>
      <c r="AE370" s="4" t="str">
        <f t="shared" si="5"/>
        <v>EF1 E002 Port</v>
      </c>
    </row>
    <row r="371" spans="1:31" s="7" customFormat="1" ht="45" x14ac:dyDescent="0.25">
      <c r="A371" s="12" t="s">
        <v>974</v>
      </c>
      <c r="B371" s="9" t="s">
        <v>40</v>
      </c>
      <c r="C371" s="9" t="s">
        <v>1</v>
      </c>
      <c r="D371" s="9" t="s">
        <v>25</v>
      </c>
      <c r="E371" s="11">
        <v>83</v>
      </c>
      <c r="F371" s="11">
        <v>3</v>
      </c>
      <c r="G371" s="11">
        <v>3</v>
      </c>
      <c r="H371" s="11"/>
      <c r="I371" s="12" t="s">
        <v>9</v>
      </c>
      <c r="J371" s="12"/>
      <c r="K371" s="11"/>
      <c r="L371" s="11"/>
      <c r="M371" s="12"/>
      <c r="N371" s="12"/>
      <c r="O371" s="32" t="s">
        <v>975</v>
      </c>
      <c r="P371" s="9"/>
      <c r="Q371" s="9"/>
      <c r="R371" s="11">
        <v>62</v>
      </c>
      <c r="S371" s="13">
        <v>45908</v>
      </c>
      <c r="T371" s="13">
        <v>45909</v>
      </c>
      <c r="U371" s="13">
        <v>45911</v>
      </c>
      <c r="V371" s="13">
        <v>45911</v>
      </c>
      <c r="W371" s="13">
        <v>45915</v>
      </c>
      <c r="X371" s="11" t="s">
        <v>281</v>
      </c>
      <c r="Y371" s="4" t="str">
        <f>IF(Tabela2[[#This Row],[SIGLA]]="","",VLOOKUP(Tabela2[[#This Row],[SIGLA]],Tabela1[[#All],[Sigla Arte]:[Crédito]],2,0))</f>
        <v>GUILHERME RODRIGUES/ARQUIVO DA EDITORA</v>
      </c>
      <c r="Z371" s="12"/>
      <c r="AA371" s="12" t="str">
        <f>Tabela2[[#This Row],[ILUSTRADOR CRIAÇÃO]]</f>
        <v>GUILHERME RODRIGUES/ARQUIVO DA EDITORA</v>
      </c>
      <c r="AB371" s="11">
        <v>5</v>
      </c>
      <c r="AC371" s="9" t="s">
        <v>976</v>
      </c>
      <c r="AD371" s="9" t="s">
        <v>22</v>
      </c>
      <c r="AE371" s="4" t="str">
        <f t="shared" si="5"/>
        <v>EF1 E002 Port</v>
      </c>
    </row>
    <row r="372" spans="1:31" s="7" customFormat="1" ht="150" x14ac:dyDescent="0.25">
      <c r="A372" s="12" t="s">
        <v>977</v>
      </c>
      <c r="B372" s="9" t="s">
        <v>40</v>
      </c>
      <c r="C372" s="9" t="s">
        <v>1</v>
      </c>
      <c r="D372" s="9" t="s">
        <v>25</v>
      </c>
      <c r="E372" s="11">
        <v>84</v>
      </c>
      <c r="F372" s="11">
        <v>3</v>
      </c>
      <c r="G372" s="11">
        <v>3</v>
      </c>
      <c r="H372" s="11"/>
      <c r="I372" s="12" t="s">
        <v>9</v>
      </c>
      <c r="J372" s="12"/>
      <c r="K372" s="11"/>
      <c r="L372" s="11"/>
      <c r="M372" s="12"/>
      <c r="N372" s="12"/>
      <c r="O372" s="32" t="s">
        <v>978</v>
      </c>
      <c r="P372" s="9"/>
      <c r="Q372" s="9"/>
      <c r="R372" s="11">
        <v>62</v>
      </c>
      <c r="S372" s="13">
        <v>45909</v>
      </c>
      <c r="T372" s="13">
        <v>45909</v>
      </c>
      <c r="U372" s="13">
        <v>45911</v>
      </c>
      <c r="V372" s="13">
        <v>45911</v>
      </c>
      <c r="W372" s="13">
        <v>45915</v>
      </c>
      <c r="X372" s="11" t="s">
        <v>281</v>
      </c>
      <c r="Y372" s="4" t="str">
        <f>IF(Tabela2[[#This Row],[SIGLA]]="","",VLOOKUP(Tabela2[[#This Row],[SIGLA]],Tabela1[[#All],[Sigla Arte]:[Crédito]],2,0))</f>
        <v>GUILHERME RODRIGUES/ARQUIVO DA EDITORA</v>
      </c>
      <c r="Z372" s="12"/>
      <c r="AA372" s="12" t="str">
        <f>Tabela2[[#This Row],[ILUSTRADOR CRIAÇÃO]]</f>
        <v>GUILHERME RODRIGUES/ARQUIVO DA EDITORA</v>
      </c>
      <c r="AB372" s="11">
        <v>3</v>
      </c>
      <c r="AC372" s="9" t="s">
        <v>976</v>
      </c>
      <c r="AD372" s="9" t="s">
        <v>22</v>
      </c>
      <c r="AE372" s="4" t="str">
        <f t="shared" si="5"/>
        <v>EF1 E002 Port</v>
      </c>
    </row>
    <row r="373" spans="1:31" s="7" customFormat="1" ht="75" x14ac:dyDescent="0.25">
      <c r="A373" s="12" t="s">
        <v>979</v>
      </c>
      <c r="B373" s="9" t="s">
        <v>40</v>
      </c>
      <c r="C373" s="9" t="s">
        <v>1</v>
      </c>
      <c r="D373" s="9" t="s">
        <v>25</v>
      </c>
      <c r="E373" s="11">
        <v>287</v>
      </c>
      <c r="F373" s="11">
        <v>3</v>
      </c>
      <c r="G373" s="11">
        <v>8</v>
      </c>
      <c r="H373" s="11" t="s">
        <v>980</v>
      </c>
      <c r="I373" s="12" t="s">
        <v>9</v>
      </c>
      <c r="J373" s="12"/>
      <c r="K373" s="11"/>
      <c r="L373" s="11"/>
      <c r="M373" s="12"/>
      <c r="N373" s="12"/>
      <c r="O373" s="32" t="s">
        <v>981</v>
      </c>
      <c r="P373" s="9"/>
      <c r="Q373" s="9"/>
      <c r="R373" s="11">
        <v>63</v>
      </c>
      <c r="S373" s="13">
        <v>45909</v>
      </c>
      <c r="T373" s="13">
        <v>45910</v>
      </c>
      <c r="U373" s="13">
        <v>45912</v>
      </c>
      <c r="V373" s="13">
        <v>45915</v>
      </c>
      <c r="W373" s="13">
        <v>45918</v>
      </c>
      <c r="X373" s="11" t="s">
        <v>779</v>
      </c>
      <c r="Y373" s="4" t="str">
        <f>IF(Tabela2[[#This Row],[SIGLA]]="","",VLOOKUP(Tabela2[[#This Row],[SIGLA]],Tabela1[[#All],[Sigla Arte]:[Crédito]],2,0))</f>
        <v>DANIEL GUSTAVO SILVA GONÇALVES/ARQUIVO DA EDITORA</v>
      </c>
      <c r="Z373" s="12"/>
      <c r="AA373" s="12" t="str">
        <f>Tabela2[[#This Row],[ILUSTRADOR CRIAÇÃO]]</f>
        <v>DANIEL GUSTAVO SILVA GONÇALVES/ARQUIVO DA EDITORA</v>
      </c>
      <c r="AB373" s="11">
        <v>4</v>
      </c>
      <c r="AC373" s="9" t="s">
        <v>982</v>
      </c>
      <c r="AD373" s="9" t="s">
        <v>22</v>
      </c>
      <c r="AE373" s="4" t="str">
        <f t="shared" si="5"/>
        <v>EF1 E002 Port</v>
      </c>
    </row>
    <row r="374" spans="1:31" s="7" customFormat="1" x14ac:dyDescent="0.25">
      <c r="A374" s="12" t="s">
        <v>983</v>
      </c>
      <c r="B374" s="9" t="s">
        <v>40</v>
      </c>
      <c r="C374" s="9" t="s">
        <v>7</v>
      </c>
      <c r="D374" s="9" t="s">
        <v>38</v>
      </c>
      <c r="E374" s="11">
        <v>39</v>
      </c>
      <c r="F374" s="11">
        <v>1</v>
      </c>
      <c r="G374" s="11">
        <v>1</v>
      </c>
      <c r="H374" s="11"/>
      <c r="I374" s="12" t="s">
        <v>9</v>
      </c>
      <c r="J374" s="12"/>
      <c r="K374" s="11"/>
      <c r="L374" s="11"/>
      <c r="M374" s="12"/>
      <c r="N374" s="12"/>
      <c r="O374" s="32" t="s">
        <v>984</v>
      </c>
      <c r="P374" s="9"/>
      <c r="Q374" s="9"/>
      <c r="R374" s="11">
        <v>64</v>
      </c>
      <c r="S374" s="13">
        <v>45912</v>
      </c>
      <c r="T374" s="13">
        <v>45912</v>
      </c>
      <c r="U374" s="13"/>
      <c r="V374" s="13"/>
      <c r="W374" s="13">
        <v>45913</v>
      </c>
      <c r="X374" s="11" t="s">
        <v>985</v>
      </c>
      <c r="Y374" s="4" t="str">
        <f>IF(Tabela2[[#This Row],[SIGLA]]="","",VLOOKUP(Tabela2[[#This Row],[SIGLA]],Tabela1[[#All],[Sigla Arte]:[Crédito]],2,0))</f>
        <v>TATIANE GALHEIRO/ARQUIVO DA EDITORA</v>
      </c>
      <c r="Z374" s="12"/>
      <c r="AA374" s="12" t="str">
        <f>Tabela2[[#This Row],[ILUSTRADOR CRIAÇÃO]]</f>
        <v>TATIANE GALHEIRO/ARQUIVO DA EDITORA</v>
      </c>
      <c r="AB374" s="11">
        <v>8</v>
      </c>
      <c r="AC374" s="9" t="s">
        <v>811</v>
      </c>
      <c r="AD374" s="9" t="s">
        <v>11</v>
      </c>
      <c r="AE374" s="4" t="str">
        <f t="shared" si="5"/>
        <v>EF1 E002 Port</v>
      </c>
    </row>
    <row r="375" spans="1:31" s="7" customFormat="1" ht="30" x14ac:dyDescent="0.25">
      <c r="A375" s="12" t="s">
        <v>986</v>
      </c>
      <c r="B375" s="9" t="s">
        <v>40</v>
      </c>
      <c r="C375" s="9" t="s">
        <v>1</v>
      </c>
      <c r="D375" s="9" t="s">
        <v>25</v>
      </c>
      <c r="E375" s="11">
        <v>191</v>
      </c>
      <c r="F375" s="11">
        <v>3</v>
      </c>
      <c r="G375" s="11">
        <v>6</v>
      </c>
      <c r="H375" s="11"/>
      <c r="I375" s="12" t="s">
        <v>9</v>
      </c>
      <c r="J375" s="12"/>
      <c r="K375" s="11"/>
      <c r="L375" s="11"/>
      <c r="M375" s="12"/>
      <c r="N375" s="12"/>
      <c r="O375" s="32" t="s">
        <v>987</v>
      </c>
      <c r="P375" s="9"/>
      <c r="Q375" s="9"/>
      <c r="R375" s="11">
        <v>65</v>
      </c>
      <c r="S375" s="13">
        <v>45922</v>
      </c>
      <c r="T375" s="13">
        <v>45924</v>
      </c>
      <c r="U375" s="13"/>
      <c r="V375" s="13"/>
      <c r="W375" s="13">
        <v>45924</v>
      </c>
      <c r="X375" s="11" t="s">
        <v>728</v>
      </c>
      <c r="Y375" s="4" t="str">
        <f>IF(Tabela2[[#This Row],[SIGLA]]="","",VLOOKUP(Tabela2[[#This Row],[SIGLA]],Tabela1[[#All],[Sigla Arte]:[Crédito]],2,0))</f>
        <v>FELIPE GRIGOLI/ARQUIVO DA EDITORA</v>
      </c>
      <c r="Z375" s="12"/>
      <c r="AA375" s="12" t="str">
        <f>Tabela2[[#This Row],[ILUSTRADOR CRIAÇÃO]]</f>
        <v>FELIPE GRIGOLI/ARQUIVO DA EDITORA</v>
      </c>
      <c r="AB375" s="11">
        <v>5</v>
      </c>
      <c r="AC375" s="9" t="s">
        <v>811</v>
      </c>
      <c r="AD375" s="9" t="s">
        <v>11</v>
      </c>
      <c r="AE375" s="4" t="str">
        <f t="shared" si="5"/>
        <v>EF1 E002 Port</v>
      </c>
    </row>
    <row r="376" spans="1:31" s="7" customFormat="1" ht="45" x14ac:dyDescent="0.25">
      <c r="A376" s="12" t="s">
        <v>988</v>
      </c>
      <c r="B376" s="9" t="s">
        <v>42</v>
      </c>
      <c r="C376" s="9" t="s">
        <v>1</v>
      </c>
      <c r="D376" s="9" t="s">
        <v>25</v>
      </c>
      <c r="E376" s="11">
        <v>202</v>
      </c>
      <c r="F376" s="11">
        <v>3</v>
      </c>
      <c r="G376" s="11">
        <v>6</v>
      </c>
      <c r="H376" s="11"/>
      <c r="I376" s="12" t="s">
        <v>9</v>
      </c>
      <c r="J376" s="12"/>
      <c r="K376" s="11"/>
      <c r="L376" s="11"/>
      <c r="M376" s="12"/>
      <c r="N376" s="12"/>
      <c r="O376" s="32" t="s">
        <v>989</v>
      </c>
      <c r="P376" s="9"/>
      <c r="Q376" s="9"/>
      <c r="R376" s="11">
        <v>65</v>
      </c>
      <c r="S376" s="13">
        <v>45922</v>
      </c>
      <c r="T376" s="13">
        <v>45924</v>
      </c>
      <c r="U376" s="13"/>
      <c r="V376" s="13"/>
      <c r="W376" s="13">
        <v>45924</v>
      </c>
      <c r="X376" s="11" t="s">
        <v>728</v>
      </c>
      <c r="Y376" s="4" t="str">
        <f>IF(Tabela2[[#This Row],[SIGLA]]="","",VLOOKUP(Tabela2[[#This Row],[SIGLA]],Tabela1[[#All],[Sigla Arte]:[Crédito]],2,0))</f>
        <v>FELIPE GRIGOLI/ARQUIVO DA EDITORA</v>
      </c>
      <c r="Z376" s="12"/>
      <c r="AA376" s="12" t="str">
        <f>Tabela2[[#This Row],[ILUSTRADOR CRIAÇÃO]]</f>
        <v>FELIPE GRIGOLI/ARQUIVO DA EDITORA</v>
      </c>
      <c r="AB376" s="11">
        <v>5</v>
      </c>
      <c r="AC376" s="9" t="s">
        <v>811</v>
      </c>
      <c r="AD376" s="9" t="s">
        <v>11</v>
      </c>
      <c r="AE376" s="4" t="str">
        <f t="shared" si="5"/>
        <v>EF1 E002 Port</v>
      </c>
    </row>
    <row r="377" spans="1:31" s="7" customFormat="1" ht="30" x14ac:dyDescent="0.25">
      <c r="A377" s="43" t="s">
        <v>990</v>
      </c>
      <c r="B377" s="9" t="s">
        <v>40</v>
      </c>
      <c r="C377" s="9" t="s">
        <v>1</v>
      </c>
      <c r="D377" s="9" t="s">
        <v>25</v>
      </c>
      <c r="E377" s="11">
        <v>210</v>
      </c>
      <c r="F377" s="11">
        <v>3</v>
      </c>
      <c r="G377" s="11">
        <v>6</v>
      </c>
      <c r="H377" s="11"/>
      <c r="I377" s="12" t="s">
        <v>9</v>
      </c>
      <c r="J377" s="12"/>
      <c r="K377" s="11"/>
      <c r="L377" s="11"/>
      <c r="M377" s="12"/>
      <c r="N377" s="12"/>
      <c r="O377" s="32" t="s">
        <v>991</v>
      </c>
      <c r="P377" s="9"/>
      <c r="Q377" s="9"/>
      <c r="R377" s="11">
        <v>65</v>
      </c>
      <c r="S377" s="13">
        <v>45922</v>
      </c>
      <c r="T377" s="13">
        <v>45924</v>
      </c>
      <c r="U377" s="13"/>
      <c r="V377" s="13"/>
      <c r="W377" s="13">
        <v>45924</v>
      </c>
      <c r="X377" s="11" t="s">
        <v>728</v>
      </c>
      <c r="Y377" s="4" t="str">
        <f>IF(Tabela2[[#This Row],[SIGLA]]="","",VLOOKUP(Tabela2[[#This Row],[SIGLA]],Tabela1[[#All],[Sigla Arte]:[Crédito]],2,0))</f>
        <v>FELIPE GRIGOLI/ARQUIVO DA EDITORA</v>
      </c>
      <c r="Z377" s="12"/>
      <c r="AA377" s="12" t="str">
        <f>Tabela2[[#This Row],[ILUSTRADOR CRIAÇÃO]]</f>
        <v>FELIPE GRIGOLI/ARQUIVO DA EDITORA</v>
      </c>
      <c r="AB377" s="11">
        <v>5</v>
      </c>
      <c r="AC377" s="9" t="s">
        <v>811</v>
      </c>
      <c r="AD377" s="9" t="s">
        <v>11</v>
      </c>
      <c r="AE377" s="4" t="str">
        <f t="shared" si="5"/>
        <v>EF1 E002 Port</v>
      </c>
    </row>
    <row r="378" spans="1:31" s="7" customFormat="1" x14ac:dyDescent="0.25">
      <c r="A378" s="12" t="s">
        <v>992</v>
      </c>
      <c r="B378" s="9" t="s">
        <v>40</v>
      </c>
      <c r="C378" s="9" t="s">
        <v>1</v>
      </c>
      <c r="D378" s="9" t="s">
        <v>25</v>
      </c>
      <c r="E378" s="11">
        <v>204</v>
      </c>
      <c r="F378" s="11">
        <v>3</v>
      </c>
      <c r="G378" s="11">
        <v>6</v>
      </c>
      <c r="H378" s="11"/>
      <c r="I378" s="12" t="s">
        <v>9</v>
      </c>
      <c r="J378" s="12"/>
      <c r="K378" s="11"/>
      <c r="L378" s="11"/>
      <c r="M378" s="12"/>
      <c r="N378" s="12"/>
      <c r="O378" s="32" t="s">
        <v>993</v>
      </c>
      <c r="P378" s="9"/>
      <c r="Q378" s="9"/>
      <c r="R378" s="11">
        <v>65</v>
      </c>
      <c r="S378" s="13">
        <v>45922</v>
      </c>
      <c r="T378" s="13">
        <v>45924</v>
      </c>
      <c r="U378" s="13"/>
      <c r="V378" s="13"/>
      <c r="W378" s="13">
        <v>45924</v>
      </c>
      <c r="X378" s="11" t="s">
        <v>281</v>
      </c>
      <c r="Y378" s="4" t="str">
        <f>IF(Tabela2[[#This Row],[SIGLA]]="","",VLOOKUP(Tabela2[[#This Row],[SIGLA]],Tabela1[[#All],[Sigla Arte]:[Crédito]],2,0))</f>
        <v>GUILHERME RODRIGUES/ARQUIVO DA EDITORA</v>
      </c>
      <c r="Z378" s="12" t="s">
        <v>994</v>
      </c>
      <c r="AA378" s="12" t="str">
        <f>Tabela2[[#This Row],[ILUSTRADOR CRIAÇÃO]]</f>
        <v>GUILHERME RODRIGUES/ARQUIVO DA EDITORA</v>
      </c>
      <c r="AB378" s="11">
        <v>13</v>
      </c>
      <c r="AC378" s="9" t="s">
        <v>995</v>
      </c>
      <c r="AD378" s="9" t="s">
        <v>11</v>
      </c>
      <c r="AE378" s="4" t="str">
        <f t="shared" si="5"/>
        <v>EF1 E002 Port</v>
      </c>
    </row>
    <row r="379" spans="1:31" s="7" customFormat="1" x14ac:dyDescent="0.25">
      <c r="A379" s="12" t="s">
        <v>996</v>
      </c>
      <c r="B379" s="9" t="s">
        <v>42</v>
      </c>
      <c r="C379" s="9" t="s">
        <v>1</v>
      </c>
      <c r="D379" s="9" t="s">
        <v>25</v>
      </c>
      <c r="E379" s="11">
        <v>205</v>
      </c>
      <c r="F379" s="11">
        <v>3</v>
      </c>
      <c r="G379" s="11">
        <v>6</v>
      </c>
      <c r="H379" s="11"/>
      <c r="I379" s="12" t="s">
        <v>9</v>
      </c>
      <c r="J379" s="12"/>
      <c r="K379" s="11"/>
      <c r="L379" s="11"/>
      <c r="M379" s="12"/>
      <c r="N379" s="12"/>
      <c r="O379" s="32" t="s">
        <v>997</v>
      </c>
      <c r="P379" s="9"/>
      <c r="Q379" s="9"/>
      <c r="R379" s="11">
        <v>65</v>
      </c>
      <c r="S379" s="13">
        <v>45922</v>
      </c>
      <c r="T379" s="13">
        <v>45924</v>
      </c>
      <c r="U379" s="13"/>
      <c r="V379" s="13"/>
      <c r="W379" s="13">
        <v>45924</v>
      </c>
      <c r="X379" s="11" t="s">
        <v>728</v>
      </c>
      <c r="Y379" s="4" t="str">
        <f>IF(Tabela2[[#This Row],[SIGLA]]="","",VLOOKUP(Tabela2[[#This Row],[SIGLA]],Tabela1[[#All],[Sigla Arte]:[Crédito]],2,0))</f>
        <v>FELIPE GRIGOLI/ARQUIVO DA EDITORA</v>
      </c>
      <c r="Z379" s="12"/>
      <c r="AA379" s="12" t="str">
        <f>Tabela2[[#This Row],[ILUSTRADOR CRIAÇÃO]]</f>
        <v>FELIPE GRIGOLI/ARQUIVO DA EDITORA</v>
      </c>
      <c r="AB379" s="11">
        <v>5</v>
      </c>
      <c r="AC379" s="9" t="s">
        <v>811</v>
      </c>
      <c r="AD379" s="9" t="s">
        <v>11</v>
      </c>
      <c r="AE379" s="4" t="str">
        <f t="shared" si="5"/>
        <v>EF1 E002 Port</v>
      </c>
    </row>
    <row r="380" spans="1:31" s="7" customFormat="1" ht="30" x14ac:dyDescent="0.25">
      <c r="A380" s="12" t="s">
        <v>998</v>
      </c>
      <c r="B380" s="9" t="s">
        <v>40</v>
      </c>
      <c r="C380" s="9" t="s">
        <v>1</v>
      </c>
      <c r="D380" s="9" t="s">
        <v>25</v>
      </c>
      <c r="E380" s="11">
        <v>205</v>
      </c>
      <c r="F380" s="11">
        <v>3</v>
      </c>
      <c r="G380" s="11">
        <v>6</v>
      </c>
      <c r="H380" s="11"/>
      <c r="I380" s="12" t="s">
        <v>9</v>
      </c>
      <c r="J380" s="12"/>
      <c r="K380" s="11"/>
      <c r="L380" s="11"/>
      <c r="M380" s="12"/>
      <c r="N380" s="12"/>
      <c r="O380" s="32" t="s">
        <v>999</v>
      </c>
      <c r="P380" s="9"/>
      <c r="Q380" s="9"/>
      <c r="R380" s="11">
        <v>65</v>
      </c>
      <c r="S380" s="13">
        <v>45922</v>
      </c>
      <c r="T380" s="13">
        <v>45924</v>
      </c>
      <c r="U380" s="13"/>
      <c r="V380" s="13"/>
      <c r="W380" s="13">
        <v>45924</v>
      </c>
      <c r="X380" s="11" t="s">
        <v>728</v>
      </c>
      <c r="Y380" s="4" t="str">
        <f>IF(Tabela2[[#This Row],[SIGLA]]="","",VLOOKUP(Tabela2[[#This Row],[SIGLA]],Tabela1[[#All],[Sigla Arte]:[Crédito]],2,0))</f>
        <v>FELIPE GRIGOLI/ARQUIVO DA EDITORA</v>
      </c>
      <c r="Z380" s="12"/>
      <c r="AA380" s="12" t="str">
        <f>Tabela2[[#This Row],[ILUSTRADOR CRIAÇÃO]]</f>
        <v>FELIPE GRIGOLI/ARQUIVO DA EDITORA</v>
      </c>
      <c r="AB380" s="11">
        <v>5</v>
      </c>
      <c r="AC380" s="9" t="s">
        <v>811</v>
      </c>
      <c r="AD380" s="9" t="s">
        <v>11</v>
      </c>
      <c r="AE380" s="4" t="str">
        <f t="shared" si="5"/>
        <v>EF1 E002 Port</v>
      </c>
    </row>
    <row r="381" spans="1:31" s="7" customFormat="1" ht="30" x14ac:dyDescent="0.25">
      <c r="A381" s="12" t="s">
        <v>1000</v>
      </c>
      <c r="B381" s="9" t="s">
        <v>37</v>
      </c>
      <c r="C381" s="9" t="s">
        <v>1</v>
      </c>
      <c r="D381" s="9" t="s">
        <v>25</v>
      </c>
      <c r="E381" s="11">
        <v>222</v>
      </c>
      <c r="F381" s="11">
        <v>3</v>
      </c>
      <c r="G381" s="11">
        <v>7</v>
      </c>
      <c r="H381" s="11"/>
      <c r="I381" s="12" t="s">
        <v>9</v>
      </c>
      <c r="J381" s="12"/>
      <c r="K381" s="11"/>
      <c r="L381" s="11"/>
      <c r="M381" s="12"/>
      <c r="N381" s="12"/>
      <c r="O381" s="32" t="s">
        <v>1001</v>
      </c>
      <c r="P381" s="9"/>
      <c r="Q381" s="9"/>
      <c r="R381" s="11">
        <v>66</v>
      </c>
      <c r="S381" s="13">
        <v>45925</v>
      </c>
      <c r="T381" s="13"/>
      <c r="U381" s="13"/>
      <c r="V381" s="13"/>
      <c r="W381" s="13"/>
      <c r="X381" s="11"/>
      <c r="Y381" s="4" t="str">
        <f>IF(Tabela2[[#This Row],[SIGLA]]="","",VLOOKUP(Tabela2[[#This Row],[SIGLA]],Tabela1[[#All],[Sigla Arte]:[Crédito]],2,0))</f>
        <v/>
      </c>
      <c r="Z381" s="12"/>
      <c r="AA381" s="12" t="str">
        <f>Tabela2[[#This Row],[ILUSTRADOR CRIAÇÃO]]</f>
        <v/>
      </c>
      <c r="AB381" s="11"/>
      <c r="AC381" s="9"/>
      <c r="AD381" s="9"/>
      <c r="AE381" s="4" t="str">
        <f t="shared" si="5"/>
        <v>EF1 E002 Port</v>
      </c>
    </row>
    <row r="382" spans="1:31" s="7" customFormat="1" x14ac:dyDescent="0.25">
      <c r="A382" s="12" t="s">
        <v>1002</v>
      </c>
      <c r="B382" s="9" t="s">
        <v>40</v>
      </c>
      <c r="C382" s="9" t="s">
        <v>1</v>
      </c>
      <c r="D382" s="9" t="s">
        <v>25</v>
      </c>
      <c r="E382" s="11">
        <v>202</v>
      </c>
      <c r="F382" s="11">
        <v>3</v>
      </c>
      <c r="G382" s="11">
        <v>6</v>
      </c>
      <c r="H382" s="11"/>
      <c r="I382" s="12" t="s">
        <v>3</v>
      </c>
      <c r="J382" s="12"/>
      <c r="K382" s="11"/>
      <c r="L382" s="11"/>
      <c r="M382" s="12"/>
      <c r="N382" s="12"/>
      <c r="O382" s="32" t="s">
        <v>1003</v>
      </c>
      <c r="P382" s="9"/>
      <c r="Q382" s="9"/>
      <c r="R382" s="11">
        <v>65</v>
      </c>
      <c r="S382" s="13">
        <v>45925</v>
      </c>
      <c r="T382" s="13">
        <v>45925</v>
      </c>
      <c r="U382" s="13"/>
      <c r="V382" s="13"/>
      <c r="W382" s="13">
        <v>45926</v>
      </c>
      <c r="X382" s="11" t="s">
        <v>281</v>
      </c>
      <c r="Y382" s="4" t="str">
        <f>IF(Tabela2[[#This Row],[SIGLA]]="","",VLOOKUP(Tabela2[[#This Row],[SIGLA]],Tabela1[[#All],[Sigla Arte]:[Crédito]],2,0))</f>
        <v>GUILHERME RODRIGUES/ARQUIVO DA EDITORA</v>
      </c>
      <c r="Z382" s="12" t="s">
        <v>948</v>
      </c>
      <c r="AA382" s="12" t="str">
        <f>Tabela2[[#This Row],[ILUSTRADOR CRIAÇÃO]]</f>
        <v>GUILHERME RODRIGUES/ARQUIVO DA EDITORA</v>
      </c>
      <c r="AB382" s="11">
        <v>13</v>
      </c>
      <c r="AC382" s="9" t="s">
        <v>949</v>
      </c>
      <c r="AD382" s="9"/>
      <c r="AE382" s="4" t="str">
        <f t="shared" si="5"/>
        <v>EF1 E002 Port</v>
      </c>
    </row>
    <row r="383" spans="1:31" s="7" customFormat="1" ht="60" x14ac:dyDescent="0.25">
      <c r="A383" s="12" t="s">
        <v>1004</v>
      </c>
      <c r="B383" s="9" t="s">
        <v>37</v>
      </c>
      <c r="C383" s="9" t="s">
        <v>1</v>
      </c>
      <c r="D383" s="9" t="s">
        <v>25</v>
      </c>
      <c r="E383" s="11">
        <v>99</v>
      </c>
      <c r="F383" s="11">
        <v>2</v>
      </c>
      <c r="G383" s="11">
        <v>3</v>
      </c>
      <c r="H383" s="11"/>
      <c r="I383" s="12" t="s">
        <v>9</v>
      </c>
      <c r="J383" s="12"/>
      <c r="K383" s="11"/>
      <c r="L383" s="11"/>
      <c r="M383" s="12"/>
      <c r="N383" s="12"/>
      <c r="O383" s="32" t="s">
        <v>1005</v>
      </c>
      <c r="P383" s="9"/>
      <c r="Q383" s="9"/>
      <c r="R383" s="11">
        <v>67</v>
      </c>
      <c r="S383" s="13">
        <v>45929</v>
      </c>
      <c r="T383" s="13">
        <v>45929</v>
      </c>
      <c r="U383" s="13"/>
      <c r="V383" s="13"/>
      <c r="W383" s="13">
        <v>45929</v>
      </c>
      <c r="X383" s="11" t="s">
        <v>576</v>
      </c>
      <c r="Y383" s="4" t="str">
        <f>IF(Tabela2[[#This Row],[SIGLA]]="","",VLOOKUP(Tabela2[[#This Row],[SIGLA]],Tabela1[[#All],[Sigla Arte]:[Crédito]],2,0))</f>
        <v>VER DOCUMENTO DE ILS. TÉCNICAS</v>
      </c>
      <c r="Z383" s="12" t="s">
        <v>308</v>
      </c>
      <c r="AA383" s="12" t="s">
        <v>1006</v>
      </c>
      <c r="AB383" s="11">
        <v>13</v>
      </c>
      <c r="AC383" s="9" t="s">
        <v>895</v>
      </c>
      <c r="AD383" s="9"/>
      <c r="AE383" s="4" t="str">
        <f t="shared" si="5"/>
        <v>EF1 E002 Port</v>
      </c>
    </row>
    <row r="384" spans="1:31" s="7" customFormat="1" x14ac:dyDescent="0.25">
      <c r="A384" s="12" t="s">
        <v>1007</v>
      </c>
      <c r="B384" s="9" t="s">
        <v>40</v>
      </c>
      <c r="C384" s="9" t="s">
        <v>1</v>
      </c>
      <c r="D384" s="9" t="s">
        <v>25</v>
      </c>
      <c r="E384" s="11">
        <v>96</v>
      </c>
      <c r="F384" s="11">
        <v>3</v>
      </c>
      <c r="G384" s="11">
        <v>3</v>
      </c>
      <c r="H384" s="11"/>
      <c r="I384" s="12" t="s">
        <v>9</v>
      </c>
      <c r="J384" s="12"/>
      <c r="K384" s="11"/>
      <c r="L384" s="11"/>
      <c r="M384" s="12"/>
      <c r="N384" s="12"/>
      <c r="O384" s="32" t="s">
        <v>1008</v>
      </c>
      <c r="P384" s="9"/>
      <c r="Q384" s="9"/>
      <c r="R384" s="11">
        <v>68</v>
      </c>
      <c r="S384" s="13">
        <v>45929</v>
      </c>
      <c r="T384" s="13">
        <v>45929</v>
      </c>
      <c r="U384" s="13"/>
      <c r="V384" s="13"/>
      <c r="W384" s="13">
        <v>45929</v>
      </c>
      <c r="X384" s="11" t="s">
        <v>200</v>
      </c>
      <c r="Y384" s="4" t="str">
        <f>IF(Tabela2[[#This Row],[SIGLA]]="","",VLOOKUP(Tabela2[[#This Row],[SIGLA]],Tabela1[[#All],[Sigla Arte]:[Crédito]],2,0))</f>
        <v>NATHALIA ICHIOKA/ARQUIVO DA EDITORA</v>
      </c>
      <c r="Z384" s="12" t="s">
        <v>1009</v>
      </c>
      <c r="AA384" s="12" t="str">
        <f>Tabela2[[#This Row],[ILUSTRADOR CRIAÇÃO]]</f>
        <v>NATHALIA ICHIOKA/ARQUIVO DA EDITORA</v>
      </c>
      <c r="AB384" s="11">
        <v>13</v>
      </c>
      <c r="AC384" s="9" t="s">
        <v>903</v>
      </c>
      <c r="AD384" s="9"/>
      <c r="AE384" s="4" t="str">
        <f t="shared" si="5"/>
        <v>EF1 E002 Port</v>
      </c>
    </row>
    <row r="385" spans="1:31" s="7" customFormat="1" x14ac:dyDescent="0.25">
      <c r="A385" s="12"/>
      <c r="B385" s="9"/>
      <c r="C385" s="9"/>
      <c r="D385" s="9"/>
      <c r="E385" s="11"/>
      <c r="F385" s="11"/>
      <c r="G385" s="11"/>
      <c r="H385" s="11"/>
      <c r="I385" s="12"/>
      <c r="J385" s="12"/>
      <c r="K385" s="11"/>
      <c r="L385" s="11"/>
      <c r="M385" s="12"/>
      <c r="N385" s="12"/>
      <c r="O385" s="32"/>
      <c r="P385" s="9"/>
      <c r="Q385" s="9"/>
      <c r="R385" s="11"/>
      <c r="S385" s="13"/>
      <c r="T385" s="13"/>
      <c r="U385" s="13"/>
      <c r="V385" s="13"/>
      <c r="W385" s="13"/>
      <c r="X385" s="11"/>
      <c r="Y385" s="4" t="str">
        <f>IF(Tabela2[[#This Row],[SIGLA]]="","",VLOOKUP(Tabela2[[#This Row],[SIGLA]],Tabela1[[#All],[Sigla Arte]:[Crédito]],2,0))</f>
        <v/>
      </c>
      <c r="Z385" s="12"/>
      <c r="AA385" s="12" t="str">
        <f>Tabela2[[#This Row],[ILUSTRADOR CRIAÇÃO]]</f>
        <v/>
      </c>
      <c r="AB385" s="11"/>
      <c r="AC385" s="9"/>
      <c r="AD385" s="9"/>
      <c r="AE385" s="4" t="str">
        <f t="shared" si="5"/>
        <v>EF1 E002 Port</v>
      </c>
    </row>
    <row r="386" spans="1:31" s="7" customFormat="1" x14ac:dyDescent="0.25">
      <c r="A386" s="12"/>
      <c r="B386" s="9"/>
      <c r="C386" s="9"/>
      <c r="D386" s="9"/>
      <c r="E386" s="11"/>
      <c r="F386" s="11"/>
      <c r="G386" s="11"/>
      <c r="H386" s="11"/>
      <c r="I386" s="12"/>
      <c r="J386" s="12"/>
      <c r="K386" s="11"/>
      <c r="L386" s="11"/>
      <c r="M386" s="12"/>
      <c r="N386" s="12"/>
      <c r="O386" s="32"/>
      <c r="P386" s="9"/>
      <c r="Q386" s="9"/>
      <c r="R386" s="11"/>
      <c r="S386" s="13"/>
      <c r="T386" s="13"/>
      <c r="U386" s="13"/>
      <c r="V386" s="13"/>
      <c r="W386" s="13"/>
      <c r="X386" s="11"/>
      <c r="Y386" s="4" t="str">
        <f>IF(Tabela2[[#This Row],[SIGLA]]="","",VLOOKUP(Tabela2[[#This Row],[SIGLA]],Tabela1[[#All],[Sigla Arte]:[Crédito]],2,0))</f>
        <v/>
      </c>
      <c r="Z386" s="12"/>
      <c r="AA386" s="12" t="str">
        <f>Tabela2[[#This Row],[ILUSTRADOR CRIAÇÃO]]</f>
        <v/>
      </c>
      <c r="AB386" s="11"/>
      <c r="AC386" s="9"/>
      <c r="AD386" s="9"/>
      <c r="AE386" s="4" t="str">
        <f t="shared" ref="AE386:AE449" si="6">"EF1 E002 Port"</f>
        <v>EF1 E002 Port</v>
      </c>
    </row>
    <row r="387" spans="1:31" s="7" customFormat="1" x14ac:dyDescent="0.25">
      <c r="A387" s="12"/>
      <c r="B387" s="9"/>
      <c r="C387" s="9"/>
      <c r="D387" s="9"/>
      <c r="E387" s="11"/>
      <c r="F387" s="11"/>
      <c r="G387" s="11"/>
      <c r="H387" s="11"/>
      <c r="I387" s="12"/>
      <c r="J387" s="12"/>
      <c r="K387" s="11"/>
      <c r="L387" s="11"/>
      <c r="M387" s="12"/>
      <c r="N387" s="12"/>
      <c r="O387" s="32"/>
      <c r="P387" s="9"/>
      <c r="Q387" s="9"/>
      <c r="R387" s="11"/>
      <c r="S387" s="13"/>
      <c r="T387" s="13"/>
      <c r="U387" s="13"/>
      <c r="V387" s="13"/>
      <c r="W387" s="13"/>
      <c r="X387" s="11"/>
      <c r="Y387" s="4" t="str">
        <f>IF(Tabela2[[#This Row],[SIGLA]]="","",VLOOKUP(Tabela2[[#This Row],[SIGLA]],Tabela1[[#All],[Sigla Arte]:[Crédito]],2,0))</f>
        <v/>
      </c>
      <c r="Z387" s="12"/>
      <c r="AA387" s="12" t="str">
        <f>Tabela2[[#This Row],[ILUSTRADOR CRIAÇÃO]]</f>
        <v/>
      </c>
      <c r="AB387" s="11"/>
      <c r="AC387" s="9"/>
      <c r="AD387" s="9"/>
      <c r="AE387" s="4" t="str">
        <f t="shared" si="6"/>
        <v>EF1 E002 Port</v>
      </c>
    </row>
    <row r="388" spans="1:31" s="7" customFormat="1" x14ac:dyDescent="0.25">
      <c r="A388" s="12"/>
      <c r="B388" s="9"/>
      <c r="C388" s="9"/>
      <c r="D388" s="9"/>
      <c r="E388" s="11"/>
      <c r="F388" s="11"/>
      <c r="G388" s="11"/>
      <c r="H388" s="11"/>
      <c r="I388" s="12"/>
      <c r="J388" s="12"/>
      <c r="K388" s="11"/>
      <c r="L388" s="11"/>
      <c r="M388" s="12"/>
      <c r="N388" s="12"/>
      <c r="O388" s="32"/>
      <c r="P388" s="9"/>
      <c r="Q388" s="9"/>
      <c r="R388" s="11"/>
      <c r="S388" s="13"/>
      <c r="T388" s="13"/>
      <c r="U388" s="13"/>
      <c r="V388" s="13"/>
      <c r="W388" s="13"/>
      <c r="X388" s="11"/>
      <c r="Y388" s="4" t="str">
        <f>IF(Tabela2[[#This Row],[SIGLA]]="","",VLOOKUP(Tabela2[[#This Row],[SIGLA]],Tabela1[[#All],[Sigla Arte]:[Crédito]],2,0))</f>
        <v/>
      </c>
      <c r="Z388" s="12"/>
      <c r="AA388" s="12" t="str">
        <f>Tabela2[[#This Row],[ILUSTRADOR CRIAÇÃO]]</f>
        <v/>
      </c>
      <c r="AB388" s="11"/>
      <c r="AC388" s="9"/>
      <c r="AD388" s="9"/>
      <c r="AE388" s="4" t="str">
        <f t="shared" si="6"/>
        <v>EF1 E002 Port</v>
      </c>
    </row>
    <row r="389" spans="1:31" s="7" customFormat="1" x14ac:dyDescent="0.25">
      <c r="A389" s="12"/>
      <c r="B389" s="9"/>
      <c r="C389" s="9"/>
      <c r="D389" s="9"/>
      <c r="E389" s="11"/>
      <c r="F389" s="11"/>
      <c r="G389" s="11"/>
      <c r="H389" s="11"/>
      <c r="I389" s="12"/>
      <c r="J389" s="12"/>
      <c r="K389" s="11"/>
      <c r="L389" s="11"/>
      <c r="M389" s="12"/>
      <c r="N389" s="12"/>
      <c r="O389" s="32"/>
      <c r="P389" s="9"/>
      <c r="Q389" s="9"/>
      <c r="R389" s="11"/>
      <c r="S389" s="13"/>
      <c r="T389" s="13"/>
      <c r="U389" s="13"/>
      <c r="V389" s="13"/>
      <c r="W389" s="13"/>
      <c r="X389" s="11"/>
      <c r="Y389" s="4" t="str">
        <f>IF(Tabela2[[#This Row],[SIGLA]]="","",VLOOKUP(Tabela2[[#This Row],[SIGLA]],Tabela1[[#All],[Sigla Arte]:[Crédito]],2,0))</f>
        <v/>
      </c>
      <c r="Z389" s="12"/>
      <c r="AA389" s="12" t="str">
        <f>Tabela2[[#This Row],[ILUSTRADOR CRIAÇÃO]]</f>
        <v/>
      </c>
      <c r="AB389" s="11"/>
      <c r="AC389" s="9"/>
      <c r="AD389" s="9"/>
      <c r="AE389" s="4" t="str">
        <f t="shared" si="6"/>
        <v>EF1 E002 Port</v>
      </c>
    </row>
    <row r="390" spans="1:31" s="7" customFormat="1" x14ac:dyDescent="0.25">
      <c r="A390" s="12"/>
      <c r="B390" s="9"/>
      <c r="C390" s="9"/>
      <c r="D390" s="9"/>
      <c r="E390" s="11"/>
      <c r="F390" s="11"/>
      <c r="G390" s="11"/>
      <c r="H390" s="11"/>
      <c r="I390" s="12"/>
      <c r="J390" s="12"/>
      <c r="K390" s="11"/>
      <c r="L390" s="11"/>
      <c r="M390" s="12"/>
      <c r="N390" s="12"/>
      <c r="O390" s="32"/>
      <c r="P390" s="9"/>
      <c r="Q390" s="9"/>
      <c r="R390" s="11"/>
      <c r="S390" s="13"/>
      <c r="T390" s="13"/>
      <c r="U390" s="13"/>
      <c r="V390" s="13"/>
      <c r="W390" s="13"/>
      <c r="X390" s="11"/>
      <c r="Y390" s="4" t="str">
        <f>IF(Tabela2[[#This Row],[SIGLA]]="","",VLOOKUP(Tabela2[[#This Row],[SIGLA]],Tabela1[[#All],[Sigla Arte]:[Crédito]],2,0))</f>
        <v/>
      </c>
      <c r="Z390" s="12"/>
      <c r="AA390" s="12" t="str">
        <f>Tabela2[[#This Row],[ILUSTRADOR CRIAÇÃO]]</f>
        <v/>
      </c>
      <c r="AB390" s="11"/>
      <c r="AC390" s="9"/>
      <c r="AD390" s="9"/>
      <c r="AE390" s="4" t="str">
        <f t="shared" si="6"/>
        <v>EF1 E002 Port</v>
      </c>
    </row>
    <row r="391" spans="1:31" s="7" customFormat="1" x14ac:dyDescent="0.25">
      <c r="A391" s="12"/>
      <c r="B391" s="9"/>
      <c r="C391" s="9"/>
      <c r="D391" s="9"/>
      <c r="E391" s="11"/>
      <c r="F391" s="11"/>
      <c r="G391" s="11"/>
      <c r="H391" s="11"/>
      <c r="I391" s="12"/>
      <c r="J391" s="12"/>
      <c r="K391" s="11"/>
      <c r="L391" s="11"/>
      <c r="M391" s="12"/>
      <c r="N391" s="12"/>
      <c r="O391" s="32"/>
      <c r="P391" s="9"/>
      <c r="Q391" s="9"/>
      <c r="R391" s="11"/>
      <c r="S391" s="13"/>
      <c r="T391" s="13"/>
      <c r="U391" s="13"/>
      <c r="V391" s="13"/>
      <c r="W391" s="13"/>
      <c r="X391" s="11"/>
      <c r="Y391" s="4" t="str">
        <f>IF(Tabela2[[#This Row],[SIGLA]]="","",VLOOKUP(Tabela2[[#This Row],[SIGLA]],Tabela1[[#All],[Sigla Arte]:[Crédito]],2,0))</f>
        <v/>
      </c>
      <c r="Z391" s="12"/>
      <c r="AA391" s="12" t="str">
        <f>Tabela2[[#This Row],[ILUSTRADOR CRIAÇÃO]]</f>
        <v/>
      </c>
      <c r="AB391" s="11"/>
      <c r="AC391" s="9"/>
      <c r="AD391" s="9"/>
      <c r="AE391" s="4" t="str">
        <f t="shared" si="6"/>
        <v>EF1 E002 Port</v>
      </c>
    </row>
    <row r="392" spans="1:31" s="7" customFormat="1" x14ac:dyDescent="0.25">
      <c r="A392" s="12"/>
      <c r="B392" s="9"/>
      <c r="C392" s="9"/>
      <c r="D392" s="9"/>
      <c r="E392" s="11"/>
      <c r="F392" s="11"/>
      <c r="G392" s="11"/>
      <c r="H392" s="11"/>
      <c r="I392" s="12"/>
      <c r="J392" s="12"/>
      <c r="K392" s="11"/>
      <c r="L392" s="11"/>
      <c r="M392" s="12"/>
      <c r="N392" s="12"/>
      <c r="O392" s="32"/>
      <c r="P392" s="9"/>
      <c r="Q392" s="9"/>
      <c r="R392" s="11"/>
      <c r="S392" s="13"/>
      <c r="T392" s="13"/>
      <c r="U392" s="13"/>
      <c r="V392" s="13"/>
      <c r="W392" s="13"/>
      <c r="X392" s="11"/>
      <c r="Y392" s="4" t="str">
        <f>IF(Tabela2[[#This Row],[SIGLA]]="","",VLOOKUP(Tabela2[[#This Row],[SIGLA]],Tabela1[[#All],[Sigla Arte]:[Crédito]],2,0))</f>
        <v/>
      </c>
      <c r="Z392" s="12"/>
      <c r="AA392" s="12" t="str">
        <f>Tabela2[[#This Row],[ILUSTRADOR CRIAÇÃO]]</f>
        <v/>
      </c>
      <c r="AB392" s="11"/>
      <c r="AC392" s="9"/>
      <c r="AD392" s="9"/>
      <c r="AE392" s="4" t="str">
        <f t="shared" si="6"/>
        <v>EF1 E002 Port</v>
      </c>
    </row>
    <row r="393" spans="1:31" s="7" customFormat="1" x14ac:dyDescent="0.25">
      <c r="A393" s="12"/>
      <c r="B393" s="9"/>
      <c r="C393" s="9"/>
      <c r="D393" s="9"/>
      <c r="E393" s="11"/>
      <c r="F393" s="11"/>
      <c r="G393" s="11"/>
      <c r="H393" s="11"/>
      <c r="I393" s="12"/>
      <c r="J393" s="12"/>
      <c r="K393" s="11"/>
      <c r="L393" s="11"/>
      <c r="M393" s="12"/>
      <c r="N393" s="12"/>
      <c r="O393" s="32"/>
      <c r="P393" s="9"/>
      <c r="Q393" s="9"/>
      <c r="R393" s="11"/>
      <c r="S393" s="13"/>
      <c r="T393" s="13"/>
      <c r="U393" s="13"/>
      <c r="V393" s="13"/>
      <c r="W393" s="13"/>
      <c r="X393" s="11"/>
      <c r="Y393" s="4" t="str">
        <f>IF(Tabela2[[#This Row],[SIGLA]]="","",VLOOKUP(Tabela2[[#This Row],[SIGLA]],Tabela1[[#All],[Sigla Arte]:[Crédito]],2,0))</f>
        <v/>
      </c>
      <c r="Z393" s="12"/>
      <c r="AA393" s="12" t="str">
        <f>Tabela2[[#This Row],[ILUSTRADOR CRIAÇÃO]]</f>
        <v/>
      </c>
      <c r="AB393" s="11"/>
      <c r="AC393" s="9"/>
      <c r="AD393" s="9"/>
      <c r="AE393" s="4" t="str">
        <f t="shared" si="6"/>
        <v>EF1 E002 Port</v>
      </c>
    </row>
    <row r="394" spans="1:31" s="7" customFormat="1" x14ac:dyDescent="0.25">
      <c r="A394" s="12"/>
      <c r="B394" s="9"/>
      <c r="C394" s="9"/>
      <c r="D394" s="9"/>
      <c r="E394" s="11"/>
      <c r="F394" s="11"/>
      <c r="G394" s="11"/>
      <c r="H394" s="11"/>
      <c r="I394" s="12"/>
      <c r="J394" s="12"/>
      <c r="K394" s="11"/>
      <c r="L394" s="11"/>
      <c r="M394" s="12"/>
      <c r="N394" s="12"/>
      <c r="O394" s="32"/>
      <c r="P394" s="9"/>
      <c r="Q394" s="9"/>
      <c r="R394" s="11"/>
      <c r="S394" s="13"/>
      <c r="T394" s="13"/>
      <c r="U394" s="13"/>
      <c r="V394" s="13"/>
      <c r="W394" s="13"/>
      <c r="X394" s="11"/>
      <c r="Y394" s="4" t="str">
        <f>IF(Tabela2[[#This Row],[SIGLA]]="","",VLOOKUP(Tabela2[[#This Row],[SIGLA]],Tabela1[[#All],[Sigla Arte]:[Crédito]],2,0))</f>
        <v/>
      </c>
      <c r="Z394" s="12"/>
      <c r="AA394" s="12" t="str">
        <f>Tabela2[[#This Row],[ILUSTRADOR CRIAÇÃO]]</f>
        <v/>
      </c>
      <c r="AB394" s="11"/>
      <c r="AC394" s="9"/>
      <c r="AD394" s="9"/>
      <c r="AE394" s="4" t="str">
        <f t="shared" si="6"/>
        <v>EF1 E002 Port</v>
      </c>
    </row>
    <row r="395" spans="1:31" s="7" customFormat="1" x14ac:dyDescent="0.25">
      <c r="A395" s="12"/>
      <c r="B395" s="9"/>
      <c r="C395" s="9"/>
      <c r="D395" s="9"/>
      <c r="E395" s="11"/>
      <c r="F395" s="11"/>
      <c r="G395" s="11"/>
      <c r="H395" s="11"/>
      <c r="I395" s="12"/>
      <c r="J395" s="12"/>
      <c r="K395" s="11"/>
      <c r="L395" s="11"/>
      <c r="M395" s="12"/>
      <c r="N395" s="12"/>
      <c r="O395" s="32"/>
      <c r="P395" s="9"/>
      <c r="Q395" s="9"/>
      <c r="R395" s="11"/>
      <c r="S395" s="13"/>
      <c r="T395" s="13"/>
      <c r="U395" s="13"/>
      <c r="V395" s="13"/>
      <c r="W395" s="13"/>
      <c r="X395" s="11"/>
      <c r="Y395" s="4" t="str">
        <f>IF(Tabela2[[#This Row],[SIGLA]]="","",VLOOKUP(Tabela2[[#This Row],[SIGLA]],Tabela1[[#All],[Sigla Arte]:[Crédito]],2,0))</f>
        <v/>
      </c>
      <c r="Z395" s="12"/>
      <c r="AA395" s="12" t="str">
        <f>Tabela2[[#This Row],[ILUSTRADOR CRIAÇÃO]]</f>
        <v/>
      </c>
      <c r="AB395" s="11"/>
      <c r="AC395" s="9"/>
      <c r="AD395" s="9"/>
      <c r="AE395" s="4" t="str">
        <f t="shared" si="6"/>
        <v>EF1 E002 Port</v>
      </c>
    </row>
    <row r="396" spans="1:31" s="7" customFormat="1" x14ac:dyDescent="0.25">
      <c r="A396" s="12"/>
      <c r="B396" s="9"/>
      <c r="C396" s="9"/>
      <c r="D396" s="9"/>
      <c r="E396" s="11"/>
      <c r="F396" s="11"/>
      <c r="G396" s="11"/>
      <c r="H396" s="11"/>
      <c r="I396" s="12"/>
      <c r="J396" s="12"/>
      <c r="K396" s="11"/>
      <c r="L396" s="11"/>
      <c r="M396" s="12"/>
      <c r="N396" s="12"/>
      <c r="O396" s="32"/>
      <c r="P396" s="9"/>
      <c r="Q396" s="9"/>
      <c r="R396" s="11"/>
      <c r="S396" s="13"/>
      <c r="T396" s="13"/>
      <c r="U396" s="13"/>
      <c r="V396" s="13"/>
      <c r="W396" s="13"/>
      <c r="X396" s="11"/>
      <c r="Y396" s="4" t="str">
        <f>IF(Tabela2[[#This Row],[SIGLA]]="","",VLOOKUP(Tabela2[[#This Row],[SIGLA]],Tabela1[[#All],[Sigla Arte]:[Crédito]],2,0))</f>
        <v/>
      </c>
      <c r="Z396" s="12"/>
      <c r="AA396" s="12" t="str">
        <f>Tabela2[[#This Row],[ILUSTRADOR CRIAÇÃO]]</f>
        <v/>
      </c>
      <c r="AB396" s="11"/>
      <c r="AC396" s="9"/>
      <c r="AD396" s="9"/>
      <c r="AE396" s="4" t="str">
        <f t="shared" si="6"/>
        <v>EF1 E002 Port</v>
      </c>
    </row>
    <row r="397" spans="1:31" s="7" customFormat="1" x14ac:dyDescent="0.25">
      <c r="A397" s="12"/>
      <c r="B397" s="9"/>
      <c r="C397" s="9"/>
      <c r="D397" s="9"/>
      <c r="E397" s="11"/>
      <c r="F397" s="11"/>
      <c r="G397" s="11"/>
      <c r="H397" s="11"/>
      <c r="I397" s="12"/>
      <c r="J397" s="12"/>
      <c r="K397" s="11"/>
      <c r="L397" s="11"/>
      <c r="M397" s="12"/>
      <c r="N397" s="12"/>
      <c r="O397" s="32"/>
      <c r="P397" s="9"/>
      <c r="Q397" s="9"/>
      <c r="R397" s="11"/>
      <c r="S397" s="13"/>
      <c r="T397" s="13"/>
      <c r="U397" s="13"/>
      <c r="V397" s="13"/>
      <c r="W397" s="13"/>
      <c r="X397" s="11"/>
      <c r="Y397" s="4" t="str">
        <f>IF(Tabela2[[#This Row],[SIGLA]]="","",VLOOKUP(Tabela2[[#This Row],[SIGLA]],Tabela1[[#All],[Sigla Arte]:[Crédito]],2,0))</f>
        <v/>
      </c>
      <c r="Z397" s="12"/>
      <c r="AA397" s="12" t="str">
        <f>Tabela2[[#This Row],[ILUSTRADOR CRIAÇÃO]]</f>
        <v/>
      </c>
      <c r="AB397" s="11"/>
      <c r="AC397" s="9"/>
      <c r="AD397" s="9"/>
      <c r="AE397" s="4" t="str">
        <f t="shared" si="6"/>
        <v>EF1 E002 Port</v>
      </c>
    </row>
    <row r="398" spans="1:31" s="7" customFormat="1" x14ac:dyDescent="0.25">
      <c r="A398" s="12"/>
      <c r="B398" s="9"/>
      <c r="C398" s="9"/>
      <c r="D398" s="9"/>
      <c r="E398" s="11"/>
      <c r="F398" s="11"/>
      <c r="G398" s="11"/>
      <c r="H398" s="11"/>
      <c r="I398" s="12"/>
      <c r="J398" s="12"/>
      <c r="K398" s="11"/>
      <c r="L398" s="11"/>
      <c r="M398" s="12"/>
      <c r="N398" s="12"/>
      <c r="O398" s="32"/>
      <c r="P398" s="9"/>
      <c r="Q398" s="9"/>
      <c r="R398" s="11"/>
      <c r="S398" s="13"/>
      <c r="T398" s="13"/>
      <c r="U398" s="13"/>
      <c r="V398" s="13"/>
      <c r="W398" s="13"/>
      <c r="X398" s="11"/>
      <c r="Y398" s="4" t="str">
        <f>IF(Tabela2[[#This Row],[SIGLA]]="","",VLOOKUP(Tabela2[[#This Row],[SIGLA]],Tabela1[[#All],[Sigla Arte]:[Crédito]],2,0))</f>
        <v/>
      </c>
      <c r="Z398" s="12"/>
      <c r="AA398" s="12" t="str">
        <f>Tabela2[[#This Row],[ILUSTRADOR CRIAÇÃO]]</f>
        <v/>
      </c>
      <c r="AB398" s="11"/>
      <c r="AC398" s="9"/>
      <c r="AD398" s="9"/>
      <c r="AE398" s="4" t="str">
        <f t="shared" si="6"/>
        <v>EF1 E002 Port</v>
      </c>
    </row>
    <row r="399" spans="1:31" s="7" customFormat="1" x14ac:dyDescent="0.25">
      <c r="A399" s="12"/>
      <c r="B399" s="9"/>
      <c r="C399" s="9"/>
      <c r="D399" s="9"/>
      <c r="E399" s="11"/>
      <c r="F399" s="11"/>
      <c r="G399" s="11"/>
      <c r="H399" s="11"/>
      <c r="I399" s="12"/>
      <c r="J399" s="12"/>
      <c r="K399" s="11"/>
      <c r="L399" s="11"/>
      <c r="M399" s="12"/>
      <c r="N399" s="12"/>
      <c r="O399" s="32"/>
      <c r="P399" s="9"/>
      <c r="Q399" s="9"/>
      <c r="R399" s="11"/>
      <c r="S399" s="13"/>
      <c r="T399" s="13"/>
      <c r="U399" s="13"/>
      <c r="V399" s="13"/>
      <c r="W399" s="13"/>
      <c r="X399" s="11"/>
      <c r="Y399" s="4" t="str">
        <f>IF(Tabela2[[#This Row],[SIGLA]]="","",VLOOKUP(Tabela2[[#This Row],[SIGLA]],Tabela1[[#All],[Sigla Arte]:[Crédito]],2,0))</f>
        <v/>
      </c>
      <c r="Z399" s="12"/>
      <c r="AA399" s="12" t="str">
        <f>Tabela2[[#This Row],[ILUSTRADOR CRIAÇÃO]]</f>
        <v/>
      </c>
      <c r="AB399" s="11"/>
      <c r="AC399" s="9"/>
      <c r="AD399" s="9"/>
      <c r="AE399" s="4" t="str">
        <f t="shared" si="6"/>
        <v>EF1 E002 Port</v>
      </c>
    </row>
    <row r="400" spans="1:31" s="7" customFormat="1" x14ac:dyDescent="0.25">
      <c r="A400" s="12"/>
      <c r="B400" s="9"/>
      <c r="C400" s="9"/>
      <c r="D400" s="9"/>
      <c r="E400" s="11"/>
      <c r="F400" s="11"/>
      <c r="G400" s="11"/>
      <c r="H400" s="11"/>
      <c r="I400" s="12"/>
      <c r="J400" s="12"/>
      <c r="K400" s="11"/>
      <c r="L400" s="11"/>
      <c r="M400" s="12"/>
      <c r="N400" s="12"/>
      <c r="O400" s="32"/>
      <c r="P400" s="9"/>
      <c r="Q400" s="9"/>
      <c r="R400" s="11"/>
      <c r="S400" s="13"/>
      <c r="T400" s="13"/>
      <c r="U400" s="13"/>
      <c r="V400" s="13"/>
      <c r="W400" s="13"/>
      <c r="X400" s="11"/>
      <c r="Y400" s="4" t="str">
        <f>IF(Tabela2[[#This Row],[SIGLA]]="","",VLOOKUP(Tabela2[[#This Row],[SIGLA]],Tabela1[[#All],[Sigla Arte]:[Crédito]],2,0))</f>
        <v/>
      </c>
      <c r="Z400" s="12"/>
      <c r="AA400" s="12" t="str">
        <f>Tabela2[[#This Row],[ILUSTRADOR CRIAÇÃO]]</f>
        <v/>
      </c>
      <c r="AB400" s="11"/>
      <c r="AC400" s="9"/>
      <c r="AD400" s="9"/>
      <c r="AE400" s="4" t="str">
        <f t="shared" si="6"/>
        <v>EF1 E002 Port</v>
      </c>
    </row>
    <row r="401" spans="1:31" s="7" customFormat="1" x14ac:dyDescent="0.25">
      <c r="A401" s="12"/>
      <c r="B401" s="9"/>
      <c r="C401" s="9"/>
      <c r="D401" s="9"/>
      <c r="E401" s="11"/>
      <c r="F401" s="11"/>
      <c r="G401" s="11"/>
      <c r="H401" s="11"/>
      <c r="I401" s="12"/>
      <c r="J401" s="12"/>
      <c r="K401" s="11"/>
      <c r="L401" s="11"/>
      <c r="M401" s="12"/>
      <c r="N401" s="12"/>
      <c r="O401" s="32"/>
      <c r="P401" s="9"/>
      <c r="Q401" s="9"/>
      <c r="R401" s="11"/>
      <c r="S401" s="13"/>
      <c r="T401" s="13"/>
      <c r="U401" s="13"/>
      <c r="V401" s="13"/>
      <c r="W401" s="13"/>
      <c r="X401" s="11"/>
      <c r="Y401" s="4" t="str">
        <f>IF(Tabela2[[#This Row],[SIGLA]]="","",VLOOKUP(Tabela2[[#This Row],[SIGLA]],Tabela1[[#All],[Sigla Arte]:[Crédito]],2,0))</f>
        <v/>
      </c>
      <c r="Z401" s="12"/>
      <c r="AA401" s="12" t="str">
        <f>Tabela2[[#This Row],[ILUSTRADOR CRIAÇÃO]]</f>
        <v/>
      </c>
      <c r="AB401" s="11"/>
      <c r="AC401" s="9"/>
      <c r="AD401" s="9"/>
      <c r="AE401" s="4" t="str">
        <f t="shared" si="6"/>
        <v>EF1 E002 Port</v>
      </c>
    </row>
    <row r="402" spans="1:31" s="7" customFormat="1" x14ac:dyDescent="0.25">
      <c r="A402" s="12"/>
      <c r="B402" s="9"/>
      <c r="C402" s="9"/>
      <c r="D402" s="9"/>
      <c r="E402" s="11"/>
      <c r="F402" s="11"/>
      <c r="G402" s="11"/>
      <c r="H402" s="11"/>
      <c r="I402" s="12"/>
      <c r="J402" s="12"/>
      <c r="K402" s="11"/>
      <c r="L402" s="11"/>
      <c r="M402" s="12"/>
      <c r="N402" s="12"/>
      <c r="O402" s="32"/>
      <c r="P402" s="9"/>
      <c r="Q402" s="9"/>
      <c r="R402" s="11"/>
      <c r="S402" s="13"/>
      <c r="T402" s="13"/>
      <c r="U402" s="13"/>
      <c r="V402" s="13"/>
      <c r="W402" s="13"/>
      <c r="X402" s="11"/>
      <c r="Y402" s="4" t="str">
        <f>IF(Tabela2[[#This Row],[SIGLA]]="","",VLOOKUP(Tabela2[[#This Row],[SIGLA]],Tabela1[[#All],[Sigla Arte]:[Crédito]],2,0))</f>
        <v/>
      </c>
      <c r="Z402" s="12"/>
      <c r="AA402" s="12" t="str">
        <f>Tabela2[[#This Row],[ILUSTRADOR CRIAÇÃO]]</f>
        <v/>
      </c>
      <c r="AB402" s="11"/>
      <c r="AC402" s="9"/>
      <c r="AD402" s="9"/>
      <c r="AE402" s="4" t="str">
        <f t="shared" si="6"/>
        <v>EF1 E002 Port</v>
      </c>
    </row>
    <row r="403" spans="1:31" s="7" customFormat="1" x14ac:dyDescent="0.25">
      <c r="A403" s="12"/>
      <c r="B403" s="9"/>
      <c r="C403" s="9"/>
      <c r="D403" s="9"/>
      <c r="E403" s="11"/>
      <c r="F403" s="11"/>
      <c r="G403" s="11"/>
      <c r="H403" s="11"/>
      <c r="I403" s="12"/>
      <c r="J403" s="12"/>
      <c r="K403" s="11"/>
      <c r="L403" s="11"/>
      <c r="M403" s="12"/>
      <c r="N403" s="12"/>
      <c r="O403" s="32"/>
      <c r="P403" s="9"/>
      <c r="Q403" s="9"/>
      <c r="R403" s="11"/>
      <c r="S403" s="13"/>
      <c r="T403" s="13"/>
      <c r="U403" s="13"/>
      <c r="V403" s="13"/>
      <c r="W403" s="13"/>
      <c r="X403" s="11"/>
      <c r="Y403" s="4" t="str">
        <f>IF(Tabela2[[#This Row],[SIGLA]]="","",VLOOKUP(Tabela2[[#This Row],[SIGLA]],Tabela1[[#All],[Sigla Arte]:[Crédito]],2,0))</f>
        <v/>
      </c>
      <c r="Z403" s="12"/>
      <c r="AA403" s="12" t="str">
        <f>Tabela2[[#This Row],[ILUSTRADOR CRIAÇÃO]]</f>
        <v/>
      </c>
      <c r="AB403" s="11"/>
      <c r="AC403" s="9"/>
      <c r="AD403" s="9"/>
      <c r="AE403" s="4" t="str">
        <f t="shared" si="6"/>
        <v>EF1 E002 Port</v>
      </c>
    </row>
    <row r="404" spans="1:31" s="7" customFormat="1" x14ac:dyDescent="0.25">
      <c r="A404" s="12"/>
      <c r="B404" s="9"/>
      <c r="C404" s="9"/>
      <c r="D404" s="9"/>
      <c r="E404" s="11"/>
      <c r="F404" s="11"/>
      <c r="G404" s="11"/>
      <c r="H404" s="11"/>
      <c r="I404" s="12"/>
      <c r="J404" s="12"/>
      <c r="K404" s="11"/>
      <c r="L404" s="11"/>
      <c r="M404" s="12"/>
      <c r="N404" s="12"/>
      <c r="O404" s="32"/>
      <c r="P404" s="9"/>
      <c r="Q404" s="9"/>
      <c r="R404" s="11"/>
      <c r="S404" s="13"/>
      <c r="T404" s="13"/>
      <c r="U404" s="13"/>
      <c r="V404" s="13"/>
      <c r="W404" s="13"/>
      <c r="X404" s="11"/>
      <c r="Y404" s="4" t="str">
        <f>IF(Tabela2[[#This Row],[SIGLA]]="","",VLOOKUP(Tabela2[[#This Row],[SIGLA]],Tabela1[[#All],[Sigla Arte]:[Crédito]],2,0))</f>
        <v/>
      </c>
      <c r="Z404" s="12"/>
      <c r="AA404" s="12" t="str">
        <f>Tabela2[[#This Row],[ILUSTRADOR CRIAÇÃO]]</f>
        <v/>
      </c>
      <c r="AB404" s="11"/>
      <c r="AC404" s="9"/>
      <c r="AD404" s="9"/>
      <c r="AE404" s="4" t="str">
        <f t="shared" si="6"/>
        <v>EF1 E002 Port</v>
      </c>
    </row>
    <row r="405" spans="1:31" s="7" customFormat="1" x14ac:dyDescent="0.25">
      <c r="A405" s="12"/>
      <c r="B405" s="9"/>
      <c r="C405" s="9"/>
      <c r="D405" s="9"/>
      <c r="E405" s="11"/>
      <c r="F405" s="11"/>
      <c r="G405" s="11"/>
      <c r="H405" s="11"/>
      <c r="I405" s="12"/>
      <c r="J405" s="12"/>
      <c r="K405" s="11"/>
      <c r="L405" s="11"/>
      <c r="M405" s="12"/>
      <c r="N405" s="12"/>
      <c r="O405" s="32"/>
      <c r="P405" s="9"/>
      <c r="Q405" s="9"/>
      <c r="R405" s="11"/>
      <c r="S405" s="13"/>
      <c r="T405" s="13"/>
      <c r="U405" s="13"/>
      <c r="V405" s="13"/>
      <c r="W405" s="13"/>
      <c r="X405" s="11"/>
      <c r="Y405" s="4" t="str">
        <f>IF(Tabela2[[#This Row],[SIGLA]]="","",VLOOKUP(Tabela2[[#This Row],[SIGLA]],Tabela1[[#All],[Sigla Arte]:[Crédito]],2,0))</f>
        <v/>
      </c>
      <c r="Z405" s="12"/>
      <c r="AA405" s="12" t="str">
        <f>Tabela2[[#This Row],[ILUSTRADOR CRIAÇÃO]]</f>
        <v/>
      </c>
      <c r="AB405" s="11"/>
      <c r="AC405" s="9"/>
      <c r="AD405" s="9"/>
      <c r="AE405" s="4" t="str">
        <f t="shared" si="6"/>
        <v>EF1 E002 Port</v>
      </c>
    </row>
    <row r="406" spans="1:31" s="7" customFormat="1" x14ac:dyDescent="0.25">
      <c r="A406" s="12"/>
      <c r="B406" s="9"/>
      <c r="C406" s="9"/>
      <c r="D406" s="9"/>
      <c r="E406" s="11"/>
      <c r="F406" s="11"/>
      <c r="G406" s="11"/>
      <c r="H406" s="11"/>
      <c r="I406" s="12"/>
      <c r="J406" s="12"/>
      <c r="K406" s="11"/>
      <c r="L406" s="11"/>
      <c r="M406" s="12"/>
      <c r="N406" s="12"/>
      <c r="O406" s="32"/>
      <c r="P406" s="9"/>
      <c r="Q406" s="9"/>
      <c r="R406" s="11"/>
      <c r="S406" s="13"/>
      <c r="T406" s="13"/>
      <c r="U406" s="13"/>
      <c r="V406" s="13"/>
      <c r="W406" s="13"/>
      <c r="X406" s="11"/>
      <c r="Y406" s="4" t="str">
        <f>IF(Tabela2[[#This Row],[SIGLA]]="","",VLOOKUP(Tabela2[[#This Row],[SIGLA]],Tabela1[[#All],[Sigla Arte]:[Crédito]],2,0))</f>
        <v/>
      </c>
      <c r="Z406" s="12"/>
      <c r="AA406" s="12" t="str">
        <f>Tabela2[[#This Row],[ILUSTRADOR CRIAÇÃO]]</f>
        <v/>
      </c>
      <c r="AB406" s="11"/>
      <c r="AC406" s="9"/>
      <c r="AD406" s="9"/>
      <c r="AE406" s="4" t="str">
        <f t="shared" si="6"/>
        <v>EF1 E002 Port</v>
      </c>
    </row>
    <row r="407" spans="1:31" s="7" customFormat="1" x14ac:dyDescent="0.25">
      <c r="A407" s="12"/>
      <c r="B407" s="9"/>
      <c r="C407" s="9"/>
      <c r="D407" s="9"/>
      <c r="E407" s="11"/>
      <c r="F407" s="11"/>
      <c r="G407" s="11"/>
      <c r="H407" s="11"/>
      <c r="I407" s="12"/>
      <c r="J407" s="12"/>
      <c r="K407" s="11"/>
      <c r="L407" s="11"/>
      <c r="M407" s="12"/>
      <c r="N407" s="12"/>
      <c r="O407" s="32"/>
      <c r="P407" s="9"/>
      <c r="Q407" s="9"/>
      <c r="R407" s="11"/>
      <c r="S407" s="13"/>
      <c r="T407" s="13"/>
      <c r="U407" s="13"/>
      <c r="V407" s="13"/>
      <c r="W407" s="13"/>
      <c r="X407" s="11"/>
      <c r="Y407" s="4" t="str">
        <f>IF(Tabela2[[#This Row],[SIGLA]]="","",VLOOKUP(Tabela2[[#This Row],[SIGLA]],Tabela1[[#All],[Sigla Arte]:[Crédito]],2,0))</f>
        <v/>
      </c>
      <c r="Z407" s="12"/>
      <c r="AA407" s="12" t="str">
        <f>Tabela2[[#This Row],[ILUSTRADOR CRIAÇÃO]]</f>
        <v/>
      </c>
      <c r="AB407" s="11"/>
      <c r="AC407" s="9"/>
      <c r="AD407" s="9"/>
      <c r="AE407" s="4" t="str">
        <f t="shared" si="6"/>
        <v>EF1 E002 Port</v>
      </c>
    </row>
    <row r="408" spans="1:31" s="7" customFormat="1" x14ac:dyDescent="0.25">
      <c r="A408" s="12"/>
      <c r="B408" s="9"/>
      <c r="C408" s="9"/>
      <c r="D408" s="9"/>
      <c r="E408" s="11"/>
      <c r="F408" s="11"/>
      <c r="G408" s="11"/>
      <c r="H408" s="11"/>
      <c r="I408" s="12"/>
      <c r="J408" s="12"/>
      <c r="K408" s="11"/>
      <c r="L408" s="11"/>
      <c r="M408" s="12"/>
      <c r="N408" s="12"/>
      <c r="O408" s="32"/>
      <c r="P408" s="9"/>
      <c r="Q408" s="9"/>
      <c r="R408" s="11"/>
      <c r="S408" s="13"/>
      <c r="T408" s="13"/>
      <c r="U408" s="13"/>
      <c r="V408" s="13"/>
      <c r="W408" s="13"/>
      <c r="X408" s="11"/>
      <c r="Y408" s="4" t="str">
        <f>IF(Tabela2[[#This Row],[SIGLA]]="","",VLOOKUP(Tabela2[[#This Row],[SIGLA]],Tabela1[[#All],[Sigla Arte]:[Crédito]],2,0))</f>
        <v/>
      </c>
      <c r="Z408" s="12"/>
      <c r="AA408" s="12" t="str">
        <f>Tabela2[[#This Row],[ILUSTRADOR CRIAÇÃO]]</f>
        <v/>
      </c>
      <c r="AB408" s="11"/>
      <c r="AC408" s="9"/>
      <c r="AD408" s="9"/>
      <c r="AE408" s="4" t="str">
        <f t="shared" si="6"/>
        <v>EF1 E002 Port</v>
      </c>
    </row>
    <row r="409" spans="1:31" s="7" customFormat="1" x14ac:dyDescent="0.25">
      <c r="A409" s="12"/>
      <c r="B409" s="9"/>
      <c r="C409" s="9"/>
      <c r="D409" s="9"/>
      <c r="E409" s="11"/>
      <c r="F409" s="11"/>
      <c r="G409" s="11"/>
      <c r="H409" s="11"/>
      <c r="I409" s="12"/>
      <c r="J409" s="12"/>
      <c r="K409" s="11"/>
      <c r="L409" s="11"/>
      <c r="M409" s="12"/>
      <c r="N409" s="12"/>
      <c r="O409" s="32"/>
      <c r="P409" s="9"/>
      <c r="Q409" s="9"/>
      <c r="R409" s="11"/>
      <c r="S409" s="13"/>
      <c r="T409" s="13"/>
      <c r="U409" s="13"/>
      <c r="V409" s="13"/>
      <c r="W409" s="13"/>
      <c r="X409" s="11"/>
      <c r="Y409" s="4" t="str">
        <f>IF(Tabela2[[#This Row],[SIGLA]]="","",VLOOKUP(Tabela2[[#This Row],[SIGLA]],Tabela1[[#All],[Sigla Arte]:[Crédito]],2,0))</f>
        <v/>
      </c>
      <c r="Z409" s="12"/>
      <c r="AA409" s="12" t="str">
        <f>Tabela2[[#This Row],[ILUSTRADOR CRIAÇÃO]]</f>
        <v/>
      </c>
      <c r="AB409" s="11"/>
      <c r="AC409" s="9"/>
      <c r="AD409" s="9"/>
      <c r="AE409" s="4" t="str">
        <f t="shared" si="6"/>
        <v>EF1 E002 Port</v>
      </c>
    </row>
    <row r="410" spans="1:31" s="7" customFormat="1" x14ac:dyDescent="0.25">
      <c r="A410" s="12"/>
      <c r="B410" s="9"/>
      <c r="C410" s="9"/>
      <c r="D410" s="9"/>
      <c r="E410" s="11"/>
      <c r="F410" s="11"/>
      <c r="G410" s="11"/>
      <c r="H410" s="11"/>
      <c r="I410" s="12"/>
      <c r="J410" s="12"/>
      <c r="K410" s="11"/>
      <c r="L410" s="11"/>
      <c r="M410" s="12"/>
      <c r="N410" s="12"/>
      <c r="O410" s="32"/>
      <c r="P410" s="9"/>
      <c r="Q410" s="9"/>
      <c r="R410" s="11"/>
      <c r="S410" s="13"/>
      <c r="T410" s="13"/>
      <c r="U410" s="13"/>
      <c r="V410" s="13"/>
      <c r="W410" s="13"/>
      <c r="X410" s="11"/>
      <c r="Y410" s="4" t="str">
        <f>IF(Tabela2[[#This Row],[SIGLA]]="","",VLOOKUP(Tabela2[[#This Row],[SIGLA]],Tabela1[[#All],[Sigla Arte]:[Crédito]],2,0))</f>
        <v/>
      </c>
      <c r="Z410" s="12"/>
      <c r="AA410" s="12" t="str">
        <f>Tabela2[[#This Row],[ILUSTRADOR CRIAÇÃO]]</f>
        <v/>
      </c>
      <c r="AB410" s="11"/>
      <c r="AC410" s="9"/>
      <c r="AD410" s="9"/>
      <c r="AE410" s="4" t="str">
        <f t="shared" si="6"/>
        <v>EF1 E002 Port</v>
      </c>
    </row>
    <row r="411" spans="1:31" s="7" customFormat="1" x14ac:dyDescent="0.25">
      <c r="A411" s="12"/>
      <c r="B411" s="9"/>
      <c r="C411" s="9"/>
      <c r="D411" s="9"/>
      <c r="E411" s="11"/>
      <c r="F411" s="11"/>
      <c r="G411" s="11"/>
      <c r="H411" s="11"/>
      <c r="I411" s="12"/>
      <c r="J411" s="12"/>
      <c r="K411" s="11"/>
      <c r="L411" s="11"/>
      <c r="M411" s="12"/>
      <c r="N411" s="12"/>
      <c r="O411" s="32"/>
      <c r="P411" s="9"/>
      <c r="Q411" s="9"/>
      <c r="R411" s="11"/>
      <c r="S411" s="13"/>
      <c r="T411" s="13"/>
      <c r="U411" s="13"/>
      <c r="V411" s="13"/>
      <c r="W411" s="13"/>
      <c r="X411" s="11"/>
      <c r="Y411" s="4" t="str">
        <f>IF(Tabela2[[#This Row],[SIGLA]]="","",VLOOKUP(Tabela2[[#This Row],[SIGLA]],Tabela1[[#All],[Sigla Arte]:[Crédito]],2,0))</f>
        <v/>
      </c>
      <c r="Z411" s="12"/>
      <c r="AA411" s="12" t="str">
        <f>Tabela2[[#This Row],[ILUSTRADOR CRIAÇÃO]]</f>
        <v/>
      </c>
      <c r="AB411" s="11"/>
      <c r="AC411" s="9"/>
      <c r="AD411" s="9"/>
      <c r="AE411" s="4" t="str">
        <f t="shared" si="6"/>
        <v>EF1 E002 Port</v>
      </c>
    </row>
    <row r="412" spans="1:31" s="7" customFormat="1" x14ac:dyDescent="0.25">
      <c r="A412" s="12"/>
      <c r="B412" s="9"/>
      <c r="C412" s="9"/>
      <c r="D412" s="9"/>
      <c r="E412" s="11"/>
      <c r="F412" s="11"/>
      <c r="G412" s="11"/>
      <c r="H412" s="11"/>
      <c r="I412" s="12"/>
      <c r="J412" s="12"/>
      <c r="K412" s="11"/>
      <c r="L412" s="11"/>
      <c r="M412" s="12"/>
      <c r="N412" s="12"/>
      <c r="O412" s="32"/>
      <c r="P412" s="9"/>
      <c r="Q412" s="9"/>
      <c r="R412" s="11"/>
      <c r="S412" s="13"/>
      <c r="T412" s="13"/>
      <c r="U412" s="13"/>
      <c r="V412" s="13"/>
      <c r="W412" s="13"/>
      <c r="X412" s="11"/>
      <c r="Y412" s="4" t="str">
        <f>IF(Tabela2[[#This Row],[SIGLA]]="","",VLOOKUP(Tabela2[[#This Row],[SIGLA]],Tabela1[[#All],[Sigla Arte]:[Crédito]],2,0))</f>
        <v/>
      </c>
      <c r="Z412" s="12"/>
      <c r="AA412" s="12" t="str">
        <f>Tabela2[[#This Row],[ILUSTRADOR CRIAÇÃO]]</f>
        <v/>
      </c>
      <c r="AB412" s="11"/>
      <c r="AC412" s="9"/>
      <c r="AD412" s="9"/>
      <c r="AE412" s="4" t="str">
        <f t="shared" si="6"/>
        <v>EF1 E002 Port</v>
      </c>
    </row>
    <row r="413" spans="1:31" s="7" customFormat="1" x14ac:dyDescent="0.25">
      <c r="A413" s="12"/>
      <c r="B413" s="9"/>
      <c r="C413" s="9"/>
      <c r="D413" s="9"/>
      <c r="E413" s="11"/>
      <c r="F413" s="11"/>
      <c r="G413" s="11"/>
      <c r="H413" s="11"/>
      <c r="I413" s="12"/>
      <c r="J413" s="12"/>
      <c r="K413" s="11"/>
      <c r="L413" s="11"/>
      <c r="M413" s="12"/>
      <c r="N413" s="12"/>
      <c r="O413" s="32"/>
      <c r="P413" s="9"/>
      <c r="Q413" s="9"/>
      <c r="R413" s="11"/>
      <c r="S413" s="13"/>
      <c r="T413" s="13"/>
      <c r="U413" s="13"/>
      <c r="V413" s="13"/>
      <c r="W413" s="13"/>
      <c r="X413" s="11"/>
      <c r="Y413" s="4" t="str">
        <f>IF(Tabela2[[#This Row],[SIGLA]]="","",VLOOKUP(Tabela2[[#This Row],[SIGLA]],Tabela1[[#All],[Sigla Arte]:[Crédito]],2,0))</f>
        <v/>
      </c>
      <c r="Z413" s="12"/>
      <c r="AA413" s="12" t="str">
        <f>Tabela2[[#This Row],[ILUSTRADOR CRIAÇÃO]]</f>
        <v/>
      </c>
      <c r="AB413" s="11"/>
      <c r="AC413" s="9"/>
      <c r="AD413" s="9"/>
      <c r="AE413" s="4" t="str">
        <f t="shared" si="6"/>
        <v>EF1 E002 Port</v>
      </c>
    </row>
    <row r="414" spans="1:31" s="7" customFormat="1" x14ac:dyDescent="0.25">
      <c r="A414" s="12"/>
      <c r="B414" s="9"/>
      <c r="C414" s="9"/>
      <c r="D414" s="9"/>
      <c r="E414" s="11"/>
      <c r="F414" s="11"/>
      <c r="G414" s="11"/>
      <c r="H414" s="11"/>
      <c r="I414" s="12"/>
      <c r="J414" s="12"/>
      <c r="K414" s="11"/>
      <c r="L414" s="11"/>
      <c r="M414" s="12"/>
      <c r="N414" s="12"/>
      <c r="O414" s="32"/>
      <c r="P414" s="9"/>
      <c r="Q414" s="9"/>
      <c r="R414" s="11"/>
      <c r="S414" s="13"/>
      <c r="T414" s="13"/>
      <c r="U414" s="13"/>
      <c r="V414" s="13"/>
      <c r="W414" s="13"/>
      <c r="X414" s="11"/>
      <c r="Y414" s="4" t="str">
        <f>IF(Tabela2[[#This Row],[SIGLA]]="","",VLOOKUP(Tabela2[[#This Row],[SIGLA]],Tabela1[[#All],[Sigla Arte]:[Crédito]],2,0))</f>
        <v/>
      </c>
      <c r="Z414" s="12"/>
      <c r="AA414" s="12" t="str">
        <f>Tabela2[[#This Row],[ILUSTRADOR CRIAÇÃO]]</f>
        <v/>
      </c>
      <c r="AB414" s="11"/>
      <c r="AC414" s="9"/>
      <c r="AD414" s="9"/>
      <c r="AE414" s="4" t="str">
        <f t="shared" si="6"/>
        <v>EF1 E002 Port</v>
      </c>
    </row>
    <row r="415" spans="1:31" s="7" customFormat="1" x14ac:dyDescent="0.25">
      <c r="A415" s="12"/>
      <c r="B415" s="9"/>
      <c r="C415" s="9"/>
      <c r="D415" s="9"/>
      <c r="E415" s="11"/>
      <c r="F415" s="11"/>
      <c r="G415" s="11"/>
      <c r="H415" s="11"/>
      <c r="I415" s="12"/>
      <c r="J415" s="12"/>
      <c r="K415" s="11"/>
      <c r="L415" s="11"/>
      <c r="M415" s="12"/>
      <c r="N415" s="12"/>
      <c r="O415" s="32"/>
      <c r="P415" s="9"/>
      <c r="Q415" s="9"/>
      <c r="R415" s="11"/>
      <c r="S415" s="13"/>
      <c r="T415" s="13"/>
      <c r="U415" s="13"/>
      <c r="V415" s="13"/>
      <c r="W415" s="13"/>
      <c r="X415" s="11"/>
      <c r="Y415" s="4" t="str">
        <f>IF(Tabela2[[#This Row],[SIGLA]]="","",VLOOKUP(Tabela2[[#This Row],[SIGLA]],Tabela1[[#All],[Sigla Arte]:[Crédito]],2,0))</f>
        <v/>
      </c>
      <c r="Z415" s="12"/>
      <c r="AA415" s="12" t="str">
        <f>Tabela2[[#This Row],[ILUSTRADOR CRIAÇÃO]]</f>
        <v/>
      </c>
      <c r="AB415" s="11"/>
      <c r="AC415" s="9"/>
      <c r="AD415" s="9"/>
      <c r="AE415" s="4" t="str">
        <f t="shared" si="6"/>
        <v>EF1 E002 Port</v>
      </c>
    </row>
    <row r="416" spans="1:31" s="7" customFormat="1" x14ac:dyDescent="0.25">
      <c r="A416" s="12"/>
      <c r="B416" s="9"/>
      <c r="C416" s="9"/>
      <c r="D416" s="9"/>
      <c r="E416" s="11"/>
      <c r="F416" s="11"/>
      <c r="G416" s="11"/>
      <c r="H416" s="11"/>
      <c r="I416" s="12"/>
      <c r="J416" s="12"/>
      <c r="K416" s="11"/>
      <c r="L416" s="11"/>
      <c r="M416" s="12"/>
      <c r="N416" s="12"/>
      <c r="O416" s="32"/>
      <c r="P416" s="9"/>
      <c r="Q416" s="9"/>
      <c r="R416" s="11"/>
      <c r="S416" s="13"/>
      <c r="T416" s="13"/>
      <c r="U416" s="13"/>
      <c r="V416" s="13"/>
      <c r="W416" s="13"/>
      <c r="X416" s="11"/>
      <c r="Y416" s="4" t="str">
        <f>IF(Tabela2[[#This Row],[SIGLA]]="","",VLOOKUP(Tabela2[[#This Row],[SIGLA]],Tabela1[[#All],[Sigla Arte]:[Crédito]],2,0))</f>
        <v/>
      </c>
      <c r="Z416" s="12"/>
      <c r="AA416" s="12" t="str">
        <f>Tabela2[[#This Row],[ILUSTRADOR CRIAÇÃO]]</f>
        <v/>
      </c>
      <c r="AB416" s="11"/>
      <c r="AC416" s="9"/>
      <c r="AD416" s="9"/>
      <c r="AE416" s="4" t="str">
        <f t="shared" si="6"/>
        <v>EF1 E002 Port</v>
      </c>
    </row>
    <row r="417" spans="1:31" s="7" customFormat="1" x14ac:dyDescent="0.25">
      <c r="A417" s="12"/>
      <c r="B417" s="9"/>
      <c r="C417" s="9"/>
      <c r="D417" s="9"/>
      <c r="E417" s="11"/>
      <c r="F417" s="11"/>
      <c r="G417" s="11"/>
      <c r="H417" s="11"/>
      <c r="I417" s="12"/>
      <c r="J417" s="12"/>
      <c r="K417" s="11"/>
      <c r="L417" s="11"/>
      <c r="M417" s="12"/>
      <c r="N417" s="12"/>
      <c r="O417" s="32"/>
      <c r="P417" s="9"/>
      <c r="Q417" s="9"/>
      <c r="R417" s="11"/>
      <c r="S417" s="13"/>
      <c r="T417" s="13"/>
      <c r="U417" s="13"/>
      <c r="V417" s="13"/>
      <c r="W417" s="13"/>
      <c r="X417" s="11"/>
      <c r="Y417" s="4" t="str">
        <f>IF(Tabela2[[#This Row],[SIGLA]]="","",VLOOKUP(Tabela2[[#This Row],[SIGLA]],Tabela1[[#All],[Sigla Arte]:[Crédito]],2,0))</f>
        <v/>
      </c>
      <c r="Z417" s="12"/>
      <c r="AA417" s="12" t="str">
        <f>Tabela2[[#This Row],[ILUSTRADOR CRIAÇÃO]]</f>
        <v/>
      </c>
      <c r="AB417" s="11"/>
      <c r="AC417" s="9"/>
      <c r="AD417" s="9"/>
      <c r="AE417" s="4" t="str">
        <f t="shared" si="6"/>
        <v>EF1 E002 Port</v>
      </c>
    </row>
    <row r="418" spans="1:31" s="7" customFormat="1" x14ac:dyDescent="0.25">
      <c r="A418" s="12"/>
      <c r="B418" s="9"/>
      <c r="C418" s="9"/>
      <c r="D418" s="9"/>
      <c r="E418" s="11"/>
      <c r="F418" s="11"/>
      <c r="G418" s="11"/>
      <c r="H418" s="11"/>
      <c r="I418" s="12"/>
      <c r="J418" s="12"/>
      <c r="K418" s="11"/>
      <c r="L418" s="11"/>
      <c r="M418" s="12"/>
      <c r="N418" s="12"/>
      <c r="O418" s="32"/>
      <c r="P418" s="9"/>
      <c r="Q418" s="9"/>
      <c r="R418" s="11"/>
      <c r="S418" s="13"/>
      <c r="T418" s="13"/>
      <c r="U418" s="13"/>
      <c r="V418" s="13"/>
      <c r="W418" s="13"/>
      <c r="X418" s="11"/>
      <c r="Y418" s="4" t="str">
        <f>IF(Tabela2[[#This Row],[SIGLA]]="","",VLOOKUP(Tabela2[[#This Row],[SIGLA]],Tabela1[[#All],[Sigla Arte]:[Crédito]],2,0))</f>
        <v/>
      </c>
      <c r="Z418" s="12"/>
      <c r="AA418" s="12" t="str">
        <f>Tabela2[[#This Row],[ILUSTRADOR CRIAÇÃO]]</f>
        <v/>
      </c>
      <c r="AB418" s="11"/>
      <c r="AC418" s="9"/>
      <c r="AD418" s="9"/>
      <c r="AE418" s="4" t="str">
        <f t="shared" si="6"/>
        <v>EF1 E002 Port</v>
      </c>
    </row>
    <row r="419" spans="1:31" s="7" customFormat="1" x14ac:dyDescent="0.25">
      <c r="A419" s="12"/>
      <c r="B419" s="9"/>
      <c r="C419" s="9"/>
      <c r="D419" s="9"/>
      <c r="E419" s="11"/>
      <c r="F419" s="11"/>
      <c r="G419" s="11"/>
      <c r="H419" s="11"/>
      <c r="I419" s="12"/>
      <c r="J419" s="12"/>
      <c r="K419" s="11"/>
      <c r="L419" s="11"/>
      <c r="M419" s="12"/>
      <c r="N419" s="12"/>
      <c r="O419" s="32"/>
      <c r="P419" s="9"/>
      <c r="Q419" s="9"/>
      <c r="R419" s="11"/>
      <c r="S419" s="13"/>
      <c r="T419" s="13"/>
      <c r="U419" s="13"/>
      <c r="V419" s="13"/>
      <c r="W419" s="13"/>
      <c r="X419" s="11"/>
      <c r="Y419" s="4" t="str">
        <f>IF(Tabela2[[#This Row],[SIGLA]]="","",VLOOKUP(Tabela2[[#This Row],[SIGLA]],Tabela1[[#All],[Sigla Arte]:[Crédito]],2,0))</f>
        <v/>
      </c>
      <c r="Z419" s="12"/>
      <c r="AA419" s="12" t="str">
        <f>Tabela2[[#This Row],[ILUSTRADOR CRIAÇÃO]]</f>
        <v/>
      </c>
      <c r="AB419" s="11"/>
      <c r="AC419" s="9"/>
      <c r="AD419" s="9"/>
      <c r="AE419" s="4" t="str">
        <f t="shared" si="6"/>
        <v>EF1 E002 Port</v>
      </c>
    </row>
    <row r="420" spans="1:31" s="7" customFormat="1" x14ac:dyDescent="0.25">
      <c r="A420" s="12"/>
      <c r="B420" s="9"/>
      <c r="C420" s="9"/>
      <c r="D420" s="9"/>
      <c r="E420" s="11"/>
      <c r="F420" s="11"/>
      <c r="G420" s="11"/>
      <c r="H420" s="11"/>
      <c r="I420" s="12"/>
      <c r="J420" s="12"/>
      <c r="K420" s="11"/>
      <c r="L420" s="11"/>
      <c r="M420" s="12"/>
      <c r="N420" s="12"/>
      <c r="O420" s="32"/>
      <c r="P420" s="9"/>
      <c r="Q420" s="9"/>
      <c r="R420" s="11"/>
      <c r="S420" s="13"/>
      <c r="T420" s="13"/>
      <c r="U420" s="13"/>
      <c r="V420" s="13"/>
      <c r="W420" s="13"/>
      <c r="X420" s="11"/>
      <c r="Y420" s="4" t="str">
        <f>IF(Tabela2[[#This Row],[SIGLA]]="","",VLOOKUP(Tabela2[[#This Row],[SIGLA]],Tabela1[[#All],[Sigla Arte]:[Crédito]],2,0))</f>
        <v/>
      </c>
      <c r="Z420" s="12"/>
      <c r="AA420" s="12" t="str">
        <f>Tabela2[[#This Row],[ILUSTRADOR CRIAÇÃO]]</f>
        <v/>
      </c>
      <c r="AB420" s="11"/>
      <c r="AC420" s="9"/>
      <c r="AD420" s="9"/>
      <c r="AE420" s="4" t="str">
        <f t="shared" si="6"/>
        <v>EF1 E002 Port</v>
      </c>
    </row>
    <row r="421" spans="1:31" s="7" customFormat="1" x14ac:dyDescent="0.25">
      <c r="A421" s="12"/>
      <c r="B421" s="9"/>
      <c r="C421" s="9"/>
      <c r="D421" s="9"/>
      <c r="E421" s="11"/>
      <c r="F421" s="11"/>
      <c r="G421" s="11"/>
      <c r="H421" s="11"/>
      <c r="I421" s="12"/>
      <c r="J421" s="12"/>
      <c r="K421" s="11"/>
      <c r="L421" s="11"/>
      <c r="M421" s="12"/>
      <c r="N421" s="12"/>
      <c r="O421" s="32"/>
      <c r="P421" s="9"/>
      <c r="Q421" s="9"/>
      <c r="R421" s="11"/>
      <c r="S421" s="13"/>
      <c r="T421" s="13"/>
      <c r="U421" s="13"/>
      <c r="V421" s="13"/>
      <c r="W421" s="13"/>
      <c r="X421" s="11"/>
      <c r="Y421" s="4" t="str">
        <f>IF(Tabela2[[#This Row],[SIGLA]]="","",VLOOKUP(Tabela2[[#This Row],[SIGLA]],Tabela1[[#All],[Sigla Arte]:[Crédito]],2,0))</f>
        <v/>
      </c>
      <c r="Z421" s="12"/>
      <c r="AA421" s="12" t="str">
        <f>Tabela2[[#This Row],[ILUSTRADOR CRIAÇÃO]]</f>
        <v/>
      </c>
      <c r="AB421" s="11"/>
      <c r="AC421" s="9"/>
      <c r="AD421" s="9"/>
      <c r="AE421" s="4" t="str">
        <f t="shared" si="6"/>
        <v>EF1 E002 Port</v>
      </c>
    </row>
    <row r="422" spans="1:31" s="7" customFormat="1" x14ac:dyDescent="0.25">
      <c r="A422" s="12"/>
      <c r="B422" s="9"/>
      <c r="C422" s="9"/>
      <c r="D422" s="9"/>
      <c r="E422" s="11"/>
      <c r="F422" s="11"/>
      <c r="G422" s="11"/>
      <c r="H422" s="11"/>
      <c r="I422" s="12"/>
      <c r="J422" s="12"/>
      <c r="K422" s="11"/>
      <c r="L422" s="11"/>
      <c r="M422" s="12"/>
      <c r="N422" s="12"/>
      <c r="O422" s="32"/>
      <c r="P422" s="9"/>
      <c r="Q422" s="9"/>
      <c r="R422" s="11"/>
      <c r="S422" s="13"/>
      <c r="T422" s="13"/>
      <c r="U422" s="13"/>
      <c r="V422" s="13"/>
      <c r="W422" s="13"/>
      <c r="X422" s="11"/>
      <c r="Y422" s="4" t="str">
        <f>IF(Tabela2[[#This Row],[SIGLA]]="","",VLOOKUP(Tabela2[[#This Row],[SIGLA]],Tabela1[[#All],[Sigla Arte]:[Crédito]],2,0))</f>
        <v/>
      </c>
      <c r="Z422" s="12"/>
      <c r="AA422" s="12" t="str">
        <f>Tabela2[[#This Row],[ILUSTRADOR CRIAÇÃO]]</f>
        <v/>
      </c>
      <c r="AB422" s="11"/>
      <c r="AC422" s="9"/>
      <c r="AD422" s="9"/>
      <c r="AE422" s="4" t="str">
        <f t="shared" si="6"/>
        <v>EF1 E002 Port</v>
      </c>
    </row>
    <row r="423" spans="1:31" s="7" customFormat="1" x14ac:dyDescent="0.25">
      <c r="A423" s="12"/>
      <c r="B423" s="9"/>
      <c r="C423" s="9"/>
      <c r="D423" s="9"/>
      <c r="E423" s="11"/>
      <c r="F423" s="11"/>
      <c r="G423" s="11"/>
      <c r="H423" s="11"/>
      <c r="I423" s="12"/>
      <c r="J423" s="12"/>
      <c r="K423" s="11"/>
      <c r="L423" s="11"/>
      <c r="M423" s="12"/>
      <c r="N423" s="12"/>
      <c r="O423" s="32"/>
      <c r="P423" s="9"/>
      <c r="Q423" s="9"/>
      <c r="R423" s="11"/>
      <c r="S423" s="13"/>
      <c r="T423" s="13"/>
      <c r="U423" s="13"/>
      <c r="V423" s="13"/>
      <c r="W423" s="13"/>
      <c r="X423" s="11"/>
      <c r="Y423" s="4" t="str">
        <f>IF(Tabela2[[#This Row],[SIGLA]]="","",VLOOKUP(Tabela2[[#This Row],[SIGLA]],Tabela1[[#All],[Sigla Arte]:[Crédito]],2,0))</f>
        <v/>
      </c>
      <c r="Z423" s="12"/>
      <c r="AA423" s="12" t="str">
        <f>Tabela2[[#This Row],[ILUSTRADOR CRIAÇÃO]]</f>
        <v/>
      </c>
      <c r="AB423" s="11"/>
      <c r="AC423" s="9"/>
      <c r="AD423" s="9"/>
      <c r="AE423" s="4" t="str">
        <f t="shared" si="6"/>
        <v>EF1 E002 Port</v>
      </c>
    </row>
    <row r="424" spans="1:31" s="7" customFormat="1" x14ac:dyDescent="0.25">
      <c r="A424" s="12"/>
      <c r="B424" s="9"/>
      <c r="C424" s="9"/>
      <c r="D424" s="9"/>
      <c r="E424" s="11"/>
      <c r="F424" s="11"/>
      <c r="G424" s="11"/>
      <c r="H424" s="11"/>
      <c r="I424" s="12"/>
      <c r="J424" s="12"/>
      <c r="K424" s="11"/>
      <c r="L424" s="11"/>
      <c r="M424" s="12"/>
      <c r="N424" s="12"/>
      <c r="O424" s="32"/>
      <c r="P424" s="9"/>
      <c r="Q424" s="9"/>
      <c r="R424" s="11"/>
      <c r="S424" s="13"/>
      <c r="T424" s="13"/>
      <c r="U424" s="13"/>
      <c r="V424" s="13"/>
      <c r="W424" s="13"/>
      <c r="X424" s="11"/>
      <c r="Y424" s="4" t="str">
        <f>IF(Tabela2[[#This Row],[SIGLA]]="","",VLOOKUP(Tabela2[[#This Row],[SIGLA]],Tabela1[[#All],[Sigla Arte]:[Crédito]],2,0))</f>
        <v/>
      </c>
      <c r="Z424" s="12"/>
      <c r="AA424" s="12" t="str">
        <f>Tabela2[[#This Row],[ILUSTRADOR CRIAÇÃO]]</f>
        <v/>
      </c>
      <c r="AB424" s="11"/>
      <c r="AC424" s="9"/>
      <c r="AD424" s="9"/>
      <c r="AE424" s="4" t="str">
        <f t="shared" si="6"/>
        <v>EF1 E002 Port</v>
      </c>
    </row>
    <row r="425" spans="1:31" s="7" customFormat="1" x14ac:dyDescent="0.25">
      <c r="A425" s="12"/>
      <c r="B425" s="9"/>
      <c r="C425" s="9"/>
      <c r="D425" s="9"/>
      <c r="E425" s="11"/>
      <c r="F425" s="11"/>
      <c r="G425" s="11"/>
      <c r="H425" s="11"/>
      <c r="I425" s="12"/>
      <c r="J425" s="12"/>
      <c r="K425" s="11"/>
      <c r="L425" s="11"/>
      <c r="M425" s="12"/>
      <c r="N425" s="12"/>
      <c r="O425" s="32"/>
      <c r="P425" s="9"/>
      <c r="Q425" s="9"/>
      <c r="R425" s="11"/>
      <c r="S425" s="13"/>
      <c r="T425" s="13"/>
      <c r="U425" s="13"/>
      <c r="V425" s="13"/>
      <c r="W425" s="13"/>
      <c r="X425" s="11"/>
      <c r="Y425" s="4" t="str">
        <f>IF(Tabela2[[#This Row],[SIGLA]]="","",VLOOKUP(Tabela2[[#This Row],[SIGLA]],Tabela1[[#All],[Sigla Arte]:[Crédito]],2,0))</f>
        <v/>
      </c>
      <c r="Z425" s="12"/>
      <c r="AA425" s="12" t="str">
        <f>Tabela2[[#This Row],[ILUSTRADOR CRIAÇÃO]]</f>
        <v/>
      </c>
      <c r="AB425" s="11"/>
      <c r="AC425" s="9"/>
      <c r="AD425" s="9"/>
      <c r="AE425" s="4" t="str">
        <f t="shared" si="6"/>
        <v>EF1 E002 Port</v>
      </c>
    </row>
    <row r="426" spans="1:31" s="7" customFormat="1" x14ac:dyDescent="0.25">
      <c r="A426" s="12"/>
      <c r="B426" s="9"/>
      <c r="C426" s="9"/>
      <c r="D426" s="9"/>
      <c r="E426" s="11"/>
      <c r="F426" s="11"/>
      <c r="G426" s="11"/>
      <c r="H426" s="11"/>
      <c r="I426" s="12"/>
      <c r="J426" s="12"/>
      <c r="K426" s="11"/>
      <c r="L426" s="11"/>
      <c r="M426" s="12"/>
      <c r="N426" s="12"/>
      <c r="O426" s="32"/>
      <c r="P426" s="9"/>
      <c r="Q426" s="9"/>
      <c r="R426" s="11"/>
      <c r="S426" s="13"/>
      <c r="T426" s="13"/>
      <c r="U426" s="13"/>
      <c r="V426" s="13"/>
      <c r="W426" s="13"/>
      <c r="X426" s="11"/>
      <c r="Y426" s="4" t="str">
        <f>IF(Tabela2[[#This Row],[SIGLA]]="","",VLOOKUP(Tabela2[[#This Row],[SIGLA]],Tabela1[[#All],[Sigla Arte]:[Crédito]],2,0))</f>
        <v/>
      </c>
      <c r="Z426" s="12"/>
      <c r="AA426" s="12" t="str">
        <f>Tabela2[[#This Row],[ILUSTRADOR CRIAÇÃO]]</f>
        <v/>
      </c>
      <c r="AB426" s="11"/>
      <c r="AC426" s="9"/>
      <c r="AD426" s="9"/>
      <c r="AE426" s="4" t="str">
        <f t="shared" si="6"/>
        <v>EF1 E002 Port</v>
      </c>
    </row>
    <row r="427" spans="1:31" s="7" customFormat="1" x14ac:dyDescent="0.25">
      <c r="A427" s="12"/>
      <c r="B427" s="9"/>
      <c r="C427" s="9"/>
      <c r="D427" s="9"/>
      <c r="E427" s="11"/>
      <c r="F427" s="11"/>
      <c r="G427" s="11"/>
      <c r="H427" s="11"/>
      <c r="I427" s="12"/>
      <c r="J427" s="12"/>
      <c r="K427" s="11"/>
      <c r="L427" s="11"/>
      <c r="M427" s="12"/>
      <c r="N427" s="12"/>
      <c r="O427" s="32"/>
      <c r="P427" s="9"/>
      <c r="Q427" s="9"/>
      <c r="R427" s="11"/>
      <c r="S427" s="13"/>
      <c r="T427" s="13"/>
      <c r="U427" s="13"/>
      <c r="V427" s="13"/>
      <c r="W427" s="13"/>
      <c r="X427" s="11"/>
      <c r="Y427" s="4" t="str">
        <f>IF(Tabela2[[#This Row],[SIGLA]]="","",VLOOKUP(Tabela2[[#This Row],[SIGLA]],Tabela1[[#All],[Sigla Arte]:[Crédito]],2,0))</f>
        <v/>
      </c>
      <c r="Z427" s="12"/>
      <c r="AA427" s="12" t="str">
        <f>Tabela2[[#This Row],[ILUSTRADOR CRIAÇÃO]]</f>
        <v/>
      </c>
      <c r="AB427" s="11"/>
      <c r="AC427" s="9"/>
      <c r="AD427" s="9"/>
      <c r="AE427" s="4" t="str">
        <f t="shared" si="6"/>
        <v>EF1 E002 Port</v>
      </c>
    </row>
    <row r="428" spans="1:31" s="7" customFormat="1" x14ac:dyDescent="0.25">
      <c r="A428" s="12"/>
      <c r="B428" s="9"/>
      <c r="C428" s="9"/>
      <c r="D428" s="9"/>
      <c r="E428" s="11"/>
      <c r="F428" s="11"/>
      <c r="G428" s="11"/>
      <c r="H428" s="11"/>
      <c r="I428" s="12"/>
      <c r="J428" s="12"/>
      <c r="K428" s="11"/>
      <c r="L428" s="11"/>
      <c r="M428" s="12"/>
      <c r="N428" s="12"/>
      <c r="O428" s="32"/>
      <c r="P428" s="9"/>
      <c r="Q428" s="9"/>
      <c r="R428" s="11"/>
      <c r="S428" s="13"/>
      <c r="T428" s="13"/>
      <c r="U428" s="13"/>
      <c r="V428" s="13"/>
      <c r="W428" s="13"/>
      <c r="X428" s="11"/>
      <c r="Y428" s="4" t="str">
        <f>IF(Tabela2[[#This Row],[SIGLA]]="","",VLOOKUP(Tabela2[[#This Row],[SIGLA]],Tabela1[[#All],[Sigla Arte]:[Crédito]],2,0))</f>
        <v/>
      </c>
      <c r="Z428" s="12"/>
      <c r="AA428" s="12" t="str">
        <f>Tabela2[[#This Row],[ILUSTRADOR CRIAÇÃO]]</f>
        <v/>
      </c>
      <c r="AB428" s="11"/>
      <c r="AC428" s="9"/>
      <c r="AD428" s="9"/>
      <c r="AE428" s="4" t="str">
        <f t="shared" si="6"/>
        <v>EF1 E002 Port</v>
      </c>
    </row>
    <row r="429" spans="1:31" s="7" customFormat="1" x14ac:dyDescent="0.25">
      <c r="A429" s="12"/>
      <c r="B429" s="9"/>
      <c r="C429" s="9"/>
      <c r="D429" s="9"/>
      <c r="E429" s="11"/>
      <c r="F429" s="11"/>
      <c r="G429" s="11"/>
      <c r="H429" s="11"/>
      <c r="I429" s="12"/>
      <c r="J429" s="12"/>
      <c r="K429" s="11"/>
      <c r="L429" s="11"/>
      <c r="M429" s="12"/>
      <c r="N429" s="12"/>
      <c r="O429" s="32"/>
      <c r="P429" s="9"/>
      <c r="Q429" s="9"/>
      <c r="R429" s="11"/>
      <c r="S429" s="13"/>
      <c r="T429" s="13"/>
      <c r="U429" s="13"/>
      <c r="V429" s="13"/>
      <c r="W429" s="13"/>
      <c r="X429" s="11"/>
      <c r="Y429" s="4" t="str">
        <f>IF(Tabela2[[#This Row],[SIGLA]]="","",VLOOKUP(Tabela2[[#This Row],[SIGLA]],Tabela1[[#All],[Sigla Arte]:[Crédito]],2,0))</f>
        <v/>
      </c>
      <c r="Z429" s="12"/>
      <c r="AA429" s="12" t="str">
        <f>Tabela2[[#This Row],[ILUSTRADOR CRIAÇÃO]]</f>
        <v/>
      </c>
      <c r="AB429" s="11"/>
      <c r="AC429" s="9"/>
      <c r="AD429" s="9"/>
      <c r="AE429" s="4" t="str">
        <f t="shared" si="6"/>
        <v>EF1 E002 Port</v>
      </c>
    </row>
    <row r="430" spans="1:31" s="7" customFormat="1" x14ac:dyDescent="0.25">
      <c r="A430" s="12"/>
      <c r="B430" s="9"/>
      <c r="C430" s="9"/>
      <c r="D430" s="9"/>
      <c r="E430" s="11"/>
      <c r="F430" s="11"/>
      <c r="G430" s="11"/>
      <c r="H430" s="11"/>
      <c r="I430" s="12"/>
      <c r="J430" s="12"/>
      <c r="K430" s="11"/>
      <c r="L430" s="11"/>
      <c r="M430" s="12"/>
      <c r="N430" s="12"/>
      <c r="O430" s="32"/>
      <c r="P430" s="9"/>
      <c r="Q430" s="9"/>
      <c r="R430" s="11"/>
      <c r="S430" s="13"/>
      <c r="T430" s="13"/>
      <c r="U430" s="13"/>
      <c r="V430" s="13"/>
      <c r="W430" s="13"/>
      <c r="X430" s="11"/>
      <c r="Y430" s="4" t="str">
        <f>IF(Tabela2[[#This Row],[SIGLA]]="","",VLOOKUP(Tabela2[[#This Row],[SIGLA]],Tabela1[[#All],[Sigla Arte]:[Crédito]],2,0))</f>
        <v/>
      </c>
      <c r="Z430" s="12"/>
      <c r="AA430" s="12" t="str">
        <f>Tabela2[[#This Row],[ILUSTRADOR CRIAÇÃO]]</f>
        <v/>
      </c>
      <c r="AB430" s="11"/>
      <c r="AC430" s="9"/>
      <c r="AD430" s="9"/>
      <c r="AE430" s="4" t="str">
        <f t="shared" si="6"/>
        <v>EF1 E002 Port</v>
      </c>
    </row>
    <row r="431" spans="1:31" s="7" customFormat="1" x14ac:dyDescent="0.25">
      <c r="A431" s="12"/>
      <c r="B431" s="9"/>
      <c r="C431" s="9"/>
      <c r="D431" s="9"/>
      <c r="E431" s="11"/>
      <c r="F431" s="11"/>
      <c r="G431" s="11"/>
      <c r="H431" s="11"/>
      <c r="I431" s="12"/>
      <c r="J431" s="12"/>
      <c r="K431" s="11"/>
      <c r="L431" s="11"/>
      <c r="M431" s="12"/>
      <c r="N431" s="12"/>
      <c r="O431" s="32"/>
      <c r="P431" s="9"/>
      <c r="Q431" s="9"/>
      <c r="R431" s="11"/>
      <c r="S431" s="13"/>
      <c r="T431" s="13"/>
      <c r="U431" s="13"/>
      <c r="V431" s="13"/>
      <c r="W431" s="13"/>
      <c r="X431" s="11"/>
      <c r="Y431" s="4" t="str">
        <f>IF(Tabela2[[#This Row],[SIGLA]]="","",VLOOKUP(Tabela2[[#This Row],[SIGLA]],Tabela1[[#All],[Sigla Arte]:[Crédito]],2,0))</f>
        <v/>
      </c>
      <c r="Z431" s="12"/>
      <c r="AA431" s="12" t="str">
        <f>Tabela2[[#This Row],[ILUSTRADOR CRIAÇÃO]]</f>
        <v/>
      </c>
      <c r="AB431" s="11"/>
      <c r="AC431" s="9"/>
      <c r="AD431" s="9"/>
      <c r="AE431" s="4" t="str">
        <f t="shared" si="6"/>
        <v>EF1 E002 Port</v>
      </c>
    </row>
    <row r="432" spans="1:31" s="7" customFormat="1" x14ac:dyDescent="0.25">
      <c r="A432" s="12"/>
      <c r="B432" s="9"/>
      <c r="C432" s="9"/>
      <c r="D432" s="9"/>
      <c r="E432" s="11"/>
      <c r="F432" s="11"/>
      <c r="G432" s="11"/>
      <c r="H432" s="11"/>
      <c r="I432" s="12"/>
      <c r="J432" s="12"/>
      <c r="K432" s="11"/>
      <c r="L432" s="11"/>
      <c r="M432" s="12"/>
      <c r="N432" s="12"/>
      <c r="O432" s="32"/>
      <c r="P432" s="9"/>
      <c r="Q432" s="9"/>
      <c r="R432" s="11"/>
      <c r="S432" s="13"/>
      <c r="T432" s="13"/>
      <c r="U432" s="13"/>
      <c r="V432" s="13"/>
      <c r="W432" s="13"/>
      <c r="X432" s="11"/>
      <c r="Y432" s="4" t="str">
        <f>IF(Tabela2[[#This Row],[SIGLA]]="","",VLOOKUP(Tabela2[[#This Row],[SIGLA]],Tabela1[[#All],[Sigla Arte]:[Crédito]],2,0))</f>
        <v/>
      </c>
      <c r="Z432" s="12"/>
      <c r="AA432" s="12" t="str">
        <f>Tabela2[[#This Row],[ILUSTRADOR CRIAÇÃO]]</f>
        <v/>
      </c>
      <c r="AB432" s="11"/>
      <c r="AC432" s="9"/>
      <c r="AD432" s="9"/>
      <c r="AE432" s="4" t="str">
        <f t="shared" si="6"/>
        <v>EF1 E002 Port</v>
      </c>
    </row>
    <row r="433" spans="1:31" s="7" customFormat="1" x14ac:dyDescent="0.25">
      <c r="A433" s="12"/>
      <c r="B433" s="9"/>
      <c r="C433" s="9"/>
      <c r="D433" s="9"/>
      <c r="E433" s="11"/>
      <c r="F433" s="11"/>
      <c r="G433" s="11"/>
      <c r="H433" s="11"/>
      <c r="I433" s="12"/>
      <c r="J433" s="12"/>
      <c r="K433" s="11"/>
      <c r="L433" s="11"/>
      <c r="M433" s="12"/>
      <c r="N433" s="12"/>
      <c r="O433" s="32"/>
      <c r="P433" s="9"/>
      <c r="Q433" s="9"/>
      <c r="R433" s="11"/>
      <c r="S433" s="13"/>
      <c r="T433" s="13"/>
      <c r="U433" s="13"/>
      <c r="V433" s="13"/>
      <c r="W433" s="13"/>
      <c r="X433" s="11"/>
      <c r="Y433" s="4" t="str">
        <f>IF(Tabela2[[#This Row],[SIGLA]]="","",VLOOKUP(Tabela2[[#This Row],[SIGLA]],Tabela1[[#All],[Sigla Arte]:[Crédito]],2,0))</f>
        <v/>
      </c>
      <c r="Z433" s="12"/>
      <c r="AA433" s="12" t="str">
        <f>Tabela2[[#This Row],[ILUSTRADOR CRIAÇÃO]]</f>
        <v/>
      </c>
      <c r="AB433" s="11"/>
      <c r="AC433" s="9"/>
      <c r="AD433" s="9"/>
      <c r="AE433" s="4" t="str">
        <f t="shared" si="6"/>
        <v>EF1 E002 Port</v>
      </c>
    </row>
    <row r="434" spans="1:31" s="7" customFormat="1" x14ac:dyDescent="0.25">
      <c r="A434" s="12"/>
      <c r="B434" s="9"/>
      <c r="C434" s="9"/>
      <c r="D434" s="9"/>
      <c r="E434" s="11"/>
      <c r="F434" s="11"/>
      <c r="G434" s="11"/>
      <c r="H434" s="11"/>
      <c r="I434" s="12"/>
      <c r="J434" s="12"/>
      <c r="K434" s="11"/>
      <c r="L434" s="11"/>
      <c r="M434" s="12"/>
      <c r="N434" s="12"/>
      <c r="O434" s="32"/>
      <c r="P434" s="9"/>
      <c r="Q434" s="9"/>
      <c r="R434" s="11"/>
      <c r="S434" s="13"/>
      <c r="T434" s="13"/>
      <c r="U434" s="13"/>
      <c r="V434" s="13"/>
      <c r="W434" s="13"/>
      <c r="X434" s="11"/>
      <c r="Y434" s="4" t="str">
        <f>IF(Tabela2[[#This Row],[SIGLA]]="","",VLOOKUP(Tabela2[[#This Row],[SIGLA]],Tabela1[[#All],[Sigla Arte]:[Crédito]],2,0))</f>
        <v/>
      </c>
      <c r="Z434" s="12"/>
      <c r="AA434" s="12" t="str">
        <f>Tabela2[[#This Row],[ILUSTRADOR CRIAÇÃO]]</f>
        <v/>
      </c>
      <c r="AB434" s="11"/>
      <c r="AC434" s="9"/>
      <c r="AD434" s="9"/>
      <c r="AE434" s="4" t="str">
        <f t="shared" si="6"/>
        <v>EF1 E002 Port</v>
      </c>
    </row>
    <row r="435" spans="1:31" s="7" customFormat="1" x14ac:dyDescent="0.25">
      <c r="A435" s="12"/>
      <c r="B435" s="9"/>
      <c r="C435" s="9"/>
      <c r="D435" s="9"/>
      <c r="E435" s="11"/>
      <c r="F435" s="11"/>
      <c r="G435" s="11"/>
      <c r="H435" s="11"/>
      <c r="I435" s="12"/>
      <c r="J435" s="12"/>
      <c r="K435" s="11"/>
      <c r="L435" s="11"/>
      <c r="M435" s="12"/>
      <c r="N435" s="12"/>
      <c r="O435" s="32"/>
      <c r="P435" s="9"/>
      <c r="Q435" s="9"/>
      <c r="R435" s="11"/>
      <c r="S435" s="13"/>
      <c r="T435" s="13"/>
      <c r="U435" s="13"/>
      <c r="V435" s="13"/>
      <c r="W435" s="13"/>
      <c r="X435" s="11"/>
      <c r="Y435" s="4" t="str">
        <f>IF(Tabela2[[#This Row],[SIGLA]]="","",VLOOKUP(Tabela2[[#This Row],[SIGLA]],Tabela1[[#All],[Sigla Arte]:[Crédito]],2,0))</f>
        <v/>
      </c>
      <c r="Z435" s="12"/>
      <c r="AA435" s="12" t="str">
        <f>Tabela2[[#This Row],[ILUSTRADOR CRIAÇÃO]]</f>
        <v/>
      </c>
      <c r="AB435" s="11"/>
      <c r="AC435" s="9"/>
      <c r="AD435" s="9"/>
      <c r="AE435" s="4" t="str">
        <f t="shared" si="6"/>
        <v>EF1 E002 Port</v>
      </c>
    </row>
    <row r="436" spans="1:31" s="7" customFormat="1" x14ac:dyDescent="0.25">
      <c r="A436" s="12"/>
      <c r="B436" s="9"/>
      <c r="C436" s="9"/>
      <c r="D436" s="9"/>
      <c r="E436" s="11"/>
      <c r="F436" s="11"/>
      <c r="G436" s="11"/>
      <c r="H436" s="11"/>
      <c r="I436" s="12"/>
      <c r="J436" s="12"/>
      <c r="K436" s="11"/>
      <c r="L436" s="11"/>
      <c r="M436" s="12"/>
      <c r="N436" s="12"/>
      <c r="O436" s="32"/>
      <c r="P436" s="9"/>
      <c r="Q436" s="9"/>
      <c r="R436" s="11"/>
      <c r="S436" s="13"/>
      <c r="T436" s="13"/>
      <c r="U436" s="13"/>
      <c r="V436" s="13"/>
      <c r="W436" s="13"/>
      <c r="X436" s="11"/>
      <c r="Y436" s="4" t="str">
        <f>IF(Tabela2[[#This Row],[SIGLA]]="","",VLOOKUP(Tabela2[[#This Row],[SIGLA]],Tabela1[[#All],[Sigla Arte]:[Crédito]],2,0))</f>
        <v/>
      </c>
      <c r="Z436" s="12"/>
      <c r="AA436" s="12" t="str">
        <f>Tabela2[[#This Row],[ILUSTRADOR CRIAÇÃO]]</f>
        <v/>
      </c>
      <c r="AB436" s="11"/>
      <c r="AC436" s="9"/>
      <c r="AD436" s="9"/>
      <c r="AE436" s="4" t="str">
        <f t="shared" si="6"/>
        <v>EF1 E002 Port</v>
      </c>
    </row>
    <row r="437" spans="1:31" s="7" customFormat="1" x14ac:dyDescent="0.25">
      <c r="A437" s="12"/>
      <c r="B437" s="9"/>
      <c r="C437" s="9"/>
      <c r="D437" s="9"/>
      <c r="E437" s="11"/>
      <c r="F437" s="11"/>
      <c r="G437" s="11"/>
      <c r="H437" s="11"/>
      <c r="I437" s="12"/>
      <c r="J437" s="12"/>
      <c r="K437" s="11"/>
      <c r="L437" s="11"/>
      <c r="M437" s="12"/>
      <c r="N437" s="12"/>
      <c r="O437" s="32"/>
      <c r="P437" s="9"/>
      <c r="Q437" s="9"/>
      <c r="R437" s="11"/>
      <c r="S437" s="13"/>
      <c r="T437" s="13"/>
      <c r="U437" s="13"/>
      <c r="V437" s="13"/>
      <c r="W437" s="13"/>
      <c r="X437" s="11"/>
      <c r="Y437" s="4" t="str">
        <f>IF(Tabela2[[#This Row],[SIGLA]]="","",VLOOKUP(Tabela2[[#This Row],[SIGLA]],Tabela1[[#All],[Sigla Arte]:[Crédito]],2,0))</f>
        <v/>
      </c>
      <c r="Z437" s="12"/>
      <c r="AA437" s="12" t="str">
        <f>Tabela2[[#This Row],[ILUSTRADOR CRIAÇÃO]]</f>
        <v/>
      </c>
      <c r="AB437" s="11"/>
      <c r="AC437" s="9"/>
      <c r="AD437" s="9"/>
      <c r="AE437" s="4" t="str">
        <f t="shared" si="6"/>
        <v>EF1 E002 Port</v>
      </c>
    </row>
    <row r="438" spans="1:31" s="7" customFormat="1" x14ac:dyDescent="0.25">
      <c r="A438" s="12"/>
      <c r="B438" s="9"/>
      <c r="C438" s="9"/>
      <c r="D438" s="9"/>
      <c r="E438" s="11"/>
      <c r="F438" s="11"/>
      <c r="G438" s="11"/>
      <c r="H438" s="11"/>
      <c r="I438" s="12"/>
      <c r="J438" s="12"/>
      <c r="K438" s="11"/>
      <c r="L438" s="11"/>
      <c r="M438" s="12"/>
      <c r="N438" s="12"/>
      <c r="O438" s="32"/>
      <c r="P438" s="9"/>
      <c r="Q438" s="9"/>
      <c r="R438" s="11"/>
      <c r="S438" s="13"/>
      <c r="T438" s="13"/>
      <c r="U438" s="13"/>
      <c r="V438" s="13"/>
      <c r="W438" s="13"/>
      <c r="X438" s="11"/>
      <c r="Y438" s="4" t="str">
        <f>IF(Tabela2[[#This Row],[SIGLA]]="","",VLOOKUP(Tabela2[[#This Row],[SIGLA]],Tabela1[[#All],[Sigla Arte]:[Crédito]],2,0))</f>
        <v/>
      </c>
      <c r="Z438" s="12"/>
      <c r="AA438" s="12" t="str">
        <f>Tabela2[[#This Row],[ILUSTRADOR CRIAÇÃO]]</f>
        <v/>
      </c>
      <c r="AB438" s="11"/>
      <c r="AC438" s="9"/>
      <c r="AD438" s="9"/>
      <c r="AE438" s="4" t="str">
        <f t="shared" si="6"/>
        <v>EF1 E002 Port</v>
      </c>
    </row>
    <row r="439" spans="1:31" s="7" customFormat="1" x14ac:dyDescent="0.25">
      <c r="A439" s="12"/>
      <c r="B439" s="9"/>
      <c r="C439" s="9"/>
      <c r="D439" s="9"/>
      <c r="E439" s="11"/>
      <c r="F439" s="11"/>
      <c r="G439" s="11"/>
      <c r="H439" s="11"/>
      <c r="I439" s="12"/>
      <c r="J439" s="12"/>
      <c r="K439" s="11"/>
      <c r="L439" s="11"/>
      <c r="M439" s="12"/>
      <c r="N439" s="12"/>
      <c r="O439" s="32"/>
      <c r="P439" s="9"/>
      <c r="Q439" s="9"/>
      <c r="R439" s="11"/>
      <c r="S439" s="13"/>
      <c r="T439" s="13"/>
      <c r="U439" s="13"/>
      <c r="V439" s="13"/>
      <c r="W439" s="13"/>
      <c r="X439" s="11"/>
      <c r="Y439" s="4" t="str">
        <f>IF(Tabela2[[#This Row],[SIGLA]]="","",VLOOKUP(Tabela2[[#This Row],[SIGLA]],Tabela1[[#All],[Sigla Arte]:[Crédito]],2,0))</f>
        <v/>
      </c>
      <c r="Z439" s="12"/>
      <c r="AA439" s="12" t="str">
        <f>Tabela2[[#This Row],[ILUSTRADOR CRIAÇÃO]]</f>
        <v/>
      </c>
      <c r="AB439" s="11"/>
      <c r="AC439" s="9"/>
      <c r="AD439" s="9"/>
      <c r="AE439" s="4" t="str">
        <f t="shared" si="6"/>
        <v>EF1 E002 Port</v>
      </c>
    </row>
    <row r="440" spans="1:31" s="7" customFormat="1" x14ac:dyDescent="0.25">
      <c r="A440" s="12"/>
      <c r="B440" s="9"/>
      <c r="C440" s="9"/>
      <c r="D440" s="9"/>
      <c r="E440" s="11"/>
      <c r="F440" s="11"/>
      <c r="G440" s="11"/>
      <c r="H440" s="11"/>
      <c r="I440" s="12"/>
      <c r="J440" s="12"/>
      <c r="K440" s="11"/>
      <c r="L440" s="11"/>
      <c r="M440" s="12"/>
      <c r="N440" s="12"/>
      <c r="O440" s="32"/>
      <c r="P440" s="9"/>
      <c r="Q440" s="9"/>
      <c r="R440" s="11"/>
      <c r="S440" s="13"/>
      <c r="T440" s="13"/>
      <c r="U440" s="13"/>
      <c r="V440" s="13"/>
      <c r="W440" s="13"/>
      <c r="X440" s="11"/>
      <c r="Y440" s="4" t="str">
        <f>IF(Tabela2[[#This Row],[SIGLA]]="","",VLOOKUP(Tabela2[[#This Row],[SIGLA]],Tabela1[[#All],[Sigla Arte]:[Crédito]],2,0))</f>
        <v/>
      </c>
      <c r="Z440" s="12"/>
      <c r="AA440" s="12" t="str">
        <f>Tabela2[[#This Row],[ILUSTRADOR CRIAÇÃO]]</f>
        <v/>
      </c>
      <c r="AB440" s="11"/>
      <c r="AC440" s="9"/>
      <c r="AD440" s="9"/>
      <c r="AE440" s="4" t="str">
        <f t="shared" si="6"/>
        <v>EF1 E002 Port</v>
      </c>
    </row>
    <row r="441" spans="1:31" s="7" customFormat="1" x14ac:dyDescent="0.25">
      <c r="A441" s="12"/>
      <c r="B441" s="9"/>
      <c r="C441" s="9"/>
      <c r="D441" s="9"/>
      <c r="E441" s="11"/>
      <c r="F441" s="11"/>
      <c r="G441" s="11"/>
      <c r="H441" s="11"/>
      <c r="I441" s="12"/>
      <c r="J441" s="12"/>
      <c r="K441" s="11"/>
      <c r="L441" s="11"/>
      <c r="M441" s="12"/>
      <c r="N441" s="12"/>
      <c r="O441" s="32"/>
      <c r="P441" s="9"/>
      <c r="Q441" s="9"/>
      <c r="R441" s="11"/>
      <c r="S441" s="13"/>
      <c r="T441" s="13"/>
      <c r="U441" s="13"/>
      <c r="V441" s="13"/>
      <c r="W441" s="13"/>
      <c r="X441" s="11"/>
      <c r="Y441" s="4" t="str">
        <f>IF(Tabela2[[#This Row],[SIGLA]]="","",VLOOKUP(Tabela2[[#This Row],[SIGLA]],Tabela1[[#All],[Sigla Arte]:[Crédito]],2,0))</f>
        <v/>
      </c>
      <c r="Z441" s="12"/>
      <c r="AA441" s="12" t="str">
        <f>Tabela2[[#This Row],[ILUSTRADOR CRIAÇÃO]]</f>
        <v/>
      </c>
      <c r="AB441" s="11"/>
      <c r="AC441" s="9"/>
      <c r="AD441" s="9"/>
      <c r="AE441" s="4" t="str">
        <f t="shared" si="6"/>
        <v>EF1 E002 Port</v>
      </c>
    </row>
    <row r="442" spans="1:31" s="7" customFormat="1" x14ac:dyDescent="0.25">
      <c r="A442" s="12"/>
      <c r="B442" s="9"/>
      <c r="C442" s="9"/>
      <c r="D442" s="9"/>
      <c r="E442" s="11"/>
      <c r="F442" s="11"/>
      <c r="G442" s="11"/>
      <c r="H442" s="11"/>
      <c r="I442" s="12"/>
      <c r="J442" s="12"/>
      <c r="K442" s="11"/>
      <c r="L442" s="11"/>
      <c r="M442" s="12"/>
      <c r="N442" s="12"/>
      <c r="O442" s="32"/>
      <c r="P442" s="9"/>
      <c r="Q442" s="9"/>
      <c r="R442" s="11"/>
      <c r="S442" s="13"/>
      <c r="T442" s="13"/>
      <c r="U442" s="13"/>
      <c r="V442" s="13"/>
      <c r="W442" s="13"/>
      <c r="X442" s="11"/>
      <c r="Y442" s="4" t="str">
        <f>IF(Tabela2[[#This Row],[SIGLA]]="","",VLOOKUP(Tabela2[[#This Row],[SIGLA]],Tabela1[[#All],[Sigla Arte]:[Crédito]],2,0))</f>
        <v/>
      </c>
      <c r="Z442" s="12"/>
      <c r="AA442" s="12" t="str">
        <f>Tabela2[[#This Row],[ILUSTRADOR CRIAÇÃO]]</f>
        <v/>
      </c>
      <c r="AB442" s="11"/>
      <c r="AC442" s="9"/>
      <c r="AD442" s="9"/>
      <c r="AE442" s="4" t="str">
        <f t="shared" si="6"/>
        <v>EF1 E002 Port</v>
      </c>
    </row>
    <row r="443" spans="1:31" s="7" customFormat="1" x14ac:dyDescent="0.25">
      <c r="A443" s="12"/>
      <c r="B443" s="9"/>
      <c r="C443" s="9"/>
      <c r="D443" s="9"/>
      <c r="E443" s="11"/>
      <c r="F443" s="11"/>
      <c r="G443" s="11"/>
      <c r="H443" s="11"/>
      <c r="I443" s="12"/>
      <c r="J443" s="12"/>
      <c r="K443" s="11"/>
      <c r="L443" s="11"/>
      <c r="M443" s="12"/>
      <c r="N443" s="12"/>
      <c r="O443" s="32"/>
      <c r="P443" s="9"/>
      <c r="Q443" s="9"/>
      <c r="R443" s="11"/>
      <c r="S443" s="13"/>
      <c r="T443" s="13"/>
      <c r="U443" s="13"/>
      <c r="V443" s="13"/>
      <c r="W443" s="13"/>
      <c r="X443" s="11"/>
      <c r="Y443" s="4" t="str">
        <f>IF(Tabela2[[#This Row],[SIGLA]]="","",VLOOKUP(Tabela2[[#This Row],[SIGLA]],Tabela1[[#All],[Sigla Arte]:[Crédito]],2,0))</f>
        <v/>
      </c>
      <c r="Z443" s="12"/>
      <c r="AA443" s="12" t="str">
        <f>Tabela2[[#This Row],[ILUSTRADOR CRIAÇÃO]]</f>
        <v/>
      </c>
      <c r="AB443" s="11"/>
      <c r="AC443" s="9"/>
      <c r="AD443" s="9"/>
      <c r="AE443" s="4" t="str">
        <f t="shared" si="6"/>
        <v>EF1 E002 Port</v>
      </c>
    </row>
    <row r="444" spans="1:31" s="7" customFormat="1" x14ac:dyDescent="0.25">
      <c r="A444" s="12"/>
      <c r="B444" s="9"/>
      <c r="C444" s="9"/>
      <c r="D444" s="9"/>
      <c r="E444" s="11"/>
      <c r="F444" s="11"/>
      <c r="G444" s="11"/>
      <c r="H444" s="11"/>
      <c r="I444" s="12"/>
      <c r="J444" s="12"/>
      <c r="K444" s="11"/>
      <c r="L444" s="11"/>
      <c r="M444" s="12"/>
      <c r="N444" s="12"/>
      <c r="O444" s="32"/>
      <c r="P444" s="9"/>
      <c r="Q444" s="9"/>
      <c r="R444" s="11"/>
      <c r="S444" s="13"/>
      <c r="T444" s="13"/>
      <c r="U444" s="13"/>
      <c r="V444" s="13"/>
      <c r="W444" s="13"/>
      <c r="X444" s="11"/>
      <c r="Y444" s="4" t="str">
        <f>IF(Tabela2[[#This Row],[SIGLA]]="","",VLOOKUP(Tabela2[[#This Row],[SIGLA]],Tabela1[[#All],[Sigla Arte]:[Crédito]],2,0))</f>
        <v/>
      </c>
      <c r="Z444" s="12"/>
      <c r="AA444" s="12" t="str">
        <f>Tabela2[[#This Row],[ILUSTRADOR CRIAÇÃO]]</f>
        <v/>
      </c>
      <c r="AB444" s="11"/>
      <c r="AC444" s="9"/>
      <c r="AD444" s="9"/>
      <c r="AE444" s="4" t="str">
        <f t="shared" si="6"/>
        <v>EF1 E002 Port</v>
      </c>
    </row>
    <row r="445" spans="1:31" s="7" customFormat="1" x14ac:dyDescent="0.25">
      <c r="A445" s="12"/>
      <c r="B445" s="9"/>
      <c r="C445" s="9"/>
      <c r="D445" s="9"/>
      <c r="E445" s="11"/>
      <c r="F445" s="11"/>
      <c r="G445" s="11"/>
      <c r="H445" s="11"/>
      <c r="I445" s="12"/>
      <c r="J445" s="12"/>
      <c r="K445" s="11"/>
      <c r="L445" s="11"/>
      <c r="M445" s="12"/>
      <c r="N445" s="12"/>
      <c r="O445" s="32"/>
      <c r="P445" s="9"/>
      <c r="Q445" s="9"/>
      <c r="R445" s="11"/>
      <c r="S445" s="13"/>
      <c r="T445" s="13"/>
      <c r="U445" s="13"/>
      <c r="V445" s="13"/>
      <c r="W445" s="13"/>
      <c r="X445" s="11"/>
      <c r="Y445" s="4" t="str">
        <f>IF(Tabela2[[#This Row],[SIGLA]]="","",VLOOKUP(Tabela2[[#This Row],[SIGLA]],Tabela1[[#All],[Sigla Arte]:[Crédito]],2,0))</f>
        <v/>
      </c>
      <c r="Z445" s="12"/>
      <c r="AA445" s="12" t="str">
        <f>Tabela2[[#This Row],[ILUSTRADOR CRIAÇÃO]]</f>
        <v/>
      </c>
      <c r="AB445" s="11"/>
      <c r="AC445" s="9"/>
      <c r="AD445" s="9"/>
      <c r="AE445" s="4" t="str">
        <f t="shared" si="6"/>
        <v>EF1 E002 Port</v>
      </c>
    </row>
    <row r="446" spans="1:31" s="7" customFormat="1" x14ac:dyDescent="0.25">
      <c r="A446" s="12"/>
      <c r="B446" s="9"/>
      <c r="C446" s="9"/>
      <c r="D446" s="9"/>
      <c r="E446" s="11"/>
      <c r="F446" s="11"/>
      <c r="G446" s="11"/>
      <c r="H446" s="11"/>
      <c r="I446" s="12"/>
      <c r="J446" s="12"/>
      <c r="K446" s="11"/>
      <c r="L446" s="11"/>
      <c r="M446" s="12"/>
      <c r="N446" s="12"/>
      <c r="O446" s="32"/>
      <c r="P446" s="9"/>
      <c r="Q446" s="9"/>
      <c r="R446" s="11"/>
      <c r="S446" s="13"/>
      <c r="T446" s="13"/>
      <c r="U446" s="13"/>
      <c r="V446" s="13"/>
      <c r="W446" s="13"/>
      <c r="X446" s="11"/>
      <c r="Y446" s="4" t="str">
        <f>IF(Tabela2[[#This Row],[SIGLA]]="","",VLOOKUP(Tabela2[[#This Row],[SIGLA]],Tabela1[[#All],[Sigla Arte]:[Crédito]],2,0))</f>
        <v/>
      </c>
      <c r="Z446" s="12"/>
      <c r="AA446" s="12" t="str">
        <f>Tabela2[[#This Row],[ILUSTRADOR CRIAÇÃO]]</f>
        <v/>
      </c>
      <c r="AB446" s="11"/>
      <c r="AC446" s="9"/>
      <c r="AD446" s="9"/>
      <c r="AE446" s="4" t="str">
        <f t="shared" si="6"/>
        <v>EF1 E002 Port</v>
      </c>
    </row>
    <row r="447" spans="1:31" s="7" customFormat="1" x14ac:dyDescent="0.25">
      <c r="A447" s="12"/>
      <c r="B447" s="9"/>
      <c r="C447" s="9"/>
      <c r="D447" s="9"/>
      <c r="E447" s="11"/>
      <c r="F447" s="11"/>
      <c r="G447" s="11"/>
      <c r="H447" s="11"/>
      <c r="I447" s="12"/>
      <c r="J447" s="12"/>
      <c r="K447" s="11"/>
      <c r="L447" s="11"/>
      <c r="M447" s="12"/>
      <c r="N447" s="12"/>
      <c r="O447" s="32"/>
      <c r="P447" s="9"/>
      <c r="Q447" s="9"/>
      <c r="R447" s="11"/>
      <c r="S447" s="13"/>
      <c r="T447" s="13"/>
      <c r="U447" s="13"/>
      <c r="V447" s="13"/>
      <c r="W447" s="13"/>
      <c r="X447" s="11"/>
      <c r="Y447" s="4" t="str">
        <f>IF(Tabela2[[#This Row],[SIGLA]]="","",VLOOKUP(Tabela2[[#This Row],[SIGLA]],Tabela1[[#All],[Sigla Arte]:[Crédito]],2,0))</f>
        <v/>
      </c>
      <c r="Z447" s="12"/>
      <c r="AA447" s="12" t="str">
        <f>Tabela2[[#This Row],[ILUSTRADOR CRIAÇÃO]]</f>
        <v/>
      </c>
      <c r="AB447" s="11"/>
      <c r="AC447" s="9"/>
      <c r="AD447" s="9"/>
      <c r="AE447" s="4" t="str">
        <f t="shared" si="6"/>
        <v>EF1 E002 Port</v>
      </c>
    </row>
    <row r="448" spans="1:31" s="7" customFormat="1" x14ac:dyDescent="0.25">
      <c r="A448" s="12"/>
      <c r="B448" s="9"/>
      <c r="C448" s="9"/>
      <c r="D448" s="9"/>
      <c r="E448" s="11"/>
      <c r="F448" s="11"/>
      <c r="G448" s="11"/>
      <c r="H448" s="11"/>
      <c r="I448" s="12"/>
      <c r="J448" s="12"/>
      <c r="K448" s="11"/>
      <c r="L448" s="11"/>
      <c r="M448" s="12"/>
      <c r="N448" s="12"/>
      <c r="O448" s="32"/>
      <c r="P448" s="9"/>
      <c r="Q448" s="9"/>
      <c r="R448" s="11"/>
      <c r="S448" s="13"/>
      <c r="T448" s="13"/>
      <c r="U448" s="13"/>
      <c r="V448" s="13"/>
      <c r="W448" s="13"/>
      <c r="X448" s="11"/>
      <c r="Y448" s="4" t="str">
        <f>IF(Tabela2[[#This Row],[SIGLA]]="","",VLOOKUP(Tabela2[[#This Row],[SIGLA]],Tabela1[[#All],[Sigla Arte]:[Crédito]],2,0))</f>
        <v/>
      </c>
      <c r="Z448" s="12"/>
      <c r="AA448" s="12" t="str">
        <f>Tabela2[[#This Row],[ILUSTRADOR CRIAÇÃO]]</f>
        <v/>
      </c>
      <c r="AB448" s="11"/>
      <c r="AC448" s="9"/>
      <c r="AD448" s="9"/>
      <c r="AE448" s="4" t="str">
        <f t="shared" si="6"/>
        <v>EF1 E002 Port</v>
      </c>
    </row>
    <row r="449" spans="1:31" s="7" customFormat="1" x14ac:dyDescent="0.25">
      <c r="A449" s="12"/>
      <c r="B449" s="9"/>
      <c r="C449" s="9"/>
      <c r="D449" s="9"/>
      <c r="E449" s="11"/>
      <c r="F449" s="11"/>
      <c r="G449" s="11"/>
      <c r="H449" s="11"/>
      <c r="I449" s="12"/>
      <c r="J449" s="12"/>
      <c r="K449" s="11"/>
      <c r="L449" s="11"/>
      <c r="M449" s="12"/>
      <c r="N449" s="12"/>
      <c r="O449" s="32"/>
      <c r="P449" s="9"/>
      <c r="Q449" s="9"/>
      <c r="R449" s="11"/>
      <c r="S449" s="13"/>
      <c r="T449" s="13"/>
      <c r="U449" s="13"/>
      <c r="V449" s="13"/>
      <c r="W449" s="13"/>
      <c r="X449" s="11"/>
      <c r="Y449" s="4" t="str">
        <f>IF(Tabela2[[#This Row],[SIGLA]]="","",VLOOKUP(Tabela2[[#This Row],[SIGLA]],Tabela1[[#All],[Sigla Arte]:[Crédito]],2,0))</f>
        <v/>
      </c>
      <c r="Z449" s="12"/>
      <c r="AA449" s="12" t="str">
        <f>Tabela2[[#This Row],[ILUSTRADOR CRIAÇÃO]]</f>
        <v/>
      </c>
      <c r="AB449" s="11"/>
      <c r="AC449" s="9"/>
      <c r="AD449" s="9"/>
      <c r="AE449" s="4" t="str">
        <f t="shared" si="6"/>
        <v>EF1 E002 Port</v>
      </c>
    </row>
    <row r="450" spans="1:31" s="7" customFormat="1" x14ac:dyDescent="0.25">
      <c r="A450" s="12"/>
      <c r="B450" s="9"/>
      <c r="C450" s="9"/>
      <c r="D450" s="9"/>
      <c r="E450" s="11"/>
      <c r="F450" s="11"/>
      <c r="G450" s="11"/>
      <c r="H450" s="11"/>
      <c r="I450" s="12"/>
      <c r="J450" s="12"/>
      <c r="K450" s="11"/>
      <c r="L450" s="11"/>
      <c r="M450" s="12"/>
      <c r="N450" s="12"/>
      <c r="O450" s="32"/>
      <c r="P450" s="9"/>
      <c r="Q450" s="9"/>
      <c r="R450" s="11"/>
      <c r="S450" s="13"/>
      <c r="T450" s="13"/>
      <c r="U450" s="13"/>
      <c r="V450" s="13"/>
      <c r="W450" s="13"/>
      <c r="X450" s="11"/>
      <c r="Y450" s="4" t="str">
        <f>IF(Tabela2[[#This Row],[SIGLA]]="","",VLOOKUP(Tabela2[[#This Row],[SIGLA]],Tabela1[[#All],[Sigla Arte]:[Crédito]],2,0))</f>
        <v/>
      </c>
      <c r="Z450" s="12"/>
      <c r="AA450" s="12" t="str">
        <f>Tabela2[[#This Row],[ILUSTRADOR CRIAÇÃO]]</f>
        <v/>
      </c>
      <c r="AB450" s="11"/>
      <c r="AC450" s="9"/>
      <c r="AD450" s="9"/>
      <c r="AE450" s="4" t="str">
        <f t="shared" ref="AE450:AE500" si="7">"EF1 E002 Port"</f>
        <v>EF1 E002 Port</v>
      </c>
    </row>
    <row r="451" spans="1:31" s="7" customFormat="1" x14ac:dyDescent="0.25">
      <c r="A451" s="12"/>
      <c r="B451" s="9"/>
      <c r="C451" s="9"/>
      <c r="D451" s="9"/>
      <c r="E451" s="11"/>
      <c r="F451" s="11"/>
      <c r="G451" s="11"/>
      <c r="H451" s="11"/>
      <c r="I451" s="12"/>
      <c r="J451" s="12"/>
      <c r="K451" s="11"/>
      <c r="L451" s="11"/>
      <c r="M451" s="12"/>
      <c r="N451" s="12"/>
      <c r="O451" s="32"/>
      <c r="P451" s="9"/>
      <c r="Q451" s="9"/>
      <c r="R451" s="11"/>
      <c r="S451" s="13"/>
      <c r="T451" s="13"/>
      <c r="U451" s="13"/>
      <c r="V451" s="13"/>
      <c r="W451" s="13"/>
      <c r="X451" s="11"/>
      <c r="Y451" s="4" t="str">
        <f>IF(Tabela2[[#This Row],[SIGLA]]="","",VLOOKUP(Tabela2[[#This Row],[SIGLA]],Tabela1[[#All],[Sigla Arte]:[Crédito]],2,0))</f>
        <v/>
      </c>
      <c r="Z451" s="12"/>
      <c r="AA451" s="12" t="str">
        <f>Tabela2[[#This Row],[ILUSTRADOR CRIAÇÃO]]</f>
        <v/>
      </c>
      <c r="AB451" s="11"/>
      <c r="AC451" s="9"/>
      <c r="AD451" s="9"/>
      <c r="AE451" s="4" t="str">
        <f t="shared" si="7"/>
        <v>EF1 E002 Port</v>
      </c>
    </row>
    <row r="452" spans="1:31" s="7" customFormat="1" x14ac:dyDescent="0.25">
      <c r="A452" s="12"/>
      <c r="B452" s="9"/>
      <c r="C452" s="9"/>
      <c r="D452" s="9"/>
      <c r="E452" s="11"/>
      <c r="F452" s="11"/>
      <c r="G452" s="11"/>
      <c r="H452" s="11"/>
      <c r="I452" s="12"/>
      <c r="J452" s="12"/>
      <c r="K452" s="11"/>
      <c r="L452" s="11"/>
      <c r="M452" s="12"/>
      <c r="N452" s="12"/>
      <c r="O452" s="32"/>
      <c r="P452" s="9"/>
      <c r="Q452" s="9"/>
      <c r="R452" s="11"/>
      <c r="S452" s="13"/>
      <c r="T452" s="13"/>
      <c r="U452" s="13"/>
      <c r="V452" s="13"/>
      <c r="W452" s="13"/>
      <c r="X452" s="11"/>
      <c r="Y452" s="4" t="str">
        <f>IF(Tabela2[[#This Row],[SIGLA]]="","",VLOOKUP(Tabela2[[#This Row],[SIGLA]],Tabela1[[#All],[Sigla Arte]:[Crédito]],2,0))</f>
        <v/>
      </c>
      <c r="Z452" s="12"/>
      <c r="AA452" s="12" t="str">
        <f>Tabela2[[#This Row],[ILUSTRADOR CRIAÇÃO]]</f>
        <v/>
      </c>
      <c r="AB452" s="11"/>
      <c r="AC452" s="9"/>
      <c r="AD452" s="9"/>
      <c r="AE452" s="4" t="str">
        <f t="shared" si="7"/>
        <v>EF1 E002 Port</v>
      </c>
    </row>
    <row r="453" spans="1:31" s="7" customFormat="1" x14ac:dyDescent="0.25">
      <c r="A453" s="12"/>
      <c r="B453" s="9"/>
      <c r="C453" s="9"/>
      <c r="D453" s="9"/>
      <c r="E453" s="11"/>
      <c r="F453" s="11"/>
      <c r="G453" s="11"/>
      <c r="H453" s="11"/>
      <c r="I453" s="12"/>
      <c r="J453" s="12"/>
      <c r="K453" s="11"/>
      <c r="L453" s="11"/>
      <c r="M453" s="12"/>
      <c r="N453" s="12"/>
      <c r="O453" s="32"/>
      <c r="P453" s="9"/>
      <c r="Q453" s="9"/>
      <c r="R453" s="11"/>
      <c r="S453" s="13"/>
      <c r="T453" s="13"/>
      <c r="U453" s="13"/>
      <c r="V453" s="13"/>
      <c r="W453" s="13"/>
      <c r="X453" s="11"/>
      <c r="Y453" s="4" t="str">
        <f>IF(Tabela2[[#This Row],[SIGLA]]="","",VLOOKUP(Tabela2[[#This Row],[SIGLA]],Tabela1[[#All],[Sigla Arte]:[Crédito]],2,0))</f>
        <v/>
      </c>
      <c r="Z453" s="12"/>
      <c r="AA453" s="12" t="str">
        <f>Tabela2[[#This Row],[ILUSTRADOR CRIAÇÃO]]</f>
        <v/>
      </c>
      <c r="AB453" s="11"/>
      <c r="AC453" s="9"/>
      <c r="AD453" s="9"/>
      <c r="AE453" s="4" t="str">
        <f t="shared" si="7"/>
        <v>EF1 E002 Port</v>
      </c>
    </row>
    <row r="454" spans="1:31" s="7" customFormat="1" x14ac:dyDescent="0.25">
      <c r="A454" s="12"/>
      <c r="B454" s="9"/>
      <c r="C454" s="9"/>
      <c r="D454" s="9"/>
      <c r="E454" s="11"/>
      <c r="F454" s="11"/>
      <c r="G454" s="11"/>
      <c r="H454" s="11"/>
      <c r="I454" s="12"/>
      <c r="J454" s="12"/>
      <c r="K454" s="11"/>
      <c r="L454" s="11"/>
      <c r="M454" s="12"/>
      <c r="N454" s="12"/>
      <c r="O454" s="32"/>
      <c r="P454" s="9"/>
      <c r="Q454" s="9"/>
      <c r="R454" s="11"/>
      <c r="S454" s="13"/>
      <c r="T454" s="13"/>
      <c r="U454" s="13"/>
      <c r="V454" s="13"/>
      <c r="W454" s="13"/>
      <c r="X454" s="11"/>
      <c r="Y454" s="4" t="str">
        <f>IF(Tabela2[[#This Row],[SIGLA]]="","",VLOOKUP(Tabela2[[#This Row],[SIGLA]],Tabela1[[#All],[Sigla Arte]:[Crédito]],2,0))</f>
        <v/>
      </c>
      <c r="Z454" s="12"/>
      <c r="AA454" s="12" t="str">
        <f>Tabela2[[#This Row],[ILUSTRADOR CRIAÇÃO]]</f>
        <v/>
      </c>
      <c r="AB454" s="11"/>
      <c r="AC454" s="9"/>
      <c r="AD454" s="9"/>
      <c r="AE454" s="4" t="str">
        <f t="shared" si="7"/>
        <v>EF1 E002 Port</v>
      </c>
    </row>
    <row r="455" spans="1:31" s="7" customFormat="1" x14ac:dyDescent="0.25">
      <c r="A455" s="12"/>
      <c r="B455" s="9"/>
      <c r="C455" s="9"/>
      <c r="D455" s="9"/>
      <c r="E455" s="11"/>
      <c r="F455" s="11"/>
      <c r="G455" s="11"/>
      <c r="H455" s="11"/>
      <c r="I455" s="12"/>
      <c r="J455" s="12"/>
      <c r="K455" s="11"/>
      <c r="L455" s="11"/>
      <c r="M455" s="12"/>
      <c r="N455" s="12"/>
      <c r="O455" s="32"/>
      <c r="P455" s="9"/>
      <c r="Q455" s="9"/>
      <c r="R455" s="11"/>
      <c r="S455" s="13"/>
      <c r="T455" s="13"/>
      <c r="U455" s="13"/>
      <c r="V455" s="13"/>
      <c r="W455" s="13"/>
      <c r="X455" s="11"/>
      <c r="Y455" s="4" t="str">
        <f>IF(Tabela2[[#This Row],[SIGLA]]="","",VLOOKUP(Tabela2[[#This Row],[SIGLA]],Tabela1[[#All],[Sigla Arte]:[Crédito]],2,0))</f>
        <v/>
      </c>
      <c r="Z455" s="12"/>
      <c r="AA455" s="12" t="str">
        <f>Tabela2[[#This Row],[ILUSTRADOR CRIAÇÃO]]</f>
        <v/>
      </c>
      <c r="AB455" s="11"/>
      <c r="AC455" s="9"/>
      <c r="AD455" s="9"/>
      <c r="AE455" s="4" t="str">
        <f t="shared" si="7"/>
        <v>EF1 E002 Port</v>
      </c>
    </row>
    <row r="456" spans="1:31" s="7" customFormat="1" x14ac:dyDescent="0.25">
      <c r="A456" s="12"/>
      <c r="B456" s="9"/>
      <c r="C456" s="9"/>
      <c r="D456" s="9"/>
      <c r="E456" s="11"/>
      <c r="F456" s="11"/>
      <c r="G456" s="11"/>
      <c r="H456" s="11"/>
      <c r="I456" s="12"/>
      <c r="J456" s="12"/>
      <c r="K456" s="11"/>
      <c r="L456" s="11"/>
      <c r="M456" s="12"/>
      <c r="N456" s="12"/>
      <c r="O456" s="32"/>
      <c r="P456" s="9"/>
      <c r="Q456" s="9"/>
      <c r="R456" s="11"/>
      <c r="S456" s="13"/>
      <c r="T456" s="13"/>
      <c r="U456" s="13"/>
      <c r="V456" s="13"/>
      <c r="W456" s="13"/>
      <c r="X456" s="11"/>
      <c r="Y456" s="4" t="str">
        <f>IF(Tabela2[[#This Row],[SIGLA]]="","",VLOOKUP(Tabela2[[#This Row],[SIGLA]],Tabela1[[#All],[Sigla Arte]:[Crédito]],2,0))</f>
        <v/>
      </c>
      <c r="Z456" s="12"/>
      <c r="AA456" s="12" t="str">
        <f>Tabela2[[#This Row],[ILUSTRADOR CRIAÇÃO]]</f>
        <v/>
      </c>
      <c r="AB456" s="11"/>
      <c r="AC456" s="9"/>
      <c r="AD456" s="9"/>
      <c r="AE456" s="4" t="str">
        <f t="shared" si="7"/>
        <v>EF1 E002 Port</v>
      </c>
    </row>
    <row r="457" spans="1:31" s="7" customFormat="1" x14ac:dyDescent="0.25">
      <c r="A457" s="12"/>
      <c r="B457" s="9"/>
      <c r="C457" s="9"/>
      <c r="D457" s="9"/>
      <c r="E457" s="11"/>
      <c r="F457" s="11"/>
      <c r="G457" s="11"/>
      <c r="H457" s="11"/>
      <c r="I457" s="12"/>
      <c r="J457" s="12"/>
      <c r="K457" s="11"/>
      <c r="L457" s="11"/>
      <c r="M457" s="12"/>
      <c r="N457" s="12"/>
      <c r="O457" s="32"/>
      <c r="P457" s="9"/>
      <c r="Q457" s="9"/>
      <c r="R457" s="11"/>
      <c r="S457" s="13"/>
      <c r="T457" s="13"/>
      <c r="U457" s="13"/>
      <c r="V457" s="13"/>
      <c r="W457" s="13"/>
      <c r="X457" s="11"/>
      <c r="Y457" s="4" t="str">
        <f>IF(Tabela2[[#This Row],[SIGLA]]="","",VLOOKUP(Tabela2[[#This Row],[SIGLA]],Tabela1[[#All],[Sigla Arte]:[Crédito]],2,0))</f>
        <v/>
      </c>
      <c r="Z457" s="12"/>
      <c r="AA457" s="12" t="str">
        <f>Tabela2[[#This Row],[ILUSTRADOR CRIAÇÃO]]</f>
        <v/>
      </c>
      <c r="AB457" s="11"/>
      <c r="AC457" s="9"/>
      <c r="AD457" s="9"/>
      <c r="AE457" s="4" t="str">
        <f t="shared" si="7"/>
        <v>EF1 E002 Port</v>
      </c>
    </row>
    <row r="458" spans="1:31" s="7" customFormat="1" x14ac:dyDescent="0.25">
      <c r="A458" s="12"/>
      <c r="B458" s="9"/>
      <c r="C458" s="9"/>
      <c r="D458" s="9"/>
      <c r="E458" s="11"/>
      <c r="F458" s="11"/>
      <c r="G458" s="11"/>
      <c r="H458" s="11"/>
      <c r="I458" s="12"/>
      <c r="J458" s="12"/>
      <c r="K458" s="11"/>
      <c r="L458" s="11"/>
      <c r="M458" s="12"/>
      <c r="N458" s="12"/>
      <c r="O458" s="32"/>
      <c r="P458" s="9"/>
      <c r="Q458" s="9"/>
      <c r="R458" s="11"/>
      <c r="S458" s="13"/>
      <c r="T458" s="13"/>
      <c r="U458" s="13"/>
      <c r="V458" s="13"/>
      <c r="W458" s="13"/>
      <c r="X458" s="11"/>
      <c r="Y458" s="4" t="str">
        <f>IF(Tabela2[[#This Row],[SIGLA]]="","",VLOOKUP(Tabela2[[#This Row],[SIGLA]],Tabela1[[#All],[Sigla Arte]:[Crédito]],2,0))</f>
        <v/>
      </c>
      <c r="Z458" s="12"/>
      <c r="AA458" s="12" t="str">
        <f>Tabela2[[#This Row],[ILUSTRADOR CRIAÇÃO]]</f>
        <v/>
      </c>
      <c r="AB458" s="11"/>
      <c r="AC458" s="9"/>
      <c r="AD458" s="9"/>
      <c r="AE458" s="4" t="str">
        <f t="shared" si="7"/>
        <v>EF1 E002 Port</v>
      </c>
    </row>
    <row r="459" spans="1:31" s="7" customFormat="1" x14ac:dyDescent="0.25">
      <c r="A459" s="12"/>
      <c r="B459" s="9"/>
      <c r="C459" s="9"/>
      <c r="D459" s="9"/>
      <c r="E459" s="11"/>
      <c r="F459" s="11"/>
      <c r="G459" s="11"/>
      <c r="H459" s="11"/>
      <c r="I459" s="12"/>
      <c r="J459" s="12"/>
      <c r="K459" s="11"/>
      <c r="L459" s="11"/>
      <c r="M459" s="12"/>
      <c r="N459" s="12"/>
      <c r="O459" s="32"/>
      <c r="P459" s="9"/>
      <c r="Q459" s="9"/>
      <c r="R459" s="11"/>
      <c r="S459" s="13"/>
      <c r="T459" s="13"/>
      <c r="U459" s="13"/>
      <c r="V459" s="13"/>
      <c r="W459" s="13"/>
      <c r="X459" s="11"/>
      <c r="Y459" s="4" t="str">
        <f>IF(Tabela2[[#This Row],[SIGLA]]="","",VLOOKUP(Tabela2[[#This Row],[SIGLA]],Tabela1[[#All],[Sigla Arte]:[Crédito]],2,0))</f>
        <v/>
      </c>
      <c r="Z459" s="12"/>
      <c r="AA459" s="12" t="str">
        <f>Tabela2[[#This Row],[ILUSTRADOR CRIAÇÃO]]</f>
        <v/>
      </c>
      <c r="AB459" s="11"/>
      <c r="AC459" s="9"/>
      <c r="AD459" s="9"/>
      <c r="AE459" s="4" t="str">
        <f t="shared" si="7"/>
        <v>EF1 E002 Port</v>
      </c>
    </row>
    <row r="460" spans="1:31" s="7" customFormat="1" x14ac:dyDescent="0.25">
      <c r="A460" s="12"/>
      <c r="B460" s="9"/>
      <c r="C460" s="9"/>
      <c r="D460" s="9"/>
      <c r="E460" s="11"/>
      <c r="F460" s="11"/>
      <c r="G460" s="11"/>
      <c r="H460" s="11"/>
      <c r="I460" s="12"/>
      <c r="J460" s="12"/>
      <c r="K460" s="11"/>
      <c r="L460" s="11"/>
      <c r="M460" s="12"/>
      <c r="N460" s="12"/>
      <c r="O460" s="32"/>
      <c r="P460" s="9"/>
      <c r="Q460" s="9"/>
      <c r="R460" s="11"/>
      <c r="S460" s="13"/>
      <c r="T460" s="13"/>
      <c r="U460" s="13"/>
      <c r="V460" s="13"/>
      <c r="W460" s="13"/>
      <c r="X460" s="11"/>
      <c r="Y460" s="4" t="str">
        <f>IF(Tabela2[[#This Row],[SIGLA]]="","",VLOOKUP(Tabela2[[#This Row],[SIGLA]],Tabela1[[#All],[Sigla Arte]:[Crédito]],2,0))</f>
        <v/>
      </c>
      <c r="Z460" s="12"/>
      <c r="AA460" s="12" t="str">
        <f>Tabela2[[#This Row],[ILUSTRADOR CRIAÇÃO]]</f>
        <v/>
      </c>
      <c r="AB460" s="11"/>
      <c r="AC460" s="9"/>
      <c r="AD460" s="9"/>
      <c r="AE460" s="4" t="str">
        <f t="shared" si="7"/>
        <v>EF1 E002 Port</v>
      </c>
    </row>
    <row r="461" spans="1:31" s="7" customFormat="1" x14ac:dyDescent="0.25">
      <c r="A461" s="12"/>
      <c r="B461" s="9"/>
      <c r="C461" s="9"/>
      <c r="D461" s="9"/>
      <c r="E461" s="11"/>
      <c r="F461" s="11"/>
      <c r="G461" s="11"/>
      <c r="H461" s="11"/>
      <c r="I461" s="12"/>
      <c r="J461" s="12"/>
      <c r="K461" s="11"/>
      <c r="L461" s="11"/>
      <c r="M461" s="12"/>
      <c r="N461" s="12"/>
      <c r="O461" s="32"/>
      <c r="P461" s="9"/>
      <c r="Q461" s="9"/>
      <c r="R461" s="11"/>
      <c r="S461" s="13"/>
      <c r="T461" s="13"/>
      <c r="U461" s="13"/>
      <c r="V461" s="13"/>
      <c r="W461" s="13"/>
      <c r="X461" s="11"/>
      <c r="Y461" s="4" t="str">
        <f>IF(Tabela2[[#This Row],[SIGLA]]="","",VLOOKUP(Tabela2[[#This Row],[SIGLA]],Tabela1[[#All],[Sigla Arte]:[Crédito]],2,0))</f>
        <v/>
      </c>
      <c r="Z461" s="12"/>
      <c r="AA461" s="12" t="str">
        <f>Tabela2[[#This Row],[ILUSTRADOR CRIAÇÃO]]</f>
        <v/>
      </c>
      <c r="AB461" s="11"/>
      <c r="AC461" s="9"/>
      <c r="AD461" s="9"/>
      <c r="AE461" s="4" t="str">
        <f t="shared" si="7"/>
        <v>EF1 E002 Port</v>
      </c>
    </row>
    <row r="462" spans="1:31" s="7" customFormat="1" x14ac:dyDescent="0.25">
      <c r="A462" s="12"/>
      <c r="B462" s="9"/>
      <c r="C462" s="9"/>
      <c r="D462" s="9"/>
      <c r="E462" s="11"/>
      <c r="F462" s="11"/>
      <c r="G462" s="11"/>
      <c r="H462" s="11"/>
      <c r="I462" s="12"/>
      <c r="J462" s="12"/>
      <c r="K462" s="11"/>
      <c r="L462" s="11"/>
      <c r="M462" s="12"/>
      <c r="N462" s="12"/>
      <c r="O462" s="32"/>
      <c r="P462" s="9"/>
      <c r="Q462" s="9"/>
      <c r="R462" s="11"/>
      <c r="S462" s="13"/>
      <c r="T462" s="13"/>
      <c r="U462" s="13"/>
      <c r="V462" s="13"/>
      <c r="W462" s="13"/>
      <c r="X462" s="11"/>
      <c r="Y462" s="4" t="str">
        <f>IF(Tabela2[[#This Row],[SIGLA]]="","",VLOOKUP(Tabela2[[#This Row],[SIGLA]],Tabela1[[#All],[Sigla Arte]:[Crédito]],2,0))</f>
        <v/>
      </c>
      <c r="Z462" s="12"/>
      <c r="AA462" s="12" t="str">
        <f>Tabela2[[#This Row],[ILUSTRADOR CRIAÇÃO]]</f>
        <v/>
      </c>
      <c r="AB462" s="11"/>
      <c r="AC462" s="9"/>
      <c r="AD462" s="9"/>
      <c r="AE462" s="4" t="str">
        <f t="shared" si="7"/>
        <v>EF1 E002 Port</v>
      </c>
    </row>
    <row r="463" spans="1:31" s="7" customFormat="1" x14ac:dyDescent="0.25">
      <c r="A463" s="12"/>
      <c r="B463" s="9"/>
      <c r="C463" s="9"/>
      <c r="D463" s="9"/>
      <c r="E463" s="11"/>
      <c r="F463" s="11"/>
      <c r="G463" s="11"/>
      <c r="H463" s="11"/>
      <c r="I463" s="12"/>
      <c r="J463" s="12"/>
      <c r="K463" s="11"/>
      <c r="L463" s="11"/>
      <c r="M463" s="12"/>
      <c r="N463" s="12"/>
      <c r="O463" s="32"/>
      <c r="P463" s="9"/>
      <c r="Q463" s="9"/>
      <c r="R463" s="11"/>
      <c r="S463" s="13"/>
      <c r="T463" s="13"/>
      <c r="U463" s="13"/>
      <c r="V463" s="13"/>
      <c r="W463" s="13"/>
      <c r="X463" s="11"/>
      <c r="Y463" s="4" t="str">
        <f>IF(Tabela2[[#This Row],[SIGLA]]="","",VLOOKUP(Tabela2[[#This Row],[SIGLA]],Tabela1[[#All],[Sigla Arte]:[Crédito]],2,0))</f>
        <v/>
      </c>
      <c r="Z463" s="12"/>
      <c r="AA463" s="12" t="str">
        <f>Tabela2[[#This Row],[ILUSTRADOR CRIAÇÃO]]</f>
        <v/>
      </c>
      <c r="AB463" s="11"/>
      <c r="AC463" s="9"/>
      <c r="AD463" s="9"/>
      <c r="AE463" s="4" t="str">
        <f t="shared" si="7"/>
        <v>EF1 E002 Port</v>
      </c>
    </row>
    <row r="464" spans="1:31" s="7" customFormat="1" x14ac:dyDescent="0.25">
      <c r="A464" s="12"/>
      <c r="B464" s="9"/>
      <c r="C464" s="9"/>
      <c r="D464" s="9"/>
      <c r="E464" s="11"/>
      <c r="F464" s="11"/>
      <c r="G464" s="11"/>
      <c r="H464" s="11"/>
      <c r="I464" s="12"/>
      <c r="J464" s="12"/>
      <c r="K464" s="11"/>
      <c r="L464" s="11"/>
      <c r="M464" s="12"/>
      <c r="N464" s="12"/>
      <c r="O464" s="32"/>
      <c r="P464" s="9"/>
      <c r="Q464" s="9"/>
      <c r="R464" s="11"/>
      <c r="S464" s="13"/>
      <c r="T464" s="13"/>
      <c r="U464" s="13"/>
      <c r="V464" s="13"/>
      <c r="W464" s="13"/>
      <c r="X464" s="11"/>
      <c r="Y464" s="4" t="str">
        <f>IF(Tabela2[[#This Row],[SIGLA]]="","",VLOOKUP(Tabela2[[#This Row],[SIGLA]],Tabela1[[#All],[Sigla Arte]:[Crédito]],2,0))</f>
        <v/>
      </c>
      <c r="Z464" s="12"/>
      <c r="AA464" s="12" t="str">
        <f>Tabela2[[#This Row],[ILUSTRADOR CRIAÇÃO]]</f>
        <v/>
      </c>
      <c r="AB464" s="11"/>
      <c r="AC464" s="9"/>
      <c r="AD464" s="9"/>
      <c r="AE464" s="4" t="str">
        <f t="shared" si="7"/>
        <v>EF1 E002 Port</v>
      </c>
    </row>
    <row r="465" spans="1:31" s="7" customFormat="1" x14ac:dyDescent="0.25">
      <c r="A465" s="12"/>
      <c r="B465" s="9"/>
      <c r="C465" s="9"/>
      <c r="D465" s="9"/>
      <c r="E465" s="11"/>
      <c r="F465" s="11"/>
      <c r="G465" s="11"/>
      <c r="H465" s="11"/>
      <c r="I465" s="12"/>
      <c r="J465" s="12"/>
      <c r="K465" s="11"/>
      <c r="L465" s="11"/>
      <c r="M465" s="12"/>
      <c r="N465" s="12"/>
      <c r="O465" s="32"/>
      <c r="P465" s="9"/>
      <c r="Q465" s="9"/>
      <c r="R465" s="11"/>
      <c r="S465" s="13"/>
      <c r="T465" s="13"/>
      <c r="U465" s="13"/>
      <c r="V465" s="13"/>
      <c r="W465" s="13"/>
      <c r="X465" s="11"/>
      <c r="Y465" s="4" t="str">
        <f>IF(Tabela2[[#This Row],[SIGLA]]="","",VLOOKUP(Tabela2[[#This Row],[SIGLA]],Tabela1[[#All],[Sigla Arte]:[Crédito]],2,0))</f>
        <v/>
      </c>
      <c r="Z465" s="12"/>
      <c r="AA465" s="12" t="str">
        <f>Tabela2[[#This Row],[ILUSTRADOR CRIAÇÃO]]</f>
        <v/>
      </c>
      <c r="AB465" s="11"/>
      <c r="AC465" s="9"/>
      <c r="AD465" s="9"/>
      <c r="AE465" s="4" t="str">
        <f t="shared" si="7"/>
        <v>EF1 E002 Port</v>
      </c>
    </row>
    <row r="466" spans="1:31" s="7" customFormat="1" x14ac:dyDescent="0.25">
      <c r="A466" s="12"/>
      <c r="B466" s="9"/>
      <c r="C466" s="9"/>
      <c r="D466" s="9"/>
      <c r="E466" s="11"/>
      <c r="F466" s="11"/>
      <c r="G466" s="11"/>
      <c r="H466" s="11"/>
      <c r="I466" s="12"/>
      <c r="J466" s="12"/>
      <c r="K466" s="11"/>
      <c r="L466" s="11"/>
      <c r="M466" s="12"/>
      <c r="N466" s="12"/>
      <c r="O466" s="32"/>
      <c r="P466" s="9"/>
      <c r="Q466" s="9"/>
      <c r="R466" s="11"/>
      <c r="S466" s="13"/>
      <c r="T466" s="13"/>
      <c r="U466" s="13"/>
      <c r="V466" s="13"/>
      <c r="W466" s="13"/>
      <c r="X466" s="11"/>
      <c r="Y466" s="4" t="str">
        <f>IF(Tabela2[[#This Row],[SIGLA]]="","",VLOOKUP(Tabela2[[#This Row],[SIGLA]],Tabela1[[#All],[Sigla Arte]:[Crédito]],2,0))</f>
        <v/>
      </c>
      <c r="Z466" s="12"/>
      <c r="AA466" s="12" t="str">
        <f>Tabela2[[#This Row],[ILUSTRADOR CRIAÇÃO]]</f>
        <v/>
      </c>
      <c r="AB466" s="11"/>
      <c r="AC466" s="9"/>
      <c r="AD466" s="9"/>
      <c r="AE466" s="4" t="str">
        <f t="shared" si="7"/>
        <v>EF1 E002 Port</v>
      </c>
    </row>
    <row r="467" spans="1:31" s="7" customFormat="1" x14ac:dyDescent="0.25">
      <c r="A467" s="12"/>
      <c r="B467" s="9"/>
      <c r="C467" s="9"/>
      <c r="D467" s="9"/>
      <c r="E467" s="11"/>
      <c r="F467" s="11"/>
      <c r="G467" s="11"/>
      <c r="H467" s="11"/>
      <c r="I467" s="12"/>
      <c r="J467" s="12"/>
      <c r="K467" s="11"/>
      <c r="L467" s="11"/>
      <c r="M467" s="12"/>
      <c r="N467" s="12"/>
      <c r="O467" s="32"/>
      <c r="P467" s="9"/>
      <c r="Q467" s="9"/>
      <c r="R467" s="11"/>
      <c r="S467" s="13"/>
      <c r="T467" s="13"/>
      <c r="U467" s="13"/>
      <c r="V467" s="13"/>
      <c r="W467" s="13"/>
      <c r="X467" s="11"/>
      <c r="Y467" s="4" t="str">
        <f>IF(Tabela2[[#This Row],[SIGLA]]="","",VLOOKUP(Tabela2[[#This Row],[SIGLA]],Tabela1[[#All],[Sigla Arte]:[Crédito]],2,0))</f>
        <v/>
      </c>
      <c r="Z467" s="12"/>
      <c r="AA467" s="12" t="str">
        <f>Tabela2[[#This Row],[ILUSTRADOR CRIAÇÃO]]</f>
        <v/>
      </c>
      <c r="AB467" s="11"/>
      <c r="AC467" s="9"/>
      <c r="AD467" s="9"/>
      <c r="AE467" s="4" t="str">
        <f t="shared" si="7"/>
        <v>EF1 E002 Port</v>
      </c>
    </row>
    <row r="468" spans="1:31" s="7" customFormat="1" x14ac:dyDescent="0.25">
      <c r="A468" s="12"/>
      <c r="B468" s="9"/>
      <c r="C468" s="9"/>
      <c r="D468" s="9"/>
      <c r="E468" s="11"/>
      <c r="F468" s="11"/>
      <c r="G468" s="11"/>
      <c r="H468" s="11"/>
      <c r="I468" s="12"/>
      <c r="J468" s="12"/>
      <c r="K468" s="11"/>
      <c r="L468" s="11"/>
      <c r="M468" s="12"/>
      <c r="N468" s="12"/>
      <c r="O468" s="32"/>
      <c r="P468" s="9"/>
      <c r="Q468" s="9"/>
      <c r="R468" s="11"/>
      <c r="S468" s="13"/>
      <c r="T468" s="13"/>
      <c r="U468" s="13"/>
      <c r="V468" s="13"/>
      <c r="W468" s="13"/>
      <c r="X468" s="11"/>
      <c r="Y468" s="4" t="str">
        <f>IF(Tabela2[[#This Row],[SIGLA]]="","",VLOOKUP(Tabela2[[#This Row],[SIGLA]],Tabela1[[#All],[Sigla Arte]:[Crédito]],2,0))</f>
        <v/>
      </c>
      <c r="Z468" s="12"/>
      <c r="AA468" s="12" t="str">
        <f>Tabela2[[#This Row],[ILUSTRADOR CRIAÇÃO]]</f>
        <v/>
      </c>
      <c r="AB468" s="11"/>
      <c r="AC468" s="9"/>
      <c r="AD468" s="9"/>
      <c r="AE468" s="4" t="str">
        <f t="shared" si="7"/>
        <v>EF1 E002 Port</v>
      </c>
    </row>
    <row r="469" spans="1:31" s="7" customFormat="1" x14ac:dyDescent="0.25">
      <c r="A469" s="12"/>
      <c r="B469" s="9"/>
      <c r="C469" s="9"/>
      <c r="D469" s="9"/>
      <c r="E469" s="11"/>
      <c r="F469" s="11"/>
      <c r="G469" s="11"/>
      <c r="H469" s="11"/>
      <c r="I469" s="12"/>
      <c r="J469" s="12"/>
      <c r="K469" s="11"/>
      <c r="L469" s="11"/>
      <c r="M469" s="12"/>
      <c r="N469" s="12"/>
      <c r="O469" s="32"/>
      <c r="P469" s="9"/>
      <c r="Q469" s="9"/>
      <c r="R469" s="11"/>
      <c r="S469" s="13"/>
      <c r="T469" s="13"/>
      <c r="U469" s="13"/>
      <c r="V469" s="13"/>
      <c r="W469" s="13"/>
      <c r="X469" s="11"/>
      <c r="Y469" s="4" t="str">
        <f>IF(Tabela2[[#This Row],[SIGLA]]="","",VLOOKUP(Tabela2[[#This Row],[SIGLA]],Tabela1[[#All],[Sigla Arte]:[Crédito]],2,0))</f>
        <v/>
      </c>
      <c r="Z469" s="12"/>
      <c r="AA469" s="12" t="str">
        <f>Tabela2[[#This Row],[ILUSTRADOR CRIAÇÃO]]</f>
        <v/>
      </c>
      <c r="AB469" s="11"/>
      <c r="AC469" s="9"/>
      <c r="AD469" s="9"/>
      <c r="AE469" s="4" t="str">
        <f t="shared" si="7"/>
        <v>EF1 E002 Port</v>
      </c>
    </row>
    <row r="470" spans="1:31" s="7" customFormat="1" x14ac:dyDescent="0.25">
      <c r="A470" s="12"/>
      <c r="B470" s="9"/>
      <c r="C470" s="9"/>
      <c r="D470" s="9"/>
      <c r="E470" s="11"/>
      <c r="F470" s="11"/>
      <c r="G470" s="11"/>
      <c r="H470" s="11"/>
      <c r="I470" s="12"/>
      <c r="J470" s="12"/>
      <c r="K470" s="11"/>
      <c r="L470" s="11"/>
      <c r="M470" s="12"/>
      <c r="N470" s="12"/>
      <c r="O470" s="32"/>
      <c r="P470" s="9"/>
      <c r="Q470" s="9"/>
      <c r="R470" s="11"/>
      <c r="S470" s="13"/>
      <c r="T470" s="13"/>
      <c r="U470" s="13"/>
      <c r="V470" s="13"/>
      <c r="W470" s="13"/>
      <c r="X470" s="11"/>
      <c r="Y470" s="4" t="str">
        <f>IF(Tabela2[[#This Row],[SIGLA]]="","",VLOOKUP(Tabela2[[#This Row],[SIGLA]],Tabela1[[#All],[Sigla Arte]:[Crédito]],2,0))</f>
        <v/>
      </c>
      <c r="Z470" s="12"/>
      <c r="AA470" s="12" t="str">
        <f>Tabela2[[#This Row],[ILUSTRADOR CRIAÇÃO]]</f>
        <v/>
      </c>
      <c r="AB470" s="11"/>
      <c r="AC470" s="9"/>
      <c r="AD470" s="9"/>
      <c r="AE470" s="4" t="str">
        <f t="shared" si="7"/>
        <v>EF1 E002 Port</v>
      </c>
    </row>
    <row r="471" spans="1:31" s="7" customFormat="1" x14ac:dyDescent="0.25">
      <c r="A471" s="12"/>
      <c r="B471" s="9"/>
      <c r="C471" s="9"/>
      <c r="D471" s="9"/>
      <c r="E471" s="11"/>
      <c r="F471" s="11"/>
      <c r="G471" s="11"/>
      <c r="H471" s="11"/>
      <c r="I471" s="12"/>
      <c r="J471" s="12"/>
      <c r="K471" s="11"/>
      <c r="L471" s="11"/>
      <c r="M471" s="12"/>
      <c r="N471" s="12"/>
      <c r="O471" s="32"/>
      <c r="P471" s="9"/>
      <c r="Q471" s="9"/>
      <c r="R471" s="11"/>
      <c r="S471" s="13"/>
      <c r="T471" s="13"/>
      <c r="U471" s="13"/>
      <c r="V471" s="13"/>
      <c r="W471" s="13"/>
      <c r="X471" s="11"/>
      <c r="Y471" s="4" t="str">
        <f>IF(Tabela2[[#This Row],[SIGLA]]="","",VLOOKUP(Tabela2[[#This Row],[SIGLA]],Tabela1[[#All],[Sigla Arte]:[Crédito]],2,0))</f>
        <v/>
      </c>
      <c r="Z471" s="12"/>
      <c r="AA471" s="12" t="str">
        <f>Tabela2[[#This Row],[ILUSTRADOR CRIAÇÃO]]</f>
        <v/>
      </c>
      <c r="AB471" s="11"/>
      <c r="AC471" s="9"/>
      <c r="AD471" s="9"/>
      <c r="AE471" s="4" t="str">
        <f t="shared" si="7"/>
        <v>EF1 E002 Port</v>
      </c>
    </row>
    <row r="472" spans="1:31" s="7" customFormat="1" x14ac:dyDescent="0.25">
      <c r="A472" s="12"/>
      <c r="B472" s="9"/>
      <c r="C472" s="9"/>
      <c r="D472" s="9"/>
      <c r="E472" s="11"/>
      <c r="F472" s="11"/>
      <c r="G472" s="11"/>
      <c r="H472" s="11"/>
      <c r="I472" s="12"/>
      <c r="J472" s="12"/>
      <c r="K472" s="11"/>
      <c r="L472" s="11"/>
      <c r="M472" s="12"/>
      <c r="N472" s="12"/>
      <c r="O472" s="32"/>
      <c r="P472" s="9"/>
      <c r="Q472" s="9"/>
      <c r="R472" s="11"/>
      <c r="S472" s="13"/>
      <c r="T472" s="13"/>
      <c r="U472" s="13"/>
      <c r="V472" s="13"/>
      <c r="W472" s="13"/>
      <c r="X472" s="11"/>
      <c r="Y472" s="4" t="str">
        <f>IF(Tabela2[[#This Row],[SIGLA]]="","",VLOOKUP(Tabela2[[#This Row],[SIGLA]],Tabela1[[#All],[Sigla Arte]:[Crédito]],2,0))</f>
        <v/>
      </c>
      <c r="Z472" s="12"/>
      <c r="AA472" s="12" t="str">
        <f>Tabela2[[#This Row],[ILUSTRADOR CRIAÇÃO]]</f>
        <v/>
      </c>
      <c r="AB472" s="11"/>
      <c r="AC472" s="9"/>
      <c r="AD472" s="9"/>
      <c r="AE472" s="4" t="str">
        <f t="shared" si="7"/>
        <v>EF1 E002 Port</v>
      </c>
    </row>
    <row r="473" spans="1:31" s="7" customFormat="1" x14ac:dyDescent="0.25">
      <c r="A473" s="12"/>
      <c r="B473" s="9"/>
      <c r="C473" s="9"/>
      <c r="D473" s="9"/>
      <c r="E473" s="11"/>
      <c r="F473" s="11"/>
      <c r="G473" s="11"/>
      <c r="H473" s="11"/>
      <c r="I473" s="12"/>
      <c r="J473" s="12"/>
      <c r="K473" s="11"/>
      <c r="L473" s="11"/>
      <c r="M473" s="12"/>
      <c r="N473" s="12"/>
      <c r="O473" s="32"/>
      <c r="P473" s="9"/>
      <c r="Q473" s="9"/>
      <c r="R473" s="11"/>
      <c r="S473" s="13"/>
      <c r="T473" s="13"/>
      <c r="U473" s="13"/>
      <c r="V473" s="13"/>
      <c r="W473" s="13"/>
      <c r="X473" s="11"/>
      <c r="Y473" s="4" t="str">
        <f>IF(Tabela2[[#This Row],[SIGLA]]="","",VLOOKUP(Tabela2[[#This Row],[SIGLA]],Tabela1[[#All],[Sigla Arte]:[Crédito]],2,0))</f>
        <v/>
      </c>
      <c r="Z473" s="12"/>
      <c r="AA473" s="12" t="str">
        <f>Tabela2[[#This Row],[ILUSTRADOR CRIAÇÃO]]</f>
        <v/>
      </c>
      <c r="AB473" s="11"/>
      <c r="AC473" s="9"/>
      <c r="AD473" s="9"/>
      <c r="AE473" s="4" t="str">
        <f t="shared" si="7"/>
        <v>EF1 E002 Port</v>
      </c>
    </row>
    <row r="474" spans="1:31" s="7" customFormat="1" x14ac:dyDescent="0.25">
      <c r="A474" s="12"/>
      <c r="B474" s="9"/>
      <c r="C474" s="9"/>
      <c r="D474" s="9"/>
      <c r="E474" s="11"/>
      <c r="F474" s="11"/>
      <c r="G474" s="11"/>
      <c r="H474" s="11"/>
      <c r="I474" s="12"/>
      <c r="J474" s="12"/>
      <c r="K474" s="11"/>
      <c r="L474" s="11"/>
      <c r="M474" s="12"/>
      <c r="N474" s="12"/>
      <c r="O474" s="32"/>
      <c r="P474" s="9"/>
      <c r="Q474" s="9"/>
      <c r="R474" s="11"/>
      <c r="S474" s="13"/>
      <c r="T474" s="13"/>
      <c r="U474" s="13"/>
      <c r="V474" s="13"/>
      <c r="W474" s="13"/>
      <c r="X474" s="11"/>
      <c r="Y474" s="4" t="str">
        <f>IF(Tabela2[[#This Row],[SIGLA]]="","",VLOOKUP(Tabela2[[#This Row],[SIGLA]],Tabela1[[#All],[Sigla Arte]:[Crédito]],2,0))</f>
        <v/>
      </c>
      <c r="Z474" s="12"/>
      <c r="AA474" s="12" t="str">
        <f>Tabela2[[#This Row],[ILUSTRADOR CRIAÇÃO]]</f>
        <v/>
      </c>
      <c r="AB474" s="11"/>
      <c r="AC474" s="9"/>
      <c r="AD474" s="9"/>
      <c r="AE474" s="4" t="str">
        <f t="shared" si="7"/>
        <v>EF1 E002 Port</v>
      </c>
    </row>
    <row r="475" spans="1:31" s="7" customFormat="1" x14ac:dyDescent="0.25">
      <c r="A475" s="12"/>
      <c r="B475" s="9"/>
      <c r="C475" s="9"/>
      <c r="D475" s="9"/>
      <c r="E475" s="11"/>
      <c r="F475" s="11"/>
      <c r="G475" s="11"/>
      <c r="H475" s="11"/>
      <c r="I475" s="12"/>
      <c r="J475" s="12"/>
      <c r="K475" s="11"/>
      <c r="L475" s="11"/>
      <c r="M475" s="12"/>
      <c r="N475" s="12"/>
      <c r="O475" s="32"/>
      <c r="P475" s="9"/>
      <c r="Q475" s="9"/>
      <c r="R475" s="11"/>
      <c r="S475" s="13"/>
      <c r="T475" s="13"/>
      <c r="U475" s="13"/>
      <c r="V475" s="13"/>
      <c r="W475" s="13"/>
      <c r="X475" s="11"/>
      <c r="Y475" s="4" t="str">
        <f>IF(Tabela2[[#This Row],[SIGLA]]="","",VLOOKUP(Tabela2[[#This Row],[SIGLA]],Tabela1[[#All],[Sigla Arte]:[Crédito]],2,0))</f>
        <v/>
      </c>
      <c r="Z475" s="12"/>
      <c r="AA475" s="12" t="str">
        <f>Tabela2[[#This Row],[ILUSTRADOR CRIAÇÃO]]</f>
        <v/>
      </c>
      <c r="AB475" s="11"/>
      <c r="AC475" s="9"/>
      <c r="AD475" s="9"/>
      <c r="AE475" s="4" t="str">
        <f t="shared" si="7"/>
        <v>EF1 E002 Port</v>
      </c>
    </row>
    <row r="476" spans="1:31" s="7" customFormat="1" x14ac:dyDescent="0.25">
      <c r="A476" s="12"/>
      <c r="B476" s="9"/>
      <c r="C476" s="9"/>
      <c r="D476" s="9"/>
      <c r="E476" s="11"/>
      <c r="F476" s="11"/>
      <c r="G476" s="11"/>
      <c r="H476" s="11"/>
      <c r="I476" s="12"/>
      <c r="J476" s="12"/>
      <c r="K476" s="11"/>
      <c r="L476" s="11"/>
      <c r="M476" s="12"/>
      <c r="N476" s="12"/>
      <c r="O476" s="32"/>
      <c r="P476" s="9"/>
      <c r="Q476" s="9"/>
      <c r="R476" s="11"/>
      <c r="S476" s="13"/>
      <c r="T476" s="13"/>
      <c r="U476" s="13"/>
      <c r="V476" s="13"/>
      <c r="W476" s="13"/>
      <c r="X476" s="11"/>
      <c r="Y476" s="4" t="str">
        <f>IF(Tabela2[[#This Row],[SIGLA]]="","",VLOOKUP(Tabela2[[#This Row],[SIGLA]],Tabela1[[#All],[Sigla Arte]:[Crédito]],2,0))</f>
        <v/>
      </c>
      <c r="Z476" s="12"/>
      <c r="AA476" s="12" t="str">
        <f>Tabela2[[#This Row],[ILUSTRADOR CRIAÇÃO]]</f>
        <v/>
      </c>
      <c r="AB476" s="11"/>
      <c r="AC476" s="9"/>
      <c r="AD476" s="9"/>
      <c r="AE476" s="4" t="str">
        <f t="shared" si="7"/>
        <v>EF1 E002 Port</v>
      </c>
    </row>
    <row r="477" spans="1:31" s="7" customFormat="1" x14ac:dyDescent="0.25">
      <c r="A477" s="12"/>
      <c r="B477" s="9"/>
      <c r="C477" s="9"/>
      <c r="D477" s="9"/>
      <c r="E477" s="11"/>
      <c r="F477" s="11"/>
      <c r="G477" s="11"/>
      <c r="H477" s="11"/>
      <c r="I477" s="12"/>
      <c r="J477" s="12"/>
      <c r="K477" s="11"/>
      <c r="L477" s="11"/>
      <c r="M477" s="12"/>
      <c r="N477" s="12"/>
      <c r="O477" s="32"/>
      <c r="P477" s="9"/>
      <c r="Q477" s="9"/>
      <c r="R477" s="11"/>
      <c r="S477" s="13"/>
      <c r="T477" s="13"/>
      <c r="U477" s="13"/>
      <c r="V477" s="13"/>
      <c r="W477" s="13"/>
      <c r="X477" s="11"/>
      <c r="Y477" s="4" t="str">
        <f>IF(Tabela2[[#This Row],[SIGLA]]="","",VLOOKUP(Tabela2[[#This Row],[SIGLA]],Tabela1[[#All],[Sigla Arte]:[Crédito]],2,0))</f>
        <v/>
      </c>
      <c r="Z477" s="12"/>
      <c r="AA477" s="12" t="str">
        <f>Tabela2[[#This Row],[ILUSTRADOR CRIAÇÃO]]</f>
        <v/>
      </c>
      <c r="AB477" s="11"/>
      <c r="AC477" s="9"/>
      <c r="AD477" s="9"/>
      <c r="AE477" s="4" t="str">
        <f t="shared" si="7"/>
        <v>EF1 E002 Port</v>
      </c>
    </row>
    <row r="478" spans="1:31" s="7" customFormat="1" x14ac:dyDescent="0.25">
      <c r="A478" s="12"/>
      <c r="B478" s="9"/>
      <c r="C478" s="9"/>
      <c r="D478" s="9"/>
      <c r="E478" s="11"/>
      <c r="F478" s="11"/>
      <c r="G478" s="11"/>
      <c r="H478" s="11"/>
      <c r="I478" s="12"/>
      <c r="J478" s="12"/>
      <c r="K478" s="11"/>
      <c r="L478" s="11"/>
      <c r="M478" s="12"/>
      <c r="N478" s="12"/>
      <c r="O478" s="32"/>
      <c r="P478" s="9"/>
      <c r="Q478" s="9"/>
      <c r="R478" s="11"/>
      <c r="S478" s="13"/>
      <c r="T478" s="13"/>
      <c r="U478" s="13"/>
      <c r="V478" s="13"/>
      <c r="W478" s="13"/>
      <c r="X478" s="11"/>
      <c r="Y478" s="4" t="str">
        <f>IF(Tabela2[[#This Row],[SIGLA]]="","",VLOOKUP(Tabela2[[#This Row],[SIGLA]],Tabela1[[#All],[Sigla Arte]:[Crédito]],2,0))</f>
        <v/>
      </c>
      <c r="Z478" s="12"/>
      <c r="AA478" s="12" t="str">
        <f>Tabela2[[#This Row],[ILUSTRADOR CRIAÇÃO]]</f>
        <v/>
      </c>
      <c r="AB478" s="11"/>
      <c r="AC478" s="9"/>
      <c r="AD478" s="9"/>
      <c r="AE478" s="4" t="str">
        <f t="shared" si="7"/>
        <v>EF1 E002 Port</v>
      </c>
    </row>
    <row r="479" spans="1:31" s="7" customFormat="1" x14ac:dyDescent="0.25">
      <c r="A479" s="12"/>
      <c r="B479" s="9"/>
      <c r="C479" s="9"/>
      <c r="D479" s="9"/>
      <c r="E479" s="11"/>
      <c r="F479" s="11"/>
      <c r="G479" s="11"/>
      <c r="H479" s="11"/>
      <c r="I479" s="12"/>
      <c r="J479" s="12"/>
      <c r="K479" s="11"/>
      <c r="L479" s="11"/>
      <c r="M479" s="12"/>
      <c r="N479" s="12"/>
      <c r="O479" s="32"/>
      <c r="P479" s="9"/>
      <c r="Q479" s="9"/>
      <c r="R479" s="11"/>
      <c r="S479" s="13"/>
      <c r="T479" s="13"/>
      <c r="U479" s="13"/>
      <c r="V479" s="13"/>
      <c r="W479" s="13"/>
      <c r="X479" s="11"/>
      <c r="Y479" s="4" t="str">
        <f>IF(Tabela2[[#This Row],[SIGLA]]="","",VLOOKUP(Tabela2[[#This Row],[SIGLA]],Tabela1[[#All],[Sigla Arte]:[Crédito]],2,0))</f>
        <v/>
      </c>
      <c r="Z479" s="12"/>
      <c r="AA479" s="12" t="str">
        <f>Tabela2[[#This Row],[ILUSTRADOR CRIAÇÃO]]</f>
        <v/>
      </c>
      <c r="AB479" s="11"/>
      <c r="AC479" s="9"/>
      <c r="AD479" s="9"/>
      <c r="AE479" s="4" t="str">
        <f t="shared" si="7"/>
        <v>EF1 E002 Port</v>
      </c>
    </row>
    <row r="480" spans="1:31" s="7" customFormat="1" x14ac:dyDescent="0.25">
      <c r="A480" s="12"/>
      <c r="B480" s="9"/>
      <c r="C480" s="9"/>
      <c r="D480" s="9"/>
      <c r="E480" s="11"/>
      <c r="F480" s="11"/>
      <c r="G480" s="11"/>
      <c r="H480" s="11"/>
      <c r="I480" s="12"/>
      <c r="J480" s="12"/>
      <c r="K480" s="11"/>
      <c r="L480" s="11"/>
      <c r="M480" s="12"/>
      <c r="N480" s="12"/>
      <c r="O480" s="32"/>
      <c r="P480" s="9"/>
      <c r="Q480" s="9"/>
      <c r="R480" s="11"/>
      <c r="S480" s="13"/>
      <c r="T480" s="13"/>
      <c r="U480" s="13"/>
      <c r="V480" s="13"/>
      <c r="W480" s="13"/>
      <c r="X480" s="11"/>
      <c r="Y480" s="4" t="str">
        <f>IF(Tabela2[[#This Row],[SIGLA]]="","",VLOOKUP(Tabela2[[#This Row],[SIGLA]],Tabela1[[#All],[Sigla Arte]:[Crédito]],2,0))</f>
        <v/>
      </c>
      <c r="Z480" s="12"/>
      <c r="AA480" s="12" t="str">
        <f>Tabela2[[#This Row],[ILUSTRADOR CRIAÇÃO]]</f>
        <v/>
      </c>
      <c r="AB480" s="11"/>
      <c r="AC480" s="9"/>
      <c r="AD480" s="9"/>
      <c r="AE480" s="4" t="str">
        <f t="shared" si="7"/>
        <v>EF1 E002 Port</v>
      </c>
    </row>
    <row r="481" spans="1:31" s="7" customFormat="1" x14ac:dyDescent="0.25">
      <c r="A481" s="12"/>
      <c r="B481" s="9"/>
      <c r="C481" s="9"/>
      <c r="D481" s="9"/>
      <c r="E481" s="11"/>
      <c r="F481" s="11"/>
      <c r="G481" s="11"/>
      <c r="H481" s="11"/>
      <c r="I481" s="12"/>
      <c r="J481" s="12"/>
      <c r="K481" s="11"/>
      <c r="L481" s="11"/>
      <c r="M481" s="12"/>
      <c r="N481" s="12"/>
      <c r="O481" s="32"/>
      <c r="P481" s="9"/>
      <c r="Q481" s="9"/>
      <c r="R481" s="11"/>
      <c r="S481" s="13"/>
      <c r="T481" s="13"/>
      <c r="U481" s="13"/>
      <c r="V481" s="13"/>
      <c r="W481" s="13"/>
      <c r="X481" s="11"/>
      <c r="Y481" s="4" t="str">
        <f>IF(Tabela2[[#This Row],[SIGLA]]="","",VLOOKUP(Tabela2[[#This Row],[SIGLA]],Tabela1[[#All],[Sigla Arte]:[Crédito]],2,0))</f>
        <v/>
      </c>
      <c r="Z481" s="12"/>
      <c r="AA481" s="12" t="str">
        <f>Tabela2[[#This Row],[ILUSTRADOR CRIAÇÃO]]</f>
        <v/>
      </c>
      <c r="AB481" s="11"/>
      <c r="AC481" s="9"/>
      <c r="AD481" s="9"/>
      <c r="AE481" s="4" t="str">
        <f t="shared" si="7"/>
        <v>EF1 E002 Port</v>
      </c>
    </row>
    <row r="482" spans="1:31" s="7" customFormat="1" x14ac:dyDescent="0.25">
      <c r="A482" s="12"/>
      <c r="B482" s="9"/>
      <c r="C482" s="9"/>
      <c r="D482" s="9"/>
      <c r="E482" s="11"/>
      <c r="F482" s="11"/>
      <c r="G482" s="11"/>
      <c r="H482" s="11"/>
      <c r="I482" s="12"/>
      <c r="J482" s="12"/>
      <c r="K482" s="11"/>
      <c r="L482" s="11"/>
      <c r="M482" s="12"/>
      <c r="N482" s="12"/>
      <c r="O482" s="32"/>
      <c r="P482" s="9"/>
      <c r="Q482" s="9"/>
      <c r="R482" s="11"/>
      <c r="S482" s="13"/>
      <c r="T482" s="13"/>
      <c r="U482" s="13"/>
      <c r="V482" s="13"/>
      <c r="W482" s="13"/>
      <c r="X482" s="11"/>
      <c r="Y482" s="4" t="str">
        <f>IF(Tabela2[[#This Row],[SIGLA]]="","",VLOOKUP(Tabela2[[#This Row],[SIGLA]],Tabela1[[#All],[Sigla Arte]:[Crédito]],2,0))</f>
        <v/>
      </c>
      <c r="Z482" s="12"/>
      <c r="AA482" s="12" t="str">
        <f>Tabela2[[#This Row],[ILUSTRADOR CRIAÇÃO]]</f>
        <v/>
      </c>
      <c r="AB482" s="11"/>
      <c r="AC482" s="9"/>
      <c r="AD482" s="9"/>
      <c r="AE482" s="4" t="str">
        <f t="shared" si="7"/>
        <v>EF1 E002 Port</v>
      </c>
    </row>
    <row r="483" spans="1:31" s="7" customFormat="1" x14ac:dyDescent="0.25">
      <c r="A483" s="12"/>
      <c r="B483" s="9"/>
      <c r="C483" s="9"/>
      <c r="D483" s="9"/>
      <c r="E483" s="11"/>
      <c r="F483" s="11"/>
      <c r="G483" s="11"/>
      <c r="H483" s="11"/>
      <c r="I483" s="12"/>
      <c r="J483" s="12"/>
      <c r="K483" s="11"/>
      <c r="L483" s="11"/>
      <c r="M483" s="12"/>
      <c r="N483" s="12"/>
      <c r="O483" s="32"/>
      <c r="P483" s="9"/>
      <c r="Q483" s="9"/>
      <c r="R483" s="11"/>
      <c r="S483" s="13"/>
      <c r="T483" s="13"/>
      <c r="U483" s="13"/>
      <c r="V483" s="13"/>
      <c r="W483" s="13"/>
      <c r="X483" s="11"/>
      <c r="Y483" s="4" t="str">
        <f>IF(Tabela2[[#This Row],[SIGLA]]="","",VLOOKUP(Tabela2[[#This Row],[SIGLA]],Tabela1[[#All],[Sigla Arte]:[Crédito]],2,0))</f>
        <v/>
      </c>
      <c r="Z483" s="12"/>
      <c r="AA483" s="12" t="str">
        <f>Tabela2[[#This Row],[ILUSTRADOR CRIAÇÃO]]</f>
        <v/>
      </c>
      <c r="AB483" s="11"/>
      <c r="AC483" s="9"/>
      <c r="AD483" s="9"/>
      <c r="AE483" s="4" t="str">
        <f t="shared" si="7"/>
        <v>EF1 E002 Port</v>
      </c>
    </row>
    <row r="484" spans="1:31" s="7" customFormat="1" x14ac:dyDescent="0.25">
      <c r="A484" s="12"/>
      <c r="B484" s="9"/>
      <c r="C484" s="9"/>
      <c r="D484" s="9"/>
      <c r="E484" s="11"/>
      <c r="F484" s="11"/>
      <c r="G484" s="11"/>
      <c r="H484" s="11"/>
      <c r="I484" s="12"/>
      <c r="J484" s="12"/>
      <c r="K484" s="11"/>
      <c r="L484" s="11"/>
      <c r="M484" s="12"/>
      <c r="N484" s="12"/>
      <c r="O484" s="32"/>
      <c r="P484" s="9"/>
      <c r="Q484" s="9"/>
      <c r="R484" s="11"/>
      <c r="S484" s="13"/>
      <c r="T484" s="13"/>
      <c r="U484" s="13"/>
      <c r="V484" s="13"/>
      <c r="W484" s="13"/>
      <c r="X484" s="11"/>
      <c r="Y484" s="4" t="str">
        <f>IF(Tabela2[[#This Row],[SIGLA]]="","",VLOOKUP(Tabela2[[#This Row],[SIGLA]],Tabela1[[#All],[Sigla Arte]:[Crédito]],2,0))</f>
        <v/>
      </c>
      <c r="Z484" s="12"/>
      <c r="AA484" s="12" t="str">
        <f>Tabela2[[#This Row],[ILUSTRADOR CRIAÇÃO]]</f>
        <v/>
      </c>
      <c r="AB484" s="11"/>
      <c r="AC484" s="9"/>
      <c r="AD484" s="9"/>
      <c r="AE484" s="4" t="str">
        <f t="shared" si="7"/>
        <v>EF1 E002 Port</v>
      </c>
    </row>
    <row r="485" spans="1:31" s="7" customFormat="1" x14ac:dyDescent="0.25">
      <c r="A485" s="12"/>
      <c r="B485" s="9"/>
      <c r="C485" s="9"/>
      <c r="D485" s="9"/>
      <c r="E485" s="11"/>
      <c r="F485" s="11"/>
      <c r="G485" s="11"/>
      <c r="H485" s="11"/>
      <c r="I485" s="12"/>
      <c r="J485" s="12"/>
      <c r="K485" s="11"/>
      <c r="L485" s="11"/>
      <c r="M485" s="12"/>
      <c r="N485" s="12"/>
      <c r="O485" s="32"/>
      <c r="P485" s="9"/>
      <c r="Q485" s="9"/>
      <c r="R485" s="11"/>
      <c r="S485" s="13"/>
      <c r="T485" s="13"/>
      <c r="U485" s="13"/>
      <c r="V485" s="13"/>
      <c r="W485" s="13"/>
      <c r="X485" s="11"/>
      <c r="Y485" s="4" t="str">
        <f>IF(Tabela2[[#This Row],[SIGLA]]="","",VLOOKUP(Tabela2[[#This Row],[SIGLA]],Tabela1[[#All],[Sigla Arte]:[Crédito]],2,0))</f>
        <v/>
      </c>
      <c r="Z485" s="12"/>
      <c r="AA485" s="12" t="str">
        <f>Tabela2[[#This Row],[ILUSTRADOR CRIAÇÃO]]</f>
        <v/>
      </c>
      <c r="AB485" s="11"/>
      <c r="AC485" s="9"/>
      <c r="AD485" s="9"/>
      <c r="AE485" s="4" t="str">
        <f t="shared" si="7"/>
        <v>EF1 E002 Port</v>
      </c>
    </row>
    <row r="486" spans="1:31" s="7" customFormat="1" x14ac:dyDescent="0.25">
      <c r="A486" s="12"/>
      <c r="B486" s="9"/>
      <c r="C486" s="9"/>
      <c r="D486" s="9"/>
      <c r="E486" s="11"/>
      <c r="F486" s="11"/>
      <c r="G486" s="11"/>
      <c r="H486" s="11"/>
      <c r="I486" s="12"/>
      <c r="J486" s="12"/>
      <c r="K486" s="11"/>
      <c r="L486" s="11"/>
      <c r="M486" s="12"/>
      <c r="N486" s="12"/>
      <c r="O486" s="32"/>
      <c r="P486" s="9"/>
      <c r="Q486" s="9"/>
      <c r="R486" s="11"/>
      <c r="S486" s="13"/>
      <c r="T486" s="13"/>
      <c r="U486" s="13"/>
      <c r="V486" s="13"/>
      <c r="W486" s="13"/>
      <c r="X486" s="11"/>
      <c r="Y486" s="4" t="str">
        <f>IF(Tabela2[[#This Row],[SIGLA]]="","",VLOOKUP(Tabela2[[#This Row],[SIGLA]],Tabela1[[#All],[Sigla Arte]:[Crédito]],2,0))</f>
        <v/>
      </c>
      <c r="Z486" s="12"/>
      <c r="AA486" s="12" t="str">
        <f>Tabela2[[#This Row],[ILUSTRADOR CRIAÇÃO]]</f>
        <v/>
      </c>
      <c r="AB486" s="11"/>
      <c r="AC486" s="9"/>
      <c r="AD486" s="9"/>
      <c r="AE486" s="4" t="str">
        <f t="shared" si="7"/>
        <v>EF1 E002 Port</v>
      </c>
    </row>
    <row r="487" spans="1:31" s="7" customFormat="1" x14ac:dyDescent="0.25">
      <c r="A487" s="12"/>
      <c r="B487" s="9"/>
      <c r="C487" s="9"/>
      <c r="D487" s="9"/>
      <c r="E487" s="11"/>
      <c r="F487" s="11"/>
      <c r="G487" s="11"/>
      <c r="H487" s="11"/>
      <c r="I487" s="12"/>
      <c r="J487" s="12"/>
      <c r="K487" s="11"/>
      <c r="L487" s="11"/>
      <c r="M487" s="12"/>
      <c r="N487" s="12"/>
      <c r="O487" s="32"/>
      <c r="P487" s="9"/>
      <c r="Q487" s="9"/>
      <c r="R487" s="11"/>
      <c r="S487" s="13"/>
      <c r="T487" s="13"/>
      <c r="U487" s="13"/>
      <c r="V487" s="13"/>
      <c r="W487" s="13"/>
      <c r="X487" s="11"/>
      <c r="Y487" s="4" t="str">
        <f>IF(Tabela2[[#This Row],[SIGLA]]="","",VLOOKUP(Tabela2[[#This Row],[SIGLA]],Tabela1[[#All],[Sigla Arte]:[Crédito]],2,0))</f>
        <v/>
      </c>
      <c r="Z487" s="12"/>
      <c r="AA487" s="12" t="str">
        <f>Tabela2[[#This Row],[ILUSTRADOR CRIAÇÃO]]</f>
        <v/>
      </c>
      <c r="AB487" s="11"/>
      <c r="AC487" s="9"/>
      <c r="AD487" s="9"/>
      <c r="AE487" s="4" t="str">
        <f t="shared" si="7"/>
        <v>EF1 E002 Port</v>
      </c>
    </row>
    <row r="488" spans="1:31" s="7" customFormat="1" x14ac:dyDescent="0.25">
      <c r="A488" s="12"/>
      <c r="B488" s="9"/>
      <c r="C488" s="9"/>
      <c r="D488" s="9"/>
      <c r="E488" s="11"/>
      <c r="F488" s="11"/>
      <c r="G488" s="11"/>
      <c r="H488" s="11"/>
      <c r="I488" s="12"/>
      <c r="J488" s="12"/>
      <c r="K488" s="11"/>
      <c r="L488" s="11"/>
      <c r="M488" s="12"/>
      <c r="N488" s="12"/>
      <c r="O488" s="32"/>
      <c r="P488" s="9"/>
      <c r="Q488" s="9"/>
      <c r="R488" s="11"/>
      <c r="S488" s="13"/>
      <c r="T488" s="13"/>
      <c r="U488" s="13"/>
      <c r="V488" s="13"/>
      <c r="W488" s="13"/>
      <c r="X488" s="11"/>
      <c r="Y488" s="4" t="str">
        <f>IF(Tabela2[[#This Row],[SIGLA]]="","",VLOOKUP(Tabela2[[#This Row],[SIGLA]],Tabela1[[#All],[Sigla Arte]:[Crédito]],2,0))</f>
        <v/>
      </c>
      <c r="Z488" s="12"/>
      <c r="AA488" s="12" t="str">
        <f>Tabela2[[#This Row],[ILUSTRADOR CRIAÇÃO]]</f>
        <v/>
      </c>
      <c r="AB488" s="11"/>
      <c r="AC488" s="9"/>
      <c r="AD488" s="9"/>
      <c r="AE488" s="4" t="str">
        <f t="shared" si="7"/>
        <v>EF1 E002 Port</v>
      </c>
    </row>
    <row r="489" spans="1:31" s="7" customFormat="1" x14ac:dyDescent="0.25">
      <c r="A489" s="12"/>
      <c r="B489" s="9"/>
      <c r="C489" s="9"/>
      <c r="D489" s="9"/>
      <c r="E489" s="11"/>
      <c r="F489" s="11"/>
      <c r="G489" s="11"/>
      <c r="H489" s="11"/>
      <c r="I489" s="12"/>
      <c r="J489" s="12"/>
      <c r="K489" s="11"/>
      <c r="L489" s="11"/>
      <c r="M489" s="12"/>
      <c r="N489" s="12"/>
      <c r="O489" s="32"/>
      <c r="P489" s="9"/>
      <c r="Q489" s="9"/>
      <c r="R489" s="11"/>
      <c r="S489" s="13"/>
      <c r="T489" s="13"/>
      <c r="U489" s="13"/>
      <c r="V489" s="13"/>
      <c r="W489" s="13"/>
      <c r="X489" s="11"/>
      <c r="Y489" s="4" t="str">
        <f>IF(Tabela2[[#This Row],[SIGLA]]="","",VLOOKUP(Tabela2[[#This Row],[SIGLA]],Tabela1[[#All],[Sigla Arte]:[Crédito]],2,0))</f>
        <v/>
      </c>
      <c r="Z489" s="12"/>
      <c r="AA489" s="12" t="str">
        <f>Tabela2[[#This Row],[ILUSTRADOR CRIAÇÃO]]</f>
        <v/>
      </c>
      <c r="AB489" s="11"/>
      <c r="AC489" s="9"/>
      <c r="AD489" s="9"/>
      <c r="AE489" s="4" t="str">
        <f t="shared" si="7"/>
        <v>EF1 E002 Port</v>
      </c>
    </row>
    <row r="490" spans="1:31" s="7" customFormat="1" x14ac:dyDescent="0.25">
      <c r="A490" s="12"/>
      <c r="B490" s="9"/>
      <c r="C490" s="9"/>
      <c r="D490" s="9"/>
      <c r="E490" s="11"/>
      <c r="F490" s="11"/>
      <c r="G490" s="11"/>
      <c r="H490" s="11"/>
      <c r="I490" s="12"/>
      <c r="J490" s="12"/>
      <c r="K490" s="11"/>
      <c r="L490" s="11"/>
      <c r="M490" s="12"/>
      <c r="N490" s="12"/>
      <c r="O490" s="32"/>
      <c r="P490" s="9"/>
      <c r="Q490" s="9"/>
      <c r="R490" s="11"/>
      <c r="S490" s="13"/>
      <c r="T490" s="13"/>
      <c r="U490" s="13"/>
      <c r="V490" s="13"/>
      <c r="W490" s="13"/>
      <c r="X490" s="11"/>
      <c r="Y490" s="4" t="str">
        <f>IF(Tabela2[[#This Row],[SIGLA]]="","",VLOOKUP(Tabela2[[#This Row],[SIGLA]],Tabela1[[#All],[Sigla Arte]:[Crédito]],2,0))</f>
        <v/>
      </c>
      <c r="Z490" s="12"/>
      <c r="AA490" s="12" t="str">
        <f>Tabela2[[#This Row],[ILUSTRADOR CRIAÇÃO]]</f>
        <v/>
      </c>
      <c r="AB490" s="11"/>
      <c r="AC490" s="9"/>
      <c r="AD490" s="9"/>
      <c r="AE490" s="4" t="str">
        <f t="shared" si="7"/>
        <v>EF1 E002 Port</v>
      </c>
    </row>
    <row r="491" spans="1:31" s="7" customFormat="1" x14ac:dyDescent="0.25">
      <c r="A491" s="12"/>
      <c r="B491" s="9"/>
      <c r="C491" s="9"/>
      <c r="D491" s="9"/>
      <c r="E491" s="11"/>
      <c r="F491" s="11"/>
      <c r="G491" s="11"/>
      <c r="H491" s="11"/>
      <c r="I491" s="12"/>
      <c r="J491" s="12"/>
      <c r="K491" s="11"/>
      <c r="L491" s="11"/>
      <c r="M491" s="12"/>
      <c r="N491" s="12"/>
      <c r="O491" s="32"/>
      <c r="P491" s="9"/>
      <c r="Q491" s="9"/>
      <c r="R491" s="11"/>
      <c r="S491" s="13"/>
      <c r="T491" s="13"/>
      <c r="U491" s="13"/>
      <c r="V491" s="13"/>
      <c r="W491" s="13"/>
      <c r="X491" s="11"/>
      <c r="Y491" s="4" t="str">
        <f>IF(Tabela2[[#This Row],[SIGLA]]="","",VLOOKUP(Tabela2[[#This Row],[SIGLA]],Tabela1[[#All],[Sigla Arte]:[Crédito]],2,0))</f>
        <v/>
      </c>
      <c r="Z491" s="12"/>
      <c r="AA491" s="12" t="str">
        <f>Tabela2[[#This Row],[ILUSTRADOR CRIAÇÃO]]</f>
        <v/>
      </c>
      <c r="AB491" s="11"/>
      <c r="AC491" s="9"/>
      <c r="AD491" s="9"/>
      <c r="AE491" s="4" t="str">
        <f t="shared" si="7"/>
        <v>EF1 E002 Port</v>
      </c>
    </row>
    <row r="492" spans="1:31" s="7" customFormat="1" x14ac:dyDescent="0.25">
      <c r="A492" s="12"/>
      <c r="B492" s="9"/>
      <c r="C492" s="9"/>
      <c r="D492" s="9"/>
      <c r="E492" s="11"/>
      <c r="F492" s="11"/>
      <c r="G492" s="11"/>
      <c r="H492" s="11"/>
      <c r="I492" s="12"/>
      <c r="J492" s="12"/>
      <c r="K492" s="11"/>
      <c r="L492" s="11"/>
      <c r="M492" s="12"/>
      <c r="N492" s="12"/>
      <c r="O492" s="32"/>
      <c r="P492" s="9"/>
      <c r="Q492" s="9"/>
      <c r="R492" s="11"/>
      <c r="S492" s="13"/>
      <c r="T492" s="13"/>
      <c r="U492" s="13"/>
      <c r="V492" s="13"/>
      <c r="W492" s="13"/>
      <c r="X492" s="11"/>
      <c r="Y492" s="4" t="str">
        <f>IF(Tabela2[[#This Row],[SIGLA]]="","",VLOOKUP(Tabela2[[#This Row],[SIGLA]],Tabela1[[#All],[Sigla Arte]:[Crédito]],2,0))</f>
        <v/>
      </c>
      <c r="Z492" s="12"/>
      <c r="AA492" s="12" t="str">
        <f>Tabela2[[#This Row],[ILUSTRADOR CRIAÇÃO]]</f>
        <v/>
      </c>
      <c r="AB492" s="11"/>
      <c r="AC492" s="9"/>
      <c r="AD492" s="9"/>
      <c r="AE492" s="4" t="str">
        <f t="shared" si="7"/>
        <v>EF1 E002 Port</v>
      </c>
    </row>
    <row r="493" spans="1:31" s="7" customFormat="1" x14ac:dyDescent="0.25">
      <c r="A493" s="12"/>
      <c r="B493" s="9"/>
      <c r="C493" s="9"/>
      <c r="D493" s="9"/>
      <c r="E493" s="11"/>
      <c r="F493" s="11"/>
      <c r="G493" s="11"/>
      <c r="H493" s="11"/>
      <c r="I493" s="12"/>
      <c r="J493" s="12"/>
      <c r="K493" s="11"/>
      <c r="L493" s="11"/>
      <c r="M493" s="12"/>
      <c r="N493" s="12"/>
      <c r="O493" s="32"/>
      <c r="P493" s="9"/>
      <c r="Q493" s="9"/>
      <c r="R493" s="11"/>
      <c r="S493" s="13"/>
      <c r="T493" s="13"/>
      <c r="U493" s="13"/>
      <c r="V493" s="13"/>
      <c r="W493" s="13"/>
      <c r="X493" s="11"/>
      <c r="Y493" s="4" t="str">
        <f>IF(Tabela2[[#This Row],[SIGLA]]="","",VLOOKUP(Tabela2[[#This Row],[SIGLA]],Tabela1[[#All],[Sigla Arte]:[Crédito]],2,0))</f>
        <v/>
      </c>
      <c r="Z493" s="12"/>
      <c r="AA493" s="12" t="str">
        <f>Tabela2[[#This Row],[ILUSTRADOR CRIAÇÃO]]</f>
        <v/>
      </c>
      <c r="AB493" s="11"/>
      <c r="AC493" s="9"/>
      <c r="AD493" s="9"/>
      <c r="AE493" s="4" t="str">
        <f t="shared" si="7"/>
        <v>EF1 E002 Port</v>
      </c>
    </row>
    <row r="494" spans="1:31" s="7" customFormat="1" x14ac:dyDescent="0.25">
      <c r="A494" s="12"/>
      <c r="B494" s="9"/>
      <c r="C494" s="9"/>
      <c r="D494" s="9"/>
      <c r="E494" s="11"/>
      <c r="F494" s="11"/>
      <c r="G494" s="11"/>
      <c r="H494" s="11"/>
      <c r="I494" s="12"/>
      <c r="J494" s="12"/>
      <c r="K494" s="11"/>
      <c r="L494" s="11"/>
      <c r="M494" s="12"/>
      <c r="N494" s="12"/>
      <c r="O494" s="32"/>
      <c r="P494" s="9"/>
      <c r="Q494" s="9"/>
      <c r="R494" s="11"/>
      <c r="S494" s="13"/>
      <c r="T494" s="13"/>
      <c r="U494" s="13"/>
      <c r="V494" s="13"/>
      <c r="W494" s="13"/>
      <c r="X494" s="11"/>
      <c r="Y494" s="4" t="str">
        <f>IF(Tabela2[[#This Row],[SIGLA]]="","",VLOOKUP(Tabela2[[#This Row],[SIGLA]],Tabela1[[#All],[Sigla Arte]:[Crédito]],2,0))</f>
        <v/>
      </c>
      <c r="Z494" s="12"/>
      <c r="AA494" s="12" t="str">
        <f>Tabela2[[#This Row],[ILUSTRADOR CRIAÇÃO]]</f>
        <v/>
      </c>
      <c r="AB494" s="11"/>
      <c r="AC494" s="9"/>
      <c r="AD494" s="9"/>
      <c r="AE494" s="4" t="str">
        <f t="shared" si="7"/>
        <v>EF1 E002 Port</v>
      </c>
    </row>
    <row r="495" spans="1:31" s="7" customFormat="1" x14ac:dyDescent="0.25">
      <c r="A495" s="12"/>
      <c r="B495" s="9"/>
      <c r="C495" s="9"/>
      <c r="D495" s="9"/>
      <c r="E495" s="11"/>
      <c r="F495" s="11"/>
      <c r="G495" s="11"/>
      <c r="H495" s="11"/>
      <c r="I495" s="12"/>
      <c r="J495" s="12"/>
      <c r="K495" s="11"/>
      <c r="L495" s="11"/>
      <c r="M495" s="12"/>
      <c r="N495" s="12"/>
      <c r="O495" s="32"/>
      <c r="P495" s="9"/>
      <c r="Q495" s="9"/>
      <c r="R495" s="11"/>
      <c r="S495" s="13"/>
      <c r="T495" s="13"/>
      <c r="U495" s="13"/>
      <c r="V495" s="13"/>
      <c r="W495" s="13"/>
      <c r="X495" s="11"/>
      <c r="Y495" s="4" t="str">
        <f>IF(Tabela2[[#This Row],[SIGLA]]="","",VLOOKUP(Tabela2[[#This Row],[SIGLA]],Tabela1[[#All],[Sigla Arte]:[Crédito]],2,0))</f>
        <v/>
      </c>
      <c r="Z495" s="12"/>
      <c r="AA495" s="12" t="str">
        <f>Tabela2[[#This Row],[ILUSTRADOR CRIAÇÃO]]</f>
        <v/>
      </c>
      <c r="AB495" s="11"/>
      <c r="AC495" s="9"/>
      <c r="AD495" s="9"/>
      <c r="AE495" s="4" t="str">
        <f t="shared" si="7"/>
        <v>EF1 E002 Port</v>
      </c>
    </row>
    <row r="496" spans="1:31" s="7" customFormat="1" x14ac:dyDescent="0.25">
      <c r="A496" s="12"/>
      <c r="B496" s="9"/>
      <c r="C496" s="9"/>
      <c r="D496" s="9"/>
      <c r="E496" s="11"/>
      <c r="F496" s="11"/>
      <c r="G496" s="11"/>
      <c r="H496" s="11"/>
      <c r="I496" s="12"/>
      <c r="J496" s="12"/>
      <c r="K496" s="11"/>
      <c r="L496" s="11"/>
      <c r="M496" s="12"/>
      <c r="N496" s="12"/>
      <c r="O496" s="32"/>
      <c r="P496" s="9"/>
      <c r="Q496" s="9"/>
      <c r="R496" s="11"/>
      <c r="S496" s="13"/>
      <c r="T496" s="13"/>
      <c r="U496" s="13"/>
      <c r="V496" s="13"/>
      <c r="W496" s="13"/>
      <c r="X496" s="11"/>
      <c r="Y496" s="4" t="str">
        <f>IF(Tabela2[[#This Row],[SIGLA]]="","",VLOOKUP(Tabela2[[#This Row],[SIGLA]],Tabela1[[#All],[Sigla Arte]:[Crédito]],2,0))</f>
        <v/>
      </c>
      <c r="Z496" s="12"/>
      <c r="AA496" s="12" t="str">
        <f>Tabela2[[#This Row],[ILUSTRADOR CRIAÇÃO]]</f>
        <v/>
      </c>
      <c r="AB496" s="11"/>
      <c r="AC496" s="9"/>
      <c r="AD496" s="9"/>
      <c r="AE496" s="4" t="str">
        <f t="shared" si="7"/>
        <v>EF1 E002 Port</v>
      </c>
    </row>
    <row r="497" spans="1:31" s="7" customFormat="1" x14ac:dyDescent="0.25">
      <c r="A497" s="12"/>
      <c r="B497" s="9"/>
      <c r="C497" s="9"/>
      <c r="D497" s="9"/>
      <c r="E497" s="11"/>
      <c r="F497" s="11"/>
      <c r="G497" s="11"/>
      <c r="H497" s="11"/>
      <c r="I497" s="12"/>
      <c r="J497" s="12"/>
      <c r="K497" s="11"/>
      <c r="L497" s="11"/>
      <c r="M497" s="12"/>
      <c r="N497" s="12"/>
      <c r="O497" s="32"/>
      <c r="P497" s="9"/>
      <c r="Q497" s="9"/>
      <c r="R497" s="11"/>
      <c r="S497" s="13"/>
      <c r="T497" s="13"/>
      <c r="U497" s="13"/>
      <c r="V497" s="13"/>
      <c r="W497" s="13"/>
      <c r="X497" s="11"/>
      <c r="Y497" s="4" t="str">
        <f>IF(Tabela2[[#This Row],[SIGLA]]="","",VLOOKUP(Tabela2[[#This Row],[SIGLA]],Tabela1[[#All],[Sigla Arte]:[Crédito]],2,0))</f>
        <v/>
      </c>
      <c r="Z497" s="12"/>
      <c r="AA497" s="12" t="str">
        <f>Tabela2[[#This Row],[ILUSTRADOR CRIAÇÃO]]</f>
        <v/>
      </c>
      <c r="AB497" s="11"/>
      <c r="AC497" s="9"/>
      <c r="AD497" s="9"/>
      <c r="AE497" s="4" t="str">
        <f t="shared" si="7"/>
        <v>EF1 E002 Port</v>
      </c>
    </row>
    <row r="498" spans="1:31" s="7" customFormat="1" x14ac:dyDescent="0.25">
      <c r="A498" s="12"/>
      <c r="B498" s="9"/>
      <c r="C498" s="9"/>
      <c r="D498" s="9"/>
      <c r="E498" s="11"/>
      <c r="F498" s="11"/>
      <c r="G498" s="11"/>
      <c r="H498" s="11"/>
      <c r="I498" s="12"/>
      <c r="J498" s="12"/>
      <c r="K498" s="11"/>
      <c r="L498" s="11"/>
      <c r="M498" s="12"/>
      <c r="N498" s="12"/>
      <c r="O498" s="32"/>
      <c r="P498" s="9"/>
      <c r="Q498" s="9"/>
      <c r="R498" s="11"/>
      <c r="S498" s="13"/>
      <c r="T498" s="13"/>
      <c r="U498" s="13"/>
      <c r="V498" s="13"/>
      <c r="W498" s="13"/>
      <c r="X498" s="11"/>
      <c r="Y498" s="4" t="str">
        <f>IF(Tabela2[[#This Row],[SIGLA]]="","",VLOOKUP(Tabela2[[#This Row],[SIGLA]],Tabela1[[#All],[Sigla Arte]:[Crédito]],2,0))</f>
        <v/>
      </c>
      <c r="Z498" s="12"/>
      <c r="AA498" s="12" t="str">
        <f>Tabela2[[#This Row],[ILUSTRADOR CRIAÇÃO]]</f>
        <v/>
      </c>
      <c r="AB498" s="11"/>
      <c r="AC498" s="9"/>
      <c r="AD498" s="9"/>
      <c r="AE498" s="4" t="str">
        <f t="shared" si="7"/>
        <v>EF1 E002 Port</v>
      </c>
    </row>
    <row r="499" spans="1:31" s="7" customFormat="1" x14ac:dyDescent="0.25">
      <c r="A499" s="12"/>
      <c r="B499" s="9"/>
      <c r="C499" s="9"/>
      <c r="D499" s="9"/>
      <c r="E499" s="11"/>
      <c r="F499" s="11"/>
      <c r="G499" s="11"/>
      <c r="H499" s="11"/>
      <c r="I499" s="12"/>
      <c r="J499" s="12"/>
      <c r="K499" s="11"/>
      <c r="L499" s="11"/>
      <c r="M499" s="12"/>
      <c r="N499" s="12"/>
      <c r="O499" s="32"/>
      <c r="P499" s="9"/>
      <c r="Q499" s="9"/>
      <c r="R499" s="11"/>
      <c r="S499" s="13"/>
      <c r="T499" s="13"/>
      <c r="U499" s="13"/>
      <c r="V499" s="13"/>
      <c r="W499" s="13"/>
      <c r="X499" s="11"/>
      <c r="Y499" s="4" t="str">
        <f>IF(Tabela2[[#This Row],[SIGLA]]="","",VLOOKUP(Tabela2[[#This Row],[SIGLA]],Tabela1[[#All],[Sigla Arte]:[Crédito]],2,0))</f>
        <v/>
      </c>
      <c r="Z499" s="12"/>
      <c r="AA499" s="12" t="str">
        <f>Tabela2[[#This Row],[ILUSTRADOR CRIAÇÃO]]</f>
        <v/>
      </c>
      <c r="AB499" s="11"/>
      <c r="AC499" s="9"/>
      <c r="AD499" s="9"/>
      <c r="AE499" s="4" t="str">
        <f t="shared" si="7"/>
        <v>EF1 E002 Port</v>
      </c>
    </row>
    <row r="500" spans="1:31" s="7" customFormat="1" x14ac:dyDescent="0.25">
      <c r="A500" s="12"/>
      <c r="B500" s="9"/>
      <c r="C500" s="9"/>
      <c r="D500" s="9"/>
      <c r="E500" s="11"/>
      <c r="F500" s="11"/>
      <c r="G500" s="11"/>
      <c r="H500" s="11"/>
      <c r="I500" s="12"/>
      <c r="J500" s="12"/>
      <c r="K500" s="11"/>
      <c r="L500" s="11"/>
      <c r="M500" s="12"/>
      <c r="N500" s="12"/>
      <c r="O500" s="32"/>
      <c r="P500" s="9"/>
      <c r="Q500" s="9"/>
      <c r="R500" s="11"/>
      <c r="S500" s="13"/>
      <c r="T500" s="13"/>
      <c r="U500" s="13"/>
      <c r="V500" s="13"/>
      <c r="W500" s="13"/>
      <c r="X500" s="11"/>
      <c r="Y500" s="4" t="str">
        <f>IF(Tabela2[[#This Row],[SIGLA]]="","",VLOOKUP(Tabela2[[#This Row],[SIGLA]],Tabela1[[#All],[Sigla Arte]:[Crédito]],2,0))</f>
        <v/>
      </c>
      <c r="Z500" s="12"/>
      <c r="AA500" s="12" t="str">
        <f>Tabela2[[#This Row],[ILUSTRADOR CRIAÇÃO]]</f>
        <v/>
      </c>
      <c r="AB500" s="11"/>
      <c r="AC500" s="9"/>
      <c r="AD500" s="9"/>
      <c r="AE500" s="4" t="str">
        <f t="shared" si="7"/>
        <v>EF1 E002 Port</v>
      </c>
    </row>
  </sheetData>
  <sheetProtection sheet="1" formatCells="0" formatColumns="0" formatRows="0" sort="0" autoFilter="0" pivotTables="0"/>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13">
        <x14:dataValidation type="list" allowBlank="1" showInputMessage="1" showErrorMessage="1" xr:uid="{B4ADD33D-8B17-41A6-94BC-BC2885E9FB91}">
          <x14:formula1>
            <xm:f>metadados!$G$1:$G$14</xm:f>
          </x14:formula1>
          <xm:sqref>AB1:AB211 AB501:AB1048576</xm:sqref>
        </x14:dataValidation>
        <x14:dataValidation type="list" allowBlank="1" showInputMessage="1" showErrorMessage="1" xr:uid="{61E550D5-36D2-44FC-A08D-4E51EFE8F470}">
          <x14:formula1>
            <xm:f>metadados!$H$1:$H$5</xm:f>
          </x14:formula1>
          <xm:sqref>AD1:AD1048576</xm:sqref>
        </x14:dataValidation>
        <x14:dataValidation type="list" allowBlank="1" showInputMessage="1" showErrorMessage="1" xr:uid="{06BC7D6A-D6EB-41B5-B621-DE4A72652772}">
          <x14:formula1>
            <xm:f>créditos_base!$C$3:$C$223</xm:f>
          </x14:formula1>
          <xm:sqref>Z1 Z501:Z1048576</xm:sqref>
        </x14:dataValidation>
        <x14:dataValidation type="list" allowBlank="1" showInputMessage="1" showErrorMessage="1" xr:uid="{5705C48B-E793-4249-A1A5-E9D0055F43D8}">
          <x14:formula1>
            <xm:f>créditos_base!$B$3:$B$314</xm:f>
          </x14:formula1>
          <xm:sqref>X1 X501:X1048576</xm:sqref>
        </x14:dataValidation>
        <x14:dataValidation type="list" allowBlank="1" showInputMessage="1" showErrorMessage="1" xr:uid="{AD84EC1C-BCA1-41BD-B2A0-DF60235E5428}">
          <x14:formula1>
            <xm:f>créditos_base!$B$3:$B$334</xm:f>
          </x14:formula1>
          <xm:sqref>X2:X500</xm:sqref>
        </x14:dataValidation>
        <x14:dataValidation type="list" allowBlank="1" showInputMessage="1" showErrorMessage="1" xr:uid="{57DE616A-5713-43BA-AE86-1504C761D964}">
          <x14:formula1>
            <xm:f>créditos_base!$A$3:$A$334</xm:f>
          </x14:formula1>
          <xm:sqref>Z2:Z500</xm:sqref>
        </x14:dataValidation>
        <x14:dataValidation type="list" allowBlank="1" showInputMessage="1" showErrorMessage="1" xr:uid="{6DA1A84F-3B31-40EE-9B8C-6F05EADDDFDD}">
          <x14:formula1>
            <xm:f>metadados!$G$1:$G$20</xm:f>
          </x14:formula1>
          <xm:sqref>AB212:AB500</xm:sqref>
        </x14:dataValidation>
        <x14:dataValidation type="list" allowBlank="1" showInputMessage="1" showErrorMessage="1" xr:uid="{1E0E5C3B-B338-4A82-ABB7-55FA01F1FD25}">
          <x14:formula1>
            <xm:f>metadados!$C$1:$C$8</xm:f>
          </x14:formula1>
          <xm:sqref>D1:D330 D363:D1048576 D332:D361</xm:sqref>
        </x14:dataValidation>
        <x14:dataValidation type="list" allowBlank="1" showInputMessage="1" showErrorMessage="1" xr:uid="{C969C20B-651A-4D17-86CC-88E223060629}">
          <x14:formula1>
            <xm:f>metadados!$B$1:$B$7</xm:f>
          </x14:formula1>
          <xm:sqref>C1:C330 C363:C1048576 C332:C361</xm:sqref>
        </x14:dataValidation>
        <x14:dataValidation type="list" allowBlank="1" showInputMessage="1" showErrorMessage="1" xr:uid="{C70449A7-09E1-454B-83EB-81DB8E145BED}">
          <x14:formula1>
            <xm:f>metadados!$D$1:$D$7</xm:f>
          </x14:formula1>
          <xm:sqref>F363:F1048576 L363:L1048576 L1:L361 F1:F361</xm:sqref>
        </x14:dataValidation>
        <x14:dataValidation type="list" allowBlank="1" showInputMessage="1" showErrorMessage="1" xr:uid="{832AC6A1-37A3-4247-8D3B-0B1514A698E5}">
          <x14:formula1>
            <xm:f>metadados!$E$1:$E$3</xm:f>
          </x14:formula1>
          <xm:sqref>I363:I1048576 I1:I361</xm:sqref>
        </x14:dataValidation>
        <x14:dataValidation type="list" allowBlank="1" showInputMessage="1" showErrorMessage="1" xr:uid="{ABD634A1-19D3-465A-AE87-A59444E4CB70}">
          <x14:formula1>
            <xm:f>metadados!$F$1:$F$13</xm:f>
          </x14:formula1>
          <xm:sqref>N363:N1048576 N1:N361</xm:sqref>
        </x14:dataValidation>
        <x14:dataValidation type="list" allowBlank="1" showErrorMessage="1" xr:uid="{8C59E314-3DFF-498C-8F2E-89E73DBE2751}">
          <x14:formula1>
            <xm:f>metadados!$A$1:$A$10</xm:f>
          </x14:formula1>
          <xm:sqref>B363:B1048576 B1:B361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8"/>
  <sheetViews>
    <sheetView topLeftCell="A134" workbookViewId="0">
      <selection activeCell="C332" sqref="C332"/>
    </sheetView>
  </sheetViews>
  <sheetFormatPr defaultColWidth="12.5703125" defaultRowHeight="15" x14ac:dyDescent="0.25"/>
  <cols>
    <col min="1" max="1" width="58.140625" style="14" customWidth="1"/>
    <col min="2" max="2" width="13.140625" customWidth="1"/>
    <col min="3" max="3" width="64.5703125" customWidth="1"/>
    <col min="4" max="4" width="11.140625" customWidth="1"/>
  </cols>
  <sheetData>
    <row r="1" spans="1:3" ht="51.75" customHeight="1" x14ac:dyDescent="0.35">
      <c r="A1" s="44" t="s">
        <v>1010</v>
      </c>
      <c r="B1" s="44"/>
      <c r="C1" s="44"/>
    </row>
    <row r="2" spans="1:3" ht="16.5" x14ac:dyDescent="0.3">
      <c r="A2" s="15" t="s">
        <v>1011</v>
      </c>
      <c r="B2" s="16" t="s">
        <v>1012</v>
      </c>
      <c r="C2" s="17" t="s">
        <v>1013</v>
      </c>
    </row>
    <row r="3" spans="1:3" ht="16.5" x14ac:dyDescent="0.3">
      <c r="A3" s="18" t="s">
        <v>1014</v>
      </c>
      <c r="B3" s="19" t="s">
        <v>1015</v>
      </c>
      <c r="C3" s="20" t="s">
        <v>1016</v>
      </c>
    </row>
    <row r="4" spans="1:3" ht="16.5" x14ac:dyDescent="0.3">
      <c r="A4" s="18" t="s">
        <v>1017</v>
      </c>
      <c r="B4" s="19" t="s">
        <v>576</v>
      </c>
      <c r="C4" s="21" t="s">
        <v>1018</v>
      </c>
    </row>
    <row r="5" spans="1:3" ht="33" x14ac:dyDescent="0.3">
      <c r="A5" s="22" t="s">
        <v>1019</v>
      </c>
      <c r="B5" s="19" t="s">
        <v>1020</v>
      </c>
      <c r="C5" s="20" t="s">
        <v>1021</v>
      </c>
    </row>
    <row r="6" spans="1:3" ht="16.5" x14ac:dyDescent="0.3">
      <c r="A6" s="18" t="s">
        <v>1022</v>
      </c>
      <c r="B6" s="19" t="s">
        <v>1023</v>
      </c>
      <c r="C6" s="20" t="s">
        <v>1024</v>
      </c>
    </row>
    <row r="7" spans="1:3" ht="33" x14ac:dyDescent="0.3">
      <c r="A7" s="18" t="s">
        <v>1025</v>
      </c>
      <c r="B7" s="19" t="s">
        <v>893</v>
      </c>
      <c r="C7" s="20" t="s">
        <v>1026</v>
      </c>
    </row>
    <row r="8" spans="1:3" ht="33" x14ac:dyDescent="0.3">
      <c r="A8" s="18" t="s">
        <v>1027</v>
      </c>
      <c r="B8" s="19" t="s">
        <v>1028</v>
      </c>
      <c r="C8" s="20" t="s">
        <v>1029</v>
      </c>
    </row>
    <row r="9" spans="1:3" ht="16.5" x14ac:dyDescent="0.3">
      <c r="A9" s="18" t="s">
        <v>1030</v>
      </c>
      <c r="B9" s="19" t="s">
        <v>1031</v>
      </c>
      <c r="C9" s="20" t="s">
        <v>1016</v>
      </c>
    </row>
    <row r="10" spans="1:3" ht="16.5" x14ac:dyDescent="0.3">
      <c r="A10" s="18" t="s">
        <v>811</v>
      </c>
      <c r="B10" s="19" t="s">
        <v>1032</v>
      </c>
      <c r="C10" s="21" t="s">
        <v>729</v>
      </c>
    </row>
    <row r="11" spans="1:3" ht="16.5" x14ac:dyDescent="0.3">
      <c r="A11" s="18" t="s">
        <v>1033</v>
      </c>
      <c r="B11" s="19" t="s">
        <v>1034</v>
      </c>
      <c r="C11" s="21" t="s">
        <v>1035</v>
      </c>
    </row>
    <row r="12" spans="1:3" ht="16.5" x14ac:dyDescent="0.3">
      <c r="A12" s="18" t="s">
        <v>1036</v>
      </c>
      <c r="B12" s="19" t="s">
        <v>1037</v>
      </c>
      <c r="C12" s="21" t="s">
        <v>1038</v>
      </c>
    </row>
    <row r="13" spans="1:3" ht="16.5" x14ac:dyDescent="0.3">
      <c r="A13" s="18" t="s">
        <v>1039</v>
      </c>
      <c r="B13" s="19" t="s">
        <v>1040</v>
      </c>
      <c r="C13" s="21" t="s">
        <v>1041</v>
      </c>
    </row>
    <row r="14" spans="1:3" ht="16.5" x14ac:dyDescent="0.3">
      <c r="A14" s="18" t="s">
        <v>1042</v>
      </c>
      <c r="B14" s="19" t="s">
        <v>1043</v>
      </c>
      <c r="C14" s="20" t="s">
        <v>1044</v>
      </c>
    </row>
    <row r="15" spans="1:3" ht="16.5" x14ac:dyDescent="0.3">
      <c r="A15" s="18" t="s">
        <v>1045</v>
      </c>
      <c r="B15" s="19" t="s">
        <v>1046</v>
      </c>
      <c r="C15" s="21" t="s">
        <v>1047</v>
      </c>
    </row>
    <row r="16" spans="1:3" ht="16.5" x14ac:dyDescent="0.3">
      <c r="A16" s="18" t="s">
        <v>1048</v>
      </c>
      <c r="B16" s="19" t="s">
        <v>1049</v>
      </c>
      <c r="C16" s="21" t="s">
        <v>1050</v>
      </c>
    </row>
    <row r="17" spans="1:3" ht="16.5" x14ac:dyDescent="0.3">
      <c r="A17" s="18" t="s">
        <v>1051</v>
      </c>
      <c r="B17" s="19" t="s">
        <v>1052</v>
      </c>
      <c r="C17" s="20" t="s">
        <v>1053</v>
      </c>
    </row>
    <row r="18" spans="1:3" ht="16.5" x14ac:dyDescent="0.3">
      <c r="A18" s="18" t="s">
        <v>1054</v>
      </c>
      <c r="B18" s="19" t="s">
        <v>1055</v>
      </c>
      <c r="C18" s="20" t="s">
        <v>1056</v>
      </c>
    </row>
    <row r="19" spans="1:3" ht="16.5" x14ac:dyDescent="0.3">
      <c r="A19" s="18" t="s">
        <v>1057</v>
      </c>
      <c r="B19" s="19" t="s">
        <v>1058</v>
      </c>
      <c r="C19" s="20" t="s">
        <v>1059</v>
      </c>
    </row>
    <row r="20" spans="1:3" ht="16.5" x14ac:dyDescent="0.3">
      <c r="A20" s="18" t="s">
        <v>1060</v>
      </c>
      <c r="B20" s="19" t="s">
        <v>1061</v>
      </c>
      <c r="C20" s="21" t="s">
        <v>1062</v>
      </c>
    </row>
    <row r="21" spans="1:3" ht="16.5" x14ac:dyDescent="0.3">
      <c r="A21" s="18" t="s">
        <v>1063</v>
      </c>
      <c r="B21" s="19" t="s">
        <v>1064</v>
      </c>
      <c r="C21" s="20" t="s">
        <v>1065</v>
      </c>
    </row>
    <row r="22" spans="1:3" ht="16.5" x14ac:dyDescent="0.3">
      <c r="A22" s="18" t="s">
        <v>1066</v>
      </c>
      <c r="B22" s="19" t="s">
        <v>1067</v>
      </c>
      <c r="C22" s="20" t="s">
        <v>1068</v>
      </c>
    </row>
    <row r="23" spans="1:3" ht="16.5" x14ac:dyDescent="0.3">
      <c r="A23" s="18" t="s">
        <v>1069</v>
      </c>
      <c r="B23" s="19" t="s">
        <v>1070</v>
      </c>
      <c r="C23" s="20" t="s">
        <v>1071</v>
      </c>
    </row>
    <row r="24" spans="1:3" ht="16.5" x14ac:dyDescent="0.3">
      <c r="A24" s="18" t="s">
        <v>1072</v>
      </c>
      <c r="B24" s="19" t="s">
        <v>1073</v>
      </c>
      <c r="C24" s="20" t="s">
        <v>1074</v>
      </c>
    </row>
    <row r="25" spans="1:3" ht="16.5" x14ac:dyDescent="0.3">
      <c r="A25" s="18" t="s">
        <v>1075</v>
      </c>
      <c r="B25" s="19" t="s">
        <v>1076</v>
      </c>
      <c r="C25" s="21" t="s">
        <v>1077</v>
      </c>
    </row>
    <row r="26" spans="1:3" ht="16.5" x14ac:dyDescent="0.3">
      <c r="A26" s="18" t="s">
        <v>1078</v>
      </c>
      <c r="B26" s="19" t="s">
        <v>491</v>
      </c>
      <c r="C26" s="21" t="s">
        <v>1079</v>
      </c>
    </row>
    <row r="27" spans="1:3" ht="16.5" x14ac:dyDescent="0.3">
      <c r="A27" s="18" t="s">
        <v>1080</v>
      </c>
      <c r="B27" s="19" t="s">
        <v>1081</v>
      </c>
      <c r="C27" s="20" t="s">
        <v>1082</v>
      </c>
    </row>
    <row r="28" spans="1:3" ht="16.5" x14ac:dyDescent="0.3">
      <c r="A28" s="18" t="s">
        <v>1083</v>
      </c>
      <c r="B28" s="19" t="s">
        <v>1084</v>
      </c>
      <c r="C28" s="21" t="s">
        <v>1085</v>
      </c>
    </row>
    <row r="29" spans="1:3" ht="16.5" x14ac:dyDescent="0.3">
      <c r="A29" s="18" t="s">
        <v>1086</v>
      </c>
      <c r="B29" s="19" t="s">
        <v>1087</v>
      </c>
      <c r="C29" s="20" t="s">
        <v>1088</v>
      </c>
    </row>
    <row r="30" spans="1:3" ht="16.5" x14ac:dyDescent="0.3">
      <c r="A30" s="18" t="s">
        <v>1089</v>
      </c>
      <c r="B30" s="19" t="s">
        <v>1090</v>
      </c>
      <c r="C30" s="20" t="s">
        <v>1091</v>
      </c>
    </row>
    <row r="31" spans="1:3" ht="16.5" x14ac:dyDescent="0.3">
      <c r="A31" s="18" t="s">
        <v>1092</v>
      </c>
      <c r="B31" s="19" t="s">
        <v>1093</v>
      </c>
      <c r="C31" s="21" t="s">
        <v>1094</v>
      </c>
    </row>
    <row r="32" spans="1:3" ht="16.5" x14ac:dyDescent="0.3">
      <c r="A32" s="18" t="s">
        <v>1095</v>
      </c>
      <c r="B32" s="19" t="s">
        <v>1096</v>
      </c>
      <c r="C32" s="20" t="s">
        <v>1097</v>
      </c>
    </row>
    <row r="33" spans="1:3" ht="16.5" x14ac:dyDescent="0.3">
      <c r="A33" s="18" t="s">
        <v>1098</v>
      </c>
      <c r="B33" s="19" t="s">
        <v>1099</v>
      </c>
      <c r="C33" s="20" t="s">
        <v>1100</v>
      </c>
    </row>
    <row r="34" spans="1:3" ht="16.5" x14ac:dyDescent="0.3">
      <c r="A34" s="18" t="s">
        <v>1101</v>
      </c>
      <c r="B34" s="19" t="s">
        <v>1102</v>
      </c>
      <c r="C34" s="21" t="s">
        <v>1103</v>
      </c>
    </row>
    <row r="35" spans="1:3" ht="16.5" x14ac:dyDescent="0.3">
      <c r="A35" s="18" t="s">
        <v>1104</v>
      </c>
      <c r="B35" s="19" t="s">
        <v>1105</v>
      </c>
      <c r="C35" s="20" t="s">
        <v>1106</v>
      </c>
    </row>
    <row r="36" spans="1:3" ht="16.5" x14ac:dyDescent="0.3">
      <c r="A36" s="18" t="s">
        <v>1107</v>
      </c>
      <c r="B36" s="19" t="s">
        <v>1108</v>
      </c>
      <c r="C36" s="20" t="s">
        <v>1109</v>
      </c>
    </row>
    <row r="37" spans="1:3" ht="16.5" x14ac:dyDescent="0.3">
      <c r="A37" s="18" t="s">
        <v>1110</v>
      </c>
      <c r="B37" s="19" t="s">
        <v>1111</v>
      </c>
      <c r="C37" s="20" t="s">
        <v>1112</v>
      </c>
    </row>
    <row r="38" spans="1:3" ht="16.5" x14ac:dyDescent="0.3">
      <c r="A38" s="18" t="s">
        <v>1113</v>
      </c>
      <c r="B38" s="19" t="s">
        <v>1114</v>
      </c>
      <c r="C38" s="20" t="s">
        <v>1115</v>
      </c>
    </row>
    <row r="39" spans="1:3" ht="16.5" x14ac:dyDescent="0.3">
      <c r="A39" s="18" t="s">
        <v>1116</v>
      </c>
      <c r="B39" s="19" t="s">
        <v>1117</v>
      </c>
      <c r="C39" s="20" t="s">
        <v>1118</v>
      </c>
    </row>
    <row r="40" spans="1:3" ht="16.5" x14ac:dyDescent="0.3">
      <c r="A40" s="18" t="s">
        <v>1119</v>
      </c>
      <c r="B40" s="19" t="s">
        <v>1120</v>
      </c>
      <c r="C40" s="21" t="s">
        <v>1121</v>
      </c>
    </row>
    <row r="41" spans="1:3" ht="16.5" x14ac:dyDescent="0.3">
      <c r="A41" s="18" t="s">
        <v>1122</v>
      </c>
      <c r="B41" s="19" t="s">
        <v>1123</v>
      </c>
      <c r="C41" s="20" t="s">
        <v>1124</v>
      </c>
    </row>
    <row r="42" spans="1:3" ht="16.5" x14ac:dyDescent="0.3">
      <c r="A42" s="18" t="s">
        <v>1125</v>
      </c>
      <c r="B42" s="19" t="s">
        <v>1126</v>
      </c>
      <c r="C42" s="20" t="s">
        <v>1127</v>
      </c>
    </row>
    <row r="43" spans="1:3" ht="16.5" x14ac:dyDescent="0.3">
      <c r="A43" s="18" t="s">
        <v>1128</v>
      </c>
      <c r="B43" s="19" t="s">
        <v>1129</v>
      </c>
      <c r="C43" s="20" t="s">
        <v>1130</v>
      </c>
    </row>
    <row r="44" spans="1:3" ht="16.5" x14ac:dyDescent="0.3">
      <c r="A44" s="18" t="s">
        <v>1131</v>
      </c>
      <c r="B44" s="19" t="s">
        <v>1132</v>
      </c>
      <c r="C44" s="21" t="s">
        <v>1133</v>
      </c>
    </row>
    <row r="45" spans="1:3" ht="16.5" x14ac:dyDescent="0.3">
      <c r="A45" s="18" t="s">
        <v>1134</v>
      </c>
      <c r="B45" s="19" t="s">
        <v>1135</v>
      </c>
      <c r="C45" s="20" t="s">
        <v>1136</v>
      </c>
    </row>
    <row r="46" spans="1:3" ht="16.5" x14ac:dyDescent="0.3">
      <c r="A46" s="18" t="s">
        <v>90</v>
      </c>
      <c r="B46" s="19" t="s">
        <v>1137</v>
      </c>
      <c r="C46" s="20" t="s">
        <v>1138</v>
      </c>
    </row>
    <row r="47" spans="1:3" ht="16.5" x14ac:dyDescent="0.3">
      <c r="A47" s="18" t="s">
        <v>1139</v>
      </c>
      <c r="B47" s="19" t="s">
        <v>1140</v>
      </c>
      <c r="C47" s="20" t="s">
        <v>1141</v>
      </c>
    </row>
    <row r="48" spans="1:3" ht="16.5" x14ac:dyDescent="0.3">
      <c r="A48" s="18" t="s">
        <v>1142</v>
      </c>
      <c r="B48" s="19" t="s">
        <v>103</v>
      </c>
      <c r="C48" s="27" t="s">
        <v>1143</v>
      </c>
    </row>
    <row r="49" spans="1:3" ht="16.5" x14ac:dyDescent="0.3">
      <c r="A49" s="18" t="s">
        <v>1144</v>
      </c>
      <c r="B49" s="19" t="s">
        <v>1145</v>
      </c>
      <c r="C49" s="20" t="s">
        <v>1146</v>
      </c>
    </row>
    <row r="50" spans="1:3" ht="16.5" x14ac:dyDescent="0.3">
      <c r="A50" s="18" t="s">
        <v>1147</v>
      </c>
      <c r="B50" s="19" t="s">
        <v>1148</v>
      </c>
      <c r="C50" s="20" t="s">
        <v>1149</v>
      </c>
    </row>
    <row r="51" spans="1:3" ht="16.5" x14ac:dyDescent="0.3">
      <c r="A51" s="18" t="s">
        <v>1150</v>
      </c>
      <c r="B51" s="19" t="s">
        <v>1151</v>
      </c>
      <c r="C51" s="20" t="s">
        <v>1152</v>
      </c>
    </row>
    <row r="52" spans="1:3" ht="16.5" x14ac:dyDescent="0.3">
      <c r="A52" s="18" t="s">
        <v>1153</v>
      </c>
      <c r="B52" s="19" t="s">
        <v>1154</v>
      </c>
      <c r="C52" s="21" t="s">
        <v>1155</v>
      </c>
    </row>
    <row r="53" spans="1:3" ht="16.5" x14ac:dyDescent="0.3">
      <c r="A53" s="18" t="s">
        <v>1156</v>
      </c>
      <c r="B53" s="19" t="s">
        <v>1157</v>
      </c>
      <c r="C53" s="21"/>
    </row>
    <row r="54" spans="1:3" ht="16.5" x14ac:dyDescent="0.3">
      <c r="A54" s="18" t="s">
        <v>1158</v>
      </c>
      <c r="B54" s="19" t="s">
        <v>1159</v>
      </c>
      <c r="C54" s="21" t="s">
        <v>1160</v>
      </c>
    </row>
    <row r="55" spans="1:3" ht="16.5" x14ac:dyDescent="0.3">
      <c r="A55" s="18" t="s">
        <v>1161</v>
      </c>
      <c r="B55" s="19" t="s">
        <v>1162</v>
      </c>
      <c r="C55" s="21" t="s">
        <v>1163</v>
      </c>
    </row>
    <row r="56" spans="1:3" ht="16.5" x14ac:dyDescent="0.3">
      <c r="A56" s="18" t="s">
        <v>1164</v>
      </c>
      <c r="B56" s="19" t="s">
        <v>711</v>
      </c>
      <c r="C56" s="21" t="s">
        <v>1165</v>
      </c>
    </row>
    <row r="57" spans="1:3" ht="16.5" x14ac:dyDescent="0.3">
      <c r="A57" s="18" t="s">
        <v>1166</v>
      </c>
      <c r="B57" s="19" t="s">
        <v>312</v>
      </c>
      <c r="C57" s="21" t="s">
        <v>1167</v>
      </c>
    </row>
    <row r="58" spans="1:3" ht="16.5" x14ac:dyDescent="0.3">
      <c r="A58" s="18" t="s">
        <v>1168</v>
      </c>
      <c r="B58" s="19" t="s">
        <v>1169</v>
      </c>
      <c r="C58" s="21" t="s">
        <v>1006</v>
      </c>
    </row>
    <row r="59" spans="1:3" ht="16.5" x14ac:dyDescent="0.3">
      <c r="A59" s="18" t="s">
        <v>1170</v>
      </c>
      <c r="B59" s="19" t="s">
        <v>1171</v>
      </c>
      <c r="C59" s="21" t="s">
        <v>1172</v>
      </c>
    </row>
    <row r="60" spans="1:3" ht="16.5" x14ac:dyDescent="0.3">
      <c r="A60" s="18" t="s">
        <v>1173</v>
      </c>
      <c r="B60" s="19" t="s">
        <v>1174</v>
      </c>
      <c r="C60" s="27" t="s">
        <v>1175</v>
      </c>
    </row>
    <row r="61" spans="1:3" ht="16.5" x14ac:dyDescent="0.3">
      <c r="A61" s="18" t="s">
        <v>1176</v>
      </c>
      <c r="B61" s="19" t="s">
        <v>1177</v>
      </c>
      <c r="C61" s="21" t="s">
        <v>1178</v>
      </c>
    </row>
    <row r="62" spans="1:3" ht="16.5" x14ac:dyDescent="0.3">
      <c r="A62" s="18" t="s">
        <v>1179</v>
      </c>
      <c r="B62" s="19" t="s">
        <v>1180</v>
      </c>
      <c r="C62" s="21" t="s">
        <v>1181</v>
      </c>
    </row>
    <row r="63" spans="1:3" ht="16.5" x14ac:dyDescent="0.3">
      <c r="A63" s="18" t="s">
        <v>1182</v>
      </c>
      <c r="B63" s="19" t="s">
        <v>1183</v>
      </c>
      <c r="C63" s="21" t="s">
        <v>1184</v>
      </c>
    </row>
    <row r="64" spans="1:3" ht="16.5" x14ac:dyDescent="0.3">
      <c r="A64" s="18" t="s">
        <v>1185</v>
      </c>
      <c r="B64" s="19" t="s">
        <v>1186</v>
      </c>
      <c r="C64" s="21" t="s">
        <v>1187</v>
      </c>
    </row>
    <row r="65" spans="1:3" ht="16.5" x14ac:dyDescent="0.3">
      <c r="A65" s="18" t="s">
        <v>1188</v>
      </c>
      <c r="B65" s="19" t="s">
        <v>1189</v>
      </c>
      <c r="C65" s="21" t="s">
        <v>1190</v>
      </c>
    </row>
    <row r="66" spans="1:3" ht="16.5" x14ac:dyDescent="0.3">
      <c r="A66" s="18" t="s">
        <v>1191</v>
      </c>
      <c r="B66" s="19" t="s">
        <v>1192</v>
      </c>
      <c r="C66" s="21" t="s">
        <v>1124</v>
      </c>
    </row>
    <row r="67" spans="1:3" ht="16.5" x14ac:dyDescent="0.3">
      <c r="A67" s="18" t="s">
        <v>1193</v>
      </c>
      <c r="B67" s="19" t="s">
        <v>1194</v>
      </c>
      <c r="C67" s="20" t="s">
        <v>1195</v>
      </c>
    </row>
    <row r="68" spans="1:3" ht="16.5" x14ac:dyDescent="0.3">
      <c r="A68" s="18" t="s">
        <v>1196</v>
      </c>
      <c r="B68" s="19" t="s">
        <v>1197</v>
      </c>
      <c r="C68" s="21" t="s">
        <v>1198</v>
      </c>
    </row>
    <row r="69" spans="1:3" ht="16.5" x14ac:dyDescent="0.3">
      <c r="A69" s="18" t="s">
        <v>1199</v>
      </c>
      <c r="B69" s="19" t="s">
        <v>1200</v>
      </c>
      <c r="C69" s="21" t="s">
        <v>1201</v>
      </c>
    </row>
    <row r="70" spans="1:3" ht="16.5" x14ac:dyDescent="0.3">
      <c r="A70" s="18" t="s">
        <v>1202</v>
      </c>
      <c r="B70" s="19" t="s">
        <v>1203</v>
      </c>
      <c r="C70" s="21" t="s">
        <v>1204</v>
      </c>
    </row>
    <row r="71" spans="1:3" ht="16.5" x14ac:dyDescent="0.3">
      <c r="A71" s="18" t="s">
        <v>1205</v>
      </c>
      <c r="B71" s="19" t="s">
        <v>1206</v>
      </c>
      <c r="C71" s="21" t="s">
        <v>1207</v>
      </c>
    </row>
    <row r="72" spans="1:3" ht="16.5" x14ac:dyDescent="0.3">
      <c r="A72" s="18" t="s">
        <v>1208</v>
      </c>
      <c r="B72" s="19" t="s">
        <v>1209</v>
      </c>
      <c r="C72" s="27" t="s">
        <v>1124</v>
      </c>
    </row>
    <row r="73" spans="1:3" ht="16.5" x14ac:dyDescent="0.3">
      <c r="A73" s="18" t="s">
        <v>1210</v>
      </c>
      <c r="B73" s="19" t="s">
        <v>1211</v>
      </c>
      <c r="C73" s="20" t="s">
        <v>1212</v>
      </c>
    </row>
    <row r="74" spans="1:3" ht="16.5" x14ac:dyDescent="0.3">
      <c r="A74" s="18" t="s">
        <v>1213</v>
      </c>
      <c r="B74" s="19" t="s">
        <v>1214</v>
      </c>
      <c r="C74" s="21" t="s">
        <v>1215</v>
      </c>
    </row>
    <row r="75" spans="1:3" ht="16.5" x14ac:dyDescent="0.3">
      <c r="A75" s="18" t="s">
        <v>1216</v>
      </c>
      <c r="B75" s="19" t="s">
        <v>220</v>
      </c>
      <c r="C75" s="21" t="s">
        <v>1217</v>
      </c>
    </row>
    <row r="76" spans="1:3" ht="16.5" x14ac:dyDescent="0.3">
      <c r="A76" s="18" t="s">
        <v>1218</v>
      </c>
      <c r="B76" s="19" t="s">
        <v>1219</v>
      </c>
      <c r="C76" s="21" t="s">
        <v>1220</v>
      </c>
    </row>
    <row r="77" spans="1:3" ht="16.5" x14ac:dyDescent="0.3">
      <c r="A77" s="18" t="s">
        <v>1221</v>
      </c>
      <c r="B77" s="19" t="s">
        <v>1222</v>
      </c>
      <c r="C77" s="21" t="s">
        <v>1223</v>
      </c>
    </row>
    <row r="78" spans="1:3" ht="16.5" x14ac:dyDescent="0.3">
      <c r="A78" s="18" t="s">
        <v>1224</v>
      </c>
      <c r="B78" s="19" t="s">
        <v>1225</v>
      </c>
      <c r="C78" s="21" t="s">
        <v>1124</v>
      </c>
    </row>
    <row r="79" spans="1:3" ht="16.5" x14ac:dyDescent="0.3">
      <c r="A79" s="18" t="s">
        <v>1226</v>
      </c>
      <c r="B79" s="19" t="s">
        <v>1227</v>
      </c>
      <c r="C79" s="21" t="s">
        <v>1124</v>
      </c>
    </row>
    <row r="80" spans="1:3" ht="16.5" x14ac:dyDescent="0.3">
      <c r="A80" s="18" t="s">
        <v>1228</v>
      </c>
      <c r="B80" s="19" t="s">
        <v>1229</v>
      </c>
      <c r="C80" s="21" t="s">
        <v>1230</v>
      </c>
    </row>
    <row r="81" spans="1:3" ht="16.5" x14ac:dyDescent="0.3">
      <c r="A81" s="18" t="s">
        <v>1231</v>
      </c>
      <c r="B81" s="19" t="s">
        <v>1232</v>
      </c>
      <c r="C81" s="21" t="s">
        <v>1233</v>
      </c>
    </row>
    <row r="82" spans="1:3" ht="16.5" x14ac:dyDescent="0.3">
      <c r="A82" s="18" t="s">
        <v>1234</v>
      </c>
      <c r="B82" s="19" t="s">
        <v>1235</v>
      </c>
      <c r="C82" s="21" t="s">
        <v>1236</v>
      </c>
    </row>
    <row r="83" spans="1:3" ht="16.5" x14ac:dyDescent="0.3">
      <c r="A83" s="18" t="s">
        <v>1237</v>
      </c>
      <c r="B83" s="19" t="s">
        <v>1238</v>
      </c>
      <c r="C83" s="21" t="s">
        <v>1239</v>
      </c>
    </row>
    <row r="84" spans="1:3" ht="16.5" x14ac:dyDescent="0.3">
      <c r="A84" s="18" t="s">
        <v>1240</v>
      </c>
      <c r="B84" s="19" t="s">
        <v>1241</v>
      </c>
      <c r="C84" s="21" t="s">
        <v>1242</v>
      </c>
    </row>
    <row r="85" spans="1:3" ht="16.5" x14ac:dyDescent="0.3">
      <c r="A85" s="18" t="s">
        <v>1243</v>
      </c>
      <c r="B85" s="19" t="s">
        <v>119</v>
      </c>
      <c r="C85" s="21" t="s">
        <v>1244</v>
      </c>
    </row>
    <row r="86" spans="1:3" ht="16.5" x14ac:dyDescent="0.3">
      <c r="A86" s="18" t="s">
        <v>1245</v>
      </c>
      <c r="B86" s="19" t="s">
        <v>779</v>
      </c>
      <c r="C86" s="29" t="s">
        <v>1246</v>
      </c>
    </row>
    <row r="87" spans="1:3" ht="16.5" x14ac:dyDescent="0.3">
      <c r="A87" s="18" t="s">
        <v>1247</v>
      </c>
      <c r="B87" s="19" t="s">
        <v>1248</v>
      </c>
      <c r="C87" s="21" t="s">
        <v>1249</v>
      </c>
    </row>
    <row r="88" spans="1:3" ht="16.5" x14ac:dyDescent="0.3">
      <c r="A88" s="18" t="s">
        <v>1250</v>
      </c>
      <c r="B88" s="19" t="s">
        <v>1251</v>
      </c>
      <c r="C88" s="21" t="s">
        <v>1252</v>
      </c>
    </row>
    <row r="89" spans="1:3" ht="16.5" x14ac:dyDescent="0.3">
      <c r="A89" s="18" t="s">
        <v>1253</v>
      </c>
      <c r="B89" s="19" t="s">
        <v>1254</v>
      </c>
      <c r="C89" s="21" t="s">
        <v>1255</v>
      </c>
    </row>
    <row r="90" spans="1:3" ht="16.5" x14ac:dyDescent="0.3">
      <c r="A90" s="18" t="s">
        <v>1256</v>
      </c>
      <c r="B90" s="19" t="s">
        <v>1257</v>
      </c>
      <c r="C90" s="21" t="s">
        <v>1258</v>
      </c>
    </row>
    <row r="91" spans="1:3" ht="16.5" x14ac:dyDescent="0.3">
      <c r="A91" s="18" t="s">
        <v>1259</v>
      </c>
      <c r="B91" s="19" t="s">
        <v>1260</v>
      </c>
      <c r="C91" s="21" t="s">
        <v>1261</v>
      </c>
    </row>
    <row r="92" spans="1:3" ht="16.5" x14ac:dyDescent="0.3">
      <c r="A92" s="18" t="s">
        <v>1262</v>
      </c>
      <c r="B92" s="19" t="s">
        <v>1263</v>
      </c>
      <c r="C92" s="21" t="s">
        <v>1264</v>
      </c>
    </row>
    <row r="93" spans="1:3" ht="16.5" x14ac:dyDescent="0.3">
      <c r="A93" s="18" t="s">
        <v>1265</v>
      </c>
      <c r="B93" s="19" t="s">
        <v>1266</v>
      </c>
      <c r="C93" s="21" t="s">
        <v>1267</v>
      </c>
    </row>
    <row r="94" spans="1:3" ht="16.5" x14ac:dyDescent="0.3">
      <c r="A94" s="18" t="s">
        <v>1268</v>
      </c>
      <c r="B94" s="19" t="s">
        <v>1269</v>
      </c>
      <c r="C94" s="21" t="s">
        <v>1270</v>
      </c>
    </row>
    <row r="95" spans="1:3" ht="16.5" x14ac:dyDescent="0.3">
      <c r="A95" s="18" t="s">
        <v>1271</v>
      </c>
      <c r="B95" s="19" t="s">
        <v>1272</v>
      </c>
      <c r="C95" s="21" t="s">
        <v>1273</v>
      </c>
    </row>
    <row r="96" spans="1:3" ht="16.5" x14ac:dyDescent="0.3">
      <c r="A96" s="18" t="s">
        <v>1274</v>
      </c>
      <c r="B96" s="19" t="s">
        <v>1275</v>
      </c>
      <c r="C96" s="21" t="s">
        <v>1276</v>
      </c>
    </row>
    <row r="97" spans="1:3" ht="16.5" x14ac:dyDescent="0.3">
      <c r="A97" s="18" t="s">
        <v>1277</v>
      </c>
      <c r="B97" s="19" t="s">
        <v>1278</v>
      </c>
      <c r="C97" s="21" t="s">
        <v>1279</v>
      </c>
    </row>
    <row r="98" spans="1:3" ht="16.5" x14ac:dyDescent="0.3">
      <c r="A98" s="18" t="s">
        <v>1280</v>
      </c>
      <c r="B98" s="19" t="s">
        <v>281</v>
      </c>
      <c r="C98" s="21" t="s">
        <v>1281</v>
      </c>
    </row>
    <row r="99" spans="1:3" ht="16.5" x14ac:dyDescent="0.3">
      <c r="A99" s="18" t="s">
        <v>1282</v>
      </c>
      <c r="B99" s="19" t="s">
        <v>1283</v>
      </c>
      <c r="C99" s="21" t="s">
        <v>1284</v>
      </c>
    </row>
    <row r="100" spans="1:3" ht="16.5" x14ac:dyDescent="0.3">
      <c r="A100" s="18" t="s">
        <v>1285</v>
      </c>
      <c r="B100" s="19" t="s">
        <v>1286</v>
      </c>
      <c r="C100" s="21" t="s">
        <v>1287</v>
      </c>
    </row>
    <row r="101" spans="1:3" ht="16.5" x14ac:dyDescent="0.3">
      <c r="A101" s="18" t="s">
        <v>1288</v>
      </c>
      <c r="B101" s="19" t="s">
        <v>1289</v>
      </c>
      <c r="C101" s="21" t="s">
        <v>1290</v>
      </c>
    </row>
    <row r="102" spans="1:3" ht="16.5" x14ac:dyDescent="0.3">
      <c r="A102" s="18" t="s">
        <v>1291</v>
      </c>
      <c r="B102" s="19" t="s">
        <v>1292</v>
      </c>
      <c r="C102" s="21" t="s">
        <v>1293</v>
      </c>
    </row>
    <row r="103" spans="1:3" ht="16.5" x14ac:dyDescent="0.3">
      <c r="A103" s="18" t="s">
        <v>1294</v>
      </c>
      <c r="B103" s="19" t="s">
        <v>1295</v>
      </c>
      <c r="C103" s="27" t="s">
        <v>1296</v>
      </c>
    </row>
    <row r="104" spans="1:3" ht="16.5" x14ac:dyDescent="0.3">
      <c r="A104" s="18" t="s">
        <v>1297</v>
      </c>
      <c r="B104" s="19" t="s">
        <v>1298</v>
      </c>
      <c r="C104" s="21" t="s">
        <v>1299</v>
      </c>
    </row>
    <row r="105" spans="1:3" ht="16.5" x14ac:dyDescent="0.3">
      <c r="A105" s="18" t="s">
        <v>1300</v>
      </c>
      <c r="B105" s="19" t="s">
        <v>1301</v>
      </c>
      <c r="C105" s="21" t="s">
        <v>1302</v>
      </c>
    </row>
    <row r="106" spans="1:3" ht="16.5" x14ac:dyDescent="0.3">
      <c r="A106" s="18" t="s">
        <v>1303</v>
      </c>
      <c r="B106" s="19" t="s">
        <v>1304</v>
      </c>
      <c r="C106" s="21" t="s">
        <v>1305</v>
      </c>
    </row>
    <row r="107" spans="1:3" ht="16.5" x14ac:dyDescent="0.3">
      <c r="A107" s="18" t="s">
        <v>1306</v>
      </c>
      <c r="B107" s="19" t="s">
        <v>1307</v>
      </c>
      <c r="C107" s="21" t="s">
        <v>1308</v>
      </c>
    </row>
    <row r="108" spans="1:3" ht="16.5" x14ac:dyDescent="0.3">
      <c r="A108" s="18" t="s">
        <v>1309</v>
      </c>
      <c r="B108" s="19" t="s">
        <v>1310</v>
      </c>
      <c r="C108" s="21" t="s">
        <v>1311</v>
      </c>
    </row>
    <row r="109" spans="1:3" ht="16.5" x14ac:dyDescent="0.3">
      <c r="A109" s="18" t="s">
        <v>1312</v>
      </c>
      <c r="B109" s="19" t="s">
        <v>1313</v>
      </c>
      <c r="C109" s="20" t="s">
        <v>1314</v>
      </c>
    </row>
    <row r="110" spans="1:3" ht="16.5" x14ac:dyDescent="0.3">
      <c r="A110" s="18" t="s">
        <v>1315</v>
      </c>
      <c r="B110" s="19" t="s">
        <v>1316</v>
      </c>
      <c r="C110" s="20" t="s">
        <v>1124</v>
      </c>
    </row>
    <row r="111" spans="1:3" ht="16.5" x14ac:dyDescent="0.3">
      <c r="A111" s="18" t="s">
        <v>1317</v>
      </c>
      <c r="B111" s="19" t="s">
        <v>1318</v>
      </c>
      <c r="C111" s="21" t="s">
        <v>1124</v>
      </c>
    </row>
    <row r="112" spans="1:3" ht="16.5" x14ac:dyDescent="0.3">
      <c r="A112" s="18" t="s">
        <v>1319</v>
      </c>
      <c r="B112" s="19" t="s">
        <v>1320</v>
      </c>
      <c r="C112" s="27" t="s">
        <v>1321</v>
      </c>
    </row>
    <row r="113" spans="1:3" ht="16.5" x14ac:dyDescent="0.3">
      <c r="A113" s="18" t="s">
        <v>1322</v>
      </c>
      <c r="B113" s="19" t="s">
        <v>1323</v>
      </c>
      <c r="C113" s="21" t="s">
        <v>1324</v>
      </c>
    </row>
    <row r="114" spans="1:3" ht="16.5" x14ac:dyDescent="0.3">
      <c r="A114" s="18" t="s">
        <v>1325</v>
      </c>
      <c r="B114" s="19" t="s">
        <v>1326</v>
      </c>
      <c r="C114" s="21" t="s">
        <v>1327</v>
      </c>
    </row>
    <row r="115" spans="1:3" ht="16.5" x14ac:dyDescent="0.3">
      <c r="A115" s="18" t="s">
        <v>1328</v>
      </c>
      <c r="B115" s="19" t="s">
        <v>1329</v>
      </c>
      <c r="C115" s="21" t="s">
        <v>1330</v>
      </c>
    </row>
    <row r="116" spans="1:3" ht="16.5" x14ac:dyDescent="0.3">
      <c r="A116" s="18" t="s">
        <v>1331</v>
      </c>
      <c r="B116" s="19" t="s">
        <v>1332</v>
      </c>
      <c r="C116" s="21" t="s">
        <v>1124</v>
      </c>
    </row>
    <row r="117" spans="1:3" ht="16.5" x14ac:dyDescent="0.3">
      <c r="A117" s="18" t="s">
        <v>1333</v>
      </c>
      <c r="B117" s="19" t="s">
        <v>1334</v>
      </c>
      <c r="C117" s="21" t="s">
        <v>1124</v>
      </c>
    </row>
    <row r="118" spans="1:3" ht="16.5" x14ac:dyDescent="0.3">
      <c r="A118" s="23" t="s">
        <v>1335</v>
      </c>
      <c r="B118" s="19" t="s">
        <v>1336</v>
      </c>
      <c r="C118" s="21" t="s">
        <v>1337</v>
      </c>
    </row>
    <row r="119" spans="1:3" ht="16.5" x14ac:dyDescent="0.3">
      <c r="A119" s="18" t="s">
        <v>1338</v>
      </c>
      <c r="B119" s="19" t="s">
        <v>1339</v>
      </c>
      <c r="C119" s="21" t="s">
        <v>1124</v>
      </c>
    </row>
    <row r="120" spans="1:3" ht="16.5" x14ac:dyDescent="0.3">
      <c r="A120" s="18" t="s">
        <v>1340</v>
      </c>
      <c r="B120" s="19" t="s">
        <v>141</v>
      </c>
      <c r="C120" s="21" t="s">
        <v>1341</v>
      </c>
    </row>
    <row r="121" spans="1:3" ht="16.5" x14ac:dyDescent="0.3">
      <c r="A121" s="18" t="s">
        <v>1342</v>
      </c>
      <c r="B121" s="19" t="s">
        <v>1343</v>
      </c>
      <c r="C121" s="21" t="s">
        <v>1344</v>
      </c>
    </row>
    <row r="122" spans="1:3" ht="16.5" x14ac:dyDescent="0.3">
      <c r="A122" s="18" t="s">
        <v>1345</v>
      </c>
      <c r="B122" s="19" t="s">
        <v>80</v>
      </c>
      <c r="C122" s="21" t="s">
        <v>1346</v>
      </c>
    </row>
    <row r="123" spans="1:3" ht="16.5" x14ac:dyDescent="0.3">
      <c r="A123" s="18" t="s">
        <v>1347</v>
      </c>
      <c r="B123" s="19" t="s">
        <v>1348</v>
      </c>
      <c r="C123" s="21" t="s">
        <v>1349</v>
      </c>
    </row>
    <row r="124" spans="1:3" ht="16.5" x14ac:dyDescent="0.3">
      <c r="A124" s="18" t="s">
        <v>994</v>
      </c>
      <c r="B124" s="19" t="s">
        <v>728</v>
      </c>
      <c r="C124" s="21" t="s">
        <v>1350</v>
      </c>
    </row>
    <row r="125" spans="1:3" ht="16.5" x14ac:dyDescent="0.3">
      <c r="A125" s="18" t="s">
        <v>1351</v>
      </c>
      <c r="B125" s="19" t="s">
        <v>163</v>
      </c>
      <c r="C125" s="21" t="s">
        <v>1352</v>
      </c>
    </row>
    <row r="126" spans="1:3" ht="16.5" x14ac:dyDescent="0.3">
      <c r="A126" s="18" t="s">
        <v>1353</v>
      </c>
      <c r="B126" s="19" t="s">
        <v>1354</v>
      </c>
      <c r="C126" s="21" t="s">
        <v>1355</v>
      </c>
    </row>
    <row r="127" spans="1:3" ht="16.5" x14ac:dyDescent="0.3">
      <c r="A127" s="18" t="s">
        <v>1356</v>
      </c>
      <c r="B127" s="19" t="s">
        <v>1357</v>
      </c>
      <c r="C127" s="21" t="s">
        <v>1358</v>
      </c>
    </row>
    <row r="128" spans="1:3" ht="16.5" x14ac:dyDescent="0.3">
      <c r="A128" s="18" t="s">
        <v>1359</v>
      </c>
      <c r="B128" s="19" t="s">
        <v>1360</v>
      </c>
      <c r="C128" s="21" t="s">
        <v>1361</v>
      </c>
    </row>
    <row r="129" spans="1:3" ht="16.5" x14ac:dyDescent="0.3">
      <c r="A129" s="18" t="s">
        <v>1362</v>
      </c>
      <c r="B129" s="19" t="s">
        <v>1363</v>
      </c>
      <c r="C129" s="21" t="s">
        <v>1364</v>
      </c>
    </row>
    <row r="130" spans="1:3" ht="16.5" x14ac:dyDescent="0.3">
      <c r="A130" s="18" t="s">
        <v>1365</v>
      </c>
      <c r="B130" s="19" t="s">
        <v>1366</v>
      </c>
      <c r="C130" s="20" t="s">
        <v>1367</v>
      </c>
    </row>
    <row r="131" spans="1:3" ht="16.5" x14ac:dyDescent="0.3">
      <c r="A131" s="18" t="s">
        <v>1368</v>
      </c>
      <c r="B131" s="19" t="s">
        <v>1369</v>
      </c>
      <c r="C131" s="20" t="s">
        <v>1370</v>
      </c>
    </row>
    <row r="132" spans="1:3" ht="16.5" x14ac:dyDescent="0.3">
      <c r="A132" s="18" t="s">
        <v>1371</v>
      </c>
      <c r="B132" s="19" t="s">
        <v>1372</v>
      </c>
      <c r="C132" s="21" t="s">
        <v>1373</v>
      </c>
    </row>
    <row r="133" spans="1:3" ht="16.5" x14ac:dyDescent="0.3">
      <c r="A133" s="18" t="s">
        <v>1374</v>
      </c>
      <c r="B133" s="19" t="s">
        <v>1375</v>
      </c>
      <c r="C133" s="21" t="s">
        <v>1376</v>
      </c>
    </row>
    <row r="134" spans="1:3" ht="16.5" x14ac:dyDescent="0.3">
      <c r="A134" s="18" t="s">
        <v>1377</v>
      </c>
      <c r="B134" s="19" t="s">
        <v>451</v>
      </c>
      <c r="C134" s="21" t="s">
        <v>1378</v>
      </c>
    </row>
    <row r="135" spans="1:3" ht="16.5" x14ac:dyDescent="0.3">
      <c r="A135" s="18" t="s">
        <v>1009</v>
      </c>
      <c r="B135" s="19" t="s">
        <v>902</v>
      </c>
      <c r="C135" s="21" t="s">
        <v>1379</v>
      </c>
    </row>
    <row r="136" spans="1:3" ht="16.5" x14ac:dyDescent="0.3">
      <c r="A136" s="18" t="s">
        <v>1380</v>
      </c>
      <c r="B136" s="19" t="s">
        <v>1381</v>
      </c>
      <c r="C136" s="21" t="s">
        <v>1382</v>
      </c>
    </row>
    <row r="137" spans="1:3" ht="16.5" x14ac:dyDescent="0.3">
      <c r="A137" s="18" t="s">
        <v>1383</v>
      </c>
      <c r="B137" s="19" t="s">
        <v>1384</v>
      </c>
      <c r="C137" s="21" t="s">
        <v>1385</v>
      </c>
    </row>
    <row r="138" spans="1:3" ht="16.5" x14ac:dyDescent="0.3">
      <c r="A138" s="18" t="s">
        <v>1386</v>
      </c>
      <c r="B138" s="19" t="s">
        <v>1387</v>
      </c>
      <c r="C138" s="21" t="s">
        <v>1388</v>
      </c>
    </row>
    <row r="139" spans="1:3" ht="16.5" x14ac:dyDescent="0.3">
      <c r="A139" s="18" t="s">
        <v>1389</v>
      </c>
      <c r="B139" s="19" t="s">
        <v>1390</v>
      </c>
      <c r="C139" s="21" t="s">
        <v>1391</v>
      </c>
    </row>
    <row r="140" spans="1:3" ht="16.5" x14ac:dyDescent="0.3">
      <c r="A140" s="18" t="s">
        <v>1392</v>
      </c>
      <c r="B140" s="19" t="s">
        <v>1393</v>
      </c>
      <c r="C140" s="20" t="s">
        <v>1124</v>
      </c>
    </row>
    <row r="141" spans="1:3" ht="16.5" x14ac:dyDescent="0.3">
      <c r="A141" s="18" t="s">
        <v>1394</v>
      </c>
      <c r="B141" s="19" t="s">
        <v>1395</v>
      </c>
      <c r="C141" s="21" t="s">
        <v>1124</v>
      </c>
    </row>
    <row r="142" spans="1:3" ht="16.5" x14ac:dyDescent="0.3">
      <c r="A142" s="18" t="s">
        <v>1396</v>
      </c>
      <c r="B142" s="19" t="s">
        <v>1397</v>
      </c>
      <c r="C142" s="20" t="s">
        <v>1398</v>
      </c>
    </row>
    <row r="143" spans="1:3" ht="16.5" x14ac:dyDescent="0.3">
      <c r="A143" s="18" t="s">
        <v>1399</v>
      </c>
      <c r="B143" s="19" t="s">
        <v>1400</v>
      </c>
      <c r="C143" s="20" t="s">
        <v>1401</v>
      </c>
    </row>
    <row r="144" spans="1:3" ht="16.5" x14ac:dyDescent="0.3">
      <c r="A144" s="18" t="s">
        <v>1402</v>
      </c>
      <c r="B144" s="19" t="s">
        <v>1403</v>
      </c>
      <c r="C144" s="20" t="s">
        <v>1404</v>
      </c>
    </row>
    <row r="145" spans="1:3" ht="16.5" x14ac:dyDescent="0.3">
      <c r="A145" s="18" t="s">
        <v>1405</v>
      </c>
      <c r="B145" s="19" t="s">
        <v>1406</v>
      </c>
      <c r="C145" s="20" t="s">
        <v>1407</v>
      </c>
    </row>
    <row r="146" spans="1:3" ht="16.5" x14ac:dyDescent="0.3">
      <c r="A146" s="18" t="s">
        <v>1408</v>
      </c>
      <c r="B146" s="19" t="s">
        <v>1409</v>
      </c>
      <c r="C146" s="21" t="s">
        <v>1410</v>
      </c>
    </row>
    <row r="147" spans="1:3" ht="16.5" x14ac:dyDescent="0.3">
      <c r="A147" s="18" t="s">
        <v>1411</v>
      </c>
      <c r="B147" s="19" t="s">
        <v>1412</v>
      </c>
      <c r="C147" s="20" t="s">
        <v>1413</v>
      </c>
    </row>
    <row r="148" spans="1:3" ht="16.5" x14ac:dyDescent="0.3">
      <c r="A148" s="18" t="s">
        <v>1414</v>
      </c>
      <c r="B148" s="19" t="s">
        <v>1415</v>
      </c>
      <c r="C148" s="21" t="s">
        <v>1416</v>
      </c>
    </row>
    <row r="149" spans="1:3" ht="16.5" x14ac:dyDescent="0.3">
      <c r="A149" s="18" t="s">
        <v>1417</v>
      </c>
      <c r="B149" s="19" t="s">
        <v>159</v>
      </c>
      <c r="C149" s="20" t="s">
        <v>1418</v>
      </c>
    </row>
    <row r="150" spans="1:3" ht="16.5" x14ac:dyDescent="0.3">
      <c r="A150" s="18" t="s">
        <v>1419</v>
      </c>
      <c r="B150" s="19" t="s">
        <v>1420</v>
      </c>
      <c r="C150" s="21" t="s">
        <v>1421</v>
      </c>
    </row>
    <row r="151" spans="1:3" ht="16.5" x14ac:dyDescent="0.3">
      <c r="A151" s="18" t="s">
        <v>1422</v>
      </c>
      <c r="B151" s="19" t="s">
        <v>1423</v>
      </c>
      <c r="C151" s="21" t="s">
        <v>1424</v>
      </c>
    </row>
    <row r="152" spans="1:3" ht="16.5" x14ac:dyDescent="0.3">
      <c r="A152" s="18" t="s">
        <v>1425</v>
      </c>
      <c r="B152" s="19" t="s">
        <v>1426</v>
      </c>
      <c r="C152" s="21" t="s">
        <v>1427</v>
      </c>
    </row>
    <row r="153" spans="1:3" ht="16.5" x14ac:dyDescent="0.3">
      <c r="A153" s="18" t="s">
        <v>1428</v>
      </c>
      <c r="B153" s="19" t="s">
        <v>1429</v>
      </c>
      <c r="C153" s="27" t="s">
        <v>1430</v>
      </c>
    </row>
    <row r="154" spans="1:3" ht="16.5" x14ac:dyDescent="0.3">
      <c r="A154" s="18" t="s">
        <v>1431</v>
      </c>
      <c r="B154" s="19" t="s">
        <v>1432</v>
      </c>
      <c r="C154" s="21" t="s">
        <v>1433</v>
      </c>
    </row>
    <row r="155" spans="1:3" ht="16.5" x14ac:dyDescent="0.3">
      <c r="A155" s="18" t="s">
        <v>1434</v>
      </c>
      <c r="B155" s="19" t="s">
        <v>1435</v>
      </c>
      <c r="C155" s="20" t="s">
        <v>1436</v>
      </c>
    </row>
    <row r="156" spans="1:3" ht="16.5" x14ac:dyDescent="0.3">
      <c r="A156" s="18" t="s">
        <v>1437</v>
      </c>
      <c r="B156" s="19" t="s">
        <v>1438</v>
      </c>
      <c r="C156" s="20" t="s">
        <v>1439</v>
      </c>
    </row>
    <row r="157" spans="1:3" ht="16.5" x14ac:dyDescent="0.3">
      <c r="A157" s="18" t="s">
        <v>1440</v>
      </c>
      <c r="B157" s="19" t="s">
        <v>1441</v>
      </c>
      <c r="C157" s="21" t="s">
        <v>1124</v>
      </c>
    </row>
    <row r="158" spans="1:3" ht="16.5" x14ac:dyDescent="0.3">
      <c r="A158" s="18" t="s">
        <v>1442</v>
      </c>
      <c r="B158" s="19" t="s">
        <v>1443</v>
      </c>
      <c r="C158" s="21" t="s">
        <v>1444</v>
      </c>
    </row>
    <row r="159" spans="1:3" ht="16.5" x14ac:dyDescent="0.3">
      <c r="A159" s="18" t="s">
        <v>1445</v>
      </c>
      <c r="B159" s="19" t="s">
        <v>1446</v>
      </c>
      <c r="C159" s="21" t="s">
        <v>1447</v>
      </c>
    </row>
    <row r="160" spans="1:3" ht="16.5" x14ac:dyDescent="0.3">
      <c r="A160" s="18" t="s">
        <v>1448</v>
      </c>
      <c r="B160" s="19" t="s">
        <v>1449</v>
      </c>
      <c r="C160" s="21" t="s">
        <v>1450</v>
      </c>
    </row>
    <row r="161" spans="1:3" ht="16.5" x14ac:dyDescent="0.3">
      <c r="A161" s="18" t="s">
        <v>1451</v>
      </c>
      <c r="B161" s="19" t="s">
        <v>1452</v>
      </c>
      <c r="C161" s="21" t="s">
        <v>1124</v>
      </c>
    </row>
    <row r="162" spans="1:3" ht="16.5" x14ac:dyDescent="0.3">
      <c r="A162" s="23" t="s">
        <v>1453</v>
      </c>
      <c r="B162" s="19" t="s">
        <v>1454</v>
      </c>
      <c r="C162" s="21" t="s">
        <v>1455</v>
      </c>
    </row>
    <row r="163" spans="1:3" ht="16.5" x14ac:dyDescent="0.3">
      <c r="A163" s="23" t="s">
        <v>1456</v>
      </c>
      <c r="B163" s="19" t="s">
        <v>1457</v>
      </c>
      <c r="C163" s="21" t="s">
        <v>1458</v>
      </c>
    </row>
    <row r="164" spans="1:3" ht="16.5" x14ac:dyDescent="0.3">
      <c r="A164" s="18" t="s">
        <v>1459</v>
      </c>
      <c r="B164" s="19" t="s">
        <v>679</v>
      </c>
      <c r="C164" s="21" t="s">
        <v>1460</v>
      </c>
    </row>
    <row r="165" spans="1:3" ht="16.5" x14ac:dyDescent="0.3">
      <c r="A165" s="18" t="s">
        <v>1461</v>
      </c>
      <c r="B165" s="19" t="s">
        <v>1462</v>
      </c>
      <c r="C165" s="27" t="s">
        <v>1463</v>
      </c>
    </row>
    <row r="166" spans="1:3" ht="16.5" x14ac:dyDescent="0.3">
      <c r="A166" s="18" t="s">
        <v>1464</v>
      </c>
      <c r="B166" s="19" t="s">
        <v>1465</v>
      </c>
      <c r="C166" s="21" t="s">
        <v>1466</v>
      </c>
    </row>
    <row r="167" spans="1:3" ht="16.5" x14ac:dyDescent="0.3">
      <c r="A167" s="18" t="s">
        <v>1467</v>
      </c>
      <c r="B167" s="19" t="s">
        <v>966</v>
      </c>
      <c r="C167" s="21" t="s">
        <v>1468</v>
      </c>
    </row>
    <row r="168" spans="1:3" ht="16.5" x14ac:dyDescent="0.3">
      <c r="A168" s="18" t="s">
        <v>1469</v>
      </c>
      <c r="B168" s="19" t="s">
        <v>1470</v>
      </c>
      <c r="C168" s="21" t="s">
        <v>1471</v>
      </c>
    </row>
    <row r="169" spans="1:3" ht="16.5" x14ac:dyDescent="0.3">
      <c r="A169" s="18" t="s">
        <v>1472</v>
      </c>
      <c r="B169" s="19" t="s">
        <v>1473</v>
      </c>
      <c r="C169" s="21" t="s">
        <v>1474</v>
      </c>
    </row>
    <row r="170" spans="1:3" ht="16.5" x14ac:dyDescent="0.3">
      <c r="A170" s="18" t="s">
        <v>1475</v>
      </c>
      <c r="B170" s="19" t="s">
        <v>407</v>
      </c>
      <c r="C170" s="21" t="s">
        <v>1476</v>
      </c>
    </row>
    <row r="171" spans="1:3" ht="16.5" x14ac:dyDescent="0.3">
      <c r="A171" s="18" t="s">
        <v>1477</v>
      </c>
      <c r="B171" s="19" t="s">
        <v>1478</v>
      </c>
      <c r="C171" s="21" t="s">
        <v>1479</v>
      </c>
    </row>
    <row r="172" spans="1:3" ht="16.5" x14ac:dyDescent="0.3">
      <c r="A172" s="18" t="s">
        <v>1480</v>
      </c>
      <c r="B172" s="19" t="s">
        <v>1481</v>
      </c>
      <c r="C172" s="27" t="s">
        <v>1482</v>
      </c>
    </row>
    <row r="173" spans="1:3" ht="16.5" x14ac:dyDescent="0.3">
      <c r="A173" s="18" t="s">
        <v>1483</v>
      </c>
      <c r="B173" s="19" t="s">
        <v>1484</v>
      </c>
      <c r="C173" s="21" t="s">
        <v>1485</v>
      </c>
    </row>
    <row r="174" spans="1:3" ht="16.5" x14ac:dyDescent="0.3">
      <c r="A174" s="18" t="s">
        <v>1486</v>
      </c>
      <c r="B174" s="19" t="s">
        <v>1487</v>
      </c>
      <c r="C174" s="21" t="s">
        <v>1488</v>
      </c>
    </row>
    <row r="175" spans="1:3" ht="16.5" x14ac:dyDescent="0.3">
      <c r="A175" s="18" t="s">
        <v>1489</v>
      </c>
      <c r="B175" s="19" t="s">
        <v>1490</v>
      </c>
      <c r="C175" s="21" t="s">
        <v>1491</v>
      </c>
    </row>
    <row r="176" spans="1:3" ht="16.5" x14ac:dyDescent="0.3">
      <c r="A176" s="18" t="s">
        <v>1492</v>
      </c>
      <c r="B176" s="19" t="s">
        <v>1493</v>
      </c>
      <c r="C176" s="21" t="s">
        <v>1494</v>
      </c>
    </row>
    <row r="177" spans="1:3" ht="16.5" x14ac:dyDescent="0.3">
      <c r="A177" s="18" t="s">
        <v>1495</v>
      </c>
      <c r="B177" s="19" t="s">
        <v>1496</v>
      </c>
      <c r="C177" s="21" t="s">
        <v>1497</v>
      </c>
    </row>
    <row r="178" spans="1:3" ht="16.5" x14ac:dyDescent="0.3">
      <c r="A178" s="18" t="s">
        <v>1498</v>
      </c>
      <c r="B178" s="19" t="s">
        <v>1499</v>
      </c>
      <c r="C178" s="21" t="s">
        <v>1500</v>
      </c>
    </row>
    <row r="179" spans="1:3" ht="16.5" x14ac:dyDescent="0.3">
      <c r="A179" s="18" t="s">
        <v>1501</v>
      </c>
      <c r="B179" s="19" t="s">
        <v>1502</v>
      </c>
      <c r="C179" s="27" t="s">
        <v>1503</v>
      </c>
    </row>
    <row r="180" spans="1:3" ht="16.5" x14ac:dyDescent="0.3">
      <c r="A180" s="18" t="s">
        <v>1504</v>
      </c>
      <c r="B180" s="19" t="s">
        <v>1505</v>
      </c>
      <c r="C180" s="21" t="s">
        <v>1506</v>
      </c>
    </row>
    <row r="181" spans="1:3" ht="16.5" x14ac:dyDescent="0.3">
      <c r="A181" s="18" t="s">
        <v>1507</v>
      </c>
      <c r="B181" s="19" t="s">
        <v>1508</v>
      </c>
      <c r="C181" s="21" t="s">
        <v>1124</v>
      </c>
    </row>
    <row r="182" spans="1:3" ht="16.5" x14ac:dyDescent="0.3">
      <c r="A182" s="18" t="s">
        <v>1509</v>
      </c>
      <c r="B182" s="19" t="s">
        <v>1510</v>
      </c>
      <c r="C182" s="21" t="s">
        <v>1511</v>
      </c>
    </row>
    <row r="183" spans="1:3" ht="16.5" x14ac:dyDescent="0.3">
      <c r="A183" s="18" t="s">
        <v>1512</v>
      </c>
      <c r="B183" s="19" t="s">
        <v>1513</v>
      </c>
      <c r="C183" s="21" t="s">
        <v>1514</v>
      </c>
    </row>
    <row r="184" spans="1:3" ht="16.5" x14ac:dyDescent="0.3">
      <c r="A184" s="18" t="s">
        <v>1515</v>
      </c>
      <c r="B184" s="19" t="s">
        <v>639</v>
      </c>
      <c r="C184" s="21" t="s">
        <v>1516</v>
      </c>
    </row>
    <row r="185" spans="1:3" ht="16.5" x14ac:dyDescent="0.3">
      <c r="A185" s="18" t="s">
        <v>1517</v>
      </c>
      <c r="B185" s="19" t="s">
        <v>1518</v>
      </c>
      <c r="C185" s="21" t="s">
        <v>1519</v>
      </c>
    </row>
    <row r="186" spans="1:3" ht="16.5" x14ac:dyDescent="0.3">
      <c r="A186" s="18" t="s">
        <v>1520</v>
      </c>
      <c r="B186" s="19" t="s">
        <v>1521</v>
      </c>
      <c r="C186" s="21" t="s">
        <v>1522</v>
      </c>
    </row>
    <row r="187" spans="1:3" ht="16.5" x14ac:dyDescent="0.3">
      <c r="A187" s="18" t="s">
        <v>1523</v>
      </c>
      <c r="B187" s="19" t="s">
        <v>1524</v>
      </c>
      <c r="C187" s="21" t="s">
        <v>1525</v>
      </c>
    </row>
    <row r="188" spans="1:3" ht="16.5" x14ac:dyDescent="0.3">
      <c r="A188" s="18" t="s">
        <v>1526</v>
      </c>
      <c r="B188" s="19" t="s">
        <v>1527</v>
      </c>
      <c r="C188" s="21" t="s">
        <v>1528</v>
      </c>
    </row>
    <row r="189" spans="1:3" ht="16.5" x14ac:dyDescent="0.3">
      <c r="A189" s="18" t="s">
        <v>1529</v>
      </c>
      <c r="B189" s="19" t="s">
        <v>1530</v>
      </c>
      <c r="C189" s="21" t="s">
        <v>1124</v>
      </c>
    </row>
    <row r="190" spans="1:3" ht="16.5" x14ac:dyDescent="0.3">
      <c r="A190" s="18" t="s">
        <v>1531</v>
      </c>
      <c r="B190" s="19" t="s">
        <v>1532</v>
      </c>
      <c r="C190" s="21" t="s">
        <v>1533</v>
      </c>
    </row>
    <row r="191" spans="1:3" ht="16.5" x14ac:dyDescent="0.3">
      <c r="A191" s="18" t="s">
        <v>577</v>
      </c>
      <c r="B191" s="19" t="s">
        <v>1534</v>
      </c>
      <c r="C191" s="21" t="s">
        <v>1535</v>
      </c>
    </row>
    <row r="192" spans="1:3" ht="16.5" x14ac:dyDescent="0.3">
      <c r="A192" s="18" t="s">
        <v>1536</v>
      </c>
      <c r="B192" s="19" t="s">
        <v>1537</v>
      </c>
      <c r="C192" s="21" t="s">
        <v>1538</v>
      </c>
    </row>
    <row r="193" spans="1:3" ht="16.5" x14ac:dyDescent="0.3">
      <c r="A193" s="18" t="s">
        <v>1539</v>
      </c>
      <c r="B193" s="19" t="s">
        <v>1540</v>
      </c>
      <c r="C193" s="21" t="s">
        <v>1541</v>
      </c>
    </row>
    <row r="194" spans="1:3" ht="16.5" x14ac:dyDescent="0.3">
      <c r="A194" s="18" t="s">
        <v>1542</v>
      </c>
      <c r="B194" s="19" t="s">
        <v>1543</v>
      </c>
      <c r="C194" s="20" t="s">
        <v>1544</v>
      </c>
    </row>
    <row r="195" spans="1:3" ht="16.5" x14ac:dyDescent="0.3">
      <c r="A195" s="18" t="s">
        <v>1545</v>
      </c>
      <c r="B195" s="19" t="s">
        <v>1546</v>
      </c>
      <c r="C195" s="20" t="s">
        <v>1547</v>
      </c>
    </row>
    <row r="196" spans="1:3" ht="16.5" x14ac:dyDescent="0.3">
      <c r="A196" s="18" t="s">
        <v>1548</v>
      </c>
      <c r="B196" s="19" t="s">
        <v>1549</v>
      </c>
      <c r="C196" s="20" t="s">
        <v>1550</v>
      </c>
    </row>
    <row r="197" spans="1:3" ht="16.5" x14ac:dyDescent="0.3">
      <c r="A197" s="18" t="s">
        <v>1551</v>
      </c>
      <c r="B197" s="19" t="s">
        <v>1552</v>
      </c>
      <c r="C197" s="27" t="s">
        <v>1553</v>
      </c>
    </row>
    <row r="198" spans="1:3" ht="16.5" x14ac:dyDescent="0.3">
      <c r="A198" s="18" t="s">
        <v>1554</v>
      </c>
      <c r="B198" s="19" t="s">
        <v>1555</v>
      </c>
      <c r="C198" s="21" t="s">
        <v>1556</v>
      </c>
    </row>
    <row r="199" spans="1:3" ht="16.5" x14ac:dyDescent="0.3">
      <c r="A199" s="18" t="s">
        <v>1557</v>
      </c>
      <c r="B199" s="19" t="s">
        <v>1558</v>
      </c>
      <c r="C199" s="27" t="s">
        <v>1559</v>
      </c>
    </row>
    <row r="200" spans="1:3" ht="16.5" x14ac:dyDescent="0.3">
      <c r="A200" s="18" t="s">
        <v>1560</v>
      </c>
      <c r="B200" s="19" t="s">
        <v>889</v>
      </c>
      <c r="C200" s="21" t="s">
        <v>1561</v>
      </c>
    </row>
    <row r="201" spans="1:3" ht="16.5" x14ac:dyDescent="0.3">
      <c r="A201" s="18" t="s">
        <v>1562</v>
      </c>
      <c r="B201" s="19" t="s">
        <v>1563</v>
      </c>
      <c r="C201" s="21" t="s">
        <v>1564</v>
      </c>
    </row>
    <row r="202" spans="1:3" ht="16.5" x14ac:dyDescent="0.3">
      <c r="A202" s="18" t="s">
        <v>1565</v>
      </c>
      <c r="B202" s="19" t="s">
        <v>1566</v>
      </c>
      <c r="C202" s="20" t="s">
        <v>1567</v>
      </c>
    </row>
    <row r="203" spans="1:3" ht="16.5" x14ac:dyDescent="0.3">
      <c r="A203" s="18" t="s">
        <v>1568</v>
      </c>
      <c r="B203" s="19" t="s">
        <v>1569</v>
      </c>
      <c r="C203" s="27" t="s">
        <v>1570</v>
      </c>
    </row>
    <row r="204" spans="1:3" ht="16.5" x14ac:dyDescent="0.3">
      <c r="A204" s="18" t="s">
        <v>1571</v>
      </c>
      <c r="B204" s="19" t="s">
        <v>1572</v>
      </c>
      <c r="C204" s="20" t="s">
        <v>1573</v>
      </c>
    </row>
    <row r="205" spans="1:3" ht="16.5" x14ac:dyDescent="0.3">
      <c r="A205" s="18" t="s">
        <v>1574</v>
      </c>
      <c r="B205" s="19" t="s">
        <v>1575</v>
      </c>
      <c r="C205" s="21" t="s">
        <v>1576</v>
      </c>
    </row>
    <row r="206" spans="1:3" ht="16.5" x14ac:dyDescent="0.3">
      <c r="A206" s="18" t="s">
        <v>1577</v>
      </c>
      <c r="B206" s="19" t="s">
        <v>1578</v>
      </c>
      <c r="C206" s="21" t="s">
        <v>1579</v>
      </c>
    </row>
    <row r="207" spans="1:3" ht="16.5" x14ac:dyDescent="0.3">
      <c r="A207" s="18" t="s">
        <v>1580</v>
      </c>
      <c r="B207" s="19" t="s">
        <v>503</v>
      </c>
      <c r="C207" s="21" t="s">
        <v>1581</v>
      </c>
    </row>
    <row r="208" spans="1:3" ht="16.5" x14ac:dyDescent="0.3">
      <c r="A208" s="18" t="s">
        <v>1582</v>
      </c>
      <c r="B208" s="19" t="s">
        <v>1583</v>
      </c>
      <c r="C208" s="21" t="s">
        <v>1124</v>
      </c>
    </row>
    <row r="209" spans="1:3" ht="16.5" x14ac:dyDescent="0.3">
      <c r="A209" s="18" t="s">
        <v>1584</v>
      </c>
      <c r="B209" s="19" t="s">
        <v>1585</v>
      </c>
      <c r="C209" s="21" t="s">
        <v>1586</v>
      </c>
    </row>
    <row r="210" spans="1:3" ht="16.5" x14ac:dyDescent="0.3">
      <c r="A210" s="18" t="s">
        <v>1587</v>
      </c>
      <c r="B210" s="19" t="s">
        <v>1588</v>
      </c>
      <c r="C210" s="21" t="s">
        <v>1589</v>
      </c>
    </row>
    <row r="211" spans="1:3" ht="16.5" x14ac:dyDescent="0.3">
      <c r="A211" s="18" t="s">
        <v>1590</v>
      </c>
      <c r="B211" s="19" t="s">
        <v>1591</v>
      </c>
      <c r="C211" s="21" t="s">
        <v>1592</v>
      </c>
    </row>
    <row r="212" spans="1:3" ht="16.5" x14ac:dyDescent="0.3">
      <c r="A212" s="18" t="s">
        <v>1593</v>
      </c>
      <c r="B212" s="19" t="s">
        <v>1594</v>
      </c>
      <c r="C212" s="21" t="s">
        <v>1595</v>
      </c>
    </row>
    <row r="213" spans="1:3" ht="16.5" x14ac:dyDescent="0.3">
      <c r="A213" s="18" t="s">
        <v>1596</v>
      </c>
      <c r="B213" s="19" t="s">
        <v>1597</v>
      </c>
      <c r="C213" s="21" t="s">
        <v>1598</v>
      </c>
    </row>
    <row r="214" spans="1:3" ht="16.5" x14ac:dyDescent="0.3">
      <c r="A214" s="18" t="s">
        <v>1599</v>
      </c>
      <c r="B214" s="19" t="s">
        <v>1600</v>
      </c>
      <c r="C214" s="21" t="s">
        <v>1601</v>
      </c>
    </row>
    <row r="215" spans="1:3" ht="16.5" x14ac:dyDescent="0.3">
      <c r="A215" s="18" t="s">
        <v>1602</v>
      </c>
      <c r="B215" s="19" t="s">
        <v>1603</v>
      </c>
      <c r="C215" s="21" t="s">
        <v>1604</v>
      </c>
    </row>
    <row r="216" spans="1:3" ht="16.5" x14ac:dyDescent="0.3">
      <c r="A216" s="18" t="s">
        <v>1605</v>
      </c>
      <c r="B216" s="19" t="s">
        <v>1606</v>
      </c>
      <c r="C216" s="21" t="s">
        <v>1607</v>
      </c>
    </row>
    <row r="217" spans="1:3" ht="16.5" x14ac:dyDescent="0.3">
      <c r="A217" s="18" t="s">
        <v>1608</v>
      </c>
      <c r="B217" s="19" t="s">
        <v>1609</v>
      </c>
      <c r="C217" s="21" t="s">
        <v>1610</v>
      </c>
    </row>
    <row r="218" spans="1:3" ht="16.5" x14ac:dyDescent="0.3">
      <c r="A218" s="18" t="s">
        <v>1611</v>
      </c>
      <c r="B218" s="19" t="s">
        <v>1612</v>
      </c>
      <c r="C218" s="21" t="s">
        <v>1613</v>
      </c>
    </row>
    <row r="219" spans="1:3" ht="16.5" x14ac:dyDescent="0.3">
      <c r="A219" s="18" t="s">
        <v>1614</v>
      </c>
      <c r="B219" s="19" t="s">
        <v>1615</v>
      </c>
      <c r="C219" s="21" t="s">
        <v>1616</v>
      </c>
    </row>
    <row r="220" spans="1:3" ht="16.5" x14ac:dyDescent="0.3">
      <c r="A220" s="18" t="s">
        <v>1617</v>
      </c>
      <c r="B220" s="19" t="s">
        <v>1618</v>
      </c>
      <c r="C220" s="21" t="s">
        <v>1619</v>
      </c>
    </row>
    <row r="221" spans="1:3" ht="16.5" x14ac:dyDescent="0.3">
      <c r="A221" s="18" t="s">
        <v>1620</v>
      </c>
      <c r="B221" s="19" t="s">
        <v>1621</v>
      </c>
      <c r="C221" s="21" t="s">
        <v>1622</v>
      </c>
    </row>
    <row r="222" spans="1:3" ht="16.5" x14ac:dyDescent="0.3">
      <c r="A222" s="18" t="s">
        <v>1623</v>
      </c>
      <c r="B222" s="19" t="s">
        <v>1624</v>
      </c>
      <c r="C222" s="21" t="s">
        <v>1625</v>
      </c>
    </row>
    <row r="223" spans="1:3" ht="16.5" x14ac:dyDescent="0.3">
      <c r="A223" s="18" t="s">
        <v>1626</v>
      </c>
      <c r="B223" s="19" t="s">
        <v>1627</v>
      </c>
      <c r="C223" s="21" t="s">
        <v>1628</v>
      </c>
    </row>
    <row r="224" spans="1:3" ht="16.5" x14ac:dyDescent="0.3">
      <c r="A224" s="18" t="s">
        <v>1629</v>
      </c>
      <c r="B224" s="19" t="s">
        <v>1630</v>
      </c>
      <c r="C224" s="21" t="s">
        <v>1631</v>
      </c>
    </row>
    <row r="225" spans="1:3" ht="16.5" x14ac:dyDescent="0.3">
      <c r="A225" s="18" t="s">
        <v>1632</v>
      </c>
      <c r="B225" s="19" t="s">
        <v>1633</v>
      </c>
      <c r="C225" s="21" t="s">
        <v>1634</v>
      </c>
    </row>
    <row r="226" spans="1:3" ht="16.5" x14ac:dyDescent="0.3">
      <c r="A226" s="18" t="s">
        <v>1635</v>
      </c>
      <c r="B226" s="19" t="s">
        <v>1636</v>
      </c>
      <c r="C226" s="21" t="s">
        <v>1637</v>
      </c>
    </row>
    <row r="227" spans="1:3" ht="16.5" x14ac:dyDescent="0.3">
      <c r="A227" s="18" t="s">
        <v>1638</v>
      </c>
      <c r="B227" s="19" t="s">
        <v>1639</v>
      </c>
      <c r="C227" s="21" t="s">
        <v>1640</v>
      </c>
    </row>
    <row r="228" spans="1:3" ht="16.5" x14ac:dyDescent="0.3">
      <c r="A228" s="18" t="s">
        <v>1641</v>
      </c>
      <c r="B228" s="19" t="s">
        <v>613</v>
      </c>
      <c r="C228" s="21" t="s">
        <v>1642</v>
      </c>
    </row>
    <row r="229" spans="1:3" ht="16.5" x14ac:dyDescent="0.3">
      <c r="A229" s="18" t="s">
        <v>1643</v>
      </c>
      <c r="B229" s="19" t="s">
        <v>1644</v>
      </c>
      <c r="C229" s="21" t="s">
        <v>1645</v>
      </c>
    </row>
    <row r="230" spans="1:3" ht="16.5" x14ac:dyDescent="0.3">
      <c r="A230" s="18" t="s">
        <v>1646</v>
      </c>
      <c r="B230" s="19" t="s">
        <v>1647</v>
      </c>
      <c r="C230" s="21" t="s">
        <v>1648</v>
      </c>
    </row>
    <row r="231" spans="1:3" ht="16.5" x14ac:dyDescent="0.3">
      <c r="A231" s="18" t="s">
        <v>1649</v>
      </c>
      <c r="B231" s="19" t="s">
        <v>1650</v>
      </c>
      <c r="C231" s="21" t="s">
        <v>1651</v>
      </c>
    </row>
    <row r="232" spans="1:3" ht="16.5" x14ac:dyDescent="0.3">
      <c r="A232" s="18" t="s">
        <v>1652</v>
      </c>
      <c r="B232" s="19" t="s">
        <v>1653</v>
      </c>
      <c r="C232" s="21" t="s">
        <v>1654</v>
      </c>
    </row>
    <row r="233" spans="1:3" ht="16.5" x14ac:dyDescent="0.3">
      <c r="A233" s="18" t="s">
        <v>1655</v>
      </c>
      <c r="B233" s="19" t="s">
        <v>1656</v>
      </c>
      <c r="C233" s="21" t="s">
        <v>1657</v>
      </c>
    </row>
    <row r="234" spans="1:3" ht="16.5" x14ac:dyDescent="0.3">
      <c r="A234" s="18" t="s">
        <v>1658</v>
      </c>
      <c r="B234" s="19" t="s">
        <v>1659</v>
      </c>
      <c r="C234" s="21" t="s">
        <v>1660</v>
      </c>
    </row>
    <row r="235" spans="1:3" ht="16.5" x14ac:dyDescent="0.3">
      <c r="A235" s="18" t="s">
        <v>1661</v>
      </c>
      <c r="B235" s="19" t="s">
        <v>1662</v>
      </c>
      <c r="C235" s="21" t="s">
        <v>1663</v>
      </c>
    </row>
    <row r="236" spans="1:3" ht="16.5" x14ac:dyDescent="0.3">
      <c r="A236" s="18" t="s">
        <v>1664</v>
      </c>
      <c r="B236" s="19" t="s">
        <v>1665</v>
      </c>
      <c r="C236" s="21" t="s">
        <v>1666</v>
      </c>
    </row>
    <row r="237" spans="1:3" ht="16.5" x14ac:dyDescent="0.3">
      <c r="A237" s="18" t="s">
        <v>1667</v>
      </c>
      <c r="B237" s="19" t="s">
        <v>1668</v>
      </c>
      <c r="C237" s="21" t="s">
        <v>1669</v>
      </c>
    </row>
    <row r="238" spans="1:3" ht="16.5" x14ac:dyDescent="0.3">
      <c r="A238" s="18" t="s">
        <v>1670</v>
      </c>
      <c r="B238" s="19" t="s">
        <v>1659</v>
      </c>
      <c r="C238" s="21" t="s">
        <v>1671</v>
      </c>
    </row>
    <row r="239" spans="1:3" ht="16.5" x14ac:dyDescent="0.3">
      <c r="A239" s="18" t="s">
        <v>1672</v>
      </c>
      <c r="B239" s="19" t="s">
        <v>1673</v>
      </c>
      <c r="C239" s="21" t="s">
        <v>1674</v>
      </c>
    </row>
    <row r="240" spans="1:3" ht="16.5" x14ac:dyDescent="0.3">
      <c r="A240" s="18" t="s">
        <v>1675</v>
      </c>
      <c r="B240" s="19" t="s">
        <v>645</v>
      </c>
      <c r="C240" s="28" t="s">
        <v>1676</v>
      </c>
    </row>
    <row r="241" spans="1:3" ht="16.5" x14ac:dyDescent="0.3">
      <c r="A241" s="18" t="s">
        <v>1677</v>
      </c>
      <c r="B241" s="19" t="s">
        <v>1678</v>
      </c>
      <c r="C241" s="21" t="s">
        <v>1679</v>
      </c>
    </row>
    <row r="242" spans="1:3" ht="16.5" x14ac:dyDescent="0.3">
      <c r="A242" s="18" t="s">
        <v>1680</v>
      </c>
      <c r="B242" s="19" t="s">
        <v>1681</v>
      </c>
      <c r="C242" s="21" t="s">
        <v>1682</v>
      </c>
    </row>
    <row r="243" spans="1:3" ht="16.5" x14ac:dyDescent="0.3">
      <c r="A243" s="18" t="s">
        <v>1683</v>
      </c>
      <c r="B243" s="19" t="s">
        <v>1684</v>
      </c>
      <c r="C243" s="21" t="s">
        <v>1685</v>
      </c>
    </row>
    <row r="244" spans="1:3" ht="16.5" x14ac:dyDescent="0.3">
      <c r="A244" s="18" t="s">
        <v>1686</v>
      </c>
      <c r="B244" s="19" t="s">
        <v>1687</v>
      </c>
      <c r="C244" s="21" t="s">
        <v>1330</v>
      </c>
    </row>
    <row r="245" spans="1:3" ht="16.5" x14ac:dyDescent="0.3">
      <c r="A245" s="18" t="s">
        <v>1688</v>
      </c>
      <c r="B245" s="19" t="s">
        <v>200</v>
      </c>
      <c r="C245" s="21" t="s">
        <v>1689</v>
      </c>
    </row>
    <row r="246" spans="1:3" ht="16.5" x14ac:dyDescent="0.3">
      <c r="A246" s="18" t="s">
        <v>1690</v>
      </c>
      <c r="B246" s="19" t="s">
        <v>1691</v>
      </c>
      <c r="C246" s="21" t="s">
        <v>1692</v>
      </c>
    </row>
    <row r="247" spans="1:3" ht="16.5" x14ac:dyDescent="0.3">
      <c r="A247" s="18" t="s">
        <v>1693</v>
      </c>
      <c r="B247" s="19" t="s">
        <v>1694</v>
      </c>
      <c r="C247" s="21" t="s">
        <v>1695</v>
      </c>
    </row>
    <row r="248" spans="1:3" ht="16.5" x14ac:dyDescent="0.3">
      <c r="A248" s="18" t="s">
        <v>445</v>
      </c>
      <c r="B248" s="19" t="s">
        <v>1696</v>
      </c>
      <c r="C248" s="21" t="s">
        <v>1697</v>
      </c>
    </row>
    <row r="249" spans="1:3" ht="16.5" x14ac:dyDescent="0.3">
      <c r="A249" s="18" t="s">
        <v>1698</v>
      </c>
      <c r="B249" s="19" t="s">
        <v>1699</v>
      </c>
      <c r="C249" s="21" t="s">
        <v>1700</v>
      </c>
    </row>
    <row r="250" spans="1:3" ht="16.5" x14ac:dyDescent="0.3">
      <c r="A250" s="18" t="s">
        <v>1701</v>
      </c>
      <c r="B250" s="19" t="s">
        <v>1702</v>
      </c>
      <c r="C250" s="21" t="s">
        <v>1703</v>
      </c>
    </row>
    <row r="251" spans="1:3" ht="16.5" x14ac:dyDescent="0.3">
      <c r="A251" s="18" t="s">
        <v>1704</v>
      </c>
      <c r="B251" s="19" t="s">
        <v>1705</v>
      </c>
      <c r="C251" s="21" t="s">
        <v>1706</v>
      </c>
    </row>
    <row r="252" spans="1:3" ht="16.5" x14ac:dyDescent="0.3">
      <c r="A252" s="18" t="s">
        <v>1707</v>
      </c>
      <c r="B252" s="19" t="s">
        <v>1708</v>
      </c>
      <c r="C252" s="21" t="s">
        <v>1709</v>
      </c>
    </row>
    <row r="253" spans="1:3" ht="16.5" x14ac:dyDescent="0.3">
      <c r="A253" s="18" t="s">
        <v>1710</v>
      </c>
      <c r="B253" s="19" t="s">
        <v>1711</v>
      </c>
      <c r="C253" s="21" t="s">
        <v>1712</v>
      </c>
    </row>
    <row r="254" spans="1:3" ht="16.5" x14ac:dyDescent="0.3">
      <c r="A254" s="18" t="s">
        <v>1713</v>
      </c>
      <c r="B254" s="19" t="s">
        <v>1714</v>
      </c>
      <c r="C254" s="21" t="s">
        <v>1715</v>
      </c>
    </row>
    <row r="255" spans="1:3" ht="16.5" x14ac:dyDescent="0.3">
      <c r="A255" s="18" t="s">
        <v>1716</v>
      </c>
      <c r="B255" s="19" t="s">
        <v>1717</v>
      </c>
      <c r="C255" s="21" t="s">
        <v>1718</v>
      </c>
    </row>
    <row r="256" spans="1:3" ht="16.5" x14ac:dyDescent="0.3">
      <c r="A256" s="18" t="s">
        <v>1719</v>
      </c>
      <c r="B256" s="19" t="s">
        <v>1720</v>
      </c>
      <c r="C256" s="21" t="s">
        <v>1721</v>
      </c>
    </row>
    <row r="257" spans="1:3" ht="16.5" x14ac:dyDescent="0.3">
      <c r="A257" s="18" t="s">
        <v>1722</v>
      </c>
      <c r="B257" s="19" t="s">
        <v>1723</v>
      </c>
      <c r="C257" s="21" t="s">
        <v>1724</v>
      </c>
    </row>
    <row r="258" spans="1:3" ht="16.5" x14ac:dyDescent="0.3">
      <c r="A258" s="18" t="s">
        <v>1725</v>
      </c>
      <c r="B258" s="19" t="s">
        <v>1726</v>
      </c>
      <c r="C258" s="21" t="s">
        <v>1727</v>
      </c>
    </row>
    <row r="259" spans="1:3" ht="16.5" x14ac:dyDescent="0.3">
      <c r="A259" s="18" t="s">
        <v>1728</v>
      </c>
      <c r="B259" s="19" t="s">
        <v>1729</v>
      </c>
      <c r="C259" s="21" t="s">
        <v>1730</v>
      </c>
    </row>
    <row r="260" spans="1:3" ht="16.5" x14ac:dyDescent="0.3">
      <c r="A260" s="18" t="s">
        <v>1731</v>
      </c>
      <c r="B260" s="19" t="s">
        <v>1732</v>
      </c>
      <c r="C260" s="21" t="s">
        <v>1733</v>
      </c>
    </row>
    <row r="261" spans="1:3" ht="16.5" x14ac:dyDescent="0.3">
      <c r="A261" s="18" t="s">
        <v>1734</v>
      </c>
      <c r="B261" s="19" t="s">
        <v>1735</v>
      </c>
      <c r="C261" s="21" t="s">
        <v>1736</v>
      </c>
    </row>
    <row r="262" spans="1:3" ht="16.5" x14ac:dyDescent="0.3">
      <c r="A262" s="18" t="s">
        <v>1737</v>
      </c>
      <c r="B262" s="19" t="s">
        <v>1738</v>
      </c>
      <c r="C262" s="21" t="s">
        <v>1739</v>
      </c>
    </row>
    <row r="263" spans="1:3" ht="16.5" x14ac:dyDescent="0.3">
      <c r="A263" s="18" t="s">
        <v>1740</v>
      </c>
      <c r="B263" s="19" t="s">
        <v>1741</v>
      </c>
      <c r="C263" s="21" t="s">
        <v>1742</v>
      </c>
    </row>
    <row r="264" spans="1:3" ht="16.5" x14ac:dyDescent="0.3">
      <c r="A264" s="18" t="s">
        <v>1743</v>
      </c>
      <c r="B264" s="19" t="s">
        <v>1744</v>
      </c>
      <c r="C264" s="21" t="s">
        <v>1745</v>
      </c>
    </row>
    <row r="265" spans="1:3" ht="16.5" x14ac:dyDescent="0.3">
      <c r="A265" s="18" t="s">
        <v>1746</v>
      </c>
      <c r="B265" s="19" t="s">
        <v>1747</v>
      </c>
      <c r="C265" s="21" t="s">
        <v>1748</v>
      </c>
    </row>
    <row r="266" spans="1:3" ht="16.5" x14ac:dyDescent="0.3">
      <c r="A266" s="18" t="s">
        <v>1749</v>
      </c>
      <c r="B266" s="19" t="s">
        <v>1750</v>
      </c>
      <c r="C266" s="21" t="s">
        <v>1751</v>
      </c>
    </row>
    <row r="267" spans="1:3" ht="16.5" x14ac:dyDescent="0.3">
      <c r="A267" s="18" t="s">
        <v>1752</v>
      </c>
      <c r="B267" s="19" t="s">
        <v>1753</v>
      </c>
      <c r="C267" s="21" t="s">
        <v>1754</v>
      </c>
    </row>
    <row r="268" spans="1:3" ht="16.5" x14ac:dyDescent="0.3">
      <c r="A268" s="18" t="s">
        <v>1755</v>
      </c>
      <c r="B268" s="19" t="s">
        <v>1756</v>
      </c>
      <c r="C268" s="21" t="s">
        <v>1757</v>
      </c>
    </row>
    <row r="269" spans="1:3" ht="16.5" x14ac:dyDescent="0.3">
      <c r="A269" s="18" t="s">
        <v>1758</v>
      </c>
      <c r="B269" s="19" t="s">
        <v>1759</v>
      </c>
      <c r="C269" s="21" t="s">
        <v>1760</v>
      </c>
    </row>
    <row r="270" spans="1:3" ht="16.5" x14ac:dyDescent="0.3">
      <c r="A270" s="18" t="s">
        <v>1761</v>
      </c>
      <c r="B270" s="19" t="s">
        <v>194</v>
      </c>
      <c r="C270" s="21" t="s">
        <v>1762</v>
      </c>
    </row>
    <row r="271" spans="1:3" ht="16.5" x14ac:dyDescent="0.3">
      <c r="A271" s="18" t="s">
        <v>1763</v>
      </c>
      <c r="B271" s="19" t="s">
        <v>245</v>
      </c>
      <c r="C271" s="21" t="s">
        <v>1421</v>
      </c>
    </row>
    <row r="272" spans="1:3" ht="16.5" x14ac:dyDescent="0.3">
      <c r="A272" s="18" t="s">
        <v>1764</v>
      </c>
      <c r="B272" s="19" t="s">
        <v>1765</v>
      </c>
      <c r="C272" s="21" t="s">
        <v>1766</v>
      </c>
    </row>
    <row r="273" spans="1:3" ht="16.5" x14ac:dyDescent="0.3">
      <c r="A273" s="18" t="s">
        <v>1767</v>
      </c>
      <c r="B273" s="19" t="s">
        <v>1768</v>
      </c>
      <c r="C273" s="21" t="s">
        <v>1769</v>
      </c>
    </row>
    <row r="274" spans="1:3" ht="16.5" x14ac:dyDescent="0.3">
      <c r="A274" s="18" t="s">
        <v>948</v>
      </c>
      <c r="B274" s="19" t="s">
        <v>810</v>
      </c>
      <c r="C274" s="21" t="s">
        <v>1770</v>
      </c>
    </row>
    <row r="275" spans="1:3" ht="16.5" x14ac:dyDescent="0.3">
      <c r="A275" s="18" t="s">
        <v>1771</v>
      </c>
      <c r="B275" s="19" t="s">
        <v>1772</v>
      </c>
      <c r="C275" s="21" t="s">
        <v>1773</v>
      </c>
    </row>
    <row r="276" spans="1:3" ht="16.5" x14ac:dyDescent="0.3">
      <c r="A276" s="18" t="s">
        <v>1774</v>
      </c>
      <c r="B276" s="19" t="s">
        <v>1775</v>
      </c>
      <c r="C276" s="20" t="s">
        <v>1776</v>
      </c>
    </row>
    <row r="277" spans="1:3" ht="16.5" x14ac:dyDescent="0.3">
      <c r="A277" s="18" t="s">
        <v>1777</v>
      </c>
      <c r="B277" s="19" t="s">
        <v>1778</v>
      </c>
      <c r="C277" s="21" t="s">
        <v>1779</v>
      </c>
    </row>
    <row r="278" spans="1:3" ht="16.5" x14ac:dyDescent="0.3">
      <c r="A278" s="18" t="s">
        <v>1780</v>
      </c>
      <c r="B278" s="19" t="s">
        <v>1781</v>
      </c>
      <c r="C278" s="21" t="s">
        <v>1782</v>
      </c>
    </row>
    <row r="279" spans="1:3" ht="16.5" x14ac:dyDescent="0.3">
      <c r="A279" s="18" t="s">
        <v>1783</v>
      </c>
      <c r="B279" s="19" t="s">
        <v>1784</v>
      </c>
      <c r="C279" s="21" t="s">
        <v>1785</v>
      </c>
    </row>
    <row r="280" spans="1:3" ht="16.5" x14ac:dyDescent="0.3">
      <c r="A280" s="18" t="s">
        <v>1786</v>
      </c>
      <c r="B280" s="19" t="s">
        <v>1787</v>
      </c>
      <c r="C280" s="21" t="s">
        <v>1788</v>
      </c>
    </row>
    <row r="281" spans="1:3" ht="16.5" x14ac:dyDescent="0.3">
      <c r="A281" s="18" t="s">
        <v>1789</v>
      </c>
      <c r="B281" s="19" t="s">
        <v>1790</v>
      </c>
      <c r="C281" s="21" t="s">
        <v>1439</v>
      </c>
    </row>
    <row r="282" spans="1:3" ht="16.5" x14ac:dyDescent="0.3">
      <c r="A282" s="18" t="s">
        <v>1791</v>
      </c>
      <c r="B282" s="19" t="s">
        <v>1792</v>
      </c>
      <c r="C282" s="21" t="s">
        <v>1793</v>
      </c>
    </row>
    <row r="283" spans="1:3" ht="16.5" x14ac:dyDescent="0.3">
      <c r="A283" s="18" t="s">
        <v>1794</v>
      </c>
      <c r="B283" s="19" t="s">
        <v>1795</v>
      </c>
      <c r="C283" s="21" t="s">
        <v>1796</v>
      </c>
    </row>
    <row r="284" spans="1:3" ht="16.5" x14ac:dyDescent="0.3">
      <c r="A284" s="18" t="s">
        <v>1797</v>
      </c>
      <c r="B284" s="19" t="s">
        <v>1798</v>
      </c>
      <c r="C284" s="21" t="s">
        <v>1799</v>
      </c>
    </row>
    <row r="285" spans="1:3" ht="16.5" x14ac:dyDescent="0.3">
      <c r="A285" s="18" t="s">
        <v>1800</v>
      </c>
      <c r="B285" s="19" t="s">
        <v>1801</v>
      </c>
      <c r="C285" s="21" t="s">
        <v>1802</v>
      </c>
    </row>
    <row r="286" spans="1:3" ht="16.5" x14ac:dyDescent="0.3">
      <c r="A286" s="18" t="s">
        <v>1803</v>
      </c>
      <c r="B286" s="19" t="s">
        <v>229</v>
      </c>
      <c r="C286" s="21" t="s">
        <v>1804</v>
      </c>
    </row>
    <row r="287" spans="1:3" ht="16.5" x14ac:dyDescent="0.3">
      <c r="A287" s="18" t="s">
        <v>1805</v>
      </c>
      <c r="B287" s="19" t="s">
        <v>1806</v>
      </c>
      <c r="C287" s="21" t="s">
        <v>1807</v>
      </c>
    </row>
    <row r="288" spans="1:3" ht="16.5" x14ac:dyDescent="0.3">
      <c r="A288" s="18" t="s">
        <v>1808</v>
      </c>
      <c r="B288" s="19" t="s">
        <v>1809</v>
      </c>
      <c r="C288" s="21" t="s">
        <v>1810</v>
      </c>
    </row>
    <row r="289" spans="1:3" ht="16.5" x14ac:dyDescent="0.3">
      <c r="A289" s="18" t="s">
        <v>1811</v>
      </c>
      <c r="B289" s="19" t="s">
        <v>1812</v>
      </c>
      <c r="C289" s="21" t="s">
        <v>1813</v>
      </c>
    </row>
    <row r="290" spans="1:3" ht="16.5" x14ac:dyDescent="0.3">
      <c r="A290" s="18" t="s">
        <v>1814</v>
      </c>
      <c r="B290" s="19" t="s">
        <v>1815</v>
      </c>
      <c r="C290" s="21" t="s">
        <v>1816</v>
      </c>
    </row>
    <row r="291" spans="1:3" ht="16.5" x14ac:dyDescent="0.3">
      <c r="A291" s="18" t="s">
        <v>1817</v>
      </c>
      <c r="B291" s="19" t="s">
        <v>390</v>
      </c>
      <c r="C291" s="21" t="s">
        <v>1818</v>
      </c>
    </row>
    <row r="292" spans="1:3" ht="16.5" x14ac:dyDescent="0.3">
      <c r="A292" s="18" t="s">
        <v>1819</v>
      </c>
      <c r="B292" s="19" t="s">
        <v>1820</v>
      </c>
      <c r="C292" s="21" t="s">
        <v>1821</v>
      </c>
    </row>
    <row r="293" spans="1:3" ht="16.5" x14ac:dyDescent="0.3">
      <c r="A293" s="18" t="s">
        <v>1822</v>
      </c>
      <c r="B293" s="19" t="s">
        <v>1823</v>
      </c>
      <c r="C293" s="21" t="s">
        <v>1824</v>
      </c>
    </row>
    <row r="294" spans="1:3" ht="16.5" x14ac:dyDescent="0.3">
      <c r="A294" s="18" t="s">
        <v>1825</v>
      </c>
      <c r="B294" s="19" t="s">
        <v>1826</v>
      </c>
      <c r="C294" s="21" t="s">
        <v>1827</v>
      </c>
    </row>
    <row r="295" spans="1:3" ht="16.5" x14ac:dyDescent="0.3">
      <c r="A295" s="18" t="s">
        <v>1828</v>
      </c>
      <c r="B295" s="19" t="s">
        <v>1829</v>
      </c>
      <c r="C295" s="21" t="s">
        <v>1830</v>
      </c>
    </row>
    <row r="296" spans="1:3" ht="16.5" x14ac:dyDescent="0.3">
      <c r="A296" s="18" t="s">
        <v>1831</v>
      </c>
      <c r="B296" s="19" t="s">
        <v>1832</v>
      </c>
      <c r="C296" s="21" t="s">
        <v>1833</v>
      </c>
    </row>
    <row r="297" spans="1:3" ht="16.5" x14ac:dyDescent="0.3">
      <c r="A297" s="18" t="s">
        <v>1834</v>
      </c>
      <c r="B297" s="19" t="s">
        <v>1835</v>
      </c>
      <c r="C297" s="21" t="s">
        <v>1836</v>
      </c>
    </row>
    <row r="298" spans="1:3" ht="16.5" x14ac:dyDescent="0.3">
      <c r="A298" s="18" t="s">
        <v>1837</v>
      </c>
      <c r="B298" s="19" t="s">
        <v>1838</v>
      </c>
      <c r="C298" s="21" t="s">
        <v>1839</v>
      </c>
    </row>
    <row r="299" spans="1:3" ht="16.5" x14ac:dyDescent="0.3">
      <c r="A299" s="18" t="s">
        <v>1840</v>
      </c>
      <c r="B299" s="19" t="s">
        <v>1841</v>
      </c>
      <c r="C299" s="20" t="s">
        <v>1842</v>
      </c>
    </row>
    <row r="300" spans="1:3" ht="16.5" x14ac:dyDescent="0.3">
      <c r="A300" s="18" t="s">
        <v>1843</v>
      </c>
      <c r="B300" s="19" t="s">
        <v>1844</v>
      </c>
      <c r="C300" s="21" t="s">
        <v>1845</v>
      </c>
    </row>
    <row r="301" spans="1:3" ht="16.5" x14ac:dyDescent="0.3">
      <c r="A301" s="18" t="s">
        <v>1846</v>
      </c>
      <c r="B301" s="19" t="s">
        <v>1847</v>
      </c>
      <c r="C301" s="21" t="s">
        <v>1848</v>
      </c>
    </row>
    <row r="302" spans="1:3" ht="16.5" x14ac:dyDescent="0.3">
      <c r="A302" s="18" t="s">
        <v>1849</v>
      </c>
      <c r="B302" s="19" t="s">
        <v>1850</v>
      </c>
      <c r="C302" s="21" t="s">
        <v>1851</v>
      </c>
    </row>
    <row r="303" spans="1:3" ht="16.5" x14ac:dyDescent="0.3">
      <c r="A303" s="18" t="s">
        <v>1852</v>
      </c>
      <c r="B303" s="19" t="s">
        <v>444</v>
      </c>
      <c r="C303" s="21" t="s">
        <v>578</v>
      </c>
    </row>
    <row r="304" spans="1:3" ht="16.5" x14ac:dyDescent="0.3">
      <c r="A304" s="18" t="s">
        <v>1853</v>
      </c>
      <c r="B304" s="19" t="s">
        <v>1854</v>
      </c>
      <c r="C304" s="21" t="s">
        <v>1855</v>
      </c>
    </row>
    <row r="305" spans="1:3" ht="16.5" x14ac:dyDescent="0.3">
      <c r="A305" s="18" t="s">
        <v>1856</v>
      </c>
      <c r="B305" s="19" t="s">
        <v>1857</v>
      </c>
      <c r="C305" s="20" t="s">
        <v>1858</v>
      </c>
    </row>
    <row r="306" spans="1:3" ht="16.5" x14ac:dyDescent="0.3">
      <c r="A306" s="18" t="s">
        <v>1859</v>
      </c>
      <c r="B306" s="19" t="s">
        <v>1860</v>
      </c>
      <c r="C306" s="21" t="s">
        <v>1861</v>
      </c>
    </row>
    <row r="307" spans="1:3" ht="16.5" x14ac:dyDescent="0.3">
      <c r="A307" s="18" t="s">
        <v>1862</v>
      </c>
      <c r="B307" s="19" t="s">
        <v>1863</v>
      </c>
      <c r="C307" s="20" t="s">
        <v>1864</v>
      </c>
    </row>
    <row r="308" spans="1:3" ht="16.5" x14ac:dyDescent="0.3">
      <c r="A308" s="18" t="s">
        <v>1865</v>
      </c>
      <c r="B308" s="19" t="s">
        <v>1866</v>
      </c>
      <c r="C308" s="20" t="s">
        <v>1867</v>
      </c>
    </row>
    <row r="309" spans="1:3" ht="16.5" x14ac:dyDescent="0.3">
      <c r="A309" s="18" t="s">
        <v>1868</v>
      </c>
      <c r="B309" s="19" t="s">
        <v>1869</v>
      </c>
      <c r="C309" s="20" t="s">
        <v>1870</v>
      </c>
    </row>
    <row r="310" spans="1:3" ht="16.5" x14ac:dyDescent="0.3">
      <c r="A310" s="18" t="s">
        <v>1871</v>
      </c>
      <c r="B310" s="19" t="s">
        <v>1872</v>
      </c>
      <c r="C310" s="21" t="s">
        <v>1873</v>
      </c>
    </row>
    <row r="311" spans="1:3" ht="16.5" x14ac:dyDescent="0.3">
      <c r="A311" s="18" t="s">
        <v>1874</v>
      </c>
      <c r="B311" s="19" t="s">
        <v>1875</v>
      </c>
      <c r="C311" s="20" t="s">
        <v>1876</v>
      </c>
    </row>
    <row r="312" spans="1:3" ht="16.5" x14ac:dyDescent="0.3">
      <c r="A312" s="18" t="s">
        <v>1877</v>
      </c>
      <c r="B312" s="19" t="s">
        <v>1878</v>
      </c>
      <c r="C312" s="20" t="s">
        <v>1879</v>
      </c>
    </row>
    <row r="313" spans="1:3" ht="16.5" x14ac:dyDescent="0.3">
      <c r="A313" s="18" t="s">
        <v>1880</v>
      </c>
      <c r="B313" s="19" t="s">
        <v>1881</v>
      </c>
      <c r="C313" s="20" t="s">
        <v>1882</v>
      </c>
    </row>
    <row r="314" spans="1:3" ht="16.5" x14ac:dyDescent="0.3">
      <c r="A314" s="18" t="s">
        <v>1883</v>
      </c>
      <c r="B314" s="19" t="s">
        <v>1884</v>
      </c>
      <c r="C314" s="20" t="s">
        <v>1885</v>
      </c>
    </row>
    <row r="315" spans="1:3" ht="16.5" x14ac:dyDescent="0.3">
      <c r="A315" s="18" t="s">
        <v>1886</v>
      </c>
      <c r="B315" s="19" t="s">
        <v>1887</v>
      </c>
      <c r="C315" s="20" t="s">
        <v>1888</v>
      </c>
    </row>
    <row r="316" spans="1:3" ht="16.5" x14ac:dyDescent="0.3">
      <c r="A316" s="18" t="s">
        <v>1889</v>
      </c>
      <c r="B316" s="19" t="s">
        <v>1890</v>
      </c>
      <c r="C316" s="21" t="s">
        <v>1891</v>
      </c>
    </row>
    <row r="317" spans="1:3" ht="16.5" x14ac:dyDescent="0.3">
      <c r="A317" s="18" t="s">
        <v>1892</v>
      </c>
      <c r="B317" s="19" t="s">
        <v>1893</v>
      </c>
      <c r="C317" s="21" t="s">
        <v>1894</v>
      </c>
    </row>
    <row r="318" spans="1:3" ht="16.5" x14ac:dyDescent="0.3">
      <c r="A318" s="18" t="s">
        <v>1895</v>
      </c>
      <c r="B318" s="19" t="s">
        <v>1896</v>
      </c>
      <c r="C318" s="21" t="s">
        <v>1897</v>
      </c>
    </row>
    <row r="319" spans="1:3" ht="16.5" x14ac:dyDescent="0.3">
      <c r="A319" s="18" t="s">
        <v>1898</v>
      </c>
      <c r="B319" s="19" t="s">
        <v>1899</v>
      </c>
      <c r="C319" s="21" t="s">
        <v>1900</v>
      </c>
    </row>
    <row r="320" spans="1:3" ht="16.5" x14ac:dyDescent="0.3">
      <c r="A320" s="18" t="s">
        <v>308</v>
      </c>
      <c r="B320" s="19" t="s">
        <v>985</v>
      </c>
      <c r="C320" s="21" t="s">
        <v>1901</v>
      </c>
    </row>
    <row r="321" spans="1:3" ht="16.5" x14ac:dyDescent="0.3">
      <c r="A321" s="18" t="s">
        <v>1902</v>
      </c>
      <c r="B321" s="19" t="s">
        <v>1903</v>
      </c>
      <c r="C321" s="21" t="s">
        <v>1904</v>
      </c>
    </row>
    <row r="322" spans="1:3" ht="16.5" x14ac:dyDescent="0.3">
      <c r="A322" s="18" t="s">
        <v>1905</v>
      </c>
      <c r="B322" s="19" t="s">
        <v>372</v>
      </c>
      <c r="C322" s="21" t="s">
        <v>1906</v>
      </c>
    </row>
    <row r="323" spans="1:3" ht="16.5" x14ac:dyDescent="0.3">
      <c r="A323" s="24" t="s">
        <v>1907</v>
      </c>
      <c r="B323" s="25" t="s">
        <v>1908</v>
      </c>
      <c r="C323" s="26" t="s">
        <v>1909</v>
      </c>
    </row>
    <row r="324" spans="1:3" ht="16.5" x14ac:dyDescent="0.3">
      <c r="A324" s="18" t="s">
        <v>1910</v>
      </c>
      <c r="B324" s="19" t="s">
        <v>1911</v>
      </c>
      <c r="C324" s="21" t="s">
        <v>1912</v>
      </c>
    </row>
    <row r="325" spans="1:3" ht="16.5" x14ac:dyDescent="0.3">
      <c r="A325" s="24" t="s">
        <v>1913</v>
      </c>
      <c r="B325" s="25" t="s">
        <v>1914</v>
      </c>
      <c r="C325" s="26" t="s">
        <v>1915</v>
      </c>
    </row>
    <row r="326" spans="1:3" ht="16.5" x14ac:dyDescent="0.3">
      <c r="A326" s="18" t="s">
        <v>1916</v>
      </c>
      <c r="B326" s="19" t="s">
        <v>1917</v>
      </c>
      <c r="C326" s="21" t="s">
        <v>1918</v>
      </c>
    </row>
    <row r="327" spans="1:3" ht="16.5" x14ac:dyDescent="0.3">
      <c r="A327" s="18" t="s">
        <v>1919</v>
      </c>
      <c r="B327" s="19" t="s">
        <v>1920</v>
      </c>
      <c r="C327" s="21" t="s">
        <v>1921</v>
      </c>
    </row>
    <row r="328" spans="1:3" ht="16.5" x14ac:dyDescent="0.3">
      <c r="A328" s="18" t="s">
        <v>1922</v>
      </c>
      <c r="B328" s="19" t="s">
        <v>1923</v>
      </c>
      <c r="C328" s="21" t="s">
        <v>1640</v>
      </c>
    </row>
    <row r="329" spans="1:3" ht="16.5" x14ac:dyDescent="0.3">
      <c r="A329" s="18" t="s">
        <v>1924</v>
      </c>
      <c r="B329" s="19" t="s">
        <v>99</v>
      </c>
      <c r="C329" s="21" t="s">
        <v>1925</v>
      </c>
    </row>
    <row r="330" spans="1:3" ht="16.5" x14ac:dyDescent="0.3">
      <c r="A330" s="18" t="s">
        <v>1926</v>
      </c>
      <c r="B330" s="19" t="s">
        <v>1927</v>
      </c>
      <c r="C330" s="21" t="s">
        <v>1928</v>
      </c>
    </row>
    <row r="331" spans="1:3" ht="16.5" x14ac:dyDescent="0.3">
      <c r="A331" s="18" t="s">
        <v>1929</v>
      </c>
      <c r="B331" s="19" t="s">
        <v>1930</v>
      </c>
      <c r="C331" s="21" t="s">
        <v>1931</v>
      </c>
    </row>
    <row r="332" spans="1:3" ht="16.5" x14ac:dyDescent="0.3">
      <c r="A332" s="18" t="s">
        <v>1932</v>
      </c>
      <c r="B332" s="19" t="s">
        <v>1933</v>
      </c>
      <c r="C332" s="21" t="s">
        <v>1934</v>
      </c>
    </row>
    <row r="333" spans="1:3" ht="16.5" x14ac:dyDescent="0.3">
      <c r="A333" s="18" t="s">
        <v>1935</v>
      </c>
      <c r="B333" s="19" t="s">
        <v>1936</v>
      </c>
      <c r="C333" s="21" t="s">
        <v>1937</v>
      </c>
    </row>
    <row r="334" spans="1:3" ht="16.5" x14ac:dyDescent="0.3">
      <c r="A334" s="18" t="s">
        <v>1938</v>
      </c>
      <c r="B334" s="19" t="s">
        <v>1939</v>
      </c>
      <c r="C334" s="21" t="s">
        <v>1940</v>
      </c>
    </row>
    <row r="335" spans="1:3" ht="16.5" x14ac:dyDescent="0.3">
      <c r="A335" s="18" t="s">
        <v>1941</v>
      </c>
      <c r="B335" s="19" t="s">
        <v>1942</v>
      </c>
      <c r="C335" s="21" t="s">
        <v>1943</v>
      </c>
    </row>
    <row r="336" spans="1:3" ht="16.5" x14ac:dyDescent="0.3">
      <c r="A336" s="18" t="s">
        <v>1944</v>
      </c>
      <c r="B336" s="19" t="s">
        <v>1945</v>
      </c>
      <c r="C336" s="21" t="s">
        <v>1946</v>
      </c>
    </row>
    <row r="337" spans="1:3" ht="16.5" x14ac:dyDescent="0.3">
      <c r="A337" s="18" t="s">
        <v>1947</v>
      </c>
      <c r="B337" s="19" t="s">
        <v>1948</v>
      </c>
      <c r="C337" s="21" t="s">
        <v>1949</v>
      </c>
    </row>
    <row r="338" spans="1:3" ht="16.5" x14ac:dyDescent="0.3">
      <c r="A338" s="24" t="s">
        <v>1950</v>
      </c>
      <c r="B338" s="25" t="s">
        <v>1951</v>
      </c>
      <c r="C338" s="26" t="s">
        <v>1952</v>
      </c>
    </row>
  </sheetData>
  <sheetProtection sheet="1" objects="1" scenarios="1"/>
  <mergeCells count="1">
    <mergeCell ref="A1:C1"/>
  </mergeCells>
  <pageMargins left="0.511811024" right="0.511811024" top="0.78740157499999996" bottom="0.78740157499999996" header="0.31496062000000002" footer="0.31496062000000002"/>
  <drawing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9EABFE15328E34494B7ECE29E1ACB4F" ma:contentTypeVersion="16" ma:contentTypeDescription="Crie um novo documento." ma:contentTypeScope="" ma:versionID="eedd7d77a778617b2604db58cd4c3cb3">
  <xsd:schema xmlns:xsd="http://www.w3.org/2001/XMLSchema" xmlns:xs="http://www.w3.org/2001/XMLSchema" xmlns:p="http://schemas.microsoft.com/office/2006/metadata/properties" xmlns:ns2="036464c2-fd20-4b66-91a9-287fded1e9c2" xmlns:ns3="bc93fe7e-d035-43bb-a03c-6b57525c971b" targetNamespace="http://schemas.microsoft.com/office/2006/metadata/properties" ma:root="true" ma:fieldsID="f4801e42c48a2122a8b709c6b1ad6e85" ns2:_="" ns3:_="">
    <xsd:import namespace="036464c2-fd20-4b66-91a9-287fded1e9c2"/>
    <xsd:import namespace="bc93fe7e-d035-43bb-a03c-6b57525c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element ref="ns2:MediaLengthInSeconds" minOccurs="0"/>
                <xsd:element ref="ns2:Respons_x00e1_vel"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64c2-fd20-4b66-91a9-287fded1e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Liberado para uso"/>
          <xsd:enumeration value="Em uso"/>
          <xsd:enumeration value="Concluído"/>
          <xsd:enumeration value="Em produção"/>
          <xsd:enumeration value="Cotejado"/>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Respons_x00e1_vel" ma:index="21" nillable="true" ma:displayName="Responsável" ma:format="Dropdown" ma:internalName="Respons_x00e1_vel">
      <xsd:simpleType>
        <xsd:restriction base="dms:Text">
          <xsd:maxLength value="255"/>
        </xsd:restriction>
      </xsd:simpleType>
    </xsd:element>
    <xsd:element name="Observa_x00e7__x00e3_o" ma:index="22" nillable="true" ma:displayName="Observação" ma:format="Dropdown" ma:internalName="Observa_x00e7__x00e3_o">
      <xsd:simpleType>
        <xsd:restriction base="dms:Choice">
          <xsd:enumeration value="Em uso"/>
          <xsd:enumeration value="Liberado para uso"/>
          <xsd:enumeration value="Escolha 3 "/>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3fe7e-d035-43bb-a03c-6b57525c97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8b5033-ad91-4790-a79c-36fca7f28cc3}" ma:internalName="TaxCatchAll" ma:showField="CatchAllData" ma:web="bc93fe7e-d035-43bb-a03c-6b57525c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c93fe7e-d035-43bb-a03c-6b57525c971b" xsi:nil="true"/>
    <lcf76f155ced4ddcb4097134ff3c332f xmlns="036464c2-fd20-4b66-91a9-287fded1e9c2">
      <Terms xmlns="http://schemas.microsoft.com/office/infopath/2007/PartnerControls"/>
    </lcf76f155ced4ddcb4097134ff3c332f>
    <status xmlns="036464c2-fd20-4b66-91a9-287fded1e9c2" xsi:nil="true"/>
    <Respons_x00e1_vel xmlns="036464c2-fd20-4b66-91a9-287fded1e9c2" xsi:nil="true"/>
    <Observa_x00e7__x00e3_o xmlns="036464c2-fd20-4b66-91a9-287fded1e9c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B525C1-C202-4184-8E03-9D1ECC13E7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6464c2-fd20-4b66-91a9-287fded1e9c2"/>
    <ds:schemaRef ds:uri="bc93fe7e-d035-43bb-a03c-6b57525c97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5A8A88-114F-4414-B78B-59A1E08F48D9}">
  <ds:schemaRefs>
    <ds:schemaRef ds:uri="http://schemas.microsoft.com/office/2006/metadata/properties"/>
    <ds:schemaRef ds:uri="http://schemas.microsoft.com/office/2006/documentManagement/types"/>
    <ds:schemaRef ds:uri="http://purl.org/dc/elements/1.1/"/>
    <ds:schemaRef ds:uri="http://www.w3.org/XML/1998/namespace"/>
    <ds:schemaRef ds:uri="http://schemas.openxmlformats.org/package/2006/metadata/core-properties"/>
    <ds:schemaRef ds:uri="http://purl.org/dc/terms/"/>
    <ds:schemaRef ds:uri="http://schemas.microsoft.com/office/infopath/2007/PartnerControls"/>
    <ds:schemaRef ds:uri="bc93fe7e-d035-43bb-a03c-6b57525c971b"/>
    <ds:schemaRef ds:uri="036464c2-fd20-4b66-91a9-287fded1e9c2"/>
    <ds:schemaRef ds:uri="http://purl.org/dc/dcmitype/"/>
  </ds:schemaRefs>
</ds:datastoreItem>
</file>

<file path=customXml/itemProps3.xml><?xml version="1.0" encoding="utf-8"?>
<ds:datastoreItem xmlns:ds="http://schemas.openxmlformats.org/officeDocument/2006/customXml" ds:itemID="{3DCC011B-0C57-45DA-AF49-4F980948F3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metadados</vt:lpstr>
      <vt:lpstr>ilustração</vt:lpstr>
      <vt:lpstr>créditos_base</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Lucia Moniz das Neves</cp:lastModifiedBy>
  <cp:revision/>
  <dcterms:created xsi:type="dcterms:W3CDTF">2024-11-11T13:23:41Z</dcterms:created>
  <dcterms:modified xsi:type="dcterms:W3CDTF">2025-10-22T12:13:21Z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0x01010019EABFE15328E34494B7ECE29E1ACB4F</vt:lpwstr>
  </property>
  <property fmtid="{D5CDD505-2E9C-101B-9397-08002B2CF9AE}" pid="3" name="MediaServiceImageTags">
    <vt:lpwstr/>
  </property>
</Properties>
</file>